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mij" sheetId="1" state="visible" r:id="rId1"/>
    <sheet xmlns:r="http://schemas.openxmlformats.org/officeDocument/2006/relationships" name="Export" sheetId="2" state="visible" r:id="rId2"/>
    <sheet xmlns:r="http://schemas.openxmlformats.org/officeDocument/2006/relationships" name="Finance" sheetId="3" state="visible" r:id="rId3"/>
    <sheet xmlns:r="http://schemas.openxmlformats.org/officeDocument/2006/relationships" name="Brug" sheetId="4" state="visible" r:id="rId4"/>
    <sheet xmlns:r="http://schemas.openxmlformats.org/officeDocument/2006/relationships" name="Per verkop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;[Red]-€ #,##0.00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  <font/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Export" displayName="tExport" ref="A1:J10447" headerRowCount="1">
  <autoFilter ref="A1:J10447"/>
  <tableColumns count="10">
    <tableColumn id="1" name="Datum"/>
    <tableColumn id="2" name="Factuur"/>
    <tableColumn id="3" name="Klant"/>
    <tableColumn id="4" name="Artikel"/>
    <tableColumn id="5" name="Verkoper"/>
    <tableColumn id="6" name="Bedrag"/>
    <tableColumn id="7" name="Soort"/>
    <tableColumn id="8" name="Dubbel"/>
    <tableColumn id="9" name="Intern"/>
    <tableColumn id="10" name="Nett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Reconciliatie wekelijks sales-rapport ↔ finance, Q3 2026</t>
        </is>
      </c>
    </row>
    <row r="2">
      <c r="A2" s="2" t="inlineStr">
        <is>
          <t>Vennaert (fictief bedrijf) · illustratieve cijfers, geen echte bedrijfsdata</t>
        </is>
      </c>
    </row>
    <row r="3">
      <c r="A3" s="2" t="inlineStr"/>
    </row>
    <row r="4">
      <c r="A4" s="2" t="inlineStr">
        <is>
          <t>Vraag van de sales manager: 'Waarom zegt ons Excel-rapport meer omzet dan finance?'</t>
        </is>
      </c>
    </row>
    <row r="5">
      <c r="A5" s="2" t="inlineStr"/>
    </row>
    <row r="6">
      <c r="A6" s="3" t="inlineStr">
        <is>
          <t>Werkwijze</t>
        </is>
      </c>
    </row>
    <row r="7">
      <c r="A7" s="2" t="inlineStr">
        <is>
          <t>1. Tab Export = de ruwe export waarop het wekelijkse rapport gebouwd is (gesorteerd op datum, factuur, artikel).</t>
        </is>
      </c>
    </row>
    <row r="8">
      <c r="A8" s="2" t="inlineStr">
        <is>
          <t>2. Hulpkolommen G–J classificeren elke rij: soort document, dubbele rij, interne klant, netto bedrag met teken.</t>
        </is>
      </c>
    </row>
    <row r="9">
      <c r="A9" s="2" t="inlineStr">
        <is>
          <t>3. Tab Brug zet het rapporttotaal stap voor stap om naar het finance-cijfer. Elke stap is een SUMIFS op Export.</t>
        </is>
      </c>
    </row>
    <row r="10">
      <c r="A10" s="2" t="inlineStr">
        <is>
          <t>4. Kolom Controle vergelijkt elke stap met de SQL-pipeline (sql/05_reconciliation.sql). OK = beide tellen hetzelfde.</t>
        </is>
      </c>
    </row>
    <row r="11">
      <c r="A11" s="2" t="inlineStr">
        <is>
          <t>5. Tab Per verkoper = draaitabel met formules (netto per verkoper per maand). Echte draaitabel: Invoegen &gt; Draaitabel op tabel tExport.</t>
        </is>
      </c>
    </row>
    <row r="12">
      <c r="A12" s="2" t="inlineStr"/>
    </row>
    <row r="13">
      <c r="A13" s="3" t="inlineStr">
        <is>
          <t>Conclusie</t>
        </is>
      </c>
    </row>
    <row r="14">
      <c r="A14" s="2" t="inlineStr">
        <is>
          <t>Het rapport telt creditnota's op in plaats van ze af te trekken, bevat één dag twee keer en rekent de personeelsshop mee.</t>
        </is>
      </c>
    </row>
    <row r="15">
      <c r="A15" s="2" t="inlineStr">
        <is>
          <t>Na die drie correcties is het verschil met finance € 0,00. De nieuwe Power BI-rapportering gebruikt de finance-definitie (KPI-01).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9" customWidth="1" min="5" max="5"/>
    <col width="14" customWidth="1" min="6" max="6"/>
    <col width="8" customWidth="1" min="7" max="7"/>
    <col width="8" customWidth="1" min="8" max="8"/>
    <col width="8" customWidth="1" min="9" max="9"/>
    <col width="14" customWidth="1" min="10" max="10"/>
  </cols>
  <sheetData>
    <row r="1">
      <c r="A1" s="4" t="inlineStr">
        <is>
          <t>Datum</t>
        </is>
      </c>
      <c r="B1" s="4" t="inlineStr">
        <is>
          <t>Factuur</t>
        </is>
      </c>
      <c r="C1" s="4" t="inlineStr">
        <is>
          <t>Klant</t>
        </is>
      </c>
      <c r="D1" s="4" t="inlineStr">
        <is>
          <t>Artikel</t>
        </is>
      </c>
      <c r="E1" s="4" t="inlineStr">
        <is>
          <t>Verkoper</t>
        </is>
      </c>
      <c r="F1" s="4" t="inlineStr">
        <is>
          <t>Bedrag</t>
        </is>
      </c>
      <c r="G1" s="4" t="inlineStr">
        <is>
          <t>Soort</t>
        </is>
      </c>
      <c r="H1" s="4" t="inlineStr">
        <is>
          <t>Dubbel</t>
        </is>
      </c>
      <c r="I1" s="4" t="inlineStr">
        <is>
          <t>Intern</t>
        </is>
      </c>
      <c r="J1" s="4" t="inlineStr">
        <is>
          <t>Netto</t>
        </is>
      </c>
    </row>
    <row r="2">
      <c r="A2" t="inlineStr">
        <is>
          <t>2026-07-01</t>
        </is>
      </c>
      <c r="B2" t="inlineStr">
        <is>
          <t>C900348</t>
        </is>
      </c>
      <c r="C2" t="inlineStr">
        <is>
          <t>C11363</t>
        </is>
      </c>
      <c r="D2" t="inlineStr">
        <is>
          <t>SKU-10326</t>
        </is>
      </c>
      <c r="E2" t="inlineStr">
        <is>
          <t>AM09</t>
        </is>
      </c>
      <c r="F2" s="5" t="n">
        <v>35.55</v>
      </c>
      <c r="G2">
        <f>IF(LEFT(B2,1)="C","Credit","Factuur")</f>
        <v/>
      </c>
      <c r="H2" t="n">
        <v>0</v>
      </c>
      <c r="I2">
        <f>IF(C2="C99999",1,0)</f>
        <v/>
      </c>
      <c r="J2" s="5">
        <f>IF(OR(H2=1,I2=1),0,IF(G2="Credit",-F2,F2))</f>
        <v/>
      </c>
    </row>
    <row r="3">
      <c r="A3" t="inlineStr">
        <is>
          <t>2026-07-01</t>
        </is>
      </c>
      <c r="B3" t="inlineStr">
        <is>
          <t>C901944</t>
        </is>
      </c>
      <c r="C3" t="inlineStr">
        <is>
          <t>C10756</t>
        </is>
      </c>
      <c r="D3" t="inlineStr">
        <is>
          <t>SKU-10153</t>
        </is>
      </c>
      <c r="E3" t="inlineStr">
        <is>
          <t>AM06</t>
        </is>
      </c>
      <c r="F3" s="5" t="n">
        <v>134.88</v>
      </c>
      <c r="G3">
        <f>IF(LEFT(B3,1)="C","Credit","Factuur")</f>
        <v/>
      </c>
      <c r="H3">
        <f>IF(AND(B3=B2,D3=D2,A3=A2,F3=F2),1,0)</f>
        <v/>
      </c>
      <c r="I3">
        <f>IF(C3="C99999",1,0)</f>
        <v/>
      </c>
      <c r="J3" s="5">
        <f>IF(OR(H3=1,I3=1),0,IF(G3="Credit",-F3,F3))</f>
        <v/>
      </c>
    </row>
    <row r="4">
      <c r="A4" t="inlineStr">
        <is>
          <t>2026-07-01</t>
        </is>
      </c>
      <c r="B4" t="inlineStr">
        <is>
          <t>C902040</t>
        </is>
      </c>
      <c r="C4" t="inlineStr">
        <is>
          <t>C11259</t>
        </is>
      </c>
      <c r="D4" t="inlineStr">
        <is>
          <t>SKU-10284</t>
        </is>
      </c>
      <c r="E4" t="inlineStr">
        <is>
          <t>AM08</t>
        </is>
      </c>
      <c r="F4" s="5" t="n">
        <v>647.14</v>
      </c>
      <c r="G4">
        <f>IF(LEFT(B4,1)="C","Credit","Factuur")</f>
        <v/>
      </c>
      <c r="H4">
        <f>IF(AND(B4=B3,D4=D3,A4=A3,F4=F3),1,0)</f>
        <v/>
      </c>
      <c r="I4">
        <f>IF(C4="C99999",1,0)</f>
        <v/>
      </c>
      <c r="J4" s="5">
        <f>IF(OR(H4=1,I4=1),0,IF(G4="Credit",-F4,F4))</f>
        <v/>
      </c>
    </row>
    <row r="5">
      <c r="A5" t="inlineStr">
        <is>
          <t>2026-07-01</t>
        </is>
      </c>
      <c r="B5" t="inlineStr">
        <is>
          <t>F260308</t>
        </is>
      </c>
      <c r="C5" t="inlineStr">
        <is>
          <t>C10019</t>
        </is>
      </c>
      <c r="D5" t="inlineStr">
        <is>
          <t>SKU-10169</t>
        </is>
      </c>
      <c r="E5" t="inlineStr">
        <is>
          <t>AM02</t>
        </is>
      </c>
      <c r="F5" s="5" t="n">
        <v>216.02</v>
      </c>
      <c r="G5">
        <f>IF(LEFT(B5,1)="C","Credit","Factuur")</f>
        <v/>
      </c>
      <c r="H5">
        <f>IF(AND(B5=B4,D5=D4,A5=A4,F5=F4),1,0)</f>
        <v/>
      </c>
      <c r="I5">
        <f>IF(C5="C99999",1,0)</f>
        <v/>
      </c>
      <c r="J5" s="5">
        <f>IF(OR(H5=1,I5=1),0,IF(G5="Credit",-F5,F5))</f>
        <v/>
      </c>
    </row>
    <row r="6">
      <c r="A6" t="inlineStr">
        <is>
          <t>2026-07-01</t>
        </is>
      </c>
      <c r="B6" t="inlineStr">
        <is>
          <t>F260308</t>
        </is>
      </c>
      <c r="C6" t="inlineStr">
        <is>
          <t>C10019</t>
        </is>
      </c>
      <c r="D6" t="inlineStr">
        <is>
          <t>SKU-10206</t>
        </is>
      </c>
      <c r="E6" t="inlineStr">
        <is>
          <t>AM02</t>
        </is>
      </c>
      <c r="F6" s="5" t="n">
        <v>202.56</v>
      </c>
      <c r="G6">
        <f>IF(LEFT(B6,1)="C","Credit","Factuur")</f>
        <v/>
      </c>
      <c r="H6">
        <f>IF(AND(B6=B5,D6=D5,A6=A5,F6=F5),1,0)</f>
        <v/>
      </c>
      <c r="I6">
        <f>IF(C6="C99999",1,0)</f>
        <v/>
      </c>
      <c r="J6" s="5">
        <f>IF(OR(H6=1,I6=1),0,IF(G6="Credit",-F6,F6))</f>
        <v/>
      </c>
    </row>
    <row r="7">
      <c r="A7" t="inlineStr">
        <is>
          <t>2026-07-01</t>
        </is>
      </c>
      <c r="B7" t="inlineStr">
        <is>
          <t>F260612</t>
        </is>
      </c>
      <c r="C7" t="inlineStr">
        <is>
          <t>C10034</t>
        </is>
      </c>
      <c r="D7" t="inlineStr">
        <is>
          <t>SKU-10053</t>
        </is>
      </c>
      <c r="E7" t="inlineStr">
        <is>
          <t>AM08</t>
        </is>
      </c>
      <c r="F7" s="5" t="n">
        <v>225</v>
      </c>
      <c r="G7">
        <f>IF(LEFT(B7,1)="C","Credit","Factuur")</f>
        <v/>
      </c>
      <c r="H7">
        <f>IF(AND(B7=B6,D7=D6,A7=A6,F7=F6),1,0)</f>
        <v/>
      </c>
      <c r="I7">
        <f>IF(C7="C99999",1,0)</f>
        <v/>
      </c>
      <c r="J7" s="5">
        <f>IF(OR(H7=1,I7=1),0,IF(G7="Credit",-F7,F7))</f>
        <v/>
      </c>
    </row>
    <row r="8">
      <c r="A8" t="inlineStr">
        <is>
          <t>2026-07-01</t>
        </is>
      </c>
      <c r="B8" t="inlineStr">
        <is>
          <t>F260612</t>
        </is>
      </c>
      <c r="C8" t="inlineStr">
        <is>
          <t>C10034</t>
        </is>
      </c>
      <c r="D8" t="inlineStr">
        <is>
          <t>SKU-10099</t>
        </is>
      </c>
      <c r="E8" t="inlineStr">
        <is>
          <t>AM08</t>
        </is>
      </c>
      <c r="F8" s="5" t="n">
        <v>232.96</v>
      </c>
      <c r="G8">
        <f>IF(LEFT(B8,1)="C","Credit","Factuur")</f>
        <v/>
      </c>
      <c r="H8">
        <f>IF(AND(B8=B7,D8=D7,A8=A7,F8=F7),1,0)</f>
        <v/>
      </c>
      <c r="I8">
        <f>IF(C8="C99999",1,0)</f>
        <v/>
      </c>
      <c r="J8" s="5">
        <f>IF(OR(H8=1,I8=1),0,IF(G8="Credit",-F8,F8))</f>
        <v/>
      </c>
    </row>
    <row r="9">
      <c r="A9" t="inlineStr">
        <is>
          <t>2026-07-01</t>
        </is>
      </c>
      <c r="B9" t="inlineStr">
        <is>
          <t>F260612</t>
        </is>
      </c>
      <c r="C9" t="inlineStr">
        <is>
          <t>C10034</t>
        </is>
      </c>
      <c r="D9" t="inlineStr">
        <is>
          <t>SKU-10258</t>
        </is>
      </c>
      <c r="E9" t="inlineStr">
        <is>
          <t>AM08</t>
        </is>
      </c>
      <c r="F9" s="5" t="n">
        <v>222.17</v>
      </c>
      <c r="G9">
        <f>IF(LEFT(B9,1)="C","Credit","Factuur")</f>
        <v/>
      </c>
      <c r="H9">
        <f>IF(AND(B9=B8,D9=D8,A9=A8,F9=F8),1,0)</f>
        <v/>
      </c>
      <c r="I9">
        <f>IF(C9="C99999",1,0)</f>
        <v/>
      </c>
      <c r="J9" s="5">
        <f>IF(OR(H9=1,I9=1),0,IF(G9="Credit",-F9,F9))</f>
        <v/>
      </c>
    </row>
    <row r="10">
      <c r="A10" t="inlineStr">
        <is>
          <t>2026-07-01</t>
        </is>
      </c>
      <c r="B10" t="inlineStr">
        <is>
          <t>F260658</t>
        </is>
      </c>
      <c r="C10" t="inlineStr">
        <is>
          <t>C10037</t>
        </is>
      </c>
      <c r="D10" t="inlineStr">
        <is>
          <t>SKU-10116</t>
        </is>
      </c>
      <c r="E10" t="inlineStr">
        <is>
          <t>AM03</t>
        </is>
      </c>
      <c r="F10" s="5" t="n">
        <v>651</v>
      </c>
      <c r="G10">
        <f>IF(LEFT(B10,1)="C","Credit","Factuur")</f>
        <v/>
      </c>
      <c r="H10">
        <f>IF(AND(B10=B9,D10=D9,A10=A9,F10=F9),1,0)</f>
        <v/>
      </c>
      <c r="I10">
        <f>IF(C10="C99999",1,0)</f>
        <v/>
      </c>
      <c r="J10" s="5">
        <f>IF(OR(H10=1,I10=1),0,IF(G10="Credit",-F10,F10))</f>
        <v/>
      </c>
    </row>
    <row r="11">
      <c r="A11" t="inlineStr">
        <is>
          <t>2026-07-01</t>
        </is>
      </c>
      <c r="B11" t="inlineStr">
        <is>
          <t>F260838</t>
        </is>
      </c>
      <c r="C11" t="inlineStr">
        <is>
          <t>C10049</t>
        </is>
      </c>
      <c r="D11" t="inlineStr">
        <is>
          <t>SKU-10055</t>
        </is>
      </c>
      <c r="E11" t="inlineStr">
        <is>
          <t>AM09</t>
        </is>
      </c>
      <c r="F11" s="5" t="n">
        <v>4045.39</v>
      </c>
      <c r="G11">
        <f>IF(LEFT(B11,1)="C","Credit","Factuur")</f>
        <v/>
      </c>
      <c r="H11">
        <f>IF(AND(B11=B10,D11=D10,A11=A10,F11=F10),1,0)</f>
        <v/>
      </c>
      <c r="I11">
        <f>IF(C11="C99999",1,0)</f>
        <v/>
      </c>
      <c r="J11" s="5">
        <f>IF(OR(H11=1,I11=1),0,IF(G11="Credit",-F11,F11))</f>
        <v/>
      </c>
    </row>
    <row r="12">
      <c r="A12" t="inlineStr">
        <is>
          <t>2026-07-01</t>
        </is>
      </c>
      <c r="B12" t="inlineStr">
        <is>
          <t>F260838</t>
        </is>
      </c>
      <c r="C12" t="inlineStr">
        <is>
          <t>C10049</t>
        </is>
      </c>
      <c r="D12" t="inlineStr">
        <is>
          <t>SKU-10289</t>
        </is>
      </c>
      <c r="E12" t="inlineStr">
        <is>
          <t>AM09</t>
        </is>
      </c>
      <c r="F12" s="5" t="n">
        <v>4048.23</v>
      </c>
      <c r="G12">
        <f>IF(LEFT(B12,1)="C","Credit","Factuur")</f>
        <v/>
      </c>
      <c r="H12">
        <f>IF(AND(B12=B11,D12=D11,A12=A11,F12=F11),1,0)</f>
        <v/>
      </c>
      <c r="I12">
        <f>IF(C12="C99999",1,0)</f>
        <v/>
      </c>
      <c r="J12" s="5">
        <f>IF(OR(H12=1,I12=1),0,IF(G12="Credit",-F12,F12))</f>
        <v/>
      </c>
    </row>
    <row r="13">
      <c r="A13" t="inlineStr">
        <is>
          <t>2026-07-01</t>
        </is>
      </c>
      <c r="B13" t="inlineStr">
        <is>
          <t>F264044</t>
        </is>
      </c>
      <c r="C13" t="inlineStr">
        <is>
          <t>C10212</t>
        </is>
      </c>
      <c r="D13" t="inlineStr">
        <is>
          <t>SKU-10322</t>
        </is>
      </c>
      <c r="E13" t="inlineStr">
        <is>
          <t>AM11</t>
        </is>
      </c>
      <c r="F13" s="5" t="n">
        <v>2819.44</v>
      </c>
      <c r="G13">
        <f>IF(LEFT(B13,1)="C","Credit","Factuur")</f>
        <v/>
      </c>
      <c r="H13">
        <f>IF(AND(B13=B12,D13=D12,A13=A12,F13=F12),1,0)</f>
        <v/>
      </c>
      <c r="I13">
        <f>IF(C13="C99999",1,0)</f>
        <v/>
      </c>
      <c r="J13" s="5">
        <f>IF(OR(H13=1,I13=1),0,IF(G13="Credit",-F13,F13))</f>
        <v/>
      </c>
    </row>
    <row r="14">
      <c r="A14" t="inlineStr">
        <is>
          <t>2026-07-01</t>
        </is>
      </c>
      <c r="B14" t="inlineStr">
        <is>
          <t>F264195</t>
        </is>
      </c>
      <c r="C14" t="inlineStr">
        <is>
          <t>C10221</t>
        </is>
      </c>
      <c r="D14" t="inlineStr">
        <is>
          <t>SKU-10093</t>
        </is>
      </c>
      <c r="E14" t="inlineStr">
        <is>
          <t>AM06</t>
        </is>
      </c>
      <c r="F14" s="5" t="n">
        <v>193.78</v>
      </c>
      <c r="G14">
        <f>IF(LEFT(B14,1)="C","Credit","Factuur")</f>
        <v/>
      </c>
      <c r="H14">
        <f>IF(AND(B14=B13,D14=D13,A14=A13,F14=F13),1,0)</f>
        <v/>
      </c>
      <c r="I14">
        <f>IF(C14="C99999",1,0)</f>
        <v/>
      </c>
      <c r="J14" s="5">
        <f>IF(OR(H14=1,I14=1),0,IF(G14="Credit",-F14,F14))</f>
        <v/>
      </c>
    </row>
    <row r="15">
      <c r="A15" t="inlineStr">
        <is>
          <t>2026-07-01</t>
        </is>
      </c>
      <c r="B15" t="inlineStr">
        <is>
          <t>F264195</t>
        </is>
      </c>
      <c r="C15" t="inlineStr">
        <is>
          <t>C10221</t>
        </is>
      </c>
      <c r="D15" t="inlineStr">
        <is>
          <t>SKU-10209</t>
        </is>
      </c>
      <c r="E15" t="inlineStr">
        <is>
          <t>AM06</t>
        </is>
      </c>
      <c r="F15" s="5" t="n">
        <v>149.25</v>
      </c>
      <c r="G15">
        <f>IF(LEFT(B15,1)="C","Credit","Factuur")</f>
        <v/>
      </c>
      <c r="H15">
        <f>IF(AND(B15=B14,D15=D14,A15=A14,F15=F14),1,0)</f>
        <v/>
      </c>
      <c r="I15">
        <f>IF(C15="C99999",1,0)</f>
        <v/>
      </c>
      <c r="J15" s="5">
        <f>IF(OR(H15=1,I15=1),0,IF(G15="Credit",-F15,F15))</f>
        <v/>
      </c>
    </row>
    <row r="16">
      <c r="A16" t="inlineStr">
        <is>
          <t>2026-07-01</t>
        </is>
      </c>
      <c r="B16" t="inlineStr">
        <is>
          <t>F265758</t>
        </is>
      </c>
      <c r="C16" t="inlineStr">
        <is>
          <t>C10300</t>
        </is>
      </c>
      <c r="D16" t="inlineStr">
        <is>
          <t>SKU-10027</t>
        </is>
      </c>
      <c r="E16" t="inlineStr">
        <is>
          <t>AM03</t>
        </is>
      </c>
      <c r="F16" s="5" t="n">
        <v>166.02</v>
      </c>
      <c r="G16">
        <f>IF(LEFT(B16,1)="C","Credit","Factuur")</f>
        <v/>
      </c>
      <c r="H16">
        <f>IF(AND(B16=B15,D16=D15,A16=A15,F16=F15),1,0)</f>
        <v/>
      </c>
      <c r="I16">
        <f>IF(C16="C99999",1,0)</f>
        <v/>
      </c>
      <c r="J16" s="5">
        <f>IF(OR(H16=1,I16=1),0,IF(G16="Credit",-F16,F16))</f>
        <v/>
      </c>
    </row>
    <row r="17">
      <c r="A17" t="inlineStr">
        <is>
          <t>2026-07-01</t>
        </is>
      </c>
      <c r="B17" t="inlineStr">
        <is>
          <t>F265758</t>
        </is>
      </c>
      <c r="C17" t="inlineStr">
        <is>
          <t>C10300</t>
        </is>
      </c>
      <c r="D17" t="inlineStr">
        <is>
          <t>SKU-10149</t>
        </is>
      </c>
      <c r="E17" t="inlineStr">
        <is>
          <t>AM03</t>
        </is>
      </c>
      <c r="F17" s="5" t="n">
        <v>145.16</v>
      </c>
      <c r="G17">
        <f>IF(LEFT(B17,1)="C","Credit","Factuur")</f>
        <v/>
      </c>
      <c r="H17">
        <f>IF(AND(B17=B16,D17=D16,A17=A16,F17=F16),1,0)</f>
        <v/>
      </c>
      <c r="I17">
        <f>IF(C17="C99999",1,0)</f>
        <v/>
      </c>
      <c r="J17" s="5">
        <f>IF(OR(H17=1,I17=1),0,IF(G17="Credit",-F17,F17))</f>
        <v/>
      </c>
    </row>
    <row r="18">
      <c r="A18" t="inlineStr">
        <is>
          <t>2026-07-01</t>
        </is>
      </c>
      <c r="B18" t="inlineStr">
        <is>
          <t>F265758</t>
        </is>
      </c>
      <c r="C18" t="inlineStr">
        <is>
          <t>C10300</t>
        </is>
      </c>
      <c r="D18" t="inlineStr">
        <is>
          <t>SKU-10210</t>
        </is>
      </c>
      <c r="E18" t="inlineStr">
        <is>
          <t>AM03</t>
        </is>
      </c>
      <c r="F18" s="5" t="n">
        <v>175.35</v>
      </c>
      <c r="G18">
        <f>IF(LEFT(B18,1)="C","Credit","Factuur")</f>
        <v/>
      </c>
      <c r="H18">
        <f>IF(AND(B18=B17,D18=D17,A18=A17,F18=F17),1,0)</f>
        <v/>
      </c>
      <c r="I18">
        <f>IF(C18="C99999",1,0)</f>
        <v/>
      </c>
      <c r="J18" s="5">
        <f>IF(OR(H18=1,I18=1),0,IF(G18="Credit",-F18,F18))</f>
        <v/>
      </c>
    </row>
    <row r="19">
      <c r="A19" t="inlineStr">
        <is>
          <t>2026-07-01</t>
        </is>
      </c>
      <c r="B19" t="inlineStr">
        <is>
          <t>F265758</t>
        </is>
      </c>
      <c r="C19" t="inlineStr">
        <is>
          <t>C10300</t>
        </is>
      </c>
      <c r="D19" t="inlineStr">
        <is>
          <t>SKU-10282</t>
        </is>
      </c>
      <c r="E19" t="inlineStr">
        <is>
          <t>AM03</t>
        </is>
      </c>
      <c r="F19" s="5" t="n">
        <v>173.6</v>
      </c>
      <c r="G19">
        <f>IF(LEFT(B19,1)="C","Credit","Factuur")</f>
        <v/>
      </c>
      <c r="H19">
        <f>IF(AND(B19=B18,D19=D18,A19=A18,F19=F18),1,0)</f>
        <v/>
      </c>
      <c r="I19">
        <f>IF(C19="C99999",1,0)</f>
        <v/>
      </c>
      <c r="J19" s="5">
        <f>IF(OR(H19=1,I19=1),0,IF(G19="Credit",-F19,F19))</f>
        <v/>
      </c>
    </row>
    <row r="20">
      <c r="A20" t="inlineStr">
        <is>
          <t>2026-07-01</t>
        </is>
      </c>
      <c r="B20" t="inlineStr">
        <is>
          <t>F265840</t>
        </is>
      </c>
      <c r="C20" t="inlineStr">
        <is>
          <t>C10306</t>
        </is>
      </c>
      <c r="D20" t="inlineStr">
        <is>
          <t>SKU-10039</t>
        </is>
      </c>
      <c r="E20" t="inlineStr">
        <is>
          <t>AM12</t>
        </is>
      </c>
      <c r="F20" s="5" t="n">
        <v>648.6</v>
      </c>
      <c r="G20">
        <f>IF(LEFT(B20,1)="C","Credit","Factuur")</f>
        <v/>
      </c>
      <c r="H20">
        <f>IF(AND(B20=B19,D20=D19,A20=A19,F20=F19),1,0)</f>
        <v/>
      </c>
      <c r="I20">
        <f>IF(C20="C99999",1,0)</f>
        <v/>
      </c>
      <c r="J20" s="5">
        <f>IF(OR(H20=1,I20=1),0,IF(G20="Credit",-F20,F20))</f>
        <v/>
      </c>
    </row>
    <row r="21">
      <c r="A21" t="inlineStr">
        <is>
          <t>2026-07-01</t>
        </is>
      </c>
      <c r="B21" t="inlineStr">
        <is>
          <t>F265840</t>
        </is>
      </c>
      <c r="C21" t="inlineStr">
        <is>
          <t>C10306</t>
        </is>
      </c>
      <c r="D21" t="inlineStr">
        <is>
          <t>SKU-10374</t>
        </is>
      </c>
      <c r="E21" t="inlineStr">
        <is>
          <t>AM12</t>
        </is>
      </c>
      <c r="F21" s="5" t="n">
        <v>588.38</v>
      </c>
      <c r="G21">
        <f>IF(LEFT(B21,1)="C","Credit","Factuur")</f>
        <v/>
      </c>
      <c r="H21">
        <f>IF(AND(B21=B20,D21=D20,A21=A20,F21=F20),1,0)</f>
        <v/>
      </c>
      <c r="I21">
        <f>IF(C21="C99999",1,0)</f>
        <v/>
      </c>
      <c r="J21" s="5">
        <f>IF(OR(H21=1,I21=1),0,IF(G21="Credit",-F21,F21))</f>
        <v/>
      </c>
    </row>
    <row r="22">
      <c r="A22" t="inlineStr">
        <is>
          <t>2026-07-01</t>
        </is>
      </c>
      <c r="B22" t="inlineStr">
        <is>
          <t>F265840</t>
        </is>
      </c>
      <c r="C22" t="inlineStr">
        <is>
          <t>C10306</t>
        </is>
      </c>
      <c r="D22" t="inlineStr">
        <is>
          <t>SKU-10375</t>
        </is>
      </c>
      <c r="E22" t="inlineStr">
        <is>
          <t>AM12</t>
        </is>
      </c>
      <c r="F22" s="5" t="n">
        <v>648.36</v>
      </c>
      <c r="G22">
        <f>IF(LEFT(B22,1)="C","Credit","Factuur")</f>
        <v/>
      </c>
      <c r="H22">
        <f>IF(AND(B22=B21,D22=D21,A22=A21,F22=F21),1,0)</f>
        <v/>
      </c>
      <c r="I22">
        <f>IF(C22="C99999",1,0)</f>
        <v/>
      </c>
      <c r="J22" s="5">
        <f>IF(OR(H22=1,I22=1),0,IF(G22="Credit",-F22,F22))</f>
        <v/>
      </c>
    </row>
    <row r="23">
      <c r="A23" t="inlineStr">
        <is>
          <t>2026-07-01</t>
        </is>
      </c>
      <c r="B23" t="inlineStr">
        <is>
          <t>F266690</t>
        </is>
      </c>
      <c r="C23" t="inlineStr">
        <is>
          <t>C10353</t>
        </is>
      </c>
      <c r="D23" t="inlineStr">
        <is>
          <t>SKU-10016</t>
        </is>
      </c>
      <c r="E23" t="inlineStr">
        <is>
          <t>AM02</t>
        </is>
      </c>
      <c r="F23" s="5" t="n">
        <v>2945.38</v>
      </c>
      <c r="G23">
        <f>IF(LEFT(B23,1)="C","Credit","Factuur")</f>
        <v/>
      </c>
      <c r="H23">
        <f>IF(AND(B23=B22,D23=D22,A23=A22,F23=F22),1,0)</f>
        <v/>
      </c>
      <c r="I23">
        <f>IF(C23="C99999",1,0)</f>
        <v/>
      </c>
      <c r="J23" s="5">
        <f>IF(OR(H23=1,I23=1),0,IF(G23="Credit",-F23,F23))</f>
        <v/>
      </c>
    </row>
    <row r="24">
      <c r="A24" t="inlineStr">
        <is>
          <t>2026-07-01</t>
        </is>
      </c>
      <c r="B24" t="inlineStr">
        <is>
          <t>F266690</t>
        </is>
      </c>
      <c r="C24" t="inlineStr">
        <is>
          <t>C10353</t>
        </is>
      </c>
      <c r="D24" t="inlineStr">
        <is>
          <t>SKU-10139</t>
        </is>
      </c>
      <c r="E24" t="inlineStr">
        <is>
          <t>AM02</t>
        </is>
      </c>
      <c r="F24" s="5" t="n">
        <v>2946.74</v>
      </c>
      <c r="G24">
        <f>IF(LEFT(B24,1)="C","Credit","Factuur")</f>
        <v/>
      </c>
      <c r="H24">
        <f>IF(AND(B24=B23,D24=D23,A24=A23,F24=F23),1,0)</f>
        <v/>
      </c>
      <c r="I24">
        <f>IF(C24="C99999",1,0)</f>
        <v/>
      </c>
      <c r="J24" s="5">
        <f>IF(OR(H24=1,I24=1),0,IF(G24="Credit",-F24,F24))</f>
        <v/>
      </c>
    </row>
    <row r="25">
      <c r="A25" t="inlineStr">
        <is>
          <t>2026-07-01</t>
        </is>
      </c>
      <c r="B25" t="inlineStr">
        <is>
          <t>F266690</t>
        </is>
      </c>
      <c r="C25" t="inlineStr">
        <is>
          <t>C10353</t>
        </is>
      </c>
      <c r="D25" t="inlineStr">
        <is>
          <t>SKU-10165</t>
        </is>
      </c>
      <c r="E25" t="inlineStr">
        <is>
          <t>AM02</t>
        </is>
      </c>
      <c r="F25" s="5" t="n">
        <v>2956.68</v>
      </c>
      <c r="G25">
        <f>IF(LEFT(B25,1)="C","Credit","Factuur")</f>
        <v/>
      </c>
      <c r="H25">
        <f>IF(AND(B25=B24,D25=D24,A25=A24,F25=F24),1,0)</f>
        <v/>
      </c>
      <c r="I25">
        <f>IF(C25="C99999",1,0)</f>
        <v/>
      </c>
      <c r="J25" s="5">
        <f>IF(OR(H25=1,I25=1),0,IF(G25="Credit",-F25,F25))</f>
        <v/>
      </c>
    </row>
    <row r="26">
      <c r="A26" t="inlineStr">
        <is>
          <t>2026-07-01</t>
        </is>
      </c>
      <c r="B26" t="inlineStr">
        <is>
          <t>F272541</t>
        </is>
      </c>
      <c r="C26" t="inlineStr">
        <is>
          <t>C10649</t>
        </is>
      </c>
      <c r="D26" t="inlineStr">
        <is>
          <t>SKU-10123</t>
        </is>
      </c>
      <c r="E26" t="inlineStr">
        <is>
          <t>AM02</t>
        </is>
      </c>
      <c r="F26" s="5" t="n">
        <v>329.84</v>
      </c>
      <c r="G26">
        <f>IF(LEFT(B26,1)="C","Credit","Factuur")</f>
        <v/>
      </c>
      <c r="H26">
        <f>IF(AND(B26=B25,D26=D25,A26=A25,F26=F25),1,0)</f>
        <v/>
      </c>
      <c r="I26">
        <f>IF(C26="C99999",1,0)</f>
        <v/>
      </c>
      <c r="J26" s="5">
        <f>IF(OR(H26=1,I26=1),0,IF(G26="Credit",-F26,F26))</f>
        <v/>
      </c>
    </row>
    <row r="27">
      <c r="A27" t="inlineStr">
        <is>
          <t>2026-07-01</t>
        </is>
      </c>
      <c r="B27" t="inlineStr">
        <is>
          <t>F272549</t>
        </is>
      </c>
      <c r="C27" t="inlineStr">
        <is>
          <t>C10650</t>
        </is>
      </c>
      <c r="D27" t="inlineStr">
        <is>
          <t>SKU-10076</t>
        </is>
      </c>
      <c r="E27" t="inlineStr">
        <is>
          <t>AM02</t>
        </is>
      </c>
      <c r="F27" s="5" t="n">
        <v>327.96</v>
      </c>
      <c r="G27">
        <f>IF(LEFT(B27,1)="C","Credit","Factuur")</f>
        <v/>
      </c>
      <c r="H27">
        <f>IF(AND(B27=B26,D27=D26,A27=A26,F27=F26),1,0)</f>
        <v/>
      </c>
      <c r="I27">
        <f>IF(C27="C99999",1,0)</f>
        <v/>
      </c>
      <c r="J27" s="5">
        <f>IF(OR(H27=1,I27=1),0,IF(G27="Credit",-F27,F27))</f>
        <v/>
      </c>
    </row>
    <row r="28">
      <c r="A28" t="inlineStr">
        <is>
          <t>2026-07-01</t>
        </is>
      </c>
      <c r="B28" t="inlineStr">
        <is>
          <t>F272549</t>
        </is>
      </c>
      <c r="C28" t="inlineStr">
        <is>
          <t>C10650</t>
        </is>
      </c>
      <c r="D28" t="inlineStr">
        <is>
          <t>SKU-10239</t>
        </is>
      </c>
      <c r="E28" t="inlineStr">
        <is>
          <t>AM02</t>
        </is>
      </c>
      <c r="F28" s="5" t="n">
        <v>296.14</v>
      </c>
      <c r="G28">
        <f>IF(LEFT(B28,1)="C","Credit","Factuur")</f>
        <v/>
      </c>
      <c r="H28">
        <f>IF(AND(B28=B27,D28=D27,A28=A27,F28=F27),1,0)</f>
        <v/>
      </c>
      <c r="I28">
        <f>IF(C28="C99999",1,0)</f>
        <v/>
      </c>
      <c r="J28" s="5">
        <f>IF(OR(H28=1,I28=1),0,IF(G28="Credit",-F28,F28))</f>
        <v/>
      </c>
    </row>
    <row r="29">
      <c r="A29" t="inlineStr">
        <is>
          <t>2026-07-01</t>
        </is>
      </c>
      <c r="B29" t="inlineStr">
        <is>
          <t>F272549</t>
        </is>
      </c>
      <c r="C29" t="inlineStr">
        <is>
          <t>C10650</t>
        </is>
      </c>
      <c r="D29" t="inlineStr">
        <is>
          <t>SKU-10248</t>
        </is>
      </c>
      <c r="E29" t="inlineStr">
        <is>
          <t>AM02</t>
        </is>
      </c>
      <c r="F29" s="5" t="n">
        <v>328.64</v>
      </c>
      <c r="G29">
        <f>IF(LEFT(B29,1)="C","Credit","Factuur")</f>
        <v/>
      </c>
      <c r="H29">
        <f>IF(AND(B29=B28,D29=D28,A29=A28,F29=F28),1,0)</f>
        <v/>
      </c>
      <c r="I29">
        <f>IF(C29="C99999",1,0)</f>
        <v/>
      </c>
      <c r="J29" s="5">
        <f>IF(OR(H29=1,I29=1),0,IF(G29="Credit",-F29,F29))</f>
        <v/>
      </c>
    </row>
    <row r="30">
      <c r="A30" t="inlineStr">
        <is>
          <t>2026-07-01</t>
        </is>
      </c>
      <c r="B30" t="inlineStr">
        <is>
          <t>F272549</t>
        </is>
      </c>
      <c r="C30" t="inlineStr">
        <is>
          <t>C10650</t>
        </is>
      </c>
      <c r="D30" t="inlineStr">
        <is>
          <t>SKU-10337</t>
        </is>
      </c>
      <c r="E30" t="inlineStr">
        <is>
          <t>AM02</t>
        </is>
      </c>
      <c r="F30" s="5" t="n">
        <v>292.27</v>
      </c>
      <c r="G30">
        <f>IF(LEFT(B30,1)="C","Credit","Factuur")</f>
        <v/>
      </c>
      <c r="H30">
        <f>IF(AND(B30=B29,D30=D29,A30=A29,F30=F29),1,0)</f>
        <v/>
      </c>
      <c r="I30">
        <f>IF(C30="C99999",1,0)</f>
        <v/>
      </c>
      <c r="J30" s="5">
        <f>IF(OR(H30=1,I30=1),0,IF(G30="Credit",-F30,F30))</f>
        <v/>
      </c>
    </row>
    <row r="31">
      <c r="A31" t="inlineStr">
        <is>
          <t>2026-07-01</t>
        </is>
      </c>
      <c r="B31" t="inlineStr">
        <is>
          <t>F272549</t>
        </is>
      </c>
      <c r="C31" t="inlineStr">
        <is>
          <t>C10650</t>
        </is>
      </c>
      <c r="D31" t="inlineStr">
        <is>
          <t>SKU-10341</t>
        </is>
      </c>
      <c r="E31" t="inlineStr">
        <is>
          <t>AM02</t>
        </is>
      </c>
      <c r="F31" s="5" t="n">
        <v>321.92</v>
      </c>
      <c r="G31">
        <f>IF(LEFT(B31,1)="C","Credit","Factuur")</f>
        <v/>
      </c>
      <c r="H31">
        <f>IF(AND(B31=B30,D31=D30,A31=A30,F31=F30),1,0)</f>
        <v/>
      </c>
      <c r="I31">
        <f>IF(C31="C99999",1,0)</f>
        <v/>
      </c>
      <c r="J31" s="5">
        <f>IF(OR(H31=1,I31=1),0,IF(G31="Credit",-F31,F31))</f>
        <v/>
      </c>
    </row>
    <row r="32">
      <c r="A32" t="inlineStr">
        <is>
          <t>2026-07-01</t>
        </is>
      </c>
      <c r="B32" t="inlineStr">
        <is>
          <t>F274038</t>
        </is>
      </c>
      <c r="C32" t="inlineStr">
        <is>
          <t>C10740</t>
        </is>
      </c>
      <c r="D32" t="inlineStr">
        <is>
          <t>SKU-10100</t>
        </is>
      </c>
      <c r="E32" t="inlineStr">
        <is>
          <t>AM11</t>
        </is>
      </c>
      <c r="F32" s="5" t="n">
        <v>1425.68</v>
      </c>
      <c r="G32">
        <f>IF(LEFT(B32,1)="C","Credit","Factuur")</f>
        <v/>
      </c>
      <c r="H32">
        <f>IF(AND(B32=B31,D32=D31,A32=A31,F32=F31),1,0)</f>
        <v/>
      </c>
      <c r="I32">
        <f>IF(C32="C99999",1,0)</f>
        <v/>
      </c>
      <c r="J32" s="5">
        <f>IF(OR(H32=1,I32=1),0,IF(G32="Credit",-F32,F32))</f>
        <v/>
      </c>
    </row>
    <row r="33">
      <c r="A33" t="inlineStr">
        <is>
          <t>2026-07-01</t>
        </is>
      </c>
      <c r="B33" t="inlineStr">
        <is>
          <t>F274038</t>
        </is>
      </c>
      <c r="C33" t="inlineStr">
        <is>
          <t>C10740</t>
        </is>
      </c>
      <c r="D33" t="inlineStr">
        <is>
          <t>SKU-10257</t>
        </is>
      </c>
      <c r="E33" t="inlineStr">
        <is>
          <t>AM11</t>
        </is>
      </c>
      <c r="F33" s="5" t="n">
        <v>1362.28</v>
      </c>
      <c r="G33">
        <f>IF(LEFT(B33,1)="C","Credit","Factuur")</f>
        <v/>
      </c>
      <c r="H33">
        <f>IF(AND(B33=B32,D33=D32,A33=A32,F33=F32),1,0)</f>
        <v/>
      </c>
      <c r="I33">
        <f>IF(C33="C99999",1,0)</f>
        <v/>
      </c>
      <c r="J33" s="5">
        <f>IF(OR(H33=1,I33=1),0,IF(G33="Credit",-F33,F33))</f>
        <v/>
      </c>
    </row>
    <row r="34">
      <c r="A34" t="inlineStr">
        <is>
          <t>2026-07-01</t>
        </is>
      </c>
      <c r="B34" t="inlineStr">
        <is>
          <t>F274845</t>
        </is>
      </c>
      <c r="C34" t="inlineStr">
        <is>
          <t>C10785</t>
        </is>
      </c>
      <c r="D34" t="inlineStr">
        <is>
          <t>SKU-10006</t>
        </is>
      </c>
      <c r="E34" t="inlineStr">
        <is>
          <t>AM11</t>
        </is>
      </c>
      <c r="F34" s="5" t="n">
        <v>61.25</v>
      </c>
      <c r="G34">
        <f>IF(LEFT(B34,1)="C","Credit","Factuur")</f>
        <v/>
      </c>
      <c r="H34">
        <f>IF(AND(B34=B33,D34=D33,A34=A33,F34=F33),1,0)</f>
        <v/>
      </c>
      <c r="I34">
        <f>IF(C34="C99999",1,0)</f>
        <v/>
      </c>
      <c r="J34" s="5">
        <f>IF(OR(H34=1,I34=1),0,IF(G34="Credit",-F34,F34))</f>
        <v/>
      </c>
    </row>
    <row r="35">
      <c r="A35" t="inlineStr">
        <is>
          <t>2026-07-01</t>
        </is>
      </c>
      <c r="B35" t="inlineStr">
        <is>
          <t>F274845</t>
        </is>
      </c>
      <c r="C35" t="inlineStr">
        <is>
          <t>C10785</t>
        </is>
      </c>
      <c r="D35" t="inlineStr">
        <is>
          <t>SKU-10061</t>
        </is>
      </c>
      <c r="E35" t="inlineStr">
        <is>
          <t>AM11</t>
        </is>
      </c>
      <c r="F35" s="5" t="n">
        <v>71.81999999999999</v>
      </c>
      <c r="G35">
        <f>IF(LEFT(B35,1)="C","Credit","Factuur")</f>
        <v/>
      </c>
      <c r="H35">
        <f>IF(AND(B35=B34,D35=D34,A35=A34,F35=F34),1,0)</f>
        <v/>
      </c>
      <c r="I35">
        <f>IF(C35="C99999",1,0)</f>
        <v/>
      </c>
      <c r="J35" s="5">
        <f>IF(OR(H35=1,I35=1),0,IF(G35="Credit",-F35,F35))</f>
        <v/>
      </c>
    </row>
    <row r="36">
      <c r="A36" t="inlineStr">
        <is>
          <t>2026-07-01</t>
        </is>
      </c>
      <c r="B36" t="inlineStr">
        <is>
          <t>F274845</t>
        </is>
      </c>
      <c r="C36" t="inlineStr">
        <is>
          <t>C10785</t>
        </is>
      </c>
      <c r="D36" t="inlineStr">
        <is>
          <t>SKU-10275</t>
        </is>
      </c>
      <c r="E36" t="inlineStr">
        <is>
          <t>AM11</t>
        </is>
      </c>
      <c r="F36" s="5" t="n">
        <v>65.66</v>
      </c>
      <c r="G36">
        <f>IF(LEFT(B36,1)="C","Credit","Factuur")</f>
        <v/>
      </c>
      <c r="H36">
        <f>IF(AND(B36=B35,D36=D35,A36=A35,F36=F35),1,0)</f>
        <v/>
      </c>
      <c r="I36">
        <f>IF(C36="C99999",1,0)</f>
        <v/>
      </c>
      <c r="J36" s="5">
        <f>IF(OR(H36=1,I36=1),0,IF(G36="Credit",-F36,F36))</f>
        <v/>
      </c>
    </row>
    <row r="37">
      <c r="A37" t="inlineStr">
        <is>
          <t>2026-07-01</t>
        </is>
      </c>
      <c r="B37" t="inlineStr">
        <is>
          <t>F275484</t>
        </is>
      </c>
      <c r="C37" t="inlineStr">
        <is>
          <t>C10819</t>
        </is>
      </c>
      <c r="D37" t="inlineStr">
        <is>
          <t>SKU-10100</t>
        </is>
      </c>
      <c r="E37" t="inlineStr">
        <is>
          <t>AM03</t>
        </is>
      </c>
      <c r="F37" s="5" t="n">
        <v>548.34</v>
      </c>
      <c r="G37">
        <f>IF(LEFT(B37,1)="C","Credit","Factuur")</f>
        <v/>
      </c>
      <c r="H37">
        <f>IF(AND(B37=B36,D37=D36,A37=A36,F37=F36),1,0)</f>
        <v/>
      </c>
      <c r="I37">
        <f>IF(C37="C99999",1,0)</f>
        <v/>
      </c>
      <c r="J37" s="5">
        <f>IF(OR(H37=1,I37=1),0,IF(G37="Credit",-F37,F37))</f>
        <v/>
      </c>
    </row>
    <row r="38">
      <c r="A38" t="inlineStr">
        <is>
          <t>2026-07-01</t>
        </is>
      </c>
      <c r="B38" t="inlineStr">
        <is>
          <t>F275484</t>
        </is>
      </c>
      <c r="C38" t="inlineStr">
        <is>
          <t>C10819</t>
        </is>
      </c>
      <c r="D38" t="inlineStr">
        <is>
          <t>SKU-10154</t>
        </is>
      </c>
      <c r="E38" t="inlineStr">
        <is>
          <t>AM03</t>
        </is>
      </c>
      <c r="F38" s="5" t="n">
        <v>513.51</v>
      </c>
      <c r="G38">
        <f>IF(LEFT(B38,1)="C","Credit","Factuur")</f>
        <v/>
      </c>
      <c r="H38">
        <f>IF(AND(B38=B37,D38=D37,A38=A37,F38=F37),1,0)</f>
        <v/>
      </c>
      <c r="I38">
        <f>IF(C38="C99999",1,0)</f>
        <v/>
      </c>
      <c r="J38" s="5">
        <f>IF(OR(H38=1,I38=1),0,IF(G38="Credit",-F38,F38))</f>
        <v/>
      </c>
    </row>
    <row r="39">
      <c r="A39" t="inlineStr">
        <is>
          <t>2026-07-01</t>
        </is>
      </c>
      <c r="B39" t="inlineStr">
        <is>
          <t>F275484</t>
        </is>
      </c>
      <c r="C39" t="inlineStr">
        <is>
          <t>C10819</t>
        </is>
      </c>
      <c r="D39" t="inlineStr">
        <is>
          <t>SKU-10175</t>
        </is>
      </c>
      <c r="E39" t="inlineStr">
        <is>
          <t>AM03</t>
        </is>
      </c>
      <c r="F39" s="5" t="n">
        <v>542.66</v>
      </c>
      <c r="G39">
        <f>IF(LEFT(B39,1)="C","Credit","Factuur")</f>
        <v/>
      </c>
      <c r="H39">
        <f>IF(AND(B39=B38,D39=D38,A39=A38,F39=F38),1,0)</f>
        <v/>
      </c>
      <c r="I39">
        <f>IF(C39="C99999",1,0)</f>
        <v/>
      </c>
      <c r="J39" s="5">
        <f>IF(OR(H39=1,I39=1),0,IF(G39="Credit",-F39,F39))</f>
        <v/>
      </c>
    </row>
    <row r="40">
      <c r="A40" t="inlineStr">
        <is>
          <t>2026-07-01</t>
        </is>
      </c>
      <c r="B40" t="inlineStr">
        <is>
          <t>F275500</t>
        </is>
      </c>
      <c r="C40" t="inlineStr">
        <is>
          <t>C10820</t>
        </is>
      </c>
      <c r="D40" t="inlineStr">
        <is>
          <t>SKU-10071</t>
        </is>
      </c>
      <c r="E40" t="inlineStr">
        <is>
          <t>AM02</t>
        </is>
      </c>
      <c r="F40" s="5" t="n">
        <v>342.17</v>
      </c>
      <c r="G40">
        <f>IF(LEFT(B40,1)="C","Credit","Factuur")</f>
        <v/>
      </c>
      <c r="H40">
        <f>IF(AND(B40=B39,D40=D39,A40=A39,F40=F39),1,0)</f>
        <v/>
      </c>
      <c r="I40">
        <f>IF(C40="C99999",1,0)</f>
        <v/>
      </c>
      <c r="J40" s="5">
        <f>IF(OR(H40=1,I40=1),0,IF(G40="Credit",-F40,F40))</f>
        <v/>
      </c>
    </row>
    <row r="41">
      <c r="A41" t="inlineStr">
        <is>
          <t>2026-07-01</t>
        </is>
      </c>
      <c r="B41" t="inlineStr">
        <is>
          <t>F275500</t>
        </is>
      </c>
      <c r="C41" t="inlineStr">
        <is>
          <t>C10820</t>
        </is>
      </c>
      <c r="D41" t="inlineStr">
        <is>
          <t>SKU-10072</t>
        </is>
      </c>
      <c r="E41" t="inlineStr">
        <is>
          <t>AM02</t>
        </is>
      </c>
      <c r="F41" s="5" t="n">
        <v>347.33</v>
      </c>
      <c r="G41">
        <f>IF(LEFT(B41,1)="C","Credit","Factuur")</f>
        <v/>
      </c>
      <c r="H41">
        <f>IF(AND(B41=B40,D41=D40,A41=A40,F41=F40),1,0)</f>
        <v/>
      </c>
      <c r="I41">
        <f>IF(C41="C99999",1,0)</f>
        <v/>
      </c>
      <c r="J41" s="5">
        <f>IF(OR(H41=1,I41=1),0,IF(G41="Credit",-F41,F41))</f>
        <v/>
      </c>
    </row>
    <row r="42">
      <c r="A42" t="inlineStr">
        <is>
          <t>2026-07-01</t>
        </is>
      </c>
      <c r="B42" t="inlineStr">
        <is>
          <t>F275500</t>
        </is>
      </c>
      <c r="C42" t="inlineStr">
        <is>
          <t>C10820</t>
        </is>
      </c>
      <c r="D42" t="inlineStr">
        <is>
          <t>SKU-10269</t>
        </is>
      </c>
      <c r="E42" t="inlineStr">
        <is>
          <t>AM02</t>
        </is>
      </c>
      <c r="F42" s="5" t="n">
        <v>375.18</v>
      </c>
      <c r="G42">
        <f>IF(LEFT(B42,1)="C","Credit","Factuur")</f>
        <v/>
      </c>
      <c r="H42">
        <f>IF(AND(B42=B41,D42=D41,A42=A41,F42=F41),1,0)</f>
        <v/>
      </c>
      <c r="I42">
        <f>IF(C42="C99999",1,0)</f>
        <v/>
      </c>
      <c r="J42" s="5">
        <f>IF(OR(H42=1,I42=1),0,IF(G42="Credit",-F42,F42))</f>
        <v/>
      </c>
    </row>
    <row r="43">
      <c r="A43" t="inlineStr">
        <is>
          <t>2026-07-01</t>
        </is>
      </c>
      <c r="B43" t="inlineStr">
        <is>
          <t>F275500</t>
        </is>
      </c>
      <c r="C43" t="inlineStr">
        <is>
          <t>C10820</t>
        </is>
      </c>
      <c r="D43" t="inlineStr">
        <is>
          <t>SKU-10287</t>
        </is>
      </c>
      <c r="E43" t="inlineStr">
        <is>
          <t>AM02</t>
        </is>
      </c>
      <c r="F43" s="5" t="n">
        <v>344.46</v>
      </c>
      <c r="G43">
        <f>IF(LEFT(B43,1)="C","Credit","Factuur")</f>
        <v/>
      </c>
      <c r="H43">
        <f>IF(AND(B43=B42,D43=D42,A43=A42,F43=F42),1,0)</f>
        <v/>
      </c>
      <c r="I43">
        <f>IF(C43="C99999",1,0)</f>
        <v/>
      </c>
      <c r="J43" s="5">
        <f>IF(OR(H43=1,I43=1),0,IF(G43="Credit",-F43,F43))</f>
        <v/>
      </c>
    </row>
    <row r="44">
      <c r="A44" t="inlineStr">
        <is>
          <t>2026-07-01</t>
        </is>
      </c>
      <c r="B44" t="inlineStr">
        <is>
          <t>F275500</t>
        </is>
      </c>
      <c r="C44" t="inlineStr">
        <is>
          <t>C10820</t>
        </is>
      </c>
      <c r="D44" t="inlineStr">
        <is>
          <t>SKU-10380</t>
        </is>
      </c>
      <c r="E44" t="inlineStr">
        <is>
          <t>AM02</t>
        </is>
      </c>
      <c r="F44" s="5" t="n">
        <v>364.14</v>
      </c>
      <c r="G44">
        <f>IF(LEFT(B44,1)="C","Credit","Factuur")</f>
        <v/>
      </c>
      <c r="H44">
        <f>IF(AND(B44=B43,D44=D43,A44=A43,F44=F43),1,0)</f>
        <v/>
      </c>
      <c r="I44">
        <f>IF(C44="C99999",1,0)</f>
        <v/>
      </c>
      <c r="J44" s="5">
        <f>IF(OR(H44=1,I44=1),0,IF(G44="Credit",-F44,F44))</f>
        <v/>
      </c>
    </row>
    <row r="45">
      <c r="A45" t="inlineStr">
        <is>
          <t>2026-07-01</t>
        </is>
      </c>
      <c r="B45" t="inlineStr">
        <is>
          <t>F275656</t>
        </is>
      </c>
      <c r="C45" t="inlineStr">
        <is>
          <t>C10829</t>
        </is>
      </c>
      <c r="D45" t="inlineStr">
        <is>
          <t>SKU-10079</t>
        </is>
      </c>
      <c r="E45" t="inlineStr">
        <is>
          <t>AM05</t>
        </is>
      </c>
      <c r="F45" s="5" t="n">
        <v>1109.71</v>
      </c>
      <c r="G45">
        <f>IF(LEFT(B45,1)="C","Credit","Factuur")</f>
        <v/>
      </c>
      <c r="H45">
        <f>IF(AND(B45=B44,D45=D44,A45=A44,F45=F44),1,0)</f>
        <v/>
      </c>
      <c r="I45">
        <f>IF(C45="C99999",1,0)</f>
        <v/>
      </c>
      <c r="J45" s="5">
        <f>IF(OR(H45=1,I45=1),0,IF(G45="Credit",-F45,F45))</f>
        <v/>
      </c>
    </row>
    <row r="46">
      <c r="A46" t="inlineStr">
        <is>
          <t>2026-07-01</t>
        </is>
      </c>
      <c r="B46" t="inlineStr">
        <is>
          <t>F275656</t>
        </is>
      </c>
      <c r="C46" t="inlineStr">
        <is>
          <t>C10829</t>
        </is>
      </c>
      <c r="D46" t="inlineStr">
        <is>
          <t>SKU-10141</t>
        </is>
      </c>
      <c r="E46" t="inlineStr">
        <is>
          <t>AM05</t>
        </is>
      </c>
      <c r="F46" s="5" t="n">
        <v>1027.05</v>
      </c>
      <c r="G46">
        <f>IF(LEFT(B46,1)="C","Credit","Factuur")</f>
        <v/>
      </c>
      <c r="H46">
        <f>IF(AND(B46=B45,D46=D45,A46=A45,F46=F45),1,0)</f>
        <v/>
      </c>
      <c r="I46">
        <f>IF(C46="C99999",1,0)</f>
        <v/>
      </c>
      <c r="J46" s="5">
        <f>IF(OR(H46=1,I46=1),0,IF(G46="Credit",-F46,F46))</f>
        <v/>
      </c>
    </row>
    <row r="47">
      <c r="A47" t="inlineStr">
        <is>
          <t>2026-07-01</t>
        </is>
      </c>
      <c r="B47" t="inlineStr">
        <is>
          <t>F275780</t>
        </is>
      </c>
      <c r="C47" t="inlineStr">
        <is>
          <t>C10835</t>
        </is>
      </c>
      <c r="D47" t="inlineStr">
        <is>
          <t>SKU-10125</t>
        </is>
      </c>
      <c r="E47" t="inlineStr">
        <is>
          <t>AM03</t>
        </is>
      </c>
      <c r="F47" s="5" t="n">
        <v>1923.93</v>
      </c>
      <c r="G47">
        <f>IF(LEFT(B47,1)="C","Credit","Factuur")</f>
        <v/>
      </c>
      <c r="H47">
        <f>IF(AND(B47=B46,D47=D46,A47=A46,F47=F46),1,0)</f>
        <v/>
      </c>
      <c r="I47">
        <f>IF(C47="C99999",1,0)</f>
        <v/>
      </c>
      <c r="J47" s="5">
        <f>IF(OR(H47=1,I47=1),0,IF(G47="Credit",-F47,F47))</f>
        <v/>
      </c>
    </row>
    <row r="48">
      <c r="A48" t="inlineStr">
        <is>
          <t>2026-07-01</t>
        </is>
      </c>
      <c r="B48" t="inlineStr">
        <is>
          <t>F276936</t>
        </is>
      </c>
      <c r="C48" t="inlineStr">
        <is>
          <t>C10898</t>
        </is>
      </c>
      <c r="D48" t="inlineStr">
        <is>
          <t>SKU-10289</t>
        </is>
      </c>
      <c r="E48" t="inlineStr">
        <is>
          <t>AM03</t>
        </is>
      </c>
      <c r="F48" s="5" t="n">
        <v>460.68</v>
      </c>
      <c r="G48">
        <f>IF(LEFT(B48,1)="C","Credit","Factuur")</f>
        <v/>
      </c>
      <c r="H48">
        <f>IF(AND(B48=B47,D48=D47,A48=A47,F48=F47),1,0)</f>
        <v/>
      </c>
      <c r="I48">
        <f>IF(C48="C99999",1,0)</f>
        <v/>
      </c>
      <c r="J48" s="5">
        <f>IF(OR(H48=1,I48=1),0,IF(G48="Credit",-F48,F48))</f>
        <v/>
      </c>
    </row>
    <row r="49">
      <c r="A49" t="inlineStr">
        <is>
          <t>2026-07-01</t>
        </is>
      </c>
      <c r="B49" t="inlineStr">
        <is>
          <t>F276936</t>
        </is>
      </c>
      <c r="C49" t="inlineStr">
        <is>
          <t>C10898</t>
        </is>
      </c>
      <c r="D49" t="inlineStr">
        <is>
          <t>SKU-10328</t>
        </is>
      </c>
      <c r="E49" t="inlineStr">
        <is>
          <t>AM03</t>
        </is>
      </c>
      <c r="F49" s="5" t="n">
        <v>415.49</v>
      </c>
      <c r="G49">
        <f>IF(LEFT(B49,1)="C","Credit","Factuur")</f>
        <v/>
      </c>
      <c r="H49">
        <f>IF(AND(B49=B48,D49=D48,A49=A48,F49=F48),1,0)</f>
        <v/>
      </c>
      <c r="I49">
        <f>IF(C49="C99999",1,0)</f>
        <v/>
      </c>
      <c r="J49" s="5">
        <f>IF(OR(H49=1,I49=1),0,IF(G49="Credit",-F49,F49))</f>
        <v/>
      </c>
    </row>
    <row r="50">
      <c r="A50" t="inlineStr">
        <is>
          <t>2026-07-01</t>
        </is>
      </c>
      <c r="B50" t="inlineStr">
        <is>
          <t>F276936</t>
        </is>
      </c>
      <c r="C50" t="inlineStr">
        <is>
          <t>C10898</t>
        </is>
      </c>
      <c r="D50" t="inlineStr">
        <is>
          <t>SKU-10374</t>
        </is>
      </c>
      <c r="E50" t="inlineStr">
        <is>
          <t>AM03</t>
        </is>
      </c>
      <c r="F50" s="5" t="n">
        <v>495.48</v>
      </c>
      <c r="G50">
        <f>IF(LEFT(B50,1)="C","Credit","Factuur")</f>
        <v/>
      </c>
      <c r="H50">
        <f>IF(AND(B50=B49,D50=D49,A50=A49,F50=F49),1,0)</f>
        <v/>
      </c>
      <c r="I50">
        <f>IF(C50="C99999",1,0)</f>
        <v/>
      </c>
      <c r="J50" s="5">
        <f>IF(OR(H50=1,I50=1),0,IF(G50="Credit",-F50,F50))</f>
        <v/>
      </c>
    </row>
    <row r="51">
      <c r="A51" t="inlineStr">
        <is>
          <t>2026-07-01</t>
        </is>
      </c>
      <c r="B51" t="inlineStr">
        <is>
          <t>F277208</t>
        </is>
      </c>
      <c r="C51" t="inlineStr">
        <is>
          <t>C10914</t>
        </is>
      </c>
      <c r="D51" t="inlineStr">
        <is>
          <t>SKU-10050</t>
        </is>
      </c>
      <c r="E51" t="inlineStr">
        <is>
          <t>AM01</t>
        </is>
      </c>
      <c r="F51" s="5" t="n">
        <v>101.52</v>
      </c>
      <c r="G51">
        <f>IF(LEFT(B51,1)="C","Credit","Factuur")</f>
        <v/>
      </c>
      <c r="H51">
        <f>IF(AND(B51=B50,D51=D50,A51=A50,F51=F50),1,0)</f>
        <v/>
      </c>
      <c r="I51">
        <f>IF(C51="C99999",1,0)</f>
        <v/>
      </c>
      <c r="J51" s="5">
        <f>IF(OR(H51=1,I51=1),0,IF(G51="Credit",-F51,F51))</f>
        <v/>
      </c>
    </row>
    <row r="52">
      <c r="A52" t="inlineStr">
        <is>
          <t>2026-07-01</t>
        </is>
      </c>
      <c r="B52" t="inlineStr">
        <is>
          <t>F277208</t>
        </is>
      </c>
      <c r="C52" t="inlineStr">
        <is>
          <t>C10914</t>
        </is>
      </c>
      <c r="D52" t="inlineStr">
        <is>
          <t>SKU-10087</t>
        </is>
      </c>
      <c r="E52" t="inlineStr">
        <is>
          <t>AM01</t>
        </is>
      </c>
      <c r="F52" s="5" t="n">
        <v>86.02</v>
      </c>
      <c r="G52">
        <f>IF(LEFT(B52,1)="C","Credit","Factuur")</f>
        <v/>
      </c>
      <c r="H52">
        <f>IF(AND(B52=B51,D52=D51,A52=A51,F52=F51),1,0)</f>
        <v/>
      </c>
      <c r="I52">
        <f>IF(C52="C99999",1,0)</f>
        <v/>
      </c>
      <c r="J52" s="5">
        <f>IF(OR(H52=1,I52=1),0,IF(G52="Credit",-F52,F52))</f>
        <v/>
      </c>
    </row>
    <row r="53">
      <c r="A53" t="inlineStr">
        <is>
          <t>2026-07-01</t>
        </is>
      </c>
      <c r="B53" t="inlineStr">
        <is>
          <t>F277208</t>
        </is>
      </c>
      <c r="C53" t="inlineStr">
        <is>
          <t>C10914</t>
        </is>
      </c>
      <c r="D53" t="inlineStr">
        <is>
          <t>SKU-10154</t>
        </is>
      </c>
      <c r="E53" t="inlineStr">
        <is>
          <t>AM01</t>
        </is>
      </c>
      <c r="F53" s="5" t="n">
        <v>98.28</v>
      </c>
      <c r="G53">
        <f>IF(LEFT(B53,1)="C","Credit","Factuur")</f>
        <v/>
      </c>
      <c r="H53">
        <f>IF(AND(B53=B52,D53=D52,A53=A52,F53=F52),1,0)</f>
        <v/>
      </c>
      <c r="I53">
        <f>IF(C53="C99999",1,0)</f>
        <v/>
      </c>
      <c r="J53" s="5">
        <f>IF(OR(H53=1,I53=1),0,IF(G53="Credit",-F53,F53))</f>
        <v/>
      </c>
    </row>
    <row r="54">
      <c r="A54" t="inlineStr">
        <is>
          <t>2026-07-01</t>
        </is>
      </c>
      <c r="B54" t="inlineStr">
        <is>
          <t>F277208</t>
        </is>
      </c>
      <c r="C54" t="inlineStr">
        <is>
          <t>C10914</t>
        </is>
      </c>
      <c r="D54" t="inlineStr">
        <is>
          <t>SKU-10203</t>
        </is>
      </c>
      <c r="E54" t="inlineStr">
        <is>
          <t>AM01</t>
        </is>
      </c>
      <c r="F54" s="5" t="n">
        <v>84.7</v>
      </c>
      <c r="G54">
        <f>IF(LEFT(B54,1)="C","Credit","Factuur")</f>
        <v/>
      </c>
      <c r="H54">
        <f>IF(AND(B54=B53,D54=D53,A54=A53,F54=F53),1,0)</f>
        <v/>
      </c>
      <c r="I54">
        <f>IF(C54="C99999",1,0)</f>
        <v/>
      </c>
      <c r="J54" s="5">
        <f>IF(OR(H54=1,I54=1),0,IF(G54="Credit",-F54,F54))</f>
        <v/>
      </c>
    </row>
    <row r="55">
      <c r="A55" t="inlineStr">
        <is>
          <t>2026-07-01</t>
        </is>
      </c>
      <c r="B55" t="inlineStr">
        <is>
          <t>F278643</t>
        </is>
      </c>
      <c r="C55" t="inlineStr">
        <is>
          <t>C10987</t>
        </is>
      </c>
      <c r="D55" t="inlineStr">
        <is>
          <t>SKU-10046</t>
        </is>
      </c>
      <c r="E55" t="inlineStr">
        <is>
          <t>AM06</t>
        </is>
      </c>
      <c r="F55" s="5" t="n">
        <v>269.84</v>
      </c>
      <c r="G55">
        <f>IF(LEFT(B55,1)="C","Credit","Factuur")</f>
        <v/>
      </c>
      <c r="H55">
        <f>IF(AND(B55=B54,D55=D54,A55=A54,F55=F54),1,0)</f>
        <v/>
      </c>
      <c r="I55">
        <f>IF(C55="C99999",1,0)</f>
        <v/>
      </c>
      <c r="J55" s="5">
        <f>IF(OR(H55=1,I55=1),0,IF(G55="Credit",-F55,F55))</f>
        <v/>
      </c>
    </row>
    <row r="56">
      <c r="A56" t="inlineStr">
        <is>
          <t>2026-07-01</t>
        </is>
      </c>
      <c r="B56" t="inlineStr">
        <is>
          <t>F278643</t>
        </is>
      </c>
      <c r="C56" t="inlineStr">
        <is>
          <t>C10987</t>
        </is>
      </c>
      <c r="D56" t="inlineStr">
        <is>
          <t>SKU-10173</t>
        </is>
      </c>
      <c r="E56" t="inlineStr">
        <is>
          <t>AM06</t>
        </is>
      </c>
      <c r="F56" s="5" t="n">
        <v>265.52</v>
      </c>
      <c r="G56">
        <f>IF(LEFT(B56,1)="C","Credit","Factuur")</f>
        <v/>
      </c>
      <c r="H56">
        <f>IF(AND(B56=B55,D56=D55,A56=A55,F56=F55),1,0)</f>
        <v/>
      </c>
      <c r="I56">
        <f>IF(C56="C99999",1,0)</f>
        <v/>
      </c>
      <c r="J56" s="5">
        <f>IF(OR(H56=1,I56=1),0,IF(G56="Credit",-F56,F56))</f>
        <v/>
      </c>
    </row>
    <row r="57">
      <c r="A57" t="inlineStr">
        <is>
          <t>2026-07-01</t>
        </is>
      </c>
      <c r="B57" t="inlineStr">
        <is>
          <t>F278864</t>
        </is>
      </c>
      <c r="C57" t="inlineStr">
        <is>
          <t>C10999</t>
        </is>
      </c>
      <c r="D57" t="inlineStr">
        <is>
          <t>SKU-10005</t>
        </is>
      </c>
      <c r="E57" t="inlineStr">
        <is>
          <t>AM03</t>
        </is>
      </c>
      <c r="F57" s="5" t="n">
        <v>417.31</v>
      </c>
      <c r="G57">
        <f>IF(LEFT(B57,1)="C","Credit","Factuur")</f>
        <v/>
      </c>
      <c r="H57">
        <f>IF(AND(B57=B56,D57=D56,A57=A56,F57=F56),1,0)</f>
        <v/>
      </c>
      <c r="I57">
        <f>IF(C57="C99999",1,0)</f>
        <v/>
      </c>
      <c r="J57" s="5">
        <f>IF(OR(H57=1,I57=1),0,IF(G57="Credit",-F57,F57))</f>
        <v/>
      </c>
    </row>
    <row r="58">
      <c r="A58" t="inlineStr">
        <is>
          <t>2026-07-01</t>
        </is>
      </c>
      <c r="B58" t="inlineStr">
        <is>
          <t>F278864</t>
        </is>
      </c>
      <c r="C58" t="inlineStr">
        <is>
          <t>C10999</t>
        </is>
      </c>
      <c r="D58" t="inlineStr">
        <is>
          <t>SKU-10296</t>
        </is>
      </c>
      <c r="E58" t="inlineStr">
        <is>
          <t>AM03</t>
        </is>
      </c>
      <c r="F58" s="5" t="n">
        <v>384.03</v>
      </c>
      <c r="G58">
        <f>IF(LEFT(B58,1)="C","Credit","Factuur")</f>
        <v/>
      </c>
      <c r="H58">
        <f>IF(AND(B58=B57,D58=D57,A58=A57,F58=F57),1,0)</f>
        <v/>
      </c>
      <c r="I58">
        <f>IF(C58="C99999",1,0)</f>
        <v/>
      </c>
      <c r="J58" s="5">
        <f>IF(OR(H58=1,I58=1),0,IF(G58="Credit",-F58,F58))</f>
        <v/>
      </c>
    </row>
    <row r="59">
      <c r="A59" t="inlineStr">
        <is>
          <t>2026-07-01</t>
        </is>
      </c>
      <c r="B59" t="inlineStr">
        <is>
          <t>F279384</t>
        </is>
      </c>
      <c r="C59" t="inlineStr">
        <is>
          <t>C11028</t>
        </is>
      </c>
      <c r="D59" t="inlineStr">
        <is>
          <t>SKU-10099</t>
        </is>
      </c>
      <c r="E59" t="inlineStr">
        <is>
          <t>AM06</t>
        </is>
      </c>
      <c r="F59" s="5" t="n">
        <v>247.52</v>
      </c>
      <c r="G59">
        <f>IF(LEFT(B59,1)="C","Credit","Factuur")</f>
        <v/>
      </c>
      <c r="H59">
        <f>IF(AND(B59=B58,D59=D58,A59=A58,F59=F58),1,0)</f>
        <v/>
      </c>
      <c r="I59">
        <f>IF(C59="C99999",1,0)</f>
        <v/>
      </c>
      <c r="J59" s="5">
        <f>IF(OR(H59=1,I59=1),0,IF(G59="Credit",-F59,F59))</f>
        <v/>
      </c>
    </row>
    <row r="60">
      <c r="A60" t="inlineStr">
        <is>
          <t>2026-07-01</t>
        </is>
      </c>
      <c r="B60" t="inlineStr">
        <is>
          <t>F279384</t>
        </is>
      </c>
      <c r="C60" t="inlineStr">
        <is>
          <t>C11028</t>
        </is>
      </c>
      <c r="D60" t="inlineStr">
        <is>
          <t>SKU-10163</t>
        </is>
      </c>
      <c r="E60" t="inlineStr">
        <is>
          <t>AM06</t>
        </is>
      </c>
      <c r="F60" s="5" t="n">
        <v>320.76</v>
      </c>
      <c r="G60">
        <f>IF(LEFT(B60,1)="C","Credit","Factuur")</f>
        <v/>
      </c>
      <c r="H60">
        <f>IF(AND(B60=B59,D60=D59,A60=A59,F60=F59),1,0)</f>
        <v/>
      </c>
      <c r="I60">
        <f>IF(C60="C99999",1,0)</f>
        <v/>
      </c>
      <c r="J60" s="5">
        <f>IF(OR(H60=1,I60=1),0,IF(G60="Credit",-F60,F60))</f>
        <v/>
      </c>
    </row>
    <row r="61">
      <c r="A61" t="inlineStr">
        <is>
          <t>2026-07-01</t>
        </is>
      </c>
      <c r="B61" t="inlineStr">
        <is>
          <t>F279384</t>
        </is>
      </c>
      <c r="C61" t="inlineStr">
        <is>
          <t>C11028</t>
        </is>
      </c>
      <c r="D61" t="inlineStr">
        <is>
          <t>SKU-10261</t>
        </is>
      </c>
      <c r="E61" t="inlineStr">
        <is>
          <t>AM06</t>
        </is>
      </c>
      <c r="F61" s="5" t="n">
        <v>283.43</v>
      </c>
      <c r="G61">
        <f>IF(LEFT(B61,1)="C","Credit","Factuur")</f>
        <v/>
      </c>
      <c r="H61">
        <f>IF(AND(B61=B60,D61=D60,A61=A60,F61=F60),1,0)</f>
        <v/>
      </c>
      <c r="I61">
        <f>IF(C61="C99999",1,0)</f>
        <v/>
      </c>
      <c r="J61" s="5">
        <f>IF(OR(H61=1,I61=1),0,IF(G61="Credit",-F61,F61))</f>
        <v/>
      </c>
    </row>
    <row r="62">
      <c r="A62" t="inlineStr">
        <is>
          <t>2026-07-01</t>
        </is>
      </c>
      <c r="B62" t="inlineStr">
        <is>
          <t>F279384</t>
        </is>
      </c>
      <c r="C62" t="inlineStr">
        <is>
          <t>C11028</t>
        </is>
      </c>
      <c r="D62" t="inlineStr">
        <is>
          <t>SKU-10285</t>
        </is>
      </c>
      <c r="E62" t="inlineStr">
        <is>
          <t>AM06</t>
        </is>
      </c>
      <c r="F62" s="5" t="n">
        <v>325.38</v>
      </c>
      <c r="G62">
        <f>IF(LEFT(B62,1)="C","Credit","Factuur")</f>
        <v/>
      </c>
      <c r="H62">
        <f>IF(AND(B62=B61,D62=D61,A62=A61,F62=F61),1,0)</f>
        <v/>
      </c>
      <c r="I62">
        <f>IF(C62="C99999",1,0)</f>
        <v/>
      </c>
      <c r="J62" s="5">
        <f>IF(OR(H62=1,I62=1),0,IF(G62="Credit",-F62,F62))</f>
        <v/>
      </c>
    </row>
    <row r="63">
      <c r="A63" t="inlineStr">
        <is>
          <t>2026-07-01</t>
        </is>
      </c>
      <c r="B63" t="inlineStr">
        <is>
          <t>F279415</t>
        </is>
      </c>
      <c r="C63" t="inlineStr">
        <is>
          <t>C11030</t>
        </is>
      </c>
      <c r="D63" t="inlineStr">
        <is>
          <t>SKU-10077</t>
        </is>
      </c>
      <c r="E63" t="inlineStr">
        <is>
          <t>AM11</t>
        </is>
      </c>
      <c r="F63" s="5" t="n">
        <v>903.6</v>
      </c>
      <c r="G63">
        <f>IF(LEFT(B63,1)="C","Credit","Factuur")</f>
        <v/>
      </c>
      <c r="H63">
        <f>IF(AND(B63=B62,D63=D62,A63=A62,F63=F62),1,0)</f>
        <v/>
      </c>
      <c r="I63">
        <f>IF(C63="C99999",1,0)</f>
        <v/>
      </c>
      <c r="J63" s="5">
        <f>IF(OR(H63=1,I63=1),0,IF(G63="Credit",-F63,F63))</f>
        <v/>
      </c>
    </row>
    <row r="64">
      <c r="A64" t="inlineStr">
        <is>
          <t>2026-07-01</t>
        </is>
      </c>
      <c r="B64" t="inlineStr">
        <is>
          <t>F279415</t>
        </is>
      </c>
      <c r="C64" t="inlineStr">
        <is>
          <t>C11030</t>
        </is>
      </c>
      <c r="D64" t="inlineStr">
        <is>
          <t>SKU-10253</t>
        </is>
      </c>
      <c r="E64" t="inlineStr">
        <is>
          <t>AM11</t>
        </is>
      </c>
      <c r="F64" s="5" t="n">
        <v>896.13</v>
      </c>
      <c r="G64">
        <f>IF(LEFT(B64,1)="C","Credit","Factuur")</f>
        <v/>
      </c>
      <c r="H64">
        <f>IF(AND(B64=B63,D64=D63,A64=A63,F64=F63),1,0)</f>
        <v/>
      </c>
      <c r="I64">
        <f>IF(C64="C99999",1,0)</f>
        <v/>
      </c>
      <c r="J64" s="5">
        <f>IF(OR(H64=1,I64=1),0,IF(G64="Credit",-F64,F64))</f>
        <v/>
      </c>
    </row>
    <row r="65">
      <c r="A65" t="inlineStr">
        <is>
          <t>2026-07-01</t>
        </is>
      </c>
      <c r="B65" t="inlineStr">
        <is>
          <t>F279542</t>
        </is>
      </c>
      <c r="C65" t="inlineStr">
        <is>
          <t>C11035</t>
        </is>
      </c>
      <c r="D65" t="inlineStr">
        <is>
          <t>SKU-10001</t>
        </is>
      </c>
      <c r="E65" t="inlineStr">
        <is>
          <t>AM06</t>
        </is>
      </c>
      <c r="F65" s="5" t="n">
        <v>160.05</v>
      </c>
      <c r="G65">
        <f>IF(LEFT(B65,1)="C","Credit","Factuur")</f>
        <v/>
      </c>
      <c r="H65">
        <f>IF(AND(B65=B64,D65=D64,A65=A64,F65=F64),1,0)</f>
        <v/>
      </c>
      <c r="I65">
        <f>IF(C65="C99999",1,0)</f>
        <v/>
      </c>
      <c r="J65" s="5">
        <f>IF(OR(H65=1,I65=1),0,IF(G65="Credit",-F65,F65))</f>
        <v/>
      </c>
    </row>
    <row r="66">
      <c r="A66" t="inlineStr">
        <is>
          <t>2026-07-01</t>
        </is>
      </c>
      <c r="B66" t="inlineStr">
        <is>
          <t>F279542</t>
        </is>
      </c>
      <c r="C66" t="inlineStr">
        <is>
          <t>C11035</t>
        </is>
      </c>
      <c r="D66" t="inlineStr">
        <is>
          <t>SKU-10079</t>
        </is>
      </c>
      <c r="E66" t="inlineStr">
        <is>
          <t>AM06</t>
        </is>
      </c>
      <c r="F66" s="5" t="n">
        <v>161.12</v>
      </c>
      <c r="G66">
        <f>IF(LEFT(B66,1)="C","Credit","Factuur")</f>
        <v/>
      </c>
      <c r="H66">
        <f>IF(AND(B66=B65,D66=D65,A66=A65,F66=F65),1,0)</f>
        <v/>
      </c>
      <c r="I66">
        <f>IF(C66="C99999",1,0)</f>
        <v/>
      </c>
      <c r="J66" s="5">
        <f>IF(OR(H66=1,I66=1),0,IF(G66="Credit",-F66,F66))</f>
        <v/>
      </c>
    </row>
    <row r="67">
      <c r="A67" t="inlineStr">
        <is>
          <t>2026-07-01</t>
        </is>
      </c>
      <c r="B67" t="inlineStr">
        <is>
          <t>F279542</t>
        </is>
      </c>
      <c r="C67" t="inlineStr">
        <is>
          <t>C11035</t>
        </is>
      </c>
      <c r="D67" t="inlineStr">
        <is>
          <t>SKU-10102</t>
        </is>
      </c>
      <c r="E67" t="inlineStr">
        <is>
          <t>AM06</t>
        </is>
      </c>
      <c r="F67" s="5" t="n">
        <v>172.48</v>
      </c>
      <c r="G67">
        <f>IF(LEFT(B67,1)="C","Credit","Factuur")</f>
        <v/>
      </c>
      <c r="H67">
        <f>IF(AND(B67=B66,D67=D66,A67=A66,F67=F66),1,0)</f>
        <v/>
      </c>
      <c r="I67">
        <f>IF(C67="C99999",1,0)</f>
        <v/>
      </c>
      <c r="J67" s="5">
        <f>IF(OR(H67=1,I67=1),0,IF(G67="Credit",-F67,F67))</f>
        <v/>
      </c>
    </row>
    <row r="68">
      <c r="A68" t="inlineStr">
        <is>
          <t>2026-07-01</t>
        </is>
      </c>
      <c r="B68" t="inlineStr">
        <is>
          <t>F279542</t>
        </is>
      </c>
      <c r="C68" t="inlineStr">
        <is>
          <t>C11035</t>
        </is>
      </c>
      <c r="D68" t="inlineStr">
        <is>
          <t>SKU-10299</t>
        </is>
      </c>
      <c r="E68" t="inlineStr">
        <is>
          <t>AM06</t>
        </is>
      </c>
      <c r="F68" s="5" t="n">
        <v>143.03</v>
      </c>
      <c r="G68">
        <f>IF(LEFT(B68,1)="C","Credit","Factuur")</f>
        <v/>
      </c>
      <c r="H68">
        <f>IF(AND(B68=B67,D68=D67,A68=A67,F68=F67),1,0)</f>
        <v/>
      </c>
      <c r="I68">
        <f>IF(C68="C99999",1,0)</f>
        <v/>
      </c>
      <c r="J68" s="5">
        <f>IF(OR(H68=1,I68=1),0,IF(G68="Credit",-F68,F68))</f>
        <v/>
      </c>
    </row>
    <row r="69">
      <c r="A69" t="inlineStr">
        <is>
          <t>2026-07-01</t>
        </is>
      </c>
      <c r="B69" t="inlineStr">
        <is>
          <t>F279542</t>
        </is>
      </c>
      <c r="C69" t="inlineStr">
        <is>
          <t>C11035</t>
        </is>
      </c>
      <c r="D69" t="inlineStr">
        <is>
          <t>SKU-10327</t>
        </is>
      </c>
      <c r="E69" t="inlineStr">
        <is>
          <t>AM06</t>
        </is>
      </c>
      <c r="F69" s="5" t="n">
        <v>162.05</v>
      </c>
      <c r="G69">
        <f>IF(LEFT(B69,1)="C","Credit","Factuur")</f>
        <v/>
      </c>
      <c r="H69">
        <f>IF(AND(B69=B68,D69=D68,A69=A68,F69=F68),1,0)</f>
        <v/>
      </c>
      <c r="I69">
        <f>IF(C69="C99999",1,0)</f>
        <v/>
      </c>
      <c r="J69" s="5">
        <f>IF(OR(H69=1,I69=1),0,IF(G69="Credit",-F69,F69))</f>
        <v/>
      </c>
    </row>
    <row r="70">
      <c r="A70" t="inlineStr">
        <is>
          <t>2026-07-01</t>
        </is>
      </c>
      <c r="B70" t="inlineStr">
        <is>
          <t>F279542</t>
        </is>
      </c>
      <c r="C70" t="inlineStr">
        <is>
          <t>C11035</t>
        </is>
      </c>
      <c r="D70" t="inlineStr">
        <is>
          <t>SKU-10332</t>
        </is>
      </c>
      <c r="E70" t="inlineStr">
        <is>
          <t>AM06</t>
        </is>
      </c>
      <c r="F70" s="5" t="n">
        <v>154.62</v>
      </c>
      <c r="G70">
        <f>IF(LEFT(B70,1)="C","Credit","Factuur")</f>
        <v/>
      </c>
      <c r="H70">
        <f>IF(AND(B70=B69,D70=D69,A70=A69,F70=F69),1,0)</f>
        <v/>
      </c>
      <c r="I70">
        <f>IF(C70="C99999",1,0)</f>
        <v/>
      </c>
      <c r="J70" s="5">
        <f>IF(OR(H70=1,I70=1),0,IF(G70="Credit",-F70,F70))</f>
        <v/>
      </c>
    </row>
    <row r="71">
      <c r="A71" t="inlineStr">
        <is>
          <t>2026-07-01</t>
        </is>
      </c>
      <c r="B71" t="inlineStr">
        <is>
          <t>F279542</t>
        </is>
      </c>
      <c r="C71" t="inlineStr">
        <is>
          <t>C11035</t>
        </is>
      </c>
      <c r="D71" t="inlineStr">
        <is>
          <t>SKU-10360</t>
        </is>
      </c>
      <c r="E71" t="inlineStr">
        <is>
          <t>AM06</t>
        </is>
      </c>
      <c r="F71" s="5" t="n">
        <v>196.64</v>
      </c>
      <c r="G71">
        <f>IF(LEFT(B71,1)="C","Credit","Factuur")</f>
        <v/>
      </c>
      <c r="H71">
        <f>IF(AND(B71=B70,D71=D70,A71=A70,F71=F70),1,0)</f>
        <v/>
      </c>
      <c r="I71">
        <f>IF(C71="C99999",1,0)</f>
        <v/>
      </c>
      <c r="J71" s="5">
        <f>IF(OR(H71=1,I71=1),0,IF(G71="Credit",-F71,F71))</f>
        <v/>
      </c>
    </row>
    <row r="72">
      <c r="A72" t="inlineStr">
        <is>
          <t>2026-07-01</t>
        </is>
      </c>
      <c r="B72" t="inlineStr">
        <is>
          <t>F279612</t>
        </is>
      </c>
      <c r="C72" t="inlineStr">
        <is>
          <t>C11040</t>
        </is>
      </c>
      <c r="D72" t="inlineStr">
        <is>
          <t>SKU-10214</t>
        </is>
      </c>
      <c r="E72" t="inlineStr">
        <is>
          <t>AM11</t>
        </is>
      </c>
      <c r="F72" s="5" t="n">
        <v>1090.96</v>
      </c>
      <c r="G72">
        <f>IF(LEFT(B72,1)="C","Credit","Factuur")</f>
        <v/>
      </c>
      <c r="H72">
        <f>IF(AND(B72=B71,D72=D71,A72=A71,F72=F71),1,0)</f>
        <v/>
      </c>
      <c r="I72">
        <f>IF(C72="C99999",1,0)</f>
        <v/>
      </c>
      <c r="J72" s="5">
        <f>IF(OR(H72=1,I72=1),0,IF(G72="Credit",-F72,F72))</f>
        <v/>
      </c>
    </row>
    <row r="73">
      <c r="A73" t="inlineStr">
        <is>
          <t>2026-07-01</t>
        </is>
      </c>
      <c r="B73" t="inlineStr">
        <is>
          <t>F279612</t>
        </is>
      </c>
      <c r="C73" t="inlineStr">
        <is>
          <t>C11040</t>
        </is>
      </c>
      <c r="D73" t="inlineStr">
        <is>
          <t>SKU-10352</t>
        </is>
      </c>
      <c r="E73" t="inlineStr">
        <is>
          <t>AM11</t>
        </is>
      </c>
      <c r="F73" s="5" t="n">
        <v>1200.72</v>
      </c>
      <c r="G73">
        <f>IF(LEFT(B73,1)="C","Credit","Factuur")</f>
        <v/>
      </c>
      <c r="H73">
        <f>IF(AND(B73=B72,D73=D72,A73=A72,F73=F72),1,0)</f>
        <v/>
      </c>
      <c r="I73">
        <f>IF(C73="C99999",1,0)</f>
        <v/>
      </c>
      <c r="J73" s="5">
        <f>IF(OR(H73=1,I73=1),0,IF(G73="Credit",-F73,F73))</f>
        <v/>
      </c>
    </row>
    <row r="74">
      <c r="A74" t="inlineStr">
        <is>
          <t>2026-07-01</t>
        </is>
      </c>
      <c r="B74" t="inlineStr">
        <is>
          <t>F280068</t>
        </is>
      </c>
      <c r="C74" t="inlineStr">
        <is>
          <t>C11061</t>
        </is>
      </c>
      <c r="D74" t="inlineStr">
        <is>
          <t>SKU-10083</t>
        </is>
      </c>
      <c r="E74" t="inlineStr">
        <is>
          <t>AM02</t>
        </is>
      </c>
      <c r="F74" s="5" t="n">
        <v>2053.26</v>
      </c>
      <c r="G74">
        <f>IF(LEFT(B74,1)="C","Credit","Factuur")</f>
        <v/>
      </c>
      <c r="H74">
        <f>IF(AND(B74=B73,D74=D73,A74=A73,F74=F73),1,0)</f>
        <v/>
      </c>
      <c r="I74">
        <f>IF(C74="C99999",1,0)</f>
        <v/>
      </c>
      <c r="J74" s="5">
        <f>IF(OR(H74=1,I74=1),0,IF(G74="Credit",-F74,F74))</f>
        <v/>
      </c>
    </row>
    <row r="75">
      <c r="A75" t="inlineStr">
        <is>
          <t>2026-07-01</t>
        </is>
      </c>
      <c r="B75" t="inlineStr">
        <is>
          <t>F281323</t>
        </is>
      </c>
      <c r="C75" t="inlineStr">
        <is>
          <t>C11124</t>
        </is>
      </c>
      <c r="D75" t="inlineStr">
        <is>
          <t>SKU-10192</t>
        </is>
      </c>
      <c r="E75" t="inlineStr">
        <is>
          <t>AM07</t>
        </is>
      </c>
      <c r="F75" s="5" t="n">
        <v>401.2</v>
      </c>
      <c r="G75">
        <f>IF(LEFT(B75,1)="C","Credit","Factuur")</f>
        <v/>
      </c>
      <c r="H75">
        <f>IF(AND(B75=B74,D75=D74,A75=A74,F75=F74),1,0)</f>
        <v/>
      </c>
      <c r="I75">
        <f>IF(C75="C99999",1,0)</f>
        <v/>
      </c>
      <c r="J75" s="5">
        <f>IF(OR(H75=1,I75=1),0,IF(G75="Credit",-F75,F75))</f>
        <v/>
      </c>
    </row>
    <row r="76">
      <c r="A76" t="inlineStr">
        <is>
          <t>2026-07-01</t>
        </is>
      </c>
      <c r="B76" t="inlineStr">
        <is>
          <t>F281323</t>
        </is>
      </c>
      <c r="C76" t="inlineStr">
        <is>
          <t>C11124</t>
        </is>
      </c>
      <c r="D76" t="inlineStr">
        <is>
          <t>SKU-10253</t>
        </is>
      </c>
      <c r="E76" t="inlineStr">
        <is>
          <t>AM07</t>
        </is>
      </c>
      <c r="F76" s="5" t="n">
        <v>464.66</v>
      </c>
      <c r="G76">
        <f>IF(LEFT(B76,1)="C","Credit","Factuur")</f>
        <v/>
      </c>
      <c r="H76">
        <f>IF(AND(B76=B75,D76=D75,A76=A75,F76=F75),1,0)</f>
        <v/>
      </c>
      <c r="I76">
        <f>IF(C76="C99999",1,0)</f>
        <v/>
      </c>
      <c r="J76" s="5">
        <f>IF(OR(H76=1,I76=1),0,IF(G76="Credit",-F76,F76))</f>
        <v/>
      </c>
    </row>
    <row r="77">
      <c r="A77" t="inlineStr">
        <is>
          <t>2026-07-01</t>
        </is>
      </c>
      <c r="B77" t="inlineStr">
        <is>
          <t>F282323</t>
        </is>
      </c>
      <c r="C77" t="inlineStr">
        <is>
          <t>C11170</t>
        </is>
      </c>
      <c r="D77" t="inlineStr">
        <is>
          <t>SKU-10082</t>
        </is>
      </c>
      <c r="E77" t="inlineStr">
        <is>
          <t>AM07</t>
        </is>
      </c>
      <c r="F77" s="5" t="n">
        <v>178.6</v>
      </c>
      <c r="G77">
        <f>IF(LEFT(B77,1)="C","Credit","Factuur")</f>
        <v/>
      </c>
      <c r="H77">
        <f>IF(AND(B77=B76,D77=D76,A77=A76,F77=F76),1,0)</f>
        <v/>
      </c>
      <c r="I77">
        <f>IF(C77="C99999",1,0)</f>
        <v/>
      </c>
      <c r="J77" s="5">
        <f>IF(OR(H77=1,I77=1),0,IF(G77="Credit",-F77,F77))</f>
        <v/>
      </c>
    </row>
    <row r="78">
      <c r="A78" t="inlineStr">
        <is>
          <t>2026-07-01</t>
        </is>
      </c>
      <c r="B78" t="inlineStr">
        <is>
          <t>F282323</t>
        </is>
      </c>
      <c r="C78" t="inlineStr">
        <is>
          <t>C11170</t>
        </is>
      </c>
      <c r="D78" t="inlineStr">
        <is>
          <t>SKU-10349</t>
        </is>
      </c>
      <c r="E78" t="inlineStr">
        <is>
          <t>AM07</t>
        </is>
      </c>
      <c r="F78" s="5" t="n">
        <v>197.48</v>
      </c>
      <c r="G78">
        <f>IF(LEFT(B78,1)="C","Credit","Factuur")</f>
        <v/>
      </c>
      <c r="H78">
        <f>IF(AND(B78=B77,D78=D77,A78=A77,F78=F77),1,0)</f>
        <v/>
      </c>
      <c r="I78">
        <f>IF(C78="C99999",1,0)</f>
        <v/>
      </c>
      <c r="J78" s="5">
        <f>IF(OR(H78=1,I78=1),0,IF(G78="Credit",-F78,F78))</f>
        <v/>
      </c>
    </row>
    <row r="79">
      <c r="A79" t="inlineStr">
        <is>
          <t>2026-07-01</t>
        </is>
      </c>
      <c r="B79" t="inlineStr">
        <is>
          <t>F282433</t>
        </is>
      </c>
      <c r="C79" t="inlineStr">
        <is>
          <t>C11178</t>
        </is>
      </c>
      <c r="D79" t="inlineStr">
        <is>
          <t>SKU-10043</t>
        </is>
      </c>
      <c r="E79" t="inlineStr">
        <is>
          <t>AM08</t>
        </is>
      </c>
      <c r="F79" s="5" t="n">
        <v>333.9</v>
      </c>
      <c r="G79">
        <f>IF(LEFT(B79,1)="C","Credit","Factuur")</f>
        <v/>
      </c>
      <c r="H79">
        <f>IF(AND(B79=B78,D79=D78,A79=A78,F79=F78),1,0)</f>
        <v/>
      </c>
      <c r="I79">
        <f>IF(C79="C99999",1,0)</f>
        <v/>
      </c>
      <c r="J79" s="5">
        <f>IF(OR(H79=1,I79=1),0,IF(G79="Credit",-F79,F79))</f>
        <v/>
      </c>
    </row>
    <row r="80">
      <c r="A80" t="inlineStr">
        <is>
          <t>2026-07-01</t>
        </is>
      </c>
      <c r="B80" t="inlineStr">
        <is>
          <t>F282433</t>
        </is>
      </c>
      <c r="C80" t="inlineStr">
        <is>
          <t>C11178</t>
        </is>
      </c>
      <c r="D80" t="inlineStr">
        <is>
          <t>SKU-10095</t>
        </is>
      </c>
      <c r="E80" t="inlineStr">
        <is>
          <t>AM08</t>
        </is>
      </c>
      <c r="F80" s="5" t="n">
        <v>371.4</v>
      </c>
      <c r="G80">
        <f>IF(LEFT(B80,1)="C","Credit","Factuur")</f>
        <v/>
      </c>
      <c r="H80">
        <f>IF(AND(B80=B79,D80=D79,A80=A79,F80=F79),1,0)</f>
        <v/>
      </c>
      <c r="I80">
        <f>IF(C80="C99999",1,0)</f>
        <v/>
      </c>
      <c r="J80" s="5">
        <f>IF(OR(H80=1,I80=1),0,IF(G80="Credit",-F80,F80))</f>
        <v/>
      </c>
    </row>
    <row r="81">
      <c r="A81" t="inlineStr">
        <is>
          <t>2026-07-01</t>
        </is>
      </c>
      <c r="B81" t="inlineStr">
        <is>
          <t>F282433</t>
        </is>
      </c>
      <c r="C81" t="inlineStr">
        <is>
          <t>C11178</t>
        </is>
      </c>
      <c r="D81" t="inlineStr">
        <is>
          <t>SKU-10312</t>
        </is>
      </c>
      <c r="E81" t="inlineStr">
        <is>
          <t>AM08</t>
        </is>
      </c>
      <c r="F81" s="5" t="n">
        <v>344</v>
      </c>
      <c r="G81">
        <f>IF(LEFT(B81,1)="C","Credit","Factuur")</f>
        <v/>
      </c>
      <c r="H81">
        <f>IF(AND(B81=B80,D81=D80,A81=A80,F81=F80),1,0)</f>
        <v/>
      </c>
      <c r="I81">
        <f>IF(C81="C99999",1,0)</f>
        <v/>
      </c>
      <c r="J81" s="5">
        <f>IF(OR(H81=1,I81=1),0,IF(G81="Credit",-F81,F81))</f>
        <v/>
      </c>
    </row>
    <row r="82">
      <c r="A82" t="inlineStr">
        <is>
          <t>2026-07-01</t>
        </is>
      </c>
      <c r="B82" t="inlineStr">
        <is>
          <t>F284896</t>
        </is>
      </c>
      <c r="C82" t="inlineStr">
        <is>
          <t>C11303</t>
        </is>
      </c>
      <c r="D82" t="inlineStr">
        <is>
          <t>SKU-10112</t>
        </is>
      </c>
      <c r="E82" t="inlineStr">
        <is>
          <t>AM03</t>
        </is>
      </c>
      <c r="F82" s="5" t="n">
        <v>317.83</v>
      </c>
      <c r="G82">
        <f>IF(LEFT(B82,1)="C","Credit","Factuur")</f>
        <v/>
      </c>
      <c r="H82">
        <f>IF(AND(B82=B81,D82=D81,A82=A81,F82=F81),1,0)</f>
        <v/>
      </c>
      <c r="I82">
        <f>IF(C82="C99999",1,0)</f>
        <v/>
      </c>
      <c r="J82" s="5">
        <f>IF(OR(H82=1,I82=1),0,IF(G82="Credit",-F82,F82))</f>
        <v/>
      </c>
    </row>
    <row r="83">
      <c r="A83" t="inlineStr">
        <is>
          <t>2026-07-01</t>
        </is>
      </c>
      <c r="B83" t="inlineStr">
        <is>
          <t>F284896</t>
        </is>
      </c>
      <c r="C83" t="inlineStr">
        <is>
          <t>C11303</t>
        </is>
      </c>
      <c r="D83" t="inlineStr">
        <is>
          <t>SKU-10359</t>
        </is>
      </c>
      <c r="E83" t="inlineStr">
        <is>
          <t>AM03</t>
        </is>
      </c>
      <c r="F83" s="5" t="n">
        <v>315.19</v>
      </c>
      <c r="G83">
        <f>IF(LEFT(B83,1)="C","Credit","Factuur")</f>
        <v/>
      </c>
      <c r="H83">
        <f>IF(AND(B83=B82,D83=D82,A83=A82,F83=F82),1,0)</f>
        <v/>
      </c>
      <c r="I83">
        <f>IF(C83="C99999",1,0)</f>
        <v/>
      </c>
      <c r="J83" s="5">
        <f>IF(OR(H83=1,I83=1),0,IF(G83="Credit",-F83,F83))</f>
        <v/>
      </c>
    </row>
    <row r="84">
      <c r="A84" t="inlineStr">
        <is>
          <t>2026-07-02</t>
        </is>
      </c>
      <c r="B84" t="inlineStr">
        <is>
          <t>C900008</t>
        </is>
      </c>
      <c r="C84" t="inlineStr">
        <is>
          <t>C10454</t>
        </is>
      </c>
      <c r="D84" t="inlineStr">
        <is>
          <t>SKU-10334</t>
        </is>
      </c>
      <c r="E84" t="inlineStr">
        <is>
          <t>AM12</t>
        </is>
      </c>
      <c r="F84" s="5" t="n">
        <v>97.76000000000001</v>
      </c>
      <c r="G84">
        <f>IF(LEFT(B84,1)="C","Credit","Factuur")</f>
        <v/>
      </c>
      <c r="H84">
        <f>IF(AND(B84=B83,D84=D83,A84=A83,F84=F83),1,0)</f>
        <v/>
      </c>
      <c r="I84">
        <f>IF(C84="C99999",1,0)</f>
        <v/>
      </c>
      <c r="J84" s="5">
        <f>IF(OR(H84=1,I84=1),0,IF(G84="Credit",-F84,F84))</f>
        <v/>
      </c>
    </row>
    <row r="85">
      <c r="A85" t="inlineStr">
        <is>
          <t>2026-07-02</t>
        </is>
      </c>
      <c r="B85" t="inlineStr">
        <is>
          <t>C900197</t>
        </is>
      </c>
      <c r="C85" t="inlineStr">
        <is>
          <t>C10890</t>
        </is>
      </c>
      <c r="D85" t="inlineStr">
        <is>
          <t>SKU-10045</t>
        </is>
      </c>
      <c r="E85" t="inlineStr">
        <is>
          <t>AM11</t>
        </is>
      </c>
      <c r="F85" s="5" t="n">
        <v>155.64</v>
      </c>
      <c r="G85">
        <f>IF(LEFT(B85,1)="C","Credit","Factuur")</f>
        <v/>
      </c>
      <c r="H85">
        <f>IF(AND(B85=B84,D85=D84,A85=A84,F85=F84),1,0)</f>
        <v/>
      </c>
      <c r="I85">
        <f>IF(C85="C99999",1,0)</f>
        <v/>
      </c>
      <c r="J85" s="5">
        <f>IF(OR(H85=1,I85=1),0,IF(G85="Credit",-F85,F85))</f>
        <v/>
      </c>
    </row>
    <row r="86">
      <c r="A86" t="inlineStr">
        <is>
          <t>2026-07-02</t>
        </is>
      </c>
      <c r="B86" t="inlineStr">
        <is>
          <t>C901685</t>
        </is>
      </c>
      <c r="C86" t="inlineStr">
        <is>
          <t>C10234</t>
        </is>
      </c>
      <c r="D86" t="inlineStr">
        <is>
          <t>SKU-10062</t>
        </is>
      </c>
      <c r="E86" t="inlineStr">
        <is>
          <t>AM08</t>
        </is>
      </c>
      <c r="F86" s="5" t="n">
        <v>98.73999999999999</v>
      </c>
      <c r="G86">
        <f>IF(LEFT(B86,1)="C","Credit","Factuur")</f>
        <v/>
      </c>
      <c r="H86">
        <f>IF(AND(B86=B85,D86=D85,A86=A85,F86=F85),1,0)</f>
        <v/>
      </c>
      <c r="I86">
        <f>IF(C86="C99999",1,0)</f>
        <v/>
      </c>
      <c r="J86" s="5">
        <f>IF(OR(H86=1,I86=1),0,IF(G86="Credit",-F86,F86))</f>
        <v/>
      </c>
    </row>
    <row r="87">
      <c r="A87" t="inlineStr">
        <is>
          <t>2026-07-02</t>
        </is>
      </c>
      <c r="B87" t="inlineStr">
        <is>
          <t>F261269</t>
        </is>
      </c>
      <c r="C87" t="inlineStr">
        <is>
          <t>C10070</t>
        </is>
      </c>
      <c r="D87" t="inlineStr">
        <is>
          <t>SKU-10024</t>
        </is>
      </c>
      <c r="E87" t="inlineStr">
        <is>
          <t>AM11</t>
        </is>
      </c>
      <c r="F87" s="5" t="n">
        <v>72.48</v>
      </c>
      <c r="G87">
        <f>IF(LEFT(B87,1)="C","Credit","Factuur")</f>
        <v/>
      </c>
      <c r="H87">
        <f>IF(AND(B87=B86,D87=D86,A87=A86,F87=F86),1,0)</f>
        <v/>
      </c>
      <c r="I87">
        <f>IF(C87="C99999",1,0)</f>
        <v/>
      </c>
      <c r="J87" s="5">
        <f>IF(OR(H87=1,I87=1),0,IF(G87="Credit",-F87,F87))</f>
        <v/>
      </c>
    </row>
    <row r="88">
      <c r="A88" t="inlineStr">
        <is>
          <t>2026-07-02</t>
        </is>
      </c>
      <c r="B88" t="inlineStr">
        <is>
          <t>F261269</t>
        </is>
      </c>
      <c r="C88" t="inlineStr">
        <is>
          <t>C10070</t>
        </is>
      </c>
      <c r="D88" t="inlineStr">
        <is>
          <t>SKU-10036</t>
        </is>
      </c>
      <c r="E88" t="inlineStr">
        <is>
          <t>AM11</t>
        </is>
      </c>
      <c r="F88" s="5" t="n">
        <v>88.7</v>
      </c>
      <c r="G88">
        <f>IF(LEFT(B88,1)="C","Credit","Factuur")</f>
        <v/>
      </c>
      <c r="H88">
        <f>IF(AND(B88=B87,D88=D87,A88=A87,F88=F87),1,0)</f>
        <v/>
      </c>
      <c r="I88">
        <f>IF(C88="C99999",1,0)</f>
        <v/>
      </c>
      <c r="J88" s="5">
        <f>IF(OR(H88=1,I88=1),0,IF(G88="Credit",-F88,F88))</f>
        <v/>
      </c>
    </row>
    <row r="89">
      <c r="A89" t="inlineStr">
        <is>
          <t>2026-07-02</t>
        </is>
      </c>
      <c r="B89" t="inlineStr">
        <is>
          <t>F261269</t>
        </is>
      </c>
      <c r="C89" t="inlineStr">
        <is>
          <t>C10070</t>
        </is>
      </c>
      <c r="D89" t="inlineStr">
        <is>
          <t>SKU-10102</t>
        </is>
      </c>
      <c r="E89" t="inlineStr">
        <is>
          <t>AM11</t>
        </is>
      </c>
      <c r="F89" s="5" t="n">
        <v>86.23999999999999</v>
      </c>
      <c r="G89">
        <f>IF(LEFT(B89,1)="C","Credit","Factuur")</f>
        <v/>
      </c>
      <c r="H89">
        <f>IF(AND(B89=B88,D89=D88,A89=A88,F89=F88),1,0)</f>
        <v/>
      </c>
      <c r="I89">
        <f>IF(C89="C99999",1,0)</f>
        <v/>
      </c>
      <c r="J89" s="5">
        <f>IF(OR(H89=1,I89=1),0,IF(G89="Credit",-F89,F89))</f>
        <v/>
      </c>
    </row>
    <row r="90">
      <c r="A90" t="inlineStr">
        <is>
          <t>2026-07-02</t>
        </is>
      </c>
      <c r="B90" t="inlineStr">
        <is>
          <t>F261269</t>
        </is>
      </c>
      <c r="C90" t="inlineStr">
        <is>
          <t>C10070</t>
        </is>
      </c>
      <c r="D90" t="inlineStr">
        <is>
          <t>SKU-10104</t>
        </is>
      </c>
      <c r="E90" t="inlineStr">
        <is>
          <t>AM11</t>
        </is>
      </c>
      <c r="F90" s="5" t="n">
        <v>91.14</v>
      </c>
      <c r="G90">
        <f>IF(LEFT(B90,1)="C","Credit","Factuur")</f>
        <v/>
      </c>
      <c r="H90">
        <f>IF(AND(B90=B89,D90=D89,A90=A89,F90=F89),1,0)</f>
        <v/>
      </c>
      <c r="I90">
        <f>IF(C90="C99999",1,0)</f>
        <v/>
      </c>
      <c r="J90" s="5">
        <f>IF(OR(H90=1,I90=1),0,IF(G90="Credit",-F90,F90))</f>
        <v/>
      </c>
    </row>
    <row r="91">
      <c r="A91" t="inlineStr">
        <is>
          <t>2026-07-02</t>
        </is>
      </c>
      <c r="B91" t="inlineStr">
        <is>
          <t>F262058</t>
        </is>
      </c>
      <c r="C91" t="inlineStr">
        <is>
          <t>C10109</t>
        </is>
      </c>
      <c r="D91" t="inlineStr">
        <is>
          <t>SKU-10033</t>
        </is>
      </c>
      <c r="E91" t="inlineStr">
        <is>
          <t>AM01</t>
        </is>
      </c>
      <c r="F91" s="5" t="n">
        <v>700.05</v>
      </c>
      <c r="G91">
        <f>IF(LEFT(B91,1)="C","Credit","Factuur")</f>
        <v/>
      </c>
      <c r="H91">
        <f>IF(AND(B91=B90,D91=D90,A91=A90,F91=F90),1,0)</f>
        <v/>
      </c>
      <c r="I91">
        <f>IF(C91="C99999",1,0)</f>
        <v/>
      </c>
      <c r="J91" s="5">
        <f>IF(OR(H91=1,I91=1),0,IF(G91="Credit",-F91,F91))</f>
        <v/>
      </c>
    </row>
    <row r="92">
      <c r="A92" t="inlineStr">
        <is>
          <t>2026-07-02</t>
        </is>
      </c>
      <c r="B92" t="inlineStr">
        <is>
          <t>F262058</t>
        </is>
      </c>
      <c r="C92" t="inlineStr">
        <is>
          <t>C10109</t>
        </is>
      </c>
      <c r="D92" t="inlineStr">
        <is>
          <t>SKU-10044</t>
        </is>
      </c>
      <c r="E92" t="inlineStr">
        <is>
          <t>AM01</t>
        </is>
      </c>
      <c r="F92" s="5" t="n">
        <v>687.12</v>
      </c>
      <c r="G92">
        <f>IF(LEFT(B92,1)="C","Credit","Factuur")</f>
        <v/>
      </c>
      <c r="H92">
        <f>IF(AND(B92=B91,D92=D91,A92=A91,F92=F91),1,0)</f>
        <v/>
      </c>
      <c r="I92">
        <f>IF(C92="C99999",1,0)</f>
        <v/>
      </c>
      <c r="J92" s="5">
        <f>IF(OR(H92=1,I92=1),0,IF(G92="Credit",-F92,F92))</f>
        <v/>
      </c>
    </row>
    <row r="93">
      <c r="A93" t="inlineStr">
        <is>
          <t>2026-07-02</t>
        </is>
      </c>
      <c r="B93" t="inlineStr">
        <is>
          <t>F262058</t>
        </is>
      </c>
      <c r="C93" t="inlineStr">
        <is>
          <t>C10109</t>
        </is>
      </c>
      <c r="D93" t="inlineStr">
        <is>
          <t>SKU-10096</t>
        </is>
      </c>
      <c r="E93" t="inlineStr">
        <is>
          <t>AM01</t>
        </is>
      </c>
      <c r="F93" s="5" t="n">
        <v>686.52</v>
      </c>
      <c r="G93">
        <f>IF(LEFT(B93,1)="C","Credit","Factuur")</f>
        <v/>
      </c>
      <c r="H93">
        <f>IF(AND(B93=B92,D93=D92,A93=A92,F93=F92),1,0)</f>
        <v/>
      </c>
      <c r="I93">
        <f>IF(C93="C99999",1,0)</f>
        <v/>
      </c>
      <c r="J93" s="5">
        <f>IF(OR(H93=1,I93=1),0,IF(G93="Credit",-F93,F93))</f>
        <v/>
      </c>
    </row>
    <row r="94">
      <c r="A94" t="inlineStr">
        <is>
          <t>2026-07-02</t>
        </is>
      </c>
      <c r="B94" t="inlineStr">
        <is>
          <t>F262258</t>
        </is>
      </c>
      <c r="C94" t="inlineStr">
        <is>
          <t>C10120</t>
        </is>
      </c>
      <c r="D94" t="inlineStr">
        <is>
          <t>SKU-10217</t>
        </is>
      </c>
      <c r="E94" t="inlineStr">
        <is>
          <t>AM02</t>
        </is>
      </c>
      <c r="F94" s="5" t="n">
        <v>90.59999999999999</v>
      </c>
      <c r="G94">
        <f>IF(LEFT(B94,1)="C","Credit","Factuur")</f>
        <v/>
      </c>
      <c r="H94">
        <f>IF(AND(B94=B93,D94=D93,A94=A93,F94=F93),1,0)</f>
        <v/>
      </c>
      <c r="I94">
        <f>IF(C94="C99999",1,0)</f>
        <v/>
      </c>
      <c r="J94" s="5">
        <f>IF(OR(H94=1,I94=1),0,IF(G94="Credit",-F94,F94))</f>
        <v/>
      </c>
    </row>
    <row r="95">
      <c r="A95" t="inlineStr">
        <is>
          <t>2026-07-02</t>
        </is>
      </c>
      <c r="B95" t="inlineStr">
        <is>
          <t>F262258</t>
        </is>
      </c>
      <c r="C95" t="inlineStr">
        <is>
          <t>C10120</t>
        </is>
      </c>
      <c r="D95" t="inlineStr">
        <is>
          <t>SKU-10327</t>
        </is>
      </c>
      <c r="E95" t="inlineStr">
        <is>
          <t>AM02</t>
        </is>
      </c>
      <c r="F95" s="5" t="n">
        <v>109.96</v>
      </c>
      <c r="G95">
        <f>IF(LEFT(B95,1)="C","Credit","Factuur")</f>
        <v/>
      </c>
      <c r="H95">
        <f>IF(AND(B95=B94,D95=D94,A95=A94,F95=F94),1,0)</f>
        <v/>
      </c>
      <c r="I95">
        <f>IF(C95="C99999",1,0)</f>
        <v/>
      </c>
      <c r="J95" s="5">
        <f>IF(OR(H95=1,I95=1),0,IF(G95="Credit",-F95,F95))</f>
        <v/>
      </c>
    </row>
    <row r="96">
      <c r="A96" t="inlineStr">
        <is>
          <t>2026-07-02</t>
        </is>
      </c>
      <c r="B96" t="inlineStr">
        <is>
          <t>F262258</t>
        </is>
      </c>
      <c r="C96" t="inlineStr">
        <is>
          <t>C10120</t>
        </is>
      </c>
      <c r="D96" t="inlineStr">
        <is>
          <t>SKU-10342</t>
        </is>
      </c>
      <c r="E96" t="inlineStr">
        <is>
          <t>AM02</t>
        </is>
      </c>
      <c r="F96" s="5" t="n">
        <v>101.64</v>
      </c>
      <c r="G96">
        <f>IF(LEFT(B96,1)="C","Credit","Factuur")</f>
        <v/>
      </c>
      <c r="H96">
        <f>IF(AND(B96=B95,D96=D95,A96=A95,F96=F95),1,0)</f>
        <v/>
      </c>
      <c r="I96">
        <f>IF(C96="C99999",1,0)</f>
        <v/>
      </c>
      <c r="J96" s="5">
        <f>IF(OR(H96=1,I96=1),0,IF(G96="Credit",-F96,F96))</f>
        <v/>
      </c>
    </row>
    <row r="97">
      <c r="A97" t="inlineStr">
        <is>
          <t>2026-07-02</t>
        </is>
      </c>
      <c r="B97" t="inlineStr">
        <is>
          <t>F263009</t>
        </is>
      </c>
      <c r="C97" t="inlineStr">
        <is>
          <t>C10161</t>
        </is>
      </c>
      <c r="D97" t="inlineStr">
        <is>
          <t>SKU-10203</t>
        </is>
      </c>
      <c r="E97" t="inlineStr">
        <is>
          <t>AM08</t>
        </is>
      </c>
      <c r="F97" s="5" t="n">
        <v>1337.4</v>
      </c>
      <c r="G97">
        <f>IF(LEFT(B97,1)="C","Credit","Factuur")</f>
        <v/>
      </c>
      <c r="H97">
        <f>IF(AND(B97=B96,D97=D96,A97=A96,F97=F96),1,0)</f>
        <v/>
      </c>
      <c r="I97">
        <f>IF(C97="C99999",1,0)</f>
        <v/>
      </c>
      <c r="J97" s="5">
        <f>IF(OR(H97=1,I97=1),0,IF(G97="Credit",-F97,F97))</f>
        <v/>
      </c>
    </row>
    <row r="98">
      <c r="A98" t="inlineStr">
        <is>
          <t>2026-07-02</t>
        </is>
      </c>
      <c r="B98" t="inlineStr">
        <is>
          <t>F263362</t>
        </is>
      </c>
      <c r="C98" t="inlineStr">
        <is>
          <t>C10179</t>
        </is>
      </c>
      <c r="D98" t="inlineStr">
        <is>
          <t>SKU-10208</t>
        </is>
      </c>
      <c r="E98" t="inlineStr">
        <is>
          <t>AM02</t>
        </is>
      </c>
      <c r="F98" s="5" t="n">
        <v>704.76</v>
      </c>
      <c r="G98">
        <f>IF(LEFT(B98,1)="C","Credit","Factuur")</f>
        <v/>
      </c>
      <c r="H98">
        <f>IF(AND(B98=B97,D98=D97,A98=A97,F98=F97),1,0)</f>
        <v/>
      </c>
      <c r="I98">
        <f>IF(C98="C99999",1,0)</f>
        <v/>
      </c>
      <c r="J98" s="5">
        <f>IF(OR(H98=1,I98=1),0,IF(G98="Credit",-F98,F98))</f>
        <v/>
      </c>
    </row>
    <row r="99">
      <c r="A99" t="inlineStr">
        <is>
          <t>2026-07-02</t>
        </is>
      </c>
      <c r="B99" t="inlineStr">
        <is>
          <t>F263362</t>
        </is>
      </c>
      <c r="C99" t="inlineStr">
        <is>
          <t>C10179</t>
        </is>
      </c>
      <c r="D99" t="inlineStr">
        <is>
          <t>SKU-10252</t>
        </is>
      </c>
      <c r="E99" t="inlineStr">
        <is>
          <t>AM02</t>
        </is>
      </c>
      <c r="F99" s="5" t="n">
        <v>689.26</v>
      </c>
      <c r="G99">
        <f>IF(LEFT(B99,1)="C","Credit","Factuur")</f>
        <v/>
      </c>
      <c r="H99">
        <f>IF(AND(B99=B98,D99=D98,A99=A98,F99=F98),1,0)</f>
        <v/>
      </c>
      <c r="I99">
        <f>IF(C99="C99999",1,0)</f>
        <v/>
      </c>
      <c r="J99" s="5">
        <f>IF(OR(H99=1,I99=1),0,IF(G99="Credit",-F99,F99))</f>
        <v/>
      </c>
    </row>
    <row r="100">
      <c r="A100" t="inlineStr">
        <is>
          <t>2026-07-02</t>
        </is>
      </c>
      <c r="B100" t="inlineStr">
        <is>
          <t>F264695</t>
        </is>
      </c>
      <c r="C100" t="inlineStr">
        <is>
          <t>C10245</t>
        </is>
      </c>
      <c r="D100" t="inlineStr">
        <is>
          <t>SKU-10017</t>
        </is>
      </c>
      <c r="E100" t="inlineStr">
        <is>
          <t>IS01</t>
        </is>
      </c>
      <c r="F100" s="5" t="n">
        <v>36.91</v>
      </c>
      <c r="G100">
        <f>IF(LEFT(B100,1)="C","Credit","Factuur")</f>
        <v/>
      </c>
      <c r="H100">
        <f>IF(AND(B100=B99,D100=D99,A100=A99,F100=F99),1,0)</f>
        <v/>
      </c>
      <c r="I100">
        <f>IF(C100="C99999",1,0)</f>
        <v/>
      </c>
      <c r="J100" s="5">
        <f>IF(OR(H100=1,I100=1),0,IF(G100="Credit",-F100,F100))</f>
        <v/>
      </c>
    </row>
    <row r="101">
      <c r="A101" t="inlineStr">
        <is>
          <t>2026-07-02</t>
        </is>
      </c>
      <c r="B101" t="inlineStr">
        <is>
          <t>F264695</t>
        </is>
      </c>
      <c r="C101" t="inlineStr">
        <is>
          <t>C10245</t>
        </is>
      </c>
      <c r="D101" t="inlineStr">
        <is>
          <t>SKU-10064</t>
        </is>
      </c>
      <c r="E101" t="inlineStr">
        <is>
          <t>IS01</t>
        </is>
      </c>
      <c r="F101" s="5" t="n">
        <v>39.28</v>
      </c>
      <c r="G101">
        <f>IF(LEFT(B101,1)="C","Credit","Factuur")</f>
        <v/>
      </c>
      <c r="H101">
        <f>IF(AND(B101=B100,D101=D100,A101=A100,F101=F100),1,0)</f>
        <v/>
      </c>
      <c r="I101">
        <f>IF(C101="C99999",1,0)</f>
        <v/>
      </c>
      <c r="J101" s="5">
        <f>IF(OR(H101=1,I101=1),0,IF(G101="Credit",-F101,F101))</f>
        <v/>
      </c>
    </row>
    <row r="102">
      <c r="A102" t="inlineStr">
        <is>
          <t>2026-07-02</t>
        </is>
      </c>
      <c r="B102" t="inlineStr">
        <is>
          <t>F264695</t>
        </is>
      </c>
      <c r="C102" t="inlineStr">
        <is>
          <t>C10245</t>
        </is>
      </c>
      <c r="D102" t="inlineStr">
        <is>
          <t>SKU-10079</t>
        </is>
      </c>
      <c r="E102" t="inlineStr">
        <is>
          <t>IS01</t>
        </is>
      </c>
      <c r="F102" s="5" t="n">
        <v>40.28</v>
      </c>
      <c r="G102">
        <f>IF(LEFT(B102,1)="C","Credit","Factuur")</f>
        <v/>
      </c>
      <c r="H102">
        <f>IF(AND(B102=B101,D102=D101,A102=A101,F102=F101),1,0)</f>
        <v/>
      </c>
      <c r="I102">
        <f>IF(C102="C99999",1,0)</f>
        <v/>
      </c>
      <c r="J102" s="5">
        <f>IF(OR(H102=1,I102=1),0,IF(G102="Credit",-F102,F102))</f>
        <v/>
      </c>
    </row>
    <row r="103">
      <c r="A103" t="inlineStr">
        <is>
          <t>2026-07-02</t>
        </is>
      </c>
      <c r="B103" t="inlineStr">
        <is>
          <t>F264695</t>
        </is>
      </c>
      <c r="C103" t="inlineStr">
        <is>
          <t>C10245</t>
        </is>
      </c>
      <c r="D103" t="inlineStr">
        <is>
          <t>SKU-10092</t>
        </is>
      </c>
      <c r="E103" t="inlineStr">
        <is>
          <t>IS01</t>
        </is>
      </c>
      <c r="F103" s="5" t="n">
        <v>65.19</v>
      </c>
      <c r="G103">
        <f>IF(LEFT(B103,1)="C","Credit","Factuur")</f>
        <v/>
      </c>
      <c r="H103">
        <f>IF(AND(B103=B102,D103=D102,A103=A102,F103=F102),1,0)</f>
        <v/>
      </c>
      <c r="I103">
        <f>IF(C103="C99999",1,0)</f>
        <v/>
      </c>
      <c r="J103" s="5">
        <f>IF(OR(H103=1,I103=1),0,IF(G103="Credit",-F103,F103))</f>
        <v/>
      </c>
    </row>
    <row r="104">
      <c r="A104" t="inlineStr">
        <is>
          <t>2026-07-02</t>
        </is>
      </c>
      <c r="B104" t="inlineStr">
        <is>
          <t>F264695</t>
        </is>
      </c>
      <c r="C104" t="inlineStr">
        <is>
          <t>C10245</t>
        </is>
      </c>
      <c r="D104" t="inlineStr">
        <is>
          <t>SKU-10248</t>
        </is>
      </c>
      <c r="E104" t="inlineStr">
        <is>
          <t>IS01</t>
        </is>
      </c>
      <c r="F104" s="5" t="n">
        <v>20.54</v>
      </c>
      <c r="G104">
        <f>IF(LEFT(B104,1)="C","Credit","Factuur")</f>
        <v/>
      </c>
      <c r="H104">
        <f>IF(AND(B104=B103,D104=D103,A104=A103,F104=F103),1,0)</f>
        <v/>
      </c>
      <c r="I104">
        <f>IF(C104="C99999",1,0)</f>
        <v/>
      </c>
      <c r="J104" s="5">
        <f>IF(OR(H104=1,I104=1),0,IF(G104="Credit",-F104,F104))</f>
        <v/>
      </c>
    </row>
    <row r="105">
      <c r="A105" t="inlineStr">
        <is>
          <t>2026-07-02</t>
        </is>
      </c>
      <c r="B105" t="inlineStr">
        <is>
          <t>F264695</t>
        </is>
      </c>
      <c r="C105" t="inlineStr">
        <is>
          <t>C10245</t>
        </is>
      </c>
      <c r="D105" t="inlineStr">
        <is>
          <t>SKU-10273</t>
        </is>
      </c>
      <c r="E105" t="inlineStr">
        <is>
          <t>IS01</t>
        </is>
      </c>
      <c r="F105" s="5" t="n">
        <v>32.12</v>
      </c>
      <c r="G105">
        <f>IF(LEFT(B105,1)="C","Credit","Factuur")</f>
        <v/>
      </c>
      <c r="H105">
        <f>IF(AND(B105=B104,D105=D104,A105=A104,F105=F104),1,0)</f>
        <v/>
      </c>
      <c r="I105">
        <f>IF(C105="C99999",1,0)</f>
        <v/>
      </c>
      <c r="J105" s="5">
        <f>IF(OR(H105=1,I105=1),0,IF(G105="Credit",-F105,F105))</f>
        <v/>
      </c>
    </row>
    <row r="106">
      <c r="A106" t="inlineStr">
        <is>
          <t>2026-07-02</t>
        </is>
      </c>
      <c r="B106" t="inlineStr">
        <is>
          <t>F264695</t>
        </is>
      </c>
      <c r="C106" t="inlineStr">
        <is>
          <t>C10245</t>
        </is>
      </c>
      <c r="D106" t="inlineStr">
        <is>
          <t>SKU-10300</t>
        </is>
      </c>
      <c r="E106" t="inlineStr">
        <is>
          <t>IS01</t>
        </is>
      </c>
      <c r="F106" s="5" t="n">
        <v>30.64</v>
      </c>
      <c r="G106">
        <f>IF(LEFT(B106,1)="C","Credit","Factuur")</f>
        <v/>
      </c>
      <c r="H106">
        <f>IF(AND(B106=B105,D106=D105,A106=A105,F106=F105),1,0)</f>
        <v/>
      </c>
      <c r="I106">
        <f>IF(C106="C99999",1,0)</f>
        <v/>
      </c>
      <c r="J106" s="5">
        <f>IF(OR(H106=1,I106=1),0,IF(G106="Credit",-F106,F106))</f>
        <v/>
      </c>
    </row>
    <row r="107">
      <c r="A107" t="inlineStr">
        <is>
          <t>2026-07-02</t>
        </is>
      </c>
      <c r="B107" t="inlineStr">
        <is>
          <t>F265515</t>
        </is>
      </c>
      <c r="C107" t="inlineStr">
        <is>
          <t>C10290</t>
        </is>
      </c>
      <c r="D107" t="inlineStr">
        <is>
          <t>SKU-10005</t>
        </is>
      </c>
      <c r="E107" t="inlineStr">
        <is>
          <t>AM11</t>
        </is>
      </c>
      <c r="F107" s="5" t="n">
        <v>459.54</v>
      </c>
      <c r="G107">
        <f>IF(LEFT(B107,1)="C","Credit","Factuur")</f>
        <v/>
      </c>
      <c r="H107">
        <f>IF(AND(B107=B106,D107=D106,A107=A106,F107=F106),1,0)</f>
        <v/>
      </c>
      <c r="I107">
        <f>IF(C107="C99999",1,0)</f>
        <v/>
      </c>
      <c r="J107" s="5">
        <f>IF(OR(H107=1,I107=1),0,IF(G107="Credit",-F107,F107))</f>
        <v/>
      </c>
    </row>
    <row r="108">
      <c r="A108" t="inlineStr">
        <is>
          <t>2026-07-02</t>
        </is>
      </c>
      <c r="B108" t="inlineStr">
        <is>
          <t>F265515</t>
        </is>
      </c>
      <c r="C108" t="inlineStr">
        <is>
          <t>C10290</t>
        </is>
      </c>
      <c r="D108" t="inlineStr">
        <is>
          <t>SKU-10021</t>
        </is>
      </c>
      <c r="E108" t="inlineStr">
        <is>
          <t>AM11</t>
        </is>
      </c>
      <c r="F108" s="5" t="n">
        <v>474.21</v>
      </c>
      <c r="G108">
        <f>IF(LEFT(B108,1)="C","Credit","Factuur")</f>
        <v/>
      </c>
      <c r="H108">
        <f>IF(AND(B108=B107,D108=D107,A108=A107,F108=F107),1,0)</f>
        <v/>
      </c>
      <c r="I108">
        <f>IF(C108="C99999",1,0)</f>
        <v/>
      </c>
      <c r="J108" s="5">
        <f>IF(OR(H108=1,I108=1),0,IF(G108="Credit",-F108,F108))</f>
        <v/>
      </c>
    </row>
    <row r="109">
      <c r="A109" t="inlineStr">
        <is>
          <t>2026-07-02</t>
        </is>
      </c>
      <c r="B109" t="inlineStr">
        <is>
          <t>F265515</t>
        </is>
      </c>
      <c r="C109" t="inlineStr">
        <is>
          <t>C10290</t>
        </is>
      </c>
      <c r="D109" t="inlineStr">
        <is>
          <t>SKU-10199</t>
        </is>
      </c>
      <c r="E109" t="inlineStr">
        <is>
          <t>AM11</t>
        </is>
      </c>
      <c r="F109" s="5" t="n">
        <v>455.36</v>
      </c>
      <c r="G109">
        <f>IF(LEFT(B109,1)="C","Credit","Factuur")</f>
        <v/>
      </c>
      <c r="H109">
        <f>IF(AND(B109=B108,D109=D108,A109=A108,F109=F108),1,0)</f>
        <v/>
      </c>
      <c r="I109">
        <f>IF(C109="C99999",1,0)</f>
        <v/>
      </c>
      <c r="J109" s="5">
        <f>IF(OR(H109=1,I109=1),0,IF(G109="Credit",-F109,F109))</f>
        <v/>
      </c>
    </row>
    <row r="110">
      <c r="A110" t="inlineStr">
        <is>
          <t>2026-07-02</t>
        </is>
      </c>
      <c r="B110" t="inlineStr">
        <is>
          <t>F265515</t>
        </is>
      </c>
      <c r="C110" t="inlineStr">
        <is>
          <t>C10290</t>
        </is>
      </c>
      <c r="D110" t="inlineStr">
        <is>
          <t>SKU-10325</t>
        </is>
      </c>
      <c r="E110" t="inlineStr">
        <is>
          <t>AM11</t>
        </is>
      </c>
      <c r="F110" s="5" t="n">
        <v>471</v>
      </c>
      <c r="G110">
        <f>IF(LEFT(B110,1)="C","Credit","Factuur")</f>
        <v/>
      </c>
      <c r="H110">
        <f>IF(AND(B110=B109,D110=D109,A110=A109,F110=F109),1,0)</f>
        <v/>
      </c>
      <c r="I110">
        <f>IF(C110="C99999",1,0)</f>
        <v/>
      </c>
      <c r="J110" s="5">
        <f>IF(OR(H110=1,I110=1),0,IF(G110="Credit",-F110,F110))</f>
        <v/>
      </c>
    </row>
    <row r="111">
      <c r="A111" t="inlineStr">
        <is>
          <t>2026-07-02</t>
        </is>
      </c>
      <c r="B111" t="inlineStr">
        <is>
          <t>F265754</t>
        </is>
      </c>
      <c r="C111" t="inlineStr">
        <is>
          <t>C10300</t>
        </is>
      </c>
      <c r="D111" t="inlineStr">
        <is>
          <t>SKU-10121</t>
        </is>
      </c>
      <c r="E111" t="inlineStr">
        <is>
          <t>AM03</t>
        </is>
      </c>
      <c r="F111" s="5" t="n">
        <v>259.72</v>
      </c>
      <c r="G111">
        <f>IF(LEFT(B111,1)="C","Credit","Factuur")</f>
        <v/>
      </c>
      <c r="H111">
        <f>IF(AND(B111=B110,D111=D110,A111=A110,F111=F110),1,0)</f>
        <v/>
      </c>
      <c r="I111">
        <f>IF(C111="C99999",1,0)</f>
        <v/>
      </c>
      <c r="J111" s="5">
        <f>IF(OR(H111=1,I111=1),0,IF(G111="Credit",-F111,F111))</f>
        <v/>
      </c>
    </row>
    <row r="112">
      <c r="A112" t="inlineStr">
        <is>
          <t>2026-07-02</t>
        </is>
      </c>
      <c r="B112" t="inlineStr">
        <is>
          <t>F265754</t>
        </is>
      </c>
      <c r="C112" t="inlineStr">
        <is>
          <t>C10300</t>
        </is>
      </c>
      <c r="D112" t="inlineStr">
        <is>
          <t>SKU-10269</t>
        </is>
      </c>
      <c r="E112" t="inlineStr"/>
      <c r="F112" s="5" t="n">
        <v>230.88</v>
      </c>
      <c r="G112">
        <f>IF(LEFT(B112,1)="C","Credit","Factuur")</f>
        <v/>
      </c>
      <c r="H112">
        <f>IF(AND(B112=B111,D112=D111,A112=A111,F112=F111),1,0)</f>
        <v/>
      </c>
      <c r="I112">
        <f>IF(C112="C99999",1,0)</f>
        <v/>
      </c>
      <c r="J112" s="5">
        <f>IF(OR(H112=1,I112=1),0,IF(G112="Credit",-F112,F112))</f>
        <v/>
      </c>
    </row>
    <row r="113">
      <c r="A113" t="inlineStr">
        <is>
          <t>2026-07-02</t>
        </is>
      </c>
      <c r="B113" t="inlineStr">
        <is>
          <t>F265754</t>
        </is>
      </c>
      <c r="C113" t="inlineStr">
        <is>
          <t>C10300</t>
        </is>
      </c>
      <c r="D113" t="inlineStr">
        <is>
          <t>SKU-10326</t>
        </is>
      </c>
      <c r="E113" t="inlineStr">
        <is>
          <t>AM03</t>
        </is>
      </c>
      <c r="F113" s="5" t="n">
        <v>237</v>
      </c>
      <c r="G113">
        <f>IF(LEFT(B113,1)="C","Credit","Factuur")</f>
        <v/>
      </c>
      <c r="H113">
        <f>IF(AND(B113=B112,D113=D112,A113=A112,F113=F112),1,0)</f>
        <v/>
      </c>
      <c r="I113">
        <f>IF(C113="C99999",1,0)</f>
        <v/>
      </c>
      <c r="J113" s="5">
        <f>IF(OR(H113=1,I113=1),0,IF(G113="Credit",-F113,F113))</f>
        <v/>
      </c>
    </row>
    <row r="114">
      <c r="A114" t="inlineStr">
        <is>
          <t>2026-07-02</t>
        </is>
      </c>
      <c r="B114" t="inlineStr">
        <is>
          <t>F266436</t>
        </is>
      </c>
      <c r="C114" t="inlineStr">
        <is>
          <t>C10338</t>
        </is>
      </c>
      <c r="D114" t="inlineStr">
        <is>
          <t>SKU-10039</t>
        </is>
      </c>
      <c r="E114" t="inlineStr">
        <is>
          <t>AM05</t>
        </is>
      </c>
      <c r="F114" s="5" t="n">
        <v>875.61</v>
      </c>
      <c r="G114">
        <f>IF(LEFT(B114,1)="C","Credit","Factuur")</f>
        <v/>
      </c>
      <c r="H114">
        <f>IF(AND(B114=B113,D114=D113,A114=A113,F114=F113),1,0)</f>
        <v/>
      </c>
      <c r="I114">
        <f>IF(C114="C99999",1,0)</f>
        <v/>
      </c>
      <c r="J114" s="5">
        <f>IF(OR(H114=1,I114=1),0,IF(G114="Credit",-F114,F114))</f>
        <v/>
      </c>
    </row>
    <row r="115">
      <c r="A115" t="inlineStr">
        <is>
          <t>2026-07-02</t>
        </is>
      </c>
      <c r="B115" t="inlineStr">
        <is>
          <t>F268681</t>
        </is>
      </c>
      <c r="C115" t="inlineStr">
        <is>
          <t>C10454</t>
        </is>
      </c>
      <c r="D115" t="inlineStr">
        <is>
          <t>SKU-10121</t>
        </is>
      </c>
      <c r="E115" t="inlineStr">
        <is>
          <t>AM12</t>
        </is>
      </c>
      <c r="F115" s="5" t="n">
        <v>185.05</v>
      </c>
      <c r="G115">
        <f>IF(LEFT(B115,1)="C","Credit","Factuur")</f>
        <v/>
      </c>
      <c r="H115">
        <f>IF(AND(B115=B114,D115=D114,A115=A114,F115=F114),1,0)</f>
        <v/>
      </c>
      <c r="I115">
        <f>IF(C115="C99999",1,0)</f>
        <v/>
      </c>
      <c r="J115" s="5">
        <f>IF(OR(H115=1,I115=1),0,IF(G115="Credit",-F115,F115))</f>
        <v/>
      </c>
    </row>
    <row r="116">
      <c r="A116" t="inlineStr">
        <is>
          <t>2026-07-02</t>
        </is>
      </c>
      <c r="B116" t="inlineStr">
        <is>
          <t>F268681</t>
        </is>
      </c>
      <c r="C116" t="inlineStr">
        <is>
          <t>C10454</t>
        </is>
      </c>
      <c r="D116" t="inlineStr">
        <is>
          <t>SKU-10255</t>
        </is>
      </c>
      <c r="E116" t="inlineStr">
        <is>
          <t>AM12</t>
        </is>
      </c>
      <c r="F116" s="5" t="n">
        <v>181.74</v>
      </c>
      <c r="G116">
        <f>IF(LEFT(B116,1)="C","Credit","Factuur")</f>
        <v/>
      </c>
      <c r="H116">
        <f>IF(AND(B116=B115,D116=D115,A116=A115,F116=F115),1,0)</f>
        <v/>
      </c>
      <c r="I116">
        <f>IF(C116="C99999",1,0)</f>
        <v/>
      </c>
      <c r="J116" s="5">
        <f>IF(OR(H116=1,I116=1),0,IF(G116="Credit",-F116,F116))</f>
        <v/>
      </c>
    </row>
    <row r="117">
      <c r="A117" t="inlineStr">
        <is>
          <t>2026-07-02</t>
        </is>
      </c>
      <c r="B117" t="inlineStr">
        <is>
          <t>F268681</t>
        </is>
      </c>
      <c r="C117" t="inlineStr">
        <is>
          <t>C10454</t>
        </is>
      </c>
      <c r="D117" t="inlineStr">
        <is>
          <t>SKU-10340</t>
        </is>
      </c>
      <c r="E117" t="inlineStr">
        <is>
          <t>AM12</t>
        </is>
      </c>
      <c r="F117" s="5" t="n">
        <v>179.66</v>
      </c>
      <c r="G117">
        <f>IF(LEFT(B117,1)="C","Credit","Factuur")</f>
        <v/>
      </c>
      <c r="H117">
        <f>IF(AND(B117=B116,D117=D116,A117=A116,F117=F116),1,0)</f>
        <v/>
      </c>
      <c r="I117">
        <f>IF(C117="C99999",1,0)</f>
        <v/>
      </c>
      <c r="J117" s="5">
        <f>IF(OR(H117=1,I117=1),0,IF(G117="Credit",-F117,F117))</f>
        <v/>
      </c>
    </row>
    <row r="118">
      <c r="A118" t="inlineStr">
        <is>
          <t>2026-07-02</t>
        </is>
      </c>
      <c r="B118" t="inlineStr">
        <is>
          <t>F269909</t>
        </is>
      </c>
      <c r="C118" t="inlineStr">
        <is>
          <t>C10522</t>
        </is>
      </c>
      <c r="D118" t="inlineStr">
        <is>
          <t>SKU-10310</t>
        </is>
      </c>
      <c r="E118" t="inlineStr">
        <is>
          <t>AM11</t>
        </is>
      </c>
      <c r="F118" s="5" t="n">
        <v>201.51</v>
      </c>
      <c r="G118">
        <f>IF(LEFT(B118,1)="C","Credit","Factuur")</f>
        <v/>
      </c>
      <c r="H118">
        <f>IF(AND(B118=B117,D118=D117,A118=A117,F118=F117),1,0)</f>
        <v/>
      </c>
      <c r="I118">
        <f>IF(C118="C99999",1,0)</f>
        <v/>
      </c>
      <c r="J118" s="5">
        <f>IF(OR(H118=1,I118=1),0,IF(G118="Credit",-F118,F118))</f>
        <v/>
      </c>
    </row>
    <row r="119">
      <c r="A119" t="inlineStr">
        <is>
          <t>2026-07-02</t>
        </is>
      </c>
      <c r="B119" t="inlineStr">
        <is>
          <t>F269909</t>
        </is>
      </c>
      <c r="C119" t="inlineStr">
        <is>
          <t>C10522</t>
        </is>
      </c>
      <c r="D119" t="inlineStr">
        <is>
          <t>SKU-10339</t>
        </is>
      </c>
      <c r="E119" t="inlineStr">
        <is>
          <t>AM11</t>
        </is>
      </c>
      <c r="F119" s="5" t="n">
        <v>210.7</v>
      </c>
      <c r="G119">
        <f>IF(LEFT(B119,1)="C","Credit","Factuur")</f>
        <v/>
      </c>
      <c r="H119">
        <f>IF(AND(B119=B118,D119=D118,A119=A118,F119=F118),1,0)</f>
        <v/>
      </c>
      <c r="I119">
        <f>IF(C119="C99999",1,0)</f>
        <v/>
      </c>
      <c r="J119" s="5">
        <f>IF(OR(H119=1,I119=1),0,IF(G119="Credit",-F119,F119))</f>
        <v/>
      </c>
    </row>
    <row r="120">
      <c r="A120" t="inlineStr">
        <is>
          <t>2026-07-02</t>
        </is>
      </c>
      <c r="B120" t="inlineStr">
        <is>
          <t>F271619</t>
        </is>
      </c>
      <c r="C120" t="inlineStr">
        <is>
          <t>C10598</t>
        </is>
      </c>
      <c r="D120" t="inlineStr">
        <is>
          <t>SKU-10057</t>
        </is>
      </c>
      <c r="E120" t="inlineStr">
        <is>
          <t>AM03</t>
        </is>
      </c>
      <c r="F120" s="5" t="n">
        <v>225</v>
      </c>
      <c r="G120">
        <f>IF(LEFT(B120,1)="C","Credit","Factuur")</f>
        <v/>
      </c>
      <c r="H120">
        <f>IF(AND(B120=B119,D120=D119,A120=A119,F120=F119),1,0)</f>
        <v/>
      </c>
      <c r="I120">
        <f>IF(C120="C99999",1,0)</f>
        <v/>
      </c>
      <c r="J120" s="5">
        <f>IF(OR(H120=1,I120=1),0,IF(G120="Credit",-F120,F120))</f>
        <v/>
      </c>
    </row>
    <row r="121">
      <c r="A121" t="inlineStr">
        <is>
          <t>2026-07-02</t>
        </is>
      </c>
      <c r="B121" t="inlineStr">
        <is>
          <t>F271988</t>
        </is>
      </c>
      <c r="C121" t="inlineStr">
        <is>
          <t>C10617</t>
        </is>
      </c>
      <c r="D121" t="inlineStr">
        <is>
          <t>SKU-10125</t>
        </is>
      </c>
      <c r="E121" t="inlineStr">
        <is>
          <t>AM02</t>
        </is>
      </c>
      <c r="F121" s="5" t="n">
        <v>121.46</v>
      </c>
      <c r="G121">
        <f>IF(LEFT(B121,1)="C","Credit","Factuur")</f>
        <v/>
      </c>
      <c r="H121">
        <f>IF(AND(B121=B120,D121=D120,A121=A120,F121=F120),1,0)</f>
        <v/>
      </c>
      <c r="I121">
        <f>IF(C121="C99999",1,0)</f>
        <v/>
      </c>
      <c r="J121" s="5">
        <f>IF(OR(H121=1,I121=1),0,IF(G121="Credit",-F121,F121))</f>
        <v/>
      </c>
    </row>
    <row r="122">
      <c r="A122" t="inlineStr">
        <is>
          <t>2026-07-02</t>
        </is>
      </c>
      <c r="B122" t="inlineStr">
        <is>
          <t>F271988</t>
        </is>
      </c>
      <c r="C122" t="inlineStr">
        <is>
          <t>C10617</t>
        </is>
      </c>
      <c r="D122" t="inlineStr">
        <is>
          <t>SKU-10257</t>
        </is>
      </c>
      <c r="E122" t="inlineStr">
        <is>
          <t>AM02</t>
        </is>
      </c>
      <c r="F122" s="5" t="n">
        <v>113.76</v>
      </c>
      <c r="G122">
        <f>IF(LEFT(B122,1)="C","Credit","Factuur")</f>
        <v/>
      </c>
      <c r="H122">
        <f>IF(AND(B122=B121,D122=D121,A122=A121,F122=F121),1,0)</f>
        <v/>
      </c>
      <c r="I122">
        <f>IF(C122="C99999",1,0)</f>
        <v/>
      </c>
      <c r="J122" s="5">
        <f>IF(OR(H122=1,I122=1),0,IF(G122="Credit",-F122,F122))</f>
        <v/>
      </c>
    </row>
    <row r="123">
      <c r="A123" t="inlineStr">
        <is>
          <t>2026-07-02</t>
        </is>
      </c>
      <c r="B123" t="inlineStr">
        <is>
          <t>F273218</t>
        </is>
      </c>
      <c r="C123" t="inlineStr">
        <is>
          <t>C10690</t>
        </is>
      </c>
      <c r="D123" t="inlineStr">
        <is>
          <t>SKU-10286</t>
        </is>
      </c>
      <c r="E123" t="inlineStr">
        <is>
          <t>IS02</t>
        </is>
      </c>
      <c r="F123" s="5" t="n">
        <v>146</v>
      </c>
      <c r="G123">
        <f>IF(LEFT(B123,1)="C","Credit","Factuur")</f>
        <v/>
      </c>
      <c r="H123">
        <f>IF(AND(B123=B122,D123=D122,A123=A122,F123=F122),1,0)</f>
        <v/>
      </c>
      <c r="I123">
        <f>IF(C123="C99999",1,0)</f>
        <v/>
      </c>
      <c r="J123" s="5">
        <f>IF(OR(H123=1,I123=1),0,IF(G123="Credit",-F123,F123))</f>
        <v/>
      </c>
    </row>
    <row r="124">
      <c r="A124" t="inlineStr">
        <is>
          <t>2026-07-02</t>
        </is>
      </c>
      <c r="B124" t="inlineStr">
        <is>
          <t>F274260</t>
        </is>
      </c>
      <c r="C124" t="inlineStr">
        <is>
          <t>C10754</t>
        </is>
      </c>
      <c r="D124" t="inlineStr">
        <is>
          <t>SKU-10054</t>
        </is>
      </c>
      <c r="E124" t="inlineStr">
        <is>
          <t>AM01</t>
        </is>
      </c>
      <c r="F124" s="5" t="n">
        <v>271.71</v>
      </c>
      <c r="G124">
        <f>IF(LEFT(B124,1)="C","Credit","Factuur")</f>
        <v/>
      </c>
      <c r="H124">
        <f>IF(AND(B124=B123,D124=D123,A124=A123,F124=F123),1,0)</f>
        <v/>
      </c>
      <c r="I124">
        <f>IF(C124="C99999",1,0)</f>
        <v/>
      </c>
      <c r="J124" s="5">
        <f>IF(OR(H124=1,I124=1),0,IF(G124="Credit",-F124,F124))</f>
        <v/>
      </c>
    </row>
    <row r="125">
      <c r="A125" t="inlineStr">
        <is>
          <t>2026-07-02</t>
        </is>
      </c>
      <c r="B125" t="inlineStr">
        <is>
          <t>F274260</t>
        </is>
      </c>
      <c r="C125" t="inlineStr">
        <is>
          <t>C10754</t>
        </is>
      </c>
      <c r="D125" t="inlineStr">
        <is>
          <t>SKU-10104</t>
        </is>
      </c>
      <c r="E125" t="inlineStr">
        <is>
          <t>AM01</t>
        </is>
      </c>
      <c r="F125" s="5" t="n">
        <v>273.42</v>
      </c>
      <c r="G125">
        <f>IF(LEFT(B125,1)="C","Credit","Factuur")</f>
        <v/>
      </c>
      <c r="H125">
        <f>IF(AND(B125=B124,D125=D124,A125=A124,F125=F124),1,0)</f>
        <v/>
      </c>
      <c r="I125">
        <f>IF(C125="C99999",1,0)</f>
        <v/>
      </c>
      <c r="J125" s="5">
        <f>IF(OR(H125=1,I125=1),0,IF(G125="Credit",-F125,F125))</f>
        <v/>
      </c>
    </row>
    <row r="126">
      <c r="A126" t="inlineStr">
        <is>
          <t>2026-07-02</t>
        </is>
      </c>
      <c r="B126" t="inlineStr">
        <is>
          <t>F274260</t>
        </is>
      </c>
      <c r="C126" t="inlineStr">
        <is>
          <t>C10754</t>
        </is>
      </c>
      <c r="D126" t="inlineStr">
        <is>
          <t>SKU-10271</t>
        </is>
      </c>
      <c r="E126" t="inlineStr">
        <is>
          <t>AM01</t>
        </is>
      </c>
      <c r="F126" s="5" t="n">
        <v>266</v>
      </c>
      <c r="G126">
        <f>IF(LEFT(B126,1)="C","Credit","Factuur")</f>
        <v/>
      </c>
      <c r="H126">
        <f>IF(AND(B126=B125,D126=D125,A126=A125,F126=F125),1,0)</f>
        <v/>
      </c>
      <c r="I126">
        <f>IF(C126="C99999",1,0)</f>
        <v/>
      </c>
      <c r="J126" s="5">
        <f>IF(OR(H126=1,I126=1),0,IF(G126="Credit",-F126,F126))</f>
        <v/>
      </c>
    </row>
    <row r="127">
      <c r="A127" t="inlineStr">
        <is>
          <t>2026-07-02</t>
        </is>
      </c>
      <c r="B127" t="inlineStr">
        <is>
          <t>F274440</t>
        </is>
      </c>
      <c r="C127" t="inlineStr">
        <is>
          <t>C10762</t>
        </is>
      </c>
      <c r="D127" t="inlineStr">
        <is>
          <t>SKU-10166</t>
        </is>
      </c>
      <c r="E127" t="inlineStr">
        <is>
          <t>AM03</t>
        </is>
      </c>
      <c r="F127" s="5" t="n">
        <v>346.99</v>
      </c>
      <c r="G127">
        <f>IF(LEFT(B127,1)="C","Credit","Factuur")</f>
        <v/>
      </c>
      <c r="H127">
        <f>IF(AND(B127=B126,D127=D126,A127=A126,F127=F126),1,0)</f>
        <v/>
      </c>
      <c r="I127">
        <f>IF(C127="C99999",1,0)</f>
        <v/>
      </c>
      <c r="J127" s="5">
        <f>IF(OR(H127=1,I127=1),0,IF(G127="Credit",-F127,F127))</f>
        <v/>
      </c>
    </row>
    <row r="128">
      <c r="A128" t="inlineStr">
        <is>
          <t>2026-07-02</t>
        </is>
      </c>
      <c r="B128" t="inlineStr">
        <is>
          <t>F274769</t>
        </is>
      </c>
      <c r="C128" t="inlineStr">
        <is>
          <t>C10781</t>
        </is>
      </c>
      <c r="D128" t="inlineStr">
        <is>
          <t>SKU-10007</t>
        </is>
      </c>
      <c r="E128" t="inlineStr">
        <is>
          <t>AM08</t>
        </is>
      </c>
      <c r="F128" s="5" t="n">
        <v>315.4</v>
      </c>
      <c r="G128">
        <f>IF(LEFT(B128,1)="C","Credit","Factuur")</f>
        <v/>
      </c>
      <c r="H128">
        <f>IF(AND(B128=B127,D128=D127,A128=A127,F128=F127),1,0)</f>
        <v/>
      </c>
      <c r="I128">
        <f>IF(C128="C99999",1,0)</f>
        <v/>
      </c>
      <c r="J128" s="5">
        <f>IF(OR(H128=1,I128=1),0,IF(G128="Credit",-F128,F128))</f>
        <v/>
      </c>
    </row>
    <row r="129">
      <c r="A129" t="inlineStr">
        <is>
          <t>2026-07-02</t>
        </is>
      </c>
      <c r="B129" t="inlineStr">
        <is>
          <t>F274769</t>
        </is>
      </c>
      <c r="C129" t="inlineStr">
        <is>
          <t>C10781</t>
        </is>
      </c>
      <c r="D129" t="inlineStr">
        <is>
          <t>SKU-10011</t>
        </is>
      </c>
      <c r="E129" t="inlineStr">
        <is>
          <t>AM08</t>
        </is>
      </c>
      <c r="F129" s="5" t="n">
        <v>316.68</v>
      </c>
      <c r="G129">
        <f>IF(LEFT(B129,1)="C","Credit","Factuur")</f>
        <v/>
      </c>
      <c r="H129">
        <f>IF(AND(B129=B128,D129=D128,A129=A128,F129=F128),1,0)</f>
        <v/>
      </c>
      <c r="I129">
        <f>IF(C129="C99999",1,0)</f>
        <v/>
      </c>
      <c r="J129" s="5">
        <f>IF(OR(H129=1,I129=1),0,IF(G129="Credit",-F129,F129))</f>
        <v/>
      </c>
    </row>
    <row r="130">
      <c r="A130" t="inlineStr">
        <is>
          <t>2026-07-02</t>
        </is>
      </c>
      <c r="B130" t="inlineStr">
        <is>
          <t>F274769</t>
        </is>
      </c>
      <c r="C130" t="inlineStr">
        <is>
          <t>C10781</t>
        </is>
      </c>
      <c r="D130" t="inlineStr">
        <is>
          <t>SKU-10072</t>
        </is>
      </c>
      <c r="E130" t="inlineStr">
        <is>
          <t>AM08</t>
        </is>
      </c>
      <c r="F130" s="5" t="n">
        <v>313.38</v>
      </c>
      <c r="G130">
        <f>IF(LEFT(B130,1)="C","Credit","Factuur")</f>
        <v/>
      </c>
      <c r="H130">
        <f>IF(AND(B130=B129,D130=D129,A130=A129,F130=F129),1,0)</f>
        <v/>
      </c>
      <c r="I130">
        <f>IF(C130="C99999",1,0)</f>
        <v/>
      </c>
      <c r="J130" s="5">
        <f>IF(OR(H130=1,I130=1),0,IF(G130="Credit",-F130,F130))</f>
        <v/>
      </c>
    </row>
    <row r="131">
      <c r="A131" t="inlineStr">
        <is>
          <t>2026-07-02</t>
        </is>
      </c>
      <c r="B131" t="inlineStr">
        <is>
          <t>F274769</t>
        </is>
      </c>
      <c r="C131" t="inlineStr">
        <is>
          <t>C10781</t>
        </is>
      </c>
      <c r="D131" t="inlineStr">
        <is>
          <t>SKU-10097</t>
        </is>
      </c>
      <c r="E131" t="inlineStr">
        <is>
          <t>AM08</t>
        </is>
      </c>
      <c r="F131" s="5" t="n">
        <v>319.5</v>
      </c>
      <c r="G131">
        <f>IF(LEFT(B131,1)="C","Credit","Factuur")</f>
        <v/>
      </c>
      <c r="H131">
        <f>IF(AND(B131=B130,D131=D130,A131=A130,F131=F130),1,0)</f>
        <v/>
      </c>
      <c r="I131">
        <f>IF(C131="C99999",1,0)</f>
        <v/>
      </c>
      <c r="J131" s="5">
        <f>IF(OR(H131=1,I131=1),0,IF(G131="Credit",-F131,F131))</f>
        <v/>
      </c>
    </row>
    <row r="132">
      <c r="A132" t="inlineStr">
        <is>
          <t>2026-07-02</t>
        </is>
      </c>
      <c r="B132" t="inlineStr">
        <is>
          <t>F274769</t>
        </is>
      </c>
      <c r="C132" t="inlineStr">
        <is>
          <t>C10781</t>
        </is>
      </c>
      <c r="D132" t="inlineStr">
        <is>
          <t>SKU-10173</t>
        </is>
      </c>
      <c r="E132" t="inlineStr">
        <is>
          <t>AM08</t>
        </is>
      </c>
      <c r="F132" s="5" t="n">
        <v>322.5</v>
      </c>
      <c r="G132">
        <f>IF(LEFT(B132,1)="C","Credit","Factuur")</f>
        <v/>
      </c>
      <c r="H132">
        <f>IF(AND(B132=B131,D132=D131,A132=A131,F132=F131),1,0)</f>
        <v/>
      </c>
      <c r="I132">
        <f>IF(C132="C99999",1,0)</f>
        <v/>
      </c>
      <c r="J132" s="5">
        <f>IF(OR(H132=1,I132=1),0,IF(G132="Credit",-F132,F132))</f>
        <v/>
      </c>
    </row>
    <row r="133">
      <c r="A133" t="inlineStr">
        <is>
          <t>2026-07-02</t>
        </is>
      </c>
      <c r="B133" t="inlineStr">
        <is>
          <t>F275849</t>
        </is>
      </c>
      <c r="C133" t="inlineStr">
        <is>
          <t>C10840</t>
        </is>
      </c>
      <c r="D133" t="inlineStr">
        <is>
          <t>SKU-10064</t>
        </is>
      </c>
      <c r="E133" t="inlineStr">
        <is>
          <t>AM05</t>
        </is>
      </c>
      <c r="F133" s="5" t="n">
        <v>157.12</v>
      </c>
      <c r="G133">
        <f>IF(LEFT(B133,1)="C","Credit","Factuur")</f>
        <v/>
      </c>
      <c r="H133">
        <f>IF(AND(B133=B132,D133=D132,A133=A132,F133=F132),1,0)</f>
        <v/>
      </c>
      <c r="I133">
        <f>IF(C133="C99999",1,0)</f>
        <v/>
      </c>
      <c r="J133" s="5">
        <f>IF(OR(H133=1,I133=1),0,IF(G133="Credit",-F133,F133))</f>
        <v/>
      </c>
    </row>
    <row r="134">
      <c r="A134" t="inlineStr">
        <is>
          <t>2026-07-02</t>
        </is>
      </c>
      <c r="B134" t="inlineStr">
        <is>
          <t>F275849</t>
        </is>
      </c>
      <c r="C134" t="inlineStr">
        <is>
          <t>C10840</t>
        </is>
      </c>
      <c r="D134" t="inlineStr">
        <is>
          <t>SKU-10077</t>
        </is>
      </c>
      <c r="E134" t="inlineStr">
        <is>
          <t>AM05</t>
        </is>
      </c>
      <c r="F134" s="5" t="n">
        <v>128.76</v>
      </c>
      <c r="G134">
        <f>IF(LEFT(B134,1)="C","Credit","Factuur")</f>
        <v/>
      </c>
      <c r="H134">
        <f>IF(AND(B134=B133,D134=D133,A134=A133,F134=F133),1,0)</f>
        <v/>
      </c>
      <c r="I134">
        <f>IF(C134="C99999",1,0)</f>
        <v/>
      </c>
      <c r="J134" s="5">
        <f>IF(OR(H134=1,I134=1),0,IF(G134="Credit",-F134,F134))</f>
        <v/>
      </c>
    </row>
    <row r="135">
      <c r="A135" t="inlineStr">
        <is>
          <t>2026-07-02</t>
        </is>
      </c>
      <c r="B135" t="inlineStr">
        <is>
          <t>F275849</t>
        </is>
      </c>
      <c r="C135" t="inlineStr">
        <is>
          <t>C10840</t>
        </is>
      </c>
      <c r="D135" t="inlineStr">
        <is>
          <t>SKU-10097</t>
        </is>
      </c>
      <c r="E135" t="inlineStr">
        <is>
          <t>AM05</t>
        </is>
      </c>
      <c r="F135" s="5" t="n">
        <v>141.64</v>
      </c>
      <c r="G135">
        <f>IF(LEFT(B135,1)="C","Credit","Factuur")</f>
        <v/>
      </c>
      <c r="H135">
        <f>IF(AND(B135=B134,D135=D134,A135=A134,F135=F134),1,0)</f>
        <v/>
      </c>
      <c r="I135">
        <f>IF(C135="C99999",1,0)</f>
        <v/>
      </c>
      <c r="J135" s="5">
        <f>IF(OR(H135=1,I135=1),0,IF(G135="Credit",-F135,F135))</f>
        <v/>
      </c>
    </row>
    <row r="136">
      <c r="A136" t="inlineStr">
        <is>
          <t>2026-07-02</t>
        </is>
      </c>
      <c r="B136" t="inlineStr">
        <is>
          <t>F275883</t>
        </is>
      </c>
      <c r="C136" t="inlineStr">
        <is>
          <t>C10842</t>
        </is>
      </c>
      <c r="D136" t="inlineStr">
        <is>
          <t>SKU-10033</t>
        </is>
      </c>
      <c r="E136" t="inlineStr">
        <is>
          <t>IS02</t>
        </is>
      </c>
      <c r="F136" s="5" t="n">
        <v>112.55</v>
      </c>
      <c r="G136">
        <f>IF(LEFT(B136,1)="C","Credit","Factuur")</f>
        <v/>
      </c>
      <c r="H136">
        <f>IF(AND(B136=B135,D136=D135,A136=A135,F136=F135),1,0)</f>
        <v/>
      </c>
      <c r="I136">
        <f>IF(C136="C99999",1,0)</f>
        <v/>
      </c>
      <c r="J136" s="5">
        <f>IF(OR(H136=1,I136=1),0,IF(G136="Credit",-F136,F136))</f>
        <v/>
      </c>
    </row>
    <row r="137">
      <c r="A137" t="inlineStr">
        <is>
          <t>2026-07-02</t>
        </is>
      </c>
      <c r="B137" t="inlineStr">
        <is>
          <t>F275929</t>
        </is>
      </c>
      <c r="C137" t="inlineStr">
        <is>
          <t>C10847</t>
        </is>
      </c>
      <c r="D137" t="inlineStr">
        <is>
          <t>SKU-10003</t>
        </is>
      </c>
      <c r="E137" t="inlineStr">
        <is>
          <t>AM12</t>
        </is>
      </c>
      <c r="F137" s="5" t="n">
        <v>339.42</v>
      </c>
      <c r="G137">
        <f>IF(LEFT(B137,1)="C","Credit","Factuur")</f>
        <v/>
      </c>
      <c r="H137">
        <f>IF(AND(B137=B136,D137=D136,A137=A136,F137=F136),1,0)</f>
        <v/>
      </c>
      <c r="I137">
        <f>IF(C137="C99999",1,0)</f>
        <v/>
      </c>
      <c r="J137" s="5">
        <f>IF(OR(H137=1,I137=1),0,IF(G137="Credit",-F137,F137))</f>
        <v/>
      </c>
    </row>
    <row r="138">
      <c r="A138" t="inlineStr">
        <is>
          <t>2026-07-02</t>
        </is>
      </c>
      <c r="B138" t="inlineStr">
        <is>
          <t>F275929</t>
        </is>
      </c>
      <c r="C138" t="inlineStr">
        <is>
          <t>C10847</t>
        </is>
      </c>
      <c r="D138" t="inlineStr">
        <is>
          <t>SKU-10032</t>
        </is>
      </c>
      <c r="E138" t="inlineStr">
        <is>
          <t>AM12</t>
        </is>
      </c>
      <c r="F138" s="5" t="n">
        <v>323.6</v>
      </c>
      <c r="G138">
        <f>IF(LEFT(B138,1)="C","Credit","Factuur")</f>
        <v/>
      </c>
      <c r="H138">
        <f>IF(AND(B138=B137,D138=D137,A138=A137,F138=F137),1,0)</f>
        <v/>
      </c>
      <c r="I138">
        <f>IF(C138="C99999",1,0)</f>
        <v/>
      </c>
      <c r="J138" s="5">
        <f>IF(OR(H138=1,I138=1),0,IF(G138="Credit",-F138,F138))</f>
        <v/>
      </c>
    </row>
    <row r="139">
      <c r="A139" t="inlineStr">
        <is>
          <t>2026-07-02</t>
        </is>
      </c>
      <c r="B139" t="inlineStr">
        <is>
          <t>F275929</t>
        </is>
      </c>
      <c r="C139" t="inlineStr">
        <is>
          <t>C10847</t>
        </is>
      </c>
      <c r="D139" t="inlineStr">
        <is>
          <t>SKU-10219</t>
        </is>
      </c>
      <c r="E139" t="inlineStr">
        <is>
          <t>AM12</t>
        </is>
      </c>
      <c r="F139" s="5" t="n">
        <v>354.84</v>
      </c>
      <c r="G139">
        <f>IF(LEFT(B139,1)="C","Credit","Factuur")</f>
        <v/>
      </c>
      <c r="H139">
        <f>IF(AND(B139=B138,D139=D138,A139=A138,F139=F138),1,0)</f>
        <v/>
      </c>
      <c r="I139">
        <f>IF(C139="C99999",1,0)</f>
        <v/>
      </c>
      <c r="J139" s="5">
        <f>IF(OR(H139=1,I139=1),0,IF(G139="Credit",-F139,F139))</f>
        <v/>
      </c>
    </row>
    <row r="140">
      <c r="A140" t="inlineStr">
        <is>
          <t>2026-07-02</t>
        </is>
      </c>
      <c r="B140" t="inlineStr">
        <is>
          <t>F277085</t>
        </is>
      </c>
      <c r="C140" t="inlineStr">
        <is>
          <t>C10905</t>
        </is>
      </c>
      <c r="D140" t="inlineStr">
        <is>
          <t>SKU-10006</t>
        </is>
      </c>
      <c r="E140" t="inlineStr">
        <is>
          <t>AM05</t>
        </is>
      </c>
      <c r="F140" s="5" t="n">
        <v>179.57</v>
      </c>
      <c r="G140">
        <f>IF(LEFT(B140,1)="C","Credit","Factuur")</f>
        <v/>
      </c>
      <c r="H140">
        <f>IF(AND(B140=B139,D140=D139,A140=A139,F140=F139),1,0)</f>
        <v/>
      </c>
      <c r="I140">
        <f>IF(C140="C99999",1,0)</f>
        <v/>
      </c>
      <c r="J140" s="5">
        <f>IF(OR(H140=1,I140=1),0,IF(G140="Credit",-F140,F140))</f>
        <v/>
      </c>
    </row>
    <row r="141">
      <c r="A141" t="inlineStr">
        <is>
          <t>2026-07-02</t>
        </is>
      </c>
      <c r="B141" t="inlineStr">
        <is>
          <t>F277085</t>
        </is>
      </c>
      <c r="C141" t="inlineStr">
        <is>
          <t>C10905</t>
        </is>
      </c>
      <c r="D141" t="inlineStr">
        <is>
          <t>SKU-10007</t>
        </is>
      </c>
      <c r="E141" t="inlineStr">
        <is>
          <t>AM05</t>
        </is>
      </c>
      <c r="F141" s="5" t="n">
        <v>180.41</v>
      </c>
      <c r="G141">
        <f>IF(LEFT(B141,1)="C","Credit","Factuur")</f>
        <v/>
      </c>
      <c r="H141">
        <f>IF(AND(B141=B140,D141=D140,A141=A140,F141=F140),1,0)</f>
        <v/>
      </c>
      <c r="I141">
        <f>IF(C141="C99999",1,0)</f>
        <v/>
      </c>
      <c r="J141" s="5">
        <f>IF(OR(H141=1,I141=1),0,IF(G141="Credit",-F141,F141))</f>
        <v/>
      </c>
    </row>
    <row r="142">
      <c r="A142" t="inlineStr">
        <is>
          <t>2026-07-02</t>
        </is>
      </c>
      <c r="B142" t="inlineStr">
        <is>
          <t>F277085</t>
        </is>
      </c>
      <c r="C142" t="inlineStr">
        <is>
          <t>C10905</t>
        </is>
      </c>
      <c r="D142" t="inlineStr">
        <is>
          <t>SKU-10066</t>
        </is>
      </c>
      <c r="E142" t="inlineStr">
        <is>
          <t>AM05</t>
        </is>
      </c>
      <c r="F142" s="5" t="n">
        <v>195.52</v>
      </c>
      <c r="G142">
        <f>IF(LEFT(B142,1)="C","Credit","Factuur")</f>
        <v/>
      </c>
      <c r="H142">
        <f>IF(AND(B142=B141,D142=D141,A142=A141,F142=F141),1,0)</f>
        <v/>
      </c>
      <c r="I142">
        <f>IF(C142="C99999",1,0)</f>
        <v/>
      </c>
      <c r="J142" s="5">
        <f>IF(OR(H142=1,I142=1),0,IF(G142="Credit",-F142,F142))</f>
        <v/>
      </c>
    </row>
    <row r="143">
      <c r="A143" t="inlineStr">
        <is>
          <t>2026-07-02</t>
        </is>
      </c>
      <c r="B143" t="inlineStr">
        <is>
          <t>F277085</t>
        </is>
      </c>
      <c r="C143" t="inlineStr">
        <is>
          <t>C10905</t>
        </is>
      </c>
      <c r="D143" t="inlineStr">
        <is>
          <t>SKU-10253</t>
        </is>
      </c>
      <c r="E143" t="inlineStr">
        <is>
          <t>AM05</t>
        </is>
      </c>
      <c r="F143" s="5" t="n">
        <v>169.27</v>
      </c>
      <c r="G143">
        <f>IF(LEFT(B143,1)="C","Credit","Factuur")</f>
        <v/>
      </c>
      <c r="H143">
        <f>IF(AND(B143=B142,D143=D142,A143=A142,F143=F142),1,0)</f>
        <v/>
      </c>
      <c r="I143">
        <f>IF(C143="C99999",1,0)</f>
        <v/>
      </c>
      <c r="J143" s="5">
        <f>IF(OR(H143=1,I143=1),0,IF(G143="Credit",-F143,F143))</f>
        <v/>
      </c>
    </row>
    <row r="144">
      <c r="A144" t="inlineStr">
        <is>
          <t>2026-07-02</t>
        </is>
      </c>
      <c r="B144" t="inlineStr">
        <is>
          <t>F277085</t>
        </is>
      </c>
      <c r="C144" t="inlineStr">
        <is>
          <t>C10905</t>
        </is>
      </c>
      <c r="D144" t="inlineStr">
        <is>
          <t>SKU-10284</t>
        </is>
      </c>
      <c r="E144" t="inlineStr">
        <is>
          <t>AM05</t>
        </is>
      </c>
      <c r="F144" s="5" t="n">
        <v>179.84</v>
      </c>
      <c r="G144">
        <f>IF(LEFT(B144,1)="C","Credit","Factuur")</f>
        <v/>
      </c>
      <c r="H144">
        <f>IF(AND(B144=B143,D144=D143,A144=A143,F144=F143),1,0)</f>
        <v/>
      </c>
      <c r="I144">
        <f>IF(C144="C99999",1,0)</f>
        <v/>
      </c>
      <c r="J144" s="5">
        <f>IF(OR(H144=1,I144=1),0,IF(G144="Credit",-F144,F144))</f>
        <v/>
      </c>
    </row>
    <row r="145">
      <c r="A145" t="inlineStr">
        <is>
          <t>2026-07-02</t>
        </is>
      </c>
      <c r="B145" t="inlineStr">
        <is>
          <t>F278731</t>
        </is>
      </c>
      <c r="C145" t="inlineStr">
        <is>
          <t>C10993</t>
        </is>
      </c>
      <c r="D145" t="inlineStr">
        <is>
          <t>SKU-10048</t>
        </is>
      </c>
      <c r="E145" t="inlineStr">
        <is>
          <t>AM11</t>
        </is>
      </c>
      <c r="F145" s="5" t="n">
        <v>402.47</v>
      </c>
      <c r="G145">
        <f>IF(LEFT(B145,1)="C","Credit","Factuur")</f>
        <v/>
      </c>
      <c r="H145">
        <f>IF(AND(B145=B144,D145=D144,A145=A144,F145=F144),1,0)</f>
        <v/>
      </c>
      <c r="I145">
        <f>IF(C145="C99999",1,0)</f>
        <v/>
      </c>
      <c r="J145" s="5">
        <f>IF(OR(H145=1,I145=1),0,IF(G145="Credit",-F145,F145))</f>
        <v/>
      </c>
    </row>
    <row r="146">
      <c r="A146" t="inlineStr">
        <is>
          <t>2026-07-02</t>
        </is>
      </c>
      <c r="B146" t="inlineStr">
        <is>
          <t>F278731</t>
        </is>
      </c>
      <c r="C146" t="inlineStr">
        <is>
          <t>C10993</t>
        </is>
      </c>
      <c r="D146" t="inlineStr">
        <is>
          <t>SKU-10279</t>
        </is>
      </c>
      <c r="E146" t="inlineStr">
        <is>
          <t>AM11</t>
        </is>
      </c>
      <c r="F146" s="5" t="n">
        <v>497.4</v>
      </c>
      <c r="G146">
        <f>IF(LEFT(B146,1)="C","Credit","Factuur")</f>
        <v/>
      </c>
      <c r="H146">
        <f>IF(AND(B146=B145,D146=D145,A146=A145,F146=F145),1,0)</f>
        <v/>
      </c>
      <c r="I146">
        <f>IF(C146="C99999",1,0)</f>
        <v/>
      </c>
      <c r="J146" s="5">
        <f>IF(OR(H146=1,I146=1),0,IF(G146="Credit",-F146,F146))</f>
        <v/>
      </c>
    </row>
    <row r="147">
      <c r="A147" t="inlineStr">
        <is>
          <t>2026-07-02</t>
        </is>
      </c>
      <c r="B147" t="inlineStr">
        <is>
          <t>F279090</t>
        </is>
      </c>
      <c r="C147" t="inlineStr">
        <is>
          <t>C11010</t>
        </is>
      </c>
      <c r="D147" t="inlineStr">
        <is>
          <t>SKU-10035</t>
        </is>
      </c>
      <c r="E147" t="inlineStr">
        <is>
          <t>AM07</t>
        </is>
      </c>
      <c r="F147" s="5" t="n">
        <v>1096.57</v>
      </c>
      <c r="G147">
        <f>IF(LEFT(B147,1)="C","Credit","Factuur")</f>
        <v/>
      </c>
      <c r="H147">
        <f>IF(AND(B147=B146,D147=D146,A147=A146,F147=F146),1,0)</f>
        <v/>
      </c>
      <c r="I147">
        <f>IF(C147="C99999",1,0)</f>
        <v/>
      </c>
      <c r="J147" s="5">
        <f>IF(OR(H147=1,I147=1),0,IF(G147="Credit",-F147,F147))</f>
        <v/>
      </c>
    </row>
    <row r="148">
      <c r="A148" t="inlineStr">
        <is>
          <t>2026-07-02</t>
        </is>
      </c>
      <c r="B148" t="inlineStr">
        <is>
          <t>F280391</t>
        </is>
      </c>
      <c r="C148" t="inlineStr">
        <is>
          <t>C11076</t>
        </is>
      </c>
      <c r="D148" t="inlineStr">
        <is>
          <t>SKU-10165</t>
        </is>
      </c>
      <c r="E148" t="inlineStr">
        <is>
          <t>AM12</t>
        </is>
      </c>
      <c r="F148" s="5" t="n">
        <v>359.27</v>
      </c>
      <c r="G148">
        <f>IF(LEFT(B148,1)="C","Credit","Factuur")</f>
        <v/>
      </c>
      <c r="H148">
        <f>IF(AND(B148=B147,D148=D147,A148=A147,F148=F147),1,0)</f>
        <v/>
      </c>
      <c r="I148">
        <f>IF(C148="C99999",1,0)</f>
        <v/>
      </c>
      <c r="J148" s="5">
        <f>IF(OR(H148=1,I148=1),0,IF(G148="Credit",-F148,F148))</f>
        <v/>
      </c>
    </row>
    <row r="149">
      <c r="A149" t="inlineStr">
        <is>
          <t>2026-07-02</t>
        </is>
      </c>
      <c r="B149" t="inlineStr">
        <is>
          <t>F280907</t>
        </is>
      </c>
      <c r="C149" t="inlineStr">
        <is>
          <t>C11102</t>
        </is>
      </c>
      <c r="D149" t="inlineStr">
        <is>
          <t>SKU-10064</t>
        </is>
      </c>
      <c r="E149" t="inlineStr">
        <is>
          <t>AM01</t>
        </is>
      </c>
      <c r="F149" s="5" t="n">
        <v>39.28</v>
      </c>
      <c r="G149">
        <f>IF(LEFT(B149,1)="C","Credit","Factuur")</f>
        <v/>
      </c>
      <c r="H149">
        <f>IF(AND(B149=B148,D149=D148,A149=A148,F149=F148),1,0)</f>
        <v/>
      </c>
      <c r="I149">
        <f>IF(C149="C99999",1,0)</f>
        <v/>
      </c>
      <c r="J149" s="5">
        <f>IF(OR(H149=1,I149=1),0,IF(G149="Credit",-F149,F149))</f>
        <v/>
      </c>
    </row>
    <row r="150">
      <c r="A150" t="inlineStr">
        <is>
          <t>2026-07-02</t>
        </is>
      </c>
      <c r="B150" t="inlineStr">
        <is>
          <t>F280907</t>
        </is>
      </c>
      <c r="C150" t="inlineStr">
        <is>
          <t>C11102</t>
        </is>
      </c>
      <c r="D150" t="inlineStr">
        <is>
          <t>SKU-10157</t>
        </is>
      </c>
      <c r="E150" t="inlineStr">
        <is>
          <t>AM01</t>
        </is>
      </c>
      <c r="F150" s="5" t="n">
        <v>43.76</v>
      </c>
      <c r="G150">
        <f>IF(LEFT(B150,1)="C","Credit","Factuur")</f>
        <v/>
      </c>
      <c r="H150">
        <f>IF(AND(B150=B149,D150=D149,A150=A149,F150=F149),1,0)</f>
        <v/>
      </c>
      <c r="I150">
        <f>IF(C150="C99999",1,0)</f>
        <v/>
      </c>
      <c r="J150" s="5">
        <f>IF(OR(H150=1,I150=1),0,IF(G150="Credit",-F150,F150))</f>
        <v/>
      </c>
    </row>
    <row r="151">
      <c r="A151" t="inlineStr">
        <is>
          <t>2026-07-02</t>
        </is>
      </c>
      <c r="B151" t="inlineStr">
        <is>
          <t>F280907</t>
        </is>
      </c>
      <c r="C151" t="inlineStr">
        <is>
          <t>C11102</t>
        </is>
      </c>
      <c r="D151" t="inlineStr">
        <is>
          <t>SKU-10296</t>
        </is>
      </c>
      <c r="E151" t="inlineStr">
        <is>
          <t>AM01</t>
        </is>
      </c>
      <c r="F151" s="5" t="n">
        <v>50.2</v>
      </c>
      <c r="G151">
        <f>IF(LEFT(B151,1)="C","Credit","Factuur")</f>
        <v/>
      </c>
      <c r="H151">
        <f>IF(AND(B151=B150,D151=D150,A151=A150,F151=F150),1,0)</f>
        <v/>
      </c>
      <c r="I151">
        <f>IF(C151="C99999",1,0)</f>
        <v/>
      </c>
      <c r="J151" s="5">
        <f>IF(OR(H151=1,I151=1),0,IF(G151="Credit",-F151,F151))</f>
        <v/>
      </c>
    </row>
    <row r="152">
      <c r="A152" t="inlineStr">
        <is>
          <t>2026-07-02</t>
        </is>
      </c>
      <c r="B152" t="inlineStr">
        <is>
          <t>F280907</t>
        </is>
      </c>
      <c r="C152" t="inlineStr">
        <is>
          <t>C11102</t>
        </is>
      </c>
      <c r="D152" t="inlineStr">
        <is>
          <t>SKU-10326</t>
        </is>
      </c>
      <c r="E152" t="inlineStr">
        <is>
          <t>AM01</t>
        </is>
      </c>
      <c r="F152" s="5" t="n">
        <v>39.5</v>
      </c>
      <c r="G152">
        <f>IF(LEFT(B152,1)="C","Credit","Factuur")</f>
        <v/>
      </c>
      <c r="H152">
        <f>IF(AND(B152=B151,D152=D151,A152=A151,F152=F151),1,0)</f>
        <v/>
      </c>
      <c r="I152">
        <f>IF(C152="C99999",1,0)</f>
        <v/>
      </c>
      <c r="J152" s="5">
        <f>IF(OR(H152=1,I152=1),0,IF(G152="Credit",-F152,F152))</f>
        <v/>
      </c>
    </row>
    <row r="153">
      <c r="A153" t="inlineStr">
        <is>
          <t>2026-07-02</t>
        </is>
      </c>
      <c r="B153" t="inlineStr">
        <is>
          <t>F281725</t>
        </is>
      </c>
      <c r="C153" t="inlineStr">
        <is>
          <t>C11145</t>
        </is>
      </c>
      <c r="D153" t="inlineStr">
        <is>
          <t>SKU-10319</t>
        </is>
      </c>
      <c r="E153" t="inlineStr">
        <is>
          <t>AM11</t>
        </is>
      </c>
      <c r="F153" s="5" t="n">
        <v>659.83</v>
      </c>
      <c r="G153">
        <f>IF(LEFT(B153,1)="C","Credit","Factuur")</f>
        <v/>
      </c>
      <c r="H153">
        <f>IF(AND(B153=B152,D153=D152,A153=A152,F153=F152),1,0)</f>
        <v/>
      </c>
      <c r="I153">
        <f>IF(C153="C99999",1,0)</f>
        <v/>
      </c>
      <c r="J153" s="5">
        <f>IF(OR(H153=1,I153=1),0,IF(G153="Credit",-F153,F153))</f>
        <v/>
      </c>
    </row>
    <row r="154">
      <c r="A154" t="inlineStr">
        <is>
          <t>2026-07-02</t>
        </is>
      </c>
      <c r="B154" t="inlineStr">
        <is>
          <t>F281952</t>
        </is>
      </c>
      <c r="C154" t="inlineStr">
        <is>
          <t>C11153</t>
        </is>
      </c>
      <c r="D154" t="inlineStr">
        <is>
          <t>SKU-10182</t>
        </is>
      </c>
      <c r="E154" t="inlineStr">
        <is>
          <t>AM03</t>
        </is>
      </c>
      <c r="F154" s="5" t="n">
        <v>362.16</v>
      </c>
      <c r="G154">
        <f>IF(LEFT(B154,1)="C","Credit","Factuur")</f>
        <v/>
      </c>
      <c r="H154">
        <f>IF(AND(B154=B153,D154=D153,A154=A153,F154=F153),1,0)</f>
        <v/>
      </c>
      <c r="I154">
        <f>IF(C154="C99999",1,0)</f>
        <v/>
      </c>
      <c r="J154" s="5">
        <f>IF(OR(H154=1,I154=1),0,IF(G154="Credit",-F154,F154))</f>
        <v/>
      </c>
    </row>
    <row r="155">
      <c r="A155" t="inlineStr">
        <is>
          <t>2026-07-02</t>
        </is>
      </c>
      <c r="B155" t="inlineStr">
        <is>
          <t>F281952</t>
        </is>
      </c>
      <c r="C155" t="inlineStr">
        <is>
          <t>C11153</t>
        </is>
      </c>
      <c r="D155" t="inlineStr">
        <is>
          <t>SKU-10186</t>
        </is>
      </c>
      <c r="E155" t="inlineStr">
        <is>
          <t>AM03</t>
        </is>
      </c>
      <c r="F155" s="5" t="n">
        <v>362.95</v>
      </c>
      <c r="G155">
        <f>IF(LEFT(B155,1)="C","Credit","Factuur")</f>
        <v/>
      </c>
      <c r="H155">
        <f>IF(AND(B155=B154,D155=D154,A155=A154,F155=F154),1,0)</f>
        <v/>
      </c>
      <c r="I155">
        <f>IF(C155="C99999",1,0)</f>
        <v/>
      </c>
      <c r="J155" s="5">
        <f>IF(OR(H155=1,I155=1),0,IF(G155="Credit",-F155,F155))</f>
        <v/>
      </c>
    </row>
    <row r="156">
      <c r="A156" t="inlineStr">
        <is>
          <t>2026-07-02</t>
        </is>
      </c>
      <c r="B156" t="inlineStr">
        <is>
          <t>F283797</t>
        </is>
      </c>
      <c r="C156" t="inlineStr">
        <is>
          <t>C11247</t>
        </is>
      </c>
      <c r="D156" t="inlineStr">
        <is>
          <t>SKU-10239</t>
        </is>
      </c>
      <c r="E156" t="inlineStr">
        <is>
          <t>AM01</t>
        </is>
      </c>
      <c r="F156" s="5" t="n">
        <v>661.96</v>
      </c>
      <c r="G156">
        <f>IF(LEFT(B156,1)="C","Credit","Factuur")</f>
        <v/>
      </c>
      <c r="H156">
        <f>IF(AND(B156=B155,D156=D155,A156=A155,F156=F155),1,0)</f>
        <v/>
      </c>
      <c r="I156">
        <f>IF(C156="C99999",1,0)</f>
        <v/>
      </c>
      <c r="J156" s="5">
        <f>IF(OR(H156=1,I156=1),0,IF(G156="Credit",-F156,F156))</f>
        <v/>
      </c>
    </row>
    <row r="157">
      <c r="A157" t="inlineStr">
        <is>
          <t>2026-07-02</t>
        </is>
      </c>
      <c r="B157" t="inlineStr">
        <is>
          <t>F283797</t>
        </is>
      </c>
      <c r="C157" t="inlineStr">
        <is>
          <t>C11247</t>
        </is>
      </c>
      <c r="D157" t="inlineStr">
        <is>
          <t>SKU-10325</t>
        </is>
      </c>
      <c r="E157" t="inlineStr">
        <is>
          <t>AM01</t>
        </is>
      </c>
      <c r="F157" s="5" t="n">
        <v>706.5</v>
      </c>
      <c r="G157">
        <f>IF(LEFT(B157,1)="C","Credit","Factuur")</f>
        <v/>
      </c>
      <c r="H157">
        <f>IF(AND(B157=B156,D157=D156,A157=A156,F157=F156),1,0)</f>
        <v/>
      </c>
      <c r="I157">
        <f>IF(C157="C99999",1,0)</f>
        <v/>
      </c>
      <c r="J157" s="5">
        <f>IF(OR(H157=1,I157=1),0,IF(G157="Credit",-F157,F157))</f>
        <v/>
      </c>
    </row>
    <row r="158">
      <c r="A158" t="inlineStr">
        <is>
          <t>2026-07-02</t>
        </is>
      </c>
      <c r="B158" t="inlineStr">
        <is>
          <t>F283797</t>
        </is>
      </c>
      <c r="C158" t="inlineStr">
        <is>
          <t>C11247</t>
        </is>
      </c>
      <c r="D158" t="inlineStr">
        <is>
          <t>SKU-10338</t>
        </is>
      </c>
      <c r="E158" t="inlineStr">
        <is>
          <t>AM01</t>
        </is>
      </c>
      <c r="F158" s="5" t="n">
        <v>690.04</v>
      </c>
      <c r="G158">
        <f>IF(LEFT(B158,1)="C","Credit","Factuur")</f>
        <v/>
      </c>
      <c r="H158">
        <f>IF(AND(B158=B157,D158=D157,A158=A157,F158=F157),1,0)</f>
        <v/>
      </c>
      <c r="I158">
        <f>IF(C158="C99999",1,0)</f>
        <v/>
      </c>
      <c r="J158" s="5">
        <f>IF(OR(H158=1,I158=1),0,IF(G158="Credit",-F158,F158))</f>
        <v/>
      </c>
    </row>
    <row r="159">
      <c r="A159" t="inlineStr">
        <is>
          <t>2026-07-02</t>
        </is>
      </c>
      <c r="B159" t="inlineStr">
        <is>
          <t>F284170</t>
        </is>
      </c>
      <c r="C159" t="inlineStr">
        <is>
          <t>C11263</t>
        </is>
      </c>
      <c r="D159" t="inlineStr">
        <is>
          <t>SKU-10066</t>
        </is>
      </c>
      <c r="E159" t="inlineStr">
        <is>
          <t>AM06</t>
        </is>
      </c>
      <c r="F159" s="5" t="n">
        <v>60.16</v>
      </c>
      <c r="G159">
        <f>IF(LEFT(B159,1)="C","Credit","Factuur")</f>
        <v/>
      </c>
      <c r="H159">
        <f>IF(AND(B159=B158,D159=D158,A159=A158,F159=F158),1,0)</f>
        <v/>
      </c>
      <c r="I159">
        <f>IF(C159="C99999",1,0)</f>
        <v/>
      </c>
      <c r="J159" s="5">
        <f>IF(OR(H159=1,I159=1),0,IF(G159="Credit",-F159,F159))</f>
        <v/>
      </c>
    </row>
    <row r="160">
      <c r="A160" t="inlineStr">
        <is>
          <t>2026-07-02</t>
        </is>
      </c>
      <c r="B160" t="inlineStr">
        <is>
          <t>F284170</t>
        </is>
      </c>
      <c r="C160" t="inlineStr">
        <is>
          <t>C11263</t>
        </is>
      </c>
      <c r="D160" t="inlineStr">
        <is>
          <t>SKU-10109</t>
        </is>
      </c>
      <c r="E160" t="inlineStr">
        <is>
          <t>AM06</t>
        </is>
      </c>
      <c r="F160" s="5" t="n">
        <v>47.95</v>
      </c>
      <c r="G160">
        <f>IF(LEFT(B160,1)="C","Credit","Factuur")</f>
        <v/>
      </c>
      <c r="H160">
        <f>IF(AND(B160=B159,D160=D159,A160=A159,F160=F159),1,0)</f>
        <v/>
      </c>
      <c r="I160">
        <f>IF(C160="C99999",1,0)</f>
        <v/>
      </c>
      <c r="J160" s="5">
        <f>IF(OR(H160=1,I160=1),0,IF(G160="Credit",-F160,F160))</f>
        <v/>
      </c>
    </row>
    <row r="161">
      <c r="A161" t="inlineStr">
        <is>
          <t>2026-07-02</t>
        </is>
      </c>
      <c r="B161" t="inlineStr">
        <is>
          <t>F284170</t>
        </is>
      </c>
      <c r="C161" t="inlineStr">
        <is>
          <t>C11263</t>
        </is>
      </c>
      <c r="D161" t="inlineStr">
        <is>
          <t>SKU-10330</t>
        </is>
      </c>
      <c r="E161" t="inlineStr">
        <is>
          <t>AM06</t>
        </is>
      </c>
      <c r="F161" s="5" t="n">
        <v>56.58</v>
      </c>
      <c r="G161">
        <f>IF(LEFT(B161,1)="C","Credit","Factuur")</f>
        <v/>
      </c>
      <c r="H161">
        <f>IF(AND(B161=B160,D161=D160,A161=A160,F161=F160),1,0)</f>
        <v/>
      </c>
      <c r="I161">
        <f>IF(C161="C99999",1,0)</f>
        <v/>
      </c>
      <c r="J161" s="5">
        <f>IF(OR(H161=1,I161=1),0,IF(G161="Credit",-F161,F161))</f>
        <v/>
      </c>
    </row>
    <row r="162">
      <c r="A162" t="inlineStr">
        <is>
          <t>2026-07-02</t>
        </is>
      </c>
      <c r="B162" t="inlineStr">
        <is>
          <t>F284490</t>
        </is>
      </c>
      <c r="C162" t="inlineStr">
        <is>
          <t>C11284</t>
        </is>
      </c>
      <c r="D162" t="inlineStr">
        <is>
          <t>SKU-10022</t>
        </is>
      </c>
      <c r="E162" t="inlineStr">
        <is>
          <t>AM01</t>
        </is>
      </c>
      <c r="F162" s="5" t="n">
        <v>389.12</v>
      </c>
      <c r="G162">
        <f>IF(LEFT(B162,1)="C","Credit","Factuur")</f>
        <v/>
      </c>
      <c r="H162">
        <f>IF(AND(B162=B161,D162=D161,A162=A161,F162=F161),1,0)</f>
        <v/>
      </c>
      <c r="I162">
        <f>IF(C162="C99999",1,0)</f>
        <v/>
      </c>
      <c r="J162" s="5">
        <f>IF(OR(H162=1,I162=1),0,IF(G162="Credit",-F162,F162))</f>
        <v/>
      </c>
    </row>
    <row r="163">
      <c r="A163" t="inlineStr">
        <is>
          <t>2026-07-02</t>
        </is>
      </c>
      <c r="B163" t="inlineStr">
        <is>
          <t>F284490</t>
        </is>
      </c>
      <c r="C163" t="inlineStr">
        <is>
          <t>C11284</t>
        </is>
      </c>
      <c r="D163" t="inlineStr">
        <is>
          <t>SKU-10123</t>
        </is>
      </c>
      <c r="E163" t="inlineStr">
        <is>
          <t>AM01</t>
        </is>
      </c>
      <c r="F163" s="5" t="n">
        <v>390.6</v>
      </c>
      <c r="G163">
        <f>IF(LEFT(B163,1)="C","Credit","Factuur")</f>
        <v/>
      </c>
      <c r="H163">
        <f>IF(AND(B163=B162,D163=D162,A163=A162,F163=F162),1,0)</f>
        <v/>
      </c>
      <c r="I163">
        <f>IF(C163="C99999",1,0)</f>
        <v/>
      </c>
      <c r="J163" s="5">
        <f>IF(OR(H163=1,I163=1),0,IF(G163="Credit",-F163,F163))</f>
        <v/>
      </c>
    </row>
    <row r="164">
      <c r="A164" t="inlineStr">
        <is>
          <t>2026-07-02</t>
        </is>
      </c>
      <c r="B164" t="inlineStr">
        <is>
          <t>F284490</t>
        </is>
      </c>
      <c r="C164" t="inlineStr">
        <is>
          <t>C11284</t>
        </is>
      </c>
      <c r="D164" t="inlineStr">
        <is>
          <t>SKU-10275</t>
        </is>
      </c>
      <c r="E164" t="inlineStr">
        <is>
          <t>AM01</t>
        </is>
      </c>
      <c r="F164" s="5" t="n">
        <v>401.28</v>
      </c>
      <c r="G164">
        <f>IF(LEFT(B164,1)="C","Credit","Factuur")</f>
        <v/>
      </c>
      <c r="H164">
        <f>IF(AND(B164=B163,D164=D163,A164=A163,F164=F163),1,0)</f>
        <v/>
      </c>
      <c r="I164">
        <f>IF(C164="C99999",1,0)</f>
        <v/>
      </c>
      <c r="J164" s="5">
        <f>IF(OR(H164=1,I164=1),0,IF(G164="Credit",-F164,F164))</f>
        <v/>
      </c>
    </row>
    <row r="165">
      <c r="A165" t="inlineStr">
        <is>
          <t>2026-07-02</t>
        </is>
      </c>
      <c r="B165" t="inlineStr">
        <is>
          <t>F284490</t>
        </is>
      </c>
      <c r="C165" t="inlineStr">
        <is>
          <t>C11284</t>
        </is>
      </c>
      <c r="D165" t="inlineStr">
        <is>
          <t>SKU-10280</t>
        </is>
      </c>
      <c r="E165" t="inlineStr">
        <is>
          <t>AM01</t>
        </is>
      </c>
      <c r="F165" s="5" t="n">
        <v>376.63</v>
      </c>
      <c r="G165">
        <f>IF(LEFT(B165,1)="C","Credit","Factuur")</f>
        <v/>
      </c>
      <c r="H165">
        <f>IF(AND(B165=B164,D165=D164,A165=A164,F165=F164),1,0)</f>
        <v/>
      </c>
      <c r="I165">
        <f>IF(C165="C99999",1,0)</f>
        <v/>
      </c>
      <c r="J165" s="5">
        <f>IF(OR(H165=1,I165=1),0,IF(G165="Credit",-F165,F165))</f>
        <v/>
      </c>
    </row>
    <row r="166">
      <c r="A166" t="inlineStr">
        <is>
          <t>2026-07-02</t>
        </is>
      </c>
      <c r="B166" t="inlineStr">
        <is>
          <t>F284490</t>
        </is>
      </c>
      <c r="C166" t="inlineStr">
        <is>
          <t>C11284</t>
        </is>
      </c>
      <c r="D166" t="inlineStr">
        <is>
          <t>SKU-10322</t>
        </is>
      </c>
      <c r="E166" t="inlineStr">
        <is>
          <t>AM01</t>
        </is>
      </c>
      <c r="F166" s="5" t="n">
        <v>379.54</v>
      </c>
      <c r="G166">
        <f>IF(LEFT(B166,1)="C","Credit","Factuur")</f>
        <v/>
      </c>
      <c r="H166">
        <f>IF(AND(B166=B165,D166=D165,A166=A165,F166=F165),1,0)</f>
        <v/>
      </c>
      <c r="I166">
        <f>IF(C166="C99999",1,0)</f>
        <v/>
      </c>
      <c r="J166" s="5">
        <f>IF(OR(H166=1,I166=1),0,IF(G166="Credit",-F166,F166))</f>
        <v/>
      </c>
    </row>
    <row r="167">
      <c r="A167" t="inlineStr">
        <is>
          <t>2026-07-02</t>
        </is>
      </c>
      <c r="B167" t="inlineStr">
        <is>
          <t>F284490</t>
        </is>
      </c>
      <c r="C167" t="inlineStr">
        <is>
          <t>C11284</t>
        </is>
      </c>
      <c r="D167" t="inlineStr">
        <is>
          <t>SKU-10355</t>
        </is>
      </c>
      <c r="E167" t="inlineStr">
        <is>
          <t>AM01</t>
        </is>
      </c>
      <c r="F167" s="5" t="n">
        <v>493.28</v>
      </c>
      <c r="G167">
        <f>IF(LEFT(B167,1)="C","Credit","Factuur")</f>
        <v/>
      </c>
      <c r="H167">
        <f>IF(AND(B167=B166,D167=D166,A167=A166,F167=F166),1,0)</f>
        <v/>
      </c>
      <c r="I167">
        <f>IF(C167="C99999",1,0)</f>
        <v/>
      </c>
      <c r="J167" s="5">
        <f>IF(OR(H167=1,I167=1),0,IF(G167="Credit",-F167,F167))</f>
        <v/>
      </c>
    </row>
    <row r="168">
      <c r="A168" t="inlineStr">
        <is>
          <t>2026-07-02</t>
        </is>
      </c>
      <c r="B168" t="inlineStr">
        <is>
          <t>F285329</t>
        </is>
      </c>
      <c r="C168" t="inlineStr">
        <is>
          <t>C11325</t>
        </is>
      </c>
      <c r="D168" t="inlineStr">
        <is>
          <t>SKU-10064</t>
        </is>
      </c>
      <c r="E168" t="inlineStr">
        <is>
          <t>AM02</t>
        </is>
      </c>
      <c r="F168" s="5" t="n">
        <v>157.12</v>
      </c>
      <c r="G168">
        <f>IF(LEFT(B168,1)="C","Credit","Factuur")</f>
        <v/>
      </c>
      <c r="H168">
        <f>IF(AND(B168=B167,D168=D167,A168=A167,F168=F167),1,0)</f>
        <v/>
      </c>
      <c r="I168">
        <f>IF(C168="C99999",1,0)</f>
        <v/>
      </c>
      <c r="J168" s="5">
        <f>IF(OR(H168=1,I168=1),0,IF(G168="Credit",-F168,F168))</f>
        <v/>
      </c>
    </row>
    <row r="169">
      <c r="A169" t="inlineStr">
        <is>
          <t>2026-07-02</t>
        </is>
      </c>
      <c r="B169" t="inlineStr">
        <is>
          <t>F285329</t>
        </is>
      </c>
      <c r="C169" t="inlineStr">
        <is>
          <t>C11325</t>
        </is>
      </c>
      <c r="D169" t="inlineStr">
        <is>
          <t>SKU-10169</t>
        </is>
      </c>
      <c r="E169" t="inlineStr">
        <is>
          <t>AM02</t>
        </is>
      </c>
      <c r="F169" s="5" t="n">
        <v>154.3</v>
      </c>
      <c r="G169">
        <f>IF(LEFT(B169,1)="C","Credit","Factuur")</f>
        <v/>
      </c>
      <c r="H169">
        <f>IF(AND(B169=B168,D169=D168,A169=A168,F169=F168),1,0)</f>
        <v/>
      </c>
      <c r="I169">
        <f>IF(C169="C99999",1,0)</f>
        <v/>
      </c>
      <c r="J169" s="5">
        <f>IF(OR(H169=1,I169=1),0,IF(G169="Credit",-F169,F169))</f>
        <v/>
      </c>
    </row>
    <row r="170">
      <c r="A170" t="inlineStr">
        <is>
          <t>2026-07-02</t>
        </is>
      </c>
      <c r="B170" t="inlineStr">
        <is>
          <t>F285329</t>
        </is>
      </c>
      <c r="C170" t="inlineStr">
        <is>
          <t>C11325</t>
        </is>
      </c>
      <c r="D170" t="inlineStr">
        <is>
          <t>SKU-10170</t>
        </is>
      </c>
      <c r="E170" t="inlineStr">
        <is>
          <t>AM02</t>
        </is>
      </c>
      <c r="F170" s="5" t="n">
        <v>149.28</v>
      </c>
      <c r="G170">
        <f>IF(LEFT(B170,1)="C","Credit","Factuur")</f>
        <v/>
      </c>
      <c r="H170">
        <f>IF(AND(B170=B169,D170=D169,A170=A169,F170=F169),1,0)</f>
        <v/>
      </c>
      <c r="I170">
        <f>IF(C170="C99999",1,0)</f>
        <v/>
      </c>
      <c r="J170" s="5">
        <f>IF(OR(H170=1,I170=1),0,IF(G170="Credit",-F170,F170))</f>
        <v/>
      </c>
    </row>
    <row r="171">
      <c r="A171" t="inlineStr">
        <is>
          <t>2026-07-02</t>
        </is>
      </c>
      <c r="B171" t="inlineStr">
        <is>
          <t>F285329</t>
        </is>
      </c>
      <c r="C171" t="inlineStr">
        <is>
          <t>C11325</t>
        </is>
      </c>
      <c r="D171" t="inlineStr">
        <is>
          <t>SKU-10193</t>
        </is>
      </c>
      <c r="E171" t="inlineStr">
        <is>
          <t>AM02</t>
        </is>
      </c>
      <c r="F171" s="5" t="n">
        <v>162.64</v>
      </c>
      <c r="G171">
        <f>IF(LEFT(B171,1)="C","Credit","Factuur")</f>
        <v/>
      </c>
      <c r="H171">
        <f>IF(AND(B171=B170,D171=D170,A171=A170,F171=F170),1,0)</f>
        <v/>
      </c>
      <c r="I171">
        <f>IF(C171="C99999",1,0)</f>
        <v/>
      </c>
      <c r="J171" s="5">
        <f>IF(OR(H171=1,I171=1),0,IF(G171="Credit",-F171,F171))</f>
        <v/>
      </c>
    </row>
    <row r="172">
      <c r="A172" t="inlineStr">
        <is>
          <t>2026-07-02</t>
        </is>
      </c>
      <c r="B172" t="inlineStr">
        <is>
          <t>F285329</t>
        </is>
      </c>
      <c r="C172" t="inlineStr">
        <is>
          <t>C11325</t>
        </is>
      </c>
      <c r="D172" t="inlineStr">
        <is>
          <t>SKU-10274</t>
        </is>
      </c>
      <c r="E172" t="inlineStr">
        <is>
          <t>AM02</t>
        </is>
      </c>
      <c r="F172" s="5" t="n">
        <v>154.02</v>
      </c>
      <c r="G172">
        <f>IF(LEFT(B172,1)="C","Credit","Factuur")</f>
        <v/>
      </c>
      <c r="H172">
        <f>IF(AND(B172=B171,D172=D171,A172=A171,F172=F171),1,0)</f>
        <v/>
      </c>
      <c r="I172">
        <f>IF(C172="C99999",1,0)</f>
        <v/>
      </c>
      <c r="J172" s="5">
        <f>IF(OR(H172=1,I172=1),0,IF(G172="Credit",-F172,F172))</f>
        <v/>
      </c>
    </row>
    <row r="173">
      <c r="A173" t="inlineStr">
        <is>
          <t>2026-07-03</t>
        </is>
      </c>
      <c r="B173" t="inlineStr">
        <is>
          <t>C900252</t>
        </is>
      </c>
      <c r="C173" t="inlineStr">
        <is>
          <t>C10515</t>
        </is>
      </c>
      <c r="D173" t="inlineStr">
        <is>
          <t>SKU-10331</t>
        </is>
      </c>
      <c r="E173" t="inlineStr">
        <is>
          <t>AM07</t>
        </is>
      </c>
      <c r="F173" s="5" t="n">
        <v>343.44</v>
      </c>
      <c r="G173">
        <f>IF(LEFT(B173,1)="C","Credit","Factuur")</f>
        <v/>
      </c>
      <c r="H173">
        <f>IF(AND(B173=B172,D173=D172,A173=A172,F173=F172),1,0)</f>
        <v/>
      </c>
      <c r="I173">
        <f>IF(C173="C99999",1,0)</f>
        <v/>
      </c>
      <c r="J173" s="5">
        <f>IF(OR(H173=1,I173=1),0,IF(G173="Credit",-F173,F173))</f>
        <v/>
      </c>
    </row>
    <row r="174">
      <c r="A174" t="inlineStr">
        <is>
          <t>2026-07-03</t>
        </is>
      </c>
      <c r="B174" t="inlineStr">
        <is>
          <t>F260471</t>
        </is>
      </c>
      <c r="C174" t="inlineStr">
        <is>
          <t>C10025</t>
        </is>
      </c>
      <c r="D174" t="inlineStr">
        <is>
          <t>SKU-10270</t>
        </is>
      </c>
      <c r="E174" t="inlineStr">
        <is>
          <t>AM05</t>
        </is>
      </c>
      <c r="F174" s="5" t="n">
        <v>584.28</v>
      </c>
      <c r="G174">
        <f>IF(LEFT(B174,1)="C","Credit","Factuur")</f>
        <v/>
      </c>
      <c r="H174">
        <f>IF(AND(B174=B173,D174=D173,A174=A173,F174=F173),1,0)</f>
        <v/>
      </c>
      <c r="I174">
        <f>IF(C174="C99999",1,0)</f>
        <v/>
      </c>
      <c r="J174" s="5">
        <f>IF(OR(H174=1,I174=1),0,IF(G174="Credit",-F174,F174))</f>
        <v/>
      </c>
    </row>
    <row r="175">
      <c r="A175" t="inlineStr">
        <is>
          <t>2026-07-03</t>
        </is>
      </c>
      <c r="B175" t="inlineStr">
        <is>
          <t>F260471</t>
        </is>
      </c>
      <c r="C175" t="inlineStr">
        <is>
          <t>C10025</t>
        </is>
      </c>
      <c r="D175" t="inlineStr">
        <is>
          <t>SKU-10316</t>
        </is>
      </c>
      <c r="E175" t="inlineStr">
        <is>
          <t>AM05</t>
        </is>
      </c>
      <c r="F175" s="5" t="n">
        <v>573.8</v>
      </c>
      <c r="G175">
        <f>IF(LEFT(B175,1)="C","Credit","Factuur")</f>
        <v/>
      </c>
      <c r="H175">
        <f>IF(AND(B175=B174,D175=D174,A175=A174,F175=F174),1,0)</f>
        <v/>
      </c>
      <c r="I175">
        <f>IF(C175="C99999",1,0)</f>
        <v/>
      </c>
      <c r="J175" s="5">
        <f>IF(OR(H175=1,I175=1),0,IF(G175="Credit",-F175,F175))</f>
        <v/>
      </c>
    </row>
    <row r="176">
      <c r="A176" t="inlineStr">
        <is>
          <t>2026-07-03</t>
        </is>
      </c>
      <c r="B176" t="inlineStr">
        <is>
          <t>F260502</t>
        </is>
      </c>
      <c r="C176" t="inlineStr">
        <is>
          <t>C10027</t>
        </is>
      </c>
      <c r="D176" t="inlineStr">
        <is>
          <t>SKU-10077</t>
        </is>
      </c>
      <c r="E176" t="inlineStr">
        <is>
          <t>IS02</t>
        </is>
      </c>
      <c r="F176" s="5" t="n">
        <v>90.36</v>
      </c>
      <c r="G176">
        <f>IF(LEFT(B176,1)="C","Credit","Factuur")</f>
        <v/>
      </c>
      <c r="H176">
        <f>IF(AND(B176=B175,D176=D175,A176=A175,F176=F175),1,0)</f>
        <v/>
      </c>
      <c r="I176">
        <f>IF(C176="C99999",1,0)</f>
        <v/>
      </c>
      <c r="J176" s="5">
        <f>IF(OR(H176=1,I176=1),0,IF(G176="Credit",-F176,F176))</f>
        <v/>
      </c>
    </row>
    <row r="177">
      <c r="A177" t="inlineStr">
        <is>
          <t>2026-07-03</t>
        </is>
      </c>
      <c r="B177" t="inlineStr">
        <is>
          <t>F260602</t>
        </is>
      </c>
      <c r="C177" t="inlineStr">
        <is>
          <t>C10033</t>
        </is>
      </c>
      <c r="D177" t="inlineStr">
        <is>
          <t>SKU-10018</t>
        </is>
      </c>
      <c r="E177" t="inlineStr">
        <is>
          <t>AM07</t>
        </is>
      </c>
      <c r="F177" s="5" t="n">
        <v>643.3200000000001</v>
      </c>
      <c r="G177">
        <f>IF(LEFT(B177,1)="C","Credit","Factuur")</f>
        <v/>
      </c>
      <c r="H177">
        <f>IF(AND(B177=B176,D177=D176,A177=A176,F177=F176),1,0)</f>
        <v/>
      </c>
      <c r="I177">
        <f>IF(C177="C99999",1,0)</f>
        <v/>
      </c>
      <c r="J177" s="5">
        <f>IF(OR(H177=1,I177=1),0,IF(G177="Credit",-F177,F177))</f>
        <v/>
      </c>
    </row>
    <row r="178">
      <c r="A178" t="inlineStr">
        <is>
          <t>2026-07-03</t>
        </is>
      </c>
      <c r="B178" t="inlineStr">
        <is>
          <t>F260875</t>
        </is>
      </c>
      <c r="C178" t="inlineStr">
        <is>
          <t>C10050</t>
        </is>
      </c>
      <c r="D178" t="inlineStr">
        <is>
          <t>SKU-10025</t>
        </is>
      </c>
      <c r="E178" t="inlineStr">
        <is>
          <t>AM03</t>
        </is>
      </c>
      <c r="F178" s="5" t="n">
        <v>495.98</v>
      </c>
      <c r="G178">
        <f>IF(LEFT(B178,1)="C","Credit","Factuur")</f>
        <v/>
      </c>
      <c r="H178">
        <f>IF(AND(B178=B177,D178=D177,A178=A177,F178=F177),1,0)</f>
        <v/>
      </c>
      <c r="I178">
        <f>IF(C178="C99999",1,0)</f>
        <v/>
      </c>
      <c r="J178" s="5">
        <f>IF(OR(H178=1,I178=1),0,IF(G178="Credit",-F178,F178))</f>
        <v/>
      </c>
    </row>
    <row r="179">
      <c r="A179" t="inlineStr">
        <is>
          <t>2026-07-03</t>
        </is>
      </c>
      <c r="B179" t="inlineStr">
        <is>
          <t>F260875</t>
        </is>
      </c>
      <c r="C179" t="inlineStr">
        <is>
          <t>C10050</t>
        </is>
      </c>
      <c r="D179" t="inlineStr">
        <is>
          <t>SKU-10273</t>
        </is>
      </c>
      <c r="E179" t="inlineStr">
        <is>
          <t>AM03</t>
        </is>
      </c>
      <c r="F179" s="5" t="n">
        <v>513.92</v>
      </c>
      <c r="G179">
        <f>IF(LEFT(B179,1)="C","Credit","Factuur")</f>
        <v/>
      </c>
      <c r="H179">
        <f>IF(AND(B179=B178,D179=D178,A179=A178,F179=F178),1,0)</f>
        <v/>
      </c>
      <c r="I179">
        <f>IF(C179="C99999",1,0)</f>
        <v/>
      </c>
      <c r="J179" s="5">
        <f>IF(OR(H179=1,I179=1),0,IF(G179="Credit",-F179,F179))</f>
        <v/>
      </c>
    </row>
    <row r="180">
      <c r="A180" t="inlineStr">
        <is>
          <t>2026-07-03</t>
        </is>
      </c>
      <c r="B180" t="inlineStr">
        <is>
          <t>F260875</t>
        </is>
      </c>
      <c r="C180" t="inlineStr">
        <is>
          <t>C10050</t>
        </is>
      </c>
      <c r="D180" t="inlineStr">
        <is>
          <t>SKU-10321</t>
        </is>
      </c>
      <c r="E180" t="inlineStr">
        <is>
          <t>AM03</t>
        </is>
      </c>
      <c r="F180" s="5" t="n">
        <v>510.06</v>
      </c>
      <c r="G180">
        <f>IF(LEFT(B180,1)="C","Credit","Factuur")</f>
        <v/>
      </c>
      <c r="H180">
        <f>IF(AND(B180=B179,D180=D179,A180=A179,F180=F179),1,0)</f>
        <v/>
      </c>
      <c r="I180">
        <f>IF(C180="C99999",1,0)</f>
        <v/>
      </c>
      <c r="J180" s="5">
        <f>IF(OR(H180=1,I180=1),0,IF(G180="Credit",-F180,F180))</f>
        <v/>
      </c>
    </row>
    <row r="181">
      <c r="A181" t="inlineStr">
        <is>
          <t>2026-07-03</t>
        </is>
      </c>
      <c r="B181" t="inlineStr">
        <is>
          <t>F261085</t>
        </is>
      </c>
      <c r="C181" t="inlineStr">
        <is>
          <t>C10062</t>
        </is>
      </c>
      <c r="D181" t="inlineStr">
        <is>
          <t>SKU-10095</t>
        </is>
      </c>
      <c r="E181" t="inlineStr">
        <is>
          <t>AM05</t>
        </is>
      </c>
      <c r="F181" s="5" t="n">
        <v>742.8</v>
      </c>
      <c r="G181">
        <f>IF(LEFT(B181,1)="C","Credit","Factuur")</f>
        <v/>
      </c>
      <c r="H181">
        <f>IF(AND(B181=B180,D181=D180,A181=A180,F181=F180),1,0)</f>
        <v/>
      </c>
      <c r="I181">
        <f>IF(C181="C99999",1,0)</f>
        <v/>
      </c>
      <c r="J181" s="5">
        <f>IF(OR(H181=1,I181=1),0,IF(G181="Credit",-F181,F181))</f>
        <v/>
      </c>
    </row>
    <row r="182">
      <c r="A182" t="inlineStr">
        <is>
          <t>2026-07-03</t>
        </is>
      </c>
      <c r="B182" t="inlineStr">
        <is>
          <t>F261085</t>
        </is>
      </c>
      <c r="C182" t="inlineStr">
        <is>
          <t>C10062</t>
        </is>
      </c>
      <c r="D182" t="inlineStr">
        <is>
          <t>SKU-10259</t>
        </is>
      </c>
      <c r="E182" t="inlineStr">
        <is>
          <t>AM05</t>
        </is>
      </c>
      <c r="F182" s="5" t="n">
        <v>651.64</v>
      </c>
      <c r="G182">
        <f>IF(LEFT(B182,1)="C","Credit","Factuur")</f>
        <v/>
      </c>
      <c r="H182">
        <f>IF(AND(B182=B181,D182=D181,A182=A181,F182=F181),1,0)</f>
        <v/>
      </c>
      <c r="I182">
        <f>IF(C182="C99999",1,0)</f>
        <v/>
      </c>
      <c r="J182" s="5">
        <f>IF(OR(H182=1,I182=1),0,IF(G182="Credit",-F182,F182))</f>
        <v/>
      </c>
    </row>
    <row r="183">
      <c r="A183" t="inlineStr">
        <is>
          <t>2026-07-03</t>
        </is>
      </c>
      <c r="B183" t="inlineStr">
        <is>
          <t>F261297</t>
        </is>
      </c>
      <c r="C183" t="inlineStr">
        <is>
          <t>C10072</t>
        </is>
      </c>
      <c r="D183" t="inlineStr">
        <is>
          <t>SKU-10074</t>
        </is>
      </c>
      <c r="E183" t="inlineStr"/>
      <c r="F183" s="5" t="n">
        <v>212.76</v>
      </c>
      <c r="G183">
        <f>IF(LEFT(B183,1)="C","Credit","Factuur")</f>
        <v/>
      </c>
      <c r="H183">
        <f>IF(AND(B183=B182,D183=D182,A183=A182,F183=F182),1,0)</f>
        <v/>
      </c>
      <c r="I183">
        <f>IF(C183="C99999",1,0)</f>
        <v/>
      </c>
      <c r="J183" s="5">
        <f>IF(OR(H183=1,I183=1),0,IF(G183="Credit",-F183,F183))</f>
        <v/>
      </c>
    </row>
    <row r="184">
      <c r="A184" t="inlineStr">
        <is>
          <t>2026-07-03</t>
        </is>
      </c>
      <c r="B184" t="inlineStr">
        <is>
          <t>F261297</t>
        </is>
      </c>
      <c r="C184" t="inlineStr">
        <is>
          <t>C10072</t>
        </is>
      </c>
      <c r="D184" t="inlineStr">
        <is>
          <t>SKU-10116</t>
        </is>
      </c>
      <c r="E184" t="inlineStr">
        <is>
          <t>AM08</t>
        </is>
      </c>
      <c r="F184" s="5" t="n">
        <v>260.4</v>
      </c>
      <c r="G184">
        <f>IF(LEFT(B184,1)="C","Credit","Factuur")</f>
        <v/>
      </c>
      <c r="H184">
        <f>IF(AND(B184=B183,D184=D183,A184=A183,F184=F183),1,0)</f>
        <v/>
      </c>
      <c r="I184">
        <f>IF(C184="C99999",1,0)</f>
        <v/>
      </c>
      <c r="J184" s="5">
        <f>IF(OR(H184=1,I184=1),0,IF(G184="Credit",-F184,F184))</f>
        <v/>
      </c>
    </row>
    <row r="185">
      <c r="A185" t="inlineStr">
        <is>
          <t>2026-07-03</t>
        </is>
      </c>
      <c r="B185" t="inlineStr">
        <is>
          <t>F261297</t>
        </is>
      </c>
      <c r="C185" t="inlineStr">
        <is>
          <t>C10072</t>
        </is>
      </c>
      <c r="D185" t="inlineStr">
        <is>
          <t>SKU-10278</t>
        </is>
      </c>
      <c r="E185" t="inlineStr">
        <is>
          <t>AM08</t>
        </is>
      </c>
      <c r="F185" s="5" t="n">
        <v>231.22</v>
      </c>
      <c r="G185">
        <f>IF(LEFT(B185,1)="C","Credit","Factuur")</f>
        <v/>
      </c>
      <c r="H185">
        <f>IF(AND(B185=B184,D185=D184,A185=A184,F185=F184),1,0)</f>
        <v/>
      </c>
      <c r="I185">
        <f>IF(C185="C99999",1,0)</f>
        <v/>
      </c>
      <c r="J185" s="5">
        <f>IF(OR(H185=1,I185=1),0,IF(G185="Credit",-F185,F185))</f>
        <v/>
      </c>
    </row>
    <row r="186">
      <c r="A186" t="inlineStr">
        <is>
          <t>2026-07-03</t>
        </is>
      </c>
      <c r="B186" t="inlineStr">
        <is>
          <t>F261297</t>
        </is>
      </c>
      <c r="C186" t="inlineStr">
        <is>
          <t>C10072</t>
        </is>
      </c>
      <c r="D186" t="inlineStr">
        <is>
          <t>SKU-10289</t>
        </is>
      </c>
      <c r="E186" t="inlineStr">
        <is>
          <t>AM08</t>
        </is>
      </c>
      <c r="F186" s="5" t="n">
        <v>230.34</v>
      </c>
      <c r="G186">
        <f>IF(LEFT(B186,1)="C","Credit","Factuur")</f>
        <v/>
      </c>
      <c r="H186">
        <f>IF(AND(B186=B185,D186=D185,A186=A185,F186=F185),1,0)</f>
        <v/>
      </c>
      <c r="I186">
        <f>IF(C186="C99999",1,0)</f>
        <v/>
      </c>
      <c r="J186" s="5">
        <f>IF(OR(H186=1,I186=1),0,IF(G186="Credit",-F186,F186))</f>
        <v/>
      </c>
    </row>
    <row r="187">
      <c r="A187" t="inlineStr">
        <is>
          <t>2026-07-03</t>
        </is>
      </c>
      <c r="B187" t="inlineStr">
        <is>
          <t>F261297</t>
        </is>
      </c>
      <c r="C187" t="inlineStr">
        <is>
          <t>C10072</t>
        </is>
      </c>
      <c r="D187" t="inlineStr">
        <is>
          <t>SKU-10321</t>
        </is>
      </c>
      <c r="E187" t="inlineStr">
        <is>
          <t>AM08</t>
        </is>
      </c>
      <c r="F187" s="5" t="n">
        <v>244.05</v>
      </c>
      <c r="G187">
        <f>IF(LEFT(B187,1)="C","Credit","Factuur")</f>
        <v/>
      </c>
      <c r="H187">
        <f>IF(AND(B187=B186,D187=D186,A187=A186,F187=F186),1,0)</f>
        <v/>
      </c>
      <c r="I187">
        <f>IF(C187="C99999",1,0)</f>
        <v/>
      </c>
      <c r="J187" s="5">
        <f>IF(OR(H187=1,I187=1),0,IF(G187="Credit",-F187,F187))</f>
        <v/>
      </c>
    </row>
    <row r="188">
      <c r="A188" t="inlineStr">
        <is>
          <t>2026-07-03</t>
        </is>
      </c>
      <c r="B188" t="inlineStr">
        <is>
          <t>F261355</t>
        </is>
      </c>
      <c r="C188" t="inlineStr">
        <is>
          <t>C10074</t>
        </is>
      </c>
      <c r="D188" t="inlineStr">
        <is>
          <t>SKU-10061</t>
        </is>
      </c>
      <c r="E188" t="inlineStr">
        <is>
          <t>AM06</t>
        </is>
      </c>
      <c r="F188" s="5" t="n">
        <v>323.19</v>
      </c>
      <c r="G188">
        <f>IF(LEFT(B188,1)="C","Credit","Factuur")</f>
        <v/>
      </c>
      <c r="H188">
        <f>IF(AND(B188=B187,D188=D187,A188=A187,F188=F187),1,0)</f>
        <v/>
      </c>
      <c r="I188">
        <f>IF(C188="C99999",1,0)</f>
        <v/>
      </c>
      <c r="J188" s="5">
        <f>IF(OR(H188=1,I188=1),0,IF(G188="Credit",-F188,F188))</f>
        <v/>
      </c>
    </row>
    <row r="189">
      <c r="A189" t="inlineStr">
        <is>
          <t>2026-07-03</t>
        </is>
      </c>
      <c r="B189" t="inlineStr">
        <is>
          <t>F261398</t>
        </is>
      </c>
      <c r="C189" t="inlineStr">
        <is>
          <t>C10076</t>
        </is>
      </c>
      <c r="D189" t="inlineStr">
        <is>
          <t>SKU-10211</t>
        </is>
      </c>
      <c r="E189" t="inlineStr">
        <is>
          <t>AM02</t>
        </is>
      </c>
      <c r="F189" s="5" t="n">
        <v>1734.26</v>
      </c>
      <c r="G189">
        <f>IF(LEFT(B189,1)="C","Credit","Factuur")</f>
        <v/>
      </c>
      <c r="H189">
        <f>IF(AND(B189=B188,D189=D188,A189=A188,F189=F188),1,0)</f>
        <v/>
      </c>
      <c r="I189">
        <f>IF(C189="C99999",1,0)</f>
        <v/>
      </c>
      <c r="J189" s="5">
        <f>IF(OR(H189=1,I189=1),0,IF(G189="Credit",-F189,F189))</f>
        <v/>
      </c>
    </row>
    <row r="190">
      <c r="A190" t="inlineStr">
        <is>
          <t>2026-07-03</t>
        </is>
      </c>
      <c r="B190" t="inlineStr">
        <is>
          <t>F261796</t>
        </is>
      </c>
      <c r="C190" t="inlineStr">
        <is>
          <t>C10095</t>
        </is>
      </c>
      <c r="D190" t="inlineStr">
        <is>
          <t>SKU-10031</t>
        </is>
      </c>
      <c r="E190" t="inlineStr">
        <is>
          <t>AM01</t>
        </is>
      </c>
      <c r="F190" s="5" t="n">
        <v>262.53</v>
      </c>
      <c r="G190">
        <f>IF(LEFT(B190,1)="C","Credit","Factuur")</f>
        <v/>
      </c>
      <c r="H190">
        <f>IF(AND(B190=B189,D190=D189,A190=A189,F190=F189),1,0)</f>
        <v/>
      </c>
      <c r="I190">
        <f>IF(C190="C99999",1,0)</f>
        <v/>
      </c>
      <c r="J190" s="5">
        <f>IF(OR(H190=1,I190=1),0,IF(G190="Credit",-F190,F190))</f>
        <v/>
      </c>
    </row>
    <row r="191">
      <c r="A191" t="inlineStr">
        <is>
          <t>2026-07-03</t>
        </is>
      </c>
      <c r="B191" t="inlineStr">
        <is>
          <t>F261796</t>
        </is>
      </c>
      <c r="C191" t="inlineStr">
        <is>
          <t>C10095</t>
        </is>
      </c>
      <c r="D191" t="inlineStr">
        <is>
          <t>SKU-10037</t>
        </is>
      </c>
      <c r="E191" t="inlineStr">
        <is>
          <t>AM01</t>
        </is>
      </c>
      <c r="F191" s="5" t="n">
        <v>237.21</v>
      </c>
      <c r="G191">
        <f>IF(LEFT(B191,1)="C","Credit","Factuur")</f>
        <v/>
      </c>
      <c r="H191">
        <f>IF(AND(B191=B190,D191=D190,A191=A190,F191=F190),1,0)</f>
        <v/>
      </c>
      <c r="I191">
        <f>IF(C191="C99999",1,0)</f>
        <v/>
      </c>
      <c r="J191" s="5">
        <f>IF(OR(H191=1,I191=1),0,IF(G191="Credit",-F191,F191))</f>
        <v/>
      </c>
    </row>
    <row r="192">
      <c r="A192" t="inlineStr">
        <is>
          <t>2026-07-03</t>
        </is>
      </c>
      <c r="B192" t="inlineStr">
        <is>
          <t>F261796</t>
        </is>
      </c>
      <c r="C192" t="inlineStr">
        <is>
          <t>C10095</t>
        </is>
      </c>
      <c r="D192" t="inlineStr">
        <is>
          <t>SKU-10051</t>
        </is>
      </c>
      <c r="E192" t="inlineStr">
        <is>
          <t>AM01</t>
        </is>
      </c>
      <c r="F192" s="5" t="n">
        <v>256.4</v>
      </c>
      <c r="G192">
        <f>IF(LEFT(B192,1)="C","Credit","Factuur")</f>
        <v/>
      </c>
      <c r="H192">
        <f>IF(AND(B192=B191,D192=D191,A192=A191,F192=F191),1,0)</f>
        <v/>
      </c>
      <c r="I192">
        <f>IF(C192="C99999",1,0)</f>
        <v/>
      </c>
      <c r="J192" s="5">
        <f>IF(OR(H192=1,I192=1),0,IF(G192="Credit",-F192,F192))</f>
        <v/>
      </c>
    </row>
    <row r="193">
      <c r="A193" t="inlineStr">
        <is>
          <t>2026-07-03</t>
        </is>
      </c>
      <c r="B193" t="inlineStr">
        <is>
          <t>F261796</t>
        </is>
      </c>
      <c r="C193" t="inlineStr">
        <is>
          <t>C10095</t>
        </is>
      </c>
      <c r="D193" t="inlineStr">
        <is>
          <t>SKU-10057</t>
        </is>
      </c>
      <c r="E193" t="inlineStr">
        <is>
          <t>AM01</t>
        </is>
      </c>
      <c r="F193" s="5" t="n">
        <v>247.5</v>
      </c>
      <c r="G193">
        <f>IF(LEFT(B193,1)="C","Credit","Factuur")</f>
        <v/>
      </c>
      <c r="H193">
        <f>IF(AND(B193=B192,D193=D192,A193=A192,F193=F192),1,0)</f>
        <v/>
      </c>
      <c r="I193">
        <f>IF(C193="C99999",1,0)</f>
        <v/>
      </c>
      <c r="J193" s="5">
        <f>IF(OR(H193=1,I193=1),0,IF(G193="Credit",-F193,F193))</f>
        <v/>
      </c>
    </row>
    <row r="194">
      <c r="A194" t="inlineStr">
        <is>
          <t>2026-07-03</t>
        </is>
      </c>
      <c r="B194" t="inlineStr">
        <is>
          <t>F261871</t>
        </is>
      </c>
      <c r="C194" t="inlineStr">
        <is>
          <t>C10099</t>
        </is>
      </c>
      <c r="D194" t="inlineStr">
        <is>
          <t>SKU-10031</t>
        </is>
      </c>
      <c r="E194" t="inlineStr">
        <is>
          <t>AM02</t>
        </is>
      </c>
      <c r="F194" s="5" t="n">
        <v>304.83</v>
      </c>
      <c r="G194">
        <f>IF(LEFT(B194,1)="C","Credit","Factuur")</f>
        <v/>
      </c>
      <c r="H194">
        <f>IF(AND(B194=B193,D194=D193,A194=A193,F194=F193),1,0)</f>
        <v/>
      </c>
      <c r="I194">
        <f>IF(C194="C99999",1,0)</f>
        <v/>
      </c>
      <c r="J194" s="5">
        <f>IF(OR(H194=1,I194=1),0,IF(G194="Credit",-F194,F194))</f>
        <v/>
      </c>
    </row>
    <row r="195">
      <c r="A195" t="inlineStr">
        <is>
          <t>2026-07-03</t>
        </is>
      </c>
      <c r="B195" t="inlineStr">
        <is>
          <t>F261871</t>
        </is>
      </c>
      <c r="C195" t="inlineStr">
        <is>
          <t>C10099</t>
        </is>
      </c>
      <c r="D195" t="inlineStr">
        <is>
          <t>SKU-10058</t>
        </is>
      </c>
      <c r="E195" t="inlineStr">
        <is>
          <t>AM02</t>
        </is>
      </c>
      <c r="F195" s="5" t="n">
        <v>289.15</v>
      </c>
      <c r="G195">
        <f>IF(LEFT(B195,1)="C","Credit","Factuur")</f>
        <v/>
      </c>
      <c r="H195">
        <f>IF(AND(B195=B194,D195=D194,A195=A194,F195=F194),1,0)</f>
        <v/>
      </c>
      <c r="I195">
        <f>IF(C195="C99999",1,0)</f>
        <v/>
      </c>
      <c r="J195" s="5">
        <f>IF(OR(H195=1,I195=1),0,IF(G195="Credit",-F195,F195))</f>
        <v/>
      </c>
    </row>
    <row r="196">
      <c r="A196" t="inlineStr">
        <is>
          <t>2026-07-03</t>
        </is>
      </c>
      <c r="B196" t="inlineStr">
        <is>
          <t>F261871</t>
        </is>
      </c>
      <c r="C196" t="inlineStr">
        <is>
          <t>C10099</t>
        </is>
      </c>
      <c r="D196" t="inlineStr">
        <is>
          <t>SKU-10120</t>
        </is>
      </c>
      <c r="E196" t="inlineStr">
        <is>
          <t>AM02</t>
        </is>
      </c>
      <c r="F196" s="5" t="n">
        <v>296.57</v>
      </c>
      <c r="G196">
        <f>IF(LEFT(B196,1)="C","Credit","Factuur")</f>
        <v/>
      </c>
      <c r="H196">
        <f>IF(AND(B196=B195,D196=D195,A196=A195,F196=F195),1,0)</f>
        <v/>
      </c>
      <c r="I196">
        <f>IF(C196="C99999",1,0)</f>
        <v/>
      </c>
      <c r="J196" s="5">
        <f>IF(OR(H196=1,I196=1),0,IF(G196="Credit",-F196,F196))</f>
        <v/>
      </c>
    </row>
    <row r="197">
      <c r="A197" t="inlineStr">
        <is>
          <t>2026-07-03</t>
        </is>
      </c>
      <c r="B197" t="inlineStr">
        <is>
          <t>F262039</t>
        </is>
      </c>
      <c r="C197" t="inlineStr">
        <is>
          <t>C10109</t>
        </is>
      </c>
      <c r="D197" t="inlineStr">
        <is>
          <t>SKU-10004</t>
        </is>
      </c>
      <c r="E197" t="inlineStr">
        <is>
          <t>AM01</t>
        </is>
      </c>
      <c r="F197" s="5" t="n">
        <v>599.38</v>
      </c>
      <c r="G197">
        <f>IF(LEFT(B197,1)="C","Credit","Factuur")</f>
        <v/>
      </c>
      <c r="H197">
        <f>IF(AND(B197=B196,D197=D196,A197=A196,F197=F196),1,0)</f>
        <v/>
      </c>
      <c r="I197">
        <f>IF(C197="C99999",1,0)</f>
        <v/>
      </c>
      <c r="J197" s="5">
        <f>IF(OR(H197=1,I197=1),0,IF(G197="Credit",-F197,F197))</f>
        <v/>
      </c>
    </row>
    <row r="198">
      <c r="A198" t="inlineStr">
        <is>
          <t>2026-07-03</t>
        </is>
      </c>
      <c r="B198" t="inlineStr">
        <is>
          <t>F262039</t>
        </is>
      </c>
      <c r="C198" t="inlineStr">
        <is>
          <t>C10109</t>
        </is>
      </c>
      <c r="D198" t="inlineStr">
        <is>
          <t>SKU-10060</t>
        </is>
      </c>
      <c r="E198" t="inlineStr">
        <is>
          <t>AM01</t>
        </is>
      </c>
      <c r="F198" s="5" t="n">
        <v>705.6</v>
      </c>
      <c r="G198">
        <f>IF(LEFT(B198,1)="C","Credit","Factuur")</f>
        <v/>
      </c>
      <c r="H198">
        <f>IF(AND(B198=B197,D198=D197,A198=A197,F198=F197),1,0)</f>
        <v/>
      </c>
      <c r="I198">
        <f>IF(C198="C99999",1,0)</f>
        <v/>
      </c>
      <c r="J198" s="5">
        <f>IF(OR(H198=1,I198=1),0,IF(G198="Credit",-F198,F198))</f>
        <v/>
      </c>
    </row>
    <row r="199">
      <c r="A199" t="inlineStr">
        <is>
          <t>2026-07-03</t>
        </is>
      </c>
      <c r="B199" t="inlineStr">
        <is>
          <t>F262039</t>
        </is>
      </c>
      <c r="C199" t="inlineStr">
        <is>
          <t>C10109</t>
        </is>
      </c>
      <c r="D199" t="inlineStr">
        <is>
          <t>SKU-10219</t>
        </is>
      </c>
      <c r="E199" t="inlineStr">
        <is>
          <t>AM01</t>
        </is>
      </c>
      <c r="F199" s="5" t="n">
        <v>693.6799999999999</v>
      </c>
      <c r="G199">
        <f>IF(LEFT(B199,1)="C","Credit","Factuur")</f>
        <v/>
      </c>
      <c r="H199">
        <f>IF(AND(B199=B198,D199=D198,A199=A198,F199=F198),1,0)</f>
        <v/>
      </c>
      <c r="I199">
        <f>IF(C199="C99999",1,0)</f>
        <v/>
      </c>
      <c r="J199" s="5">
        <f>IF(OR(H199=1,I199=1),0,IF(G199="Credit",-F199,F199))</f>
        <v/>
      </c>
    </row>
    <row r="200">
      <c r="A200" t="inlineStr">
        <is>
          <t>2026-07-03</t>
        </is>
      </c>
      <c r="B200" t="inlineStr">
        <is>
          <t>F262063</t>
        </is>
      </c>
      <c r="C200" t="inlineStr">
        <is>
          <t>C10109</t>
        </is>
      </c>
      <c r="D200" t="inlineStr">
        <is>
          <t>SKU-10064</t>
        </is>
      </c>
      <c r="E200" t="inlineStr">
        <is>
          <t>AM01</t>
        </is>
      </c>
      <c r="F200" s="5" t="n">
        <v>335.84</v>
      </c>
      <c r="G200">
        <f>IF(LEFT(B200,1)="C","Credit","Factuur")</f>
        <v/>
      </c>
      <c r="H200">
        <f>IF(AND(B200=B199,D200=D199,A200=A199,F200=F199),1,0)</f>
        <v/>
      </c>
      <c r="I200">
        <f>IF(C200="C99999",1,0)</f>
        <v/>
      </c>
      <c r="J200" s="5">
        <f>IF(OR(H200=1,I200=1),0,IF(G200="Credit",-F200,F200))</f>
        <v/>
      </c>
    </row>
    <row r="201">
      <c r="A201" t="inlineStr">
        <is>
          <t>2026-07-03</t>
        </is>
      </c>
      <c r="B201" t="inlineStr">
        <is>
          <t>F262063</t>
        </is>
      </c>
      <c r="C201" t="inlineStr">
        <is>
          <t>C10109</t>
        </is>
      </c>
      <c r="D201" t="inlineStr">
        <is>
          <t>SKU-10235</t>
        </is>
      </c>
      <c r="E201" t="inlineStr">
        <is>
          <t>AM01</t>
        </is>
      </c>
      <c r="F201" s="5" t="n">
        <v>319.05</v>
      </c>
      <c r="G201">
        <f>IF(LEFT(B201,1)="C","Credit","Factuur")</f>
        <v/>
      </c>
      <c r="H201">
        <f>IF(AND(B201=B200,D201=D200,A201=A200,F201=F200),1,0)</f>
        <v/>
      </c>
      <c r="I201">
        <f>IF(C201="C99999",1,0)</f>
        <v/>
      </c>
      <c r="J201" s="5">
        <f>IF(OR(H201=1,I201=1),0,IF(G201="Credit",-F201,F201))</f>
        <v/>
      </c>
    </row>
    <row r="202">
      <c r="A202" t="inlineStr">
        <is>
          <t>2026-07-03</t>
        </is>
      </c>
      <c r="B202" t="inlineStr">
        <is>
          <t>F262063</t>
        </is>
      </c>
      <c r="C202" t="inlineStr">
        <is>
          <t>C10109</t>
        </is>
      </c>
      <c r="D202" t="inlineStr">
        <is>
          <t>SKU-10239</t>
        </is>
      </c>
      <c r="E202" t="inlineStr"/>
      <c r="F202" s="5" t="n">
        <v>296.14</v>
      </c>
      <c r="G202">
        <f>IF(LEFT(B202,1)="C","Credit","Factuur")</f>
        <v/>
      </c>
      <c r="H202">
        <f>IF(AND(B202=B201,D202=D201,A202=A201,F202=F201),1,0)</f>
        <v/>
      </c>
      <c r="I202">
        <f>IF(C202="C99999",1,0)</f>
        <v/>
      </c>
      <c r="J202" s="5">
        <f>IF(OR(H202=1,I202=1),0,IF(G202="Credit",-F202,F202))</f>
        <v/>
      </c>
    </row>
    <row r="203">
      <c r="A203" t="inlineStr">
        <is>
          <t>2026-07-03</t>
        </is>
      </c>
      <c r="B203" t="inlineStr">
        <is>
          <t>F262100</t>
        </is>
      </c>
      <c r="C203" t="inlineStr">
        <is>
          <t>C10111</t>
        </is>
      </c>
      <c r="D203" t="inlineStr">
        <is>
          <t>SKU-10131</t>
        </is>
      </c>
      <c r="E203" t="inlineStr">
        <is>
          <t>AM01</t>
        </is>
      </c>
      <c r="F203" s="5" t="n">
        <v>1262.21</v>
      </c>
      <c r="G203">
        <f>IF(LEFT(B203,1)="C","Credit","Factuur")</f>
        <v/>
      </c>
      <c r="H203">
        <f>IF(AND(B203=B202,D203=D202,A203=A202,F203=F202),1,0)</f>
        <v/>
      </c>
      <c r="I203">
        <f>IF(C203="C99999",1,0)</f>
        <v/>
      </c>
      <c r="J203" s="5">
        <f>IF(OR(H203=1,I203=1),0,IF(G203="Credit",-F203,F203))</f>
        <v/>
      </c>
    </row>
    <row r="204">
      <c r="A204" t="inlineStr">
        <is>
          <t>2026-07-03</t>
        </is>
      </c>
      <c r="B204" t="inlineStr">
        <is>
          <t>F262285</t>
        </is>
      </c>
      <c r="C204" t="inlineStr">
        <is>
          <t>C10121</t>
        </is>
      </c>
      <c r="D204" t="inlineStr">
        <is>
          <t>SKU-10056</t>
        </is>
      </c>
      <c r="E204" t="inlineStr">
        <is>
          <t>AM02</t>
        </is>
      </c>
      <c r="F204" s="5" t="n">
        <v>672</v>
      </c>
      <c r="G204">
        <f>IF(LEFT(B204,1)="C","Credit","Factuur")</f>
        <v/>
      </c>
      <c r="H204">
        <f>IF(AND(B204=B203,D204=D203,A204=A203,F204=F203),1,0)</f>
        <v/>
      </c>
      <c r="I204">
        <f>IF(C204="C99999",1,0)</f>
        <v/>
      </c>
      <c r="J204" s="5">
        <f>IF(OR(H204=1,I204=1),0,IF(G204="Credit",-F204,F204))</f>
        <v/>
      </c>
    </row>
    <row r="205">
      <c r="A205" t="inlineStr">
        <is>
          <t>2026-07-03</t>
        </is>
      </c>
      <c r="B205" t="inlineStr">
        <is>
          <t>F262285</t>
        </is>
      </c>
      <c r="C205" t="inlineStr">
        <is>
          <t>C10121</t>
        </is>
      </c>
      <c r="D205" t="inlineStr">
        <is>
          <t>SKU-10312</t>
        </is>
      </c>
      <c r="E205" t="inlineStr">
        <is>
          <t>AM02</t>
        </is>
      </c>
      <c r="F205" s="5" t="n">
        <v>653.6</v>
      </c>
      <c r="G205">
        <f>IF(LEFT(B205,1)="C","Credit","Factuur")</f>
        <v/>
      </c>
      <c r="H205">
        <f>IF(AND(B205=B204,D205=D204,A205=A204,F205=F204),1,0)</f>
        <v/>
      </c>
      <c r="I205">
        <f>IF(C205="C99999",1,0)</f>
        <v/>
      </c>
      <c r="J205" s="5">
        <f>IF(OR(H205=1,I205=1),0,IF(G205="Credit",-F205,F205))</f>
        <v/>
      </c>
    </row>
    <row r="206">
      <c r="A206" t="inlineStr">
        <is>
          <t>2026-07-03</t>
        </is>
      </c>
      <c r="B206" t="inlineStr">
        <is>
          <t>F262285</t>
        </is>
      </c>
      <c r="C206" t="inlineStr">
        <is>
          <t>C10121</t>
        </is>
      </c>
      <c r="D206" t="inlineStr">
        <is>
          <t>SKU-10346</t>
        </is>
      </c>
      <c r="E206" t="inlineStr">
        <is>
          <t>AM02</t>
        </is>
      </c>
      <c r="F206" s="5" t="n">
        <v>1135.35</v>
      </c>
      <c r="G206">
        <f>IF(LEFT(B206,1)="C","Credit","Factuur")</f>
        <v/>
      </c>
      <c r="H206">
        <f>IF(AND(B206=B205,D206=D205,A206=A205,F206=F205),1,0)</f>
        <v/>
      </c>
      <c r="I206">
        <f>IF(C206="C99999",1,0)</f>
        <v/>
      </c>
      <c r="J206" s="5">
        <f>IF(OR(H206=1,I206=1),0,IF(G206="Credit",-F206,F206))</f>
        <v/>
      </c>
    </row>
    <row r="207">
      <c r="A207" t="inlineStr">
        <is>
          <t>2026-07-03</t>
        </is>
      </c>
      <c r="B207" t="inlineStr">
        <is>
          <t>F262650</t>
        </is>
      </c>
      <c r="C207" t="inlineStr">
        <is>
          <t>C10140</t>
        </is>
      </c>
      <c r="D207" t="inlineStr">
        <is>
          <t>SKU-10304</t>
        </is>
      </c>
      <c r="E207" t="inlineStr">
        <is>
          <t>AM07</t>
        </is>
      </c>
      <c r="F207" s="5" t="n">
        <v>244.48</v>
      </c>
      <c r="G207">
        <f>IF(LEFT(B207,1)="C","Credit","Factuur")</f>
        <v/>
      </c>
      <c r="H207">
        <f>IF(AND(B207=B206,D207=D206,A207=A206,F207=F206),1,0)</f>
        <v/>
      </c>
      <c r="I207">
        <f>IF(C207="C99999",1,0)</f>
        <v/>
      </c>
      <c r="J207" s="5">
        <f>IF(OR(H207=1,I207=1),0,IF(G207="Credit",-F207,F207))</f>
        <v/>
      </c>
    </row>
    <row r="208">
      <c r="A208" t="inlineStr">
        <is>
          <t>2026-07-03</t>
        </is>
      </c>
      <c r="B208" t="inlineStr">
        <is>
          <t>F262650</t>
        </is>
      </c>
      <c r="C208" t="inlineStr">
        <is>
          <t>C10140</t>
        </is>
      </c>
      <c r="D208" t="inlineStr">
        <is>
          <t>SKU-10310</t>
        </is>
      </c>
      <c r="E208" t="inlineStr">
        <is>
          <t>AM07</t>
        </is>
      </c>
      <c r="F208" s="5" t="n">
        <v>246.29</v>
      </c>
      <c r="G208">
        <f>IF(LEFT(B208,1)="C","Credit","Factuur")</f>
        <v/>
      </c>
      <c r="H208">
        <f>IF(AND(B208=B207,D208=D207,A208=A207,F208=F207),1,0)</f>
        <v/>
      </c>
      <c r="I208">
        <f>IF(C208="C99999",1,0)</f>
        <v/>
      </c>
      <c r="J208" s="5">
        <f>IF(OR(H208=1,I208=1),0,IF(G208="Credit",-F208,F208))</f>
        <v/>
      </c>
    </row>
    <row r="209">
      <c r="A209" t="inlineStr">
        <is>
          <t>2026-07-03</t>
        </is>
      </c>
      <c r="B209" t="inlineStr">
        <is>
          <t>F262650</t>
        </is>
      </c>
      <c r="C209" t="inlineStr">
        <is>
          <t>C10140</t>
        </is>
      </c>
      <c r="D209" t="inlineStr">
        <is>
          <t>SKU-10340</t>
        </is>
      </c>
      <c r="E209" t="inlineStr">
        <is>
          <t>AM07</t>
        </is>
      </c>
      <c r="F209" s="5" t="n">
        <v>239.55</v>
      </c>
      <c r="G209">
        <f>IF(LEFT(B209,1)="C","Credit","Factuur")</f>
        <v/>
      </c>
      <c r="H209">
        <f>IF(AND(B209=B208,D209=D208,A209=A208,F209=F208),1,0)</f>
        <v/>
      </c>
      <c r="I209">
        <f>IF(C209="C99999",1,0)</f>
        <v/>
      </c>
      <c r="J209" s="5">
        <f>IF(OR(H209=1,I209=1),0,IF(G209="Credit",-F209,F209))</f>
        <v/>
      </c>
    </row>
    <row r="210">
      <c r="A210" t="inlineStr">
        <is>
          <t>2026-07-03</t>
        </is>
      </c>
      <c r="B210" t="inlineStr">
        <is>
          <t>F263070</t>
        </is>
      </c>
      <c r="C210" t="inlineStr">
        <is>
          <t>C10165</t>
        </is>
      </c>
      <c r="D210" t="inlineStr">
        <is>
          <t>SKU-10262</t>
        </is>
      </c>
      <c r="E210" t="inlineStr">
        <is>
          <t>AM05</t>
        </is>
      </c>
      <c r="F210" s="5" t="n">
        <v>424.95</v>
      </c>
      <c r="G210">
        <f>IF(LEFT(B210,1)="C","Credit","Factuur")</f>
        <v/>
      </c>
      <c r="H210">
        <f>IF(AND(B210=B209,D210=D209,A210=A209,F210=F209),1,0)</f>
        <v/>
      </c>
      <c r="I210">
        <f>IF(C210="C99999",1,0)</f>
        <v/>
      </c>
      <c r="J210" s="5">
        <f>IF(OR(H210=1,I210=1),0,IF(G210="Credit",-F210,F210))</f>
        <v/>
      </c>
    </row>
    <row r="211">
      <c r="A211" t="inlineStr">
        <is>
          <t>2026-07-03</t>
        </is>
      </c>
      <c r="B211" t="inlineStr">
        <is>
          <t>F263428</t>
        </is>
      </c>
      <c r="C211" t="inlineStr">
        <is>
          <t>C10183</t>
        </is>
      </c>
      <c r="D211" t="inlineStr">
        <is>
          <t>SKU-10103</t>
        </is>
      </c>
      <c r="E211" t="inlineStr"/>
      <c r="F211" s="5" t="n">
        <v>2942.88</v>
      </c>
      <c r="G211">
        <f>IF(LEFT(B211,1)="C","Credit","Factuur")</f>
        <v/>
      </c>
      <c r="H211">
        <f>IF(AND(B211=B210,D211=D210,A211=A210,F211=F210),1,0)</f>
        <v/>
      </c>
      <c r="I211">
        <f>IF(C211="C99999",1,0)</f>
        <v/>
      </c>
      <c r="J211" s="5">
        <f>IF(OR(H211=1,I211=1),0,IF(G211="Credit",-F211,F211))</f>
        <v/>
      </c>
    </row>
    <row r="212">
      <c r="A212" t="inlineStr">
        <is>
          <t>2026-07-03</t>
        </is>
      </c>
      <c r="B212" t="inlineStr">
        <is>
          <t>F263428</t>
        </is>
      </c>
      <c r="C212" t="inlineStr">
        <is>
          <t>C10183</t>
        </is>
      </c>
      <c r="D212" t="inlineStr">
        <is>
          <t>SKU-10152</t>
        </is>
      </c>
      <c r="E212" t="inlineStr">
        <is>
          <t>AM11</t>
        </is>
      </c>
      <c r="F212" s="5" t="n">
        <v>3090.96</v>
      </c>
      <c r="G212">
        <f>IF(LEFT(B212,1)="C","Credit","Factuur")</f>
        <v/>
      </c>
      <c r="H212">
        <f>IF(AND(B212=B211,D212=D211,A212=A211,F212=F211),1,0)</f>
        <v/>
      </c>
      <c r="I212">
        <f>IF(C212="C99999",1,0)</f>
        <v/>
      </c>
      <c r="J212" s="5">
        <f>IF(OR(H212=1,I212=1),0,IF(G212="Credit",-F212,F212))</f>
        <v/>
      </c>
    </row>
    <row r="213">
      <c r="A213" t="inlineStr">
        <is>
          <t>2026-07-03</t>
        </is>
      </c>
      <c r="B213" t="inlineStr">
        <is>
          <t>F263428</t>
        </is>
      </c>
      <c r="C213" t="inlineStr">
        <is>
          <t>C10183</t>
        </is>
      </c>
      <c r="D213" t="inlineStr">
        <is>
          <t>SKU-10317</t>
        </is>
      </c>
      <c r="E213" t="inlineStr">
        <is>
          <t>AM11</t>
        </is>
      </c>
      <c r="F213" s="5" t="n">
        <v>3103.52</v>
      </c>
      <c r="G213">
        <f>IF(LEFT(B213,1)="C","Credit","Factuur")</f>
        <v/>
      </c>
      <c r="H213">
        <f>IF(AND(B213=B212,D213=D212,A213=A212,F213=F212),1,0)</f>
        <v/>
      </c>
      <c r="I213">
        <f>IF(C213="C99999",1,0)</f>
        <v/>
      </c>
      <c r="J213" s="5">
        <f>IF(OR(H213=1,I213=1),0,IF(G213="Credit",-F213,F213))</f>
        <v/>
      </c>
    </row>
    <row r="214">
      <c r="A214" t="inlineStr">
        <is>
          <t>2026-07-03</t>
        </is>
      </c>
      <c r="B214" t="inlineStr">
        <is>
          <t>F263430</t>
        </is>
      </c>
      <c r="C214" t="inlineStr">
        <is>
          <t>C10183</t>
        </is>
      </c>
      <c r="D214" t="inlineStr">
        <is>
          <t>SKU-10303</t>
        </is>
      </c>
      <c r="E214" t="inlineStr">
        <is>
          <t>AM11</t>
        </is>
      </c>
      <c r="F214" s="5" t="n">
        <v>3254.24</v>
      </c>
      <c r="G214">
        <f>IF(LEFT(B214,1)="C","Credit","Factuur")</f>
        <v/>
      </c>
      <c r="H214">
        <f>IF(AND(B214=B213,D214=D213,A214=A213,F214=F213),1,0)</f>
        <v/>
      </c>
      <c r="I214">
        <f>IF(C214="C99999",1,0)</f>
        <v/>
      </c>
      <c r="J214" s="5">
        <f>IF(OR(H214=1,I214=1),0,IF(G214="Credit",-F214,F214))</f>
        <v/>
      </c>
    </row>
    <row r="215">
      <c r="A215" t="inlineStr">
        <is>
          <t>2026-07-03</t>
        </is>
      </c>
      <c r="B215" t="inlineStr">
        <is>
          <t>F263430</t>
        </is>
      </c>
      <c r="C215" t="inlineStr">
        <is>
          <t>C10183</t>
        </is>
      </c>
      <c r="D215" t="inlineStr">
        <is>
          <t>SKU-10328</t>
        </is>
      </c>
      <c r="E215" t="inlineStr">
        <is>
          <t>AM11</t>
        </is>
      </c>
      <c r="F215" s="5" t="n">
        <v>3248.96</v>
      </c>
      <c r="G215">
        <f>IF(LEFT(B215,1)="C","Credit","Factuur")</f>
        <v/>
      </c>
      <c r="H215">
        <f>IF(AND(B215=B214,D215=D214,A215=A214,F215=F214),1,0)</f>
        <v/>
      </c>
      <c r="I215">
        <f>IF(C215="C99999",1,0)</f>
        <v/>
      </c>
      <c r="J215" s="5">
        <f>IF(OR(H215=1,I215=1),0,IF(G215="Credit",-F215,F215))</f>
        <v/>
      </c>
    </row>
    <row r="216">
      <c r="A216" t="inlineStr">
        <is>
          <t>2026-07-03</t>
        </is>
      </c>
      <c r="B216" t="inlineStr">
        <is>
          <t>F263431</t>
        </is>
      </c>
      <c r="C216" t="inlineStr">
        <is>
          <t>C10183</t>
        </is>
      </c>
      <c r="D216" t="inlineStr">
        <is>
          <t>SKU-10033</t>
        </is>
      </c>
      <c r="E216" t="inlineStr">
        <is>
          <t>AM11</t>
        </is>
      </c>
      <c r="F216" s="5" t="n">
        <v>2207.85</v>
      </c>
      <c r="G216">
        <f>IF(LEFT(B216,1)="C","Credit","Factuur")</f>
        <v/>
      </c>
      <c r="H216">
        <f>IF(AND(B216=B215,D216=D215,A216=A215,F216=F215),1,0)</f>
        <v/>
      </c>
      <c r="I216">
        <f>IF(C216="C99999",1,0)</f>
        <v/>
      </c>
      <c r="J216" s="5">
        <f>IF(OR(H216=1,I216=1),0,IF(G216="Credit",-F216,F216))</f>
        <v/>
      </c>
    </row>
    <row r="217">
      <c r="A217" t="inlineStr">
        <is>
          <t>2026-07-03</t>
        </is>
      </c>
      <c r="B217" t="inlineStr">
        <is>
          <t>F263431</t>
        </is>
      </c>
      <c r="C217" t="inlineStr">
        <is>
          <t>C10183</t>
        </is>
      </c>
      <c r="D217" t="inlineStr">
        <is>
          <t>SKU-10185</t>
        </is>
      </c>
      <c r="E217" t="inlineStr">
        <is>
          <t>AM11</t>
        </is>
      </c>
      <c r="F217" s="5" t="n">
        <v>2193.03</v>
      </c>
      <c r="G217">
        <f>IF(LEFT(B217,1)="C","Credit","Factuur")</f>
        <v/>
      </c>
      <c r="H217">
        <f>IF(AND(B217=B216,D217=D216,A217=A216,F217=F216),1,0)</f>
        <v/>
      </c>
      <c r="I217">
        <f>IF(C217="C99999",1,0)</f>
        <v/>
      </c>
      <c r="J217" s="5">
        <f>IF(OR(H217=1,I217=1),0,IF(G217="Credit",-F217,F217))</f>
        <v/>
      </c>
    </row>
    <row r="218">
      <c r="A218" t="inlineStr">
        <is>
          <t>2026-07-03</t>
        </is>
      </c>
      <c r="B218" t="inlineStr">
        <is>
          <t>F263431</t>
        </is>
      </c>
      <c r="C218" t="inlineStr">
        <is>
          <t>C10183</t>
        </is>
      </c>
      <c r="D218" t="inlineStr">
        <is>
          <t>SKU-10226</t>
        </is>
      </c>
      <c r="E218" t="inlineStr">
        <is>
          <t>AM11</t>
        </is>
      </c>
      <c r="F218" s="5" t="n">
        <v>2210.39</v>
      </c>
      <c r="G218">
        <f>IF(LEFT(B218,1)="C","Credit","Factuur")</f>
        <v/>
      </c>
      <c r="H218">
        <f>IF(AND(B218=B217,D218=D217,A218=A217,F218=F217),1,0)</f>
        <v/>
      </c>
      <c r="I218">
        <f>IF(C218="C99999",1,0)</f>
        <v/>
      </c>
      <c r="J218" s="5">
        <f>IF(OR(H218=1,I218=1),0,IF(G218="Credit",-F218,F218))</f>
        <v/>
      </c>
    </row>
    <row r="219">
      <c r="A219" t="inlineStr">
        <is>
          <t>2026-07-03</t>
        </is>
      </c>
      <c r="B219" t="inlineStr">
        <is>
          <t>F263431</t>
        </is>
      </c>
      <c r="C219" t="inlineStr">
        <is>
          <t>C10183</t>
        </is>
      </c>
      <c r="D219" t="inlineStr">
        <is>
          <t>SKU-10310</t>
        </is>
      </c>
      <c r="E219" t="inlineStr">
        <is>
          <t>AM11</t>
        </is>
      </c>
      <c r="F219" s="5" t="n">
        <v>2216.61</v>
      </c>
      <c r="G219">
        <f>IF(LEFT(B219,1)="C","Credit","Factuur")</f>
        <v/>
      </c>
      <c r="H219">
        <f>IF(AND(B219=B218,D219=D218,A219=A218,F219=F218),1,0)</f>
        <v/>
      </c>
      <c r="I219">
        <f>IF(C219="C99999",1,0)</f>
        <v/>
      </c>
      <c r="J219" s="5">
        <f>IF(OR(H219=1,I219=1),0,IF(G219="Credit",-F219,F219))</f>
        <v/>
      </c>
    </row>
    <row r="220">
      <c r="A220" t="inlineStr">
        <is>
          <t>2026-07-03</t>
        </is>
      </c>
      <c r="B220" t="inlineStr">
        <is>
          <t>F263438</t>
        </is>
      </c>
      <c r="C220" t="inlineStr">
        <is>
          <t>C10184</t>
        </is>
      </c>
      <c r="D220" t="inlineStr">
        <is>
          <t>SKU-10302</t>
        </is>
      </c>
      <c r="E220" t="inlineStr">
        <is>
          <t>AM03</t>
        </is>
      </c>
      <c r="F220" s="5" t="n">
        <v>850.1</v>
      </c>
      <c r="G220">
        <f>IF(LEFT(B220,1)="C","Credit","Factuur")</f>
        <v/>
      </c>
      <c r="H220">
        <f>IF(AND(B220=B219,D220=D219,A220=A219,F220=F219),1,0)</f>
        <v/>
      </c>
      <c r="I220">
        <f>IF(C220="C99999",1,0)</f>
        <v/>
      </c>
      <c r="J220" s="5">
        <f>IF(OR(H220=1,I220=1),0,IF(G220="Credit",-F220,F220))</f>
        <v/>
      </c>
    </row>
    <row r="221">
      <c r="A221" t="inlineStr">
        <is>
          <t>2026-07-03</t>
        </is>
      </c>
      <c r="B221" t="inlineStr">
        <is>
          <t>F263438</t>
        </is>
      </c>
      <c r="C221" t="inlineStr">
        <is>
          <t>C10184</t>
        </is>
      </c>
      <c r="D221" t="inlineStr">
        <is>
          <t>SKU-10311</t>
        </is>
      </c>
      <c r="E221" t="inlineStr">
        <is>
          <t>AM03</t>
        </is>
      </c>
      <c r="F221" s="5" t="n">
        <v>985.5700000000001</v>
      </c>
      <c r="G221">
        <f>IF(LEFT(B221,1)="C","Credit","Factuur")</f>
        <v/>
      </c>
      <c r="H221">
        <f>IF(AND(B221=B220,D221=D220,A221=A220,F221=F220),1,0)</f>
        <v/>
      </c>
      <c r="I221">
        <f>IF(C221="C99999",1,0)</f>
        <v/>
      </c>
      <c r="J221" s="5">
        <f>IF(OR(H221=1,I221=1),0,IF(G221="Credit",-F221,F221))</f>
        <v/>
      </c>
    </row>
    <row r="222">
      <c r="A222" t="inlineStr">
        <is>
          <t>2026-07-03</t>
        </is>
      </c>
      <c r="B222" t="inlineStr">
        <is>
          <t>F263523</t>
        </is>
      </c>
      <c r="C222" t="inlineStr">
        <is>
          <t>C10189</t>
        </is>
      </c>
      <c r="D222" t="inlineStr">
        <is>
          <t>SKU-10012</t>
        </is>
      </c>
      <c r="E222" t="inlineStr">
        <is>
          <t>IS01</t>
        </is>
      </c>
      <c r="F222" s="5" t="n">
        <v>63.82</v>
      </c>
      <c r="G222">
        <f>IF(LEFT(B222,1)="C","Credit","Factuur")</f>
        <v/>
      </c>
      <c r="H222">
        <f>IF(AND(B222=B221,D222=D221,A222=A221,F222=F221),1,0)</f>
        <v/>
      </c>
      <c r="I222">
        <f>IF(C222="C99999",1,0)</f>
        <v/>
      </c>
      <c r="J222" s="5">
        <f>IF(OR(H222=1,I222=1),0,IF(G222="Credit",-F222,F222))</f>
        <v/>
      </c>
    </row>
    <row r="223">
      <c r="A223" t="inlineStr">
        <is>
          <t>2026-07-03</t>
        </is>
      </c>
      <c r="B223" t="inlineStr">
        <is>
          <t>F263523</t>
        </is>
      </c>
      <c r="C223" t="inlineStr">
        <is>
          <t>C10189</t>
        </is>
      </c>
      <c r="D223" t="inlineStr">
        <is>
          <t>SKU-10041</t>
        </is>
      </c>
      <c r="E223" t="inlineStr">
        <is>
          <t>IS01</t>
        </is>
      </c>
      <c r="F223" s="5" t="n">
        <v>68.8</v>
      </c>
      <c r="G223">
        <f>IF(LEFT(B223,1)="C","Credit","Factuur")</f>
        <v/>
      </c>
      <c r="H223">
        <f>IF(AND(B223=B222,D223=D222,A223=A222,F223=F222),1,0)</f>
        <v/>
      </c>
      <c r="I223">
        <f>IF(C223="C99999",1,0)</f>
        <v/>
      </c>
      <c r="J223" s="5">
        <f>IF(OR(H223=1,I223=1),0,IF(G223="Credit",-F223,F223))</f>
        <v/>
      </c>
    </row>
    <row r="224">
      <c r="A224" t="inlineStr">
        <is>
          <t>2026-07-03</t>
        </is>
      </c>
      <c r="B224" t="inlineStr">
        <is>
          <t>F263523</t>
        </is>
      </c>
      <c r="C224" t="inlineStr">
        <is>
          <t>C10189</t>
        </is>
      </c>
      <c r="D224" t="inlineStr">
        <is>
          <t>SKU-10073</t>
        </is>
      </c>
      <c r="E224" t="inlineStr">
        <is>
          <t>IS01</t>
        </is>
      </c>
      <c r="F224" s="5" t="n">
        <v>57.04</v>
      </c>
      <c r="G224">
        <f>IF(LEFT(B224,1)="C","Credit","Factuur")</f>
        <v/>
      </c>
      <c r="H224">
        <f>IF(AND(B224=B223,D224=D223,A224=A223,F224=F223),1,0)</f>
        <v/>
      </c>
      <c r="I224">
        <f>IF(C224="C99999",1,0)</f>
        <v/>
      </c>
      <c r="J224" s="5">
        <f>IF(OR(H224=1,I224=1),0,IF(G224="Credit",-F224,F224))</f>
        <v/>
      </c>
    </row>
    <row r="225">
      <c r="A225" t="inlineStr">
        <is>
          <t>2026-07-03</t>
        </is>
      </c>
      <c r="B225" t="inlineStr">
        <is>
          <t>F263523</t>
        </is>
      </c>
      <c r="C225" t="inlineStr">
        <is>
          <t>C10189</t>
        </is>
      </c>
      <c r="D225" t="inlineStr">
        <is>
          <t>SKU-10093</t>
        </is>
      </c>
      <c r="E225" t="inlineStr">
        <is>
          <t>IS01</t>
        </is>
      </c>
      <c r="F225" s="5" t="n">
        <v>92.05</v>
      </c>
      <c r="G225">
        <f>IF(LEFT(B225,1)="C","Credit","Factuur")</f>
        <v/>
      </c>
      <c r="H225">
        <f>IF(AND(B225=B224,D225=D224,A225=A224,F225=F224),1,0)</f>
        <v/>
      </c>
      <c r="I225">
        <f>IF(C225="C99999",1,0)</f>
        <v/>
      </c>
      <c r="J225" s="5">
        <f>IF(OR(H225=1,I225=1),0,IF(G225="Credit",-F225,F225))</f>
        <v/>
      </c>
    </row>
    <row r="226">
      <c r="A226" t="inlineStr">
        <is>
          <t>2026-07-03</t>
        </is>
      </c>
      <c r="B226" t="inlineStr">
        <is>
          <t>F263523</t>
        </is>
      </c>
      <c r="C226" t="inlineStr">
        <is>
          <t>C10189</t>
        </is>
      </c>
      <c r="D226" t="inlineStr">
        <is>
          <t>SKU-10242</t>
        </is>
      </c>
      <c r="E226" t="inlineStr">
        <is>
          <t>IS01</t>
        </is>
      </c>
      <c r="F226" s="5" t="n">
        <v>68.40000000000001</v>
      </c>
      <c r="G226">
        <f>IF(LEFT(B226,1)="C","Credit","Factuur")</f>
        <v/>
      </c>
      <c r="H226">
        <f>IF(AND(B226=B225,D226=D225,A226=A225,F226=F225),1,0)</f>
        <v/>
      </c>
      <c r="I226">
        <f>IF(C226="C99999",1,0)</f>
        <v/>
      </c>
      <c r="J226" s="5">
        <f>IF(OR(H226=1,I226=1),0,IF(G226="Credit",-F226,F226))</f>
        <v/>
      </c>
    </row>
    <row r="227">
      <c r="A227" t="inlineStr">
        <is>
          <t>2026-07-03</t>
        </is>
      </c>
      <c r="B227" t="inlineStr">
        <is>
          <t>F264009</t>
        </is>
      </c>
      <c r="C227" t="inlineStr">
        <is>
          <t>C10211</t>
        </is>
      </c>
      <c r="D227" t="inlineStr">
        <is>
          <t>SKU-10099</t>
        </is>
      </c>
      <c r="E227" t="inlineStr">
        <is>
          <t>AM08</t>
        </is>
      </c>
      <c r="F227" s="5" t="n">
        <v>497.95</v>
      </c>
      <c r="G227">
        <f>IF(LEFT(B227,1)="C","Credit","Factuur")</f>
        <v/>
      </c>
      <c r="H227">
        <f>IF(AND(B227=B226,D227=D226,A227=A226,F227=F226),1,0)</f>
        <v/>
      </c>
      <c r="I227">
        <f>IF(C227="C99999",1,0)</f>
        <v/>
      </c>
      <c r="J227" s="5">
        <f>IF(OR(H227=1,I227=1),0,IF(G227="Credit",-F227,F227))</f>
        <v/>
      </c>
    </row>
    <row r="228">
      <c r="A228" t="inlineStr">
        <is>
          <t>2026-07-03</t>
        </is>
      </c>
      <c r="B228" t="inlineStr">
        <is>
          <t>F264009</t>
        </is>
      </c>
      <c r="C228" t="inlineStr">
        <is>
          <t>C10211</t>
        </is>
      </c>
      <c r="D228" t="inlineStr">
        <is>
          <t>SKU-10136</t>
        </is>
      </c>
      <c r="E228" t="inlineStr">
        <is>
          <t>AM08</t>
        </is>
      </c>
      <c r="F228" s="5" t="n">
        <v>514.26</v>
      </c>
      <c r="G228">
        <f>IF(LEFT(B228,1)="C","Credit","Factuur")</f>
        <v/>
      </c>
      <c r="H228">
        <f>IF(AND(B228=B227,D228=D227,A228=A227,F228=F227),1,0)</f>
        <v/>
      </c>
      <c r="I228">
        <f>IF(C228="C99999",1,0)</f>
        <v/>
      </c>
      <c r="J228" s="5">
        <f>IF(OR(H228=1,I228=1),0,IF(G228="Credit",-F228,F228))</f>
        <v/>
      </c>
    </row>
    <row r="229">
      <c r="A229" t="inlineStr">
        <is>
          <t>2026-07-03</t>
        </is>
      </c>
      <c r="B229" t="inlineStr">
        <is>
          <t>F264009</t>
        </is>
      </c>
      <c r="C229" t="inlineStr">
        <is>
          <t>C10211</t>
        </is>
      </c>
      <c r="D229" t="inlineStr">
        <is>
          <t>SKU-10210</t>
        </is>
      </c>
      <c r="E229" t="inlineStr">
        <is>
          <t>AM08</t>
        </is>
      </c>
      <c r="F229" s="5" t="n">
        <v>526.05</v>
      </c>
      <c r="G229">
        <f>IF(LEFT(B229,1)="C","Credit","Factuur")</f>
        <v/>
      </c>
      <c r="H229">
        <f>IF(AND(B229=B228,D229=D228,A229=A228,F229=F228),1,0)</f>
        <v/>
      </c>
      <c r="I229">
        <f>IF(C229="C99999",1,0)</f>
        <v/>
      </c>
      <c r="J229" s="5">
        <f>IF(OR(H229=1,I229=1),0,IF(G229="Credit",-F229,F229))</f>
        <v/>
      </c>
    </row>
    <row r="230">
      <c r="A230" t="inlineStr">
        <is>
          <t>2026-07-03</t>
        </is>
      </c>
      <c r="B230" t="inlineStr">
        <is>
          <t>F264009</t>
        </is>
      </c>
      <c r="C230" t="inlineStr">
        <is>
          <t>C10211</t>
        </is>
      </c>
      <c r="D230" t="inlineStr">
        <is>
          <t>SKU-10231</t>
        </is>
      </c>
      <c r="E230" t="inlineStr">
        <is>
          <t>AM08</t>
        </is>
      </c>
      <c r="F230" s="5" t="n">
        <v>527.61</v>
      </c>
      <c r="G230">
        <f>IF(LEFT(B230,1)="C","Credit","Factuur")</f>
        <v/>
      </c>
      <c r="H230">
        <f>IF(AND(B230=B229,D230=D229,A230=A229,F230=F229),1,0)</f>
        <v/>
      </c>
      <c r="I230">
        <f>IF(C230="C99999",1,0)</f>
        <v/>
      </c>
      <c r="J230" s="5">
        <f>IF(OR(H230=1,I230=1),0,IF(G230="Credit",-F230,F230))</f>
        <v/>
      </c>
    </row>
    <row r="231">
      <c r="A231" t="inlineStr">
        <is>
          <t>2026-07-03</t>
        </is>
      </c>
      <c r="B231" t="inlineStr">
        <is>
          <t>F264009</t>
        </is>
      </c>
      <c r="C231" t="inlineStr">
        <is>
          <t>C10211</t>
        </is>
      </c>
      <c r="D231" t="inlineStr">
        <is>
          <t>SKU-10353</t>
        </is>
      </c>
      <c r="E231" t="inlineStr">
        <is>
          <t>AM08</t>
        </is>
      </c>
      <c r="F231" s="5" t="n">
        <v>499.32</v>
      </c>
      <c r="G231">
        <f>IF(LEFT(B231,1)="C","Credit","Factuur")</f>
        <v/>
      </c>
      <c r="H231">
        <f>IF(AND(B231=B230,D231=D230,A231=A230,F231=F230),1,0)</f>
        <v/>
      </c>
      <c r="I231">
        <f>IF(C231="C99999",1,0)</f>
        <v/>
      </c>
      <c r="J231" s="5">
        <f>IF(OR(H231=1,I231=1),0,IF(G231="Credit",-F231,F231))</f>
        <v/>
      </c>
    </row>
    <row r="232">
      <c r="A232" t="inlineStr">
        <is>
          <t>2026-07-03</t>
        </is>
      </c>
      <c r="B232" t="inlineStr">
        <is>
          <t>F264010</t>
        </is>
      </c>
      <c r="C232" t="inlineStr">
        <is>
          <t>C10211</t>
        </is>
      </c>
      <c r="D232" t="inlineStr">
        <is>
          <t>SKU-10020</t>
        </is>
      </c>
      <c r="E232" t="inlineStr">
        <is>
          <t>AM08</t>
        </is>
      </c>
      <c r="F232" s="5" t="n">
        <v>631.1799999999999</v>
      </c>
      <c r="G232">
        <f>IF(LEFT(B232,1)="C","Credit","Factuur")</f>
        <v/>
      </c>
      <c r="H232">
        <f>IF(AND(B232=B231,D232=D231,A232=A231,F232=F231),1,0)</f>
        <v/>
      </c>
      <c r="I232">
        <f>IF(C232="C99999",1,0)</f>
        <v/>
      </c>
      <c r="J232" s="5">
        <f>IF(OR(H232=1,I232=1),0,IF(G232="Credit",-F232,F232))</f>
        <v/>
      </c>
    </row>
    <row r="233">
      <c r="A233" t="inlineStr">
        <is>
          <t>2026-07-03</t>
        </is>
      </c>
      <c r="B233" t="inlineStr">
        <is>
          <t>F264010</t>
        </is>
      </c>
      <c r="C233" t="inlineStr">
        <is>
          <t>C10211</t>
        </is>
      </c>
      <c r="D233" t="inlineStr">
        <is>
          <t>SKU-10253</t>
        </is>
      </c>
      <c r="E233" t="inlineStr">
        <is>
          <t>AM08</t>
        </is>
      </c>
      <c r="F233" s="5" t="n">
        <v>763.37</v>
      </c>
      <c r="G233">
        <f>IF(LEFT(B233,1)="C","Credit","Factuur")</f>
        <v/>
      </c>
      <c r="H233">
        <f>IF(AND(B233=B232,D233=D232,A233=A232,F233=F232),1,0)</f>
        <v/>
      </c>
      <c r="I233">
        <f>IF(C233="C99999",1,0)</f>
        <v/>
      </c>
      <c r="J233" s="5">
        <f>IF(OR(H233=1,I233=1),0,IF(G233="Credit",-F233,F233))</f>
        <v/>
      </c>
    </row>
    <row r="234">
      <c r="A234" t="inlineStr">
        <is>
          <t>2026-07-03</t>
        </is>
      </c>
      <c r="B234" t="inlineStr">
        <is>
          <t>F264010</t>
        </is>
      </c>
      <c r="C234" t="inlineStr">
        <is>
          <t>C10211</t>
        </is>
      </c>
      <c r="D234" t="inlineStr">
        <is>
          <t>SKU-10339</t>
        </is>
      </c>
      <c r="E234" t="inlineStr">
        <is>
          <t>AM08</t>
        </is>
      </c>
      <c r="F234" s="5" t="n">
        <v>752.5</v>
      </c>
      <c r="G234">
        <f>IF(LEFT(B234,1)="C","Credit","Factuur")</f>
        <v/>
      </c>
      <c r="H234">
        <f>IF(AND(B234=B233,D234=D233,A234=A233,F234=F233),1,0)</f>
        <v/>
      </c>
      <c r="I234">
        <f>IF(C234="C99999",1,0)</f>
        <v/>
      </c>
      <c r="J234" s="5">
        <f>IF(OR(H234=1,I234=1),0,IF(G234="Credit",-F234,F234))</f>
        <v/>
      </c>
    </row>
    <row r="235">
      <c r="A235" t="inlineStr">
        <is>
          <t>2026-07-03</t>
        </is>
      </c>
      <c r="B235" t="inlineStr">
        <is>
          <t>F264517</t>
        </is>
      </c>
      <c r="C235" t="inlineStr">
        <is>
          <t>C10234</t>
        </is>
      </c>
      <c r="D235" t="inlineStr">
        <is>
          <t>SKU-10154</t>
        </is>
      </c>
      <c r="E235" t="inlineStr">
        <is>
          <t>AM08</t>
        </is>
      </c>
      <c r="F235" s="5" t="n">
        <v>606.88</v>
      </c>
      <c r="G235">
        <f>IF(LEFT(B235,1)="C","Credit","Factuur")</f>
        <v/>
      </c>
      <c r="H235">
        <f>IF(AND(B235=B234,D235=D234,A235=A234,F235=F234),1,0)</f>
        <v/>
      </c>
      <c r="I235">
        <f>IF(C235="C99999",1,0)</f>
        <v/>
      </c>
      <c r="J235" s="5">
        <f>IF(OR(H235=1,I235=1),0,IF(G235="Credit",-F235,F235))</f>
        <v/>
      </c>
    </row>
    <row r="236">
      <c r="A236" t="inlineStr">
        <is>
          <t>2026-07-03</t>
        </is>
      </c>
      <c r="B236" t="inlineStr">
        <is>
          <t>F264517</t>
        </is>
      </c>
      <c r="C236" t="inlineStr">
        <is>
          <t>C10234</t>
        </is>
      </c>
      <c r="D236" t="inlineStr">
        <is>
          <t>SKU-10362</t>
        </is>
      </c>
      <c r="E236" t="inlineStr">
        <is>
          <t>AM08</t>
        </is>
      </c>
      <c r="F236" s="5" t="n">
        <v>675</v>
      </c>
      <c r="G236">
        <f>IF(LEFT(B236,1)="C","Credit","Factuur")</f>
        <v/>
      </c>
      <c r="H236">
        <f>IF(AND(B236=B235,D236=D235,A236=A235,F236=F235),1,0)</f>
        <v/>
      </c>
      <c r="I236">
        <f>IF(C236="C99999",1,0)</f>
        <v/>
      </c>
      <c r="J236" s="5">
        <f>IF(OR(H236=1,I236=1),0,IF(G236="Credit",-F236,F236))</f>
        <v/>
      </c>
    </row>
    <row r="237">
      <c r="A237" t="inlineStr">
        <is>
          <t>2026-07-03</t>
        </is>
      </c>
      <c r="B237" t="inlineStr">
        <is>
          <t>F264519</t>
        </is>
      </c>
      <c r="C237" t="inlineStr">
        <is>
          <t>C10234</t>
        </is>
      </c>
      <c r="D237" t="inlineStr">
        <is>
          <t>SKU-10252</t>
        </is>
      </c>
      <c r="E237" t="inlineStr">
        <is>
          <t>AM08</t>
        </is>
      </c>
      <c r="F237" s="5" t="n">
        <v>1450.08</v>
      </c>
      <c r="G237">
        <f>IF(LEFT(B237,1)="C","Credit","Factuur")</f>
        <v/>
      </c>
      <c r="H237">
        <f>IF(AND(B237=B236,D237=D236,A237=A236,F237=F236),1,0)</f>
        <v/>
      </c>
      <c r="I237">
        <f>IF(C237="C99999",1,0)</f>
        <v/>
      </c>
      <c r="J237" s="5">
        <f>IF(OR(H237=1,I237=1),0,IF(G237="Credit",-F237,F237))</f>
        <v/>
      </c>
    </row>
    <row r="238">
      <c r="A238" t="inlineStr">
        <is>
          <t>2026-07-03</t>
        </is>
      </c>
      <c r="B238" t="inlineStr">
        <is>
          <t>F264619</t>
        </is>
      </c>
      <c r="C238" t="inlineStr">
        <is>
          <t>C10240</t>
        </is>
      </c>
      <c r="D238" t="inlineStr">
        <is>
          <t>SKU-10065</t>
        </is>
      </c>
      <c r="E238" t="inlineStr">
        <is>
          <t>AM11</t>
        </is>
      </c>
      <c r="F238" s="5" t="n">
        <v>187.23</v>
      </c>
      <c r="G238">
        <f>IF(LEFT(B238,1)="C","Credit","Factuur")</f>
        <v/>
      </c>
      <c r="H238">
        <f>IF(AND(B238=B237,D238=D237,A238=A237,F238=F237),1,0)</f>
        <v/>
      </c>
      <c r="I238">
        <f>IF(C238="C99999",1,0)</f>
        <v/>
      </c>
      <c r="J238" s="5">
        <f>IF(OR(H238=1,I238=1),0,IF(G238="Credit",-F238,F238))</f>
        <v/>
      </c>
    </row>
    <row r="239">
      <c r="A239" t="inlineStr">
        <is>
          <t>2026-07-03</t>
        </is>
      </c>
      <c r="B239" t="inlineStr">
        <is>
          <t>F264619</t>
        </is>
      </c>
      <c r="C239" t="inlineStr">
        <is>
          <t>C10240</t>
        </is>
      </c>
      <c r="D239" t="inlineStr">
        <is>
          <t>SKU-10082</t>
        </is>
      </c>
      <c r="E239" t="inlineStr">
        <is>
          <t>AM11</t>
        </is>
      </c>
      <c r="F239" s="5" t="n">
        <v>189.76</v>
      </c>
      <c r="G239">
        <f>IF(LEFT(B239,1)="C","Credit","Factuur")</f>
        <v/>
      </c>
      <c r="H239">
        <f>IF(AND(B239=B238,D239=D238,A239=A238,F239=F238),1,0)</f>
        <v/>
      </c>
      <c r="I239">
        <f>IF(C239="C99999",1,0)</f>
        <v/>
      </c>
      <c r="J239" s="5">
        <f>IF(OR(H239=1,I239=1),0,IF(G239="Credit",-F239,F239))</f>
        <v/>
      </c>
    </row>
    <row r="240">
      <c r="A240" t="inlineStr">
        <is>
          <t>2026-07-03</t>
        </is>
      </c>
      <c r="B240" t="inlineStr">
        <is>
          <t>F264639</t>
        </is>
      </c>
      <c r="C240" t="inlineStr">
        <is>
          <t>C10241</t>
        </is>
      </c>
      <c r="D240" t="inlineStr">
        <is>
          <t>SKU-10099</t>
        </is>
      </c>
      <c r="E240" t="inlineStr">
        <is>
          <t>AM02</t>
        </is>
      </c>
      <c r="F240" s="5" t="n">
        <v>640.64</v>
      </c>
      <c r="G240">
        <f>IF(LEFT(B240,1)="C","Credit","Factuur")</f>
        <v/>
      </c>
      <c r="H240">
        <f>IF(AND(B240=B239,D240=D239,A240=A239,F240=F239),1,0)</f>
        <v/>
      </c>
      <c r="I240">
        <f>IF(C240="C99999",1,0)</f>
        <v/>
      </c>
      <c r="J240" s="5">
        <f>IF(OR(H240=1,I240=1),0,IF(G240="Credit",-F240,F240))</f>
        <v/>
      </c>
    </row>
    <row r="241">
      <c r="A241" t="inlineStr">
        <is>
          <t>2026-07-03</t>
        </is>
      </c>
      <c r="B241" t="inlineStr">
        <is>
          <t>F264639</t>
        </is>
      </c>
      <c r="C241" t="inlineStr">
        <is>
          <t>C10241</t>
        </is>
      </c>
      <c r="D241" t="inlineStr">
        <is>
          <t>SKU-10127</t>
        </is>
      </c>
      <c r="E241" t="inlineStr">
        <is>
          <t>AM02</t>
        </is>
      </c>
      <c r="F241" s="5" t="n">
        <v>640.85</v>
      </c>
      <c r="G241">
        <f>IF(LEFT(B241,1)="C","Credit","Factuur")</f>
        <v/>
      </c>
      <c r="H241">
        <f>IF(AND(B241=B240,D241=D240,A241=A240,F241=F240),1,0)</f>
        <v/>
      </c>
      <c r="I241">
        <f>IF(C241="C99999",1,0)</f>
        <v/>
      </c>
      <c r="J241" s="5">
        <f>IF(OR(H241=1,I241=1),0,IF(G241="Credit",-F241,F241))</f>
        <v/>
      </c>
    </row>
    <row r="242">
      <c r="A242" t="inlineStr">
        <is>
          <t>2026-07-03</t>
        </is>
      </c>
      <c r="B242" t="inlineStr">
        <is>
          <t>F264639</t>
        </is>
      </c>
      <c r="C242" t="inlineStr">
        <is>
          <t>C10241</t>
        </is>
      </c>
      <c r="D242" t="inlineStr">
        <is>
          <t>SKU-10269</t>
        </is>
      </c>
      <c r="E242" t="inlineStr">
        <is>
          <t>AM02</t>
        </is>
      </c>
      <c r="F242" s="5" t="n">
        <v>589.47</v>
      </c>
      <c r="G242">
        <f>IF(LEFT(B242,1)="C","Credit","Factuur")</f>
        <v/>
      </c>
      <c r="H242">
        <f>IF(AND(B242=B241,D242=D241,A242=A241,F242=F241),1,0)</f>
        <v/>
      </c>
      <c r="I242">
        <f>IF(C242="C99999",1,0)</f>
        <v/>
      </c>
      <c r="J242" s="5">
        <f>IF(OR(H242=1,I242=1),0,IF(G242="Credit",-F242,F242))</f>
        <v/>
      </c>
    </row>
    <row r="243">
      <c r="A243" t="inlineStr">
        <is>
          <t>2026-07-03</t>
        </is>
      </c>
      <c r="B243" t="inlineStr">
        <is>
          <t>F264639</t>
        </is>
      </c>
      <c r="C243" t="inlineStr">
        <is>
          <t>C10241</t>
        </is>
      </c>
      <c r="D243" t="inlineStr">
        <is>
          <t>SKU-10336</t>
        </is>
      </c>
      <c r="E243" t="inlineStr">
        <is>
          <t>AM02</t>
        </is>
      </c>
      <c r="F243" s="5" t="n">
        <v>586.39</v>
      </c>
      <c r="G243">
        <f>IF(LEFT(B243,1)="C","Credit","Factuur")</f>
        <v/>
      </c>
      <c r="H243">
        <f>IF(AND(B243=B242,D243=D242,A243=A242,F243=F242),1,0)</f>
        <v/>
      </c>
      <c r="I243">
        <f>IF(C243="C99999",1,0)</f>
        <v/>
      </c>
      <c r="J243" s="5">
        <f>IF(OR(H243=1,I243=1),0,IF(G243="Credit",-F243,F243))</f>
        <v/>
      </c>
    </row>
    <row r="244">
      <c r="A244" t="inlineStr">
        <is>
          <t>2026-07-03</t>
        </is>
      </c>
      <c r="B244" t="inlineStr">
        <is>
          <t>F264890</t>
        </is>
      </c>
      <c r="C244" t="inlineStr">
        <is>
          <t>C10254</t>
        </is>
      </c>
      <c r="D244" t="inlineStr">
        <is>
          <t>SKU-10053</t>
        </is>
      </c>
      <c r="E244" t="inlineStr">
        <is>
          <t>AM01</t>
        </is>
      </c>
      <c r="F244" s="5" t="n">
        <v>99</v>
      </c>
      <c r="G244">
        <f>IF(LEFT(B244,1)="C","Credit","Factuur")</f>
        <v/>
      </c>
      <c r="H244">
        <f>IF(AND(B244=B243,D244=D243,A244=A243,F244=F243),1,0)</f>
        <v/>
      </c>
      <c r="I244">
        <f>IF(C244="C99999",1,0)</f>
        <v/>
      </c>
      <c r="J244" s="5">
        <f>IF(OR(H244=1,I244=1),0,IF(G244="Credit",-F244,F244))</f>
        <v/>
      </c>
    </row>
    <row r="245">
      <c r="A245" t="inlineStr">
        <is>
          <t>2026-07-03</t>
        </is>
      </c>
      <c r="B245" t="inlineStr">
        <is>
          <t>F264890</t>
        </is>
      </c>
      <c r="C245" t="inlineStr">
        <is>
          <t>C10254</t>
        </is>
      </c>
      <c r="D245" t="inlineStr">
        <is>
          <t>SKU-10072</t>
        </is>
      </c>
      <c r="E245" t="inlineStr">
        <is>
          <t>AM01</t>
        </is>
      </c>
      <c r="F245" s="5" t="n">
        <v>91.92</v>
      </c>
      <c r="G245">
        <f>IF(LEFT(B245,1)="C","Credit","Factuur")</f>
        <v/>
      </c>
      <c r="H245">
        <f>IF(AND(B245=B244,D245=D244,A245=A244,F245=F244),1,0)</f>
        <v/>
      </c>
      <c r="I245">
        <f>IF(C245="C99999",1,0)</f>
        <v/>
      </c>
      <c r="J245" s="5">
        <f>IF(OR(H245=1,I245=1),0,IF(G245="Credit",-F245,F245))</f>
        <v/>
      </c>
    </row>
    <row r="246">
      <c r="A246" t="inlineStr">
        <is>
          <t>2026-07-03</t>
        </is>
      </c>
      <c r="B246" t="inlineStr">
        <is>
          <t>F264890</t>
        </is>
      </c>
      <c r="C246" t="inlineStr">
        <is>
          <t>C10254</t>
        </is>
      </c>
      <c r="D246" t="inlineStr">
        <is>
          <t>SKU-10187</t>
        </is>
      </c>
      <c r="E246" t="inlineStr">
        <is>
          <t>AM01</t>
        </is>
      </c>
      <c r="F246" s="5" t="n">
        <v>98.70999999999999</v>
      </c>
      <c r="G246">
        <f>IF(LEFT(B246,1)="C","Credit","Factuur")</f>
        <v/>
      </c>
      <c r="H246">
        <f>IF(AND(B246=B245,D246=D245,A246=A245,F246=F245),1,0)</f>
        <v/>
      </c>
      <c r="I246">
        <f>IF(C246="C99999",1,0)</f>
        <v/>
      </c>
      <c r="J246" s="5">
        <f>IF(OR(H246=1,I246=1),0,IF(G246="Credit",-F246,F246))</f>
        <v/>
      </c>
    </row>
    <row r="247">
      <c r="A247" t="inlineStr">
        <is>
          <t>2026-07-03</t>
        </is>
      </c>
      <c r="B247" t="inlineStr">
        <is>
          <t>F265256</t>
        </is>
      </c>
      <c r="C247" t="inlineStr">
        <is>
          <t>C10278</t>
        </is>
      </c>
      <c r="D247" t="inlineStr">
        <is>
          <t>SKU-10001</t>
        </is>
      </c>
      <c r="E247" t="inlineStr">
        <is>
          <t>AM07</t>
        </is>
      </c>
      <c r="F247" s="5" t="n">
        <v>96.03</v>
      </c>
      <c r="G247">
        <f>IF(LEFT(B247,1)="C","Credit","Factuur")</f>
        <v/>
      </c>
      <c r="H247">
        <f>IF(AND(B247=B246,D247=D246,A247=A246,F247=F246),1,0)</f>
        <v/>
      </c>
      <c r="I247">
        <f>IF(C247="C99999",1,0)</f>
        <v/>
      </c>
      <c r="J247" s="5">
        <f>IF(OR(H247=1,I247=1),0,IF(G247="Credit",-F247,F247))</f>
        <v/>
      </c>
    </row>
    <row r="248">
      <c r="A248" t="inlineStr">
        <is>
          <t>2026-07-03</t>
        </is>
      </c>
      <c r="B248" t="inlineStr">
        <is>
          <t>F265256</t>
        </is>
      </c>
      <c r="C248" t="inlineStr">
        <is>
          <t>C10278</t>
        </is>
      </c>
      <c r="D248" t="inlineStr">
        <is>
          <t>SKU-10124</t>
        </is>
      </c>
      <c r="E248" t="inlineStr">
        <is>
          <t>AM07</t>
        </is>
      </c>
      <c r="F248" s="5" t="n">
        <v>97.08</v>
      </c>
      <c r="G248">
        <f>IF(LEFT(B248,1)="C","Credit","Factuur")</f>
        <v/>
      </c>
      <c r="H248">
        <f>IF(AND(B248=B247,D248=D247,A248=A247,F248=F247),1,0)</f>
        <v/>
      </c>
      <c r="I248">
        <f>IF(C248="C99999",1,0)</f>
        <v/>
      </c>
      <c r="J248" s="5">
        <f>IF(OR(H248=1,I248=1),0,IF(G248="Credit",-F248,F248))</f>
        <v/>
      </c>
    </row>
    <row r="249">
      <c r="A249" t="inlineStr">
        <is>
          <t>2026-07-03</t>
        </is>
      </c>
      <c r="B249" t="inlineStr">
        <is>
          <t>F265256</t>
        </is>
      </c>
      <c r="C249" t="inlineStr">
        <is>
          <t>C10278</t>
        </is>
      </c>
      <c r="D249" t="inlineStr">
        <is>
          <t>SKU-10127</t>
        </is>
      </c>
      <c r="E249" t="inlineStr">
        <is>
          <t>AM07</t>
        </is>
      </c>
      <c r="F249" s="5" t="n">
        <v>91.55</v>
      </c>
      <c r="G249">
        <f>IF(LEFT(B249,1)="C","Credit","Factuur")</f>
        <v/>
      </c>
      <c r="H249">
        <f>IF(AND(B249=B248,D249=D248,A249=A248,F249=F248),1,0)</f>
        <v/>
      </c>
      <c r="I249">
        <f>IF(C249="C99999",1,0)</f>
        <v/>
      </c>
      <c r="J249" s="5">
        <f>IF(OR(H249=1,I249=1),0,IF(G249="Credit",-F249,F249))</f>
        <v/>
      </c>
    </row>
    <row r="250">
      <c r="A250" t="inlineStr">
        <is>
          <t>2026-07-03</t>
        </is>
      </c>
      <c r="B250" t="inlineStr">
        <is>
          <t>F265256</t>
        </is>
      </c>
      <c r="C250" t="inlineStr">
        <is>
          <t>C10278</t>
        </is>
      </c>
      <c r="D250" t="inlineStr">
        <is>
          <t>SKU-10139</t>
        </is>
      </c>
      <c r="E250" t="inlineStr">
        <is>
          <t>AM07</t>
        </is>
      </c>
      <c r="F250" s="5" t="n">
        <v>93.92</v>
      </c>
      <c r="G250">
        <f>IF(LEFT(B250,1)="C","Credit","Factuur")</f>
        <v/>
      </c>
      <c r="H250">
        <f>IF(AND(B250=B249,D250=D249,A250=A249,F250=F249),1,0)</f>
        <v/>
      </c>
      <c r="I250">
        <f>IF(C250="C99999",1,0)</f>
        <v/>
      </c>
      <c r="J250" s="5">
        <f>IF(OR(H250=1,I250=1),0,IF(G250="Credit",-F250,F250))</f>
        <v/>
      </c>
    </row>
    <row r="251">
      <c r="A251" t="inlineStr">
        <is>
          <t>2026-07-03</t>
        </is>
      </c>
      <c r="B251" t="inlineStr">
        <is>
          <t>F265256</t>
        </is>
      </c>
      <c r="C251" t="inlineStr">
        <is>
          <t>C10278</t>
        </is>
      </c>
      <c r="D251" t="inlineStr">
        <is>
          <t>SKU-10175</t>
        </is>
      </c>
      <c r="E251" t="inlineStr">
        <is>
          <t>AM07</t>
        </is>
      </c>
      <c r="F251" s="5" t="n">
        <v>94.65000000000001</v>
      </c>
      <c r="G251">
        <f>IF(LEFT(B251,1)="C","Credit","Factuur")</f>
        <v/>
      </c>
      <c r="H251">
        <f>IF(AND(B251=B250,D251=D250,A251=A250,F251=F250),1,0)</f>
        <v/>
      </c>
      <c r="I251">
        <f>IF(C251="C99999",1,0)</f>
        <v/>
      </c>
      <c r="J251" s="5">
        <f>IF(OR(H251=1,I251=1),0,IF(G251="Credit",-F251,F251))</f>
        <v/>
      </c>
    </row>
    <row r="252">
      <c r="A252" t="inlineStr">
        <is>
          <t>2026-07-03</t>
        </is>
      </c>
      <c r="B252" t="inlineStr">
        <is>
          <t>F265655</t>
        </is>
      </c>
      <c r="C252" t="inlineStr">
        <is>
          <t>C10296</t>
        </is>
      </c>
      <c r="D252" t="inlineStr">
        <is>
          <t>SKU-10018</t>
        </is>
      </c>
      <c r="E252" t="inlineStr">
        <is>
          <t>AM06</t>
        </is>
      </c>
      <c r="F252" s="5" t="n">
        <v>268.05</v>
      </c>
      <c r="G252">
        <f>IF(LEFT(B252,1)="C","Credit","Factuur")</f>
        <v/>
      </c>
      <c r="H252">
        <f>IF(AND(B252=B251,D252=D251,A252=A251,F252=F251),1,0)</f>
        <v/>
      </c>
      <c r="I252">
        <f>IF(C252="C99999",1,0)</f>
        <v/>
      </c>
      <c r="J252" s="5">
        <f>IF(OR(H252=1,I252=1),0,IF(G252="Credit",-F252,F252))</f>
        <v/>
      </c>
    </row>
    <row r="253">
      <c r="A253" t="inlineStr">
        <is>
          <t>2026-07-03</t>
        </is>
      </c>
      <c r="B253" t="inlineStr">
        <is>
          <t>F265655</t>
        </is>
      </c>
      <c r="C253" t="inlineStr">
        <is>
          <t>C10296</t>
        </is>
      </c>
      <c r="D253" t="inlineStr">
        <is>
          <t>SKU-10023</t>
        </is>
      </c>
      <c r="E253" t="inlineStr">
        <is>
          <t>AM06</t>
        </is>
      </c>
      <c r="F253" s="5" t="n">
        <v>266.95</v>
      </c>
      <c r="G253">
        <f>IF(LEFT(B253,1)="C","Credit","Factuur")</f>
        <v/>
      </c>
      <c r="H253">
        <f>IF(AND(B253=B252,D253=D252,A253=A252,F253=F252),1,0)</f>
        <v/>
      </c>
      <c r="I253">
        <f>IF(C253="C99999",1,0)</f>
        <v/>
      </c>
      <c r="J253" s="5">
        <f>IF(OR(H253=1,I253=1),0,IF(G253="Credit",-F253,F253))</f>
        <v/>
      </c>
    </row>
    <row r="254">
      <c r="A254" t="inlineStr">
        <is>
          <t>2026-07-03</t>
        </is>
      </c>
      <c r="B254" t="inlineStr">
        <is>
          <t>F265655</t>
        </is>
      </c>
      <c r="C254" t="inlineStr">
        <is>
          <t>C10296</t>
        </is>
      </c>
      <c r="D254" t="inlineStr">
        <is>
          <t>SKU-10089</t>
        </is>
      </c>
      <c r="E254" t="inlineStr">
        <is>
          <t>AM06</t>
        </is>
      </c>
      <c r="F254" s="5" t="n">
        <v>266.9</v>
      </c>
      <c r="G254">
        <f>IF(LEFT(B254,1)="C","Credit","Factuur")</f>
        <v/>
      </c>
      <c r="H254">
        <f>IF(AND(B254=B253,D254=D253,A254=A253,F254=F253),1,0)</f>
        <v/>
      </c>
      <c r="I254">
        <f>IF(C254="C99999",1,0)</f>
        <v/>
      </c>
      <c r="J254" s="5">
        <f>IF(OR(H254=1,I254=1),0,IF(G254="Credit",-F254,F254))</f>
        <v/>
      </c>
    </row>
    <row r="255">
      <c r="A255" t="inlineStr">
        <is>
          <t>2026-07-03</t>
        </is>
      </c>
      <c r="B255" t="inlineStr">
        <is>
          <t>F265820</t>
        </is>
      </c>
      <c r="C255" t="inlineStr">
        <is>
          <t>C10304</t>
        </is>
      </c>
      <c r="D255" t="inlineStr">
        <is>
          <t>SKU-10165</t>
        </is>
      </c>
      <c r="E255" t="inlineStr">
        <is>
          <t>AM07</t>
        </is>
      </c>
      <c r="F255" s="5" t="n">
        <v>378.18</v>
      </c>
      <c r="G255">
        <f>IF(LEFT(B255,1)="C","Credit","Factuur")</f>
        <v/>
      </c>
      <c r="H255">
        <f>IF(AND(B255=B254,D255=D254,A255=A254,F255=F254),1,0)</f>
        <v/>
      </c>
      <c r="I255">
        <f>IF(C255="C99999",1,0)</f>
        <v/>
      </c>
      <c r="J255" s="5">
        <f>IF(OR(H255=1,I255=1),0,IF(G255="Credit",-F255,F255))</f>
        <v/>
      </c>
    </row>
    <row r="256">
      <c r="A256" t="inlineStr">
        <is>
          <t>2026-07-03</t>
        </is>
      </c>
      <c r="B256" t="inlineStr">
        <is>
          <t>F265820</t>
        </is>
      </c>
      <c r="C256" t="inlineStr">
        <is>
          <t>C10304</t>
        </is>
      </c>
      <c r="D256" t="inlineStr">
        <is>
          <t>SKU-10182</t>
        </is>
      </c>
      <c r="E256" t="inlineStr">
        <is>
          <t>AM07</t>
        </is>
      </c>
      <c r="F256" s="5" t="n">
        <v>358.39</v>
      </c>
      <c r="G256">
        <f>IF(LEFT(B256,1)="C","Credit","Factuur")</f>
        <v/>
      </c>
      <c r="H256">
        <f>IF(AND(B256=B255,D256=D255,A256=A255,F256=F255),1,0)</f>
        <v/>
      </c>
      <c r="I256">
        <f>IF(C256="C99999",1,0)</f>
        <v/>
      </c>
      <c r="J256" s="5">
        <f>IF(OR(H256=1,I256=1),0,IF(G256="Credit",-F256,F256))</f>
        <v/>
      </c>
    </row>
    <row r="257">
      <c r="A257" t="inlineStr">
        <is>
          <t>2026-07-03</t>
        </is>
      </c>
      <c r="B257" t="inlineStr">
        <is>
          <t>F265820</t>
        </is>
      </c>
      <c r="C257" t="inlineStr">
        <is>
          <t>C10304</t>
        </is>
      </c>
      <c r="D257" t="inlineStr">
        <is>
          <t>SKU-10267</t>
        </is>
      </c>
      <c r="E257" t="inlineStr">
        <is>
          <t>AM07</t>
        </is>
      </c>
      <c r="F257" s="5" t="n">
        <v>358.05</v>
      </c>
      <c r="G257">
        <f>IF(LEFT(B257,1)="C","Credit","Factuur")</f>
        <v/>
      </c>
      <c r="H257">
        <f>IF(AND(B257=B256,D257=D256,A257=A256,F257=F256),1,0)</f>
        <v/>
      </c>
      <c r="I257">
        <f>IF(C257="C99999",1,0)</f>
        <v/>
      </c>
      <c r="J257" s="5">
        <f>IF(OR(H257=1,I257=1),0,IF(G257="Credit",-F257,F257))</f>
        <v/>
      </c>
    </row>
    <row r="258">
      <c r="A258" t="inlineStr">
        <is>
          <t>2026-07-03</t>
        </is>
      </c>
      <c r="B258" t="inlineStr">
        <is>
          <t>F265844</t>
        </is>
      </c>
      <c r="C258" t="inlineStr">
        <is>
          <t>C10306</t>
        </is>
      </c>
      <c r="D258" t="inlineStr">
        <is>
          <t>SKU-10120</t>
        </is>
      </c>
      <c r="E258" t="inlineStr">
        <is>
          <t>AM12</t>
        </is>
      </c>
      <c r="F258" s="5" t="n">
        <v>539.22</v>
      </c>
      <c r="G258">
        <f>IF(LEFT(B258,1)="C","Credit","Factuur")</f>
        <v/>
      </c>
      <c r="H258">
        <f>IF(AND(B258=B257,D258=D257,A258=A257,F258=F257),1,0)</f>
        <v/>
      </c>
      <c r="I258">
        <f>IF(C258="C99999",1,0)</f>
        <v/>
      </c>
      <c r="J258" s="5">
        <f>IF(OR(H258=1,I258=1),0,IF(G258="Credit",-F258,F258))</f>
        <v/>
      </c>
    </row>
    <row r="259">
      <c r="A259" t="inlineStr">
        <is>
          <t>2026-07-03</t>
        </is>
      </c>
      <c r="B259" t="inlineStr">
        <is>
          <t>F265844</t>
        </is>
      </c>
      <c r="C259" t="inlineStr">
        <is>
          <t>C10306</t>
        </is>
      </c>
      <c r="D259" t="inlineStr">
        <is>
          <t>SKU-10149</t>
        </is>
      </c>
      <c r="E259" t="inlineStr">
        <is>
          <t>AM12</t>
        </is>
      </c>
      <c r="F259" s="5" t="n">
        <v>580.64</v>
      </c>
      <c r="G259">
        <f>IF(LEFT(B259,1)="C","Credit","Factuur")</f>
        <v/>
      </c>
      <c r="H259">
        <f>IF(AND(B259=B258,D259=D258,A259=A258,F259=F258),1,0)</f>
        <v/>
      </c>
      <c r="I259">
        <f>IF(C259="C99999",1,0)</f>
        <v/>
      </c>
      <c r="J259" s="5">
        <f>IF(OR(H259=1,I259=1),0,IF(G259="Credit",-F259,F259))</f>
        <v/>
      </c>
    </row>
    <row r="260">
      <c r="A260" t="inlineStr">
        <is>
          <t>2026-07-03</t>
        </is>
      </c>
      <c r="B260" t="inlineStr">
        <is>
          <t>F265844</t>
        </is>
      </c>
      <c r="C260" t="inlineStr">
        <is>
          <t>C10306</t>
        </is>
      </c>
      <c r="D260" t="inlineStr">
        <is>
          <t>SKU-10267</t>
        </is>
      </c>
      <c r="E260" t="inlineStr">
        <is>
          <t>AM12</t>
        </is>
      </c>
      <c r="F260" s="5" t="n">
        <v>554.25</v>
      </c>
      <c r="G260">
        <f>IF(LEFT(B260,1)="C","Credit","Factuur")</f>
        <v/>
      </c>
      <c r="H260">
        <f>IF(AND(B260=B259,D260=D259,A260=A259,F260=F259),1,0)</f>
        <v/>
      </c>
      <c r="I260">
        <f>IF(C260="C99999",1,0)</f>
        <v/>
      </c>
      <c r="J260" s="5">
        <f>IF(OR(H260=1,I260=1),0,IF(G260="Credit",-F260,F260))</f>
        <v/>
      </c>
    </row>
    <row r="261">
      <c r="A261" t="inlineStr">
        <is>
          <t>2026-07-03</t>
        </is>
      </c>
      <c r="B261" t="inlineStr">
        <is>
          <t>F265844</t>
        </is>
      </c>
      <c r="C261" t="inlineStr">
        <is>
          <t>C10306</t>
        </is>
      </c>
      <c r="D261" t="inlineStr">
        <is>
          <t>SKU-10277</t>
        </is>
      </c>
      <c r="E261" t="inlineStr">
        <is>
          <t>AM12</t>
        </is>
      </c>
      <c r="F261" s="5" t="n">
        <v>533.25</v>
      </c>
      <c r="G261">
        <f>IF(LEFT(B261,1)="C","Credit","Factuur")</f>
        <v/>
      </c>
      <c r="H261">
        <f>IF(AND(B261=B260,D261=D260,A261=A260,F261=F260),1,0)</f>
        <v/>
      </c>
      <c r="I261">
        <f>IF(C261="C99999",1,0)</f>
        <v/>
      </c>
      <c r="J261" s="5">
        <f>IF(OR(H261=1,I261=1),0,IF(G261="Credit",-F261,F261))</f>
        <v/>
      </c>
    </row>
    <row r="262">
      <c r="A262" t="inlineStr">
        <is>
          <t>2026-07-03</t>
        </is>
      </c>
      <c r="B262" t="inlineStr">
        <is>
          <t>F265892</t>
        </is>
      </c>
      <c r="C262" t="inlineStr">
        <is>
          <t>C10310</t>
        </is>
      </c>
      <c r="D262" t="inlineStr">
        <is>
          <t>SKU-10073</t>
        </is>
      </c>
      <c r="E262" t="inlineStr">
        <is>
          <t>AM02</t>
        </is>
      </c>
      <c r="F262" s="5" t="n">
        <v>570.4</v>
      </c>
      <c r="G262">
        <f>IF(LEFT(B262,1)="C","Credit","Factuur")</f>
        <v/>
      </c>
      <c r="H262">
        <f>IF(AND(B262=B261,D262=D261,A262=A261,F262=F261),1,0)</f>
        <v/>
      </c>
      <c r="I262">
        <f>IF(C262="C99999",1,0)</f>
        <v/>
      </c>
      <c r="J262" s="5">
        <f>IF(OR(H262=1,I262=1),0,IF(G262="Credit",-F262,F262))</f>
        <v/>
      </c>
    </row>
    <row r="263">
      <c r="A263" t="inlineStr">
        <is>
          <t>2026-07-03</t>
        </is>
      </c>
      <c r="B263" t="inlineStr">
        <is>
          <t>F265892</t>
        </is>
      </c>
      <c r="C263" t="inlineStr">
        <is>
          <t>C10310</t>
        </is>
      </c>
      <c r="D263" t="inlineStr">
        <is>
          <t>SKU-10288</t>
        </is>
      </c>
      <c r="E263" t="inlineStr">
        <is>
          <t>AM02</t>
        </is>
      </c>
      <c r="F263" s="5" t="n">
        <v>464.86</v>
      </c>
      <c r="G263">
        <f>IF(LEFT(B263,1)="C","Credit","Factuur")</f>
        <v/>
      </c>
      <c r="H263">
        <f>IF(AND(B263=B262,D263=D262,A263=A262,F263=F262),1,0)</f>
        <v/>
      </c>
      <c r="I263">
        <f>IF(C263="C99999",1,0)</f>
        <v/>
      </c>
      <c r="J263" s="5">
        <f>IF(OR(H263=1,I263=1),0,IF(G263="Credit",-F263,F263))</f>
        <v/>
      </c>
    </row>
    <row r="264">
      <c r="A264" t="inlineStr">
        <is>
          <t>2026-07-03</t>
        </is>
      </c>
      <c r="B264" t="inlineStr">
        <is>
          <t>F265892</t>
        </is>
      </c>
      <c r="C264" t="inlineStr">
        <is>
          <t>C10310</t>
        </is>
      </c>
      <c r="D264" t="inlineStr">
        <is>
          <t>SKU-10313</t>
        </is>
      </c>
      <c r="E264" t="inlineStr">
        <is>
          <t>AM02</t>
        </is>
      </c>
      <c r="F264" s="5" t="n">
        <v>460.79</v>
      </c>
      <c r="G264">
        <f>IF(LEFT(B264,1)="C","Credit","Factuur")</f>
        <v/>
      </c>
      <c r="H264">
        <f>IF(AND(B264=B263,D264=D263,A264=A263,F264=F263),1,0)</f>
        <v/>
      </c>
      <c r="I264">
        <f>IF(C264="C99999",1,0)</f>
        <v/>
      </c>
      <c r="J264" s="5">
        <f>IF(OR(H264=1,I264=1),0,IF(G264="Credit",-F264,F264))</f>
        <v/>
      </c>
    </row>
    <row r="265">
      <c r="A265" t="inlineStr">
        <is>
          <t>2026-07-03</t>
        </is>
      </c>
      <c r="B265" t="inlineStr">
        <is>
          <t>F265892</t>
        </is>
      </c>
      <c r="C265" t="inlineStr">
        <is>
          <t>C10310</t>
        </is>
      </c>
      <c r="D265" t="inlineStr">
        <is>
          <t>SKU-10321</t>
        </is>
      </c>
      <c r="E265" t="inlineStr">
        <is>
          <t>AM02</t>
        </is>
      </c>
      <c r="F265" s="5" t="n">
        <v>483.22</v>
      </c>
      <c r="G265">
        <f>IF(LEFT(B265,1)="C","Credit","Factuur")</f>
        <v/>
      </c>
      <c r="H265">
        <f>IF(AND(B265=B264,D265=D264,A265=A264,F265=F264),1,0)</f>
        <v/>
      </c>
      <c r="I265">
        <f>IF(C265="C99999",1,0)</f>
        <v/>
      </c>
      <c r="J265" s="5">
        <f>IF(OR(H265=1,I265=1),0,IF(G265="Credit",-F265,F265))</f>
        <v/>
      </c>
    </row>
    <row r="266">
      <c r="A266" t="inlineStr">
        <is>
          <t>2026-07-03</t>
        </is>
      </c>
      <c r="B266" t="inlineStr">
        <is>
          <t>F265914</t>
        </is>
      </c>
      <c r="C266" t="inlineStr">
        <is>
          <t>C10311</t>
        </is>
      </c>
      <c r="D266" t="inlineStr">
        <is>
          <t>SKU-10170</t>
        </is>
      </c>
      <c r="E266" t="inlineStr">
        <is>
          <t>AM02</t>
        </is>
      </c>
      <c r="F266" s="5" t="n">
        <v>697.88</v>
      </c>
      <c r="G266">
        <f>IF(LEFT(B266,1)="C","Credit","Factuur")</f>
        <v/>
      </c>
      <c r="H266">
        <f>IF(AND(B266=B265,D266=D265,A266=A265,F266=F265),1,0)</f>
        <v/>
      </c>
      <c r="I266">
        <f>IF(C266="C99999",1,0)</f>
        <v/>
      </c>
      <c r="J266" s="5">
        <f>IF(OR(H266=1,I266=1),0,IF(G266="Credit",-F266,F266))</f>
        <v/>
      </c>
    </row>
    <row r="267">
      <c r="A267" t="inlineStr">
        <is>
          <t>2026-07-03</t>
        </is>
      </c>
      <c r="B267" t="inlineStr">
        <is>
          <t>F265914</t>
        </is>
      </c>
      <c r="C267" t="inlineStr">
        <is>
          <t>C10311</t>
        </is>
      </c>
      <c r="D267" t="inlineStr">
        <is>
          <t>SKU-10190</t>
        </is>
      </c>
      <c r="E267" t="inlineStr">
        <is>
          <t>AM02</t>
        </is>
      </c>
      <c r="F267" s="5" t="n">
        <v>749.3200000000001</v>
      </c>
      <c r="G267">
        <f>IF(LEFT(B267,1)="C","Credit","Factuur")</f>
        <v/>
      </c>
      <c r="H267">
        <f>IF(AND(B267=B266,D267=D266,A267=A266,F267=F266),1,0)</f>
        <v/>
      </c>
      <c r="I267">
        <f>IF(C267="C99999",1,0)</f>
        <v/>
      </c>
      <c r="J267" s="5">
        <f>IF(OR(H267=1,I267=1),0,IF(G267="Credit",-F267,F267))</f>
        <v/>
      </c>
    </row>
    <row r="268">
      <c r="A268" t="inlineStr">
        <is>
          <t>2026-07-03</t>
        </is>
      </c>
      <c r="B268" t="inlineStr">
        <is>
          <t>F265914</t>
        </is>
      </c>
      <c r="C268" t="inlineStr">
        <is>
          <t>C10311</t>
        </is>
      </c>
      <c r="D268" t="inlineStr">
        <is>
          <t>SKU-10257</t>
        </is>
      </c>
      <c r="E268" t="inlineStr">
        <is>
          <t>AM02</t>
        </is>
      </c>
      <c r="F268" s="5" t="n">
        <v>823.88</v>
      </c>
      <c r="G268">
        <f>IF(LEFT(B268,1)="C","Credit","Factuur")</f>
        <v/>
      </c>
      <c r="H268">
        <f>IF(AND(B268=B267,D268=D267,A268=A267,F268=F267),1,0)</f>
        <v/>
      </c>
      <c r="I268">
        <f>IF(C268="C99999",1,0)</f>
        <v/>
      </c>
      <c r="J268" s="5">
        <f>IF(OR(H268=1,I268=1),0,IF(G268="Credit",-F268,F268))</f>
        <v/>
      </c>
    </row>
    <row r="269">
      <c r="A269" t="inlineStr">
        <is>
          <t>2026-07-03</t>
        </is>
      </c>
      <c r="B269" t="inlineStr">
        <is>
          <t>F266033</t>
        </is>
      </c>
      <c r="C269" t="inlineStr">
        <is>
          <t>C10317</t>
        </is>
      </c>
      <c r="D269" t="inlineStr">
        <is>
          <t>SKU-10019</t>
        </is>
      </c>
      <c r="E269" t="inlineStr">
        <is>
          <t>AM03</t>
        </is>
      </c>
      <c r="F269" s="5" t="n">
        <v>176.04</v>
      </c>
      <c r="G269">
        <f>IF(LEFT(B269,1)="C","Credit","Factuur")</f>
        <v/>
      </c>
      <c r="H269">
        <f>IF(AND(B269=B268,D269=D268,A269=A268,F269=F268),1,0)</f>
        <v/>
      </c>
      <c r="I269">
        <f>IF(C269="C99999",1,0)</f>
        <v/>
      </c>
      <c r="J269" s="5">
        <f>IF(OR(H269=1,I269=1),0,IF(G269="Credit",-F269,F269))</f>
        <v/>
      </c>
    </row>
    <row r="270">
      <c r="A270" t="inlineStr">
        <is>
          <t>2026-07-03</t>
        </is>
      </c>
      <c r="B270" t="inlineStr">
        <is>
          <t>F266033</t>
        </is>
      </c>
      <c r="C270" t="inlineStr">
        <is>
          <t>C10317</t>
        </is>
      </c>
      <c r="D270" t="inlineStr">
        <is>
          <t>SKU-10188</t>
        </is>
      </c>
      <c r="E270" t="inlineStr">
        <is>
          <t>AM03</t>
        </is>
      </c>
      <c r="F270" s="5" t="n">
        <v>179.97</v>
      </c>
      <c r="G270">
        <f>IF(LEFT(B270,1)="C","Credit","Factuur")</f>
        <v/>
      </c>
      <c r="H270">
        <f>IF(AND(B270=B269,D270=D269,A270=A269,F270=F269),1,0)</f>
        <v/>
      </c>
      <c r="I270">
        <f>IF(C270="C99999",1,0)</f>
        <v/>
      </c>
      <c r="J270" s="5">
        <f>IF(OR(H270=1,I270=1),0,IF(G270="Credit",-F270,F270))</f>
        <v/>
      </c>
    </row>
    <row r="271">
      <c r="A271" t="inlineStr">
        <is>
          <t>2026-07-03</t>
        </is>
      </c>
      <c r="B271" t="inlineStr">
        <is>
          <t>F266033</t>
        </is>
      </c>
      <c r="C271" t="inlineStr">
        <is>
          <t>C10317</t>
        </is>
      </c>
      <c r="D271" t="inlineStr">
        <is>
          <t>SKU-10343</t>
        </is>
      </c>
      <c r="E271" t="inlineStr">
        <is>
          <t>AM03</t>
        </is>
      </c>
      <c r="F271" s="5" t="n">
        <v>160.48</v>
      </c>
      <c r="G271">
        <f>IF(LEFT(B271,1)="C","Credit","Factuur")</f>
        <v/>
      </c>
      <c r="H271">
        <f>IF(AND(B271=B270,D271=D270,A271=A270,F271=F270),1,0)</f>
        <v/>
      </c>
      <c r="I271">
        <f>IF(C271="C99999",1,0)</f>
        <v/>
      </c>
      <c r="J271" s="5">
        <f>IF(OR(H271=1,I271=1),0,IF(G271="Credit",-F271,F271))</f>
        <v/>
      </c>
    </row>
    <row r="272">
      <c r="A272" t="inlineStr">
        <is>
          <t>2026-07-03</t>
        </is>
      </c>
      <c r="B272" t="inlineStr">
        <is>
          <t>F266317</t>
        </is>
      </c>
      <c r="C272" t="inlineStr">
        <is>
          <t>C10333</t>
        </is>
      </c>
      <c r="D272" t="inlineStr">
        <is>
          <t>SKU-10161</t>
        </is>
      </c>
      <c r="E272" t="inlineStr">
        <is>
          <t>AM05</t>
        </is>
      </c>
      <c r="F272" s="5" t="n">
        <v>457.42</v>
      </c>
      <c r="G272">
        <f>IF(LEFT(B272,1)="C","Credit","Factuur")</f>
        <v/>
      </c>
      <c r="H272">
        <f>IF(AND(B272=B271,D272=D271,A272=A271,F272=F271),1,0)</f>
        <v/>
      </c>
      <c r="I272">
        <f>IF(C272="C99999",1,0)</f>
        <v/>
      </c>
      <c r="J272" s="5">
        <f>IF(OR(H272=1,I272=1),0,IF(G272="Credit",-F272,F272))</f>
        <v/>
      </c>
    </row>
    <row r="273">
      <c r="A273" t="inlineStr">
        <is>
          <t>2026-07-03</t>
        </is>
      </c>
      <c r="B273" t="inlineStr">
        <is>
          <t>F266317</t>
        </is>
      </c>
      <c r="C273" t="inlineStr">
        <is>
          <t>C10333</t>
        </is>
      </c>
      <c r="D273" t="inlineStr">
        <is>
          <t>SKU-10206</t>
        </is>
      </c>
      <c r="E273" t="inlineStr">
        <is>
          <t>AM05</t>
        </is>
      </c>
      <c r="F273" s="5" t="n">
        <v>432.97</v>
      </c>
      <c r="G273">
        <f>IF(LEFT(B273,1)="C","Credit","Factuur")</f>
        <v/>
      </c>
      <c r="H273">
        <f>IF(AND(B273=B272,D273=D272,A273=A272,F273=F272),1,0)</f>
        <v/>
      </c>
      <c r="I273">
        <f>IF(C273="C99999",1,0)</f>
        <v/>
      </c>
      <c r="J273" s="5">
        <f>IF(OR(H273=1,I273=1),0,IF(G273="Credit",-F273,F273))</f>
        <v/>
      </c>
    </row>
    <row r="274">
      <c r="A274" t="inlineStr">
        <is>
          <t>2026-07-03</t>
        </is>
      </c>
      <c r="B274" t="inlineStr">
        <is>
          <t>F266317</t>
        </is>
      </c>
      <c r="C274" t="inlineStr">
        <is>
          <t>C10333</t>
        </is>
      </c>
      <c r="D274" t="inlineStr">
        <is>
          <t>SKU-10344</t>
        </is>
      </c>
      <c r="E274" t="inlineStr">
        <is>
          <t>AM05</t>
        </is>
      </c>
      <c r="F274" s="5" t="n">
        <v>476</v>
      </c>
      <c r="G274">
        <f>IF(LEFT(B274,1)="C","Credit","Factuur")</f>
        <v/>
      </c>
      <c r="H274">
        <f>IF(AND(B274=B273,D274=D273,A274=A273,F274=F273),1,0)</f>
        <v/>
      </c>
      <c r="I274">
        <f>IF(C274="C99999",1,0)</f>
        <v/>
      </c>
      <c r="J274" s="5">
        <f>IF(OR(H274=1,I274=1),0,IF(G274="Credit",-F274,F274))</f>
        <v/>
      </c>
    </row>
    <row r="275">
      <c r="A275" t="inlineStr">
        <is>
          <t>2026-07-03</t>
        </is>
      </c>
      <c r="B275" t="inlineStr">
        <is>
          <t>F266712</t>
        </is>
      </c>
      <c r="C275" t="inlineStr">
        <is>
          <t>C10354</t>
        </is>
      </c>
      <c r="D275" t="inlineStr">
        <is>
          <t>SKU-10002</t>
        </is>
      </c>
      <c r="E275" t="inlineStr">
        <is>
          <t>AM05</t>
        </is>
      </c>
      <c r="F275" s="5" t="n">
        <v>706.8</v>
      </c>
      <c r="G275">
        <f>IF(LEFT(B275,1)="C","Credit","Factuur")</f>
        <v/>
      </c>
      <c r="H275">
        <f>IF(AND(B275=B274,D275=D274,A275=A274,F275=F274),1,0)</f>
        <v/>
      </c>
      <c r="I275">
        <f>IF(C275="C99999",1,0)</f>
        <v/>
      </c>
      <c r="J275" s="5">
        <f>IF(OR(H275=1,I275=1),0,IF(G275="Credit",-F275,F275))</f>
        <v/>
      </c>
    </row>
    <row r="276">
      <c r="A276" t="inlineStr">
        <is>
          <t>2026-07-03</t>
        </is>
      </c>
      <c r="B276" t="inlineStr">
        <is>
          <t>F266712</t>
        </is>
      </c>
      <c r="C276" t="inlineStr">
        <is>
          <t>C10354</t>
        </is>
      </c>
      <c r="D276" t="inlineStr">
        <is>
          <t>SKU-10053</t>
        </is>
      </c>
      <c r="E276" t="inlineStr">
        <is>
          <t>AM05</t>
        </is>
      </c>
      <c r="F276" s="5" t="n">
        <v>783.75</v>
      </c>
      <c r="G276">
        <f>IF(LEFT(B276,1)="C","Credit","Factuur")</f>
        <v/>
      </c>
      <c r="H276">
        <f>IF(AND(B276=B275,D276=D275,A276=A275,F276=F275),1,0)</f>
        <v/>
      </c>
      <c r="I276">
        <f>IF(C276="C99999",1,0)</f>
        <v/>
      </c>
      <c r="J276" s="5">
        <f>IF(OR(H276=1,I276=1),0,IF(G276="Credit",-F276,F276))</f>
        <v/>
      </c>
    </row>
    <row r="277">
      <c r="A277" t="inlineStr">
        <is>
          <t>2026-07-03</t>
        </is>
      </c>
      <c r="B277" t="inlineStr">
        <is>
          <t>F266712</t>
        </is>
      </c>
      <c r="C277" t="inlineStr">
        <is>
          <t>C10354</t>
        </is>
      </c>
      <c r="D277" t="inlineStr">
        <is>
          <t>SKU-10102</t>
        </is>
      </c>
      <c r="E277" t="inlineStr">
        <is>
          <t>AM05</t>
        </is>
      </c>
      <c r="F277" s="5" t="n">
        <v>819.28</v>
      </c>
      <c r="G277">
        <f>IF(LEFT(B277,1)="C","Credit","Factuur")</f>
        <v/>
      </c>
      <c r="H277">
        <f>IF(AND(B277=B276,D277=D276,A277=A276,F277=F276),1,0)</f>
        <v/>
      </c>
      <c r="I277">
        <f>IF(C277="C99999",1,0)</f>
        <v/>
      </c>
      <c r="J277" s="5">
        <f>IF(OR(H277=1,I277=1),0,IF(G277="Credit",-F277,F277))</f>
        <v/>
      </c>
    </row>
    <row r="278">
      <c r="A278" t="inlineStr">
        <is>
          <t>2026-07-03</t>
        </is>
      </c>
      <c r="B278" t="inlineStr">
        <is>
          <t>F266721</t>
        </is>
      </c>
      <c r="C278" t="inlineStr">
        <is>
          <t>C10354</t>
        </is>
      </c>
      <c r="D278" t="inlineStr">
        <is>
          <t>SKU-10119</t>
        </is>
      </c>
      <c r="E278" t="inlineStr">
        <is>
          <t>AM05</t>
        </is>
      </c>
      <c r="F278" s="5" t="n">
        <v>758.9400000000001</v>
      </c>
      <c r="G278">
        <f>IF(LEFT(B278,1)="C","Credit","Factuur")</f>
        <v/>
      </c>
      <c r="H278">
        <f>IF(AND(B278=B277,D278=D277,A278=A277,F278=F277),1,0)</f>
        <v/>
      </c>
      <c r="I278">
        <f>IF(C278="C99999",1,0)</f>
        <v/>
      </c>
      <c r="J278" s="5">
        <f>IF(OR(H278=1,I278=1),0,IF(G278="Credit",-F278,F278))</f>
        <v/>
      </c>
    </row>
    <row r="279">
      <c r="A279" t="inlineStr">
        <is>
          <t>2026-07-03</t>
        </is>
      </c>
      <c r="B279" t="inlineStr">
        <is>
          <t>F266721</t>
        </is>
      </c>
      <c r="C279" t="inlineStr">
        <is>
          <t>C10354</t>
        </is>
      </c>
      <c r="D279" t="inlineStr">
        <is>
          <t>SKU-10276</t>
        </is>
      </c>
      <c r="E279" t="inlineStr">
        <is>
          <t>AM05</t>
        </is>
      </c>
      <c r="F279" s="5" t="n">
        <v>643.55</v>
      </c>
      <c r="G279">
        <f>IF(LEFT(B279,1)="C","Credit","Factuur")</f>
        <v/>
      </c>
      <c r="H279">
        <f>IF(AND(B279=B278,D279=D278,A279=A278,F279=F278),1,0)</f>
        <v/>
      </c>
      <c r="I279">
        <f>IF(C279="C99999",1,0)</f>
        <v/>
      </c>
      <c r="J279" s="5">
        <f>IF(OR(H279=1,I279=1),0,IF(G279="Credit",-F279,F279))</f>
        <v/>
      </c>
    </row>
    <row r="280">
      <c r="A280" t="inlineStr">
        <is>
          <t>2026-07-03</t>
        </is>
      </c>
      <c r="B280" t="inlineStr">
        <is>
          <t>F266721</t>
        </is>
      </c>
      <c r="C280" t="inlineStr">
        <is>
          <t>C10354</t>
        </is>
      </c>
      <c r="D280" t="inlineStr">
        <is>
          <t>SKU-10293</t>
        </is>
      </c>
      <c r="E280" t="inlineStr">
        <is>
          <t>AM05</t>
        </is>
      </c>
      <c r="F280" s="5" t="n">
        <v>755.04</v>
      </c>
      <c r="G280">
        <f>IF(LEFT(B280,1)="C","Credit","Factuur")</f>
        <v/>
      </c>
      <c r="H280">
        <f>IF(AND(B280=B279,D280=D279,A280=A279,F280=F279),1,0)</f>
        <v/>
      </c>
      <c r="I280">
        <f>IF(C280="C99999",1,0)</f>
        <v/>
      </c>
      <c r="J280" s="5">
        <f>IF(OR(H280=1,I280=1),0,IF(G280="Credit",-F280,F280))</f>
        <v/>
      </c>
    </row>
    <row r="281">
      <c r="A281" t="inlineStr">
        <is>
          <t>2026-07-03</t>
        </is>
      </c>
      <c r="B281" t="inlineStr">
        <is>
          <t>F266721</t>
        </is>
      </c>
      <c r="C281" t="inlineStr">
        <is>
          <t>C10354</t>
        </is>
      </c>
      <c r="D281" t="inlineStr">
        <is>
          <t>SKU-10319</t>
        </is>
      </c>
      <c r="E281" t="inlineStr">
        <is>
          <t>AM05</t>
        </is>
      </c>
      <c r="F281" s="5" t="n">
        <v>752.4400000000001</v>
      </c>
      <c r="G281">
        <f>IF(LEFT(B281,1)="C","Credit","Factuur")</f>
        <v/>
      </c>
      <c r="H281">
        <f>IF(AND(B281=B280,D281=D280,A281=A280,F281=F280),1,0)</f>
        <v/>
      </c>
      <c r="I281">
        <f>IF(C281="C99999",1,0)</f>
        <v/>
      </c>
      <c r="J281" s="5">
        <f>IF(OR(H281=1,I281=1),0,IF(G281="Credit",-F281,F281))</f>
        <v/>
      </c>
    </row>
    <row r="282">
      <c r="A282" t="inlineStr">
        <is>
          <t>2026-07-03</t>
        </is>
      </c>
      <c r="B282" t="inlineStr">
        <is>
          <t>F266777</t>
        </is>
      </c>
      <c r="C282" t="inlineStr">
        <is>
          <t>C10357</t>
        </is>
      </c>
      <c r="D282" t="inlineStr">
        <is>
          <t>SKU-10003</t>
        </is>
      </c>
      <c r="E282" t="inlineStr">
        <is>
          <t>AM01</t>
        </is>
      </c>
      <c r="F282" s="5" t="n">
        <v>2947.85</v>
      </c>
      <c r="G282">
        <f>IF(LEFT(B282,1)="C","Credit","Factuur")</f>
        <v/>
      </c>
      <c r="H282">
        <f>IF(AND(B282=B281,D282=D281,A282=A281,F282=F281),1,0)</f>
        <v/>
      </c>
      <c r="I282">
        <f>IF(C282="C99999",1,0)</f>
        <v/>
      </c>
      <c r="J282" s="5">
        <f>IF(OR(H282=1,I282=1),0,IF(G282="Credit",-F282,F282))</f>
        <v/>
      </c>
    </row>
    <row r="283">
      <c r="A283" t="inlineStr">
        <is>
          <t>2026-07-03</t>
        </is>
      </c>
      <c r="B283" t="inlineStr">
        <is>
          <t>F266847</t>
        </is>
      </c>
      <c r="C283" t="inlineStr">
        <is>
          <t>C10360</t>
        </is>
      </c>
      <c r="D283" t="inlineStr">
        <is>
          <t>SKU-10092</t>
        </is>
      </c>
      <c r="E283" t="inlineStr">
        <is>
          <t>AM05</t>
        </is>
      </c>
      <c r="F283" s="5" t="n">
        <v>137.24</v>
      </c>
      <c r="G283">
        <f>IF(LEFT(B283,1)="C","Credit","Factuur")</f>
        <v/>
      </c>
      <c r="H283">
        <f>IF(AND(B283=B282,D283=D282,A283=A282,F283=F282),1,0)</f>
        <v/>
      </c>
      <c r="I283">
        <f>IF(C283="C99999",1,0)</f>
        <v/>
      </c>
      <c r="J283" s="5">
        <f>IF(OR(H283=1,I283=1),0,IF(G283="Credit",-F283,F283))</f>
        <v/>
      </c>
    </row>
    <row r="284">
      <c r="A284" t="inlineStr">
        <is>
          <t>2026-07-03</t>
        </is>
      </c>
      <c r="B284" t="inlineStr">
        <is>
          <t>F266847</t>
        </is>
      </c>
      <c r="C284" t="inlineStr">
        <is>
          <t>C10360</t>
        </is>
      </c>
      <c r="D284" t="inlineStr">
        <is>
          <t>SKU-10181</t>
        </is>
      </c>
      <c r="E284" t="inlineStr">
        <is>
          <t>AM05</t>
        </is>
      </c>
      <c r="F284" s="5" t="n">
        <v>174.92</v>
      </c>
      <c r="G284">
        <f>IF(LEFT(B284,1)="C","Credit","Factuur")</f>
        <v/>
      </c>
      <c r="H284">
        <f>IF(AND(B284=B283,D284=D283,A284=A283,F284=F283),1,0)</f>
        <v/>
      </c>
      <c r="I284">
        <f>IF(C284="C99999",1,0)</f>
        <v/>
      </c>
      <c r="J284" s="5">
        <f>IF(OR(H284=1,I284=1),0,IF(G284="Credit",-F284,F284))</f>
        <v/>
      </c>
    </row>
    <row r="285">
      <c r="A285" t="inlineStr">
        <is>
          <t>2026-07-03</t>
        </is>
      </c>
      <c r="B285" t="inlineStr">
        <is>
          <t>F266847</t>
        </is>
      </c>
      <c r="C285" t="inlineStr">
        <is>
          <t>C10360</t>
        </is>
      </c>
      <c r="D285" t="inlineStr">
        <is>
          <t>SKU-10198</t>
        </is>
      </c>
      <c r="E285" t="inlineStr">
        <is>
          <t>AM05</t>
        </is>
      </c>
      <c r="F285" s="5" t="n">
        <v>143.8</v>
      </c>
      <c r="G285">
        <f>IF(LEFT(B285,1)="C","Credit","Factuur")</f>
        <v/>
      </c>
      <c r="H285">
        <f>IF(AND(B285=B284,D285=D284,A285=A284,F285=F284),1,0)</f>
        <v/>
      </c>
      <c r="I285">
        <f>IF(C285="C99999",1,0)</f>
        <v/>
      </c>
      <c r="J285" s="5">
        <f>IF(OR(H285=1,I285=1),0,IF(G285="Credit",-F285,F285))</f>
        <v/>
      </c>
    </row>
    <row r="286">
      <c r="A286" t="inlineStr">
        <is>
          <t>2026-07-03</t>
        </is>
      </c>
      <c r="B286" t="inlineStr">
        <is>
          <t>F266847</t>
        </is>
      </c>
      <c r="C286" t="inlineStr">
        <is>
          <t>C10360</t>
        </is>
      </c>
      <c r="D286" t="inlineStr">
        <is>
          <t>SKU-10221</t>
        </is>
      </c>
      <c r="E286" t="inlineStr">
        <is>
          <t>AM05</t>
        </is>
      </c>
      <c r="F286" s="5" t="n">
        <v>151.91</v>
      </c>
      <c r="G286">
        <f>IF(LEFT(B286,1)="C","Credit","Factuur")</f>
        <v/>
      </c>
      <c r="H286">
        <f>IF(AND(B286=B285,D286=D285,A286=A285,F286=F285),1,0)</f>
        <v/>
      </c>
      <c r="I286">
        <f>IF(C286="C99999",1,0)</f>
        <v/>
      </c>
      <c r="J286" s="5">
        <f>IF(OR(H286=1,I286=1),0,IF(G286="Credit",-F286,F286))</f>
        <v/>
      </c>
    </row>
    <row r="287">
      <c r="A287" t="inlineStr">
        <is>
          <t>2026-07-03</t>
        </is>
      </c>
      <c r="B287" t="inlineStr">
        <is>
          <t>F266847</t>
        </is>
      </c>
      <c r="C287" t="inlineStr">
        <is>
          <t>C10360</t>
        </is>
      </c>
      <c r="D287" t="inlineStr">
        <is>
          <t>SKU-10303</t>
        </is>
      </c>
      <c r="E287" t="inlineStr">
        <is>
          <t>AM05</t>
        </is>
      </c>
      <c r="F287" s="5" t="n">
        <v>141.45</v>
      </c>
      <c r="G287">
        <f>IF(LEFT(B287,1)="C","Credit","Factuur")</f>
        <v/>
      </c>
      <c r="H287">
        <f>IF(AND(B287=B286,D287=D286,A287=A286,F287=F286),1,0)</f>
        <v/>
      </c>
      <c r="I287">
        <f>IF(C287="C99999",1,0)</f>
        <v/>
      </c>
      <c r="J287" s="5">
        <f>IF(OR(H287=1,I287=1),0,IF(G287="Credit",-F287,F287))</f>
        <v/>
      </c>
    </row>
    <row r="288">
      <c r="A288" t="inlineStr">
        <is>
          <t>2026-07-03</t>
        </is>
      </c>
      <c r="B288" t="inlineStr">
        <is>
          <t>F267022</t>
        </is>
      </c>
      <c r="C288" t="inlineStr">
        <is>
          <t>C10369</t>
        </is>
      </c>
      <c r="D288" t="inlineStr">
        <is>
          <t>SKU-10212</t>
        </is>
      </c>
      <c r="E288" t="inlineStr">
        <is>
          <t>AM05</t>
        </is>
      </c>
      <c r="F288" s="5" t="n">
        <v>499.68</v>
      </c>
      <c r="G288">
        <f>IF(LEFT(B288,1)="C","Credit","Factuur")</f>
        <v/>
      </c>
      <c r="H288">
        <f>IF(AND(B288=B287,D288=D287,A288=A287,F288=F287),1,0)</f>
        <v/>
      </c>
      <c r="I288">
        <f>IF(C288="C99999",1,0)</f>
        <v/>
      </c>
      <c r="J288" s="5">
        <f>IF(OR(H288=1,I288=1),0,IF(G288="Credit",-F288,F288))</f>
        <v/>
      </c>
    </row>
    <row r="289">
      <c r="A289" t="inlineStr">
        <is>
          <t>2026-07-03</t>
        </is>
      </c>
      <c r="B289" t="inlineStr">
        <is>
          <t>F267022</t>
        </is>
      </c>
      <c r="C289" t="inlineStr">
        <is>
          <t>C10369</t>
        </is>
      </c>
      <c r="D289" t="inlineStr">
        <is>
          <t>SKU-10284</t>
        </is>
      </c>
      <c r="E289" t="inlineStr">
        <is>
          <t>AM05</t>
        </is>
      </c>
      <c r="F289" s="5" t="n">
        <v>469.18</v>
      </c>
      <c r="G289">
        <f>IF(LEFT(B289,1)="C","Credit","Factuur")</f>
        <v/>
      </c>
      <c r="H289">
        <f>IF(AND(B289=B288,D289=D288,A289=A288,F289=F288),1,0)</f>
        <v/>
      </c>
      <c r="I289">
        <f>IF(C289="C99999",1,0)</f>
        <v/>
      </c>
      <c r="J289" s="5">
        <f>IF(OR(H289=1,I289=1),0,IF(G289="Credit",-F289,F289))</f>
        <v/>
      </c>
    </row>
    <row r="290">
      <c r="A290" t="inlineStr">
        <is>
          <t>2026-07-03</t>
        </is>
      </c>
      <c r="B290" t="inlineStr">
        <is>
          <t>F267022</t>
        </is>
      </c>
      <c r="C290" t="inlineStr">
        <is>
          <t>C10369</t>
        </is>
      </c>
      <c r="D290" t="inlineStr">
        <is>
          <t>SKU-10330</t>
        </is>
      </c>
      <c r="E290" t="inlineStr">
        <is>
          <t>AM05</t>
        </is>
      </c>
      <c r="F290" s="5" t="n">
        <v>432.84</v>
      </c>
      <c r="G290">
        <f>IF(LEFT(B290,1)="C","Credit","Factuur")</f>
        <v/>
      </c>
      <c r="H290">
        <f>IF(AND(B290=B289,D290=D289,A290=A289,F290=F289),1,0)</f>
        <v/>
      </c>
      <c r="I290">
        <f>IF(C290="C99999",1,0)</f>
        <v/>
      </c>
      <c r="J290" s="5">
        <f>IF(OR(H290=1,I290=1),0,IF(G290="Credit",-F290,F290))</f>
        <v/>
      </c>
    </row>
    <row r="291">
      <c r="A291" t="inlineStr">
        <is>
          <t>2026-07-03</t>
        </is>
      </c>
      <c r="B291" t="inlineStr">
        <is>
          <t>F267065</t>
        </is>
      </c>
      <c r="C291" t="inlineStr">
        <is>
          <t>C10373</t>
        </is>
      </c>
      <c r="D291" t="inlineStr">
        <is>
          <t>SKU-10228</t>
        </is>
      </c>
      <c r="E291" t="inlineStr">
        <is>
          <t>AM08</t>
        </is>
      </c>
      <c r="F291" s="5" t="n">
        <v>481.03</v>
      </c>
      <c r="G291">
        <f>IF(LEFT(B291,1)="C","Credit","Factuur")</f>
        <v/>
      </c>
      <c r="H291">
        <f>IF(AND(B291=B290,D291=D290,A291=A290,F291=F290),1,0)</f>
        <v/>
      </c>
      <c r="I291">
        <f>IF(C291="C99999",1,0)</f>
        <v/>
      </c>
      <c r="J291" s="5">
        <f>IF(OR(H291=1,I291=1),0,IF(G291="Credit",-F291,F291))</f>
        <v/>
      </c>
    </row>
    <row r="292">
      <c r="A292" t="inlineStr">
        <is>
          <t>2026-07-03</t>
        </is>
      </c>
      <c r="B292" t="inlineStr">
        <is>
          <t>F267065</t>
        </is>
      </c>
      <c r="C292" t="inlineStr">
        <is>
          <t>C10373</t>
        </is>
      </c>
      <c r="D292" t="inlineStr">
        <is>
          <t>SKU-10269</t>
        </is>
      </c>
      <c r="E292" t="inlineStr">
        <is>
          <t>AM08</t>
        </is>
      </c>
      <c r="F292" s="5" t="n">
        <v>444.44</v>
      </c>
      <c r="G292">
        <f>IF(LEFT(B292,1)="C","Credit","Factuur")</f>
        <v/>
      </c>
      <c r="H292">
        <f>IF(AND(B292=B291,D292=D291,A292=A291,F292=F291),1,0)</f>
        <v/>
      </c>
      <c r="I292">
        <f>IF(C292="C99999",1,0)</f>
        <v/>
      </c>
      <c r="J292" s="5">
        <f>IF(OR(H292=1,I292=1),0,IF(G292="Credit",-F292,F292))</f>
        <v/>
      </c>
    </row>
    <row r="293">
      <c r="A293" t="inlineStr">
        <is>
          <t>2026-07-03</t>
        </is>
      </c>
      <c r="B293" t="inlineStr">
        <is>
          <t>F267127</t>
        </is>
      </c>
      <c r="C293" t="inlineStr">
        <is>
          <t>C10376</t>
        </is>
      </c>
      <c r="D293" t="inlineStr">
        <is>
          <t>SKU-10091</t>
        </is>
      </c>
      <c r="E293" t="inlineStr">
        <is>
          <t>AM01</t>
        </is>
      </c>
      <c r="F293" s="5" t="n">
        <v>117.43</v>
      </c>
      <c r="G293">
        <f>IF(LEFT(B293,1)="C","Credit","Factuur")</f>
        <v/>
      </c>
      <c r="H293">
        <f>IF(AND(B293=B292,D293=D292,A293=A292,F293=F292),1,0)</f>
        <v/>
      </c>
      <c r="I293">
        <f>IF(C293="C99999",1,0)</f>
        <v/>
      </c>
      <c r="J293" s="5">
        <f>IF(OR(H293=1,I293=1),0,IF(G293="Credit",-F293,F293))</f>
        <v/>
      </c>
    </row>
    <row r="294">
      <c r="A294" t="inlineStr">
        <is>
          <t>2026-07-03</t>
        </is>
      </c>
      <c r="B294" t="inlineStr">
        <is>
          <t>F267127</t>
        </is>
      </c>
      <c r="C294" t="inlineStr">
        <is>
          <t>C10376</t>
        </is>
      </c>
      <c r="D294" t="inlineStr">
        <is>
          <t>SKU-10119</t>
        </is>
      </c>
      <c r="E294" t="inlineStr">
        <is>
          <t>AM01</t>
        </is>
      </c>
      <c r="F294" s="5" t="n">
        <v>108.42</v>
      </c>
      <c r="G294">
        <f>IF(LEFT(B294,1)="C","Credit","Factuur")</f>
        <v/>
      </c>
      <c r="H294">
        <f>IF(AND(B294=B293,D294=D293,A294=A293,F294=F293),1,0)</f>
        <v/>
      </c>
      <c r="I294">
        <f>IF(C294="C99999",1,0)</f>
        <v/>
      </c>
      <c r="J294" s="5">
        <f>IF(OR(H294=1,I294=1),0,IF(G294="Credit",-F294,F294))</f>
        <v/>
      </c>
    </row>
    <row r="295">
      <c r="A295" t="inlineStr">
        <is>
          <t>2026-07-03</t>
        </is>
      </c>
      <c r="B295" t="inlineStr">
        <is>
          <t>F267127</t>
        </is>
      </c>
      <c r="C295" t="inlineStr">
        <is>
          <t>C10376</t>
        </is>
      </c>
      <c r="D295" t="inlineStr">
        <is>
          <t>SKU-10263</t>
        </is>
      </c>
      <c r="E295" t="inlineStr">
        <is>
          <t>AM01</t>
        </is>
      </c>
      <c r="F295" s="5" t="n">
        <v>128.31</v>
      </c>
      <c r="G295">
        <f>IF(LEFT(B295,1)="C","Credit","Factuur")</f>
        <v/>
      </c>
      <c r="H295">
        <f>IF(AND(B295=B294,D295=D294,A295=A294,F295=F294),1,0)</f>
        <v/>
      </c>
      <c r="I295">
        <f>IF(C295="C99999",1,0)</f>
        <v/>
      </c>
      <c r="J295" s="5">
        <f>IF(OR(H295=1,I295=1),0,IF(G295="Credit",-F295,F295))</f>
        <v/>
      </c>
    </row>
    <row r="296">
      <c r="A296" t="inlineStr">
        <is>
          <t>2026-07-03</t>
        </is>
      </c>
      <c r="B296" t="inlineStr">
        <is>
          <t>F267218</t>
        </is>
      </c>
      <c r="C296" t="inlineStr">
        <is>
          <t>C10384</t>
        </is>
      </c>
      <c r="D296" t="inlineStr">
        <is>
          <t>SKU-10258</t>
        </is>
      </c>
      <c r="E296" t="inlineStr">
        <is>
          <t>AM02</t>
        </is>
      </c>
      <c r="F296" s="5" t="n">
        <v>786.14</v>
      </c>
      <c r="G296">
        <f>IF(LEFT(B296,1)="C","Credit","Factuur")</f>
        <v/>
      </c>
      <c r="H296">
        <f>IF(AND(B296=B295,D296=D295,A296=A295,F296=F295),1,0)</f>
        <v/>
      </c>
      <c r="I296">
        <f>IF(C296="C99999",1,0)</f>
        <v/>
      </c>
      <c r="J296" s="5">
        <f>IF(OR(H296=1,I296=1),0,IF(G296="Credit",-F296,F296))</f>
        <v/>
      </c>
    </row>
    <row r="297">
      <c r="A297" t="inlineStr">
        <is>
          <t>2026-07-03</t>
        </is>
      </c>
      <c r="B297" t="inlineStr">
        <is>
          <t>F267218</t>
        </is>
      </c>
      <c r="C297" t="inlineStr">
        <is>
          <t>C10384</t>
        </is>
      </c>
      <c r="D297" t="inlineStr">
        <is>
          <t>SKU-10273</t>
        </is>
      </c>
      <c r="E297" t="inlineStr">
        <is>
          <t>AM02</t>
        </is>
      </c>
      <c r="F297" s="5" t="n">
        <v>732.34</v>
      </c>
      <c r="G297">
        <f>IF(LEFT(B297,1)="C","Credit","Factuur")</f>
        <v/>
      </c>
      <c r="H297">
        <f>IF(AND(B297=B296,D297=D296,A297=A296,F297=F296),1,0)</f>
        <v/>
      </c>
      <c r="I297">
        <f>IF(C297="C99999",1,0)</f>
        <v/>
      </c>
      <c r="J297" s="5">
        <f>IF(OR(H297=1,I297=1),0,IF(G297="Credit",-F297,F297))</f>
        <v/>
      </c>
    </row>
    <row r="298">
      <c r="A298" t="inlineStr">
        <is>
          <t>2026-07-03</t>
        </is>
      </c>
      <c r="B298" t="inlineStr">
        <is>
          <t>F267345</t>
        </is>
      </c>
      <c r="C298" t="inlineStr">
        <is>
          <t>C10388</t>
        </is>
      </c>
      <c r="D298" t="inlineStr">
        <is>
          <t>SKU-10059</t>
        </is>
      </c>
      <c r="E298" t="inlineStr">
        <is>
          <t>AM02</t>
        </is>
      </c>
      <c r="F298" s="5" t="n">
        <v>242.14</v>
      </c>
      <c r="G298">
        <f>IF(LEFT(B298,1)="C","Credit","Factuur")</f>
        <v/>
      </c>
      <c r="H298">
        <f>IF(AND(B298=B297,D298=D297,A298=A297,F298=F297),1,0)</f>
        <v/>
      </c>
      <c r="I298">
        <f>IF(C298="C99999",1,0)</f>
        <v/>
      </c>
      <c r="J298" s="5">
        <f>IF(OR(H298=1,I298=1),0,IF(G298="Credit",-F298,F298))</f>
        <v/>
      </c>
    </row>
    <row r="299">
      <c r="A299" t="inlineStr">
        <is>
          <t>2026-07-03</t>
        </is>
      </c>
      <c r="B299" t="inlineStr">
        <is>
          <t>F267345</t>
        </is>
      </c>
      <c r="C299" t="inlineStr">
        <is>
          <t>C10388</t>
        </is>
      </c>
      <c r="D299" t="inlineStr">
        <is>
          <t>SKU-10117</t>
        </is>
      </c>
      <c r="E299" t="inlineStr">
        <is>
          <t>AM02</t>
        </is>
      </c>
      <c r="F299" s="5" t="n">
        <v>242.32</v>
      </c>
      <c r="G299">
        <f>IF(LEFT(B299,1)="C","Credit","Factuur")</f>
        <v/>
      </c>
      <c r="H299">
        <f>IF(AND(B299=B298,D299=D298,A299=A298,F299=F298),1,0)</f>
        <v/>
      </c>
      <c r="I299">
        <f>IF(C299="C99999",1,0)</f>
        <v/>
      </c>
      <c r="J299" s="5">
        <f>IF(OR(H299=1,I299=1),0,IF(G299="Credit",-F299,F299))</f>
        <v/>
      </c>
    </row>
    <row r="300">
      <c r="A300" t="inlineStr">
        <is>
          <t>2026-07-03</t>
        </is>
      </c>
      <c r="B300" t="inlineStr">
        <is>
          <t>F267345</t>
        </is>
      </c>
      <c r="C300" t="inlineStr">
        <is>
          <t>C10388</t>
        </is>
      </c>
      <c r="D300" t="inlineStr">
        <is>
          <t>SKU-10165</t>
        </is>
      </c>
      <c r="E300" t="inlineStr">
        <is>
          <t>AM02</t>
        </is>
      </c>
      <c r="F300" s="5" t="n">
        <v>261.29</v>
      </c>
      <c r="G300">
        <f>IF(LEFT(B300,1)="C","Credit","Factuur")</f>
        <v/>
      </c>
      <c r="H300">
        <f>IF(AND(B300=B299,D300=D299,A300=A299,F300=F299),1,0)</f>
        <v/>
      </c>
      <c r="I300">
        <f>IF(C300="C99999",1,0)</f>
        <v/>
      </c>
      <c r="J300" s="5">
        <f>IF(OR(H300=1,I300=1),0,IF(G300="Credit",-F300,F300))</f>
        <v/>
      </c>
    </row>
    <row r="301">
      <c r="A301" t="inlineStr">
        <is>
          <t>2026-07-03</t>
        </is>
      </c>
      <c r="B301" t="inlineStr">
        <is>
          <t>F267345</t>
        </is>
      </c>
      <c r="C301" t="inlineStr">
        <is>
          <t>C10388</t>
        </is>
      </c>
      <c r="D301" t="inlineStr">
        <is>
          <t>SKU-10266</t>
        </is>
      </c>
      <c r="E301" t="inlineStr">
        <is>
          <t>AM02</t>
        </is>
      </c>
      <c r="F301" s="5" t="n">
        <v>272.08</v>
      </c>
      <c r="G301">
        <f>IF(LEFT(B301,1)="C","Credit","Factuur")</f>
        <v/>
      </c>
      <c r="H301">
        <f>IF(AND(B301=B300,D301=D300,A301=A300,F301=F300),1,0)</f>
        <v/>
      </c>
      <c r="I301">
        <f>IF(C301="C99999",1,0)</f>
        <v/>
      </c>
      <c r="J301" s="5">
        <f>IF(OR(H301=1,I301=1),0,IF(G301="Credit",-F301,F301))</f>
        <v/>
      </c>
    </row>
    <row r="302">
      <c r="A302" t="inlineStr">
        <is>
          <t>2026-07-03</t>
        </is>
      </c>
      <c r="B302" t="inlineStr">
        <is>
          <t>F267814</t>
        </is>
      </c>
      <c r="C302" t="inlineStr">
        <is>
          <t>C10410</t>
        </is>
      </c>
      <c r="D302" t="inlineStr">
        <is>
          <t>SKU-10338</t>
        </is>
      </c>
      <c r="E302" t="inlineStr">
        <is>
          <t>AM07</t>
        </is>
      </c>
      <c r="F302" s="5" t="n">
        <v>1260.65</v>
      </c>
      <c r="G302">
        <f>IF(LEFT(B302,1)="C","Credit","Factuur")</f>
        <v/>
      </c>
      <c r="H302">
        <f>IF(AND(B302=B301,D302=D301,A302=A301,F302=F301),1,0)</f>
        <v/>
      </c>
      <c r="I302">
        <f>IF(C302="C99999",1,0)</f>
        <v/>
      </c>
      <c r="J302" s="5">
        <f>IF(OR(H302=1,I302=1),0,IF(G302="Credit",-F302,F302))</f>
        <v/>
      </c>
    </row>
    <row r="303">
      <c r="A303" t="inlineStr">
        <is>
          <t>2026-07-03</t>
        </is>
      </c>
      <c r="B303" t="inlineStr">
        <is>
          <t>F267936</t>
        </is>
      </c>
      <c r="C303" t="inlineStr">
        <is>
          <t>C10416</t>
        </is>
      </c>
      <c r="D303" t="inlineStr">
        <is>
          <t>SKU-10193</t>
        </is>
      </c>
      <c r="E303" t="inlineStr">
        <is>
          <t>AM01</t>
        </is>
      </c>
      <c r="F303" s="5" t="n">
        <v>1504.42</v>
      </c>
      <c r="G303">
        <f>IF(LEFT(B303,1)="C","Credit","Factuur")</f>
        <v/>
      </c>
      <c r="H303">
        <f>IF(AND(B303=B302,D303=D302,A303=A302,F303=F302),1,0)</f>
        <v/>
      </c>
      <c r="I303">
        <f>IF(C303="C99999",1,0)</f>
        <v/>
      </c>
      <c r="J303" s="5">
        <f>IF(OR(H303=1,I303=1),0,IF(G303="Credit",-F303,F303))</f>
        <v/>
      </c>
    </row>
    <row r="304">
      <c r="A304" t="inlineStr">
        <is>
          <t>2026-07-03</t>
        </is>
      </c>
      <c r="B304" t="inlineStr">
        <is>
          <t>F268215</t>
        </is>
      </c>
      <c r="C304" t="inlineStr">
        <is>
          <t>C10429</t>
        </is>
      </c>
      <c r="D304" t="inlineStr">
        <is>
          <t>SKU-10001</t>
        </is>
      </c>
      <c r="E304" t="inlineStr">
        <is>
          <t>AM05</t>
        </is>
      </c>
      <c r="F304" s="5" t="n">
        <v>42.68</v>
      </c>
      <c r="G304">
        <f>IF(LEFT(B304,1)="C","Credit","Factuur")</f>
        <v/>
      </c>
      <c r="H304">
        <f>IF(AND(B304=B303,D304=D303,A304=A303,F304=F303),1,0)</f>
        <v/>
      </c>
      <c r="I304">
        <f>IF(C304="C99999",1,0)</f>
        <v/>
      </c>
      <c r="J304" s="5">
        <f>IF(OR(H304=1,I304=1),0,IF(G304="Credit",-F304,F304))</f>
        <v/>
      </c>
    </row>
    <row r="305">
      <c r="A305" t="inlineStr">
        <is>
          <t>2026-07-03</t>
        </is>
      </c>
      <c r="B305" t="inlineStr">
        <is>
          <t>F268215</t>
        </is>
      </c>
      <c r="C305" t="inlineStr">
        <is>
          <t>C10429</t>
        </is>
      </c>
      <c r="D305" t="inlineStr">
        <is>
          <t>SKU-10061</t>
        </is>
      </c>
      <c r="E305" t="inlineStr">
        <is>
          <t>AM05</t>
        </is>
      </c>
      <c r="F305" s="5" t="n">
        <v>35.91</v>
      </c>
      <c r="G305">
        <f>IF(LEFT(B305,1)="C","Credit","Factuur")</f>
        <v/>
      </c>
      <c r="H305">
        <f>IF(AND(B305=B304,D305=D304,A305=A304,F305=F304),1,0)</f>
        <v/>
      </c>
      <c r="I305">
        <f>IF(C305="C99999",1,0)</f>
        <v/>
      </c>
      <c r="J305" s="5">
        <f>IF(OR(H305=1,I305=1),0,IF(G305="Credit",-F305,F305))</f>
        <v/>
      </c>
    </row>
    <row r="306">
      <c r="A306" t="inlineStr">
        <is>
          <t>2026-07-03</t>
        </is>
      </c>
      <c r="B306" t="inlineStr">
        <is>
          <t>F268215</t>
        </is>
      </c>
      <c r="C306" t="inlineStr">
        <is>
          <t>C10429</t>
        </is>
      </c>
      <c r="D306" t="inlineStr">
        <is>
          <t>SKU-10166</t>
        </is>
      </c>
      <c r="E306" t="inlineStr">
        <is>
          <t>AM05</t>
        </is>
      </c>
      <c r="F306" s="5" t="n">
        <v>48.7</v>
      </c>
      <c r="G306">
        <f>IF(LEFT(B306,1)="C","Credit","Factuur")</f>
        <v/>
      </c>
      <c r="H306">
        <f>IF(AND(B306=B305,D306=D305,A306=A305,F306=F305),1,0)</f>
        <v/>
      </c>
      <c r="I306">
        <f>IF(C306="C99999",1,0)</f>
        <v/>
      </c>
      <c r="J306" s="5">
        <f>IF(OR(H306=1,I306=1),0,IF(G306="Credit",-F306,F306))</f>
        <v/>
      </c>
    </row>
    <row r="307">
      <c r="A307" t="inlineStr">
        <is>
          <t>2026-07-03</t>
        </is>
      </c>
      <c r="B307" t="inlineStr">
        <is>
          <t>F268215</t>
        </is>
      </c>
      <c r="C307" t="inlineStr">
        <is>
          <t>C10429</t>
        </is>
      </c>
      <c r="D307" t="inlineStr">
        <is>
          <t>SKU-10221</t>
        </is>
      </c>
      <c r="E307" t="inlineStr">
        <is>
          <t>AM05</t>
        </is>
      </c>
      <c r="F307" s="5" t="n">
        <v>41.92</v>
      </c>
      <c r="G307">
        <f>IF(LEFT(B307,1)="C","Credit","Factuur")</f>
        <v/>
      </c>
      <c r="H307">
        <f>IF(AND(B307=B306,D307=D306,A307=A306,F307=F306),1,0)</f>
        <v/>
      </c>
      <c r="I307">
        <f>IF(C307="C99999",1,0)</f>
        <v/>
      </c>
      <c r="J307" s="5">
        <f>IF(OR(H307=1,I307=1),0,IF(G307="Credit",-F307,F307))</f>
        <v/>
      </c>
    </row>
    <row r="308">
      <c r="A308" t="inlineStr">
        <is>
          <t>2026-07-03</t>
        </is>
      </c>
      <c r="B308" t="inlineStr">
        <is>
          <t>F268215</t>
        </is>
      </c>
      <c r="C308" t="inlineStr">
        <is>
          <t>C10429</t>
        </is>
      </c>
      <c r="D308" t="inlineStr">
        <is>
          <t>SKU-10235</t>
        </is>
      </c>
      <c r="E308" t="inlineStr">
        <is>
          <t>AM05</t>
        </is>
      </c>
      <c r="F308" s="5" t="n">
        <v>32.96</v>
      </c>
      <c r="G308">
        <f>IF(LEFT(B308,1)="C","Credit","Factuur")</f>
        <v/>
      </c>
      <c r="H308">
        <f>IF(AND(B308=B307,D308=D307,A308=A307,F308=F307),1,0)</f>
        <v/>
      </c>
      <c r="I308">
        <f>IF(C308="C99999",1,0)</f>
        <v/>
      </c>
      <c r="J308" s="5">
        <f>IF(OR(H308=1,I308=1),0,IF(G308="Credit",-F308,F308))</f>
        <v/>
      </c>
    </row>
    <row r="309">
      <c r="A309" t="inlineStr">
        <is>
          <t>2026-07-03</t>
        </is>
      </c>
      <c r="B309" t="inlineStr">
        <is>
          <t>F268215</t>
        </is>
      </c>
      <c r="C309" t="inlineStr">
        <is>
          <t>C10429</t>
        </is>
      </c>
      <c r="D309" t="inlineStr">
        <is>
          <t>SKU-10363</t>
        </is>
      </c>
      <c r="E309" t="inlineStr">
        <is>
          <t>AM05</t>
        </is>
      </c>
      <c r="F309" s="5" t="n">
        <v>109.16</v>
      </c>
      <c r="G309">
        <f>IF(LEFT(B309,1)="C","Credit","Factuur")</f>
        <v/>
      </c>
      <c r="H309">
        <f>IF(AND(B309=B308,D309=D308,A309=A308,F309=F308),1,0)</f>
        <v/>
      </c>
      <c r="I309">
        <f>IF(C309="C99999",1,0)</f>
        <v/>
      </c>
      <c r="J309" s="5">
        <f>IF(OR(H309=1,I309=1),0,IF(G309="Credit",-F309,F309))</f>
        <v/>
      </c>
    </row>
    <row r="310">
      <c r="A310" t="inlineStr">
        <is>
          <t>2026-07-03</t>
        </is>
      </c>
      <c r="B310" t="inlineStr">
        <is>
          <t>F268484</t>
        </is>
      </c>
      <c r="C310" t="inlineStr">
        <is>
          <t>C10444</t>
        </is>
      </c>
      <c r="D310" t="inlineStr">
        <is>
          <t>SKU-10139</t>
        </is>
      </c>
      <c r="E310" t="inlineStr">
        <is>
          <t>AM01</t>
        </is>
      </c>
      <c r="F310" s="5" t="n">
        <v>117.4</v>
      </c>
      <c r="G310">
        <f>IF(LEFT(B310,1)="C","Credit","Factuur")</f>
        <v/>
      </c>
      <c r="H310">
        <f>IF(AND(B310=B309,D310=D309,A310=A309,F310=F309),1,0)</f>
        <v/>
      </c>
      <c r="I310">
        <f>IF(C310="C99999",1,0)</f>
        <v/>
      </c>
      <c r="J310" s="5">
        <f>IF(OR(H310=1,I310=1),0,IF(G310="Credit",-F310,F310))</f>
        <v/>
      </c>
    </row>
    <row r="311">
      <c r="A311" t="inlineStr">
        <is>
          <t>2026-07-03</t>
        </is>
      </c>
      <c r="B311" t="inlineStr">
        <is>
          <t>F268484</t>
        </is>
      </c>
      <c r="C311" t="inlineStr">
        <is>
          <t>C10444</t>
        </is>
      </c>
      <c r="D311" t="inlineStr">
        <is>
          <t>SKU-10174</t>
        </is>
      </c>
      <c r="E311" t="inlineStr">
        <is>
          <t>AM01</t>
        </is>
      </c>
      <c r="F311" s="5" t="n">
        <v>119.73</v>
      </c>
      <c r="G311">
        <f>IF(LEFT(B311,1)="C","Credit","Factuur")</f>
        <v/>
      </c>
      <c r="H311">
        <f>IF(AND(B311=B310,D311=D310,A311=A310,F311=F310),1,0)</f>
        <v/>
      </c>
      <c r="I311">
        <f>IF(C311="C99999",1,0)</f>
        <v/>
      </c>
      <c r="J311" s="5">
        <f>IF(OR(H311=1,I311=1),0,IF(G311="Credit",-F311,F311))</f>
        <v/>
      </c>
    </row>
    <row r="312">
      <c r="A312" t="inlineStr">
        <is>
          <t>2026-07-03</t>
        </is>
      </c>
      <c r="B312" t="inlineStr">
        <is>
          <t>F268484</t>
        </is>
      </c>
      <c r="C312" t="inlineStr">
        <is>
          <t>C10444</t>
        </is>
      </c>
      <c r="D312" t="inlineStr">
        <is>
          <t>SKU-10276</t>
        </is>
      </c>
      <c r="E312" t="inlineStr">
        <is>
          <t>AM01</t>
        </is>
      </c>
      <c r="F312" s="5" t="n">
        <v>116.48</v>
      </c>
      <c r="G312">
        <f>IF(LEFT(B312,1)="C","Credit","Factuur")</f>
        <v/>
      </c>
      <c r="H312">
        <f>IF(AND(B312=B311,D312=D311,A312=A311,F312=F311),1,0)</f>
        <v/>
      </c>
      <c r="I312">
        <f>IF(C312="C99999",1,0)</f>
        <v/>
      </c>
      <c r="J312" s="5">
        <f>IF(OR(H312=1,I312=1),0,IF(G312="Credit",-F312,F312))</f>
        <v/>
      </c>
    </row>
    <row r="313">
      <c r="A313" t="inlineStr">
        <is>
          <t>2026-07-03</t>
        </is>
      </c>
      <c r="B313" t="inlineStr">
        <is>
          <t>F268484</t>
        </is>
      </c>
      <c r="C313" t="inlineStr">
        <is>
          <t>C10444</t>
        </is>
      </c>
      <c r="D313" t="inlineStr">
        <is>
          <t>SKU-10304</t>
        </is>
      </c>
      <c r="E313" t="inlineStr">
        <is>
          <t>AM01</t>
        </is>
      </c>
      <c r="F313" s="5" t="n">
        <v>116.13</v>
      </c>
      <c r="G313">
        <f>IF(LEFT(B313,1)="C","Credit","Factuur")</f>
        <v/>
      </c>
      <c r="H313">
        <f>IF(AND(B313=B312,D313=D312,A313=A312,F313=F312),1,0)</f>
        <v/>
      </c>
      <c r="I313">
        <f>IF(C313="C99999",1,0)</f>
        <v/>
      </c>
      <c r="J313" s="5">
        <f>IF(OR(H313=1,I313=1),0,IF(G313="Credit",-F313,F313))</f>
        <v/>
      </c>
    </row>
    <row r="314">
      <c r="A314" t="inlineStr">
        <is>
          <t>2026-07-03</t>
        </is>
      </c>
      <c r="B314" t="inlineStr">
        <is>
          <t>F268781</t>
        </is>
      </c>
      <c r="C314" t="inlineStr">
        <is>
          <t>C10457</t>
        </is>
      </c>
      <c r="D314" t="inlineStr">
        <is>
          <t>SKU-10256</t>
        </is>
      </c>
      <c r="E314" t="inlineStr">
        <is>
          <t>AM11</t>
        </is>
      </c>
      <c r="F314" s="5" t="n">
        <v>309.17</v>
      </c>
      <c r="G314">
        <f>IF(LEFT(B314,1)="C","Credit","Factuur")</f>
        <v/>
      </c>
      <c r="H314">
        <f>IF(AND(B314=B313,D314=D313,A314=A313,F314=F313),1,0)</f>
        <v/>
      </c>
      <c r="I314">
        <f>IF(C314="C99999",1,0)</f>
        <v/>
      </c>
      <c r="J314" s="5">
        <f>IF(OR(H314=1,I314=1),0,IF(G314="Credit",-F314,F314))</f>
        <v/>
      </c>
    </row>
    <row r="315">
      <c r="A315" t="inlineStr">
        <is>
          <t>2026-07-03</t>
        </is>
      </c>
      <c r="B315" t="inlineStr">
        <is>
          <t>F268781</t>
        </is>
      </c>
      <c r="C315" t="inlineStr">
        <is>
          <t>C10457</t>
        </is>
      </c>
      <c r="D315" t="inlineStr">
        <is>
          <t>SKU-10324</t>
        </is>
      </c>
      <c r="E315" t="inlineStr">
        <is>
          <t>AM11</t>
        </is>
      </c>
      <c r="F315" s="5" t="n">
        <v>267.59</v>
      </c>
      <c r="G315">
        <f>IF(LEFT(B315,1)="C","Credit","Factuur")</f>
        <v/>
      </c>
      <c r="H315">
        <f>IF(AND(B315=B314,D315=D314,A315=A314,F315=F314),1,0)</f>
        <v/>
      </c>
      <c r="I315">
        <f>IF(C315="C99999",1,0)</f>
        <v/>
      </c>
      <c r="J315" s="5">
        <f>IF(OR(H315=1,I315=1),0,IF(G315="Credit",-F315,F315))</f>
        <v/>
      </c>
    </row>
    <row r="316">
      <c r="A316" t="inlineStr">
        <is>
          <t>2026-07-03</t>
        </is>
      </c>
      <c r="B316" t="inlineStr">
        <is>
          <t>F269463</t>
        </is>
      </c>
      <c r="C316" t="inlineStr">
        <is>
          <t>C10498</t>
        </is>
      </c>
      <c r="D316" t="inlineStr">
        <is>
          <t>SKU-10020</t>
        </is>
      </c>
      <c r="E316" t="inlineStr">
        <is>
          <t>AM06</t>
        </is>
      </c>
      <c r="F316" s="5" t="n">
        <v>371.28</v>
      </c>
      <c r="G316">
        <f>IF(LEFT(B316,1)="C","Credit","Factuur")</f>
        <v/>
      </c>
      <c r="H316">
        <f>IF(AND(B316=B315,D316=D315,A316=A315,F316=F315),1,0)</f>
        <v/>
      </c>
      <c r="I316">
        <f>IF(C316="C99999",1,0)</f>
        <v/>
      </c>
      <c r="J316" s="5">
        <f>IF(OR(H316=1,I316=1),0,IF(G316="Credit",-F316,F316))</f>
        <v/>
      </c>
    </row>
    <row r="317">
      <c r="A317" t="inlineStr">
        <is>
          <t>2026-07-03</t>
        </is>
      </c>
      <c r="B317" t="inlineStr">
        <is>
          <t>F269463</t>
        </is>
      </c>
      <c r="C317" t="inlineStr">
        <is>
          <t>C10498</t>
        </is>
      </c>
      <c r="D317" t="inlineStr">
        <is>
          <t>SKU-10109</t>
        </is>
      </c>
      <c r="E317" t="inlineStr">
        <is>
          <t>AM06</t>
        </is>
      </c>
      <c r="F317" s="5" t="n">
        <v>383.6</v>
      </c>
      <c r="G317">
        <f>IF(LEFT(B317,1)="C","Credit","Factuur")</f>
        <v/>
      </c>
      <c r="H317">
        <f>IF(AND(B317=B316,D317=D316,A317=A316,F317=F316),1,0)</f>
        <v/>
      </c>
      <c r="I317">
        <f>IF(C317="C99999",1,0)</f>
        <v/>
      </c>
      <c r="J317" s="5">
        <f>IF(OR(H317=1,I317=1),0,IF(G317="Credit",-F317,F317))</f>
        <v/>
      </c>
    </row>
    <row r="318">
      <c r="A318" t="inlineStr">
        <is>
          <t>2026-07-03</t>
        </is>
      </c>
      <c r="B318" t="inlineStr">
        <is>
          <t>F269463</t>
        </is>
      </c>
      <c r="C318" t="inlineStr">
        <is>
          <t>C10498</t>
        </is>
      </c>
      <c r="D318" t="inlineStr">
        <is>
          <t>SKU-10281</t>
        </is>
      </c>
      <c r="E318" t="inlineStr">
        <is>
          <t>AM06</t>
        </is>
      </c>
      <c r="F318" s="5" t="n">
        <v>355.95</v>
      </c>
      <c r="G318">
        <f>IF(LEFT(B318,1)="C","Credit","Factuur")</f>
        <v/>
      </c>
      <c r="H318">
        <f>IF(AND(B318=B317,D318=D317,A318=A317,F318=F317),1,0)</f>
        <v/>
      </c>
      <c r="I318">
        <f>IF(C318="C99999",1,0)</f>
        <v/>
      </c>
      <c r="J318" s="5">
        <f>IF(OR(H318=1,I318=1),0,IF(G318="Credit",-F318,F318))</f>
        <v/>
      </c>
    </row>
    <row r="319">
      <c r="A319" t="inlineStr">
        <is>
          <t>2026-07-03</t>
        </is>
      </c>
      <c r="B319" t="inlineStr">
        <is>
          <t>F269463</t>
        </is>
      </c>
      <c r="C319" t="inlineStr">
        <is>
          <t>C10498</t>
        </is>
      </c>
      <c r="D319" t="inlineStr">
        <is>
          <t>SKU-10286</t>
        </is>
      </c>
      <c r="E319" t="inlineStr">
        <is>
          <t>AM06</t>
        </is>
      </c>
      <c r="F319" s="5" t="n">
        <v>365</v>
      </c>
      <c r="G319">
        <f>IF(LEFT(B319,1)="C","Credit","Factuur")</f>
        <v/>
      </c>
      <c r="H319">
        <f>IF(AND(B319=B318,D319=D318,A319=A318,F319=F318),1,0)</f>
        <v/>
      </c>
      <c r="I319">
        <f>IF(C319="C99999",1,0)</f>
        <v/>
      </c>
      <c r="J319" s="5">
        <f>IF(OR(H319=1,I319=1),0,IF(G319="Credit",-F319,F319))</f>
        <v/>
      </c>
    </row>
    <row r="320">
      <c r="A320" t="inlineStr">
        <is>
          <t>2026-07-03</t>
        </is>
      </c>
      <c r="B320" t="inlineStr">
        <is>
          <t>F270021</t>
        </is>
      </c>
      <c r="C320" t="inlineStr">
        <is>
          <t>C10527</t>
        </is>
      </c>
      <c r="D320" t="inlineStr">
        <is>
          <t>SKU-10027</t>
        </is>
      </c>
      <c r="E320" t="inlineStr">
        <is>
          <t>AM01</t>
        </is>
      </c>
      <c r="F320" s="5" t="n">
        <v>1217.48</v>
      </c>
      <c r="G320">
        <f>IF(LEFT(B320,1)="C","Credit","Factuur")</f>
        <v/>
      </c>
      <c r="H320">
        <f>IF(AND(B320=B319,D320=D319,A320=A319,F320=F319),1,0)</f>
        <v/>
      </c>
      <c r="I320">
        <f>IF(C320="C99999",1,0)</f>
        <v/>
      </c>
      <c r="J320" s="5">
        <f>IF(OR(H320=1,I320=1),0,IF(G320="Credit",-F320,F320))</f>
        <v/>
      </c>
    </row>
    <row r="321">
      <c r="A321" t="inlineStr">
        <is>
          <t>2026-07-03</t>
        </is>
      </c>
      <c r="B321" t="inlineStr">
        <is>
          <t>F270021</t>
        </is>
      </c>
      <c r="C321" t="inlineStr">
        <is>
          <t>C10527</t>
        </is>
      </c>
      <c r="D321" t="inlineStr">
        <is>
          <t>SKU-10209</t>
        </is>
      </c>
      <c r="E321" t="inlineStr">
        <is>
          <t>AM01</t>
        </is>
      </c>
      <c r="F321" s="5" t="n">
        <v>1255.04</v>
      </c>
      <c r="G321">
        <f>IF(LEFT(B321,1)="C","Credit","Factuur")</f>
        <v/>
      </c>
      <c r="H321">
        <f>IF(AND(B321=B320,D321=D320,A321=A320,F321=F320),1,0)</f>
        <v/>
      </c>
      <c r="I321">
        <f>IF(C321="C99999",1,0)</f>
        <v/>
      </c>
      <c r="J321" s="5">
        <f>IF(OR(H321=1,I321=1),0,IF(G321="Credit",-F321,F321))</f>
        <v/>
      </c>
    </row>
    <row r="322">
      <c r="A322" t="inlineStr">
        <is>
          <t>2026-07-03</t>
        </is>
      </c>
      <c r="B322" t="inlineStr">
        <is>
          <t>F270152</t>
        </is>
      </c>
      <c r="C322" t="inlineStr">
        <is>
          <t>C10536</t>
        </is>
      </c>
      <c r="D322" t="inlineStr">
        <is>
          <t>SKU-10069</t>
        </is>
      </c>
      <c r="E322" t="inlineStr">
        <is>
          <t>AM11</t>
        </is>
      </c>
      <c r="F322" s="5" t="n">
        <v>724.58</v>
      </c>
      <c r="G322">
        <f>IF(LEFT(B322,1)="C","Credit","Factuur")</f>
        <v/>
      </c>
      <c r="H322">
        <f>IF(AND(B322=B321,D322=D321,A322=A321,F322=F321),1,0)</f>
        <v/>
      </c>
      <c r="I322">
        <f>IF(C322="C99999",1,0)</f>
        <v/>
      </c>
      <c r="J322" s="5">
        <f>IF(OR(H322=1,I322=1),0,IF(G322="Credit",-F322,F322))</f>
        <v/>
      </c>
    </row>
    <row r="323">
      <c r="A323" t="inlineStr">
        <is>
          <t>2026-07-03</t>
        </is>
      </c>
      <c r="B323" t="inlineStr">
        <is>
          <t>F270152</t>
        </is>
      </c>
      <c r="C323" t="inlineStr">
        <is>
          <t>C10536</t>
        </is>
      </c>
      <c r="D323" t="inlineStr">
        <is>
          <t>SKU-10071</t>
        </is>
      </c>
      <c r="E323" t="inlineStr">
        <is>
          <t>AM11</t>
        </is>
      </c>
      <c r="F323" s="5" t="n">
        <v>658.02</v>
      </c>
      <c r="G323">
        <f>IF(LEFT(B323,1)="C","Credit","Factuur")</f>
        <v/>
      </c>
      <c r="H323">
        <f>IF(AND(B323=B322,D323=D322,A323=A322,F323=F322),1,0)</f>
        <v/>
      </c>
      <c r="I323">
        <f>IF(C323="C99999",1,0)</f>
        <v/>
      </c>
      <c r="J323" s="5">
        <f>IF(OR(H323=1,I323=1),0,IF(G323="Credit",-F323,F323))</f>
        <v/>
      </c>
    </row>
    <row r="324">
      <c r="A324" t="inlineStr">
        <is>
          <t>2026-07-03</t>
        </is>
      </c>
      <c r="B324" t="inlineStr">
        <is>
          <t>F270152</t>
        </is>
      </c>
      <c r="C324" t="inlineStr">
        <is>
          <t>C10536</t>
        </is>
      </c>
      <c r="D324" t="inlineStr">
        <is>
          <t>SKU-10082</t>
        </is>
      </c>
      <c r="E324" t="inlineStr">
        <is>
          <t>AM11</t>
        </is>
      </c>
      <c r="F324" s="5" t="n">
        <v>676.8</v>
      </c>
      <c r="G324">
        <f>IF(LEFT(B324,1)="C","Credit","Factuur")</f>
        <v/>
      </c>
      <c r="H324">
        <f>IF(AND(B324=B323,D324=D323,A324=A323,F324=F323),1,0)</f>
        <v/>
      </c>
      <c r="I324">
        <f>IF(C324="C99999",1,0)</f>
        <v/>
      </c>
      <c r="J324" s="5">
        <f>IF(OR(H324=1,I324=1),0,IF(G324="Credit",-F324,F324))</f>
        <v/>
      </c>
    </row>
    <row r="325">
      <c r="A325" t="inlineStr">
        <is>
          <t>2026-07-03</t>
        </is>
      </c>
      <c r="B325" t="inlineStr">
        <is>
          <t>F270152</t>
        </is>
      </c>
      <c r="C325" t="inlineStr">
        <is>
          <t>C10536</t>
        </is>
      </c>
      <c r="D325" t="inlineStr">
        <is>
          <t>SKU-10306</t>
        </is>
      </c>
      <c r="E325" t="inlineStr">
        <is>
          <t>AM11</t>
        </is>
      </c>
      <c r="F325" s="5" t="n">
        <v>758.01</v>
      </c>
      <c r="G325">
        <f>IF(LEFT(B325,1)="C","Credit","Factuur")</f>
        <v/>
      </c>
      <c r="H325">
        <f>IF(AND(B325=B324,D325=D324,A325=A324,F325=F324),1,0)</f>
        <v/>
      </c>
      <c r="I325">
        <f>IF(C325="C99999",1,0)</f>
        <v/>
      </c>
      <c r="J325" s="5">
        <f>IF(OR(H325=1,I325=1),0,IF(G325="Credit",-F325,F325))</f>
        <v/>
      </c>
    </row>
    <row r="326">
      <c r="A326" t="inlineStr">
        <is>
          <t>2026-07-03</t>
        </is>
      </c>
      <c r="B326" t="inlineStr">
        <is>
          <t>F270152</t>
        </is>
      </c>
      <c r="C326" t="inlineStr">
        <is>
          <t>C10536</t>
        </is>
      </c>
      <c r="D326" t="inlineStr">
        <is>
          <t>SKU-10331</t>
        </is>
      </c>
      <c r="E326" t="inlineStr">
        <is>
          <t>AM11</t>
        </is>
      </c>
      <c r="F326" s="5" t="n">
        <v>632.5</v>
      </c>
      <c r="G326">
        <f>IF(LEFT(B326,1)="C","Credit","Factuur")</f>
        <v/>
      </c>
      <c r="H326">
        <f>IF(AND(B326=B325,D326=D325,A326=A325,F326=F325),1,0)</f>
        <v/>
      </c>
      <c r="I326">
        <f>IF(C326="C99999",1,0)</f>
        <v/>
      </c>
      <c r="J326" s="5">
        <f>IF(OR(H326=1,I326=1),0,IF(G326="Credit",-F326,F326))</f>
        <v/>
      </c>
    </row>
    <row r="327">
      <c r="A327" t="inlineStr">
        <is>
          <t>2026-07-03</t>
        </is>
      </c>
      <c r="B327" t="inlineStr">
        <is>
          <t>F270367</t>
        </is>
      </c>
      <c r="C327" t="inlineStr">
        <is>
          <t>C10545</t>
        </is>
      </c>
      <c r="D327" t="inlineStr">
        <is>
          <t>SKU-10047</t>
        </is>
      </c>
      <c r="E327" t="inlineStr">
        <is>
          <t>AM02</t>
        </is>
      </c>
      <c r="F327" s="5" t="n">
        <v>193.94</v>
      </c>
      <c r="G327">
        <f>IF(LEFT(B327,1)="C","Credit","Factuur")</f>
        <v/>
      </c>
      <c r="H327">
        <f>IF(AND(B327=B326,D327=D326,A327=A326,F327=F326),1,0)</f>
        <v/>
      </c>
      <c r="I327">
        <f>IF(C327="C99999",1,0)</f>
        <v/>
      </c>
      <c r="J327" s="5">
        <f>IF(OR(H327=1,I327=1),0,IF(G327="Credit",-F327,F327))</f>
        <v/>
      </c>
    </row>
    <row r="328">
      <c r="A328" t="inlineStr">
        <is>
          <t>2026-07-03</t>
        </is>
      </c>
      <c r="B328" t="inlineStr">
        <is>
          <t>F270367</t>
        </is>
      </c>
      <c r="C328" t="inlineStr">
        <is>
          <t>C10545</t>
        </is>
      </c>
      <c r="D328" t="inlineStr">
        <is>
          <t>SKU-10089</t>
        </is>
      </c>
      <c r="E328" t="inlineStr">
        <is>
          <t>AM02</t>
        </is>
      </c>
      <c r="F328" s="5" t="n">
        <v>193.42</v>
      </c>
      <c r="G328">
        <f>IF(LEFT(B328,1)="C","Credit","Factuur")</f>
        <v/>
      </c>
      <c r="H328">
        <f>IF(AND(B328=B327,D328=D327,A328=A327,F328=F327),1,0)</f>
        <v/>
      </c>
      <c r="I328">
        <f>IF(C328="C99999",1,0)</f>
        <v/>
      </c>
      <c r="J328" s="5">
        <f>IF(OR(H328=1,I328=1),0,IF(G328="Credit",-F328,F328))</f>
        <v/>
      </c>
    </row>
    <row r="329">
      <c r="A329" t="inlineStr">
        <is>
          <t>2026-07-03</t>
        </is>
      </c>
      <c r="B329" t="inlineStr">
        <is>
          <t>F270367</t>
        </is>
      </c>
      <c r="C329" t="inlineStr">
        <is>
          <t>C10545</t>
        </is>
      </c>
      <c r="D329" t="inlineStr">
        <is>
          <t>SKU-10127</t>
        </is>
      </c>
      <c r="E329" t="inlineStr">
        <is>
          <t>AM02</t>
        </is>
      </c>
      <c r="F329" s="5" t="n">
        <v>155.63</v>
      </c>
      <c r="G329">
        <f>IF(LEFT(B329,1)="C","Credit","Factuur")</f>
        <v/>
      </c>
      <c r="H329">
        <f>IF(AND(B329=B328,D329=D328,A329=A328,F329=F328),1,0)</f>
        <v/>
      </c>
      <c r="I329">
        <f>IF(C329="C99999",1,0)</f>
        <v/>
      </c>
      <c r="J329" s="5">
        <f>IF(OR(H329=1,I329=1),0,IF(G329="Credit",-F329,F329))</f>
        <v/>
      </c>
    </row>
    <row r="330">
      <c r="A330" t="inlineStr">
        <is>
          <t>2026-07-03</t>
        </is>
      </c>
      <c r="B330" t="inlineStr">
        <is>
          <t>F270367</t>
        </is>
      </c>
      <c r="C330" t="inlineStr">
        <is>
          <t>C10545</t>
        </is>
      </c>
      <c r="D330" t="inlineStr">
        <is>
          <t>SKU-10143</t>
        </is>
      </c>
      <c r="E330" t="inlineStr">
        <is>
          <t>AM02</t>
        </is>
      </c>
      <c r="F330" s="5" t="n">
        <v>185.33</v>
      </c>
      <c r="G330">
        <f>IF(LEFT(B330,1)="C","Credit","Factuur")</f>
        <v/>
      </c>
      <c r="H330">
        <f>IF(AND(B330=B329,D330=D329,A330=A329,F330=F329),1,0)</f>
        <v/>
      </c>
      <c r="I330">
        <f>IF(C330="C99999",1,0)</f>
        <v/>
      </c>
      <c r="J330" s="5">
        <f>IF(OR(H330=1,I330=1),0,IF(G330="Credit",-F330,F330))</f>
        <v/>
      </c>
    </row>
    <row r="331">
      <c r="A331" t="inlineStr">
        <is>
          <t>2026-07-03</t>
        </is>
      </c>
      <c r="B331" t="inlineStr">
        <is>
          <t>F270394</t>
        </is>
      </c>
      <c r="C331" t="inlineStr">
        <is>
          <t>C10546</t>
        </is>
      </c>
      <c r="D331" t="inlineStr">
        <is>
          <t>SKU-10032</t>
        </is>
      </c>
      <c r="E331" t="inlineStr">
        <is>
          <t>AM09</t>
        </is>
      </c>
      <c r="F331" s="5" t="n">
        <v>4942.31</v>
      </c>
      <c r="G331">
        <f>IF(LEFT(B331,1)="C","Credit","Factuur")</f>
        <v/>
      </c>
      <c r="H331">
        <f>IF(AND(B331=B330,D331=D330,A331=A330,F331=F330),1,0)</f>
        <v/>
      </c>
      <c r="I331">
        <f>IF(C331="C99999",1,0)</f>
        <v/>
      </c>
      <c r="J331" s="5">
        <f>IF(OR(H331=1,I331=1),0,IF(G331="Credit",-F331,F331))</f>
        <v/>
      </c>
    </row>
    <row r="332">
      <c r="A332" t="inlineStr">
        <is>
          <t>2026-07-03</t>
        </is>
      </c>
      <c r="B332" t="inlineStr">
        <is>
          <t>F270394</t>
        </is>
      </c>
      <c r="C332" t="inlineStr">
        <is>
          <t>C10546</t>
        </is>
      </c>
      <c r="D332" t="inlineStr">
        <is>
          <t>SKU-10037</t>
        </is>
      </c>
      <c r="E332" t="inlineStr">
        <is>
          <t>AM09</t>
        </is>
      </c>
      <c r="F332" s="5" t="n">
        <v>4939.52</v>
      </c>
      <c r="G332">
        <f>IF(LEFT(B332,1)="C","Credit","Factuur")</f>
        <v/>
      </c>
      <c r="H332">
        <f>IF(AND(B332=B331,D332=D331,A332=A331,F332=F331),1,0)</f>
        <v/>
      </c>
      <c r="I332">
        <f>IF(C332="C99999",1,0)</f>
        <v/>
      </c>
      <c r="J332" s="5">
        <f>IF(OR(H332=1,I332=1),0,IF(G332="Credit",-F332,F332))</f>
        <v/>
      </c>
    </row>
    <row r="333">
      <c r="A333" t="inlineStr">
        <is>
          <t>2026-07-03</t>
        </is>
      </c>
      <c r="B333" t="inlineStr">
        <is>
          <t>F270394</t>
        </is>
      </c>
      <c r="C333" t="inlineStr">
        <is>
          <t>C10546</t>
        </is>
      </c>
      <c r="D333" t="inlineStr">
        <is>
          <t>SKU-10289</t>
        </is>
      </c>
      <c r="E333" t="inlineStr">
        <is>
          <t>AM09</t>
        </is>
      </c>
      <c r="F333" s="5" t="n">
        <v>5796.89</v>
      </c>
      <c r="G333">
        <f>IF(LEFT(B333,1)="C","Credit","Factuur")</f>
        <v/>
      </c>
      <c r="H333">
        <f>IF(AND(B333=B332,D333=D332,A333=A332,F333=F332),1,0)</f>
        <v/>
      </c>
      <c r="I333">
        <f>IF(C333="C99999",1,0)</f>
        <v/>
      </c>
      <c r="J333" s="5">
        <f>IF(OR(H333=1,I333=1),0,IF(G333="Credit",-F333,F333))</f>
        <v/>
      </c>
    </row>
    <row r="334">
      <c r="A334" t="inlineStr">
        <is>
          <t>2026-07-03</t>
        </is>
      </c>
      <c r="B334" t="inlineStr">
        <is>
          <t>F270561</t>
        </is>
      </c>
      <c r="C334" t="inlineStr">
        <is>
          <t>C10554</t>
        </is>
      </c>
      <c r="D334" t="inlineStr">
        <is>
          <t>SKU-10334</t>
        </is>
      </c>
      <c r="E334" t="inlineStr">
        <is>
          <t>AM09</t>
        </is>
      </c>
      <c r="F334" s="5" t="n">
        <v>6308.65</v>
      </c>
      <c r="G334">
        <f>IF(LEFT(B334,1)="C","Credit","Factuur")</f>
        <v/>
      </c>
      <c r="H334">
        <f>IF(AND(B334=B333,D334=D333,A334=A333,F334=F333),1,0)</f>
        <v/>
      </c>
      <c r="I334">
        <f>IF(C334="C99999",1,0)</f>
        <v/>
      </c>
      <c r="J334" s="5">
        <f>IF(OR(H334=1,I334=1),0,IF(G334="Credit",-F334,F334))</f>
        <v/>
      </c>
    </row>
    <row r="335">
      <c r="A335" t="inlineStr">
        <is>
          <t>2026-07-03</t>
        </is>
      </c>
      <c r="B335" t="inlineStr">
        <is>
          <t>F270617</t>
        </is>
      </c>
      <c r="C335" t="inlineStr">
        <is>
          <t>C10558</t>
        </is>
      </c>
      <c r="D335" t="inlineStr">
        <is>
          <t>SKU-10030</t>
        </is>
      </c>
      <c r="E335" t="inlineStr">
        <is>
          <t>AM01</t>
        </is>
      </c>
      <c r="F335" s="5" t="n">
        <v>1088.12</v>
      </c>
      <c r="G335">
        <f>IF(LEFT(B335,1)="C","Credit","Factuur")</f>
        <v/>
      </c>
      <c r="H335">
        <f>IF(AND(B335=B334,D335=D334,A335=A334,F335=F334),1,0)</f>
        <v/>
      </c>
      <c r="I335">
        <f>IF(C335="C99999",1,0)</f>
        <v/>
      </c>
      <c r="J335" s="5">
        <f>IF(OR(H335=1,I335=1),0,IF(G335="Credit",-F335,F335))</f>
        <v/>
      </c>
    </row>
    <row r="336">
      <c r="A336" t="inlineStr">
        <is>
          <t>2026-07-03</t>
        </is>
      </c>
      <c r="B336" t="inlineStr">
        <is>
          <t>F270617</t>
        </is>
      </c>
      <c r="C336" t="inlineStr">
        <is>
          <t>C10558</t>
        </is>
      </c>
      <c r="D336" t="inlineStr">
        <is>
          <t>SKU-10051</t>
        </is>
      </c>
      <c r="E336" t="inlineStr"/>
      <c r="F336" s="5" t="n">
        <v>1076.88</v>
      </c>
      <c r="G336">
        <f>IF(LEFT(B336,1)="C","Credit","Factuur")</f>
        <v/>
      </c>
      <c r="H336">
        <f>IF(AND(B336=B335,D336=D335,A336=A335,F336=F335),1,0)</f>
        <v/>
      </c>
      <c r="I336">
        <f>IF(C336="C99999",1,0)</f>
        <v/>
      </c>
      <c r="J336" s="5">
        <f>IF(OR(H336=1,I336=1),0,IF(G336="Credit",-F336,F336))</f>
        <v/>
      </c>
    </row>
    <row r="337">
      <c r="A337" t="inlineStr">
        <is>
          <t>2026-07-03</t>
        </is>
      </c>
      <c r="B337" t="inlineStr">
        <is>
          <t>F270617</t>
        </is>
      </c>
      <c r="C337" t="inlineStr">
        <is>
          <t>C10558</t>
        </is>
      </c>
      <c r="D337" t="inlineStr">
        <is>
          <t>SKU-10198</t>
        </is>
      </c>
      <c r="E337" t="inlineStr">
        <is>
          <t>AM01</t>
        </is>
      </c>
      <c r="F337" s="5" t="n">
        <v>1078.5</v>
      </c>
      <c r="G337">
        <f>IF(LEFT(B337,1)="C","Credit","Factuur")</f>
        <v/>
      </c>
      <c r="H337">
        <f>IF(AND(B337=B336,D337=D336,A337=A336,F337=F336),1,0)</f>
        <v/>
      </c>
      <c r="I337">
        <f>IF(C337="C99999",1,0)</f>
        <v/>
      </c>
      <c r="J337" s="5">
        <f>IF(OR(H337=1,I337=1),0,IF(G337="Credit",-F337,F337))</f>
        <v/>
      </c>
    </row>
    <row r="338">
      <c r="A338" t="inlineStr">
        <is>
          <t>2026-07-03</t>
        </is>
      </c>
      <c r="B338" t="inlineStr">
        <is>
          <t>F270617</t>
        </is>
      </c>
      <c r="C338" t="inlineStr">
        <is>
          <t>C10558</t>
        </is>
      </c>
      <c r="D338" t="inlineStr">
        <is>
          <t>SKU-10304</t>
        </is>
      </c>
      <c r="E338" t="inlineStr">
        <is>
          <t>AM01</t>
        </is>
      </c>
      <c r="F338" s="5" t="n">
        <v>1100.16</v>
      </c>
      <c r="G338">
        <f>IF(LEFT(B338,1)="C","Credit","Factuur")</f>
        <v/>
      </c>
      <c r="H338">
        <f>IF(AND(B338=B337,D338=D337,A338=A337,F338=F337),1,0)</f>
        <v/>
      </c>
      <c r="I338">
        <f>IF(C338="C99999",1,0)</f>
        <v/>
      </c>
      <c r="J338" s="5">
        <f>IF(OR(H338=1,I338=1),0,IF(G338="Credit",-F338,F338))</f>
        <v/>
      </c>
    </row>
    <row r="339">
      <c r="A339" t="inlineStr">
        <is>
          <t>2026-07-03</t>
        </is>
      </c>
      <c r="B339" t="inlineStr">
        <is>
          <t>F270643</t>
        </is>
      </c>
      <c r="C339" t="inlineStr">
        <is>
          <t>C10560</t>
        </is>
      </c>
      <c r="D339" t="inlineStr">
        <is>
          <t>SKU-10065</t>
        </is>
      </c>
      <c r="E339" t="inlineStr">
        <is>
          <t>AM02</t>
        </is>
      </c>
      <c r="F339" s="5" t="n">
        <v>257.72</v>
      </c>
      <c r="G339">
        <f>IF(LEFT(B339,1)="C","Credit","Factuur")</f>
        <v/>
      </c>
      <c r="H339">
        <f>IF(AND(B339=B338,D339=D338,A339=A338,F339=F338),1,0)</f>
        <v/>
      </c>
      <c r="I339">
        <f>IF(C339="C99999",1,0)</f>
        <v/>
      </c>
      <c r="J339" s="5">
        <f>IF(OR(H339=1,I339=1),0,IF(G339="Credit",-F339,F339))</f>
        <v/>
      </c>
    </row>
    <row r="340">
      <c r="A340" t="inlineStr">
        <is>
          <t>2026-07-03</t>
        </is>
      </c>
      <c r="B340" t="inlineStr">
        <is>
          <t>F270643</t>
        </is>
      </c>
      <c r="C340" t="inlineStr">
        <is>
          <t>C10560</t>
        </is>
      </c>
      <c r="D340" t="inlineStr">
        <is>
          <t>SKU-10076</t>
        </is>
      </c>
      <c r="E340" t="inlineStr">
        <is>
          <t>AM02</t>
        </is>
      </c>
      <c r="F340" s="5" t="n">
        <v>245.97</v>
      </c>
      <c r="G340">
        <f>IF(LEFT(B340,1)="C","Credit","Factuur")</f>
        <v/>
      </c>
      <c r="H340">
        <f>IF(AND(B340=B339,D340=D339,A340=A339,F340=F339),1,0)</f>
        <v/>
      </c>
      <c r="I340">
        <f>IF(C340="C99999",1,0)</f>
        <v/>
      </c>
      <c r="J340" s="5">
        <f>IF(OR(H340=1,I340=1),0,IF(G340="Credit",-F340,F340))</f>
        <v/>
      </c>
    </row>
    <row r="341">
      <c r="A341" t="inlineStr">
        <is>
          <t>2026-07-03</t>
        </is>
      </c>
      <c r="B341" t="inlineStr">
        <is>
          <t>F270643</t>
        </is>
      </c>
      <c r="C341" t="inlineStr">
        <is>
          <t>C10560</t>
        </is>
      </c>
      <c r="D341" t="inlineStr">
        <is>
          <t>SKU-10097</t>
        </is>
      </c>
      <c r="E341" t="inlineStr">
        <is>
          <t>AM02</t>
        </is>
      </c>
      <c r="F341" s="5" t="n">
        <v>255.6</v>
      </c>
      <c r="G341">
        <f>IF(LEFT(B341,1)="C","Credit","Factuur")</f>
        <v/>
      </c>
      <c r="H341">
        <f>IF(AND(B341=B340,D341=D340,A341=A340,F341=F340),1,0)</f>
        <v/>
      </c>
      <c r="I341">
        <f>IF(C341="C99999",1,0)</f>
        <v/>
      </c>
      <c r="J341" s="5">
        <f>IF(OR(H341=1,I341=1),0,IF(G341="Credit",-F341,F341))</f>
        <v/>
      </c>
    </row>
    <row r="342">
      <c r="A342" t="inlineStr">
        <is>
          <t>2026-07-03</t>
        </is>
      </c>
      <c r="B342" t="inlineStr">
        <is>
          <t>F270643</t>
        </is>
      </c>
      <c r="C342" t="inlineStr">
        <is>
          <t>C10560</t>
        </is>
      </c>
      <c r="D342" t="inlineStr">
        <is>
          <t>SKU-10098</t>
        </is>
      </c>
      <c r="E342" t="inlineStr">
        <is>
          <t>AM02</t>
        </is>
      </c>
      <c r="F342" s="5" t="n">
        <v>240.06</v>
      </c>
      <c r="G342">
        <f>IF(LEFT(B342,1)="C","Credit","Factuur")</f>
        <v/>
      </c>
      <c r="H342">
        <f>IF(AND(B342=B341,D342=D341,A342=A341,F342=F341),1,0)</f>
        <v/>
      </c>
      <c r="I342">
        <f>IF(C342="C99999",1,0)</f>
        <v/>
      </c>
      <c r="J342" s="5">
        <f>IF(OR(H342=1,I342=1),0,IF(G342="Credit",-F342,F342))</f>
        <v/>
      </c>
    </row>
    <row r="343">
      <c r="A343" t="inlineStr">
        <is>
          <t>2026-07-03</t>
        </is>
      </c>
      <c r="B343" t="inlineStr">
        <is>
          <t>F270695</t>
        </is>
      </c>
      <c r="C343" t="inlineStr">
        <is>
          <t>C10562</t>
        </is>
      </c>
      <c r="D343" t="inlineStr">
        <is>
          <t>SKU-10049</t>
        </is>
      </c>
      <c r="E343" t="inlineStr">
        <is>
          <t>AM03</t>
        </is>
      </c>
      <c r="F343" s="5" t="n">
        <v>353.51</v>
      </c>
      <c r="G343">
        <f>IF(LEFT(B343,1)="C","Credit","Factuur")</f>
        <v/>
      </c>
      <c r="H343">
        <f>IF(AND(B343=B342,D343=D342,A343=A342,F343=F342),1,0)</f>
        <v/>
      </c>
      <c r="I343">
        <f>IF(C343="C99999",1,0)</f>
        <v/>
      </c>
      <c r="J343" s="5">
        <f>IF(OR(H343=1,I343=1),0,IF(G343="Credit",-F343,F343))</f>
        <v/>
      </c>
    </row>
    <row r="344">
      <c r="A344" t="inlineStr">
        <is>
          <t>2026-07-03</t>
        </is>
      </c>
      <c r="B344" t="inlineStr">
        <is>
          <t>F270695</t>
        </is>
      </c>
      <c r="C344" t="inlineStr">
        <is>
          <t>C10562</t>
        </is>
      </c>
      <c r="D344" t="inlineStr">
        <is>
          <t>SKU-10064</t>
        </is>
      </c>
      <c r="E344" t="inlineStr">
        <is>
          <t>AM03</t>
        </is>
      </c>
      <c r="F344" s="5" t="n">
        <v>353.52</v>
      </c>
      <c r="G344">
        <f>IF(LEFT(B344,1)="C","Credit","Factuur")</f>
        <v/>
      </c>
      <c r="H344">
        <f>IF(AND(B344=B343,D344=D343,A344=A343,F344=F343),1,0)</f>
        <v/>
      </c>
      <c r="I344">
        <f>IF(C344="C99999",1,0)</f>
        <v/>
      </c>
      <c r="J344" s="5">
        <f>IF(OR(H344=1,I344=1),0,IF(G344="Credit",-F344,F344))</f>
        <v/>
      </c>
    </row>
    <row r="345">
      <c r="A345" t="inlineStr">
        <is>
          <t>2026-07-03</t>
        </is>
      </c>
      <c r="B345" t="inlineStr">
        <is>
          <t>F270695</t>
        </is>
      </c>
      <c r="C345" t="inlineStr">
        <is>
          <t>C10562</t>
        </is>
      </c>
      <c r="D345" t="inlineStr">
        <is>
          <t>SKU-10147</t>
        </is>
      </c>
      <c r="E345" t="inlineStr">
        <is>
          <t>AM03</t>
        </is>
      </c>
      <c r="F345" s="5" t="n">
        <v>342.97</v>
      </c>
      <c r="G345">
        <f>IF(LEFT(B345,1)="C","Credit","Factuur")</f>
        <v/>
      </c>
      <c r="H345">
        <f>IF(AND(B345=B344,D345=D344,A345=A344,F345=F344),1,0)</f>
        <v/>
      </c>
      <c r="I345">
        <f>IF(C345="C99999",1,0)</f>
        <v/>
      </c>
      <c r="J345" s="5">
        <f>IF(OR(H345=1,I345=1),0,IF(G345="Credit",-F345,F345))</f>
        <v/>
      </c>
    </row>
    <row r="346">
      <c r="A346" t="inlineStr">
        <is>
          <t>2026-07-03</t>
        </is>
      </c>
      <c r="B346" t="inlineStr">
        <is>
          <t>F270695</t>
        </is>
      </c>
      <c r="C346" t="inlineStr">
        <is>
          <t>C10562</t>
        </is>
      </c>
      <c r="D346" t="inlineStr">
        <is>
          <t>SKU-10177</t>
        </is>
      </c>
      <c r="E346" t="inlineStr">
        <is>
          <t>AM03</t>
        </is>
      </c>
      <c r="F346" s="5" t="n">
        <v>309.23</v>
      </c>
      <c r="G346">
        <f>IF(LEFT(B346,1)="C","Credit","Factuur")</f>
        <v/>
      </c>
      <c r="H346">
        <f>IF(AND(B346=B345,D346=D345,A346=A345,F346=F345),1,0)</f>
        <v/>
      </c>
      <c r="I346">
        <f>IF(C346="C99999",1,0)</f>
        <v/>
      </c>
      <c r="J346" s="5">
        <f>IF(OR(H346=1,I346=1),0,IF(G346="Credit",-F346,F346))</f>
        <v/>
      </c>
    </row>
    <row r="347">
      <c r="A347" t="inlineStr">
        <is>
          <t>2026-07-03</t>
        </is>
      </c>
      <c r="B347" t="inlineStr">
        <is>
          <t>F270695</t>
        </is>
      </c>
      <c r="C347" t="inlineStr">
        <is>
          <t>C10562</t>
        </is>
      </c>
      <c r="D347" t="inlineStr">
        <is>
          <t>SKU-10221</t>
        </is>
      </c>
      <c r="E347" t="inlineStr">
        <is>
          <t>AM03</t>
        </is>
      </c>
      <c r="F347" s="5" t="n">
        <v>332.91</v>
      </c>
      <c r="G347">
        <f>IF(LEFT(B347,1)="C","Credit","Factuur")</f>
        <v/>
      </c>
      <c r="H347">
        <f>IF(AND(B347=B346,D347=D346,A347=A346,F347=F346),1,0)</f>
        <v/>
      </c>
      <c r="I347">
        <f>IF(C347="C99999",1,0)</f>
        <v/>
      </c>
      <c r="J347" s="5">
        <f>IF(OR(H347=1,I347=1),0,IF(G347="Credit",-F347,F347))</f>
        <v/>
      </c>
    </row>
    <row r="348">
      <c r="A348" t="inlineStr">
        <is>
          <t>2026-07-03</t>
        </is>
      </c>
      <c r="B348" t="inlineStr">
        <is>
          <t>F273176</t>
        </is>
      </c>
      <c r="C348" t="inlineStr">
        <is>
          <t>C10688</t>
        </is>
      </c>
      <c r="D348" t="inlineStr">
        <is>
          <t>SKU-10043</t>
        </is>
      </c>
      <c r="E348" t="inlineStr">
        <is>
          <t>AM03</t>
        </is>
      </c>
      <c r="F348" s="5" t="n">
        <v>232.62</v>
      </c>
      <c r="G348">
        <f>IF(LEFT(B348,1)="C","Credit","Factuur")</f>
        <v/>
      </c>
      <c r="H348">
        <f>IF(AND(B348=B347,D348=D347,A348=A347,F348=F347),1,0)</f>
        <v/>
      </c>
      <c r="I348">
        <f>IF(C348="C99999",1,0)</f>
        <v/>
      </c>
      <c r="J348" s="5">
        <f>IF(OR(H348=1,I348=1),0,IF(G348="Credit",-F348,F348))</f>
        <v/>
      </c>
    </row>
    <row r="349">
      <c r="A349" t="inlineStr">
        <is>
          <t>2026-07-03</t>
        </is>
      </c>
      <c r="B349" t="inlineStr">
        <is>
          <t>F273176</t>
        </is>
      </c>
      <c r="C349" t="inlineStr">
        <is>
          <t>C10688</t>
        </is>
      </c>
      <c r="D349" t="inlineStr">
        <is>
          <t>SKU-10351</t>
        </is>
      </c>
      <c r="E349" t="inlineStr">
        <is>
          <t>AM03</t>
        </is>
      </c>
      <c r="F349" s="5" t="n">
        <v>560.46</v>
      </c>
      <c r="G349">
        <f>IF(LEFT(B349,1)="C","Credit","Factuur")</f>
        <v/>
      </c>
      <c r="H349">
        <f>IF(AND(B349=B348,D349=D348,A349=A348,F349=F348),1,0)</f>
        <v/>
      </c>
      <c r="I349">
        <f>IF(C349="C99999",1,0)</f>
        <v/>
      </c>
      <c r="J349" s="5">
        <f>IF(OR(H349=1,I349=1),0,IF(G349="Credit",-F349,F349))</f>
        <v/>
      </c>
    </row>
    <row r="350">
      <c r="A350" t="inlineStr">
        <is>
          <t>2026-07-03</t>
        </is>
      </c>
      <c r="B350" t="inlineStr">
        <is>
          <t>F273559</t>
        </is>
      </c>
      <c r="C350" t="inlineStr">
        <is>
          <t>C10711</t>
        </is>
      </c>
      <c r="D350" t="inlineStr">
        <is>
          <t>SKU-10010</t>
        </is>
      </c>
      <c r="E350" t="inlineStr">
        <is>
          <t>AM09</t>
        </is>
      </c>
      <c r="F350" s="5" t="n">
        <v>5137.77</v>
      </c>
      <c r="G350">
        <f>IF(LEFT(B350,1)="C","Credit","Factuur")</f>
        <v/>
      </c>
      <c r="H350">
        <f>IF(AND(B350=B349,D350=D349,A350=A349,F350=F349),1,0)</f>
        <v/>
      </c>
      <c r="I350">
        <f>IF(C350="C99999",1,0)</f>
        <v/>
      </c>
      <c r="J350" s="5">
        <f>IF(OR(H350=1,I350=1),0,IF(G350="Credit",-F350,F350))</f>
        <v/>
      </c>
    </row>
    <row r="351">
      <c r="A351" t="inlineStr">
        <is>
          <t>2026-07-03</t>
        </is>
      </c>
      <c r="B351" t="inlineStr">
        <is>
          <t>F273559</t>
        </is>
      </c>
      <c r="C351" t="inlineStr">
        <is>
          <t>C10711</t>
        </is>
      </c>
      <c r="D351" t="inlineStr">
        <is>
          <t>SKU-10366</t>
        </is>
      </c>
      <c r="E351" t="inlineStr"/>
      <c r="F351" s="5" t="n">
        <v>5119.38</v>
      </c>
      <c r="G351">
        <f>IF(LEFT(B351,1)="C","Credit","Factuur")</f>
        <v/>
      </c>
      <c r="H351">
        <f>IF(AND(B351=B350,D351=D350,A351=A350,F351=F350),1,0)</f>
        <v/>
      </c>
      <c r="I351">
        <f>IF(C351="C99999",1,0)</f>
        <v/>
      </c>
      <c r="J351" s="5">
        <f>IF(OR(H351=1,I351=1),0,IF(G351="Credit",-F351,F351))</f>
        <v/>
      </c>
    </row>
    <row r="352">
      <c r="A352" t="inlineStr">
        <is>
          <t>2026-07-03</t>
        </is>
      </c>
      <c r="B352" t="inlineStr">
        <is>
          <t>F273868</t>
        </is>
      </c>
      <c r="C352" t="inlineStr">
        <is>
          <t>C10729</t>
        </is>
      </c>
      <c r="D352" t="inlineStr">
        <is>
          <t>SKU-10052</t>
        </is>
      </c>
      <c r="E352" t="inlineStr">
        <is>
          <t>AM02</t>
        </is>
      </c>
      <c r="F352" s="5" t="n">
        <v>1052.2</v>
      </c>
      <c r="G352">
        <f>IF(LEFT(B352,1)="C","Credit","Factuur")</f>
        <v/>
      </c>
      <c r="H352">
        <f>IF(AND(B352=B351,D352=D351,A352=A351,F352=F351),1,0)</f>
        <v/>
      </c>
      <c r="I352">
        <f>IF(C352="C99999",1,0)</f>
        <v/>
      </c>
      <c r="J352" s="5">
        <f>IF(OR(H352=1,I352=1),0,IF(G352="Credit",-F352,F352))</f>
        <v/>
      </c>
    </row>
    <row r="353">
      <c r="A353" t="inlineStr">
        <is>
          <t>2026-07-03</t>
        </is>
      </c>
      <c r="B353" t="inlineStr">
        <is>
          <t>F273922</t>
        </is>
      </c>
      <c r="C353" t="inlineStr">
        <is>
          <t>C10734</t>
        </is>
      </c>
      <c r="D353" t="inlineStr">
        <is>
          <t>SKU-10166</t>
        </is>
      </c>
      <c r="E353" t="inlineStr">
        <is>
          <t>AM06</t>
        </is>
      </c>
      <c r="F353" s="5" t="n">
        <v>2848.95</v>
      </c>
      <c r="G353">
        <f>IF(LEFT(B353,1)="C","Credit","Factuur")</f>
        <v/>
      </c>
      <c r="H353">
        <f>IF(AND(B353=B352,D353=D352,A353=A352,F353=F352),1,0)</f>
        <v/>
      </c>
      <c r="I353">
        <f>IF(C353="C99999",1,0)</f>
        <v/>
      </c>
      <c r="J353" s="5">
        <f>IF(OR(H353=1,I353=1),0,IF(G353="Credit",-F353,F353))</f>
        <v/>
      </c>
    </row>
    <row r="354">
      <c r="A354" t="inlineStr">
        <is>
          <t>2026-07-03</t>
        </is>
      </c>
      <c r="B354" t="inlineStr">
        <is>
          <t>F273962</t>
        </is>
      </c>
      <c r="C354" t="inlineStr">
        <is>
          <t>C10737</t>
        </is>
      </c>
      <c r="D354" t="inlineStr">
        <is>
          <t>SKU-10048</t>
        </is>
      </c>
      <c r="E354" t="inlineStr">
        <is>
          <t>AM03</t>
        </is>
      </c>
      <c r="F354" s="5" t="n">
        <v>149.94</v>
      </c>
      <c r="G354">
        <f>IF(LEFT(B354,1)="C","Credit","Factuur")</f>
        <v/>
      </c>
      <c r="H354">
        <f>IF(AND(B354=B353,D354=D353,A354=A353,F354=F353),1,0)</f>
        <v/>
      </c>
      <c r="I354">
        <f>IF(C354="C99999",1,0)</f>
        <v/>
      </c>
      <c r="J354" s="5">
        <f>IF(OR(H354=1,I354=1),0,IF(G354="Credit",-F354,F354))</f>
        <v/>
      </c>
    </row>
    <row r="355">
      <c r="A355" t="inlineStr">
        <is>
          <t>2026-07-03</t>
        </is>
      </c>
      <c r="B355" t="inlineStr">
        <is>
          <t>F273962</t>
        </is>
      </c>
      <c r="C355" t="inlineStr">
        <is>
          <t>C10737</t>
        </is>
      </c>
      <c r="D355" t="inlineStr">
        <is>
          <t>SKU-10194</t>
        </is>
      </c>
      <c r="E355" t="inlineStr">
        <is>
          <t>AM03</t>
        </is>
      </c>
      <c r="F355" s="5" t="n">
        <v>141.01</v>
      </c>
      <c r="G355">
        <f>IF(LEFT(B355,1)="C","Credit","Factuur")</f>
        <v/>
      </c>
      <c r="H355">
        <f>IF(AND(B355=B354,D355=D354,A355=A354,F355=F354),1,0)</f>
        <v/>
      </c>
      <c r="I355">
        <f>IF(C355="C99999",1,0)</f>
        <v/>
      </c>
      <c r="J355" s="5">
        <f>IF(OR(H355=1,I355=1),0,IF(G355="Credit",-F355,F355))</f>
        <v/>
      </c>
    </row>
    <row r="356">
      <c r="A356" t="inlineStr">
        <is>
          <t>2026-07-03</t>
        </is>
      </c>
      <c r="B356" t="inlineStr">
        <is>
          <t>F273962</t>
        </is>
      </c>
      <c r="C356" t="inlineStr">
        <is>
          <t>C10737</t>
        </is>
      </c>
      <c r="D356" t="inlineStr">
        <is>
          <t>SKU-10285</t>
        </is>
      </c>
      <c r="E356" t="inlineStr">
        <is>
          <t>AM03</t>
        </is>
      </c>
      <c r="F356" s="5" t="n">
        <v>153.12</v>
      </c>
      <c r="G356">
        <f>IF(LEFT(B356,1)="C","Credit","Factuur")</f>
        <v/>
      </c>
      <c r="H356">
        <f>IF(AND(B356=B355,D356=D355,A356=A355,F356=F355),1,0)</f>
        <v/>
      </c>
      <c r="I356">
        <f>IF(C356="C99999",1,0)</f>
        <v/>
      </c>
      <c r="J356" s="5">
        <f>IF(OR(H356=1,I356=1),0,IF(G356="Credit",-F356,F356))</f>
        <v/>
      </c>
    </row>
    <row r="357">
      <c r="A357" t="inlineStr">
        <is>
          <t>2026-07-03</t>
        </is>
      </c>
      <c r="B357" t="inlineStr">
        <is>
          <t>F273962</t>
        </is>
      </c>
      <c r="C357" t="inlineStr">
        <is>
          <t>C10737</t>
        </is>
      </c>
      <c r="D357" t="inlineStr">
        <is>
          <t>SKU-10337</t>
        </is>
      </c>
      <c r="E357" t="inlineStr">
        <is>
          <t>AM03</t>
        </is>
      </c>
      <c r="F357" s="5" t="n">
        <v>156.23</v>
      </c>
      <c r="G357">
        <f>IF(LEFT(B357,1)="C","Credit","Factuur")</f>
        <v/>
      </c>
      <c r="H357">
        <f>IF(AND(B357=B356,D357=D356,A357=A356,F357=F356),1,0)</f>
        <v/>
      </c>
      <c r="I357">
        <f>IF(C357="C99999",1,0)</f>
        <v/>
      </c>
      <c r="J357" s="5">
        <f>IF(OR(H357=1,I357=1),0,IF(G357="Credit",-F357,F357))</f>
        <v/>
      </c>
    </row>
    <row r="358">
      <c r="A358" t="inlineStr">
        <is>
          <t>2026-07-03</t>
        </is>
      </c>
      <c r="B358" t="inlineStr">
        <is>
          <t>F274079</t>
        </is>
      </c>
      <c r="C358" t="inlineStr">
        <is>
          <t>C10744</t>
        </is>
      </c>
      <c r="D358" t="inlineStr">
        <is>
          <t>SKU-10045</t>
        </is>
      </c>
      <c r="E358" t="inlineStr">
        <is>
          <t>AM11</t>
        </is>
      </c>
      <c r="F358" s="5" t="n">
        <v>311.28</v>
      </c>
      <c r="G358">
        <f>IF(LEFT(B358,1)="C","Credit","Factuur")</f>
        <v/>
      </c>
      <c r="H358">
        <f>IF(AND(B358=B357,D358=D357,A358=A357,F358=F357),1,0)</f>
        <v/>
      </c>
      <c r="I358">
        <f>IF(C358="C99999",1,0)</f>
        <v/>
      </c>
      <c r="J358" s="5">
        <f>IF(OR(H358=1,I358=1),0,IF(G358="Credit",-F358,F358))</f>
        <v/>
      </c>
    </row>
    <row r="359">
      <c r="A359" t="inlineStr">
        <is>
          <t>2026-07-03</t>
        </is>
      </c>
      <c r="B359" t="inlineStr">
        <is>
          <t>F274079</t>
        </is>
      </c>
      <c r="C359" t="inlineStr">
        <is>
          <t>C10744</t>
        </is>
      </c>
      <c r="D359" t="inlineStr">
        <is>
          <t>SKU-10059</t>
        </is>
      </c>
      <c r="E359" t="inlineStr">
        <is>
          <t>AM11</t>
        </is>
      </c>
      <c r="F359" s="5" t="n">
        <v>339.84</v>
      </c>
      <c r="G359">
        <f>IF(LEFT(B359,1)="C","Credit","Factuur")</f>
        <v/>
      </c>
      <c r="H359">
        <f>IF(AND(B359=B358,D359=D358,A359=A358,F359=F358),1,0)</f>
        <v/>
      </c>
      <c r="I359">
        <f>IF(C359="C99999",1,0)</f>
        <v/>
      </c>
      <c r="J359" s="5">
        <f>IF(OR(H359=1,I359=1),0,IF(G359="Credit",-F359,F359))</f>
        <v/>
      </c>
    </row>
    <row r="360">
      <c r="A360" t="inlineStr">
        <is>
          <t>2026-07-03</t>
        </is>
      </c>
      <c r="B360" t="inlineStr">
        <is>
          <t>F274079</t>
        </is>
      </c>
      <c r="C360" t="inlineStr">
        <is>
          <t>C10744</t>
        </is>
      </c>
      <c r="D360" t="inlineStr">
        <is>
          <t>SKU-10100</t>
        </is>
      </c>
      <c r="E360" t="inlineStr">
        <is>
          <t>AM11</t>
        </is>
      </c>
      <c r="F360" s="5" t="n">
        <v>317.46</v>
      </c>
      <c r="G360">
        <f>IF(LEFT(B360,1)="C","Credit","Factuur")</f>
        <v/>
      </c>
      <c r="H360">
        <f>IF(AND(B360=B359,D360=D359,A360=A359,F360=F359),1,0)</f>
        <v/>
      </c>
      <c r="I360">
        <f>IF(C360="C99999",1,0)</f>
        <v/>
      </c>
      <c r="J360" s="5">
        <f>IF(OR(H360=1,I360=1),0,IF(G360="Credit",-F360,F360))</f>
        <v/>
      </c>
    </row>
    <row r="361">
      <c r="A361" t="inlineStr">
        <is>
          <t>2026-07-03</t>
        </is>
      </c>
      <c r="B361" t="inlineStr">
        <is>
          <t>F274079</t>
        </is>
      </c>
      <c r="C361" t="inlineStr">
        <is>
          <t>C10744</t>
        </is>
      </c>
      <c r="D361" t="inlineStr">
        <is>
          <t>SKU-10261</t>
        </is>
      </c>
      <c r="E361" t="inlineStr">
        <is>
          <t>AM11</t>
        </is>
      </c>
      <c r="F361" s="5" t="n">
        <v>322.08</v>
      </c>
      <c r="G361">
        <f>IF(LEFT(B361,1)="C","Credit","Factuur")</f>
        <v/>
      </c>
      <c r="H361">
        <f>IF(AND(B361=B360,D361=D360,A361=A360,F361=F360),1,0)</f>
        <v/>
      </c>
      <c r="I361">
        <f>IF(C361="C99999",1,0)</f>
        <v/>
      </c>
      <c r="J361" s="5">
        <f>IF(OR(H361=1,I361=1),0,IF(G361="Credit",-F361,F361))</f>
        <v/>
      </c>
    </row>
    <row r="362">
      <c r="A362" t="inlineStr">
        <is>
          <t>2026-07-03</t>
        </is>
      </c>
      <c r="B362" t="inlineStr">
        <is>
          <t>F274449</t>
        </is>
      </c>
      <c r="C362" t="inlineStr">
        <is>
          <t>C10762</t>
        </is>
      </c>
      <c r="D362" t="inlineStr">
        <is>
          <t>SKU-10215</t>
        </is>
      </c>
      <c r="E362" t="inlineStr">
        <is>
          <t>AM03</t>
        </is>
      </c>
      <c r="F362" s="5" t="n">
        <v>219.37</v>
      </c>
      <c r="G362">
        <f>IF(LEFT(B362,1)="C","Credit","Factuur")</f>
        <v/>
      </c>
      <c r="H362">
        <f>IF(AND(B362=B361,D362=D361,A362=A361,F362=F361),1,0)</f>
        <v/>
      </c>
      <c r="I362">
        <f>IF(C362="C99999",1,0)</f>
        <v/>
      </c>
      <c r="J362" s="5">
        <f>IF(OR(H362=1,I362=1),0,IF(G362="Credit",-F362,F362))</f>
        <v/>
      </c>
    </row>
    <row r="363">
      <c r="A363" t="inlineStr">
        <is>
          <t>2026-07-03</t>
        </is>
      </c>
      <c r="B363" t="inlineStr">
        <is>
          <t>F274810</t>
        </is>
      </c>
      <c r="C363" t="inlineStr">
        <is>
          <t>C10783</t>
        </is>
      </c>
      <c r="D363" t="inlineStr">
        <is>
          <t>SKU-10301</t>
        </is>
      </c>
      <c r="E363" t="inlineStr">
        <is>
          <t>AM01</t>
        </is>
      </c>
      <c r="F363" s="5" t="n">
        <v>1011.5</v>
      </c>
      <c r="G363">
        <f>IF(LEFT(B363,1)="C","Credit","Factuur")</f>
        <v/>
      </c>
      <c r="H363">
        <f>IF(AND(B363=B362,D363=D362,A363=A362,F363=F362),1,0)</f>
        <v/>
      </c>
      <c r="I363">
        <f>IF(C363="C99999",1,0)</f>
        <v/>
      </c>
      <c r="J363" s="5">
        <f>IF(OR(H363=1,I363=1),0,IF(G363="Credit",-F363,F363))</f>
        <v/>
      </c>
    </row>
    <row r="364">
      <c r="A364" t="inlineStr">
        <is>
          <t>2026-07-03</t>
        </is>
      </c>
      <c r="B364" t="inlineStr">
        <is>
          <t>F274810</t>
        </is>
      </c>
      <c r="C364" t="inlineStr">
        <is>
          <t>C10783</t>
        </is>
      </c>
      <c r="D364" t="inlineStr">
        <is>
          <t>SKU-10329</t>
        </is>
      </c>
      <c r="E364" t="inlineStr">
        <is>
          <t>AM01</t>
        </is>
      </c>
      <c r="F364" s="5" t="n">
        <v>994.14</v>
      </c>
      <c r="G364">
        <f>IF(LEFT(B364,1)="C","Credit","Factuur")</f>
        <v/>
      </c>
      <c r="H364">
        <f>IF(AND(B364=B363,D364=D363,A364=A363,F364=F363),1,0)</f>
        <v/>
      </c>
      <c r="I364">
        <f>IF(C364="C99999",1,0)</f>
        <v/>
      </c>
      <c r="J364" s="5">
        <f>IF(OR(H364=1,I364=1),0,IF(G364="Credit",-F364,F364))</f>
        <v/>
      </c>
    </row>
    <row r="365">
      <c r="A365" t="inlineStr">
        <is>
          <t>2026-07-03</t>
        </is>
      </c>
      <c r="B365" t="inlineStr">
        <is>
          <t>F275034</t>
        </is>
      </c>
      <c r="C365" t="inlineStr">
        <is>
          <t>C10792</t>
        </is>
      </c>
      <c r="D365" t="inlineStr">
        <is>
          <t>SKU-10012</t>
        </is>
      </c>
      <c r="E365" t="inlineStr">
        <is>
          <t>AM12</t>
        </is>
      </c>
      <c r="F365" s="5" t="n">
        <v>893.48</v>
      </c>
      <c r="G365">
        <f>IF(LEFT(B365,1)="C","Credit","Factuur")</f>
        <v/>
      </c>
      <c r="H365">
        <f>IF(AND(B365=B364,D365=D364,A365=A364,F365=F364),1,0)</f>
        <v/>
      </c>
      <c r="I365">
        <f>IF(C365="C99999",1,0)</f>
        <v/>
      </c>
      <c r="J365" s="5">
        <f>IF(OR(H365=1,I365=1),0,IF(G365="Credit",-F365,F365))</f>
        <v/>
      </c>
    </row>
    <row r="366">
      <c r="A366" t="inlineStr">
        <is>
          <t>2026-07-03</t>
        </is>
      </c>
      <c r="B366" t="inlineStr">
        <is>
          <t>F275034</t>
        </is>
      </c>
      <c r="C366" t="inlineStr">
        <is>
          <t>C10792</t>
        </is>
      </c>
      <c r="D366" t="inlineStr">
        <is>
          <t>SKU-10072</t>
        </is>
      </c>
      <c r="E366" t="inlineStr">
        <is>
          <t>AM12</t>
        </is>
      </c>
      <c r="F366" s="5" t="n">
        <v>781.36</v>
      </c>
      <c r="G366">
        <f>IF(LEFT(B366,1)="C","Credit","Factuur")</f>
        <v/>
      </c>
      <c r="H366">
        <f>IF(AND(B366=B365,D366=D365,A366=A365,F366=F365),1,0)</f>
        <v/>
      </c>
      <c r="I366">
        <f>IF(C366="C99999",1,0)</f>
        <v/>
      </c>
      <c r="J366" s="5">
        <f>IF(OR(H366=1,I366=1),0,IF(G366="Credit",-F366,F366))</f>
        <v/>
      </c>
    </row>
    <row r="367">
      <c r="A367" t="inlineStr">
        <is>
          <t>2026-07-03</t>
        </is>
      </c>
      <c r="B367" t="inlineStr">
        <is>
          <t>F275034</t>
        </is>
      </c>
      <c r="C367" t="inlineStr">
        <is>
          <t>C10792</t>
        </is>
      </c>
      <c r="D367" t="inlineStr">
        <is>
          <t>SKU-10147</t>
        </is>
      </c>
      <c r="E367" t="inlineStr">
        <is>
          <t>AM12</t>
        </is>
      </c>
      <c r="F367" s="5" t="n">
        <v>728.8200000000001</v>
      </c>
      <c r="G367">
        <f>IF(LEFT(B367,1)="C","Credit","Factuur")</f>
        <v/>
      </c>
      <c r="H367">
        <f>IF(AND(B367=B366,D367=D366,A367=A366,F367=F366),1,0)</f>
        <v/>
      </c>
      <c r="I367">
        <f>IF(C367="C99999",1,0)</f>
        <v/>
      </c>
      <c r="J367" s="5">
        <f>IF(OR(H367=1,I367=1),0,IF(G367="Credit",-F367,F367))</f>
        <v/>
      </c>
    </row>
    <row r="368">
      <c r="A368" t="inlineStr">
        <is>
          <t>2026-07-03</t>
        </is>
      </c>
      <c r="B368" t="inlineStr">
        <is>
          <t>F275042</t>
        </is>
      </c>
      <c r="C368" t="inlineStr">
        <is>
          <t>C10793</t>
        </is>
      </c>
      <c r="D368" t="inlineStr">
        <is>
          <t>SKU-10179</t>
        </is>
      </c>
      <c r="E368" t="inlineStr">
        <is>
          <t>AM01</t>
        </is>
      </c>
      <c r="F368" s="5" t="n">
        <v>622</v>
      </c>
      <c r="G368">
        <f>IF(LEFT(B368,1)="C","Credit","Factuur")</f>
        <v/>
      </c>
      <c r="H368">
        <f>IF(AND(B368=B367,D368=D367,A368=A367,F368=F367),1,0)</f>
        <v/>
      </c>
      <c r="I368">
        <f>IF(C368="C99999",1,0)</f>
        <v/>
      </c>
      <c r="J368" s="5">
        <f>IF(OR(H368=1,I368=1),0,IF(G368="Credit",-F368,F368))</f>
        <v/>
      </c>
    </row>
    <row r="369">
      <c r="A369" t="inlineStr">
        <is>
          <t>2026-07-03</t>
        </is>
      </c>
      <c r="B369" t="inlineStr">
        <is>
          <t>F275042</t>
        </is>
      </c>
      <c r="C369" t="inlineStr">
        <is>
          <t>C10793</t>
        </is>
      </c>
      <c r="D369" t="inlineStr">
        <is>
          <t>SKU-10189</t>
        </is>
      </c>
      <c r="E369" t="inlineStr">
        <is>
          <t>AM01</t>
        </is>
      </c>
      <c r="F369" s="5" t="n">
        <v>623.28</v>
      </c>
      <c r="G369">
        <f>IF(LEFT(B369,1)="C","Credit","Factuur")</f>
        <v/>
      </c>
      <c r="H369">
        <f>IF(AND(B369=B368,D369=D368,A369=A368,F369=F368),1,0)</f>
        <v/>
      </c>
      <c r="I369">
        <f>IF(C369="C99999",1,0)</f>
        <v/>
      </c>
      <c r="J369" s="5">
        <f>IF(OR(H369=1,I369=1),0,IF(G369="Credit",-F369,F369))</f>
        <v/>
      </c>
    </row>
    <row r="370">
      <c r="A370" t="inlineStr">
        <is>
          <t>2026-07-03</t>
        </is>
      </c>
      <c r="B370" t="inlineStr">
        <is>
          <t>F275547</t>
        </is>
      </c>
      <c r="C370" t="inlineStr">
        <is>
          <t>C10821</t>
        </is>
      </c>
      <c r="D370" t="inlineStr">
        <is>
          <t>SKU-10023</t>
        </is>
      </c>
      <c r="E370" t="inlineStr">
        <is>
          <t>AM02</t>
        </is>
      </c>
      <c r="F370" s="5" t="n">
        <v>272.29</v>
      </c>
      <c r="G370">
        <f>IF(LEFT(B370,1)="C","Credit","Factuur")</f>
        <v/>
      </c>
      <c r="H370">
        <f>IF(AND(B370=B369,D370=D369,A370=A369,F370=F369),1,0)</f>
        <v/>
      </c>
      <c r="I370">
        <f>IF(C370="C99999",1,0)</f>
        <v/>
      </c>
      <c r="J370" s="5">
        <f>IF(OR(H370=1,I370=1),0,IF(G370="Credit",-F370,F370))</f>
        <v/>
      </c>
    </row>
    <row r="371">
      <c r="A371" t="inlineStr">
        <is>
          <t>2026-07-03</t>
        </is>
      </c>
      <c r="B371" t="inlineStr">
        <is>
          <t>F275547</t>
        </is>
      </c>
      <c r="C371" t="inlineStr">
        <is>
          <t>C10821</t>
        </is>
      </c>
      <c r="D371" t="inlineStr">
        <is>
          <t>SKU-10300</t>
        </is>
      </c>
      <c r="E371" t="inlineStr">
        <is>
          <t>AM02</t>
        </is>
      </c>
      <c r="F371" s="5" t="n">
        <v>296.6</v>
      </c>
      <c r="G371">
        <f>IF(LEFT(B371,1)="C","Credit","Factuur")</f>
        <v/>
      </c>
      <c r="H371">
        <f>IF(AND(B371=B370,D371=D370,A371=A370,F371=F370),1,0)</f>
        <v/>
      </c>
      <c r="I371">
        <f>IF(C371="C99999",1,0)</f>
        <v/>
      </c>
      <c r="J371" s="5">
        <f>IF(OR(H371=1,I371=1),0,IF(G371="Credit",-F371,F371))</f>
        <v/>
      </c>
    </row>
    <row r="372">
      <c r="A372" t="inlineStr">
        <is>
          <t>2026-07-03</t>
        </is>
      </c>
      <c r="B372" t="inlineStr">
        <is>
          <t>F275547</t>
        </is>
      </c>
      <c r="C372" t="inlineStr">
        <is>
          <t>C10821</t>
        </is>
      </c>
      <c r="D372" t="inlineStr">
        <is>
          <t>SKU-10353</t>
        </is>
      </c>
      <c r="E372" t="inlineStr">
        <is>
          <t>AM02</t>
        </is>
      </c>
      <c r="F372" s="5" t="n">
        <v>332.88</v>
      </c>
      <c r="G372">
        <f>IF(LEFT(B372,1)="C","Credit","Factuur")</f>
        <v/>
      </c>
      <c r="H372">
        <f>IF(AND(B372=B371,D372=D371,A372=A371,F372=F371),1,0)</f>
        <v/>
      </c>
      <c r="I372">
        <f>IF(C372="C99999",1,0)</f>
        <v/>
      </c>
      <c r="J372" s="5">
        <f>IF(OR(H372=1,I372=1),0,IF(G372="Credit",-F372,F372))</f>
        <v/>
      </c>
    </row>
    <row r="373">
      <c r="A373" t="inlineStr">
        <is>
          <t>2026-07-03</t>
        </is>
      </c>
      <c r="B373" t="inlineStr">
        <is>
          <t>F275665</t>
        </is>
      </c>
      <c r="C373" t="inlineStr">
        <is>
          <t>C10829</t>
        </is>
      </c>
      <c r="D373" t="inlineStr">
        <is>
          <t>SKU-10048</t>
        </is>
      </c>
      <c r="E373" t="inlineStr">
        <is>
          <t>AM05</t>
        </is>
      </c>
      <c r="F373" s="5" t="n">
        <v>578.71</v>
      </c>
      <c r="G373">
        <f>IF(LEFT(B373,1)="C","Credit","Factuur")</f>
        <v/>
      </c>
      <c r="H373">
        <f>IF(AND(B373=B372,D373=D372,A373=A372,F373=F372),1,0)</f>
        <v/>
      </c>
      <c r="I373">
        <f>IF(C373="C99999",1,0)</f>
        <v/>
      </c>
      <c r="J373" s="5">
        <f>IF(OR(H373=1,I373=1),0,IF(G373="Credit",-F373,F373))</f>
        <v/>
      </c>
    </row>
    <row r="374">
      <c r="A374" t="inlineStr">
        <is>
          <t>2026-07-03</t>
        </is>
      </c>
      <c r="B374" t="inlineStr">
        <is>
          <t>F275665</t>
        </is>
      </c>
      <c r="C374" t="inlineStr">
        <is>
          <t>C10829</t>
        </is>
      </c>
      <c r="D374" t="inlineStr">
        <is>
          <t>SKU-10307</t>
        </is>
      </c>
      <c r="E374" t="inlineStr">
        <is>
          <t>AM05</t>
        </is>
      </c>
      <c r="F374" s="5" t="n">
        <v>489.13</v>
      </c>
      <c r="G374">
        <f>IF(LEFT(B374,1)="C","Credit","Factuur")</f>
        <v/>
      </c>
      <c r="H374">
        <f>IF(AND(B374=B373,D374=D373,A374=A373,F374=F373),1,0)</f>
        <v/>
      </c>
      <c r="I374">
        <f>IF(C374="C99999",1,0)</f>
        <v/>
      </c>
      <c r="J374" s="5">
        <f>IF(OR(H374=1,I374=1),0,IF(G374="Credit",-F374,F374))</f>
        <v/>
      </c>
    </row>
    <row r="375">
      <c r="A375" t="inlineStr">
        <is>
          <t>2026-07-03</t>
        </is>
      </c>
      <c r="B375" t="inlineStr">
        <is>
          <t>F275665</t>
        </is>
      </c>
      <c r="C375" t="inlineStr">
        <is>
          <t>C10829</t>
        </is>
      </c>
      <c r="D375" t="inlineStr">
        <is>
          <t>SKU-10330</t>
        </is>
      </c>
      <c r="E375" t="inlineStr">
        <is>
          <t>AM05</t>
        </is>
      </c>
      <c r="F375" s="5" t="n">
        <v>565.8</v>
      </c>
      <c r="G375">
        <f>IF(LEFT(B375,1)="C","Credit","Factuur")</f>
        <v/>
      </c>
      <c r="H375">
        <f>IF(AND(B375=B374,D375=D374,A375=A374,F375=F374),1,0)</f>
        <v/>
      </c>
      <c r="I375">
        <f>IF(C375="C99999",1,0)</f>
        <v/>
      </c>
      <c r="J375" s="5">
        <f>IF(OR(H375=1,I375=1),0,IF(G375="Credit",-F375,F375))</f>
        <v/>
      </c>
    </row>
    <row r="376">
      <c r="A376" t="inlineStr">
        <is>
          <t>2026-07-03</t>
        </is>
      </c>
      <c r="B376" t="inlineStr">
        <is>
          <t>F275860</t>
        </is>
      </c>
      <c r="C376" t="inlineStr">
        <is>
          <t>C10841</t>
        </is>
      </c>
      <c r="D376" t="inlineStr">
        <is>
          <t>SKU-10004</t>
        </is>
      </c>
      <c r="E376" t="inlineStr">
        <is>
          <t>AM11</t>
        </is>
      </c>
      <c r="F376" s="5" t="n">
        <v>940.2</v>
      </c>
      <c r="G376">
        <f>IF(LEFT(B376,1)="C","Credit","Factuur")</f>
        <v/>
      </c>
      <c r="H376">
        <f>IF(AND(B376=B375,D376=D375,A376=A375,F376=F375),1,0)</f>
        <v/>
      </c>
      <c r="I376">
        <f>IF(C376="C99999",1,0)</f>
        <v/>
      </c>
      <c r="J376" s="5">
        <f>IF(OR(H376=1,I376=1),0,IF(G376="Credit",-F376,F376))</f>
        <v/>
      </c>
    </row>
    <row r="377">
      <c r="A377" t="inlineStr">
        <is>
          <t>2026-07-03</t>
        </is>
      </c>
      <c r="B377" t="inlineStr">
        <is>
          <t>F275860</t>
        </is>
      </c>
      <c r="C377" t="inlineStr">
        <is>
          <t>C10841</t>
        </is>
      </c>
      <c r="D377" t="inlineStr">
        <is>
          <t>SKU-10006</t>
        </is>
      </c>
      <c r="E377" t="inlineStr">
        <is>
          <t>AM11</t>
        </is>
      </c>
      <c r="F377" s="5" t="n">
        <v>923.36</v>
      </c>
      <c r="G377">
        <f>IF(LEFT(B377,1)="C","Credit","Factuur")</f>
        <v/>
      </c>
      <c r="H377">
        <f>IF(AND(B377=B376,D377=D376,A377=A376,F377=F376),1,0)</f>
        <v/>
      </c>
      <c r="I377">
        <f>IF(C377="C99999",1,0)</f>
        <v/>
      </c>
      <c r="J377" s="5">
        <f>IF(OR(H377=1,I377=1),0,IF(G377="Credit",-F377,F377))</f>
        <v/>
      </c>
    </row>
    <row r="378">
      <c r="A378" t="inlineStr">
        <is>
          <t>2026-07-03</t>
        </is>
      </c>
      <c r="B378" t="inlineStr">
        <is>
          <t>F275860</t>
        </is>
      </c>
      <c r="C378" t="inlineStr">
        <is>
          <t>C10841</t>
        </is>
      </c>
      <c r="D378" t="inlineStr">
        <is>
          <t>SKU-10074</t>
        </is>
      </c>
      <c r="E378" t="inlineStr">
        <is>
          <t>AM11</t>
        </is>
      </c>
      <c r="F378" s="5" t="n">
        <v>904.23</v>
      </c>
      <c r="G378">
        <f>IF(LEFT(B378,1)="C","Credit","Factuur")</f>
        <v/>
      </c>
      <c r="H378">
        <f>IF(AND(B378=B377,D378=D377,A378=A377,F378=F377),1,0)</f>
        <v/>
      </c>
      <c r="I378">
        <f>IF(C378="C99999",1,0)</f>
        <v/>
      </c>
      <c r="J378" s="5">
        <f>IF(OR(H378=1,I378=1),0,IF(G378="Credit",-F378,F378))</f>
        <v/>
      </c>
    </row>
    <row r="379">
      <c r="A379" t="inlineStr">
        <is>
          <t>2026-07-03</t>
        </is>
      </c>
      <c r="B379" t="inlineStr">
        <is>
          <t>F275860</t>
        </is>
      </c>
      <c r="C379" t="inlineStr">
        <is>
          <t>C10841</t>
        </is>
      </c>
      <c r="D379" t="inlineStr">
        <is>
          <t>SKU-10272</t>
        </is>
      </c>
      <c r="E379" t="inlineStr">
        <is>
          <t>AM11</t>
        </is>
      </c>
      <c r="F379" s="5" t="n">
        <v>859.79</v>
      </c>
      <c r="G379">
        <f>IF(LEFT(B379,1)="C","Credit","Factuur")</f>
        <v/>
      </c>
      <c r="H379">
        <f>IF(AND(B379=B378,D379=D378,A379=A378,F379=F378),1,0)</f>
        <v/>
      </c>
      <c r="I379">
        <f>IF(C379="C99999",1,0)</f>
        <v/>
      </c>
      <c r="J379" s="5">
        <f>IF(OR(H379=1,I379=1),0,IF(G379="Credit",-F379,F379))</f>
        <v/>
      </c>
    </row>
    <row r="380">
      <c r="A380" t="inlineStr">
        <is>
          <t>2026-07-03</t>
        </is>
      </c>
      <c r="B380" t="inlineStr">
        <is>
          <t>F275860</t>
        </is>
      </c>
      <c r="C380" t="inlineStr">
        <is>
          <t>C10841</t>
        </is>
      </c>
      <c r="D380" t="inlineStr">
        <is>
          <t>SKU-10291</t>
        </is>
      </c>
      <c r="E380" t="inlineStr">
        <is>
          <t>AM11</t>
        </is>
      </c>
      <c r="F380" s="5" t="n">
        <v>881.6799999999999</v>
      </c>
      <c r="G380">
        <f>IF(LEFT(B380,1)="C","Credit","Factuur")</f>
        <v/>
      </c>
      <c r="H380">
        <f>IF(AND(B380=B379,D380=D379,A380=A379,F380=F379),1,0)</f>
        <v/>
      </c>
      <c r="I380">
        <f>IF(C380="C99999",1,0)</f>
        <v/>
      </c>
      <c r="J380" s="5">
        <f>IF(OR(H380=1,I380=1),0,IF(G380="Credit",-F380,F380))</f>
        <v/>
      </c>
    </row>
    <row r="381">
      <c r="A381" t="inlineStr">
        <is>
          <t>2026-07-03</t>
        </is>
      </c>
      <c r="B381" t="inlineStr">
        <is>
          <t>F276259</t>
        </is>
      </c>
      <c r="C381" t="inlineStr">
        <is>
          <t>C10862</t>
        </is>
      </c>
      <c r="D381" t="inlineStr">
        <is>
          <t>SKU-10081</t>
        </is>
      </c>
      <c r="E381" t="inlineStr">
        <is>
          <t>AM02</t>
        </is>
      </c>
      <c r="F381" s="5" t="n">
        <v>671.3</v>
      </c>
      <c r="G381">
        <f>IF(LEFT(B381,1)="C","Credit","Factuur")</f>
        <v/>
      </c>
      <c r="H381">
        <f>IF(AND(B381=B380,D381=D380,A381=A380,F381=F380),1,0)</f>
        <v/>
      </c>
      <c r="I381">
        <f>IF(C381="C99999",1,0)</f>
        <v/>
      </c>
      <c r="J381" s="5">
        <f>IF(OR(H381=1,I381=1),0,IF(G381="Credit",-F381,F381))</f>
        <v/>
      </c>
    </row>
    <row r="382">
      <c r="A382" t="inlineStr">
        <is>
          <t>2026-07-03</t>
        </is>
      </c>
      <c r="B382" t="inlineStr">
        <is>
          <t>F276259</t>
        </is>
      </c>
      <c r="C382" t="inlineStr">
        <is>
          <t>C10862</t>
        </is>
      </c>
      <c r="D382" t="inlineStr">
        <is>
          <t>SKU-10218</t>
        </is>
      </c>
      <c r="E382" t="inlineStr">
        <is>
          <t>AM02</t>
        </is>
      </c>
      <c r="F382" s="5" t="n">
        <v>779.79</v>
      </c>
      <c r="G382">
        <f>IF(LEFT(B382,1)="C","Credit","Factuur")</f>
        <v/>
      </c>
      <c r="H382">
        <f>IF(AND(B382=B381,D382=D381,A382=A381,F382=F381),1,0)</f>
        <v/>
      </c>
      <c r="I382">
        <f>IF(C382="C99999",1,0)</f>
        <v/>
      </c>
      <c r="J382" s="5">
        <f>IF(OR(H382=1,I382=1),0,IF(G382="Credit",-F382,F382))</f>
        <v/>
      </c>
    </row>
    <row r="383">
      <c r="A383" t="inlineStr">
        <is>
          <t>2026-07-03</t>
        </is>
      </c>
      <c r="B383" t="inlineStr">
        <is>
          <t>F276259</t>
        </is>
      </c>
      <c r="C383" t="inlineStr">
        <is>
          <t>C10862</t>
        </is>
      </c>
      <c r="D383" t="inlineStr">
        <is>
          <t>SKU-10299</t>
        </is>
      </c>
      <c r="E383" t="inlineStr">
        <is>
          <t>AM02</t>
        </is>
      </c>
      <c r="F383" s="5" t="n">
        <v>790.4400000000001</v>
      </c>
      <c r="G383">
        <f>IF(LEFT(B383,1)="C","Credit","Factuur")</f>
        <v/>
      </c>
      <c r="H383">
        <f>IF(AND(B383=B382,D383=D382,A383=A382,F383=F382),1,0)</f>
        <v/>
      </c>
      <c r="I383">
        <f>IF(C383="C99999",1,0)</f>
        <v/>
      </c>
      <c r="J383" s="5">
        <f>IF(OR(H383=1,I383=1),0,IF(G383="Credit",-F383,F383))</f>
        <v/>
      </c>
    </row>
    <row r="384">
      <c r="A384" t="inlineStr">
        <is>
          <t>2026-07-03</t>
        </is>
      </c>
      <c r="B384" t="inlineStr">
        <is>
          <t>F276259</t>
        </is>
      </c>
      <c r="C384" t="inlineStr">
        <is>
          <t>C10862</t>
        </is>
      </c>
      <c r="D384" t="inlineStr">
        <is>
          <t>SKU-10356</t>
        </is>
      </c>
      <c r="E384" t="inlineStr">
        <is>
          <t>AM02</t>
        </is>
      </c>
      <c r="F384" s="5" t="n">
        <v>677.5700000000001</v>
      </c>
      <c r="G384">
        <f>IF(LEFT(B384,1)="C","Credit","Factuur")</f>
        <v/>
      </c>
      <c r="H384">
        <f>IF(AND(B384=B383,D384=D383,A384=A383,F384=F383),1,0)</f>
        <v/>
      </c>
      <c r="I384">
        <f>IF(C384="C99999",1,0)</f>
        <v/>
      </c>
      <c r="J384" s="5">
        <f>IF(OR(H384=1,I384=1),0,IF(G384="Credit",-F384,F384))</f>
        <v/>
      </c>
    </row>
    <row r="385">
      <c r="A385" t="inlineStr">
        <is>
          <t>2026-07-03</t>
        </is>
      </c>
      <c r="B385" t="inlineStr">
        <is>
          <t>F276631</t>
        </is>
      </c>
      <c r="C385" t="inlineStr">
        <is>
          <t>C10882</t>
        </is>
      </c>
      <c r="D385" t="inlineStr">
        <is>
          <t>SKU-10177</t>
        </is>
      </c>
      <c r="E385" t="inlineStr">
        <is>
          <t>AM07</t>
        </is>
      </c>
      <c r="F385" s="5" t="n">
        <v>1288.11</v>
      </c>
      <c r="G385">
        <f>IF(LEFT(B385,1)="C","Credit","Factuur")</f>
        <v/>
      </c>
      <c r="H385">
        <f>IF(AND(B385=B384,D385=D384,A385=A384,F385=F384),1,0)</f>
        <v/>
      </c>
      <c r="I385">
        <f>IF(C385="C99999",1,0)</f>
        <v/>
      </c>
      <c r="J385" s="5">
        <f>IF(OR(H385=1,I385=1),0,IF(G385="Credit",-F385,F385))</f>
        <v/>
      </c>
    </row>
    <row r="386">
      <c r="A386" t="inlineStr">
        <is>
          <t>2026-07-03</t>
        </is>
      </c>
      <c r="B386" t="inlineStr">
        <is>
          <t>F276769</t>
        </is>
      </c>
      <c r="C386" t="inlineStr">
        <is>
          <t>C10890</t>
        </is>
      </c>
      <c r="D386" t="inlineStr">
        <is>
          <t>SKU-10270</t>
        </is>
      </c>
      <c r="E386" t="inlineStr">
        <is>
          <t>AM11</t>
        </is>
      </c>
      <c r="F386" s="5" t="n">
        <v>199.95</v>
      </c>
      <c r="G386">
        <f>IF(LEFT(B386,1)="C","Credit","Factuur")</f>
        <v/>
      </c>
      <c r="H386">
        <f>IF(AND(B386=B385,D386=D385,A386=A385,F386=F385),1,0)</f>
        <v/>
      </c>
      <c r="I386">
        <f>IF(C386="C99999",1,0)</f>
        <v/>
      </c>
      <c r="J386" s="5">
        <f>IF(OR(H386=1,I386=1),0,IF(G386="Credit",-F386,F386))</f>
        <v/>
      </c>
    </row>
    <row r="387">
      <c r="A387" t="inlineStr">
        <is>
          <t>2026-07-03</t>
        </is>
      </c>
      <c r="B387" t="inlineStr">
        <is>
          <t>F276769</t>
        </is>
      </c>
      <c r="C387" t="inlineStr">
        <is>
          <t>C10890</t>
        </is>
      </c>
      <c r="D387" t="inlineStr">
        <is>
          <t>SKU-10285</t>
        </is>
      </c>
      <c r="E387" t="inlineStr">
        <is>
          <t>AM11</t>
        </is>
      </c>
      <c r="F387" s="5" t="n">
        <v>206.71</v>
      </c>
      <c r="G387">
        <f>IF(LEFT(B387,1)="C","Credit","Factuur")</f>
        <v/>
      </c>
      <c r="H387">
        <f>IF(AND(B387=B386,D387=D386,A387=A386,F387=F386),1,0)</f>
        <v/>
      </c>
      <c r="I387">
        <f>IF(C387="C99999",1,0)</f>
        <v/>
      </c>
      <c r="J387" s="5">
        <f>IF(OR(H387=1,I387=1),0,IF(G387="Credit",-F387,F387))</f>
        <v/>
      </c>
    </row>
    <row r="388">
      <c r="A388" t="inlineStr">
        <is>
          <t>2026-07-03</t>
        </is>
      </c>
      <c r="B388" t="inlineStr">
        <is>
          <t>F276769</t>
        </is>
      </c>
      <c r="C388" t="inlineStr">
        <is>
          <t>C10890</t>
        </is>
      </c>
      <c r="D388" t="inlineStr">
        <is>
          <t>SKU-10300</t>
        </is>
      </c>
      <c r="E388" t="inlineStr">
        <is>
          <t>AM11</t>
        </is>
      </c>
      <c r="F388" s="5" t="n">
        <v>229.8</v>
      </c>
      <c r="G388">
        <f>IF(LEFT(B388,1)="C","Credit","Factuur")</f>
        <v/>
      </c>
      <c r="H388">
        <f>IF(AND(B388=B387,D388=D387,A388=A387,F388=F387),1,0)</f>
        <v/>
      </c>
      <c r="I388">
        <f>IF(C388="C99999",1,0)</f>
        <v/>
      </c>
      <c r="J388" s="5">
        <f>IF(OR(H388=1,I388=1),0,IF(G388="Credit",-F388,F388))</f>
        <v/>
      </c>
    </row>
    <row r="389">
      <c r="A389" t="inlineStr">
        <is>
          <t>2026-07-03</t>
        </is>
      </c>
      <c r="B389" t="inlineStr">
        <is>
          <t>F276875</t>
        </is>
      </c>
      <c r="C389" t="inlineStr">
        <is>
          <t>C10894</t>
        </is>
      </c>
      <c r="D389" t="inlineStr">
        <is>
          <t>SKU-10077</t>
        </is>
      </c>
      <c r="E389" t="inlineStr">
        <is>
          <t>AM02</t>
        </is>
      </c>
      <c r="F389" s="5" t="n">
        <v>557.22</v>
      </c>
      <c r="G389">
        <f>IF(LEFT(B389,1)="C","Credit","Factuur")</f>
        <v/>
      </c>
      <c r="H389">
        <f>IF(AND(B389=B388,D389=D388,A389=A388,F389=F388),1,0)</f>
        <v/>
      </c>
      <c r="I389">
        <f>IF(C389="C99999",1,0)</f>
        <v/>
      </c>
      <c r="J389" s="5">
        <f>IF(OR(H389=1,I389=1),0,IF(G389="Credit",-F389,F389))</f>
        <v/>
      </c>
    </row>
    <row r="390">
      <c r="A390" t="inlineStr">
        <is>
          <t>2026-07-03</t>
        </is>
      </c>
      <c r="B390" t="inlineStr">
        <is>
          <t>F276875</t>
        </is>
      </c>
      <c r="C390" t="inlineStr">
        <is>
          <t>C10894</t>
        </is>
      </c>
      <c r="D390" t="inlineStr">
        <is>
          <t>SKU-10113</t>
        </is>
      </c>
      <c r="E390" t="inlineStr">
        <is>
          <t>AM02</t>
        </is>
      </c>
      <c r="F390" s="5" t="n">
        <v>508.72</v>
      </c>
      <c r="G390">
        <f>IF(LEFT(B390,1)="C","Credit","Factuur")</f>
        <v/>
      </c>
      <c r="H390">
        <f>IF(AND(B390=B389,D390=D389,A390=A389,F390=F389),1,0)</f>
        <v/>
      </c>
      <c r="I390">
        <f>IF(C390="C99999",1,0)</f>
        <v/>
      </c>
      <c r="J390" s="5">
        <f>IF(OR(H390=1,I390=1),0,IF(G390="Credit",-F390,F390))</f>
        <v/>
      </c>
    </row>
    <row r="391">
      <c r="A391" t="inlineStr">
        <is>
          <t>2026-07-03</t>
        </is>
      </c>
      <c r="B391" t="inlineStr">
        <is>
          <t>F276875</t>
        </is>
      </c>
      <c r="C391" t="inlineStr">
        <is>
          <t>C10894</t>
        </is>
      </c>
      <c r="D391" t="inlineStr">
        <is>
          <t>SKU-10328</t>
        </is>
      </c>
      <c r="E391" t="inlineStr">
        <is>
          <t>AM02</t>
        </is>
      </c>
      <c r="F391" s="5" t="n">
        <v>562.3200000000001</v>
      </c>
      <c r="G391">
        <f>IF(LEFT(B391,1)="C","Credit","Factuur")</f>
        <v/>
      </c>
      <c r="H391">
        <f>IF(AND(B391=B390,D391=D390,A391=A390,F391=F390),1,0)</f>
        <v/>
      </c>
      <c r="I391">
        <f>IF(C391="C99999",1,0)</f>
        <v/>
      </c>
      <c r="J391" s="5">
        <f>IF(OR(H391=1,I391=1),0,IF(G391="Credit",-F391,F391))</f>
        <v/>
      </c>
    </row>
    <row r="392">
      <c r="A392" t="inlineStr">
        <is>
          <t>2026-07-03</t>
        </is>
      </c>
      <c r="B392" t="inlineStr">
        <is>
          <t>F277015</t>
        </is>
      </c>
      <c r="C392" t="inlineStr">
        <is>
          <t>C10901</t>
        </is>
      </c>
      <c r="D392" t="inlineStr">
        <is>
          <t>SKU-10201</t>
        </is>
      </c>
      <c r="E392" t="inlineStr">
        <is>
          <t>AM02</t>
        </is>
      </c>
      <c r="F392" s="5" t="n">
        <v>354.31</v>
      </c>
      <c r="G392">
        <f>IF(LEFT(B392,1)="C","Credit","Factuur")</f>
        <v/>
      </c>
      <c r="H392">
        <f>IF(AND(B392=B391,D392=D391,A392=A391,F392=F391),1,0)</f>
        <v/>
      </c>
      <c r="I392">
        <f>IF(C392="C99999",1,0)</f>
        <v/>
      </c>
      <c r="J392" s="5">
        <f>IF(OR(H392=1,I392=1),0,IF(G392="Credit",-F392,F392))</f>
        <v/>
      </c>
    </row>
    <row r="393">
      <c r="A393" t="inlineStr">
        <is>
          <t>2026-07-03</t>
        </is>
      </c>
      <c r="B393" t="inlineStr">
        <is>
          <t>F277695</t>
        </is>
      </c>
      <c r="C393" t="inlineStr">
        <is>
          <t>C10940</t>
        </is>
      </c>
      <c r="D393" t="inlineStr">
        <is>
          <t>SKU-10076</t>
        </is>
      </c>
      <c r="E393" t="inlineStr">
        <is>
          <t>AM06</t>
        </is>
      </c>
      <c r="F393" s="5" t="n">
        <v>1967.76</v>
      </c>
      <c r="G393">
        <f>IF(LEFT(B393,1)="C","Credit","Factuur")</f>
        <v/>
      </c>
      <c r="H393">
        <f>IF(AND(B393=B392,D393=D392,A393=A392,F393=F392),1,0)</f>
        <v/>
      </c>
      <c r="I393">
        <f>IF(C393="C99999",1,0)</f>
        <v/>
      </c>
      <c r="J393" s="5">
        <f>IF(OR(H393=1,I393=1),0,IF(G393="Credit",-F393,F393))</f>
        <v/>
      </c>
    </row>
    <row r="394">
      <c r="A394" t="inlineStr">
        <is>
          <t>2026-07-03</t>
        </is>
      </c>
      <c r="B394" t="inlineStr">
        <is>
          <t>F277758</t>
        </is>
      </c>
      <c r="C394" t="inlineStr">
        <is>
          <t>C10943</t>
        </is>
      </c>
      <c r="D394" t="inlineStr">
        <is>
          <t>SKU-10045</t>
        </is>
      </c>
      <c r="E394" t="inlineStr">
        <is>
          <t>AM01</t>
        </is>
      </c>
      <c r="F394" s="5" t="n">
        <v>1245.12</v>
      </c>
      <c r="G394">
        <f>IF(LEFT(B394,1)="C","Credit","Factuur")</f>
        <v/>
      </c>
      <c r="H394">
        <f>IF(AND(B394=B393,D394=D393,A394=A393,F394=F393),1,0)</f>
        <v/>
      </c>
      <c r="I394">
        <f>IF(C394="C99999",1,0)</f>
        <v/>
      </c>
      <c r="J394" s="5">
        <f>IF(OR(H394=1,I394=1),0,IF(G394="Credit",-F394,F394))</f>
        <v/>
      </c>
    </row>
    <row r="395">
      <c r="A395" t="inlineStr">
        <is>
          <t>2026-07-03</t>
        </is>
      </c>
      <c r="B395" t="inlineStr">
        <is>
          <t>F277758</t>
        </is>
      </c>
      <c r="C395" t="inlineStr">
        <is>
          <t>C10943</t>
        </is>
      </c>
      <c r="D395" t="inlineStr">
        <is>
          <t>SKU-10170</t>
        </is>
      </c>
      <c r="E395" t="inlineStr">
        <is>
          <t>AM01</t>
        </is>
      </c>
      <c r="F395" s="5" t="n">
        <v>1169.98</v>
      </c>
      <c r="G395">
        <f>IF(LEFT(B395,1)="C","Credit","Factuur")</f>
        <v/>
      </c>
      <c r="H395">
        <f>IF(AND(B395=B394,D395=D394,A395=A394,F395=F394),1,0)</f>
        <v/>
      </c>
      <c r="I395">
        <f>IF(C395="C99999",1,0)</f>
        <v/>
      </c>
      <c r="J395" s="5">
        <f>IF(OR(H395=1,I395=1),0,IF(G395="Credit",-F395,F395))</f>
        <v/>
      </c>
    </row>
    <row r="396">
      <c r="A396" t="inlineStr">
        <is>
          <t>2026-07-03</t>
        </is>
      </c>
      <c r="B396" t="inlineStr">
        <is>
          <t>F277758</t>
        </is>
      </c>
      <c r="C396" t="inlineStr">
        <is>
          <t>C10943</t>
        </is>
      </c>
      <c r="D396" t="inlineStr">
        <is>
          <t>SKU-10171</t>
        </is>
      </c>
      <c r="E396" t="inlineStr">
        <is>
          <t>AM01</t>
        </is>
      </c>
      <c r="F396" s="5" t="n">
        <v>1224.48</v>
      </c>
      <c r="G396">
        <f>IF(LEFT(B396,1)="C","Credit","Factuur")</f>
        <v/>
      </c>
      <c r="H396">
        <f>IF(AND(B396=B395,D396=D395,A396=A395,F396=F395),1,0)</f>
        <v/>
      </c>
      <c r="I396">
        <f>IF(C396="C99999",1,0)</f>
        <v/>
      </c>
      <c r="J396" s="5">
        <f>IF(OR(H396=1,I396=1),0,IF(G396="Credit",-F396,F396))</f>
        <v/>
      </c>
    </row>
    <row r="397">
      <c r="A397" t="inlineStr">
        <is>
          <t>2026-07-03</t>
        </is>
      </c>
      <c r="B397" t="inlineStr">
        <is>
          <t>F277902</t>
        </is>
      </c>
      <c r="C397" t="inlineStr">
        <is>
          <t>C10950</t>
        </is>
      </c>
      <c r="D397" t="inlineStr">
        <is>
          <t>SKU-10285</t>
        </is>
      </c>
      <c r="E397" t="inlineStr">
        <is>
          <t>AM11</t>
        </is>
      </c>
      <c r="F397" s="5" t="n">
        <v>3368.64</v>
      </c>
      <c r="G397">
        <f>IF(LEFT(B397,1)="C","Credit","Factuur")</f>
        <v/>
      </c>
      <c r="H397">
        <f>IF(AND(B397=B396,D397=D396,A397=A396,F397=F396),1,0)</f>
        <v/>
      </c>
      <c r="I397">
        <f>IF(C397="C99999",1,0)</f>
        <v/>
      </c>
      <c r="J397" s="5">
        <f>IF(OR(H397=1,I397=1),0,IF(G397="Credit",-F397,F397))</f>
        <v/>
      </c>
    </row>
    <row r="398">
      <c r="A398" t="inlineStr">
        <is>
          <t>2026-07-03</t>
        </is>
      </c>
      <c r="B398" t="inlineStr">
        <is>
          <t>F277960</t>
        </is>
      </c>
      <c r="C398" t="inlineStr">
        <is>
          <t>C10952</t>
        </is>
      </c>
      <c r="D398" t="inlineStr">
        <is>
          <t>SKU-10034</t>
        </is>
      </c>
      <c r="E398" t="inlineStr">
        <is>
          <t>AM01</t>
        </is>
      </c>
      <c r="F398" s="5" t="n">
        <v>185.72</v>
      </c>
      <c r="G398">
        <f>IF(LEFT(B398,1)="C","Credit","Factuur")</f>
        <v/>
      </c>
      <c r="H398">
        <f>IF(AND(B398=B397,D398=D397,A398=A397,F398=F397),1,0)</f>
        <v/>
      </c>
      <c r="I398">
        <f>IF(C398="C99999",1,0)</f>
        <v/>
      </c>
      <c r="J398" s="5">
        <f>IF(OR(H398=1,I398=1),0,IF(G398="Credit",-F398,F398))</f>
        <v/>
      </c>
    </row>
    <row r="399">
      <c r="A399" t="inlineStr">
        <is>
          <t>2026-07-03</t>
        </is>
      </c>
      <c r="B399" t="inlineStr">
        <is>
          <t>F277960</t>
        </is>
      </c>
      <c r="C399" t="inlineStr">
        <is>
          <t>C10952</t>
        </is>
      </c>
      <c r="D399" t="inlineStr">
        <is>
          <t>SKU-10095</t>
        </is>
      </c>
      <c r="E399" t="inlineStr"/>
      <c r="F399" s="5" t="n">
        <v>185.7</v>
      </c>
      <c r="G399">
        <f>IF(LEFT(B399,1)="C","Credit","Factuur")</f>
        <v/>
      </c>
      <c r="H399">
        <f>IF(AND(B399=B398,D399=D398,A399=A398,F399=F398),1,0)</f>
        <v/>
      </c>
      <c r="I399">
        <f>IF(C399="C99999",1,0)</f>
        <v/>
      </c>
      <c r="J399" s="5">
        <f>IF(OR(H399=1,I399=1),0,IF(G399="Credit",-F399,F399))</f>
        <v/>
      </c>
    </row>
    <row r="400">
      <c r="A400" t="inlineStr">
        <is>
          <t>2026-07-03</t>
        </is>
      </c>
      <c r="B400" t="inlineStr">
        <is>
          <t>F277960</t>
        </is>
      </c>
      <c r="C400" t="inlineStr">
        <is>
          <t>C10952</t>
        </is>
      </c>
      <c r="D400" t="inlineStr">
        <is>
          <t>SKU-10238</t>
        </is>
      </c>
      <c r="E400" t="inlineStr">
        <is>
          <t>AM01</t>
        </is>
      </c>
      <c r="F400" s="5" t="n">
        <v>175</v>
      </c>
      <c r="G400">
        <f>IF(LEFT(B400,1)="C","Credit","Factuur")</f>
        <v/>
      </c>
      <c r="H400">
        <f>IF(AND(B400=B399,D400=D399,A400=A399,F400=F399),1,0)</f>
        <v/>
      </c>
      <c r="I400">
        <f>IF(C400="C99999",1,0)</f>
        <v/>
      </c>
      <c r="J400" s="5">
        <f>IF(OR(H400=1,I400=1),0,IF(G400="Credit",-F400,F400))</f>
        <v/>
      </c>
    </row>
    <row r="401">
      <c r="A401" t="inlineStr">
        <is>
          <t>2026-07-03</t>
        </is>
      </c>
      <c r="B401" t="inlineStr">
        <is>
          <t>F277960</t>
        </is>
      </c>
      <c r="C401" t="inlineStr">
        <is>
          <t>C10952</t>
        </is>
      </c>
      <c r="D401" t="inlineStr">
        <is>
          <t>SKU-10310</t>
        </is>
      </c>
      <c r="E401" t="inlineStr">
        <is>
          <t>AM01</t>
        </is>
      </c>
      <c r="F401" s="5" t="n">
        <v>170.16</v>
      </c>
      <c r="G401">
        <f>IF(LEFT(B401,1)="C","Credit","Factuur")</f>
        <v/>
      </c>
      <c r="H401">
        <f>IF(AND(B401=B400,D401=D400,A401=A400,F401=F400),1,0)</f>
        <v/>
      </c>
      <c r="I401">
        <f>IF(C401="C99999",1,0)</f>
        <v/>
      </c>
      <c r="J401" s="5">
        <f>IF(OR(H401=1,I401=1),0,IF(G401="Credit",-F401,F401))</f>
        <v/>
      </c>
    </row>
    <row r="402">
      <c r="A402" t="inlineStr">
        <is>
          <t>2026-07-03</t>
        </is>
      </c>
      <c r="B402" t="inlineStr">
        <is>
          <t>F278329</t>
        </is>
      </c>
      <c r="C402" t="inlineStr">
        <is>
          <t>C10971</t>
        </is>
      </c>
      <c r="D402" t="inlineStr">
        <is>
          <t>SKU-10095</t>
        </is>
      </c>
      <c r="E402" t="inlineStr">
        <is>
          <t>AM07</t>
        </is>
      </c>
      <c r="F402" s="5" t="n">
        <v>495.2</v>
      </c>
      <c r="G402">
        <f>IF(LEFT(B402,1)="C","Credit","Factuur")</f>
        <v/>
      </c>
      <c r="H402">
        <f>IF(AND(B402=B401,D402=D401,A402=A401,F402=F401),1,0)</f>
        <v/>
      </c>
      <c r="I402">
        <f>IF(C402="C99999",1,0)</f>
        <v/>
      </c>
      <c r="J402" s="5">
        <f>IF(OR(H402=1,I402=1),0,IF(G402="Credit",-F402,F402))</f>
        <v/>
      </c>
    </row>
    <row r="403">
      <c r="A403" t="inlineStr">
        <is>
          <t>2026-07-03</t>
        </is>
      </c>
      <c r="B403" t="inlineStr">
        <is>
          <t>F278329</t>
        </is>
      </c>
      <c r="C403" t="inlineStr">
        <is>
          <t>C10971</t>
        </is>
      </c>
      <c r="D403" t="inlineStr">
        <is>
          <t>SKU-10332</t>
        </is>
      </c>
      <c r="E403" t="inlineStr">
        <is>
          <t>AM07</t>
        </is>
      </c>
      <c r="F403" s="5" t="n">
        <v>439.45</v>
      </c>
      <c r="G403">
        <f>IF(LEFT(B403,1)="C","Credit","Factuur")</f>
        <v/>
      </c>
      <c r="H403">
        <f>IF(AND(B403=B402,D403=D402,A403=A402,F403=F402),1,0)</f>
        <v/>
      </c>
      <c r="I403">
        <f>IF(C403="C99999",1,0)</f>
        <v/>
      </c>
      <c r="J403" s="5">
        <f>IF(OR(H403=1,I403=1),0,IF(G403="Credit",-F403,F403))</f>
        <v/>
      </c>
    </row>
    <row r="404">
      <c r="A404" t="inlineStr">
        <is>
          <t>2026-07-03</t>
        </is>
      </c>
      <c r="B404" t="inlineStr">
        <is>
          <t>F278438</t>
        </is>
      </c>
      <c r="C404" t="inlineStr">
        <is>
          <t>C10978</t>
        </is>
      </c>
      <c r="D404" t="inlineStr">
        <is>
          <t>SKU-10136</t>
        </is>
      </c>
      <c r="E404" t="inlineStr">
        <is>
          <t>AM06</t>
        </is>
      </c>
      <c r="F404" s="5" t="n">
        <v>108.57</v>
      </c>
      <c r="G404">
        <f>IF(LEFT(B404,1)="C","Credit","Factuur")</f>
        <v/>
      </c>
      <c r="H404">
        <f>IF(AND(B404=B403,D404=D403,A404=A403,F404=F403),1,0)</f>
        <v/>
      </c>
      <c r="I404">
        <f>IF(C404="C99999",1,0)</f>
        <v/>
      </c>
      <c r="J404" s="5">
        <f>IF(OR(H404=1,I404=1),0,IF(G404="Credit",-F404,F404))</f>
        <v/>
      </c>
    </row>
    <row r="405">
      <c r="A405" t="inlineStr">
        <is>
          <t>2026-07-03</t>
        </is>
      </c>
      <c r="B405" t="inlineStr">
        <is>
          <t>F278438</t>
        </is>
      </c>
      <c r="C405" t="inlineStr">
        <is>
          <t>C10978</t>
        </is>
      </c>
      <c r="D405" t="inlineStr">
        <is>
          <t>SKU-10159</t>
        </is>
      </c>
      <c r="E405" t="inlineStr">
        <is>
          <t>AM06</t>
        </is>
      </c>
      <c r="F405" s="5" t="n">
        <v>85.22</v>
      </c>
      <c r="G405">
        <f>IF(LEFT(B405,1)="C","Credit","Factuur")</f>
        <v/>
      </c>
      <c r="H405">
        <f>IF(AND(B405=B404,D405=D404,A405=A404,F405=F404),1,0)</f>
        <v/>
      </c>
      <c r="I405">
        <f>IF(C405="C99999",1,0)</f>
        <v/>
      </c>
      <c r="J405" s="5">
        <f>IF(OR(H405=1,I405=1),0,IF(G405="Credit",-F405,F405))</f>
        <v/>
      </c>
    </row>
    <row r="406">
      <c r="A406" t="inlineStr">
        <is>
          <t>2026-07-03</t>
        </is>
      </c>
      <c r="B406" t="inlineStr">
        <is>
          <t>F278438</t>
        </is>
      </c>
      <c r="C406" t="inlineStr">
        <is>
          <t>C10978</t>
        </is>
      </c>
      <c r="D406" t="inlineStr">
        <is>
          <t>SKU-10268</t>
        </is>
      </c>
      <c r="E406" t="inlineStr">
        <is>
          <t>AM06</t>
        </is>
      </c>
      <c r="F406" s="5" t="n">
        <v>92.52</v>
      </c>
      <c r="G406">
        <f>IF(LEFT(B406,1)="C","Credit","Factuur")</f>
        <v/>
      </c>
      <c r="H406">
        <f>IF(AND(B406=B405,D406=D405,A406=A405,F406=F405),1,0)</f>
        <v/>
      </c>
      <c r="I406">
        <f>IF(C406="C99999",1,0)</f>
        <v/>
      </c>
      <c r="J406" s="5">
        <f>IF(OR(H406=1,I406=1),0,IF(G406="Credit",-F406,F406))</f>
        <v/>
      </c>
    </row>
    <row r="407">
      <c r="A407" t="inlineStr">
        <is>
          <t>2026-07-03</t>
        </is>
      </c>
      <c r="B407" t="inlineStr">
        <is>
          <t>F278438</t>
        </is>
      </c>
      <c r="C407" t="inlineStr">
        <is>
          <t>C10978</t>
        </is>
      </c>
      <c r="D407" t="inlineStr">
        <is>
          <t>SKU-10282</t>
        </is>
      </c>
      <c r="E407" t="inlineStr">
        <is>
          <t>AM06</t>
        </is>
      </c>
      <c r="F407" s="5" t="n">
        <v>92.22</v>
      </c>
      <c r="G407">
        <f>IF(LEFT(B407,1)="C","Credit","Factuur")</f>
        <v/>
      </c>
      <c r="H407">
        <f>IF(AND(B407=B406,D407=D406,A407=A406,F407=F406),1,0)</f>
        <v/>
      </c>
      <c r="I407">
        <f>IF(C407="C99999",1,0)</f>
        <v/>
      </c>
      <c r="J407" s="5">
        <f>IF(OR(H407=1,I407=1),0,IF(G407="Credit",-F407,F407))</f>
        <v/>
      </c>
    </row>
    <row r="408">
      <c r="A408" t="inlineStr">
        <is>
          <t>2026-07-03</t>
        </is>
      </c>
      <c r="B408" t="inlineStr">
        <is>
          <t>F278438</t>
        </is>
      </c>
      <c r="C408" t="inlineStr">
        <is>
          <t>C10978</t>
        </is>
      </c>
      <c r="D408" t="inlineStr">
        <is>
          <t>SKU-10309</t>
        </is>
      </c>
      <c r="E408" t="inlineStr">
        <is>
          <t>AM06</t>
        </is>
      </c>
      <c r="F408" s="5" t="n">
        <v>81.33</v>
      </c>
      <c r="G408">
        <f>IF(LEFT(B408,1)="C","Credit","Factuur")</f>
        <v/>
      </c>
      <c r="H408">
        <f>IF(AND(B408=B407,D408=D407,A408=A407,F408=F407),1,0)</f>
        <v/>
      </c>
      <c r="I408">
        <f>IF(C408="C99999",1,0)</f>
        <v/>
      </c>
      <c r="J408" s="5">
        <f>IF(OR(H408=1,I408=1),0,IF(G408="Credit",-F408,F408))</f>
        <v/>
      </c>
    </row>
    <row r="409">
      <c r="A409" t="inlineStr">
        <is>
          <t>2026-07-03</t>
        </is>
      </c>
      <c r="B409" t="inlineStr">
        <is>
          <t>F278832</t>
        </is>
      </c>
      <c r="C409" t="inlineStr">
        <is>
          <t>C10998</t>
        </is>
      </c>
      <c r="D409" t="inlineStr">
        <is>
          <t>SKU-10133</t>
        </is>
      </c>
      <c r="E409" t="inlineStr">
        <is>
          <t>AM05</t>
        </is>
      </c>
      <c r="F409" s="5" t="n">
        <v>238.21</v>
      </c>
      <c r="G409">
        <f>IF(LEFT(B409,1)="C","Credit","Factuur")</f>
        <v/>
      </c>
      <c r="H409">
        <f>IF(AND(B409=B408,D409=D408,A409=A408,F409=F408),1,0)</f>
        <v/>
      </c>
      <c r="I409">
        <f>IF(C409="C99999",1,0)</f>
        <v/>
      </c>
      <c r="J409" s="5">
        <f>IF(OR(H409=1,I409=1),0,IF(G409="Credit",-F409,F409))</f>
        <v/>
      </c>
    </row>
    <row r="410">
      <c r="A410" t="inlineStr">
        <is>
          <t>2026-07-03</t>
        </is>
      </c>
      <c r="B410" t="inlineStr">
        <is>
          <t>F278832</t>
        </is>
      </c>
      <c r="C410" t="inlineStr">
        <is>
          <t>C10998</t>
        </is>
      </c>
      <c r="D410" t="inlineStr">
        <is>
          <t>SKU-10218</t>
        </is>
      </c>
      <c r="E410" t="inlineStr">
        <is>
          <t>AM05</t>
        </is>
      </c>
      <c r="F410" s="5" t="n">
        <v>269.38</v>
      </c>
      <c r="G410">
        <f>IF(LEFT(B410,1)="C","Credit","Factuur")</f>
        <v/>
      </c>
      <c r="H410">
        <f>IF(AND(B410=B409,D410=D409,A410=A409,F410=F409),1,0)</f>
        <v/>
      </c>
      <c r="I410">
        <f>IF(C410="C99999",1,0)</f>
        <v/>
      </c>
      <c r="J410" s="5">
        <f>IF(OR(H410=1,I410=1),0,IF(G410="Credit",-F410,F410))</f>
        <v/>
      </c>
    </row>
    <row r="411">
      <c r="A411" t="inlineStr">
        <is>
          <t>2026-07-03</t>
        </is>
      </c>
      <c r="B411" t="inlineStr">
        <is>
          <t>F278832</t>
        </is>
      </c>
      <c r="C411" t="inlineStr">
        <is>
          <t>C10998</t>
        </is>
      </c>
      <c r="D411" t="inlineStr">
        <is>
          <t>SKU-10233</t>
        </is>
      </c>
      <c r="E411" t="inlineStr">
        <is>
          <t>AM05</t>
        </is>
      </c>
      <c r="F411" s="5" t="n">
        <v>290.78</v>
      </c>
      <c r="G411">
        <f>IF(LEFT(B411,1)="C","Credit","Factuur")</f>
        <v/>
      </c>
      <c r="H411">
        <f>IF(AND(B411=B410,D411=D410,A411=A410,F411=F410),1,0)</f>
        <v/>
      </c>
      <c r="I411">
        <f>IF(C411="C99999",1,0)</f>
        <v/>
      </c>
      <c r="J411" s="5">
        <f>IF(OR(H411=1,I411=1),0,IF(G411="Credit",-F411,F411))</f>
        <v/>
      </c>
    </row>
    <row r="412">
      <c r="A412" t="inlineStr">
        <is>
          <t>2026-07-03</t>
        </is>
      </c>
      <c r="B412" t="inlineStr">
        <is>
          <t>F278832</t>
        </is>
      </c>
      <c r="C412" t="inlineStr">
        <is>
          <t>C10998</t>
        </is>
      </c>
      <c r="D412" t="inlineStr">
        <is>
          <t>SKU-10318</t>
        </is>
      </c>
      <c r="E412" t="inlineStr">
        <is>
          <t>AM05</t>
        </is>
      </c>
      <c r="F412" s="5" t="n">
        <v>284.9</v>
      </c>
      <c r="G412">
        <f>IF(LEFT(B412,1)="C","Credit","Factuur")</f>
        <v/>
      </c>
      <c r="H412">
        <f>IF(AND(B412=B411,D412=D411,A412=A411,F412=F411),1,0)</f>
        <v/>
      </c>
      <c r="I412">
        <f>IF(C412="C99999",1,0)</f>
        <v/>
      </c>
      <c r="J412" s="5">
        <f>IF(OR(H412=1,I412=1),0,IF(G412="Credit",-F412,F412))</f>
        <v/>
      </c>
    </row>
    <row r="413">
      <c r="A413" t="inlineStr">
        <is>
          <t>2026-07-03</t>
        </is>
      </c>
      <c r="B413" t="inlineStr">
        <is>
          <t>F278865</t>
        </is>
      </c>
      <c r="C413" t="inlineStr">
        <is>
          <t>C10999</t>
        </is>
      </c>
      <c r="D413" t="inlineStr">
        <is>
          <t>SKU-10240</t>
        </is>
      </c>
      <c r="E413" t="inlineStr">
        <is>
          <t>AM03</t>
        </is>
      </c>
      <c r="F413" s="5" t="n">
        <v>664.83</v>
      </c>
      <c r="G413">
        <f>IF(LEFT(B413,1)="C","Credit","Factuur")</f>
        <v/>
      </c>
      <c r="H413">
        <f>IF(AND(B413=B412,D413=D412,A413=A412,F413=F412),1,0)</f>
        <v/>
      </c>
      <c r="I413">
        <f>IF(C413="C99999",1,0)</f>
        <v/>
      </c>
      <c r="J413" s="5">
        <f>IF(OR(H413=1,I413=1),0,IF(G413="Credit",-F413,F413))</f>
        <v/>
      </c>
    </row>
    <row r="414">
      <c r="A414" t="inlineStr">
        <is>
          <t>2026-07-03</t>
        </is>
      </c>
      <c r="B414" t="inlineStr">
        <is>
          <t>F278865</t>
        </is>
      </c>
      <c r="C414" t="inlineStr">
        <is>
          <t>C10999</t>
        </is>
      </c>
      <c r="D414" t="inlineStr">
        <is>
          <t>SKU-10349</t>
        </is>
      </c>
      <c r="E414" t="inlineStr">
        <is>
          <t>AM03</t>
        </is>
      </c>
      <c r="F414" s="5" t="n">
        <v>623.61</v>
      </c>
      <c r="G414">
        <f>IF(LEFT(B414,1)="C","Credit","Factuur")</f>
        <v/>
      </c>
      <c r="H414">
        <f>IF(AND(B414=B413,D414=D413,A414=A413,F414=F413),1,0)</f>
        <v/>
      </c>
      <c r="I414">
        <f>IF(C414="C99999",1,0)</f>
        <v/>
      </c>
      <c r="J414" s="5">
        <f>IF(OR(H414=1,I414=1),0,IF(G414="Credit",-F414,F414))</f>
        <v/>
      </c>
    </row>
    <row r="415">
      <c r="A415" t="inlineStr">
        <is>
          <t>2026-07-03</t>
        </is>
      </c>
      <c r="B415" t="inlineStr">
        <is>
          <t>F279115</t>
        </is>
      </c>
      <c r="C415" t="inlineStr">
        <is>
          <t>C11011</t>
        </is>
      </c>
      <c r="D415" t="inlineStr">
        <is>
          <t>SKU-10060</t>
        </is>
      </c>
      <c r="E415" t="inlineStr">
        <is>
          <t>AM05</t>
        </is>
      </c>
      <c r="F415" s="5" t="n">
        <v>449.82</v>
      </c>
      <c r="G415">
        <f>IF(LEFT(B415,1)="C","Credit","Factuur")</f>
        <v/>
      </c>
      <c r="H415">
        <f>IF(AND(B415=B414,D415=D414,A415=A414,F415=F414),1,0)</f>
        <v/>
      </c>
      <c r="I415">
        <f>IF(C415="C99999",1,0)</f>
        <v/>
      </c>
      <c r="J415" s="5">
        <f>IF(OR(H415=1,I415=1),0,IF(G415="Credit",-F415,F415))</f>
        <v/>
      </c>
    </row>
    <row r="416">
      <c r="A416" t="inlineStr">
        <is>
          <t>2026-07-03</t>
        </is>
      </c>
      <c r="B416" t="inlineStr">
        <is>
          <t>F279115</t>
        </is>
      </c>
      <c r="C416" t="inlineStr">
        <is>
          <t>C11011</t>
        </is>
      </c>
      <c r="D416" t="inlineStr">
        <is>
          <t>SKU-10239</t>
        </is>
      </c>
      <c r="E416" t="inlineStr">
        <is>
          <t>AM05</t>
        </is>
      </c>
      <c r="F416" s="5" t="n">
        <v>522.6</v>
      </c>
      <c r="G416">
        <f>IF(LEFT(B416,1)="C","Credit","Factuur")</f>
        <v/>
      </c>
      <c r="H416">
        <f>IF(AND(B416=B415,D416=D415,A416=A415,F416=F415),1,0)</f>
        <v/>
      </c>
      <c r="I416">
        <f>IF(C416="C99999",1,0)</f>
        <v/>
      </c>
      <c r="J416" s="5">
        <f>IF(OR(H416=1,I416=1),0,IF(G416="Credit",-F416,F416))</f>
        <v/>
      </c>
    </row>
    <row r="417">
      <c r="A417" t="inlineStr">
        <is>
          <t>2026-07-03</t>
        </is>
      </c>
      <c r="B417" t="inlineStr">
        <is>
          <t>F279136</t>
        </is>
      </c>
      <c r="C417" t="inlineStr">
        <is>
          <t>C11012</t>
        </is>
      </c>
      <c r="D417" t="inlineStr">
        <is>
          <t>SKU-10099</t>
        </is>
      </c>
      <c r="E417" t="inlineStr">
        <is>
          <t>AM06</t>
        </is>
      </c>
      <c r="F417" s="5" t="n">
        <v>232.96</v>
      </c>
      <c r="G417">
        <f>IF(LEFT(B417,1)="C","Credit","Factuur")</f>
        <v/>
      </c>
      <c r="H417">
        <f>IF(AND(B417=B416,D417=D416,A417=A416,F417=F416),1,0)</f>
        <v/>
      </c>
      <c r="I417">
        <f>IF(C417="C99999",1,0)</f>
        <v/>
      </c>
      <c r="J417" s="5">
        <f>IF(OR(H417=1,I417=1),0,IF(G417="Credit",-F417,F417))</f>
        <v/>
      </c>
    </row>
    <row r="418">
      <c r="A418" t="inlineStr">
        <is>
          <t>2026-07-03</t>
        </is>
      </c>
      <c r="B418" t="inlineStr">
        <is>
          <t>F279136</t>
        </is>
      </c>
      <c r="C418" t="inlineStr">
        <is>
          <t>C11012</t>
        </is>
      </c>
      <c r="D418" t="inlineStr">
        <is>
          <t>SKU-10131</t>
        </is>
      </c>
      <c r="E418" t="inlineStr">
        <is>
          <t>AM06</t>
        </is>
      </c>
      <c r="F418" s="5" t="n">
        <v>221.44</v>
      </c>
      <c r="G418">
        <f>IF(LEFT(B418,1)="C","Credit","Factuur")</f>
        <v/>
      </c>
      <c r="H418">
        <f>IF(AND(B418=B417,D418=D417,A418=A417,F418=F417),1,0)</f>
        <v/>
      </c>
      <c r="I418">
        <f>IF(C418="C99999",1,0)</f>
        <v/>
      </c>
      <c r="J418" s="5">
        <f>IF(OR(H418=1,I418=1),0,IF(G418="Credit",-F418,F418))</f>
        <v/>
      </c>
    </row>
    <row r="419">
      <c r="A419" t="inlineStr">
        <is>
          <t>2026-07-03</t>
        </is>
      </c>
      <c r="B419" t="inlineStr">
        <is>
          <t>F279136</t>
        </is>
      </c>
      <c r="C419" t="inlineStr">
        <is>
          <t>C11012</t>
        </is>
      </c>
      <c r="D419" t="inlineStr">
        <is>
          <t>SKU-10323</t>
        </is>
      </c>
      <c r="E419" t="inlineStr">
        <is>
          <t>AM06</t>
        </is>
      </c>
      <c r="F419" s="5" t="n">
        <v>247.1</v>
      </c>
      <c r="G419">
        <f>IF(LEFT(B419,1)="C","Credit","Factuur")</f>
        <v/>
      </c>
      <c r="H419">
        <f>IF(AND(B419=B418,D419=D418,A419=A418,F419=F418),1,0)</f>
        <v/>
      </c>
      <c r="I419">
        <f>IF(C419="C99999",1,0)</f>
        <v/>
      </c>
      <c r="J419" s="5">
        <f>IF(OR(H419=1,I419=1),0,IF(G419="Credit",-F419,F419))</f>
        <v/>
      </c>
    </row>
    <row r="420">
      <c r="A420" t="inlineStr">
        <is>
          <t>2026-07-03</t>
        </is>
      </c>
      <c r="B420" t="inlineStr">
        <is>
          <t>F279265</t>
        </is>
      </c>
      <c r="C420" t="inlineStr">
        <is>
          <t>C11022</t>
        </is>
      </c>
      <c r="D420" t="inlineStr">
        <is>
          <t>SKU-10065</t>
        </is>
      </c>
      <c r="E420" t="inlineStr">
        <is>
          <t>AM01</t>
        </is>
      </c>
      <c r="F420" s="5" t="n">
        <v>204.66</v>
      </c>
      <c r="G420">
        <f>IF(LEFT(B420,1)="C","Credit","Factuur")</f>
        <v/>
      </c>
      <c r="H420">
        <f>IF(AND(B420=B419,D420=D419,A420=A419,F420=F419),1,0)</f>
        <v/>
      </c>
      <c r="I420">
        <f>IF(C420="C99999",1,0)</f>
        <v/>
      </c>
      <c r="J420" s="5">
        <f>IF(OR(H420=1,I420=1),0,IF(G420="Credit",-F420,F420))</f>
        <v/>
      </c>
    </row>
    <row r="421">
      <c r="A421" t="inlineStr">
        <is>
          <t>2026-07-03</t>
        </is>
      </c>
      <c r="B421" t="inlineStr">
        <is>
          <t>F279265</t>
        </is>
      </c>
      <c r="C421" t="inlineStr">
        <is>
          <t>C11022</t>
        </is>
      </c>
      <c r="D421" t="inlineStr">
        <is>
          <t>SKU-10280</t>
        </is>
      </c>
      <c r="E421" t="inlineStr">
        <is>
          <t>AM01</t>
        </is>
      </c>
      <c r="F421" s="5" t="n">
        <v>179.72</v>
      </c>
      <c r="G421">
        <f>IF(LEFT(B421,1)="C","Credit","Factuur")</f>
        <v/>
      </c>
      <c r="H421">
        <f>IF(AND(B421=B420,D421=D420,A421=A420,F421=F420),1,0)</f>
        <v/>
      </c>
      <c r="I421">
        <f>IF(C421="C99999",1,0)</f>
        <v/>
      </c>
      <c r="J421" s="5">
        <f>IF(OR(H421=1,I421=1),0,IF(G421="Credit",-F421,F421))</f>
        <v/>
      </c>
    </row>
    <row r="422">
      <c r="A422" t="inlineStr">
        <is>
          <t>2026-07-03</t>
        </is>
      </c>
      <c r="B422" t="inlineStr">
        <is>
          <t>F279265</t>
        </is>
      </c>
      <c r="C422" t="inlineStr">
        <is>
          <t>C11022</t>
        </is>
      </c>
      <c r="D422" t="inlineStr">
        <is>
          <t>SKU-10298</t>
        </is>
      </c>
      <c r="E422" t="inlineStr">
        <is>
          <t>AM01</t>
        </is>
      </c>
      <c r="F422" s="5" t="n">
        <v>160.01</v>
      </c>
      <c r="G422">
        <f>IF(LEFT(B422,1)="C","Credit","Factuur")</f>
        <v/>
      </c>
      <c r="H422">
        <f>IF(AND(B422=B421,D422=D421,A422=A421,F422=F421),1,0)</f>
        <v/>
      </c>
      <c r="I422">
        <f>IF(C422="C99999",1,0)</f>
        <v/>
      </c>
      <c r="J422" s="5">
        <f>IF(OR(H422=1,I422=1),0,IF(G422="Credit",-F422,F422))</f>
        <v/>
      </c>
    </row>
    <row r="423">
      <c r="A423" t="inlineStr">
        <is>
          <t>2026-07-03</t>
        </is>
      </c>
      <c r="B423" t="inlineStr">
        <is>
          <t>F279265</t>
        </is>
      </c>
      <c r="C423" t="inlineStr">
        <is>
          <t>C11022</t>
        </is>
      </c>
      <c r="D423" t="inlineStr">
        <is>
          <t>SKU-10316</t>
        </is>
      </c>
      <c r="E423" t="inlineStr">
        <is>
          <t>AM01</t>
        </is>
      </c>
      <c r="F423" s="5" t="n">
        <v>200.83</v>
      </c>
      <c r="G423">
        <f>IF(LEFT(B423,1)="C","Credit","Factuur")</f>
        <v/>
      </c>
      <c r="H423">
        <f>IF(AND(B423=B422,D423=D422,A423=A422,F423=F422),1,0)</f>
        <v/>
      </c>
      <c r="I423">
        <f>IF(C423="C99999",1,0)</f>
        <v/>
      </c>
      <c r="J423" s="5">
        <f>IF(OR(H423=1,I423=1),0,IF(G423="Credit",-F423,F423))</f>
        <v/>
      </c>
    </row>
    <row r="424">
      <c r="A424" t="inlineStr">
        <is>
          <t>2026-07-03</t>
        </is>
      </c>
      <c r="B424" t="inlineStr">
        <is>
          <t>F279308</t>
        </is>
      </c>
      <c r="C424" t="inlineStr">
        <is>
          <t>C11025</t>
        </is>
      </c>
      <c r="D424" t="inlineStr">
        <is>
          <t>SKU-10033</t>
        </is>
      </c>
      <c r="E424" t="inlineStr">
        <is>
          <t>AM01</t>
        </is>
      </c>
      <c r="F424" s="5" t="n">
        <v>300.48</v>
      </c>
      <c r="G424">
        <f>IF(LEFT(B424,1)="C","Credit","Factuur")</f>
        <v/>
      </c>
      <c r="H424">
        <f>IF(AND(B424=B423,D424=D423,A424=A423,F424=F423),1,0)</f>
        <v/>
      </c>
      <c r="I424">
        <f>IF(C424="C99999",1,0)</f>
        <v/>
      </c>
      <c r="J424" s="5">
        <f>IF(OR(H424=1,I424=1),0,IF(G424="Credit",-F424,F424))</f>
        <v/>
      </c>
    </row>
    <row r="425">
      <c r="A425" t="inlineStr">
        <is>
          <t>2026-07-03</t>
        </is>
      </c>
      <c r="B425" t="inlineStr">
        <is>
          <t>F279308</t>
        </is>
      </c>
      <c r="C425" t="inlineStr">
        <is>
          <t>C11025</t>
        </is>
      </c>
      <c r="D425" t="inlineStr">
        <is>
          <t>SKU-10103</t>
        </is>
      </c>
      <c r="E425" t="inlineStr">
        <is>
          <t>AM01</t>
        </is>
      </c>
      <c r="F425" s="5" t="n">
        <v>270.06</v>
      </c>
      <c r="G425">
        <f>IF(LEFT(B425,1)="C","Credit","Factuur")</f>
        <v/>
      </c>
      <c r="H425">
        <f>IF(AND(B425=B424,D425=D424,A425=A424,F425=F424),1,0)</f>
        <v/>
      </c>
      <c r="I425">
        <f>IF(C425="C99999",1,0)</f>
        <v/>
      </c>
      <c r="J425" s="5">
        <f>IF(OR(H425=1,I425=1),0,IF(G425="Credit",-F425,F425))</f>
        <v/>
      </c>
    </row>
    <row r="426">
      <c r="A426" t="inlineStr">
        <is>
          <t>2026-07-03</t>
        </is>
      </c>
      <c r="B426" t="inlineStr">
        <is>
          <t>F279308</t>
        </is>
      </c>
      <c r="C426" t="inlineStr">
        <is>
          <t>C11025</t>
        </is>
      </c>
      <c r="D426" t="inlineStr">
        <is>
          <t>SKU-10170</t>
        </is>
      </c>
      <c r="E426" t="inlineStr">
        <is>
          <t>AM01</t>
        </is>
      </c>
      <c r="F426" s="5" t="n">
        <v>323.44</v>
      </c>
      <c r="G426">
        <f>IF(LEFT(B426,1)="C","Credit","Factuur")</f>
        <v/>
      </c>
      <c r="H426">
        <f>IF(AND(B426=B425,D426=D425,A426=A425,F426=F425),1,0)</f>
        <v/>
      </c>
      <c r="I426">
        <f>IF(C426="C99999",1,0)</f>
        <v/>
      </c>
      <c r="J426" s="5">
        <f>IF(OR(H426=1,I426=1),0,IF(G426="Credit",-F426,F426))</f>
        <v/>
      </c>
    </row>
    <row r="427">
      <c r="A427" t="inlineStr">
        <is>
          <t>2026-07-03</t>
        </is>
      </c>
      <c r="B427" t="inlineStr">
        <is>
          <t>F279308</t>
        </is>
      </c>
      <c r="C427" t="inlineStr">
        <is>
          <t>C11025</t>
        </is>
      </c>
      <c r="D427" t="inlineStr">
        <is>
          <t>SKU-10192</t>
        </is>
      </c>
      <c r="E427" t="inlineStr">
        <is>
          <t>AM01</t>
        </is>
      </c>
      <c r="F427" s="5" t="n">
        <v>313.88</v>
      </c>
      <c r="G427">
        <f>IF(LEFT(B427,1)="C","Credit","Factuur")</f>
        <v/>
      </c>
      <c r="H427">
        <f>IF(AND(B427=B426,D427=D426,A427=A426,F427=F426),1,0)</f>
        <v/>
      </c>
      <c r="I427">
        <f>IF(C427="C99999",1,0)</f>
        <v/>
      </c>
      <c r="J427" s="5">
        <f>IF(OR(H427=1,I427=1),0,IF(G427="Credit",-F427,F427))</f>
        <v/>
      </c>
    </row>
    <row r="428">
      <c r="A428" t="inlineStr">
        <is>
          <t>2026-07-03</t>
        </is>
      </c>
      <c r="B428" t="inlineStr">
        <is>
          <t>F279308</t>
        </is>
      </c>
      <c r="C428" t="inlineStr">
        <is>
          <t>C11025</t>
        </is>
      </c>
      <c r="D428" t="inlineStr">
        <is>
          <t>SKU-10315</t>
        </is>
      </c>
      <c r="E428" t="inlineStr">
        <is>
          <t>AM01</t>
        </is>
      </c>
      <c r="F428" s="5" t="n">
        <v>326.7</v>
      </c>
      <c r="G428">
        <f>IF(LEFT(B428,1)="C","Credit","Factuur")</f>
        <v/>
      </c>
      <c r="H428">
        <f>IF(AND(B428=B427,D428=D427,A428=A427,F428=F427),1,0)</f>
        <v/>
      </c>
      <c r="I428">
        <f>IF(C428="C99999",1,0)</f>
        <v/>
      </c>
      <c r="J428" s="5">
        <f>IF(OR(H428=1,I428=1),0,IF(G428="Credit",-F428,F428))</f>
        <v/>
      </c>
    </row>
    <row r="429">
      <c r="A429" t="inlineStr">
        <is>
          <t>2026-07-03</t>
        </is>
      </c>
      <c r="B429" t="inlineStr">
        <is>
          <t>F279406</t>
        </is>
      </c>
      <c r="C429" t="inlineStr">
        <is>
          <t>C11029</t>
        </is>
      </c>
      <c r="D429" t="inlineStr">
        <is>
          <t>SKU-10066</t>
        </is>
      </c>
      <c r="E429" t="inlineStr">
        <is>
          <t>AM11</t>
        </is>
      </c>
      <c r="F429" s="5" t="n">
        <v>172.96</v>
      </c>
      <c r="G429">
        <f>IF(LEFT(B429,1)="C","Credit","Factuur")</f>
        <v/>
      </c>
      <c r="H429">
        <f>IF(AND(B429=B428,D429=D428,A429=A428,F429=F428),1,0)</f>
        <v/>
      </c>
      <c r="I429">
        <f>IF(C429="C99999",1,0)</f>
        <v/>
      </c>
      <c r="J429" s="5">
        <f>IF(OR(H429=1,I429=1),0,IF(G429="Credit",-F429,F429))</f>
        <v/>
      </c>
    </row>
    <row r="430">
      <c r="A430" t="inlineStr">
        <is>
          <t>2026-07-03</t>
        </is>
      </c>
      <c r="B430" t="inlineStr">
        <is>
          <t>F279406</t>
        </is>
      </c>
      <c r="C430" t="inlineStr">
        <is>
          <t>C11029</t>
        </is>
      </c>
      <c r="D430" t="inlineStr">
        <is>
          <t>SKU-10184</t>
        </is>
      </c>
      <c r="E430" t="inlineStr">
        <is>
          <t>AM11</t>
        </is>
      </c>
      <c r="F430" s="5" t="n">
        <v>181.58</v>
      </c>
      <c r="G430">
        <f>IF(LEFT(B430,1)="C","Credit","Factuur")</f>
        <v/>
      </c>
      <c r="H430">
        <f>IF(AND(B430=B429,D430=D429,A430=A429,F430=F429),1,0)</f>
        <v/>
      </c>
      <c r="I430">
        <f>IF(C430="C99999",1,0)</f>
        <v/>
      </c>
      <c r="J430" s="5">
        <f>IF(OR(H430=1,I430=1),0,IF(G430="Credit",-F430,F430))</f>
        <v/>
      </c>
    </row>
    <row r="431">
      <c r="A431" t="inlineStr">
        <is>
          <t>2026-07-03</t>
        </is>
      </c>
      <c r="B431" t="inlineStr">
        <is>
          <t>F279406</t>
        </is>
      </c>
      <c r="C431" t="inlineStr">
        <is>
          <t>C11029</t>
        </is>
      </c>
      <c r="D431" t="inlineStr">
        <is>
          <t>SKU-10218</t>
        </is>
      </c>
      <c r="E431" t="inlineStr">
        <is>
          <t>AM11</t>
        </is>
      </c>
      <c r="F431" s="5" t="n">
        <v>157.14</v>
      </c>
      <c r="G431">
        <f>IF(LEFT(B431,1)="C","Credit","Factuur")</f>
        <v/>
      </c>
      <c r="H431">
        <f>IF(AND(B431=B430,D431=D430,A431=A430,F431=F430),1,0)</f>
        <v/>
      </c>
      <c r="I431">
        <f>IF(C431="C99999",1,0)</f>
        <v/>
      </c>
      <c r="J431" s="5">
        <f>IF(OR(H431=1,I431=1),0,IF(G431="Credit",-F431,F431))</f>
        <v/>
      </c>
    </row>
    <row r="432">
      <c r="A432" t="inlineStr">
        <is>
          <t>2026-07-03</t>
        </is>
      </c>
      <c r="B432" t="inlineStr">
        <is>
          <t>F279406</t>
        </is>
      </c>
      <c r="C432" t="inlineStr">
        <is>
          <t>C11029</t>
        </is>
      </c>
      <c r="D432" t="inlineStr">
        <is>
          <t>SKU-10298</t>
        </is>
      </c>
      <c r="E432" t="inlineStr">
        <is>
          <t>AM11</t>
        </is>
      </c>
      <c r="F432" s="5" t="n">
        <v>178.84</v>
      </c>
      <c r="G432">
        <f>IF(LEFT(B432,1)="C","Credit","Factuur")</f>
        <v/>
      </c>
      <c r="H432">
        <f>IF(AND(B432=B431,D432=D431,A432=A431,F432=F431),1,0)</f>
        <v/>
      </c>
      <c r="I432">
        <f>IF(C432="C99999",1,0)</f>
        <v/>
      </c>
      <c r="J432" s="5">
        <f>IF(OR(H432=1,I432=1),0,IF(G432="Credit",-F432,F432))</f>
        <v/>
      </c>
    </row>
    <row r="433">
      <c r="A433" t="inlineStr">
        <is>
          <t>2026-07-03</t>
        </is>
      </c>
      <c r="B433" t="inlineStr">
        <is>
          <t>F279658</t>
        </is>
      </c>
      <c r="C433" t="inlineStr">
        <is>
          <t>C11043</t>
        </is>
      </c>
      <c r="D433" t="inlineStr">
        <is>
          <t>SKU-10007</t>
        </is>
      </c>
      <c r="E433" t="inlineStr">
        <is>
          <t>AM02</t>
        </is>
      </c>
      <c r="F433" s="5" t="n">
        <v>78.84999999999999</v>
      </c>
      <c r="G433">
        <f>IF(LEFT(B433,1)="C","Credit","Factuur")</f>
        <v/>
      </c>
      <c r="H433">
        <f>IF(AND(B433=B432,D433=D432,A433=A432,F433=F432),1,0)</f>
        <v/>
      </c>
      <c r="I433">
        <f>IF(C433="C99999",1,0)</f>
        <v/>
      </c>
      <c r="J433" s="5">
        <f>IF(OR(H433=1,I433=1),0,IF(G433="Credit",-F433,F433))</f>
        <v/>
      </c>
    </row>
    <row r="434">
      <c r="A434" t="inlineStr">
        <is>
          <t>2026-07-03</t>
        </is>
      </c>
      <c r="B434" t="inlineStr">
        <is>
          <t>F279658</t>
        </is>
      </c>
      <c r="C434" t="inlineStr">
        <is>
          <t>C11043</t>
        </is>
      </c>
      <c r="D434" t="inlineStr">
        <is>
          <t>SKU-10010</t>
        </is>
      </c>
      <c r="E434" t="inlineStr">
        <is>
          <t>AM02</t>
        </is>
      </c>
      <c r="F434" s="5" t="n">
        <v>77.65000000000001</v>
      </c>
      <c r="G434">
        <f>IF(LEFT(B434,1)="C","Credit","Factuur")</f>
        <v/>
      </c>
      <c r="H434">
        <f>IF(AND(B434=B433,D434=D433,A434=A433,F434=F433),1,0)</f>
        <v/>
      </c>
      <c r="I434">
        <f>IF(C434="C99999",1,0)</f>
        <v/>
      </c>
      <c r="J434" s="5">
        <f>IF(OR(H434=1,I434=1),0,IF(G434="Credit",-F434,F434))</f>
        <v/>
      </c>
    </row>
    <row r="435">
      <c r="A435" t="inlineStr">
        <is>
          <t>2026-07-03</t>
        </is>
      </c>
      <c r="B435" t="inlineStr">
        <is>
          <t>F279658</t>
        </is>
      </c>
      <c r="C435" t="inlineStr">
        <is>
          <t>C11043</t>
        </is>
      </c>
      <c r="D435" t="inlineStr">
        <is>
          <t>SKU-10091</t>
        </is>
      </c>
      <c r="E435" t="inlineStr">
        <is>
          <t>AM02</t>
        </is>
      </c>
      <c r="F435" s="5" t="n">
        <v>111.56</v>
      </c>
      <c r="G435">
        <f>IF(LEFT(B435,1)="C","Credit","Factuur")</f>
        <v/>
      </c>
      <c r="H435">
        <f>IF(AND(B435=B434,D435=D434,A435=A434,F435=F434),1,0)</f>
        <v/>
      </c>
      <c r="I435">
        <f>IF(C435="C99999",1,0)</f>
        <v/>
      </c>
      <c r="J435" s="5">
        <f>IF(OR(H435=1,I435=1),0,IF(G435="Credit",-F435,F435))</f>
        <v/>
      </c>
    </row>
    <row r="436">
      <c r="A436" t="inlineStr">
        <is>
          <t>2026-07-03</t>
        </is>
      </c>
      <c r="B436" t="inlineStr">
        <is>
          <t>F279658</t>
        </is>
      </c>
      <c r="C436" t="inlineStr">
        <is>
          <t>C11043</t>
        </is>
      </c>
      <c r="D436" t="inlineStr">
        <is>
          <t>SKU-10248</t>
        </is>
      </c>
      <c r="E436" t="inlineStr">
        <is>
          <t>AM02</t>
        </is>
      </c>
      <c r="F436" s="5" t="n">
        <v>78.05</v>
      </c>
      <c r="G436">
        <f>IF(LEFT(B436,1)="C","Credit","Factuur")</f>
        <v/>
      </c>
      <c r="H436">
        <f>IF(AND(B436=B435,D436=D435,A436=A435,F436=F435),1,0)</f>
        <v/>
      </c>
      <c r="I436">
        <f>IF(C436="C99999",1,0)</f>
        <v/>
      </c>
      <c r="J436" s="5">
        <f>IF(OR(H436=1,I436=1),0,IF(G436="Credit",-F436,F436))</f>
        <v/>
      </c>
    </row>
    <row r="437">
      <c r="A437" t="inlineStr">
        <is>
          <t>2026-07-03</t>
        </is>
      </c>
      <c r="B437" t="inlineStr">
        <is>
          <t>F280015</t>
        </is>
      </c>
      <c r="C437" t="inlineStr">
        <is>
          <t>C11057</t>
        </is>
      </c>
      <c r="D437" t="inlineStr">
        <is>
          <t>SKU-10294</t>
        </is>
      </c>
      <c r="E437" t="inlineStr">
        <is>
          <t>AM03</t>
        </is>
      </c>
      <c r="F437" s="5" t="n">
        <v>626.79</v>
      </c>
      <c r="G437">
        <f>IF(LEFT(B437,1)="C","Credit","Factuur")</f>
        <v/>
      </c>
      <c r="H437">
        <f>IF(AND(B437=B436,D437=D436,A437=A436,F437=F436),1,0)</f>
        <v/>
      </c>
      <c r="I437">
        <f>IF(C437="C99999",1,0)</f>
        <v/>
      </c>
      <c r="J437" s="5">
        <f>IF(OR(H437=1,I437=1),0,IF(G437="Credit",-F437,F437))</f>
        <v/>
      </c>
    </row>
    <row r="438">
      <c r="A438" t="inlineStr">
        <is>
          <t>2026-07-03</t>
        </is>
      </c>
      <c r="B438" t="inlineStr">
        <is>
          <t>F280015</t>
        </is>
      </c>
      <c r="C438" t="inlineStr">
        <is>
          <t>C11057</t>
        </is>
      </c>
      <c r="D438" t="inlineStr">
        <is>
          <t>SKU-10336</t>
        </is>
      </c>
      <c r="E438" t="inlineStr">
        <is>
          <t>AM03</t>
        </is>
      </c>
      <c r="F438" s="5" t="n">
        <v>641.9400000000001</v>
      </c>
      <c r="G438">
        <f>IF(LEFT(B438,1)="C","Credit","Factuur")</f>
        <v/>
      </c>
      <c r="H438">
        <f>IF(AND(B438=B437,D438=D437,A438=A437,F438=F437),1,0)</f>
        <v/>
      </c>
      <c r="I438">
        <f>IF(C438="C99999",1,0)</f>
        <v/>
      </c>
      <c r="J438" s="5">
        <f>IF(OR(H438=1,I438=1),0,IF(G438="Credit",-F438,F438))</f>
        <v/>
      </c>
    </row>
    <row r="439">
      <c r="A439" t="inlineStr">
        <is>
          <t>2026-07-03</t>
        </is>
      </c>
      <c r="B439" t="inlineStr">
        <is>
          <t>F280079</t>
        </is>
      </c>
      <c r="C439" t="inlineStr">
        <is>
          <t>C11062</t>
        </is>
      </c>
      <c r="D439" t="inlineStr">
        <is>
          <t>SKU-10139</t>
        </is>
      </c>
      <c r="E439" t="inlineStr">
        <is>
          <t>AM02</t>
        </is>
      </c>
      <c r="F439" s="5" t="n">
        <v>223.06</v>
      </c>
      <c r="G439">
        <f>IF(LEFT(B439,1)="C","Credit","Factuur")</f>
        <v/>
      </c>
      <c r="H439">
        <f>IF(AND(B439=B438,D439=D438,A439=A438,F439=F438),1,0)</f>
        <v/>
      </c>
      <c r="I439">
        <f>IF(C439="C99999",1,0)</f>
        <v/>
      </c>
      <c r="J439" s="5">
        <f>IF(OR(H439=1,I439=1),0,IF(G439="Credit",-F439,F439))</f>
        <v/>
      </c>
    </row>
    <row r="440">
      <c r="A440" t="inlineStr">
        <is>
          <t>2026-07-03</t>
        </is>
      </c>
      <c r="B440" t="inlineStr">
        <is>
          <t>F280079</t>
        </is>
      </c>
      <c r="C440" t="inlineStr">
        <is>
          <t>C11062</t>
        </is>
      </c>
      <c r="D440" t="inlineStr">
        <is>
          <t>SKU-10278</t>
        </is>
      </c>
      <c r="E440" t="inlineStr">
        <is>
          <t>AM02</t>
        </is>
      </c>
      <c r="F440" s="5" t="n">
        <v>210.2</v>
      </c>
      <c r="G440">
        <f>IF(LEFT(B440,1)="C","Credit","Factuur")</f>
        <v/>
      </c>
      <c r="H440">
        <f>IF(AND(B440=B439,D440=D439,A440=A439,F440=F439),1,0)</f>
        <v/>
      </c>
      <c r="I440">
        <f>IF(C440="C99999",1,0)</f>
        <v/>
      </c>
      <c r="J440" s="5">
        <f>IF(OR(H440=1,I440=1),0,IF(G440="Credit",-F440,F440))</f>
        <v/>
      </c>
    </row>
    <row r="441">
      <c r="A441" t="inlineStr">
        <is>
          <t>2026-07-03</t>
        </is>
      </c>
      <c r="B441" t="inlineStr">
        <is>
          <t>F280278</t>
        </is>
      </c>
      <c r="C441" t="inlineStr">
        <is>
          <t>C11072</t>
        </is>
      </c>
      <c r="D441" t="inlineStr">
        <is>
          <t>SKU-10004</t>
        </is>
      </c>
      <c r="E441" t="inlineStr">
        <is>
          <t>AM03</t>
        </is>
      </c>
      <c r="F441" s="5" t="n">
        <v>357.28</v>
      </c>
      <c r="G441">
        <f>IF(LEFT(B441,1)="C","Credit","Factuur")</f>
        <v/>
      </c>
      <c r="H441">
        <f>IF(AND(B441=B440,D441=D440,A441=A440,F441=F440),1,0)</f>
        <v/>
      </c>
      <c r="I441">
        <f>IF(C441="C99999",1,0)</f>
        <v/>
      </c>
      <c r="J441" s="5">
        <f>IF(OR(H441=1,I441=1),0,IF(G441="Credit",-F441,F441))</f>
        <v/>
      </c>
    </row>
    <row r="442">
      <c r="A442" t="inlineStr">
        <is>
          <t>2026-07-03</t>
        </is>
      </c>
      <c r="B442" t="inlineStr">
        <is>
          <t>F280278</t>
        </is>
      </c>
      <c r="C442" t="inlineStr">
        <is>
          <t>C11072</t>
        </is>
      </c>
      <c r="D442" t="inlineStr">
        <is>
          <t>SKU-10194</t>
        </is>
      </c>
      <c r="E442" t="inlineStr">
        <is>
          <t>AM03</t>
        </is>
      </c>
      <c r="F442" s="5" t="n">
        <v>352.53</v>
      </c>
      <c r="G442">
        <f>IF(LEFT(B442,1)="C","Credit","Factuur")</f>
        <v/>
      </c>
      <c r="H442">
        <f>IF(AND(B442=B441,D442=D441,A442=A441,F442=F441),1,0)</f>
        <v/>
      </c>
      <c r="I442">
        <f>IF(C442="C99999",1,0)</f>
        <v/>
      </c>
      <c r="J442" s="5">
        <f>IF(OR(H442=1,I442=1),0,IF(G442="Credit",-F442,F442))</f>
        <v/>
      </c>
    </row>
    <row r="443">
      <c r="A443" t="inlineStr">
        <is>
          <t>2026-07-03</t>
        </is>
      </c>
      <c r="B443" t="inlineStr">
        <is>
          <t>F280293</t>
        </is>
      </c>
      <c r="C443" t="inlineStr">
        <is>
          <t>C11072</t>
        </is>
      </c>
      <c r="D443" t="inlineStr">
        <is>
          <t>SKU-10048</t>
        </is>
      </c>
      <c r="E443" t="inlineStr">
        <is>
          <t>AM03</t>
        </is>
      </c>
      <c r="F443" s="5" t="n">
        <v>52.61</v>
      </c>
      <c r="G443">
        <f>IF(LEFT(B443,1)="C","Credit","Factuur")</f>
        <v/>
      </c>
      <c r="H443">
        <f>IF(AND(B443=B442,D443=D442,A443=A442,F443=F442),1,0)</f>
        <v/>
      </c>
      <c r="I443">
        <f>IF(C443="C99999",1,0)</f>
        <v/>
      </c>
      <c r="J443" s="5">
        <f>IF(OR(H443=1,I443=1),0,IF(G443="Credit",-F443,F443))</f>
        <v/>
      </c>
    </row>
    <row r="444">
      <c r="A444" t="inlineStr">
        <is>
          <t>2026-07-03</t>
        </is>
      </c>
      <c r="B444" t="inlineStr">
        <is>
          <t>F280293</t>
        </is>
      </c>
      <c r="C444" t="inlineStr">
        <is>
          <t>C11072</t>
        </is>
      </c>
      <c r="D444" t="inlineStr">
        <is>
          <t>SKU-10075</t>
        </is>
      </c>
      <c r="E444" t="inlineStr">
        <is>
          <t>AM03</t>
        </is>
      </c>
      <c r="F444" s="5" t="n">
        <v>57.66</v>
      </c>
      <c r="G444">
        <f>IF(LEFT(B444,1)="C","Credit","Factuur")</f>
        <v/>
      </c>
      <c r="H444">
        <f>IF(AND(B444=B443,D444=D443,A444=A443,F444=F443),1,0)</f>
        <v/>
      </c>
      <c r="I444">
        <f>IF(C444="C99999",1,0)</f>
        <v/>
      </c>
      <c r="J444" s="5">
        <f>IF(OR(H444=1,I444=1),0,IF(G444="Credit",-F444,F444))</f>
        <v/>
      </c>
    </row>
    <row r="445">
      <c r="A445" t="inlineStr">
        <is>
          <t>2026-07-03</t>
        </is>
      </c>
      <c r="B445" t="inlineStr">
        <is>
          <t>F280293</t>
        </is>
      </c>
      <c r="C445" t="inlineStr">
        <is>
          <t>C11072</t>
        </is>
      </c>
      <c r="D445" t="inlineStr">
        <is>
          <t>SKU-10076</t>
        </is>
      </c>
      <c r="E445" t="inlineStr">
        <is>
          <t>AM03</t>
        </is>
      </c>
      <c r="F445" s="5" t="n">
        <v>81.98999999999999</v>
      </c>
      <c r="G445">
        <f>IF(LEFT(B445,1)="C","Credit","Factuur")</f>
        <v/>
      </c>
      <c r="H445">
        <f>IF(AND(B445=B444,D445=D444,A445=A444,F445=F444),1,0)</f>
        <v/>
      </c>
      <c r="I445">
        <f>IF(C445="C99999",1,0)</f>
        <v/>
      </c>
      <c r="J445" s="5">
        <f>IF(OR(H445=1,I445=1),0,IF(G445="Credit",-F445,F445))</f>
        <v/>
      </c>
    </row>
    <row r="446">
      <c r="A446" t="inlineStr">
        <is>
          <t>2026-07-03</t>
        </is>
      </c>
      <c r="B446" t="inlineStr">
        <is>
          <t>F280293</t>
        </is>
      </c>
      <c r="C446" t="inlineStr">
        <is>
          <t>C11072</t>
        </is>
      </c>
      <c r="D446" t="inlineStr">
        <is>
          <t>SKU-10081</t>
        </is>
      </c>
      <c r="E446" t="inlineStr">
        <is>
          <t>AM03</t>
        </is>
      </c>
      <c r="F446" s="5" t="n">
        <v>63.57</v>
      </c>
      <c r="G446">
        <f>IF(LEFT(B446,1)="C","Credit","Factuur")</f>
        <v/>
      </c>
      <c r="H446">
        <f>IF(AND(B446=B445,D446=D445,A446=A445,F446=F445),1,0)</f>
        <v/>
      </c>
      <c r="I446">
        <f>IF(C446="C99999",1,0)</f>
        <v/>
      </c>
      <c r="J446" s="5">
        <f>IF(OR(H446=1,I446=1),0,IF(G446="Credit",-F446,F446))</f>
        <v/>
      </c>
    </row>
    <row r="447">
      <c r="A447" t="inlineStr">
        <is>
          <t>2026-07-03</t>
        </is>
      </c>
      <c r="B447" t="inlineStr">
        <is>
          <t>F280293</t>
        </is>
      </c>
      <c r="C447" t="inlineStr">
        <is>
          <t>C11072</t>
        </is>
      </c>
      <c r="D447" t="inlineStr">
        <is>
          <t>SKU-10130</t>
        </is>
      </c>
      <c r="E447" t="inlineStr">
        <is>
          <t>AM03</t>
        </is>
      </c>
      <c r="F447" s="5" t="n">
        <v>75.72</v>
      </c>
      <c r="G447">
        <f>IF(LEFT(B447,1)="C","Credit","Factuur")</f>
        <v/>
      </c>
      <c r="H447">
        <f>IF(AND(B447=B446,D447=D446,A447=A446,F447=F446),1,0)</f>
        <v/>
      </c>
      <c r="I447">
        <f>IF(C447="C99999",1,0)</f>
        <v/>
      </c>
      <c r="J447" s="5">
        <f>IF(OR(H447=1,I447=1),0,IF(G447="Credit",-F447,F447))</f>
        <v/>
      </c>
    </row>
    <row r="448">
      <c r="A448" t="inlineStr">
        <is>
          <t>2026-07-03</t>
        </is>
      </c>
      <c r="B448" t="inlineStr">
        <is>
          <t>F280293</t>
        </is>
      </c>
      <c r="C448" t="inlineStr">
        <is>
          <t>C11072</t>
        </is>
      </c>
      <c r="D448" t="inlineStr">
        <is>
          <t>SKU-10178</t>
        </is>
      </c>
      <c r="E448" t="inlineStr">
        <is>
          <t>AM03</t>
        </is>
      </c>
      <c r="F448" s="5" t="n">
        <v>71.45</v>
      </c>
      <c r="G448">
        <f>IF(LEFT(B448,1)="C","Credit","Factuur")</f>
        <v/>
      </c>
      <c r="H448">
        <f>IF(AND(B448=B447,D448=D447,A448=A447,F448=F447),1,0)</f>
        <v/>
      </c>
      <c r="I448">
        <f>IF(C448="C99999",1,0)</f>
        <v/>
      </c>
      <c r="J448" s="5">
        <f>IF(OR(H448=1,I448=1),0,IF(G448="Credit",-F448,F448))</f>
        <v/>
      </c>
    </row>
    <row r="449">
      <c r="A449" t="inlineStr">
        <is>
          <t>2026-07-03</t>
        </is>
      </c>
      <c r="B449" t="inlineStr">
        <is>
          <t>F280671</t>
        </is>
      </c>
      <c r="C449" t="inlineStr">
        <is>
          <t>C11091</t>
        </is>
      </c>
      <c r="D449" t="inlineStr">
        <is>
          <t>SKU-10054</t>
        </is>
      </c>
      <c r="E449" t="inlineStr">
        <is>
          <t>AM01</t>
        </is>
      </c>
      <c r="F449" s="5" t="n">
        <v>489.08</v>
      </c>
      <c r="G449">
        <f>IF(LEFT(B449,1)="C","Credit","Factuur")</f>
        <v/>
      </c>
      <c r="H449">
        <f>IF(AND(B449=B448,D449=D448,A449=A448,F449=F448),1,0)</f>
        <v/>
      </c>
      <c r="I449">
        <f>IF(C449="C99999",1,0)</f>
        <v/>
      </c>
      <c r="J449" s="5">
        <f>IF(OR(H449=1,I449=1),0,IF(G449="Credit",-F449,F449))</f>
        <v/>
      </c>
    </row>
    <row r="450">
      <c r="A450" t="inlineStr">
        <is>
          <t>2026-07-03</t>
        </is>
      </c>
      <c r="B450" t="inlineStr">
        <is>
          <t>F280671</t>
        </is>
      </c>
      <c r="C450" t="inlineStr">
        <is>
          <t>C11091</t>
        </is>
      </c>
      <c r="D450" t="inlineStr">
        <is>
          <t>SKU-10332</t>
        </is>
      </c>
      <c r="E450" t="inlineStr">
        <is>
          <t>AM01</t>
        </is>
      </c>
      <c r="F450" s="5" t="n">
        <v>512.6900000000001</v>
      </c>
      <c r="G450">
        <f>IF(LEFT(B450,1)="C","Credit","Factuur")</f>
        <v/>
      </c>
      <c r="H450">
        <f>IF(AND(B450=B449,D450=D449,A450=A449,F450=F449),1,0)</f>
        <v/>
      </c>
      <c r="I450">
        <f>IF(C450="C99999",1,0)</f>
        <v/>
      </c>
      <c r="J450" s="5">
        <f>IF(OR(H450=1,I450=1),0,IF(G450="Credit",-F450,F450))</f>
        <v/>
      </c>
    </row>
    <row r="451">
      <c r="A451" t="inlineStr">
        <is>
          <t>2026-07-03</t>
        </is>
      </c>
      <c r="B451" t="inlineStr">
        <is>
          <t>F280671</t>
        </is>
      </c>
      <c r="C451" t="inlineStr">
        <is>
          <t>C11091</t>
        </is>
      </c>
      <c r="D451" t="inlineStr">
        <is>
          <t>SKU-10335</t>
        </is>
      </c>
      <c r="E451" t="inlineStr">
        <is>
          <t>AM01</t>
        </is>
      </c>
      <c r="F451" s="5" t="n">
        <v>487.17</v>
      </c>
      <c r="G451">
        <f>IF(LEFT(B451,1)="C","Credit","Factuur")</f>
        <v/>
      </c>
      <c r="H451">
        <f>IF(AND(B451=B450,D451=D450,A451=A450,F451=F450),1,0)</f>
        <v/>
      </c>
      <c r="I451">
        <f>IF(C451="C99999",1,0)</f>
        <v/>
      </c>
      <c r="J451" s="5">
        <f>IF(OR(H451=1,I451=1),0,IF(G451="Credit",-F451,F451))</f>
        <v/>
      </c>
    </row>
    <row r="452">
      <c r="A452" t="inlineStr">
        <is>
          <t>2026-07-03</t>
        </is>
      </c>
      <c r="B452" t="inlineStr">
        <is>
          <t>F280735</t>
        </is>
      </c>
      <c r="C452" t="inlineStr">
        <is>
          <t>C11094</t>
        </is>
      </c>
      <c r="D452" t="inlineStr">
        <is>
          <t>SKU-10003</t>
        </is>
      </c>
      <c r="E452" t="inlineStr">
        <is>
          <t>AM12</t>
        </is>
      </c>
      <c r="F452" s="5" t="n">
        <v>497.28</v>
      </c>
      <c r="G452">
        <f>IF(LEFT(B452,1)="C","Credit","Factuur")</f>
        <v/>
      </c>
      <c r="H452">
        <f>IF(AND(B452=B451,D452=D451,A452=A451,F452=F451),1,0)</f>
        <v/>
      </c>
      <c r="I452">
        <f>IF(C452="C99999",1,0)</f>
        <v/>
      </c>
      <c r="J452" s="5">
        <f>IF(OR(H452=1,I452=1),0,IF(G452="Credit",-F452,F452))</f>
        <v/>
      </c>
    </row>
    <row r="453">
      <c r="A453" t="inlineStr">
        <is>
          <t>2026-07-03</t>
        </is>
      </c>
      <c r="B453" t="inlineStr">
        <is>
          <t>F280735</t>
        </is>
      </c>
      <c r="C453" t="inlineStr">
        <is>
          <t>C11094</t>
        </is>
      </c>
      <c r="D453" t="inlineStr">
        <is>
          <t>SKU-10030</t>
        </is>
      </c>
      <c r="E453" t="inlineStr">
        <is>
          <t>AM12</t>
        </is>
      </c>
      <c r="F453" s="5" t="n">
        <v>519.33</v>
      </c>
      <c r="G453">
        <f>IF(LEFT(B453,1)="C","Credit","Factuur")</f>
        <v/>
      </c>
      <c r="H453">
        <f>IF(AND(B453=B452,D453=D452,A453=A452,F453=F452),1,0)</f>
        <v/>
      </c>
      <c r="I453">
        <f>IF(C453="C99999",1,0)</f>
        <v/>
      </c>
      <c r="J453" s="5">
        <f>IF(OR(H453=1,I453=1),0,IF(G453="Credit",-F453,F453))</f>
        <v/>
      </c>
    </row>
    <row r="454">
      <c r="A454" t="inlineStr">
        <is>
          <t>2026-07-03</t>
        </is>
      </c>
      <c r="B454" t="inlineStr">
        <is>
          <t>F280887</t>
        </is>
      </c>
      <c r="C454" t="inlineStr">
        <is>
          <t>C11100</t>
        </is>
      </c>
      <c r="D454" t="inlineStr">
        <is>
          <t>SKU-10120</t>
        </is>
      </c>
      <c r="E454" t="inlineStr">
        <is>
          <t>AM12</t>
        </is>
      </c>
      <c r="F454" s="5" t="n">
        <v>624.36</v>
      </c>
      <c r="G454">
        <f>IF(LEFT(B454,1)="C","Credit","Factuur")</f>
        <v/>
      </c>
      <c r="H454">
        <f>IF(AND(B454=B453,D454=D453,A454=A453,F454=F453),1,0)</f>
        <v/>
      </c>
      <c r="I454">
        <f>IF(C454="C99999",1,0)</f>
        <v/>
      </c>
      <c r="J454" s="5">
        <f>IF(OR(H454=1,I454=1),0,IF(G454="Credit",-F454,F454))</f>
        <v/>
      </c>
    </row>
    <row r="455">
      <c r="A455" t="inlineStr">
        <is>
          <t>2026-07-03</t>
        </is>
      </c>
      <c r="B455" t="inlineStr">
        <is>
          <t>F280887</t>
        </is>
      </c>
      <c r="C455" t="inlineStr">
        <is>
          <t>C11100</t>
        </is>
      </c>
      <c r="D455" t="inlineStr">
        <is>
          <t>SKU-10160</t>
        </is>
      </c>
      <c r="E455" t="inlineStr">
        <is>
          <t>AM12</t>
        </is>
      </c>
      <c r="F455" s="5" t="n">
        <v>622.8</v>
      </c>
      <c r="G455">
        <f>IF(LEFT(B455,1)="C","Credit","Factuur")</f>
        <v/>
      </c>
      <c r="H455">
        <f>IF(AND(B455=B454,D455=D454,A455=A454,F455=F454),1,0)</f>
        <v/>
      </c>
      <c r="I455">
        <f>IF(C455="C99999",1,0)</f>
        <v/>
      </c>
      <c r="J455" s="5">
        <f>IF(OR(H455=1,I455=1),0,IF(G455="Credit",-F455,F455))</f>
        <v/>
      </c>
    </row>
    <row r="456">
      <c r="A456" t="inlineStr">
        <is>
          <t>2026-07-03</t>
        </is>
      </c>
      <c r="B456" t="inlineStr">
        <is>
          <t>F280887</t>
        </is>
      </c>
      <c r="C456" t="inlineStr">
        <is>
          <t>C11100</t>
        </is>
      </c>
      <c r="D456" t="inlineStr">
        <is>
          <t>SKU-10176</t>
        </is>
      </c>
      <c r="E456" t="inlineStr"/>
      <c r="F456" s="5" t="n">
        <v>595.84</v>
      </c>
      <c r="G456">
        <f>IF(LEFT(B456,1)="C","Credit","Factuur")</f>
        <v/>
      </c>
      <c r="H456">
        <f>IF(AND(B456=B455,D456=D455,A456=A455,F456=F455),1,0)</f>
        <v/>
      </c>
      <c r="I456">
        <f>IF(C456="C99999",1,0)</f>
        <v/>
      </c>
      <c r="J456" s="5">
        <f>IF(OR(H456=1,I456=1),0,IF(G456="Credit",-F456,F456))</f>
        <v/>
      </c>
    </row>
    <row r="457">
      <c r="A457" t="inlineStr">
        <is>
          <t>2026-07-03</t>
        </is>
      </c>
      <c r="B457" t="inlineStr">
        <is>
          <t>F280887</t>
        </is>
      </c>
      <c r="C457" t="inlineStr">
        <is>
          <t>C11100</t>
        </is>
      </c>
      <c r="D457" t="inlineStr">
        <is>
          <t>SKU-10310</t>
        </is>
      </c>
      <c r="E457" t="inlineStr">
        <is>
          <t>AM12</t>
        </is>
      </c>
      <c r="F457" s="5" t="n">
        <v>626.92</v>
      </c>
      <c r="G457">
        <f>IF(LEFT(B457,1)="C","Credit","Factuur")</f>
        <v/>
      </c>
      <c r="H457">
        <f>IF(AND(B457=B456,D457=D456,A457=A456,F457=F456),1,0)</f>
        <v/>
      </c>
      <c r="I457">
        <f>IF(C457="C99999",1,0)</f>
        <v/>
      </c>
      <c r="J457" s="5">
        <f>IF(OR(H457=1,I457=1),0,IF(G457="Credit",-F457,F457))</f>
        <v/>
      </c>
    </row>
    <row r="458">
      <c r="A458" t="inlineStr">
        <is>
          <t>2026-07-03</t>
        </is>
      </c>
      <c r="B458" t="inlineStr">
        <is>
          <t>F280887</t>
        </is>
      </c>
      <c r="C458" t="inlineStr">
        <is>
          <t>C11100</t>
        </is>
      </c>
      <c r="D458" t="inlineStr">
        <is>
          <t>SKU-10320</t>
        </is>
      </c>
      <c r="E458" t="inlineStr">
        <is>
          <t>AM12</t>
        </is>
      </c>
      <c r="F458" s="5" t="n">
        <v>595.13</v>
      </c>
      <c r="G458">
        <f>IF(LEFT(B458,1)="C","Credit","Factuur")</f>
        <v/>
      </c>
      <c r="H458">
        <f>IF(AND(B458=B457,D458=D457,A458=A457,F458=F457),1,0)</f>
        <v/>
      </c>
      <c r="I458">
        <f>IF(C458="C99999",1,0)</f>
        <v/>
      </c>
      <c r="J458" s="5">
        <f>IF(OR(H458=1,I458=1),0,IF(G458="Credit",-F458,F458))</f>
        <v/>
      </c>
    </row>
    <row r="459">
      <c r="A459" t="inlineStr">
        <is>
          <t>2026-07-03</t>
        </is>
      </c>
      <c r="B459" t="inlineStr">
        <is>
          <t>F280887</t>
        </is>
      </c>
      <c r="C459" t="inlineStr">
        <is>
          <t>C11100</t>
        </is>
      </c>
      <c r="D459" t="inlineStr">
        <is>
          <t>SKU-10344</t>
        </is>
      </c>
      <c r="E459" t="inlineStr">
        <is>
          <t>AM12</t>
        </is>
      </c>
      <c r="F459" s="5" t="n">
        <v>616</v>
      </c>
      <c r="G459">
        <f>IF(LEFT(B459,1)="C","Credit","Factuur")</f>
        <v/>
      </c>
      <c r="H459">
        <f>IF(AND(B459=B458,D459=D458,A459=A458,F459=F458),1,0)</f>
        <v/>
      </c>
      <c r="I459">
        <f>IF(C459="C99999",1,0)</f>
        <v/>
      </c>
      <c r="J459" s="5">
        <f>IF(OR(H459=1,I459=1),0,IF(G459="Credit",-F459,F459))</f>
        <v/>
      </c>
    </row>
    <row r="460">
      <c r="A460" t="inlineStr">
        <is>
          <t>2026-07-03</t>
        </is>
      </c>
      <c r="B460" t="inlineStr">
        <is>
          <t>F281243</t>
        </is>
      </c>
      <c r="C460" t="inlineStr">
        <is>
          <t>C11120</t>
        </is>
      </c>
      <c r="D460" t="inlineStr">
        <is>
          <t>SKU-10048</t>
        </is>
      </c>
      <c r="E460" t="inlineStr">
        <is>
          <t>AM11</t>
        </is>
      </c>
      <c r="F460" s="5" t="n">
        <v>105.22</v>
      </c>
      <c r="G460">
        <f>IF(LEFT(B460,1)="C","Credit","Factuur")</f>
        <v/>
      </c>
      <c r="H460">
        <f>IF(AND(B460=B459,D460=D459,A460=A459,F460=F459),1,0)</f>
        <v/>
      </c>
      <c r="I460">
        <f>IF(C460="C99999",1,0)</f>
        <v/>
      </c>
      <c r="J460" s="5">
        <f>IF(OR(H460=1,I460=1),0,IF(G460="Credit",-F460,F460))</f>
        <v/>
      </c>
    </row>
    <row r="461">
      <c r="A461" t="inlineStr">
        <is>
          <t>2026-07-03</t>
        </is>
      </c>
      <c r="B461" t="inlineStr">
        <is>
          <t>F281243</t>
        </is>
      </c>
      <c r="C461" t="inlineStr">
        <is>
          <t>C11120</t>
        </is>
      </c>
      <c r="D461" t="inlineStr">
        <is>
          <t>SKU-10273</t>
        </is>
      </c>
      <c r="E461" t="inlineStr">
        <is>
          <t>AM11</t>
        </is>
      </c>
      <c r="F461" s="5" t="n">
        <v>96.36</v>
      </c>
      <c r="G461">
        <f>IF(LEFT(B461,1)="C","Credit","Factuur")</f>
        <v/>
      </c>
      <c r="H461">
        <f>IF(AND(B461=B460,D461=D460,A461=A460,F461=F460),1,0)</f>
        <v/>
      </c>
      <c r="I461">
        <f>IF(C461="C99999",1,0)</f>
        <v/>
      </c>
      <c r="J461" s="5">
        <f>IF(OR(H461=1,I461=1),0,IF(G461="Credit",-F461,F461))</f>
        <v/>
      </c>
    </row>
    <row r="462">
      <c r="A462" t="inlineStr">
        <is>
          <t>2026-07-03</t>
        </is>
      </c>
      <c r="B462" t="inlineStr">
        <is>
          <t>F281243</t>
        </is>
      </c>
      <c r="C462" t="inlineStr">
        <is>
          <t>C11120</t>
        </is>
      </c>
      <c r="D462" t="inlineStr">
        <is>
          <t>SKU-10348</t>
        </is>
      </c>
      <c r="E462" t="inlineStr">
        <is>
          <t>AM11</t>
        </is>
      </c>
      <c r="F462" s="5" t="n">
        <v>152.99</v>
      </c>
      <c r="G462">
        <f>IF(LEFT(B462,1)="C","Credit","Factuur")</f>
        <v/>
      </c>
      <c r="H462">
        <f>IF(AND(B462=B461,D462=D461,A462=A461,F462=F461),1,0)</f>
        <v/>
      </c>
      <c r="I462">
        <f>IF(C462="C99999",1,0)</f>
        <v/>
      </c>
      <c r="J462" s="5">
        <f>IF(OR(H462=1,I462=1),0,IF(G462="Credit",-F462,F462))</f>
        <v/>
      </c>
    </row>
    <row r="463">
      <c r="A463" t="inlineStr">
        <is>
          <t>2026-07-03</t>
        </is>
      </c>
      <c r="B463" t="inlineStr">
        <is>
          <t>F281821</t>
        </is>
      </c>
      <c r="C463" t="inlineStr">
        <is>
          <t>C11149</t>
        </is>
      </c>
      <c r="D463" t="inlineStr">
        <is>
          <t>SKU-10288</t>
        </is>
      </c>
      <c r="E463" t="inlineStr">
        <is>
          <t>AM11</t>
        </is>
      </c>
      <c r="F463" s="5" t="n">
        <v>1511.99</v>
      </c>
      <c r="G463">
        <f>IF(LEFT(B463,1)="C","Credit","Factuur")</f>
        <v/>
      </c>
      <c r="H463">
        <f>IF(AND(B463=B462,D463=D462,A463=A462,F463=F462),1,0)</f>
        <v/>
      </c>
      <c r="I463">
        <f>IF(C463="C99999",1,0)</f>
        <v/>
      </c>
      <c r="J463" s="5">
        <f>IF(OR(H463=1,I463=1),0,IF(G463="Credit",-F463,F463))</f>
        <v/>
      </c>
    </row>
    <row r="464">
      <c r="A464" t="inlineStr">
        <is>
          <t>2026-07-03</t>
        </is>
      </c>
      <c r="B464" t="inlineStr">
        <is>
          <t>F282822</t>
        </is>
      </c>
      <c r="C464" t="inlineStr">
        <is>
          <t>C11199</t>
        </is>
      </c>
      <c r="D464" t="inlineStr">
        <is>
          <t>SKU-10003</t>
        </is>
      </c>
      <c r="E464" t="inlineStr">
        <is>
          <t>AM11</t>
        </is>
      </c>
      <c r="F464" s="5" t="n">
        <v>1653</v>
      </c>
      <c r="G464">
        <f>IF(LEFT(B464,1)="C","Credit","Factuur")</f>
        <v/>
      </c>
      <c r="H464">
        <f>IF(AND(B464=B463,D464=D463,A464=A463,F464=F463),1,0)</f>
        <v/>
      </c>
      <c r="I464">
        <f>IF(C464="C99999",1,0)</f>
        <v/>
      </c>
      <c r="J464" s="5">
        <f>IF(OR(H464=1,I464=1),0,IF(G464="Credit",-F464,F464))</f>
        <v/>
      </c>
    </row>
    <row r="465">
      <c r="A465" t="inlineStr">
        <is>
          <t>2026-07-03</t>
        </is>
      </c>
      <c r="B465" t="inlineStr">
        <is>
          <t>F284154</t>
        </is>
      </c>
      <c r="C465" t="inlineStr">
        <is>
          <t>C11262</t>
        </is>
      </c>
      <c r="D465" t="inlineStr">
        <is>
          <t>SKU-10026</t>
        </is>
      </c>
      <c r="E465" t="inlineStr">
        <is>
          <t>AM11</t>
        </is>
      </c>
      <c r="F465" s="5" t="n">
        <v>14281.22</v>
      </c>
      <c r="G465">
        <f>IF(LEFT(B465,1)="C","Credit","Factuur")</f>
        <v/>
      </c>
      <c r="H465">
        <f>IF(AND(B465=B464,D465=D464,A465=A464,F465=F464),1,0)</f>
        <v/>
      </c>
      <c r="I465">
        <f>IF(C465="C99999",1,0)</f>
        <v/>
      </c>
      <c r="J465" s="5">
        <f>IF(OR(H465=1,I465=1),0,IF(G465="Credit",-F465,F465))</f>
        <v/>
      </c>
    </row>
    <row r="466">
      <c r="A466" t="inlineStr">
        <is>
          <t>2026-07-03</t>
        </is>
      </c>
      <c r="B466" t="inlineStr">
        <is>
          <t>F284656</t>
        </is>
      </c>
      <c r="C466" t="inlineStr">
        <is>
          <t>C11293</t>
        </is>
      </c>
      <c r="D466" t="inlineStr">
        <is>
          <t>SKU-10136</t>
        </is>
      </c>
      <c r="E466" t="inlineStr">
        <is>
          <t>AM11</t>
        </is>
      </c>
      <c r="F466" s="5" t="n">
        <v>841.39</v>
      </c>
      <c r="G466">
        <f>IF(LEFT(B466,1)="C","Credit","Factuur")</f>
        <v/>
      </c>
      <c r="H466">
        <f>IF(AND(B466=B465,D466=D465,A466=A465,F466=F465),1,0)</f>
        <v/>
      </c>
      <c r="I466">
        <f>IF(C466="C99999",1,0)</f>
        <v/>
      </c>
      <c r="J466" s="5">
        <f>IF(OR(H466=1,I466=1),0,IF(G466="Credit",-F466,F466))</f>
        <v/>
      </c>
    </row>
    <row r="467">
      <c r="A467" t="inlineStr">
        <is>
          <t>2026-07-03</t>
        </is>
      </c>
      <c r="B467" t="inlineStr">
        <is>
          <t>F284656</t>
        </is>
      </c>
      <c r="C467" t="inlineStr">
        <is>
          <t>C11293</t>
        </is>
      </c>
      <c r="D467" t="inlineStr">
        <is>
          <t>SKU-10321</t>
        </is>
      </c>
      <c r="E467" t="inlineStr">
        <is>
          <t>AM11</t>
        </is>
      </c>
      <c r="F467" s="5" t="n">
        <v>878.58</v>
      </c>
      <c r="G467">
        <f>IF(LEFT(B467,1)="C","Credit","Factuur")</f>
        <v/>
      </c>
      <c r="H467">
        <f>IF(AND(B467=B466,D467=D466,A467=A466,F467=F466),1,0)</f>
        <v/>
      </c>
      <c r="I467">
        <f>IF(C467="C99999",1,0)</f>
        <v/>
      </c>
      <c r="J467" s="5">
        <f>IF(OR(H467=1,I467=1),0,IF(G467="Credit",-F467,F467))</f>
        <v/>
      </c>
    </row>
    <row r="468">
      <c r="A468" t="inlineStr">
        <is>
          <t>2026-07-03</t>
        </is>
      </c>
      <c r="B468" t="inlineStr">
        <is>
          <t>F284656</t>
        </is>
      </c>
      <c r="C468" t="inlineStr">
        <is>
          <t>C11293</t>
        </is>
      </c>
      <c r="D468" t="inlineStr">
        <is>
          <t>SKU-10331</t>
        </is>
      </c>
      <c r="E468" t="inlineStr">
        <is>
          <t>AM11</t>
        </is>
      </c>
      <c r="F468" s="5" t="n">
        <v>887.22</v>
      </c>
      <c r="G468">
        <f>IF(LEFT(B468,1)="C","Credit","Factuur")</f>
        <v/>
      </c>
      <c r="H468">
        <f>IF(AND(B468=B467,D468=D467,A468=A467,F468=F467),1,0)</f>
        <v/>
      </c>
      <c r="I468">
        <f>IF(C468="C99999",1,0)</f>
        <v/>
      </c>
      <c r="J468" s="5">
        <f>IF(OR(H468=1,I468=1),0,IF(G468="Credit",-F468,F468))</f>
        <v/>
      </c>
    </row>
    <row r="469">
      <c r="A469" t="inlineStr">
        <is>
          <t>2026-07-03</t>
        </is>
      </c>
      <c r="B469" t="inlineStr">
        <is>
          <t>F284743</t>
        </is>
      </c>
      <c r="C469" t="inlineStr">
        <is>
          <t>C11296</t>
        </is>
      </c>
      <c r="D469" t="inlineStr">
        <is>
          <t>SKU-10062</t>
        </is>
      </c>
      <c r="E469" t="inlineStr">
        <is>
          <t>AM11</t>
        </is>
      </c>
      <c r="F469" s="5" t="n">
        <v>1585.58</v>
      </c>
      <c r="G469">
        <f>IF(LEFT(B469,1)="C","Credit","Factuur")</f>
        <v/>
      </c>
      <c r="H469">
        <f>IF(AND(B469=B468,D469=D468,A469=A468,F469=F468),1,0)</f>
        <v/>
      </c>
      <c r="I469">
        <f>IF(C469="C99999",1,0)</f>
        <v/>
      </c>
      <c r="J469" s="5">
        <f>IF(OR(H469=1,I469=1),0,IF(G469="Credit",-F469,F469))</f>
        <v/>
      </c>
    </row>
    <row r="470">
      <c r="A470" t="inlineStr">
        <is>
          <t>2026-07-03</t>
        </is>
      </c>
      <c r="B470" t="inlineStr">
        <is>
          <t>F284743</t>
        </is>
      </c>
      <c r="C470" t="inlineStr">
        <is>
          <t>C11296</t>
        </is>
      </c>
      <c r="D470" t="inlineStr">
        <is>
          <t>SKU-10270</t>
        </is>
      </c>
      <c r="E470" t="inlineStr">
        <is>
          <t>AM11</t>
        </is>
      </c>
      <c r="F470" s="5" t="n">
        <v>1763.66</v>
      </c>
      <c r="G470">
        <f>IF(LEFT(B470,1)="C","Credit","Factuur")</f>
        <v/>
      </c>
      <c r="H470">
        <f>IF(AND(B470=B469,D470=D469,A470=A469,F470=F469),1,0)</f>
        <v/>
      </c>
      <c r="I470">
        <f>IF(C470="C99999",1,0)</f>
        <v/>
      </c>
      <c r="J470" s="5">
        <f>IF(OR(H470=1,I470=1),0,IF(G470="Credit",-F470,F470))</f>
        <v/>
      </c>
    </row>
    <row r="471">
      <c r="A471" t="inlineStr">
        <is>
          <t>2026-07-03</t>
        </is>
      </c>
      <c r="B471" t="inlineStr">
        <is>
          <t>F284743</t>
        </is>
      </c>
      <c r="C471" t="inlineStr">
        <is>
          <t>C11296</t>
        </is>
      </c>
      <c r="D471" t="inlineStr">
        <is>
          <t>SKU-10377</t>
        </is>
      </c>
      <c r="E471" t="inlineStr">
        <is>
          <t>AM11</t>
        </is>
      </c>
      <c r="F471" s="5" t="n">
        <v>1564.11</v>
      </c>
      <c r="G471">
        <f>IF(LEFT(B471,1)="C","Credit","Factuur")</f>
        <v/>
      </c>
      <c r="H471">
        <f>IF(AND(B471=B470,D471=D470,A471=A470,F471=F470),1,0)</f>
        <v/>
      </c>
      <c r="I471">
        <f>IF(C471="C99999",1,0)</f>
        <v/>
      </c>
      <c r="J471" s="5">
        <f>IF(OR(H471=1,I471=1),0,IF(G471="Credit",-F471,F471))</f>
        <v/>
      </c>
    </row>
    <row r="472">
      <c r="A472" t="inlineStr">
        <is>
          <t>2026-07-03</t>
        </is>
      </c>
      <c r="B472" t="inlineStr">
        <is>
          <t>F286064</t>
        </is>
      </c>
      <c r="C472" t="inlineStr">
        <is>
          <t>C11363</t>
        </is>
      </c>
      <c r="D472" t="inlineStr">
        <is>
          <t>SKU-10153</t>
        </is>
      </c>
      <c r="E472" t="inlineStr"/>
      <c r="F472" s="5" t="n">
        <v>112.4</v>
      </c>
      <c r="G472">
        <f>IF(LEFT(B472,1)="C","Credit","Factuur")</f>
        <v/>
      </c>
      <c r="H472">
        <f>IF(AND(B472=B471,D472=D471,A472=A471,F472=F471),1,0)</f>
        <v/>
      </c>
      <c r="I472">
        <f>IF(C472="C99999",1,0)</f>
        <v/>
      </c>
      <c r="J472" s="5">
        <f>IF(OR(H472=1,I472=1),0,IF(G472="Credit",-F472,F472))</f>
        <v/>
      </c>
    </row>
    <row r="473">
      <c r="A473" t="inlineStr">
        <is>
          <t>2026-07-03</t>
        </is>
      </c>
      <c r="B473" t="inlineStr">
        <is>
          <t>F286064</t>
        </is>
      </c>
      <c r="C473" t="inlineStr">
        <is>
          <t>C11363</t>
        </is>
      </c>
      <c r="D473" t="inlineStr">
        <is>
          <t>SKU-10175</t>
        </is>
      </c>
      <c r="E473" t="inlineStr">
        <is>
          <t>AM09</t>
        </is>
      </c>
      <c r="F473" s="5" t="n">
        <v>100.96</v>
      </c>
      <c r="G473">
        <f>IF(LEFT(B473,1)="C","Credit","Factuur")</f>
        <v/>
      </c>
      <c r="H473">
        <f>IF(AND(B473=B472,D473=D472,A473=A472,F473=F472),1,0)</f>
        <v/>
      </c>
      <c r="I473">
        <f>IF(C473="C99999",1,0)</f>
        <v/>
      </c>
      <c r="J473" s="5">
        <f>IF(OR(H473=1,I473=1),0,IF(G473="Credit",-F473,F473))</f>
        <v/>
      </c>
    </row>
    <row r="474">
      <c r="A474" t="inlineStr">
        <is>
          <t>2026-07-03</t>
        </is>
      </c>
      <c r="B474" t="inlineStr">
        <is>
          <t>F286064</t>
        </is>
      </c>
      <c r="C474" t="inlineStr">
        <is>
          <t>C11363</t>
        </is>
      </c>
      <c r="D474" t="inlineStr">
        <is>
          <t>SKU-10330</t>
        </is>
      </c>
      <c r="E474" t="inlineStr">
        <is>
          <t>AM09</t>
        </is>
      </c>
      <c r="F474" s="5" t="n">
        <v>96.19</v>
      </c>
      <c r="G474">
        <f>IF(LEFT(B474,1)="C","Credit","Factuur")</f>
        <v/>
      </c>
      <c r="H474">
        <f>IF(AND(B474=B473,D474=D473,A474=A473,F474=F473),1,0)</f>
        <v/>
      </c>
      <c r="I474">
        <f>IF(C474="C99999",1,0)</f>
        <v/>
      </c>
      <c r="J474" s="5">
        <f>IF(OR(H474=1,I474=1),0,IF(G474="Credit",-F474,F474))</f>
        <v/>
      </c>
    </row>
    <row r="475">
      <c r="A475" t="inlineStr">
        <is>
          <t>2026-07-03</t>
        </is>
      </c>
      <c r="B475" t="inlineStr">
        <is>
          <t>F286200</t>
        </is>
      </c>
      <c r="C475" t="inlineStr">
        <is>
          <t>C11370</t>
        </is>
      </c>
      <c r="D475" t="inlineStr">
        <is>
          <t>SKU-10033</t>
        </is>
      </c>
      <c r="E475" t="inlineStr">
        <is>
          <t>AM09</t>
        </is>
      </c>
      <c r="F475" s="5" t="n">
        <v>2670.96</v>
      </c>
      <c r="G475">
        <f>IF(LEFT(B475,1)="C","Credit","Factuur")</f>
        <v/>
      </c>
      <c r="H475">
        <f>IF(AND(B475=B474,D475=D474,A475=A474,F475=F474),1,0)</f>
        <v/>
      </c>
      <c r="I475">
        <f>IF(C475="C99999",1,0)</f>
        <v/>
      </c>
      <c r="J475" s="5">
        <f>IF(OR(H475=1,I475=1),0,IF(G475="Credit",-F475,F475))</f>
        <v/>
      </c>
    </row>
    <row r="476">
      <c r="A476" t="inlineStr">
        <is>
          <t>2026-07-03</t>
        </is>
      </c>
      <c r="B476" t="inlineStr">
        <is>
          <t>F286278</t>
        </is>
      </c>
      <c r="C476" t="inlineStr">
        <is>
          <t>C11374</t>
        </is>
      </c>
      <c r="D476" t="inlineStr">
        <is>
          <t>SKU-10056</t>
        </is>
      </c>
      <c r="E476" t="inlineStr">
        <is>
          <t>AM09</t>
        </is>
      </c>
      <c r="F476" s="5" t="n">
        <v>835.2</v>
      </c>
      <c r="G476">
        <f>IF(LEFT(B476,1)="C","Credit","Factuur")</f>
        <v/>
      </c>
      <c r="H476">
        <f>IF(AND(B476=B475,D476=D475,A476=A475,F476=F475),1,0)</f>
        <v/>
      </c>
      <c r="I476">
        <f>IF(C476="C99999",1,0)</f>
        <v/>
      </c>
      <c r="J476" s="5">
        <f>IF(OR(H476=1,I476=1),0,IF(G476="Credit",-F476,F476))</f>
        <v/>
      </c>
    </row>
    <row r="477">
      <c r="A477" t="inlineStr">
        <is>
          <t>2026-07-03</t>
        </is>
      </c>
      <c r="B477" t="inlineStr">
        <is>
          <t>F286278</t>
        </is>
      </c>
      <c r="C477" t="inlineStr">
        <is>
          <t>C11374</t>
        </is>
      </c>
      <c r="D477" t="inlineStr">
        <is>
          <t>SKU-10075</t>
        </is>
      </c>
      <c r="E477" t="inlineStr">
        <is>
          <t>AM09</t>
        </is>
      </c>
      <c r="F477" s="5" t="n">
        <v>830.3</v>
      </c>
      <c r="G477">
        <f>IF(LEFT(B477,1)="C","Credit","Factuur")</f>
        <v/>
      </c>
      <c r="H477">
        <f>IF(AND(B477=B476,D477=D476,A477=A476,F477=F476),1,0)</f>
        <v/>
      </c>
      <c r="I477">
        <f>IF(C477="C99999",1,0)</f>
        <v/>
      </c>
      <c r="J477" s="5">
        <f>IF(OR(H477=1,I477=1),0,IF(G477="Credit",-F477,F477))</f>
        <v/>
      </c>
    </row>
    <row r="478">
      <c r="A478" t="inlineStr">
        <is>
          <t>2026-07-03</t>
        </is>
      </c>
      <c r="B478" t="inlineStr">
        <is>
          <t>F286278</t>
        </is>
      </c>
      <c r="C478" t="inlineStr">
        <is>
          <t>C11374</t>
        </is>
      </c>
      <c r="D478" t="inlineStr">
        <is>
          <t>SKU-10244</t>
        </is>
      </c>
      <c r="E478" t="inlineStr">
        <is>
          <t>AM09</t>
        </is>
      </c>
      <c r="F478" s="5" t="n">
        <v>933.66</v>
      </c>
      <c r="G478">
        <f>IF(LEFT(B478,1)="C","Credit","Factuur")</f>
        <v/>
      </c>
      <c r="H478">
        <f>IF(AND(B478=B477,D478=D477,A478=A477,F478=F477),1,0)</f>
        <v/>
      </c>
      <c r="I478">
        <f>IF(C478="C99999",1,0)</f>
        <v/>
      </c>
      <c r="J478" s="5">
        <f>IF(OR(H478=1,I478=1),0,IF(G478="Credit",-F478,F478))</f>
        <v/>
      </c>
    </row>
    <row r="479">
      <c r="A479" t="inlineStr">
        <is>
          <t>2026-07-05</t>
        </is>
      </c>
      <c r="B479" t="inlineStr">
        <is>
          <t>C900447</t>
        </is>
      </c>
      <c r="C479" t="inlineStr">
        <is>
          <t>C10664</t>
        </is>
      </c>
      <c r="D479" t="inlineStr">
        <is>
          <t>SKU-10006</t>
        </is>
      </c>
      <c r="E479" t="inlineStr">
        <is>
          <t>AM05</t>
        </is>
      </c>
      <c r="F479" s="5" t="n">
        <v>92.56999999999999</v>
      </c>
      <c r="G479">
        <f>IF(LEFT(B479,1)="C","Credit","Factuur")</f>
        <v/>
      </c>
      <c r="H479">
        <f>IF(AND(B479=B478,D479=D478,A479=A478,F479=F478),1,0)</f>
        <v/>
      </c>
      <c r="I479">
        <f>IF(C479="C99999",1,0)</f>
        <v/>
      </c>
      <c r="J479" s="5">
        <f>IF(OR(H479=1,I479=1),0,IF(G479="Credit",-F479,F479))</f>
        <v/>
      </c>
    </row>
    <row r="480">
      <c r="A480" t="inlineStr">
        <is>
          <t>2026-07-05</t>
        </is>
      </c>
      <c r="B480" t="inlineStr">
        <is>
          <t>C900938</t>
        </is>
      </c>
      <c r="C480" t="inlineStr">
        <is>
          <t>C10953</t>
        </is>
      </c>
      <c r="D480" t="inlineStr">
        <is>
          <t>SKU-10065</t>
        </is>
      </c>
      <c r="E480" t="inlineStr">
        <is>
          <t>AM02</t>
        </is>
      </c>
      <c r="F480" s="5" t="n">
        <v>250.14</v>
      </c>
      <c r="G480">
        <f>IF(LEFT(B480,1)="C","Credit","Factuur")</f>
        <v/>
      </c>
      <c r="H480">
        <f>IF(AND(B480=B479,D480=D479,A480=A479,F480=F479),1,0)</f>
        <v/>
      </c>
      <c r="I480">
        <f>IF(C480="C99999",1,0)</f>
        <v/>
      </c>
      <c r="J480" s="5">
        <f>IF(OR(H480=1,I480=1),0,IF(G480="Credit",-F480,F480))</f>
        <v/>
      </c>
    </row>
    <row r="481">
      <c r="A481" t="inlineStr">
        <is>
          <t>2026-07-05</t>
        </is>
      </c>
      <c r="B481" t="inlineStr">
        <is>
          <t>C901025</t>
        </is>
      </c>
      <c r="C481" t="inlineStr">
        <is>
          <t>C10545</t>
        </is>
      </c>
      <c r="D481" t="inlineStr">
        <is>
          <t>SKU-10291</t>
        </is>
      </c>
      <c r="E481" t="inlineStr">
        <is>
          <t>AM02</t>
        </is>
      </c>
      <c r="F481" s="5" t="n">
        <v>270.69</v>
      </c>
      <c r="G481">
        <f>IF(LEFT(B481,1)="C","Credit","Factuur")</f>
        <v/>
      </c>
      <c r="H481">
        <f>IF(AND(B481=B480,D481=D480,A481=A480,F481=F480),1,0)</f>
        <v/>
      </c>
      <c r="I481">
        <f>IF(C481="C99999",1,0)</f>
        <v/>
      </c>
      <c r="J481" s="5">
        <f>IF(OR(H481=1,I481=1),0,IF(G481="Credit",-F481,F481))</f>
        <v/>
      </c>
    </row>
    <row r="482">
      <c r="A482" t="inlineStr">
        <is>
          <t>2026-07-05</t>
        </is>
      </c>
      <c r="B482" t="inlineStr">
        <is>
          <t>C901074</t>
        </is>
      </c>
      <c r="C482" t="inlineStr">
        <is>
          <t>C10132</t>
        </is>
      </c>
      <c r="D482" t="inlineStr">
        <is>
          <t>SKU-10224</t>
        </is>
      </c>
      <c r="E482" t="inlineStr">
        <is>
          <t>AM05</t>
        </is>
      </c>
      <c r="F482" s="5" t="n">
        <v>280.25</v>
      </c>
      <c r="G482">
        <f>IF(LEFT(B482,1)="C","Credit","Factuur")</f>
        <v/>
      </c>
      <c r="H482">
        <f>IF(AND(B482=B481,D482=D481,A482=A481,F482=F481),1,0)</f>
        <v/>
      </c>
      <c r="I482">
        <f>IF(C482="C99999",1,0)</f>
        <v/>
      </c>
      <c r="J482" s="5">
        <f>IF(OR(H482=1,I482=1),0,IF(G482="Credit",-F482,F482))</f>
        <v/>
      </c>
    </row>
    <row r="483">
      <c r="A483" t="inlineStr">
        <is>
          <t>2026-07-05</t>
        </is>
      </c>
      <c r="B483" t="inlineStr">
        <is>
          <t>C901141</t>
        </is>
      </c>
      <c r="C483" t="inlineStr">
        <is>
          <t>C10779</t>
        </is>
      </c>
      <c r="D483" t="inlineStr">
        <is>
          <t>SKU-10383</t>
        </is>
      </c>
      <c r="E483" t="inlineStr">
        <is>
          <t>AM09</t>
        </is>
      </c>
      <c r="F483" s="5" t="n">
        <v>5247.99</v>
      </c>
      <c r="G483">
        <f>IF(LEFT(B483,1)="C","Credit","Factuur")</f>
        <v/>
      </c>
      <c r="H483">
        <f>IF(AND(B483=B482,D483=D482,A483=A482,F483=F482),1,0)</f>
        <v/>
      </c>
      <c r="I483">
        <f>IF(C483="C99999",1,0)</f>
        <v/>
      </c>
      <c r="J483" s="5">
        <f>IF(OR(H483=1,I483=1),0,IF(G483="Credit",-F483,F483))</f>
        <v/>
      </c>
    </row>
    <row r="484">
      <c r="A484" t="inlineStr">
        <is>
          <t>2026-07-05</t>
        </is>
      </c>
      <c r="B484" t="inlineStr">
        <is>
          <t>C902061</t>
        </is>
      </c>
      <c r="C484" t="inlineStr">
        <is>
          <t>C10968</t>
        </is>
      </c>
      <c r="D484" t="inlineStr">
        <is>
          <t>SKU-10074</t>
        </is>
      </c>
      <c r="E484" t="inlineStr">
        <is>
          <t>AM03</t>
        </is>
      </c>
      <c r="F484" s="5" t="n">
        <v>265.95</v>
      </c>
      <c r="G484">
        <f>IF(LEFT(B484,1)="C","Credit","Factuur")</f>
        <v/>
      </c>
      <c r="H484">
        <f>IF(AND(B484=B483,D484=D483,A484=A483,F484=F483),1,0)</f>
        <v/>
      </c>
      <c r="I484">
        <f>IF(C484="C99999",1,0)</f>
        <v/>
      </c>
      <c r="J484" s="5">
        <f>IF(OR(H484=1,I484=1),0,IF(G484="Credit",-F484,F484))</f>
        <v/>
      </c>
    </row>
    <row r="485">
      <c r="A485" t="inlineStr">
        <is>
          <t>2026-07-06</t>
        </is>
      </c>
      <c r="B485" t="inlineStr">
        <is>
          <t>C900794</t>
        </is>
      </c>
      <c r="C485" t="inlineStr">
        <is>
          <t>C10520</t>
        </is>
      </c>
      <c r="D485" t="inlineStr">
        <is>
          <t>SKU-10059</t>
        </is>
      </c>
      <c r="E485" t="inlineStr">
        <is>
          <t>AM12</t>
        </is>
      </c>
      <c r="F485" s="5" t="n">
        <v>2718.72</v>
      </c>
      <c r="G485">
        <f>IF(LEFT(B485,1)="C","Credit","Factuur")</f>
        <v/>
      </c>
      <c r="H485">
        <f>IF(AND(B485=B484,D485=D484,A485=A484,F485=F484),1,0)</f>
        <v/>
      </c>
      <c r="I485">
        <f>IF(C485="C99999",1,0)</f>
        <v/>
      </c>
      <c r="J485" s="5">
        <f>IF(OR(H485=1,I485=1),0,IF(G485="Credit",-F485,F485))</f>
        <v/>
      </c>
    </row>
    <row r="486">
      <c r="A486" t="inlineStr">
        <is>
          <t>2026-07-06</t>
        </is>
      </c>
      <c r="B486" t="inlineStr">
        <is>
          <t>C901185</t>
        </is>
      </c>
      <c r="C486" t="inlineStr">
        <is>
          <t>C11022</t>
        </is>
      </c>
      <c r="D486" t="inlineStr">
        <is>
          <t>SKU-10065</t>
        </is>
      </c>
      <c r="E486" t="inlineStr">
        <is>
          <t>AM01</t>
        </is>
      </c>
      <c r="F486" s="5" t="n">
        <v>204.66</v>
      </c>
      <c r="G486">
        <f>IF(LEFT(B486,1)="C","Credit","Factuur")</f>
        <v/>
      </c>
      <c r="H486">
        <f>IF(AND(B486=B485,D486=D485,A486=A485,F486=F485),1,0)</f>
        <v/>
      </c>
      <c r="I486">
        <f>IF(C486="C99999",1,0)</f>
        <v/>
      </c>
      <c r="J486" s="5">
        <f>IF(OR(H486=1,I486=1),0,IF(G486="Credit",-F486,F486))</f>
        <v/>
      </c>
    </row>
    <row r="487">
      <c r="A487" t="inlineStr">
        <is>
          <t>2026-07-06</t>
        </is>
      </c>
      <c r="B487" t="inlineStr">
        <is>
          <t>C901639</t>
        </is>
      </c>
      <c r="C487" t="inlineStr">
        <is>
          <t>C11211</t>
        </is>
      </c>
      <c r="D487" t="inlineStr">
        <is>
          <t>SKU-10102</t>
        </is>
      </c>
      <c r="E487" t="inlineStr">
        <is>
          <t>AM11</t>
        </is>
      </c>
      <c r="F487" s="5" t="n">
        <v>172.48</v>
      </c>
      <c r="G487">
        <f>IF(LEFT(B487,1)="C","Credit","Factuur")</f>
        <v/>
      </c>
      <c r="H487">
        <f>IF(AND(B487=B486,D487=D486,A487=A486,F487=F486),1,0)</f>
        <v/>
      </c>
      <c r="I487">
        <f>IF(C487="C99999",1,0)</f>
        <v/>
      </c>
      <c r="J487" s="5">
        <f>IF(OR(H487=1,I487=1),0,IF(G487="Credit",-F487,F487))</f>
        <v/>
      </c>
    </row>
    <row r="488">
      <c r="A488" t="inlineStr">
        <is>
          <t>2026-07-06</t>
        </is>
      </c>
      <c r="B488" t="inlineStr">
        <is>
          <t>F260882</t>
        </is>
      </c>
      <c r="C488" t="inlineStr">
        <is>
          <t>C10051</t>
        </is>
      </c>
      <c r="D488" t="inlineStr">
        <is>
          <t>SKU-10022</t>
        </is>
      </c>
      <c r="E488" t="inlineStr">
        <is>
          <t>AM02</t>
        </is>
      </c>
      <c r="F488" s="5" t="n">
        <v>675.84</v>
      </c>
      <c r="G488">
        <f>IF(LEFT(B488,1)="C","Credit","Factuur")</f>
        <v/>
      </c>
      <c r="H488">
        <f>IF(AND(B488=B487,D488=D487,A488=A487,F488=F487),1,0)</f>
        <v/>
      </c>
      <c r="I488">
        <f>IF(C488="C99999",1,0)</f>
        <v/>
      </c>
      <c r="J488" s="5">
        <f>IF(OR(H488=1,I488=1),0,IF(G488="Credit",-F488,F488))</f>
        <v/>
      </c>
    </row>
    <row r="489">
      <c r="A489" t="inlineStr">
        <is>
          <t>2026-07-06</t>
        </is>
      </c>
      <c r="B489" t="inlineStr">
        <is>
          <t>F260882</t>
        </is>
      </c>
      <c r="C489" t="inlineStr">
        <is>
          <t>C10051</t>
        </is>
      </c>
      <c r="D489" t="inlineStr">
        <is>
          <t>SKU-10322</t>
        </is>
      </c>
      <c r="E489" t="inlineStr">
        <is>
          <t>AM02</t>
        </is>
      </c>
      <c r="F489" s="5" t="n">
        <v>704.86</v>
      </c>
      <c r="G489">
        <f>IF(LEFT(B489,1)="C","Credit","Factuur")</f>
        <v/>
      </c>
      <c r="H489">
        <f>IF(AND(B489=B488,D489=D488,A489=A488,F489=F488),1,0)</f>
        <v/>
      </c>
      <c r="I489">
        <f>IF(C489="C99999",1,0)</f>
        <v/>
      </c>
      <c r="J489" s="5">
        <f>IF(OR(H489=1,I489=1),0,IF(G489="Credit",-F489,F489))</f>
        <v/>
      </c>
    </row>
    <row r="490">
      <c r="A490" t="inlineStr">
        <is>
          <t>2026-07-06</t>
        </is>
      </c>
      <c r="B490" t="inlineStr">
        <is>
          <t>F261679</t>
        </is>
      </c>
      <c r="C490" t="inlineStr">
        <is>
          <t>C10088</t>
        </is>
      </c>
      <c r="D490" t="inlineStr">
        <is>
          <t>SKU-10041</t>
        </is>
      </c>
      <c r="E490" t="inlineStr">
        <is>
          <t>AM03</t>
        </is>
      </c>
      <c r="F490" s="5" t="n">
        <v>426.56</v>
      </c>
      <c r="G490">
        <f>IF(LEFT(B490,1)="C","Credit","Factuur")</f>
        <v/>
      </c>
      <c r="H490">
        <f>IF(AND(B490=B489,D490=D489,A490=A489,F490=F489),1,0)</f>
        <v/>
      </c>
      <c r="I490">
        <f>IF(C490="C99999",1,0)</f>
        <v/>
      </c>
      <c r="J490" s="5">
        <f>IF(OR(H490=1,I490=1),0,IF(G490="Credit",-F490,F490))</f>
        <v/>
      </c>
    </row>
    <row r="491">
      <c r="A491" t="inlineStr">
        <is>
          <t>2026-07-06</t>
        </is>
      </c>
      <c r="B491" t="inlineStr">
        <is>
          <t>F261679</t>
        </is>
      </c>
      <c r="C491" t="inlineStr">
        <is>
          <t>C10088</t>
        </is>
      </c>
      <c r="D491" t="inlineStr">
        <is>
          <t>SKU-10272</t>
        </is>
      </c>
      <c r="E491" t="inlineStr">
        <is>
          <t>AM03</t>
        </is>
      </c>
      <c r="F491" s="5" t="n">
        <v>414.81</v>
      </c>
      <c r="G491">
        <f>IF(LEFT(B491,1)="C","Credit","Factuur")</f>
        <v/>
      </c>
      <c r="H491">
        <f>IF(AND(B491=B490,D491=D490,A491=A490,F491=F490),1,0)</f>
        <v/>
      </c>
      <c r="I491">
        <f>IF(C491="C99999",1,0)</f>
        <v/>
      </c>
      <c r="J491" s="5">
        <f>IF(OR(H491=1,I491=1),0,IF(G491="Credit",-F491,F491))</f>
        <v/>
      </c>
    </row>
    <row r="492">
      <c r="A492" t="inlineStr">
        <is>
          <t>2026-07-06</t>
        </is>
      </c>
      <c r="B492" t="inlineStr">
        <is>
          <t>F261679</t>
        </is>
      </c>
      <c r="C492" t="inlineStr">
        <is>
          <t>C10088</t>
        </is>
      </c>
      <c r="D492" t="inlineStr">
        <is>
          <t>SKU-10310</t>
        </is>
      </c>
      <c r="E492" t="inlineStr">
        <is>
          <t>AM03</t>
        </is>
      </c>
      <c r="F492" s="5" t="n">
        <v>361.6</v>
      </c>
      <c r="G492">
        <f>IF(LEFT(B492,1)="C","Credit","Factuur")</f>
        <v/>
      </c>
      <c r="H492">
        <f>IF(AND(B492=B491,D492=D491,A492=A491,F492=F491),1,0)</f>
        <v/>
      </c>
      <c r="I492">
        <f>IF(C492="C99999",1,0)</f>
        <v/>
      </c>
      <c r="J492" s="5">
        <f>IF(OR(H492=1,I492=1),0,IF(G492="Credit",-F492,F492))</f>
        <v/>
      </c>
    </row>
    <row r="493">
      <c r="A493" t="inlineStr">
        <is>
          <t>2026-07-06</t>
        </is>
      </c>
      <c r="B493" t="inlineStr">
        <is>
          <t>F262156</t>
        </is>
      </c>
      <c r="C493" t="inlineStr">
        <is>
          <t>C10113</t>
        </is>
      </c>
      <c r="D493" t="inlineStr">
        <is>
          <t>SKU-10237</t>
        </is>
      </c>
      <c r="E493" t="inlineStr">
        <is>
          <t>AM12</t>
        </is>
      </c>
      <c r="F493" s="5" t="n">
        <v>1037.57</v>
      </c>
      <c r="G493">
        <f>IF(LEFT(B493,1)="C","Credit","Factuur")</f>
        <v/>
      </c>
      <c r="H493">
        <f>IF(AND(B493=B492,D493=D492,A493=A492,F493=F492),1,0)</f>
        <v/>
      </c>
      <c r="I493">
        <f>IF(C493="C99999",1,0)</f>
        <v/>
      </c>
      <c r="J493" s="5">
        <f>IF(OR(H493=1,I493=1),0,IF(G493="Credit",-F493,F493))</f>
        <v/>
      </c>
    </row>
    <row r="494">
      <c r="A494" t="inlineStr">
        <is>
          <t>2026-07-06</t>
        </is>
      </c>
      <c r="B494" t="inlineStr">
        <is>
          <t>F262156</t>
        </is>
      </c>
      <c r="C494" t="inlineStr">
        <is>
          <t>C10113</t>
        </is>
      </c>
      <c r="D494" t="inlineStr">
        <is>
          <t>SKU-10286</t>
        </is>
      </c>
      <c r="E494" t="inlineStr">
        <is>
          <t>AM12</t>
        </is>
      </c>
      <c r="F494" s="5" t="n">
        <v>1161.61</v>
      </c>
      <c r="G494">
        <f>IF(LEFT(B494,1)="C","Credit","Factuur")</f>
        <v/>
      </c>
      <c r="H494">
        <f>IF(AND(B494=B493,D494=D493,A494=A493,F494=F493),1,0)</f>
        <v/>
      </c>
      <c r="I494">
        <f>IF(C494="C99999",1,0)</f>
        <v/>
      </c>
      <c r="J494" s="5">
        <f>IF(OR(H494=1,I494=1),0,IF(G494="Credit",-F494,F494))</f>
        <v/>
      </c>
    </row>
    <row r="495">
      <c r="A495" t="inlineStr">
        <is>
          <t>2026-07-06</t>
        </is>
      </c>
      <c r="B495" t="inlineStr">
        <is>
          <t>F262326</t>
        </is>
      </c>
      <c r="C495" t="inlineStr">
        <is>
          <t>C10122</t>
        </is>
      </c>
      <c r="D495" t="inlineStr">
        <is>
          <t>SKU-10214</t>
        </is>
      </c>
      <c r="E495" t="inlineStr">
        <is>
          <t>AM12</t>
        </is>
      </c>
      <c r="F495" s="5" t="n">
        <v>122.58</v>
      </c>
      <c r="G495">
        <f>IF(LEFT(B495,1)="C","Credit","Factuur")</f>
        <v/>
      </c>
      <c r="H495">
        <f>IF(AND(B495=B494,D495=D494,A495=A494,F495=F494),1,0)</f>
        <v/>
      </c>
      <c r="I495">
        <f>IF(C495="C99999",1,0)</f>
        <v/>
      </c>
      <c r="J495" s="5">
        <f>IF(OR(H495=1,I495=1),0,IF(G495="Credit",-F495,F495))</f>
        <v/>
      </c>
    </row>
    <row r="496">
      <c r="A496" t="inlineStr">
        <is>
          <t>2026-07-06</t>
        </is>
      </c>
      <c r="B496" t="inlineStr">
        <is>
          <t>F262326</t>
        </is>
      </c>
      <c r="C496" t="inlineStr">
        <is>
          <t>C10122</t>
        </is>
      </c>
      <c r="D496" t="inlineStr">
        <is>
          <t>SKU-10225</t>
        </is>
      </c>
      <c r="E496" t="inlineStr">
        <is>
          <t>AM12</t>
        </is>
      </c>
      <c r="F496" s="5" t="n">
        <v>121.65</v>
      </c>
      <c r="G496">
        <f>IF(LEFT(B496,1)="C","Credit","Factuur")</f>
        <v/>
      </c>
      <c r="H496">
        <f>IF(AND(B496=B495,D496=D495,A496=A495,F496=F495),1,0)</f>
        <v/>
      </c>
      <c r="I496">
        <f>IF(C496="C99999",1,0)</f>
        <v/>
      </c>
      <c r="J496" s="5">
        <f>IF(OR(H496=1,I496=1),0,IF(G496="Credit",-F496,F496))</f>
        <v/>
      </c>
    </row>
    <row r="497">
      <c r="A497" t="inlineStr">
        <is>
          <t>2026-07-06</t>
        </is>
      </c>
      <c r="B497" t="inlineStr">
        <is>
          <t>F262326</t>
        </is>
      </c>
      <c r="C497" t="inlineStr">
        <is>
          <t>C10122</t>
        </is>
      </c>
      <c r="D497" t="inlineStr">
        <is>
          <t>SKU-10250</t>
        </is>
      </c>
      <c r="E497" t="inlineStr">
        <is>
          <t>AM12</t>
        </is>
      </c>
      <c r="F497" s="5" t="n">
        <v>113.72</v>
      </c>
      <c r="G497">
        <f>IF(LEFT(B497,1)="C","Credit","Factuur")</f>
        <v/>
      </c>
      <c r="H497">
        <f>IF(AND(B497=B496,D497=D496,A497=A496,F497=F496),1,0)</f>
        <v/>
      </c>
      <c r="I497">
        <f>IF(C497="C99999",1,0)</f>
        <v/>
      </c>
      <c r="J497" s="5">
        <f>IF(OR(H497=1,I497=1),0,IF(G497="Credit",-F497,F497))</f>
        <v/>
      </c>
    </row>
    <row r="498">
      <c r="A498" t="inlineStr">
        <is>
          <t>2026-07-06</t>
        </is>
      </c>
      <c r="B498" t="inlineStr">
        <is>
          <t>F263219</t>
        </is>
      </c>
      <c r="C498" t="inlineStr">
        <is>
          <t>C10172</t>
        </is>
      </c>
      <c r="D498" t="inlineStr">
        <is>
          <t>SKU-10211</t>
        </is>
      </c>
      <c r="E498" t="inlineStr">
        <is>
          <t>AM02</t>
        </is>
      </c>
      <c r="F498" s="5" t="n">
        <v>103.23</v>
      </c>
      <c r="G498">
        <f>IF(LEFT(B498,1)="C","Credit","Factuur")</f>
        <v/>
      </c>
      <c r="H498">
        <f>IF(AND(B498=B497,D498=D497,A498=A497,F498=F497),1,0)</f>
        <v/>
      </c>
      <c r="I498">
        <f>IF(C498="C99999",1,0)</f>
        <v/>
      </c>
      <c r="J498" s="5">
        <f>IF(OR(H498=1,I498=1),0,IF(G498="Credit",-F498,F498))</f>
        <v/>
      </c>
    </row>
    <row r="499">
      <c r="A499" t="inlineStr">
        <is>
          <t>2026-07-06</t>
        </is>
      </c>
      <c r="B499" t="inlineStr">
        <is>
          <t>F263219</t>
        </is>
      </c>
      <c r="C499" t="inlineStr">
        <is>
          <t>C10172</t>
        </is>
      </c>
      <c r="D499" t="inlineStr">
        <is>
          <t>SKU-10229</t>
        </is>
      </c>
      <c r="E499" t="inlineStr">
        <is>
          <t>AM02</t>
        </is>
      </c>
      <c r="F499" s="5" t="n">
        <v>105.36</v>
      </c>
      <c r="G499">
        <f>IF(LEFT(B499,1)="C","Credit","Factuur")</f>
        <v/>
      </c>
      <c r="H499">
        <f>IF(AND(B499=B498,D499=D498,A499=A498,F499=F498),1,0)</f>
        <v/>
      </c>
      <c r="I499">
        <f>IF(C499="C99999",1,0)</f>
        <v/>
      </c>
      <c r="J499" s="5">
        <f>IF(OR(H499=1,I499=1),0,IF(G499="Credit",-F499,F499))</f>
        <v/>
      </c>
    </row>
    <row r="500">
      <c r="A500" t="inlineStr">
        <is>
          <t>2026-07-06</t>
        </is>
      </c>
      <c r="B500" t="inlineStr">
        <is>
          <t>F263219</t>
        </is>
      </c>
      <c r="C500" t="inlineStr">
        <is>
          <t>C10172</t>
        </is>
      </c>
      <c r="D500" t="inlineStr">
        <is>
          <t>SKU-10232</t>
        </is>
      </c>
      <c r="E500" t="inlineStr">
        <is>
          <t>AM02</t>
        </is>
      </c>
      <c r="F500" s="5" t="n">
        <v>99.36</v>
      </c>
      <c r="G500">
        <f>IF(LEFT(B500,1)="C","Credit","Factuur")</f>
        <v/>
      </c>
      <c r="H500">
        <f>IF(AND(B500=B499,D500=D499,A500=A499,F500=F499),1,0)</f>
        <v/>
      </c>
      <c r="I500">
        <f>IF(C500="C99999",1,0)</f>
        <v/>
      </c>
      <c r="J500" s="5">
        <f>IF(OR(H500=1,I500=1),0,IF(G500="Credit",-F500,F500))</f>
        <v/>
      </c>
    </row>
    <row r="501">
      <c r="A501" t="inlineStr">
        <is>
          <t>2026-07-06</t>
        </is>
      </c>
      <c r="B501" t="inlineStr">
        <is>
          <t>F263219</t>
        </is>
      </c>
      <c r="C501" t="inlineStr">
        <is>
          <t>C10172</t>
        </is>
      </c>
      <c r="D501" t="inlineStr">
        <is>
          <t>SKU-10303</t>
        </is>
      </c>
      <c r="E501" t="inlineStr">
        <is>
          <t>AM02</t>
        </is>
      </c>
      <c r="F501" s="5" t="n">
        <v>105.39</v>
      </c>
      <c r="G501">
        <f>IF(LEFT(B501,1)="C","Credit","Factuur")</f>
        <v/>
      </c>
      <c r="H501">
        <f>IF(AND(B501=B500,D501=D500,A501=A500,F501=F500),1,0)</f>
        <v/>
      </c>
      <c r="I501">
        <f>IF(C501="C99999",1,0)</f>
        <v/>
      </c>
      <c r="J501" s="5">
        <f>IF(OR(H501=1,I501=1),0,IF(G501="Credit",-F501,F501))</f>
        <v/>
      </c>
    </row>
    <row r="502">
      <c r="A502" t="inlineStr">
        <is>
          <t>2026-07-06</t>
        </is>
      </c>
      <c r="B502" t="inlineStr">
        <is>
          <t>F263219</t>
        </is>
      </c>
      <c r="C502" t="inlineStr">
        <is>
          <t>C10172</t>
        </is>
      </c>
      <c r="D502" t="inlineStr">
        <is>
          <t>SKU-10305</t>
        </is>
      </c>
      <c r="E502" t="inlineStr">
        <is>
          <t>AM02</t>
        </is>
      </c>
      <c r="F502" s="5" t="n">
        <v>99.56</v>
      </c>
      <c r="G502">
        <f>IF(LEFT(B502,1)="C","Credit","Factuur")</f>
        <v/>
      </c>
      <c r="H502">
        <f>IF(AND(B502=B501,D502=D501,A502=A501,F502=F501),1,0)</f>
        <v/>
      </c>
      <c r="I502">
        <f>IF(C502="C99999",1,0)</f>
        <v/>
      </c>
      <c r="J502" s="5">
        <f>IF(OR(H502=1,I502=1),0,IF(G502="Credit",-F502,F502))</f>
        <v/>
      </c>
    </row>
    <row r="503">
      <c r="A503" t="inlineStr">
        <is>
          <t>2026-07-06</t>
        </is>
      </c>
      <c r="B503" t="inlineStr">
        <is>
          <t>F263219</t>
        </is>
      </c>
      <c r="C503" t="inlineStr">
        <is>
          <t>C10172</t>
        </is>
      </c>
      <c r="D503" t="inlineStr">
        <is>
          <t>SKU-10333</t>
        </is>
      </c>
      <c r="E503" t="inlineStr">
        <is>
          <t>AM02</t>
        </is>
      </c>
      <c r="F503" s="5" t="n">
        <v>95.83</v>
      </c>
      <c r="G503">
        <f>IF(LEFT(B503,1)="C","Credit","Factuur")</f>
        <v/>
      </c>
      <c r="H503">
        <f>IF(AND(B503=B502,D503=D502,A503=A502,F503=F502),1,0)</f>
        <v/>
      </c>
      <c r="I503">
        <f>IF(C503="C99999",1,0)</f>
        <v/>
      </c>
      <c r="J503" s="5">
        <f>IF(OR(H503=1,I503=1),0,IF(G503="Credit",-F503,F503))</f>
        <v/>
      </c>
    </row>
    <row r="504">
      <c r="A504" t="inlineStr">
        <is>
          <t>2026-07-06</t>
        </is>
      </c>
      <c r="B504" t="inlineStr">
        <is>
          <t>F263612</t>
        </is>
      </c>
      <c r="C504" t="inlineStr">
        <is>
          <t>C10194</t>
        </is>
      </c>
      <c r="D504" t="inlineStr">
        <is>
          <t>SKU-10023</t>
        </is>
      </c>
      <c r="E504" t="inlineStr">
        <is>
          <t>AM02</t>
        </is>
      </c>
      <c r="F504" s="5" t="n">
        <v>266.95</v>
      </c>
      <c r="G504">
        <f>IF(LEFT(B504,1)="C","Credit","Factuur")</f>
        <v/>
      </c>
      <c r="H504">
        <f>IF(AND(B504=B503,D504=D503,A504=A503,F504=F503),1,0)</f>
        <v/>
      </c>
      <c r="I504">
        <f>IF(C504="C99999",1,0)</f>
        <v/>
      </c>
      <c r="J504" s="5">
        <f>IF(OR(H504=1,I504=1),0,IF(G504="Credit",-F504,F504))</f>
        <v/>
      </c>
    </row>
    <row r="505">
      <c r="A505" t="inlineStr">
        <is>
          <t>2026-07-06</t>
        </is>
      </c>
      <c r="B505" t="inlineStr">
        <is>
          <t>F263612</t>
        </is>
      </c>
      <c r="C505" t="inlineStr">
        <is>
          <t>C10194</t>
        </is>
      </c>
      <c r="D505" t="inlineStr">
        <is>
          <t>SKU-10034</t>
        </is>
      </c>
      <c r="E505" t="inlineStr">
        <is>
          <t>AM02</t>
        </is>
      </c>
      <c r="F505" s="5" t="n">
        <v>264.65</v>
      </c>
      <c r="G505">
        <f>IF(LEFT(B505,1)="C","Credit","Factuur")</f>
        <v/>
      </c>
      <c r="H505">
        <f>IF(AND(B505=B504,D505=D504,A505=A504,F505=F504),1,0)</f>
        <v/>
      </c>
      <c r="I505">
        <f>IF(C505="C99999",1,0)</f>
        <v/>
      </c>
      <c r="J505" s="5">
        <f>IF(OR(H505=1,I505=1),0,IF(G505="Credit",-F505,F505))</f>
        <v/>
      </c>
    </row>
    <row r="506">
      <c r="A506" t="inlineStr">
        <is>
          <t>2026-07-06</t>
        </is>
      </c>
      <c r="B506" t="inlineStr">
        <is>
          <t>F263612</t>
        </is>
      </c>
      <c r="C506" t="inlineStr">
        <is>
          <t>C10194</t>
        </is>
      </c>
      <c r="D506" t="inlineStr">
        <is>
          <t>SKU-10042</t>
        </is>
      </c>
      <c r="E506" t="inlineStr">
        <is>
          <t>AM02</t>
        </is>
      </c>
      <c r="F506" s="5" t="n">
        <v>259.01</v>
      </c>
      <c r="G506">
        <f>IF(LEFT(B506,1)="C","Credit","Factuur")</f>
        <v/>
      </c>
      <c r="H506">
        <f>IF(AND(B506=B505,D506=D505,A506=A505,F506=F505),1,0)</f>
        <v/>
      </c>
      <c r="I506">
        <f>IF(C506="C99999",1,0)</f>
        <v/>
      </c>
      <c r="J506" s="5">
        <f>IF(OR(H506=1,I506=1),0,IF(G506="Credit",-F506,F506))</f>
        <v/>
      </c>
    </row>
    <row r="507">
      <c r="A507" t="inlineStr">
        <is>
          <t>2026-07-06</t>
        </is>
      </c>
      <c r="B507" t="inlineStr">
        <is>
          <t>F263612</t>
        </is>
      </c>
      <c r="C507" t="inlineStr">
        <is>
          <t>C10194</t>
        </is>
      </c>
      <c r="D507" t="inlineStr">
        <is>
          <t>SKU-10073</t>
        </is>
      </c>
      <c r="E507" t="inlineStr">
        <is>
          <t>AM02</t>
        </is>
      </c>
      <c r="F507" s="5" t="n">
        <v>250.98</v>
      </c>
      <c r="G507">
        <f>IF(LEFT(B507,1)="C","Credit","Factuur")</f>
        <v/>
      </c>
      <c r="H507">
        <f>IF(AND(B507=B506,D507=D506,A507=A506,F507=F506),1,0)</f>
        <v/>
      </c>
      <c r="I507">
        <f>IF(C507="C99999",1,0)</f>
        <v/>
      </c>
      <c r="J507" s="5">
        <f>IF(OR(H507=1,I507=1),0,IF(G507="Credit",-F507,F507))</f>
        <v/>
      </c>
    </row>
    <row r="508">
      <c r="A508" t="inlineStr">
        <is>
          <t>2026-07-06</t>
        </is>
      </c>
      <c r="B508" t="inlineStr">
        <is>
          <t>F263612</t>
        </is>
      </c>
      <c r="C508" t="inlineStr">
        <is>
          <t>C10194</t>
        </is>
      </c>
      <c r="D508" t="inlineStr">
        <is>
          <t>SKU-10319</t>
        </is>
      </c>
      <c r="E508" t="inlineStr">
        <is>
          <t>AM02</t>
        </is>
      </c>
      <c r="F508" s="5" t="n">
        <v>254.67</v>
      </c>
      <c r="G508">
        <f>IF(LEFT(B508,1)="C","Credit","Factuur")</f>
        <v/>
      </c>
      <c r="H508">
        <f>IF(AND(B508=B507,D508=D507,A508=A507,F508=F507),1,0)</f>
        <v/>
      </c>
      <c r="I508">
        <f>IF(C508="C99999",1,0)</f>
        <v/>
      </c>
      <c r="J508" s="5">
        <f>IF(OR(H508=1,I508=1),0,IF(G508="Credit",-F508,F508))</f>
        <v/>
      </c>
    </row>
    <row r="509">
      <c r="A509" t="inlineStr">
        <is>
          <t>2026-07-06</t>
        </is>
      </c>
      <c r="B509" t="inlineStr">
        <is>
          <t>F263780</t>
        </is>
      </c>
      <c r="C509" t="inlineStr">
        <is>
          <t>C10200</t>
        </is>
      </c>
      <c r="D509" t="inlineStr">
        <is>
          <t>SKU-10096</t>
        </is>
      </c>
      <c r="E509" t="inlineStr">
        <is>
          <t>AM01</t>
        </is>
      </c>
      <c r="F509" s="5" t="n">
        <v>572.1</v>
      </c>
      <c r="G509">
        <f>IF(LEFT(B509,1)="C","Credit","Factuur")</f>
        <v/>
      </c>
      <c r="H509">
        <f>IF(AND(B509=B508,D509=D508,A509=A508,F509=F508),1,0)</f>
        <v/>
      </c>
      <c r="I509">
        <f>IF(C509="C99999",1,0)</f>
        <v/>
      </c>
      <c r="J509" s="5">
        <f>IF(OR(H509=1,I509=1),0,IF(G509="Credit",-F509,F509))</f>
        <v/>
      </c>
    </row>
    <row r="510">
      <c r="A510" t="inlineStr">
        <is>
          <t>2026-07-06</t>
        </is>
      </c>
      <c r="B510" t="inlineStr">
        <is>
          <t>F263877</t>
        </is>
      </c>
      <c r="C510" t="inlineStr">
        <is>
          <t>C10206</t>
        </is>
      </c>
      <c r="D510" t="inlineStr">
        <is>
          <t>SKU-10036</t>
        </is>
      </c>
      <c r="E510" t="inlineStr">
        <is>
          <t>AM01</t>
        </is>
      </c>
      <c r="F510" s="5" t="n">
        <v>678.5599999999999</v>
      </c>
      <c r="G510">
        <f>IF(LEFT(B510,1)="C","Credit","Factuur")</f>
        <v/>
      </c>
      <c r="H510">
        <f>IF(AND(B510=B509,D510=D509,A510=A509,F510=F509),1,0)</f>
        <v/>
      </c>
      <c r="I510">
        <f>IF(C510="C99999",1,0)</f>
        <v/>
      </c>
      <c r="J510" s="5">
        <f>IF(OR(H510=1,I510=1),0,IF(G510="Credit",-F510,F510))</f>
        <v/>
      </c>
    </row>
    <row r="511">
      <c r="A511" t="inlineStr">
        <is>
          <t>2026-07-06</t>
        </is>
      </c>
      <c r="B511" t="inlineStr">
        <is>
          <t>F263877</t>
        </is>
      </c>
      <c r="C511" t="inlineStr">
        <is>
          <t>C10206</t>
        </is>
      </c>
      <c r="D511" t="inlineStr">
        <is>
          <t>SKU-10045</t>
        </is>
      </c>
      <c r="E511" t="inlineStr">
        <is>
          <t>AM01</t>
        </is>
      </c>
      <c r="F511" s="5" t="n">
        <v>628.4</v>
      </c>
      <c r="G511">
        <f>IF(LEFT(B511,1)="C","Credit","Factuur")</f>
        <v/>
      </c>
      <c r="H511">
        <f>IF(AND(B511=B510,D511=D510,A511=A510,F511=F510),1,0)</f>
        <v/>
      </c>
      <c r="I511">
        <f>IF(C511="C99999",1,0)</f>
        <v/>
      </c>
      <c r="J511" s="5">
        <f>IF(OR(H511=1,I511=1),0,IF(G511="Credit",-F511,F511))</f>
        <v/>
      </c>
    </row>
    <row r="512">
      <c r="A512" t="inlineStr">
        <is>
          <t>2026-07-06</t>
        </is>
      </c>
      <c r="B512" t="inlineStr">
        <is>
          <t>F263877</t>
        </is>
      </c>
      <c r="C512" t="inlineStr">
        <is>
          <t>C10206</t>
        </is>
      </c>
      <c r="D512" t="inlineStr">
        <is>
          <t>SKU-10091</t>
        </is>
      </c>
      <c r="E512" t="inlineStr">
        <is>
          <t>AM01</t>
        </is>
      </c>
      <c r="F512" s="5" t="n">
        <v>634.12</v>
      </c>
      <c r="G512">
        <f>IF(LEFT(B512,1)="C","Credit","Factuur")</f>
        <v/>
      </c>
      <c r="H512">
        <f>IF(AND(B512=B511,D512=D511,A512=A511,F512=F511),1,0)</f>
        <v/>
      </c>
      <c r="I512">
        <f>IF(C512="C99999",1,0)</f>
        <v/>
      </c>
      <c r="J512" s="5">
        <f>IF(OR(H512=1,I512=1),0,IF(G512="Credit",-F512,F512))</f>
        <v/>
      </c>
    </row>
    <row r="513">
      <c r="A513" t="inlineStr">
        <is>
          <t>2026-07-06</t>
        </is>
      </c>
      <c r="B513" t="inlineStr">
        <is>
          <t>F263877</t>
        </is>
      </c>
      <c r="C513" t="inlineStr">
        <is>
          <t>C10206</t>
        </is>
      </c>
      <c r="D513" t="inlineStr">
        <is>
          <t>SKU-10195</t>
        </is>
      </c>
      <c r="E513" t="inlineStr">
        <is>
          <t>AM01</t>
        </is>
      </c>
      <c r="F513" s="5" t="n">
        <v>680.89</v>
      </c>
      <c r="G513">
        <f>IF(LEFT(B513,1)="C","Credit","Factuur")</f>
        <v/>
      </c>
      <c r="H513">
        <f>IF(AND(B513=B512,D513=D512,A513=A512,F513=F512),1,0)</f>
        <v/>
      </c>
      <c r="I513">
        <f>IF(C513="C99999",1,0)</f>
        <v/>
      </c>
      <c r="J513" s="5">
        <f>IF(OR(H513=1,I513=1),0,IF(G513="Credit",-F513,F513))</f>
        <v/>
      </c>
    </row>
    <row r="514">
      <c r="A514" t="inlineStr">
        <is>
          <t>2026-07-06</t>
        </is>
      </c>
      <c r="B514" t="inlineStr">
        <is>
          <t>F265074</t>
        </is>
      </c>
      <c r="C514" t="inlineStr">
        <is>
          <t>C10267</t>
        </is>
      </c>
      <c r="D514" t="inlineStr">
        <is>
          <t>SKU-10203</t>
        </is>
      </c>
      <c r="E514" t="inlineStr">
        <is>
          <t>AM05</t>
        </is>
      </c>
      <c r="F514" s="5" t="n">
        <v>490.38</v>
      </c>
      <c r="G514">
        <f>IF(LEFT(B514,1)="C","Credit","Factuur")</f>
        <v/>
      </c>
      <c r="H514">
        <f>IF(AND(B514=B513,D514=D513,A514=A513,F514=F513),1,0)</f>
        <v/>
      </c>
      <c r="I514">
        <f>IF(C514="C99999",1,0)</f>
        <v/>
      </c>
      <c r="J514" s="5">
        <f>IF(OR(H514=1,I514=1),0,IF(G514="Credit",-F514,F514))</f>
        <v/>
      </c>
    </row>
    <row r="515">
      <c r="A515" t="inlineStr">
        <is>
          <t>2026-07-06</t>
        </is>
      </c>
      <c r="B515" t="inlineStr">
        <is>
          <t>F265074</t>
        </is>
      </c>
      <c r="C515" t="inlineStr">
        <is>
          <t>C10267</t>
        </is>
      </c>
      <c r="D515" t="inlineStr">
        <is>
          <t>SKU-10314</t>
        </is>
      </c>
      <c r="E515" t="inlineStr">
        <is>
          <t>AM05</t>
        </is>
      </c>
      <c r="F515" s="5" t="n">
        <v>493.92</v>
      </c>
      <c r="G515">
        <f>IF(LEFT(B515,1)="C","Credit","Factuur")</f>
        <v/>
      </c>
      <c r="H515">
        <f>IF(AND(B515=B514,D515=D514,A515=A514,F515=F514),1,0)</f>
        <v/>
      </c>
      <c r="I515">
        <f>IF(C515="C99999",1,0)</f>
        <v/>
      </c>
      <c r="J515" s="5">
        <f>IF(OR(H515=1,I515=1),0,IF(G515="Credit",-F515,F515))</f>
        <v/>
      </c>
    </row>
    <row r="516">
      <c r="A516" t="inlineStr">
        <is>
          <t>2026-07-06</t>
        </is>
      </c>
      <c r="B516" t="inlineStr">
        <is>
          <t>F265074</t>
        </is>
      </c>
      <c r="C516" t="inlineStr">
        <is>
          <t>C10267</t>
        </is>
      </c>
      <c r="D516" t="inlineStr">
        <is>
          <t>SKU-10328</t>
        </is>
      </c>
      <c r="E516" t="inlineStr">
        <is>
          <t>AM05</t>
        </is>
      </c>
      <c r="F516" s="5" t="n">
        <v>499.84</v>
      </c>
      <c r="G516">
        <f>IF(LEFT(B516,1)="C","Credit","Factuur")</f>
        <v/>
      </c>
      <c r="H516">
        <f>IF(AND(B516=B515,D516=D515,A516=A515,F516=F515),1,0)</f>
        <v/>
      </c>
      <c r="I516">
        <f>IF(C516="C99999",1,0)</f>
        <v/>
      </c>
      <c r="J516" s="5">
        <f>IF(OR(H516=1,I516=1),0,IF(G516="Credit",-F516,F516))</f>
        <v/>
      </c>
    </row>
    <row r="517">
      <c r="A517" t="inlineStr">
        <is>
          <t>2026-07-06</t>
        </is>
      </c>
      <c r="B517" t="inlineStr">
        <is>
          <t>F265632</t>
        </is>
      </c>
      <c r="C517" t="inlineStr">
        <is>
          <t>C10295</t>
        </is>
      </c>
      <c r="D517" t="inlineStr">
        <is>
          <t>SKU-10218</t>
        </is>
      </c>
      <c r="E517" t="inlineStr">
        <is>
          <t>AM08</t>
        </is>
      </c>
      <c r="F517" s="5" t="n">
        <v>567.12</v>
      </c>
      <c r="G517">
        <f>IF(LEFT(B517,1)="C","Credit","Factuur")</f>
        <v/>
      </c>
      <c r="H517">
        <f>IF(AND(B517=B516,D517=D516,A517=A516,F517=F516),1,0)</f>
        <v/>
      </c>
      <c r="I517">
        <f>IF(C517="C99999",1,0)</f>
        <v/>
      </c>
      <c r="J517" s="5">
        <f>IF(OR(H517=1,I517=1),0,IF(G517="Credit",-F517,F517))</f>
        <v/>
      </c>
    </row>
    <row r="518">
      <c r="A518" t="inlineStr">
        <is>
          <t>2026-07-06</t>
        </is>
      </c>
      <c r="B518" t="inlineStr">
        <is>
          <t>F265632</t>
        </is>
      </c>
      <c r="C518" t="inlineStr">
        <is>
          <t>C10295</t>
        </is>
      </c>
      <c r="D518" t="inlineStr">
        <is>
          <t>SKU-10221</t>
        </is>
      </c>
      <c r="E518" t="inlineStr">
        <is>
          <t>AM08</t>
        </is>
      </c>
      <c r="F518" s="5" t="n">
        <v>567.1799999999999</v>
      </c>
      <c r="G518">
        <f>IF(LEFT(B518,1)="C","Credit","Factuur")</f>
        <v/>
      </c>
      <c r="H518">
        <f>IF(AND(B518=B517,D518=D517,A518=A517,F518=F517),1,0)</f>
        <v/>
      </c>
      <c r="I518">
        <f>IF(C518="C99999",1,0)</f>
        <v/>
      </c>
      <c r="J518" s="5">
        <f>IF(OR(H518=1,I518=1),0,IF(G518="Credit",-F518,F518))</f>
        <v/>
      </c>
    </row>
    <row r="519">
      <c r="A519" t="inlineStr">
        <is>
          <t>2026-07-06</t>
        </is>
      </c>
      <c r="B519" t="inlineStr">
        <is>
          <t>F265632</t>
        </is>
      </c>
      <c r="C519" t="inlineStr">
        <is>
          <t>C10295</t>
        </is>
      </c>
      <c r="D519" t="inlineStr">
        <is>
          <t>SKU-10282</t>
        </is>
      </c>
      <c r="E519" t="inlineStr">
        <is>
          <t>AM08</t>
        </is>
      </c>
      <c r="F519" s="5" t="n">
        <v>564.2</v>
      </c>
      <c r="G519">
        <f>IF(LEFT(B519,1)="C","Credit","Factuur")</f>
        <v/>
      </c>
      <c r="H519">
        <f>IF(AND(B519=B518,D519=D518,A519=A518,F519=F518),1,0)</f>
        <v/>
      </c>
      <c r="I519">
        <f>IF(C519="C99999",1,0)</f>
        <v/>
      </c>
      <c r="J519" s="5">
        <f>IF(OR(H519=1,I519=1),0,IF(G519="Credit",-F519,F519))</f>
        <v/>
      </c>
    </row>
    <row r="520">
      <c r="A520" t="inlineStr">
        <is>
          <t>2026-07-06</t>
        </is>
      </c>
      <c r="B520" t="inlineStr">
        <is>
          <t>F267957</t>
        </is>
      </c>
      <c r="C520" t="inlineStr">
        <is>
          <t>C10417</t>
        </is>
      </c>
      <c r="D520" t="inlineStr">
        <is>
          <t>SKU-10094</t>
        </is>
      </c>
      <c r="E520" t="inlineStr">
        <is>
          <t>AM02</t>
        </is>
      </c>
      <c r="F520" s="5" t="n">
        <v>452.8</v>
      </c>
      <c r="G520">
        <f>IF(LEFT(B520,1)="C","Credit","Factuur")</f>
        <v/>
      </c>
      <c r="H520">
        <f>IF(AND(B520=B519,D520=D519,A520=A519,F520=F519),1,0)</f>
        <v/>
      </c>
      <c r="I520">
        <f>IF(C520="C99999",1,0)</f>
        <v/>
      </c>
      <c r="J520" s="5">
        <f>IF(OR(H520=1,I520=1),0,IF(G520="Credit",-F520,F520))</f>
        <v/>
      </c>
    </row>
    <row r="521">
      <c r="A521" t="inlineStr">
        <is>
          <t>2026-07-06</t>
        </is>
      </c>
      <c r="B521" t="inlineStr">
        <is>
          <t>F267957</t>
        </is>
      </c>
      <c r="C521" t="inlineStr">
        <is>
          <t>C10417</t>
        </is>
      </c>
      <c r="D521" t="inlineStr">
        <is>
          <t>SKU-10150</t>
        </is>
      </c>
      <c r="E521" t="inlineStr">
        <is>
          <t>AM02</t>
        </is>
      </c>
      <c r="F521" s="5" t="n">
        <v>394.81</v>
      </c>
      <c r="G521">
        <f>IF(LEFT(B521,1)="C","Credit","Factuur")</f>
        <v/>
      </c>
      <c r="H521">
        <f>IF(AND(B521=B520,D521=D520,A521=A520,F521=F520),1,0)</f>
        <v/>
      </c>
      <c r="I521">
        <f>IF(C521="C99999",1,0)</f>
        <v/>
      </c>
      <c r="J521" s="5">
        <f>IF(OR(H521=1,I521=1),0,IF(G521="Credit",-F521,F521))</f>
        <v/>
      </c>
    </row>
    <row r="522">
      <c r="A522" t="inlineStr">
        <is>
          <t>2026-07-06</t>
        </is>
      </c>
      <c r="B522" t="inlineStr">
        <is>
          <t>F267957</t>
        </is>
      </c>
      <c r="C522" t="inlineStr">
        <is>
          <t>C10417</t>
        </is>
      </c>
      <c r="D522" t="inlineStr">
        <is>
          <t>SKU-10166</t>
        </is>
      </c>
      <c r="E522" t="inlineStr">
        <is>
          <t>AM02</t>
        </is>
      </c>
      <c r="F522" s="5" t="n">
        <v>462.65</v>
      </c>
      <c r="G522">
        <f>IF(LEFT(B522,1)="C","Credit","Factuur")</f>
        <v/>
      </c>
      <c r="H522">
        <f>IF(AND(B522=B521,D522=D521,A522=A521,F522=F521),1,0)</f>
        <v/>
      </c>
      <c r="I522">
        <f>IF(C522="C99999",1,0)</f>
        <v/>
      </c>
      <c r="J522" s="5">
        <f>IF(OR(H522=1,I522=1),0,IF(G522="Credit",-F522,F522))</f>
        <v/>
      </c>
    </row>
    <row r="523">
      <c r="A523" t="inlineStr">
        <is>
          <t>2026-07-06</t>
        </is>
      </c>
      <c r="B523" t="inlineStr">
        <is>
          <t>F267957</t>
        </is>
      </c>
      <c r="C523" t="inlineStr">
        <is>
          <t>C10417</t>
        </is>
      </c>
      <c r="D523" t="inlineStr">
        <is>
          <t>SKU-10204</t>
        </is>
      </c>
      <c r="E523" t="inlineStr">
        <is>
          <t>AM02</t>
        </is>
      </c>
      <c r="F523" s="5" t="n">
        <v>453.2</v>
      </c>
      <c r="G523">
        <f>IF(LEFT(B523,1)="C","Credit","Factuur")</f>
        <v/>
      </c>
      <c r="H523">
        <f>IF(AND(B523=B522,D523=D522,A523=A522,F523=F522),1,0)</f>
        <v/>
      </c>
      <c r="I523">
        <f>IF(C523="C99999",1,0)</f>
        <v/>
      </c>
      <c r="J523" s="5">
        <f>IF(OR(H523=1,I523=1),0,IF(G523="Credit",-F523,F523))</f>
        <v/>
      </c>
    </row>
    <row r="524">
      <c r="A524" t="inlineStr">
        <is>
          <t>2026-07-06</t>
        </is>
      </c>
      <c r="B524" t="inlineStr">
        <is>
          <t>F267957</t>
        </is>
      </c>
      <c r="C524" t="inlineStr">
        <is>
          <t>C10417</t>
        </is>
      </c>
      <c r="D524" t="inlineStr">
        <is>
          <t>SKU-10313</t>
        </is>
      </c>
      <c r="E524" t="inlineStr">
        <is>
          <t>AM02</t>
        </is>
      </c>
      <c r="F524" s="5" t="n">
        <v>458.7</v>
      </c>
      <c r="G524">
        <f>IF(LEFT(B524,1)="C","Credit","Factuur")</f>
        <v/>
      </c>
      <c r="H524">
        <f>IF(AND(B524=B523,D524=D523,A524=A523,F524=F523),1,0)</f>
        <v/>
      </c>
      <c r="I524">
        <f>IF(C524="C99999",1,0)</f>
        <v/>
      </c>
      <c r="J524" s="5">
        <f>IF(OR(H524=1,I524=1),0,IF(G524="Credit",-F524,F524))</f>
        <v/>
      </c>
    </row>
    <row r="525">
      <c r="A525" t="inlineStr">
        <is>
          <t>2026-07-06</t>
        </is>
      </c>
      <c r="B525" t="inlineStr">
        <is>
          <t>F267957</t>
        </is>
      </c>
      <c r="C525" t="inlineStr">
        <is>
          <t>C10417</t>
        </is>
      </c>
      <c r="D525" t="inlineStr">
        <is>
          <t>SKU-10323</t>
        </is>
      </c>
      <c r="E525" t="inlineStr">
        <is>
          <t>AM02</t>
        </is>
      </c>
      <c r="F525" s="5" t="n">
        <v>458.9</v>
      </c>
      <c r="G525">
        <f>IF(LEFT(B525,1)="C","Credit","Factuur")</f>
        <v/>
      </c>
      <c r="H525">
        <f>IF(AND(B525=B524,D525=D524,A525=A524,F525=F524),1,0)</f>
        <v/>
      </c>
      <c r="I525">
        <f>IF(C525="C99999",1,0)</f>
        <v/>
      </c>
      <c r="J525" s="5">
        <f>IF(OR(H525=1,I525=1),0,IF(G525="Credit",-F525,F525))</f>
        <v/>
      </c>
    </row>
    <row r="526">
      <c r="A526" t="inlineStr">
        <is>
          <t>2026-07-06</t>
        </is>
      </c>
      <c r="B526" t="inlineStr">
        <is>
          <t>F267957</t>
        </is>
      </c>
      <c r="C526" t="inlineStr">
        <is>
          <t>C10417</t>
        </is>
      </c>
      <c r="D526" t="inlineStr">
        <is>
          <t>SKU-10333</t>
        </is>
      </c>
      <c r="E526" t="inlineStr">
        <is>
          <t>AM02</t>
        </is>
      </c>
      <c r="F526" s="5" t="n">
        <v>457.38</v>
      </c>
      <c r="G526">
        <f>IF(LEFT(B526,1)="C","Credit","Factuur")</f>
        <v/>
      </c>
      <c r="H526">
        <f>IF(AND(B526=B525,D526=D525,A526=A525,F526=F525),1,0)</f>
        <v/>
      </c>
      <c r="I526">
        <f>IF(C526="C99999",1,0)</f>
        <v/>
      </c>
      <c r="J526" s="5">
        <f>IF(OR(H526=1,I526=1),0,IF(G526="Credit",-F526,F526))</f>
        <v/>
      </c>
    </row>
    <row r="527">
      <c r="A527" t="inlineStr">
        <is>
          <t>2026-07-06</t>
        </is>
      </c>
      <c r="B527" t="inlineStr">
        <is>
          <t>F267957</t>
        </is>
      </c>
      <c r="C527" t="inlineStr">
        <is>
          <t>C10417</t>
        </is>
      </c>
      <c r="D527" t="inlineStr">
        <is>
          <t>SKU-10341</t>
        </is>
      </c>
      <c r="E527" t="inlineStr">
        <is>
          <t>AM02</t>
        </is>
      </c>
      <c r="F527" s="5" t="n">
        <v>442.64</v>
      </c>
      <c r="G527">
        <f>IF(LEFT(B527,1)="C","Credit","Factuur")</f>
        <v/>
      </c>
      <c r="H527">
        <f>IF(AND(B527=B526,D527=D526,A527=A526,F527=F526),1,0)</f>
        <v/>
      </c>
      <c r="I527">
        <f>IF(C527="C99999",1,0)</f>
        <v/>
      </c>
      <c r="J527" s="5">
        <f>IF(OR(H527=1,I527=1),0,IF(G527="Credit",-F527,F527))</f>
        <v/>
      </c>
    </row>
    <row r="528">
      <c r="A528" t="inlineStr">
        <is>
          <t>2026-07-06</t>
        </is>
      </c>
      <c r="B528" t="inlineStr">
        <is>
          <t>F269045</t>
        </is>
      </c>
      <c r="C528" t="inlineStr">
        <is>
          <t>C10471</t>
        </is>
      </c>
      <c r="D528" t="inlineStr">
        <is>
          <t>SKU-10220</t>
        </is>
      </c>
      <c r="E528" t="inlineStr">
        <is>
          <t>AM01</t>
        </is>
      </c>
      <c r="F528" s="5" t="n">
        <v>351.05</v>
      </c>
      <c r="G528">
        <f>IF(LEFT(B528,1)="C","Credit","Factuur")</f>
        <v/>
      </c>
      <c r="H528">
        <f>IF(AND(B528=B527,D528=D527,A528=A527,F528=F527),1,0)</f>
        <v/>
      </c>
      <c r="I528">
        <f>IF(C528="C99999",1,0)</f>
        <v/>
      </c>
      <c r="J528" s="5">
        <f>IF(OR(H528=1,I528=1),0,IF(G528="Credit",-F528,F528))</f>
        <v/>
      </c>
    </row>
    <row r="529">
      <c r="A529" t="inlineStr">
        <is>
          <t>2026-07-06</t>
        </is>
      </c>
      <c r="B529" t="inlineStr">
        <is>
          <t>F269045</t>
        </is>
      </c>
      <c r="C529" t="inlineStr">
        <is>
          <t>C10471</t>
        </is>
      </c>
      <c r="D529" t="inlineStr">
        <is>
          <t>SKU-10309</t>
        </is>
      </c>
      <c r="E529" t="inlineStr">
        <is>
          <t>AM01</t>
        </is>
      </c>
      <c r="F529" s="5" t="n">
        <v>369.68</v>
      </c>
      <c r="G529">
        <f>IF(LEFT(B529,1)="C","Credit","Factuur")</f>
        <v/>
      </c>
      <c r="H529">
        <f>IF(AND(B529=B528,D529=D528,A529=A528,F529=F528),1,0)</f>
        <v/>
      </c>
      <c r="I529">
        <f>IF(C529="C99999",1,0)</f>
        <v/>
      </c>
      <c r="J529" s="5">
        <f>IF(OR(H529=1,I529=1),0,IF(G529="Credit",-F529,F529))</f>
        <v/>
      </c>
    </row>
    <row r="530">
      <c r="A530" t="inlineStr">
        <is>
          <t>2026-07-06</t>
        </is>
      </c>
      <c r="B530" t="inlineStr">
        <is>
          <t>F269112</t>
        </is>
      </c>
      <c r="C530" t="inlineStr">
        <is>
          <t>C10477</t>
        </is>
      </c>
      <c r="D530" t="inlineStr">
        <is>
          <t>SKU-10043</t>
        </is>
      </c>
      <c r="E530" t="inlineStr">
        <is>
          <t>IS01</t>
        </is>
      </c>
      <c r="F530" s="5" t="n">
        <v>89.04000000000001</v>
      </c>
      <c r="G530">
        <f>IF(LEFT(B530,1)="C","Credit","Factuur")</f>
        <v/>
      </c>
      <c r="H530">
        <f>IF(AND(B530=B529,D530=D529,A530=A529,F530=F529),1,0)</f>
        <v/>
      </c>
      <c r="I530">
        <f>IF(C530="C99999",1,0)</f>
        <v/>
      </c>
      <c r="J530" s="5">
        <f>IF(OR(H530=1,I530=1),0,IF(G530="Credit",-F530,F530))</f>
        <v/>
      </c>
    </row>
    <row r="531">
      <c r="A531" t="inlineStr">
        <is>
          <t>2026-07-06</t>
        </is>
      </c>
      <c r="B531" t="inlineStr">
        <is>
          <t>F269112</t>
        </is>
      </c>
      <c r="C531" t="inlineStr">
        <is>
          <t>C10477</t>
        </is>
      </c>
      <c r="D531" t="inlineStr">
        <is>
          <t>SKU-10066</t>
        </is>
      </c>
      <c r="E531" t="inlineStr">
        <is>
          <t>IS01</t>
        </is>
      </c>
      <c r="F531" s="5" t="n">
        <v>90.23999999999999</v>
      </c>
      <c r="G531">
        <f>IF(LEFT(B531,1)="C","Credit","Factuur")</f>
        <v/>
      </c>
      <c r="H531">
        <f>IF(AND(B531=B530,D531=D530,A531=A530,F531=F530),1,0)</f>
        <v/>
      </c>
      <c r="I531">
        <f>IF(C531="C99999",1,0)</f>
        <v/>
      </c>
      <c r="J531" s="5">
        <f>IF(OR(H531=1,I531=1),0,IF(G531="Credit",-F531,F531))</f>
        <v/>
      </c>
    </row>
    <row r="532">
      <c r="A532" t="inlineStr">
        <is>
          <t>2026-07-06</t>
        </is>
      </c>
      <c r="B532" t="inlineStr">
        <is>
          <t>F269112</t>
        </is>
      </c>
      <c r="C532" t="inlineStr">
        <is>
          <t>C10477</t>
        </is>
      </c>
      <c r="D532" t="inlineStr">
        <is>
          <t>SKU-10164</t>
        </is>
      </c>
      <c r="E532" t="inlineStr">
        <is>
          <t>IS01</t>
        </is>
      </c>
      <c r="F532" s="5" t="n">
        <v>93.52</v>
      </c>
      <c r="G532">
        <f>IF(LEFT(B532,1)="C","Credit","Factuur")</f>
        <v/>
      </c>
      <c r="H532">
        <f>IF(AND(B532=B531,D532=D531,A532=A531,F532=F531),1,0)</f>
        <v/>
      </c>
      <c r="I532">
        <f>IF(C532="C99999",1,0)</f>
        <v/>
      </c>
      <c r="J532" s="5">
        <f>IF(OR(H532=1,I532=1),0,IF(G532="Credit",-F532,F532))</f>
        <v/>
      </c>
    </row>
    <row r="533">
      <c r="A533" t="inlineStr">
        <is>
          <t>2026-07-06</t>
        </is>
      </c>
      <c r="B533" t="inlineStr">
        <is>
          <t>F271212</t>
        </is>
      </c>
      <c r="C533" t="inlineStr">
        <is>
          <t>C10583</t>
        </is>
      </c>
      <c r="D533" t="inlineStr">
        <is>
          <t>SKU-10126</t>
        </is>
      </c>
      <c r="E533" t="inlineStr">
        <is>
          <t>AM01</t>
        </is>
      </c>
      <c r="F533" s="5" t="n">
        <v>209.84</v>
      </c>
      <c r="G533">
        <f>IF(LEFT(B533,1)="C","Credit","Factuur")</f>
        <v/>
      </c>
      <c r="H533">
        <f>IF(AND(B533=B532,D533=D532,A533=A532,F533=F532),1,0)</f>
        <v/>
      </c>
      <c r="I533">
        <f>IF(C533="C99999",1,0)</f>
        <v/>
      </c>
      <c r="J533" s="5">
        <f>IF(OR(H533=1,I533=1),0,IF(G533="Credit",-F533,F533))</f>
        <v/>
      </c>
    </row>
    <row r="534">
      <c r="A534" t="inlineStr">
        <is>
          <t>2026-07-06</t>
        </is>
      </c>
      <c r="B534" t="inlineStr">
        <is>
          <t>F271212</t>
        </is>
      </c>
      <c r="C534" t="inlineStr">
        <is>
          <t>C10583</t>
        </is>
      </c>
      <c r="D534" t="inlineStr">
        <is>
          <t>SKU-10213</t>
        </is>
      </c>
      <c r="E534" t="inlineStr">
        <is>
          <t>AM01</t>
        </is>
      </c>
      <c r="F534" s="5" t="n">
        <v>199.07</v>
      </c>
      <c r="G534">
        <f>IF(LEFT(B534,1)="C","Credit","Factuur")</f>
        <v/>
      </c>
      <c r="H534">
        <f>IF(AND(B534=B533,D534=D533,A534=A533,F534=F533),1,0)</f>
        <v/>
      </c>
      <c r="I534">
        <f>IF(C534="C99999",1,0)</f>
        <v/>
      </c>
      <c r="J534" s="5">
        <f>IF(OR(H534=1,I534=1),0,IF(G534="Credit",-F534,F534))</f>
        <v/>
      </c>
    </row>
    <row r="535">
      <c r="A535" t="inlineStr">
        <is>
          <t>2026-07-06</t>
        </is>
      </c>
      <c r="B535" t="inlineStr">
        <is>
          <t>F271212</t>
        </is>
      </c>
      <c r="C535" t="inlineStr">
        <is>
          <t>C10583</t>
        </is>
      </c>
      <c r="D535" t="inlineStr">
        <is>
          <t>SKU-10323</t>
        </is>
      </c>
      <c r="E535" t="inlineStr">
        <is>
          <t>AM01</t>
        </is>
      </c>
      <c r="F535" s="5" t="n">
        <v>194.15</v>
      </c>
      <c r="G535">
        <f>IF(LEFT(B535,1)="C","Credit","Factuur")</f>
        <v/>
      </c>
      <c r="H535">
        <f>IF(AND(B535=B534,D535=D534,A535=A534,F535=F534),1,0)</f>
        <v/>
      </c>
      <c r="I535">
        <f>IF(C535="C99999",1,0)</f>
        <v/>
      </c>
      <c r="J535" s="5">
        <f>IF(OR(H535=1,I535=1),0,IF(G535="Credit",-F535,F535))</f>
        <v/>
      </c>
    </row>
    <row r="536">
      <c r="A536" t="inlineStr">
        <is>
          <t>2026-07-06</t>
        </is>
      </c>
      <c r="B536" t="inlineStr">
        <is>
          <t>F273424</t>
        </is>
      </c>
      <c r="C536" t="inlineStr">
        <is>
          <t>C10702</t>
        </is>
      </c>
      <c r="D536" t="inlineStr">
        <is>
          <t>SKU-10007</t>
        </is>
      </c>
      <c r="E536" t="inlineStr">
        <is>
          <t>AM03</t>
        </is>
      </c>
      <c r="F536" s="5" t="n">
        <v>1797.78</v>
      </c>
      <c r="G536">
        <f>IF(LEFT(B536,1)="C","Credit","Factuur")</f>
        <v/>
      </c>
      <c r="H536">
        <f>IF(AND(B536=B535,D536=D535,A536=A535,F536=F535),1,0)</f>
        <v/>
      </c>
      <c r="I536">
        <f>IF(C536="C99999",1,0)</f>
        <v/>
      </c>
      <c r="J536" s="5">
        <f>IF(OR(H536=1,I536=1),0,IF(G536="Credit",-F536,F536))</f>
        <v/>
      </c>
    </row>
    <row r="537">
      <c r="A537" t="inlineStr">
        <is>
          <t>2026-07-06</t>
        </is>
      </c>
      <c r="B537" t="inlineStr">
        <is>
          <t>F274128</t>
        </is>
      </c>
      <c r="C537" t="inlineStr">
        <is>
          <t>C10747</t>
        </is>
      </c>
      <c r="D537" t="inlineStr">
        <is>
          <t>SKU-10022</t>
        </is>
      </c>
      <c r="E537" t="inlineStr">
        <is>
          <t>AM08</t>
        </is>
      </c>
      <c r="F537" s="5" t="n">
        <v>272.38</v>
      </c>
      <c r="G537">
        <f>IF(LEFT(B537,1)="C","Credit","Factuur")</f>
        <v/>
      </c>
      <c r="H537">
        <f>IF(AND(B537=B536,D537=D536,A537=A536,F537=F536),1,0)</f>
        <v/>
      </c>
      <c r="I537">
        <f>IF(C537="C99999",1,0)</f>
        <v/>
      </c>
      <c r="J537" s="5">
        <f>IF(OR(H537=1,I537=1),0,IF(G537="Credit",-F537,F537))</f>
        <v/>
      </c>
    </row>
    <row r="538">
      <c r="A538" t="inlineStr">
        <is>
          <t>2026-07-06</t>
        </is>
      </c>
      <c r="B538" t="inlineStr">
        <is>
          <t>F274128</t>
        </is>
      </c>
      <c r="C538" t="inlineStr">
        <is>
          <t>C10747</t>
        </is>
      </c>
      <c r="D538" t="inlineStr">
        <is>
          <t>SKU-10102</t>
        </is>
      </c>
      <c r="E538" t="inlineStr">
        <is>
          <t>AM08</t>
        </is>
      </c>
      <c r="F538" s="5" t="n">
        <v>258.72</v>
      </c>
      <c r="G538">
        <f>IF(LEFT(B538,1)="C","Credit","Factuur")</f>
        <v/>
      </c>
      <c r="H538">
        <f>IF(AND(B538=B537,D538=D537,A538=A537,F538=F537),1,0)</f>
        <v/>
      </c>
      <c r="I538">
        <f>IF(C538="C99999",1,0)</f>
        <v/>
      </c>
      <c r="J538" s="5">
        <f>IF(OR(H538=1,I538=1),0,IF(G538="Credit",-F538,F538))</f>
        <v/>
      </c>
    </row>
    <row r="539">
      <c r="A539" t="inlineStr">
        <is>
          <t>2026-07-06</t>
        </is>
      </c>
      <c r="B539" t="inlineStr">
        <is>
          <t>F274128</t>
        </is>
      </c>
      <c r="C539" t="inlineStr">
        <is>
          <t>C10747</t>
        </is>
      </c>
      <c r="D539" t="inlineStr">
        <is>
          <t>SKU-10206</t>
        </is>
      </c>
      <c r="E539" t="inlineStr">
        <is>
          <t>AM08</t>
        </is>
      </c>
      <c r="F539" s="5" t="n">
        <v>250.67</v>
      </c>
      <c r="G539">
        <f>IF(LEFT(B539,1)="C","Credit","Factuur")</f>
        <v/>
      </c>
      <c r="H539">
        <f>IF(AND(B539=B538,D539=D538,A539=A538,F539=F538),1,0)</f>
        <v/>
      </c>
      <c r="I539">
        <f>IF(C539="C99999",1,0)</f>
        <v/>
      </c>
      <c r="J539" s="5">
        <f>IF(OR(H539=1,I539=1),0,IF(G539="Credit",-F539,F539))</f>
        <v/>
      </c>
    </row>
    <row r="540">
      <c r="A540" t="inlineStr">
        <is>
          <t>2026-07-06</t>
        </is>
      </c>
      <c r="B540" t="inlineStr">
        <is>
          <t>F274128</t>
        </is>
      </c>
      <c r="C540" t="inlineStr">
        <is>
          <t>C10747</t>
        </is>
      </c>
      <c r="D540" t="inlineStr">
        <is>
          <t>SKU-10255</t>
        </is>
      </c>
      <c r="E540" t="inlineStr">
        <is>
          <t>AM08</t>
        </is>
      </c>
      <c r="F540" s="5" t="n">
        <v>291.52</v>
      </c>
      <c r="G540">
        <f>IF(LEFT(B540,1)="C","Credit","Factuur")</f>
        <v/>
      </c>
      <c r="H540">
        <f>IF(AND(B540=B539,D540=D539,A540=A539,F540=F539),1,0)</f>
        <v/>
      </c>
      <c r="I540">
        <f>IF(C540="C99999",1,0)</f>
        <v/>
      </c>
      <c r="J540" s="5">
        <f>IF(OR(H540=1,I540=1),0,IF(G540="Credit",-F540,F540))</f>
        <v/>
      </c>
    </row>
    <row r="541">
      <c r="A541" t="inlineStr">
        <is>
          <t>2026-07-06</t>
        </is>
      </c>
      <c r="B541" t="inlineStr">
        <is>
          <t>F274128</t>
        </is>
      </c>
      <c r="C541" t="inlineStr">
        <is>
          <t>C10747</t>
        </is>
      </c>
      <c r="D541" t="inlineStr">
        <is>
          <t>SKU-10257</t>
        </is>
      </c>
      <c r="E541" t="inlineStr">
        <is>
          <t>AM08</t>
        </is>
      </c>
      <c r="F541" s="5" t="n">
        <v>287.4</v>
      </c>
      <c r="G541">
        <f>IF(LEFT(B541,1)="C","Credit","Factuur")</f>
        <v/>
      </c>
      <c r="H541">
        <f>IF(AND(B541=B540,D541=D540,A541=A540,F541=F540),1,0)</f>
        <v/>
      </c>
      <c r="I541">
        <f>IF(C541="C99999",1,0)</f>
        <v/>
      </c>
      <c r="J541" s="5">
        <f>IF(OR(H541=1,I541=1),0,IF(G541="Credit",-F541,F541))</f>
        <v/>
      </c>
    </row>
    <row r="542">
      <c r="A542" t="inlineStr">
        <is>
          <t>2026-07-06</t>
        </is>
      </c>
      <c r="B542" t="inlineStr">
        <is>
          <t>F275709</t>
        </is>
      </c>
      <c r="C542" t="inlineStr">
        <is>
          <t>C10832</t>
        </is>
      </c>
      <c r="D542" t="inlineStr">
        <is>
          <t>SKU-10174</t>
        </is>
      </c>
      <c r="E542" t="inlineStr">
        <is>
          <t>AM05</t>
        </is>
      </c>
      <c r="F542" s="5" t="n">
        <v>478.92</v>
      </c>
      <c r="G542">
        <f>IF(LEFT(B542,1)="C","Credit","Factuur")</f>
        <v/>
      </c>
      <c r="H542">
        <f>IF(AND(B542=B541,D542=D541,A542=A541,F542=F541),1,0)</f>
        <v/>
      </c>
      <c r="I542">
        <f>IF(C542="C99999",1,0)</f>
        <v/>
      </c>
      <c r="J542" s="5">
        <f>IF(OR(H542=1,I542=1),0,IF(G542="Credit",-F542,F542))</f>
        <v/>
      </c>
    </row>
    <row r="543">
      <c r="A543" t="inlineStr">
        <is>
          <t>2026-07-06</t>
        </is>
      </c>
      <c r="B543" t="inlineStr">
        <is>
          <t>F275709</t>
        </is>
      </c>
      <c r="C543" t="inlineStr">
        <is>
          <t>C10832</t>
        </is>
      </c>
      <c r="D543" t="inlineStr">
        <is>
          <t>SKU-10208</t>
        </is>
      </c>
      <c r="E543" t="inlineStr">
        <is>
          <t>AM05</t>
        </is>
      </c>
      <c r="F543" s="5" t="n">
        <v>446.57</v>
      </c>
      <c r="G543">
        <f>IF(LEFT(B543,1)="C","Credit","Factuur")</f>
        <v/>
      </c>
      <c r="H543">
        <f>IF(AND(B543=B542,D543=D542,A543=A542,F543=F542),1,0)</f>
        <v/>
      </c>
      <c r="I543">
        <f>IF(C543="C99999",1,0)</f>
        <v/>
      </c>
      <c r="J543" s="5">
        <f>IF(OR(H543=1,I543=1),0,IF(G543="Credit",-F543,F543))</f>
        <v/>
      </c>
    </row>
    <row r="544">
      <c r="A544" t="inlineStr">
        <is>
          <t>2026-07-06</t>
        </is>
      </c>
      <c r="B544" t="inlineStr">
        <is>
          <t>F276045</t>
        </is>
      </c>
      <c r="C544" t="inlineStr">
        <is>
          <t>C10851</t>
        </is>
      </c>
      <c r="D544" t="inlineStr">
        <is>
          <t>SKU-10120</t>
        </is>
      </c>
      <c r="E544" t="inlineStr">
        <is>
          <t>AM02</t>
        </is>
      </c>
      <c r="F544" s="5" t="n">
        <v>350.49</v>
      </c>
      <c r="G544">
        <f>IF(LEFT(B544,1)="C","Credit","Factuur")</f>
        <v/>
      </c>
      <c r="H544">
        <f>IF(AND(B544=B543,D544=D543,A544=A543,F544=F543),1,0)</f>
        <v/>
      </c>
      <c r="I544">
        <f>IF(C544="C99999",1,0)</f>
        <v/>
      </c>
      <c r="J544" s="5">
        <f>IF(OR(H544=1,I544=1),0,IF(G544="Credit",-F544,F544))</f>
        <v/>
      </c>
    </row>
    <row r="545">
      <c r="A545" t="inlineStr">
        <is>
          <t>2026-07-06</t>
        </is>
      </c>
      <c r="B545" t="inlineStr">
        <is>
          <t>F276045</t>
        </is>
      </c>
      <c r="C545" t="inlineStr">
        <is>
          <t>C10851</t>
        </is>
      </c>
      <c r="D545" t="inlineStr">
        <is>
          <t>SKU-10239</t>
        </is>
      </c>
      <c r="E545" t="inlineStr">
        <is>
          <t>AM02</t>
        </is>
      </c>
      <c r="F545" s="5" t="n">
        <v>313.56</v>
      </c>
      <c r="G545">
        <f>IF(LEFT(B545,1)="C","Credit","Factuur")</f>
        <v/>
      </c>
      <c r="H545">
        <f>IF(AND(B545=B544,D545=D544,A545=A544,F545=F544),1,0)</f>
        <v/>
      </c>
      <c r="I545">
        <f>IF(C545="C99999",1,0)</f>
        <v/>
      </c>
      <c r="J545" s="5">
        <f>IF(OR(H545=1,I545=1),0,IF(G545="Credit",-F545,F545))</f>
        <v/>
      </c>
    </row>
    <row r="546">
      <c r="A546" t="inlineStr">
        <is>
          <t>2026-07-06</t>
        </is>
      </c>
      <c r="B546" t="inlineStr">
        <is>
          <t>F276045</t>
        </is>
      </c>
      <c r="C546" t="inlineStr">
        <is>
          <t>C10851</t>
        </is>
      </c>
      <c r="D546" t="inlineStr">
        <is>
          <t>SKU-10249</t>
        </is>
      </c>
      <c r="E546" t="inlineStr">
        <is>
          <t>AM02</t>
        </is>
      </c>
      <c r="F546" s="5" t="n">
        <v>342.1</v>
      </c>
      <c r="G546">
        <f>IF(LEFT(B546,1)="C","Credit","Factuur")</f>
        <v/>
      </c>
      <c r="H546">
        <f>IF(AND(B546=B545,D546=D545,A546=A545,F546=F545),1,0)</f>
        <v/>
      </c>
      <c r="I546">
        <f>IF(C546="C99999",1,0)</f>
        <v/>
      </c>
      <c r="J546" s="5">
        <f>IF(OR(H546=1,I546=1),0,IF(G546="Credit",-F546,F546))</f>
        <v/>
      </c>
    </row>
    <row r="547">
      <c r="A547" t="inlineStr">
        <is>
          <t>2026-07-06</t>
        </is>
      </c>
      <c r="B547" t="inlineStr">
        <is>
          <t>F276045</t>
        </is>
      </c>
      <c r="C547" t="inlineStr">
        <is>
          <t>C10851</t>
        </is>
      </c>
      <c r="D547" t="inlineStr">
        <is>
          <t>SKU-10284</t>
        </is>
      </c>
      <c r="E547" t="inlineStr">
        <is>
          <t>AM02</t>
        </is>
      </c>
      <c r="F547" s="5" t="n">
        <v>339.75</v>
      </c>
      <c r="G547">
        <f>IF(LEFT(B547,1)="C","Credit","Factuur")</f>
        <v/>
      </c>
      <c r="H547">
        <f>IF(AND(B547=B546,D547=D546,A547=A546,F547=F546),1,0)</f>
        <v/>
      </c>
      <c r="I547">
        <f>IF(C547="C99999",1,0)</f>
        <v/>
      </c>
      <c r="J547" s="5">
        <f>IF(OR(H547=1,I547=1),0,IF(G547="Credit",-F547,F547))</f>
        <v/>
      </c>
    </row>
    <row r="548">
      <c r="A548" t="inlineStr">
        <is>
          <t>2026-07-06</t>
        </is>
      </c>
      <c r="B548" t="inlineStr">
        <is>
          <t>F276202</t>
        </is>
      </c>
      <c r="C548" t="inlineStr">
        <is>
          <t>C10859</t>
        </is>
      </c>
      <c r="D548" t="inlineStr">
        <is>
          <t>SKU-10021</t>
        </is>
      </c>
      <c r="E548" t="inlineStr">
        <is>
          <t>AM02</t>
        </is>
      </c>
      <c r="F548" s="5" t="n">
        <v>1289.85</v>
      </c>
      <c r="G548">
        <f>IF(LEFT(B548,1)="C","Credit","Factuur")</f>
        <v/>
      </c>
      <c r="H548">
        <f>IF(AND(B548=B547,D548=D547,A548=A547,F548=F547),1,0)</f>
        <v/>
      </c>
      <c r="I548">
        <f>IF(C548="C99999",1,0)</f>
        <v/>
      </c>
      <c r="J548" s="5">
        <f>IF(OR(H548=1,I548=1),0,IF(G548="Credit",-F548,F548))</f>
        <v/>
      </c>
    </row>
    <row r="549">
      <c r="A549" t="inlineStr">
        <is>
          <t>2026-07-06</t>
        </is>
      </c>
      <c r="B549" t="inlineStr">
        <is>
          <t>F276451</t>
        </is>
      </c>
      <c r="C549" t="inlineStr">
        <is>
          <t>C10871</t>
        </is>
      </c>
      <c r="D549" t="inlineStr">
        <is>
          <t>SKU-10309</t>
        </is>
      </c>
      <c r="E549" t="inlineStr">
        <is>
          <t>AM02</t>
        </is>
      </c>
      <c r="F549" s="5" t="n">
        <v>739.36</v>
      </c>
      <c r="G549">
        <f>IF(LEFT(B549,1)="C","Credit","Factuur")</f>
        <v/>
      </c>
      <c r="H549">
        <f>IF(AND(B549=B548,D549=D548,A549=A548,F549=F548),1,0)</f>
        <v/>
      </c>
      <c r="I549">
        <f>IF(C549="C99999",1,0)</f>
        <v/>
      </c>
      <c r="J549" s="5">
        <f>IF(OR(H549=1,I549=1),0,IF(G549="Credit",-F549,F549))</f>
        <v/>
      </c>
    </row>
    <row r="550">
      <c r="A550" t="inlineStr">
        <is>
          <t>2026-07-06</t>
        </is>
      </c>
      <c r="B550" t="inlineStr">
        <is>
          <t>F276664</t>
        </is>
      </c>
      <c r="C550" t="inlineStr">
        <is>
          <t>C10883</t>
        </is>
      </c>
      <c r="D550" t="inlineStr">
        <is>
          <t>SKU-10019</t>
        </is>
      </c>
      <c r="E550" t="inlineStr">
        <is>
          <t>AM12</t>
        </is>
      </c>
      <c r="F550" s="5" t="n">
        <v>176.04</v>
      </c>
      <c r="G550">
        <f>IF(LEFT(B550,1)="C","Credit","Factuur")</f>
        <v/>
      </c>
      <c r="H550">
        <f>IF(AND(B550=B549,D550=D549,A550=A549,F550=F549),1,0)</f>
        <v/>
      </c>
      <c r="I550">
        <f>IF(C550="C99999",1,0)</f>
        <v/>
      </c>
      <c r="J550" s="5">
        <f>IF(OR(H550=1,I550=1),0,IF(G550="Credit",-F550,F550))</f>
        <v/>
      </c>
    </row>
    <row r="551">
      <c r="A551" t="inlineStr">
        <is>
          <t>2026-07-06</t>
        </is>
      </c>
      <c r="B551" t="inlineStr">
        <is>
          <t>F276664</t>
        </is>
      </c>
      <c r="C551" t="inlineStr">
        <is>
          <t>C10883</t>
        </is>
      </c>
      <c r="D551" t="inlineStr">
        <is>
          <t>SKU-10045</t>
        </is>
      </c>
      <c r="E551" t="inlineStr">
        <is>
          <t>AM12</t>
        </is>
      </c>
      <c r="F551" s="5" t="n">
        <v>184.82</v>
      </c>
      <c r="G551">
        <f>IF(LEFT(B551,1)="C","Credit","Factuur")</f>
        <v/>
      </c>
      <c r="H551">
        <f>IF(AND(B551=B550,D551=D550,A551=A550,F551=F550),1,0)</f>
        <v/>
      </c>
      <c r="I551">
        <f>IF(C551="C99999",1,0)</f>
        <v/>
      </c>
      <c r="J551" s="5">
        <f>IF(OR(H551=1,I551=1),0,IF(G551="Credit",-F551,F551))</f>
        <v/>
      </c>
    </row>
    <row r="552">
      <c r="A552" t="inlineStr">
        <is>
          <t>2026-07-06</t>
        </is>
      </c>
      <c r="B552" t="inlineStr">
        <is>
          <t>F276664</t>
        </is>
      </c>
      <c r="C552" t="inlineStr">
        <is>
          <t>C10883</t>
        </is>
      </c>
      <c r="D552" t="inlineStr">
        <is>
          <t>SKU-10195</t>
        </is>
      </c>
      <c r="E552" t="inlineStr">
        <is>
          <t>AM12</t>
        </is>
      </c>
      <c r="F552" s="5" t="n">
        <v>166.72</v>
      </c>
      <c r="G552">
        <f>IF(LEFT(B552,1)="C","Credit","Factuur")</f>
        <v/>
      </c>
      <c r="H552">
        <f>IF(AND(B552=B551,D552=D551,A552=A551,F552=F551),1,0)</f>
        <v/>
      </c>
      <c r="I552">
        <f>IF(C552="C99999",1,0)</f>
        <v/>
      </c>
      <c r="J552" s="5">
        <f>IF(OR(H552=1,I552=1),0,IF(G552="Credit",-F552,F552))</f>
        <v/>
      </c>
    </row>
    <row r="553">
      <c r="A553" t="inlineStr">
        <is>
          <t>2026-07-06</t>
        </is>
      </c>
      <c r="B553" t="inlineStr">
        <is>
          <t>F276664</t>
        </is>
      </c>
      <c r="C553" t="inlineStr">
        <is>
          <t>C10883</t>
        </is>
      </c>
      <c r="D553" t="inlineStr">
        <is>
          <t>SKU-10309</t>
        </is>
      </c>
      <c r="E553" t="inlineStr">
        <is>
          <t>AM12</t>
        </is>
      </c>
      <c r="F553" s="5" t="n">
        <v>175.6</v>
      </c>
      <c r="G553">
        <f>IF(LEFT(B553,1)="C","Credit","Factuur")</f>
        <v/>
      </c>
      <c r="H553">
        <f>IF(AND(B553=B552,D553=D552,A553=A552,F553=F552),1,0)</f>
        <v/>
      </c>
      <c r="I553">
        <f>IF(C553="C99999",1,0)</f>
        <v/>
      </c>
      <c r="J553" s="5">
        <f>IF(OR(H553=1,I553=1),0,IF(G553="Credit",-F553,F553))</f>
        <v/>
      </c>
    </row>
    <row r="554">
      <c r="A554" t="inlineStr">
        <is>
          <t>2026-07-06</t>
        </is>
      </c>
      <c r="B554" t="inlineStr">
        <is>
          <t>F277797</t>
        </is>
      </c>
      <c r="C554" t="inlineStr">
        <is>
          <t>C10946</t>
        </is>
      </c>
      <c r="D554" t="inlineStr">
        <is>
          <t>SKU-10378</t>
        </is>
      </c>
      <c r="E554" t="inlineStr">
        <is>
          <t>AM03</t>
        </is>
      </c>
      <c r="F554" s="5" t="n">
        <v>394.82</v>
      </c>
      <c r="G554">
        <f>IF(LEFT(B554,1)="C","Credit","Factuur")</f>
        <v/>
      </c>
      <c r="H554">
        <f>IF(AND(B554=B553,D554=D553,A554=A553,F554=F553),1,0)</f>
        <v/>
      </c>
      <c r="I554">
        <f>IF(C554="C99999",1,0)</f>
        <v/>
      </c>
      <c r="J554" s="5">
        <f>IF(OR(H554=1,I554=1),0,IF(G554="Credit",-F554,F554))</f>
        <v/>
      </c>
    </row>
    <row r="555">
      <c r="A555" t="inlineStr">
        <is>
          <t>2026-07-06</t>
        </is>
      </c>
      <c r="B555" t="inlineStr">
        <is>
          <t>F277813</t>
        </is>
      </c>
      <c r="C555" t="inlineStr">
        <is>
          <t>C10946</t>
        </is>
      </c>
      <c r="D555" t="inlineStr">
        <is>
          <t>SKU-10052</t>
        </is>
      </c>
      <c r="E555" t="inlineStr">
        <is>
          <t>AM03</t>
        </is>
      </c>
      <c r="F555" s="5" t="n">
        <v>263.05</v>
      </c>
      <c r="G555">
        <f>IF(LEFT(B555,1)="C","Credit","Factuur")</f>
        <v/>
      </c>
      <c r="H555">
        <f>IF(AND(B555=B554,D555=D554,A555=A554,F555=F554),1,0)</f>
        <v/>
      </c>
      <c r="I555">
        <f>IF(C555="C99999",1,0)</f>
        <v/>
      </c>
      <c r="J555" s="5">
        <f>IF(OR(H555=1,I555=1),0,IF(G555="Credit",-F555,F555))</f>
        <v/>
      </c>
    </row>
    <row r="556">
      <c r="A556" t="inlineStr">
        <is>
          <t>2026-07-06</t>
        </is>
      </c>
      <c r="B556" t="inlineStr">
        <is>
          <t>F277813</t>
        </is>
      </c>
      <c r="C556" t="inlineStr">
        <is>
          <t>C10946</t>
        </is>
      </c>
      <c r="D556" t="inlineStr">
        <is>
          <t>SKU-10333</t>
        </is>
      </c>
      <c r="E556" t="inlineStr">
        <is>
          <t>AM03</t>
        </is>
      </c>
      <c r="F556" s="5" t="n">
        <v>225.42</v>
      </c>
      <c r="G556">
        <f>IF(LEFT(B556,1)="C","Credit","Factuur")</f>
        <v/>
      </c>
      <c r="H556">
        <f>IF(AND(B556=B555,D556=D555,A556=A555,F556=F555),1,0)</f>
        <v/>
      </c>
      <c r="I556">
        <f>IF(C556="C99999",1,0)</f>
        <v/>
      </c>
      <c r="J556" s="5">
        <f>IF(OR(H556=1,I556=1),0,IF(G556="Credit",-F556,F556))</f>
        <v/>
      </c>
    </row>
    <row r="557">
      <c r="A557" t="inlineStr">
        <is>
          <t>2026-07-06</t>
        </is>
      </c>
      <c r="B557" t="inlineStr">
        <is>
          <t>F277813</t>
        </is>
      </c>
      <c r="C557" t="inlineStr">
        <is>
          <t>C10946</t>
        </is>
      </c>
      <c r="D557" t="inlineStr">
        <is>
          <t>SKU-10372</t>
        </is>
      </c>
      <c r="E557" t="inlineStr">
        <is>
          <t>AM03</t>
        </is>
      </c>
      <c r="F557" s="5" t="n">
        <v>257.98</v>
      </c>
      <c r="G557">
        <f>IF(LEFT(B557,1)="C","Credit","Factuur")</f>
        <v/>
      </c>
      <c r="H557">
        <f>IF(AND(B557=B556,D557=D556,A557=A556,F557=F556),1,0)</f>
        <v/>
      </c>
      <c r="I557">
        <f>IF(C557="C99999",1,0)</f>
        <v/>
      </c>
      <c r="J557" s="5">
        <f>IF(OR(H557=1,I557=1),0,IF(G557="Credit",-F557,F557))</f>
        <v/>
      </c>
    </row>
    <row r="558">
      <c r="A558" t="inlineStr">
        <is>
          <t>2026-07-06</t>
        </is>
      </c>
      <c r="B558" t="inlineStr">
        <is>
          <t>F277933</t>
        </is>
      </c>
      <c r="C558" t="inlineStr">
        <is>
          <t>C10951</t>
        </is>
      </c>
      <c r="D558" t="inlineStr">
        <is>
          <t>SKU-10052</t>
        </is>
      </c>
      <c r="E558" t="inlineStr">
        <is>
          <t>AM06</t>
        </is>
      </c>
      <c r="F558" s="5" t="n">
        <v>3524.87</v>
      </c>
      <c r="G558">
        <f>IF(LEFT(B558,1)="C","Credit","Factuur")</f>
        <v/>
      </c>
      <c r="H558">
        <f>IF(AND(B558=B557,D558=D557,A558=A557,F558=F557),1,0)</f>
        <v/>
      </c>
      <c r="I558">
        <f>IF(C558="C99999",1,0)</f>
        <v/>
      </c>
      <c r="J558" s="5">
        <f>IF(OR(H558=1,I558=1),0,IF(G558="Credit",-F558,F558))</f>
        <v/>
      </c>
    </row>
    <row r="559">
      <c r="A559" t="inlineStr">
        <is>
          <t>2026-07-06</t>
        </is>
      </c>
      <c r="B559" t="inlineStr">
        <is>
          <t>F277933</t>
        </is>
      </c>
      <c r="C559" t="inlineStr">
        <is>
          <t>C10951</t>
        </is>
      </c>
      <c r="D559" t="inlineStr">
        <is>
          <t>SKU-10182</t>
        </is>
      </c>
      <c r="E559" t="inlineStr">
        <is>
          <t>AM06</t>
        </is>
      </c>
      <c r="F559" s="5" t="n">
        <v>3551.18</v>
      </c>
      <c r="G559">
        <f>IF(LEFT(B559,1)="C","Credit","Factuur")</f>
        <v/>
      </c>
      <c r="H559">
        <f>IF(AND(B559=B558,D559=D558,A559=A558,F559=F558),1,0)</f>
        <v/>
      </c>
      <c r="I559">
        <f>IF(C559="C99999",1,0)</f>
        <v/>
      </c>
      <c r="J559" s="5">
        <f>IF(OR(H559=1,I559=1),0,IF(G559="Credit",-F559,F559))</f>
        <v/>
      </c>
    </row>
    <row r="560">
      <c r="A560" t="inlineStr">
        <is>
          <t>2026-07-06</t>
        </is>
      </c>
      <c r="B560" t="inlineStr">
        <is>
          <t>F278017</t>
        </is>
      </c>
      <c r="C560" t="inlineStr">
        <is>
          <t>C10957</t>
        </is>
      </c>
      <c r="D560" t="inlineStr">
        <is>
          <t>SKU-10019</t>
        </is>
      </c>
      <c r="E560" t="inlineStr">
        <is>
          <t>AM06</t>
        </is>
      </c>
      <c r="F560" s="5" t="n">
        <v>250.86</v>
      </c>
      <c r="G560">
        <f>IF(LEFT(B560,1)="C","Credit","Factuur")</f>
        <v/>
      </c>
      <c r="H560">
        <f>IF(AND(B560=B559,D560=D559,A560=A559,F560=F559),1,0)</f>
        <v/>
      </c>
      <c r="I560">
        <f>IF(C560="C99999",1,0)</f>
        <v/>
      </c>
      <c r="J560" s="5">
        <f>IF(OR(H560=1,I560=1),0,IF(G560="Credit",-F560,F560))</f>
        <v/>
      </c>
    </row>
    <row r="561">
      <c r="A561" t="inlineStr">
        <is>
          <t>2026-07-06</t>
        </is>
      </c>
      <c r="B561" t="inlineStr">
        <is>
          <t>F278017</t>
        </is>
      </c>
      <c r="C561" t="inlineStr">
        <is>
          <t>C10957</t>
        </is>
      </c>
      <c r="D561" t="inlineStr">
        <is>
          <t>SKU-10086</t>
        </is>
      </c>
      <c r="E561" t="inlineStr">
        <is>
          <t>AM06</t>
        </is>
      </c>
      <c r="F561" s="5" t="n">
        <v>246.08</v>
      </c>
      <c r="G561">
        <f>IF(LEFT(B561,1)="C","Credit","Factuur")</f>
        <v/>
      </c>
      <c r="H561">
        <f>IF(AND(B561=B560,D561=D560,A561=A560,F561=F560),1,0)</f>
        <v/>
      </c>
      <c r="I561">
        <f>IF(C561="C99999",1,0)</f>
        <v/>
      </c>
      <c r="J561" s="5">
        <f>IF(OR(H561=1,I561=1),0,IF(G561="Credit",-F561,F561))</f>
        <v/>
      </c>
    </row>
    <row r="562">
      <c r="A562" t="inlineStr">
        <is>
          <t>2026-07-06</t>
        </is>
      </c>
      <c r="B562" t="inlineStr">
        <is>
          <t>F278017</t>
        </is>
      </c>
      <c r="C562" t="inlineStr">
        <is>
          <t>C10957</t>
        </is>
      </c>
      <c r="D562" t="inlineStr">
        <is>
          <t>SKU-10136</t>
        </is>
      </c>
      <c r="E562" t="inlineStr">
        <is>
          <t>AM06</t>
        </is>
      </c>
      <c r="F562" s="5" t="n">
        <v>271.41</v>
      </c>
      <c r="G562">
        <f>IF(LEFT(B562,1)="C","Credit","Factuur")</f>
        <v/>
      </c>
      <c r="H562">
        <f>IF(AND(B562=B561,D562=D561,A562=A561,F562=F561),1,0)</f>
        <v/>
      </c>
      <c r="I562">
        <f>IF(C562="C99999",1,0)</f>
        <v/>
      </c>
      <c r="J562" s="5">
        <f>IF(OR(H562=1,I562=1),0,IF(G562="Credit",-F562,F562))</f>
        <v/>
      </c>
    </row>
    <row r="563">
      <c r="A563" t="inlineStr">
        <is>
          <t>2026-07-06</t>
        </is>
      </c>
      <c r="B563" t="inlineStr">
        <is>
          <t>F278032</t>
        </is>
      </c>
      <c r="C563" t="inlineStr">
        <is>
          <t>C10957</t>
        </is>
      </c>
      <c r="D563" t="inlineStr">
        <is>
          <t>SKU-10294</t>
        </is>
      </c>
      <c r="E563" t="inlineStr">
        <is>
          <t>AM06</t>
        </is>
      </c>
      <c r="F563" s="5" t="n">
        <v>884.88</v>
      </c>
      <c r="G563">
        <f>IF(LEFT(B563,1)="C","Credit","Factuur")</f>
        <v/>
      </c>
      <c r="H563">
        <f>IF(AND(B563=B562,D563=D562,A563=A562,F563=F562),1,0)</f>
        <v/>
      </c>
      <c r="I563">
        <f>IF(C563="C99999",1,0)</f>
        <v/>
      </c>
      <c r="J563" s="5">
        <f>IF(OR(H563=1,I563=1),0,IF(G563="Credit",-F563,F563))</f>
        <v/>
      </c>
    </row>
    <row r="564">
      <c r="A564" t="inlineStr">
        <is>
          <t>2026-07-06</t>
        </is>
      </c>
      <c r="B564" t="inlineStr">
        <is>
          <t>F278739</t>
        </is>
      </c>
      <c r="C564" t="inlineStr">
        <is>
          <t>C10994</t>
        </is>
      </c>
      <c r="D564" t="inlineStr">
        <is>
          <t>SKU-10076</t>
        </is>
      </c>
      <c r="E564" t="inlineStr">
        <is>
          <t>AM01</t>
        </is>
      </c>
      <c r="F564" s="5" t="n">
        <v>191.31</v>
      </c>
      <c r="G564">
        <f>IF(LEFT(B564,1)="C","Credit","Factuur")</f>
        <v/>
      </c>
      <c r="H564">
        <f>IF(AND(B564=B563,D564=D563,A564=A563,F564=F563),1,0)</f>
        <v/>
      </c>
      <c r="I564">
        <f>IF(C564="C99999",1,0)</f>
        <v/>
      </c>
      <c r="J564" s="5">
        <f>IF(OR(H564=1,I564=1),0,IF(G564="Credit",-F564,F564))</f>
        <v/>
      </c>
    </row>
    <row r="565">
      <c r="A565" t="inlineStr">
        <is>
          <t>2026-07-06</t>
        </is>
      </c>
      <c r="B565" t="inlineStr">
        <is>
          <t>F278739</t>
        </is>
      </c>
      <c r="C565" t="inlineStr">
        <is>
          <t>C10994</t>
        </is>
      </c>
      <c r="D565" t="inlineStr">
        <is>
          <t>SKU-10096</t>
        </is>
      </c>
      <c r="E565" t="inlineStr">
        <is>
          <t>AM01</t>
        </is>
      </c>
      <c r="F565" s="5" t="n">
        <v>171.63</v>
      </c>
      <c r="G565">
        <f>IF(LEFT(B565,1)="C","Credit","Factuur")</f>
        <v/>
      </c>
      <c r="H565">
        <f>IF(AND(B565=B564,D565=D564,A565=A564,F565=F564),1,0)</f>
        <v/>
      </c>
      <c r="I565">
        <f>IF(C565="C99999",1,0)</f>
        <v/>
      </c>
      <c r="J565" s="5">
        <f>IF(OR(H565=1,I565=1),0,IF(G565="Credit",-F565,F565))</f>
        <v/>
      </c>
    </row>
    <row r="566">
      <c r="A566" t="inlineStr">
        <is>
          <t>2026-07-06</t>
        </is>
      </c>
      <c r="B566" t="inlineStr">
        <is>
          <t>F278739</t>
        </is>
      </c>
      <c r="C566" t="inlineStr">
        <is>
          <t>C10994</t>
        </is>
      </c>
      <c r="D566" t="inlineStr">
        <is>
          <t>SKU-10114</t>
        </is>
      </c>
      <c r="E566" t="inlineStr">
        <is>
          <t>AM01</t>
        </is>
      </c>
      <c r="F566" s="5" t="n">
        <v>160.68</v>
      </c>
      <c r="G566">
        <f>IF(LEFT(B566,1)="C","Credit","Factuur")</f>
        <v/>
      </c>
      <c r="H566">
        <f>IF(AND(B566=B565,D566=D565,A566=A565,F566=F565),1,0)</f>
        <v/>
      </c>
      <c r="I566">
        <f>IF(C566="C99999",1,0)</f>
        <v/>
      </c>
      <c r="J566" s="5">
        <f>IF(OR(H566=1,I566=1),0,IF(G566="Credit",-F566,F566))</f>
        <v/>
      </c>
    </row>
    <row r="567">
      <c r="A567" t="inlineStr">
        <is>
          <t>2026-07-06</t>
        </is>
      </c>
      <c r="B567" t="inlineStr">
        <is>
          <t>F279329</t>
        </is>
      </c>
      <c r="C567" t="inlineStr">
        <is>
          <t>C11026</t>
        </is>
      </c>
      <c r="D567" t="inlineStr">
        <is>
          <t>SKU-10107</t>
        </is>
      </c>
      <c r="E567" t="inlineStr">
        <is>
          <t>AM11</t>
        </is>
      </c>
      <c r="F567" s="5" t="n">
        <v>201.55</v>
      </c>
      <c r="G567">
        <f>IF(LEFT(B567,1)="C","Credit","Factuur")</f>
        <v/>
      </c>
      <c r="H567">
        <f>IF(AND(B567=B566,D567=D566,A567=A566,F567=F566),1,0)</f>
        <v/>
      </c>
      <c r="I567">
        <f>IF(C567="C99999",1,0)</f>
        <v/>
      </c>
      <c r="J567" s="5">
        <f>IF(OR(H567=1,I567=1),0,IF(G567="Credit",-F567,F567))</f>
        <v/>
      </c>
    </row>
    <row r="568">
      <c r="A568" t="inlineStr">
        <is>
          <t>2026-07-06</t>
        </is>
      </c>
      <c r="B568" t="inlineStr">
        <is>
          <t>F279329</t>
        </is>
      </c>
      <c r="C568" t="inlineStr">
        <is>
          <t>C11026</t>
        </is>
      </c>
      <c r="D568" t="inlineStr">
        <is>
          <t>SKU-10280</t>
        </is>
      </c>
      <c r="E568" t="inlineStr">
        <is>
          <t>AM11</t>
        </is>
      </c>
      <c r="F568" s="5" t="n">
        <v>202.19</v>
      </c>
      <c r="G568">
        <f>IF(LEFT(B568,1)="C","Credit","Factuur")</f>
        <v/>
      </c>
      <c r="H568">
        <f>IF(AND(B568=B567,D568=D567,A568=A567,F568=F567),1,0)</f>
        <v/>
      </c>
      <c r="I568">
        <f>IF(C568="C99999",1,0)</f>
        <v/>
      </c>
      <c r="J568" s="5">
        <f>IF(OR(H568=1,I568=1),0,IF(G568="Credit",-F568,F568))</f>
        <v/>
      </c>
    </row>
    <row r="569">
      <c r="A569" t="inlineStr">
        <is>
          <t>2026-07-06</t>
        </is>
      </c>
      <c r="B569" t="inlineStr">
        <is>
          <t>F279329</t>
        </is>
      </c>
      <c r="C569" t="inlineStr">
        <is>
          <t>C11026</t>
        </is>
      </c>
      <c r="D569" t="inlineStr">
        <is>
          <t>SKU-10349</t>
        </is>
      </c>
      <c r="E569" t="inlineStr">
        <is>
          <t>AM11</t>
        </is>
      </c>
      <c r="F569" s="5" t="n">
        <v>176.69</v>
      </c>
      <c r="G569">
        <f>IF(LEFT(B569,1)="C","Credit","Factuur")</f>
        <v/>
      </c>
      <c r="H569">
        <f>IF(AND(B569=B568,D569=D568,A569=A568,F569=F568),1,0)</f>
        <v/>
      </c>
      <c r="I569">
        <f>IF(C569="C99999",1,0)</f>
        <v/>
      </c>
      <c r="J569" s="5">
        <f>IF(OR(H569=1,I569=1),0,IF(G569="Credit",-F569,F569))</f>
        <v/>
      </c>
    </row>
    <row r="570">
      <c r="A570" t="inlineStr">
        <is>
          <t>2026-07-06</t>
        </is>
      </c>
      <c r="B570" t="inlineStr">
        <is>
          <t>F279362</t>
        </is>
      </c>
      <c r="C570" t="inlineStr">
        <is>
          <t>C11027</t>
        </is>
      </c>
      <c r="D570" t="inlineStr">
        <is>
          <t>SKU-10022</t>
        </is>
      </c>
      <c r="E570" t="inlineStr">
        <is>
          <t>AM01</t>
        </is>
      </c>
      <c r="F570" s="5" t="n">
        <v>1003.52</v>
      </c>
      <c r="G570">
        <f>IF(LEFT(B570,1)="C","Credit","Factuur")</f>
        <v/>
      </c>
      <c r="H570">
        <f>IF(AND(B570=B569,D570=D569,A570=A569,F570=F569),1,0)</f>
        <v/>
      </c>
      <c r="I570">
        <f>IF(C570="C99999",1,0)</f>
        <v/>
      </c>
      <c r="J570" s="5">
        <f>IF(OR(H570=1,I570=1),0,IF(G570="Credit",-F570,F570))</f>
        <v/>
      </c>
    </row>
    <row r="571">
      <c r="A571" t="inlineStr">
        <is>
          <t>2026-07-06</t>
        </is>
      </c>
      <c r="B571" t="inlineStr">
        <is>
          <t>F279362</t>
        </is>
      </c>
      <c r="C571" t="inlineStr">
        <is>
          <t>C11027</t>
        </is>
      </c>
      <c r="D571" t="inlineStr">
        <is>
          <t>SKU-10130</t>
        </is>
      </c>
      <c r="E571" t="inlineStr">
        <is>
          <t>AM01</t>
        </is>
      </c>
      <c r="F571" s="5" t="n">
        <v>1009.6</v>
      </c>
      <c r="G571">
        <f>IF(LEFT(B571,1)="C","Credit","Factuur")</f>
        <v/>
      </c>
      <c r="H571">
        <f>IF(AND(B571=B570,D571=D570,A571=A570,F571=F570),1,0)</f>
        <v/>
      </c>
      <c r="I571">
        <f>IF(C571="C99999",1,0)</f>
        <v/>
      </c>
      <c r="J571" s="5">
        <f>IF(OR(H571=1,I571=1),0,IF(G571="Credit",-F571,F571))</f>
        <v/>
      </c>
    </row>
    <row r="572">
      <c r="A572" t="inlineStr">
        <is>
          <t>2026-07-06</t>
        </is>
      </c>
      <c r="B572" t="inlineStr">
        <is>
          <t>F279459</t>
        </is>
      </c>
      <c r="C572" t="inlineStr">
        <is>
          <t>C11032</t>
        </is>
      </c>
      <c r="D572" t="inlineStr">
        <is>
          <t>SKU-10072</t>
        </is>
      </c>
      <c r="E572" t="inlineStr">
        <is>
          <t>AM11</t>
        </is>
      </c>
      <c r="F572" s="5" t="n">
        <v>313.38</v>
      </c>
      <c r="G572">
        <f>IF(LEFT(B572,1)="C","Credit","Factuur")</f>
        <v/>
      </c>
      <c r="H572">
        <f>IF(AND(B572=B571,D572=D571,A572=A571,F572=F571),1,0)</f>
        <v/>
      </c>
      <c r="I572">
        <f>IF(C572="C99999",1,0)</f>
        <v/>
      </c>
      <c r="J572" s="5">
        <f>IF(OR(H572=1,I572=1),0,IF(G572="Credit",-F572,F572))</f>
        <v/>
      </c>
    </row>
    <row r="573">
      <c r="A573" t="inlineStr">
        <is>
          <t>2026-07-06</t>
        </is>
      </c>
      <c r="B573" t="inlineStr">
        <is>
          <t>F279459</t>
        </is>
      </c>
      <c r="C573" t="inlineStr">
        <is>
          <t>C11032</t>
        </is>
      </c>
      <c r="D573" t="inlineStr">
        <is>
          <t>SKU-10076</t>
        </is>
      </c>
      <c r="E573" t="inlineStr">
        <is>
          <t>AM11</t>
        </is>
      </c>
      <c r="F573" s="5" t="n">
        <v>285.6</v>
      </c>
      <c r="G573">
        <f>IF(LEFT(B573,1)="C","Credit","Factuur")</f>
        <v/>
      </c>
      <c r="H573">
        <f>IF(AND(B573=B572,D573=D572,A573=A572,F573=F572),1,0)</f>
        <v/>
      </c>
      <c r="I573">
        <f>IF(C573="C99999",1,0)</f>
        <v/>
      </c>
      <c r="J573" s="5">
        <f>IF(OR(H573=1,I573=1),0,IF(G573="Credit",-F573,F573))</f>
        <v/>
      </c>
    </row>
    <row r="574">
      <c r="A574" t="inlineStr">
        <is>
          <t>2026-07-06</t>
        </is>
      </c>
      <c r="B574" t="inlineStr">
        <is>
          <t>F279459</t>
        </is>
      </c>
      <c r="C574" t="inlineStr">
        <is>
          <t>C11032</t>
        </is>
      </c>
      <c r="D574" t="inlineStr">
        <is>
          <t>SKU-10177</t>
        </is>
      </c>
      <c r="E574" t="inlineStr">
        <is>
          <t>AM11</t>
        </is>
      </c>
      <c r="F574" s="5" t="n">
        <v>286.76</v>
      </c>
      <c r="G574">
        <f>IF(LEFT(B574,1)="C","Credit","Factuur")</f>
        <v/>
      </c>
      <c r="H574">
        <f>IF(AND(B574=B573,D574=D573,A574=A573,F574=F573),1,0)</f>
        <v/>
      </c>
      <c r="I574">
        <f>IF(C574="C99999",1,0)</f>
        <v/>
      </c>
      <c r="J574" s="5">
        <f>IF(OR(H574=1,I574=1),0,IF(G574="Credit",-F574,F574))</f>
        <v/>
      </c>
    </row>
    <row r="575">
      <c r="A575" t="inlineStr">
        <is>
          <t>2026-07-06</t>
        </is>
      </c>
      <c r="B575" t="inlineStr">
        <is>
          <t>F279459</t>
        </is>
      </c>
      <c r="C575" t="inlineStr">
        <is>
          <t>C11032</t>
        </is>
      </c>
      <c r="D575" t="inlineStr">
        <is>
          <t>SKU-10309</t>
        </is>
      </c>
      <c r="E575" t="inlineStr">
        <is>
          <t>AM11</t>
        </is>
      </c>
      <c r="F575" s="5" t="n">
        <v>277.26</v>
      </c>
      <c r="G575">
        <f>IF(LEFT(B575,1)="C","Credit","Factuur")</f>
        <v/>
      </c>
      <c r="H575">
        <f>IF(AND(B575=B574,D575=D574,A575=A574,F575=F574),1,0)</f>
        <v/>
      </c>
      <c r="I575">
        <f>IF(C575="C99999",1,0)</f>
        <v/>
      </c>
      <c r="J575" s="5">
        <f>IF(OR(H575=1,I575=1),0,IF(G575="Credit",-F575,F575))</f>
        <v/>
      </c>
    </row>
    <row r="576">
      <c r="A576" t="inlineStr">
        <is>
          <t>2026-07-06</t>
        </is>
      </c>
      <c r="B576" t="inlineStr">
        <is>
          <t>F281385</t>
        </is>
      </c>
      <c r="C576" t="inlineStr">
        <is>
          <t>C11127</t>
        </is>
      </c>
      <c r="D576" t="inlineStr">
        <is>
          <t>SKU-10207</t>
        </is>
      </c>
      <c r="E576" t="inlineStr">
        <is>
          <t>AM03</t>
        </is>
      </c>
      <c r="F576" s="5" t="n">
        <v>380.16</v>
      </c>
      <c r="G576">
        <f>IF(LEFT(B576,1)="C","Credit","Factuur")</f>
        <v/>
      </c>
      <c r="H576">
        <f>IF(AND(B576=B575,D576=D575,A576=A575,F576=F575),1,0)</f>
        <v/>
      </c>
      <c r="I576">
        <f>IF(C576="C99999",1,0)</f>
        <v/>
      </c>
      <c r="J576" s="5">
        <f>IF(OR(H576=1,I576=1),0,IF(G576="Credit",-F576,F576))</f>
        <v/>
      </c>
    </row>
    <row r="577">
      <c r="A577" t="inlineStr">
        <is>
          <t>2026-07-06</t>
        </is>
      </c>
      <c r="B577" t="inlineStr">
        <is>
          <t>F281385</t>
        </is>
      </c>
      <c r="C577" t="inlineStr">
        <is>
          <t>C11127</t>
        </is>
      </c>
      <c r="D577" t="inlineStr">
        <is>
          <t>SKU-10319</t>
        </is>
      </c>
      <c r="E577" t="inlineStr">
        <is>
          <t>AM03</t>
        </is>
      </c>
      <c r="F577" s="5" t="n">
        <v>357.41</v>
      </c>
      <c r="G577">
        <f>IF(LEFT(B577,1)="C","Credit","Factuur")</f>
        <v/>
      </c>
      <c r="H577">
        <f>IF(AND(B577=B576,D577=D576,A577=A576,F577=F576),1,0)</f>
        <v/>
      </c>
      <c r="I577">
        <f>IF(C577="C99999",1,0)</f>
        <v/>
      </c>
      <c r="J577" s="5">
        <f>IF(OR(H577=1,I577=1),0,IF(G577="Credit",-F577,F577))</f>
        <v/>
      </c>
    </row>
    <row r="578">
      <c r="A578" t="inlineStr">
        <is>
          <t>2026-07-06</t>
        </is>
      </c>
      <c r="B578" t="inlineStr">
        <is>
          <t>F282654</t>
        </is>
      </c>
      <c r="C578" t="inlineStr">
        <is>
          <t>C11189</t>
        </is>
      </c>
      <c r="D578" t="inlineStr">
        <is>
          <t>SKU-10108</t>
        </is>
      </c>
      <c r="E578" t="inlineStr">
        <is>
          <t>AM02</t>
        </is>
      </c>
      <c r="F578" s="5" t="n">
        <v>371.72</v>
      </c>
      <c r="G578">
        <f>IF(LEFT(B578,1)="C","Credit","Factuur")</f>
        <v/>
      </c>
      <c r="H578">
        <f>IF(AND(B578=B577,D578=D577,A578=A577,F578=F577),1,0)</f>
        <v/>
      </c>
      <c r="I578">
        <f>IF(C578="C99999",1,0)</f>
        <v/>
      </c>
      <c r="J578" s="5">
        <f>IF(OR(H578=1,I578=1),0,IF(G578="Credit",-F578,F578))</f>
        <v/>
      </c>
    </row>
    <row r="579">
      <c r="A579" t="inlineStr">
        <is>
          <t>2026-07-06</t>
        </is>
      </c>
      <c r="B579" t="inlineStr">
        <is>
          <t>F282654</t>
        </is>
      </c>
      <c r="C579" t="inlineStr">
        <is>
          <t>C11189</t>
        </is>
      </c>
      <c r="D579" t="inlineStr">
        <is>
          <t>SKU-10320</t>
        </is>
      </c>
      <c r="E579" t="inlineStr">
        <is>
          <t>AM02</t>
        </is>
      </c>
      <c r="F579" s="5" t="n">
        <v>346.39</v>
      </c>
      <c r="G579">
        <f>IF(LEFT(B579,1)="C","Credit","Factuur")</f>
        <v/>
      </c>
      <c r="H579">
        <f>IF(AND(B579=B578,D579=D578,A579=A578,F579=F578),1,0)</f>
        <v/>
      </c>
      <c r="I579">
        <f>IF(C579="C99999",1,0)</f>
        <v/>
      </c>
      <c r="J579" s="5">
        <f>IF(OR(H579=1,I579=1),0,IF(G579="Credit",-F579,F579))</f>
        <v/>
      </c>
    </row>
    <row r="580">
      <c r="A580" t="inlineStr">
        <is>
          <t>2026-07-06</t>
        </is>
      </c>
      <c r="B580" t="inlineStr">
        <is>
          <t>F282852</t>
        </is>
      </c>
      <c r="C580" t="inlineStr">
        <is>
          <t>C11200</t>
        </is>
      </c>
      <c r="D580" t="inlineStr">
        <is>
          <t>SKU-10034</t>
        </is>
      </c>
      <c r="E580" t="inlineStr">
        <is>
          <t>AM11</t>
        </is>
      </c>
      <c r="F580" s="5" t="n">
        <v>132.33</v>
      </c>
      <c r="G580">
        <f>IF(LEFT(B580,1)="C","Credit","Factuur")</f>
        <v/>
      </c>
      <c r="H580">
        <f>IF(AND(B580=B579,D580=D579,A580=A579,F580=F579),1,0)</f>
        <v/>
      </c>
      <c r="I580">
        <f>IF(C580="C99999",1,0)</f>
        <v/>
      </c>
      <c r="J580" s="5">
        <f>IF(OR(H580=1,I580=1),0,IF(G580="Credit",-F580,F580))</f>
        <v/>
      </c>
    </row>
    <row r="581">
      <c r="A581" t="inlineStr">
        <is>
          <t>2026-07-06</t>
        </is>
      </c>
      <c r="B581" t="inlineStr">
        <is>
          <t>F282852</t>
        </is>
      </c>
      <c r="C581" t="inlineStr">
        <is>
          <t>C11200</t>
        </is>
      </c>
      <c r="D581" t="inlineStr">
        <is>
          <t>SKU-10094</t>
        </is>
      </c>
      <c r="E581" t="inlineStr">
        <is>
          <t>AM11</t>
        </is>
      </c>
      <c r="F581" s="5" t="n">
        <v>101.88</v>
      </c>
      <c r="G581">
        <f>IF(LEFT(B581,1)="C","Credit","Factuur")</f>
        <v/>
      </c>
      <c r="H581">
        <f>IF(AND(B581=B580,D581=D580,A581=A580,F581=F580),1,0)</f>
        <v/>
      </c>
      <c r="I581">
        <f>IF(C581="C99999",1,0)</f>
        <v/>
      </c>
      <c r="J581" s="5">
        <f>IF(OR(H581=1,I581=1),0,IF(G581="Credit",-F581,F581))</f>
        <v/>
      </c>
    </row>
    <row r="582">
      <c r="A582" t="inlineStr">
        <is>
          <t>2026-07-06</t>
        </is>
      </c>
      <c r="B582" t="inlineStr">
        <is>
          <t>F282852</t>
        </is>
      </c>
      <c r="C582" t="inlineStr">
        <is>
          <t>C11200</t>
        </is>
      </c>
      <c r="D582" t="inlineStr">
        <is>
          <t>SKU-10236</t>
        </is>
      </c>
      <c r="E582" t="inlineStr">
        <is>
          <t>AM11</t>
        </is>
      </c>
      <c r="F582" s="5" t="n">
        <v>111.19</v>
      </c>
      <c r="G582">
        <f>IF(LEFT(B582,1)="C","Credit","Factuur")</f>
        <v/>
      </c>
      <c r="H582">
        <f>IF(AND(B582=B581,D582=D581,A582=A581,F582=F581),1,0)</f>
        <v/>
      </c>
      <c r="I582">
        <f>IF(C582="C99999",1,0)</f>
        <v/>
      </c>
      <c r="J582" s="5">
        <f>IF(OR(H582=1,I582=1),0,IF(G582="Credit",-F582,F582))</f>
        <v/>
      </c>
    </row>
    <row r="583">
      <c r="A583" t="inlineStr">
        <is>
          <t>2026-07-06</t>
        </is>
      </c>
      <c r="B583" t="inlineStr">
        <is>
          <t>F282852</t>
        </is>
      </c>
      <c r="C583" t="inlineStr">
        <is>
          <t>C11200</t>
        </is>
      </c>
      <c r="D583" t="inlineStr">
        <is>
          <t>SKU-10262</t>
        </is>
      </c>
      <c r="E583" t="inlineStr">
        <is>
          <t>AM11</t>
        </is>
      </c>
      <c r="F583" s="5" t="n">
        <v>107.65</v>
      </c>
      <c r="G583">
        <f>IF(LEFT(B583,1)="C","Credit","Factuur")</f>
        <v/>
      </c>
      <c r="H583">
        <f>IF(AND(B583=B582,D583=D582,A583=A582,F583=F582),1,0)</f>
        <v/>
      </c>
      <c r="I583">
        <f>IF(C583="C99999",1,0)</f>
        <v/>
      </c>
      <c r="J583" s="5">
        <f>IF(OR(H583=1,I583=1),0,IF(G583="Credit",-F583,F583))</f>
        <v/>
      </c>
    </row>
    <row r="584">
      <c r="A584" t="inlineStr">
        <is>
          <t>2026-07-06</t>
        </is>
      </c>
      <c r="B584" t="inlineStr">
        <is>
          <t>F282852</t>
        </is>
      </c>
      <c r="C584" t="inlineStr">
        <is>
          <t>C11200</t>
        </is>
      </c>
      <c r="D584" t="inlineStr">
        <is>
          <t>SKU-10337</t>
        </is>
      </c>
      <c r="E584" t="inlineStr">
        <is>
          <t>AM11</t>
        </is>
      </c>
      <c r="F584" s="5" t="n">
        <v>105.25</v>
      </c>
      <c r="G584">
        <f>IF(LEFT(B584,1)="C","Credit","Factuur")</f>
        <v/>
      </c>
      <c r="H584">
        <f>IF(AND(B584=B583,D584=D583,A584=A583,F584=F583),1,0)</f>
        <v/>
      </c>
      <c r="I584">
        <f>IF(C584="C99999",1,0)</f>
        <v/>
      </c>
      <c r="J584" s="5">
        <f>IF(OR(H584=1,I584=1),0,IF(G584="Credit",-F584,F584))</f>
        <v/>
      </c>
    </row>
    <row r="585">
      <c r="A585" t="inlineStr">
        <is>
          <t>2026-07-06</t>
        </is>
      </c>
      <c r="B585" t="inlineStr">
        <is>
          <t>F285163</t>
        </is>
      </c>
      <c r="C585" t="inlineStr">
        <is>
          <t>C11319</t>
        </is>
      </c>
      <c r="D585" t="inlineStr">
        <is>
          <t>SKU-10124</t>
        </is>
      </c>
      <c r="E585" t="inlineStr">
        <is>
          <t>AM02</t>
        </is>
      </c>
      <c r="F585" s="5" t="n">
        <v>218.43</v>
      </c>
      <c r="G585">
        <f>IF(LEFT(B585,1)="C","Credit","Factuur")</f>
        <v/>
      </c>
      <c r="H585">
        <f>IF(AND(B585=B584,D585=D584,A585=A584,F585=F584),1,0)</f>
        <v/>
      </c>
      <c r="I585">
        <f>IF(C585="C99999",1,0)</f>
        <v/>
      </c>
      <c r="J585" s="5">
        <f>IF(OR(H585=1,I585=1),0,IF(G585="Credit",-F585,F585))</f>
        <v/>
      </c>
    </row>
    <row r="586">
      <c r="A586" t="inlineStr">
        <is>
          <t>2026-07-06</t>
        </is>
      </c>
      <c r="B586" t="inlineStr">
        <is>
          <t>F285163</t>
        </is>
      </c>
      <c r="C586" t="inlineStr">
        <is>
          <t>C11319</t>
        </is>
      </c>
      <c r="D586" t="inlineStr">
        <is>
          <t>SKU-10241</t>
        </is>
      </c>
      <c r="E586" t="inlineStr">
        <is>
          <t>AM02</t>
        </is>
      </c>
      <c r="F586" s="5" t="n">
        <v>235.08</v>
      </c>
      <c r="G586">
        <f>IF(LEFT(B586,1)="C","Credit","Factuur")</f>
        <v/>
      </c>
      <c r="H586">
        <f>IF(AND(B586=B585,D586=D585,A586=A585,F586=F585),1,0)</f>
        <v/>
      </c>
      <c r="I586">
        <f>IF(C586="C99999",1,0)</f>
        <v/>
      </c>
      <c r="J586" s="5">
        <f>IF(OR(H586=1,I586=1),0,IF(G586="Credit",-F586,F586))</f>
        <v/>
      </c>
    </row>
    <row r="587">
      <c r="A587" t="inlineStr">
        <is>
          <t>2026-07-06</t>
        </is>
      </c>
      <c r="B587" t="inlineStr">
        <is>
          <t>F285251</t>
        </is>
      </c>
      <c r="C587" t="inlineStr">
        <is>
          <t>C11322</t>
        </is>
      </c>
      <c r="D587" t="inlineStr">
        <is>
          <t>SKU-10050</t>
        </is>
      </c>
      <c r="E587" t="inlineStr">
        <is>
          <t>AM05</t>
        </is>
      </c>
      <c r="F587" s="5" t="n">
        <v>320.58</v>
      </c>
      <c r="G587">
        <f>IF(LEFT(B587,1)="C","Credit","Factuur")</f>
        <v/>
      </c>
      <c r="H587">
        <f>IF(AND(B587=B586,D587=D586,A587=A586,F587=F586),1,0)</f>
        <v/>
      </c>
      <c r="I587">
        <f>IF(C587="C99999",1,0)</f>
        <v/>
      </c>
      <c r="J587" s="5">
        <f>IF(OR(H587=1,I587=1),0,IF(G587="Credit",-F587,F587))</f>
        <v/>
      </c>
    </row>
    <row r="588">
      <c r="A588" t="inlineStr">
        <is>
          <t>2026-07-06</t>
        </is>
      </c>
      <c r="B588" t="inlineStr">
        <is>
          <t>F285251</t>
        </is>
      </c>
      <c r="C588" t="inlineStr">
        <is>
          <t>C11322</t>
        </is>
      </c>
      <c r="D588" t="inlineStr">
        <is>
          <t>SKU-10209</t>
        </is>
      </c>
      <c r="E588" t="inlineStr">
        <is>
          <t>AM05</t>
        </is>
      </c>
      <c r="F588" s="5" t="n">
        <v>305.28</v>
      </c>
      <c r="G588">
        <f>IF(LEFT(B588,1)="C","Credit","Factuur")</f>
        <v/>
      </c>
      <c r="H588">
        <f>IF(AND(B588=B587,D588=D587,A588=A587,F588=F587),1,0)</f>
        <v/>
      </c>
      <c r="I588">
        <f>IF(C588="C99999",1,0)</f>
        <v/>
      </c>
      <c r="J588" s="5">
        <f>IF(OR(H588=1,I588=1),0,IF(G588="Credit",-F588,F588))</f>
        <v/>
      </c>
    </row>
    <row r="589">
      <c r="A589" t="inlineStr">
        <is>
          <t>2026-07-06</t>
        </is>
      </c>
      <c r="B589" t="inlineStr">
        <is>
          <t>F285658</t>
        </is>
      </c>
      <c r="C589" t="inlineStr">
        <is>
          <t>C11340</t>
        </is>
      </c>
      <c r="D589" t="inlineStr">
        <is>
          <t>SKU-10027</t>
        </is>
      </c>
      <c r="E589" t="inlineStr">
        <is>
          <t>AM07</t>
        </is>
      </c>
      <c r="F589" s="5" t="n">
        <v>315.44</v>
      </c>
      <c r="G589">
        <f>IF(LEFT(B589,1)="C","Credit","Factuur")</f>
        <v/>
      </c>
      <c r="H589">
        <f>IF(AND(B589=B588,D589=D588,A589=A588,F589=F588),1,0)</f>
        <v/>
      </c>
      <c r="I589">
        <f>IF(C589="C99999",1,0)</f>
        <v/>
      </c>
      <c r="J589" s="5">
        <f>IF(OR(H589=1,I589=1),0,IF(G589="Credit",-F589,F589))</f>
        <v/>
      </c>
    </row>
    <row r="590">
      <c r="A590" t="inlineStr">
        <is>
          <t>2026-07-06</t>
        </is>
      </c>
      <c r="B590" t="inlineStr">
        <is>
          <t>F285658</t>
        </is>
      </c>
      <c r="C590" t="inlineStr">
        <is>
          <t>C11340</t>
        </is>
      </c>
      <c r="D590" t="inlineStr">
        <is>
          <t>SKU-10109</t>
        </is>
      </c>
      <c r="E590" t="inlineStr">
        <is>
          <t>AM07</t>
        </is>
      </c>
      <c r="F590" s="5" t="n">
        <v>285.3</v>
      </c>
      <c r="G590">
        <f>IF(LEFT(B590,1)="C","Credit","Factuur")</f>
        <v/>
      </c>
      <c r="H590">
        <f>IF(AND(B590=B589,D590=D589,A590=A589,F590=F589),1,0)</f>
        <v/>
      </c>
      <c r="I590">
        <f>IF(C590="C99999",1,0)</f>
        <v/>
      </c>
      <c r="J590" s="5">
        <f>IF(OR(H590=1,I590=1),0,IF(G590="Credit",-F590,F590))</f>
        <v/>
      </c>
    </row>
    <row r="591">
      <c r="A591" t="inlineStr">
        <is>
          <t>2026-07-06</t>
        </is>
      </c>
      <c r="B591" t="inlineStr">
        <is>
          <t>F285943</t>
        </is>
      </c>
      <c r="C591" t="inlineStr">
        <is>
          <t>C11359</t>
        </is>
      </c>
      <c r="D591" t="inlineStr">
        <is>
          <t>SKU-10323</t>
        </is>
      </c>
      <c r="E591" t="inlineStr">
        <is>
          <t>AM11</t>
        </is>
      </c>
      <c r="F591" s="5" t="n">
        <v>184.44</v>
      </c>
      <c r="G591">
        <f>IF(LEFT(B591,1)="C","Credit","Factuur")</f>
        <v/>
      </c>
      <c r="H591">
        <f>IF(AND(B591=B590,D591=D590,A591=A590,F591=F590),1,0)</f>
        <v/>
      </c>
      <c r="I591">
        <f>IF(C591="C99999",1,0)</f>
        <v/>
      </c>
      <c r="J591" s="5">
        <f>IF(OR(H591=1,I591=1),0,IF(G591="Credit",-F591,F591))</f>
        <v/>
      </c>
    </row>
    <row r="592">
      <c r="A592" t="inlineStr">
        <is>
          <t>2026-07-06</t>
        </is>
      </c>
      <c r="B592" t="inlineStr">
        <is>
          <t>F285943</t>
        </is>
      </c>
      <c r="C592" t="inlineStr">
        <is>
          <t>C11359</t>
        </is>
      </c>
      <c r="D592" t="inlineStr">
        <is>
          <t>SKU-10352</t>
        </is>
      </c>
      <c r="E592" t="inlineStr">
        <is>
          <t>AM11</t>
        </is>
      </c>
      <c r="F592" s="5" t="n">
        <v>157.99</v>
      </c>
      <c r="G592">
        <f>IF(LEFT(B592,1)="C","Credit","Factuur")</f>
        <v/>
      </c>
      <c r="H592">
        <f>IF(AND(B592=B591,D592=D591,A592=A591,F592=F591),1,0)</f>
        <v/>
      </c>
      <c r="I592">
        <f>IF(C592="C99999",1,0)</f>
        <v/>
      </c>
      <c r="J592" s="5">
        <f>IF(OR(H592=1,I592=1),0,IF(G592="Credit",-F592,F592))</f>
        <v/>
      </c>
    </row>
    <row r="593">
      <c r="A593" t="inlineStr">
        <is>
          <t>2026-07-06</t>
        </is>
      </c>
      <c r="B593" t="inlineStr">
        <is>
          <t>F286060</t>
        </is>
      </c>
      <c r="C593" t="inlineStr">
        <is>
          <t>C11363</t>
        </is>
      </c>
      <c r="D593" t="inlineStr">
        <is>
          <t>SKU-10033</t>
        </is>
      </c>
      <c r="E593" t="inlineStr">
        <is>
          <t>AM09</t>
        </is>
      </c>
      <c r="F593" s="5" t="n">
        <v>53.85</v>
      </c>
      <c r="G593">
        <f>IF(LEFT(B593,1)="C","Credit","Factuur")</f>
        <v/>
      </c>
      <c r="H593">
        <f>IF(AND(B593=B592,D593=D592,A593=A592,F593=F592),1,0)</f>
        <v/>
      </c>
      <c r="I593">
        <f>IF(C593="C99999",1,0)</f>
        <v/>
      </c>
      <c r="J593" s="5">
        <f>IF(OR(H593=1,I593=1),0,IF(G593="Credit",-F593,F593))</f>
        <v/>
      </c>
    </row>
    <row r="594">
      <c r="A594" t="inlineStr">
        <is>
          <t>2026-07-06</t>
        </is>
      </c>
      <c r="B594" t="inlineStr">
        <is>
          <t>F286060</t>
        </is>
      </c>
      <c r="C594" t="inlineStr">
        <is>
          <t>C11363</t>
        </is>
      </c>
      <c r="D594" t="inlineStr">
        <is>
          <t>SKU-10066</t>
        </is>
      </c>
      <c r="E594" t="inlineStr">
        <is>
          <t>AM09</t>
        </is>
      </c>
      <c r="F594" s="5" t="n">
        <v>52.64</v>
      </c>
      <c r="G594">
        <f>IF(LEFT(B594,1)="C","Credit","Factuur")</f>
        <v/>
      </c>
      <c r="H594">
        <f>IF(AND(B594=B593,D594=D593,A594=A593,F594=F593),1,0)</f>
        <v/>
      </c>
      <c r="I594">
        <f>IF(C594="C99999",1,0)</f>
        <v/>
      </c>
      <c r="J594" s="5">
        <f>IF(OR(H594=1,I594=1),0,IF(G594="Credit",-F594,F594))</f>
        <v/>
      </c>
    </row>
    <row r="595">
      <c r="A595" t="inlineStr">
        <is>
          <t>2026-07-06</t>
        </is>
      </c>
      <c r="B595" t="inlineStr">
        <is>
          <t>F286060</t>
        </is>
      </c>
      <c r="C595" t="inlineStr">
        <is>
          <t>C11363</t>
        </is>
      </c>
      <c r="D595" t="inlineStr">
        <is>
          <t>SKU-10169</t>
        </is>
      </c>
      <c r="E595" t="inlineStr"/>
      <c r="F595" s="5" t="n">
        <v>52.46</v>
      </c>
      <c r="G595">
        <f>IF(LEFT(B595,1)="C","Credit","Factuur")</f>
        <v/>
      </c>
      <c r="H595">
        <f>IF(AND(B595=B594,D595=D594,A595=A594,F595=F594),1,0)</f>
        <v/>
      </c>
      <c r="I595">
        <f>IF(C595="C99999",1,0)</f>
        <v/>
      </c>
      <c r="J595" s="5">
        <f>IF(OR(H595=1,I595=1),0,IF(G595="Credit",-F595,F595))</f>
        <v/>
      </c>
    </row>
    <row r="596">
      <c r="A596" t="inlineStr">
        <is>
          <t>2026-07-06</t>
        </is>
      </c>
      <c r="B596" t="inlineStr">
        <is>
          <t>F286060</t>
        </is>
      </c>
      <c r="C596" t="inlineStr">
        <is>
          <t>C11363</t>
        </is>
      </c>
      <c r="D596" t="inlineStr">
        <is>
          <t>SKU-10220</t>
        </is>
      </c>
      <c r="E596" t="inlineStr">
        <is>
          <t>AM09</t>
        </is>
      </c>
      <c r="F596" s="5" t="n">
        <v>50.15</v>
      </c>
      <c r="G596">
        <f>IF(LEFT(B596,1)="C","Credit","Factuur")</f>
        <v/>
      </c>
      <c r="H596">
        <f>IF(AND(B596=B595,D596=D595,A596=A595,F596=F595),1,0)</f>
        <v/>
      </c>
      <c r="I596">
        <f>IF(C596="C99999",1,0)</f>
        <v/>
      </c>
      <c r="J596" s="5">
        <f>IF(OR(H596=1,I596=1),0,IF(G596="Credit",-F596,F596))</f>
        <v/>
      </c>
    </row>
    <row r="597">
      <c r="A597" t="inlineStr">
        <is>
          <t>2026-07-06</t>
        </is>
      </c>
      <c r="B597" t="inlineStr">
        <is>
          <t>F286060</t>
        </is>
      </c>
      <c r="C597" t="inlineStr">
        <is>
          <t>C11363</t>
        </is>
      </c>
      <c r="D597" t="inlineStr">
        <is>
          <t>SKU-10316</t>
        </is>
      </c>
      <c r="E597" t="inlineStr">
        <is>
          <t>AM09</t>
        </is>
      </c>
      <c r="F597" s="5" t="n">
        <v>57.38</v>
      </c>
      <c r="G597">
        <f>IF(LEFT(B597,1)="C","Credit","Factuur")</f>
        <v/>
      </c>
      <c r="H597">
        <f>IF(AND(B597=B596,D597=D596,A597=A596,F597=F596),1,0)</f>
        <v/>
      </c>
      <c r="I597">
        <f>IF(C597="C99999",1,0)</f>
        <v/>
      </c>
      <c r="J597" s="5">
        <f>IF(OR(H597=1,I597=1),0,IF(G597="Credit",-F597,F597))</f>
        <v/>
      </c>
    </row>
    <row r="598">
      <c r="A598" t="inlineStr">
        <is>
          <t>2026-07-07</t>
        </is>
      </c>
      <c r="B598" t="inlineStr">
        <is>
          <t>C900207</t>
        </is>
      </c>
      <c r="C598" t="inlineStr">
        <is>
          <t>C10785</t>
        </is>
      </c>
      <c r="D598" t="inlineStr">
        <is>
          <t>SKU-10006</t>
        </is>
      </c>
      <c r="E598" t="inlineStr">
        <is>
          <t>AM11</t>
        </is>
      </c>
      <c r="F598" s="5" t="n">
        <v>16.33</v>
      </c>
      <c r="G598">
        <f>IF(LEFT(B598,1)="C","Credit","Factuur")</f>
        <v/>
      </c>
      <c r="H598">
        <f>IF(AND(B598=B597,D598=D597,A598=A597,F598=F597),1,0)</f>
        <v/>
      </c>
      <c r="I598">
        <f>IF(C598="C99999",1,0)</f>
        <v/>
      </c>
      <c r="J598" s="5">
        <f>IF(OR(H598=1,I598=1),0,IF(G598="Credit",-F598,F598))</f>
        <v/>
      </c>
    </row>
    <row r="599">
      <c r="A599" t="inlineStr">
        <is>
          <t>2026-07-07</t>
        </is>
      </c>
      <c r="B599" t="inlineStr">
        <is>
          <t>C901057</t>
        </is>
      </c>
      <c r="C599" t="inlineStr">
        <is>
          <t>C11152</t>
        </is>
      </c>
      <c r="D599" t="inlineStr">
        <is>
          <t>SKU-10295</t>
        </is>
      </c>
      <c r="E599" t="inlineStr">
        <is>
          <t>AM06</t>
        </is>
      </c>
      <c r="F599" s="5" t="n">
        <v>30.99</v>
      </c>
      <c r="G599">
        <f>IF(LEFT(B599,1)="C","Credit","Factuur")</f>
        <v/>
      </c>
      <c r="H599">
        <f>IF(AND(B599=B598,D599=D598,A599=A598,F599=F598),1,0)</f>
        <v/>
      </c>
      <c r="I599">
        <f>IF(C599="C99999",1,0)</f>
        <v/>
      </c>
      <c r="J599" s="5">
        <f>IF(OR(H599=1,I599=1),0,IF(G599="Credit",-F599,F599))</f>
        <v/>
      </c>
    </row>
    <row r="600">
      <c r="A600" t="inlineStr">
        <is>
          <t>2026-07-07</t>
        </is>
      </c>
      <c r="B600" t="inlineStr">
        <is>
          <t>C901181</t>
        </is>
      </c>
      <c r="C600" t="inlineStr">
        <is>
          <t>C10862</t>
        </is>
      </c>
      <c r="D600" t="inlineStr">
        <is>
          <t>SKU-10081</t>
        </is>
      </c>
      <c r="E600" t="inlineStr">
        <is>
          <t>AM02</t>
        </is>
      </c>
      <c r="F600" s="5" t="n">
        <v>671.3</v>
      </c>
      <c r="G600">
        <f>IF(LEFT(B600,1)="C","Credit","Factuur")</f>
        <v/>
      </c>
      <c r="H600">
        <f>IF(AND(B600=B599,D600=D599,A600=A599,F600=F599),1,0)</f>
        <v/>
      </c>
      <c r="I600">
        <f>IF(C600="C99999",1,0)</f>
        <v/>
      </c>
      <c r="J600" s="5">
        <f>IF(OR(H600=1,I600=1),0,IF(G600="Credit",-F600,F600))</f>
        <v/>
      </c>
    </row>
    <row r="601">
      <c r="A601" t="inlineStr">
        <is>
          <t>2026-07-07</t>
        </is>
      </c>
      <c r="B601" t="inlineStr">
        <is>
          <t>F260828</t>
        </is>
      </c>
      <c r="C601" t="inlineStr">
        <is>
          <t>C10049</t>
        </is>
      </c>
      <c r="D601" t="inlineStr">
        <is>
          <t>SKU-10233</t>
        </is>
      </c>
      <c r="E601" t="inlineStr">
        <is>
          <t>AM09</t>
        </is>
      </c>
      <c r="F601" s="5" t="n">
        <v>4871.32</v>
      </c>
      <c r="G601">
        <f>IF(LEFT(B601,1)="C","Credit","Factuur")</f>
        <v/>
      </c>
      <c r="H601">
        <f>IF(AND(B601=B600,D601=D600,A601=A600,F601=F600),1,0)</f>
        <v/>
      </c>
      <c r="I601">
        <f>IF(C601="C99999",1,0)</f>
        <v/>
      </c>
      <c r="J601" s="5">
        <f>IF(OR(H601=1,I601=1),0,IF(G601="Credit",-F601,F601))</f>
        <v/>
      </c>
    </row>
    <row r="602">
      <c r="A602" t="inlineStr">
        <is>
          <t>2026-07-07</t>
        </is>
      </c>
      <c r="B602" t="inlineStr">
        <is>
          <t>F260828</t>
        </is>
      </c>
      <c r="C602" t="inlineStr">
        <is>
          <t>C10049</t>
        </is>
      </c>
      <c r="D602" t="inlineStr">
        <is>
          <t>SKU-10352</t>
        </is>
      </c>
      <c r="E602" t="inlineStr">
        <is>
          <t>AM09</t>
        </is>
      </c>
      <c r="F602" s="5" t="n">
        <v>4449</v>
      </c>
      <c r="G602">
        <f>IF(LEFT(B602,1)="C","Credit","Factuur")</f>
        <v/>
      </c>
      <c r="H602">
        <f>IF(AND(B602=B601,D602=D601,A602=A601,F602=F601),1,0)</f>
        <v/>
      </c>
      <c r="I602">
        <f>IF(C602="C99999",1,0)</f>
        <v/>
      </c>
      <c r="J602" s="5">
        <f>IF(OR(H602=1,I602=1),0,IF(G602="Credit",-F602,F602))</f>
        <v/>
      </c>
    </row>
    <row r="603">
      <c r="A603" t="inlineStr">
        <is>
          <t>2026-07-07</t>
        </is>
      </c>
      <c r="B603" t="inlineStr">
        <is>
          <t>F260945</t>
        </is>
      </c>
      <c r="C603" t="inlineStr">
        <is>
          <t>C10054</t>
        </is>
      </c>
      <c r="D603" t="inlineStr">
        <is>
          <t>SKU-10051</t>
        </is>
      </c>
      <c r="E603" t="inlineStr">
        <is>
          <t>AM01</t>
        </is>
      </c>
      <c r="F603" s="5" t="n">
        <v>292.3</v>
      </c>
      <c r="G603">
        <f>IF(LEFT(B603,1)="C","Credit","Factuur")</f>
        <v/>
      </c>
      <c r="H603">
        <f>IF(AND(B603=B602,D603=D602,A603=A602,F603=F602),1,0)</f>
        <v/>
      </c>
      <c r="I603">
        <f>IF(C603="C99999",1,0)</f>
        <v/>
      </c>
      <c r="J603" s="5">
        <f>IF(OR(H603=1,I603=1),0,IF(G603="Credit",-F603,F603))</f>
        <v/>
      </c>
    </row>
    <row r="604">
      <c r="A604" t="inlineStr">
        <is>
          <t>2026-07-07</t>
        </is>
      </c>
      <c r="B604" t="inlineStr">
        <is>
          <t>F261538</t>
        </is>
      </c>
      <c r="C604" t="inlineStr">
        <is>
          <t>C10082</t>
        </is>
      </c>
      <c r="D604" t="inlineStr">
        <is>
          <t>SKU-10143</t>
        </is>
      </c>
      <c r="E604" t="inlineStr">
        <is>
          <t>AM09</t>
        </is>
      </c>
      <c r="F604" s="5" t="n">
        <v>4724.2</v>
      </c>
      <c r="G604">
        <f>IF(LEFT(B604,1)="C","Credit","Factuur")</f>
        <v/>
      </c>
      <c r="H604">
        <f>IF(AND(B604=B603,D604=D603,A604=A603,F604=F603),1,0)</f>
        <v/>
      </c>
      <c r="I604">
        <f>IF(C604="C99999",1,0)</f>
        <v/>
      </c>
      <c r="J604" s="5">
        <f>IF(OR(H604=1,I604=1),0,IF(G604="Credit",-F604,F604))</f>
        <v/>
      </c>
    </row>
    <row r="605">
      <c r="A605" t="inlineStr">
        <is>
          <t>2026-07-07</t>
        </is>
      </c>
      <c r="B605" t="inlineStr">
        <is>
          <t>F261538</t>
        </is>
      </c>
      <c r="C605" t="inlineStr">
        <is>
          <t>C10082</t>
        </is>
      </c>
      <c r="D605" t="inlineStr">
        <is>
          <t>SKU-10166</t>
        </is>
      </c>
      <c r="E605" t="inlineStr">
        <is>
          <t>AM09</t>
        </is>
      </c>
      <c r="F605" s="5" t="n">
        <v>4487.7</v>
      </c>
      <c r="G605">
        <f>IF(LEFT(B605,1)="C","Credit","Factuur")</f>
        <v/>
      </c>
      <c r="H605">
        <f>IF(AND(B605=B604,D605=D604,A605=A604,F605=F604),1,0)</f>
        <v/>
      </c>
      <c r="I605">
        <f>IF(C605="C99999",1,0)</f>
        <v/>
      </c>
      <c r="J605" s="5">
        <f>IF(OR(H605=1,I605=1),0,IF(G605="Credit",-F605,F605))</f>
        <v/>
      </c>
    </row>
    <row r="606">
      <c r="A606" t="inlineStr">
        <is>
          <t>2026-07-07</t>
        </is>
      </c>
      <c r="B606" t="inlineStr">
        <is>
          <t>F261538</t>
        </is>
      </c>
      <c r="C606" t="inlineStr">
        <is>
          <t>C10082</t>
        </is>
      </c>
      <c r="D606" t="inlineStr">
        <is>
          <t>SKU-10247</t>
        </is>
      </c>
      <c r="E606" t="inlineStr">
        <is>
          <t>AM09</t>
        </is>
      </c>
      <c r="F606" s="5" t="n">
        <v>4014.09</v>
      </c>
      <c r="G606">
        <f>IF(LEFT(B606,1)="C","Credit","Factuur")</f>
        <v/>
      </c>
      <c r="H606">
        <f>IF(AND(B606=B605,D606=D605,A606=A605,F606=F605),1,0)</f>
        <v/>
      </c>
      <c r="I606">
        <f>IF(C606="C99999",1,0)</f>
        <v/>
      </c>
      <c r="J606" s="5">
        <f>IF(OR(H606=1,I606=1),0,IF(G606="Credit",-F606,F606))</f>
        <v/>
      </c>
    </row>
    <row r="607">
      <c r="A607" t="inlineStr">
        <is>
          <t>2026-07-07</t>
        </is>
      </c>
      <c r="B607" t="inlineStr">
        <is>
          <t>F261538</t>
        </is>
      </c>
      <c r="C607" t="inlineStr">
        <is>
          <t>C10082</t>
        </is>
      </c>
      <c r="D607" t="inlineStr">
        <is>
          <t>SKU-10293</t>
        </is>
      </c>
      <c r="E607" t="inlineStr">
        <is>
          <t>AM09</t>
        </is>
      </c>
      <c r="F607" s="5" t="n">
        <v>4723.84</v>
      </c>
      <c r="G607">
        <f>IF(LEFT(B607,1)="C","Credit","Factuur")</f>
        <v/>
      </c>
      <c r="H607">
        <f>IF(AND(B607=B606,D607=D606,A607=A606,F607=F606),1,0)</f>
        <v/>
      </c>
      <c r="I607">
        <f>IF(C607="C99999",1,0)</f>
        <v/>
      </c>
      <c r="J607" s="5">
        <f>IF(OR(H607=1,I607=1),0,IF(G607="Credit",-F607,F607))</f>
        <v/>
      </c>
    </row>
    <row r="608">
      <c r="A608" t="inlineStr">
        <is>
          <t>2026-07-07</t>
        </is>
      </c>
      <c r="B608" t="inlineStr">
        <is>
          <t>F261538</t>
        </is>
      </c>
      <c r="C608" t="inlineStr">
        <is>
          <t>C10082</t>
        </is>
      </c>
      <c r="D608" t="inlineStr">
        <is>
          <t>SKU-10298</t>
        </is>
      </c>
      <c r="E608" t="inlineStr">
        <is>
          <t>AM09</t>
        </is>
      </c>
      <c r="F608" s="5" t="n">
        <v>4000.31</v>
      </c>
      <c r="G608">
        <f>IF(LEFT(B608,1)="C","Credit","Factuur")</f>
        <v/>
      </c>
      <c r="H608">
        <f>IF(AND(B608=B607,D608=D607,A608=A607,F608=F607),1,0)</f>
        <v/>
      </c>
      <c r="I608">
        <f>IF(C608="C99999",1,0)</f>
        <v/>
      </c>
      <c r="J608" s="5">
        <f>IF(OR(H608=1,I608=1),0,IF(G608="Credit",-F608,F608))</f>
        <v/>
      </c>
    </row>
    <row r="609">
      <c r="A609" t="inlineStr">
        <is>
          <t>2026-07-07</t>
        </is>
      </c>
      <c r="B609" t="inlineStr">
        <is>
          <t>F261538</t>
        </is>
      </c>
      <c r="C609" t="inlineStr">
        <is>
          <t>C10082</t>
        </is>
      </c>
      <c r="D609" t="inlineStr">
        <is>
          <t>SKU-10320</t>
        </is>
      </c>
      <c r="E609" t="inlineStr">
        <is>
          <t>AM09</t>
        </is>
      </c>
      <c r="F609" s="5" t="n">
        <v>4724.17</v>
      </c>
      <c r="G609">
        <f>IF(LEFT(B609,1)="C","Credit","Factuur")</f>
        <v/>
      </c>
      <c r="H609">
        <f>IF(AND(B609=B608,D609=D608,A609=A608,F609=F608),1,0)</f>
        <v/>
      </c>
      <c r="I609">
        <f>IF(C609="C99999",1,0)</f>
        <v/>
      </c>
      <c r="J609" s="5">
        <f>IF(OR(H609=1,I609=1),0,IF(G609="Credit",-F609,F609))</f>
        <v/>
      </c>
    </row>
    <row r="610">
      <c r="A610" t="inlineStr">
        <is>
          <t>2026-07-07</t>
        </is>
      </c>
      <c r="B610" t="inlineStr">
        <is>
          <t>F261725</t>
        </is>
      </c>
      <c r="C610" t="inlineStr">
        <is>
          <t>C10090</t>
        </is>
      </c>
      <c r="D610" t="inlineStr">
        <is>
          <t>SKU-10266</t>
        </is>
      </c>
      <c r="E610" t="inlineStr">
        <is>
          <t>AM12</t>
        </is>
      </c>
      <c r="F610" s="5" t="n">
        <v>1503.6</v>
      </c>
      <c r="G610">
        <f>IF(LEFT(B610,1)="C","Credit","Factuur")</f>
        <v/>
      </c>
      <c r="H610">
        <f>IF(AND(B610=B609,D610=D609,A610=A609,F610=F609),1,0)</f>
        <v/>
      </c>
      <c r="I610">
        <f>IF(C610="C99999",1,0)</f>
        <v/>
      </c>
      <c r="J610" s="5">
        <f>IF(OR(H610=1,I610=1),0,IF(G610="Credit",-F610,F610))</f>
        <v/>
      </c>
    </row>
    <row r="611">
      <c r="A611" t="inlineStr">
        <is>
          <t>2026-07-07</t>
        </is>
      </c>
      <c r="B611" t="inlineStr">
        <is>
          <t>F262818</t>
        </is>
      </c>
      <c r="C611" t="inlineStr">
        <is>
          <t>C10151</t>
        </is>
      </c>
      <c r="D611" t="inlineStr">
        <is>
          <t>SKU-10143</t>
        </is>
      </c>
      <c r="E611" t="inlineStr">
        <is>
          <t>AM05</t>
        </is>
      </c>
      <c r="F611" s="5" t="n">
        <v>69.05</v>
      </c>
      <c r="G611">
        <f>IF(LEFT(B611,1)="C","Credit","Factuur")</f>
        <v/>
      </c>
      <c r="H611">
        <f>IF(AND(B611=B610,D611=D610,A611=A610,F611=F610),1,0)</f>
        <v/>
      </c>
      <c r="I611">
        <f>IF(C611="C99999",1,0)</f>
        <v/>
      </c>
      <c r="J611" s="5">
        <f>IF(OR(H611=1,I611=1),0,IF(G611="Credit",-F611,F611))</f>
        <v/>
      </c>
    </row>
    <row r="612">
      <c r="A612" t="inlineStr">
        <is>
          <t>2026-07-07</t>
        </is>
      </c>
      <c r="B612" t="inlineStr">
        <is>
          <t>F262818</t>
        </is>
      </c>
      <c r="C612" t="inlineStr">
        <is>
          <t>C10151</t>
        </is>
      </c>
      <c r="D612" t="inlineStr">
        <is>
          <t>SKU-10246</t>
        </is>
      </c>
      <c r="E612" t="inlineStr">
        <is>
          <t>AM05</t>
        </is>
      </c>
      <c r="F612" s="5" t="n">
        <v>103.68</v>
      </c>
      <c r="G612">
        <f>IF(LEFT(B612,1)="C","Credit","Factuur")</f>
        <v/>
      </c>
      <c r="H612">
        <f>IF(AND(B612=B611,D612=D611,A612=A611,F612=F611),1,0)</f>
        <v/>
      </c>
      <c r="I612">
        <f>IF(C612="C99999",1,0)</f>
        <v/>
      </c>
      <c r="J612" s="5">
        <f>IF(OR(H612=1,I612=1),0,IF(G612="Credit",-F612,F612))</f>
        <v/>
      </c>
    </row>
    <row r="613">
      <c r="A613" t="inlineStr">
        <is>
          <t>2026-07-07</t>
        </is>
      </c>
      <c r="B613" t="inlineStr">
        <is>
          <t>F262818</t>
        </is>
      </c>
      <c r="C613" t="inlineStr">
        <is>
          <t>C10151</t>
        </is>
      </c>
      <c r="D613" t="inlineStr">
        <is>
          <t>SKU-10323</t>
        </is>
      </c>
      <c r="E613" t="inlineStr">
        <is>
          <t>AM05</t>
        </is>
      </c>
      <c r="F613" s="5" t="n">
        <v>105.9</v>
      </c>
      <c r="G613">
        <f>IF(LEFT(B613,1)="C","Credit","Factuur")</f>
        <v/>
      </c>
      <c r="H613">
        <f>IF(AND(B613=B612,D613=D612,A613=A612,F613=F612),1,0)</f>
        <v/>
      </c>
      <c r="I613">
        <f>IF(C613="C99999",1,0)</f>
        <v/>
      </c>
      <c r="J613" s="5">
        <f>IF(OR(H613=1,I613=1),0,IF(G613="Credit",-F613,F613))</f>
        <v/>
      </c>
    </row>
    <row r="614">
      <c r="A614" t="inlineStr">
        <is>
          <t>2026-07-07</t>
        </is>
      </c>
      <c r="B614" t="inlineStr">
        <is>
          <t>F266758</t>
        </is>
      </c>
      <c r="C614" t="inlineStr">
        <is>
          <t>C10356</t>
        </is>
      </c>
      <c r="D614" t="inlineStr">
        <is>
          <t>SKU-10018</t>
        </is>
      </c>
      <c r="E614" t="inlineStr">
        <is>
          <t>AM05</t>
        </is>
      </c>
      <c r="F614" s="5" t="n">
        <v>273.41</v>
      </c>
      <c r="G614">
        <f>IF(LEFT(B614,1)="C","Credit","Factuur")</f>
        <v/>
      </c>
      <c r="H614">
        <f>IF(AND(B614=B613,D614=D613,A614=A613,F614=F613),1,0)</f>
        <v/>
      </c>
      <c r="I614">
        <f>IF(C614="C99999",1,0)</f>
        <v/>
      </c>
      <c r="J614" s="5">
        <f>IF(OR(H614=1,I614=1),0,IF(G614="Credit",-F614,F614))</f>
        <v/>
      </c>
    </row>
    <row r="615">
      <c r="A615" t="inlineStr">
        <is>
          <t>2026-07-07</t>
        </is>
      </c>
      <c r="B615" t="inlineStr">
        <is>
          <t>F266758</t>
        </is>
      </c>
      <c r="C615" t="inlineStr">
        <is>
          <t>C10356</t>
        </is>
      </c>
      <c r="D615" t="inlineStr">
        <is>
          <t>SKU-10051</t>
        </is>
      </c>
      <c r="E615" t="inlineStr">
        <is>
          <t>AM05</t>
        </is>
      </c>
      <c r="F615" s="5" t="n">
        <v>276.91</v>
      </c>
      <c r="G615">
        <f>IF(LEFT(B615,1)="C","Credit","Factuur")</f>
        <v/>
      </c>
      <c r="H615">
        <f>IF(AND(B615=B614,D615=D614,A615=A614,F615=F614),1,0)</f>
        <v/>
      </c>
      <c r="I615">
        <f>IF(C615="C99999",1,0)</f>
        <v/>
      </c>
      <c r="J615" s="5">
        <f>IF(OR(H615=1,I615=1),0,IF(G615="Credit",-F615,F615))</f>
        <v/>
      </c>
    </row>
    <row r="616">
      <c r="A616" t="inlineStr">
        <is>
          <t>2026-07-07</t>
        </is>
      </c>
      <c r="B616" t="inlineStr">
        <is>
          <t>F266758</t>
        </is>
      </c>
      <c r="C616" t="inlineStr">
        <is>
          <t>C10356</t>
        </is>
      </c>
      <c r="D616" t="inlineStr">
        <is>
          <t>SKU-10118</t>
        </is>
      </c>
      <c r="E616" t="inlineStr">
        <is>
          <t>AM05</t>
        </is>
      </c>
      <c r="F616" s="5" t="n">
        <v>311.04</v>
      </c>
      <c r="G616">
        <f>IF(LEFT(B616,1)="C","Credit","Factuur")</f>
        <v/>
      </c>
      <c r="H616">
        <f>IF(AND(B616=B615,D616=D615,A616=A615,F616=F615),1,0)</f>
        <v/>
      </c>
      <c r="I616">
        <f>IF(C616="C99999",1,0)</f>
        <v/>
      </c>
      <c r="J616" s="5">
        <f>IF(OR(H616=1,I616=1),0,IF(G616="Credit",-F616,F616))</f>
        <v/>
      </c>
    </row>
    <row r="617">
      <c r="A617" t="inlineStr">
        <is>
          <t>2026-07-07</t>
        </is>
      </c>
      <c r="B617" t="inlineStr">
        <is>
          <t>F266758</t>
        </is>
      </c>
      <c r="C617" t="inlineStr">
        <is>
          <t>C10356</t>
        </is>
      </c>
      <c r="D617" t="inlineStr">
        <is>
          <t>SKU-10332</t>
        </is>
      </c>
      <c r="E617" t="inlineStr">
        <is>
          <t>AM05</t>
        </is>
      </c>
      <c r="F617" s="5" t="n">
        <v>325.52</v>
      </c>
      <c r="G617">
        <f>IF(LEFT(B617,1)="C","Credit","Factuur")</f>
        <v/>
      </c>
      <c r="H617">
        <f>IF(AND(B617=B616,D617=D616,A617=A616,F617=F616),1,0)</f>
        <v/>
      </c>
      <c r="I617">
        <f>IF(C617="C99999",1,0)</f>
        <v/>
      </c>
      <c r="J617" s="5">
        <f>IF(OR(H617=1,I617=1),0,IF(G617="Credit",-F617,F617))</f>
        <v/>
      </c>
    </row>
    <row r="618">
      <c r="A618" t="inlineStr">
        <is>
          <t>2026-07-07</t>
        </is>
      </c>
      <c r="B618" t="inlineStr">
        <is>
          <t>F266949</t>
        </is>
      </c>
      <c r="C618" t="inlineStr">
        <is>
          <t>C10365</t>
        </is>
      </c>
      <c r="D618" t="inlineStr">
        <is>
          <t>SKU-10019</t>
        </is>
      </c>
      <c r="E618" t="inlineStr">
        <is>
          <t>AM01</t>
        </is>
      </c>
      <c r="F618" s="5" t="n">
        <v>334.48</v>
      </c>
      <c r="G618">
        <f>IF(LEFT(B618,1)="C","Credit","Factuur")</f>
        <v/>
      </c>
      <c r="H618">
        <f>IF(AND(B618=B617,D618=D617,A618=A617,F618=F617),1,0)</f>
        <v/>
      </c>
      <c r="I618">
        <f>IF(C618="C99999",1,0)</f>
        <v/>
      </c>
      <c r="J618" s="5">
        <f>IF(OR(H618=1,I618=1),0,IF(G618="Credit",-F618,F618))</f>
        <v/>
      </c>
    </row>
    <row r="619">
      <c r="A619" t="inlineStr">
        <is>
          <t>2026-07-07</t>
        </is>
      </c>
      <c r="B619" t="inlineStr">
        <is>
          <t>F266949</t>
        </is>
      </c>
      <c r="C619" t="inlineStr">
        <is>
          <t>C10365</t>
        </is>
      </c>
      <c r="D619" t="inlineStr">
        <is>
          <t>SKU-10053</t>
        </is>
      </c>
      <c r="E619" t="inlineStr">
        <is>
          <t>AM01</t>
        </is>
      </c>
      <c r="F619" s="5" t="n">
        <v>320.62</v>
      </c>
      <c r="G619">
        <f>IF(LEFT(B619,1)="C","Credit","Factuur")</f>
        <v/>
      </c>
      <c r="H619">
        <f>IF(AND(B619=B618,D619=D618,A619=A618,F619=F618),1,0)</f>
        <v/>
      </c>
      <c r="I619">
        <f>IF(C619="C99999",1,0)</f>
        <v/>
      </c>
      <c r="J619" s="5">
        <f>IF(OR(H619=1,I619=1),0,IF(G619="Credit",-F619,F619))</f>
        <v/>
      </c>
    </row>
    <row r="620">
      <c r="A620" t="inlineStr">
        <is>
          <t>2026-07-07</t>
        </is>
      </c>
      <c r="B620" t="inlineStr">
        <is>
          <t>F266949</t>
        </is>
      </c>
      <c r="C620" t="inlineStr">
        <is>
          <t>C10365</t>
        </is>
      </c>
      <c r="D620" t="inlineStr">
        <is>
          <t>SKU-10244</t>
        </is>
      </c>
      <c r="E620" t="inlineStr">
        <is>
          <t>AM01</t>
        </is>
      </c>
      <c r="F620" s="5" t="n">
        <v>335.16</v>
      </c>
      <c r="G620">
        <f>IF(LEFT(B620,1)="C","Credit","Factuur")</f>
        <v/>
      </c>
      <c r="H620">
        <f>IF(AND(B620=B619,D620=D619,A620=A619,F620=F619),1,0)</f>
        <v/>
      </c>
      <c r="I620">
        <f>IF(C620="C99999",1,0)</f>
        <v/>
      </c>
      <c r="J620" s="5">
        <f>IF(OR(H620=1,I620=1),0,IF(G620="Credit",-F620,F620))</f>
        <v/>
      </c>
    </row>
    <row r="621">
      <c r="A621" t="inlineStr">
        <is>
          <t>2026-07-07</t>
        </is>
      </c>
      <c r="B621" t="inlineStr">
        <is>
          <t>F266949</t>
        </is>
      </c>
      <c r="C621" t="inlineStr">
        <is>
          <t>C10365</t>
        </is>
      </c>
      <c r="D621" t="inlineStr">
        <is>
          <t>SKU-10256</t>
        </is>
      </c>
      <c r="E621" t="inlineStr">
        <is>
          <t>AM01</t>
        </is>
      </c>
      <c r="F621" s="5" t="n">
        <v>321.03</v>
      </c>
      <c r="G621">
        <f>IF(LEFT(B621,1)="C","Credit","Factuur")</f>
        <v/>
      </c>
      <c r="H621">
        <f>IF(AND(B621=B620,D621=D620,A621=A620,F621=F620),1,0)</f>
        <v/>
      </c>
      <c r="I621">
        <f>IF(C621="C99999",1,0)</f>
        <v/>
      </c>
      <c r="J621" s="5">
        <f>IF(OR(H621=1,I621=1),0,IF(G621="Credit",-F621,F621))</f>
        <v/>
      </c>
    </row>
    <row r="622">
      <c r="A622" t="inlineStr">
        <is>
          <t>2026-07-07</t>
        </is>
      </c>
      <c r="B622" t="inlineStr">
        <is>
          <t>F266949</t>
        </is>
      </c>
      <c r="C622" t="inlineStr">
        <is>
          <t>C10365</t>
        </is>
      </c>
      <c r="D622" t="inlineStr">
        <is>
          <t>SKU-10304</t>
        </is>
      </c>
      <c r="E622" t="inlineStr">
        <is>
          <t>AM01</t>
        </is>
      </c>
      <c r="F622" s="5" t="n">
        <v>336.16</v>
      </c>
      <c r="G622">
        <f>IF(LEFT(B622,1)="C","Credit","Factuur")</f>
        <v/>
      </c>
      <c r="H622">
        <f>IF(AND(B622=B621,D622=D621,A622=A621,F622=F621),1,0)</f>
        <v/>
      </c>
      <c r="I622">
        <f>IF(C622="C99999",1,0)</f>
        <v/>
      </c>
      <c r="J622" s="5">
        <f>IF(OR(H622=1,I622=1),0,IF(G622="Credit",-F622,F622))</f>
        <v/>
      </c>
    </row>
    <row r="623">
      <c r="A623" t="inlineStr">
        <is>
          <t>2026-07-07</t>
        </is>
      </c>
      <c r="B623" t="inlineStr">
        <is>
          <t>F267423</t>
        </is>
      </c>
      <c r="C623" t="inlineStr">
        <is>
          <t>C10392</t>
        </is>
      </c>
      <c r="D623" t="inlineStr">
        <is>
          <t>SKU-10209</t>
        </is>
      </c>
      <c r="E623" t="inlineStr">
        <is>
          <t>AM02</t>
        </is>
      </c>
      <c r="F623" s="5" t="n">
        <v>237.44</v>
      </c>
      <c r="G623">
        <f>IF(LEFT(B623,1)="C","Credit","Factuur")</f>
        <v/>
      </c>
      <c r="H623">
        <f>IF(AND(B623=B622,D623=D622,A623=A622,F623=F622),1,0)</f>
        <v/>
      </c>
      <c r="I623">
        <f>IF(C623="C99999",1,0)</f>
        <v/>
      </c>
      <c r="J623" s="5">
        <f>IF(OR(H623=1,I623=1),0,IF(G623="Credit",-F623,F623))</f>
        <v/>
      </c>
    </row>
    <row r="624">
      <c r="A624" t="inlineStr">
        <is>
          <t>2026-07-07</t>
        </is>
      </c>
      <c r="B624" t="inlineStr">
        <is>
          <t>F267423</t>
        </is>
      </c>
      <c r="C624" t="inlineStr">
        <is>
          <t>C10392</t>
        </is>
      </c>
      <c r="D624" t="inlineStr">
        <is>
          <t>SKU-10212</t>
        </is>
      </c>
      <c r="E624" t="inlineStr">
        <is>
          <t>AM02</t>
        </is>
      </c>
      <c r="F624" s="5" t="n">
        <v>219.86</v>
      </c>
      <c r="G624">
        <f>IF(LEFT(B624,1)="C","Credit","Factuur")</f>
        <v/>
      </c>
      <c r="H624">
        <f>IF(AND(B624=B623,D624=D623,A624=A623,F624=F623),1,0)</f>
        <v/>
      </c>
      <c r="I624">
        <f>IF(C624="C99999",1,0)</f>
        <v/>
      </c>
      <c r="J624" s="5">
        <f>IF(OR(H624=1,I624=1),0,IF(G624="Credit",-F624,F624))</f>
        <v/>
      </c>
    </row>
    <row r="625">
      <c r="A625" t="inlineStr">
        <is>
          <t>2026-07-07</t>
        </is>
      </c>
      <c r="B625" t="inlineStr">
        <is>
          <t>F267423</t>
        </is>
      </c>
      <c r="C625" t="inlineStr">
        <is>
          <t>C10392</t>
        </is>
      </c>
      <c r="D625" t="inlineStr">
        <is>
          <t>SKU-10222</t>
        </is>
      </c>
      <c r="E625" t="inlineStr">
        <is>
          <t>AM02</t>
        </is>
      </c>
      <c r="F625" s="5" t="n">
        <v>243.79</v>
      </c>
      <c r="G625">
        <f>IF(LEFT(B625,1)="C","Credit","Factuur")</f>
        <v/>
      </c>
      <c r="H625">
        <f>IF(AND(B625=B624,D625=D624,A625=A624,F625=F624),1,0)</f>
        <v/>
      </c>
      <c r="I625">
        <f>IF(C625="C99999",1,0)</f>
        <v/>
      </c>
      <c r="J625" s="5">
        <f>IF(OR(H625=1,I625=1),0,IF(G625="Credit",-F625,F625))</f>
        <v/>
      </c>
    </row>
    <row r="626">
      <c r="A626" t="inlineStr">
        <is>
          <t>2026-07-07</t>
        </is>
      </c>
      <c r="B626" t="inlineStr">
        <is>
          <t>F267423</t>
        </is>
      </c>
      <c r="C626" t="inlineStr">
        <is>
          <t>C10392</t>
        </is>
      </c>
      <c r="D626" t="inlineStr">
        <is>
          <t>SKU-10305</t>
        </is>
      </c>
      <c r="E626" t="inlineStr">
        <is>
          <t>AM02</t>
        </is>
      </c>
      <c r="F626" s="5" t="n">
        <v>255.45</v>
      </c>
      <c r="G626">
        <f>IF(LEFT(B626,1)="C","Credit","Factuur")</f>
        <v/>
      </c>
      <c r="H626">
        <f>IF(AND(B626=B625,D626=D625,A626=A625,F626=F625),1,0)</f>
        <v/>
      </c>
      <c r="I626">
        <f>IF(C626="C99999",1,0)</f>
        <v/>
      </c>
      <c r="J626" s="5">
        <f>IF(OR(H626=1,I626=1),0,IF(G626="Credit",-F626,F626))</f>
        <v/>
      </c>
    </row>
    <row r="627">
      <c r="A627" t="inlineStr">
        <is>
          <t>2026-07-07</t>
        </is>
      </c>
      <c r="B627" t="inlineStr">
        <is>
          <t>F267423</t>
        </is>
      </c>
      <c r="C627" t="inlineStr">
        <is>
          <t>C10392</t>
        </is>
      </c>
      <c r="D627" t="inlineStr">
        <is>
          <t>SKU-10327</t>
        </is>
      </c>
      <c r="E627" t="inlineStr">
        <is>
          <t>AM02</t>
        </is>
      </c>
      <c r="F627" s="5" t="n">
        <v>229.18</v>
      </c>
      <c r="G627">
        <f>IF(LEFT(B627,1)="C","Credit","Factuur")</f>
        <v/>
      </c>
      <c r="H627">
        <f>IF(AND(B627=B626,D627=D626,A627=A626,F627=F626),1,0)</f>
        <v/>
      </c>
      <c r="I627">
        <f>IF(C627="C99999",1,0)</f>
        <v/>
      </c>
      <c r="J627" s="5">
        <f>IF(OR(H627=1,I627=1),0,IF(G627="Credit",-F627,F627))</f>
        <v/>
      </c>
    </row>
    <row r="628">
      <c r="A628" t="inlineStr">
        <is>
          <t>2026-07-07</t>
        </is>
      </c>
      <c r="B628" t="inlineStr">
        <is>
          <t>F268608</t>
        </is>
      </c>
      <c r="C628" t="inlineStr">
        <is>
          <t>C10451</t>
        </is>
      </c>
      <c r="D628" t="inlineStr">
        <is>
          <t>SKU-10158</t>
        </is>
      </c>
      <c r="E628" t="inlineStr">
        <is>
          <t>AM02</t>
        </is>
      </c>
      <c r="F628" s="5" t="n">
        <v>244.35</v>
      </c>
      <c r="G628">
        <f>IF(LEFT(B628,1)="C","Credit","Factuur")</f>
        <v/>
      </c>
      <c r="H628">
        <f>IF(AND(B628=B627,D628=D627,A628=A627,F628=F627),1,0)</f>
        <v/>
      </c>
      <c r="I628">
        <f>IF(C628="C99999",1,0)</f>
        <v/>
      </c>
      <c r="J628" s="5">
        <f>IF(OR(H628=1,I628=1),0,IF(G628="Credit",-F628,F628))</f>
        <v/>
      </c>
    </row>
    <row r="629">
      <c r="A629" t="inlineStr">
        <is>
          <t>2026-07-07</t>
        </is>
      </c>
      <c r="B629" t="inlineStr">
        <is>
          <t>F268608</t>
        </is>
      </c>
      <c r="C629" t="inlineStr">
        <is>
          <t>C10451</t>
        </is>
      </c>
      <c r="D629" t="inlineStr">
        <is>
          <t>SKU-10161</t>
        </is>
      </c>
      <c r="E629" t="inlineStr">
        <is>
          <t>AM02</t>
        </is>
      </c>
      <c r="F629" s="5" t="n">
        <v>256.8</v>
      </c>
      <c r="G629">
        <f>IF(LEFT(B629,1)="C","Credit","Factuur")</f>
        <v/>
      </c>
      <c r="H629">
        <f>IF(AND(B629=B628,D629=D628,A629=A628,F629=F628),1,0)</f>
        <v/>
      </c>
      <c r="I629">
        <f>IF(C629="C99999",1,0)</f>
        <v/>
      </c>
      <c r="J629" s="5">
        <f>IF(OR(H629=1,I629=1),0,IF(G629="Credit",-F629,F629))</f>
        <v/>
      </c>
    </row>
    <row r="630">
      <c r="A630" t="inlineStr">
        <is>
          <t>2026-07-07</t>
        </is>
      </c>
      <c r="B630" t="inlineStr">
        <is>
          <t>F268608</t>
        </is>
      </c>
      <c r="C630" t="inlineStr">
        <is>
          <t>C10451</t>
        </is>
      </c>
      <c r="D630" t="inlineStr">
        <is>
          <t>SKU-10164</t>
        </is>
      </c>
      <c r="E630" t="inlineStr">
        <is>
          <t>AM02</t>
        </is>
      </c>
      <c r="F630" s="5" t="n">
        <v>246.1</v>
      </c>
      <c r="G630">
        <f>IF(LEFT(B630,1)="C","Credit","Factuur")</f>
        <v/>
      </c>
      <c r="H630">
        <f>IF(AND(B630=B629,D630=D629,A630=A629,F630=F629),1,0)</f>
        <v/>
      </c>
      <c r="I630">
        <f>IF(C630="C99999",1,0)</f>
        <v/>
      </c>
      <c r="J630" s="5">
        <f>IF(OR(H630=1,I630=1),0,IF(G630="Credit",-F630,F630))</f>
        <v/>
      </c>
    </row>
    <row r="631">
      <c r="A631" t="inlineStr">
        <is>
          <t>2026-07-07</t>
        </is>
      </c>
      <c r="B631" t="inlineStr">
        <is>
          <t>F268608</t>
        </is>
      </c>
      <c r="C631" t="inlineStr">
        <is>
          <t>C10451</t>
        </is>
      </c>
      <c r="D631" t="inlineStr">
        <is>
          <t>SKU-10287</t>
        </is>
      </c>
      <c r="E631" t="inlineStr">
        <is>
          <t>AM02</t>
        </is>
      </c>
      <c r="F631" s="5" t="n">
        <v>240.88</v>
      </c>
      <c r="G631">
        <f>IF(LEFT(B631,1)="C","Credit","Factuur")</f>
        <v/>
      </c>
      <c r="H631">
        <f>IF(AND(B631=B630,D631=D630,A631=A630,F631=F630),1,0)</f>
        <v/>
      </c>
      <c r="I631">
        <f>IF(C631="C99999",1,0)</f>
        <v/>
      </c>
      <c r="J631" s="5">
        <f>IF(OR(H631=1,I631=1),0,IF(G631="Credit",-F631,F631))</f>
        <v/>
      </c>
    </row>
    <row r="632">
      <c r="A632" t="inlineStr">
        <is>
          <t>2026-07-07</t>
        </is>
      </c>
      <c r="B632" t="inlineStr">
        <is>
          <t>F268608</t>
        </is>
      </c>
      <c r="C632" t="inlineStr">
        <is>
          <t>C10451</t>
        </is>
      </c>
      <c r="D632" t="inlineStr">
        <is>
          <t>SKU-10312</t>
        </is>
      </c>
      <c r="E632" t="inlineStr">
        <is>
          <t>AM02</t>
        </is>
      </c>
      <c r="F632" s="5" t="n">
        <v>240.8</v>
      </c>
      <c r="G632">
        <f>IF(LEFT(B632,1)="C","Credit","Factuur")</f>
        <v/>
      </c>
      <c r="H632">
        <f>IF(AND(B632=B631,D632=D631,A632=A631,F632=F631),1,0)</f>
        <v/>
      </c>
      <c r="I632">
        <f>IF(C632="C99999",1,0)</f>
        <v/>
      </c>
      <c r="J632" s="5">
        <f>IF(OR(H632=1,I632=1),0,IF(G632="Credit",-F632,F632))</f>
        <v/>
      </c>
    </row>
    <row r="633">
      <c r="A633" t="inlineStr">
        <is>
          <t>2026-07-07</t>
        </is>
      </c>
      <c r="B633" t="inlineStr">
        <is>
          <t>F268630</t>
        </is>
      </c>
      <c r="C633" t="inlineStr">
        <is>
          <t>C10452</t>
        </is>
      </c>
      <c r="D633" t="inlineStr">
        <is>
          <t>SKU-10068</t>
        </is>
      </c>
      <c r="E633" t="inlineStr">
        <is>
          <t>AM08</t>
        </is>
      </c>
      <c r="F633" s="5" t="n">
        <v>2003.76</v>
      </c>
      <c r="G633">
        <f>IF(LEFT(B633,1)="C","Credit","Factuur")</f>
        <v/>
      </c>
      <c r="H633">
        <f>IF(AND(B633=B632,D633=D632,A633=A632,F633=F632),1,0)</f>
        <v/>
      </c>
      <c r="I633">
        <f>IF(C633="C99999",1,0)</f>
        <v/>
      </c>
      <c r="J633" s="5">
        <f>IF(OR(H633=1,I633=1),0,IF(G633="Credit",-F633,F633))</f>
        <v/>
      </c>
    </row>
    <row r="634">
      <c r="A634" t="inlineStr">
        <is>
          <t>2026-07-07</t>
        </is>
      </c>
      <c r="B634" t="inlineStr">
        <is>
          <t>F268870</t>
        </is>
      </c>
      <c r="C634" t="inlineStr">
        <is>
          <t>C10463</t>
        </is>
      </c>
      <c r="D634" t="inlineStr">
        <is>
          <t>SKU-10319</t>
        </is>
      </c>
      <c r="E634" t="inlineStr">
        <is>
          <t>AM01</t>
        </is>
      </c>
      <c r="F634" s="5" t="n">
        <v>811.77</v>
      </c>
      <c r="G634">
        <f>IF(LEFT(B634,1)="C","Credit","Factuur")</f>
        <v/>
      </c>
      <c r="H634">
        <f>IF(AND(B634=B633,D634=D633,A634=A633,F634=F633),1,0)</f>
        <v/>
      </c>
      <c r="I634">
        <f>IF(C634="C99999",1,0)</f>
        <v/>
      </c>
      <c r="J634" s="5">
        <f>IF(OR(H634=1,I634=1),0,IF(G634="Credit",-F634,F634))</f>
        <v/>
      </c>
    </row>
    <row r="635">
      <c r="A635" t="inlineStr">
        <is>
          <t>2026-07-07</t>
        </is>
      </c>
      <c r="B635" t="inlineStr">
        <is>
          <t>F271531</t>
        </is>
      </c>
      <c r="C635" t="inlineStr">
        <is>
          <t>C10595</t>
        </is>
      </c>
      <c r="D635" t="inlineStr">
        <is>
          <t>SKU-10327</t>
        </is>
      </c>
      <c r="E635" t="inlineStr">
        <is>
          <t>AM01</t>
        </is>
      </c>
      <c r="F635" s="5" t="n">
        <v>717.65</v>
      </c>
      <c r="G635">
        <f>IF(LEFT(B635,1)="C","Credit","Factuur")</f>
        <v/>
      </c>
      <c r="H635">
        <f>IF(AND(B635=B634,D635=D634,A635=A634,F635=F634),1,0)</f>
        <v/>
      </c>
      <c r="I635">
        <f>IF(C635="C99999",1,0)</f>
        <v/>
      </c>
      <c r="J635" s="5">
        <f>IF(OR(H635=1,I635=1),0,IF(G635="Credit",-F635,F635))</f>
        <v/>
      </c>
    </row>
    <row r="636">
      <c r="A636" t="inlineStr">
        <is>
          <t>2026-07-07</t>
        </is>
      </c>
      <c r="B636" t="inlineStr">
        <is>
          <t>F272328</t>
        </is>
      </c>
      <c r="C636" t="inlineStr">
        <is>
          <t>C10638</t>
        </is>
      </c>
      <c r="D636" t="inlineStr">
        <is>
          <t>SKU-10075</t>
        </is>
      </c>
      <c r="E636" t="inlineStr">
        <is>
          <t>AM02</t>
        </is>
      </c>
      <c r="F636" s="5" t="n">
        <v>2191.08</v>
      </c>
      <c r="G636">
        <f>IF(LEFT(B636,1)="C","Credit","Factuur")</f>
        <v/>
      </c>
      <c r="H636">
        <f>IF(AND(B636=B635,D636=D635,A636=A635,F636=F635),1,0)</f>
        <v/>
      </c>
      <c r="I636">
        <f>IF(C636="C99999",1,0)</f>
        <v/>
      </c>
      <c r="J636" s="5">
        <f>IF(OR(H636=1,I636=1),0,IF(G636="Credit",-F636,F636))</f>
        <v/>
      </c>
    </row>
    <row r="637">
      <c r="A637" t="inlineStr">
        <is>
          <t>2026-07-07</t>
        </is>
      </c>
      <c r="B637" t="inlineStr">
        <is>
          <t>F275452</t>
        </is>
      </c>
      <c r="C637" t="inlineStr">
        <is>
          <t>C10818</t>
        </is>
      </c>
      <c r="D637" t="inlineStr">
        <is>
          <t>SKU-10041</t>
        </is>
      </c>
      <c r="E637" t="inlineStr">
        <is>
          <t>AM07</t>
        </is>
      </c>
      <c r="F637" s="5" t="n">
        <v>110.08</v>
      </c>
      <c r="G637">
        <f>IF(LEFT(B637,1)="C","Credit","Factuur")</f>
        <v/>
      </c>
      <c r="H637">
        <f>IF(AND(B637=B636,D637=D636,A637=A636,F637=F636),1,0)</f>
        <v/>
      </c>
      <c r="I637">
        <f>IF(C637="C99999",1,0)</f>
        <v/>
      </c>
      <c r="J637" s="5">
        <f>IF(OR(H637=1,I637=1),0,IF(G637="Credit",-F637,F637))</f>
        <v/>
      </c>
    </row>
    <row r="638">
      <c r="A638" t="inlineStr">
        <is>
          <t>2026-07-07</t>
        </is>
      </c>
      <c r="B638" t="inlineStr">
        <is>
          <t>F275452</t>
        </is>
      </c>
      <c r="C638" t="inlineStr">
        <is>
          <t>C10818</t>
        </is>
      </c>
      <c r="D638" t="inlineStr">
        <is>
          <t>SKU-10131</t>
        </is>
      </c>
      <c r="E638" t="inlineStr">
        <is>
          <t>AM07</t>
        </is>
      </c>
      <c r="F638" s="5" t="n">
        <v>94.11</v>
      </c>
      <c r="G638">
        <f>IF(LEFT(B638,1)="C","Credit","Factuur")</f>
        <v/>
      </c>
      <c r="H638">
        <f>IF(AND(B638=B637,D638=D637,A638=A637,F638=F637),1,0)</f>
        <v/>
      </c>
      <c r="I638">
        <f>IF(C638="C99999",1,0)</f>
        <v/>
      </c>
      <c r="J638" s="5">
        <f>IF(OR(H638=1,I638=1),0,IF(G638="Credit",-F638,F638))</f>
        <v/>
      </c>
    </row>
    <row r="639">
      <c r="A639" t="inlineStr">
        <is>
          <t>2026-07-07</t>
        </is>
      </c>
      <c r="B639" t="inlineStr">
        <is>
          <t>F275452</t>
        </is>
      </c>
      <c r="C639" t="inlineStr">
        <is>
          <t>C10818</t>
        </is>
      </c>
      <c r="D639" t="inlineStr">
        <is>
          <t>SKU-10218</t>
        </is>
      </c>
      <c r="E639" t="inlineStr">
        <is>
          <t>AM07</t>
        </is>
      </c>
      <c r="F639" s="5" t="n">
        <v>118.15</v>
      </c>
      <c r="G639">
        <f>IF(LEFT(B639,1)="C","Credit","Factuur")</f>
        <v/>
      </c>
      <c r="H639">
        <f>IF(AND(B639=B638,D639=D638,A639=A638,F639=F638),1,0)</f>
        <v/>
      </c>
      <c r="I639">
        <f>IF(C639="C99999",1,0)</f>
        <v/>
      </c>
      <c r="J639" s="5">
        <f>IF(OR(H639=1,I639=1),0,IF(G639="Credit",-F639,F639))</f>
        <v/>
      </c>
    </row>
    <row r="640">
      <c r="A640" t="inlineStr">
        <is>
          <t>2026-07-07</t>
        </is>
      </c>
      <c r="B640" t="inlineStr">
        <is>
          <t>F275452</t>
        </is>
      </c>
      <c r="C640" t="inlineStr">
        <is>
          <t>C10818</t>
        </is>
      </c>
      <c r="D640" t="inlineStr">
        <is>
          <t>SKU-10249</t>
        </is>
      </c>
      <c r="E640" t="inlineStr">
        <is>
          <t>AM07</t>
        </is>
      </c>
      <c r="F640" s="5" t="n">
        <v>118.18</v>
      </c>
      <c r="G640">
        <f>IF(LEFT(B640,1)="C","Credit","Factuur")</f>
        <v/>
      </c>
      <c r="H640">
        <f>IF(AND(B640=B639,D640=D639,A640=A639,F640=F639),1,0)</f>
        <v/>
      </c>
      <c r="I640">
        <f>IF(C640="C99999",1,0)</f>
        <v/>
      </c>
      <c r="J640" s="5">
        <f>IF(OR(H640=1,I640=1),0,IF(G640="Credit",-F640,F640))</f>
        <v/>
      </c>
    </row>
    <row r="641">
      <c r="A641" t="inlineStr">
        <is>
          <t>2026-07-07</t>
        </is>
      </c>
      <c r="B641" t="inlineStr">
        <is>
          <t>F276495</t>
        </is>
      </c>
      <c r="C641" t="inlineStr">
        <is>
          <t>C10873</t>
        </is>
      </c>
      <c r="D641" t="inlineStr">
        <is>
          <t>SKU-10175</t>
        </is>
      </c>
      <c r="E641" t="inlineStr">
        <is>
          <t>AM08</t>
        </is>
      </c>
      <c r="F641" s="5" t="n">
        <v>662.55</v>
      </c>
      <c r="G641">
        <f>IF(LEFT(B641,1)="C","Credit","Factuur")</f>
        <v/>
      </c>
      <c r="H641">
        <f>IF(AND(B641=B640,D641=D640,A641=A640,F641=F640),1,0)</f>
        <v/>
      </c>
      <c r="I641">
        <f>IF(C641="C99999",1,0)</f>
        <v/>
      </c>
      <c r="J641" s="5">
        <f>IF(OR(H641=1,I641=1),0,IF(G641="Credit",-F641,F641))</f>
        <v/>
      </c>
    </row>
    <row r="642">
      <c r="A642" t="inlineStr">
        <is>
          <t>2026-07-07</t>
        </is>
      </c>
      <c r="B642" t="inlineStr">
        <is>
          <t>F276495</t>
        </is>
      </c>
      <c r="C642" t="inlineStr">
        <is>
          <t>C10873</t>
        </is>
      </c>
      <c r="D642" t="inlineStr">
        <is>
          <t>SKU-10289</t>
        </is>
      </c>
      <c r="E642" t="inlineStr">
        <is>
          <t>AM08</t>
        </is>
      </c>
      <c r="F642" s="5" t="n">
        <v>620</v>
      </c>
      <c r="G642">
        <f>IF(LEFT(B642,1)="C","Credit","Factuur")</f>
        <v/>
      </c>
      <c r="H642">
        <f>IF(AND(B642=B641,D642=D641,A642=A641,F642=F641),1,0)</f>
        <v/>
      </c>
      <c r="I642">
        <f>IF(C642="C99999",1,0)</f>
        <v/>
      </c>
      <c r="J642" s="5">
        <f>IF(OR(H642=1,I642=1),0,IF(G642="Credit",-F642,F642))</f>
        <v/>
      </c>
    </row>
    <row r="643">
      <c r="A643" t="inlineStr">
        <is>
          <t>2026-07-07</t>
        </is>
      </c>
      <c r="B643" t="inlineStr">
        <is>
          <t>F276495</t>
        </is>
      </c>
      <c r="C643" t="inlineStr">
        <is>
          <t>C10873</t>
        </is>
      </c>
      <c r="D643" t="inlineStr">
        <is>
          <t>SKU-10301</t>
        </is>
      </c>
      <c r="E643" t="inlineStr">
        <is>
          <t>AM08</t>
        </is>
      </c>
      <c r="F643" s="5" t="n">
        <v>631.46</v>
      </c>
      <c r="G643">
        <f>IF(LEFT(B643,1)="C","Credit","Factuur")</f>
        <v/>
      </c>
      <c r="H643">
        <f>IF(AND(B643=B642,D643=D642,A643=A642,F643=F642),1,0)</f>
        <v/>
      </c>
      <c r="I643">
        <f>IF(C643="C99999",1,0)</f>
        <v/>
      </c>
      <c r="J643" s="5">
        <f>IF(OR(H643=1,I643=1),0,IF(G643="Credit",-F643,F643))</f>
        <v/>
      </c>
    </row>
    <row r="644">
      <c r="A644" t="inlineStr">
        <is>
          <t>2026-07-07</t>
        </is>
      </c>
      <c r="B644" t="inlineStr">
        <is>
          <t>F277030</t>
        </is>
      </c>
      <c r="C644" t="inlineStr">
        <is>
          <t>C10902</t>
        </is>
      </c>
      <c r="D644" t="inlineStr">
        <is>
          <t>SKU-10035</t>
        </is>
      </c>
      <c r="E644" t="inlineStr">
        <is>
          <t>AM08</t>
        </is>
      </c>
      <c r="F644" s="5" t="n">
        <v>183.25</v>
      </c>
      <c r="G644">
        <f>IF(LEFT(B644,1)="C","Credit","Factuur")</f>
        <v/>
      </c>
      <c r="H644">
        <f>IF(AND(B644=B643,D644=D643,A644=A643,F644=F643),1,0)</f>
        <v/>
      </c>
      <c r="I644">
        <f>IF(C644="C99999",1,0)</f>
        <v/>
      </c>
      <c r="J644" s="5">
        <f>IF(OR(H644=1,I644=1),0,IF(G644="Credit",-F644,F644))</f>
        <v/>
      </c>
    </row>
    <row r="645">
      <c r="A645" t="inlineStr">
        <is>
          <t>2026-07-07</t>
        </is>
      </c>
      <c r="B645" t="inlineStr">
        <is>
          <t>F277030</t>
        </is>
      </c>
      <c r="C645" t="inlineStr">
        <is>
          <t>C10902</t>
        </is>
      </c>
      <c r="D645" t="inlineStr">
        <is>
          <t>SKU-10044</t>
        </is>
      </c>
      <c r="E645" t="inlineStr">
        <is>
          <t>AM08</t>
        </is>
      </c>
      <c r="F645" s="5" t="n">
        <v>196.32</v>
      </c>
      <c r="G645">
        <f>IF(LEFT(B645,1)="C","Credit","Factuur")</f>
        <v/>
      </c>
      <c r="H645">
        <f>IF(AND(B645=B644,D645=D644,A645=A644,F645=F644),1,0)</f>
        <v/>
      </c>
      <c r="I645">
        <f>IF(C645="C99999",1,0)</f>
        <v/>
      </c>
      <c r="J645" s="5">
        <f>IF(OR(H645=1,I645=1),0,IF(G645="Credit",-F645,F645))</f>
        <v/>
      </c>
    </row>
    <row r="646">
      <c r="A646" t="inlineStr">
        <is>
          <t>2026-07-07</t>
        </is>
      </c>
      <c r="B646" t="inlineStr">
        <is>
          <t>F277030</t>
        </is>
      </c>
      <c r="C646" t="inlineStr">
        <is>
          <t>C10902</t>
        </is>
      </c>
      <c r="D646" t="inlineStr">
        <is>
          <t>SKU-10055</t>
        </is>
      </c>
      <c r="E646" t="inlineStr">
        <is>
          <t>AM08</t>
        </is>
      </c>
      <c r="F646" s="5" t="n">
        <v>167.65</v>
      </c>
      <c r="G646">
        <f>IF(LEFT(B646,1)="C","Credit","Factuur")</f>
        <v/>
      </c>
      <c r="H646">
        <f>IF(AND(B646=B645,D646=D645,A646=A645,F646=F645),1,0)</f>
        <v/>
      </c>
      <c r="I646">
        <f>IF(C646="C99999",1,0)</f>
        <v/>
      </c>
      <c r="J646" s="5">
        <f>IF(OR(H646=1,I646=1),0,IF(G646="Credit",-F646,F646))</f>
        <v/>
      </c>
    </row>
    <row r="647">
      <c r="A647" t="inlineStr">
        <is>
          <t>2026-07-07</t>
        </is>
      </c>
      <c r="B647" t="inlineStr">
        <is>
          <t>F277030</t>
        </is>
      </c>
      <c r="C647" t="inlineStr">
        <is>
          <t>C10902</t>
        </is>
      </c>
      <c r="D647" t="inlineStr">
        <is>
          <t>SKU-10150</t>
        </is>
      </c>
      <c r="E647" t="inlineStr">
        <is>
          <t>AM08</t>
        </is>
      </c>
      <c r="F647" s="5" t="n">
        <v>131.6</v>
      </c>
      <c r="G647">
        <f>IF(LEFT(B647,1)="C","Credit","Factuur")</f>
        <v/>
      </c>
      <c r="H647">
        <f>IF(AND(B647=B646,D647=D646,A647=A646,F647=F646),1,0)</f>
        <v/>
      </c>
      <c r="I647">
        <f>IF(C647="C99999",1,0)</f>
        <v/>
      </c>
      <c r="J647" s="5">
        <f>IF(OR(H647=1,I647=1),0,IF(G647="Credit",-F647,F647))</f>
        <v/>
      </c>
    </row>
    <row r="648">
      <c r="A648" t="inlineStr">
        <is>
          <t>2026-07-07</t>
        </is>
      </c>
      <c r="B648" t="inlineStr">
        <is>
          <t>F277053</t>
        </is>
      </c>
      <c r="C648" t="inlineStr">
        <is>
          <t>C10903</t>
        </is>
      </c>
      <c r="D648" t="inlineStr">
        <is>
          <t>SKU-10132</t>
        </is>
      </c>
      <c r="E648" t="inlineStr">
        <is>
          <t>AM11</t>
        </is>
      </c>
      <c r="F648" s="5" t="n">
        <v>712.25</v>
      </c>
      <c r="G648">
        <f>IF(LEFT(B648,1)="C","Credit","Factuur")</f>
        <v/>
      </c>
      <c r="H648">
        <f>IF(AND(B648=B647,D648=D647,A648=A647,F648=F647),1,0)</f>
        <v/>
      </c>
      <c r="I648">
        <f>IF(C648="C99999",1,0)</f>
        <v/>
      </c>
      <c r="J648" s="5">
        <f>IF(OR(H648=1,I648=1),0,IF(G648="Credit",-F648,F648))</f>
        <v/>
      </c>
    </row>
    <row r="649">
      <c r="A649" t="inlineStr">
        <is>
          <t>2026-07-07</t>
        </is>
      </c>
      <c r="B649" t="inlineStr">
        <is>
          <t>F277053</t>
        </is>
      </c>
      <c r="C649" t="inlineStr">
        <is>
          <t>C10903</t>
        </is>
      </c>
      <c r="D649" t="inlineStr">
        <is>
          <t>SKU-10257</t>
        </is>
      </c>
      <c r="E649" t="inlineStr">
        <is>
          <t>AM11</t>
        </is>
      </c>
      <c r="F649" s="5" t="n">
        <v>673.47</v>
      </c>
      <c r="G649">
        <f>IF(LEFT(B649,1)="C","Credit","Factuur")</f>
        <v/>
      </c>
      <c r="H649">
        <f>IF(AND(B649=B648,D649=D648,A649=A648,F649=F648),1,0)</f>
        <v/>
      </c>
      <c r="I649">
        <f>IF(C649="C99999",1,0)</f>
        <v/>
      </c>
      <c r="J649" s="5">
        <f>IF(OR(H649=1,I649=1),0,IF(G649="Credit",-F649,F649))</f>
        <v/>
      </c>
    </row>
    <row r="650">
      <c r="A650" t="inlineStr">
        <is>
          <t>2026-07-07</t>
        </is>
      </c>
      <c r="B650" t="inlineStr">
        <is>
          <t>F277655</t>
        </is>
      </c>
      <c r="C650" t="inlineStr">
        <is>
          <t>C10937</t>
        </is>
      </c>
      <c r="D650" t="inlineStr">
        <is>
          <t>SKU-10011</t>
        </is>
      </c>
      <c r="E650" t="inlineStr">
        <is>
          <t>AM02</t>
        </is>
      </c>
      <c r="F650" s="5" t="n">
        <v>194.88</v>
      </c>
      <c r="G650">
        <f>IF(LEFT(B650,1)="C","Credit","Factuur")</f>
        <v/>
      </c>
      <c r="H650">
        <f>IF(AND(B650=B649,D650=D649,A650=A649,F650=F649),1,0)</f>
        <v/>
      </c>
      <c r="I650">
        <f>IF(C650="C99999",1,0)</f>
        <v/>
      </c>
      <c r="J650" s="5">
        <f>IF(OR(H650=1,I650=1),0,IF(G650="Credit",-F650,F650))</f>
        <v/>
      </c>
    </row>
    <row r="651">
      <c r="A651" t="inlineStr">
        <is>
          <t>2026-07-07</t>
        </is>
      </c>
      <c r="B651" t="inlineStr">
        <is>
          <t>F277655</t>
        </is>
      </c>
      <c r="C651" t="inlineStr">
        <is>
          <t>C10937</t>
        </is>
      </c>
      <c r="D651" t="inlineStr">
        <is>
          <t>SKU-10122</t>
        </is>
      </c>
      <c r="E651" t="inlineStr">
        <is>
          <t>AM02</t>
        </is>
      </c>
      <c r="F651" s="5" t="n">
        <v>238.08</v>
      </c>
      <c r="G651">
        <f>IF(LEFT(B651,1)="C","Credit","Factuur")</f>
        <v/>
      </c>
      <c r="H651">
        <f>IF(AND(B651=B650,D651=D650,A651=A650,F651=F650),1,0)</f>
        <v/>
      </c>
      <c r="I651">
        <f>IF(C651="C99999",1,0)</f>
        <v/>
      </c>
      <c r="J651" s="5">
        <f>IF(OR(H651=1,I651=1),0,IF(G651="Credit",-F651,F651))</f>
        <v/>
      </c>
    </row>
    <row r="652">
      <c r="A652" t="inlineStr">
        <is>
          <t>2026-07-07</t>
        </is>
      </c>
      <c r="B652" t="inlineStr">
        <is>
          <t>F277655</t>
        </is>
      </c>
      <c r="C652" t="inlineStr">
        <is>
          <t>C10937</t>
        </is>
      </c>
      <c r="D652" t="inlineStr">
        <is>
          <t>SKU-10169</t>
        </is>
      </c>
      <c r="E652" t="inlineStr">
        <is>
          <t>AM02</t>
        </is>
      </c>
      <c r="F652" s="5" t="n">
        <v>185.16</v>
      </c>
      <c r="G652">
        <f>IF(LEFT(B652,1)="C","Credit","Factuur")</f>
        <v/>
      </c>
      <c r="H652">
        <f>IF(AND(B652=B651,D652=D651,A652=A651,F652=F651),1,0)</f>
        <v/>
      </c>
      <c r="I652">
        <f>IF(C652="C99999",1,0)</f>
        <v/>
      </c>
      <c r="J652" s="5">
        <f>IF(OR(H652=1,I652=1),0,IF(G652="Credit",-F652,F652))</f>
        <v/>
      </c>
    </row>
    <row r="653">
      <c r="A653" t="inlineStr">
        <is>
          <t>2026-07-07</t>
        </is>
      </c>
      <c r="B653" t="inlineStr">
        <is>
          <t>F277655</t>
        </is>
      </c>
      <c r="C653" t="inlineStr">
        <is>
          <t>C10937</t>
        </is>
      </c>
      <c r="D653" t="inlineStr">
        <is>
          <t>SKU-10233</t>
        </is>
      </c>
      <c r="E653" t="inlineStr">
        <is>
          <t>AM02</t>
        </is>
      </c>
      <c r="F653" s="5" t="n">
        <v>195.3</v>
      </c>
      <c r="G653">
        <f>IF(LEFT(B653,1)="C","Credit","Factuur")</f>
        <v/>
      </c>
      <c r="H653">
        <f>IF(AND(B653=B652,D653=D652,A653=A652,F653=F652),1,0)</f>
        <v/>
      </c>
      <c r="I653">
        <f>IF(C653="C99999",1,0)</f>
        <v/>
      </c>
      <c r="J653" s="5">
        <f>IF(OR(H653=1,I653=1),0,IF(G653="Credit",-F653,F653))</f>
        <v/>
      </c>
    </row>
    <row r="654">
      <c r="A654" t="inlineStr">
        <is>
          <t>2026-07-07</t>
        </is>
      </c>
      <c r="B654" t="inlineStr">
        <is>
          <t>F278563</t>
        </is>
      </c>
      <c r="C654" t="inlineStr">
        <is>
          <t>C10985</t>
        </is>
      </c>
      <c r="D654" t="inlineStr">
        <is>
          <t>SKU-10056</t>
        </is>
      </c>
      <c r="E654" t="inlineStr">
        <is>
          <t>AM12</t>
        </is>
      </c>
      <c r="F654" s="5" t="n">
        <v>128</v>
      </c>
      <c r="G654">
        <f>IF(LEFT(B654,1)="C","Credit","Factuur")</f>
        <v/>
      </c>
      <c r="H654">
        <f>IF(AND(B654=B653,D654=D653,A654=A653,F654=F653),1,0)</f>
        <v/>
      </c>
      <c r="I654">
        <f>IF(C654="C99999",1,0)</f>
        <v/>
      </c>
      <c r="J654" s="5">
        <f>IF(OR(H654=1,I654=1),0,IF(G654="Credit",-F654,F654))</f>
        <v/>
      </c>
    </row>
    <row r="655">
      <c r="A655" t="inlineStr">
        <is>
          <t>2026-07-07</t>
        </is>
      </c>
      <c r="B655" t="inlineStr">
        <is>
          <t>F278563</t>
        </is>
      </c>
      <c r="C655" t="inlineStr">
        <is>
          <t>C10985</t>
        </is>
      </c>
      <c r="D655" t="inlineStr">
        <is>
          <t>SKU-10139</t>
        </is>
      </c>
      <c r="E655" t="inlineStr">
        <is>
          <t>AM12</t>
        </is>
      </c>
      <c r="F655" s="5" t="n">
        <v>140.88</v>
      </c>
      <c r="G655">
        <f>IF(LEFT(B655,1)="C","Credit","Factuur")</f>
        <v/>
      </c>
      <c r="H655">
        <f>IF(AND(B655=B654,D655=D654,A655=A654,F655=F654),1,0)</f>
        <v/>
      </c>
      <c r="I655">
        <f>IF(C655="C99999",1,0)</f>
        <v/>
      </c>
      <c r="J655" s="5">
        <f>IF(OR(H655=1,I655=1),0,IF(G655="Credit",-F655,F655))</f>
        <v/>
      </c>
    </row>
    <row r="656">
      <c r="A656" t="inlineStr">
        <is>
          <t>2026-07-07</t>
        </is>
      </c>
      <c r="B656" t="inlineStr">
        <is>
          <t>F278563</t>
        </is>
      </c>
      <c r="C656" t="inlineStr">
        <is>
          <t>C10985</t>
        </is>
      </c>
      <c r="D656" t="inlineStr">
        <is>
          <t>SKU-10150</t>
        </is>
      </c>
      <c r="E656" t="inlineStr">
        <is>
          <t>AM12</t>
        </is>
      </c>
      <c r="F656" s="5" t="n">
        <v>138.53</v>
      </c>
      <c r="G656">
        <f>IF(LEFT(B656,1)="C","Credit","Factuur")</f>
        <v/>
      </c>
      <c r="H656">
        <f>IF(AND(B656=B655,D656=D655,A656=A655,F656=F655),1,0)</f>
        <v/>
      </c>
      <c r="I656">
        <f>IF(C656="C99999",1,0)</f>
        <v/>
      </c>
      <c r="J656" s="5">
        <f>IF(OR(H656=1,I656=1),0,IF(G656="Credit",-F656,F656))</f>
        <v/>
      </c>
    </row>
    <row r="657">
      <c r="A657" t="inlineStr">
        <is>
          <t>2026-07-07</t>
        </is>
      </c>
      <c r="B657" t="inlineStr">
        <is>
          <t>F278563</t>
        </is>
      </c>
      <c r="C657" t="inlineStr">
        <is>
          <t>C10985</t>
        </is>
      </c>
      <c r="D657" t="inlineStr">
        <is>
          <t>SKU-10343</t>
        </is>
      </c>
      <c r="E657" t="inlineStr">
        <is>
          <t>AM12</t>
        </is>
      </c>
      <c r="F657" s="5" t="n">
        <v>132.16</v>
      </c>
      <c r="G657">
        <f>IF(LEFT(B657,1)="C","Credit","Factuur")</f>
        <v/>
      </c>
      <c r="H657">
        <f>IF(AND(B657=B656,D657=D656,A657=A656,F657=F656),1,0)</f>
        <v/>
      </c>
      <c r="I657">
        <f>IF(C657="C99999",1,0)</f>
        <v/>
      </c>
      <c r="J657" s="5">
        <f>IF(OR(H657=1,I657=1),0,IF(G657="Credit",-F657,F657))</f>
        <v/>
      </c>
    </row>
    <row r="658">
      <c r="A658" t="inlineStr">
        <is>
          <t>2026-07-07</t>
        </is>
      </c>
      <c r="B658" t="inlineStr">
        <is>
          <t>F280973</t>
        </is>
      </c>
      <c r="C658" t="inlineStr">
        <is>
          <t>C11105</t>
        </is>
      </c>
      <c r="D658" t="inlineStr">
        <is>
          <t>SKU-10266</t>
        </is>
      </c>
      <c r="E658" t="inlineStr">
        <is>
          <t>AM12</t>
        </is>
      </c>
      <c r="F658" s="5" t="n">
        <v>143.2</v>
      </c>
      <c r="G658">
        <f>IF(LEFT(B658,1)="C","Credit","Factuur")</f>
        <v/>
      </c>
      <c r="H658">
        <f>IF(AND(B658=B657,D658=D657,A658=A657,F658=F657),1,0)</f>
        <v/>
      </c>
      <c r="I658">
        <f>IF(C658="C99999",1,0)</f>
        <v/>
      </c>
      <c r="J658" s="5">
        <f>IF(OR(H658=1,I658=1),0,IF(G658="Credit",-F658,F658))</f>
        <v/>
      </c>
    </row>
    <row r="659">
      <c r="A659" t="inlineStr">
        <is>
          <t>2026-07-07</t>
        </is>
      </c>
      <c r="B659" t="inlineStr">
        <is>
          <t>F280973</t>
        </is>
      </c>
      <c r="C659" t="inlineStr">
        <is>
          <t>C11105</t>
        </is>
      </c>
      <c r="D659" t="inlineStr">
        <is>
          <t>SKU-10350</t>
        </is>
      </c>
      <c r="E659" t="inlineStr">
        <is>
          <t>AM12</t>
        </is>
      </c>
      <c r="F659" s="5" t="n">
        <v>360.34</v>
      </c>
      <c r="G659">
        <f>IF(LEFT(B659,1)="C","Credit","Factuur")</f>
        <v/>
      </c>
      <c r="H659">
        <f>IF(AND(B659=B658,D659=D658,A659=A658,F659=F658),1,0)</f>
        <v/>
      </c>
      <c r="I659">
        <f>IF(C659="C99999",1,0)</f>
        <v/>
      </c>
      <c r="J659" s="5">
        <f>IF(OR(H659=1,I659=1),0,IF(G659="Credit",-F659,F659))</f>
        <v/>
      </c>
    </row>
    <row r="660">
      <c r="A660" t="inlineStr">
        <is>
          <t>2026-07-07</t>
        </is>
      </c>
      <c r="B660" t="inlineStr">
        <is>
          <t>F282316</t>
        </is>
      </c>
      <c r="C660" t="inlineStr">
        <is>
          <t>C11170</t>
        </is>
      </c>
      <c r="D660" t="inlineStr">
        <is>
          <t>SKU-10034</t>
        </is>
      </c>
      <c r="E660" t="inlineStr">
        <is>
          <t>AM07</t>
        </is>
      </c>
      <c r="F660" s="5" t="n">
        <v>185.72</v>
      </c>
      <c r="G660">
        <f>IF(LEFT(B660,1)="C","Credit","Factuur")</f>
        <v/>
      </c>
      <c r="H660">
        <f>IF(AND(B660=B659,D660=D659,A660=A659,F660=F659),1,0)</f>
        <v/>
      </c>
      <c r="I660">
        <f>IF(C660="C99999",1,0)</f>
        <v/>
      </c>
      <c r="J660" s="5">
        <f>IF(OR(H660=1,I660=1),0,IF(G660="Credit",-F660,F660))</f>
        <v/>
      </c>
    </row>
    <row r="661">
      <c r="A661" t="inlineStr">
        <is>
          <t>2026-07-07</t>
        </is>
      </c>
      <c r="B661" t="inlineStr">
        <is>
          <t>F282316</t>
        </is>
      </c>
      <c r="C661" t="inlineStr">
        <is>
          <t>C11170</t>
        </is>
      </c>
      <c r="D661" t="inlineStr">
        <is>
          <t>SKU-10051</t>
        </is>
      </c>
      <c r="E661" t="inlineStr">
        <is>
          <t>AM07</t>
        </is>
      </c>
      <c r="F661" s="5" t="n">
        <v>194.86</v>
      </c>
      <c r="G661">
        <f>IF(LEFT(B661,1)="C","Credit","Factuur")</f>
        <v/>
      </c>
      <c r="H661">
        <f>IF(AND(B661=B660,D661=D660,A661=A660,F661=F660),1,0)</f>
        <v/>
      </c>
      <c r="I661">
        <f>IF(C661="C99999",1,0)</f>
        <v/>
      </c>
      <c r="J661" s="5">
        <f>IF(OR(H661=1,I661=1),0,IF(G661="Credit",-F661,F661))</f>
        <v/>
      </c>
    </row>
    <row r="662">
      <c r="A662" t="inlineStr">
        <is>
          <t>2026-07-07</t>
        </is>
      </c>
      <c r="B662" t="inlineStr">
        <is>
          <t>F282316</t>
        </is>
      </c>
      <c r="C662" t="inlineStr">
        <is>
          <t>C11170</t>
        </is>
      </c>
      <c r="D662" t="inlineStr">
        <is>
          <t>SKU-10374</t>
        </is>
      </c>
      <c r="E662" t="inlineStr">
        <is>
          <t>AM07</t>
        </is>
      </c>
      <c r="F662" s="5" t="n">
        <v>117.68</v>
      </c>
      <c r="G662">
        <f>IF(LEFT(B662,1)="C","Credit","Factuur")</f>
        <v/>
      </c>
      <c r="H662">
        <f>IF(AND(B662=B661,D662=D661,A662=A661,F662=F661),1,0)</f>
        <v/>
      </c>
      <c r="I662">
        <f>IF(C662="C99999",1,0)</f>
        <v/>
      </c>
      <c r="J662" s="5">
        <f>IF(OR(H662=1,I662=1),0,IF(G662="Credit",-F662,F662))</f>
        <v/>
      </c>
    </row>
    <row r="663">
      <c r="A663" t="inlineStr">
        <is>
          <t>2026-07-07</t>
        </is>
      </c>
      <c r="B663" t="inlineStr">
        <is>
          <t>F283693</t>
        </is>
      </c>
      <c r="C663" t="inlineStr">
        <is>
          <t>C11241</t>
        </is>
      </c>
      <c r="D663" t="inlineStr">
        <is>
          <t>SKU-10242</t>
        </is>
      </c>
      <c r="E663" t="inlineStr">
        <is>
          <t>AM07</t>
        </is>
      </c>
      <c r="F663" s="5" t="n">
        <v>1044</v>
      </c>
      <c r="G663">
        <f>IF(LEFT(B663,1)="C","Credit","Factuur")</f>
        <v/>
      </c>
      <c r="H663">
        <f>IF(AND(B663=B662,D663=D662,A663=A662,F663=F662),1,0)</f>
        <v/>
      </c>
      <c r="I663">
        <f>IF(C663="C99999",1,0)</f>
        <v/>
      </c>
      <c r="J663" s="5">
        <f>IF(OR(H663=1,I663=1),0,IF(G663="Credit",-F663,F663))</f>
        <v/>
      </c>
    </row>
    <row r="664">
      <c r="A664" t="inlineStr">
        <is>
          <t>2026-07-07</t>
        </is>
      </c>
      <c r="B664" t="inlineStr">
        <is>
          <t>F284282</t>
        </is>
      </c>
      <c r="C664" t="inlineStr">
        <is>
          <t>C11270</t>
        </is>
      </c>
      <c r="D664" t="inlineStr">
        <is>
          <t>SKU-10176</t>
        </is>
      </c>
      <c r="E664" t="inlineStr">
        <is>
          <t>AM03</t>
        </is>
      </c>
      <c r="F664" s="5" t="n">
        <v>415.52</v>
      </c>
      <c r="G664">
        <f>IF(LEFT(B664,1)="C","Credit","Factuur")</f>
        <v/>
      </c>
      <c r="H664">
        <f>IF(AND(B664=B663,D664=D663,A664=A663,F664=F663),1,0)</f>
        <v/>
      </c>
      <c r="I664">
        <f>IF(C664="C99999",1,0)</f>
        <v/>
      </c>
      <c r="J664" s="5">
        <f>IF(OR(H664=1,I664=1),0,IF(G664="Credit",-F664,F664))</f>
        <v/>
      </c>
    </row>
    <row r="665">
      <c r="A665" t="inlineStr">
        <is>
          <t>2026-07-07</t>
        </is>
      </c>
      <c r="B665" t="inlineStr">
        <is>
          <t>F284282</t>
        </is>
      </c>
      <c r="C665" t="inlineStr">
        <is>
          <t>C11270</t>
        </is>
      </c>
      <c r="D665" t="inlineStr">
        <is>
          <t>SKU-10319</t>
        </is>
      </c>
      <c r="E665" t="inlineStr">
        <is>
          <t>AM03</t>
        </is>
      </c>
      <c r="F665" s="5" t="n">
        <v>405.16</v>
      </c>
      <c r="G665">
        <f>IF(LEFT(B665,1)="C","Credit","Factuur")</f>
        <v/>
      </c>
      <c r="H665">
        <f>IF(AND(B665=B664,D665=D664,A665=A664,F665=F664),1,0)</f>
        <v/>
      </c>
      <c r="I665">
        <f>IF(C665="C99999",1,0)</f>
        <v/>
      </c>
      <c r="J665" s="5">
        <f>IF(OR(H665=1,I665=1),0,IF(G665="Credit",-F665,F665))</f>
        <v/>
      </c>
    </row>
    <row r="666">
      <c r="A666" t="inlineStr">
        <is>
          <t>2026-07-07</t>
        </is>
      </c>
      <c r="B666" t="inlineStr">
        <is>
          <t>F285184</t>
        </is>
      </c>
      <c r="C666" t="inlineStr">
        <is>
          <t>C11320</t>
        </is>
      </c>
      <c r="D666" t="inlineStr">
        <is>
          <t>SKU-10273</t>
        </is>
      </c>
      <c r="E666" t="inlineStr">
        <is>
          <t>AM11</t>
        </is>
      </c>
      <c r="F666" s="5" t="n">
        <v>245.72</v>
      </c>
      <c r="G666">
        <f>IF(LEFT(B666,1)="C","Credit","Factuur")</f>
        <v/>
      </c>
      <c r="H666">
        <f>IF(AND(B666=B665,D666=D665,A666=A665,F666=F665),1,0)</f>
        <v/>
      </c>
      <c r="I666">
        <f>IF(C666="C99999",1,0)</f>
        <v/>
      </c>
      <c r="J666" s="5">
        <f>IF(OR(H666=1,I666=1),0,IF(G666="Credit",-F666,F666))</f>
        <v/>
      </c>
    </row>
    <row r="667">
      <c r="A667" t="inlineStr">
        <is>
          <t>2026-07-07</t>
        </is>
      </c>
      <c r="B667" t="inlineStr">
        <is>
          <t>F285184</t>
        </is>
      </c>
      <c r="C667" t="inlineStr">
        <is>
          <t>C11320</t>
        </is>
      </c>
      <c r="D667" t="inlineStr">
        <is>
          <t>SKU-10334</t>
        </is>
      </c>
      <c r="E667" t="inlineStr">
        <is>
          <t>AM11</t>
        </is>
      </c>
      <c r="F667" s="5" t="n">
        <v>244.4</v>
      </c>
      <c r="G667">
        <f>IF(LEFT(B667,1)="C","Credit","Factuur")</f>
        <v/>
      </c>
      <c r="H667">
        <f>IF(AND(B667=B666,D667=D666,A667=A666,F667=F666),1,0)</f>
        <v/>
      </c>
      <c r="I667">
        <f>IF(C667="C99999",1,0)</f>
        <v/>
      </c>
      <c r="J667" s="5">
        <f>IF(OR(H667=1,I667=1),0,IF(G667="Credit",-F667,F667))</f>
        <v/>
      </c>
    </row>
    <row r="668">
      <c r="A668" t="inlineStr">
        <is>
          <t>2026-07-07</t>
        </is>
      </c>
      <c r="B668" t="inlineStr">
        <is>
          <t>F285184</t>
        </is>
      </c>
      <c r="C668" t="inlineStr">
        <is>
          <t>C11320</t>
        </is>
      </c>
      <c r="D668" t="inlineStr">
        <is>
          <t>SKU-10348</t>
        </is>
      </c>
      <c r="E668" t="inlineStr">
        <is>
          <t>AM11</t>
        </is>
      </c>
      <c r="F668" s="5" t="n">
        <v>260.08</v>
      </c>
      <c r="G668">
        <f>IF(LEFT(B668,1)="C","Credit","Factuur")</f>
        <v/>
      </c>
      <c r="H668">
        <f>IF(AND(B668=B667,D668=D667,A668=A667,F668=F667),1,0)</f>
        <v/>
      </c>
      <c r="I668">
        <f>IF(C668="C99999",1,0)</f>
        <v/>
      </c>
      <c r="J668" s="5">
        <f>IF(OR(H668=1,I668=1),0,IF(G668="Credit",-F668,F668))</f>
        <v/>
      </c>
    </row>
    <row r="669">
      <c r="A669" t="inlineStr">
        <is>
          <t>2026-07-07</t>
        </is>
      </c>
      <c r="B669" t="inlineStr">
        <is>
          <t>F285184</t>
        </is>
      </c>
      <c r="C669" t="inlineStr">
        <is>
          <t>C11320</t>
        </is>
      </c>
      <c r="D669" t="inlineStr">
        <is>
          <t>SKU-10382</t>
        </is>
      </c>
      <c r="E669" t="inlineStr">
        <is>
          <t>AM11</t>
        </is>
      </c>
      <c r="F669" s="5" t="n">
        <v>352.98</v>
      </c>
      <c r="G669">
        <f>IF(LEFT(B669,1)="C","Credit","Factuur")</f>
        <v/>
      </c>
      <c r="H669">
        <f>IF(AND(B669=B668,D669=D668,A669=A668,F669=F668),1,0)</f>
        <v/>
      </c>
      <c r="I669">
        <f>IF(C669="C99999",1,0)</f>
        <v/>
      </c>
      <c r="J669" s="5">
        <f>IF(OR(H669=1,I669=1),0,IF(G669="Credit",-F669,F669))</f>
        <v/>
      </c>
    </row>
    <row r="670">
      <c r="A670" t="inlineStr">
        <is>
          <t>2026-07-07</t>
        </is>
      </c>
      <c r="B670" t="inlineStr">
        <is>
          <t>F285460</t>
        </is>
      </c>
      <c r="C670" t="inlineStr">
        <is>
          <t>C11330</t>
        </is>
      </c>
      <c r="D670" t="inlineStr">
        <is>
          <t>SKU-10050</t>
        </is>
      </c>
      <c r="E670" t="inlineStr">
        <is>
          <t>AM12</t>
        </is>
      </c>
      <c r="F670" s="5" t="n">
        <v>817.48</v>
      </c>
      <c r="G670">
        <f>IF(LEFT(B670,1)="C","Credit","Factuur")</f>
        <v/>
      </c>
      <c r="H670">
        <f>IF(AND(B670=B669,D670=D669,A670=A669,F670=F669),1,0)</f>
        <v/>
      </c>
      <c r="I670">
        <f>IF(C670="C99999",1,0)</f>
        <v/>
      </c>
      <c r="J670" s="5">
        <f>IF(OR(H670=1,I670=1),0,IF(G670="Credit",-F670,F670))</f>
        <v/>
      </c>
    </row>
    <row r="671">
      <c r="A671" t="inlineStr">
        <is>
          <t>2026-07-07</t>
        </is>
      </c>
      <c r="B671" t="inlineStr">
        <is>
          <t>F285460</t>
        </is>
      </c>
      <c r="C671" t="inlineStr">
        <is>
          <t>C11330</t>
        </is>
      </c>
      <c r="D671" t="inlineStr">
        <is>
          <t>SKU-10234</t>
        </is>
      </c>
      <c r="E671" t="inlineStr">
        <is>
          <t>AM12</t>
        </is>
      </c>
      <c r="F671" s="5" t="n">
        <v>915.84</v>
      </c>
      <c r="G671">
        <f>IF(LEFT(B671,1)="C","Credit","Factuur")</f>
        <v/>
      </c>
      <c r="H671">
        <f>IF(AND(B671=B670,D671=D670,A671=A670,F671=F670),1,0)</f>
        <v/>
      </c>
      <c r="I671">
        <f>IF(C671="C99999",1,0)</f>
        <v/>
      </c>
      <c r="J671" s="5">
        <f>IF(OR(H671=1,I671=1),0,IF(G671="Credit",-F671,F671))</f>
        <v/>
      </c>
    </row>
    <row r="672">
      <c r="A672" t="inlineStr">
        <is>
          <t>2026-07-07</t>
        </is>
      </c>
      <c r="B672" t="inlineStr">
        <is>
          <t>F285460</t>
        </is>
      </c>
      <c r="C672" t="inlineStr">
        <is>
          <t>C11330</t>
        </is>
      </c>
      <c r="D672" t="inlineStr">
        <is>
          <t>SKU-10238</t>
        </is>
      </c>
      <c r="E672" t="inlineStr"/>
      <c r="F672" s="5" t="n">
        <v>800.8</v>
      </c>
      <c r="G672">
        <f>IF(LEFT(B672,1)="C","Credit","Factuur")</f>
        <v/>
      </c>
      <c r="H672">
        <f>IF(AND(B672=B671,D672=D671,A672=A671,F672=F671),1,0)</f>
        <v/>
      </c>
      <c r="I672">
        <f>IF(C672="C99999",1,0)</f>
        <v/>
      </c>
      <c r="J672" s="5">
        <f>IF(OR(H672=1,I672=1),0,IF(G672="Credit",-F672,F672))</f>
        <v/>
      </c>
    </row>
    <row r="673">
      <c r="A673" t="inlineStr">
        <is>
          <t>2026-07-08</t>
        </is>
      </c>
      <c r="B673" t="inlineStr">
        <is>
          <t>C900129</t>
        </is>
      </c>
      <c r="C673" t="inlineStr">
        <is>
          <t>C10156</t>
        </is>
      </c>
      <c r="D673" t="inlineStr">
        <is>
          <t>SKU-10286</t>
        </is>
      </c>
      <c r="E673" t="inlineStr">
        <is>
          <t>AM03</t>
        </is>
      </c>
      <c r="F673" s="5" t="n">
        <v>54.75</v>
      </c>
      <c r="G673">
        <f>IF(LEFT(B673,1)="C","Credit","Factuur")</f>
        <v/>
      </c>
      <c r="H673">
        <f>IF(AND(B673=B672,D673=D672,A673=A672,F673=F672),1,0)</f>
        <v/>
      </c>
      <c r="I673">
        <f>IF(C673="C99999",1,0)</f>
        <v/>
      </c>
      <c r="J673" s="5">
        <f>IF(OR(H673=1,I673=1),0,IF(G673="Credit",-F673,F673))</f>
        <v/>
      </c>
    </row>
    <row r="674">
      <c r="A674" t="inlineStr">
        <is>
          <t>2026-07-08</t>
        </is>
      </c>
      <c r="B674" t="inlineStr">
        <is>
          <t>C901164</t>
        </is>
      </c>
      <c r="C674" t="inlineStr">
        <is>
          <t>C10184</t>
        </is>
      </c>
      <c r="D674" t="inlineStr">
        <is>
          <t>SKU-10311</t>
        </is>
      </c>
      <c r="E674" t="inlineStr">
        <is>
          <t>AM03</t>
        </is>
      </c>
      <c r="F674" s="5" t="n">
        <v>250.07</v>
      </c>
      <c r="G674">
        <f>IF(LEFT(B674,1)="C","Credit","Factuur")</f>
        <v/>
      </c>
      <c r="H674">
        <f>IF(AND(B674=B673,D674=D673,A674=A673,F674=F673),1,0)</f>
        <v/>
      </c>
      <c r="I674">
        <f>IF(C674="C99999",1,0)</f>
        <v/>
      </c>
      <c r="J674" s="5">
        <f>IF(OR(H674=1,I674=1),0,IF(G674="Credit",-F674,F674))</f>
        <v/>
      </c>
    </row>
    <row r="675">
      <c r="A675" t="inlineStr">
        <is>
          <t>2026-07-08</t>
        </is>
      </c>
      <c r="B675" t="inlineStr">
        <is>
          <t>C901353</t>
        </is>
      </c>
      <c r="C675" t="inlineStr">
        <is>
          <t>C10599</t>
        </is>
      </c>
      <c r="D675" t="inlineStr">
        <is>
          <t>SKU-10043</t>
        </is>
      </c>
      <c r="E675" t="inlineStr">
        <is>
          <t>AM03</t>
        </is>
      </c>
      <c r="F675" s="5" t="n">
        <v>155.82</v>
      </c>
      <c r="G675">
        <f>IF(LEFT(B675,1)="C","Credit","Factuur")</f>
        <v/>
      </c>
      <c r="H675">
        <f>IF(AND(B675=B674,D675=D674,A675=A674,F675=F674),1,0)</f>
        <v/>
      </c>
      <c r="I675">
        <f>IF(C675="C99999",1,0)</f>
        <v/>
      </c>
      <c r="J675" s="5">
        <f>IF(OR(H675=1,I675=1),0,IF(G675="Credit",-F675,F675))</f>
        <v/>
      </c>
    </row>
    <row r="676">
      <c r="A676" t="inlineStr">
        <is>
          <t>2026-07-08</t>
        </is>
      </c>
      <c r="B676" t="inlineStr">
        <is>
          <t>F260351</t>
        </is>
      </c>
      <c r="C676" t="inlineStr">
        <is>
          <t>C10021</t>
        </is>
      </c>
      <c r="D676" t="inlineStr">
        <is>
          <t>SKU-10058</t>
        </is>
      </c>
      <c r="E676" t="inlineStr">
        <is>
          <t>AM07</t>
        </is>
      </c>
      <c r="F676" s="5" t="n">
        <v>884.8</v>
      </c>
      <c r="G676">
        <f>IF(LEFT(B676,1)="C","Credit","Factuur")</f>
        <v/>
      </c>
      <c r="H676">
        <f>IF(AND(B676=B675,D676=D675,A676=A675,F676=F675),1,0)</f>
        <v/>
      </c>
      <c r="I676">
        <f>IF(C676="C99999",1,0)</f>
        <v/>
      </c>
      <c r="J676" s="5">
        <f>IF(OR(H676=1,I676=1),0,IF(G676="Credit",-F676,F676))</f>
        <v/>
      </c>
    </row>
    <row r="677">
      <c r="A677" t="inlineStr">
        <is>
          <t>2026-07-08</t>
        </is>
      </c>
      <c r="B677" t="inlineStr">
        <is>
          <t>F260351</t>
        </is>
      </c>
      <c r="C677" t="inlineStr">
        <is>
          <t>C10021</t>
        </is>
      </c>
      <c r="D677" t="inlineStr">
        <is>
          <t>SKU-10310</t>
        </is>
      </c>
      <c r="E677" t="inlineStr">
        <is>
          <t>AM07</t>
        </is>
      </c>
      <c r="F677" s="5" t="n">
        <v>935.9</v>
      </c>
      <c r="G677">
        <f>IF(LEFT(B677,1)="C","Credit","Factuur")</f>
        <v/>
      </c>
      <c r="H677">
        <f>IF(AND(B677=B676,D677=D676,A677=A676,F677=F676),1,0)</f>
        <v/>
      </c>
      <c r="I677">
        <f>IF(C677="C99999",1,0)</f>
        <v/>
      </c>
      <c r="J677" s="5">
        <f>IF(OR(H677=1,I677=1),0,IF(G677="Credit",-F677,F677))</f>
        <v/>
      </c>
    </row>
    <row r="678">
      <c r="A678" t="inlineStr">
        <is>
          <t>2026-07-08</t>
        </is>
      </c>
      <c r="B678" t="inlineStr">
        <is>
          <t>F260351</t>
        </is>
      </c>
      <c r="C678" t="inlineStr">
        <is>
          <t>C10021</t>
        </is>
      </c>
      <c r="D678" t="inlineStr">
        <is>
          <t>SKU-10378</t>
        </is>
      </c>
      <c r="E678" t="inlineStr">
        <is>
          <t>AM07</t>
        </is>
      </c>
      <c r="F678" s="5" t="n">
        <v>897.3200000000001</v>
      </c>
      <c r="G678">
        <f>IF(LEFT(B678,1)="C","Credit","Factuur")</f>
        <v/>
      </c>
      <c r="H678">
        <f>IF(AND(B678=B677,D678=D677,A678=A677,F678=F677),1,0)</f>
        <v/>
      </c>
      <c r="I678">
        <f>IF(C678="C99999",1,0)</f>
        <v/>
      </c>
      <c r="J678" s="5">
        <f>IF(OR(H678=1,I678=1),0,IF(G678="Credit",-F678,F678))</f>
        <v/>
      </c>
    </row>
    <row r="679">
      <c r="A679" t="inlineStr">
        <is>
          <t>2026-07-08</t>
        </is>
      </c>
      <c r="B679" t="inlineStr">
        <is>
          <t>F260749</t>
        </is>
      </c>
      <c r="C679" t="inlineStr">
        <is>
          <t>C10045</t>
        </is>
      </c>
      <c r="D679" t="inlineStr">
        <is>
          <t>SKU-10159</t>
        </is>
      </c>
      <c r="E679" t="inlineStr"/>
      <c r="F679" s="5" t="n">
        <v>89.95999999999999</v>
      </c>
      <c r="G679">
        <f>IF(LEFT(B679,1)="C","Credit","Factuur")</f>
        <v/>
      </c>
      <c r="H679">
        <f>IF(AND(B679=B678,D679=D678,A679=A678,F679=F678),1,0)</f>
        <v/>
      </c>
      <c r="I679">
        <f>IF(C679="C99999",1,0)</f>
        <v/>
      </c>
      <c r="J679" s="5">
        <f>IF(OR(H679=1,I679=1),0,IF(G679="Credit",-F679,F679))</f>
        <v/>
      </c>
    </row>
    <row r="680">
      <c r="A680" t="inlineStr">
        <is>
          <t>2026-07-08</t>
        </is>
      </c>
      <c r="B680" t="inlineStr">
        <is>
          <t>F260749</t>
        </is>
      </c>
      <c r="C680" t="inlineStr">
        <is>
          <t>C10045</t>
        </is>
      </c>
      <c r="D680" t="inlineStr">
        <is>
          <t>SKU-10193</t>
        </is>
      </c>
      <c r="E680" t="inlineStr">
        <is>
          <t>AM12</t>
        </is>
      </c>
      <c r="F680" s="5" t="n">
        <v>73.19</v>
      </c>
      <c r="G680">
        <f>IF(LEFT(B680,1)="C","Credit","Factuur")</f>
        <v/>
      </c>
      <c r="H680">
        <f>IF(AND(B680=B679,D680=D679,A680=A679,F680=F679),1,0)</f>
        <v/>
      </c>
      <c r="I680">
        <f>IF(C680="C99999",1,0)</f>
        <v/>
      </c>
      <c r="J680" s="5">
        <f>IF(OR(H680=1,I680=1),0,IF(G680="Credit",-F680,F680))</f>
        <v/>
      </c>
    </row>
    <row r="681">
      <c r="A681" t="inlineStr">
        <is>
          <t>2026-07-08</t>
        </is>
      </c>
      <c r="B681" t="inlineStr">
        <is>
          <t>F260749</t>
        </is>
      </c>
      <c r="C681" t="inlineStr">
        <is>
          <t>C10045</t>
        </is>
      </c>
      <c r="D681" t="inlineStr">
        <is>
          <t>SKU-10236</t>
        </is>
      </c>
      <c r="E681" t="inlineStr">
        <is>
          <t>AM12</t>
        </is>
      </c>
      <c r="F681" s="5" t="n">
        <v>95.3</v>
      </c>
      <c r="G681">
        <f>IF(LEFT(B681,1)="C","Credit","Factuur")</f>
        <v/>
      </c>
      <c r="H681">
        <f>IF(AND(B681=B680,D681=D680,A681=A680,F681=F680),1,0)</f>
        <v/>
      </c>
      <c r="I681">
        <f>IF(C681="C99999",1,0)</f>
        <v/>
      </c>
      <c r="J681" s="5">
        <f>IF(OR(H681=1,I681=1),0,IF(G681="Credit",-F681,F681))</f>
        <v/>
      </c>
    </row>
    <row r="682">
      <c r="A682" t="inlineStr">
        <is>
          <t>2026-07-08</t>
        </is>
      </c>
      <c r="B682" t="inlineStr">
        <is>
          <t>F260749</t>
        </is>
      </c>
      <c r="C682" t="inlineStr">
        <is>
          <t>C10045</t>
        </is>
      </c>
      <c r="D682" t="inlineStr">
        <is>
          <t>SKU-10259</t>
        </is>
      </c>
      <c r="E682" t="inlineStr">
        <is>
          <t>AM12</t>
        </is>
      </c>
      <c r="F682" s="5" t="n">
        <v>94.44</v>
      </c>
      <c r="G682">
        <f>IF(LEFT(B682,1)="C","Credit","Factuur")</f>
        <v/>
      </c>
      <c r="H682">
        <f>IF(AND(B682=B681,D682=D681,A682=A681,F682=F681),1,0)</f>
        <v/>
      </c>
      <c r="I682">
        <f>IF(C682="C99999",1,0)</f>
        <v/>
      </c>
      <c r="J682" s="5">
        <f>IF(OR(H682=1,I682=1),0,IF(G682="Credit",-F682,F682))</f>
        <v/>
      </c>
    </row>
    <row r="683">
      <c r="A683" t="inlineStr">
        <is>
          <t>2026-07-08</t>
        </is>
      </c>
      <c r="B683" t="inlineStr">
        <is>
          <t>F261215</t>
        </is>
      </c>
      <c r="C683" t="inlineStr">
        <is>
          <t>C10066</t>
        </is>
      </c>
      <c r="D683" t="inlineStr">
        <is>
          <t>SKU-10057</t>
        </is>
      </c>
      <c r="E683" t="inlineStr">
        <is>
          <t>AM03</t>
        </is>
      </c>
      <c r="F683" s="5" t="n">
        <v>138.6</v>
      </c>
      <c r="G683">
        <f>IF(LEFT(B683,1)="C","Credit","Factuur")</f>
        <v/>
      </c>
      <c r="H683">
        <f>IF(AND(B683=B682,D683=D682,A683=A682,F683=F682),1,0)</f>
        <v/>
      </c>
      <c r="I683">
        <f>IF(C683="C99999",1,0)</f>
        <v/>
      </c>
      <c r="J683" s="5">
        <f>IF(OR(H683=1,I683=1),0,IF(G683="Credit",-F683,F683))</f>
        <v/>
      </c>
    </row>
    <row r="684">
      <c r="A684" t="inlineStr">
        <is>
          <t>2026-07-08</t>
        </is>
      </c>
      <c r="B684" t="inlineStr">
        <is>
          <t>F261215</t>
        </is>
      </c>
      <c r="C684" t="inlineStr">
        <is>
          <t>C10066</t>
        </is>
      </c>
      <c r="D684" t="inlineStr">
        <is>
          <t>SKU-10098</t>
        </is>
      </c>
      <c r="E684" t="inlineStr">
        <is>
          <t>AM03</t>
        </is>
      </c>
      <c r="F684" s="5" t="n">
        <v>114.03</v>
      </c>
      <c r="G684">
        <f>IF(LEFT(B684,1)="C","Credit","Factuur")</f>
        <v/>
      </c>
      <c r="H684">
        <f>IF(AND(B684=B683,D684=D683,A684=A683,F684=F683),1,0)</f>
        <v/>
      </c>
      <c r="I684">
        <f>IF(C684="C99999",1,0)</f>
        <v/>
      </c>
      <c r="J684" s="5">
        <f>IF(OR(H684=1,I684=1),0,IF(G684="Credit",-F684,F684))</f>
        <v/>
      </c>
    </row>
    <row r="685">
      <c r="A685" t="inlineStr">
        <is>
          <t>2026-07-08</t>
        </is>
      </c>
      <c r="B685" t="inlineStr">
        <is>
          <t>F261215</t>
        </is>
      </c>
      <c r="C685" t="inlineStr">
        <is>
          <t>C10066</t>
        </is>
      </c>
      <c r="D685" t="inlineStr">
        <is>
          <t>SKU-10295</t>
        </is>
      </c>
      <c r="E685" t="inlineStr">
        <is>
          <t>AM03</t>
        </is>
      </c>
      <c r="F685" s="5" t="n">
        <v>147.2</v>
      </c>
      <c r="G685">
        <f>IF(LEFT(B685,1)="C","Credit","Factuur")</f>
        <v/>
      </c>
      <c r="H685">
        <f>IF(AND(B685=B684,D685=D684,A685=A684,F685=F684),1,0)</f>
        <v/>
      </c>
      <c r="I685">
        <f>IF(C685="C99999",1,0)</f>
        <v/>
      </c>
      <c r="J685" s="5">
        <f>IF(OR(H685=1,I685=1),0,IF(G685="Credit",-F685,F685))</f>
        <v/>
      </c>
    </row>
    <row r="686">
      <c r="A686" t="inlineStr">
        <is>
          <t>2026-07-08</t>
        </is>
      </c>
      <c r="B686" t="inlineStr">
        <is>
          <t>F261215</t>
        </is>
      </c>
      <c r="C686" t="inlineStr">
        <is>
          <t>C10066</t>
        </is>
      </c>
      <c r="D686" t="inlineStr">
        <is>
          <t>SKU-10329</t>
        </is>
      </c>
      <c r="E686" t="inlineStr">
        <is>
          <t>AM03</t>
        </is>
      </c>
      <c r="F686" s="5" t="n">
        <v>139.92</v>
      </c>
      <c r="G686">
        <f>IF(LEFT(B686,1)="C","Credit","Factuur")</f>
        <v/>
      </c>
      <c r="H686">
        <f>IF(AND(B686=B685,D686=D685,A686=A685,F686=F685),1,0)</f>
        <v/>
      </c>
      <c r="I686">
        <f>IF(C686="C99999",1,0)</f>
        <v/>
      </c>
      <c r="J686" s="5">
        <f>IF(OR(H686=1,I686=1),0,IF(G686="Credit",-F686,F686))</f>
        <v/>
      </c>
    </row>
    <row r="687">
      <c r="A687" t="inlineStr">
        <is>
          <t>2026-07-08</t>
        </is>
      </c>
      <c r="B687" t="inlineStr">
        <is>
          <t>F261523</t>
        </is>
      </c>
      <c r="C687" t="inlineStr">
        <is>
          <t>C10081</t>
        </is>
      </c>
      <c r="D687" t="inlineStr">
        <is>
          <t>SKU-10030</t>
        </is>
      </c>
      <c r="E687" t="inlineStr">
        <is>
          <t>AM08</t>
        </is>
      </c>
      <c r="F687" s="5" t="n">
        <v>2695.57</v>
      </c>
      <c r="G687">
        <f>IF(LEFT(B687,1)="C","Credit","Factuur")</f>
        <v/>
      </c>
      <c r="H687">
        <f>IF(AND(B687=B686,D687=D686,A687=A686,F687=F686),1,0)</f>
        <v/>
      </c>
      <c r="I687">
        <f>IF(C687="C99999",1,0)</f>
        <v/>
      </c>
      <c r="J687" s="5">
        <f>IF(OR(H687=1,I687=1),0,IF(G687="Credit",-F687,F687))</f>
        <v/>
      </c>
    </row>
    <row r="688">
      <c r="A688" t="inlineStr">
        <is>
          <t>2026-07-08</t>
        </is>
      </c>
      <c r="B688" t="inlineStr">
        <is>
          <t>F261866</t>
        </is>
      </c>
      <c r="C688" t="inlineStr">
        <is>
          <t>C10099</t>
        </is>
      </c>
      <c r="D688" t="inlineStr">
        <is>
          <t>SKU-10020</t>
        </is>
      </c>
      <c r="E688" t="inlineStr">
        <is>
          <t>AM02</t>
        </is>
      </c>
      <c r="F688" s="5" t="n">
        <v>212.16</v>
      </c>
      <c r="G688">
        <f>IF(LEFT(B688,1)="C","Credit","Factuur")</f>
        <v/>
      </c>
      <c r="H688">
        <f>IF(AND(B688=B687,D688=D687,A688=A687,F688=F687),1,0)</f>
        <v/>
      </c>
      <c r="I688">
        <f>IF(C688="C99999",1,0)</f>
        <v/>
      </c>
      <c r="J688" s="5">
        <f>IF(OR(H688=1,I688=1),0,IF(G688="Credit",-F688,F688))</f>
        <v/>
      </c>
    </row>
    <row r="689">
      <c r="A689" t="inlineStr">
        <is>
          <t>2026-07-08</t>
        </is>
      </c>
      <c r="B689" t="inlineStr">
        <is>
          <t>F261866</t>
        </is>
      </c>
      <c r="C689" t="inlineStr">
        <is>
          <t>C10099</t>
        </is>
      </c>
      <c r="D689" t="inlineStr">
        <is>
          <t>SKU-10039</t>
        </is>
      </c>
      <c r="E689" t="inlineStr">
        <is>
          <t>AM02</t>
        </is>
      </c>
      <c r="F689" s="5" t="n">
        <v>184.85</v>
      </c>
      <c r="G689">
        <f>IF(LEFT(B689,1)="C","Credit","Factuur")</f>
        <v/>
      </c>
      <c r="H689">
        <f>IF(AND(B689=B688,D689=D688,A689=A688,F689=F688),1,0)</f>
        <v/>
      </c>
      <c r="I689">
        <f>IF(C689="C99999",1,0)</f>
        <v/>
      </c>
      <c r="J689" s="5">
        <f>IF(OR(H689=1,I689=1),0,IF(G689="Credit",-F689,F689))</f>
        <v/>
      </c>
    </row>
    <row r="690">
      <c r="A690" t="inlineStr">
        <is>
          <t>2026-07-08</t>
        </is>
      </c>
      <c r="B690" t="inlineStr">
        <is>
          <t>F261866</t>
        </is>
      </c>
      <c r="C690" t="inlineStr">
        <is>
          <t>C10099</t>
        </is>
      </c>
      <c r="D690" t="inlineStr">
        <is>
          <t>SKU-10050</t>
        </is>
      </c>
      <c r="E690" t="inlineStr">
        <is>
          <t>AM02</t>
        </is>
      </c>
      <c r="F690" s="5" t="n">
        <v>188.07</v>
      </c>
      <c r="G690">
        <f>IF(LEFT(B690,1)="C","Credit","Factuur")</f>
        <v/>
      </c>
      <c r="H690">
        <f>IF(AND(B690=B689,D690=D689,A690=A689,F690=F689),1,0)</f>
        <v/>
      </c>
      <c r="I690">
        <f>IF(C690="C99999",1,0)</f>
        <v/>
      </c>
      <c r="J690" s="5">
        <f>IF(OR(H690=1,I690=1),0,IF(G690="Credit",-F690,F690))</f>
        <v/>
      </c>
    </row>
    <row r="691">
      <c r="A691" t="inlineStr">
        <is>
          <t>2026-07-08</t>
        </is>
      </c>
      <c r="B691" t="inlineStr">
        <is>
          <t>F261866</t>
        </is>
      </c>
      <c r="C691" t="inlineStr">
        <is>
          <t>C10099</t>
        </is>
      </c>
      <c r="D691" t="inlineStr">
        <is>
          <t>SKU-10055</t>
        </is>
      </c>
      <c r="E691" t="inlineStr">
        <is>
          <t>AM02</t>
        </is>
      </c>
      <c r="F691" s="5" t="n">
        <v>201.18</v>
      </c>
      <c r="G691">
        <f>IF(LEFT(B691,1)="C","Credit","Factuur")</f>
        <v/>
      </c>
      <c r="H691">
        <f>IF(AND(B691=B690,D691=D690,A691=A690,F691=F690),1,0)</f>
        <v/>
      </c>
      <c r="I691">
        <f>IF(C691="C99999",1,0)</f>
        <v/>
      </c>
      <c r="J691" s="5">
        <f>IF(OR(H691=1,I691=1),0,IF(G691="Credit",-F691,F691))</f>
        <v/>
      </c>
    </row>
    <row r="692">
      <c r="A692" t="inlineStr">
        <is>
          <t>2026-07-08</t>
        </is>
      </c>
      <c r="B692" t="inlineStr">
        <is>
          <t>F261866</t>
        </is>
      </c>
      <c r="C692" t="inlineStr">
        <is>
          <t>C10099</t>
        </is>
      </c>
      <c r="D692" t="inlineStr">
        <is>
          <t>SKU-10295</t>
        </is>
      </c>
      <c r="E692" t="inlineStr">
        <is>
          <t>AM02</t>
        </is>
      </c>
      <c r="F692" s="5" t="n">
        <v>185.94</v>
      </c>
      <c r="G692">
        <f>IF(LEFT(B692,1)="C","Credit","Factuur")</f>
        <v/>
      </c>
      <c r="H692">
        <f>IF(AND(B692=B691,D692=D691,A692=A691,F692=F691),1,0)</f>
        <v/>
      </c>
      <c r="I692">
        <f>IF(C692="C99999",1,0)</f>
        <v/>
      </c>
      <c r="J692" s="5">
        <f>IF(OR(H692=1,I692=1),0,IF(G692="Credit",-F692,F692))</f>
        <v/>
      </c>
    </row>
    <row r="693">
      <c r="A693" t="inlineStr">
        <is>
          <t>2026-07-08</t>
        </is>
      </c>
      <c r="B693" t="inlineStr">
        <is>
          <t>F261866</t>
        </is>
      </c>
      <c r="C693" t="inlineStr">
        <is>
          <t>C10099</t>
        </is>
      </c>
      <c r="D693" t="inlineStr">
        <is>
          <t>SKU-10317</t>
        </is>
      </c>
      <c r="E693" t="inlineStr">
        <is>
          <t>AM02</t>
        </is>
      </c>
      <c r="F693" s="5" t="n">
        <v>164.87</v>
      </c>
      <c r="G693">
        <f>IF(LEFT(B693,1)="C","Credit","Factuur")</f>
        <v/>
      </c>
      <c r="H693">
        <f>IF(AND(B693=B692,D693=D692,A693=A692,F693=F692),1,0)</f>
        <v/>
      </c>
      <c r="I693">
        <f>IF(C693="C99999",1,0)</f>
        <v/>
      </c>
      <c r="J693" s="5">
        <f>IF(OR(H693=1,I693=1),0,IF(G693="Credit",-F693,F693))</f>
        <v/>
      </c>
    </row>
    <row r="694">
      <c r="A694" t="inlineStr">
        <is>
          <t>2026-07-08</t>
        </is>
      </c>
      <c r="B694" t="inlineStr">
        <is>
          <t>F262055</t>
        </is>
      </c>
      <c r="C694" t="inlineStr">
        <is>
          <t>C10109</t>
        </is>
      </c>
      <c r="D694" t="inlineStr">
        <is>
          <t>SKU-10091</t>
        </is>
      </c>
      <c r="E694" t="inlineStr">
        <is>
          <t>AM01</t>
        </is>
      </c>
      <c r="F694" s="5" t="n">
        <v>598.89</v>
      </c>
      <c r="G694">
        <f>IF(LEFT(B694,1)="C","Credit","Factuur")</f>
        <v/>
      </c>
      <c r="H694">
        <f>IF(AND(B694=B693,D694=D693,A694=A693,F694=F693),1,0)</f>
        <v/>
      </c>
      <c r="I694">
        <f>IF(C694="C99999",1,0)</f>
        <v/>
      </c>
      <c r="J694" s="5">
        <f>IF(OR(H694=1,I694=1),0,IF(G694="Credit",-F694,F694))</f>
        <v/>
      </c>
    </row>
    <row r="695">
      <c r="A695" t="inlineStr">
        <is>
          <t>2026-07-08</t>
        </is>
      </c>
      <c r="B695" t="inlineStr">
        <is>
          <t>F262055</t>
        </is>
      </c>
      <c r="C695" t="inlineStr">
        <is>
          <t>C10109</t>
        </is>
      </c>
      <c r="D695" t="inlineStr">
        <is>
          <t>SKU-10269</t>
        </is>
      </c>
      <c r="E695" t="inlineStr">
        <is>
          <t>AM01</t>
        </is>
      </c>
      <c r="F695" s="5" t="n">
        <v>660.3200000000001</v>
      </c>
      <c r="G695">
        <f>IF(LEFT(B695,1)="C","Credit","Factuur")</f>
        <v/>
      </c>
      <c r="H695">
        <f>IF(AND(B695=B694,D695=D694,A695=A694,F695=F694),1,0)</f>
        <v/>
      </c>
      <c r="I695">
        <f>IF(C695="C99999",1,0)</f>
        <v/>
      </c>
      <c r="J695" s="5">
        <f>IF(OR(H695=1,I695=1),0,IF(G695="Credit",-F695,F695))</f>
        <v/>
      </c>
    </row>
    <row r="696">
      <c r="A696" t="inlineStr">
        <is>
          <t>2026-07-08</t>
        </is>
      </c>
      <c r="B696" t="inlineStr">
        <is>
          <t>F262055</t>
        </is>
      </c>
      <c r="C696" t="inlineStr">
        <is>
          <t>C10109</t>
        </is>
      </c>
      <c r="D696" t="inlineStr">
        <is>
          <t>SKU-10285</t>
        </is>
      </c>
      <c r="E696" t="inlineStr">
        <is>
          <t>AM01</t>
        </is>
      </c>
      <c r="F696" s="5" t="n">
        <v>634.49</v>
      </c>
      <c r="G696">
        <f>IF(LEFT(B696,1)="C","Credit","Factuur")</f>
        <v/>
      </c>
      <c r="H696">
        <f>IF(AND(B696=B695,D696=D695,A696=A695,F696=F695),1,0)</f>
        <v/>
      </c>
      <c r="I696">
        <f>IF(C696="C99999",1,0)</f>
        <v/>
      </c>
      <c r="J696" s="5">
        <f>IF(OR(H696=1,I696=1),0,IF(G696="Credit",-F696,F696))</f>
        <v/>
      </c>
    </row>
    <row r="697">
      <c r="A697" t="inlineStr">
        <is>
          <t>2026-07-08</t>
        </is>
      </c>
      <c r="B697" t="inlineStr">
        <is>
          <t>F262275</t>
        </is>
      </c>
      <c r="C697" t="inlineStr">
        <is>
          <t>C10120</t>
        </is>
      </c>
      <c r="D697" t="inlineStr">
        <is>
          <t>SKU-10054</t>
        </is>
      </c>
      <c r="E697" t="inlineStr">
        <is>
          <t>AM02</t>
        </is>
      </c>
      <c r="F697" s="5" t="n">
        <v>79.7</v>
      </c>
      <c r="G697">
        <f>IF(LEFT(B697,1)="C","Credit","Factuur")</f>
        <v/>
      </c>
      <c r="H697">
        <f>IF(AND(B697=B696,D697=D696,A697=A696,F697=F696),1,0)</f>
        <v/>
      </c>
      <c r="I697">
        <f>IF(C697="C99999",1,0)</f>
        <v/>
      </c>
      <c r="J697" s="5">
        <f>IF(OR(H697=1,I697=1),0,IF(G697="Credit",-F697,F697))</f>
        <v/>
      </c>
    </row>
    <row r="698">
      <c r="A698" t="inlineStr">
        <is>
          <t>2026-07-08</t>
        </is>
      </c>
      <c r="B698" t="inlineStr">
        <is>
          <t>F262275</t>
        </is>
      </c>
      <c r="C698" t="inlineStr">
        <is>
          <t>C10120</t>
        </is>
      </c>
      <c r="D698" t="inlineStr">
        <is>
          <t>SKU-10190</t>
        </is>
      </c>
      <c r="E698" t="inlineStr">
        <is>
          <t>AM02</t>
        </is>
      </c>
      <c r="F698" s="5" t="n">
        <v>78.88</v>
      </c>
      <c r="G698">
        <f>IF(LEFT(B698,1)="C","Credit","Factuur")</f>
        <v/>
      </c>
      <c r="H698">
        <f>IF(AND(B698=B697,D698=D697,A698=A697,F698=F697),1,0)</f>
        <v/>
      </c>
      <c r="I698">
        <f>IF(C698="C99999",1,0)</f>
        <v/>
      </c>
      <c r="J698" s="5">
        <f>IF(OR(H698=1,I698=1),0,IF(G698="Credit",-F698,F698))</f>
        <v/>
      </c>
    </row>
    <row r="699">
      <c r="A699" t="inlineStr">
        <is>
          <t>2026-07-08</t>
        </is>
      </c>
      <c r="B699" t="inlineStr">
        <is>
          <t>F262275</t>
        </is>
      </c>
      <c r="C699" t="inlineStr">
        <is>
          <t>C10120</t>
        </is>
      </c>
      <c r="D699" t="inlineStr">
        <is>
          <t>SKU-10248</t>
        </is>
      </c>
      <c r="E699" t="inlineStr">
        <is>
          <t>AM02</t>
        </is>
      </c>
      <c r="F699" s="5" t="n">
        <v>82.16</v>
      </c>
      <c r="G699">
        <f>IF(LEFT(B699,1)="C","Credit","Factuur")</f>
        <v/>
      </c>
      <c r="H699">
        <f>IF(AND(B699=B698,D699=D698,A699=A698,F699=F698),1,0)</f>
        <v/>
      </c>
      <c r="I699">
        <f>IF(C699="C99999",1,0)</f>
        <v/>
      </c>
      <c r="J699" s="5">
        <f>IF(OR(H699=1,I699=1),0,IF(G699="Credit",-F699,F699))</f>
        <v/>
      </c>
    </row>
    <row r="700">
      <c r="A700" t="inlineStr">
        <is>
          <t>2026-07-08</t>
        </is>
      </c>
      <c r="B700" t="inlineStr">
        <is>
          <t>F262275</t>
        </is>
      </c>
      <c r="C700" t="inlineStr">
        <is>
          <t>C10120</t>
        </is>
      </c>
      <c r="D700" t="inlineStr">
        <is>
          <t>SKU-10304</t>
        </is>
      </c>
      <c r="E700" t="inlineStr">
        <is>
          <t>AM02</t>
        </is>
      </c>
      <c r="F700" s="5" t="n">
        <v>87.09999999999999</v>
      </c>
      <c r="G700">
        <f>IF(LEFT(B700,1)="C","Credit","Factuur")</f>
        <v/>
      </c>
      <c r="H700">
        <f>IF(AND(B700=B699,D700=D699,A700=A699,F700=F699),1,0)</f>
        <v/>
      </c>
      <c r="I700">
        <f>IF(C700="C99999",1,0)</f>
        <v/>
      </c>
      <c r="J700" s="5">
        <f>IF(OR(H700=1,I700=1),0,IF(G700="Credit",-F700,F700))</f>
        <v/>
      </c>
    </row>
    <row r="701">
      <c r="A701" t="inlineStr">
        <is>
          <t>2026-07-08</t>
        </is>
      </c>
      <c r="B701" t="inlineStr">
        <is>
          <t>F262522</t>
        </is>
      </c>
      <c r="C701" t="inlineStr">
        <is>
          <t>C10133</t>
        </is>
      </c>
      <c r="D701" t="inlineStr">
        <is>
          <t>SKU-10004</t>
        </is>
      </c>
      <c r="E701" t="inlineStr">
        <is>
          <t>AM02</t>
        </is>
      </c>
      <c r="F701" s="5" t="n">
        <v>537.79</v>
      </c>
      <c r="G701">
        <f>IF(LEFT(B701,1)="C","Credit","Factuur")</f>
        <v/>
      </c>
      <c r="H701">
        <f>IF(AND(B701=B700,D701=D700,A701=A700,F701=F700),1,0)</f>
        <v/>
      </c>
      <c r="I701">
        <f>IF(C701="C99999",1,0)</f>
        <v/>
      </c>
      <c r="J701" s="5">
        <f>IF(OR(H701=1,I701=1),0,IF(G701="Credit",-F701,F701))</f>
        <v/>
      </c>
    </row>
    <row r="702">
      <c r="A702" t="inlineStr">
        <is>
          <t>2026-07-08</t>
        </is>
      </c>
      <c r="B702" t="inlineStr">
        <is>
          <t>F267129</t>
        </is>
      </c>
      <c r="C702" t="inlineStr">
        <is>
          <t>C10376</t>
        </is>
      </c>
      <c r="D702" t="inlineStr">
        <is>
          <t>SKU-10093</t>
        </is>
      </c>
      <c r="E702" t="inlineStr">
        <is>
          <t>AM01</t>
        </is>
      </c>
      <c r="F702" s="5" t="n">
        <v>96.89</v>
      </c>
      <c r="G702">
        <f>IF(LEFT(B702,1)="C","Credit","Factuur")</f>
        <v/>
      </c>
      <c r="H702">
        <f>IF(AND(B702=B701,D702=D701,A702=A701,F702=F701),1,0)</f>
        <v/>
      </c>
      <c r="I702">
        <f>IF(C702="C99999",1,0)</f>
        <v/>
      </c>
      <c r="J702" s="5">
        <f>IF(OR(H702=1,I702=1),0,IF(G702="Credit",-F702,F702))</f>
        <v/>
      </c>
    </row>
    <row r="703">
      <c r="A703" t="inlineStr">
        <is>
          <t>2026-07-08</t>
        </is>
      </c>
      <c r="B703" t="inlineStr">
        <is>
          <t>F267129</t>
        </is>
      </c>
      <c r="C703" t="inlineStr">
        <is>
          <t>C10376</t>
        </is>
      </c>
      <c r="D703" t="inlineStr">
        <is>
          <t>SKU-10187</t>
        </is>
      </c>
      <c r="E703" t="inlineStr">
        <is>
          <t>AM01</t>
        </is>
      </c>
      <c r="F703" s="5" t="n">
        <v>109.68</v>
      </c>
      <c r="G703">
        <f>IF(LEFT(B703,1)="C","Credit","Factuur")</f>
        <v/>
      </c>
      <c r="H703">
        <f>IF(AND(B703=B702,D703=D702,A703=A702,F703=F702),1,0)</f>
        <v/>
      </c>
      <c r="I703">
        <f>IF(C703="C99999",1,0)</f>
        <v/>
      </c>
      <c r="J703" s="5">
        <f>IF(OR(H703=1,I703=1),0,IF(G703="Credit",-F703,F703))</f>
        <v/>
      </c>
    </row>
    <row r="704">
      <c r="A704" t="inlineStr">
        <is>
          <t>2026-07-08</t>
        </is>
      </c>
      <c r="B704" t="inlineStr">
        <is>
          <t>F267129</t>
        </is>
      </c>
      <c r="C704" t="inlineStr">
        <is>
          <t>C10376</t>
        </is>
      </c>
      <c r="D704" t="inlineStr">
        <is>
          <t>SKU-10235</t>
        </is>
      </c>
      <c r="E704" t="inlineStr">
        <is>
          <t>AM01</t>
        </is>
      </c>
      <c r="F704" s="5" t="n">
        <v>115.36</v>
      </c>
      <c r="G704">
        <f>IF(LEFT(B704,1)="C","Credit","Factuur")</f>
        <v/>
      </c>
      <c r="H704">
        <f>IF(AND(B704=B703,D704=D703,A704=A703,F704=F703),1,0)</f>
        <v/>
      </c>
      <c r="I704">
        <f>IF(C704="C99999",1,0)</f>
        <v/>
      </c>
      <c r="J704" s="5">
        <f>IF(OR(H704=1,I704=1),0,IF(G704="Credit",-F704,F704))</f>
        <v/>
      </c>
    </row>
    <row r="705">
      <c r="A705" t="inlineStr">
        <is>
          <t>2026-07-08</t>
        </is>
      </c>
      <c r="B705" t="inlineStr">
        <is>
          <t>F267333</t>
        </is>
      </c>
      <c r="C705" t="inlineStr">
        <is>
          <t>C10387</t>
        </is>
      </c>
      <c r="D705" t="inlineStr">
        <is>
          <t>SKU-10063</t>
        </is>
      </c>
      <c r="E705" t="inlineStr">
        <is>
          <t>AM06</t>
        </is>
      </c>
      <c r="F705" s="5" t="n">
        <v>359.8</v>
      </c>
      <c r="G705">
        <f>IF(LEFT(B705,1)="C","Credit","Factuur")</f>
        <v/>
      </c>
      <c r="H705">
        <f>IF(AND(B705=B704,D705=D704,A705=A704,F705=F704),1,0)</f>
        <v/>
      </c>
      <c r="I705">
        <f>IF(C705="C99999",1,0)</f>
        <v/>
      </c>
      <c r="J705" s="5">
        <f>IF(OR(H705=1,I705=1),0,IF(G705="Credit",-F705,F705))</f>
        <v/>
      </c>
    </row>
    <row r="706">
      <c r="A706" t="inlineStr">
        <is>
          <t>2026-07-08</t>
        </is>
      </c>
      <c r="B706" t="inlineStr">
        <is>
          <t>F267333</t>
        </is>
      </c>
      <c r="C706" t="inlineStr">
        <is>
          <t>C10387</t>
        </is>
      </c>
      <c r="D706" t="inlineStr">
        <is>
          <t>SKU-10100</t>
        </is>
      </c>
      <c r="E706" t="inlineStr">
        <is>
          <t>AM06</t>
        </is>
      </c>
      <c r="F706" s="5" t="n">
        <v>367.96</v>
      </c>
      <c r="G706">
        <f>IF(LEFT(B706,1)="C","Credit","Factuur")</f>
        <v/>
      </c>
      <c r="H706">
        <f>IF(AND(B706=B705,D706=D705,A706=A705,F706=F705),1,0)</f>
        <v/>
      </c>
      <c r="I706">
        <f>IF(C706="C99999",1,0)</f>
        <v/>
      </c>
      <c r="J706" s="5">
        <f>IF(OR(H706=1,I706=1),0,IF(G706="Credit",-F706,F706))</f>
        <v/>
      </c>
    </row>
    <row r="707">
      <c r="A707" t="inlineStr">
        <is>
          <t>2026-07-08</t>
        </is>
      </c>
      <c r="B707" t="inlineStr">
        <is>
          <t>F267333</t>
        </is>
      </c>
      <c r="C707" t="inlineStr">
        <is>
          <t>C10387</t>
        </is>
      </c>
      <c r="D707" t="inlineStr">
        <is>
          <t>SKU-10131</t>
        </is>
      </c>
      <c r="E707" t="inlineStr">
        <is>
          <t>AM06</t>
        </is>
      </c>
      <c r="F707" s="5" t="n">
        <v>442.88</v>
      </c>
      <c r="G707">
        <f>IF(LEFT(B707,1)="C","Credit","Factuur")</f>
        <v/>
      </c>
      <c r="H707">
        <f>IF(AND(B707=B706,D707=D706,A707=A706,F707=F706),1,0)</f>
        <v/>
      </c>
      <c r="I707">
        <f>IF(C707="C99999",1,0)</f>
        <v/>
      </c>
      <c r="J707" s="5">
        <f>IF(OR(H707=1,I707=1),0,IF(G707="Credit",-F707,F707))</f>
        <v/>
      </c>
    </row>
    <row r="708">
      <c r="A708" t="inlineStr">
        <is>
          <t>2026-07-08</t>
        </is>
      </c>
      <c r="B708" t="inlineStr">
        <is>
          <t>F267333</t>
        </is>
      </c>
      <c r="C708" t="inlineStr">
        <is>
          <t>C10387</t>
        </is>
      </c>
      <c r="D708" t="inlineStr">
        <is>
          <t>SKU-10147</t>
        </is>
      </c>
      <c r="E708" t="inlineStr">
        <is>
          <t>AM06</t>
        </is>
      </c>
      <c r="F708" s="5" t="n">
        <v>404.9</v>
      </c>
      <c r="G708">
        <f>IF(LEFT(B708,1)="C","Credit","Factuur")</f>
        <v/>
      </c>
      <c r="H708">
        <f>IF(AND(B708=B707,D708=D707,A708=A707,F708=F707),1,0)</f>
        <v/>
      </c>
      <c r="I708">
        <f>IF(C708="C99999",1,0)</f>
        <v/>
      </c>
      <c r="J708" s="5">
        <f>IF(OR(H708=1,I708=1),0,IF(G708="Credit",-F708,F708))</f>
        <v/>
      </c>
    </row>
    <row r="709">
      <c r="A709" t="inlineStr">
        <is>
          <t>2026-07-08</t>
        </is>
      </c>
      <c r="B709" t="inlineStr">
        <is>
          <t>F268944</t>
        </is>
      </c>
      <c r="C709" t="inlineStr">
        <is>
          <t>C10465</t>
        </is>
      </c>
      <c r="D709" t="inlineStr">
        <is>
          <t>SKU-10062</t>
        </is>
      </c>
      <c r="E709" t="inlineStr">
        <is>
          <t>AM06</t>
        </is>
      </c>
      <c r="F709" s="5" t="n">
        <v>561.4400000000001</v>
      </c>
      <c r="G709">
        <f>IF(LEFT(B709,1)="C","Credit","Factuur")</f>
        <v/>
      </c>
      <c r="H709">
        <f>IF(AND(B709=B708,D709=D708,A709=A708,F709=F708),1,0)</f>
        <v/>
      </c>
      <c r="I709">
        <f>IF(C709="C99999",1,0)</f>
        <v/>
      </c>
      <c r="J709" s="5">
        <f>IF(OR(H709=1,I709=1),0,IF(G709="Credit",-F709,F709))</f>
        <v/>
      </c>
    </row>
    <row r="710">
      <c r="A710" t="inlineStr">
        <is>
          <t>2026-07-08</t>
        </is>
      </c>
      <c r="B710" t="inlineStr">
        <is>
          <t>F268944</t>
        </is>
      </c>
      <c r="C710" t="inlineStr">
        <is>
          <t>C10465</t>
        </is>
      </c>
      <c r="D710" t="inlineStr">
        <is>
          <t>SKU-10114</t>
        </is>
      </c>
      <c r="E710" t="inlineStr">
        <is>
          <t>AM06</t>
        </is>
      </c>
      <c r="F710" s="5" t="n">
        <v>535.6</v>
      </c>
      <c r="G710">
        <f>IF(LEFT(B710,1)="C","Credit","Factuur")</f>
        <v/>
      </c>
      <c r="H710">
        <f>IF(AND(B710=B709,D710=D709,A710=A709,F710=F709),1,0)</f>
        <v/>
      </c>
      <c r="I710">
        <f>IF(C710="C99999",1,0)</f>
        <v/>
      </c>
      <c r="J710" s="5">
        <f>IF(OR(H710=1,I710=1),0,IF(G710="Credit",-F710,F710))</f>
        <v/>
      </c>
    </row>
    <row r="711">
      <c r="A711" t="inlineStr">
        <is>
          <t>2026-07-08</t>
        </is>
      </c>
      <c r="B711" t="inlineStr">
        <is>
          <t>F268944</t>
        </is>
      </c>
      <c r="C711" t="inlineStr">
        <is>
          <t>C10465</t>
        </is>
      </c>
      <c r="D711" t="inlineStr">
        <is>
          <t>SKU-10181</t>
        </is>
      </c>
      <c r="E711" t="inlineStr">
        <is>
          <t>AM06</t>
        </is>
      </c>
      <c r="F711" s="5" t="n">
        <v>511.64</v>
      </c>
      <c r="G711">
        <f>IF(LEFT(B711,1)="C","Credit","Factuur")</f>
        <v/>
      </c>
      <c r="H711">
        <f>IF(AND(B711=B710,D711=D710,A711=A710,F711=F710),1,0)</f>
        <v/>
      </c>
      <c r="I711">
        <f>IF(C711="C99999",1,0)</f>
        <v/>
      </c>
      <c r="J711" s="5">
        <f>IF(OR(H711=1,I711=1),0,IF(G711="Credit",-F711,F711))</f>
        <v/>
      </c>
    </row>
    <row r="712">
      <c r="A712" t="inlineStr">
        <is>
          <t>2026-07-08</t>
        </is>
      </c>
      <c r="B712" t="inlineStr">
        <is>
          <t>F268944</t>
        </is>
      </c>
      <c r="C712" t="inlineStr">
        <is>
          <t>C10465</t>
        </is>
      </c>
      <c r="D712" t="inlineStr">
        <is>
          <t>SKU-10286</t>
        </is>
      </c>
      <c r="E712" t="inlineStr">
        <is>
          <t>AM06</t>
        </is>
      </c>
      <c r="F712" s="5" t="n">
        <v>537.46</v>
      </c>
      <c r="G712">
        <f>IF(LEFT(B712,1)="C","Credit","Factuur")</f>
        <v/>
      </c>
      <c r="H712">
        <f>IF(AND(B712=B711,D712=D711,A712=A711,F712=F711),1,0)</f>
        <v/>
      </c>
      <c r="I712">
        <f>IF(C712="C99999",1,0)</f>
        <v/>
      </c>
      <c r="J712" s="5">
        <f>IF(OR(H712=1,I712=1),0,IF(G712="Credit",-F712,F712))</f>
        <v/>
      </c>
    </row>
    <row r="713">
      <c r="A713" t="inlineStr">
        <is>
          <t>2026-07-08</t>
        </is>
      </c>
      <c r="B713" t="inlineStr">
        <is>
          <t>F269167</t>
        </is>
      </c>
      <c r="C713" t="inlineStr">
        <is>
          <t>C10480</t>
        </is>
      </c>
      <c r="D713" t="inlineStr">
        <is>
          <t>SKU-10100</t>
        </is>
      </c>
      <c r="E713" t="inlineStr">
        <is>
          <t>AM07</t>
        </is>
      </c>
      <c r="F713" s="5" t="n">
        <v>2683.98</v>
      </c>
      <c r="G713">
        <f>IF(LEFT(B713,1)="C","Credit","Factuur")</f>
        <v/>
      </c>
      <c r="H713">
        <f>IF(AND(B713=B712,D713=D712,A713=A712,F713=F712),1,0)</f>
        <v/>
      </c>
      <c r="I713">
        <f>IF(C713="C99999",1,0)</f>
        <v/>
      </c>
      <c r="J713" s="5">
        <f>IF(OR(H713=1,I713=1),0,IF(G713="Credit",-F713,F713))</f>
        <v/>
      </c>
    </row>
    <row r="714">
      <c r="A714" t="inlineStr">
        <is>
          <t>2026-07-08</t>
        </is>
      </c>
      <c r="B714" t="inlineStr">
        <is>
          <t>F269916</t>
        </is>
      </c>
      <c r="C714" t="inlineStr">
        <is>
          <t>C10522</t>
        </is>
      </c>
      <c r="D714" t="inlineStr">
        <is>
          <t>SKU-10358</t>
        </is>
      </c>
      <c r="E714" t="inlineStr">
        <is>
          <t>AM11</t>
        </is>
      </c>
      <c r="F714" s="5" t="n">
        <v>369.19</v>
      </c>
      <c r="G714">
        <f>IF(LEFT(B714,1)="C","Credit","Factuur")</f>
        <v/>
      </c>
      <c r="H714">
        <f>IF(AND(B714=B713,D714=D713,A714=A713,F714=F713),1,0)</f>
        <v/>
      </c>
      <c r="I714">
        <f>IF(C714="C99999",1,0)</f>
        <v/>
      </c>
      <c r="J714" s="5">
        <f>IF(OR(H714=1,I714=1),0,IF(G714="Credit",-F714,F714))</f>
        <v/>
      </c>
    </row>
    <row r="715">
      <c r="A715" t="inlineStr">
        <is>
          <t>2026-07-08</t>
        </is>
      </c>
      <c r="B715" t="inlineStr">
        <is>
          <t>F271502</t>
        </is>
      </c>
      <c r="C715" t="inlineStr">
        <is>
          <t>C10594</t>
        </is>
      </c>
      <c r="D715" t="inlineStr">
        <is>
          <t>SKU-10064</t>
        </is>
      </c>
      <c r="E715" t="inlineStr">
        <is>
          <t>AM05</t>
        </is>
      </c>
      <c r="F715" s="5" t="n">
        <v>1178.4</v>
      </c>
      <c r="G715">
        <f>IF(LEFT(B715,1)="C","Credit","Factuur")</f>
        <v/>
      </c>
      <c r="H715">
        <f>IF(AND(B715=B714,D715=D714,A715=A714,F715=F714),1,0)</f>
        <v/>
      </c>
      <c r="I715">
        <f>IF(C715="C99999",1,0)</f>
        <v/>
      </c>
      <c r="J715" s="5">
        <f>IF(OR(H715=1,I715=1),0,IF(G715="Credit",-F715,F715))</f>
        <v/>
      </c>
    </row>
    <row r="716">
      <c r="A716" t="inlineStr">
        <is>
          <t>2026-07-08</t>
        </is>
      </c>
      <c r="B716" t="inlineStr">
        <is>
          <t>F271502</t>
        </is>
      </c>
      <c r="C716" t="inlineStr">
        <is>
          <t>C10594</t>
        </is>
      </c>
      <c r="D716" t="inlineStr">
        <is>
          <t>SKU-10307</t>
        </is>
      </c>
      <c r="E716" t="inlineStr">
        <is>
          <t>AM05</t>
        </is>
      </c>
      <c r="F716" s="5" t="n">
        <v>1125.51</v>
      </c>
      <c r="G716">
        <f>IF(LEFT(B716,1)="C","Credit","Factuur")</f>
        <v/>
      </c>
      <c r="H716">
        <f>IF(AND(B716=B715,D716=D715,A716=A715,F716=F715),1,0)</f>
        <v/>
      </c>
      <c r="I716">
        <f>IF(C716="C99999",1,0)</f>
        <v/>
      </c>
      <c r="J716" s="5">
        <f>IF(OR(H716=1,I716=1),0,IF(G716="Credit",-F716,F716))</f>
        <v/>
      </c>
    </row>
    <row r="717">
      <c r="A717" t="inlineStr">
        <is>
          <t>2026-07-08</t>
        </is>
      </c>
      <c r="B717" t="inlineStr">
        <is>
          <t>F271957</t>
        </is>
      </c>
      <c r="C717" t="inlineStr">
        <is>
          <t>C10616</t>
        </is>
      </c>
      <c r="D717" t="inlineStr">
        <is>
          <t>SKU-10054</t>
        </is>
      </c>
      <c r="E717" t="inlineStr">
        <is>
          <t>AM07</t>
        </is>
      </c>
      <c r="F717" s="5" t="n">
        <v>1660.45</v>
      </c>
      <c r="G717">
        <f>IF(LEFT(B717,1)="C","Credit","Factuur")</f>
        <v/>
      </c>
      <c r="H717">
        <f>IF(AND(B717=B716,D717=D716,A717=A716,F717=F716),1,0)</f>
        <v/>
      </c>
      <c r="I717">
        <f>IF(C717="C99999",1,0)</f>
        <v/>
      </c>
      <c r="J717" s="5">
        <f>IF(OR(H717=1,I717=1),0,IF(G717="Credit",-F717,F717))</f>
        <v/>
      </c>
    </row>
    <row r="718">
      <c r="A718" t="inlineStr">
        <is>
          <t>2026-07-08</t>
        </is>
      </c>
      <c r="B718" t="inlineStr">
        <is>
          <t>F271957</t>
        </is>
      </c>
      <c r="C718" t="inlineStr">
        <is>
          <t>C10616</t>
        </is>
      </c>
      <c r="D718" t="inlineStr">
        <is>
          <t>SKU-10335</t>
        </is>
      </c>
      <c r="E718" t="inlineStr">
        <is>
          <t>AM07</t>
        </is>
      </c>
      <c r="F718" s="5" t="n">
        <v>1667.72</v>
      </c>
      <c r="G718">
        <f>IF(LEFT(B718,1)="C","Credit","Factuur")</f>
        <v/>
      </c>
      <c r="H718">
        <f>IF(AND(B718=B717,D718=D717,A718=A717,F718=F717),1,0)</f>
        <v/>
      </c>
      <c r="I718">
        <f>IF(C718="C99999",1,0)</f>
        <v/>
      </c>
      <c r="J718" s="5">
        <f>IF(OR(H718=1,I718=1),0,IF(G718="Credit",-F718,F718))</f>
        <v/>
      </c>
    </row>
    <row r="719">
      <c r="A719" t="inlineStr">
        <is>
          <t>2026-07-08</t>
        </is>
      </c>
      <c r="B719" t="inlineStr">
        <is>
          <t>F272261</t>
        </is>
      </c>
      <c r="C719" t="inlineStr">
        <is>
          <t>C10635</t>
        </is>
      </c>
      <c r="D719" t="inlineStr">
        <is>
          <t>SKU-10015</t>
        </is>
      </c>
      <c r="E719" t="inlineStr">
        <is>
          <t>AM06</t>
        </is>
      </c>
      <c r="F719" s="5" t="n">
        <v>343.63</v>
      </c>
      <c r="G719">
        <f>IF(LEFT(B719,1)="C","Credit","Factuur")</f>
        <v/>
      </c>
      <c r="H719">
        <f>IF(AND(B719=B718,D719=D718,A719=A718,F719=F718),1,0)</f>
        <v/>
      </c>
      <c r="I719">
        <f>IF(C719="C99999",1,0)</f>
        <v/>
      </c>
      <c r="J719" s="5">
        <f>IF(OR(H719=1,I719=1),0,IF(G719="Credit",-F719,F719))</f>
        <v/>
      </c>
    </row>
    <row r="720">
      <c r="A720" t="inlineStr">
        <is>
          <t>2026-07-08</t>
        </is>
      </c>
      <c r="B720" t="inlineStr">
        <is>
          <t>F272261</t>
        </is>
      </c>
      <c r="C720" t="inlineStr">
        <is>
          <t>C10635</t>
        </is>
      </c>
      <c r="D720" t="inlineStr">
        <is>
          <t>SKU-10063</t>
        </is>
      </c>
      <c r="E720" t="inlineStr">
        <is>
          <t>AM06</t>
        </is>
      </c>
      <c r="F720" s="5" t="n">
        <v>338.64</v>
      </c>
      <c r="G720">
        <f>IF(LEFT(B720,1)="C","Credit","Factuur")</f>
        <v/>
      </c>
      <c r="H720">
        <f>IF(AND(B720=B719,D720=D719,A720=A719,F720=F719),1,0)</f>
        <v/>
      </c>
      <c r="I720">
        <f>IF(C720="C99999",1,0)</f>
        <v/>
      </c>
      <c r="J720" s="5">
        <f>IF(OR(H720=1,I720=1),0,IF(G720="Credit",-F720,F720))</f>
        <v/>
      </c>
    </row>
    <row r="721">
      <c r="A721" t="inlineStr">
        <is>
          <t>2026-07-08</t>
        </is>
      </c>
      <c r="B721" t="inlineStr">
        <is>
          <t>F272261</t>
        </is>
      </c>
      <c r="C721" t="inlineStr">
        <is>
          <t>C10635</t>
        </is>
      </c>
      <c r="D721" t="inlineStr">
        <is>
          <t>SKU-10110</t>
        </is>
      </c>
      <c r="E721" t="inlineStr">
        <is>
          <t>AM06</t>
        </is>
      </c>
      <c r="F721" s="5" t="n">
        <v>345.8</v>
      </c>
      <c r="G721">
        <f>IF(LEFT(B721,1)="C","Credit","Factuur")</f>
        <v/>
      </c>
      <c r="H721">
        <f>IF(AND(B721=B720,D721=D720,A721=A720,F721=F720),1,0)</f>
        <v/>
      </c>
      <c r="I721">
        <f>IF(C721="C99999",1,0)</f>
        <v/>
      </c>
      <c r="J721" s="5">
        <f>IF(OR(H721=1,I721=1),0,IF(G721="Credit",-F721,F721))</f>
        <v/>
      </c>
    </row>
    <row r="722">
      <c r="A722" t="inlineStr">
        <is>
          <t>2026-07-08</t>
        </is>
      </c>
      <c r="B722" t="inlineStr">
        <is>
          <t>F272414</t>
        </is>
      </c>
      <c r="C722" t="inlineStr">
        <is>
          <t>C10642</t>
        </is>
      </c>
      <c r="D722" t="inlineStr">
        <is>
          <t>SKU-10329</t>
        </is>
      </c>
      <c r="E722" t="inlineStr">
        <is>
          <t>AM02</t>
        </is>
      </c>
      <c r="F722" s="5" t="n">
        <v>4337.4</v>
      </c>
      <c r="G722">
        <f>IF(LEFT(B722,1)="C","Credit","Factuur")</f>
        <v/>
      </c>
      <c r="H722">
        <f>IF(AND(B722=B721,D722=D721,A722=A721,F722=F721),1,0)</f>
        <v/>
      </c>
      <c r="I722">
        <f>IF(C722="C99999",1,0)</f>
        <v/>
      </c>
      <c r="J722" s="5">
        <f>IF(OR(H722=1,I722=1),0,IF(G722="Credit",-F722,F722))</f>
        <v/>
      </c>
    </row>
    <row r="723">
      <c r="A723" t="inlineStr">
        <is>
          <t>2026-07-08</t>
        </is>
      </c>
      <c r="B723" t="inlineStr">
        <is>
          <t>F272697</t>
        </is>
      </c>
      <c r="C723" t="inlineStr">
        <is>
          <t>C10661</t>
        </is>
      </c>
      <c r="D723" t="inlineStr">
        <is>
          <t>SKU-10003</t>
        </is>
      </c>
      <c r="E723" t="inlineStr">
        <is>
          <t>AM03</t>
        </is>
      </c>
      <c r="F723" s="5" t="n">
        <v>771.4</v>
      </c>
      <c r="G723">
        <f>IF(LEFT(B723,1)="C","Credit","Factuur")</f>
        <v/>
      </c>
      <c r="H723">
        <f>IF(AND(B723=B722,D723=D722,A723=A722,F723=F722),1,0)</f>
        <v/>
      </c>
      <c r="I723">
        <f>IF(C723="C99999",1,0)</f>
        <v/>
      </c>
      <c r="J723" s="5">
        <f>IF(OR(H723=1,I723=1),0,IF(G723="Credit",-F723,F723))</f>
        <v/>
      </c>
    </row>
    <row r="724">
      <c r="A724" t="inlineStr">
        <is>
          <t>2026-07-08</t>
        </is>
      </c>
      <c r="B724" t="inlineStr">
        <is>
          <t>F272697</t>
        </is>
      </c>
      <c r="C724" t="inlineStr">
        <is>
          <t>C10661</t>
        </is>
      </c>
      <c r="D724" t="inlineStr">
        <is>
          <t>SKU-10092</t>
        </is>
      </c>
      <c r="E724" t="inlineStr">
        <is>
          <t>AM03</t>
        </is>
      </c>
      <c r="F724" s="5" t="n">
        <v>754.8200000000001</v>
      </c>
      <c r="G724">
        <f>IF(LEFT(B724,1)="C","Credit","Factuur")</f>
        <v/>
      </c>
      <c r="H724">
        <f>IF(AND(B724=B723,D724=D723,A724=A723,F724=F723),1,0)</f>
        <v/>
      </c>
      <c r="I724">
        <f>IF(C724="C99999",1,0)</f>
        <v/>
      </c>
      <c r="J724" s="5">
        <f>IF(OR(H724=1,I724=1),0,IF(G724="Credit",-F724,F724))</f>
        <v/>
      </c>
    </row>
    <row r="725">
      <c r="A725" t="inlineStr">
        <is>
          <t>2026-07-08</t>
        </is>
      </c>
      <c r="B725" t="inlineStr">
        <is>
          <t>F272697</t>
        </is>
      </c>
      <c r="C725" t="inlineStr">
        <is>
          <t>C10661</t>
        </is>
      </c>
      <c r="D725" t="inlineStr">
        <is>
          <t>SKU-10176</t>
        </is>
      </c>
      <c r="E725" t="inlineStr">
        <is>
          <t>AM03</t>
        </is>
      </c>
      <c r="F725" s="5" t="n">
        <v>683.02</v>
      </c>
      <c r="G725">
        <f>IF(LEFT(B725,1)="C","Credit","Factuur")</f>
        <v/>
      </c>
      <c r="H725">
        <f>IF(AND(B725=B724,D725=D724,A725=A724,F725=F724),1,0)</f>
        <v/>
      </c>
      <c r="I725">
        <f>IF(C725="C99999",1,0)</f>
        <v/>
      </c>
      <c r="J725" s="5">
        <f>IF(OR(H725=1,I725=1),0,IF(G725="Credit",-F725,F725))</f>
        <v/>
      </c>
    </row>
    <row r="726">
      <c r="A726" t="inlineStr">
        <is>
          <t>2026-07-08</t>
        </is>
      </c>
      <c r="B726" t="inlineStr">
        <is>
          <t>F274357</t>
        </is>
      </c>
      <c r="C726" t="inlineStr">
        <is>
          <t>C10758</t>
        </is>
      </c>
      <c r="D726" t="inlineStr">
        <is>
          <t>SKU-10140</t>
        </is>
      </c>
      <c r="E726" t="inlineStr">
        <is>
          <t>AM05</t>
        </is>
      </c>
      <c r="F726" s="5" t="n">
        <v>398.7</v>
      </c>
      <c r="G726">
        <f>IF(LEFT(B726,1)="C","Credit","Factuur")</f>
        <v/>
      </c>
      <c r="H726">
        <f>IF(AND(B726=B725,D726=D725,A726=A725,F726=F725),1,0)</f>
        <v/>
      </c>
      <c r="I726">
        <f>IF(C726="C99999",1,0)</f>
        <v/>
      </c>
      <c r="J726" s="5">
        <f>IF(OR(H726=1,I726=1),0,IF(G726="Credit",-F726,F726))</f>
        <v/>
      </c>
    </row>
    <row r="727">
      <c r="A727" t="inlineStr">
        <is>
          <t>2026-07-08</t>
        </is>
      </c>
      <c r="B727" t="inlineStr">
        <is>
          <t>F274357</t>
        </is>
      </c>
      <c r="C727" t="inlineStr">
        <is>
          <t>C10758</t>
        </is>
      </c>
      <c r="D727" t="inlineStr">
        <is>
          <t>SKU-10372</t>
        </is>
      </c>
      <c r="E727" t="inlineStr">
        <is>
          <t>AM05</t>
        </is>
      </c>
      <c r="F727" s="5" t="n">
        <v>346.24</v>
      </c>
      <c r="G727">
        <f>IF(LEFT(B727,1)="C","Credit","Factuur")</f>
        <v/>
      </c>
      <c r="H727">
        <f>IF(AND(B727=B726,D727=D726,A727=A726,F727=F726),1,0)</f>
        <v/>
      </c>
      <c r="I727">
        <f>IF(C727="C99999",1,0)</f>
        <v/>
      </c>
      <c r="J727" s="5">
        <f>IF(OR(H727=1,I727=1),0,IF(G727="Credit",-F727,F727))</f>
        <v/>
      </c>
    </row>
    <row r="728">
      <c r="A728" t="inlineStr">
        <is>
          <t>2026-07-08</t>
        </is>
      </c>
      <c r="B728" t="inlineStr">
        <is>
          <t>F274417</t>
        </is>
      </c>
      <c r="C728" t="inlineStr">
        <is>
          <t>C10761</t>
        </is>
      </c>
      <c r="D728" t="inlineStr">
        <is>
          <t>SKU-10241</t>
        </is>
      </c>
      <c r="E728" t="inlineStr">
        <is>
          <t>AM02</t>
        </is>
      </c>
      <c r="F728" s="5" t="n">
        <v>522.4</v>
      </c>
      <c r="G728">
        <f>IF(LEFT(B728,1)="C","Credit","Factuur")</f>
        <v/>
      </c>
      <c r="H728">
        <f>IF(AND(B728=B727,D728=D727,A728=A727,F728=F727),1,0)</f>
        <v/>
      </c>
      <c r="I728">
        <f>IF(C728="C99999",1,0)</f>
        <v/>
      </c>
      <c r="J728" s="5">
        <f>IF(OR(H728=1,I728=1),0,IF(G728="Credit",-F728,F728))</f>
        <v/>
      </c>
    </row>
    <row r="729">
      <c r="A729" t="inlineStr">
        <is>
          <t>2026-07-08</t>
        </is>
      </c>
      <c r="B729" t="inlineStr">
        <is>
          <t>F274430</t>
        </is>
      </c>
      <c r="C729" t="inlineStr">
        <is>
          <t>C10761</t>
        </is>
      </c>
      <c r="D729" t="inlineStr">
        <is>
          <t>SKU-10065</t>
        </is>
      </c>
      <c r="E729" t="inlineStr">
        <is>
          <t>AM02</t>
        </is>
      </c>
      <c r="F729" s="5" t="n">
        <v>386.58</v>
      </c>
      <c r="G729">
        <f>IF(LEFT(B729,1)="C","Credit","Factuur")</f>
        <v/>
      </c>
      <c r="H729">
        <f>IF(AND(B729=B728,D729=D728,A729=A728,F729=F728),1,0)</f>
        <v/>
      </c>
      <c r="I729">
        <f>IF(C729="C99999",1,0)</f>
        <v/>
      </c>
      <c r="J729" s="5">
        <f>IF(OR(H729=1,I729=1),0,IF(G729="Credit",-F729,F729))</f>
        <v/>
      </c>
    </row>
    <row r="730">
      <c r="A730" t="inlineStr">
        <is>
          <t>2026-07-08</t>
        </is>
      </c>
      <c r="B730" t="inlineStr">
        <is>
          <t>F275467</t>
        </is>
      </c>
      <c r="C730" t="inlineStr">
        <is>
          <t>C10818</t>
        </is>
      </c>
      <c r="D730" t="inlineStr">
        <is>
          <t>SKU-10037</t>
        </is>
      </c>
      <c r="E730" t="inlineStr">
        <is>
          <t>AM07</t>
        </is>
      </c>
      <c r="F730" s="5" t="n">
        <v>89.89</v>
      </c>
      <c r="G730">
        <f>IF(LEFT(B730,1)="C","Credit","Factuur")</f>
        <v/>
      </c>
      <c r="H730">
        <f>IF(AND(B730=B729,D730=D729,A730=A729,F730=F729),1,0)</f>
        <v/>
      </c>
      <c r="I730">
        <f>IF(C730="C99999",1,0)</f>
        <v/>
      </c>
      <c r="J730" s="5">
        <f>IF(OR(H730=1,I730=1),0,IF(G730="Credit",-F730,F730))</f>
        <v/>
      </c>
    </row>
    <row r="731">
      <c r="A731" t="inlineStr">
        <is>
          <t>2026-07-08</t>
        </is>
      </c>
      <c r="B731" t="inlineStr">
        <is>
          <t>F275467</t>
        </is>
      </c>
      <c r="C731" t="inlineStr">
        <is>
          <t>C10818</t>
        </is>
      </c>
      <c r="D731" t="inlineStr">
        <is>
          <t>SKU-10067</t>
        </is>
      </c>
      <c r="E731" t="inlineStr">
        <is>
          <t>AM07</t>
        </is>
      </c>
      <c r="F731" s="5" t="n">
        <v>102.19</v>
      </c>
      <c r="G731">
        <f>IF(LEFT(B731,1)="C","Credit","Factuur")</f>
        <v/>
      </c>
      <c r="H731">
        <f>IF(AND(B731=B730,D731=D730,A731=A730,F731=F730),1,0)</f>
        <v/>
      </c>
      <c r="I731">
        <f>IF(C731="C99999",1,0)</f>
        <v/>
      </c>
      <c r="J731" s="5">
        <f>IF(OR(H731=1,I731=1),0,IF(G731="Credit",-F731,F731))</f>
        <v/>
      </c>
    </row>
    <row r="732">
      <c r="A732" t="inlineStr">
        <is>
          <t>2026-07-08</t>
        </is>
      </c>
      <c r="B732" t="inlineStr">
        <is>
          <t>F275467</t>
        </is>
      </c>
      <c r="C732" t="inlineStr">
        <is>
          <t>C10818</t>
        </is>
      </c>
      <c r="D732" t="inlineStr">
        <is>
          <t>SKU-10351</t>
        </is>
      </c>
      <c r="E732" t="inlineStr">
        <is>
          <t>AM07</t>
        </is>
      </c>
      <c r="F732" s="5" t="n">
        <v>636.89</v>
      </c>
      <c r="G732">
        <f>IF(LEFT(B732,1)="C","Credit","Factuur")</f>
        <v/>
      </c>
      <c r="H732">
        <f>IF(AND(B732=B731,D732=D731,A732=A731,F732=F731),1,0)</f>
        <v/>
      </c>
      <c r="I732">
        <f>IF(C732="C99999",1,0)</f>
        <v/>
      </c>
      <c r="J732" s="5">
        <f>IF(OR(H732=1,I732=1),0,IF(G732="Credit",-F732,F732))</f>
        <v/>
      </c>
    </row>
    <row r="733">
      <c r="A733" t="inlineStr">
        <is>
          <t>2026-07-08</t>
        </is>
      </c>
      <c r="B733" t="inlineStr">
        <is>
          <t>F275702</t>
        </is>
      </c>
      <c r="C733" t="inlineStr">
        <is>
          <t>C10831</t>
        </is>
      </c>
      <c r="D733" t="inlineStr">
        <is>
          <t>SKU-10102</t>
        </is>
      </c>
      <c r="E733" t="inlineStr">
        <is>
          <t>AM07</t>
        </is>
      </c>
      <c r="F733" s="5" t="n">
        <v>86.23999999999999</v>
      </c>
      <c r="G733">
        <f>IF(LEFT(B733,1)="C","Credit","Factuur")</f>
        <v/>
      </c>
      <c r="H733">
        <f>IF(AND(B733=B732,D733=D732,A733=A732,F733=F732),1,0)</f>
        <v/>
      </c>
      <c r="I733">
        <f>IF(C733="C99999",1,0)</f>
        <v/>
      </c>
      <c r="J733" s="5">
        <f>IF(OR(H733=1,I733=1),0,IF(G733="Credit",-F733,F733))</f>
        <v/>
      </c>
    </row>
    <row r="734">
      <c r="A734" t="inlineStr">
        <is>
          <t>2026-07-08</t>
        </is>
      </c>
      <c r="B734" t="inlineStr">
        <is>
          <t>F275702</t>
        </is>
      </c>
      <c r="C734" t="inlineStr">
        <is>
          <t>C10831</t>
        </is>
      </c>
      <c r="D734" t="inlineStr">
        <is>
          <t>SKU-10152</t>
        </is>
      </c>
      <c r="E734" t="inlineStr">
        <is>
          <t>AM07</t>
        </is>
      </c>
      <c r="F734" s="5" t="n">
        <v>76.31999999999999</v>
      </c>
      <c r="G734">
        <f>IF(LEFT(B734,1)="C","Credit","Factuur")</f>
        <v/>
      </c>
      <c r="H734">
        <f>IF(AND(B734=B733,D734=D733,A734=A733,F734=F733),1,0)</f>
        <v/>
      </c>
      <c r="I734">
        <f>IF(C734="C99999",1,0)</f>
        <v/>
      </c>
      <c r="J734" s="5">
        <f>IF(OR(H734=1,I734=1),0,IF(G734="Credit",-F734,F734))</f>
        <v/>
      </c>
    </row>
    <row r="735">
      <c r="A735" t="inlineStr">
        <is>
          <t>2026-07-08</t>
        </is>
      </c>
      <c r="B735" t="inlineStr">
        <is>
          <t>F275702</t>
        </is>
      </c>
      <c r="C735" t="inlineStr">
        <is>
          <t>C10831</t>
        </is>
      </c>
      <c r="D735" t="inlineStr">
        <is>
          <t>SKU-10204</t>
        </is>
      </c>
      <c r="E735" t="inlineStr">
        <is>
          <t>AM07</t>
        </is>
      </c>
      <c r="F735" s="5" t="n">
        <v>77.25</v>
      </c>
      <c r="G735">
        <f>IF(LEFT(B735,1)="C","Credit","Factuur")</f>
        <v/>
      </c>
      <c r="H735">
        <f>IF(AND(B735=B734,D735=D734,A735=A734,F735=F734),1,0)</f>
        <v/>
      </c>
      <c r="I735">
        <f>IF(C735="C99999",1,0)</f>
        <v/>
      </c>
      <c r="J735" s="5">
        <f>IF(OR(H735=1,I735=1),0,IF(G735="Credit",-F735,F735))</f>
        <v/>
      </c>
    </row>
    <row r="736">
      <c r="A736" t="inlineStr">
        <is>
          <t>2026-07-08</t>
        </is>
      </c>
      <c r="B736" t="inlineStr">
        <is>
          <t>F276633</t>
        </is>
      </c>
      <c r="C736" t="inlineStr">
        <is>
          <t>C10882</t>
        </is>
      </c>
      <c r="D736" t="inlineStr">
        <is>
          <t>SKU-10068</t>
        </is>
      </c>
      <c r="E736" t="inlineStr">
        <is>
          <t>AM07</t>
        </is>
      </c>
      <c r="F736" s="5" t="n">
        <v>517.49</v>
      </c>
      <c r="G736">
        <f>IF(LEFT(B736,1)="C","Credit","Factuur")</f>
        <v/>
      </c>
      <c r="H736">
        <f>IF(AND(B736=B735,D736=D735,A736=A735,F736=F735),1,0)</f>
        <v/>
      </c>
      <c r="I736">
        <f>IF(C736="C99999",1,0)</f>
        <v/>
      </c>
      <c r="J736" s="5">
        <f>IF(OR(H736=1,I736=1),0,IF(G736="Credit",-F736,F736))</f>
        <v/>
      </c>
    </row>
    <row r="737">
      <c r="A737" t="inlineStr">
        <is>
          <t>2026-07-08</t>
        </is>
      </c>
      <c r="B737" t="inlineStr">
        <is>
          <t>F276633</t>
        </is>
      </c>
      <c r="C737" t="inlineStr">
        <is>
          <t>C10882</t>
        </is>
      </c>
      <c r="D737" t="inlineStr">
        <is>
          <t>SKU-10139</t>
        </is>
      </c>
      <c r="E737" t="inlineStr">
        <is>
          <t>AM07</t>
        </is>
      </c>
      <c r="F737" s="5" t="n">
        <v>587</v>
      </c>
      <c r="G737">
        <f>IF(LEFT(B737,1)="C","Credit","Factuur")</f>
        <v/>
      </c>
      <c r="H737">
        <f>IF(AND(B737=B736,D737=D736,A737=A736,F737=F736),1,0)</f>
        <v/>
      </c>
      <c r="I737">
        <f>IF(C737="C99999",1,0)</f>
        <v/>
      </c>
      <c r="J737" s="5">
        <f>IF(OR(H737=1,I737=1),0,IF(G737="Credit",-F737,F737))</f>
        <v/>
      </c>
    </row>
    <row r="738">
      <c r="A738" t="inlineStr">
        <is>
          <t>2026-07-08</t>
        </is>
      </c>
      <c r="B738" t="inlineStr">
        <is>
          <t>F277059</t>
        </is>
      </c>
      <c r="C738" t="inlineStr">
        <is>
          <t>C10903</t>
        </is>
      </c>
      <c r="D738" t="inlineStr">
        <is>
          <t>SKU-10264</t>
        </is>
      </c>
      <c r="E738" t="inlineStr">
        <is>
          <t>AM11</t>
        </is>
      </c>
      <c r="F738" s="5" t="n">
        <v>205.56</v>
      </c>
      <c r="G738">
        <f>IF(LEFT(B738,1)="C","Credit","Factuur")</f>
        <v/>
      </c>
      <c r="H738">
        <f>IF(AND(B738=B737,D738=D737,A738=A737,F738=F737),1,0)</f>
        <v/>
      </c>
      <c r="I738">
        <f>IF(C738="C99999",1,0)</f>
        <v/>
      </c>
      <c r="J738" s="5">
        <f>IF(OR(H738=1,I738=1),0,IF(G738="Credit",-F738,F738))</f>
        <v/>
      </c>
    </row>
    <row r="739">
      <c r="A739" t="inlineStr">
        <is>
          <t>2026-07-08</t>
        </is>
      </c>
      <c r="B739" t="inlineStr">
        <is>
          <t>F277059</t>
        </is>
      </c>
      <c r="C739" t="inlineStr">
        <is>
          <t>C10903</t>
        </is>
      </c>
      <c r="D739" t="inlineStr">
        <is>
          <t>SKU-10330</t>
        </is>
      </c>
      <c r="E739" t="inlineStr">
        <is>
          <t>AM11</t>
        </is>
      </c>
      <c r="F739" s="5" t="n">
        <v>224.06</v>
      </c>
      <c r="G739">
        <f>IF(LEFT(B739,1)="C","Credit","Factuur")</f>
        <v/>
      </c>
      <c r="H739">
        <f>IF(AND(B739=B738,D739=D738,A739=A738,F739=F738),1,0)</f>
        <v/>
      </c>
      <c r="I739">
        <f>IF(C739="C99999",1,0)</f>
        <v/>
      </c>
      <c r="J739" s="5">
        <f>IF(OR(H739=1,I739=1),0,IF(G739="Credit",-F739,F739))</f>
        <v/>
      </c>
    </row>
    <row r="740">
      <c r="A740" t="inlineStr">
        <is>
          <t>2026-07-08</t>
        </is>
      </c>
      <c r="B740" t="inlineStr">
        <is>
          <t>F277059</t>
        </is>
      </c>
      <c r="C740" t="inlineStr">
        <is>
          <t>C10903</t>
        </is>
      </c>
      <c r="D740" t="inlineStr">
        <is>
          <t>SKU-10336</t>
        </is>
      </c>
      <c r="E740" t="inlineStr">
        <is>
          <t>AM11</t>
        </is>
      </c>
      <c r="F740" s="5" t="n">
        <v>234.56</v>
      </c>
      <c r="G740">
        <f>IF(LEFT(B740,1)="C","Credit","Factuur")</f>
        <v/>
      </c>
      <c r="H740">
        <f>IF(AND(B740=B739,D740=D739,A740=A739,F740=F739),1,0)</f>
        <v/>
      </c>
      <c r="I740">
        <f>IF(C740="C99999",1,0)</f>
        <v/>
      </c>
      <c r="J740" s="5">
        <f>IF(OR(H740=1,I740=1),0,IF(G740="Credit",-F740,F740))</f>
        <v/>
      </c>
    </row>
    <row r="741">
      <c r="A741" t="inlineStr">
        <is>
          <t>2026-07-08</t>
        </is>
      </c>
      <c r="B741" t="inlineStr">
        <is>
          <t>F277059</t>
        </is>
      </c>
      <c r="C741" t="inlineStr">
        <is>
          <t>C10903</t>
        </is>
      </c>
      <c r="D741" t="inlineStr">
        <is>
          <t>SKU-10360</t>
        </is>
      </c>
      <c r="E741" t="inlineStr">
        <is>
          <t>AM11</t>
        </is>
      </c>
      <c r="F741" s="5" t="n">
        <v>196.64</v>
      </c>
      <c r="G741">
        <f>IF(LEFT(B741,1)="C","Credit","Factuur")</f>
        <v/>
      </c>
      <c r="H741">
        <f>IF(AND(B741=B740,D741=D740,A741=A740,F741=F740),1,0)</f>
        <v/>
      </c>
      <c r="I741">
        <f>IF(C741="C99999",1,0)</f>
        <v/>
      </c>
      <c r="J741" s="5">
        <f>IF(OR(H741=1,I741=1),0,IF(G741="Credit",-F741,F741))</f>
        <v/>
      </c>
    </row>
    <row r="742">
      <c r="A742" t="inlineStr">
        <is>
          <t>2026-07-08</t>
        </is>
      </c>
      <c r="B742" t="inlineStr">
        <is>
          <t>F277341</t>
        </is>
      </c>
      <c r="C742" t="inlineStr">
        <is>
          <t>C10921</t>
        </is>
      </c>
      <c r="D742" t="inlineStr">
        <is>
          <t>SKU-10178</t>
        </is>
      </c>
      <c r="E742" t="inlineStr">
        <is>
          <t>AM07</t>
        </is>
      </c>
      <c r="F742" s="5" t="n">
        <v>100.6</v>
      </c>
      <c r="G742">
        <f>IF(LEFT(B742,1)="C","Credit","Factuur")</f>
        <v/>
      </c>
      <c r="H742">
        <f>IF(AND(B742=B741,D742=D741,A742=A741,F742=F741),1,0)</f>
        <v/>
      </c>
      <c r="I742">
        <f>IF(C742="C99999",1,0)</f>
        <v/>
      </c>
      <c r="J742" s="5">
        <f>IF(OR(H742=1,I742=1),0,IF(G742="Credit",-F742,F742))</f>
        <v/>
      </c>
    </row>
    <row r="743">
      <c r="A743" t="inlineStr">
        <is>
          <t>2026-07-08</t>
        </is>
      </c>
      <c r="B743" t="inlineStr">
        <is>
          <t>F277341</t>
        </is>
      </c>
      <c r="C743" t="inlineStr">
        <is>
          <t>C10921</t>
        </is>
      </c>
      <c r="D743" t="inlineStr">
        <is>
          <t>SKU-10261</t>
        </is>
      </c>
      <c r="E743" t="inlineStr">
        <is>
          <t>AM07</t>
        </is>
      </c>
      <c r="F743" s="5" t="n">
        <v>110.88</v>
      </c>
      <c r="G743">
        <f>IF(LEFT(B743,1)="C","Credit","Factuur")</f>
        <v/>
      </c>
      <c r="H743">
        <f>IF(AND(B743=B742,D743=D742,A743=A742,F743=F742),1,0)</f>
        <v/>
      </c>
      <c r="I743">
        <f>IF(C743="C99999",1,0)</f>
        <v/>
      </c>
      <c r="J743" s="5">
        <f>IF(OR(H743=1,I743=1),0,IF(G743="Credit",-F743,F743))</f>
        <v/>
      </c>
    </row>
    <row r="744">
      <c r="A744" t="inlineStr">
        <is>
          <t>2026-07-08</t>
        </is>
      </c>
      <c r="B744" t="inlineStr">
        <is>
          <t>F277341</t>
        </is>
      </c>
      <c r="C744" t="inlineStr">
        <is>
          <t>C10921</t>
        </is>
      </c>
      <c r="D744" t="inlineStr">
        <is>
          <t>SKU-10271</t>
        </is>
      </c>
      <c r="E744" t="inlineStr">
        <is>
          <t>AM07</t>
        </is>
      </c>
      <c r="F744" s="5" t="n">
        <v>84.79000000000001</v>
      </c>
      <c r="G744">
        <f>IF(LEFT(B744,1)="C","Credit","Factuur")</f>
        <v/>
      </c>
      <c r="H744">
        <f>IF(AND(B744=B743,D744=D743,A744=A743,F744=F743),1,0)</f>
        <v/>
      </c>
      <c r="I744">
        <f>IF(C744="C99999",1,0)</f>
        <v/>
      </c>
      <c r="J744" s="5">
        <f>IF(OR(H744=1,I744=1),0,IF(G744="Credit",-F744,F744))</f>
        <v/>
      </c>
    </row>
    <row r="745">
      <c r="A745" t="inlineStr">
        <is>
          <t>2026-07-08</t>
        </is>
      </c>
      <c r="B745" t="inlineStr">
        <is>
          <t>F277341</t>
        </is>
      </c>
      <c r="C745" t="inlineStr">
        <is>
          <t>C10921</t>
        </is>
      </c>
      <c r="D745" t="inlineStr">
        <is>
          <t>SKU-10302</t>
        </is>
      </c>
      <c r="E745" t="inlineStr">
        <is>
          <t>AM07</t>
        </is>
      </c>
      <c r="F745" s="5" t="n">
        <v>131.73</v>
      </c>
      <c r="G745">
        <f>IF(LEFT(B745,1)="C","Credit","Factuur")</f>
        <v/>
      </c>
      <c r="H745">
        <f>IF(AND(B745=B744,D745=D744,A745=A744,F745=F744),1,0)</f>
        <v/>
      </c>
      <c r="I745">
        <f>IF(C745="C99999",1,0)</f>
        <v/>
      </c>
      <c r="J745" s="5">
        <f>IF(OR(H745=1,I745=1),0,IF(G745="Credit",-F745,F745))</f>
        <v/>
      </c>
    </row>
    <row r="746">
      <c r="A746" t="inlineStr">
        <is>
          <t>2026-07-08</t>
        </is>
      </c>
      <c r="B746" t="inlineStr">
        <is>
          <t>F277341</t>
        </is>
      </c>
      <c r="C746" t="inlineStr">
        <is>
          <t>C10921</t>
        </is>
      </c>
      <c r="D746" t="inlineStr">
        <is>
          <t>SKU-10318</t>
        </is>
      </c>
      <c r="E746" t="inlineStr">
        <is>
          <t>AM07</t>
        </is>
      </c>
      <c r="F746" s="5" t="n">
        <v>116</v>
      </c>
      <c r="G746">
        <f>IF(LEFT(B746,1)="C","Credit","Factuur")</f>
        <v/>
      </c>
      <c r="H746">
        <f>IF(AND(B746=B745,D746=D745,A746=A745,F746=F745),1,0)</f>
        <v/>
      </c>
      <c r="I746">
        <f>IF(C746="C99999",1,0)</f>
        <v/>
      </c>
      <c r="J746" s="5">
        <f>IF(OR(H746=1,I746=1),0,IF(G746="Credit",-F746,F746))</f>
        <v/>
      </c>
    </row>
    <row r="747">
      <c r="A747" t="inlineStr">
        <is>
          <t>2026-07-08</t>
        </is>
      </c>
      <c r="B747" t="inlineStr">
        <is>
          <t>F278592</t>
        </is>
      </c>
      <c r="C747" t="inlineStr">
        <is>
          <t>C10986</t>
        </is>
      </c>
      <c r="D747" t="inlineStr">
        <is>
          <t>SKU-10069</t>
        </is>
      </c>
      <c r="E747" t="inlineStr">
        <is>
          <t>AM08</t>
        </is>
      </c>
      <c r="F747" s="5" t="n">
        <v>619.71</v>
      </c>
      <c r="G747">
        <f>IF(LEFT(B747,1)="C","Credit","Factuur")</f>
        <v/>
      </c>
      <c r="H747">
        <f>IF(AND(B747=B746,D747=D746,A747=A746,F747=F746),1,0)</f>
        <v/>
      </c>
      <c r="I747">
        <f>IF(C747="C99999",1,0)</f>
        <v/>
      </c>
      <c r="J747" s="5">
        <f>IF(OR(H747=1,I747=1),0,IF(G747="Credit",-F747,F747))</f>
        <v/>
      </c>
    </row>
    <row r="748">
      <c r="A748" t="inlineStr">
        <is>
          <t>2026-07-08</t>
        </is>
      </c>
      <c r="B748" t="inlineStr">
        <is>
          <t>F279252</t>
        </is>
      </c>
      <c r="C748" t="inlineStr">
        <is>
          <t>C11022</t>
        </is>
      </c>
      <c r="D748" t="inlineStr">
        <is>
          <t>SKU-10054</t>
        </is>
      </c>
      <c r="E748" t="inlineStr"/>
      <c r="F748" s="5" t="n">
        <v>630.97</v>
      </c>
      <c r="G748">
        <f>IF(LEFT(B748,1)="C","Credit","Factuur")</f>
        <v/>
      </c>
      <c r="H748">
        <f>IF(AND(B748=B747,D748=D747,A748=A747,F748=F747),1,0)</f>
        <v/>
      </c>
      <c r="I748">
        <f>IF(C748="C99999",1,0)</f>
        <v/>
      </c>
      <c r="J748" s="5">
        <f>IF(OR(H748=1,I748=1),0,IF(G748="Credit",-F748,F748))</f>
        <v/>
      </c>
    </row>
    <row r="749">
      <c r="A749" t="inlineStr">
        <is>
          <t>2026-07-08</t>
        </is>
      </c>
      <c r="B749" t="inlineStr">
        <is>
          <t>F279252</t>
        </is>
      </c>
      <c r="C749" t="inlineStr">
        <is>
          <t>C11022</t>
        </is>
      </c>
      <c r="D749" t="inlineStr">
        <is>
          <t>SKU-10279</t>
        </is>
      </c>
      <c r="E749" t="inlineStr">
        <is>
          <t>AM01</t>
        </is>
      </c>
      <c r="F749" s="5" t="n">
        <v>569.03</v>
      </c>
      <c r="G749">
        <f>IF(LEFT(B749,1)="C","Credit","Factuur")</f>
        <v/>
      </c>
      <c r="H749">
        <f>IF(AND(B749=B748,D749=D748,A749=A748,F749=F748),1,0)</f>
        <v/>
      </c>
      <c r="I749">
        <f>IF(C749="C99999",1,0)</f>
        <v/>
      </c>
      <c r="J749" s="5">
        <f>IF(OR(H749=1,I749=1),0,IF(G749="Credit",-F749,F749))</f>
        <v/>
      </c>
    </row>
    <row r="750">
      <c r="A750" t="inlineStr">
        <is>
          <t>2026-07-08</t>
        </is>
      </c>
      <c r="B750" t="inlineStr">
        <is>
          <t>F281673</t>
        </is>
      </c>
      <c r="C750" t="inlineStr">
        <is>
          <t>C11142</t>
        </is>
      </c>
      <c r="D750" t="inlineStr">
        <is>
          <t>SKU-10192</t>
        </is>
      </c>
      <c r="E750" t="inlineStr">
        <is>
          <t>AM03</t>
        </is>
      </c>
      <c r="F750" s="5" t="n">
        <v>2044.7</v>
      </c>
      <c r="G750">
        <f>IF(LEFT(B750,1)="C","Credit","Factuur")</f>
        <v/>
      </c>
      <c r="H750">
        <f>IF(AND(B750=B749,D750=D749,A750=A749,F750=F749),1,0)</f>
        <v/>
      </c>
      <c r="I750">
        <f>IF(C750="C99999",1,0)</f>
        <v/>
      </c>
      <c r="J750" s="5">
        <f>IF(OR(H750=1,I750=1),0,IF(G750="Credit",-F750,F750))</f>
        <v/>
      </c>
    </row>
    <row r="751">
      <c r="A751" t="inlineStr">
        <is>
          <t>2026-07-08</t>
        </is>
      </c>
      <c r="B751" t="inlineStr">
        <is>
          <t>F281673</t>
        </is>
      </c>
      <c r="C751" t="inlineStr">
        <is>
          <t>C11142</t>
        </is>
      </c>
      <c r="D751" t="inlineStr">
        <is>
          <t>SKU-10310</t>
        </is>
      </c>
      <c r="E751" t="inlineStr">
        <is>
          <t>AM03</t>
        </is>
      </c>
      <c r="F751" s="5" t="n">
        <v>2149.44</v>
      </c>
      <c r="G751">
        <f>IF(LEFT(B751,1)="C","Credit","Factuur")</f>
        <v/>
      </c>
      <c r="H751">
        <f>IF(AND(B751=B750,D751=D750,A751=A750,F751=F750),1,0)</f>
        <v/>
      </c>
      <c r="I751">
        <f>IF(C751="C99999",1,0)</f>
        <v/>
      </c>
      <c r="J751" s="5">
        <f>IF(OR(H751=1,I751=1),0,IF(G751="Credit",-F751,F751))</f>
        <v/>
      </c>
    </row>
    <row r="752">
      <c r="A752" t="inlineStr">
        <is>
          <t>2026-07-08</t>
        </is>
      </c>
      <c r="B752" t="inlineStr">
        <is>
          <t>F281988</t>
        </is>
      </c>
      <c r="C752" t="inlineStr">
        <is>
          <t>C11156</t>
        </is>
      </c>
      <c r="D752" t="inlineStr">
        <is>
          <t>SKU-10375</t>
        </is>
      </c>
      <c r="E752" t="inlineStr">
        <is>
          <t>AM01</t>
        </is>
      </c>
      <c r="F752" s="5" t="n">
        <v>4538.52</v>
      </c>
      <c r="G752">
        <f>IF(LEFT(B752,1)="C","Credit","Factuur")</f>
        <v/>
      </c>
      <c r="H752">
        <f>IF(AND(B752=B751,D752=D751,A752=A751,F752=F751),1,0)</f>
        <v/>
      </c>
      <c r="I752">
        <f>IF(C752="C99999",1,0)</f>
        <v/>
      </c>
      <c r="J752" s="5">
        <f>IF(OR(H752=1,I752=1),0,IF(G752="Credit",-F752,F752))</f>
        <v/>
      </c>
    </row>
    <row r="753">
      <c r="A753" t="inlineStr">
        <is>
          <t>2026-07-08</t>
        </is>
      </c>
      <c r="B753" t="inlineStr">
        <is>
          <t>F282962</t>
        </is>
      </c>
      <c r="C753" t="inlineStr">
        <is>
          <t>C11207</t>
        </is>
      </c>
      <c r="D753" t="inlineStr">
        <is>
          <t>SKU-10120</t>
        </is>
      </c>
      <c r="E753" t="inlineStr">
        <is>
          <t>AM11</t>
        </is>
      </c>
      <c r="F753" s="5" t="n">
        <v>242.65</v>
      </c>
      <c r="G753">
        <f>IF(LEFT(B753,1)="C","Credit","Factuur")</f>
        <v/>
      </c>
      <c r="H753">
        <f>IF(AND(B753=B752,D753=D752,A753=A752,F753=F752),1,0)</f>
        <v/>
      </c>
      <c r="I753">
        <f>IF(C753="C99999",1,0)</f>
        <v/>
      </c>
      <c r="J753" s="5">
        <f>IF(OR(H753=1,I753=1),0,IF(G753="Credit",-F753,F753))</f>
        <v/>
      </c>
    </row>
    <row r="754">
      <c r="A754" t="inlineStr">
        <is>
          <t>2026-07-08</t>
        </is>
      </c>
      <c r="B754" t="inlineStr">
        <is>
          <t>F282962</t>
        </is>
      </c>
      <c r="C754" t="inlineStr">
        <is>
          <t>C11207</t>
        </is>
      </c>
      <c r="D754" t="inlineStr">
        <is>
          <t>SKU-10126</t>
        </is>
      </c>
      <c r="E754" t="inlineStr">
        <is>
          <t>AM11</t>
        </is>
      </c>
      <c r="F754" s="5" t="n">
        <v>262.3</v>
      </c>
      <c r="G754">
        <f>IF(LEFT(B754,1)="C","Credit","Factuur")</f>
        <v/>
      </c>
      <c r="H754">
        <f>IF(AND(B754=B753,D754=D753,A754=A753,F754=F753),1,0)</f>
        <v/>
      </c>
      <c r="I754">
        <f>IF(C754="C99999",1,0)</f>
        <v/>
      </c>
      <c r="J754" s="5">
        <f>IF(OR(H754=1,I754=1),0,IF(G754="Credit",-F754,F754))</f>
        <v/>
      </c>
    </row>
    <row r="755">
      <c r="A755" t="inlineStr">
        <is>
          <t>2026-07-08</t>
        </is>
      </c>
      <c r="B755" t="inlineStr">
        <is>
          <t>F282962</t>
        </is>
      </c>
      <c r="C755" t="inlineStr">
        <is>
          <t>C11207</t>
        </is>
      </c>
      <c r="D755" t="inlineStr">
        <is>
          <t>SKU-10149</t>
        </is>
      </c>
      <c r="E755" t="inlineStr">
        <is>
          <t>AM11</t>
        </is>
      </c>
      <c r="F755" s="5" t="n">
        <v>217.74</v>
      </c>
      <c r="G755">
        <f>IF(LEFT(B755,1)="C","Credit","Factuur")</f>
        <v/>
      </c>
      <c r="H755">
        <f>IF(AND(B755=B754,D755=D754,A755=A754,F755=F754),1,0)</f>
        <v/>
      </c>
      <c r="I755">
        <f>IF(C755="C99999",1,0)</f>
        <v/>
      </c>
      <c r="J755" s="5">
        <f>IF(OR(H755=1,I755=1),0,IF(G755="Credit",-F755,F755))</f>
        <v/>
      </c>
    </row>
    <row r="756">
      <c r="A756" t="inlineStr">
        <is>
          <t>2026-07-08</t>
        </is>
      </c>
      <c r="B756" t="inlineStr">
        <is>
          <t>F282962</t>
        </is>
      </c>
      <c r="C756" t="inlineStr">
        <is>
          <t>C11207</t>
        </is>
      </c>
      <c r="D756" t="inlineStr">
        <is>
          <t>SKU-10151</t>
        </is>
      </c>
      <c r="E756" t="inlineStr">
        <is>
          <t>AM11</t>
        </is>
      </c>
      <c r="F756" s="5" t="n">
        <v>247.89</v>
      </c>
      <c r="G756">
        <f>IF(LEFT(B756,1)="C","Credit","Factuur")</f>
        <v/>
      </c>
      <c r="H756">
        <f>IF(AND(B756=B755,D756=D755,A756=A755,F756=F755),1,0)</f>
        <v/>
      </c>
      <c r="I756">
        <f>IF(C756="C99999",1,0)</f>
        <v/>
      </c>
      <c r="J756" s="5">
        <f>IF(OR(H756=1,I756=1),0,IF(G756="Credit",-F756,F756))</f>
        <v/>
      </c>
    </row>
    <row r="757">
      <c r="A757" t="inlineStr">
        <is>
          <t>2026-07-08</t>
        </is>
      </c>
      <c r="B757" t="inlineStr">
        <is>
          <t>F282962</t>
        </is>
      </c>
      <c r="C757" t="inlineStr">
        <is>
          <t>C11207</t>
        </is>
      </c>
      <c r="D757" t="inlineStr">
        <is>
          <t>SKU-10160</t>
        </is>
      </c>
      <c r="E757" t="inlineStr">
        <is>
          <t>AM11</t>
        </is>
      </c>
      <c r="F757" s="5" t="n">
        <v>249.12</v>
      </c>
      <c r="G757">
        <f>IF(LEFT(B757,1)="C","Credit","Factuur")</f>
        <v/>
      </c>
      <c r="H757">
        <f>IF(AND(B757=B756,D757=D756,A757=A756,F757=F756),1,0)</f>
        <v/>
      </c>
      <c r="I757">
        <f>IF(C757="C99999",1,0)</f>
        <v/>
      </c>
      <c r="J757" s="5">
        <f>IF(OR(H757=1,I757=1),0,IF(G757="Credit",-F757,F757))</f>
        <v/>
      </c>
    </row>
    <row r="758">
      <c r="A758" t="inlineStr">
        <is>
          <t>2026-07-08</t>
        </is>
      </c>
      <c r="B758" t="inlineStr">
        <is>
          <t>F283369</t>
        </is>
      </c>
      <c r="C758" t="inlineStr">
        <is>
          <t>C11228</t>
        </is>
      </c>
      <c r="D758" t="inlineStr">
        <is>
          <t>SKU-10059</t>
        </is>
      </c>
      <c r="E758" t="inlineStr">
        <is>
          <t>AM02</t>
        </is>
      </c>
      <c r="F758" s="5" t="n">
        <v>934.5599999999999</v>
      </c>
      <c r="G758">
        <f>IF(LEFT(B758,1)="C","Credit","Factuur")</f>
        <v/>
      </c>
      <c r="H758">
        <f>IF(AND(B758=B757,D758=D757,A758=A757,F758=F757),1,0)</f>
        <v/>
      </c>
      <c r="I758">
        <f>IF(C758="C99999",1,0)</f>
        <v/>
      </c>
      <c r="J758" s="5">
        <f>IF(OR(H758=1,I758=1),0,IF(G758="Credit",-F758,F758))</f>
        <v/>
      </c>
    </row>
    <row r="759">
      <c r="A759" t="inlineStr">
        <is>
          <t>2026-07-08</t>
        </is>
      </c>
      <c r="B759" t="inlineStr">
        <is>
          <t>F283369</t>
        </is>
      </c>
      <c r="C759" t="inlineStr">
        <is>
          <t>C11228</t>
        </is>
      </c>
      <c r="D759" t="inlineStr">
        <is>
          <t>SKU-10103</t>
        </is>
      </c>
      <c r="E759" t="inlineStr">
        <is>
          <t>AM02</t>
        </is>
      </c>
      <c r="F759" s="5" t="n">
        <v>953.16</v>
      </c>
      <c r="G759">
        <f>IF(LEFT(B759,1)="C","Credit","Factuur")</f>
        <v/>
      </c>
      <c r="H759">
        <f>IF(AND(B759=B758,D759=D758,A759=A758,F759=F758),1,0)</f>
        <v/>
      </c>
      <c r="I759">
        <f>IF(C759="C99999",1,0)</f>
        <v/>
      </c>
      <c r="J759" s="5">
        <f>IF(OR(H759=1,I759=1),0,IF(G759="Credit",-F759,F759))</f>
        <v/>
      </c>
    </row>
    <row r="760">
      <c r="A760" t="inlineStr">
        <is>
          <t>2026-07-08</t>
        </is>
      </c>
      <c r="B760" t="inlineStr">
        <is>
          <t>F285006</t>
        </is>
      </c>
      <c r="C760" t="inlineStr">
        <is>
          <t>C11308</t>
        </is>
      </c>
      <c r="D760" t="inlineStr">
        <is>
          <t>SKU-10072</t>
        </is>
      </c>
      <c r="E760" t="inlineStr">
        <is>
          <t>AM02</t>
        </is>
      </c>
      <c r="F760" s="5" t="n">
        <v>396.95</v>
      </c>
      <c r="G760">
        <f>IF(LEFT(B760,1)="C","Credit","Factuur")</f>
        <v/>
      </c>
      <c r="H760">
        <f>IF(AND(B760=B759,D760=D759,A760=A759,F760=F759),1,0)</f>
        <v/>
      </c>
      <c r="I760">
        <f>IF(C760="C99999",1,0)</f>
        <v/>
      </c>
      <c r="J760" s="5">
        <f>IF(OR(H760=1,I760=1),0,IF(G760="Credit",-F760,F760))</f>
        <v/>
      </c>
    </row>
    <row r="761">
      <c r="A761" t="inlineStr">
        <is>
          <t>2026-07-08</t>
        </is>
      </c>
      <c r="B761" t="inlineStr">
        <is>
          <t>F285006</t>
        </is>
      </c>
      <c r="C761" t="inlineStr">
        <is>
          <t>C11308</t>
        </is>
      </c>
      <c r="D761" t="inlineStr">
        <is>
          <t>SKU-10089</t>
        </is>
      </c>
      <c r="E761" t="inlineStr">
        <is>
          <t>AM02</t>
        </is>
      </c>
      <c r="F761" s="5" t="n">
        <v>423.9</v>
      </c>
      <c r="G761">
        <f>IF(LEFT(B761,1)="C","Credit","Factuur")</f>
        <v/>
      </c>
      <c r="H761">
        <f>IF(AND(B761=B760,D761=D760,A761=A760,F761=F760),1,0)</f>
        <v/>
      </c>
      <c r="I761">
        <f>IF(C761="C99999",1,0)</f>
        <v/>
      </c>
      <c r="J761" s="5">
        <f>IF(OR(H761=1,I761=1),0,IF(G761="Credit",-F761,F761))</f>
        <v/>
      </c>
    </row>
    <row r="762">
      <c r="A762" t="inlineStr">
        <is>
          <t>2026-07-08</t>
        </is>
      </c>
      <c r="B762" t="inlineStr">
        <is>
          <t>F285189</t>
        </is>
      </c>
      <c r="C762" t="inlineStr">
        <is>
          <t>C11320</t>
        </is>
      </c>
      <c r="D762" t="inlineStr">
        <is>
          <t>SKU-10020</t>
        </is>
      </c>
      <c r="E762" t="inlineStr">
        <is>
          <t>AM11</t>
        </is>
      </c>
      <c r="F762" s="5" t="n">
        <v>116.69</v>
      </c>
      <c r="G762">
        <f>IF(LEFT(B762,1)="C","Credit","Factuur")</f>
        <v/>
      </c>
      <c r="H762">
        <f>IF(AND(B762=B761,D762=D761,A762=A761,F762=F761),1,0)</f>
        <v/>
      </c>
      <c r="I762">
        <f>IF(C762="C99999",1,0)</f>
        <v/>
      </c>
      <c r="J762" s="5">
        <f>IF(OR(H762=1,I762=1),0,IF(G762="Credit",-F762,F762))</f>
        <v/>
      </c>
    </row>
    <row r="763">
      <c r="A763" t="inlineStr">
        <is>
          <t>2026-07-08</t>
        </is>
      </c>
      <c r="B763" t="inlineStr">
        <is>
          <t>F285189</t>
        </is>
      </c>
      <c r="C763" t="inlineStr">
        <is>
          <t>C11320</t>
        </is>
      </c>
      <c r="D763" t="inlineStr">
        <is>
          <t>SKU-10025</t>
        </is>
      </c>
      <c r="E763" t="inlineStr">
        <is>
          <t>AM11</t>
        </is>
      </c>
      <c r="F763" s="5" t="n">
        <v>130.52</v>
      </c>
      <c r="G763">
        <f>IF(LEFT(B763,1)="C","Credit","Factuur")</f>
        <v/>
      </c>
      <c r="H763">
        <f>IF(AND(B763=B762,D763=D762,A763=A762,F763=F762),1,0)</f>
        <v/>
      </c>
      <c r="I763">
        <f>IF(C763="C99999",1,0)</f>
        <v/>
      </c>
      <c r="J763" s="5">
        <f>IF(OR(H763=1,I763=1),0,IF(G763="Credit",-F763,F763))</f>
        <v/>
      </c>
    </row>
    <row r="764">
      <c r="A764" t="inlineStr">
        <is>
          <t>2026-07-08</t>
        </is>
      </c>
      <c r="B764" t="inlineStr">
        <is>
          <t>F285189</t>
        </is>
      </c>
      <c r="C764" t="inlineStr">
        <is>
          <t>C11320</t>
        </is>
      </c>
      <c r="D764" t="inlineStr">
        <is>
          <t>SKU-10088</t>
        </is>
      </c>
      <c r="E764" t="inlineStr">
        <is>
          <t>AM11</t>
        </is>
      </c>
      <c r="F764" s="5" t="n">
        <v>123.44</v>
      </c>
      <c r="G764">
        <f>IF(LEFT(B764,1)="C","Credit","Factuur")</f>
        <v/>
      </c>
      <c r="H764">
        <f>IF(AND(B764=B763,D764=D763,A764=A763,F764=F763),1,0)</f>
        <v/>
      </c>
      <c r="I764">
        <f>IF(C764="C99999",1,0)</f>
        <v/>
      </c>
      <c r="J764" s="5">
        <f>IF(OR(H764=1,I764=1),0,IF(G764="Credit",-F764,F764))</f>
        <v/>
      </c>
    </row>
    <row r="765">
      <c r="A765" t="inlineStr">
        <is>
          <t>2026-07-08</t>
        </is>
      </c>
      <c r="B765" t="inlineStr">
        <is>
          <t>F285189</t>
        </is>
      </c>
      <c r="C765" t="inlineStr">
        <is>
          <t>C11320</t>
        </is>
      </c>
      <c r="D765" t="inlineStr">
        <is>
          <t>SKU-10213</t>
        </is>
      </c>
      <c r="E765" t="inlineStr">
        <is>
          <t>AM11</t>
        </is>
      </c>
      <c r="F765" s="5" t="n">
        <v>100.58</v>
      </c>
      <c r="G765">
        <f>IF(LEFT(B765,1)="C","Credit","Factuur")</f>
        <v/>
      </c>
      <c r="H765">
        <f>IF(AND(B765=B764,D765=D764,A765=A764,F765=F764),1,0)</f>
        <v/>
      </c>
      <c r="I765">
        <f>IF(C765="C99999",1,0)</f>
        <v/>
      </c>
      <c r="J765" s="5">
        <f>IF(OR(H765=1,I765=1),0,IF(G765="Credit",-F765,F765))</f>
        <v/>
      </c>
    </row>
    <row r="766">
      <c r="A766" t="inlineStr">
        <is>
          <t>2026-07-08</t>
        </is>
      </c>
      <c r="B766" t="inlineStr">
        <is>
          <t>F285189</t>
        </is>
      </c>
      <c r="C766" t="inlineStr">
        <is>
          <t>C11320</t>
        </is>
      </c>
      <c r="D766" t="inlineStr">
        <is>
          <t>SKU-10234</t>
        </is>
      </c>
      <c r="E766" t="inlineStr">
        <is>
          <t>AM11</t>
        </is>
      </c>
      <c r="F766" s="5" t="n">
        <v>120.84</v>
      </c>
      <c r="G766">
        <f>IF(LEFT(B766,1)="C","Credit","Factuur")</f>
        <v/>
      </c>
      <c r="H766">
        <f>IF(AND(B766=B765,D766=D765,A766=A765,F766=F765),1,0)</f>
        <v/>
      </c>
      <c r="I766">
        <f>IF(C766="C99999",1,0)</f>
        <v/>
      </c>
      <c r="J766" s="5">
        <f>IF(OR(H766=1,I766=1),0,IF(G766="Credit",-F766,F766))</f>
        <v/>
      </c>
    </row>
    <row r="767">
      <c r="A767" t="inlineStr">
        <is>
          <t>2026-07-08</t>
        </is>
      </c>
      <c r="B767" t="inlineStr">
        <is>
          <t>F285189</t>
        </is>
      </c>
      <c r="C767" t="inlineStr">
        <is>
          <t>C11320</t>
        </is>
      </c>
      <c r="D767" t="inlineStr">
        <is>
          <t>SKU-10247</t>
        </is>
      </c>
      <c r="E767" t="inlineStr">
        <is>
          <t>AM11</t>
        </is>
      </c>
      <c r="F767" s="5" t="n">
        <v>103.19</v>
      </c>
      <c r="G767">
        <f>IF(LEFT(B767,1)="C","Credit","Factuur")</f>
        <v/>
      </c>
      <c r="H767">
        <f>IF(AND(B767=B766,D767=D766,A767=A766,F767=F766),1,0)</f>
        <v/>
      </c>
      <c r="I767">
        <f>IF(C767="C99999",1,0)</f>
        <v/>
      </c>
      <c r="J767" s="5">
        <f>IF(OR(H767=1,I767=1),0,IF(G767="Credit",-F767,F767))</f>
        <v/>
      </c>
    </row>
    <row r="768">
      <c r="A768" t="inlineStr">
        <is>
          <t>2026-07-08</t>
        </is>
      </c>
      <c r="B768" t="inlineStr">
        <is>
          <t>F285189</t>
        </is>
      </c>
      <c r="C768" t="inlineStr">
        <is>
          <t>C11320</t>
        </is>
      </c>
      <c r="D768" t="inlineStr">
        <is>
          <t>SKU-10314</t>
        </is>
      </c>
      <c r="E768" t="inlineStr">
        <is>
          <t>AM11</t>
        </is>
      </c>
      <c r="F768" s="5" t="n">
        <v>111.72</v>
      </c>
      <c r="G768">
        <f>IF(LEFT(B768,1)="C","Credit","Factuur")</f>
        <v/>
      </c>
      <c r="H768">
        <f>IF(AND(B768=B767,D768=D767,A768=A767,F768=F767),1,0)</f>
        <v/>
      </c>
      <c r="I768">
        <f>IF(C768="C99999",1,0)</f>
        <v/>
      </c>
      <c r="J768" s="5">
        <f>IF(OR(H768=1,I768=1),0,IF(G768="Credit",-F768,F768))</f>
        <v/>
      </c>
    </row>
    <row r="769">
      <c r="A769" t="inlineStr">
        <is>
          <t>2026-07-08</t>
        </is>
      </c>
      <c r="B769" t="inlineStr">
        <is>
          <t>F286389</t>
        </is>
      </c>
      <c r="C769" t="inlineStr">
        <is>
          <t>C99999</t>
        </is>
      </c>
      <c r="D769" t="inlineStr">
        <is>
          <t>SKU-10187</t>
        </is>
      </c>
      <c r="E769" t="inlineStr">
        <is>
          <t>IS01</t>
        </is>
      </c>
      <c r="F769" s="5" t="n">
        <v>255.92</v>
      </c>
      <c r="G769">
        <f>IF(LEFT(B769,1)="C","Credit","Factuur")</f>
        <v/>
      </c>
      <c r="H769">
        <f>IF(AND(B769=B768,D769=D768,A769=A768,F769=F768),1,0)</f>
        <v/>
      </c>
      <c r="I769">
        <f>IF(C769="C99999",1,0)</f>
        <v/>
      </c>
      <c r="J769" s="5">
        <f>IF(OR(H769=1,I769=1),0,IF(G769="Credit",-F769,F769))</f>
        <v/>
      </c>
    </row>
    <row r="770">
      <c r="A770" t="inlineStr">
        <is>
          <t>2026-07-08</t>
        </is>
      </c>
      <c r="B770" t="inlineStr">
        <is>
          <t>F286390</t>
        </is>
      </c>
      <c r="C770" t="inlineStr">
        <is>
          <t>C99999</t>
        </is>
      </c>
      <c r="D770" t="inlineStr">
        <is>
          <t>SKU-10018</t>
        </is>
      </c>
      <c r="E770" t="inlineStr">
        <is>
          <t>IS01</t>
        </is>
      </c>
      <c r="F770" s="5" t="n">
        <v>50.93</v>
      </c>
      <c r="G770">
        <f>IF(LEFT(B770,1)="C","Credit","Factuur")</f>
        <v/>
      </c>
      <c r="H770">
        <f>IF(AND(B770=B769,D770=D769,A770=A769,F770=F769),1,0)</f>
        <v/>
      </c>
      <c r="I770">
        <f>IF(C770="C99999",1,0)</f>
        <v/>
      </c>
      <c r="J770" s="5">
        <f>IF(OR(H770=1,I770=1),0,IF(G770="Credit",-F770,F770))</f>
        <v/>
      </c>
    </row>
    <row r="771">
      <c r="A771" t="inlineStr">
        <is>
          <t>2026-07-08</t>
        </is>
      </c>
      <c r="B771" t="inlineStr">
        <is>
          <t>F286390</t>
        </is>
      </c>
      <c r="C771" t="inlineStr">
        <is>
          <t>C99999</t>
        </is>
      </c>
      <c r="D771" t="inlineStr">
        <is>
          <t>SKU-10122</t>
        </is>
      </c>
      <c r="E771" t="inlineStr">
        <is>
          <t>IS01</t>
        </is>
      </c>
      <c r="F771" s="5" t="n">
        <v>119.04</v>
      </c>
      <c r="G771">
        <f>IF(LEFT(B771,1)="C","Credit","Factuur")</f>
        <v/>
      </c>
      <c r="H771">
        <f>IF(AND(B771=B770,D771=D770,A771=A770,F771=F770),1,0)</f>
        <v/>
      </c>
      <c r="I771">
        <f>IF(C771="C99999",1,0)</f>
        <v/>
      </c>
      <c r="J771" s="5">
        <f>IF(OR(H771=1,I771=1),0,IF(G771="Credit",-F771,F771))</f>
        <v/>
      </c>
    </row>
    <row r="772">
      <c r="A772" t="inlineStr">
        <is>
          <t>2026-07-08</t>
        </is>
      </c>
      <c r="B772" t="inlineStr">
        <is>
          <t>F286390</t>
        </is>
      </c>
      <c r="C772" t="inlineStr">
        <is>
          <t>C99999</t>
        </is>
      </c>
      <c r="D772" t="inlineStr">
        <is>
          <t>SKU-10175</t>
        </is>
      </c>
      <c r="E772" t="inlineStr">
        <is>
          <t>IS01</t>
        </is>
      </c>
      <c r="F772" s="5" t="n">
        <v>50.48</v>
      </c>
      <c r="G772">
        <f>IF(LEFT(B772,1)="C","Credit","Factuur")</f>
        <v/>
      </c>
      <c r="H772">
        <f>IF(AND(B772=B771,D772=D771,A772=A771,F772=F771),1,0)</f>
        <v/>
      </c>
      <c r="I772">
        <f>IF(C772="C99999",1,0)</f>
        <v/>
      </c>
      <c r="J772" s="5">
        <f>IF(OR(H772=1,I772=1),0,IF(G772="Credit",-F772,F772))</f>
        <v/>
      </c>
    </row>
    <row r="773">
      <c r="A773" t="inlineStr">
        <is>
          <t>2026-07-08</t>
        </is>
      </c>
      <c r="B773" t="inlineStr">
        <is>
          <t>F286390</t>
        </is>
      </c>
      <c r="C773" t="inlineStr">
        <is>
          <t>C99999</t>
        </is>
      </c>
      <c r="D773" t="inlineStr">
        <is>
          <t>SKU-10195</t>
        </is>
      </c>
      <c r="E773" t="inlineStr">
        <is>
          <t>IS01</t>
        </is>
      </c>
      <c r="F773" s="5" t="n">
        <v>53.24</v>
      </c>
      <c r="G773">
        <f>IF(LEFT(B773,1)="C","Credit","Factuur")</f>
        <v/>
      </c>
      <c r="H773">
        <f>IF(AND(B773=B772,D773=D772,A773=A772,F773=F772),1,0)</f>
        <v/>
      </c>
      <c r="I773">
        <f>IF(C773="C99999",1,0)</f>
        <v/>
      </c>
      <c r="J773" s="5">
        <f>IF(OR(H773=1,I773=1),0,IF(G773="Credit",-F773,F773))</f>
        <v/>
      </c>
    </row>
    <row r="774">
      <c r="A774" t="inlineStr">
        <is>
          <t>2026-07-09</t>
        </is>
      </c>
      <c r="B774" t="inlineStr">
        <is>
          <t>C900260</t>
        </is>
      </c>
      <c r="C774" t="inlineStr">
        <is>
          <t>C11074</t>
        </is>
      </c>
      <c r="D774" t="inlineStr">
        <is>
          <t>SKU-10218</t>
        </is>
      </c>
      <c r="E774" t="inlineStr">
        <is>
          <t>AM12</t>
        </is>
      </c>
      <c r="F774" s="5" t="n">
        <v>140.6</v>
      </c>
      <c r="G774">
        <f>IF(LEFT(B774,1)="C","Credit","Factuur")</f>
        <v/>
      </c>
      <c r="H774">
        <f>IF(AND(B774=B773,D774=D773,A774=A773,F774=F773),1,0)</f>
        <v/>
      </c>
      <c r="I774">
        <f>IF(C774="C99999",1,0)</f>
        <v/>
      </c>
      <c r="J774" s="5">
        <f>IF(OR(H774=1,I774=1),0,IF(G774="Credit",-F774,F774))</f>
        <v/>
      </c>
    </row>
    <row r="775">
      <c r="A775" t="inlineStr">
        <is>
          <t>2026-07-09</t>
        </is>
      </c>
      <c r="B775" t="inlineStr">
        <is>
          <t>C900292</t>
        </is>
      </c>
      <c r="C775" t="inlineStr">
        <is>
          <t>C10228</t>
        </is>
      </c>
      <c r="D775" t="inlineStr">
        <is>
          <t>SKU-10051</t>
        </is>
      </c>
      <c r="E775" t="inlineStr">
        <is>
          <t>AM02</t>
        </is>
      </c>
      <c r="F775" s="5" t="n">
        <v>146.15</v>
      </c>
      <c r="G775">
        <f>IF(LEFT(B775,1)="C","Credit","Factuur")</f>
        <v/>
      </c>
      <c r="H775">
        <f>IF(AND(B775=B774,D775=D774,A775=A774,F775=F774),1,0)</f>
        <v/>
      </c>
      <c r="I775">
        <f>IF(C775="C99999",1,0)</f>
        <v/>
      </c>
      <c r="J775" s="5">
        <f>IF(OR(H775=1,I775=1),0,IF(G775="Credit",-F775,F775))</f>
        <v/>
      </c>
    </row>
    <row r="776">
      <c r="A776" t="inlineStr">
        <is>
          <t>2026-07-09</t>
        </is>
      </c>
      <c r="B776" t="inlineStr">
        <is>
          <t>C900989</t>
        </is>
      </c>
      <c r="C776" t="inlineStr">
        <is>
          <t>C10480</t>
        </is>
      </c>
      <c r="D776" t="inlineStr">
        <is>
          <t>SKU-10034</t>
        </is>
      </c>
      <c r="E776" t="inlineStr">
        <is>
          <t>AM07</t>
        </is>
      </c>
      <c r="F776" s="5" t="n">
        <v>278.58</v>
      </c>
      <c r="G776">
        <f>IF(LEFT(B776,1)="C","Credit","Factuur")</f>
        <v/>
      </c>
      <c r="H776">
        <f>IF(AND(B776=B775,D776=D775,A776=A775,F776=F775),1,0)</f>
        <v/>
      </c>
      <c r="I776">
        <f>IF(C776="C99999",1,0)</f>
        <v/>
      </c>
      <c r="J776" s="5">
        <f>IF(OR(H776=1,I776=1),0,IF(G776="Credit",-F776,F776))</f>
        <v/>
      </c>
    </row>
    <row r="777">
      <c r="A777" t="inlineStr">
        <is>
          <t>2026-07-09</t>
        </is>
      </c>
      <c r="B777" t="inlineStr">
        <is>
          <t>C902020</t>
        </is>
      </c>
      <c r="C777" t="inlineStr">
        <is>
          <t>C11374</t>
        </is>
      </c>
      <c r="D777" t="inlineStr">
        <is>
          <t>SKU-10279</t>
        </is>
      </c>
      <c r="E777" t="inlineStr">
        <is>
          <t>AM09</t>
        </is>
      </c>
      <c r="F777" s="5" t="n">
        <v>746.1</v>
      </c>
      <c r="G777">
        <f>IF(LEFT(B777,1)="C","Credit","Factuur")</f>
        <v/>
      </c>
      <c r="H777">
        <f>IF(AND(B777=B776,D777=D776,A777=A776,F777=F776),1,0)</f>
        <v/>
      </c>
      <c r="I777">
        <f>IF(C777="C99999",1,0)</f>
        <v/>
      </c>
      <c r="J777" s="5">
        <f>IF(OR(H777=1,I777=1),0,IF(G777="Credit",-F777,F777))</f>
        <v/>
      </c>
    </row>
    <row r="778">
      <c r="A778" t="inlineStr">
        <is>
          <t>2026-07-09</t>
        </is>
      </c>
      <c r="B778" t="inlineStr">
        <is>
          <t>F260140</t>
        </is>
      </c>
      <c r="C778" t="inlineStr">
        <is>
          <t>C10009</t>
        </is>
      </c>
      <c r="D778" t="inlineStr">
        <is>
          <t>SKU-10083</t>
        </is>
      </c>
      <c r="E778" t="inlineStr">
        <is>
          <t>AM07</t>
        </is>
      </c>
      <c r="F778" s="5" t="n">
        <v>966.24</v>
      </c>
      <c r="G778">
        <f>IF(LEFT(B778,1)="C","Credit","Factuur")</f>
        <v/>
      </c>
      <c r="H778">
        <f>IF(AND(B778=B777,D778=D777,A778=A777,F778=F777),1,0)</f>
        <v/>
      </c>
      <c r="I778">
        <f>IF(C778="C99999",1,0)</f>
        <v/>
      </c>
      <c r="J778" s="5">
        <f>IF(OR(H778=1,I778=1),0,IF(G778="Credit",-F778,F778))</f>
        <v/>
      </c>
    </row>
    <row r="779">
      <c r="A779" t="inlineStr">
        <is>
          <t>2026-07-09</t>
        </is>
      </c>
      <c r="B779" t="inlineStr">
        <is>
          <t>F260140</t>
        </is>
      </c>
      <c r="C779" t="inlineStr">
        <is>
          <t>C10009</t>
        </is>
      </c>
      <c r="D779" t="inlineStr">
        <is>
          <t>SKU-10208</t>
        </is>
      </c>
      <c r="E779" t="inlineStr">
        <is>
          <t>AM07</t>
        </is>
      </c>
      <c r="F779" s="5" t="n">
        <v>926.21</v>
      </c>
      <c r="G779">
        <f>IF(LEFT(B779,1)="C","Credit","Factuur")</f>
        <v/>
      </c>
      <c r="H779">
        <f>IF(AND(B779=B778,D779=D778,A779=A778,F779=F778),1,0)</f>
        <v/>
      </c>
      <c r="I779">
        <f>IF(C779="C99999",1,0)</f>
        <v/>
      </c>
      <c r="J779" s="5">
        <f>IF(OR(H779=1,I779=1),0,IF(G779="Credit",-F779,F779))</f>
        <v/>
      </c>
    </row>
    <row r="780">
      <c r="A780" t="inlineStr">
        <is>
          <t>2026-07-09</t>
        </is>
      </c>
      <c r="B780" t="inlineStr">
        <is>
          <t>F260140</t>
        </is>
      </c>
      <c r="C780" t="inlineStr">
        <is>
          <t>C10009</t>
        </is>
      </c>
      <c r="D780" t="inlineStr">
        <is>
          <t>SKU-10336</t>
        </is>
      </c>
      <c r="E780" t="inlineStr">
        <is>
          <t>AM07</t>
        </is>
      </c>
      <c r="F780" s="5" t="n">
        <v>914.76</v>
      </c>
      <c r="G780">
        <f>IF(LEFT(B780,1)="C","Credit","Factuur")</f>
        <v/>
      </c>
      <c r="H780">
        <f>IF(AND(B780=B779,D780=D779,A780=A779,F780=F779),1,0)</f>
        <v/>
      </c>
      <c r="I780">
        <f>IF(C780="C99999",1,0)</f>
        <v/>
      </c>
      <c r="J780" s="5">
        <f>IF(OR(H780=1,I780=1),0,IF(G780="Credit",-F780,F780))</f>
        <v/>
      </c>
    </row>
    <row r="781">
      <c r="A781" t="inlineStr">
        <is>
          <t>2026-07-09</t>
        </is>
      </c>
      <c r="B781" t="inlineStr">
        <is>
          <t>F262656</t>
        </is>
      </c>
      <c r="C781" t="inlineStr">
        <is>
          <t>C10141</t>
        </is>
      </c>
      <c r="D781" t="inlineStr">
        <is>
          <t>SKU-10069</t>
        </is>
      </c>
      <c r="E781" t="inlineStr">
        <is>
          <t>AM01</t>
        </is>
      </c>
      <c r="F781" s="5" t="n">
        <v>619.71</v>
      </c>
      <c r="G781">
        <f>IF(LEFT(B781,1)="C","Credit","Factuur")</f>
        <v/>
      </c>
      <c r="H781">
        <f>IF(AND(B781=B780,D781=D780,A781=A780,F781=F780),1,0)</f>
        <v/>
      </c>
      <c r="I781">
        <f>IF(C781="C99999",1,0)</f>
        <v/>
      </c>
      <c r="J781" s="5">
        <f>IF(OR(H781=1,I781=1),0,IF(G781="Credit",-F781,F781))</f>
        <v/>
      </c>
    </row>
    <row r="782">
      <c r="A782" t="inlineStr">
        <is>
          <t>2026-07-09</t>
        </is>
      </c>
      <c r="B782" t="inlineStr">
        <is>
          <t>F262656</t>
        </is>
      </c>
      <c r="C782" t="inlineStr">
        <is>
          <t>C10141</t>
        </is>
      </c>
      <c r="D782" t="inlineStr">
        <is>
          <t>SKU-10190</t>
        </is>
      </c>
      <c r="E782" t="inlineStr">
        <is>
          <t>AM01</t>
        </is>
      </c>
      <c r="F782" s="5" t="n">
        <v>613.48</v>
      </c>
      <c r="G782">
        <f>IF(LEFT(B782,1)="C","Credit","Factuur")</f>
        <v/>
      </c>
      <c r="H782">
        <f>IF(AND(B782=B781,D782=D781,A782=A781,F782=F781),1,0)</f>
        <v/>
      </c>
      <c r="I782">
        <f>IF(C782="C99999",1,0)</f>
        <v/>
      </c>
      <c r="J782" s="5">
        <f>IF(OR(H782=1,I782=1),0,IF(G782="Credit",-F782,F782))</f>
        <v/>
      </c>
    </row>
    <row r="783">
      <c r="A783" t="inlineStr">
        <is>
          <t>2026-07-09</t>
        </is>
      </c>
      <c r="B783" t="inlineStr">
        <is>
          <t>F262656</t>
        </is>
      </c>
      <c r="C783" t="inlineStr">
        <is>
          <t>C10141</t>
        </is>
      </c>
      <c r="D783" t="inlineStr">
        <is>
          <t>SKU-10201</t>
        </is>
      </c>
      <c r="E783" t="inlineStr">
        <is>
          <t>AM01</t>
        </is>
      </c>
      <c r="F783" s="5" t="n">
        <v>612.72</v>
      </c>
      <c r="G783">
        <f>IF(LEFT(B783,1)="C","Credit","Factuur")</f>
        <v/>
      </c>
      <c r="H783">
        <f>IF(AND(B783=B782,D783=D782,A783=A782,F783=F782),1,0)</f>
        <v/>
      </c>
      <c r="I783">
        <f>IF(C783="C99999",1,0)</f>
        <v/>
      </c>
      <c r="J783" s="5">
        <f>IF(OR(H783=1,I783=1),0,IF(G783="Credit",-F783,F783))</f>
        <v/>
      </c>
    </row>
    <row r="784">
      <c r="A784" t="inlineStr">
        <is>
          <t>2026-07-09</t>
        </is>
      </c>
      <c r="B784" t="inlineStr">
        <is>
          <t>F262656</t>
        </is>
      </c>
      <c r="C784" t="inlineStr">
        <is>
          <t>C10141</t>
        </is>
      </c>
      <c r="D784" t="inlineStr">
        <is>
          <t>SKU-10273</t>
        </is>
      </c>
      <c r="E784" t="inlineStr">
        <is>
          <t>AM01</t>
        </is>
      </c>
      <c r="F784" s="5" t="n">
        <v>610.28</v>
      </c>
      <c r="G784">
        <f>IF(LEFT(B784,1)="C","Credit","Factuur")</f>
        <v/>
      </c>
      <c r="H784">
        <f>IF(AND(B784=B783,D784=D783,A784=A783,F784=F783),1,0)</f>
        <v/>
      </c>
      <c r="I784">
        <f>IF(C784="C99999",1,0)</f>
        <v/>
      </c>
      <c r="J784" s="5">
        <f>IF(OR(H784=1,I784=1),0,IF(G784="Credit",-F784,F784))</f>
        <v/>
      </c>
    </row>
    <row r="785">
      <c r="A785" t="inlineStr">
        <is>
          <t>2026-07-09</t>
        </is>
      </c>
      <c r="B785" t="inlineStr">
        <is>
          <t>F263180</t>
        </is>
      </c>
      <c r="C785" t="inlineStr">
        <is>
          <t>C10170</t>
        </is>
      </c>
      <c r="D785" t="inlineStr">
        <is>
          <t>SKU-10025</t>
        </is>
      </c>
      <c r="E785" t="inlineStr">
        <is>
          <t>AM11</t>
        </is>
      </c>
      <c r="F785" s="5" t="n">
        <v>97.89</v>
      </c>
      <c r="G785">
        <f>IF(LEFT(B785,1)="C","Credit","Factuur")</f>
        <v/>
      </c>
      <c r="H785">
        <f>IF(AND(B785=B784,D785=D784,A785=A784,F785=F784),1,0)</f>
        <v/>
      </c>
      <c r="I785">
        <f>IF(C785="C99999",1,0)</f>
        <v/>
      </c>
      <c r="J785" s="5">
        <f>IF(OR(H785=1,I785=1),0,IF(G785="Credit",-F785,F785))</f>
        <v/>
      </c>
    </row>
    <row r="786">
      <c r="A786" t="inlineStr">
        <is>
          <t>2026-07-09</t>
        </is>
      </c>
      <c r="B786" t="inlineStr">
        <is>
          <t>F263180</t>
        </is>
      </c>
      <c r="C786" t="inlineStr">
        <is>
          <t>C10170</t>
        </is>
      </c>
      <c r="D786" t="inlineStr">
        <is>
          <t>SKU-10282</t>
        </is>
      </c>
      <c r="E786" t="inlineStr">
        <is>
          <t>AM11</t>
        </is>
      </c>
      <c r="F786" s="5" t="n">
        <v>95.48</v>
      </c>
      <c r="G786">
        <f>IF(LEFT(B786,1)="C","Credit","Factuur")</f>
        <v/>
      </c>
      <c r="H786">
        <f>IF(AND(B786=B785,D786=D785,A786=A785,F786=F785),1,0)</f>
        <v/>
      </c>
      <c r="I786">
        <f>IF(C786="C99999",1,0)</f>
        <v/>
      </c>
      <c r="J786" s="5">
        <f>IF(OR(H786=1,I786=1),0,IF(G786="Credit",-F786,F786))</f>
        <v/>
      </c>
    </row>
    <row r="787">
      <c r="A787" t="inlineStr">
        <is>
          <t>2026-07-09</t>
        </is>
      </c>
      <c r="B787" t="inlineStr">
        <is>
          <t>F263180</t>
        </is>
      </c>
      <c r="C787" t="inlineStr">
        <is>
          <t>C10170</t>
        </is>
      </c>
      <c r="D787" t="inlineStr">
        <is>
          <t>SKU-10345</t>
        </is>
      </c>
      <c r="E787" t="inlineStr">
        <is>
          <t>AM11</t>
        </is>
      </c>
      <c r="F787" s="5" t="n">
        <v>95.33</v>
      </c>
      <c r="G787">
        <f>IF(LEFT(B787,1)="C","Credit","Factuur")</f>
        <v/>
      </c>
      <c r="H787">
        <f>IF(AND(B787=B786,D787=D786,A787=A786,F787=F786),1,0)</f>
        <v/>
      </c>
      <c r="I787">
        <f>IF(C787="C99999",1,0)</f>
        <v/>
      </c>
      <c r="J787" s="5">
        <f>IF(OR(H787=1,I787=1),0,IF(G787="Credit",-F787,F787))</f>
        <v/>
      </c>
    </row>
    <row r="788">
      <c r="A788" t="inlineStr">
        <is>
          <t>2026-07-09</t>
        </is>
      </c>
      <c r="B788" t="inlineStr">
        <is>
          <t>F263863</t>
        </is>
      </c>
      <c r="C788" t="inlineStr">
        <is>
          <t>C10205</t>
        </is>
      </c>
      <c r="D788" t="inlineStr">
        <is>
          <t>SKU-10252</t>
        </is>
      </c>
      <c r="E788" t="inlineStr">
        <is>
          <t>AM12</t>
        </is>
      </c>
      <c r="F788" s="5" t="n">
        <v>222.6</v>
      </c>
      <c r="G788">
        <f>IF(LEFT(B788,1)="C","Credit","Factuur")</f>
        <v/>
      </c>
      <c r="H788">
        <f>IF(AND(B788=B787,D788=D787,A788=A787,F788=F787),1,0)</f>
        <v/>
      </c>
      <c r="I788">
        <f>IF(C788="C99999",1,0)</f>
        <v/>
      </c>
      <c r="J788" s="5">
        <f>IF(OR(H788=1,I788=1),0,IF(G788="Credit",-F788,F788))</f>
        <v/>
      </c>
    </row>
    <row r="789">
      <c r="A789" t="inlineStr">
        <is>
          <t>2026-07-09</t>
        </is>
      </c>
      <c r="B789" t="inlineStr">
        <is>
          <t>F263863</t>
        </is>
      </c>
      <c r="C789" t="inlineStr">
        <is>
          <t>C10205</t>
        </is>
      </c>
      <c r="D789" t="inlineStr">
        <is>
          <t>SKU-10295</t>
        </is>
      </c>
      <c r="E789" t="inlineStr">
        <is>
          <t>AM12</t>
        </is>
      </c>
      <c r="F789" s="5" t="n">
        <v>216.93</v>
      </c>
      <c r="G789">
        <f>IF(LEFT(B789,1)="C","Credit","Factuur")</f>
        <v/>
      </c>
      <c r="H789">
        <f>IF(AND(B789=B788,D789=D788,A789=A788,F789=F788),1,0)</f>
        <v/>
      </c>
      <c r="I789">
        <f>IF(C789="C99999",1,0)</f>
        <v/>
      </c>
      <c r="J789" s="5">
        <f>IF(OR(H789=1,I789=1),0,IF(G789="Credit",-F789,F789))</f>
        <v/>
      </c>
    </row>
    <row r="790">
      <c r="A790" t="inlineStr">
        <is>
          <t>2026-07-09</t>
        </is>
      </c>
      <c r="B790" t="inlineStr">
        <is>
          <t>F263863</t>
        </is>
      </c>
      <c r="C790" t="inlineStr">
        <is>
          <t>C10205</t>
        </is>
      </c>
      <c r="D790" t="inlineStr">
        <is>
          <t>SKU-10313</t>
        </is>
      </c>
      <c r="E790" t="inlineStr">
        <is>
          <t>AM12</t>
        </is>
      </c>
      <c r="F790" s="5" t="n">
        <v>211.28</v>
      </c>
      <c r="G790">
        <f>IF(LEFT(B790,1)="C","Credit","Factuur")</f>
        <v/>
      </c>
      <c r="H790">
        <f>IF(AND(B790=B789,D790=D789,A790=A789,F790=F789),1,0)</f>
        <v/>
      </c>
      <c r="I790">
        <f>IF(C790="C99999",1,0)</f>
        <v/>
      </c>
      <c r="J790" s="5">
        <f>IF(OR(H790=1,I790=1),0,IF(G790="Credit",-F790,F790))</f>
        <v/>
      </c>
    </row>
    <row r="791">
      <c r="A791" t="inlineStr">
        <is>
          <t>2026-07-09</t>
        </is>
      </c>
      <c r="B791" t="inlineStr">
        <is>
          <t>F263863</t>
        </is>
      </c>
      <c r="C791" t="inlineStr">
        <is>
          <t>C10205</t>
        </is>
      </c>
      <c r="D791" t="inlineStr">
        <is>
          <t>SKU-10320</t>
        </is>
      </c>
      <c r="E791" t="inlineStr">
        <is>
          <t>AM12</t>
        </is>
      </c>
      <c r="F791" s="5" t="n">
        <v>221.1</v>
      </c>
      <c r="G791">
        <f>IF(LEFT(B791,1)="C","Credit","Factuur")</f>
        <v/>
      </c>
      <c r="H791">
        <f>IF(AND(B791=B790,D791=D790,A791=A790,F791=F790),1,0)</f>
        <v/>
      </c>
      <c r="I791">
        <f>IF(C791="C99999",1,0)</f>
        <v/>
      </c>
      <c r="J791" s="5">
        <f>IF(OR(H791=1,I791=1),0,IF(G791="Credit",-F791,F791))</f>
        <v/>
      </c>
    </row>
    <row r="792">
      <c r="A792" t="inlineStr">
        <is>
          <t>2026-07-09</t>
        </is>
      </c>
      <c r="B792" t="inlineStr">
        <is>
          <t>F263863</t>
        </is>
      </c>
      <c r="C792" t="inlineStr">
        <is>
          <t>C10205</t>
        </is>
      </c>
      <c r="D792" t="inlineStr">
        <is>
          <t>SKU-10334</t>
        </is>
      </c>
      <c r="E792" t="inlineStr">
        <is>
          <t>AM12</t>
        </is>
      </c>
      <c r="F792" s="5" t="n">
        <v>206.38</v>
      </c>
      <c r="G792">
        <f>IF(LEFT(B792,1)="C","Credit","Factuur")</f>
        <v/>
      </c>
      <c r="H792">
        <f>IF(AND(B792=B791,D792=D791,A792=A791,F792=F791),1,0)</f>
        <v/>
      </c>
      <c r="I792">
        <f>IF(C792="C99999",1,0)</f>
        <v/>
      </c>
      <c r="J792" s="5">
        <f>IF(OR(H792=1,I792=1),0,IF(G792="Credit",-F792,F792))</f>
        <v/>
      </c>
    </row>
    <row r="793">
      <c r="A793" t="inlineStr">
        <is>
          <t>2026-07-09</t>
        </is>
      </c>
      <c r="B793" t="inlineStr">
        <is>
          <t>F265627</t>
        </is>
      </c>
      <c r="C793" t="inlineStr">
        <is>
          <t>C10294</t>
        </is>
      </c>
      <c r="D793" t="inlineStr">
        <is>
          <t>SKU-10254</t>
        </is>
      </c>
      <c r="E793" t="inlineStr">
        <is>
          <t>AM11</t>
        </is>
      </c>
      <c r="F793" s="5" t="n">
        <v>183</v>
      </c>
      <c r="G793">
        <f>IF(LEFT(B793,1)="C","Credit","Factuur")</f>
        <v/>
      </c>
      <c r="H793">
        <f>IF(AND(B793=B792,D793=D792,A793=A792,F793=F792),1,0)</f>
        <v/>
      </c>
      <c r="I793">
        <f>IF(C793="C99999",1,0)</f>
        <v/>
      </c>
      <c r="J793" s="5">
        <f>IF(OR(H793=1,I793=1),0,IF(G793="Credit",-F793,F793))</f>
        <v/>
      </c>
    </row>
    <row r="794">
      <c r="A794" t="inlineStr">
        <is>
          <t>2026-07-09</t>
        </is>
      </c>
      <c r="B794" t="inlineStr">
        <is>
          <t>F265630</t>
        </is>
      </c>
      <c r="C794" t="inlineStr">
        <is>
          <t>C10295</t>
        </is>
      </c>
      <c r="D794" t="inlineStr">
        <is>
          <t>SKU-10007</t>
        </is>
      </c>
      <c r="E794" t="inlineStr">
        <is>
          <t>AM08</t>
        </is>
      </c>
      <c r="F794" s="5" t="n">
        <v>1917.63</v>
      </c>
      <c r="G794">
        <f>IF(LEFT(B794,1)="C","Credit","Factuur")</f>
        <v/>
      </c>
      <c r="H794">
        <f>IF(AND(B794=B793,D794=D793,A794=A793,F794=F793),1,0)</f>
        <v/>
      </c>
      <c r="I794">
        <f>IF(C794="C99999",1,0)</f>
        <v/>
      </c>
      <c r="J794" s="5">
        <f>IF(OR(H794=1,I794=1),0,IF(G794="Credit",-F794,F794))</f>
        <v/>
      </c>
    </row>
    <row r="795">
      <c r="A795" t="inlineStr">
        <is>
          <t>2026-07-09</t>
        </is>
      </c>
      <c r="B795" t="inlineStr">
        <is>
          <t>F266092</t>
        </is>
      </c>
      <c r="C795" t="inlineStr">
        <is>
          <t>C10318</t>
        </is>
      </c>
      <c r="D795" t="inlineStr">
        <is>
          <t>SKU-10050</t>
        </is>
      </c>
      <c r="E795" t="inlineStr">
        <is>
          <t>AM08</t>
        </is>
      </c>
      <c r="F795" s="5" t="n">
        <v>748.02</v>
      </c>
      <c r="G795">
        <f>IF(LEFT(B795,1)="C","Credit","Factuur")</f>
        <v/>
      </c>
      <c r="H795">
        <f>IF(AND(B795=B794,D795=D794,A795=A794,F795=F794),1,0)</f>
        <v/>
      </c>
      <c r="I795">
        <f>IF(C795="C99999",1,0)</f>
        <v/>
      </c>
      <c r="J795" s="5">
        <f>IF(OR(H795=1,I795=1),0,IF(G795="Credit",-F795,F795))</f>
        <v/>
      </c>
    </row>
    <row r="796">
      <c r="A796" t="inlineStr">
        <is>
          <t>2026-07-09</t>
        </is>
      </c>
      <c r="B796" t="inlineStr">
        <is>
          <t>F266092</t>
        </is>
      </c>
      <c r="C796" t="inlineStr">
        <is>
          <t>C10318</t>
        </is>
      </c>
      <c r="D796" t="inlineStr">
        <is>
          <t>SKU-10173</t>
        </is>
      </c>
      <c r="E796" t="inlineStr">
        <is>
          <t>AM08</t>
        </is>
      </c>
      <c r="F796" s="5" t="n">
        <v>752.5</v>
      </c>
      <c r="G796">
        <f>IF(LEFT(B796,1)="C","Credit","Factuur")</f>
        <v/>
      </c>
      <c r="H796">
        <f>IF(AND(B796=B795,D796=D795,A796=A795,F796=F795),1,0)</f>
        <v/>
      </c>
      <c r="I796">
        <f>IF(C796="C99999",1,0)</f>
        <v/>
      </c>
      <c r="J796" s="5">
        <f>IF(OR(H796=1,I796=1),0,IF(G796="Credit",-F796,F796))</f>
        <v/>
      </c>
    </row>
    <row r="797">
      <c r="A797" t="inlineStr">
        <is>
          <t>2026-07-09</t>
        </is>
      </c>
      <c r="B797" t="inlineStr">
        <is>
          <t>F266092</t>
        </is>
      </c>
      <c r="C797" t="inlineStr">
        <is>
          <t>C10318</t>
        </is>
      </c>
      <c r="D797" t="inlineStr">
        <is>
          <t>SKU-10291</t>
        </is>
      </c>
      <c r="E797" t="inlineStr">
        <is>
          <t>AM08</t>
        </is>
      </c>
      <c r="F797" s="5" t="n">
        <v>734.73</v>
      </c>
      <c r="G797">
        <f>IF(LEFT(B797,1)="C","Credit","Factuur")</f>
        <v/>
      </c>
      <c r="H797">
        <f>IF(AND(B797=B796,D797=D796,A797=A796,F797=F796),1,0)</f>
        <v/>
      </c>
      <c r="I797">
        <f>IF(C797="C99999",1,0)</f>
        <v/>
      </c>
      <c r="J797" s="5">
        <f>IF(OR(H797=1,I797=1),0,IF(G797="Credit",-F797,F797))</f>
        <v/>
      </c>
    </row>
    <row r="798">
      <c r="A798" t="inlineStr">
        <is>
          <t>2026-07-09</t>
        </is>
      </c>
      <c r="B798" t="inlineStr">
        <is>
          <t>F266326</t>
        </is>
      </c>
      <c r="C798" t="inlineStr">
        <is>
          <t>C10333</t>
        </is>
      </c>
      <c r="D798" t="inlineStr">
        <is>
          <t>SKU-10095</t>
        </is>
      </c>
      <c r="E798" t="inlineStr">
        <is>
          <t>AM05</t>
        </is>
      </c>
      <c r="F798" s="5" t="n">
        <v>1857</v>
      </c>
      <c r="G798">
        <f>IF(LEFT(B798,1)="C","Credit","Factuur")</f>
        <v/>
      </c>
      <c r="H798">
        <f>IF(AND(B798=B797,D798=D797,A798=A797,F798=F797),1,0)</f>
        <v/>
      </c>
      <c r="I798">
        <f>IF(C798="C99999",1,0)</f>
        <v/>
      </c>
      <c r="J798" s="5">
        <f>IF(OR(H798=1,I798=1),0,IF(G798="Credit",-F798,F798))</f>
        <v/>
      </c>
    </row>
    <row r="799">
      <c r="A799" t="inlineStr">
        <is>
          <t>2026-07-09</t>
        </is>
      </c>
      <c r="B799" t="inlineStr">
        <is>
          <t>F267141</t>
        </is>
      </c>
      <c r="C799" t="inlineStr">
        <is>
          <t>C10378</t>
        </is>
      </c>
      <c r="D799" t="inlineStr">
        <is>
          <t>SKU-10169</t>
        </is>
      </c>
      <c r="E799" t="inlineStr">
        <is>
          <t>AM05</t>
        </is>
      </c>
      <c r="F799" s="5" t="n">
        <v>185.16</v>
      </c>
      <c r="G799">
        <f>IF(LEFT(B799,1)="C","Credit","Factuur")</f>
        <v/>
      </c>
      <c r="H799">
        <f>IF(AND(B799=B798,D799=D798,A799=A798,F799=F798),1,0)</f>
        <v/>
      </c>
      <c r="I799">
        <f>IF(C799="C99999",1,0)</f>
        <v/>
      </c>
      <c r="J799" s="5">
        <f>IF(OR(H799=1,I799=1),0,IF(G799="Credit",-F799,F799))</f>
        <v/>
      </c>
    </row>
    <row r="800">
      <c r="A800" t="inlineStr">
        <is>
          <t>2026-07-09</t>
        </is>
      </c>
      <c r="B800" t="inlineStr">
        <is>
          <t>F267141</t>
        </is>
      </c>
      <c r="C800" t="inlineStr">
        <is>
          <t>C10378</t>
        </is>
      </c>
      <c r="D800" t="inlineStr">
        <is>
          <t>SKU-10200</t>
        </is>
      </c>
      <c r="E800" t="inlineStr">
        <is>
          <t>AM05</t>
        </is>
      </c>
      <c r="F800" s="5" t="n">
        <v>178.5</v>
      </c>
      <c r="G800">
        <f>IF(LEFT(B800,1)="C","Credit","Factuur")</f>
        <v/>
      </c>
      <c r="H800">
        <f>IF(AND(B800=B799,D800=D799,A800=A799,F800=F799),1,0)</f>
        <v/>
      </c>
      <c r="I800">
        <f>IF(C800="C99999",1,0)</f>
        <v/>
      </c>
      <c r="J800" s="5">
        <f>IF(OR(H800=1,I800=1),0,IF(G800="Credit",-F800,F800))</f>
        <v/>
      </c>
    </row>
    <row r="801">
      <c r="A801" t="inlineStr">
        <is>
          <t>2026-07-09</t>
        </is>
      </c>
      <c r="B801" t="inlineStr">
        <is>
          <t>F267141</t>
        </is>
      </c>
      <c r="C801" t="inlineStr">
        <is>
          <t>C10378</t>
        </is>
      </c>
      <c r="D801" t="inlineStr">
        <is>
          <t>SKU-10344</t>
        </is>
      </c>
      <c r="E801" t="inlineStr">
        <is>
          <t>AM05</t>
        </is>
      </c>
      <c r="F801" s="5" t="n">
        <v>168</v>
      </c>
      <c r="G801">
        <f>IF(LEFT(B801,1)="C","Credit","Factuur")</f>
        <v/>
      </c>
      <c r="H801">
        <f>IF(AND(B801=B800,D801=D800,A801=A800,F801=F800),1,0)</f>
        <v/>
      </c>
      <c r="I801">
        <f>IF(C801="C99999",1,0)</f>
        <v/>
      </c>
      <c r="J801" s="5">
        <f>IF(OR(H801=1,I801=1),0,IF(G801="Credit",-F801,F801))</f>
        <v/>
      </c>
    </row>
    <row r="802">
      <c r="A802" t="inlineStr">
        <is>
          <t>2026-07-09</t>
        </is>
      </c>
      <c r="B802" t="inlineStr">
        <is>
          <t>F267402</t>
        </is>
      </c>
      <c r="C802" t="inlineStr">
        <is>
          <t>C10390</t>
        </is>
      </c>
      <c r="D802" t="inlineStr">
        <is>
          <t>SKU-10014</t>
        </is>
      </c>
      <c r="E802" t="inlineStr">
        <is>
          <t>AM05</t>
        </is>
      </c>
      <c r="F802" s="5" t="n">
        <v>192.64</v>
      </c>
      <c r="G802">
        <f>IF(LEFT(B802,1)="C","Credit","Factuur")</f>
        <v/>
      </c>
      <c r="H802">
        <f>IF(AND(B802=B801,D802=D801,A802=A801,F802=F801),1,0)</f>
        <v/>
      </c>
      <c r="I802">
        <f>IF(C802="C99999",1,0)</f>
        <v/>
      </c>
      <c r="J802" s="5">
        <f>IF(OR(H802=1,I802=1),0,IF(G802="Credit",-F802,F802))</f>
        <v/>
      </c>
    </row>
    <row r="803">
      <c r="A803" t="inlineStr">
        <is>
          <t>2026-07-09</t>
        </is>
      </c>
      <c r="B803" t="inlineStr">
        <is>
          <t>F267402</t>
        </is>
      </c>
      <c r="C803" t="inlineStr">
        <is>
          <t>C10390</t>
        </is>
      </c>
      <c r="D803" t="inlineStr">
        <is>
          <t>SKU-10089</t>
        </is>
      </c>
      <c r="E803" t="inlineStr">
        <is>
          <t>AM05</t>
        </is>
      </c>
      <c r="F803" s="5" t="n">
        <v>188.4</v>
      </c>
      <c r="G803">
        <f>IF(LEFT(B803,1)="C","Credit","Factuur")</f>
        <v/>
      </c>
      <c r="H803">
        <f>IF(AND(B803=B802,D803=D802,A803=A802,F803=F802),1,0)</f>
        <v/>
      </c>
      <c r="I803">
        <f>IF(C803="C99999",1,0)</f>
        <v/>
      </c>
      <c r="J803" s="5">
        <f>IF(OR(H803=1,I803=1),0,IF(G803="Credit",-F803,F803))</f>
        <v/>
      </c>
    </row>
    <row r="804">
      <c r="A804" t="inlineStr">
        <is>
          <t>2026-07-09</t>
        </is>
      </c>
      <c r="B804" t="inlineStr">
        <is>
          <t>F267402</t>
        </is>
      </c>
      <c r="C804" t="inlineStr">
        <is>
          <t>C10390</t>
        </is>
      </c>
      <c r="D804" t="inlineStr">
        <is>
          <t>SKU-10105</t>
        </is>
      </c>
      <c r="E804" t="inlineStr">
        <is>
          <t>AM05</t>
        </is>
      </c>
      <c r="F804" s="5" t="n">
        <v>164.85</v>
      </c>
      <c r="G804">
        <f>IF(LEFT(B804,1)="C","Credit","Factuur")</f>
        <v/>
      </c>
      <c r="H804">
        <f>IF(AND(B804=B803,D804=D803,A804=A803,F804=F803),1,0)</f>
        <v/>
      </c>
      <c r="I804">
        <f>IF(C804="C99999",1,0)</f>
        <v/>
      </c>
      <c r="J804" s="5">
        <f>IF(OR(H804=1,I804=1),0,IF(G804="Credit",-F804,F804))</f>
        <v/>
      </c>
    </row>
    <row r="805">
      <c r="A805" t="inlineStr">
        <is>
          <t>2026-07-09</t>
        </is>
      </c>
      <c r="B805" t="inlineStr">
        <is>
          <t>F267402</t>
        </is>
      </c>
      <c r="C805" t="inlineStr">
        <is>
          <t>C10390</t>
        </is>
      </c>
      <c r="D805" t="inlineStr">
        <is>
          <t>SKU-10292</t>
        </is>
      </c>
      <c r="E805" t="inlineStr">
        <is>
          <t>AM05</t>
        </is>
      </c>
      <c r="F805" s="5" t="n">
        <v>184.22</v>
      </c>
      <c r="G805">
        <f>IF(LEFT(B805,1)="C","Credit","Factuur")</f>
        <v/>
      </c>
      <c r="H805">
        <f>IF(AND(B805=B804,D805=D804,A805=A804,F805=F804),1,0)</f>
        <v/>
      </c>
      <c r="I805">
        <f>IF(C805="C99999",1,0)</f>
        <v/>
      </c>
      <c r="J805" s="5">
        <f>IF(OR(H805=1,I805=1),0,IF(G805="Credit",-F805,F805))</f>
        <v/>
      </c>
    </row>
    <row r="806">
      <c r="A806" t="inlineStr">
        <is>
          <t>2026-07-09</t>
        </is>
      </c>
      <c r="B806" t="inlineStr">
        <is>
          <t>F270150</t>
        </is>
      </c>
      <c r="C806" t="inlineStr">
        <is>
          <t>C10536</t>
        </is>
      </c>
      <c r="D806" t="inlineStr">
        <is>
          <t>SKU-10369</t>
        </is>
      </c>
      <c r="E806" t="inlineStr">
        <is>
          <t>AM11</t>
        </is>
      </c>
      <c r="F806" s="5" t="n">
        <v>3835.53</v>
      </c>
      <c r="G806">
        <f>IF(LEFT(B806,1)="C","Credit","Factuur")</f>
        <v/>
      </c>
      <c r="H806">
        <f>IF(AND(B806=B805,D806=D805,A806=A805,F806=F805),1,0)</f>
        <v/>
      </c>
      <c r="I806">
        <f>IF(C806="C99999",1,0)</f>
        <v/>
      </c>
      <c r="J806" s="5">
        <f>IF(OR(H806=1,I806=1),0,IF(G806="Credit",-F806,F806))</f>
        <v/>
      </c>
    </row>
    <row r="807">
      <c r="A807" t="inlineStr">
        <is>
          <t>2026-07-09</t>
        </is>
      </c>
      <c r="B807" t="inlineStr">
        <is>
          <t>F270924</t>
        </is>
      </c>
      <c r="C807" t="inlineStr">
        <is>
          <t>C10572</t>
        </is>
      </c>
      <c r="D807" t="inlineStr">
        <is>
          <t>SKU-10020</t>
        </is>
      </c>
      <c r="E807" t="inlineStr">
        <is>
          <t>AM05</t>
        </is>
      </c>
      <c r="F807" s="5" t="n">
        <v>53.04</v>
      </c>
      <c r="G807">
        <f>IF(LEFT(B807,1)="C","Credit","Factuur")</f>
        <v/>
      </c>
      <c r="H807">
        <f>IF(AND(B807=B806,D807=D806,A807=A806,F807=F806),1,0)</f>
        <v/>
      </c>
      <c r="I807">
        <f>IF(C807="C99999",1,0)</f>
        <v/>
      </c>
      <c r="J807" s="5">
        <f>IF(OR(H807=1,I807=1),0,IF(G807="Credit",-F807,F807))</f>
        <v/>
      </c>
    </row>
    <row r="808">
      <c r="A808" t="inlineStr">
        <is>
          <t>2026-07-09</t>
        </is>
      </c>
      <c r="B808" t="inlineStr">
        <is>
          <t>F270924</t>
        </is>
      </c>
      <c r="C808" t="inlineStr">
        <is>
          <t>C10572</t>
        </is>
      </c>
      <c r="D808" t="inlineStr">
        <is>
          <t>SKU-10343</t>
        </is>
      </c>
      <c r="E808" t="inlineStr">
        <is>
          <t>AM05</t>
        </is>
      </c>
      <c r="F808" s="5" t="n">
        <v>53.81</v>
      </c>
      <c r="G808">
        <f>IF(LEFT(B808,1)="C","Credit","Factuur")</f>
        <v/>
      </c>
      <c r="H808">
        <f>IF(AND(B808=B807,D808=D807,A808=A807,F808=F807),1,0)</f>
        <v/>
      </c>
      <c r="I808">
        <f>IF(C808="C99999",1,0)</f>
        <v/>
      </c>
      <c r="J808" s="5">
        <f>IF(OR(H808=1,I808=1),0,IF(G808="Credit",-F808,F808))</f>
        <v/>
      </c>
    </row>
    <row r="809">
      <c r="A809" t="inlineStr">
        <is>
          <t>2026-07-09</t>
        </is>
      </c>
      <c r="B809" t="inlineStr">
        <is>
          <t>F270924</t>
        </is>
      </c>
      <c r="C809" t="inlineStr">
        <is>
          <t>C10572</t>
        </is>
      </c>
      <c r="D809" t="inlineStr">
        <is>
          <t>SKU-10381</t>
        </is>
      </c>
      <c r="E809" t="inlineStr">
        <is>
          <t>AM05</t>
        </is>
      </c>
      <c r="F809" s="5" t="n">
        <v>488.64</v>
      </c>
      <c r="G809">
        <f>IF(LEFT(B809,1)="C","Credit","Factuur")</f>
        <v/>
      </c>
      <c r="H809">
        <f>IF(AND(B809=B808,D809=D808,A809=A808,F809=F808),1,0)</f>
        <v/>
      </c>
      <c r="I809">
        <f>IF(C809="C99999",1,0)</f>
        <v/>
      </c>
      <c r="J809" s="5">
        <f>IF(OR(H809=1,I809=1),0,IF(G809="Credit",-F809,F809))</f>
        <v/>
      </c>
    </row>
    <row r="810">
      <c r="A810" t="inlineStr">
        <is>
          <t>2026-07-09</t>
        </is>
      </c>
      <c r="B810" t="inlineStr">
        <is>
          <t>F271991</t>
        </is>
      </c>
      <c r="C810" t="inlineStr">
        <is>
          <t>C10618</t>
        </is>
      </c>
      <c r="D810" t="inlineStr">
        <is>
          <t>SKU-10006</t>
        </is>
      </c>
      <c r="E810" t="inlineStr">
        <is>
          <t>AM02</t>
        </is>
      </c>
      <c r="F810" s="5" t="n">
        <v>120.64</v>
      </c>
      <c r="G810">
        <f>IF(LEFT(B810,1)="C","Credit","Factuur")</f>
        <v/>
      </c>
      <c r="H810">
        <f>IF(AND(B810=B809,D810=D809,A810=A809,F810=F809),1,0)</f>
        <v/>
      </c>
      <c r="I810">
        <f>IF(C810="C99999",1,0)</f>
        <v/>
      </c>
      <c r="J810" s="5">
        <f>IF(OR(H810=1,I810=1),0,IF(G810="Credit",-F810,F810))</f>
        <v/>
      </c>
    </row>
    <row r="811">
      <c r="A811" t="inlineStr">
        <is>
          <t>2026-07-09</t>
        </is>
      </c>
      <c r="B811" t="inlineStr">
        <is>
          <t>F271991</t>
        </is>
      </c>
      <c r="C811" t="inlineStr">
        <is>
          <t>C10618</t>
        </is>
      </c>
      <c r="D811" t="inlineStr">
        <is>
          <t>SKU-10032</t>
        </is>
      </c>
      <c r="E811" t="inlineStr">
        <is>
          <t>AM02</t>
        </is>
      </c>
      <c r="F811" s="5" t="n">
        <v>103.83</v>
      </c>
      <c r="G811">
        <f>IF(LEFT(B811,1)="C","Credit","Factuur")</f>
        <v/>
      </c>
      <c r="H811">
        <f>IF(AND(B811=B810,D811=D810,A811=A810,F811=F810),1,0)</f>
        <v/>
      </c>
      <c r="I811">
        <f>IF(C811="C99999",1,0)</f>
        <v/>
      </c>
      <c r="J811" s="5">
        <f>IF(OR(H811=1,I811=1),0,IF(G811="Credit",-F811,F811))</f>
        <v/>
      </c>
    </row>
    <row r="812">
      <c r="A812" t="inlineStr">
        <is>
          <t>2026-07-09</t>
        </is>
      </c>
      <c r="B812" t="inlineStr">
        <is>
          <t>F271991</t>
        </is>
      </c>
      <c r="C812" t="inlineStr">
        <is>
          <t>C10618</t>
        </is>
      </c>
      <c r="D812" t="inlineStr">
        <is>
          <t>SKU-10072</t>
        </is>
      </c>
      <c r="E812" t="inlineStr">
        <is>
          <t>AM02</t>
        </is>
      </c>
      <c r="F812" s="5" t="n">
        <v>104.46</v>
      </c>
      <c r="G812">
        <f>IF(LEFT(B812,1)="C","Credit","Factuur")</f>
        <v/>
      </c>
      <c r="H812">
        <f>IF(AND(B812=B811,D812=D811,A812=A811,F812=F811),1,0)</f>
        <v/>
      </c>
      <c r="I812">
        <f>IF(C812="C99999",1,0)</f>
        <v/>
      </c>
      <c r="J812" s="5">
        <f>IF(OR(H812=1,I812=1),0,IF(G812="Credit",-F812,F812))</f>
        <v/>
      </c>
    </row>
    <row r="813">
      <c r="A813" t="inlineStr">
        <is>
          <t>2026-07-09</t>
        </is>
      </c>
      <c r="B813" t="inlineStr">
        <is>
          <t>F271991</t>
        </is>
      </c>
      <c r="C813" t="inlineStr">
        <is>
          <t>C10618</t>
        </is>
      </c>
      <c r="D813" t="inlineStr">
        <is>
          <t>SKU-10110</t>
        </is>
      </c>
      <c r="E813" t="inlineStr">
        <is>
          <t>AM02</t>
        </is>
      </c>
      <c r="F813" s="5" t="n">
        <v>123.5</v>
      </c>
      <c r="G813">
        <f>IF(LEFT(B813,1)="C","Credit","Factuur")</f>
        <v/>
      </c>
      <c r="H813">
        <f>IF(AND(B813=B812,D813=D812,A813=A812,F813=F812),1,0)</f>
        <v/>
      </c>
      <c r="I813">
        <f>IF(C813="C99999",1,0)</f>
        <v/>
      </c>
      <c r="J813" s="5">
        <f>IF(OR(H813=1,I813=1),0,IF(G813="Credit",-F813,F813))</f>
        <v/>
      </c>
    </row>
    <row r="814">
      <c r="A814" t="inlineStr">
        <is>
          <t>2026-07-09</t>
        </is>
      </c>
      <c r="B814" t="inlineStr">
        <is>
          <t>F271991</t>
        </is>
      </c>
      <c r="C814" t="inlineStr">
        <is>
          <t>C10618</t>
        </is>
      </c>
      <c r="D814" t="inlineStr">
        <is>
          <t>SKU-10303</t>
        </is>
      </c>
      <c r="E814" t="inlineStr">
        <is>
          <t>AM02</t>
        </is>
      </c>
      <c r="F814" s="5" t="n">
        <v>105.39</v>
      </c>
      <c r="G814">
        <f>IF(LEFT(B814,1)="C","Credit","Factuur")</f>
        <v/>
      </c>
      <c r="H814">
        <f>IF(AND(B814=B813,D814=D813,A814=A813,F814=F813),1,0)</f>
        <v/>
      </c>
      <c r="I814">
        <f>IF(C814="C99999",1,0)</f>
        <v/>
      </c>
      <c r="J814" s="5">
        <f>IF(OR(H814=1,I814=1),0,IF(G814="Credit",-F814,F814))</f>
        <v/>
      </c>
    </row>
    <row r="815">
      <c r="A815" t="inlineStr">
        <is>
          <t>2026-07-09</t>
        </is>
      </c>
      <c r="B815" t="inlineStr">
        <is>
          <t>F271991</t>
        </is>
      </c>
      <c r="C815" t="inlineStr">
        <is>
          <t>C10618</t>
        </is>
      </c>
      <c r="D815" t="inlineStr">
        <is>
          <t>SKU-10326</t>
        </is>
      </c>
      <c r="E815" t="inlineStr">
        <is>
          <t>AM02</t>
        </is>
      </c>
      <c r="F815" s="5" t="n">
        <v>112.57</v>
      </c>
      <c r="G815">
        <f>IF(LEFT(B815,1)="C","Credit","Factuur")</f>
        <v/>
      </c>
      <c r="H815">
        <f>IF(AND(B815=B814,D815=D814,A815=A814,F815=F814),1,0)</f>
        <v/>
      </c>
      <c r="I815">
        <f>IF(C815="C99999",1,0)</f>
        <v/>
      </c>
      <c r="J815" s="5">
        <f>IF(OR(H815=1,I815=1),0,IF(G815="Credit",-F815,F815))</f>
        <v/>
      </c>
    </row>
    <row r="816">
      <c r="A816" t="inlineStr">
        <is>
          <t>2026-07-09</t>
        </is>
      </c>
      <c r="B816" t="inlineStr">
        <is>
          <t>F272137</t>
        </is>
      </c>
      <c r="C816" t="inlineStr">
        <is>
          <t>C10628</t>
        </is>
      </c>
      <c r="D816" t="inlineStr">
        <is>
          <t>SKU-10189</t>
        </is>
      </c>
      <c r="E816" t="inlineStr">
        <is>
          <t>AM11</t>
        </is>
      </c>
      <c r="F816" s="5" t="n">
        <v>1521.1</v>
      </c>
      <c r="G816">
        <f>IF(LEFT(B816,1)="C","Credit","Factuur")</f>
        <v/>
      </c>
      <c r="H816">
        <f>IF(AND(B816=B815,D816=D815,A816=A815,F816=F815),1,0)</f>
        <v/>
      </c>
      <c r="I816">
        <f>IF(C816="C99999",1,0)</f>
        <v/>
      </c>
      <c r="J816" s="5">
        <f>IF(OR(H816=1,I816=1),0,IF(G816="Credit",-F816,F816))</f>
        <v/>
      </c>
    </row>
    <row r="817">
      <c r="A817" t="inlineStr">
        <is>
          <t>2026-07-09</t>
        </is>
      </c>
      <c r="B817" t="inlineStr">
        <is>
          <t>F274250</t>
        </is>
      </c>
      <c r="C817" t="inlineStr">
        <is>
          <t>C10753</t>
        </is>
      </c>
      <c r="D817" t="inlineStr">
        <is>
          <t>SKU-10080</t>
        </is>
      </c>
      <c r="E817" t="inlineStr">
        <is>
          <t>AM05</t>
        </is>
      </c>
      <c r="F817" s="5" t="n">
        <v>157.75</v>
      </c>
      <c r="G817">
        <f>IF(LEFT(B817,1)="C","Credit","Factuur")</f>
        <v/>
      </c>
      <c r="H817">
        <f>IF(AND(B817=B816,D817=D816,A817=A816,F817=F816),1,0)</f>
        <v/>
      </c>
      <c r="I817">
        <f>IF(C817="C99999",1,0)</f>
        <v/>
      </c>
      <c r="J817" s="5">
        <f>IF(OR(H817=1,I817=1),0,IF(G817="Credit",-F817,F817))</f>
        <v/>
      </c>
    </row>
    <row r="818">
      <c r="A818" t="inlineStr">
        <is>
          <t>2026-07-09</t>
        </is>
      </c>
      <c r="B818" t="inlineStr">
        <is>
          <t>F274250</t>
        </is>
      </c>
      <c r="C818" t="inlineStr">
        <is>
          <t>C10753</t>
        </is>
      </c>
      <c r="D818" t="inlineStr">
        <is>
          <t>SKU-10311</t>
        </is>
      </c>
      <c r="E818" t="inlineStr"/>
      <c r="F818" s="5" t="n">
        <v>161.81</v>
      </c>
      <c r="G818">
        <f>IF(LEFT(B818,1)="C","Credit","Factuur")</f>
        <v/>
      </c>
      <c r="H818">
        <f>IF(AND(B818=B817,D818=D817,A818=A817,F818=F817),1,0)</f>
        <v/>
      </c>
      <c r="I818">
        <f>IF(C818="C99999",1,0)</f>
        <v/>
      </c>
      <c r="J818" s="5">
        <f>IF(OR(H818=1,I818=1),0,IF(G818="Credit",-F818,F818))</f>
        <v/>
      </c>
    </row>
    <row r="819">
      <c r="A819" t="inlineStr">
        <is>
          <t>2026-07-09</t>
        </is>
      </c>
      <c r="B819" t="inlineStr">
        <is>
          <t>F274250</t>
        </is>
      </c>
      <c r="C819" t="inlineStr">
        <is>
          <t>C10753</t>
        </is>
      </c>
      <c r="D819" t="inlineStr">
        <is>
          <t>SKU-10335</t>
        </is>
      </c>
      <c r="E819" t="inlineStr">
        <is>
          <t>AM05</t>
        </is>
      </c>
      <c r="F819" s="5" t="n">
        <v>166.08</v>
      </c>
      <c r="G819">
        <f>IF(LEFT(B819,1)="C","Credit","Factuur")</f>
        <v/>
      </c>
      <c r="H819">
        <f>IF(AND(B819=B818,D819=D818,A819=A818,F819=F818),1,0)</f>
        <v/>
      </c>
      <c r="I819">
        <f>IF(C819="C99999",1,0)</f>
        <v/>
      </c>
      <c r="J819" s="5">
        <f>IF(OR(H819=1,I819=1),0,IF(G819="Credit",-F819,F819))</f>
        <v/>
      </c>
    </row>
    <row r="820">
      <c r="A820" t="inlineStr">
        <is>
          <t>2026-07-09</t>
        </is>
      </c>
      <c r="B820" t="inlineStr">
        <is>
          <t>F274488</t>
        </is>
      </c>
      <c r="C820" t="inlineStr">
        <is>
          <t>C10765</t>
        </is>
      </c>
      <c r="D820" t="inlineStr">
        <is>
          <t>SKU-10104</t>
        </is>
      </c>
      <c r="E820" t="inlineStr">
        <is>
          <t>AM12</t>
        </is>
      </c>
      <c r="F820" s="5" t="n">
        <v>1002.54</v>
      </c>
      <c r="G820">
        <f>IF(LEFT(B820,1)="C","Credit","Factuur")</f>
        <v/>
      </c>
      <c r="H820">
        <f>IF(AND(B820=B819,D820=D819,A820=A819,F820=F819),1,0)</f>
        <v/>
      </c>
      <c r="I820">
        <f>IF(C820="C99999",1,0)</f>
        <v/>
      </c>
      <c r="J820" s="5">
        <f>IF(OR(H820=1,I820=1),0,IF(G820="Credit",-F820,F820))</f>
        <v/>
      </c>
    </row>
    <row r="821">
      <c r="A821" t="inlineStr">
        <is>
          <t>2026-07-09</t>
        </is>
      </c>
      <c r="B821" t="inlineStr">
        <is>
          <t>F274488</t>
        </is>
      </c>
      <c r="C821" t="inlineStr">
        <is>
          <t>C10765</t>
        </is>
      </c>
      <c r="D821" t="inlineStr">
        <is>
          <t>SKU-10219</t>
        </is>
      </c>
      <c r="E821" t="inlineStr">
        <is>
          <t>AM12</t>
        </is>
      </c>
      <c r="F821" s="5" t="n">
        <v>987.16</v>
      </c>
      <c r="G821">
        <f>IF(LEFT(B821,1)="C","Credit","Factuur")</f>
        <v/>
      </c>
      <c r="H821">
        <f>IF(AND(B821=B820,D821=D820,A821=A820,F821=F820),1,0)</f>
        <v/>
      </c>
      <c r="I821">
        <f>IF(C821="C99999",1,0)</f>
        <v/>
      </c>
      <c r="J821" s="5">
        <f>IF(OR(H821=1,I821=1),0,IF(G821="Credit",-F821,F821))</f>
        <v/>
      </c>
    </row>
    <row r="822">
      <c r="A822" t="inlineStr">
        <is>
          <t>2026-07-09</t>
        </is>
      </c>
      <c r="B822" t="inlineStr">
        <is>
          <t>F278226</t>
        </is>
      </c>
      <c r="C822" t="inlineStr">
        <is>
          <t>C10968</t>
        </is>
      </c>
      <c r="D822" t="inlineStr">
        <is>
          <t>SKU-10333</t>
        </is>
      </c>
      <c r="E822" t="inlineStr">
        <is>
          <t>AM03</t>
        </is>
      </c>
      <c r="F822" s="5" t="n">
        <v>1796.85</v>
      </c>
      <c r="G822">
        <f>IF(LEFT(B822,1)="C","Credit","Factuur")</f>
        <v/>
      </c>
      <c r="H822">
        <f>IF(AND(B822=B821,D822=D821,A822=A821,F822=F821),1,0)</f>
        <v/>
      </c>
      <c r="I822">
        <f>IF(C822="C99999",1,0)</f>
        <v/>
      </c>
      <c r="J822" s="5">
        <f>IF(OR(H822=1,I822=1),0,IF(G822="Credit",-F822,F822))</f>
        <v/>
      </c>
    </row>
    <row r="823">
      <c r="A823" t="inlineStr">
        <is>
          <t>2026-07-09</t>
        </is>
      </c>
      <c r="B823" t="inlineStr">
        <is>
          <t>F278525</t>
        </is>
      </c>
      <c r="C823" t="inlineStr">
        <is>
          <t>C10983</t>
        </is>
      </c>
      <c r="D823" t="inlineStr">
        <is>
          <t>SKU-10140</t>
        </is>
      </c>
      <c r="E823" t="inlineStr">
        <is>
          <t>AM05</t>
        </is>
      </c>
      <c r="F823" s="5" t="n">
        <v>104.92</v>
      </c>
      <c r="G823">
        <f>IF(LEFT(B823,1)="C","Credit","Factuur")</f>
        <v/>
      </c>
      <c r="H823">
        <f>IF(AND(B823=B822,D823=D822,A823=A822,F823=F822),1,0)</f>
        <v/>
      </c>
      <c r="I823">
        <f>IF(C823="C99999",1,0)</f>
        <v/>
      </c>
      <c r="J823" s="5">
        <f>IF(OR(H823=1,I823=1),0,IF(G823="Credit",-F823,F823))</f>
        <v/>
      </c>
    </row>
    <row r="824">
      <c r="A824" t="inlineStr">
        <is>
          <t>2026-07-09</t>
        </is>
      </c>
      <c r="B824" t="inlineStr">
        <is>
          <t>F278525</t>
        </is>
      </c>
      <c r="C824" t="inlineStr">
        <is>
          <t>C10983</t>
        </is>
      </c>
      <c r="D824" t="inlineStr">
        <is>
          <t>SKU-10292</t>
        </is>
      </c>
      <c r="E824" t="inlineStr">
        <is>
          <t>AM05</t>
        </is>
      </c>
      <c r="F824" s="5" t="n">
        <v>121.2</v>
      </c>
      <c r="G824">
        <f>IF(LEFT(B824,1)="C","Credit","Factuur")</f>
        <v/>
      </c>
      <c r="H824">
        <f>IF(AND(B824=B823,D824=D823,A824=A823,F824=F823),1,0)</f>
        <v/>
      </c>
      <c r="I824">
        <f>IF(C824="C99999",1,0)</f>
        <v/>
      </c>
      <c r="J824" s="5">
        <f>IF(OR(H824=1,I824=1),0,IF(G824="Credit",-F824,F824))</f>
        <v/>
      </c>
    </row>
    <row r="825">
      <c r="A825" t="inlineStr">
        <is>
          <t>2026-07-09</t>
        </is>
      </c>
      <c r="B825" t="inlineStr">
        <is>
          <t>F278525</t>
        </is>
      </c>
      <c r="C825" t="inlineStr">
        <is>
          <t>C10983</t>
        </is>
      </c>
      <c r="D825" t="inlineStr">
        <is>
          <t>SKU-10315</t>
        </is>
      </c>
      <c r="E825" t="inlineStr">
        <is>
          <t>AM05</t>
        </is>
      </c>
      <c r="F825" s="5" t="n">
        <v>108.9</v>
      </c>
      <c r="G825">
        <f>IF(LEFT(B825,1)="C","Credit","Factuur")</f>
        <v/>
      </c>
      <c r="H825">
        <f>IF(AND(B825=B824,D825=D824,A825=A824,F825=F824),1,0)</f>
        <v/>
      </c>
      <c r="I825">
        <f>IF(C825="C99999",1,0)</f>
        <v/>
      </c>
      <c r="J825" s="5">
        <f>IF(OR(H825=1,I825=1),0,IF(G825="Credit",-F825,F825))</f>
        <v/>
      </c>
    </row>
    <row r="826">
      <c r="A826" t="inlineStr">
        <is>
          <t>2026-07-09</t>
        </is>
      </c>
      <c r="B826" t="inlineStr">
        <is>
          <t>F278525</t>
        </is>
      </c>
      <c r="C826" t="inlineStr">
        <is>
          <t>C10983</t>
        </is>
      </c>
      <c r="D826" t="inlineStr">
        <is>
          <t>SKU-10319</t>
        </is>
      </c>
      <c r="E826" t="inlineStr">
        <is>
          <t>AM05</t>
        </is>
      </c>
      <c r="F826" s="5" t="n">
        <v>115.76</v>
      </c>
      <c r="G826">
        <f>IF(LEFT(B826,1)="C","Credit","Factuur")</f>
        <v/>
      </c>
      <c r="H826">
        <f>IF(AND(B826=B825,D826=D825,A826=A825,F826=F825),1,0)</f>
        <v/>
      </c>
      <c r="I826">
        <f>IF(C826="C99999",1,0)</f>
        <v/>
      </c>
      <c r="J826" s="5">
        <f>IF(OR(H826=1,I826=1),0,IF(G826="Credit",-F826,F826))</f>
        <v/>
      </c>
    </row>
    <row r="827">
      <c r="A827" t="inlineStr">
        <is>
          <t>2026-07-09</t>
        </is>
      </c>
      <c r="B827" t="inlineStr">
        <is>
          <t>F279121</t>
        </is>
      </c>
      <c r="C827" t="inlineStr">
        <is>
          <t>C11012</t>
        </is>
      </c>
      <c r="D827" t="inlineStr">
        <is>
          <t>SKU-10147</t>
        </is>
      </c>
      <c r="E827" t="inlineStr">
        <is>
          <t>AM06</t>
        </is>
      </c>
      <c r="F827" s="5" t="n">
        <v>476.35</v>
      </c>
      <c r="G827">
        <f>IF(LEFT(B827,1)="C","Credit","Factuur")</f>
        <v/>
      </c>
      <c r="H827">
        <f>IF(AND(B827=B826,D827=D826,A827=A826,F827=F826),1,0)</f>
        <v/>
      </c>
      <c r="I827">
        <f>IF(C827="C99999",1,0)</f>
        <v/>
      </c>
      <c r="J827" s="5">
        <f>IF(OR(H827=1,I827=1),0,IF(G827="Credit",-F827,F827))</f>
        <v/>
      </c>
    </row>
    <row r="828">
      <c r="A828" t="inlineStr">
        <is>
          <t>2026-07-09</t>
        </is>
      </c>
      <c r="B828" t="inlineStr">
        <is>
          <t>F279121</t>
        </is>
      </c>
      <c r="C828" t="inlineStr">
        <is>
          <t>C11012</t>
        </is>
      </c>
      <c r="D828" t="inlineStr">
        <is>
          <t>SKU-10198</t>
        </is>
      </c>
      <c r="E828" t="inlineStr">
        <is>
          <t>AM06</t>
        </is>
      </c>
      <c r="F828" s="5" t="n">
        <v>467.35</v>
      </c>
      <c r="G828">
        <f>IF(LEFT(B828,1)="C","Credit","Factuur")</f>
        <v/>
      </c>
      <c r="H828">
        <f>IF(AND(B828=B827,D828=D827,A828=A827,F828=F827),1,0)</f>
        <v/>
      </c>
      <c r="I828">
        <f>IF(C828="C99999",1,0)</f>
        <v/>
      </c>
      <c r="J828" s="5">
        <f>IF(OR(H828=1,I828=1),0,IF(G828="Credit",-F828,F828))</f>
        <v/>
      </c>
    </row>
    <row r="829">
      <c r="A829" t="inlineStr">
        <is>
          <t>2026-07-09</t>
        </is>
      </c>
      <c r="B829" t="inlineStr">
        <is>
          <t>F279169</t>
        </is>
      </c>
      <c r="C829" t="inlineStr">
        <is>
          <t>C11016</t>
        </is>
      </c>
      <c r="D829" t="inlineStr">
        <is>
          <t>SKU-10012</t>
        </is>
      </c>
      <c r="E829" t="inlineStr">
        <is>
          <t>AM03</t>
        </is>
      </c>
      <c r="F829" s="5" t="n">
        <v>121.26</v>
      </c>
      <c r="G829">
        <f>IF(LEFT(B829,1)="C","Credit","Factuur")</f>
        <v/>
      </c>
      <c r="H829">
        <f>IF(AND(B829=B828,D829=D828,A829=A828,F829=F828),1,0)</f>
        <v/>
      </c>
      <c r="I829">
        <f>IF(C829="C99999",1,0)</f>
        <v/>
      </c>
      <c r="J829" s="5">
        <f>IF(OR(H829=1,I829=1),0,IF(G829="Credit",-F829,F829))</f>
        <v/>
      </c>
    </row>
    <row r="830">
      <c r="A830" t="inlineStr">
        <is>
          <t>2026-07-09</t>
        </is>
      </c>
      <c r="B830" t="inlineStr">
        <is>
          <t>F279169</t>
        </is>
      </c>
      <c r="C830" t="inlineStr">
        <is>
          <t>C11016</t>
        </is>
      </c>
      <c r="D830" t="inlineStr">
        <is>
          <t>SKU-10045</t>
        </is>
      </c>
      <c r="E830" t="inlineStr">
        <is>
          <t>AM03</t>
        </is>
      </c>
      <c r="F830" s="5" t="n">
        <v>155.64</v>
      </c>
      <c r="G830">
        <f>IF(LEFT(B830,1)="C","Credit","Factuur")</f>
        <v/>
      </c>
      <c r="H830">
        <f>IF(AND(B830=B829,D830=D829,A830=A829,F830=F829),1,0)</f>
        <v/>
      </c>
      <c r="I830">
        <f>IF(C830="C99999",1,0)</f>
        <v/>
      </c>
      <c r="J830" s="5">
        <f>IF(OR(H830=1,I830=1),0,IF(G830="Credit",-F830,F830))</f>
        <v/>
      </c>
    </row>
    <row r="831">
      <c r="A831" t="inlineStr">
        <is>
          <t>2026-07-09</t>
        </is>
      </c>
      <c r="B831" t="inlineStr">
        <is>
          <t>F279169</t>
        </is>
      </c>
      <c r="C831" t="inlineStr">
        <is>
          <t>C11016</t>
        </is>
      </c>
      <c r="D831" t="inlineStr">
        <is>
          <t>SKU-10046</t>
        </is>
      </c>
      <c r="E831" t="inlineStr">
        <is>
          <t>AM03</t>
        </is>
      </c>
      <c r="F831" s="5" t="n">
        <v>142.02</v>
      </c>
      <c r="G831">
        <f>IF(LEFT(B831,1)="C","Credit","Factuur")</f>
        <v/>
      </c>
      <c r="H831">
        <f>IF(AND(B831=B830,D831=D830,A831=A830,F831=F830),1,0)</f>
        <v/>
      </c>
      <c r="I831">
        <f>IF(C831="C99999",1,0)</f>
        <v/>
      </c>
      <c r="J831" s="5">
        <f>IF(OR(H831=1,I831=1),0,IF(G831="Credit",-F831,F831))</f>
        <v/>
      </c>
    </row>
    <row r="832">
      <c r="A832" t="inlineStr">
        <is>
          <t>2026-07-09</t>
        </is>
      </c>
      <c r="B832" t="inlineStr">
        <is>
          <t>F279169</t>
        </is>
      </c>
      <c r="C832" t="inlineStr">
        <is>
          <t>C11016</t>
        </is>
      </c>
      <c r="D832" t="inlineStr">
        <is>
          <t>SKU-10049</t>
        </is>
      </c>
      <c r="E832" t="inlineStr">
        <is>
          <t>AM03</t>
        </is>
      </c>
      <c r="F832" s="5" t="n">
        <v>159.48</v>
      </c>
      <c r="G832">
        <f>IF(LEFT(B832,1)="C","Credit","Factuur")</f>
        <v/>
      </c>
      <c r="H832">
        <f>IF(AND(B832=B831,D832=D831,A832=A831,F832=F831),1,0)</f>
        <v/>
      </c>
      <c r="I832">
        <f>IF(C832="C99999",1,0)</f>
        <v/>
      </c>
      <c r="J832" s="5">
        <f>IF(OR(H832=1,I832=1),0,IF(G832="Credit",-F832,F832))</f>
        <v/>
      </c>
    </row>
    <row r="833">
      <c r="A833" t="inlineStr">
        <is>
          <t>2026-07-09</t>
        </is>
      </c>
      <c r="B833" t="inlineStr">
        <is>
          <t>F279169</t>
        </is>
      </c>
      <c r="C833" t="inlineStr">
        <is>
          <t>C11016</t>
        </is>
      </c>
      <c r="D833" t="inlineStr">
        <is>
          <t>SKU-10140</t>
        </is>
      </c>
      <c r="E833" t="inlineStr">
        <is>
          <t>AM03</t>
        </is>
      </c>
      <c r="F833" s="5" t="n">
        <v>104.92</v>
      </c>
      <c r="G833">
        <f>IF(LEFT(B833,1)="C","Credit","Factuur")</f>
        <v/>
      </c>
      <c r="H833">
        <f>IF(AND(B833=B832,D833=D832,A833=A832,F833=F832),1,0)</f>
        <v/>
      </c>
      <c r="I833">
        <f>IF(C833="C99999",1,0)</f>
        <v/>
      </c>
      <c r="J833" s="5">
        <f>IF(OR(H833=1,I833=1),0,IF(G833="Credit",-F833,F833))</f>
        <v/>
      </c>
    </row>
    <row r="834">
      <c r="A834" t="inlineStr">
        <is>
          <t>2026-07-09</t>
        </is>
      </c>
      <c r="B834" t="inlineStr">
        <is>
          <t>F281359</t>
        </is>
      </c>
      <c r="C834" t="inlineStr">
        <is>
          <t>C11124</t>
        </is>
      </c>
      <c r="D834" t="inlineStr">
        <is>
          <t>SKU-10002</t>
        </is>
      </c>
      <c r="E834" t="inlineStr">
        <is>
          <t>AM07</t>
        </is>
      </c>
      <c r="F834" s="5" t="n">
        <v>401.59</v>
      </c>
      <c r="G834">
        <f>IF(LEFT(B834,1)="C","Credit","Factuur")</f>
        <v/>
      </c>
      <c r="H834">
        <f>IF(AND(B834=B833,D834=D833,A834=A833,F834=F833),1,0)</f>
        <v/>
      </c>
      <c r="I834">
        <f>IF(C834="C99999",1,0)</f>
        <v/>
      </c>
      <c r="J834" s="5">
        <f>IF(OR(H834=1,I834=1),0,IF(G834="Credit",-F834,F834))</f>
        <v/>
      </c>
    </row>
    <row r="835">
      <c r="A835" t="inlineStr">
        <is>
          <t>2026-07-09</t>
        </is>
      </c>
      <c r="B835" t="inlineStr">
        <is>
          <t>F281359</t>
        </is>
      </c>
      <c r="C835" t="inlineStr">
        <is>
          <t>C11124</t>
        </is>
      </c>
      <c r="D835" t="inlineStr">
        <is>
          <t>SKU-10234</t>
        </is>
      </c>
      <c r="E835" t="inlineStr">
        <is>
          <t>AM07</t>
        </is>
      </c>
      <c r="F835" s="5" t="n">
        <v>358.2</v>
      </c>
      <c r="G835">
        <f>IF(LEFT(B835,1)="C","Credit","Factuur")</f>
        <v/>
      </c>
      <c r="H835">
        <f>IF(AND(B835=B834,D835=D834,A835=A834,F835=F834),1,0)</f>
        <v/>
      </c>
      <c r="I835">
        <f>IF(C835="C99999",1,0)</f>
        <v/>
      </c>
      <c r="J835" s="5">
        <f>IF(OR(H835=1,I835=1),0,IF(G835="Credit",-F835,F835))</f>
        <v/>
      </c>
    </row>
    <row r="836">
      <c r="A836" t="inlineStr">
        <is>
          <t>2026-07-09</t>
        </is>
      </c>
      <c r="B836" t="inlineStr">
        <is>
          <t>F281521</t>
        </is>
      </c>
      <c r="C836" t="inlineStr">
        <is>
          <t>C11135</t>
        </is>
      </c>
      <c r="D836" t="inlineStr">
        <is>
          <t>SKU-10050</t>
        </is>
      </c>
      <c r="E836" t="inlineStr">
        <is>
          <t>AM05</t>
        </is>
      </c>
      <c r="F836" s="5" t="n">
        <v>160.29</v>
      </c>
      <c r="G836">
        <f>IF(LEFT(B836,1)="C","Credit","Factuur")</f>
        <v/>
      </c>
      <c r="H836">
        <f>IF(AND(B836=B835,D836=D835,A836=A835,F836=F835),1,0)</f>
        <v/>
      </c>
      <c r="I836">
        <f>IF(C836="C99999",1,0)</f>
        <v/>
      </c>
      <c r="J836" s="5">
        <f>IF(OR(H836=1,I836=1),0,IF(G836="Credit",-F836,F836))</f>
        <v/>
      </c>
    </row>
    <row r="837">
      <c r="A837" t="inlineStr">
        <is>
          <t>2026-07-09</t>
        </is>
      </c>
      <c r="B837" t="inlineStr">
        <is>
          <t>F281521</t>
        </is>
      </c>
      <c r="C837" t="inlineStr">
        <is>
          <t>C11135</t>
        </is>
      </c>
      <c r="D837" t="inlineStr">
        <is>
          <t>SKU-10083</t>
        </is>
      </c>
      <c r="E837" t="inlineStr">
        <is>
          <t>AM05</t>
        </is>
      </c>
      <c r="F837" s="5" t="n">
        <v>120.78</v>
      </c>
      <c r="G837">
        <f>IF(LEFT(B837,1)="C","Credit","Factuur")</f>
        <v/>
      </c>
      <c r="H837">
        <f>IF(AND(B837=B836,D837=D836,A837=A836,F837=F836),1,0)</f>
        <v/>
      </c>
      <c r="I837">
        <f>IF(C837="C99999",1,0)</f>
        <v/>
      </c>
      <c r="J837" s="5">
        <f>IF(OR(H837=1,I837=1),0,IF(G837="Credit",-F837,F837))</f>
        <v/>
      </c>
    </row>
    <row r="838">
      <c r="A838" t="inlineStr">
        <is>
          <t>2026-07-09</t>
        </is>
      </c>
      <c r="B838" t="inlineStr">
        <is>
          <t>F281521</t>
        </is>
      </c>
      <c r="C838" t="inlineStr">
        <is>
          <t>C11135</t>
        </is>
      </c>
      <c r="D838" t="inlineStr">
        <is>
          <t>SKU-10341</t>
        </is>
      </c>
      <c r="E838" t="inlineStr">
        <is>
          <t>AM05</t>
        </is>
      </c>
      <c r="F838" s="5" t="n">
        <v>160.96</v>
      </c>
      <c r="G838">
        <f>IF(LEFT(B838,1)="C","Credit","Factuur")</f>
        <v/>
      </c>
      <c r="H838">
        <f>IF(AND(B838=B837,D838=D837,A838=A837,F838=F837),1,0)</f>
        <v/>
      </c>
      <c r="I838">
        <f>IF(C838="C99999",1,0)</f>
        <v/>
      </c>
      <c r="J838" s="5">
        <f>IF(OR(H838=1,I838=1),0,IF(G838="Credit",-F838,F838))</f>
        <v/>
      </c>
    </row>
    <row r="839">
      <c r="A839" t="inlineStr">
        <is>
          <t>2026-07-09</t>
        </is>
      </c>
      <c r="B839" t="inlineStr">
        <is>
          <t>F282039</t>
        </is>
      </c>
      <c r="C839" t="inlineStr">
        <is>
          <t>C11158</t>
        </is>
      </c>
      <c r="D839" t="inlineStr">
        <is>
          <t>SKU-10270</t>
        </is>
      </c>
      <c r="E839" t="inlineStr">
        <is>
          <t>AM06</t>
        </is>
      </c>
      <c r="F839" s="5" t="n">
        <v>1076.05</v>
      </c>
      <c r="G839">
        <f>IF(LEFT(B839,1)="C","Credit","Factuur")</f>
        <v/>
      </c>
      <c r="H839">
        <f>IF(AND(B839=B838,D839=D838,A839=A838,F839=F838),1,0)</f>
        <v/>
      </c>
      <c r="I839">
        <f>IF(C839="C99999",1,0)</f>
        <v/>
      </c>
      <c r="J839" s="5">
        <f>IF(OR(H839=1,I839=1),0,IF(G839="Credit",-F839,F839))</f>
        <v/>
      </c>
    </row>
    <row r="840">
      <c r="A840" t="inlineStr">
        <is>
          <t>2026-07-09</t>
        </is>
      </c>
      <c r="B840" t="inlineStr">
        <is>
          <t>F283213</t>
        </is>
      </c>
      <c r="C840" t="inlineStr">
        <is>
          <t>C11221</t>
        </is>
      </c>
      <c r="D840" t="inlineStr">
        <is>
          <t>SKU-10110</t>
        </is>
      </c>
      <c r="E840" t="inlineStr">
        <is>
          <t>AM02</t>
        </is>
      </c>
      <c r="F840" s="5" t="n">
        <v>247</v>
      </c>
      <c r="G840">
        <f>IF(LEFT(B840,1)="C","Credit","Factuur")</f>
        <v/>
      </c>
      <c r="H840">
        <f>IF(AND(B840=B839,D840=D839,A840=A839,F840=F839),1,0)</f>
        <v/>
      </c>
      <c r="I840">
        <f>IF(C840="C99999",1,0)</f>
        <v/>
      </c>
      <c r="J840" s="5">
        <f>IF(OR(H840=1,I840=1),0,IF(G840="Credit",-F840,F840))</f>
        <v/>
      </c>
    </row>
    <row r="841">
      <c r="A841" t="inlineStr">
        <is>
          <t>2026-07-09</t>
        </is>
      </c>
      <c r="B841" t="inlineStr">
        <is>
          <t>F283213</t>
        </is>
      </c>
      <c r="C841" t="inlineStr">
        <is>
          <t>C11221</t>
        </is>
      </c>
      <c r="D841" t="inlineStr">
        <is>
          <t>SKU-10316</t>
        </is>
      </c>
      <c r="E841" t="inlineStr">
        <is>
          <t>AM02</t>
        </is>
      </c>
      <c r="F841" s="5" t="n">
        <v>258.21</v>
      </c>
      <c r="G841">
        <f>IF(LEFT(B841,1)="C","Credit","Factuur")</f>
        <v/>
      </c>
      <c r="H841">
        <f>IF(AND(B841=B840,D841=D840,A841=A840,F841=F840),1,0)</f>
        <v/>
      </c>
      <c r="I841">
        <f>IF(C841="C99999",1,0)</f>
        <v/>
      </c>
      <c r="J841" s="5">
        <f>IF(OR(H841=1,I841=1),0,IF(G841="Credit",-F841,F841))</f>
        <v/>
      </c>
    </row>
    <row r="842">
      <c r="A842" t="inlineStr">
        <is>
          <t>2026-07-09</t>
        </is>
      </c>
      <c r="B842" t="inlineStr">
        <is>
          <t>F283357</t>
        </is>
      </c>
      <c r="C842" t="inlineStr">
        <is>
          <t>C11227</t>
        </is>
      </c>
      <c r="D842" t="inlineStr">
        <is>
          <t>SKU-10123</t>
        </is>
      </c>
      <c r="E842" t="inlineStr">
        <is>
          <t>AM11</t>
        </is>
      </c>
      <c r="F842" s="5" t="n">
        <v>260.4</v>
      </c>
      <c r="G842">
        <f>IF(LEFT(B842,1)="C","Credit","Factuur")</f>
        <v/>
      </c>
      <c r="H842">
        <f>IF(AND(B842=B841,D842=D841,A842=A841,F842=F841),1,0)</f>
        <v/>
      </c>
      <c r="I842">
        <f>IF(C842="C99999",1,0)</f>
        <v/>
      </c>
      <c r="J842" s="5">
        <f>IF(OR(H842=1,I842=1),0,IF(G842="Credit",-F842,F842))</f>
        <v/>
      </c>
    </row>
    <row r="843">
      <c r="A843" t="inlineStr">
        <is>
          <t>2026-07-09</t>
        </is>
      </c>
      <c r="B843" t="inlineStr">
        <is>
          <t>F283729</t>
        </is>
      </c>
      <c r="C843" t="inlineStr">
        <is>
          <t>C11244</t>
        </is>
      </c>
      <c r="D843" t="inlineStr">
        <is>
          <t>SKU-10195</t>
        </is>
      </c>
      <c r="E843" t="inlineStr">
        <is>
          <t>AM01</t>
        </is>
      </c>
      <c r="F843" s="5" t="n">
        <v>1653.18</v>
      </c>
      <c r="G843">
        <f>IF(LEFT(B843,1)="C","Credit","Factuur")</f>
        <v/>
      </c>
      <c r="H843">
        <f>IF(AND(B843=B842,D843=D842,A843=A842,F843=F842),1,0)</f>
        <v/>
      </c>
      <c r="I843">
        <f>IF(C843="C99999",1,0)</f>
        <v/>
      </c>
      <c r="J843" s="5">
        <f>IF(OR(H843=1,I843=1),0,IF(G843="Credit",-F843,F843))</f>
        <v/>
      </c>
    </row>
    <row r="844">
      <c r="A844" t="inlineStr">
        <is>
          <t>2026-07-09</t>
        </is>
      </c>
      <c r="B844" t="inlineStr">
        <is>
          <t>F284308</t>
        </is>
      </c>
      <c r="C844" t="inlineStr">
        <is>
          <t>C11272</t>
        </is>
      </c>
      <c r="D844" t="inlineStr">
        <is>
          <t>SKU-10007</t>
        </is>
      </c>
      <c r="E844" t="inlineStr">
        <is>
          <t>AM07</t>
        </is>
      </c>
      <c r="F844" s="5" t="n">
        <v>53.62</v>
      </c>
      <c r="G844">
        <f>IF(LEFT(B844,1)="C","Credit","Factuur")</f>
        <v/>
      </c>
      <c r="H844">
        <f>IF(AND(B844=B843,D844=D843,A844=A843,F844=F843),1,0)</f>
        <v/>
      </c>
      <c r="I844">
        <f>IF(C844="C99999",1,0)</f>
        <v/>
      </c>
      <c r="J844" s="5">
        <f>IF(OR(H844=1,I844=1),0,IF(G844="Credit",-F844,F844))</f>
        <v/>
      </c>
    </row>
    <row r="845">
      <c r="A845" t="inlineStr">
        <is>
          <t>2026-07-09</t>
        </is>
      </c>
      <c r="B845" t="inlineStr">
        <is>
          <t>F284308</t>
        </is>
      </c>
      <c r="C845" t="inlineStr">
        <is>
          <t>C11272</t>
        </is>
      </c>
      <c r="D845" t="inlineStr">
        <is>
          <t>SKU-10176</t>
        </is>
      </c>
      <c r="E845" t="inlineStr">
        <is>
          <t>AM07</t>
        </is>
      </c>
      <c r="F845" s="5" t="n">
        <v>52.14</v>
      </c>
      <c r="G845">
        <f>IF(LEFT(B845,1)="C","Credit","Factuur")</f>
        <v/>
      </c>
      <c r="H845">
        <f>IF(AND(B845=B844,D845=D844,A845=A844,F845=F844),1,0)</f>
        <v/>
      </c>
      <c r="I845">
        <f>IF(C845="C99999",1,0)</f>
        <v/>
      </c>
      <c r="J845" s="5">
        <f>IF(OR(H845=1,I845=1),0,IF(G845="Credit",-F845,F845))</f>
        <v/>
      </c>
    </row>
    <row r="846">
      <c r="A846" t="inlineStr">
        <is>
          <t>2026-07-09</t>
        </is>
      </c>
      <c r="B846" t="inlineStr">
        <is>
          <t>F284308</t>
        </is>
      </c>
      <c r="C846" t="inlineStr">
        <is>
          <t>C11272</t>
        </is>
      </c>
      <c r="D846" t="inlineStr">
        <is>
          <t>SKU-10259</t>
        </is>
      </c>
      <c r="E846" t="inlineStr">
        <is>
          <t>AM07</t>
        </is>
      </c>
      <c r="F846" s="5" t="n">
        <v>53.52</v>
      </c>
      <c r="G846">
        <f>IF(LEFT(B846,1)="C","Credit","Factuur")</f>
        <v/>
      </c>
      <c r="H846">
        <f>IF(AND(B846=B845,D846=D845,A846=A845,F846=F845),1,0)</f>
        <v/>
      </c>
      <c r="I846">
        <f>IF(C846="C99999",1,0)</f>
        <v/>
      </c>
      <c r="J846" s="5">
        <f>IF(OR(H846=1,I846=1),0,IF(G846="Credit",-F846,F846))</f>
        <v/>
      </c>
    </row>
    <row r="847">
      <c r="A847" t="inlineStr">
        <is>
          <t>2026-07-09</t>
        </is>
      </c>
      <c r="B847" t="inlineStr">
        <is>
          <t>F284308</t>
        </is>
      </c>
      <c r="C847" t="inlineStr">
        <is>
          <t>C11272</t>
        </is>
      </c>
      <c r="D847" t="inlineStr">
        <is>
          <t>SKU-10302</t>
        </is>
      </c>
      <c r="E847" t="inlineStr">
        <is>
          <t>AM07</t>
        </is>
      </c>
      <c r="F847" s="5" t="n">
        <v>41.71</v>
      </c>
      <c r="G847">
        <f>IF(LEFT(B847,1)="C","Credit","Factuur")</f>
        <v/>
      </c>
      <c r="H847">
        <f>IF(AND(B847=B846,D847=D846,A847=A846,F847=F846),1,0)</f>
        <v/>
      </c>
      <c r="I847">
        <f>IF(C847="C99999",1,0)</f>
        <v/>
      </c>
      <c r="J847" s="5">
        <f>IF(OR(H847=1,I847=1),0,IF(G847="Credit",-F847,F847))</f>
        <v/>
      </c>
    </row>
    <row r="848">
      <c r="A848" t="inlineStr">
        <is>
          <t>2026-07-09</t>
        </is>
      </c>
      <c r="B848" t="inlineStr">
        <is>
          <t>F284308</t>
        </is>
      </c>
      <c r="C848" t="inlineStr">
        <is>
          <t>C11272</t>
        </is>
      </c>
      <c r="D848" t="inlineStr">
        <is>
          <t>SKU-10384</t>
        </is>
      </c>
      <c r="E848" t="inlineStr">
        <is>
          <t>AM07</t>
        </is>
      </c>
      <c r="F848" s="5" t="n">
        <v>178.53</v>
      </c>
      <c r="G848">
        <f>IF(LEFT(B848,1)="C","Credit","Factuur")</f>
        <v/>
      </c>
      <c r="H848">
        <f>IF(AND(B848=B847,D848=D847,A848=A847,F848=F847),1,0)</f>
        <v/>
      </c>
      <c r="I848">
        <f>IF(C848="C99999",1,0)</f>
        <v/>
      </c>
      <c r="J848" s="5">
        <f>IF(OR(H848=1,I848=1),0,IF(G848="Credit",-F848,F848))</f>
        <v/>
      </c>
    </row>
    <row r="849">
      <c r="A849" t="inlineStr">
        <is>
          <t>2026-07-09</t>
        </is>
      </c>
      <c r="B849" t="inlineStr">
        <is>
          <t>F284422</t>
        </is>
      </c>
      <c r="C849" t="inlineStr">
        <is>
          <t>C11279</t>
        </is>
      </c>
      <c r="D849" t="inlineStr">
        <is>
          <t>SKU-10367</t>
        </is>
      </c>
      <c r="E849" t="inlineStr">
        <is>
          <t>AM05</t>
        </is>
      </c>
      <c r="F849" s="5" t="n">
        <v>574.35</v>
      </c>
      <c r="G849">
        <f>IF(LEFT(B849,1)="C","Credit","Factuur")</f>
        <v/>
      </c>
      <c r="H849">
        <f>IF(AND(B849=B848,D849=D848,A849=A848,F849=F848),1,0)</f>
        <v/>
      </c>
      <c r="I849">
        <f>IF(C849="C99999",1,0)</f>
        <v/>
      </c>
      <c r="J849" s="5">
        <f>IF(OR(H849=1,I849=1),0,IF(G849="Credit",-F849,F849))</f>
        <v/>
      </c>
    </row>
    <row r="850">
      <c r="A850" t="inlineStr">
        <is>
          <t>2026-07-09</t>
        </is>
      </c>
      <c r="B850" t="inlineStr">
        <is>
          <t>F284692</t>
        </is>
      </c>
      <c r="C850" t="inlineStr">
        <is>
          <t>C11294</t>
        </is>
      </c>
      <c r="D850" t="inlineStr">
        <is>
          <t>SKU-10303</t>
        </is>
      </c>
      <c r="E850" t="inlineStr">
        <is>
          <t>AM01</t>
        </is>
      </c>
      <c r="F850" s="5" t="n">
        <v>2699.54</v>
      </c>
      <c r="G850">
        <f>IF(LEFT(B850,1)="C","Credit","Factuur")</f>
        <v/>
      </c>
      <c r="H850">
        <f>IF(AND(B850=B849,D850=D849,A850=A849,F850=F849),1,0)</f>
        <v/>
      </c>
      <c r="I850">
        <f>IF(C850="C99999",1,0)</f>
        <v/>
      </c>
      <c r="J850" s="5">
        <f>IF(OR(H850=1,I850=1),0,IF(G850="Credit",-F850,F850))</f>
        <v/>
      </c>
    </row>
    <row r="851">
      <c r="A851" t="inlineStr">
        <is>
          <t>2026-07-09</t>
        </is>
      </c>
      <c r="B851" t="inlineStr">
        <is>
          <t>F285787</t>
        </is>
      </c>
      <c r="C851" t="inlineStr">
        <is>
          <t>C11347</t>
        </is>
      </c>
      <c r="D851" t="inlineStr">
        <is>
          <t>SKU-10248</t>
        </is>
      </c>
      <c r="E851" t="inlineStr">
        <is>
          <t>AM01</t>
        </is>
      </c>
      <c r="F851" s="5" t="n">
        <v>5133.36</v>
      </c>
      <c r="G851">
        <f>IF(LEFT(B851,1)="C","Credit","Factuur")</f>
        <v/>
      </c>
      <c r="H851">
        <f>IF(AND(B851=B850,D851=D850,A851=A850,F851=F850),1,0)</f>
        <v/>
      </c>
      <c r="I851">
        <f>IF(C851="C99999",1,0)</f>
        <v/>
      </c>
      <c r="J851" s="5">
        <f>IF(OR(H851=1,I851=1),0,IF(G851="Credit",-F851,F851))</f>
        <v/>
      </c>
    </row>
    <row r="852">
      <c r="A852" t="inlineStr">
        <is>
          <t>2026-07-09</t>
        </is>
      </c>
      <c r="B852" t="inlineStr">
        <is>
          <t>F285791</t>
        </is>
      </c>
      <c r="C852" t="inlineStr">
        <is>
          <t>C11348</t>
        </is>
      </c>
      <c r="D852" t="inlineStr">
        <is>
          <t>SKU-10115</t>
        </is>
      </c>
      <c r="E852" t="inlineStr">
        <is>
          <t>AM08</t>
        </is>
      </c>
      <c r="F852" s="5" t="n">
        <v>393.52</v>
      </c>
      <c r="G852">
        <f>IF(LEFT(B852,1)="C","Credit","Factuur")</f>
        <v/>
      </c>
      <c r="H852">
        <f>IF(AND(B852=B851,D852=D851,A852=A851,F852=F851),1,0)</f>
        <v/>
      </c>
      <c r="I852">
        <f>IF(C852="C99999",1,0)</f>
        <v/>
      </c>
      <c r="J852" s="5">
        <f>IF(OR(H852=1,I852=1),0,IF(G852="Credit",-F852,F852))</f>
        <v/>
      </c>
    </row>
    <row r="853">
      <c r="A853" t="inlineStr">
        <is>
          <t>2026-07-09</t>
        </is>
      </c>
      <c r="B853" t="inlineStr">
        <is>
          <t>F285791</t>
        </is>
      </c>
      <c r="C853" t="inlineStr">
        <is>
          <t>C11348</t>
        </is>
      </c>
      <c r="D853" t="inlineStr">
        <is>
          <t>SKU-10116</t>
        </is>
      </c>
      <c r="E853" t="inlineStr">
        <is>
          <t>AM08</t>
        </is>
      </c>
      <c r="F853" s="5" t="n">
        <v>371.07</v>
      </c>
      <c r="G853">
        <f>IF(LEFT(B853,1)="C","Credit","Factuur")</f>
        <v/>
      </c>
      <c r="H853">
        <f>IF(AND(B853=B852,D853=D852,A853=A852,F853=F852),1,0)</f>
        <v/>
      </c>
      <c r="I853">
        <f>IF(C853="C99999",1,0)</f>
        <v/>
      </c>
      <c r="J853" s="5">
        <f>IF(OR(H853=1,I853=1),0,IF(G853="Credit",-F853,F853))</f>
        <v/>
      </c>
    </row>
    <row r="854">
      <c r="A854" t="inlineStr">
        <is>
          <t>2026-07-09</t>
        </is>
      </c>
      <c r="B854" t="inlineStr">
        <is>
          <t>F285791</t>
        </is>
      </c>
      <c r="C854" t="inlineStr">
        <is>
          <t>C11348</t>
        </is>
      </c>
      <c r="D854" t="inlineStr">
        <is>
          <t>SKU-10136</t>
        </is>
      </c>
      <c r="E854" t="inlineStr">
        <is>
          <t>AM08</t>
        </is>
      </c>
      <c r="F854" s="5" t="n">
        <v>371.41</v>
      </c>
      <c r="G854">
        <f>IF(LEFT(B854,1)="C","Credit","Factuur")</f>
        <v/>
      </c>
      <c r="H854">
        <f>IF(AND(B854=B853,D854=D853,A854=A853,F854=F853),1,0)</f>
        <v/>
      </c>
      <c r="I854">
        <f>IF(C854="C99999",1,0)</f>
        <v/>
      </c>
      <c r="J854" s="5">
        <f>IF(OR(H854=1,I854=1),0,IF(G854="Credit",-F854,F854))</f>
        <v/>
      </c>
    </row>
    <row r="855">
      <c r="A855" t="inlineStr">
        <is>
          <t>2026-07-10</t>
        </is>
      </c>
      <c r="B855" t="inlineStr">
        <is>
          <t>C900364</t>
        </is>
      </c>
      <c r="C855" t="inlineStr">
        <is>
          <t>C11329</t>
        </is>
      </c>
      <c r="D855" t="inlineStr">
        <is>
          <t>SKU-10054</t>
        </is>
      </c>
      <c r="E855" t="inlineStr">
        <is>
          <t>AM01</t>
        </is>
      </c>
      <c r="F855" s="5" t="n">
        <v>57.36</v>
      </c>
      <c r="G855">
        <f>IF(LEFT(B855,1)="C","Credit","Factuur")</f>
        <v/>
      </c>
      <c r="H855">
        <f>IF(AND(B855=B854,D855=D854,A855=A854,F855=F854),1,0)</f>
        <v/>
      </c>
      <c r="I855">
        <f>IF(C855="C99999",1,0)</f>
        <v/>
      </c>
      <c r="J855" s="5">
        <f>IF(OR(H855=1,I855=1),0,IF(G855="Credit",-F855,F855))</f>
        <v/>
      </c>
    </row>
    <row r="856">
      <c r="A856" t="inlineStr">
        <is>
          <t>2026-07-10</t>
        </is>
      </c>
      <c r="B856" t="inlineStr">
        <is>
          <t>C901127</t>
        </is>
      </c>
      <c r="C856" t="inlineStr">
        <is>
          <t>C11376</t>
        </is>
      </c>
      <c r="D856" t="inlineStr">
        <is>
          <t>SKU-10169</t>
        </is>
      </c>
      <c r="E856" t="inlineStr">
        <is>
          <t>AM09</t>
        </is>
      </c>
      <c r="F856" s="5" t="n">
        <v>61.72</v>
      </c>
      <c r="G856">
        <f>IF(LEFT(B856,1)="C","Credit","Factuur")</f>
        <v/>
      </c>
      <c r="H856">
        <f>IF(AND(B856=B855,D856=D855,A856=A855,F856=F855),1,0)</f>
        <v/>
      </c>
      <c r="I856">
        <f>IF(C856="C99999",1,0)</f>
        <v/>
      </c>
      <c r="J856" s="5">
        <f>IF(OR(H856=1,I856=1),0,IF(G856="Credit",-F856,F856))</f>
        <v/>
      </c>
    </row>
    <row r="857">
      <c r="A857" t="inlineStr">
        <is>
          <t>2026-07-10</t>
        </is>
      </c>
      <c r="B857" t="inlineStr">
        <is>
          <t>F260051</t>
        </is>
      </c>
      <c r="C857" t="inlineStr">
        <is>
          <t>C10004</t>
        </is>
      </c>
      <c r="D857" t="inlineStr">
        <is>
          <t>SKU-10034</t>
        </is>
      </c>
      <c r="E857" t="inlineStr">
        <is>
          <t>AM08</t>
        </is>
      </c>
      <c r="F857" s="5" t="n">
        <v>278.58</v>
      </c>
      <c r="G857">
        <f>IF(LEFT(B857,1)="C","Credit","Factuur")</f>
        <v/>
      </c>
      <c r="H857">
        <f>IF(AND(B857=B856,D857=D856,A857=A856,F857=F856),1,0)</f>
        <v/>
      </c>
      <c r="I857">
        <f>IF(C857="C99999",1,0)</f>
        <v/>
      </c>
      <c r="J857" s="5">
        <f>IF(OR(H857=1,I857=1),0,IF(G857="Credit",-F857,F857))</f>
        <v/>
      </c>
    </row>
    <row r="858">
      <c r="A858" t="inlineStr">
        <is>
          <t>2026-07-10</t>
        </is>
      </c>
      <c r="B858" t="inlineStr">
        <is>
          <t>F260051</t>
        </is>
      </c>
      <c r="C858" t="inlineStr">
        <is>
          <t>C10004</t>
        </is>
      </c>
      <c r="D858" t="inlineStr">
        <is>
          <t>SKU-10324</t>
        </is>
      </c>
      <c r="E858" t="inlineStr">
        <is>
          <t>AM08</t>
        </is>
      </c>
      <c r="F858" s="5" t="n">
        <v>248.48</v>
      </c>
      <c r="G858">
        <f>IF(LEFT(B858,1)="C","Credit","Factuur")</f>
        <v/>
      </c>
      <c r="H858">
        <f>IF(AND(B858=B857,D858=D857,A858=A857,F858=F857),1,0)</f>
        <v/>
      </c>
      <c r="I858">
        <f>IF(C858="C99999",1,0)</f>
        <v/>
      </c>
      <c r="J858" s="5">
        <f>IF(OR(H858=1,I858=1),0,IF(G858="Credit",-F858,F858))</f>
        <v/>
      </c>
    </row>
    <row r="859">
      <c r="A859" t="inlineStr">
        <is>
          <t>2026-07-10</t>
        </is>
      </c>
      <c r="B859" t="inlineStr">
        <is>
          <t>F260433</t>
        </is>
      </c>
      <c r="C859" t="inlineStr">
        <is>
          <t>C10023</t>
        </is>
      </c>
      <c r="D859" t="inlineStr">
        <is>
          <t>SKU-10138</t>
        </is>
      </c>
      <c r="E859" t="inlineStr">
        <is>
          <t>AM03</t>
        </is>
      </c>
      <c r="F859" s="5" t="n">
        <v>305.88</v>
      </c>
      <c r="G859">
        <f>IF(LEFT(B859,1)="C","Credit","Factuur")</f>
        <v/>
      </c>
      <c r="H859">
        <f>IF(AND(B859=B858,D859=D858,A859=A858,F859=F858),1,0)</f>
        <v/>
      </c>
      <c r="I859">
        <f>IF(C859="C99999",1,0)</f>
        <v/>
      </c>
      <c r="J859" s="5">
        <f>IF(OR(H859=1,I859=1),0,IF(G859="Credit",-F859,F859))</f>
        <v/>
      </c>
    </row>
    <row r="860">
      <c r="A860" t="inlineStr">
        <is>
          <t>2026-07-10</t>
        </is>
      </c>
      <c r="B860" t="inlineStr">
        <is>
          <t>F260433</t>
        </is>
      </c>
      <c r="C860" t="inlineStr">
        <is>
          <t>C10023</t>
        </is>
      </c>
      <c r="D860" t="inlineStr">
        <is>
          <t>SKU-10304</t>
        </is>
      </c>
      <c r="E860" t="inlineStr">
        <is>
          <t>AM03</t>
        </is>
      </c>
      <c r="F860" s="5" t="n">
        <v>259.76</v>
      </c>
      <c r="G860">
        <f>IF(LEFT(B860,1)="C","Credit","Factuur")</f>
        <v/>
      </c>
      <c r="H860">
        <f>IF(AND(B860=B859,D860=D859,A860=A859,F860=F859),1,0)</f>
        <v/>
      </c>
      <c r="I860">
        <f>IF(C860="C99999",1,0)</f>
        <v/>
      </c>
      <c r="J860" s="5">
        <f>IF(OR(H860=1,I860=1),0,IF(G860="Credit",-F860,F860))</f>
        <v/>
      </c>
    </row>
    <row r="861">
      <c r="A861" t="inlineStr">
        <is>
          <t>2026-07-10</t>
        </is>
      </c>
      <c r="B861" t="inlineStr">
        <is>
          <t>F260433</t>
        </is>
      </c>
      <c r="C861" t="inlineStr">
        <is>
          <t>C10023</t>
        </is>
      </c>
      <c r="D861" t="inlineStr">
        <is>
          <t>SKU-10329</t>
        </is>
      </c>
      <c r="E861" t="inlineStr">
        <is>
          <t>AM03</t>
        </is>
      </c>
      <c r="F861" s="5" t="n">
        <v>257.74</v>
      </c>
      <c r="G861">
        <f>IF(LEFT(B861,1)="C","Credit","Factuur")</f>
        <v/>
      </c>
      <c r="H861">
        <f>IF(AND(B861=B860,D861=D860,A861=A860,F861=F860),1,0)</f>
        <v/>
      </c>
      <c r="I861">
        <f>IF(C861="C99999",1,0)</f>
        <v/>
      </c>
      <c r="J861" s="5">
        <f>IF(OR(H861=1,I861=1),0,IF(G861="Credit",-F861,F861))</f>
        <v/>
      </c>
    </row>
    <row r="862">
      <c r="A862" t="inlineStr">
        <is>
          <t>2026-07-10</t>
        </is>
      </c>
      <c r="B862" t="inlineStr">
        <is>
          <t>F260970</t>
        </is>
      </c>
      <c r="C862" t="inlineStr">
        <is>
          <t>C10055</t>
        </is>
      </c>
      <c r="D862" t="inlineStr">
        <is>
          <t>SKU-10373</t>
        </is>
      </c>
      <c r="E862" t="inlineStr">
        <is>
          <t>AM01</t>
        </is>
      </c>
      <c r="F862" s="5" t="n">
        <v>680.36</v>
      </c>
      <c r="G862">
        <f>IF(LEFT(B862,1)="C","Credit","Factuur")</f>
        <v/>
      </c>
      <c r="H862">
        <f>IF(AND(B862=B861,D862=D861,A862=A861,F862=F861),1,0)</f>
        <v/>
      </c>
      <c r="I862">
        <f>IF(C862="C99999",1,0)</f>
        <v/>
      </c>
      <c r="J862" s="5">
        <f>IF(OR(H862=1,I862=1),0,IF(G862="Credit",-F862,F862))</f>
        <v/>
      </c>
    </row>
    <row r="863">
      <c r="A863" t="inlineStr">
        <is>
          <t>2026-07-10</t>
        </is>
      </c>
      <c r="B863" t="inlineStr">
        <is>
          <t>F261260</t>
        </is>
      </c>
      <c r="C863" t="inlineStr">
        <is>
          <t>C10070</t>
        </is>
      </c>
      <c r="D863" t="inlineStr">
        <is>
          <t>SKU-10005</t>
        </is>
      </c>
      <c r="E863" t="inlineStr">
        <is>
          <t>AM11</t>
        </is>
      </c>
      <c r="F863" s="5" t="n">
        <v>57.96</v>
      </c>
      <c r="G863">
        <f>IF(LEFT(B863,1)="C","Credit","Factuur")</f>
        <v/>
      </c>
      <c r="H863">
        <f>IF(AND(B863=B862,D863=D862,A863=A862,F863=F862),1,0)</f>
        <v/>
      </c>
      <c r="I863">
        <f>IF(C863="C99999",1,0)</f>
        <v/>
      </c>
      <c r="J863" s="5">
        <f>IF(OR(H863=1,I863=1),0,IF(G863="Credit",-F863,F863))</f>
        <v/>
      </c>
    </row>
    <row r="864">
      <c r="A864" t="inlineStr">
        <is>
          <t>2026-07-10</t>
        </is>
      </c>
      <c r="B864" t="inlineStr">
        <is>
          <t>F261260</t>
        </is>
      </c>
      <c r="C864" t="inlineStr">
        <is>
          <t>C10070</t>
        </is>
      </c>
      <c r="D864" t="inlineStr">
        <is>
          <t>SKU-10050</t>
        </is>
      </c>
      <c r="E864" t="inlineStr">
        <is>
          <t>AM11</t>
        </is>
      </c>
      <c r="F864" s="5" t="n">
        <v>53.43</v>
      </c>
      <c r="G864">
        <f>IF(LEFT(B864,1)="C","Credit","Factuur")</f>
        <v/>
      </c>
      <c r="H864">
        <f>IF(AND(B864=B863,D864=D863,A864=A863,F864=F863),1,0)</f>
        <v/>
      </c>
      <c r="I864">
        <f>IF(C864="C99999",1,0)</f>
        <v/>
      </c>
      <c r="J864" s="5">
        <f>IF(OR(H864=1,I864=1),0,IF(G864="Credit",-F864,F864))</f>
        <v/>
      </c>
    </row>
    <row r="865">
      <c r="A865" t="inlineStr">
        <is>
          <t>2026-07-10</t>
        </is>
      </c>
      <c r="B865" t="inlineStr">
        <is>
          <t>F261260</t>
        </is>
      </c>
      <c r="C865" t="inlineStr">
        <is>
          <t>C10070</t>
        </is>
      </c>
      <c r="D865" t="inlineStr">
        <is>
          <t>SKU-10076</t>
        </is>
      </c>
      <c r="E865" t="inlineStr">
        <is>
          <t>AM11</t>
        </is>
      </c>
      <c r="F865" s="5" t="n">
        <v>54.66</v>
      </c>
      <c r="G865">
        <f>IF(LEFT(B865,1)="C","Credit","Factuur")</f>
        <v/>
      </c>
      <c r="H865">
        <f>IF(AND(B865=B864,D865=D864,A865=A864,F865=F864),1,0)</f>
        <v/>
      </c>
      <c r="I865">
        <f>IF(C865="C99999",1,0)</f>
        <v/>
      </c>
      <c r="J865" s="5">
        <f>IF(OR(H865=1,I865=1),0,IF(G865="Credit",-F865,F865))</f>
        <v/>
      </c>
    </row>
    <row r="866">
      <c r="A866" t="inlineStr">
        <is>
          <t>2026-07-10</t>
        </is>
      </c>
      <c r="B866" t="inlineStr">
        <is>
          <t>F261260</t>
        </is>
      </c>
      <c r="C866" t="inlineStr">
        <is>
          <t>C10070</t>
        </is>
      </c>
      <c r="D866" t="inlineStr">
        <is>
          <t>SKU-10153</t>
        </is>
      </c>
      <c r="E866" t="inlineStr">
        <is>
          <t>AM11</t>
        </is>
      </c>
      <c r="F866" s="5" t="n">
        <v>67.44</v>
      </c>
      <c r="G866">
        <f>IF(LEFT(B866,1)="C","Credit","Factuur")</f>
        <v/>
      </c>
      <c r="H866">
        <f>IF(AND(B866=B865,D866=D865,A866=A865,F866=F865),1,0)</f>
        <v/>
      </c>
      <c r="I866">
        <f>IF(C866="C99999",1,0)</f>
        <v/>
      </c>
      <c r="J866" s="5">
        <f>IF(OR(H866=1,I866=1),0,IF(G866="Credit",-F866,F866))</f>
        <v/>
      </c>
    </row>
    <row r="867">
      <c r="A867" t="inlineStr">
        <is>
          <t>2026-07-10</t>
        </is>
      </c>
      <c r="B867" t="inlineStr">
        <is>
          <t>F261260</t>
        </is>
      </c>
      <c r="C867" t="inlineStr">
        <is>
          <t>C10070</t>
        </is>
      </c>
      <c r="D867" t="inlineStr">
        <is>
          <t>SKU-10217</t>
        </is>
      </c>
      <c r="E867" t="inlineStr">
        <is>
          <t>AM11</t>
        </is>
      </c>
      <c r="F867" s="5" t="n">
        <v>57.06</v>
      </c>
      <c r="G867">
        <f>IF(LEFT(B867,1)="C","Credit","Factuur")</f>
        <v/>
      </c>
      <c r="H867">
        <f>IF(AND(B867=B866,D867=D866,A867=A866,F867=F866),1,0)</f>
        <v/>
      </c>
      <c r="I867">
        <f>IF(C867="C99999",1,0)</f>
        <v/>
      </c>
      <c r="J867" s="5">
        <f>IF(OR(H867=1,I867=1),0,IF(G867="Credit",-F867,F867))</f>
        <v/>
      </c>
    </row>
    <row r="868">
      <c r="A868" t="inlineStr">
        <is>
          <t>2026-07-10</t>
        </is>
      </c>
      <c r="B868" t="inlineStr">
        <is>
          <t>F261649</t>
        </is>
      </c>
      <c r="C868" t="inlineStr">
        <is>
          <t>C10087</t>
        </is>
      </c>
      <c r="D868" t="inlineStr">
        <is>
          <t>SKU-10035</t>
        </is>
      </c>
      <c r="E868" t="inlineStr">
        <is>
          <t>AM11</t>
        </is>
      </c>
      <c r="F868" s="5" t="n">
        <v>109.95</v>
      </c>
      <c r="G868">
        <f>IF(LEFT(B868,1)="C","Credit","Factuur")</f>
        <v/>
      </c>
      <c r="H868">
        <f>IF(AND(B868=B867,D868=D867,A868=A867,F868=F867),1,0)</f>
        <v/>
      </c>
      <c r="I868">
        <f>IF(C868="C99999",1,0)</f>
        <v/>
      </c>
      <c r="J868" s="5">
        <f>IF(OR(H868=1,I868=1),0,IF(G868="Credit",-F868,F868))</f>
        <v/>
      </c>
    </row>
    <row r="869">
      <c r="A869" t="inlineStr">
        <is>
          <t>2026-07-10</t>
        </is>
      </c>
      <c r="B869" t="inlineStr">
        <is>
          <t>F261649</t>
        </is>
      </c>
      <c r="C869" t="inlineStr">
        <is>
          <t>C10087</t>
        </is>
      </c>
      <c r="D869" t="inlineStr">
        <is>
          <t>SKU-10056</t>
        </is>
      </c>
      <c r="E869" t="inlineStr">
        <is>
          <t>AM11</t>
        </is>
      </c>
      <c r="F869" s="5" t="n">
        <v>128</v>
      </c>
      <c r="G869">
        <f>IF(LEFT(B869,1)="C","Credit","Factuur")</f>
        <v/>
      </c>
      <c r="H869">
        <f>IF(AND(B869=B868,D869=D868,A869=A868,F869=F868),1,0)</f>
        <v/>
      </c>
      <c r="I869">
        <f>IF(C869="C99999",1,0)</f>
        <v/>
      </c>
      <c r="J869" s="5">
        <f>IF(OR(H869=1,I869=1),0,IF(G869="Credit",-F869,F869))</f>
        <v/>
      </c>
    </row>
    <row r="870">
      <c r="A870" t="inlineStr">
        <is>
          <t>2026-07-10</t>
        </is>
      </c>
      <c r="B870" t="inlineStr">
        <is>
          <t>F261649</t>
        </is>
      </c>
      <c r="C870" t="inlineStr">
        <is>
          <t>C10087</t>
        </is>
      </c>
      <c r="D870" t="inlineStr">
        <is>
          <t>SKU-10155</t>
        </is>
      </c>
      <c r="E870" t="inlineStr">
        <is>
          <t>AM11</t>
        </is>
      </c>
      <c r="F870" s="5" t="n">
        <v>122.36</v>
      </c>
      <c r="G870">
        <f>IF(LEFT(B870,1)="C","Credit","Factuur")</f>
        <v/>
      </c>
      <c r="H870">
        <f>IF(AND(B870=B869,D870=D869,A870=A869,F870=F869),1,0)</f>
        <v/>
      </c>
      <c r="I870">
        <f>IF(C870="C99999",1,0)</f>
        <v/>
      </c>
      <c r="J870" s="5">
        <f>IF(OR(H870=1,I870=1),0,IF(G870="Credit",-F870,F870))</f>
        <v/>
      </c>
    </row>
    <row r="871">
      <c r="A871" t="inlineStr">
        <is>
          <t>2026-07-10</t>
        </is>
      </c>
      <c r="B871" t="inlineStr">
        <is>
          <t>F261649</t>
        </is>
      </c>
      <c r="C871" t="inlineStr">
        <is>
          <t>C10087</t>
        </is>
      </c>
      <c r="D871" t="inlineStr">
        <is>
          <t>SKU-10324</t>
        </is>
      </c>
      <c r="E871" t="inlineStr">
        <is>
          <t>AM11</t>
        </is>
      </c>
      <c r="F871" s="5" t="n">
        <v>123.8</v>
      </c>
      <c r="G871">
        <f>IF(LEFT(B871,1)="C","Credit","Factuur")</f>
        <v/>
      </c>
      <c r="H871">
        <f>IF(AND(B871=B870,D871=D870,A871=A870,F871=F870),1,0)</f>
        <v/>
      </c>
      <c r="I871">
        <f>IF(C871="C99999",1,0)</f>
        <v/>
      </c>
      <c r="J871" s="5">
        <f>IF(OR(H871=1,I871=1),0,IF(G871="Credit",-F871,F871))</f>
        <v/>
      </c>
    </row>
    <row r="872">
      <c r="A872" t="inlineStr">
        <is>
          <t>2026-07-10</t>
        </is>
      </c>
      <c r="B872" t="inlineStr">
        <is>
          <t>F261649</t>
        </is>
      </c>
      <c r="C872" t="inlineStr">
        <is>
          <t>C10087</t>
        </is>
      </c>
      <c r="D872" t="inlineStr">
        <is>
          <t>SKU-10328</t>
        </is>
      </c>
      <c r="E872" t="inlineStr">
        <is>
          <t>AM11</t>
        </is>
      </c>
      <c r="F872" s="5" t="n">
        <v>124.96</v>
      </c>
      <c r="G872">
        <f>IF(LEFT(B872,1)="C","Credit","Factuur")</f>
        <v/>
      </c>
      <c r="H872">
        <f>IF(AND(B872=B871,D872=D871,A872=A871,F872=F871),1,0)</f>
        <v/>
      </c>
      <c r="I872">
        <f>IF(C872="C99999",1,0)</f>
        <v/>
      </c>
      <c r="J872" s="5">
        <f>IF(OR(H872=1,I872=1),0,IF(G872="Credit",-F872,F872))</f>
        <v/>
      </c>
    </row>
    <row r="873">
      <c r="A873" t="inlineStr">
        <is>
          <t>2026-07-10</t>
        </is>
      </c>
      <c r="B873" t="inlineStr">
        <is>
          <t>F262163</t>
        </is>
      </c>
      <c r="C873" t="inlineStr">
        <is>
          <t>C10113</t>
        </is>
      </c>
      <c r="D873" t="inlineStr">
        <is>
          <t>SKU-10251</t>
        </is>
      </c>
      <c r="E873" t="inlineStr">
        <is>
          <t>AM12</t>
        </is>
      </c>
      <c r="F873" s="5" t="n">
        <v>1029.7</v>
      </c>
      <c r="G873">
        <f>IF(LEFT(B873,1)="C","Credit","Factuur")</f>
        <v/>
      </c>
      <c r="H873">
        <f>IF(AND(B873=B872,D873=D872,A873=A872,F873=F872),1,0)</f>
        <v/>
      </c>
      <c r="I873">
        <f>IF(C873="C99999",1,0)</f>
        <v/>
      </c>
      <c r="J873" s="5">
        <f>IF(OR(H873=1,I873=1),0,IF(G873="Credit",-F873,F873))</f>
        <v/>
      </c>
    </row>
    <row r="874">
      <c r="A874" t="inlineStr">
        <is>
          <t>2026-07-10</t>
        </is>
      </c>
      <c r="B874" t="inlineStr">
        <is>
          <t>F262163</t>
        </is>
      </c>
      <c r="C874" t="inlineStr">
        <is>
          <t>C10113</t>
        </is>
      </c>
      <c r="D874" t="inlineStr">
        <is>
          <t>SKU-10322</t>
        </is>
      </c>
      <c r="E874" t="inlineStr">
        <is>
          <t>AM12</t>
        </is>
      </c>
      <c r="F874" s="5" t="n">
        <v>1138.62</v>
      </c>
      <c r="G874">
        <f>IF(LEFT(B874,1)="C","Credit","Factuur")</f>
        <v/>
      </c>
      <c r="H874">
        <f>IF(AND(B874=B873,D874=D873,A874=A873,F874=F873),1,0)</f>
        <v/>
      </c>
      <c r="I874">
        <f>IF(C874="C99999",1,0)</f>
        <v/>
      </c>
      <c r="J874" s="5">
        <f>IF(OR(H874=1,I874=1),0,IF(G874="Credit",-F874,F874))</f>
        <v/>
      </c>
    </row>
    <row r="875">
      <c r="A875" t="inlineStr">
        <is>
          <t>2026-07-10</t>
        </is>
      </c>
      <c r="B875" t="inlineStr">
        <is>
          <t>F262353</t>
        </is>
      </c>
      <c r="C875" t="inlineStr">
        <is>
          <t>C10125</t>
        </is>
      </c>
      <c r="D875" t="inlineStr">
        <is>
          <t>SKU-10003</t>
        </is>
      </c>
      <c r="E875" t="inlineStr">
        <is>
          <t>AM03</t>
        </is>
      </c>
      <c r="F875" s="5" t="n">
        <v>78.52</v>
      </c>
      <c r="G875">
        <f>IF(LEFT(B875,1)="C","Credit","Factuur")</f>
        <v/>
      </c>
      <c r="H875">
        <f>IF(AND(B875=B874,D875=D874,A875=A874,F875=F874),1,0)</f>
        <v/>
      </c>
      <c r="I875">
        <f>IF(C875="C99999",1,0)</f>
        <v/>
      </c>
      <c r="J875" s="5">
        <f>IF(OR(H875=1,I875=1),0,IF(G875="Credit",-F875,F875))</f>
        <v/>
      </c>
    </row>
    <row r="876">
      <c r="A876" t="inlineStr">
        <is>
          <t>2026-07-10</t>
        </is>
      </c>
      <c r="B876" t="inlineStr">
        <is>
          <t>F262353</t>
        </is>
      </c>
      <c r="C876" t="inlineStr">
        <is>
          <t>C10125</t>
        </is>
      </c>
      <c r="D876" t="inlineStr">
        <is>
          <t>SKU-10057</t>
        </is>
      </c>
      <c r="E876" t="inlineStr">
        <is>
          <t>AM03</t>
        </is>
      </c>
      <c r="F876" s="5" t="n">
        <v>90</v>
      </c>
      <c r="G876">
        <f>IF(LEFT(B876,1)="C","Credit","Factuur")</f>
        <v/>
      </c>
      <c r="H876">
        <f>IF(AND(B876=B875,D876=D875,A876=A875,F876=F875),1,0)</f>
        <v/>
      </c>
      <c r="I876">
        <f>IF(C876="C99999",1,0)</f>
        <v/>
      </c>
      <c r="J876" s="5">
        <f>IF(OR(H876=1,I876=1),0,IF(G876="Credit",-F876,F876))</f>
        <v/>
      </c>
    </row>
    <row r="877">
      <c r="A877" t="inlineStr">
        <is>
          <t>2026-07-10</t>
        </is>
      </c>
      <c r="B877" t="inlineStr">
        <is>
          <t>F262353</t>
        </is>
      </c>
      <c r="C877" t="inlineStr">
        <is>
          <t>C10125</t>
        </is>
      </c>
      <c r="D877" t="inlineStr">
        <is>
          <t>SKU-10067</t>
        </is>
      </c>
      <c r="E877" t="inlineStr">
        <is>
          <t>AM03</t>
        </is>
      </c>
      <c r="F877" s="5" t="n">
        <v>58.06</v>
      </c>
      <c r="G877">
        <f>IF(LEFT(B877,1)="C","Credit","Factuur")</f>
        <v/>
      </c>
      <c r="H877">
        <f>IF(AND(B877=B876,D877=D876,A877=A876,F877=F876),1,0)</f>
        <v/>
      </c>
      <c r="I877">
        <f>IF(C877="C99999",1,0)</f>
        <v/>
      </c>
      <c r="J877" s="5">
        <f>IF(OR(H877=1,I877=1),0,IF(G877="Credit",-F877,F877))</f>
        <v/>
      </c>
    </row>
    <row r="878">
      <c r="A878" t="inlineStr">
        <is>
          <t>2026-07-10</t>
        </is>
      </c>
      <c r="B878" t="inlineStr">
        <is>
          <t>F262353</t>
        </is>
      </c>
      <c r="C878" t="inlineStr">
        <is>
          <t>C10125</t>
        </is>
      </c>
      <c r="D878" t="inlineStr">
        <is>
          <t>SKU-10103</t>
        </is>
      </c>
      <c r="E878" t="inlineStr">
        <is>
          <t>AM03</t>
        </is>
      </c>
      <c r="F878" s="5" t="n">
        <v>79.43000000000001</v>
      </c>
      <c r="G878">
        <f>IF(LEFT(B878,1)="C","Credit","Factuur")</f>
        <v/>
      </c>
      <c r="H878">
        <f>IF(AND(B878=B877,D878=D877,A878=A877,F878=F877),1,0)</f>
        <v/>
      </c>
      <c r="I878">
        <f>IF(C878="C99999",1,0)</f>
        <v/>
      </c>
      <c r="J878" s="5">
        <f>IF(OR(H878=1,I878=1),0,IF(G878="Credit",-F878,F878))</f>
        <v/>
      </c>
    </row>
    <row r="879">
      <c r="A879" t="inlineStr">
        <is>
          <t>2026-07-10</t>
        </is>
      </c>
      <c r="B879" t="inlineStr">
        <is>
          <t>F262552</t>
        </is>
      </c>
      <c r="C879" t="inlineStr">
        <is>
          <t>C10136</t>
        </is>
      </c>
      <c r="D879" t="inlineStr">
        <is>
          <t>SKU-10218</t>
        </is>
      </c>
      <c r="E879" t="inlineStr">
        <is>
          <t>AM11</t>
        </is>
      </c>
      <c r="F879" s="5" t="n">
        <v>850.6799999999999</v>
      </c>
      <c r="G879">
        <f>IF(LEFT(B879,1)="C","Credit","Factuur")</f>
        <v/>
      </c>
      <c r="H879">
        <f>IF(AND(B879=B878,D879=D878,A879=A878,F879=F878),1,0)</f>
        <v/>
      </c>
      <c r="I879">
        <f>IF(C879="C99999",1,0)</f>
        <v/>
      </c>
      <c r="J879" s="5">
        <f>IF(OR(H879=1,I879=1),0,IF(G879="Credit",-F879,F879))</f>
        <v/>
      </c>
    </row>
    <row r="880">
      <c r="A880" t="inlineStr">
        <is>
          <t>2026-07-10</t>
        </is>
      </c>
      <c r="B880" t="inlineStr">
        <is>
          <t>F262683</t>
        </is>
      </c>
      <c r="C880" t="inlineStr">
        <is>
          <t>C10144</t>
        </is>
      </c>
      <c r="D880" t="inlineStr">
        <is>
          <t>SKU-10007</t>
        </is>
      </c>
      <c r="E880" t="inlineStr">
        <is>
          <t>IS02</t>
        </is>
      </c>
      <c r="F880" s="5" t="n">
        <v>173.47</v>
      </c>
      <c r="G880">
        <f>IF(LEFT(B880,1)="C","Credit","Factuur")</f>
        <v/>
      </c>
      <c r="H880">
        <f>IF(AND(B880=B879,D880=D879,A880=A879,F880=F879),1,0)</f>
        <v/>
      </c>
      <c r="I880">
        <f>IF(C880="C99999",1,0)</f>
        <v/>
      </c>
      <c r="J880" s="5">
        <f>IF(OR(H880=1,I880=1),0,IF(G880="Credit",-F880,F880))</f>
        <v/>
      </c>
    </row>
    <row r="881">
      <c r="A881" t="inlineStr">
        <is>
          <t>2026-07-10</t>
        </is>
      </c>
      <c r="B881" t="inlineStr">
        <is>
          <t>F262707</t>
        </is>
      </c>
      <c r="C881" t="inlineStr">
        <is>
          <t>C10146</t>
        </is>
      </c>
      <c r="D881" t="inlineStr">
        <is>
          <t>SKU-10120</t>
        </is>
      </c>
      <c r="E881" t="inlineStr">
        <is>
          <t>AM07</t>
        </is>
      </c>
      <c r="F881" s="5" t="n">
        <v>681.12</v>
      </c>
      <c r="G881">
        <f>IF(LEFT(B881,1)="C","Credit","Factuur")</f>
        <v/>
      </c>
      <c r="H881">
        <f>IF(AND(B881=B880,D881=D880,A881=A880,F881=F880),1,0)</f>
        <v/>
      </c>
      <c r="I881">
        <f>IF(C881="C99999",1,0)</f>
        <v/>
      </c>
      <c r="J881" s="5">
        <f>IF(OR(H881=1,I881=1),0,IF(G881="Credit",-F881,F881))</f>
        <v/>
      </c>
    </row>
    <row r="882">
      <c r="A882" t="inlineStr">
        <is>
          <t>2026-07-10</t>
        </is>
      </c>
      <c r="B882" t="inlineStr">
        <is>
          <t>F262707</t>
        </is>
      </c>
      <c r="C882" t="inlineStr">
        <is>
          <t>C10146</t>
        </is>
      </c>
      <c r="D882" t="inlineStr">
        <is>
          <t>SKU-10144</t>
        </is>
      </c>
      <c r="E882" t="inlineStr">
        <is>
          <t>AM07</t>
        </is>
      </c>
      <c r="F882" s="5" t="n">
        <v>674.99</v>
      </c>
      <c r="G882">
        <f>IF(LEFT(B882,1)="C","Credit","Factuur")</f>
        <v/>
      </c>
      <c r="H882">
        <f>IF(AND(B882=B881,D882=D881,A882=A881,F882=F881),1,0)</f>
        <v/>
      </c>
      <c r="I882">
        <f>IF(C882="C99999",1,0)</f>
        <v/>
      </c>
      <c r="J882" s="5">
        <f>IF(OR(H882=1,I882=1),0,IF(G882="Credit",-F882,F882))</f>
        <v/>
      </c>
    </row>
    <row r="883">
      <c r="A883" t="inlineStr">
        <is>
          <t>2026-07-10</t>
        </is>
      </c>
      <c r="B883" t="inlineStr">
        <is>
          <t>F262707</t>
        </is>
      </c>
      <c r="C883" t="inlineStr">
        <is>
          <t>C10146</t>
        </is>
      </c>
      <c r="D883" t="inlineStr">
        <is>
          <t>SKU-10312</t>
        </is>
      </c>
      <c r="E883" t="inlineStr">
        <is>
          <t>AM07</t>
        </is>
      </c>
      <c r="F883" s="5" t="n">
        <v>688</v>
      </c>
      <c r="G883">
        <f>IF(LEFT(B883,1)="C","Credit","Factuur")</f>
        <v/>
      </c>
      <c r="H883">
        <f>IF(AND(B883=B882,D883=D882,A883=A882,F883=F882),1,0)</f>
        <v/>
      </c>
      <c r="I883">
        <f>IF(C883="C99999",1,0)</f>
        <v/>
      </c>
      <c r="J883" s="5">
        <f>IF(OR(H883=1,I883=1),0,IF(G883="Credit",-F883,F883))</f>
        <v/>
      </c>
    </row>
    <row r="884">
      <c r="A884" t="inlineStr">
        <is>
          <t>2026-07-10</t>
        </is>
      </c>
      <c r="B884" t="inlineStr">
        <is>
          <t>F263272</t>
        </is>
      </c>
      <c r="C884" t="inlineStr">
        <is>
          <t>C10174</t>
        </is>
      </c>
      <c r="D884" t="inlineStr">
        <is>
          <t>SKU-10021</t>
        </is>
      </c>
      <c r="E884" t="inlineStr">
        <is>
          <t>AM11</t>
        </is>
      </c>
      <c r="F884" s="5" t="n">
        <v>517.3200000000001</v>
      </c>
      <c r="G884">
        <f>IF(LEFT(B884,1)="C","Credit","Factuur")</f>
        <v/>
      </c>
      <c r="H884">
        <f>IF(AND(B884=B883,D884=D883,A884=A883,F884=F883),1,0)</f>
        <v/>
      </c>
      <c r="I884">
        <f>IF(C884="C99999",1,0)</f>
        <v/>
      </c>
      <c r="J884" s="5">
        <f>IF(OR(H884=1,I884=1),0,IF(G884="Credit",-F884,F884))</f>
        <v/>
      </c>
    </row>
    <row r="885">
      <c r="A885" t="inlineStr">
        <is>
          <t>2026-07-10</t>
        </is>
      </c>
      <c r="B885" t="inlineStr">
        <is>
          <t>F263272</t>
        </is>
      </c>
      <c r="C885" t="inlineStr">
        <is>
          <t>C10174</t>
        </is>
      </c>
      <c r="D885" t="inlineStr">
        <is>
          <t>SKU-10140</t>
        </is>
      </c>
      <c r="E885" t="inlineStr">
        <is>
          <t>AM11</t>
        </is>
      </c>
      <c r="F885" s="5" t="n">
        <v>524.6</v>
      </c>
      <c r="G885">
        <f>IF(LEFT(B885,1)="C","Credit","Factuur")</f>
        <v/>
      </c>
      <c r="H885">
        <f>IF(AND(B885=B884,D885=D884,A885=A884,F885=F884),1,0)</f>
        <v/>
      </c>
      <c r="I885">
        <f>IF(C885="C99999",1,0)</f>
        <v/>
      </c>
      <c r="J885" s="5">
        <f>IF(OR(H885=1,I885=1),0,IF(G885="Credit",-F885,F885))</f>
        <v/>
      </c>
    </row>
    <row r="886">
      <c r="A886" t="inlineStr">
        <is>
          <t>2026-07-10</t>
        </is>
      </c>
      <c r="B886" t="inlineStr">
        <is>
          <t>F263578</t>
        </is>
      </c>
      <c r="C886" t="inlineStr">
        <is>
          <t>C10193</t>
        </is>
      </c>
      <c r="D886" t="inlineStr">
        <is>
          <t>SKU-10153</t>
        </is>
      </c>
      <c r="E886" t="inlineStr">
        <is>
          <t>AM02</t>
        </is>
      </c>
      <c r="F886" s="5" t="n">
        <v>944.16</v>
      </c>
      <c r="G886">
        <f>IF(LEFT(B886,1)="C","Credit","Factuur")</f>
        <v/>
      </c>
      <c r="H886">
        <f>IF(AND(B886=B885,D886=D885,A886=A885,F886=F885),1,0)</f>
        <v/>
      </c>
      <c r="I886">
        <f>IF(C886="C99999",1,0)</f>
        <v/>
      </c>
      <c r="J886" s="5">
        <f>IF(OR(H886=1,I886=1),0,IF(G886="Credit",-F886,F886))</f>
        <v/>
      </c>
    </row>
    <row r="887">
      <c r="A887" t="inlineStr">
        <is>
          <t>2026-07-10</t>
        </is>
      </c>
      <c r="B887" t="inlineStr">
        <is>
          <t>F263578</t>
        </is>
      </c>
      <c r="C887" t="inlineStr">
        <is>
          <t>C10193</t>
        </is>
      </c>
      <c r="D887" t="inlineStr">
        <is>
          <t>SKU-10272</t>
        </is>
      </c>
      <c r="E887" t="inlineStr">
        <is>
          <t>AM02</t>
        </is>
      </c>
      <c r="F887" s="5" t="n">
        <v>942.75</v>
      </c>
      <c r="G887">
        <f>IF(LEFT(B887,1)="C","Credit","Factuur")</f>
        <v/>
      </c>
      <c r="H887">
        <f>IF(AND(B887=B886,D887=D886,A887=A886,F887=F886),1,0)</f>
        <v/>
      </c>
      <c r="I887">
        <f>IF(C887="C99999",1,0)</f>
        <v/>
      </c>
      <c r="J887" s="5">
        <f>IF(OR(H887=1,I887=1),0,IF(G887="Credit",-F887,F887))</f>
        <v/>
      </c>
    </row>
    <row r="888">
      <c r="A888" t="inlineStr">
        <is>
          <t>2026-07-10</t>
        </is>
      </c>
      <c r="B888" t="inlineStr">
        <is>
          <t>F263578</t>
        </is>
      </c>
      <c r="C888" t="inlineStr">
        <is>
          <t>C10193</t>
        </is>
      </c>
      <c r="D888" t="inlineStr">
        <is>
          <t>SKU-10380</t>
        </is>
      </c>
      <c r="E888" t="inlineStr">
        <is>
          <t>AM02</t>
        </is>
      </c>
      <c r="F888" s="5" t="n">
        <v>910.36</v>
      </c>
      <c r="G888">
        <f>IF(LEFT(B888,1)="C","Credit","Factuur")</f>
        <v/>
      </c>
      <c r="H888">
        <f>IF(AND(B888=B887,D888=D887,A888=A887,F888=F887),1,0)</f>
        <v/>
      </c>
      <c r="I888">
        <f>IF(C888="C99999",1,0)</f>
        <v/>
      </c>
      <c r="J888" s="5">
        <f>IF(OR(H888=1,I888=1),0,IF(G888="Credit",-F888,F888))</f>
        <v/>
      </c>
    </row>
    <row r="889">
      <c r="A889" t="inlineStr">
        <is>
          <t>2026-07-10</t>
        </is>
      </c>
      <c r="B889" t="inlineStr">
        <is>
          <t>F263747</t>
        </is>
      </c>
      <c r="C889" t="inlineStr">
        <is>
          <t>C10199</t>
        </is>
      </c>
      <c r="D889" t="inlineStr">
        <is>
          <t>SKU-10228</t>
        </is>
      </c>
      <c r="E889" t="inlineStr">
        <is>
          <t>AM03</t>
        </is>
      </c>
      <c r="F889" s="5" t="n">
        <v>257.07</v>
      </c>
      <c r="G889">
        <f>IF(LEFT(B889,1)="C","Credit","Factuur")</f>
        <v/>
      </c>
      <c r="H889">
        <f>IF(AND(B889=B888,D889=D888,A889=A888,F889=F888),1,0)</f>
        <v/>
      </c>
      <c r="I889">
        <f>IF(C889="C99999",1,0)</f>
        <v/>
      </c>
      <c r="J889" s="5">
        <f>IF(OR(H889=1,I889=1),0,IF(G889="Credit",-F889,F889))</f>
        <v/>
      </c>
    </row>
    <row r="890">
      <c r="A890" t="inlineStr">
        <is>
          <t>2026-07-10</t>
        </is>
      </c>
      <c r="B890" t="inlineStr">
        <is>
          <t>F263747</t>
        </is>
      </c>
      <c r="C890" t="inlineStr">
        <is>
          <t>C10199</t>
        </is>
      </c>
      <c r="D890" t="inlineStr">
        <is>
          <t>SKU-10320</t>
        </is>
      </c>
      <c r="E890" t="inlineStr">
        <is>
          <t>AM03</t>
        </is>
      </c>
      <c r="F890" s="5" t="n">
        <v>245.05</v>
      </c>
      <c r="G890">
        <f>IF(LEFT(B890,1)="C","Credit","Factuur")</f>
        <v/>
      </c>
      <c r="H890">
        <f>IF(AND(B890=B889,D890=D889,A890=A889,F890=F889),1,0)</f>
        <v/>
      </c>
      <c r="I890">
        <f>IF(C890="C99999",1,0)</f>
        <v/>
      </c>
      <c r="J890" s="5">
        <f>IF(OR(H890=1,I890=1),0,IF(G890="Credit",-F890,F890))</f>
        <v/>
      </c>
    </row>
    <row r="891">
      <c r="A891" t="inlineStr">
        <is>
          <t>2026-07-10</t>
        </is>
      </c>
      <c r="B891" t="inlineStr">
        <is>
          <t>F263747</t>
        </is>
      </c>
      <c r="C891" t="inlineStr">
        <is>
          <t>C10199</t>
        </is>
      </c>
      <c r="D891" t="inlineStr">
        <is>
          <t>SKU-10365</t>
        </is>
      </c>
      <c r="E891" t="inlineStr">
        <is>
          <t>AM03</t>
        </is>
      </c>
      <c r="F891" s="5" t="n">
        <v>302.12</v>
      </c>
      <c r="G891">
        <f>IF(LEFT(B891,1)="C","Credit","Factuur")</f>
        <v/>
      </c>
      <c r="H891">
        <f>IF(AND(B891=B890,D891=D890,A891=A890,F891=F890),1,0)</f>
        <v/>
      </c>
      <c r="I891">
        <f>IF(C891="C99999",1,0)</f>
        <v/>
      </c>
      <c r="J891" s="5">
        <f>IF(OR(H891=1,I891=1),0,IF(G891="Credit",-F891,F891))</f>
        <v/>
      </c>
    </row>
    <row r="892">
      <c r="A892" t="inlineStr">
        <is>
          <t>2026-07-10</t>
        </is>
      </c>
      <c r="B892" t="inlineStr">
        <is>
          <t>F263747</t>
        </is>
      </c>
      <c r="C892" t="inlineStr">
        <is>
          <t>C10199</t>
        </is>
      </c>
      <c r="D892" t="inlineStr">
        <is>
          <t>SKU-10382</t>
        </is>
      </c>
      <c r="E892" t="inlineStr">
        <is>
          <t>AM03</t>
        </is>
      </c>
      <c r="F892" s="5" t="n">
        <v>155.31</v>
      </c>
      <c r="G892">
        <f>IF(LEFT(B892,1)="C","Credit","Factuur")</f>
        <v/>
      </c>
      <c r="H892">
        <f>IF(AND(B892=B891,D892=D891,A892=A891,F892=F891),1,0)</f>
        <v/>
      </c>
      <c r="I892">
        <f>IF(C892="C99999",1,0)</f>
        <v/>
      </c>
      <c r="J892" s="5">
        <f>IF(OR(H892=1,I892=1),0,IF(G892="Credit",-F892,F892))</f>
        <v/>
      </c>
    </row>
    <row r="893">
      <c r="A893" t="inlineStr">
        <is>
          <t>2026-07-10</t>
        </is>
      </c>
      <c r="B893" t="inlineStr">
        <is>
          <t>F263747</t>
        </is>
      </c>
      <c r="C893" t="inlineStr">
        <is>
          <t>C10199</t>
        </is>
      </c>
      <c r="D893" t="inlineStr">
        <is>
          <t>SKU-10383</t>
        </is>
      </c>
      <c r="E893" t="inlineStr">
        <is>
          <t>AM03</t>
        </is>
      </c>
      <c r="F893" s="5" t="n">
        <v>245.52</v>
      </c>
      <c r="G893">
        <f>IF(LEFT(B893,1)="C","Credit","Factuur")</f>
        <v/>
      </c>
      <c r="H893">
        <f>IF(AND(B893=B892,D893=D892,A893=A892,F893=F892),1,0)</f>
        <v/>
      </c>
      <c r="I893">
        <f>IF(C893="C99999",1,0)</f>
        <v/>
      </c>
      <c r="J893" s="5">
        <f>IF(OR(H893=1,I893=1),0,IF(G893="Credit",-F893,F893))</f>
        <v/>
      </c>
    </row>
    <row r="894">
      <c r="A894" t="inlineStr">
        <is>
          <t>2026-07-10</t>
        </is>
      </c>
      <c r="B894" t="inlineStr">
        <is>
          <t>F263826</t>
        </is>
      </c>
      <c r="C894" t="inlineStr">
        <is>
          <t>C10204</t>
        </is>
      </c>
      <c r="D894" t="inlineStr">
        <is>
          <t>SKU-10078</t>
        </is>
      </c>
      <c r="E894" t="inlineStr">
        <is>
          <t>AM01</t>
        </is>
      </c>
      <c r="F894" s="5" t="n">
        <v>652.2</v>
      </c>
      <c r="G894">
        <f>IF(LEFT(B894,1)="C","Credit","Factuur")</f>
        <v/>
      </c>
      <c r="H894">
        <f>IF(AND(B894=B893,D894=D893,A894=A893,F894=F893),1,0)</f>
        <v/>
      </c>
      <c r="I894">
        <f>IF(C894="C99999",1,0)</f>
        <v/>
      </c>
      <c r="J894" s="5">
        <f>IF(OR(H894=1,I894=1),0,IF(G894="Credit",-F894,F894))</f>
        <v/>
      </c>
    </row>
    <row r="895">
      <c r="A895" t="inlineStr">
        <is>
          <t>2026-07-10</t>
        </is>
      </c>
      <c r="B895" t="inlineStr">
        <is>
          <t>F263826</t>
        </is>
      </c>
      <c r="C895" t="inlineStr">
        <is>
          <t>C10204</t>
        </is>
      </c>
      <c r="D895" t="inlineStr">
        <is>
          <t>SKU-10184</t>
        </is>
      </c>
      <c r="E895" t="inlineStr">
        <is>
          <t>AM01</t>
        </is>
      </c>
      <c r="F895" s="5" t="n">
        <v>616.0700000000001</v>
      </c>
      <c r="G895">
        <f>IF(LEFT(B895,1)="C","Credit","Factuur")</f>
        <v/>
      </c>
      <c r="H895">
        <f>IF(AND(B895=B894,D895=D894,A895=A894,F895=F894),1,0)</f>
        <v/>
      </c>
      <c r="I895">
        <f>IF(C895="C99999",1,0)</f>
        <v/>
      </c>
      <c r="J895" s="5">
        <f>IF(OR(H895=1,I895=1),0,IF(G895="Credit",-F895,F895))</f>
        <v/>
      </c>
    </row>
    <row r="896">
      <c r="A896" t="inlineStr">
        <is>
          <t>2026-07-10</t>
        </is>
      </c>
      <c r="B896" t="inlineStr">
        <is>
          <t>F263826</t>
        </is>
      </c>
      <c r="C896" t="inlineStr">
        <is>
          <t>C10204</t>
        </is>
      </c>
      <c r="D896" t="inlineStr">
        <is>
          <t>SKU-10187</t>
        </is>
      </c>
      <c r="E896" t="inlineStr">
        <is>
          <t>AM01</t>
        </is>
      </c>
      <c r="F896" s="5" t="n">
        <v>658.08</v>
      </c>
      <c r="G896">
        <f>IF(LEFT(B896,1)="C","Credit","Factuur")</f>
        <v/>
      </c>
      <c r="H896">
        <f>IF(AND(B896=B895,D896=D895,A896=A895,F896=F895),1,0)</f>
        <v/>
      </c>
      <c r="I896">
        <f>IF(C896="C99999",1,0)</f>
        <v/>
      </c>
      <c r="J896" s="5">
        <f>IF(OR(H896=1,I896=1),0,IF(G896="Credit",-F896,F896))</f>
        <v/>
      </c>
    </row>
    <row r="897">
      <c r="A897" t="inlineStr">
        <is>
          <t>2026-07-10</t>
        </is>
      </c>
      <c r="B897" t="inlineStr">
        <is>
          <t>F263826</t>
        </is>
      </c>
      <c r="C897" t="inlineStr">
        <is>
          <t>C10204</t>
        </is>
      </c>
      <c r="D897" t="inlineStr">
        <is>
          <t>SKU-10316</t>
        </is>
      </c>
      <c r="E897" t="inlineStr">
        <is>
          <t>AM01</t>
        </is>
      </c>
      <c r="F897" s="5" t="n">
        <v>659.87</v>
      </c>
      <c r="G897">
        <f>IF(LEFT(B897,1)="C","Credit","Factuur")</f>
        <v/>
      </c>
      <c r="H897">
        <f>IF(AND(B897=B896,D897=D896,A897=A896,F897=F896),1,0)</f>
        <v/>
      </c>
      <c r="I897">
        <f>IF(C897="C99999",1,0)</f>
        <v/>
      </c>
      <c r="J897" s="5">
        <f>IF(OR(H897=1,I897=1),0,IF(G897="Credit",-F897,F897))</f>
        <v/>
      </c>
    </row>
    <row r="898">
      <c r="A898" t="inlineStr">
        <is>
          <t>2026-07-10</t>
        </is>
      </c>
      <c r="B898" t="inlineStr">
        <is>
          <t>F263826</t>
        </is>
      </c>
      <c r="C898" t="inlineStr">
        <is>
          <t>C10204</t>
        </is>
      </c>
      <c r="D898" t="inlineStr">
        <is>
          <t>SKU-10339</t>
        </is>
      </c>
      <c r="E898" t="inlineStr"/>
      <c r="F898" s="5" t="n">
        <v>647.15</v>
      </c>
      <c r="G898">
        <f>IF(LEFT(B898,1)="C","Credit","Factuur")</f>
        <v/>
      </c>
      <c r="H898">
        <f>IF(AND(B898=B897,D898=D897,A898=A897,F898=F897),1,0)</f>
        <v/>
      </c>
      <c r="I898">
        <f>IF(C898="C99999",1,0)</f>
        <v/>
      </c>
      <c r="J898" s="5">
        <f>IF(OR(H898=1,I898=1),0,IF(G898="Credit",-F898,F898))</f>
        <v/>
      </c>
    </row>
    <row r="899">
      <c r="A899" t="inlineStr">
        <is>
          <t>2026-07-10</t>
        </is>
      </c>
      <c r="B899" t="inlineStr">
        <is>
          <t>F264155</t>
        </is>
      </c>
      <c r="C899" t="inlineStr">
        <is>
          <t>C10220</t>
        </is>
      </c>
      <c r="D899" t="inlineStr">
        <is>
          <t>SKU-10111</t>
        </is>
      </c>
      <c r="E899" t="inlineStr">
        <is>
          <t>AM07</t>
        </is>
      </c>
      <c r="F899" s="5" t="n">
        <v>474.04</v>
      </c>
      <c r="G899">
        <f>IF(LEFT(B899,1)="C","Credit","Factuur")</f>
        <v/>
      </c>
      <c r="H899">
        <f>IF(AND(B899=B898,D899=D898,A899=A898,F899=F898),1,0)</f>
        <v/>
      </c>
      <c r="I899">
        <f>IF(C899="C99999",1,0)</f>
        <v/>
      </c>
      <c r="J899" s="5">
        <f>IF(OR(H899=1,I899=1),0,IF(G899="Credit",-F899,F899))</f>
        <v/>
      </c>
    </row>
    <row r="900">
      <c r="A900" t="inlineStr">
        <is>
          <t>2026-07-10</t>
        </is>
      </c>
      <c r="B900" t="inlineStr">
        <is>
          <t>F264155</t>
        </is>
      </c>
      <c r="C900" t="inlineStr">
        <is>
          <t>C10220</t>
        </is>
      </c>
      <c r="D900" t="inlineStr">
        <is>
          <t>SKU-10305</t>
        </is>
      </c>
      <c r="E900" t="inlineStr">
        <is>
          <t>AM07</t>
        </is>
      </c>
      <c r="F900" s="5" t="n">
        <v>497.8</v>
      </c>
      <c r="G900">
        <f>IF(LEFT(B900,1)="C","Credit","Factuur")</f>
        <v/>
      </c>
      <c r="H900">
        <f>IF(AND(B900=B899,D900=D899,A900=A899,F900=F899),1,0)</f>
        <v/>
      </c>
      <c r="I900">
        <f>IF(C900="C99999",1,0)</f>
        <v/>
      </c>
      <c r="J900" s="5">
        <f>IF(OR(H900=1,I900=1),0,IF(G900="Credit",-F900,F900))</f>
        <v/>
      </c>
    </row>
    <row r="901">
      <c r="A901" t="inlineStr">
        <is>
          <t>2026-07-10</t>
        </is>
      </c>
      <c r="B901" t="inlineStr">
        <is>
          <t>F264155</t>
        </is>
      </c>
      <c r="C901" t="inlineStr">
        <is>
          <t>C10220</t>
        </is>
      </c>
      <c r="D901" t="inlineStr">
        <is>
          <t>SKU-10383</t>
        </is>
      </c>
      <c r="E901" t="inlineStr">
        <is>
          <t>AM07</t>
        </is>
      </c>
      <c r="F901" s="5" t="n">
        <v>552.42</v>
      </c>
      <c r="G901">
        <f>IF(LEFT(B901,1)="C","Credit","Factuur")</f>
        <v/>
      </c>
      <c r="H901">
        <f>IF(AND(B901=B900,D901=D900,A901=A900,F901=F900),1,0)</f>
        <v/>
      </c>
      <c r="I901">
        <f>IF(C901="C99999",1,0)</f>
        <v/>
      </c>
      <c r="J901" s="5">
        <f>IF(OR(H901=1,I901=1),0,IF(G901="Credit",-F901,F901))</f>
        <v/>
      </c>
    </row>
    <row r="902">
      <c r="A902" t="inlineStr">
        <is>
          <t>2026-07-10</t>
        </is>
      </c>
      <c r="B902" t="inlineStr">
        <is>
          <t>F264354</t>
        </is>
      </c>
      <c r="C902" t="inlineStr">
        <is>
          <t>C10228</t>
        </is>
      </c>
      <c r="D902" t="inlineStr">
        <is>
          <t>SKU-10037</t>
        </is>
      </c>
      <c r="E902" t="inlineStr">
        <is>
          <t>AM02</t>
        </is>
      </c>
      <c r="F902" s="5" t="n">
        <v>129.39</v>
      </c>
      <c r="G902">
        <f>IF(LEFT(B902,1)="C","Credit","Factuur")</f>
        <v/>
      </c>
      <c r="H902">
        <f>IF(AND(B902=B901,D902=D901,A902=A901,F902=F901),1,0)</f>
        <v/>
      </c>
      <c r="I902">
        <f>IF(C902="C99999",1,0)</f>
        <v/>
      </c>
      <c r="J902" s="5">
        <f>IF(OR(H902=1,I902=1),0,IF(G902="Credit",-F902,F902))</f>
        <v/>
      </c>
    </row>
    <row r="903">
      <c r="A903" t="inlineStr">
        <is>
          <t>2026-07-10</t>
        </is>
      </c>
      <c r="B903" t="inlineStr">
        <is>
          <t>F264354</t>
        </is>
      </c>
      <c r="C903" t="inlineStr">
        <is>
          <t>C10228</t>
        </is>
      </c>
      <c r="D903" t="inlineStr">
        <is>
          <t>SKU-10066</t>
        </is>
      </c>
      <c r="E903" t="inlineStr">
        <is>
          <t>AM02</t>
        </is>
      </c>
      <c r="F903" s="5" t="n">
        <v>121.45</v>
      </c>
      <c r="G903">
        <f>IF(LEFT(B903,1)="C","Credit","Factuur")</f>
        <v/>
      </c>
      <c r="H903">
        <f>IF(AND(B903=B902,D903=D902,A903=A902,F903=F902),1,0)</f>
        <v/>
      </c>
      <c r="I903">
        <f>IF(C903="C99999",1,0)</f>
        <v/>
      </c>
      <c r="J903" s="5">
        <f>IF(OR(H903=1,I903=1),0,IF(G903="Credit",-F903,F903))</f>
        <v/>
      </c>
    </row>
    <row r="904">
      <c r="A904" t="inlineStr">
        <is>
          <t>2026-07-10</t>
        </is>
      </c>
      <c r="B904" t="inlineStr">
        <is>
          <t>F264354</t>
        </is>
      </c>
      <c r="C904" t="inlineStr">
        <is>
          <t>C10228</t>
        </is>
      </c>
      <c r="D904" t="inlineStr">
        <is>
          <t>SKU-10224</t>
        </is>
      </c>
      <c r="E904" t="inlineStr">
        <is>
          <t>AM02</t>
        </is>
      </c>
      <c r="F904" s="5" t="n">
        <v>137.75</v>
      </c>
      <c r="G904">
        <f>IF(LEFT(B904,1)="C","Credit","Factuur")</f>
        <v/>
      </c>
      <c r="H904">
        <f>IF(AND(B904=B903,D904=D903,A904=A903,F904=F903),1,0)</f>
        <v/>
      </c>
      <c r="I904">
        <f>IF(C904="C99999",1,0)</f>
        <v/>
      </c>
      <c r="J904" s="5">
        <f>IF(OR(H904=1,I904=1),0,IF(G904="Credit",-F904,F904))</f>
        <v/>
      </c>
    </row>
    <row r="905">
      <c r="A905" t="inlineStr">
        <is>
          <t>2026-07-10</t>
        </is>
      </c>
      <c r="B905" t="inlineStr">
        <is>
          <t>F264354</t>
        </is>
      </c>
      <c r="C905" t="inlineStr">
        <is>
          <t>C10228</t>
        </is>
      </c>
      <c r="D905" t="inlineStr">
        <is>
          <t>SKU-10228</t>
        </is>
      </c>
      <c r="E905" t="inlineStr">
        <is>
          <t>AM02</t>
        </is>
      </c>
      <c r="F905" s="5" t="n">
        <v>140.22</v>
      </c>
      <c r="G905">
        <f>IF(LEFT(B905,1)="C","Credit","Factuur")</f>
        <v/>
      </c>
      <c r="H905">
        <f>IF(AND(B905=B904,D905=D904,A905=A904,F905=F904),1,0)</f>
        <v/>
      </c>
      <c r="I905">
        <f>IF(C905="C99999",1,0)</f>
        <v/>
      </c>
      <c r="J905" s="5">
        <f>IF(OR(H905=1,I905=1),0,IF(G905="Credit",-F905,F905))</f>
        <v/>
      </c>
    </row>
    <row r="906">
      <c r="A906" t="inlineStr">
        <is>
          <t>2026-07-10</t>
        </is>
      </c>
      <c r="B906" t="inlineStr">
        <is>
          <t>F264354</t>
        </is>
      </c>
      <c r="C906" t="inlineStr">
        <is>
          <t>C10228</t>
        </is>
      </c>
      <c r="D906" t="inlineStr">
        <is>
          <t>SKU-10351</t>
        </is>
      </c>
      <c r="E906" t="inlineStr">
        <is>
          <t>AM02</t>
        </is>
      </c>
      <c r="F906" s="5" t="n">
        <v>636.89</v>
      </c>
      <c r="G906">
        <f>IF(LEFT(B906,1)="C","Credit","Factuur")</f>
        <v/>
      </c>
      <c r="H906">
        <f>IF(AND(B906=B905,D906=D905,A906=A905,F906=F905),1,0)</f>
        <v/>
      </c>
      <c r="I906">
        <f>IF(C906="C99999",1,0)</f>
        <v/>
      </c>
      <c r="J906" s="5">
        <f>IF(OR(H906=1,I906=1),0,IF(G906="Credit",-F906,F906))</f>
        <v/>
      </c>
    </row>
    <row r="907">
      <c r="A907" t="inlineStr">
        <is>
          <t>2026-07-10</t>
        </is>
      </c>
      <c r="B907" t="inlineStr">
        <is>
          <t>F264416</t>
        </is>
      </c>
      <c r="C907" t="inlineStr">
        <is>
          <t>C10229</t>
        </is>
      </c>
      <c r="D907" t="inlineStr">
        <is>
          <t>SKU-10031</t>
        </is>
      </c>
      <c r="E907" t="inlineStr">
        <is>
          <t>AM11</t>
        </is>
      </c>
      <c r="F907" s="5" t="n">
        <v>231.03</v>
      </c>
      <c r="G907">
        <f>IF(LEFT(B907,1)="C","Credit","Factuur")</f>
        <v/>
      </c>
      <c r="H907">
        <f>IF(AND(B907=B906,D907=D906,A907=A906,F907=F906),1,0)</f>
        <v/>
      </c>
      <c r="I907">
        <f>IF(C907="C99999",1,0)</f>
        <v/>
      </c>
      <c r="J907" s="5">
        <f>IF(OR(H907=1,I907=1),0,IF(G907="Credit",-F907,F907))</f>
        <v/>
      </c>
    </row>
    <row r="908">
      <c r="A908" t="inlineStr">
        <is>
          <t>2026-07-10</t>
        </is>
      </c>
      <c r="B908" t="inlineStr">
        <is>
          <t>F264416</t>
        </is>
      </c>
      <c r="C908" t="inlineStr">
        <is>
          <t>C10229</t>
        </is>
      </c>
      <c r="D908" t="inlineStr">
        <is>
          <t>SKU-10060</t>
        </is>
      </c>
      <c r="E908" t="inlineStr">
        <is>
          <t>AM11</t>
        </is>
      </c>
      <c r="F908" s="5" t="n">
        <v>264.6</v>
      </c>
      <c r="G908">
        <f>IF(LEFT(B908,1)="C","Credit","Factuur")</f>
        <v/>
      </c>
      <c r="H908">
        <f>IF(AND(B908=B907,D908=D907,A908=A907,F908=F907),1,0)</f>
        <v/>
      </c>
      <c r="I908">
        <f>IF(C908="C99999",1,0)</f>
        <v/>
      </c>
      <c r="J908" s="5">
        <f>IF(OR(H908=1,I908=1),0,IF(G908="Credit",-F908,F908))</f>
        <v/>
      </c>
    </row>
    <row r="909">
      <c r="A909" t="inlineStr">
        <is>
          <t>2026-07-10</t>
        </is>
      </c>
      <c r="B909" t="inlineStr">
        <is>
          <t>F264416</t>
        </is>
      </c>
      <c r="C909" t="inlineStr">
        <is>
          <t>C10229</t>
        </is>
      </c>
      <c r="D909" t="inlineStr">
        <is>
          <t>SKU-10260</t>
        </is>
      </c>
      <c r="E909" t="inlineStr">
        <is>
          <t>AM11</t>
        </is>
      </c>
      <c r="F909" s="5" t="n">
        <v>214.95</v>
      </c>
      <c r="G909">
        <f>IF(LEFT(B909,1)="C","Credit","Factuur")</f>
        <v/>
      </c>
      <c r="H909">
        <f>IF(AND(B909=B908,D909=D908,A909=A908,F909=F908),1,0)</f>
        <v/>
      </c>
      <c r="I909">
        <f>IF(C909="C99999",1,0)</f>
        <v/>
      </c>
      <c r="J909" s="5">
        <f>IF(OR(H909=1,I909=1),0,IF(G909="Credit",-F909,F909))</f>
        <v/>
      </c>
    </row>
    <row r="910">
      <c r="A910" t="inlineStr">
        <is>
          <t>2026-07-10</t>
        </is>
      </c>
      <c r="B910" t="inlineStr">
        <is>
          <t>F264416</t>
        </is>
      </c>
      <c r="C910" t="inlineStr">
        <is>
          <t>C10229</t>
        </is>
      </c>
      <c r="D910" t="inlineStr">
        <is>
          <t>SKU-10263</t>
        </is>
      </c>
      <c r="E910" t="inlineStr">
        <is>
          <t>AM11</t>
        </is>
      </c>
      <c r="F910" s="5" t="n">
        <v>225.83</v>
      </c>
      <c r="G910">
        <f>IF(LEFT(B910,1)="C","Credit","Factuur")</f>
        <v/>
      </c>
      <c r="H910">
        <f>IF(AND(B910=B909,D910=D909,A910=A909,F910=F909),1,0)</f>
        <v/>
      </c>
      <c r="I910">
        <f>IF(C910="C99999",1,0)</f>
        <v/>
      </c>
      <c r="J910" s="5">
        <f>IF(OR(H910=1,I910=1),0,IF(G910="Credit",-F910,F910))</f>
        <v/>
      </c>
    </row>
    <row r="911">
      <c r="A911" t="inlineStr">
        <is>
          <t>2026-07-10</t>
        </is>
      </c>
      <c r="B911" t="inlineStr">
        <is>
          <t>F264865</t>
        </is>
      </c>
      <c r="C911" t="inlineStr">
        <is>
          <t>C10254</t>
        </is>
      </c>
      <c r="D911" t="inlineStr">
        <is>
          <t>SKU-10079</t>
        </is>
      </c>
      <c r="E911" t="inlineStr">
        <is>
          <t>AM01</t>
        </is>
      </c>
      <c r="F911" s="5" t="n">
        <v>68.48</v>
      </c>
      <c r="G911">
        <f>IF(LEFT(B911,1)="C","Credit","Factuur")</f>
        <v/>
      </c>
      <c r="H911">
        <f>IF(AND(B911=B910,D911=D910,A911=A910,F911=F910),1,0)</f>
        <v/>
      </c>
      <c r="I911">
        <f>IF(C911="C99999",1,0)</f>
        <v/>
      </c>
      <c r="J911" s="5">
        <f>IF(OR(H911=1,I911=1),0,IF(G911="Credit",-F911,F911))</f>
        <v/>
      </c>
    </row>
    <row r="912">
      <c r="A912" t="inlineStr">
        <is>
          <t>2026-07-10</t>
        </is>
      </c>
      <c r="B912" t="inlineStr">
        <is>
          <t>F264865</t>
        </is>
      </c>
      <c r="C912" t="inlineStr">
        <is>
          <t>C10254</t>
        </is>
      </c>
      <c r="D912" t="inlineStr">
        <is>
          <t>SKU-10268</t>
        </is>
      </c>
      <c r="E912" t="inlineStr">
        <is>
          <t>AM01</t>
        </is>
      </c>
      <c r="F912" s="5" t="n">
        <v>102.8</v>
      </c>
      <c r="G912">
        <f>IF(LEFT(B912,1)="C","Credit","Factuur")</f>
        <v/>
      </c>
      <c r="H912">
        <f>IF(AND(B912=B911,D912=D911,A912=A911,F912=F911),1,0)</f>
        <v/>
      </c>
      <c r="I912">
        <f>IF(C912="C99999",1,0)</f>
        <v/>
      </c>
      <c r="J912" s="5">
        <f>IF(OR(H912=1,I912=1),0,IF(G912="Credit",-F912,F912))</f>
        <v/>
      </c>
    </row>
    <row r="913">
      <c r="A913" t="inlineStr">
        <is>
          <t>2026-07-10</t>
        </is>
      </c>
      <c r="B913" t="inlineStr">
        <is>
          <t>F264865</t>
        </is>
      </c>
      <c r="C913" t="inlineStr">
        <is>
          <t>C10254</t>
        </is>
      </c>
      <c r="D913" t="inlineStr">
        <is>
          <t>SKU-10270</t>
        </is>
      </c>
      <c r="E913" t="inlineStr">
        <is>
          <t>AM01</t>
        </is>
      </c>
      <c r="F913" s="5" t="n">
        <v>87.64</v>
      </c>
      <c r="G913">
        <f>IF(LEFT(B913,1)="C","Credit","Factuur")</f>
        <v/>
      </c>
      <c r="H913">
        <f>IF(AND(B913=B912,D913=D912,A913=A912,F913=F912),1,0)</f>
        <v/>
      </c>
      <c r="I913">
        <f>IF(C913="C99999",1,0)</f>
        <v/>
      </c>
      <c r="J913" s="5">
        <f>IF(OR(H913=1,I913=1),0,IF(G913="Credit",-F913,F913))</f>
        <v/>
      </c>
    </row>
    <row r="914">
      <c r="A914" t="inlineStr">
        <is>
          <t>2026-07-10</t>
        </is>
      </c>
      <c r="B914" t="inlineStr">
        <is>
          <t>F264960</t>
        </is>
      </c>
      <c r="C914" t="inlineStr">
        <is>
          <t>C10257</t>
        </is>
      </c>
      <c r="D914" t="inlineStr">
        <is>
          <t>SKU-10060</t>
        </is>
      </c>
      <c r="E914" t="inlineStr">
        <is>
          <t>AM03</t>
        </is>
      </c>
      <c r="F914" s="5" t="n">
        <v>88.2</v>
      </c>
      <c r="G914">
        <f>IF(LEFT(B914,1)="C","Credit","Factuur")</f>
        <v/>
      </c>
      <c r="H914">
        <f>IF(AND(B914=B913,D914=D913,A914=A913,F914=F913),1,0)</f>
        <v/>
      </c>
      <c r="I914">
        <f>IF(C914="C99999",1,0)</f>
        <v/>
      </c>
      <c r="J914" s="5">
        <f>IF(OR(H914=1,I914=1),0,IF(G914="Credit",-F914,F914))</f>
        <v/>
      </c>
    </row>
    <row r="915">
      <c r="A915" t="inlineStr">
        <is>
          <t>2026-07-10</t>
        </is>
      </c>
      <c r="B915" t="inlineStr">
        <is>
          <t>F264960</t>
        </is>
      </c>
      <c r="C915" t="inlineStr">
        <is>
          <t>C10257</t>
        </is>
      </c>
      <c r="D915" t="inlineStr">
        <is>
          <t>SKU-10123</t>
        </is>
      </c>
      <c r="E915" t="inlineStr">
        <is>
          <t>AM03</t>
        </is>
      </c>
      <c r="F915" s="5" t="n">
        <v>86.8</v>
      </c>
      <c r="G915">
        <f>IF(LEFT(B915,1)="C","Credit","Factuur")</f>
        <v/>
      </c>
      <c r="H915">
        <f>IF(AND(B915=B914,D915=D914,A915=A914,F915=F914),1,0)</f>
        <v/>
      </c>
      <c r="I915">
        <f>IF(C915="C99999",1,0)</f>
        <v/>
      </c>
      <c r="J915" s="5">
        <f>IF(OR(H915=1,I915=1),0,IF(G915="Credit",-F915,F915))</f>
        <v/>
      </c>
    </row>
    <row r="916">
      <c r="A916" t="inlineStr">
        <is>
          <t>2026-07-10</t>
        </is>
      </c>
      <c r="B916" t="inlineStr">
        <is>
          <t>F264960</t>
        </is>
      </c>
      <c r="C916" t="inlineStr">
        <is>
          <t>C10257</t>
        </is>
      </c>
      <c r="D916" t="inlineStr">
        <is>
          <t>SKU-10134</t>
        </is>
      </c>
      <c r="E916" t="inlineStr">
        <is>
          <t>AM03</t>
        </is>
      </c>
      <c r="F916" s="5" t="n">
        <v>68.34</v>
      </c>
      <c r="G916">
        <f>IF(LEFT(B916,1)="C","Credit","Factuur")</f>
        <v/>
      </c>
      <c r="H916">
        <f>IF(AND(B916=B915,D916=D915,A916=A915,F916=F915),1,0)</f>
        <v/>
      </c>
      <c r="I916">
        <f>IF(C916="C99999",1,0)</f>
        <v/>
      </c>
      <c r="J916" s="5">
        <f>IF(OR(H916=1,I916=1),0,IF(G916="Credit",-F916,F916))</f>
        <v/>
      </c>
    </row>
    <row r="917">
      <c r="A917" t="inlineStr">
        <is>
          <t>2026-07-10</t>
        </is>
      </c>
      <c r="B917" t="inlineStr">
        <is>
          <t>F264960</t>
        </is>
      </c>
      <c r="C917" t="inlineStr">
        <is>
          <t>C10257</t>
        </is>
      </c>
      <c r="D917" t="inlineStr">
        <is>
          <t>SKU-10293</t>
        </is>
      </c>
      <c r="E917" t="inlineStr">
        <is>
          <t>AM03</t>
        </is>
      </c>
      <c r="F917" s="5" t="n">
        <v>96.8</v>
      </c>
      <c r="G917">
        <f>IF(LEFT(B917,1)="C","Credit","Factuur")</f>
        <v/>
      </c>
      <c r="H917">
        <f>IF(AND(B917=B916,D917=D916,A917=A916,F917=F916),1,0)</f>
        <v/>
      </c>
      <c r="I917">
        <f>IF(C917="C99999",1,0)</f>
        <v/>
      </c>
      <c r="J917" s="5">
        <f>IF(OR(H917=1,I917=1),0,IF(G917="Credit",-F917,F917))</f>
        <v/>
      </c>
    </row>
    <row r="918">
      <c r="A918" t="inlineStr">
        <is>
          <t>2026-07-10</t>
        </is>
      </c>
      <c r="B918" t="inlineStr">
        <is>
          <t>F264987</t>
        </is>
      </c>
      <c r="C918" t="inlineStr">
        <is>
          <t>C10260</t>
        </is>
      </c>
      <c r="D918" t="inlineStr">
        <is>
          <t>SKU-10043</t>
        </is>
      </c>
      <c r="E918" t="inlineStr">
        <is>
          <t>AM07</t>
        </is>
      </c>
      <c r="F918" s="5" t="n">
        <v>267.12</v>
      </c>
      <c r="G918">
        <f>IF(LEFT(B918,1)="C","Credit","Factuur")</f>
        <v/>
      </c>
      <c r="H918">
        <f>IF(AND(B918=B917,D918=D917,A918=A917,F918=F917),1,0)</f>
        <v/>
      </c>
      <c r="I918">
        <f>IF(C918="C99999",1,0)</f>
        <v/>
      </c>
      <c r="J918" s="5">
        <f>IF(OR(H918=1,I918=1),0,IF(G918="Credit",-F918,F918))</f>
        <v/>
      </c>
    </row>
    <row r="919">
      <c r="A919" t="inlineStr">
        <is>
          <t>2026-07-10</t>
        </is>
      </c>
      <c r="B919" t="inlineStr">
        <is>
          <t>F264987</t>
        </is>
      </c>
      <c r="C919" t="inlineStr">
        <is>
          <t>C10260</t>
        </is>
      </c>
      <c r="D919" t="inlineStr">
        <is>
          <t>SKU-10328</t>
        </is>
      </c>
      <c r="E919" t="inlineStr">
        <is>
          <t>AM07</t>
        </is>
      </c>
      <c r="F919" s="5" t="n">
        <v>281.16</v>
      </c>
      <c r="G919">
        <f>IF(LEFT(B919,1)="C","Credit","Factuur")</f>
        <v/>
      </c>
      <c r="H919">
        <f>IF(AND(B919=B918,D919=D918,A919=A918,F919=F918),1,0)</f>
        <v/>
      </c>
      <c r="I919">
        <f>IF(C919="C99999",1,0)</f>
        <v/>
      </c>
      <c r="J919" s="5">
        <f>IF(OR(H919=1,I919=1),0,IF(G919="Credit",-F919,F919))</f>
        <v/>
      </c>
    </row>
    <row r="920">
      <c r="A920" t="inlineStr">
        <is>
          <t>2026-07-10</t>
        </is>
      </c>
      <c r="B920" t="inlineStr">
        <is>
          <t>F265062</t>
        </is>
      </c>
      <c r="C920" t="inlineStr">
        <is>
          <t>C10265</t>
        </is>
      </c>
      <c r="D920" t="inlineStr">
        <is>
          <t>SKU-10002</t>
        </is>
      </c>
      <c r="E920" t="inlineStr">
        <is>
          <t>AM01</t>
        </is>
      </c>
      <c r="F920" s="5" t="n">
        <v>401.59</v>
      </c>
      <c r="G920">
        <f>IF(LEFT(B920,1)="C","Credit","Factuur")</f>
        <v/>
      </c>
      <c r="H920">
        <f>IF(AND(B920=B919,D920=D919,A920=A919,F920=F919),1,0)</f>
        <v/>
      </c>
      <c r="I920">
        <f>IF(C920="C99999",1,0)</f>
        <v/>
      </c>
      <c r="J920" s="5">
        <f>IF(OR(H920=1,I920=1),0,IF(G920="Credit",-F920,F920))</f>
        <v/>
      </c>
    </row>
    <row r="921">
      <c r="A921" t="inlineStr">
        <is>
          <t>2026-07-10</t>
        </is>
      </c>
      <c r="B921" t="inlineStr">
        <is>
          <t>F265062</t>
        </is>
      </c>
      <c r="C921" t="inlineStr">
        <is>
          <t>C10265</t>
        </is>
      </c>
      <c r="D921" t="inlineStr">
        <is>
          <t>SKU-10012</t>
        </is>
      </c>
      <c r="E921" t="inlineStr">
        <is>
          <t>AM01</t>
        </is>
      </c>
      <c r="F921" s="5" t="n">
        <v>382.92</v>
      </c>
      <c r="G921">
        <f>IF(LEFT(B921,1)="C","Credit","Factuur")</f>
        <v/>
      </c>
      <c r="H921">
        <f>IF(AND(B921=B920,D921=D920,A921=A920,F921=F920),1,0)</f>
        <v/>
      </c>
      <c r="I921">
        <f>IF(C921="C99999",1,0)</f>
        <v/>
      </c>
      <c r="J921" s="5">
        <f>IF(OR(H921=1,I921=1),0,IF(G921="Credit",-F921,F921))</f>
        <v/>
      </c>
    </row>
    <row r="922">
      <c r="A922" t="inlineStr">
        <is>
          <t>2026-07-10</t>
        </is>
      </c>
      <c r="B922" t="inlineStr">
        <is>
          <t>F265062</t>
        </is>
      </c>
      <c r="C922" t="inlineStr">
        <is>
          <t>C10265</t>
        </is>
      </c>
      <c r="D922" t="inlineStr">
        <is>
          <t>SKU-10071</t>
        </is>
      </c>
      <c r="E922" t="inlineStr">
        <is>
          <t>AM01</t>
        </is>
      </c>
      <c r="F922" s="5" t="n">
        <v>388.83</v>
      </c>
      <c r="G922">
        <f>IF(LEFT(B922,1)="C","Credit","Factuur")</f>
        <v/>
      </c>
      <c r="H922">
        <f>IF(AND(B922=B921,D922=D921,A922=A921,F922=F921),1,0)</f>
        <v/>
      </c>
      <c r="I922">
        <f>IF(C922="C99999",1,0)</f>
        <v/>
      </c>
      <c r="J922" s="5">
        <f>IF(OR(H922=1,I922=1),0,IF(G922="Credit",-F922,F922))</f>
        <v/>
      </c>
    </row>
    <row r="923">
      <c r="A923" t="inlineStr">
        <is>
          <t>2026-07-10</t>
        </is>
      </c>
      <c r="B923" t="inlineStr">
        <is>
          <t>F265062</t>
        </is>
      </c>
      <c r="C923" t="inlineStr">
        <is>
          <t>C10265</t>
        </is>
      </c>
      <c r="D923" t="inlineStr">
        <is>
          <t>SKU-10267</t>
        </is>
      </c>
      <c r="E923" t="inlineStr">
        <is>
          <t>AM01</t>
        </is>
      </c>
      <c r="F923" s="5" t="n">
        <v>399.06</v>
      </c>
      <c r="G923">
        <f>IF(LEFT(B923,1)="C","Credit","Factuur")</f>
        <v/>
      </c>
      <c r="H923">
        <f>IF(AND(B923=B922,D923=D922,A923=A922,F923=F922),1,0)</f>
        <v/>
      </c>
      <c r="I923">
        <f>IF(C923="C99999",1,0)</f>
        <v/>
      </c>
      <c r="J923" s="5">
        <f>IF(OR(H923=1,I923=1),0,IF(G923="Credit",-F923,F923))</f>
        <v/>
      </c>
    </row>
    <row r="924">
      <c r="A924" t="inlineStr">
        <is>
          <t>2026-07-10</t>
        </is>
      </c>
      <c r="B924" t="inlineStr">
        <is>
          <t>F265139</t>
        </is>
      </c>
      <c r="C924" t="inlineStr">
        <is>
          <t>C10271</t>
        </is>
      </c>
      <c r="D924" t="inlineStr">
        <is>
          <t>SKU-10057</t>
        </is>
      </c>
      <c r="E924" t="inlineStr">
        <is>
          <t>AM02</t>
        </is>
      </c>
      <c r="F924" s="5" t="n">
        <v>669.38</v>
      </c>
      <c r="G924">
        <f>IF(LEFT(B924,1)="C","Credit","Factuur")</f>
        <v/>
      </c>
      <c r="H924">
        <f>IF(AND(B924=B923,D924=D923,A924=A923,F924=F923),1,0)</f>
        <v/>
      </c>
      <c r="I924">
        <f>IF(C924="C99999",1,0)</f>
        <v/>
      </c>
      <c r="J924" s="5">
        <f>IF(OR(H924=1,I924=1),0,IF(G924="Credit",-F924,F924))</f>
        <v/>
      </c>
    </row>
    <row r="925">
      <c r="A925" t="inlineStr">
        <is>
          <t>2026-07-10</t>
        </is>
      </c>
      <c r="B925" t="inlineStr">
        <is>
          <t>F265178</t>
        </is>
      </c>
      <c r="C925" t="inlineStr">
        <is>
          <t>C10273</t>
        </is>
      </c>
      <c r="D925" t="inlineStr">
        <is>
          <t>SKU-10173</t>
        </is>
      </c>
      <c r="E925" t="inlineStr">
        <is>
          <t>AM03</t>
        </is>
      </c>
      <c r="F925" s="5" t="n">
        <v>967.5</v>
      </c>
      <c r="G925">
        <f>IF(LEFT(B925,1)="C","Credit","Factuur")</f>
        <v/>
      </c>
      <c r="H925">
        <f>IF(AND(B925=B924,D925=D924,A925=A924,F925=F924),1,0)</f>
        <v/>
      </c>
      <c r="I925">
        <f>IF(C925="C99999",1,0)</f>
        <v/>
      </c>
      <c r="J925" s="5">
        <f>IF(OR(H925=1,I925=1),0,IF(G925="Credit",-F925,F925))</f>
        <v/>
      </c>
    </row>
    <row r="926">
      <c r="A926" t="inlineStr">
        <is>
          <t>2026-07-10</t>
        </is>
      </c>
      <c r="B926" t="inlineStr">
        <is>
          <t>F265598</t>
        </is>
      </c>
      <c r="C926" t="inlineStr">
        <is>
          <t>C10294</t>
        </is>
      </c>
      <c r="D926" t="inlineStr">
        <is>
          <t>SKU-10080</t>
        </is>
      </c>
      <c r="E926" t="inlineStr">
        <is>
          <t>AM11</t>
        </is>
      </c>
      <c r="F926" s="5" t="n">
        <v>122.32</v>
      </c>
      <c r="G926">
        <f>IF(LEFT(B926,1)="C","Credit","Factuur")</f>
        <v/>
      </c>
      <c r="H926">
        <f>IF(AND(B926=B925,D926=D925,A926=A925,F926=F925),1,0)</f>
        <v/>
      </c>
      <c r="I926">
        <f>IF(C926="C99999",1,0)</f>
        <v/>
      </c>
      <c r="J926" s="5">
        <f>IF(OR(H926=1,I926=1),0,IF(G926="Credit",-F926,F926))</f>
        <v/>
      </c>
    </row>
    <row r="927">
      <c r="A927" t="inlineStr">
        <is>
          <t>2026-07-10</t>
        </is>
      </c>
      <c r="B927" t="inlineStr">
        <is>
          <t>F265598</t>
        </is>
      </c>
      <c r="C927" t="inlineStr">
        <is>
          <t>C10294</t>
        </is>
      </c>
      <c r="D927" t="inlineStr">
        <is>
          <t>SKU-10109</t>
        </is>
      </c>
      <c r="E927" t="inlineStr">
        <is>
          <t>AM11</t>
        </is>
      </c>
      <c r="F927" s="5" t="n">
        <v>143.85</v>
      </c>
      <c r="G927">
        <f>IF(LEFT(B927,1)="C","Credit","Factuur")</f>
        <v/>
      </c>
      <c r="H927">
        <f>IF(AND(B927=B926,D927=D926,A927=A926,F927=F926),1,0)</f>
        <v/>
      </c>
      <c r="I927">
        <f>IF(C927="C99999",1,0)</f>
        <v/>
      </c>
      <c r="J927" s="5">
        <f>IF(OR(H927=1,I927=1),0,IF(G927="Credit",-F927,F927))</f>
        <v/>
      </c>
    </row>
    <row r="928">
      <c r="A928" t="inlineStr">
        <is>
          <t>2026-07-10</t>
        </is>
      </c>
      <c r="B928" t="inlineStr">
        <is>
          <t>F265879</t>
        </is>
      </c>
      <c r="C928" t="inlineStr">
        <is>
          <t>C10308</t>
        </is>
      </c>
      <c r="D928" t="inlineStr">
        <is>
          <t>SKU-10199</t>
        </is>
      </c>
      <c r="E928" t="inlineStr">
        <is>
          <t>AM02</t>
        </is>
      </c>
      <c r="F928" s="5" t="n">
        <v>754.1900000000001</v>
      </c>
      <c r="G928">
        <f>IF(LEFT(B928,1)="C","Credit","Factuur")</f>
        <v/>
      </c>
      <c r="H928">
        <f>IF(AND(B928=B927,D928=D927,A928=A927,F928=F927),1,0)</f>
        <v/>
      </c>
      <c r="I928">
        <f>IF(C928="C99999",1,0)</f>
        <v/>
      </c>
      <c r="J928" s="5">
        <f>IF(OR(H928=1,I928=1),0,IF(G928="Credit",-F928,F928))</f>
        <v/>
      </c>
    </row>
    <row r="929">
      <c r="A929" t="inlineStr">
        <is>
          <t>2026-07-10</t>
        </is>
      </c>
      <c r="B929" t="inlineStr">
        <is>
          <t>F266468</t>
        </is>
      </c>
      <c r="C929" t="inlineStr">
        <is>
          <t>C10341</t>
        </is>
      </c>
      <c r="D929" t="inlineStr">
        <is>
          <t>SKU-10216</t>
        </is>
      </c>
      <c r="E929" t="inlineStr">
        <is>
          <t>AM12</t>
        </is>
      </c>
      <c r="F929" s="5" t="n">
        <v>364.05</v>
      </c>
      <c r="G929">
        <f>IF(LEFT(B929,1)="C","Credit","Factuur")</f>
        <v/>
      </c>
      <c r="H929">
        <f>IF(AND(B929=B928,D929=D928,A929=A928,F929=F928),1,0)</f>
        <v/>
      </c>
      <c r="I929">
        <f>IF(C929="C99999",1,0)</f>
        <v/>
      </c>
      <c r="J929" s="5">
        <f>IF(OR(H929=1,I929=1),0,IF(G929="Credit",-F929,F929))</f>
        <v/>
      </c>
    </row>
    <row r="930">
      <c r="A930" t="inlineStr">
        <is>
          <t>2026-07-10</t>
        </is>
      </c>
      <c r="B930" t="inlineStr">
        <is>
          <t>F266468</t>
        </is>
      </c>
      <c r="C930" t="inlineStr">
        <is>
          <t>C10341</t>
        </is>
      </c>
      <c r="D930" t="inlineStr">
        <is>
          <t>SKU-10338</t>
        </is>
      </c>
      <c r="E930" t="inlineStr">
        <is>
          <t>AM12</t>
        </is>
      </c>
      <c r="F930" s="5" t="n">
        <v>327.77</v>
      </c>
      <c r="G930">
        <f>IF(LEFT(B930,1)="C","Credit","Factuur")</f>
        <v/>
      </c>
      <c r="H930">
        <f>IF(AND(B930=B929,D930=D929,A930=A929,F930=F929),1,0)</f>
        <v/>
      </c>
      <c r="I930">
        <f>IF(C930="C99999",1,0)</f>
        <v/>
      </c>
      <c r="J930" s="5">
        <f>IF(OR(H930=1,I930=1),0,IF(G930="Credit",-F930,F930))</f>
        <v/>
      </c>
    </row>
    <row r="931">
      <c r="A931" t="inlineStr">
        <is>
          <t>2026-07-10</t>
        </is>
      </c>
      <c r="B931" t="inlineStr">
        <is>
          <t>F266520</t>
        </is>
      </c>
      <c r="C931" t="inlineStr">
        <is>
          <t>C10343</t>
        </is>
      </c>
      <c r="D931" t="inlineStr">
        <is>
          <t>SKU-10020</t>
        </is>
      </c>
      <c r="E931" t="inlineStr">
        <is>
          <t>AM05</t>
        </is>
      </c>
      <c r="F931" s="5" t="n">
        <v>3376</v>
      </c>
      <c r="G931">
        <f>IF(LEFT(B931,1)="C","Credit","Factuur")</f>
        <v/>
      </c>
      <c r="H931">
        <f>IF(AND(B931=B930,D931=D930,A931=A930,F931=F930),1,0)</f>
        <v/>
      </c>
      <c r="I931">
        <f>IF(C931="C99999",1,0)</f>
        <v/>
      </c>
      <c r="J931" s="5">
        <f>IF(OR(H931=1,I931=1),0,IF(G931="Credit",-F931,F931))</f>
        <v/>
      </c>
    </row>
    <row r="932">
      <c r="A932" t="inlineStr">
        <is>
          <t>2026-07-10</t>
        </is>
      </c>
      <c r="B932" t="inlineStr">
        <is>
          <t>F266520</t>
        </is>
      </c>
      <c r="C932" t="inlineStr">
        <is>
          <t>C10343</t>
        </is>
      </c>
      <c r="D932" t="inlineStr">
        <is>
          <t>SKU-10205</t>
        </is>
      </c>
      <c r="E932" t="inlineStr">
        <is>
          <t>AM05</t>
        </is>
      </c>
      <c r="F932" s="5" t="n">
        <v>3552.66</v>
      </c>
      <c r="G932">
        <f>IF(LEFT(B932,1)="C","Credit","Factuur")</f>
        <v/>
      </c>
      <c r="H932">
        <f>IF(AND(B932=B931,D932=D931,A932=A931,F932=F931),1,0)</f>
        <v/>
      </c>
      <c r="I932">
        <f>IF(C932="C99999",1,0)</f>
        <v/>
      </c>
      <c r="J932" s="5">
        <f>IF(OR(H932=1,I932=1),0,IF(G932="Credit",-F932,F932))</f>
        <v/>
      </c>
    </row>
    <row r="933">
      <c r="A933" t="inlineStr">
        <is>
          <t>2026-07-10</t>
        </is>
      </c>
      <c r="B933" t="inlineStr">
        <is>
          <t>F266856</t>
        </is>
      </c>
      <c r="C933" t="inlineStr">
        <is>
          <t>C10360</t>
        </is>
      </c>
      <c r="D933" t="inlineStr">
        <is>
          <t>SKU-10070</t>
        </is>
      </c>
      <c r="E933" t="inlineStr">
        <is>
          <t>AM05</t>
        </is>
      </c>
      <c r="F933" s="5" t="n">
        <v>776.79</v>
      </c>
      <c r="G933">
        <f>IF(LEFT(B933,1)="C","Credit","Factuur")</f>
        <v/>
      </c>
      <c r="H933">
        <f>IF(AND(B933=B932,D933=D932,A933=A932,F933=F932),1,0)</f>
        <v/>
      </c>
      <c r="I933">
        <f>IF(C933="C99999",1,0)</f>
        <v/>
      </c>
      <c r="J933" s="5">
        <f>IF(OR(H933=1,I933=1),0,IF(G933="Credit",-F933,F933))</f>
        <v/>
      </c>
    </row>
    <row r="934">
      <c r="A934" t="inlineStr">
        <is>
          <t>2026-07-10</t>
        </is>
      </c>
      <c r="B934" t="inlineStr">
        <is>
          <t>F267340</t>
        </is>
      </c>
      <c r="C934" t="inlineStr">
        <is>
          <t>C10387</t>
        </is>
      </c>
      <c r="D934" t="inlineStr">
        <is>
          <t>SKU-10033</t>
        </is>
      </c>
      <c r="E934" t="inlineStr">
        <is>
          <t>AM06</t>
        </is>
      </c>
      <c r="F934" s="5" t="n">
        <v>193.86</v>
      </c>
      <c r="G934">
        <f>IF(LEFT(B934,1)="C","Credit","Factuur")</f>
        <v/>
      </c>
      <c r="H934">
        <f>IF(AND(B934=B933,D934=D933,A934=A933,F934=F933),1,0)</f>
        <v/>
      </c>
      <c r="I934">
        <f>IF(C934="C99999",1,0)</f>
        <v/>
      </c>
      <c r="J934" s="5">
        <f>IF(OR(H934=1,I934=1),0,IF(G934="Credit",-F934,F934))</f>
        <v/>
      </c>
    </row>
    <row r="935">
      <c r="A935" t="inlineStr">
        <is>
          <t>2026-07-10</t>
        </is>
      </c>
      <c r="B935" t="inlineStr">
        <is>
          <t>F267340</t>
        </is>
      </c>
      <c r="C935" t="inlineStr">
        <is>
          <t>C10387</t>
        </is>
      </c>
      <c r="D935" t="inlineStr">
        <is>
          <t>SKU-10064</t>
        </is>
      </c>
      <c r="E935" t="inlineStr">
        <is>
          <t>AM06</t>
        </is>
      </c>
      <c r="F935" s="5" t="n">
        <v>176.76</v>
      </c>
      <c r="G935">
        <f>IF(LEFT(B935,1)="C","Credit","Factuur")</f>
        <v/>
      </c>
      <c r="H935">
        <f>IF(AND(B935=B934,D935=D934,A935=A934,F935=F934),1,0)</f>
        <v/>
      </c>
      <c r="I935">
        <f>IF(C935="C99999",1,0)</f>
        <v/>
      </c>
      <c r="J935" s="5">
        <f>IF(OR(H935=1,I935=1),0,IF(G935="Credit",-F935,F935))</f>
        <v/>
      </c>
    </row>
    <row r="936">
      <c r="A936" t="inlineStr">
        <is>
          <t>2026-07-10</t>
        </is>
      </c>
      <c r="B936" t="inlineStr">
        <is>
          <t>F267340</t>
        </is>
      </c>
      <c r="C936" t="inlineStr">
        <is>
          <t>C10387</t>
        </is>
      </c>
      <c r="D936" t="inlineStr">
        <is>
          <t>SKU-10101</t>
        </is>
      </c>
      <c r="E936" t="inlineStr">
        <is>
          <t>AM06</t>
        </is>
      </c>
      <c r="F936" s="5" t="n">
        <v>178.14</v>
      </c>
      <c r="G936">
        <f>IF(LEFT(B936,1)="C","Credit","Factuur")</f>
        <v/>
      </c>
      <c r="H936">
        <f>IF(AND(B936=B935,D936=D935,A936=A935,F936=F935),1,0)</f>
        <v/>
      </c>
      <c r="I936">
        <f>IF(C936="C99999",1,0)</f>
        <v/>
      </c>
      <c r="J936" s="5">
        <f>IF(OR(H936=1,I936=1),0,IF(G936="Credit",-F936,F936))</f>
        <v/>
      </c>
    </row>
    <row r="937">
      <c r="A937" t="inlineStr">
        <is>
          <t>2026-07-10</t>
        </is>
      </c>
      <c r="B937" t="inlineStr">
        <is>
          <t>F267340</t>
        </is>
      </c>
      <c r="C937" t="inlineStr">
        <is>
          <t>C10387</t>
        </is>
      </c>
      <c r="D937" t="inlineStr">
        <is>
          <t>SKU-10316</t>
        </is>
      </c>
      <c r="E937" t="inlineStr">
        <is>
          <t>AM06</t>
        </is>
      </c>
      <c r="F937" s="5" t="n">
        <v>200.83</v>
      </c>
      <c r="G937">
        <f>IF(LEFT(B937,1)="C","Credit","Factuur")</f>
        <v/>
      </c>
      <c r="H937">
        <f>IF(AND(B937=B936,D937=D936,A937=A936,F937=F936),1,0)</f>
        <v/>
      </c>
      <c r="I937">
        <f>IF(C937="C99999",1,0)</f>
        <v/>
      </c>
      <c r="J937" s="5">
        <f>IF(OR(H937=1,I937=1),0,IF(G937="Credit",-F937,F937))</f>
        <v/>
      </c>
    </row>
    <row r="938">
      <c r="A938" t="inlineStr">
        <is>
          <t>2026-07-10</t>
        </is>
      </c>
      <c r="B938" t="inlineStr">
        <is>
          <t>F267340</t>
        </is>
      </c>
      <c r="C938" t="inlineStr">
        <is>
          <t>C10387</t>
        </is>
      </c>
      <c r="D938" t="inlineStr">
        <is>
          <t>SKU-10333</t>
        </is>
      </c>
      <c r="E938" t="inlineStr">
        <is>
          <t>AM06</t>
        </is>
      </c>
      <c r="F938" s="5" t="n">
        <v>176.42</v>
      </c>
      <c r="G938">
        <f>IF(LEFT(B938,1)="C","Credit","Factuur")</f>
        <v/>
      </c>
      <c r="H938">
        <f>IF(AND(B938=B937,D938=D937,A938=A937,F938=F937),1,0)</f>
        <v/>
      </c>
      <c r="I938">
        <f>IF(C938="C99999",1,0)</f>
        <v/>
      </c>
      <c r="J938" s="5">
        <f>IF(OR(H938=1,I938=1),0,IF(G938="Credit",-F938,F938))</f>
        <v/>
      </c>
    </row>
    <row r="939">
      <c r="A939" t="inlineStr">
        <is>
          <t>2026-07-10</t>
        </is>
      </c>
      <c r="B939" t="inlineStr">
        <is>
          <t>F267469</t>
        </is>
      </c>
      <c r="C939" t="inlineStr">
        <is>
          <t>C10395</t>
        </is>
      </c>
      <c r="D939" t="inlineStr">
        <is>
          <t>SKU-10265</t>
        </is>
      </c>
      <c r="E939" t="inlineStr">
        <is>
          <t>AM07</t>
        </is>
      </c>
      <c r="F939" s="5" t="n">
        <v>1263.88</v>
      </c>
      <c r="G939">
        <f>IF(LEFT(B939,1)="C","Credit","Factuur")</f>
        <v/>
      </c>
      <c r="H939">
        <f>IF(AND(B939=B938,D939=D938,A939=A938,F939=F938),1,0)</f>
        <v/>
      </c>
      <c r="I939">
        <f>IF(C939="C99999",1,0)</f>
        <v/>
      </c>
      <c r="J939" s="5">
        <f>IF(OR(H939=1,I939=1),0,IF(G939="Credit",-F939,F939))</f>
        <v/>
      </c>
    </row>
    <row r="940">
      <c r="A940" t="inlineStr">
        <is>
          <t>2026-07-10</t>
        </is>
      </c>
      <c r="B940" t="inlineStr">
        <is>
          <t>F267469</t>
        </is>
      </c>
      <c r="C940" t="inlineStr">
        <is>
          <t>C10395</t>
        </is>
      </c>
      <c r="D940" t="inlineStr">
        <is>
          <t>SKU-10344</t>
        </is>
      </c>
      <c r="E940" t="inlineStr">
        <is>
          <t>AM07</t>
        </is>
      </c>
      <c r="F940" s="5" t="n">
        <v>1260</v>
      </c>
      <c r="G940">
        <f>IF(LEFT(B940,1)="C","Credit","Factuur")</f>
        <v/>
      </c>
      <c r="H940">
        <f>IF(AND(B940=B939,D940=D939,A940=A939,F940=F939),1,0)</f>
        <v/>
      </c>
      <c r="I940">
        <f>IF(C940="C99999",1,0)</f>
        <v/>
      </c>
      <c r="J940" s="5">
        <f>IF(OR(H940=1,I940=1),0,IF(G940="Credit",-F940,F940))</f>
        <v/>
      </c>
    </row>
    <row r="941">
      <c r="A941" t="inlineStr">
        <is>
          <t>2026-07-10</t>
        </is>
      </c>
      <c r="B941" t="inlineStr">
        <is>
          <t>F267543</t>
        </is>
      </c>
      <c r="C941" t="inlineStr">
        <is>
          <t>C10397</t>
        </is>
      </c>
      <c r="D941" t="inlineStr">
        <is>
          <t>SKU-10014</t>
        </is>
      </c>
      <c r="E941" t="inlineStr">
        <is>
          <t>AM03</t>
        </is>
      </c>
      <c r="F941" s="5" t="n">
        <v>242.18</v>
      </c>
      <c r="G941">
        <f>IF(LEFT(B941,1)="C","Credit","Factuur")</f>
        <v/>
      </c>
      <c r="H941">
        <f>IF(AND(B941=B940,D941=D940,A941=A940,F941=F940),1,0)</f>
        <v/>
      </c>
      <c r="I941">
        <f>IF(C941="C99999",1,0)</f>
        <v/>
      </c>
      <c r="J941" s="5">
        <f>IF(OR(H941=1,I941=1),0,IF(G941="Credit",-F941,F941))</f>
        <v/>
      </c>
    </row>
    <row r="942">
      <c r="A942" t="inlineStr">
        <is>
          <t>2026-07-10</t>
        </is>
      </c>
      <c r="B942" t="inlineStr">
        <is>
          <t>F267543</t>
        </is>
      </c>
      <c r="C942" t="inlineStr">
        <is>
          <t>C10397</t>
        </is>
      </c>
      <c r="D942" t="inlineStr">
        <is>
          <t>SKU-10179</t>
        </is>
      </c>
      <c r="E942" t="inlineStr">
        <is>
          <t>AM03</t>
        </is>
      </c>
      <c r="F942" s="5" t="n">
        <v>273.68</v>
      </c>
      <c r="G942">
        <f>IF(LEFT(B942,1)="C","Credit","Factuur")</f>
        <v/>
      </c>
      <c r="H942">
        <f>IF(AND(B942=B941,D942=D941,A942=A941,F942=F941),1,0)</f>
        <v/>
      </c>
      <c r="I942">
        <f>IF(C942="C99999",1,0)</f>
        <v/>
      </c>
      <c r="J942" s="5">
        <f>IF(OR(H942=1,I942=1),0,IF(G942="Credit",-F942,F942))</f>
        <v/>
      </c>
    </row>
    <row r="943">
      <c r="A943" t="inlineStr">
        <is>
          <t>2026-07-10</t>
        </is>
      </c>
      <c r="B943" t="inlineStr">
        <is>
          <t>F267543</t>
        </is>
      </c>
      <c r="C943" t="inlineStr">
        <is>
          <t>C10397</t>
        </is>
      </c>
      <c r="D943" t="inlineStr">
        <is>
          <t>SKU-10235</t>
        </is>
      </c>
      <c r="E943" t="inlineStr">
        <is>
          <t>AM03</t>
        </is>
      </c>
      <c r="F943" s="5" t="n">
        <v>237.31</v>
      </c>
      <c r="G943">
        <f>IF(LEFT(B943,1)="C","Credit","Factuur")</f>
        <v/>
      </c>
      <c r="H943">
        <f>IF(AND(B943=B942,D943=D942,A943=A942,F943=F942),1,0)</f>
        <v/>
      </c>
      <c r="I943">
        <f>IF(C943="C99999",1,0)</f>
        <v/>
      </c>
      <c r="J943" s="5">
        <f>IF(OR(H943=1,I943=1),0,IF(G943="Credit",-F943,F943))</f>
        <v/>
      </c>
    </row>
    <row r="944">
      <c r="A944" t="inlineStr">
        <is>
          <t>2026-07-10</t>
        </is>
      </c>
      <c r="B944" t="inlineStr">
        <is>
          <t>F267592</t>
        </is>
      </c>
      <c r="C944" t="inlineStr">
        <is>
          <t>C10399</t>
        </is>
      </c>
      <c r="D944" t="inlineStr">
        <is>
          <t>SKU-10058</t>
        </is>
      </c>
      <c r="E944" t="inlineStr">
        <is>
          <t>AM08</t>
        </is>
      </c>
      <c r="F944" s="5" t="n">
        <v>3990.27</v>
      </c>
      <c r="G944">
        <f>IF(LEFT(B944,1)="C","Credit","Factuur")</f>
        <v/>
      </c>
      <c r="H944">
        <f>IF(AND(B944=B943,D944=D943,A944=A943,F944=F943),1,0)</f>
        <v/>
      </c>
      <c r="I944">
        <f>IF(C944="C99999",1,0)</f>
        <v/>
      </c>
      <c r="J944" s="5">
        <f>IF(OR(H944=1,I944=1),0,IF(G944="Credit",-F944,F944))</f>
        <v/>
      </c>
    </row>
    <row r="945">
      <c r="A945" t="inlineStr">
        <is>
          <t>2026-07-10</t>
        </is>
      </c>
      <c r="B945" t="inlineStr">
        <is>
          <t>F268086</t>
        </is>
      </c>
      <c r="C945" t="inlineStr">
        <is>
          <t>C10424</t>
        </is>
      </c>
      <c r="D945" t="inlineStr">
        <is>
          <t>SKU-10267</t>
        </is>
      </c>
      <c r="E945" t="inlineStr">
        <is>
          <t>AM01</t>
        </is>
      </c>
      <c r="F945" s="5" t="n">
        <v>177.36</v>
      </c>
      <c r="G945">
        <f>IF(LEFT(B945,1)="C","Credit","Factuur")</f>
        <v/>
      </c>
      <c r="H945">
        <f>IF(AND(B945=B944,D945=D944,A945=A944,F945=F944),1,0)</f>
        <v/>
      </c>
      <c r="I945">
        <f>IF(C945="C99999",1,0)</f>
        <v/>
      </c>
      <c r="J945" s="5">
        <f>IF(OR(H945=1,I945=1),0,IF(G945="Credit",-F945,F945))</f>
        <v/>
      </c>
    </row>
    <row r="946">
      <c r="A946" t="inlineStr">
        <is>
          <t>2026-07-10</t>
        </is>
      </c>
      <c r="B946" t="inlineStr">
        <is>
          <t>F268086</t>
        </is>
      </c>
      <c r="C946" t="inlineStr">
        <is>
          <t>C10424</t>
        </is>
      </c>
      <c r="D946" t="inlineStr">
        <is>
          <t>SKU-10290</t>
        </is>
      </c>
      <c r="E946" t="inlineStr">
        <is>
          <t>AM01</t>
        </is>
      </c>
      <c r="F946" s="5" t="n">
        <v>181.65</v>
      </c>
      <c r="G946">
        <f>IF(LEFT(B946,1)="C","Credit","Factuur")</f>
        <v/>
      </c>
      <c r="H946">
        <f>IF(AND(B946=B945,D946=D945,A946=A945,F946=F945),1,0)</f>
        <v/>
      </c>
      <c r="I946">
        <f>IF(C946="C99999",1,0)</f>
        <v/>
      </c>
      <c r="J946" s="5">
        <f>IF(OR(H946=1,I946=1),0,IF(G946="Credit",-F946,F946))</f>
        <v/>
      </c>
    </row>
    <row r="947">
      <c r="A947" t="inlineStr">
        <is>
          <t>2026-07-10</t>
        </is>
      </c>
      <c r="B947" t="inlineStr">
        <is>
          <t>F269220</t>
        </is>
      </c>
      <c r="C947" t="inlineStr">
        <is>
          <t>C10484</t>
        </is>
      </c>
      <c r="D947" t="inlineStr">
        <is>
          <t>SKU-10094</t>
        </is>
      </c>
      <c r="E947" t="inlineStr">
        <is>
          <t>AM02</t>
        </is>
      </c>
      <c r="F947" s="5" t="n">
        <v>169.8</v>
      </c>
      <c r="G947">
        <f>IF(LEFT(B947,1)="C","Credit","Factuur")</f>
        <v/>
      </c>
      <c r="H947">
        <f>IF(AND(B947=B946,D947=D946,A947=A946,F947=F946),1,0)</f>
        <v/>
      </c>
      <c r="I947">
        <f>IF(C947="C99999",1,0)</f>
        <v/>
      </c>
      <c r="J947" s="5">
        <f>IF(OR(H947=1,I947=1),0,IF(G947="Credit",-F947,F947))</f>
        <v/>
      </c>
    </row>
    <row r="948">
      <c r="A948" t="inlineStr">
        <is>
          <t>2026-07-10</t>
        </is>
      </c>
      <c r="B948" t="inlineStr">
        <is>
          <t>F269220</t>
        </is>
      </c>
      <c r="C948" t="inlineStr">
        <is>
          <t>C10484</t>
        </is>
      </c>
      <c r="D948" t="inlineStr">
        <is>
          <t>SKU-10167</t>
        </is>
      </c>
      <c r="E948" t="inlineStr">
        <is>
          <t>AM02</t>
        </is>
      </c>
      <c r="F948" s="5" t="n">
        <v>157.38</v>
      </c>
      <c r="G948">
        <f>IF(LEFT(B948,1)="C","Credit","Factuur")</f>
        <v/>
      </c>
      <c r="H948">
        <f>IF(AND(B948=B947,D948=D947,A948=A947,F948=F947),1,0)</f>
        <v/>
      </c>
      <c r="I948">
        <f>IF(C948="C99999",1,0)</f>
        <v/>
      </c>
      <c r="J948" s="5">
        <f>IF(OR(H948=1,I948=1),0,IF(G948="Credit",-F948,F948))</f>
        <v/>
      </c>
    </row>
    <row r="949">
      <c r="A949" t="inlineStr">
        <is>
          <t>2026-07-10</t>
        </is>
      </c>
      <c r="B949" t="inlineStr">
        <is>
          <t>F269220</t>
        </is>
      </c>
      <c r="C949" t="inlineStr">
        <is>
          <t>C10484</t>
        </is>
      </c>
      <c r="D949" t="inlineStr">
        <is>
          <t>SKU-10173</t>
        </is>
      </c>
      <c r="E949" t="inlineStr">
        <is>
          <t>AM02</t>
        </is>
      </c>
      <c r="F949" s="5" t="n">
        <v>172</v>
      </c>
      <c r="G949">
        <f>IF(LEFT(B949,1)="C","Credit","Factuur")</f>
        <v/>
      </c>
      <c r="H949">
        <f>IF(AND(B949=B948,D949=D948,A949=A948,F949=F948),1,0)</f>
        <v/>
      </c>
      <c r="I949">
        <f>IF(C949="C99999",1,0)</f>
        <v/>
      </c>
      <c r="J949" s="5">
        <f>IF(OR(H949=1,I949=1),0,IF(G949="Credit",-F949,F949))</f>
        <v/>
      </c>
    </row>
    <row r="950">
      <c r="A950" t="inlineStr">
        <is>
          <t>2026-07-10</t>
        </is>
      </c>
      <c r="B950" t="inlineStr">
        <is>
          <t>F269220</t>
        </is>
      </c>
      <c r="C950" t="inlineStr">
        <is>
          <t>C10484</t>
        </is>
      </c>
      <c r="D950" t="inlineStr">
        <is>
          <t>SKU-10180</t>
        </is>
      </c>
      <c r="E950" t="inlineStr">
        <is>
          <t>AM02</t>
        </is>
      </c>
      <c r="F950" s="5" t="n">
        <v>177.44</v>
      </c>
      <c r="G950">
        <f>IF(LEFT(B950,1)="C","Credit","Factuur")</f>
        <v/>
      </c>
      <c r="H950">
        <f>IF(AND(B950=B949,D950=D949,A950=A949,F950=F949),1,0)</f>
        <v/>
      </c>
      <c r="I950">
        <f>IF(C950="C99999",1,0)</f>
        <v/>
      </c>
      <c r="J950" s="5">
        <f>IF(OR(H950=1,I950=1),0,IF(G950="Credit",-F950,F950))</f>
        <v/>
      </c>
    </row>
    <row r="951">
      <c r="A951" t="inlineStr">
        <is>
          <t>2026-07-10</t>
        </is>
      </c>
      <c r="B951" t="inlineStr">
        <is>
          <t>F269380</t>
        </is>
      </c>
      <c r="C951" t="inlineStr">
        <is>
          <t>C10492</t>
        </is>
      </c>
      <c r="D951" t="inlineStr">
        <is>
          <t>SKU-10222</t>
        </is>
      </c>
      <c r="E951" t="inlineStr">
        <is>
          <t>AM08</t>
        </is>
      </c>
      <c r="F951" s="5" t="n">
        <v>337.55</v>
      </c>
      <c r="G951">
        <f>IF(LEFT(B951,1)="C","Credit","Factuur")</f>
        <v/>
      </c>
      <c r="H951">
        <f>IF(AND(B951=B950,D951=D950,A951=A950,F951=F950),1,0)</f>
        <v/>
      </c>
      <c r="I951">
        <f>IF(C951="C99999",1,0)</f>
        <v/>
      </c>
      <c r="J951" s="5">
        <f>IF(OR(H951=1,I951=1),0,IF(G951="Credit",-F951,F951))</f>
        <v/>
      </c>
    </row>
    <row r="952">
      <c r="A952" t="inlineStr">
        <is>
          <t>2026-07-10</t>
        </is>
      </c>
      <c r="B952" t="inlineStr">
        <is>
          <t>F269380</t>
        </is>
      </c>
      <c r="C952" t="inlineStr">
        <is>
          <t>C10492</t>
        </is>
      </c>
      <c r="D952" t="inlineStr">
        <is>
          <t>SKU-10285</t>
        </is>
      </c>
      <c r="E952" t="inlineStr">
        <is>
          <t>AM08</t>
        </is>
      </c>
      <c r="F952" s="5" t="n">
        <v>327.29</v>
      </c>
      <c r="G952">
        <f>IF(LEFT(B952,1)="C","Credit","Factuur")</f>
        <v/>
      </c>
      <c r="H952">
        <f>IF(AND(B952=B951,D952=D951,A952=A951,F952=F951),1,0)</f>
        <v/>
      </c>
      <c r="I952">
        <f>IF(C952="C99999",1,0)</f>
        <v/>
      </c>
      <c r="J952" s="5">
        <f>IF(OR(H952=1,I952=1),0,IF(G952="Credit",-F952,F952))</f>
        <v/>
      </c>
    </row>
    <row r="953">
      <c r="A953" t="inlineStr">
        <is>
          <t>2026-07-10</t>
        </is>
      </c>
      <c r="B953" t="inlineStr">
        <is>
          <t>F269380</t>
        </is>
      </c>
      <c r="C953" t="inlineStr">
        <is>
          <t>C10492</t>
        </is>
      </c>
      <c r="D953" t="inlineStr">
        <is>
          <t>SKU-10329</t>
        </is>
      </c>
      <c r="E953" t="inlineStr">
        <is>
          <t>AM08</t>
        </is>
      </c>
      <c r="F953" s="5" t="n">
        <v>368.2</v>
      </c>
      <c r="G953">
        <f>IF(LEFT(B953,1)="C","Credit","Factuur")</f>
        <v/>
      </c>
      <c r="H953">
        <f>IF(AND(B953=B952,D953=D952,A953=A952,F953=F952),1,0)</f>
        <v/>
      </c>
      <c r="I953">
        <f>IF(C953="C99999",1,0)</f>
        <v/>
      </c>
      <c r="J953" s="5">
        <f>IF(OR(H953=1,I953=1),0,IF(G953="Credit",-F953,F953))</f>
        <v/>
      </c>
    </row>
    <row r="954">
      <c r="A954" t="inlineStr">
        <is>
          <t>2026-07-10</t>
        </is>
      </c>
      <c r="B954" t="inlineStr">
        <is>
          <t>F269380</t>
        </is>
      </c>
      <c r="C954" t="inlineStr">
        <is>
          <t>C10492</t>
        </is>
      </c>
      <c r="D954" t="inlineStr">
        <is>
          <t>SKU-10346</t>
        </is>
      </c>
      <c r="E954" t="inlineStr">
        <is>
          <t>AM08</t>
        </is>
      </c>
      <c r="F954" s="5" t="n">
        <v>1078.58</v>
      </c>
      <c r="G954">
        <f>IF(LEFT(B954,1)="C","Credit","Factuur")</f>
        <v/>
      </c>
      <c r="H954">
        <f>IF(AND(B954=B953,D954=D953,A954=A953,F954=F953),1,0)</f>
        <v/>
      </c>
      <c r="I954">
        <f>IF(C954="C99999",1,0)</f>
        <v/>
      </c>
      <c r="J954" s="5">
        <f>IF(OR(H954=1,I954=1),0,IF(G954="Credit",-F954,F954))</f>
        <v/>
      </c>
    </row>
    <row r="955">
      <c r="A955" t="inlineStr">
        <is>
          <t>2026-07-10</t>
        </is>
      </c>
      <c r="B955" t="inlineStr">
        <is>
          <t>F269450</t>
        </is>
      </c>
      <c r="C955" t="inlineStr">
        <is>
          <t>C10496</t>
        </is>
      </c>
      <c r="D955" t="inlineStr">
        <is>
          <t>SKU-10098</t>
        </is>
      </c>
      <c r="E955" t="inlineStr">
        <is>
          <t>AM09</t>
        </is>
      </c>
      <c r="F955" s="5" t="n">
        <v>11882.97</v>
      </c>
      <c r="G955">
        <f>IF(LEFT(B955,1)="C","Credit","Factuur")</f>
        <v/>
      </c>
      <c r="H955">
        <f>IF(AND(B955=B954,D955=D954,A955=A954,F955=F954),1,0)</f>
        <v/>
      </c>
      <c r="I955">
        <f>IF(C955="C99999",1,0)</f>
        <v/>
      </c>
      <c r="J955" s="5">
        <f>IF(OR(H955=1,I955=1),0,IF(G955="Credit",-F955,F955))</f>
        <v/>
      </c>
    </row>
    <row r="956">
      <c r="A956" t="inlineStr">
        <is>
          <t>2026-07-10</t>
        </is>
      </c>
      <c r="B956" t="inlineStr">
        <is>
          <t>F269450</t>
        </is>
      </c>
      <c r="C956" t="inlineStr">
        <is>
          <t>C10496</t>
        </is>
      </c>
      <c r="D956" t="inlineStr">
        <is>
          <t>SKU-10309</t>
        </is>
      </c>
      <c r="E956" t="inlineStr">
        <is>
          <t>AM09</t>
        </is>
      </c>
      <c r="F956" s="5" t="n">
        <v>11238.27</v>
      </c>
      <c r="G956">
        <f>IF(LEFT(B956,1)="C","Credit","Factuur")</f>
        <v/>
      </c>
      <c r="H956">
        <f>IF(AND(B956=B955,D956=D955,A956=A955,F956=F955),1,0)</f>
        <v/>
      </c>
      <c r="I956">
        <f>IF(C956="C99999",1,0)</f>
        <v/>
      </c>
      <c r="J956" s="5">
        <f>IF(OR(H956=1,I956=1),0,IF(G956="Credit",-F956,F956))</f>
        <v/>
      </c>
    </row>
    <row r="957">
      <c r="A957" t="inlineStr">
        <is>
          <t>2026-07-10</t>
        </is>
      </c>
      <c r="B957" t="inlineStr">
        <is>
          <t>F269450</t>
        </is>
      </c>
      <c r="C957" t="inlineStr">
        <is>
          <t>C10496</t>
        </is>
      </c>
      <c r="D957" t="inlineStr">
        <is>
          <t>SKU-10342</t>
        </is>
      </c>
      <c r="E957" t="inlineStr">
        <is>
          <t>AM09</t>
        </is>
      </c>
      <c r="F957" s="5" t="n">
        <v>10656.95</v>
      </c>
      <c r="G957">
        <f>IF(LEFT(B957,1)="C","Credit","Factuur")</f>
        <v/>
      </c>
      <c r="H957">
        <f>IF(AND(B957=B956,D957=D956,A957=A956,F957=F956),1,0)</f>
        <v/>
      </c>
      <c r="I957">
        <f>IF(C957="C99999",1,0)</f>
        <v/>
      </c>
      <c r="J957" s="5">
        <f>IF(OR(H957=1,I957=1),0,IF(G957="Credit",-F957,F957))</f>
        <v/>
      </c>
    </row>
    <row r="958">
      <c r="A958" t="inlineStr">
        <is>
          <t>2026-07-10</t>
        </is>
      </c>
      <c r="B958" t="inlineStr">
        <is>
          <t>F269511</t>
        </is>
      </c>
      <c r="C958" t="inlineStr">
        <is>
          <t>C10499</t>
        </is>
      </c>
      <c r="D958" t="inlineStr">
        <is>
          <t>SKU-10128</t>
        </is>
      </c>
      <c r="E958" t="inlineStr">
        <is>
          <t>AM09</t>
        </is>
      </c>
      <c r="F958" s="5" t="n">
        <v>1892.63</v>
      </c>
      <c r="G958">
        <f>IF(LEFT(B958,1)="C","Credit","Factuur")</f>
        <v/>
      </c>
      <c r="H958">
        <f>IF(AND(B958=B957,D958=D957,A958=A957,F958=F957),1,0)</f>
        <v/>
      </c>
      <c r="I958">
        <f>IF(C958="C99999",1,0)</f>
        <v/>
      </c>
      <c r="J958" s="5">
        <f>IF(OR(H958=1,I958=1),0,IF(G958="Credit",-F958,F958))</f>
        <v/>
      </c>
    </row>
    <row r="959">
      <c r="A959" t="inlineStr">
        <is>
          <t>2026-07-10</t>
        </is>
      </c>
      <c r="B959" t="inlineStr">
        <is>
          <t>F269511</t>
        </is>
      </c>
      <c r="C959" t="inlineStr">
        <is>
          <t>C10499</t>
        </is>
      </c>
      <c r="D959" t="inlineStr">
        <is>
          <t>SKU-10208</t>
        </is>
      </c>
      <c r="E959" t="inlineStr">
        <is>
          <t>AM09</t>
        </is>
      </c>
      <c r="F959" s="5" t="n">
        <v>1786.27</v>
      </c>
      <c r="G959">
        <f>IF(LEFT(B959,1)="C","Credit","Factuur")</f>
        <v/>
      </c>
      <c r="H959">
        <f>IF(AND(B959=B958,D959=D958,A959=A958,F959=F958),1,0)</f>
        <v/>
      </c>
      <c r="I959">
        <f>IF(C959="C99999",1,0)</f>
        <v/>
      </c>
      <c r="J959" s="5">
        <f>IF(OR(H959=1,I959=1),0,IF(G959="Credit",-F959,F959))</f>
        <v/>
      </c>
    </row>
    <row r="960">
      <c r="A960" t="inlineStr">
        <is>
          <t>2026-07-10</t>
        </is>
      </c>
      <c r="B960" t="inlineStr">
        <is>
          <t>F269511</t>
        </is>
      </c>
      <c r="C960" t="inlineStr">
        <is>
          <t>C10499</t>
        </is>
      </c>
      <c r="D960" t="inlineStr">
        <is>
          <t>SKU-10304</t>
        </is>
      </c>
      <c r="E960" t="inlineStr">
        <is>
          <t>AM09</t>
        </is>
      </c>
      <c r="F960" s="5" t="n">
        <v>1597.52</v>
      </c>
      <c r="G960">
        <f>IF(LEFT(B960,1)="C","Credit","Factuur")</f>
        <v/>
      </c>
      <c r="H960">
        <f>IF(AND(B960=B959,D960=D959,A960=A959,F960=F959),1,0)</f>
        <v/>
      </c>
      <c r="I960">
        <f>IF(C960="C99999",1,0)</f>
        <v/>
      </c>
      <c r="J960" s="5">
        <f>IF(OR(H960=1,I960=1),0,IF(G960="Credit",-F960,F960))</f>
        <v/>
      </c>
    </row>
    <row r="961">
      <c r="A961" t="inlineStr">
        <is>
          <t>2026-07-10</t>
        </is>
      </c>
      <c r="B961" t="inlineStr">
        <is>
          <t>F269511</t>
        </is>
      </c>
      <c r="C961" t="inlineStr">
        <is>
          <t>C10499</t>
        </is>
      </c>
      <c r="D961" t="inlineStr">
        <is>
          <t>SKU-10306</t>
        </is>
      </c>
      <c r="E961" t="inlineStr">
        <is>
          <t>AM09</t>
        </is>
      </c>
      <c r="F961" s="5" t="n">
        <v>1657.52</v>
      </c>
      <c r="G961">
        <f>IF(LEFT(B961,1)="C","Credit","Factuur")</f>
        <v/>
      </c>
      <c r="H961">
        <f>IF(AND(B961=B960,D961=D960,A961=A960,F961=F960),1,0)</f>
        <v/>
      </c>
      <c r="I961">
        <f>IF(C961="C99999",1,0)</f>
        <v/>
      </c>
      <c r="J961" s="5">
        <f>IF(OR(H961=1,I961=1),0,IF(G961="Credit",-F961,F961))</f>
        <v/>
      </c>
    </row>
    <row r="962">
      <c r="A962" t="inlineStr">
        <is>
          <t>2026-07-10</t>
        </is>
      </c>
      <c r="B962" t="inlineStr">
        <is>
          <t>F270037</t>
        </is>
      </c>
      <c r="C962" t="inlineStr">
        <is>
          <t>C10528</t>
        </is>
      </c>
      <c r="D962" t="inlineStr">
        <is>
          <t>SKU-10100</t>
        </is>
      </c>
      <c r="E962" t="inlineStr">
        <is>
          <t>AM09</t>
        </is>
      </c>
      <c r="F962" s="5" t="n">
        <v>4660.89</v>
      </c>
      <c r="G962">
        <f>IF(LEFT(B962,1)="C","Credit","Factuur")</f>
        <v/>
      </c>
      <c r="H962">
        <f>IF(AND(B962=B961,D962=D961,A962=A961,F962=F961),1,0)</f>
        <v/>
      </c>
      <c r="I962">
        <f>IF(C962="C99999",1,0)</f>
        <v/>
      </c>
      <c r="J962" s="5">
        <f>IF(OR(H962=1,I962=1),0,IF(G962="Credit",-F962,F962))</f>
        <v/>
      </c>
    </row>
    <row r="963">
      <c r="A963" t="inlineStr">
        <is>
          <t>2026-07-10</t>
        </is>
      </c>
      <c r="B963" t="inlineStr">
        <is>
          <t>F270138</t>
        </is>
      </c>
      <c r="C963" t="inlineStr">
        <is>
          <t>C10535</t>
        </is>
      </c>
      <c r="D963" t="inlineStr">
        <is>
          <t>SKU-10096</t>
        </is>
      </c>
      <c r="E963" t="inlineStr">
        <is>
          <t>IS01</t>
        </is>
      </c>
      <c r="F963" s="5" t="n">
        <v>54.35</v>
      </c>
      <c r="G963">
        <f>IF(LEFT(B963,1)="C","Credit","Factuur")</f>
        <v/>
      </c>
      <c r="H963">
        <f>IF(AND(B963=B962,D963=D962,A963=A962,F963=F962),1,0)</f>
        <v/>
      </c>
      <c r="I963">
        <f>IF(C963="C99999",1,0)</f>
        <v/>
      </c>
      <c r="J963" s="5">
        <f>IF(OR(H963=1,I963=1),0,IF(G963="Credit",-F963,F963))</f>
        <v/>
      </c>
    </row>
    <row r="964">
      <c r="A964" t="inlineStr">
        <is>
          <t>2026-07-10</t>
        </is>
      </c>
      <c r="B964" t="inlineStr">
        <is>
          <t>F270138</t>
        </is>
      </c>
      <c r="C964" t="inlineStr">
        <is>
          <t>C10535</t>
        </is>
      </c>
      <c r="D964" t="inlineStr">
        <is>
          <t>SKU-10097</t>
        </is>
      </c>
      <c r="E964" t="inlineStr"/>
      <c r="F964" s="5" t="n">
        <v>42.6</v>
      </c>
      <c r="G964">
        <f>IF(LEFT(B964,1)="C","Credit","Factuur")</f>
        <v/>
      </c>
      <c r="H964">
        <f>IF(AND(B964=B963,D964=D963,A964=A963,F964=F963),1,0)</f>
        <v/>
      </c>
      <c r="I964">
        <f>IF(C964="C99999",1,0)</f>
        <v/>
      </c>
      <c r="J964" s="5">
        <f>IF(OR(H964=1,I964=1),0,IF(G964="Credit",-F964,F964))</f>
        <v/>
      </c>
    </row>
    <row r="965">
      <c r="A965" t="inlineStr">
        <is>
          <t>2026-07-10</t>
        </is>
      </c>
      <c r="B965" t="inlineStr">
        <is>
          <t>F270138</t>
        </is>
      </c>
      <c r="C965" t="inlineStr">
        <is>
          <t>C10535</t>
        </is>
      </c>
      <c r="D965" t="inlineStr">
        <is>
          <t>SKU-10164</t>
        </is>
      </c>
      <c r="E965" t="inlineStr">
        <is>
          <t>IS01</t>
        </is>
      </c>
      <c r="F965" s="5" t="n">
        <v>49.22</v>
      </c>
      <c r="G965">
        <f>IF(LEFT(B965,1)="C","Credit","Factuur")</f>
        <v/>
      </c>
      <c r="H965">
        <f>IF(AND(B965=B964,D965=D964,A965=A964,F965=F964),1,0)</f>
        <v/>
      </c>
      <c r="I965">
        <f>IF(C965="C99999",1,0)</f>
        <v/>
      </c>
      <c r="J965" s="5">
        <f>IF(OR(H965=1,I965=1),0,IF(G965="Credit",-F965,F965))</f>
        <v/>
      </c>
    </row>
    <row r="966">
      <c r="A966" t="inlineStr">
        <is>
          <t>2026-07-10</t>
        </is>
      </c>
      <c r="B966" t="inlineStr">
        <is>
          <t>F270138</t>
        </is>
      </c>
      <c r="C966" t="inlineStr">
        <is>
          <t>C10535</t>
        </is>
      </c>
      <c r="D966" t="inlineStr">
        <is>
          <t>SKU-10280</t>
        </is>
      </c>
      <c r="E966" t="inlineStr">
        <is>
          <t>IS01</t>
        </is>
      </c>
      <c r="F966" s="5" t="n">
        <v>52.86</v>
      </c>
      <c r="G966">
        <f>IF(LEFT(B966,1)="C","Credit","Factuur")</f>
        <v/>
      </c>
      <c r="H966">
        <f>IF(AND(B966=B965,D966=D965,A966=A965,F966=F965),1,0)</f>
        <v/>
      </c>
      <c r="I966">
        <f>IF(C966="C99999",1,0)</f>
        <v/>
      </c>
      <c r="J966" s="5">
        <f>IF(OR(H966=1,I966=1),0,IF(G966="Credit",-F966,F966))</f>
        <v/>
      </c>
    </row>
    <row r="967">
      <c r="A967" t="inlineStr">
        <is>
          <t>2026-07-10</t>
        </is>
      </c>
      <c r="B967" t="inlineStr">
        <is>
          <t>F270395</t>
        </is>
      </c>
      <c r="C967" t="inlineStr">
        <is>
          <t>C10546</t>
        </is>
      </c>
      <c r="D967" t="inlineStr">
        <is>
          <t>SKU-10044</t>
        </is>
      </c>
      <c r="E967" t="inlineStr">
        <is>
          <t>AM09</t>
        </is>
      </c>
      <c r="F967" s="5" t="n">
        <v>3386.52</v>
      </c>
      <c r="G967">
        <f>IF(LEFT(B967,1)="C","Credit","Factuur")</f>
        <v/>
      </c>
      <c r="H967">
        <f>IF(AND(B967=B966,D967=D966,A967=A966,F967=F966),1,0)</f>
        <v/>
      </c>
      <c r="I967">
        <f>IF(C967="C99999",1,0)</f>
        <v/>
      </c>
      <c r="J967" s="5">
        <f>IF(OR(H967=1,I967=1),0,IF(G967="Credit",-F967,F967))</f>
        <v/>
      </c>
    </row>
    <row r="968">
      <c r="A968" t="inlineStr">
        <is>
          <t>2026-07-10</t>
        </is>
      </c>
      <c r="B968" t="inlineStr">
        <is>
          <t>F270395</t>
        </is>
      </c>
      <c r="C968" t="inlineStr">
        <is>
          <t>C10546</t>
        </is>
      </c>
      <c r="D968" t="inlineStr">
        <is>
          <t>SKU-10112</t>
        </is>
      </c>
      <c r="E968" t="inlineStr">
        <is>
          <t>AM09</t>
        </is>
      </c>
      <c r="F968" s="5" t="n">
        <v>3197.02</v>
      </c>
      <c r="G968">
        <f>IF(LEFT(B968,1)="C","Credit","Factuur")</f>
        <v/>
      </c>
      <c r="H968">
        <f>IF(AND(B968=B967,D968=D967,A968=A967,F968=F967),1,0)</f>
        <v/>
      </c>
      <c r="I968">
        <f>IF(C968="C99999",1,0)</f>
        <v/>
      </c>
      <c r="J968" s="5">
        <f>IF(OR(H968=1,I968=1),0,IF(G968="Credit",-F968,F968))</f>
        <v/>
      </c>
    </row>
    <row r="969">
      <c r="A969" t="inlineStr">
        <is>
          <t>2026-07-10</t>
        </is>
      </c>
      <c r="B969" t="inlineStr">
        <is>
          <t>F270395</t>
        </is>
      </c>
      <c r="C969" t="inlineStr">
        <is>
          <t>C10546</t>
        </is>
      </c>
      <c r="D969" t="inlineStr">
        <is>
          <t>SKU-10187</t>
        </is>
      </c>
      <c r="E969" t="inlineStr">
        <is>
          <t>AM09</t>
        </is>
      </c>
      <c r="F969" s="5" t="n">
        <v>3400.08</v>
      </c>
      <c r="G969">
        <f>IF(LEFT(B969,1)="C","Credit","Factuur")</f>
        <v/>
      </c>
      <c r="H969">
        <f>IF(AND(B969=B968,D969=D968,A969=A968,F969=F968),1,0)</f>
        <v/>
      </c>
      <c r="I969">
        <f>IF(C969="C99999",1,0)</f>
        <v/>
      </c>
      <c r="J969" s="5">
        <f>IF(OR(H969=1,I969=1),0,IF(G969="Credit",-F969,F969))</f>
        <v/>
      </c>
    </row>
    <row r="970">
      <c r="A970" t="inlineStr">
        <is>
          <t>2026-07-10</t>
        </is>
      </c>
      <c r="B970" t="inlineStr">
        <is>
          <t>F270395</t>
        </is>
      </c>
      <c r="C970" t="inlineStr">
        <is>
          <t>C10546</t>
        </is>
      </c>
      <c r="D970" t="inlineStr">
        <is>
          <t>SKU-10234</t>
        </is>
      </c>
      <c r="E970" t="inlineStr">
        <is>
          <t>AM09</t>
        </is>
      </c>
      <c r="F970" s="5" t="n">
        <v>3396.24</v>
      </c>
      <c r="G970">
        <f>IF(LEFT(B970,1)="C","Credit","Factuur")</f>
        <v/>
      </c>
      <c r="H970">
        <f>IF(AND(B970=B969,D970=D969,A970=A969,F970=F969),1,0)</f>
        <v/>
      </c>
      <c r="I970">
        <f>IF(C970="C99999",1,0)</f>
        <v/>
      </c>
      <c r="J970" s="5">
        <f>IF(OR(H970=1,I970=1),0,IF(G970="Credit",-F970,F970))</f>
        <v/>
      </c>
    </row>
    <row r="971">
      <c r="A971" t="inlineStr">
        <is>
          <t>2026-07-10</t>
        </is>
      </c>
      <c r="B971" t="inlineStr">
        <is>
          <t>F270395</t>
        </is>
      </c>
      <c r="C971" t="inlineStr">
        <is>
          <t>C10546</t>
        </is>
      </c>
      <c r="D971" t="inlineStr">
        <is>
          <t>SKU-10374</t>
        </is>
      </c>
      <c r="E971" t="inlineStr">
        <is>
          <t>AM09</t>
        </is>
      </c>
      <c r="F971" s="5" t="n">
        <v>3177.27</v>
      </c>
      <c r="G971">
        <f>IF(LEFT(B971,1)="C","Credit","Factuur")</f>
        <v/>
      </c>
      <c r="H971">
        <f>IF(AND(B971=B970,D971=D970,A971=A970,F971=F970),1,0)</f>
        <v/>
      </c>
      <c r="I971">
        <f>IF(C971="C99999",1,0)</f>
        <v/>
      </c>
      <c r="J971" s="5">
        <f>IF(OR(H971=1,I971=1),0,IF(G971="Credit",-F971,F971))</f>
        <v/>
      </c>
    </row>
    <row r="972">
      <c r="A972" t="inlineStr">
        <is>
          <t>2026-07-10</t>
        </is>
      </c>
      <c r="B972" t="inlineStr">
        <is>
          <t>F270726</t>
        </is>
      </c>
      <c r="C972" t="inlineStr">
        <is>
          <t>C10563</t>
        </is>
      </c>
      <c r="D972" t="inlineStr">
        <is>
          <t>SKU-10079</t>
        </is>
      </c>
      <c r="E972" t="inlineStr">
        <is>
          <t>AM06</t>
        </is>
      </c>
      <c r="F972" s="5" t="n">
        <v>761.29</v>
      </c>
      <c r="G972">
        <f>IF(LEFT(B972,1)="C","Credit","Factuur")</f>
        <v/>
      </c>
      <c r="H972">
        <f>IF(AND(B972=B971,D972=D971,A972=A971,F972=F971),1,0)</f>
        <v/>
      </c>
      <c r="I972">
        <f>IF(C972="C99999",1,0)</f>
        <v/>
      </c>
      <c r="J972" s="5">
        <f>IF(OR(H972=1,I972=1),0,IF(G972="Credit",-F972,F972))</f>
        <v/>
      </c>
    </row>
    <row r="973">
      <c r="A973" t="inlineStr">
        <is>
          <t>2026-07-10</t>
        </is>
      </c>
      <c r="B973" t="inlineStr">
        <is>
          <t>F270726</t>
        </is>
      </c>
      <c r="C973" t="inlineStr">
        <is>
          <t>C10563</t>
        </is>
      </c>
      <c r="D973" t="inlineStr">
        <is>
          <t>SKU-10227</t>
        </is>
      </c>
      <c r="E973" t="inlineStr">
        <is>
          <t>AM06</t>
        </is>
      </c>
      <c r="F973" s="5" t="n">
        <v>743.26</v>
      </c>
      <c r="G973">
        <f>IF(LEFT(B973,1)="C","Credit","Factuur")</f>
        <v/>
      </c>
      <c r="H973">
        <f>IF(AND(B973=B972,D973=D972,A973=A972,F973=F972),1,0)</f>
        <v/>
      </c>
      <c r="I973">
        <f>IF(C973="C99999",1,0)</f>
        <v/>
      </c>
      <c r="J973" s="5">
        <f>IF(OR(H973=1,I973=1),0,IF(G973="Credit",-F973,F973))</f>
        <v/>
      </c>
    </row>
    <row r="974">
      <c r="A974" t="inlineStr">
        <is>
          <t>2026-07-10</t>
        </is>
      </c>
      <c r="B974" t="inlineStr">
        <is>
          <t>F270782</t>
        </is>
      </c>
      <c r="C974" t="inlineStr">
        <is>
          <t>C10565</t>
        </is>
      </c>
      <c r="D974" t="inlineStr">
        <is>
          <t>SKU-10215</t>
        </is>
      </c>
      <c r="E974" t="inlineStr">
        <is>
          <t>AM11</t>
        </is>
      </c>
      <c r="F974" s="5" t="n">
        <v>544.16</v>
      </c>
      <c r="G974">
        <f>IF(LEFT(B974,1)="C","Credit","Factuur")</f>
        <v/>
      </c>
      <c r="H974">
        <f>IF(AND(B974=B973,D974=D973,A974=A973,F974=F973),1,0)</f>
        <v/>
      </c>
      <c r="I974">
        <f>IF(C974="C99999",1,0)</f>
        <v/>
      </c>
      <c r="J974" s="5">
        <f>IF(OR(H974=1,I974=1),0,IF(G974="Credit",-F974,F974))</f>
        <v/>
      </c>
    </row>
    <row r="975">
      <c r="A975" t="inlineStr">
        <is>
          <t>2026-07-10</t>
        </is>
      </c>
      <c r="B975" t="inlineStr">
        <is>
          <t>F270782</t>
        </is>
      </c>
      <c r="C975" t="inlineStr">
        <is>
          <t>C10565</t>
        </is>
      </c>
      <c r="D975" t="inlineStr">
        <is>
          <t>SKU-10233</t>
        </is>
      </c>
      <c r="E975" t="inlineStr">
        <is>
          <t>AM11</t>
        </is>
      </c>
      <c r="F975" s="5" t="n">
        <v>544.67</v>
      </c>
      <c r="G975">
        <f>IF(LEFT(B975,1)="C","Credit","Factuur")</f>
        <v/>
      </c>
      <c r="H975">
        <f>IF(AND(B975=B974,D975=D974,A975=A974,F975=F974),1,0)</f>
        <v/>
      </c>
      <c r="I975">
        <f>IF(C975="C99999",1,0)</f>
        <v/>
      </c>
      <c r="J975" s="5">
        <f>IF(OR(H975=1,I975=1),0,IF(G975="Credit",-F975,F975))</f>
        <v/>
      </c>
    </row>
    <row r="976">
      <c r="A976" t="inlineStr">
        <is>
          <t>2026-07-10</t>
        </is>
      </c>
      <c r="B976" t="inlineStr">
        <is>
          <t>F270782</t>
        </is>
      </c>
      <c r="C976" t="inlineStr">
        <is>
          <t>C10565</t>
        </is>
      </c>
      <c r="D976" t="inlineStr">
        <is>
          <t>SKU-10293</t>
        </is>
      </c>
      <c r="E976" t="inlineStr">
        <is>
          <t>AM11</t>
        </is>
      </c>
      <c r="F976" s="5" t="n">
        <v>542.08</v>
      </c>
      <c r="G976">
        <f>IF(LEFT(B976,1)="C","Credit","Factuur")</f>
        <v/>
      </c>
      <c r="H976">
        <f>IF(AND(B976=B975,D976=D975,A976=A975,F976=F975),1,0)</f>
        <v/>
      </c>
      <c r="I976">
        <f>IF(C976="C99999",1,0)</f>
        <v/>
      </c>
      <c r="J976" s="5">
        <f>IF(OR(H976=1,I976=1),0,IF(G976="Credit",-F976,F976))</f>
        <v/>
      </c>
    </row>
    <row r="977">
      <c r="A977" t="inlineStr">
        <is>
          <t>2026-07-10</t>
        </is>
      </c>
      <c r="B977" t="inlineStr">
        <is>
          <t>F270782</t>
        </is>
      </c>
      <c r="C977" t="inlineStr">
        <is>
          <t>C10565</t>
        </is>
      </c>
      <c r="D977" t="inlineStr">
        <is>
          <t>SKU-10345</t>
        </is>
      </c>
      <c r="E977" t="inlineStr">
        <is>
          <t>AM11</t>
        </is>
      </c>
      <c r="F977" s="5" t="n">
        <v>514.5700000000001</v>
      </c>
      <c r="G977">
        <f>IF(LEFT(B977,1)="C","Credit","Factuur")</f>
        <v/>
      </c>
      <c r="H977">
        <f>IF(AND(B977=B976,D977=D976,A977=A976,F977=F976),1,0)</f>
        <v/>
      </c>
      <c r="I977">
        <f>IF(C977="C99999",1,0)</f>
        <v/>
      </c>
      <c r="J977" s="5">
        <f>IF(OR(H977=1,I977=1),0,IF(G977="Credit",-F977,F977))</f>
        <v/>
      </c>
    </row>
    <row r="978">
      <c r="A978" t="inlineStr">
        <is>
          <t>2026-07-10</t>
        </is>
      </c>
      <c r="B978" t="inlineStr">
        <is>
          <t>F271011</t>
        </is>
      </c>
      <c r="C978" t="inlineStr">
        <is>
          <t>C10574</t>
        </is>
      </c>
      <c r="D978" t="inlineStr">
        <is>
          <t>SKU-10195</t>
        </is>
      </c>
      <c r="E978" t="inlineStr">
        <is>
          <t>AM02</t>
        </is>
      </c>
      <c r="F978" s="5" t="n">
        <v>112.08</v>
      </c>
      <c r="G978">
        <f>IF(LEFT(B978,1)="C","Credit","Factuur")</f>
        <v/>
      </c>
      <c r="H978">
        <f>IF(AND(B978=B977,D978=D977,A978=A977,F978=F977),1,0)</f>
        <v/>
      </c>
      <c r="I978">
        <f>IF(C978="C99999",1,0)</f>
        <v/>
      </c>
      <c r="J978" s="5">
        <f>IF(OR(H978=1,I978=1),0,IF(G978="Credit",-F978,F978))</f>
        <v/>
      </c>
    </row>
    <row r="979">
      <c r="A979" t="inlineStr">
        <is>
          <t>2026-07-10</t>
        </is>
      </c>
      <c r="B979" t="inlineStr">
        <is>
          <t>F272108</t>
        </is>
      </c>
      <c r="C979" t="inlineStr">
        <is>
          <t>C10626</t>
        </is>
      </c>
      <c r="D979" t="inlineStr">
        <is>
          <t>SKU-10309</t>
        </is>
      </c>
      <c r="E979" t="inlineStr">
        <is>
          <t>AM05</t>
        </is>
      </c>
      <c r="F979" s="5" t="n">
        <v>877.99</v>
      </c>
      <c r="G979">
        <f>IF(LEFT(B979,1)="C","Credit","Factuur")</f>
        <v/>
      </c>
      <c r="H979">
        <f>IF(AND(B979=B978,D979=D978,A979=A978,F979=F978),1,0)</f>
        <v/>
      </c>
      <c r="I979">
        <f>IF(C979="C99999",1,0)</f>
        <v/>
      </c>
      <c r="J979" s="5">
        <f>IF(OR(H979=1,I979=1),0,IF(G979="Credit",-F979,F979))</f>
        <v/>
      </c>
    </row>
    <row r="980">
      <c r="A980" t="inlineStr">
        <is>
          <t>2026-07-10</t>
        </is>
      </c>
      <c r="B980" t="inlineStr">
        <is>
          <t>F272108</t>
        </is>
      </c>
      <c r="C980" t="inlineStr">
        <is>
          <t>C10626</t>
        </is>
      </c>
      <c r="D980" t="inlineStr">
        <is>
          <t>SKU-10313</t>
        </is>
      </c>
      <c r="E980" t="inlineStr">
        <is>
          <t>AM05</t>
        </is>
      </c>
      <c r="F980" s="5" t="n">
        <v>875.7</v>
      </c>
      <c r="G980">
        <f>IF(LEFT(B980,1)="C","Credit","Factuur")</f>
        <v/>
      </c>
      <c r="H980">
        <f>IF(AND(B980=B979,D980=D979,A980=A979,F980=F979),1,0)</f>
        <v/>
      </c>
      <c r="I980">
        <f>IF(C980="C99999",1,0)</f>
        <v/>
      </c>
      <c r="J980" s="5">
        <f>IF(OR(H980=1,I980=1),0,IF(G980="Credit",-F980,F980))</f>
        <v/>
      </c>
    </row>
    <row r="981">
      <c r="A981" t="inlineStr">
        <is>
          <t>2026-07-10</t>
        </is>
      </c>
      <c r="B981" t="inlineStr">
        <is>
          <t>F272772</t>
        </is>
      </c>
      <c r="C981" t="inlineStr">
        <is>
          <t>C10666</t>
        </is>
      </c>
      <c r="D981" t="inlineStr">
        <is>
          <t>SKU-10029</t>
        </is>
      </c>
      <c r="E981" t="inlineStr">
        <is>
          <t>AM06</t>
        </is>
      </c>
      <c r="F981" s="5" t="n">
        <v>179.08</v>
      </c>
      <c r="G981">
        <f>IF(LEFT(B981,1)="C","Credit","Factuur")</f>
        <v/>
      </c>
      <c r="H981">
        <f>IF(AND(B981=B980,D981=D980,A981=A980,F981=F980),1,0)</f>
        <v/>
      </c>
      <c r="I981">
        <f>IF(C981="C99999",1,0)</f>
        <v/>
      </c>
      <c r="J981" s="5">
        <f>IF(OR(H981=1,I981=1),0,IF(G981="Credit",-F981,F981))</f>
        <v/>
      </c>
    </row>
    <row r="982">
      <c r="A982" t="inlineStr">
        <is>
          <t>2026-07-10</t>
        </is>
      </c>
      <c r="B982" t="inlineStr">
        <is>
          <t>F272772</t>
        </is>
      </c>
      <c r="C982" t="inlineStr">
        <is>
          <t>C10666</t>
        </is>
      </c>
      <c r="D982" t="inlineStr">
        <is>
          <t>SKU-10058</t>
        </is>
      </c>
      <c r="E982" t="inlineStr">
        <is>
          <t>AM06</t>
        </is>
      </c>
      <c r="F982" s="5" t="n">
        <v>164.82</v>
      </c>
      <c r="G982">
        <f>IF(LEFT(B982,1)="C","Credit","Factuur")</f>
        <v/>
      </c>
      <c r="H982">
        <f>IF(AND(B982=B981,D982=D981,A982=A981,F982=F981),1,0)</f>
        <v/>
      </c>
      <c r="I982">
        <f>IF(C982="C99999",1,0)</f>
        <v/>
      </c>
      <c r="J982" s="5">
        <f>IF(OR(H982=1,I982=1),0,IF(G982="Credit",-F982,F982))</f>
        <v/>
      </c>
    </row>
    <row r="983">
      <c r="A983" t="inlineStr">
        <is>
          <t>2026-07-10</t>
        </is>
      </c>
      <c r="B983" t="inlineStr">
        <is>
          <t>F272772</t>
        </is>
      </c>
      <c r="C983" t="inlineStr">
        <is>
          <t>C10666</t>
        </is>
      </c>
      <c r="D983" t="inlineStr">
        <is>
          <t>SKU-10127</t>
        </is>
      </c>
      <c r="E983" t="inlineStr">
        <is>
          <t>AM06</t>
        </is>
      </c>
      <c r="F983" s="5" t="n">
        <v>183.1</v>
      </c>
      <c r="G983">
        <f>IF(LEFT(B983,1)="C","Credit","Factuur")</f>
        <v/>
      </c>
      <c r="H983">
        <f>IF(AND(B983=B982,D983=D982,A983=A982,F983=F982),1,0)</f>
        <v/>
      </c>
      <c r="I983">
        <f>IF(C983="C99999",1,0)</f>
        <v/>
      </c>
      <c r="J983" s="5">
        <f>IF(OR(H983=1,I983=1),0,IF(G983="Credit",-F983,F983))</f>
        <v/>
      </c>
    </row>
    <row r="984">
      <c r="A984" t="inlineStr">
        <is>
          <t>2026-07-10</t>
        </is>
      </c>
      <c r="B984" t="inlineStr">
        <is>
          <t>F272772</t>
        </is>
      </c>
      <c r="C984" t="inlineStr">
        <is>
          <t>C10666</t>
        </is>
      </c>
      <c r="D984" t="inlineStr">
        <is>
          <t>SKU-10143</t>
        </is>
      </c>
      <c r="E984" t="inlineStr">
        <is>
          <t>AM06</t>
        </is>
      </c>
      <c r="F984" s="5" t="n">
        <v>145.36</v>
      </c>
      <c r="G984">
        <f>IF(LEFT(B984,1)="C","Credit","Factuur")</f>
        <v/>
      </c>
      <c r="H984">
        <f>IF(AND(B984=B983,D984=D983,A984=A983,F984=F983),1,0)</f>
        <v/>
      </c>
      <c r="I984">
        <f>IF(C984="C99999",1,0)</f>
        <v/>
      </c>
      <c r="J984" s="5">
        <f>IF(OR(H984=1,I984=1),0,IF(G984="Credit",-F984,F984))</f>
        <v/>
      </c>
    </row>
    <row r="985">
      <c r="A985" t="inlineStr">
        <is>
          <t>2026-07-10</t>
        </is>
      </c>
      <c r="B985" t="inlineStr">
        <is>
          <t>F272772</t>
        </is>
      </c>
      <c r="C985" t="inlineStr">
        <is>
          <t>C10666</t>
        </is>
      </c>
      <c r="D985" t="inlineStr">
        <is>
          <t>SKU-10284</t>
        </is>
      </c>
      <c r="E985" t="inlineStr">
        <is>
          <t>AM06</t>
        </is>
      </c>
      <c r="F985" s="5" t="n">
        <v>170.3</v>
      </c>
      <c r="G985">
        <f>IF(LEFT(B985,1)="C","Credit","Factuur")</f>
        <v/>
      </c>
      <c r="H985">
        <f>IF(AND(B985=B984,D985=D984,A985=A984,F985=F984),1,0)</f>
        <v/>
      </c>
      <c r="I985">
        <f>IF(C985="C99999",1,0)</f>
        <v/>
      </c>
      <c r="J985" s="5">
        <f>IF(OR(H985=1,I985=1),0,IF(G985="Credit",-F985,F985))</f>
        <v/>
      </c>
    </row>
    <row r="986">
      <c r="A986" t="inlineStr">
        <is>
          <t>2026-07-10</t>
        </is>
      </c>
      <c r="B986" t="inlineStr">
        <is>
          <t>F272874</t>
        </is>
      </c>
      <c r="C986" t="inlineStr">
        <is>
          <t>C10670</t>
        </is>
      </c>
      <c r="D986" t="inlineStr">
        <is>
          <t>SKU-10017</t>
        </is>
      </c>
      <c r="E986" t="inlineStr">
        <is>
          <t>AM03</t>
        </is>
      </c>
      <c r="F986" s="5" t="n">
        <v>73.81</v>
      </c>
      <c r="G986">
        <f>IF(LEFT(B986,1)="C","Credit","Factuur")</f>
        <v/>
      </c>
      <c r="H986">
        <f>IF(AND(B986=B985,D986=D985,A986=A985,F986=F985),1,0)</f>
        <v/>
      </c>
      <c r="I986">
        <f>IF(C986="C99999",1,0)</f>
        <v/>
      </c>
      <c r="J986" s="5">
        <f>IF(OR(H986=1,I986=1),0,IF(G986="Credit",-F986,F986))</f>
        <v/>
      </c>
    </row>
    <row r="987">
      <c r="A987" t="inlineStr">
        <is>
          <t>2026-07-10</t>
        </is>
      </c>
      <c r="B987" t="inlineStr">
        <is>
          <t>F272874</t>
        </is>
      </c>
      <c r="C987" t="inlineStr">
        <is>
          <t>C10670</t>
        </is>
      </c>
      <c r="D987" t="inlineStr">
        <is>
          <t>SKU-10226</t>
        </is>
      </c>
      <c r="E987" t="inlineStr">
        <is>
          <t>AM03</t>
        </is>
      </c>
      <c r="F987" s="5" t="n">
        <v>87.44</v>
      </c>
      <c r="G987">
        <f>IF(LEFT(B987,1)="C","Credit","Factuur")</f>
        <v/>
      </c>
      <c r="H987">
        <f>IF(AND(B987=B986,D987=D986,A987=A986,F987=F986),1,0)</f>
        <v/>
      </c>
      <c r="I987">
        <f>IF(C987="C99999",1,0)</f>
        <v/>
      </c>
      <c r="J987" s="5">
        <f>IF(OR(H987=1,I987=1),0,IF(G987="Credit",-F987,F987))</f>
        <v/>
      </c>
    </row>
    <row r="988">
      <c r="A988" t="inlineStr">
        <is>
          <t>2026-07-10</t>
        </is>
      </c>
      <c r="B988" t="inlineStr">
        <is>
          <t>F272874</t>
        </is>
      </c>
      <c r="C988" t="inlineStr">
        <is>
          <t>C10670</t>
        </is>
      </c>
      <c r="D988" t="inlineStr">
        <is>
          <t>SKU-10247</t>
        </is>
      </c>
      <c r="E988" t="inlineStr">
        <is>
          <t>AM03</t>
        </is>
      </c>
      <c r="F988" s="5" t="n">
        <v>80.73</v>
      </c>
      <c r="G988">
        <f>IF(LEFT(B988,1)="C","Credit","Factuur")</f>
        <v/>
      </c>
      <c r="H988">
        <f>IF(AND(B988=B987,D988=D987,A988=A987,F988=F987),1,0)</f>
        <v/>
      </c>
      <c r="I988">
        <f>IF(C988="C99999",1,0)</f>
        <v/>
      </c>
      <c r="J988" s="5">
        <f>IF(OR(H988=1,I988=1),0,IF(G988="Credit",-F988,F988))</f>
        <v/>
      </c>
    </row>
    <row r="989">
      <c r="A989" t="inlineStr">
        <is>
          <t>2026-07-10</t>
        </is>
      </c>
      <c r="B989" t="inlineStr">
        <is>
          <t>F272874</t>
        </is>
      </c>
      <c r="C989" t="inlineStr">
        <is>
          <t>C10670</t>
        </is>
      </c>
      <c r="D989" t="inlineStr">
        <is>
          <t>SKU-10259</t>
        </is>
      </c>
      <c r="E989" t="inlineStr">
        <is>
          <t>AM03</t>
        </is>
      </c>
      <c r="F989" s="5" t="n">
        <v>89.72</v>
      </c>
      <c r="G989">
        <f>IF(LEFT(B989,1)="C","Credit","Factuur")</f>
        <v/>
      </c>
      <c r="H989">
        <f>IF(AND(B989=B988,D989=D988,A989=A988,F989=F988),1,0)</f>
        <v/>
      </c>
      <c r="I989">
        <f>IF(C989="C99999",1,0)</f>
        <v/>
      </c>
      <c r="J989" s="5">
        <f>IF(OR(H989=1,I989=1),0,IF(G989="Credit",-F989,F989))</f>
        <v/>
      </c>
    </row>
    <row r="990">
      <c r="A990" t="inlineStr">
        <is>
          <t>2026-07-10</t>
        </is>
      </c>
      <c r="B990" t="inlineStr">
        <is>
          <t>F272874</t>
        </is>
      </c>
      <c r="C990" t="inlineStr">
        <is>
          <t>C10670</t>
        </is>
      </c>
      <c r="D990" t="inlineStr">
        <is>
          <t>SKU-10263</t>
        </is>
      </c>
      <c r="E990" t="inlineStr">
        <is>
          <t>AM03</t>
        </is>
      </c>
      <c r="F990" s="5" t="n">
        <v>91.65000000000001</v>
      </c>
      <c r="G990">
        <f>IF(LEFT(B990,1)="C","Credit","Factuur")</f>
        <v/>
      </c>
      <c r="H990">
        <f>IF(AND(B990=B989,D990=D989,A990=A989,F990=F989),1,0)</f>
        <v/>
      </c>
      <c r="I990">
        <f>IF(C990="C99999",1,0)</f>
        <v/>
      </c>
      <c r="J990" s="5">
        <f>IF(OR(H990=1,I990=1),0,IF(G990="Credit",-F990,F990))</f>
        <v/>
      </c>
    </row>
    <row r="991">
      <c r="A991" t="inlineStr">
        <is>
          <t>2026-07-10</t>
        </is>
      </c>
      <c r="B991" t="inlineStr">
        <is>
          <t>F272874</t>
        </is>
      </c>
      <c r="C991" t="inlineStr">
        <is>
          <t>C10670</t>
        </is>
      </c>
      <c r="D991" t="inlineStr">
        <is>
          <t>SKU-10270</t>
        </is>
      </c>
      <c r="E991" t="inlineStr">
        <is>
          <t>AM03</t>
        </is>
      </c>
      <c r="F991" s="5" t="n">
        <v>86.56</v>
      </c>
      <c r="G991">
        <f>IF(LEFT(B991,1)="C","Credit","Factuur")</f>
        <v/>
      </c>
      <c r="H991">
        <f>IF(AND(B991=B990,D991=D990,A991=A990,F991=F990),1,0)</f>
        <v/>
      </c>
      <c r="I991">
        <f>IF(C991="C99999",1,0)</f>
        <v/>
      </c>
      <c r="J991" s="5">
        <f>IF(OR(H991=1,I991=1),0,IF(G991="Credit",-F991,F991))</f>
        <v/>
      </c>
    </row>
    <row r="992">
      <c r="A992" t="inlineStr">
        <is>
          <t>2026-07-10</t>
        </is>
      </c>
      <c r="B992" t="inlineStr">
        <is>
          <t>F273091</t>
        </is>
      </c>
      <c r="C992" t="inlineStr">
        <is>
          <t>C10685</t>
        </is>
      </c>
      <c r="D992" t="inlineStr">
        <is>
          <t>SKU-10020</t>
        </is>
      </c>
      <c r="E992" t="inlineStr">
        <is>
          <t>AM05</t>
        </is>
      </c>
      <c r="F992" s="5" t="n">
        <v>106.08</v>
      </c>
      <c r="G992">
        <f>IF(LEFT(B992,1)="C","Credit","Factuur")</f>
        <v/>
      </c>
      <c r="H992">
        <f>IF(AND(B992=B991,D992=D991,A992=A991,F992=F991),1,0)</f>
        <v/>
      </c>
      <c r="I992">
        <f>IF(C992="C99999",1,0)</f>
        <v/>
      </c>
      <c r="J992" s="5">
        <f>IF(OR(H992=1,I992=1),0,IF(G992="Credit",-F992,F992))</f>
        <v/>
      </c>
    </row>
    <row r="993">
      <c r="A993" t="inlineStr">
        <is>
          <t>2026-07-10</t>
        </is>
      </c>
      <c r="B993" t="inlineStr">
        <is>
          <t>F273091</t>
        </is>
      </c>
      <c r="C993" t="inlineStr">
        <is>
          <t>C10685</t>
        </is>
      </c>
      <c r="D993" t="inlineStr">
        <is>
          <t>SKU-10122</t>
        </is>
      </c>
      <c r="E993" t="inlineStr">
        <is>
          <t>AM05</t>
        </is>
      </c>
      <c r="F993" s="5" t="n">
        <v>119.04</v>
      </c>
      <c r="G993">
        <f>IF(LEFT(B993,1)="C","Credit","Factuur")</f>
        <v/>
      </c>
      <c r="H993">
        <f>IF(AND(B993=B992,D993=D992,A993=A992,F993=F992),1,0)</f>
        <v/>
      </c>
      <c r="I993">
        <f>IF(C993="C99999",1,0)</f>
        <v/>
      </c>
      <c r="J993" s="5">
        <f>IF(OR(H993=1,I993=1),0,IF(G993="Credit",-F993,F993))</f>
        <v/>
      </c>
    </row>
    <row r="994">
      <c r="A994" t="inlineStr">
        <is>
          <t>2026-07-10</t>
        </is>
      </c>
      <c r="B994" t="inlineStr">
        <is>
          <t>F273091</t>
        </is>
      </c>
      <c r="C994" t="inlineStr">
        <is>
          <t>C10685</t>
        </is>
      </c>
      <c r="D994" t="inlineStr">
        <is>
          <t>SKU-10263</t>
        </is>
      </c>
      <c r="E994" t="inlineStr">
        <is>
          <t>AM05</t>
        </is>
      </c>
      <c r="F994" s="5" t="n">
        <v>97.76000000000001</v>
      </c>
      <c r="G994">
        <f>IF(LEFT(B994,1)="C","Credit","Factuur")</f>
        <v/>
      </c>
      <c r="H994">
        <f>IF(AND(B994=B993,D994=D993,A994=A993,F994=F993),1,0)</f>
        <v/>
      </c>
      <c r="I994">
        <f>IF(C994="C99999",1,0)</f>
        <v/>
      </c>
      <c r="J994" s="5">
        <f>IF(OR(H994=1,I994=1),0,IF(G994="Credit",-F994,F994))</f>
        <v/>
      </c>
    </row>
    <row r="995">
      <c r="A995" t="inlineStr">
        <is>
          <t>2026-07-10</t>
        </is>
      </c>
      <c r="B995" t="inlineStr">
        <is>
          <t>F273091</t>
        </is>
      </c>
      <c r="C995" t="inlineStr">
        <is>
          <t>C10685</t>
        </is>
      </c>
      <c r="D995" t="inlineStr">
        <is>
          <t>SKU-10272</t>
        </is>
      </c>
      <c r="E995" t="inlineStr">
        <is>
          <t>AM05</t>
        </is>
      </c>
      <c r="F995" s="5" t="n">
        <v>107.47</v>
      </c>
      <c r="G995">
        <f>IF(LEFT(B995,1)="C","Credit","Factuur")</f>
        <v/>
      </c>
      <c r="H995">
        <f>IF(AND(B995=B994,D995=D994,A995=A994,F995=F994),1,0)</f>
        <v/>
      </c>
      <c r="I995">
        <f>IF(C995="C99999",1,0)</f>
        <v/>
      </c>
      <c r="J995" s="5">
        <f>IF(OR(H995=1,I995=1),0,IF(G995="Credit",-F995,F995))</f>
        <v/>
      </c>
    </row>
    <row r="996">
      <c r="A996" t="inlineStr">
        <is>
          <t>2026-07-10</t>
        </is>
      </c>
      <c r="B996" t="inlineStr">
        <is>
          <t>F273091</t>
        </is>
      </c>
      <c r="C996" t="inlineStr">
        <is>
          <t>C10685</t>
        </is>
      </c>
      <c r="D996" t="inlineStr">
        <is>
          <t>SKU-10293</t>
        </is>
      </c>
      <c r="E996" t="inlineStr">
        <is>
          <t>AM05</t>
        </is>
      </c>
      <c r="F996" s="5" t="n">
        <v>96.8</v>
      </c>
      <c r="G996">
        <f>IF(LEFT(B996,1)="C","Credit","Factuur")</f>
        <v/>
      </c>
      <c r="H996">
        <f>IF(AND(B996=B995,D996=D995,A996=A995,F996=F995),1,0)</f>
        <v/>
      </c>
      <c r="I996">
        <f>IF(C996="C99999",1,0)</f>
        <v/>
      </c>
      <c r="J996" s="5">
        <f>IF(OR(H996=1,I996=1),0,IF(G996="Credit",-F996,F996))</f>
        <v/>
      </c>
    </row>
    <row r="997">
      <c r="A997" t="inlineStr">
        <is>
          <t>2026-07-10</t>
        </is>
      </c>
      <c r="B997" t="inlineStr">
        <is>
          <t>F273277</t>
        </is>
      </c>
      <c r="C997" t="inlineStr">
        <is>
          <t>C10693</t>
        </is>
      </c>
      <c r="D997" t="inlineStr">
        <is>
          <t>SKU-10284</t>
        </is>
      </c>
      <c r="E997" t="inlineStr">
        <is>
          <t>AM02</t>
        </is>
      </c>
      <c r="F997" s="5" t="n">
        <v>776.5700000000001</v>
      </c>
      <c r="G997">
        <f>IF(LEFT(B997,1)="C","Credit","Factuur")</f>
        <v/>
      </c>
      <c r="H997">
        <f>IF(AND(B997=B996,D997=D996,A997=A996,F997=F996),1,0)</f>
        <v/>
      </c>
      <c r="I997">
        <f>IF(C997="C99999",1,0)</f>
        <v/>
      </c>
      <c r="J997" s="5">
        <f>IF(OR(H997=1,I997=1),0,IF(G997="Credit",-F997,F997))</f>
        <v/>
      </c>
    </row>
    <row r="998">
      <c r="A998" t="inlineStr">
        <is>
          <t>2026-07-10</t>
        </is>
      </c>
      <c r="B998" t="inlineStr">
        <is>
          <t>F273361</t>
        </is>
      </c>
      <c r="C998" t="inlineStr">
        <is>
          <t>C10700</t>
        </is>
      </c>
      <c r="D998" t="inlineStr">
        <is>
          <t>SKU-10027</t>
        </is>
      </c>
      <c r="E998" t="inlineStr">
        <is>
          <t>AM11</t>
        </is>
      </c>
      <c r="F998" s="5" t="n">
        <v>368.01</v>
      </c>
      <c r="G998">
        <f>IF(LEFT(B998,1)="C","Credit","Factuur")</f>
        <v/>
      </c>
      <c r="H998">
        <f>IF(AND(B998=B997,D998=D997,A998=A997,F998=F997),1,0)</f>
        <v/>
      </c>
      <c r="I998">
        <f>IF(C998="C99999",1,0)</f>
        <v/>
      </c>
      <c r="J998" s="5">
        <f>IF(OR(H998=1,I998=1),0,IF(G998="Credit",-F998,F998))</f>
        <v/>
      </c>
    </row>
    <row r="999">
      <c r="A999" t="inlineStr">
        <is>
          <t>2026-07-10</t>
        </is>
      </c>
      <c r="B999" t="inlineStr">
        <is>
          <t>F273806</t>
        </is>
      </c>
      <c r="C999" t="inlineStr">
        <is>
          <t>C10726</t>
        </is>
      </c>
      <c r="D999" t="inlineStr">
        <is>
          <t>SKU-10010</t>
        </is>
      </c>
      <c r="E999" t="inlineStr">
        <is>
          <t>AM12</t>
        </is>
      </c>
      <c r="F999" s="5" t="n">
        <v>970.64</v>
      </c>
      <c r="G999">
        <f>IF(LEFT(B999,1)="C","Credit","Factuur")</f>
        <v/>
      </c>
      <c r="H999">
        <f>IF(AND(B999=B998,D999=D998,A999=A998,F999=F998),1,0)</f>
        <v/>
      </c>
      <c r="I999">
        <f>IF(C999="C99999",1,0)</f>
        <v/>
      </c>
      <c r="J999" s="5">
        <f>IF(OR(H999=1,I999=1),0,IF(G999="Credit",-F999,F999))</f>
        <v/>
      </c>
    </row>
    <row r="1000">
      <c r="A1000" t="inlineStr">
        <is>
          <t>2026-07-10</t>
        </is>
      </c>
      <c r="B1000" t="inlineStr">
        <is>
          <t>F273806</t>
        </is>
      </c>
      <c r="C1000" t="inlineStr">
        <is>
          <t>C10726</t>
        </is>
      </c>
      <c r="D1000" t="inlineStr">
        <is>
          <t>SKU-10133</t>
        </is>
      </c>
      <c r="E1000" t="inlineStr">
        <is>
          <t>AM12</t>
        </is>
      </c>
      <c r="F1000" s="5" t="n">
        <v>880.0599999999999</v>
      </c>
      <c r="G1000">
        <f>IF(LEFT(B1000,1)="C","Credit","Factuur")</f>
        <v/>
      </c>
      <c r="H1000">
        <f>IF(AND(B1000=B999,D1000=D999,A1000=A999,F1000=F999),1,0)</f>
        <v/>
      </c>
      <c r="I1000">
        <f>IF(C1000="C99999",1,0)</f>
        <v/>
      </c>
      <c r="J1000" s="5">
        <f>IF(OR(H1000=1,I1000=1),0,IF(G1000="Credit",-F1000,F1000))</f>
        <v/>
      </c>
    </row>
    <row r="1001">
      <c r="A1001" t="inlineStr">
        <is>
          <t>2026-07-10</t>
        </is>
      </c>
      <c r="B1001" t="inlineStr">
        <is>
          <t>F273806</t>
        </is>
      </c>
      <c r="C1001" t="inlineStr">
        <is>
          <t>C10726</t>
        </is>
      </c>
      <c r="D1001" t="inlineStr">
        <is>
          <t>SKU-10364</t>
        </is>
      </c>
      <c r="E1001" t="inlineStr">
        <is>
          <t>AM12</t>
        </is>
      </c>
      <c r="F1001" s="5" t="n">
        <v>998.61</v>
      </c>
      <c r="G1001">
        <f>IF(LEFT(B1001,1)="C","Credit","Factuur")</f>
        <v/>
      </c>
      <c r="H1001">
        <f>IF(AND(B1001=B1000,D1001=D1000,A1001=A1000,F1001=F1000),1,0)</f>
        <v/>
      </c>
      <c r="I1001">
        <f>IF(C1001="C99999",1,0)</f>
        <v/>
      </c>
      <c r="J1001" s="5">
        <f>IF(OR(H1001=1,I1001=1),0,IF(G1001="Credit",-F1001,F1001))</f>
        <v/>
      </c>
    </row>
    <row r="1002">
      <c r="A1002" t="inlineStr">
        <is>
          <t>2026-07-10</t>
        </is>
      </c>
      <c r="B1002" t="inlineStr">
        <is>
          <t>F273838</t>
        </is>
      </c>
      <c r="C1002" t="inlineStr">
        <is>
          <t>C10727</t>
        </is>
      </c>
      <c r="D1002" t="inlineStr">
        <is>
          <t>SKU-10098</t>
        </is>
      </c>
      <c r="E1002" t="inlineStr">
        <is>
          <t>AM11</t>
        </is>
      </c>
      <c r="F1002" s="5" t="n">
        <v>600.15</v>
      </c>
      <c r="G1002">
        <f>IF(LEFT(B1002,1)="C","Credit","Factuur")</f>
        <v/>
      </c>
      <c r="H1002">
        <f>IF(AND(B1002=B1001,D1002=D1001,A1002=A1001,F1002=F1001),1,0)</f>
        <v/>
      </c>
      <c r="I1002">
        <f>IF(C1002="C99999",1,0)</f>
        <v/>
      </c>
      <c r="J1002" s="5">
        <f>IF(OR(H1002=1,I1002=1),0,IF(G1002="Credit",-F1002,F1002))</f>
        <v/>
      </c>
    </row>
    <row r="1003">
      <c r="A1003" t="inlineStr">
        <is>
          <t>2026-07-10</t>
        </is>
      </c>
      <c r="B1003" t="inlineStr">
        <is>
          <t>F273838</t>
        </is>
      </c>
      <c r="C1003" t="inlineStr">
        <is>
          <t>C10727</t>
        </is>
      </c>
      <c r="D1003" t="inlineStr">
        <is>
          <t>SKU-10113</t>
        </is>
      </c>
      <c r="E1003" t="inlineStr">
        <is>
          <t>AM11</t>
        </is>
      </c>
      <c r="F1003" s="5" t="n">
        <v>535.5</v>
      </c>
      <c r="G1003">
        <f>IF(LEFT(B1003,1)="C","Credit","Factuur")</f>
        <v/>
      </c>
      <c r="H1003">
        <f>IF(AND(B1003=B1002,D1003=D1002,A1003=A1002,F1003=F1002),1,0)</f>
        <v/>
      </c>
      <c r="I1003">
        <f>IF(C1003="C99999",1,0)</f>
        <v/>
      </c>
      <c r="J1003" s="5">
        <f>IF(OR(H1003=1,I1003=1),0,IF(G1003="Credit",-F1003,F1003))</f>
        <v/>
      </c>
    </row>
    <row r="1004">
      <c r="A1004" t="inlineStr">
        <is>
          <t>2026-07-10</t>
        </is>
      </c>
      <c r="B1004" t="inlineStr">
        <is>
          <t>F273838</t>
        </is>
      </c>
      <c r="C1004" t="inlineStr">
        <is>
          <t>C10727</t>
        </is>
      </c>
      <c r="D1004" t="inlineStr">
        <is>
          <t>SKU-10306</t>
        </is>
      </c>
      <c r="E1004" t="inlineStr">
        <is>
          <t>AM11</t>
        </is>
      </c>
      <c r="F1004" s="5" t="n">
        <v>551.28</v>
      </c>
      <c r="G1004">
        <f>IF(LEFT(B1004,1)="C","Credit","Factuur")</f>
        <v/>
      </c>
      <c r="H1004">
        <f>IF(AND(B1004=B1003,D1004=D1003,A1004=A1003,F1004=F1003),1,0)</f>
        <v/>
      </c>
      <c r="I1004">
        <f>IF(C1004="C99999",1,0)</f>
        <v/>
      </c>
      <c r="J1004" s="5">
        <f>IF(OR(H1004=1,I1004=1),0,IF(G1004="Credit",-F1004,F1004))</f>
        <v/>
      </c>
    </row>
    <row r="1005">
      <c r="A1005" t="inlineStr">
        <is>
          <t>2026-07-10</t>
        </is>
      </c>
      <c r="B1005" t="inlineStr">
        <is>
          <t>F273838</t>
        </is>
      </c>
      <c r="C1005" t="inlineStr">
        <is>
          <t>C10727</t>
        </is>
      </c>
      <c r="D1005" t="inlineStr">
        <is>
          <t>SKU-10342</t>
        </is>
      </c>
      <c r="E1005" t="inlineStr">
        <is>
          <t>AM11</t>
        </is>
      </c>
      <c r="F1005" s="5" t="n">
        <v>514.98</v>
      </c>
      <c r="G1005">
        <f>IF(LEFT(B1005,1)="C","Credit","Factuur")</f>
        <v/>
      </c>
      <c r="H1005">
        <f>IF(AND(B1005=B1004,D1005=D1004,A1005=A1004,F1005=F1004),1,0)</f>
        <v/>
      </c>
      <c r="I1005">
        <f>IF(C1005="C99999",1,0)</f>
        <v/>
      </c>
      <c r="J1005" s="5">
        <f>IF(OR(H1005=1,I1005=1),0,IF(G1005="Credit",-F1005,F1005))</f>
        <v/>
      </c>
    </row>
    <row r="1006">
      <c r="A1006" t="inlineStr">
        <is>
          <t>2026-07-10</t>
        </is>
      </c>
      <c r="B1006" t="inlineStr">
        <is>
          <t>F273955</t>
        </is>
      </c>
      <c r="C1006" t="inlineStr">
        <is>
          <t>C10737</t>
        </is>
      </c>
      <c r="D1006" t="inlineStr">
        <is>
          <t>SKU-10043</t>
        </is>
      </c>
      <c r="E1006" t="inlineStr">
        <is>
          <t>AM03</t>
        </is>
      </c>
      <c r="F1006" s="5" t="n">
        <v>180.31</v>
      </c>
      <c r="G1006">
        <f>IF(LEFT(B1006,1)="C","Credit","Factuur")</f>
        <v/>
      </c>
      <c r="H1006">
        <f>IF(AND(B1006=B1005,D1006=D1005,A1006=A1005,F1006=F1005),1,0)</f>
        <v/>
      </c>
      <c r="I1006">
        <f>IF(C1006="C99999",1,0)</f>
        <v/>
      </c>
      <c r="J1006" s="5">
        <f>IF(OR(H1006=1,I1006=1),0,IF(G1006="Credit",-F1006,F1006))</f>
        <v/>
      </c>
    </row>
    <row r="1007">
      <c r="A1007" t="inlineStr">
        <is>
          <t>2026-07-10</t>
        </is>
      </c>
      <c r="B1007" t="inlineStr">
        <is>
          <t>F273955</t>
        </is>
      </c>
      <c r="C1007" t="inlineStr">
        <is>
          <t>C10737</t>
        </is>
      </c>
      <c r="D1007" t="inlineStr">
        <is>
          <t>SKU-10304</t>
        </is>
      </c>
      <c r="E1007" t="inlineStr">
        <is>
          <t>AM03</t>
        </is>
      </c>
      <c r="F1007" s="5" t="n">
        <v>188.71</v>
      </c>
      <c r="G1007">
        <f>IF(LEFT(B1007,1)="C","Credit","Factuur")</f>
        <v/>
      </c>
      <c r="H1007">
        <f>IF(AND(B1007=B1006,D1007=D1006,A1007=A1006,F1007=F1006),1,0)</f>
        <v/>
      </c>
      <c r="I1007">
        <f>IF(C1007="C99999",1,0)</f>
        <v/>
      </c>
      <c r="J1007" s="5">
        <f>IF(OR(H1007=1,I1007=1),0,IF(G1007="Credit",-F1007,F1007))</f>
        <v/>
      </c>
    </row>
    <row r="1008">
      <c r="A1008" t="inlineStr">
        <is>
          <t>2026-07-10</t>
        </is>
      </c>
      <c r="B1008" t="inlineStr">
        <is>
          <t>F273955</t>
        </is>
      </c>
      <c r="C1008" t="inlineStr">
        <is>
          <t>C10737</t>
        </is>
      </c>
      <c r="D1008" t="inlineStr">
        <is>
          <t>SKU-10339</t>
        </is>
      </c>
      <c r="E1008" t="inlineStr">
        <is>
          <t>AM03</t>
        </is>
      </c>
      <c r="F1008" s="5" t="n">
        <v>195.65</v>
      </c>
      <c r="G1008">
        <f>IF(LEFT(B1008,1)="C","Credit","Factuur")</f>
        <v/>
      </c>
      <c r="H1008">
        <f>IF(AND(B1008=B1007,D1008=D1007,A1008=A1007,F1008=F1007),1,0)</f>
        <v/>
      </c>
      <c r="I1008">
        <f>IF(C1008="C99999",1,0)</f>
        <v/>
      </c>
      <c r="J1008" s="5">
        <f>IF(OR(H1008=1,I1008=1),0,IF(G1008="Credit",-F1008,F1008))</f>
        <v/>
      </c>
    </row>
    <row r="1009">
      <c r="A1009" t="inlineStr">
        <is>
          <t>2026-07-10</t>
        </is>
      </c>
      <c r="B1009" t="inlineStr">
        <is>
          <t>F274117</t>
        </is>
      </c>
      <c r="C1009" t="inlineStr">
        <is>
          <t>C10747</t>
        </is>
      </c>
      <c r="D1009" t="inlineStr">
        <is>
          <t>SKU-10336</t>
        </is>
      </c>
      <c r="E1009" t="inlineStr">
        <is>
          <t>AM08</t>
        </is>
      </c>
      <c r="F1009" s="5" t="n">
        <v>797.49</v>
      </c>
      <c r="G1009">
        <f>IF(LEFT(B1009,1)="C","Credit","Factuur")</f>
        <v/>
      </c>
      <c r="H1009">
        <f>IF(AND(B1009=B1008,D1009=D1008,A1009=A1008,F1009=F1008),1,0)</f>
        <v/>
      </c>
      <c r="I1009">
        <f>IF(C1009="C99999",1,0)</f>
        <v/>
      </c>
      <c r="J1009" s="5">
        <f>IF(OR(H1009=1,I1009=1),0,IF(G1009="Credit",-F1009,F1009))</f>
        <v/>
      </c>
    </row>
    <row r="1010">
      <c r="A1010" t="inlineStr">
        <is>
          <t>2026-07-10</t>
        </is>
      </c>
      <c r="B1010" t="inlineStr">
        <is>
          <t>F274438</t>
        </is>
      </c>
      <c r="C1010" t="inlineStr">
        <is>
          <t>C10762</t>
        </is>
      </c>
      <c r="D1010" t="inlineStr">
        <is>
          <t>SKU-10027</t>
        </is>
      </c>
      <c r="E1010" t="inlineStr">
        <is>
          <t>AM03</t>
        </is>
      </c>
      <c r="F1010" s="5" t="n">
        <v>49.81</v>
      </c>
      <c r="G1010">
        <f>IF(LEFT(B1010,1)="C","Credit","Factuur")</f>
        <v/>
      </c>
      <c r="H1010">
        <f>IF(AND(B1010=B1009,D1010=D1009,A1010=A1009,F1010=F1009),1,0)</f>
        <v/>
      </c>
      <c r="I1010">
        <f>IF(C1010="C99999",1,0)</f>
        <v/>
      </c>
      <c r="J1010" s="5">
        <f>IF(OR(H1010=1,I1010=1),0,IF(G1010="Credit",-F1010,F1010))</f>
        <v/>
      </c>
    </row>
    <row r="1011">
      <c r="A1011" t="inlineStr">
        <is>
          <t>2026-07-10</t>
        </is>
      </c>
      <c r="B1011" t="inlineStr">
        <is>
          <t>F274438</t>
        </is>
      </c>
      <c r="C1011" t="inlineStr">
        <is>
          <t>C10762</t>
        </is>
      </c>
      <c r="D1011" t="inlineStr">
        <is>
          <t>SKU-10060</t>
        </is>
      </c>
      <c r="E1011" t="inlineStr">
        <is>
          <t>AM03</t>
        </is>
      </c>
      <c r="F1011" s="5" t="n">
        <v>88.2</v>
      </c>
      <c r="G1011">
        <f>IF(LEFT(B1011,1)="C","Credit","Factuur")</f>
        <v/>
      </c>
      <c r="H1011">
        <f>IF(AND(B1011=B1010,D1011=D1010,A1011=A1010,F1011=F1010),1,0)</f>
        <v/>
      </c>
      <c r="I1011">
        <f>IF(C1011="C99999",1,0)</f>
        <v/>
      </c>
      <c r="J1011" s="5">
        <f>IF(OR(H1011=1,I1011=1),0,IF(G1011="Credit",-F1011,F1011))</f>
        <v/>
      </c>
    </row>
    <row r="1012">
      <c r="A1012" t="inlineStr">
        <is>
          <t>2026-07-10</t>
        </is>
      </c>
      <c r="B1012" t="inlineStr">
        <is>
          <t>F274438</t>
        </is>
      </c>
      <c r="C1012" t="inlineStr">
        <is>
          <t>C10762</t>
        </is>
      </c>
      <c r="D1012" t="inlineStr">
        <is>
          <t>SKU-10259</t>
        </is>
      </c>
      <c r="E1012" t="inlineStr">
        <is>
          <t>AM03</t>
        </is>
      </c>
      <c r="F1012" s="5" t="n">
        <v>74.77</v>
      </c>
      <c r="G1012">
        <f>IF(LEFT(B1012,1)="C","Credit","Factuur")</f>
        <v/>
      </c>
      <c r="H1012">
        <f>IF(AND(B1012=B1011,D1012=D1011,A1012=A1011,F1012=F1011),1,0)</f>
        <v/>
      </c>
      <c r="I1012">
        <f>IF(C1012="C99999",1,0)</f>
        <v/>
      </c>
      <c r="J1012" s="5">
        <f>IF(OR(H1012=1,I1012=1),0,IF(G1012="Credit",-F1012,F1012))</f>
        <v/>
      </c>
    </row>
    <row r="1013">
      <c r="A1013" t="inlineStr">
        <is>
          <t>2026-07-10</t>
        </is>
      </c>
      <c r="B1013" t="inlineStr">
        <is>
          <t>F274438</t>
        </is>
      </c>
      <c r="C1013" t="inlineStr">
        <is>
          <t>C10762</t>
        </is>
      </c>
      <c r="D1013" t="inlineStr">
        <is>
          <t>SKU-10263</t>
        </is>
      </c>
      <c r="E1013" t="inlineStr">
        <is>
          <t>AM03</t>
        </is>
      </c>
      <c r="F1013" s="5" t="n">
        <v>65.98999999999999</v>
      </c>
      <c r="G1013">
        <f>IF(LEFT(B1013,1)="C","Credit","Factuur")</f>
        <v/>
      </c>
      <c r="H1013">
        <f>IF(AND(B1013=B1012,D1013=D1012,A1013=A1012,F1013=F1012),1,0)</f>
        <v/>
      </c>
      <c r="I1013">
        <f>IF(C1013="C99999",1,0)</f>
        <v/>
      </c>
      <c r="J1013" s="5">
        <f>IF(OR(H1013=1,I1013=1),0,IF(G1013="Credit",-F1013,F1013))</f>
        <v/>
      </c>
    </row>
    <row r="1014">
      <c r="A1014" t="inlineStr">
        <is>
          <t>2026-07-10</t>
        </is>
      </c>
      <c r="B1014" t="inlineStr">
        <is>
          <t>F274438</t>
        </is>
      </c>
      <c r="C1014" t="inlineStr">
        <is>
          <t>C10762</t>
        </is>
      </c>
      <c r="D1014" t="inlineStr">
        <is>
          <t>SKU-10340</t>
        </is>
      </c>
      <c r="E1014" t="inlineStr">
        <is>
          <t>AM03</t>
        </is>
      </c>
      <c r="F1014" s="5" t="n">
        <v>74.86</v>
      </c>
      <c r="G1014">
        <f>IF(LEFT(B1014,1)="C","Credit","Factuur")</f>
        <v/>
      </c>
      <c r="H1014">
        <f>IF(AND(B1014=B1013,D1014=D1013,A1014=A1013,F1014=F1013),1,0)</f>
        <v/>
      </c>
      <c r="I1014">
        <f>IF(C1014="C99999",1,0)</f>
        <v/>
      </c>
      <c r="J1014" s="5">
        <f>IF(OR(H1014=1,I1014=1),0,IF(G1014="Credit",-F1014,F1014))</f>
        <v/>
      </c>
    </row>
    <row r="1015">
      <c r="A1015" t="inlineStr">
        <is>
          <t>2026-07-10</t>
        </is>
      </c>
      <c r="B1015" t="inlineStr">
        <is>
          <t>F274438</t>
        </is>
      </c>
      <c r="C1015" t="inlineStr">
        <is>
          <t>C10762</t>
        </is>
      </c>
      <c r="D1015" t="inlineStr">
        <is>
          <t>SKU-10361</t>
        </is>
      </c>
      <c r="E1015" t="inlineStr">
        <is>
          <t>AM03</t>
        </is>
      </c>
      <c r="F1015" s="5" t="n">
        <v>85.14</v>
      </c>
      <c r="G1015">
        <f>IF(LEFT(B1015,1)="C","Credit","Factuur")</f>
        <v/>
      </c>
      <c r="H1015">
        <f>IF(AND(B1015=B1014,D1015=D1014,A1015=A1014,F1015=F1014),1,0)</f>
        <v/>
      </c>
      <c r="I1015">
        <f>IF(C1015="C99999",1,0)</f>
        <v/>
      </c>
      <c r="J1015" s="5">
        <f>IF(OR(H1015=1,I1015=1),0,IF(G1015="Credit",-F1015,F1015))</f>
        <v/>
      </c>
    </row>
    <row r="1016">
      <c r="A1016" t="inlineStr">
        <is>
          <t>2026-07-10</t>
        </is>
      </c>
      <c r="B1016" t="inlineStr">
        <is>
          <t>F274616</t>
        </is>
      </c>
      <c r="C1016" t="inlineStr">
        <is>
          <t>C10774</t>
        </is>
      </c>
      <c r="D1016" t="inlineStr">
        <is>
          <t>SKU-10050</t>
        </is>
      </c>
      <c r="E1016" t="inlineStr">
        <is>
          <t>AM06</t>
        </is>
      </c>
      <c r="F1016" s="5" t="n">
        <v>480.87</v>
      </c>
      <c r="G1016">
        <f>IF(LEFT(B1016,1)="C","Credit","Factuur")</f>
        <v/>
      </c>
      <c r="H1016">
        <f>IF(AND(B1016=B1015,D1016=D1015,A1016=A1015,F1016=F1015),1,0)</f>
        <v/>
      </c>
      <c r="I1016">
        <f>IF(C1016="C99999",1,0)</f>
        <v/>
      </c>
      <c r="J1016" s="5">
        <f>IF(OR(H1016=1,I1016=1),0,IF(G1016="Credit",-F1016,F1016))</f>
        <v/>
      </c>
    </row>
    <row r="1017">
      <c r="A1017" t="inlineStr">
        <is>
          <t>2026-07-10</t>
        </is>
      </c>
      <c r="B1017" t="inlineStr">
        <is>
          <t>F274616</t>
        </is>
      </c>
      <c r="C1017" t="inlineStr">
        <is>
          <t>C10774</t>
        </is>
      </c>
      <c r="D1017" t="inlineStr">
        <is>
          <t>SKU-10131</t>
        </is>
      </c>
      <c r="E1017" t="inlineStr">
        <is>
          <t>AM06</t>
        </is>
      </c>
      <c r="F1017" s="5" t="n">
        <v>442.88</v>
      </c>
      <c r="G1017">
        <f>IF(LEFT(B1017,1)="C","Credit","Factuur")</f>
        <v/>
      </c>
      <c r="H1017">
        <f>IF(AND(B1017=B1016,D1017=D1016,A1017=A1016,F1017=F1016),1,0)</f>
        <v/>
      </c>
      <c r="I1017">
        <f>IF(C1017="C99999",1,0)</f>
        <v/>
      </c>
      <c r="J1017" s="5">
        <f>IF(OR(H1017=1,I1017=1),0,IF(G1017="Credit",-F1017,F1017))</f>
        <v/>
      </c>
    </row>
    <row r="1018">
      <c r="A1018" t="inlineStr">
        <is>
          <t>2026-07-10</t>
        </is>
      </c>
      <c r="B1018" t="inlineStr">
        <is>
          <t>F274616</t>
        </is>
      </c>
      <c r="C1018" t="inlineStr">
        <is>
          <t>C10774</t>
        </is>
      </c>
      <c r="D1018" t="inlineStr">
        <is>
          <t>SKU-10300</t>
        </is>
      </c>
      <c r="E1018" t="inlineStr">
        <is>
          <t>AM06</t>
        </is>
      </c>
      <c r="F1018" s="5" t="n">
        <v>451.94</v>
      </c>
      <c r="G1018">
        <f>IF(LEFT(B1018,1)="C","Credit","Factuur")</f>
        <v/>
      </c>
      <c r="H1018">
        <f>IF(AND(B1018=B1017,D1018=D1017,A1018=A1017,F1018=F1017),1,0)</f>
        <v/>
      </c>
      <c r="I1018">
        <f>IF(C1018="C99999",1,0)</f>
        <v/>
      </c>
      <c r="J1018" s="5">
        <f>IF(OR(H1018=1,I1018=1),0,IF(G1018="Credit",-F1018,F1018))</f>
        <v/>
      </c>
    </row>
    <row r="1019">
      <c r="A1019" t="inlineStr">
        <is>
          <t>2026-07-10</t>
        </is>
      </c>
      <c r="B1019" t="inlineStr">
        <is>
          <t>F274750</t>
        </is>
      </c>
      <c r="C1019" t="inlineStr">
        <is>
          <t>C10780</t>
        </is>
      </c>
      <c r="D1019" t="inlineStr">
        <is>
          <t>SKU-10147</t>
        </is>
      </c>
      <c r="E1019" t="inlineStr">
        <is>
          <t>AM01</t>
        </is>
      </c>
      <c r="F1019" s="5" t="n">
        <v>95.27</v>
      </c>
      <c r="G1019">
        <f>IF(LEFT(B1019,1)="C","Credit","Factuur")</f>
        <v/>
      </c>
      <c r="H1019">
        <f>IF(AND(B1019=B1018,D1019=D1018,A1019=A1018,F1019=F1018),1,0)</f>
        <v/>
      </c>
      <c r="I1019">
        <f>IF(C1019="C99999",1,0)</f>
        <v/>
      </c>
      <c r="J1019" s="5">
        <f>IF(OR(H1019=1,I1019=1),0,IF(G1019="Credit",-F1019,F1019))</f>
        <v/>
      </c>
    </row>
    <row r="1020">
      <c r="A1020" t="inlineStr">
        <is>
          <t>2026-07-10</t>
        </is>
      </c>
      <c r="B1020" t="inlineStr">
        <is>
          <t>F274750</t>
        </is>
      </c>
      <c r="C1020" t="inlineStr">
        <is>
          <t>C10780</t>
        </is>
      </c>
      <c r="D1020" t="inlineStr">
        <is>
          <t>SKU-10186</t>
        </is>
      </c>
      <c r="E1020" t="inlineStr">
        <is>
          <t>AM01</t>
        </is>
      </c>
      <c r="F1020" s="5" t="n">
        <v>89.25</v>
      </c>
      <c r="G1020">
        <f>IF(LEFT(B1020,1)="C","Credit","Factuur")</f>
        <v/>
      </c>
      <c r="H1020">
        <f>IF(AND(B1020=B1019,D1020=D1019,A1020=A1019,F1020=F1019),1,0)</f>
        <v/>
      </c>
      <c r="I1020">
        <f>IF(C1020="C99999",1,0)</f>
        <v/>
      </c>
      <c r="J1020" s="5">
        <f>IF(OR(H1020=1,I1020=1),0,IF(G1020="Credit",-F1020,F1020))</f>
        <v/>
      </c>
    </row>
    <row r="1021">
      <c r="A1021" t="inlineStr">
        <is>
          <t>2026-07-10</t>
        </is>
      </c>
      <c r="B1021" t="inlineStr">
        <is>
          <t>F274750</t>
        </is>
      </c>
      <c r="C1021" t="inlineStr">
        <is>
          <t>C10780</t>
        </is>
      </c>
      <c r="D1021" t="inlineStr">
        <is>
          <t>SKU-10197</t>
        </is>
      </c>
      <c r="E1021" t="inlineStr">
        <is>
          <t>AM01</t>
        </is>
      </c>
      <c r="F1021" s="5" t="n">
        <v>85.42</v>
      </c>
      <c r="G1021">
        <f>IF(LEFT(B1021,1)="C","Credit","Factuur")</f>
        <v/>
      </c>
      <c r="H1021">
        <f>IF(AND(B1021=B1020,D1021=D1020,A1021=A1020,F1021=F1020),1,0)</f>
        <v/>
      </c>
      <c r="I1021">
        <f>IF(C1021="C99999",1,0)</f>
        <v/>
      </c>
      <c r="J1021" s="5">
        <f>IF(OR(H1021=1,I1021=1),0,IF(G1021="Credit",-F1021,F1021))</f>
        <v/>
      </c>
    </row>
    <row r="1022">
      <c r="A1022" t="inlineStr">
        <is>
          <t>2026-07-10</t>
        </is>
      </c>
      <c r="B1022" t="inlineStr">
        <is>
          <t>F275148</t>
        </is>
      </c>
      <c r="C1022" t="inlineStr">
        <is>
          <t>C10798</t>
        </is>
      </c>
      <c r="D1022" t="inlineStr">
        <is>
          <t>SKU-10079</t>
        </is>
      </c>
      <c r="E1022" t="inlineStr">
        <is>
          <t>AM08</t>
        </is>
      </c>
      <c r="F1022" s="5" t="n">
        <v>76.53</v>
      </c>
      <c r="G1022">
        <f>IF(LEFT(B1022,1)="C","Credit","Factuur")</f>
        <v/>
      </c>
      <c r="H1022">
        <f>IF(AND(B1022=B1021,D1022=D1021,A1022=A1021,F1022=F1021),1,0)</f>
        <v/>
      </c>
      <c r="I1022">
        <f>IF(C1022="C99999",1,0)</f>
        <v/>
      </c>
      <c r="J1022" s="5">
        <f>IF(OR(H1022=1,I1022=1),0,IF(G1022="Credit",-F1022,F1022))</f>
        <v/>
      </c>
    </row>
    <row r="1023">
      <c r="A1023" t="inlineStr">
        <is>
          <t>2026-07-10</t>
        </is>
      </c>
      <c r="B1023" t="inlineStr">
        <is>
          <t>F275148</t>
        </is>
      </c>
      <c r="C1023" t="inlineStr">
        <is>
          <t>C10798</t>
        </is>
      </c>
      <c r="D1023" t="inlineStr">
        <is>
          <t>SKU-10324</t>
        </is>
      </c>
      <c r="E1023" t="inlineStr">
        <is>
          <t>AM08</t>
        </is>
      </c>
      <c r="F1023" s="5" t="n">
        <v>55.39</v>
      </c>
      <c r="G1023">
        <f>IF(LEFT(B1023,1)="C","Credit","Factuur")</f>
        <v/>
      </c>
      <c r="H1023">
        <f>IF(AND(B1023=B1022,D1023=D1022,A1023=A1022,F1023=F1022),1,0)</f>
        <v/>
      </c>
      <c r="I1023">
        <f>IF(C1023="C99999",1,0)</f>
        <v/>
      </c>
      <c r="J1023" s="5">
        <f>IF(OR(H1023=1,I1023=1),0,IF(G1023="Credit",-F1023,F1023))</f>
        <v/>
      </c>
    </row>
    <row r="1024">
      <c r="A1024" t="inlineStr">
        <is>
          <t>2026-07-10</t>
        </is>
      </c>
      <c r="B1024" t="inlineStr">
        <is>
          <t>F275288</t>
        </is>
      </c>
      <c r="C1024" t="inlineStr">
        <is>
          <t>C10805</t>
        </is>
      </c>
      <c r="D1024" t="inlineStr">
        <is>
          <t>SKU-10055</t>
        </is>
      </c>
      <c r="E1024" t="inlineStr">
        <is>
          <t>AM03</t>
        </is>
      </c>
      <c r="F1024" s="5" t="n">
        <v>536.48</v>
      </c>
      <c r="G1024">
        <f>IF(LEFT(B1024,1)="C","Credit","Factuur")</f>
        <v/>
      </c>
      <c r="H1024">
        <f>IF(AND(B1024=B1023,D1024=D1023,A1024=A1023,F1024=F1023),1,0)</f>
        <v/>
      </c>
      <c r="I1024">
        <f>IF(C1024="C99999",1,0)</f>
        <v/>
      </c>
      <c r="J1024" s="5">
        <f>IF(OR(H1024=1,I1024=1),0,IF(G1024="Credit",-F1024,F1024))</f>
        <v/>
      </c>
    </row>
    <row r="1025">
      <c r="A1025" t="inlineStr">
        <is>
          <t>2026-07-10</t>
        </is>
      </c>
      <c r="B1025" t="inlineStr">
        <is>
          <t>F275288</t>
        </is>
      </c>
      <c r="C1025" t="inlineStr">
        <is>
          <t>C10805</t>
        </is>
      </c>
      <c r="D1025" t="inlineStr">
        <is>
          <t>SKU-10137</t>
        </is>
      </c>
      <c r="E1025" t="inlineStr">
        <is>
          <t>AM03</t>
        </is>
      </c>
      <c r="F1025" s="5" t="n">
        <v>460.04</v>
      </c>
      <c r="G1025">
        <f>IF(LEFT(B1025,1)="C","Credit","Factuur")</f>
        <v/>
      </c>
      <c r="H1025">
        <f>IF(AND(B1025=B1024,D1025=D1024,A1025=A1024,F1025=F1024),1,0)</f>
        <v/>
      </c>
      <c r="I1025">
        <f>IF(C1025="C99999",1,0)</f>
        <v/>
      </c>
      <c r="J1025" s="5">
        <f>IF(OR(H1025=1,I1025=1),0,IF(G1025="Credit",-F1025,F1025))</f>
        <v/>
      </c>
    </row>
    <row r="1026">
      <c r="A1026" t="inlineStr">
        <is>
          <t>2026-07-10</t>
        </is>
      </c>
      <c r="B1026" t="inlineStr">
        <is>
          <t>F275288</t>
        </is>
      </c>
      <c r="C1026" t="inlineStr">
        <is>
          <t>C10805</t>
        </is>
      </c>
      <c r="D1026" t="inlineStr">
        <is>
          <t>SKU-10196</t>
        </is>
      </c>
      <c r="E1026" t="inlineStr">
        <is>
          <t>AM03</t>
        </is>
      </c>
      <c r="F1026" s="5" t="n">
        <v>529.23</v>
      </c>
      <c r="G1026">
        <f>IF(LEFT(B1026,1)="C","Credit","Factuur")</f>
        <v/>
      </c>
      <c r="H1026">
        <f>IF(AND(B1026=B1025,D1026=D1025,A1026=A1025,F1026=F1025),1,0)</f>
        <v/>
      </c>
      <c r="I1026">
        <f>IF(C1026="C99999",1,0)</f>
        <v/>
      </c>
      <c r="J1026" s="5">
        <f>IF(OR(H1026=1,I1026=1),0,IF(G1026="Credit",-F1026,F1026))</f>
        <v/>
      </c>
    </row>
    <row r="1027">
      <c r="A1027" t="inlineStr">
        <is>
          <t>2026-07-10</t>
        </is>
      </c>
      <c r="B1027" t="inlineStr">
        <is>
          <t>F275377</t>
        </is>
      </c>
      <c r="C1027" t="inlineStr">
        <is>
          <t>C10811</t>
        </is>
      </c>
      <c r="D1027" t="inlineStr">
        <is>
          <t>SKU-10011</t>
        </is>
      </c>
      <c r="E1027" t="inlineStr">
        <is>
          <t>AM11</t>
        </is>
      </c>
      <c r="F1027" s="5" t="n">
        <v>316.68</v>
      </c>
      <c r="G1027">
        <f>IF(LEFT(B1027,1)="C","Credit","Factuur")</f>
        <v/>
      </c>
      <c r="H1027">
        <f>IF(AND(B1027=B1026,D1027=D1026,A1027=A1026,F1027=F1026),1,0)</f>
        <v/>
      </c>
      <c r="I1027">
        <f>IF(C1027="C99999",1,0)</f>
        <v/>
      </c>
      <c r="J1027" s="5">
        <f>IF(OR(H1027=1,I1027=1),0,IF(G1027="Credit",-F1027,F1027))</f>
        <v/>
      </c>
    </row>
    <row r="1028">
      <c r="A1028" t="inlineStr">
        <is>
          <t>2026-07-10</t>
        </is>
      </c>
      <c r="B1028" t="inlineStr">
        <is>
          <t>F275377</t>
        </is>
      </c>
      <c r="C1028" t="inlineStr">
        <is>
          <t>C10811</t>
        </is>
      </c>
      <c r="D1028" t="inlineStr">
        <is>
          <t>SKU-10019</t>
        </is>
      </c>
      <c r="E1028" t="inlineStr">
        <is>
          <t>AM11</t>
        </is>
      </c>
      <c r="F1028" s="5" t="n">
        <v>308.07</v>
      </c>
      <c r="G1028">
        <f>IF(LEFT(B1028,1)="C","Credit","Factuur")</f>
        <v/>
      </c>
      <c r="H1028">
        <f>IF(AND(B1028=B1027,D1028=D1027,A1028=A1027,F1028=F1027),1,0)</f>
        <v/>
      </c>
      <c r="I1028">
        <f>IF(C1028="C99999",1,0)</f>
        <v/>
      </c>
      <c r="J1028" s="5">
        <f>IF(OR(H1028=1,I1028=1),0,IF(G1028="Credit",-F1028,F1028))</f>
        <v/>
      </c>
    </row>
    <row r="1029">
      <c r="A1029" t="inlineStr">
        <is>
          <t>2026-07-10</t>
        </is>
      </c>
      <c r="B1029" t="inlineStr">
        <is>
          <t>F275377</t>
        </is>
      </c>
      <c r="C1029" t="inlineStr">
        <is>
          <t>C10811</t>
        </is>
      </c>
      <c r="D1029" t="inlineStr">
        <is>
          <t>SKU-10146</t>
        </is>
      </c>
      <c r="E1029" t="inlineStr">
        <is>
          <t>AM11</t>
        </is>
      </c>
      <c r="F1029" s="5" t="n">
        <v>346.71</v>
      </c>
      <c r="G1029">
        <f>IF(LEFT(B1029,1)="C","Credit","Factuur")</f>
        <v/>
      </c>
      <c r="H1029">
        <f>IF(AND(B1029=B1028,D1029=D1028,A1029=A1028,F1029=F1028),1,0)</f>
        <v/>
      </c>
      <c r="I1029">
        <f>IF(C1029="C99999",1,0)</f>
        <v/>
      </c>
      <c r="J1029" s="5">
        <f>IF(OR(H1029=1,I1029=1),0,IF(G1029="Credit",-F1029,F1029))</f>
        <v/>
      </c>
    </row>
    <row r="1030">
      <c r="A1030" t="inlineStr">
        <is>
          <t>2026-07-10</t>
        </is>
      </c>
      <c r="B1030" t="inlineStr">
        <is>
          <t>F275377</t>
        </is>
      </c>
      <c r="C1030" t="inlineStr">
        <is>
          <t>C10811</t>
        </is>
      </c>
      <c r="D1030" t="inlineStr">
        <is>
          <t>SKU-10191</t>
        </is>
      </c>
      <c r="E1030" t="inlineStr">
        <is>
          <t>AM11</t>
        </is>
      </c>
      <c r="F1030" s="5" t="n">
        <v>323.31</v>
      </c>
      <c r="G1030">
        <f>IF(LEFT(B1030,1)="C","Credit","Factuur")</f>
        <v/>
      </c>
      <c r="H1030">
        <f>IF(AND(B1030=B1029,D1030=D1029,A1030=A1029,F1030=F1029),1,0)</f>
        <v/>
      </c>
      <c r="I1030">
        <f>IF(C1030="C99999",1,0)</f>
        <v/>
      </c>
      <c r="J1030" s="5">
        <f>IF(OR(H1030=1,I1030=1),0,IF(G1030="Credit",-F1030,F1030))</f>
        <v/>
      </c>
    </row>
    <row r="1031">
      <c r="A1031" t="inlineStr">
        <is>
          <t>2026-07-10</t>
        </is>
      </c>
      <c r="B1031" t="inlineStr">
        <is>
          <t>F275377</t>
        </is>
      </c>
      <c r="C1031" t="inlineStr">
        <is>
          <t>C10811</t>
        </is>
      </c>
      <c r="D1031" t="inlineStr">
        <is>
          <t>SKU-10351</t>
        </is>
      </c>
      <c r="E1031" t="inlineStr">
        <is>
          <t>AM11</t>
        </is>
      </c>
      <c r="F1031" s="5" t="n">
        <v>636.89</v>
      </c>
      <c r="G1031">
        <f>IF(LEFT(B1031,1)="C","Credit","Factuur")</f>
        <v/>
      </c>
      <c r="H1031">
        <f>IF(AND(B1031=B1030,D1031=D1030,A1031=A1030,F1031=F1030),1,0)</f>
        <v/>
      </c>
      <c r="I1031">
        <f>IF(C1031="C99999",1,0)</f>
        <v/>
      </c>
      <c r="J1031" s="5">
        <f>IF(OR(H1031=1,I1031=1),0,IF(G1031="Credit",-F1031,F1031))</f>
        <v/>
      </c>
    </row>
    <row r="1032">
      <c r="A1032" t="inlineStr">
        <is>
          <t>2026-07-10</t>
        </is>
      </c>
      <c r="B1032" t="inlineStr">
        <is>
          <t>F275832</t>
        </is>
      </c>
      <c r="C1032" t="inlineStr">
        <is>
          <t>C10839</t>
        </is>
      </c>
      <c r="D1032" t="inlineStr">
        <is>
          <t>SKU-10083</t>
        </is>
      </c>
      <c r="E1032" t="inlineStr"/>
      <c r="F1032" s="5" t="n">
        <v>229.48</v>
      </c>
      <c r="G1032">
        <f>IF(LEFT(B1032,1)="C","Credit","Factuur")</f>
        <v/>
      </c>
      <c r="H1032">
        <f>IF(AND(B1032=B1031,D1032=D1031,A1032=A1031,F1032=F1031),1,0)</f>
        <v/>
      </c>
      <c r="I1032">
        <f>IF(C1032="C99999",1,0)</f>
        <v/>
      </c>
      <c r="J1032" s="5">
        <f>IF(OR(H1032=1,I1032=1),0,IF(G1032="Credit",-F1032,F1032))</f>
        <v/>
      </c>
    </row>
    <row r="1033">
      <c r="A1033" t="inlineStr">
        <is>
          <t>2026-07-10</t>
        </is>
      </c>
      <c r="B1033" t="inlineStr">
        <is>
          <t>F275832</t>
        </is>
      </c>
      <c r="C1033" t="inlineStr">
        <is>
          <t>C10839</t>
        </is>
      </c>
      <c r="D1033" t="inlineStr">
        <is>
          <t>SKU-10123</t>
        </is>
      </c>
      <c r="E1033" t="inlineStr">
        <is>
          <t>AM06</t>
        </is>
      </c>
      <c r="F1033" s="5" t="n">
        <v>260.4</v>
      </c>
      <c r="G1033">
        <f>IF(LEFT(B1033,1)="C","Credit","Factuur")</f>
        <v/>
      </c>
      <c r="H1033">
        <f>IF(AND(B1033=B1032,D1033=D1032,A1033=A1032,F1033=F1032),1,0)</f>
        <v/>
      </c>
      <c r="I1033">
        <f>IF(C1033="C99999",1,0)</f>
        <v/>
      </c>
      <c r="J1033" s="5">
        <f>IF(OR(H1033=1,I1033=1),0,IF(G1033="Credit",-F1033,F1033))</f>
        <v/>
      </c>
    </row>
    <row r="1034">
      <c r="A1034" t="inlineStr">
        <is>
          <t>2026-07-10</t>
        </is>
      </c>
      <c r="B1034" t="inlineStr">
        <is>
          <t>F275832</t>
        </is>
      </c>
      <c r="C1034" t="inlineStr">
        <is>
          <t>C10839</t>
        </is>
      </c>
      <c r="D1034" t="inlineStr">
        <is>
          <t>SKU-10316</t>
        </is>
      </c>
      <c r="E1034" t="inlineStr">
        <is>
          <t>AM06</t>
        </is>
      </c>
      <c r="F1034" s="5" t="n">
        <v>258.21</v>
      </c>
      <c r="G1034">
        <f>IF(LEFT(B1034,1)="C","Credit","Factuur")</f>
        <v/>
      </c>
      <c r="H1034">
        <f>IF(AND(B1034=B1033,D1034=D1033,A1034=A1033,F1034=F1033),1,0)</f>
        <v/>
      </c>
      <c r="I1034">
        <f>IF(C1034="C99999",1,0)</f>
        <v/>
      </c>
      <c r="J1034" s="5">
        <f>IF(OR(H1034=1,I1034=1),0,IF(G1034="Credit",-F1034,F1034))</f>
        <v/>
      </c>
    </row>
    <row r="1035">
      <c r="A1035" t="inlineStr">
        <is>
          <t>2026-07-10</t>
        </is>
      </c>
      <c r="B1035" t="inlineStr">
        <is>
          <t>F275832</t>
        </is>
      </c>
      <c r="C1035" t="inlineStr">
        <is>
          <t>C10839</t>
        </is>
      </c>
      <c r="D1035" t="inlineStr">
        <is>
          <t>SKU-10320</t>
        </is>
      </c>
      <c r="E1035" t="inlineStr">
        <is>
          <t>AM06</t>
        </is>
      </c>
      <c r="F1035" s="5" t="n">
        <v>243.21</v>
      </c>
      <c r="G1035">
        <f>IF(LEFT(B1035,1)="C","Credit","Factuur")</f>
        <v/>
      </c>
      <c r="H1035">
        <f>IF(AND(B1035=B1034,D1035=D1034,A1035=A1034,F1035=F1034),1,0)</f>
        <v/>
      </c>
      <c r="I1035">
        <f>IF(C1035="C99999",1,0)</f>
        <v/>
      </c>
      <c r="J1035" s="5">
        <f>IF(OR(H1035=1,I1035=1),0,IF(G1035="Credit",-F1035,F1035))</f>
        <v/>
      </c>
    </row>
    <row r="1036">
      <c r="A1036" t="inlineStr">
        <is>
          <t>2026-07-10</t>
        </is>
      </c>
      <c r="B1036" t="inlineStr">
        <is>
          <t>F275832</t>
        </is>
      </c>
      <c r="C1036" t="inlineStr">
        <is>
          <t>C10839</t>
        </is>
      </c>
      <c r="D1036" t="inlineStr">
        <is>
          <t>SKU-10332</t>
        </is>
      </c>
      <c r="E1036" t="inlineStr">
        <is>
          <t>AM06</t>
        </is>
      </c>
      <c r="F1036" s="5" t="n">
        <v>244.14</v>
      </c>
      <c r="G1036">
        <f>IF(LEFT(B1036,1)="C","Credit","Factuur")</f>
        <v/>
      </c>
      <c r="H1036">
        <f>IF(AND(B1036=B1035,D1036=D1035,A1036=A1035,F1036=F1035),1,0)</f>
        <v/>
      </c>
      <c r="I1036">
        <f>IF(C1036="C99999",1,0)</f>
        <v/>
      </c>
      <c r="J1036" s="5">
        <f>IF(OR(H1036=1,I1036=1),0,IF(G1036="Credit",-F1036,F1036))</f>
        <v/>
      </c>
    </row>
    <row r="1037">
      <c r="A1037" t="inlineStr">
        <is>
          <t>2026-07-10</t>
        </is>
      </c>
      <c r="B1037" t="inlineStr">
        <is>
          <t>F275832</t>
        </is>
      </c>
      <c r="C1037" t="inlineStr">
        <is>
          <t>C10839</t>
        </is>
      </c>
      <c r="D1037" t="inlineStr">
        <is>
          <t>SKU-10344</t>
        </is>
      </c>
      <c r="E1037" t="inlineStr">
        <is>
          <t>AM06</t>
        </is>
      </c>
      <c r="F1037" s="5" t="n">
        <v>252</v>
      </c>
      <c r="G1037">
        <f>IF(LEFT(B1037,1)="C","Credit","Factuur")</f>
        <v/>
      </c>
      <c r="H1037">
        <f>IF(AND(B1037=B1036,D1037=D1036,A1037=A1036,F1037=F1036),1,0)</f>
        <v/>
      </c>
      <c r="I1037">
        <f>IF(C1037="C99999",1,0)</f>
        <v/>
      </c>
      <c r="J1037" s="5">
        <f>IF(OR(H1037=1,I1037=1),0,IF(G1037="Credit",-F1037,F1037))</f>
        <v/>
      </c>
    </row>
    <row r="1038">
      <c r="A1038" t="inlineStr">
        <is>
          <t>2026-07-10</t>
        </is>
      </c>
      <c r="B1038" t="inlineStr">
        <is>
          <t>F276100</t>
        </is>
      </c>
      <c r="C1038" t="inlineStr">
        <is>
          <t>C10855</t>
        </is>
      </c>
      <c r="D1038" t="inlineStr">
        <is>
          <t>SKU-10300</t>
        </is>
      </c>
      <c r="E1038" t="inlineStr">
        <is>
          <t>AM08</t>
        </is>
      </c>
      <c r="F1038" s="5" t="n">
        <v>183.84</v>
      </c>
      <c r="G1038">
        <f>IF(LEFT(B1038,1)="C","Credit","Factuur")</f>
        <v/>
      </c>
      <c r="H1038">
        <f>IF(AND(B1038=B1037,D1038=D1037,A1038=A1037,F1038=F1037),1,0)</f>
        <v/>
      </c>
      <c r="I1038">
        <f>IF(C1038="C99999",1,0)</f>
        <v/>
      </c>
      <c r="J1038" s="5">
        <f>IF(OR(H1038=1,I1038=1),0,IF(G1038="Credit",-F1038,F1038))</f>
        <v/>
      </c>
    </row>
    <row r="1039">
      <c r="A1039" t="inlineStr">
        <is>
          <t>2026-07-10</t>
        </is>
      </c>
      <c r="B1039" t="inlineStr">
        <is>
          <t>F276100</t>
        </is>
      </c>
      <c r="C1039" t="inlineStr">
        <is>
          <t>C10855</t>
        </is>
      </c>
      <c r="D1039" t="inlineStr">
        <is>
          <t>SKU-10331</t>
        </is>
      </c>
      <c r="E1039" t="inlineStr">
        <is>
          <t>AM08</t>
        </is>
      </c>
      <c r="F1039" s="5" t="n">
        <v>171.72</v>
      </c>
      <c r="G1039">
        <f>IF(LEFT(B1039,1)="C","Credit","Factuur")</f>
        <v/>
      </c>
      <c r="H1039">
        <f>IF(AND(B1039=B1038,D1039=D1038,A1039=A1038,F1039=F1038),1,0)</f>
        <v/>
      </c>
      <c r="I1039">
        <f>IF(C1039="C99999",1,0)</f>
        <v/>
      </c>
      <c r="J1039" s="5">
        <f>IF(OR(H1039=1,I1039=1),0,IF(G1039="Credit",-F1039,F1039))</f>
        <v/>
      </c>
    </row>
    <row r="1040">
      <c r="A1040" t="inlineStr">
        <is>
          <t>2026-07-10</t>
        </is>
      </c>
      <c r="B1040" t="inlineStr">
        <is>
          <t>F276100</t>
        </is>
      </c>
      <c r="C1040" t="inlineStr">
        <is>
          <t>C10855</t>
        </is>
      </c>
      <c r="D1040" t="inlineStr">
        <is>
          <t>SKU-10348</t>
        </is>
      </c>
      <c r="E1040" t="inlineStr">
        <is>
          <t>AM08</t>
        </is>
      </c>
      <c r="F1040" s="5" t="n">
        <v>152.99</v>
      </c>
      <c r="G1040">
        <f>IF(LEFT(B1040,1)="C","Credit","Factuur")</f>
        <v/>
      </c>
      <c r="H1040">
        <f>IF(AND(B1040=B1039,D1040=D1039,A1040=A1039,F1040=F1039),1,0)</f>
        <v/>
      </c>
      <c r="I1040">
        <f>IF(C1040="C99999",1,0)</f>
        <v/>
      </c>
      <c r="J1040" s="5">
        <f>IF(OR(H1040=1,I1040=1),0,IF(G1040="Credit",-F1040,F1040))</f>
        <v/>
      </c>
    </row>
    <row r="1041">
      <c r="A1041" t="inlineStr">
        <is>
          <t>2026-07-10</t>
        </is>
      </c>
      <c r="B1041" t="inlineStr">
        <is>
          <t>F276100</t>
        </is>
      </c>
      <c r="C1041" t="inlineStr">
        <is>
          <t>C10855</t>
        </is>
      </c>
      <c r="D1041" t="inlineStr">
        <is>
          <t>SKU-10370</t>
        </is>
      </c>
      <c r="E1041" t="inlineStr">
        <is>
          <t>AM08</t>
        </is>
      </c>
      <c r="F1041" s="5" t="n">
        <v>209.79</v>
      </c>
      <c r="G1041">
        <f>IF(LEFT(B1041,1)="C","Credit","Factuur")</f>
        <v/>
      </c>
      <c r="H1041">
        <f>IF(AND(B1041=B1040,D1041=D1040,A1041=A1040,F1041=F1040),1,0)</f>
        <v/>
      </c>
      <c r="I1041">
        <f>IF(C1041="C99999",1,0)</f>
        <v/>
      </c>
      <c r="J1041" s="5">
        <f>IF(OR(H1041=1,I1041=1),0,IF(G1041="Credit",-F1041,F1041))</f>
        <v/>
      </c>
    </row>
    <row r="1042">
      <c r="A1042" t="inlineStr">
        <is>
          <t>2026-07-10</t>
        </is>
      </c>
      <c r="B1042" t="inlineStr">
        <is>
          <t>F276344</t>
        </is>
      </c>
      <c r="C1042" t="inlineStr">
        <is>
          <t>C10866</t>
        </is>
      </c>
      <c r="D1042" t="inlineStr">
        <is>
          <t>SKU-10048</t>
        </is>
      </c>
      <c r="E1042" t="inlineStr">
        <is>
          <t>AM11</t>
        </is>
      </c>
      <c r="F1042" s="5" t="n">
        <v>2157.01</v>
      </c>
      <c r="G1042">
        <f>IF(LEFT(B1042,1)="C","Credit","Factuur")</f>
        <v/>
      </c>
      <c r="H1042">
        <f>IF(AND(B1042=B1041,D1042=D1041,A1042=A1041,F1042=F1041),1,0)</f>
        <v/>
      </c>
      <c r="I1042">
        <f>IF(C1042="C99999",1,0)</f>
        <v/>
      </c>
      <c r="J1042" s="5">
        <f>IF(OR(H1042=1,I1042=1),0,IF(G1042="Credit",-F1042,F1042))</f>
        <v/>
      </c>
    </row>
    <row r="1043">
      <c r="A1043" t="inlineStr">
        <is>
          <t>2026-07-10</t>
        </is>
      </c>
      <c r="B1043" t="inlineStr">
        <is>
          <t>F276344</t>
        </is>
      </c>
      <c r="C1043" t="inlineStr">
        <is>
          <t>C10866</t>
        </is>
      </c>
      <c r="D1043" t="inlineStr">
        <is>
          <t>SKU-10070</t>
        </is>
      </c>
      <c r="E1043" t="inlineStr">
        <is>
          <t>AM11</t>
        </is>
      </c>
      <c r="F1043" s="5" t="n">
        <v>1904.22</v>
      </c>
      <c r="G1043">
        <f>IF(LEFT(B1043,1)="C","Credit","Factuur")</f>
        <v/>
      </c>
      <c r="H1043">
        <f>IF(AND(B1043=B1042,D1043=D1042,A1043=A1042,F1043=F1042),1,0)</f>
        <v/>
      </c>
      <c r="I1043">
        <f>IF(C1043="C99999",1,0)</f>
        <v/>
      </c>
      <c r="J1043" s="5">
        <f>IF(OR(H1043=1,I1043=1),0,IF(G1043="Credit",-F1043,F1043))</f>
        <v/>
      </c>
    </row>
    <row r="1044">
      <c r="A1044" t="inlineStr">
        <is>
          <t>2026-07-10</t>
        </is>
      </c>
      <c r="B1044" t="inlineStr">
        <is>
          <t>F276623</t>
        </is>
      </c>
      <c r="C1044" t="inlineStr">
        <is>
          <t>C10882</t>
        </is>
      </c>
      <c r="D1044" t="inlineStr">
        <is>
          <t>SKU-10334</t>
        </is>
      </c>
      <c r="E1044" t="inlineStr">
        <is>
          <t>AM07</t>
        </is>
      </c>
      <c r="F1044" s="5" t="n">
        <v>1242.61</v>
      </c>
      <c r="G1044">
        <f>IF(LEFT(B1044,1)="C","Credit","Factuur")</f>
        <v/>
      </c>
      <c r="H1044">
        <f>IF(AND(B1044=B1043,D1044=D1043,A1044=A1043,F1044=F1043),1,0)</f>
        <v/>
      </c>
      <c r="I1044">
        <f>IF(C1044="C99999",1,0)</f>
        <v/>
      </c>
      <c r="J1044" s="5">
        <f>IF(OR(H1044=1,I1044=1),0,IF(G1044="Credit",-F1044,F1044))</f>
        <v/>
      </c>
    </row>
    <row r="1045">
      <c r="A1045" t="inlineStr">
        <is>
          <t>2026-07-10</t>
        </is>
      </c>
      <c r="B1045" t="inlineStr">
        <is>
          <t>F276723</t>
        </is>
      </c>
      <c r="C1045" t="inlineStr">
        <is>
          <t>C10887</t>
        </is>
      </c>
      <c r="D1045" t="inlineStr">
        <is>
          <t>SKU-10032</t>
        </is>
      </c>
      <c r="E1045" t="inlineStr">
        <is>
          <t>AM03</t>
        </is>
      </c>
      <c r="F1045" s="5" t="n">
        <v>138.44</v>
      </c>
      <c r="G1045">
        <f>IF(LEFT(B1045,1)="C","Credit","Factuur")</f>
        <v/>
      </c>
      <c r="H1045">
        <f>IF(AND(B1045=B1044,D1045=D1044,A1045=A1044,F1045=F1044),1,0)</f>
        <v/>
      </c>
      <c r="I1045">
        <f>IF(C1045="C99999",1,0)</f>
        <v/>
      </c>
      <c r="J1045" s="5">
        <f>IF(OR(H1045=1,I1045=1),0,IF(G1045="Credit",-F1045,F1045))</f>
        <v/>
      </c>
    </row>
    <row r="1046">
      <c r="A1046" t="inlineStr">
        <is>
          <t>2026-07-10</t>
        </is>
      </c>
      <c r="B1046" t="inlineStr">
        <is>
          <t>F276723</t>
        </is>
      </c>
      <c r="C1046" t="inlineStr">
        <is>
          <t>C10887</t>
        </is>
      </c>
      <c r="D1046" t="inlineStr">
        <is>
          <t>SKU-10061</t>
        </is>
      </c>
      <c r="E1046" t="inlineStr">
        <is>
          <t>AM03</t>
        </is>
      </c>
      <c r="F1046" s="5" t="n">
        <v>143.64</v>
      </c>
      <c r="G1046">
        <f>IF(LEFT(B1046,1)="C","Credit","Factuur")</f>
        <v/>
      </c>
      <c r="H1046">
        <f>IF(AND(B1046=B1045,D1046=D1045,A1046=A1045,F1046=F1045),1,0)</f>
        <v/>
      </c>
      <c r="I1046">
        <f>IF(C1046="C99999",1,0)</f>
        <v/>
      </c>
      <c r="J1046" s="5">
        <f>IF(OR(H1046=1,I1046=1),0,IF(G1046="Credit",-F1046,F1046))</f>
        <v/>
      </c>
    </row>
    <row r="1047">
      <c r="A1047" t="inlineStr">
        <is>
          <t>2026-07-10</t>
        </is>
      </c>
      <c r="B1047" t="inlineStr">
        <is>
          <t>F276723</t>
        </is>
      </c>
      <c r="C1047" t="inlineStr">
        <is>
          <t>C10887</t>
        </is>
      </c>
      <c r="D1047" t="inlineStr">
        <is>
          <t>SKU-10292</t>
        </is>
      </c>
      <c r="E1047" t="inlineStr">
        <is>
          <t>AM03</t>
        </is>
      </c>
      <c r="F1047" s="5" t="n">
        <v>145.44</v>
      </c>
      <c r="G1047">
        <f>IF(LEFT(B1047,1)="C","Credit","Factuur")</f>
        <v/>
      </c>
      <c r="H1047">
        <f>IF(AND(B1047=B1046,D1047=D1046,A1047=A1046,F1047=F1046),1,0)</f>
        <v/>
      </c>
      <c r="I1047">
        <f>IF(C1047="C99999",1,0)</f>
        <v/>
      </c>
      <c r="J1047" s="5">
        <f>IF(OR(H1047=1,I1047=1),0,IF(G1047="Credit",-F1047,F1047))</f>
        <v/>
      </c>
    </row>
    <row r="1048">
      <c r="A1048" t="inlineStr">
        <is>
          <t>2026-07-10</t>
        </is>
      </c>
      <c r="B1048" t="inlineStr">
        <is>
          <t>F276723</t>
        </is>
      </c>
      <c r="C1048" t="inlineStr">
        <is>
          <t>C10887</t>
        </is>
      </c>
      <c r="D1048" t="inlineStr">
        <is>
          <t>SKU-10295</t>
        </is>
      </c>
      <c r="E1048" t="inlineStr">
        <is>
          <t>AM03</t>
        </is>
      </c>
      <c r="F1048" s="5" t="n">
        <v>147.2</v>
      </c>
      <c r="G1048">
        <f>IF(LEFT(B1048,1)="C","Credit","Factuur")</f>
        <v/>
      </c>
      <c r="H1048">
        <f>IF(AND(B1048=B1047,D1048=D1047,A1048=A1047,F1048=F1047),1,0)</f>
        <v/>
      </c>
      <c r="I1048">
        <f>IF(C1048="C99999",1,0)</f>
        <v/>
      </c>
      <c r="J1048" s="5">
        <f>IF(OR(H1048=1,I1048=1),0,IF(G1048="Credit",-F1048,F1048))</f>
        <v/>
      </c>
    </row>
    <row r="1049">
      <c r="A1049" t="inlineStr">
        <is>
          <t>2026-07-10</t>
        </is>
      </c>
      <c r="B1049" t="inlineStr">
        <is>
          <t>F276723</t>
        </is>
      </c>
      <c r="C1049" t="inlineStr">
        <is>
          <t>C10887</t>
        </is>
      </c>
      <c r="D1049" t="inlineStr">
        <is>
          <t>SKU-10329</t>
        </is>
      </c>
      <c r="E1049" t="inlineStr">
        <is>
          <t>AM03</t>
        </is>
      </c>
      <c r="F1049" s="5" t="n">
        <v>139.92</v>
      </c>
      <c r="G1049">
        <f>IF(LEFT(B1049,1)="C","Credit","Factuur")</f>
        <v/>
      </c>
      <c r="H1049">
        <f>IF(AND(B1049=B1048,D1049=D1048,A1049=A1048,F1049=F1048),1,0)</f>
        <v/>
      </c>
      <c r="I1049">
        <f>IF(C1049="C99999",1,0)</f>
        <v/>
      </c>
      <c r="J1049" s="5">
        <f>IF(OR(H1049=1,I1049=1),0,IF(G1049="Credit",-F1049,F1049))</f>
        <v/>
      </c>
    </row>
    <row r="1050">
      <c r="A1050" t="inlineStr">
        <is>
          <t>2026-07-10</t>
        </is>
      </c>
      <c r="B1050" t="inlineStr">
        <is>
          <t>F277244</t>
        </is>
      </c>
      <c r="C1050" t="inlineStr">
        <is>
          <t>C10915</t>
        </is>
      </c>
      <c r="D1050" t="inlineStr">
        <is>
          <t>SKU-10285</t>
        </is>
      </c>
      <c r="E1050" t="inlineStr">
        <is>
          <t>AM01</t>
        </is>
      </c>
      <c r="F1050" s="5" t="n">
        <v>1933.14</v>
      </c>
      <c r="G1050">
        <f>IF(LEFT(B1050,1)="C","Credit","Factuur")</f>
        <v/>
      </c>
      <c r="H1050">
        <f>IF(AND(B1050=B1049,D1050=D1049,A1050=A1049,F1050=F1049),1,0)</f>
        <v/>
      </c>
      <c r="I1050">
        <f>IF(C1050="C99999",1,0)</f>
        <v/>
      </c>
      <c r="J1050" s="5">
        <f>IF(OR(H1050=1,I1050=1),0,IF(G1050="Credit",-F1050,F1050))</f>
        <v/>
      </c>
    </row>
    <row r="1051">
      <c r="A1051" t="inlineStr">
        <is>
          <t>2026-07-10</t>
        </is>
      </c>
      <c r="B1051" t="inlineStr">
        <is>
          <t>F277244</t>
        </is>
      </c>
      <c r="C1051" t="inlineStr">
        <is>
          <t>C10915</t>
        </is>
      </c>
      <c r="D1051" t="inlineStr">
        <is>
          <t>SKU-10286</t>
        </is>
      </c>
      <c r="E1051" t="inlineStr">
        <is>
          <t>AM01</t>
        </is>
      </c>
      <c r="F1051" s="5" t="n">
        <v>1934.5</v>
      </c>
      <c r="G1051">
        <f>IF(LEFT(B1051,1)="C","Credit","Factuur")</f>
        <v/>
      </c>
      <c r="H1051">
        <f>IF(AND(B1051=B1050,D1051=D1050,A1051=A1050,F1051=F1050),1,0)</f>
        <v/>
      </c>
      <c r="I1051">
        <f>IF(C1051="C99999",1,0)</f>
        <v/>
      </c>
      <c r="J1051" s="5">
        <f>IF(OR(H1051=1,I1051=1),0,IF(G1051="Credit",-F1051,F1051))</f>
        <v/>
      </c>
    </row>
    <row r="1052">
      <c r="A1052" t="inlineStr">
        <is>
          <t>2026-07-10</t>
        </is>
      </c>
      <c r="B1052" t="inlineStr">
        <is>
          <t>F277469</t>
        </is>
      </c>
      <c r="C1052" t="inlineStr">
        <is>
          <t>C10928</t>
        </is>
      </c>
      <c r="D1052" t="inlineStr">
        <is>
          <t>SKU-10017</t>
        </is>
      </c>
      <c r="E1052" t="inlineStr">
        <is>
          <t>AM12</t>
        </is>
      </c>
      <c r="F1052" s="5" t="n">
        <v>233.1</v>
      </c>
      <c r="G1052">
        <f>IF(LEFT(B1052,1)="C","Credit","Factuur")</f>
        <v/>
      </c>
      <c r="H1052">
        <f>IF(AND(B1052=B1051,D1052=D1051,A1052=A1051,F1052=F1051),1,0)</f>
        <v/>
      </c>
      <c r="I1052">
        <f>IF(C1052="C99999",1,0)</f>
        <v/>
      </c>
      <c r="J1052" s="5">
        <f>IF(OR(H1052=1,I1052=1),0,IF(G1052="Credit",-F1052,F1052))</f>
        <v/>
      </c>
    </row>
    <row r="1053">
      <c r="A1053" t="inlineStr">
        <is>
          <t>2026-07-10</t>
        </is>
      </c>
      <c r="B1053" t="inlineStr">
        <is>
          <t>F277469</t>
        </is>
      </c>
      <c r="C1053" t="inlineStr">
        <is>
          <t>C10928</t>
        </is>
      </c>
      <c r="D1053" t="inlineStr">
        <is>
          <t>SKU-10312</t>
        </is>
      </c>
      <c r="E1053" t="inlineStr">
        <is>
          <t>AM12</t>
        </is>
      </c>
      <c r="F1053" s="5" t="n">
        <v>240.8</v>
      </c>
      <c r="G1053">
        <f>IF(LEFT(B1053,1)="C","Credit","Factuur")</f>
        <v/>
      </c>
      <c r="H1053">
        <f>IF(AND(B1053=B1052,D1053=D1052,A1053=A1052,F1053=F1052),1,0)</f>
        <v/>
      </c>
      <c r="I1053">
        <f>IF(C1053="C99999",1,0)</f>
        <v/>
      </c>
      <c r="J1053" s="5">
        <f>IF(OR(H1053=1,I1053=1),0,IF(G1053="Credit",-F1053,F1053))</f>
        <v/>
      </c>
    </row>
    <row r="1054">
      <c r="A1054" t="inlineStr">
        <is>
          <t>2026-07-10</t>
        </is>
      </c>
      <c r="B1054" t="inlineStr">
        <is>
          <t>F277539</t>
        </is>
      </c>
      <c r="C1054" t="inlineStr">
        <is>
          <t>C10932</t>
        </is>
      </c>
      <c r="D1054" t="inlineStr">
        <is>
          <t>SKU-10012</t>
        </is>
      </c>
      <c r="E1054" t="inlineStr">
        <is>
          <t>AM07</t>
        </is>
      </c>
      <c r="F1054" s="5" t="n">
        <v>127.64</v>
      </c>
      <c r="G1054">
        <f>IF(LEFT(B1054,1)="C","Credit","Factuur")</f>
        <v/>
      </c>
      <c r="H1054">
        <f>IF(AND(B1054=B1053,D1054=D1053,A1054=A1053,F1054=F1053),1,0)</f>
        <v/>
      </c>
      <c r="I1054">
        <f>IF(C1054="C99999",1,0)</f>
        <v/>
      </c>
      <c r="J1054" s="5">
        <f>IF(OR(H1054=1,I1054=1),0,IF(G1054="Credit",-F1054,F1054))</f>
        <v/>
      </c>
    </row>
    <row r="1055">
      <c r="A1055" t="inlineStr">
        <is>
          <t>2026-07-10</t>
        </is>
      </c>
      <c r="B1055" t="inlineStr">
        <is>
          <t>F277539</t>
        </is>
      </c>
      <c r="C1055" t="inlineStr">
        <is>
          <t>C10932</t>
        </is>
      </c>
      <c r="D1055" t="inlineStr">
        <is>
          <t>SKU-10079</t>
        </is>
      </c>
      <c r="E1055" t="inlineStr">
        <is>
          <t>AM07</t>
        </is>
      </c>
      <c r="F1055" s="5" t="n">
        <v>120.84</v>
      </c>
      <c r="G1055">
        <f>IF(LEFT(B1055,1)="C","Credit","Factuur")</f>
        <v/>
      </c>
      <c r="H1055">
        <f>IF(AND(B1055=B1054,D1055=D1054,A1055=A1054,F1055=F1054),1,0)</f>
        <v/>
      </c>
      <c r="I1055">
        <f>IF(C1055="C99999",1,0)</f>
        <v/>
      </c>
      <c r="J1055" s="5">
        <f>IF(OR(H1055=1,I1055=1),0,IF(G1055="Credit",-F1055,F1055))</f>
        <v/>
      </c>
    </row>
    <row r="1056">
      <c r="A1056" t="inlineStr">
        <is>
          <t>2026-07-10</t>
        </is>
      </c>
      <c r="B1056" t="inlineStr">
        <is>
          <t>F277539</t>
        </is>
      </c>
      <c r="C1056" t="inlineStr">
        <is>
          <t>C10932</t>
        </is>
      </c>
      <c r="D1056" t="inlineStr">
        <is>
          <t>SKU-10120</t>
        </is>
      </c>
      <c r="E1056" t="inlineStr">
        <is>
          <t>AM07</t>
        </is>
      </c>
      <c r="F1056" s="5" t="n">
        <v>141.9</v>
      </c>
      <c r="G1056">
        <f>IF(LEFT(B1056,1)="C","Credit","Factuur")</f>
        <v/>
      </c>
      <c r="H1056">
        <f>IF(AND(B1056=B1055,D1056=D1055,A1056=A1055,F1056=F1055),1,0)</f>
        <v/>
      </c>
      <c r="I1056">
        <f>IF(C1056="C99999",1,0)</f>
        <v/>
      </c>
      <c r="J1056" s="5">
        <f>IF(OR(H1056=1,I1056=1),0,IF(G1056="Credit",-F1056,F1056))</f>
        <v/>
      </c>
    </row>
    <row r="1057">
      <c r="A1057" t="inlineStr">
        <is>
          <t>2026-07-10</t>
        </is>
      </c>
      <c r="B1057" t="inlineStr">
        <is>
          <t>F277539</t>
        </is>
      </c>
      <c r="C1057" t="inlineStr">
        <is>
          <t>C10932</t>
        </is>
      </c>
      <c r="D1057" t="inlineStr">
        <is>
          <t>SKU-10295</t>
        </is>
      </c>
      <c r="E1057" t="inlineStr">
        <is>
          <t>AM07</t>
        </is>
      </c>
      <c r="F1057" s="5" t="n">
        <v>123.96</v>
      </c>
      <c r="G1057">
        <f>IF(LEFT(B1057,1)="C","Credit","Factuur")</f>
        <v/>
      </c>
      <c r="H1057">
        <f>IF(AND(B1057=B1056,D1057=D1056,A1057=A1056,F1057=F1056),1,0)</f>
        <v/>
      </c>
      <c r="I1057">
        <f>IF(C1057="C99999",1,0)</f>
        <v/>
      </c>
      <c r="J1057" s="5">
        <f>IF(OR(H1057=1,I1057=1),0,IF(G1057="Credit",-F1057,F1057))</f>
        <v/>
      </c>
    </row>
    <row r="1058">
      <c r="A1058" t="inlineStr">
        <is>
          <t>2026-07-10</t>
        </is>
      </c>
      <c r="B1058" t="inlineStr">
        <is>
          <t>F277713</t>
        </is>
      </c>
      <c r="C1058" t="inlineStr">
        <is>
          <t>C10940</t>
        </is>
      </c>
      <c r="D1058" t="inlineStr">
        <is>
          <t>SKU-10013</t>
        </is>
      </c>
      <c r="E1058" t="inlineStr">
        <is>
          <t>AM06</t>
        </is>
      </c>
      <c r="F1058" s="5" t="n">
        <v>2331.82</v>
      </c>
      <c r="G1058">
        <f>IF(LEFT(B1058,1)="C","Credit","Factuur")</f>
        <v/>
      </c>
      <c r="H1058">
        <f>IF(AND(B1058=B1057,D1058=D1057,A1058=A1057,F1058=F1057),1,0)</f>
        <v/>
      </c>
      <c r="I1058">
        <f>IF(C1058="C99999",1,0)</f>
        <v/>
      </c>
      <c r="J1058" s="5">
        <f>IF(OR(H1058=1,I1058=1),0,IF(G1058="Credit",-F1058,F1058))</f>
        <v/>
      </c>
    </row>
    <row r="1059">
      <c r="A1059" t="inlineStr">
        <is>
          <t>2026-07-10</t>
        </is>
      </c>
      <c r="B1059" t="inlineStr">
        <is>
          <t>F278047</t>
        </is>
      </c>
      <c r="C1059" t="inlineStr">
        <is>
          <t>C10958</t>
        </is>
      </c>
      <c r="D1059" t="inlineStr">
        <is>
          <t>SKU-10279</t>
        </is>
      </c>
      <c r="E1059" t="inlineStr">
        <is>
          <t>AM12</t>
        </is>
      </c>
      <c r="F1059" s="5" t="n">
        <v>549.63</v>
      </c>
      <c r="G1059">
        <f>IF(LEFT(B1059,1)="C","Credit","Factuur")</f>
        <v/>
      </c>
      <c r="H1059">
        <f>IF(AND(B1059=B1058,D1059=D1058,A1059=A1058,F1059=F1058),1,0)</f>
        <v/>
      </c>
      <c r="I1059">
        <f>IF(C1059="C99999",1,0)</f>
        <v/>
      </c>
      <c r="J1059" s="5">
        <f>IF(OR(H1059=1,I1059=1),0,IF(G1059="Credit",-F1059,F1059))</f>
        <v/>
      </c>
    </row>
    <row r="1060">
      <c r="A1060" t="inlineStr">
        <is>
          <t>2026-07-10</t>
        </is>
      </c>
      <c r="B1060" t="inlineStr">
        <is>
          <t>F278047</t>
        </is>
      </c>
      <c r="C1060" t="inlineStr">
        <is>
          <t>C10958</t>
        </is>
      </c>
      <c r="D1060" t="inlineStr">
        <is>
          <t>SKU-10285</t>
        </is>
      </c>
      <c r="E1060" t="inlineStr">
        <is>
          <t>AM12</t>
        </is>
      </c>
      <c r="F1060" s="5" t="n">
        <v>600.04</v>
      </c>
      <c r="G1060">
        <f>IF(LEFT(B1060,1)="C","Credit","Factuur")</f>
        <v/>
      </c>
      <c r="H1060">
        <f>IF(AND(B1060=B1059,D1060=D1059,A1060=A1059,F1060=F1059),1,0)</f>
        <v/>
      </c>
      <c r="I1060">
        <f>IF(C1060="C99999",1,0)</f>
        <v/>
      </c>
      <c r="J1060" s="5">
        <f>IF(OR(H1060=1,I1060=1),0,IF(G1060="Credit",-F1060,F1060))</f>
        <v/>
      </c>
    </row>
    <row r="1061">
      <c r="A1061" t="inlineStr">
        <is>
          <t>2026-07-10</t>
        </is>
      </c>
      <c r="B1061" t="inlineStr">
        <is>
          <t>F278070</t>
        </is>
      </c>
      <c r="C1061" t="inlineStr">
        <is>
          <t>C10960</t>
        </is>
      </c>
      <c r="D1061" t="inlineStr">
        <is>
          <t>SKU-10015</t>
        </is>
      </c>
      <c r="E1061" t="inlineStr">
        <is>
          <t>IS01</t>
        </is>
      </c>
      <c r="F1061" s="5" t="n">
        <v>98.18000000000001</v>
      </c>
      <c r="G1061">
        <f>IF(LEFT(B1061,1)="C","Credit","Factuur")</f>
        <v/>
      </c>
      <c r="H1061">
        <f>IF(AND(B1061=B1060,D1061=D1060,A1061=A1060,F1061=F1060),1,0)</f>
        <v/>
      </c>
      <c r="I1061">
        <f>IF(C1061="C99999",1,0)</f>
        <v/>
      </c>
      <c r="J1061" s="5">
        <f>IF(OR(H1061=1,I1061=1),0,IF(G1061="Credit",-F1061,F1061))</f>
        <v/>
      </c>
    </row>
    <row r="1062">
      <c r="A1062" t="inlineStr">
        <is>
          <t>2026-07-10</t>
        </is>
      </c>
      <c r="B1062" t="inlineStr">
        <is>
          <t>F278070</t>
        </is>
      </c>
      <c r="C1062" t="inlineStr">
        <is>
          <t>C10960</t>
        </is>
      </c>
      <c r="D1062" t="inlineStr">
        <is>
          <t>SKU-10276</t>
        </is>
      </c>
      <c r="E1062" t="inlineStr">
        <is>
          <t>IS01</t>
        </is>
      </c>
      <c r="F1062" s="5" t="n">
        <v>87.36</v>
      </c>
      <c r="G1062">
        <f>IF(LEFT(B1062,1)="C","Credit","Factuur")</f>
        <v/>
      </c>
      <c r="H1062">
        <f>IF(AND(B1062=B1061,D1062=D1061,A1062=A1061,F1062=F1061),1,0)</f>
        <v/>
      </c>
      <c r="I1062">
        <f>IF(C1062="C99999",1,0)</f>
        <v/>
      </c>
      <c r="J1062" s="5">
        <f>IF(OR(H1062=1,I1062=1),0,IF(G1062="Credit",-F1062,F1062))</f>
        <v/>
      </c>
    </row>
    <row r="1063">
      <c r="A1063" t="inlineStr">
        <is>
          <t>2026-07-10</t>
        </is>
      </c>
      <c r="B1063" t="inlineStr">
        <is>
          <t>F278070</t>
        </is>
      </c>
      <c r="C1063" t="inlineStr">
        <is>
          <t>C10960</t>
        </is>
      </c>
      <c r="D1063" t="inlineStr">
        <is>
          <t>SKU-10330</t>
        </is>
      </c>
      <c r="E1063" t="inlineStr">
        <is>
          <t>IS01</t>
        </is>
      </c>
      <c r="F1063" s="5" t="n">
        <v>84.87</v>
      </c>
      <c r="G1063">
        <f>IF(LEFT(B1063,1)="C","Credit","Factuur")</f>
        <v/>
      </c>
      <c r="H1063">
        <f>IF(AND(B1063=B1062,D1063=D1062,A1063=A1062,F1063=F1062),1,0)</f>
        <v/>
      </c>
      <c r="I1063">
        <f>IF(C1063="C99999",1,0)</f>
        <v/>
      </c>
      <c r="J1063" s="5">
        <f>IF(OR(H1063=1,I1063=1),0,IF(G1063="Credit",-F1063,F1063))</f>
        <v/>
      </c>
    </row>
    <row r="1064">
      <c r="A1064" t="inlineStr">
        <is>
          <t>2026-07-10</t>
        </is>
      </c>
      <c r="B1064" t="inlineStr">
        <is>
          <t>F278184</t>
        </is>
      </c>
      <c r="C1064" t="inlineStr">
        <is>
          <t>C10965</t>
        </is>
      </c>
      <c r="D1064" t="inlineStr">
        <is>
          <t>SKU-10080</t>
        </is>
      </c>
      <c r="E1064" t="inlineStr">
        <is>
          <t>AM01</t>
        </is>
      </c>
      <c r="F1064" s="5" t="n">
        <v>52.58</v>
      </c>
      <c r="G1064">
        <f>IF(LEFT(B1064,1)="C","Credit","Factuur")</f>
        <v/>
      </c>
      <c r="H1064">
        <f>IF(AND(B1064=B1063,D1064=D1063,A1064=A1063,F1064=F1063),1,0)</f>
        <v/>
      </c>
      <c r="I1064">
        <f>IF(C1064="C99999",1,0)</f>
        <v/>
      </c>
      <c r="J1064" s="5">
        <f>IF(OR(H1064=1,I1064=1),0,IF(G1064="Credit",-F1064,F1064))</f>
        <v/>
      </c>
    </row>
    <row r="1065">
      <c r="A1065" t="inlineStr">
        <is>
          <t>2026-07-10</t>
        </is>
      </c>
      <c r="B1065" t="inlineStr">
        <is>
          <t>F278184</t>
        </is>
      </c>
      <c r="C1065" t="inlineStr">
        <is>
          <t>C10965</t>
        </is>
      </c>
      <c r="D1065" t="inlineStr">
        <is>
          <t>SKU-10324</t>
        </is>
      </c>
      <c r="E1065" t="inlineStr">
        <is>
          <t>AM01</t>
        </is>
      </c>
      <c r="F1065" s="5" t="n">
        <v>65.16</v>
      </c>
      <c r="G1065">
        <f>IF(LEFT(B1065,1)="C","Credit","Factuur")</f>
        <v/>
      </c>
      <c r="H1065">
        <f>IF(AND(B1065=B1064,D1065=D1064,A1065=A1064,F1065=F1064),1,0)</f>
        <v/>
      </c>
      <c r="I1065">
        <f>IF(C1065="C99999",1,0)</f>
        <v/>
      </c>
      <c r="J1065" s="5">
        <f>IF(OR(H1065=1,I1065=1),0,IF(G1065="Credit",-F1065,F1065))</f>
        <v/>
      </c>
    </row>
    <row r="1066">
      <c r="A1066" t="inlineStr">
        <is>
          <t>2026-07-10</t>
        </is>
      </c>
      <c r="B1066" t="inlineStr">
        <is>
          <t>F278184</t>
        </is>
      </c>
      <c r="C1066" t="inlineStr">
        <is>
          <t>C10965</t>
        </is>
      </c>
      <c r="D1066" t="inlineStr">
        <is>
          <t>SKU-10341</t>
        </is>
      </c>
      <c r="E1066" t="inlineStr">
        <is>
          <t>AM01</t>
        </is>
      </c>
      <c r="F1066" s="5" t="n">
        <v>40.24</v>
      </c>
      <c r="G1066">
        <f>IF(LEFT(B1066,1)="C","Credit","Factuur")</f>
        <v/>
      </c>
      <c r="H1066">
        <f>IF(AND(B1066=B1065,D1066=D1065,A1066=A1065,F1066=F1065),1,0)</f>
        <v/>
      </c>
      <c r="I1066">
        <f>IF(C1066="C99999",1,0)</f>
        <v/>
      </c>
      <c r="J1066" s="5">
        <f>IF(OR(H1066=1,I1066=1),0,IF(G1066="Credit",-F1066,F1066))</f>
        <v/>
      </c>
    </row>
    <row r="1067">
      <c r="A1067" t="inlineStr">
        <is>
          <t>2026-07-10</t>
        </is>
      </c>
      <c r="B1067" t="inlineStr">
        <is>
          <t>F278184</t>
        </is>
      </c>
      <c r="C1067" t="inlineStr">
        <is>
          <t>C10965</t>
        </is>
      </c>
      <c r="D1067" t="inlineStr">
        <is>
          <t>SKU-10342</t>
        </is>
      </c>
      <c r="E1067" t="inlineStr">
        <is>
          <t>AM01</t>
        </is>
      </c>
      <c r="F1067" s="5" t="n">
        <v>50.82</v>
      </c>
      <c r="G1067">
        <f>IF(LEFT(B1067,1)="C","Credit","Factuur")</f>
        <v/>
      </c>
      <c r="H1067">
        <f>IF(AND(B1067=B1066,D1067=D1066,A1067=A1066,F1067=F1066),1,0)</f>
        <v/>
      </c>
      <c r="I1067">
        <f>IF(C1067="C99999",1,0)</f>
        <v/>
      </c>
      <c r="J1067" s="5">
        <f>IF(OR(H1067=1,I1067=1),0,IF(G1067="Credit",-F1067,F1067))</f>
        <v/>
      </c>
    </row>
    <row r="1068">
      <c r="A1068" t="inlineStr">
        <is>
          <t>2026-07-10</t>
        </is>
      </c>
      <c r="B1068" t="inlineStr">
        <is>
          <t>F279058</t>
        </is>
      </c>
      <c r="C1068" t="inlineStr">
        <is>
          <t>C11009</t>
        </is>
      </c>
      <c r="D1068" t="inlineStr">
        <is>
          <t>SKU-10067</t>
        </is>
      </c>
      <c r="E1068" t="inlineStr">
        <is>
          <t>AM02</t>
        </is>
      </c>
      <c r="F1068" s="5" t="n">
        <v>386.1</v>
      </c>
      <c r="G1068">
        <f>IF(LEFT(B1068,1)="C","Credit","Factuur")</f>
        <v/>
      </c>
      <c r="H1068">
        <f>IF(AND(B1068=B1067,D1068=D1067,A1068=A1067,F1068=F1067),1,0)</f>
        <v/>
      </c>
      <c r="I1068">
        <f>IF(C1068="C99999",1,0)</f>
        <v/>
      </c>
      <c r="J1068" s="5">
        <f>IF(OR(H1068=1,I1068=1),0,IF(G1068="Credit",-F1068,F1068))</f>
        <v/>
      </c>
    </row>
    <row r="1069">
      <c r="A1069" t="inlineStr">
        <is>
          <t>2026-07-10</t>
        </is>
      </c>
      <c r="B1069" t="inlineStr">
        <is>
          <t>F279114</t>
        </is>
      </c>
      <c r="C1069" t="inlineStr">
        <is>
          <t>C11011</t>
        </is>
      </c>
      <c r="D1069" t="inlineStr">
        <is>
          <t>SKU-10168</t>
        </is>
      </c>
      <c r="E1069" t="inlineStr">
        <is>
          <t>AM05</t>
        </is>
      </c>
      <c r="F1069" s="5" t="n">
        <v>139.12</v>
      </c>
      <c r="G1069">
        <f>IF(LEFT(B1069,1)="C","Credit","Factuur")</f>
        <v/>
      </c>
      <c r="H1069">
        <f>IF(AND(B1069=B1068,D1069=D1068,A1069=A1068,F1069=F1068),1,0)</f>
        <v/>
      </c>
      <c r="I1069">
        <f>IF(C1069="C99999",1,0)</f>
        <v/>
      </c>
      <c r="J1069" s="5">
        <f>IF(OR(H1069=1,I1069=1),0,IF(G1069="Credit",-F1069,F1069))</f>
        <v/>
      </c>
    </row>
    <row r="1070">
      <c r="A1070" t="inlineStr">
        <is>
          <t>2026-07-10</t>
        </is>
      </c>
      <c r="B1070" t="inlineStr">
        <is>
          <t>F279114</t>
        </is>
      </c>
      <c r="C1070" t="inlineStr">
        <is>
          <t>C11011</t>
        </is>
      </c>
      <c r="D1070" t="inlineStr">
        <is>
          <t>SKU-10200</t>
        </is>
      </c>
      <c r="E1070" t="inlineStr">
        <is>
          <t>AM05</t>
        </is>
      </c>
      <c r="F1070" s="5" t="n">
        <v>135.66</v>
      </c>
      <c r="G1070">
        <f>IF(LEFT(B1070,1)="C","Credit","Factuur")</f>
        <v/>
      </c>
      <c r="H1070">
        <f>IF(AND(B1070=B1069,D1070=D1069,A1070=A1069,F1070=F1069),1,0)</f>
        <v/>
      </c>
      <c r="I1070">
        <f>IF(C1070="C99999",1,0)</f>
        <v/>
      </c>
      <c r="J1070" s="5">
        <f>IF(OR(H1070=1,I1070=1),0,IF(G1070="Credit",-F1070,F1070))</f>
        <v/>
      </c>
    </row>
    <row r="1071">
      <c r="A1071" t="inlineStr">
        <is>
          <t>2026-07-10</t>
        </is>
      </c>
      <c r="B1071" t="inlineStr">
        <is>
          <t>F279114</t>
        </is>
      </c>
      <c r="C1071" t="inlineStr">
        <is>
          <t>C11011</t>
        </is>
      </c>
      <c r="D1071" t="inlineStr">
        <is>
          <t>SKU-10226</t>
        </is>
      </c>
      <c r="E1071" t="inlineStr">
        <is>
          <t>AM05</t>
        </is>
      </c>
      <c r="F1071" s="5" t="n">
        <v>145.74</v>
      </c>
      <c r="G1071">
        <f>IF(LEFT(B1071,1)="C","Credit","Factuur")</f>
        <v/>
      </c>
      <c r="H1071">
        <f>IF(AND(B1071=B1070,D1071=D1070,A1071=A1070,F1071=F1070),1,0)</f>
        <v/>
      </c>
      <c r="I1071">
        <f>IF(C1071="C99999",1,0)</f>
        <v/>
      </c>
      <c r="J1071" s="5">
        <f>IF(OR(H1071=1,I1071=1),0,IF(G1071="Credit",-F1071,F1071))</f>
        <v/>
      </c>
    </row>
    <row r="1072">
      <c r="A1072" t="inlineStr">
        <is>
          <t>2026-07-10</t>
        </is>
      </c>
      <c r="B1072" t="inlineStr">
        <is>
          <t>F279114</t>
        </is>
      </c>
      <c r="C1072" t="inlineStr">
        <is>
          <t>C11011</t>
        </is>
      </c>
      <c r="D1072" t="inlineStr">
        <is>
          <t>SKU-10239</t>
        </is>
      </c>
      <c r="E1072" t="inlineStr">
        <is>
          <t>AM05</t>
        </is>
      </c>
      <c r="F1072" s="5" t="n">
        <v>125.42</v>
      </c>
      <c r="G1072">
        <f>IF(LEFT(B1072,1)="C","Credit","Factuur")</f>
        <v/>
      </c>
      <c r="H1072">
        <f>IF(AND(B1072=B1071,D1072=D1071,A1072=A1071,F1072=F1071),1,0)</f>
        <v/>
      </c>
      <c r="I1072">
        <f>IF(C1072="C99999",1,0)</f>
        <v/>
      </c>
      <c r="J1072" s="5">
        <f>IF(OR(H1072=1,I1072=1),0,IF(G1072="Credit",-F1072,F1072))</f>
        <v/>
      </c>
    </row>
    <row r="1073">
      <c r="A1073" t="inlineStr">
        <is>
          <t>2026-07-10</t>
        </is>
      </c>
      <c r="B1073" t="inlineStr">
        <is>
          <t>F279114</t>
        </is>
      </c>
      <c r="C1073" t="inlineStr">
        <is>
          <t>C11011</t>
        </is>
      </c>
      <c r="D1073" t="inlineStr">
        <is>
          <t>SKU-10273</t>
        </is>
      </c>
      <c r="E1073" t="inlineStr">
        <is>
          <t>AM05</t>
        </is>
      </c>
      <c r="F1073" s="5" t="n">
        <v>128.48</v>
      </c>
      <c r="G1073">
        <f>IF(LEFT(B1073,1)="C","Credit","Factuur")</f>
        <v/>
      </c>
      <c r="H1073">
        <f>IF(AND(B1073=B1072,D1073=D1072,A1073=A1072,F1073=F1072),1,0)</f>
        <v/>
      </c>
      <c r="I1073">
        <f>IF(C1073="C99999",1,0)</f>
        <v/>
      </c>
      <c r="J1073" s="5">
        <f>IF(OR(H1073=1,I1073=1),0,IF(G1073="Credit",-F1073,F1073))</f>
        <v/>
      </c>
    </row>
    <row r="1074">
      <c r="A1074" t="inlineStr">
        <is>
          <t>2026-07-10</t>
        </is>
      </c>
      <c r="B1074" t="inlineStr">
        <is>
          <t>F279114</t>
        </is>
      </c>
      <c r="C1074" t="inlineStr">
        <is>
          <t>C11011</t>
        </is>
      </c>
      <c r="D1074" t="inlineStr">
        <is>
          <t>SKU-10333</t>
        </is>
      </c>
      <c r="E1074" t="inlineStr">
        <is>
          <t>AM05</t>
        </is>
      </c>
      <c r="F1074" s="5" t="n">
        <v>127.41</v>
      </c>
      <c r="G1074">
        <f>IF(LEFT(B1074,1)="C","Credit","Factuur")</f>
        <v/>
      </c>
      <c r="H1074">
        <f>IF(AND(B1074=B1073,D1074=D1073,A1074=A1073,F1074=F1073),1,0)</f>
        <v/>
      </c>
      <c r="I1074">
        <f>IF(C1074="C99999",1,0)</f>
        <v/>
      </c>
      <c r="J1074" s="5">
        <f>IF(OR(H1074=1,I1074=1),0,IF(G1074="Credit",-F1074,F1074))</f>
        <v/>
      </c>
    </row>
    <row r="1075">
      <c r="A1075" t="inlineStr">
        <is>
          <t>2026-07-10</t>
        </is>
      </c>
      <c r="B1075" t="inlineStr">
        <is>
          <t>F279604</t>
        </is>
      </c>
      <c r="C1075" t="inlineStr">
        <is>
          <t>C11039</t>
        </is>
      </c>
      <c r="D1075" t="inlineStr">
        <is>
          <t>SKU-10042</t>
        </is>
      </c>
      <c r="E1075" t="inlineStr">
        <is>
          <t>AM05</t>
        </is>
      </c>
      <c r="F1075" s="5" t="n">
        <v>65.16</v>
      </c>
      <c r="G1075">
        <f>IF(LEFT(B1075,1)="C","Credit","Factuur")</f>
        <v/>
      </c>
      <c r="H1075">
        <f>IF(AND(B1075=B1074,D1075=D1074,A1075=A1074,F1075=F1074),1,0)</f>
        <v/>
      </c>
      <c r="I1075">
        <f>IF(C1075="C99999",1,0)</f>
        <v/>
      </c>
      <c r="J1075" s="5">
        <f>IF(OR(H1075=1,I1075=1),0,IF(G1075="Credit",-F1075,F1075))</f>
        <v/>
      </c>
    </row>
    <row r="1076">
      <c r="A1076" t="inlineStr">
        <is>
          <t>2026-07-10</t>
        </is>
      </c>
      <c r="B1076" t="inlineStr">
        <is>
          <t>F279604</t>
        </is>
      </c>
      <c r="C1076" t="inlineStr">
        <is>
          <t>C11039</t>
        </is>
      </c>
      <c r="D1076" t="inlineStr">
        <is>
          <t>SKU-10059</t>
        </is>
      </c>
      <c r="E1076" t="inlineStr">
        <is>
          <t>AM05</t>
        </is>
      </c>
      <c r="F1076" s="5" t="n">
        <v>42.48</v>
      </c>
      <c r="G1076">
        <f>IF(LEFT(B1076,1)="C","Credit","Factuur")</f>
        <v/>
      </c>
      <c r="H1076">
        <f>IF(AND(B1076=B1075,D1076=D1075,A1076=A1075,F1076=F1075),1,0)</f>
        <v/>
      </c>
      <c r="I1076">
        <f>IF(C1076="C99999",1,0)</f>
        <v/>
      </c>
      <c r="J1076" s="5">
        <f>IF(OR(H1076=1,I1076=1),0,IF(G1076="Credit",-F1076,F1076))</f>
        <v/>
      </c>
    </row>
    <row r="1077">
      <c r="A1077" t="inlineStr">
        <is>
          <t>2026-07-10</t>
        </is>
      </c>
      <c r="B1077" t="inlineStr">
        <is>
          <t>F279604</t>
        </is>
      </c>
      <c r="C1077" t="inlineStr">
        <is>
          <t>C11039</t>
        </is>
      </c>
      <c r="D1077" t="inlineStr">
        <is>
          <t>SKU-10154</t>
        </is>
      </c>
      <c r="E1077" t="inlineStr">
        <is>
          <t>AM05</t>
        </is>
      </c>
      <c r="F1077" s="5" t="n">
        <v>70.02</v>
      </c>
      <c r="G1077">
        <f>IF(LEFT(B1077,1)="C","Credit","Factuur")</f>
        <v/>
      </c>
      <c r="H1077">
        <f>IF(AND(B1077=B1076,D1077=D1076,A1077=A1076,F1077=F1076),1,0)</f>
        <v/>
      </c>
      <c r="I1077">
        <f>IF(C1077="C99999",1,0)</f>
        <v/>
      </c>
      <c r="J1077" s="5">
        <f>IF(OR(H1077=1,I1077=1),0,IF(G1077="Credit",-F1077,F1077))</f>
        <v/>
      </c>
    </row>
    <row r="1078">
      <c r="A1078" t="inlineStr">
        <is>
          <t>2026-07-10</t>
        </is>
      </c>
      <c r="B1078" t="inlineStr">
        <is>
          <t>F279604</t>
        </is>
      </c>
      <c r="C1078" t="inlineStr">
        <is>
          <t>C11039</t>
        </is>
      </c>
      <c r="D1078" t="inlineStr">
        <is>
          <t>SKU-10166</t>
        </is>
      </c>
      <c r="E1078" t="inlineStr">
        <is>
          <t>AM05</t>
        </is>
      </c>
      <c r="F1078" s="5" t="n">
        <v>73.05</v>
      </c>
      <c r="G1078">
        <f>IF(LEFT(B1078,1)="C","Credit","Factuur")</f>
        <v/>
      </c>
      <c r="H1078">
        <f>IF(AND(B1078=B1077,D1078=D1077,A1078=A1077,F1078=F1077),1,0)</f>
        <v/>
      </c>
      <c r="I1078">
        <f>IF(C1078="C99999",1,0)</f>
        <v/>
      </c>
      <c r="J1078" s="5">
        <f>IF(OR(H1078=1,I1078=1),0,IF(G1078="Credit",-F1078,F1078))</f>
        <v/>
      </c>
    </row>
    <row r="1079">
      <c r="A1079" t="inlineStr">
        <is>
          <t>2026-07-10</t>
        </is>
      </c>
      <c r="B1079" t="inlineStr">
        <is>
          <t>F279604</t>
        </is>
      </c>
      <c r="C1079" t="inlineStr">
        <is>
          <t>C11039</t>
        </is>
      </c>
      <c r="D1079" t="inlineStr">
        <is>
          <t>SKU-10203</t>
        </is>
      </c>
      <c r="E1079" t="inlineStr">
        <is>
          <t>AM05</t>
        </is>
      </c>
      <c r="F1079" s="5" t="n">
        <v>44.58</v>
      </c>
      <c r="G1079">
        <f>IF(LEFT(B1079,1)="C","Credit","Factuur")</f>
        <v/>
      </c>
      <c r="H1079">
        <f>IF(AND(B1079=B1078,D1079=D1078,A1079=A1078,F1079=F1078),1,0)</f>
        <v/>
      </c>
      <c r="I1079">
        <f>IF(C1079="C99999",1,0)</f>
        <v/>
      </c>
      <c r="J1079" s="5">
        <f>IF(OR(H1079=1,I1079=1),0,IF(G1079="Credit",-F1079,F1079))</f>
        <v/>
      </c>
    </row>
    <row r="1080">
      <c r="A1080" t="inlineStr">
        <is>
          <t>2026-07-10</t>
        </is>
      </c>
      <c r="B1080" t="inlineStr">
        <is>
          <t>F279759</t>
        </is>
      </c>
      <c r="C1080" t="inlineStr">
        <is>
          <t>C11047</t>
        </is>
      </c>
      <c r="D1080" t="inlineStr">
        <is>
          <t>SKU-10285</t>
        </is>
      </c>
      <c r="E1080" t="inlineStr">
        <is>
          <t>AM02</t>
        </is>
      </c>
      <c r="F1080" s="5" t="n">
        <v>545.49</v>
      </c>
      <c r="G1080">
        <f>IF(LEFT(B1080,1)="C","Credit","Factuur")</f>
        <v/>
      </c>
      <c r="H1080">
        <f>IF(AND(B1080=B1079,D1080=D1079,A1080=A1079,F1080=F1079),1,0)</f>
        <v/>
      </c>
      <c r="I1080">
        <f>IF(C1080="C99999",1,0)</f>
        <v/>
      </c>
      <c r="J1080" s="5">
        <f>IF(OR(H1080=1,I1080=1),0,IF(G1080="Credit",-F1080,F1080))</f>
        <v/>
      </c>
    </row>
    <row r="1081">
      <c r="A1081" t="inlineStr">
        <is>
          <t>2026-07-10</t>
        </is>
      </c>
      <c r="B1081" t="inlineStr">
        <is>
          <t>F279759</t>
        </is>
      </c>
      <c r="C1081" t="inlineStr">
        <is>
          <t>C11047</t>
        </is>
      </c>
      <c r="D1081" t="inlineStr">
        <is>
          <t>SKU-10315</t>
        </is>
      </c>
      <c r="E1081" t="inlineStr">
        <is>
          <t>AM02</t>
        </is>
      </c>
      <c r="F1081" s="5" t="n">
        <v>539.0599999999999</v>
      </c>
      <c r="G1081">
        <f>IF(LEFT(B1081,1)="C","Credit","Factuur")</f>
        <v/>
      </c>
      <c r="H1081">
        <f>IF(AND(B1081=B1080,D1081=D1080,A1081=A1080,F1081=F1080),1,0)</f>
        <v/>
      </c>
      <c r="I1081">
        <f>IF(C1081="C99999",1,0)</f>
        <v/>
      </c>
      <c r="J1081" s="5">
        <f>IF(OR(H1081=1,I1081=1),0,IF(G1081="Credit",-F1081,F1081))</f>
        <v/>
      </c>
    </row>
    <row r="1082">
      <c r="A1082" t="inlineStr">
        <is>
          <t>2026-07-10</t>
        </is>
      </c>
      <c r="B1082" t="inlineStr">
        <is>
          <t>F280113</t>
        </is>
      </c>
      <c r="C1082" t="inlineStr">
        <is>
          <t>C11063</t>
        </is>
      </c>
      <c r="D1082" t="inlineStr">
        <is>
          <t>SKU-10019</t>
        </is>
      </c>
      <c r="E1082" t="inlineStr">
        <is>
          <t>AM11</t>
        </is>
      </c>
      <c r="F1082" s="5" t="n">
        <v>88.02</v>
      </c>
      <c r="G1082">
        <f>IF(LEFT(B1082,1)="C","Credit","Factuur")</f>
        <v/>
      </c>
      <c r="H1082">
        <f>IF(AND(B1082=B1081,D1082=D1081,A1082=A1081,F1082=F1081),1,0)</f>
        <v/>
      </c>
      <c r="I1082">
        <f>IF(C1082="C99999",1,0)</f>
        <v/>
      </c>
      <c r="J1082" s="5">
        <f>IF(OR(H1082=1,I1082=1),0,IF(G1082="Credit",-F1082,F1082))</f>
        <v/>
      </c>
    </row>
    <row r="1083">
      <c r="A1083" t="inlineStr">
        <is>
          <t>2026-07-10</t>
        </is>
      </c>
      <c r="B1083" t="inlineStr">
        <is>
          <t>F280113</t>
        </is>
      </c>
      <c r="C1083" t="inlineStr">
        <is>
          <t>C11063</t>
        </is>
      </c>
      <c r="D1083" t="inlineStr">
        <is>
          <t>SKU-10182</t>
        </is>
      </c>
      <c r="E1083" t="inlineStr">
        <is>
          <t>AM11</t>
        </is>
      </c>
      <c r="F1083" s="5" t="n">
        <v>75.45</v>
      </c>
      <c r="G1083">
        <f>IF(LEFT(B1083,1)="C","Credit","Factuur")</f>
        <v/>
      </c>
      <c r="H1083">
        <f>IF(AND(B1083=B1082,D1083=D1082,A1083=A1082,F1083=F1082),1,0)</f>
        <v/>
      </c>
      <c r="I1083">
        <f>IF(C1083="C99999",1,0)</f>
        <v/>
      </c>
      <c r="J1083" s="5">
        <f>IF(OR(H1083=1,I1083=1),0,IF(G1083="Credit",-F1083,F1083))</f>
        <v/>
      </c>
    </row>
    <row r="1084">
      <c r="A1084" t="inlineStr">
        <is>
          <t>2026-07-10</t>
        </is>
      </c>
      <c r="B1084" t="inlineStr">
        <is>
          <t>F280113</t>
        </is>
      </c>
      <c r="C1084" t="inlineStr">
        <is>
          <t>C11063</t>
        </is>
      </c>
      <c r="D1084" t="inlineStr">
        <is>
          <t>SKU-10315</t>
        </is>
      </c>
      <c r="E1084" t="inlineStr">
        <is>
          <t>AM11</t>
        </is>
      </c>
      <c r="F1084" s="5" t="n">
        <v>54.45</v>
      </c>
      <c r="G1084">
        <f>IF(LEFT(B1084,1)="C","Credit","Factuur")</f>
        <v/>
      </c>
      <c r="H1084">
        <f>IF(AND(B1084=B1083,D1084=D1083,A1084=A1083,F1084=F1083),1,0)</f>
        <v/>
      </c>
      <c r="I1084">
        <f>IF(C1084="C99999",1,0)</f>
        <v/>
      </c>
      <c r="J1084" s="5">
        <f>IF(OR(H1084=1,I1084=1),0,IF(G1084="Credit",-F1084,F1084))</f>
        <v/>
      </c>
    </row>
    <row r="1085">
      <c r="A1085" t="inlineStr">
        <is>
          <t>2026-07-10</t>
        </is>
      </c>
      <c r="B1085" t="inlineStr">
        <is>
          <t>F280417</t>
        </is>
      </c>
      <c r="C1085" t="inlineStr">
        <is>
          <t>C11078</t>
        </is>
      </c>
      <c r="D1085" t="inlineStr">
        <is>
          <t>SKU-10028</t>
        </is>
      </c>
      <c r="E1085" t="inlineStr">
        <is>
          <t>AM08</t>
        </is>
      </c>
      <c r="F1085" s="5" t="n">
        <v>520.92</v>
      </c>
      <c r="G1085">
        <f>IF(LEFT(B1085,1)="C","Credit","Factuur")</f>
        <v/>
      </c>
      <c r="H1085">
        <f>IF(AND(B1085=B1084,D1085=D1084,A1085=A1084,F1085=F1084),1,0)</f>
        <v/>
      </c>
      <c r="I1085">
        <f>IF(C1085="C99999",1,0)</f>
        <v/>
      </c>
      <c r="J1085" s="5">
        <f>IF(OR(H1085=1,I1085=1),0,IF(G1085="Credit",-F1085,F1085))</f>
        <v/>
      </c>
    </row>
    <row r="1086">
      <c r="A1086" t="inlineStr">
        <is>
          <t>2026-07-10</t>
        </is>
      </c>
      <c r="B1086" t="inlineStr">
        <is>
          <t>F280417</t>
        </is>
      </c>
      <c r="C1086" t="inlineStr">
        <is>
          <t>C11078</t>
        </is>
      </c>
      <c r="D1086" t="inlineStr">
        <is>
          <t>SKU-10232</t>
        </is>
      </c>
      <c r="E1086" t="inlineStr">
        <is>
          <t>AM08</t>
        </is>
      </c>
      <c r="F1086" s="5" t="n">
        <v>507.84</v>
      </c>
      <c r="G1086">
        <f>IF(LEFT(B1086,1)="C","Credit","Factuur")</f>
        <v/>
      </c>
      <c r="H1086">
        <f>IF(AND(B1086=B1085,D1086=D1085,A1086=A1085,F1086=F1085),1,0)</f>
        <v/>
      </c>
      <c r="I1086">
        <f>IF(C1086="C99999",1,0)</f>
        <v/>
      </c>
      <c r="J1086" s="5">
        <f>IF(OR(H1086=1,I1086=1),0,IF(G1086="Credit",-F1086,F1086))</f>
        <v/>
      </c>
    </row>
    <row r="1087">
      <c r="A1087" t="inlineStr">
        <is>
          <t>2026-07-10</t>
        </is>
      </c>
      <c r="B1087" t="inlineStr">
        <is>
          <t>F280439</t>
        </is>
      </c>
      <c r="C1087" t="inlineStr">
        <is>
          <t>C11078</t>
        </is>
      </c>
      <c r="D1087" t="inlineStr">
        <is>
          <t>SKU-10155</t>
        </is>
      </c>
      <c r="E1087" t="inlineStr">
        <is>
          <t>AM08</t>
        </is>
      </c>
      <c r="F1087" s="5" t="n">
        <v>349.6</v>
      </c>
      <c r="G1087">
        <f>IF(LEFT(B1087,1)="C","Credit","Factuur")</f>
        <v/>
      </c>
      <c r="H1087">
        <f>IF(AND(B1087=B1086,D1087=D1086,A1087=A1086,F1087=F1086),1,0)</f>
        <v/>
      </c>
      <c r="I1087">
        <f>IF(C1087="C99999",1,0)</f>
        <v/>
      </c>
      <c r="J1087" s="5">
        <f>IF(OR(H1087=1,I1087=1),0,IF(G1087="Credit",-F1087,F1087))</f>
        <v/>
      </c>
    </row>
    <row r="1088">
      <c r="A1088" t="inlineStr">
        <is>
          <t>2026-07-10</t>
        </is>
      </c>
      <c r="B1088" t="inlineStr">
        <is>
          <t>F280439</t>
        </is>
      </c>
      <c r="C1088" t="inlineStr">
        <is>
          <t>C11078</t>
        </is>
      </c>
      <c r="D1088" t="inlineStr">
        <is>
          <t>SKU-10197</t>
        </is>
      </c>
      <c r="E1088" t="inlineStr">
        <is>
          <t>AM08</t>
        </is>
      </c>
      <c r="F1088" s="5" t="n">
        <v>341.68</v>
      </c>
      <c r="G1088">
        <f>IF(LEFT(B1088,1)="C","Credit","Factuur")</f>
        <v/>
      </c>
      <c r="H1088">
        <f>IF(AND(B1088=B1087,D1088=D1087,A1088=A1087,F1088=F1087),1,0)</f>
        <v/>
      </c>
      <c r="I1088">
        <f>IF(C1088="C99999",1,0)</f>
        <v/>
      </c>
      <c r="J1088" s="5">
        <f>IF(OR(H1088=1,I1088=1),0,IF(G1088="Credit",-F1088,F1088))</f>
        <v/>
      </c>
    </row>
    <row r="1089">
      <c r="A1089" t="inlineStr">
        <is>
          <t>2026-07-10</t>
        </is>
      </c>
      <c r="B1089" t="inlineStr">
        <is>
          <t>F280439</t>
        </is>
      </c>
      <c r="C1089" t="inlineStr">
        <is>
          <t>C11078</t>
        </is>
      </c>
      <c r="D1089" t="inlineStr">
        <is>
          <t>SKU-10307</t>
        </is>
      </c>
      <c r="E1089" t="inlineStr">
        <is>
          <t>AM08</t>
        </is>
      </c>
      <c r="F1089" s="5" t="n">
        <v>321.57</v>
      </c>
      <c r="G1089">
        <f>IF(LEFT(B1089,1)="C","Credit","Factuur")</f>
        <v/>
      </c>
      <c r="H1089">
        <f>IF(AND(B1089=B1088,D1089=D1088,A1089=A1088,F1089=F1088),1,0)</f>
        <v/>
      </c>
      <c r="I1089">
        <f>IF(C1089="C99999",1,0)</f>
        <v/>
      </c>
      <c r="J1089" s="5">
        <f>IF(OR(H1089=1,I1089=1),0,IF(G1089="Credit",-F1089,F1089))</f>
        <v/>
      </c>
    </row>
    <row r="1090">
      <c r="A1090" t="inlineStr">
        <is>
          <t>2026-07-10</t>
        </is>
      </c>
      <c r="B1090" t="inlineStr">
        <is>
          <t>F280559</t>
        </is>
      </c>
      <c r="C1090" t="inlineStr">
        <is>
          <t>C11083</t>
        </is>
      </c>
      <c r="D1090" t="inlineStr">
        <is>
          <t>SKU-10035</t>
        </is>
      </c>
      <c r="E1090" t="inlineStr">
        <is>
          <t>AM11</t>
        </is>
      </c>
      <c r="F1090" s="5" t="n">
        <v>183.25</v>
      </c>
      <c r="G1090">
        <f>IF(LEFT(B1090,1)="C","Credit","Factuur")</f>
        <v/>
      </c>
      <c r="H1090">
        <f>IF(AND(B1090=B1089,D1090=D1089,A1090=A1089,F1090=F1089),1,0)</f>
        <v/>
      </c>
      <c r="I1090">
        <f>IF(C1090="C99999",1,0)</f>
        <v/>
      </c>
      <c r="J1090" s="5">
        <f>IF(OR(H1090=1,I1090=1),0,IF(G1090="Credit",-F1090,F1090))</f>
        <v/>
      </c>
    </row>
    <row r="1091">
      <c r="A1091" t="inlineStr">
        <is>
          <t>2026-07-10</t>
        </is>
      </c>
      <c r="B1091" t="inlineStr">
        <is>
          <t>F280559</t>
        </is>
      </c>
      <c r="C1091" t="inlineStr">
        <is>
          <t>C11083</t>
        </is>
      </c>
      <c r="D1091" t="inlineStr">
        <is>
          <t>SKU-10058</t>
        </is>
      </c>
      <c r="E1091" t="inlineStr">
        <is>
          <t>AM11</t>
        </is>
      </c>
      <c r="F1091" s="5" t="n">
        <v>164.82</v>
      </c>
      <c r="G1091">
        <f>IF(LEFT(B1091,1)="C","Credit","Factuur")</f>
        <v/>
      </c>
      <c r="H1091">
        <f>IF(AND(B1091=B1090,D1091=D1090,A1091=A1090,F1091=F1090),1,0)</f>
        <v/>
      </c>
      <c r="I1091">
        <f>IF(C1091="C99999",1,0)</f>
        <v/>
      </c>
      <c r="J1091" s="5">
        <f>IF(OR(H1091=1,I1091=1),0,IF(G1091="Credit",-F1091,F1091))</f>
        <v/>
      </c>
    </row>
    <row r="1092">
      <c r="A1092" t="inlineStr">
        <is>
          <t>2026-07-10</t>
        </is>
      </c>
      <c r="B1092" t="inlineStr">
        <is>
          <t>F280559</t>
        </is>
      </c>
      <c r="C1092" t="inlineStr">
        <is>
          <t>C11083</t>
        </is>
      </c>
      <c r="D1092" t="inlineStr">
        <is>
          <t>SKU-10066</t>
        </is>
      </c>
      <c r="E1092" t="inlineStr">
        <is>
          <t>AM11</t>
        </is>
      </c>
      <c r="F1092" s="5" t="n">
        <v>171.46</v>
      </c>
      <c r="G1092">
        <f>IF(LEFT(B1092,1)="C","Credit","Factuur")</f>
        <v/>
      </c>
      <c r="H1092">
        <f>IF(AND(B1092=B1091,D1092=D1091,A1092=A1091,F1092=F1091),1,0)</f>
        <v/>
      </c>
      <c r="I1092">
        <f>IF(C1092="C99999",1,0)</f>
        <v/>
      </c>
      <c r="J1092" s="5">
        <f>IF(OR(H1092=1,I1092=1),0,IF(G1092="Credit",-F1092,F1092))</f>
        <v/>
      </c>
    </row>
    <row r="1093">
      <c r="A1093" t="inlineStr">
        <is>
          <t>2026-07-10</t>
        </is>
      </c>
      <c r="B1093" t="inlineStr">
        <is>
          <t>F280559</t>
        </is>
      </c>
      <c r="C1093" t="inlineStr">
        <is>
          <t>C11083</t>
        </is>
      </c>
      <c r="D1093" t="inlineStr">
        <is>
          <t>SKU-10148</t>
        </is>
      </c>
      <c r="E1093" t="inlineStr">
        <is>
          <t>AM11</t>
        </is>
      </c>
      <c r="F1093" s="5" t="n">
        <v>178.74</v>
      </c>
      <c r="G1093">
        <f>IF(LEFT(B1093,1)="C","Credit","Factuur")</f>
        <v/>
      </c>
      <c r="H1093">
        <f>IF(AND(B1093=B1092,D1093=D1092,A1093=A1092,F1093=F1092),1,0)</f>
        <v/>
      </c>
      <c r="I1093">
        <f>IF(C1093="C99999",1,0)</f>
        <v/>
      </c>
      <c r="J1093" s="5">
        <f>IF(OR(H1093=1,I1093=1),0,IF(G1093="Credit",-F1093,F1093))</f>
        <v/>
      </c>
    </row>
    <row r="1094">
      <c r="A1094" t="inlineStr">
        <is>
          <t>2026-07-10</t>
        </is>
      </c>
      <c r="B1094" t="inlineStr">
        <is>
          <t>F280559</t>
        </is>
      </c>
      <c r="C1094" t="inlineStr">
        <is>
          <t>C11083</t>
        </is>
      </c>
      <c r="D1094" t="inlineStr">
        <is>
          <t>SKU-10204</t>
        </is>
      </c>
      <c r="E1094" t="inlineStr">
        <is>
          <t>AM11</t>
        </is>
      </c>
      <c r="F1094" s="5" t="n">
        <v>180.25</v>
      </c>
      <c r="G1094">
        <f>IF(LEFT(B1094,1)="C","Credit","Factuur")</f>
        <v/>
      </c>
      <c r="H1094">
        <f>IF(AND(B1094=B1093,D1094=D1093,A1094=A1093,F1094=F1093),1,0)</f>
        <v/>
      </c>
      <c r="I1094">
        <f>IF(C1094="C99999",1,0)</f>
        <v/>
      </c>
      <c r="J1094" s="5">
        <f>IF(OR(H1094=1,I1094=1),0,IF(G1094="Credit",-F1094,F1094))</f>
        <v/>
      </c>
    </row>
    <row r="1095">
      <c r="A1095" t="inlineStr">
        <is>
          <t>2026-07-10</t>
        </is>
      </c>
      <c r="B1095" t="inlineStr">
        <is>
          <t>F280768</t>
        </is>
      </c>
      <c r="C1095" t="inlineStr">
        <is>
          <t>C11094</t>
        </is>
      </c>
      <c r="D1095" t="inlineStr">
        <is>
          <t>SKU-10379</t>
        </is>
      </c>
      <c r="E1095" t="inlineStr">
        <is>
          <t>AM12</t>
        </is>
      </c>
      <c r="F1095" s="5" t="n">
        <v>2113.54</v>
      </c>
      <c r="G1095">
        <f>IF(LEFT(B1095,1)="C","Credit","Factuur")</f>
        <v/>
      </c>
      <c r="H1095">
        <f>IF(AND(B1095=B1094,D1095=D1094,A1095=A1094,F1095=F1094),1,0)</f>
        <v/>
      </c>
      <c r="I1095">
        <f>IF(C1095="C99999",1,0)</f>
        <v/>
      </c>
      <c r="J1095" s="5">
        <f>IF(OR(H1095=1,I1095=1),0,IF(G1095="Credit",-F1095,F1095))</f>
        <v/>
      </c>
    </row>
    <row r="1096">
      <c r="A1096" t="inlineStr">
        <is>
          <t>2026-07-10</t>
        </is>
      </c>
      <c r="B1096" t="inlineStr">
        <is>
          <t>F280896</t>
        </is>
      </c>
      <c r="C1096" t="inlineStr">
        <is>
          <t>C11101</t>
        </is>
      </c>
      <c r="D1096" t="inlineStr">
        <is>
          <t>SKU-10058</t>
        </is>
      </c>
      <c r="E1096" t="inlineStr">
        <is>
          <t>AM08</t>
        </is>
      </c>
      <c r="F1096" s="5" t="n">
        <v>636.13</v>
      </c>
      <c r="G1096">
        <f>IF(LEFT(B1096,1)="C","Credit","Factuur")</f>
        <v/>
      </c>
      <c r="H1096">
        <f>IF(AND(B1096=B1095,D1096=D1095,A1096=A1095,F1096=F1095),1,0)</f>
        <v/>
      </c>
      <c r="I1096">
        <f>IF(C1096="C99999",1,0)</f>
        <v/>
      </c>
      <c r="J1096" s="5">
        <f>IF(OR(H1096=1,I1096=1),0,IF(G1096="Credit",-F1096,F1096))</f>
        <v/>
      </c>
    </row>
    <row r="1097">
      <c r="A1097" t="inlineStr">
        <is>
          <t>2026-07-10</t>
        </is>
      </c>
      <c r="B1097" t="inlineStr">
        <is>
          <t>F280896</t>
        </is>
      </c>
      <c r="C1097" t="inlineStr">
        <is>
          <t>C11101</t>
        </is>
      </c>
      <c r="D1097" t="inlineStr">
        <is>
          <t>SKU-10214</t>
        </is>
      </c>
      <c r="E1097" t="inlineStr">
        <is>
          <t>AM08</t>
        </is>
      </c>
      <c r="F1097" s="5" t="n">
        <v>612.9</v>
      </c>
      <c r="G1097">
        <f>IF(LEFT(B1097,1)="C","Credit","Factuur")</f>
        <v/>
      </c>
      <c r="H1097">
        <f>IF(AND(B1097=B1096,D1097=D1096,A1097=A1096,F1097=F1096),1,0)</f>
        <v/>
      </c>
      <c r="I1097">
        <f>IF(C1097="C99999",1,0)</f>
        <v/>
      </c>
      <c r="J1097" s="5">
        <f>IF(OR(H1097=1,I1097=1),0,IF(G1097="Credit",-F1097,F1097))</f>
        <v/>
      </c>
    </row>
    <row r="1098">
      <c r="A1098" t="inlineStr">
        <is>
          <t>2026-07-10</t>
        </is>
      </c>
      <c r="B1098" t="inlineStr">
        <is>
          <t>F280896</t>
        </is>
      </c>
      <c r="C1098" t="inlineStr">
        <is>
          <t>C11101</t>
        </is>
      </c>
      <c r="D1098" t="inlineStr">
        <is>
          <t>SKU-10264</t>
        </is>
      </c>
      <c r="E1098" t="inlineStr">
        <is>
          <t>AM08</t>
        </is>
      </c>
      <c r="F1098" s="5" t="n">
        <v>600.66</v>
      </c>
      <c r="G1098">
        <f>IF(LEFT(B1098,1)="C","Credit","Factuur")</f>
        <v/>
      </c>
      <c r="H1098">
        <f>IF(AND(B1098=B1097,D1098=D1097,A1098=A1097,F1098=F1097),1,0)</f>
        <v/>
      </c>
      <c r="I1098">
        <f>IF(C1098="C99999",1,0)</f>
        <v/>
      </c>
      <c r="J1098" s="5">
        <f>IF(OR(H1098=1,I1098=1),0,IF(G1098="Credit",-F1098,F1098))</f>
        <v/>
      </c>
    </row>
    <row r="1099">
      <c r="A1099" t="inlineStr">
        <is>
          <t>2026-07-10</t>
        </is>
      </c>
      <c r="B1099" t="inlineStr">
        <is>
          <t>F280896</t>
        </is>
      </c>
      <c r="C1099" t="inlineStr">
        <is>
          <t>C11101</t>
        </is>
      </c>
      <c r="D1099" t="inlineStr">
        <is>
          <t>SKU-10295</t>
        </is>
      </c>
      <c r="E1099" t="inlineStr">
        <is>
          <t>AM08</t>
        </is>
      </c>
      <c r="F1099" s="5" t="n">
        <v>619.8</v>
      </c>
      <c r="G1099">
        <f>IF(LEFT(B1099,1)="C","Credit","Factuur")</f>
        <v/>
      </c>
      <c r="H1099">
        <f>IF(AND(B1099=B1098,D1099=D1098,A1099=A1098,F1099=F1098),1,0)</f>
        <v/>
      </c>
      <c r="I1099">
        <f>IF(C1099="C99999",1,0)</f>
        <v/>
      </c>
      <c r="J1099" s="5">
        <f>IF(OR(H1099=1,I1099=1),0,IF(G1099="Credit",-F1099,F1099))</f>
        <v/>
      </c>
    </row>
    <row r="1100">
      <c r="A1100" t="inlineStr">
        <is>
          <t>2026-07-10</t>
        </is>
      </c>
      <c r="B1100" t="inlineStr">
        <is>
          <t>F281474</t>
        </is>
      </c>
      <c r="C1100" t="inlineStr">
        <is>
          <t>C11133</t>
        </is>
      </c>
      <c r="D1100" t="inlineStr">
        <is>
          <t>SKU-10026</t>
        </is>
      </c>
      <c r="E1100" t="inlineStr">
        <is>
          <t>AM07</t>
        </is>
      </c>
      <c r="F1100" s="5" t="n">
        <v>430.33</v>
      </c>
      <c r="G1100">
        <f>IF(LEFT(B1100,1)="C","Credit","Factuur")</f>
        <v/>
      </c>
      <c r="H1100">
        <f>IF(AND(B1100=B1099,D1100=D1099,A1100=A1099,F1100=F1099),1,0)</f>
        <v/>
      </c>
      <c r="I1100">
        <f>IF(C1100="C99999",1,0)</f>
        <v/>
      </c>
      <c r="J1100" s="5">
        <f>IF(OR(H1100=1,I1100=1),0,IF(G1100="Credit",-F1100,F1100))</f>
        <v/>
      </c>
    </row>
    <row r="1101">
      <c r="A1101" t="inlineStr">
        <is>
          <t>2026-07-10</t>
        </is>
      </c>
      <c r="B1101" t="inlineStr">
        <is>
          <t>F281474</t>
        </is>
      </c>
      <c r="C1101" t="inlineStr">
        <is>
          <t>C11133</t>
        </is>
      </c>
      <c r="D1101" t="inlineStr">
        <is>
          <t>SKU-10168</t>
        </is>
      </c>
      <c r="E1101" t="inlineStr">
        <is>
          <t>AM07</t>
        </is>
      </c>
      <c r="F1101" s="5" t="n">
        <v>354.76</v>
      </c>
      <c r="G1101">
        <f>IF(LEFT(B1101,1)="C","Credit","Factuur")</f>
        <v/>
      </c>
      <c r="H1101">
        <f>IF(AND(B1101=B1100,D1101=D1100,A1101=A1100,F1101=F1100),1,0)</f>
        <v/>
      </c>
      <c r="I1101">
        <f>IF(C1101="C99999",1,0)</f>
        <v/>
      </c>
      <c r="J1101" s="5">
        <f>IF(OR(H1101=1,I1101=1),0,IF(G1101="Credit",-F1101,F1101))</f>
        <v/>
      </c>
    </row>
    <row r="1102">
      <c r="A1102" t="inlineStr">
        <is>
          <t>2026-07-10</t>
        </is>
      </c>
      <c r="B1102" t="inlineStr">
        <is>
          <t>F281474</t>
        </is>
      </c>
      <c r="C1102" t="inlineStr">
        <is>
          <t>C11133</t>
        </is>
      </c>
      <c r="D1102" t="inlineStr">
        <is>
          <t>SKU-10301</t>
        </is>
      </c>
      <c r="E1102" t="inlineStr">
        <is>
          <t>AM07</t>
        </is>
      </c>
      <c r="F1102" s="5" t="n">
        <v>411.82</v>
      </c>
      <c r="G1102">
        <f>IF(LEFT(B1102,1)="C","Credit","Factuur")</f>
        <v/>
      </c>
      <c r="H1102">
        <f>IF(AND(B1102=B1101,D1102=D1101,A1102=A1101,F1102=F1101),1,0)</f>
        <v/>
      </c>
      <c r="I1102">
        <f>IF(C1102="C99999",1,0)</f>
        <v/>
      </c>
      <c r="J1102" s="5">
        <f>IF(OR(H1102=1,I1102=1),0,IF(G1102="Credit",-F1102,F1102))</f>
        <v/>
      </c>
    </row>
    <row r="1103">
      <c r="A1103" t="inlineStr">
        <is>
          <t>2026-07-10</t>
        </is>
      </c>
      <c r="B1103" t="inlineStr">
        <is>
          <t>F281678</t>
        </is>
      </c>
      <c r="C1103" t="inlineStr">
        <is>
          <t>C11144</t>
        </is>
      </c>
      <c r="D1103" t="inlineStr">
        <is>
          <t>SKU-10071</t>
        </is>
      </c>
      <c r="E1103" t="inlineStr">
        <is>
          <t>AM02</t>
        </is>
      </c>
      <c r="F1103" s="5" t="n">
        <v>1016.94</v>
      </c>
      <c r="G1103">
        <f>IF(LEFT(B1103,1)="C","Credit","Factuur")</f>
        <v/>
      </c>
      <c r="H1103">
        <f>IF(AND(B1103=B1102,D1103=D1102,A1103=A1102,F1103=F1102),1,0)</f>
        <v/>
      </c>
      <c r="I1103">
        <f>IF(C1103="C99999",1,0)</f>
        <v/>
      </c>
      <c r="J1103" s="5">
        <f>IF(OR(H1103=1,I1103=1),0,IF(G1103="Credit",-F1103,F1103))</f>
        <v/>
      </c>
    </row>
    <row r="1104">
      <c r="A1104" t="inlineStr">
        <is>
          <t>2026-07-10</t>
        </is>
      </c>
      <c r="B1104" t="inlineStr">
        <is>
          <t>F281678</t>
        </is>
      </c>
      <c r="C1104" t="inlineStr">
        <is>
          <t>C11144</t>
        </is>
      </c>
      <c r="D1104" t="inlineStr">
        <is>
          <t>SKU-10119</t>
        </is>
      </c>
      <c r="E1104" t="inlineStr">
        <is>
          <t>AM02</t>
        </is>
      </c>
      <c r="F1104" s="5" t="n">
        <v>1029.99</v>
      </c>
      <c r="G1104">
        <f>IF(LEFT(B1104,1)="C","Credit","Factuur")</f>
        <v/>
      </c>
      <c r="H1104">
        <f>IF(AND(B1104=B1103,D1104=D1103,A1104=A1103,F1104=F1103),1,0)</f>
        <v/>
      </c>
      <c r="I1104">
        <f>IF(C1104="C99999",1,0)</f>
        <v/>
      </c>
      <c r="J1104" s="5">
        <f>IF(OR(H1104=1,I1104=1),0,IF(G1104="Credit",-F1104,F1104))</f>
        <v/>
      </c>
    </row>
    <row r="1105">
      <c r="A1105" t="inlineStr">
        <is>
          <t>2026-07-10</t>
        </is>
      </c>
      <c r="B1105" t="inlineStr">
        <is>
          <t>F281723</t>
        </is>
      </c>
      <c r="C1105" t="inlineStr">
        <is>
          <t>C11145</t>
        </is>
      </c>
      <c r="D1105" t="inlineStr">
        <is>
          <t>SKU-10162</t>
        </is>
      </c>
      <c r="E1105" t="inlineStr">
        <is>
          <t>AM11</t>
        </is>
      </c>
      <c r="F1105" s="5" t="n">
        <v>304.5</v>
      </c>
      <c r="G1105">
        <f>IF(LEFT(B1105,1)="C","Credit","Factuur")</f>
        <v/>
      </c>
      <c r="H1105">
        <f>IF(AND(B1105=B1104,D1105=D1104,A1105=A1104,F1105=F1104),1,0)</f>
        <v/>
      </c>
      <c r="I1105">
        <f>IF(C1105="C99999",1,0)</f>
        <v/>
      </c>
      <c r="J1105" s="5">
        <f>IF(OR(H1105=1,I1105=1),0,IF(G1105="Credit",-F1105,F1105))</f>
        <v/>
      </c>
    </row>
    <row r="1106">
      <c r="A1106" t="inlineStr">
        <is>
          <t>2026-07-10</t>
        </is>
      </c>
      <c r="B1106" t="inlineStr">
        <is>
          <t>F281723</t>
        </is>
      </c>
      <c r="C1106" t="inlineStr">
        <is>
          <t>C11145</t>
        </is>
      </c>
      <c r="D1106" t="inlineStr">
        <is>
          <t>SKU-10208</t>
        </is>
      </c>
      <c r="E1106" t="inlineStr">
        <is>
          <t>AM11</t>
        </is>
      </c>
      <c r="F1106" s="5" t="n">
        <v>295.97</v>
      </c>
      <c r="G1106">
        <f>IF(LEFT(B1106,1)="C","Credit","Factuur")</f>
        <v/>
      </c>
      <c r="H1106">
        <f>IF(AND(B1106=B1105,D1106=D1105,A1106=A1105,F1106=F1105),1,0)</f>
        <v/>
      </c>
      <c r="I1106">
        <f>IF(C1106="C99999",1,0)</f>
        <v/>
      </c>
      <c r="J1106" s="5">
        <f>IF(OR(H1106=1,I1106=1),0,IF(G1106="Credit",-F1106,F1106))</f>
        <v/>
      </c>
    </row>
    <row r="1107">
      <c r="A1107" t="inlineStr">
        <is>
          <t>2026-07-10</t>
        </is>
      </c>
      <c r="B1107" t="inlineStr">
        <is>
          <t>F281971</t>
        </is>
      </c>
      <c r="C1107" t="inlineStr">
        <is>
          <t>C11155</t>
        </is>
      </c>
      <c r="D1107" t="inlineStr">
        <is>
          <t>SKU-10021</t>
        </is>
      </c>
      <c r="E1107" t="inlineStr">
        <is>
          <t>AM05</t>
        </is>
      </c>
      <c r="F1107" s="5" t="n">
        <v>116.4</v>
      </c>
      <c r="G1107">
        <f>IF(LEFT(B1107,1)="C","Credit","Factuur")</f>
        <v/>
      </c>
      <c r="H1107">
        <f>IF(AND(B1107=B1106,D1107=D1106,A1107=A1106,F1107=F1106),1,0)</f>
        <v/>
      </c>
      <c r="I1107">
        <f>IF(C1107="C99999",1,0)</f>
        <v/>
      </c>
      <c r="J1107" s="5">
        <f>IF(OR(H1107=1,I1107=1),0,IF(G1107="Credit",-F1107,F1107))</f>
        <v/>
      </c>
    </row>
    <row r="1108">
      <c r="A1108" t="inlineStr">
        <is>
          <t>2026-07-10</t>
        </is>
      </c>
      <c r="B1108" t="inlineStr">
        <is>
          <t>F281971</t>
        </is>
      </c>
      <c r="C1108" t="inlineStr">
        <is>
          <t>C11155</t>
        </is>
      </c>
      <c r="D1108" t="inlineStr">
        <is>
          <t>SKU-10279</t>
        </is>
      </c>
      <c r="E1108" t="inlineStr">
        <is>
          <t>AM05</t>
        </is>
      </c>
      <c r="F1108" s="5" t="n">
        <v>116.06</v>
      </c>
      <c r="G1108">
        <f>IF(LEFT(B1108,1)="C","Credit","Factuur")</f>
        <v/>
      </c>
      <c r="H1108">
        <f>IF(AND(B1108=B1107,D1108=D1107,A1108=A1107,F1108=F1107),1,0)</f>
        <v/>
      </c>
      <c r="I1108">
        <f>IF(C1108="C99999",1,0)</f>
        <v/>
      </c>
      <c r="J1108" s="5">
        <f>IF(OR(H1108=1,I1108=1),0,IF(G1108="Credit",-F1108,F1108))</f>
        <v/>
      </c>
    </row>
    <row r="1109">
      <c r="A1109" t="inlineStr">
        <is>
          <t>2026-07-10</t>
        </is>
      </c>
      <c r="B1109" t="inlineStr">
        <is>
          <t>F281971</t>
        </is>
      </c>
      <c r="C1109" t="inlineStr">
        <is>
          <t>C11155</t>
        </is>
      </c>
      <c r="D1109" t="inlineStr">
        <is>
          <t>SKU-10292</t>
        </is>
      </c>
      <c r="E1109" t="inlineStr">
        <is>
          <t>AM05</t>
        </is>
      </c>
      <c r="F1109" s="5" t="n">
        <v>121.2</v>
      </c>
      <c r="G1109">
        <f>IF(LEFT(B1109,1)="C","Credit","Factuur")</f>
        <v/>
      </c>
      <c r="H1109">
        <f>IF(AND(B1109=B1108,D1109=D1108,A1109=A1108,F1109=F1108),1,0)</f>
        <v/>
      </c>
      <c r="I1109">
        <f>IF(C1109="C99999",1,0)</f>
        <v/>
      </c>
      <c r="J1109" s="5">
        <f>IF(OR(H1109=1,I1109=1),0,IF(G1109="Credit",-F1109,F1109))</f>
        <v/>
      </c>
    </row>
    <row r="1110">
      <c r="A1110" t="inlineStr">
        <is>
          <t>2026-07-10</t>
        </is>
      </c>
      <c r="B1110" t="inlineStr">
        <is>
          <t>F282048</t>
        </is>
      </c>
      <c r="C1110" t="inlineStr">
        <is>
          <t>C11158</t>
        </is>
      </c>
      <c r="D1110" t="inlineStr">
        <is>
          <t>SKU-10043</t>
        </is>
      </c>
      <c r="E1110" t="inlineStr">
        <is>
          <t>AM06</t>
        </is>
      </c>
      <c r="F1110" s="5" t="n">
        <v>84.59</v>
      </c>
      <c r="G1110">
        <f>IF(LEFT(B1110,1)="C","Credit","Factuur")</f>
        <v/>
      </c>
      <c r="H1110">
        <f>IF(AND(B1110=B1109,D1110=D1109,A1110=A1109,F1110=F1109),1,0)</f>
        <v/>
      </c>
      <c r="I1110">
        <f>IF(C1110="C99999",1,0)</f>
        <v/>
      </c>
      <c r="J1110" s="5">
        <f>IF(OR(H1110=1,I1110=1),0,IF(G1110="Credit",-F1110,F1110))</f>
        <v/>
      </c>
    </row>
    <row r="1111">
      <c r="A1111" t="inlineStr">
        <is>
          <t>2026-07-10</t>
        </is>
      </c>
      <c r="B1111" t="inlineStr">
        <is>
          <t>F282048</t>
        </is>
      </c>
      <c r="C1111" t="inlineStr">
        <is>
          <t>C11158</t>
        </is>
      </c>
      <c r="D1111" t="inlineStr">
        <is>
          <t>SKU-10060</t>
        </is>
      </c>
      <c r="E1111" t="inlineStr">
        <is>
          <t>AM06</t>
        </is>
      </c>
      <c r="F1111" s="5" t="n">
        <v>79.38</v>
      </c>
      <c r="G1111">
        <f>IF(LEFT(B1111,1)="C","Credit","Factuur")</f>
        <v/>
      </c>
      <c r="H1111">
        <f>IF(AND(B1111=B1110,D1111=D1110,A1111=A1110,F1111=F1110),1,0)</f>
        <v/>
      </c>
      <c r="I1111">
        <f>IF(C1111="C99999",1,0)</f>
        <v/>
      </c>
      <c r="J1111" s="5">
        <f>IF(OR(H1111=1,I1111=1),0,IF(G1111="Credit",-F1111,F1111))</f>
        <v/>
      </c>
    </row>
    <row r="1112">
      <c r="A1112" t="inlineStr">
        <is>
          <t>2026-07-10</t>
        </is>
      </c>
      <c r="B1112" t="inlineStr">
        <is>
          <t>F282048</t>
        </is>
      </c>
      <c r="C1112" t="inlineStr">
        <is>
          <t>C11158</t>
        </is>
      </c>
      <c r="D1112" t="inlineStr">
        <is>
          <t>SKU-10072</t>
        </is>
      </c>
      <c r="E1112" t="inlineStr">
        <is>
          <t>AM06</t>
        </is>
      </c>
      <c r="F1112" s="5" t="n">
        <v>104.46</v>
      </c>
      <c r="G1112">
        <f>IF(LEFT(B1112,1)="C","Credit","Factuur")</f>
        <v/>
      </c>
      <c r="H1112">
        <f>IF(AND(B1112=B1111,D1112=D1111,A1112=A1111,F1112=F1111),1,0)</f>
        <v/>
      </c>
      <c r="I1112">
        <f>IF(C1112="C99999",1,0)</f>
        <v/>
      </c>
      <c r="J1112" s="5">
        <f>IF(OR(H1112=1,I1112=1),0,IF(G1112="Credit",-F1112,F1112))</f>
        <v/>
      </c>
    </row>
    <row r="1113">
      <c r="A1113" t="inlineStr">
        <is>
          <t>2026-07-10</t>
        </is>
      </c>
      <c r="B1113" t="inlineStr">
        <is>
          <t>F282048</t>
        </is>
      </c>
      <c r="C1113" t="inlineStr">
        <is>
          <t>C11158</t>
        </is>
      </c>
      <c r="D1113" t="inlineStr">
        <is>
          <t>SKU-10128</t>
        </is>
      </c>
      <c r="E1113" t="inlineStr">
        <is>
          <t>AM06</t>
        </is>
      </c>
      <c r="F1113" s="5" t="n">
        <v>101.77</v>
      </c>
      <c r="G1113">
        <f>IF(LEFT(B1113,1)="C","Credit","Factuur")</f>
        <v/>
      </c>
      <c r="H1113">
        <f>IF(AND(B1113=B1112,D1113=D1112,A1113=A1112,F1113=F1112),1,0)</f>
        <v/>
      </c>
      <c r="I1113">
        <f>IF(C1113="C99999",1,0)</f>
        <v/>
      </c>
      <c r="J1113" s="5">
        <f>IF(OR(H1113=1,I1113=1),0,IF(G1113="Credit",-F1113,F1113))</f>
        <v/>
      </c>
    </row>
    <row r="1114">
      <c r="A1114" t="inlineStr">
        <is>
          <t>2026-07-10</t>
        </is>
      </c>
      <c r="B1114" t="inlineStr">
        <is>
          <t>F282048</t>
        </is>
      </c>
      <c r="C1114" t="inlineStr">
        <is>
          <t>C11158</t>
        </is>
      </c>
      <c r="D1114" t="inlineStr">
        <is>
          <t>SKU-10296</t>
        </is>
      </c>
      <c r="E1114" t="inlineStr">
        <is>
          <t>AM06</t>
        </is>
      </c>
      <c r="F1114" s="5" t="n">
        <v>100.4</v>
      </c>
      <c r="G1114">
        <f>IF(LEFT(B1114,1)="C","Credit","Factuur")</f>
        <v/>
      </c>
      <c r="H1114">
        <f>IF(AND(B1114=B1113,D1114=D1113,A1114=A1113,F1114=F1113),1,0)</f>
        <v/>
      </c>
      <c r="I1114">
        <f>IF(C1114="C99999",1,0)</f>
        <v/>
      </c>
      <c r="J1114" s="5">
        <f>IF(OR(H1114=1,I1114=1),0,IF(G1114="Credit",-F1114,F1114))</f>
        <v/>
      </c>
    </row>
    <row r="1115">
      <c r="A1115" t="inlineStr">
        <is>
          <t>2026-07-10</t>
        </is>
      </c>
      <c r="B1115" t="inlineStr">
        <is>
          <t>F282048</t>
        </is>
      </c>
      <c r="C1115" t="inlineStr">
        <is>
          <t>C11158</t>
        </is>
      </c>
      <c r="D1115" t="inlineStr">
        <is>
          <t>SKU-10311</t>
        </is>
      </c>
      <c r="E1115" t="inlineStr">
        <is>
          <t>AM06</t>
        </is>
      </c>
      <c r="F1115" s="5" t="n">
        <v>97.81999999999999</v>
      </c>
      <c r="G1115">
        <f>IF(LEFT(B1115,1)="C","Credit","Factuur")</f>
        <v/>
      </c>
      <c r="H1115">
        <f>IF(AND(B1115=B1114,D1115=D1114,A1115=A1114,F1115=F1114),1,0)</f>
        <v/>
      </c>
      <c r="I1115">
        <f>IF(C1115="C99999",1,0)</f>
        <v/>
      </c>
      <c r="J1115" s="5">
        <f>IF(OR(H1115=1,I1115=1),0,IF(G1115="Credit",-F1115,F1115))</f>
        <v/>
      </c>
    </row>
    <row r="1116">
      <c r="A1116" t="inlineStr">
        <is>
          <t>2026-07-10</t>
        </is>
      </c>
      <c r="B1116" t="inlineStr">
        <is>
          <t>F282309</t>
        </is>
      </c>
      <c r="C1116" t="inlineStr">
        <is>
          <t>C11170</t>
        </is>
      </c>
      <c r="D1116" t="inlineStr">
        <is>
          <t>SKU-10031</t>
        </is>
      </c>
      <c r="E1116" t="inlineStr">
        <is>
          <t>AM07</t>
        </is>
      </c>
      <c r="F1116" s="5" t="n">
        <v>233.36</v>
      </c>
      <c r="G1116">
        <f>IF(LEFT(B1116,1)="C","Credit","Factuur")</f>
        <v/>
      </c>
      <c r="H1116">
        <f>IF(AND(B1116=B1115,D1116=D1115,A1116=A1115,F1116=F1115),1,0)</f>
        <v/>
      </c>
      <c r="I1116">
        <f>IF(C1116="C99999",1,0)</f>
        <v/>
      </c>
      <c r="J1116" s="5">
        <f>IF(OR(H1116=1,I1116=1),0,IF(G1116="Credit",-F1116,F1116))</f>
        <v/>
      </c>
    </row>
    <row r="1117">
      <c r="A1117" t="inlineStr">
        <is>
          <t>2026-07-10</t>
        </is>
      </c>
      <c r="B1117" t="inlineStr">
        <is>
          <t>F282309</t>
        </is>
      </c>
      <c r="C1117" t="inlineStr">
        <is>
          <t>C11170</t>
        </is>
      </c>
      <c r="D1117" t="inlineStr">
        <is>
          <t>SKU-10177</t>
        </is>
      </c>
      <c r="E1117" t="inlineStr">
        <is>
          <t>AM07</t>
        </is>
      </c>
      <c r="F1117" s="5" t="n">
        <v>226.84</v>
      </c>
      <c r="G1117">
        <f>IF(LEFT(B1117,1)="C","Credit","Factuur")</f>
        <v/>
      </c>
      <c r="H1117">
        <f>IF(AND(B1117=B1116,D1117=D1116,A1117=A1116,F1117=F1116),1,0)</f>
        <v/>
      </c>
      <c r="I1117">
        <f>IF(C1117="C99999",1,0)</f>
        <v/>
      </c>
      <c r="J1117" s="5">
        <f>IF(OR(H1117=1,I1117=1),0,IF(G1117="Credit",-F1117,F1117))</f>
        <v/>
      </c>
    </row>
    <row r="1118">
      <c r="A1118" t="inlineStr">
        <is>
          <t>2026-07-10</t>
        </is>
      </c>
      <c r="B1118" t="inlineStr">
        <is>
          <t>F282309</t>
        </is>
      </c>
      <c r="C1118" t="inlineStr">
        <is>
          <t>C11170</t>
        </is>
      </c>
      <c r="D1118" t="inlineStr">
        <is>
          <t>SKU-10263</t>
        </is>
      </c>
      <c r="E1118" t="inlineStr">
        <is>
          <t>AM07</t>
        </is>
      </c>
      <c r="F1118" s="5" t="n">
        <v>226.07</v>
      </c>
      <c r="G1118">
        <f>IF(LEFT(B1118,1)="C","Credit","Factuur")</f>
        <v/>
      </c>
      <c r="H1118">
        <f>IF(AND(B1118=B1117,D1118=D1117,A1118=A1117,F1118=F1117),1,0)</f>
        <v/>
      </c>
      <c r="I1118">
        <f>IF(C1118="C99999",1,0)</f>
        <v/>
      </c>
      <c r="J1118" s="5">
        <f>IF(OR(H1118=1,I1118=1),0,IF(G1118="Credit",-F1118,F1118))</f>
        <v/>
      </c>
    </row>
    <row r="1119">
      <c r="A1119" t="inlineStr">
        <is>
          <t>2026-07-10</t>
        </is>
      </c>
      <c r="B1119" t="inlineStr">
        <is>
          <t>F282374</t>
        </is>
      </c>
      <c r="C1119" t="inlineStr">
        <is>
          <t>C11174</t>
        </is>
      </c>
      <c r="D1119" t="inlineStr">
        <is>
          <t>SKU-10081</t>
        </is>
      </c>
      <c r="E1119" t="inlineStr">
        <is>
          <t>AM01</t>
        </is>
      </c>
      <c r="F1119" s="5" t="n">
        <v>190.71</v>
      </c>
      <c r="G1119">
        <f>IF(LEFT(B1119,1)="C","Credit","Factuur")</f>
        <v/>
      </c>
      <c r="H1119">
        <f>IF(AND(B1119=B1118,D1119=D1118,A1119=A1118,F1119=F1118),1,0)</f>
        <v/>
      </c>
      <c r="I1119">
        <f>IF(C1119="C99999",1,0)</f>
        <v/>
      </c>
      <c r="J1119" s="5">
        <f>IF(OR(H1119=1,I1119=1),0,IF(G1119="Credit",-F1119,F1119))</f>
        <v/>
      </c>
    </row>
    <row r="1120">
      <c r="A1120" t="inlineStr">
        <is>
          <t>2026-07-10</t>
        </is>
      </c>
      <c r="B1120" t="inlineStr">
        <is>
          <t>F282374</t>
        </is>
      </c>
      <c r="C1120" t="inlineStr">
        <is>
          <t>C11174</t>
        </is>
      </c>
      <c r="D1120" t="inlineStr">
        <is>
          <t>SKU-10192</t>
        </is>
      </c>
      <c r="E1120" t="inlineStr">
        <is>
          <t>AM01</t>
        </is>
      </c>
      <c r="F1120" s="5" t="n">
        <v>217.12</v>
      </c>
      <c r="G1120">
        <f>IF(LEFT(B1120,1)="C","Credit","Factuur")</f>
        <v/>
      </c>
      <c r="H1120">
        <f>IF(AND(B1120=B1119,D1120=D1119,A1120=A1119,F1120=F1119),1,0)</f>
        <v/>
      </c>
      <c r="I1120">
        <f>IF(C1120="C99999",1,0)</f>
        <v/>
      </c>
      <c r="J1120" s="5">
        <f>IF(OR(H1120=1,I1120=1),0,IF(G1120="Credit",-F1120,F1120))</f>
        <v/>
      </c>
    </row>
    <row r="1121">
      <c r="A1121" t="inlineStr">
        <is>
          <t>2026-07-10</t>
        </is>
      </c>
      <c r="B1121" t="inlineStr">
        <is>
          <t>F282374</t>
        </is>
      </c>
      <c r="C1121" t="inlineStr">
        <is>
          <t>C11174</t>
        </is>
      </c>
      <c r="D1121" t="inlineStr">
        <is>
          <t>SKU-10255</t>
        </is>
      </c>
      <c r="E1121" t="inlineStr">
        <is>
          <t>AM01</t>
        </is>
      </c>
      <c r="F1121" s="5" t="n">
        <v>218.64</v>
      </c>
      <c r="G1121">
        <f>IF(LEFT(B1121,1)="C","Credit","Factuur")</f>
        <v/>
      </c>
      <c r="H1121">
        <f>IF(AND(B1121=B1120,D1121=D1120,A1121=A1120,F1121=F1120),1,0)</f>
        <v/>
      </c>
      <c r="I1121">
        <f>IF(C1121="C99999",1,0)</f>
        <v/>
      </c>
      <c r="J1121" s="5">
        <f>IF(OR(H1121=1,I1121=1),0,IF(G1121="Credit",-F1121,F1121))</f>
        <v/>
      </c>
    </row>
    <row r="1122">
      <c r="A1122" t="inlineStr">
        <is>
          <t>2026-07-10</t>
        </is>
      </c>
      <c r="B1122" t="inlineStr">
        <is>
          <t>F282374</t>
        </is>
      </c>
      <c r="C1122" t="inlineStr">
        <is>
          <t>C11174</t>
        </is>
      </c>
      <c r="D1122" t="inlineStr">
        <is>
          <t>SKU-10335</t>
        </is>
      </c>
      <c r="E1122" t="inlineStr">
        <is>
          <t>AM01</t>
        </is>
      </c>
      <c r="F1122" s="5" t="n">
        <v>210.37</v>
      </c>
      <c r="G1122">
        <f>IF(LEFT(B1122,1)="C","Credit","Factuur")</f>
        <v/>
      </c>
      <c r="H1122">
        <f>IF(AND(B1122=B1121,D1122=D1121,A1122=A1121,F1122=F1121),1,0)</f>
        <v/>
      </c>
      <c r="I1122">
        <f>IF(C1122="C99999",1,0)</f>
        <v/>
      </c>
      <c r="J1122" s="5">
        <f>IF(OR(H1122=1,I1122=1),0,IF(G1122="Credit",-F1122,F1122))</f>
        <v/>
      </c>
    </row>
    <row r="1123">
      <c r="A1123" t="inlineStr">
        <is>
          <t>2026-07-10</t>
        </is>
      </c>
      <c r="B1123" t="inlineStr">
        <is>
          <t>F282409</t>
        </is>
      </c>
      <c r="C1123" t="inlineStr">
        <is>
          <t>C11175</t>
        </is>
      </c>
      <c r="D1123" t="inlineStr">
        <is>
          <t>SKU-10176</t>
        </is>
      </c>
      <c r="E1123" t="inlineStr">
        <is>
          <t>AM03</t>
        </is>
      </c>
      <c r="F1123" s="5" t="n">
        <v>924.49</v>
      </c>
      <c r="G1123">
        <f>IF(LEFT(B1123,1)="C","Credit","Factuur")</f>
        <v/>
      </c>
      <c r="H1123">
        <f>IF(AND(B1123=B1122,D1123=D1122,A1123=A1122,F1123=F1122),1,0)</f>
        <v/>
      </c>
      <c r="I1123">
        <f>IF(C1123="C99999",1,0)</f>
        <v/>
      </c>
      <c r="J1123" s="5">
        <f>IF(OR(H1123=1,I1123=1),0,IF(G1123="Credit",-F1123,F1123))</f>
        <v/>
      </c>
    </row>
    <row r="1124">
      <c r="A1124" t="inlineStr">
        <is>
          <t>2026-07-10</t>
        </is>
      </c>
      <c r="B1124" t="inlineStr">
        <is>
          <t>F282409</t>
        </is>
      </c>
      <c r="C1124" t="inlineStr">
        <is>
          <t>C11175</t>
        </is>
      </c>
      <c r="D1124" t="inlineStr">
        <is>
          <t>SKU-10250</t>
        </is>
      </c>
      <c r="E1124" t="inlineStr">
        <is>
          <t>AM03</t>
        </is>
      </c>
      <c r="F1124" s="5" t="n">
        <v>1053.36</v>
      </c>
      <c r="G1124">
        <f>IF(LEFT(B1124,1)="C","Credit","Factuur")</f>
        <v/>
      </c>
      <c r="H1124">
        <f>IF(AND(B1124=B1123,D1124=D1123,A1124=A1123,F1124=F1123),1,0)</f>
        <v/>
      </c>
      <c r="I1124">
        <f>IF(C1124="C99999",1,0)</f>
        <v/>
      </c>
      <c r="J1124" s="5">
        <f>IF(OR(H1124=1,I1124=1),0,IF(G1124="Credit",-F1124,F1124))</f>
        <v/>
      </c>
    </row>
    <row r="1125">
      <c r="A1125" t="inlineStr">
        <is>
          <t>2026-07-10</t>
        </is>
      </c>
      <c r="B1125" t="inlineStr">
        <is>
          <t>F282439</t>
        </is>
      </c>
      <c r="C1125" t="inlineStr">
        <is>
          <t>C11179</t>
        </is>
      </c>
      <c r="D1125" t="inlineStr">
        <is>
          <t>SKU-10004</t>
        </is>
      </c>
      <c r="E1125" t="inlineStr">
        <is>
          <t>AM02</t>
        </is>
      </c>
      <c r="F1125" s="5" t="n">
        <v>940.2</v>
      </c>
      <c r="G1125">
        <f>IF(LEFT(B1125,1)="C","Credit","Factuur")</f>
        <v/>
      </c>
      <c r="H1125">
        <f>IF(AND(B1125=B1124,D1125=D1124,A1125=A1124,F1125=F1124),1,0)</f>
        <v/>
      </c>
      <c r="I1125">
        <f>IF(C1125="C99999",1,0)</f>
        <v/>
      </c>
      <c r="J1125" s="5">
        <f>IF(OR(H1125=1,I1125=1),0,IF(G1125="Credit",-F1125,F1125))</f>
        <v/>
      </c>
    </row>
    <row r="1126">
      <c r="A1126" t="inlineStr">
        <is>
          <t>2026-07-10</t>
        </is>
      </c>
      <c r="B1126" t="inlineStr">
        <is>
          <t>F282439</t>
        </is>
      </c>
      <c r="C1126" t="inlineStr">
        <is>
          <t>C11179</t>
        </is>
      </c>
      <c r="D1126" t="inlineStr">
        <is>
          <t>SKU-10312</t>
        </is>
      </c>
      <c r="E1126" t="inlineStr">
        <is>
          <t>AM02</t>
        </is>
      </c>
      <c r="F1126" s="5" t="n">
        <v>963.2</v>
      </c>
      <c r="G1126">
        <f>IF(LEFT(B1126,1)="C","Credit","Factuur")</f>
        <v/>
      </c>
      <c r="H1126">
        <f>IF(AND(B1126=B1125,D1126=D1125,A1126=A1125,F1126=F1125),1,0)</f>
        <v/>
      </c>
      <c r="I1126">
        <f>IF(C1126="C99999",1,0)</f>
        <v/>
      </c>
      <c r="J1126" s="5">
        <f>IF(OR(H1126=1,I1126=1),0,IF(G1126="Credit",-F1126,F1126))</f>
        <v/>
      </c>
    </row>
    <row r="1127">
      <c r="A1127" t="inlineStr">
        <is>
          <t>2026-07-10</t>
        </is>
      </c>
      <c r="B1127" t="inlineStr">
        <is>
          <t>F282509</t>
        </is>
      </c>
      <c r="C1127" t="inlineStr">
        <is>
          <t>C11182</t>
        </is>
      </c>
      <c r="D1127" t="inlineStr">
        <is>
          <t>SKU-10126</t>
        </is>
      </c>
      <c r="E1127" t="inlineStr">
        <is>
          <t>AM12</t>
        </is>
      </c>
      <c r="F1127" s="5" t="n">
        <v>734.4400000000001</v>
      </c>
      <c r="G1127">
        <f>IF(LEFT(B1127,1)="C","Credit","Factuur")</f>
        <v/>
      </c>
      <c r="H1127">
        <f>IF(AND(B1127=B1126,D1127=D1126,A1127=A1126,F1127=F1126),1,0)</f>
        <v/>
      </c>
      <c r="I1127">
        <f>IF(C1127="C99999",1,0)</f>
        <v/>
      </c>
      <c r="J1127" s="5">
        <f>IF(OR(H1127=1,I1127=1),0,IF(G1127="Credit",-F1127,F1127))</f>
        <v/>
      </c>
    </row>
    <row r="1128">
      <c r="A1128" t="inlineStr">
        <is>
          <t>2026-07-10</t>
        </is>
      </c>
      <c r="B1128" t="inlineStr">
        <is>
          <t>F282659</t>
        </is>
      </c>
      <c r="C1128" t="inlineStr">
        <is>
          <t>C11189</t>
        </is>
      </c>
      <c r="D1128" t="inlineStr">
        <is>
          <t>SKU-10157</t>
        </is>
      </c>
      <c r="E1128" t="inlineStr">
        <is>
          <t>AM02</t>
        </is>
      </c>
      <c r="F1128" s="5" t="n">
        <v>601.7</v>
      </c>
      <c r="G1128">
        <f>IF(LEFT(B1128,1)="C","Credit","Factuur")</f>
        <v/>
      </c>
      <c r="H1128">
        <f>IF(AND(B1128=B1127,D1128=D1127,A1128=A1127,F1128=F1127),1,0)</f>
        <v/>
      </c>
      <c r="I1128">
        <f>IF(C1128="C99999",1,0)</f>
        <v/>
      </c>
      <c r="J1128" s="5">
        <f>IF(OR(H1128=1,I1128=1),0,IF(G1128="Credit",-F1128,F1128))</f>
        <v/>
      </c>
    </row>
    <row r="1129">
      <c r="A1129" t="inlineStr">
        <is>
          <t>2026-07-10</t>
        </is>
      </c>
      <c r="B1129" t="inlineStr">
        <is>
          <t>F282998</t>
        </is>
      </c>
      <c r="C1129" t="inlineStr">
        <is>
          <t>C11209</t>
        </is>
      </c>
      <c r="D1129" t="inlineStr">
        <is>
          <t>SKU-10130</t>
        </is>
      </c>
      <c r="E1129" t="inlineStr">
        <is>
          <t>AM08</t>
        </is>
      </c>
      <c r="F1129" s="5" t="n">
        <v>2158.02</v>
      </c>
      <c r="G1129">
        <f>IF(LEFT(B1129,1)="C","Credit","Factuur")</f>
        <v/>
      </c>
      <c r="H1129">
        <f>IF(AND(B1129=B1128,D1129=D1128,A1129=A1128,F1129=F1128),1,0)</f>
        <v/>
      </c>
      <c r="I1129">
        <f>IF(C1129="C99999",1,0)</f>
        <v/>
      </c>
      <c r="J1129" s="5">
        <f>IF(OR(H1129=1,I1129=1),0,IF(G1129="Credit",-F1129,F1129))</f>
        <v/>
      </c>
    </row>
    <row r="1130">
      <c r="A1130" t="inlineStr">
        <is>
          <t>2026-07-10</t>
        </is>
      </c>
      <c r="B1130" t="inlineStr">
        <is>
          <t>F283107</t>
        </is>
      </c>
      <c r="C1130" t="inlineStr">
        <is>
          <t>C11216</t>
        </is>
      </c>
      <c r="D1130" t="inlineStr">
        <is>
          <t>SKU-10086</t>
        </is>
      </c>
      <c r="E1130" t="inlineStr">
        <is>
          <t>AM05</t>
        </is>
      </c>
      <c r="F1130" s="5" t="n">
        <v>299.46</v>
      </c>
      <c r="G1130">
        <f>IF(LEFT(B1130,1)="C","Credit","Factuur")</f>
        <v/>
      </c>
      <c r="H1130">
        <f>IF(AND(B1130=B1129,D1130=D1129,A1130=A1129,F1130=F1129),1,0)</f>
        <v/>
      </c>
      <c r="I1130">
        <f>IF(C1130="C99999",1,0)</f>
        <v/>
      </c>
      <c r="J1130" s="5">
        <f>IF(OR(H1130=1,I1130=1),0,IF(G1130="Credit",-F1130,F1130))</f>
        <v/>
      </c>
    </row>
    <row r="1131">
      <c r="A1131" t="inlineStr">
        <is>
          <t>2026-07-10</t>
        </is>
      </c>
      <c r="B1131" t="inlineStr">
        <is>
          <t>F283107</t>
        </is>
      </c>
      <c r="C1131" t="inlineStr">
        <is>
          <t>C11216</t>
        </is>
      </c>
      <c r="D1131" t="inlineStr">
        <is>
          <t>SKU-10266</t>
        </is>
      </c>
      <c r="E1131" t="inlineStr">
        <is>
          <t>AM05</t>
        </is>
      </c>
      <c r="F1131" s="5" t="n">
        <v>286.4</v>
      </c>
      <c r="G1131">
        <f>IF(LEFT(B1131,1)="C","Credit","Factuur")</f>
        <v/>
      </c>
      <c r="H1131">
        <f>IF(AND(B1131=B1130,D1131=D1130,A1131=A1130,F1131=F1130),1,0)</f>
        <v/>
      </c>
      <c r="I1131">
        <f>IF(C1131="C99999",1,0)</f>
        <v/>
      </c>
      <c r="J1131" s="5">
        <f>IF(OR(H1131=1,I1131=1),0,IF(G1131="Credit",-F1131,F1131))</f>
        <v/>
      </c>
    </row>
    <row r="1132">
      <c r="A1132" t="inlineStr">
        <is>
          <t>2026-07-10</t>
        </is>
      </c>
      <c r="B1132" t="inlineStr">
        <is>
          <t>F283107</t>
        </is>
      </c>
      <c r="C1132" t="inlineStr">
        <is>
          <t>C11216</t>
        </is>
      </c>
      <c r="D1132" t="inlineStr">
        <is>
          <t>SKU-10271</t>
        </is>
      </c>
      <c r="E1132" t="inlineStr">
        <is>
          <t>AM05</t>
        </is>
      </c>
      <c r="F1132" s="5" t="n">
        <v>299.25</v>
      </c>
      <c r="G1132">
        <f>IF(LEFT(B1132,1)="C","Credit","Factuur")</f>
        <v/>
      </c>
      <c r="H1132">
        <f>IF(AND(B1132=B1131,D1132=D1131,A1132=A1131,F1132=F1131),1,0)</f>
        <v/>
      </c>
      <c r="I1132">
        <f>IF(C1132="C99999",1,0)</f>
        <v/>
      </c>
      <c r="J1132" s="5">
        <f>IF(OR(H1132=1,I1132=1),0,IF(G1132="Credit",-F1132,F1132))</f>
        <v/>
      </c>
    </row>
    <row r="1133">
      <c r="A1133" t="inlineStr">
        <is>
          <t>2026-07-10</t>
        </is>
      </c>
      <c r="B1133" t="inlineStr">
        <is>
          <t>F283139</t>
        </is>
      </c>
      <c r="C1133" t="inlineStr">
        <is>
          <t>C11218</t>
        </is>
      </c>
      <c r="D1133" t="inlineStr">
        <is>
          <t>SKU-10194</t>
        </is>
      </c>
      <c r="E1133" t="inlineStr">
        <is>
          <t>AM03</t>
        </is>
      </c>
      <c r="F1133" s="5" t="n">
        <v>235.02</v>
      </c>
      <c r="G1133">
        <f>IF(LEFT(B1133,1)="C","Credit","Factuur")</f>
        <v/>
      </c>
      <c r="H1133">
        <f>IF(AND(B1133=B1132,D1133=D1132,A1133=A1132,F1133=F1132),1,0)</f>
        <v/>
      </c>
      <c r="I1133">
        <f>IF(C1133="C99999",1,0)</f>
        <v/>
      </c>
      <c r="J1133" s="5">
        <f>IF(OR(H1133=1,I1133=1),0,IF(G1133="Credit",-F1133,F1133))</f>
        <v/>
      </c>
    </row>
    <row r="1134">
      <c r="A1134" t="inlineStr">
        <is>
          <t>2026-07-10</t>
        </is>
      </c>
      <c r="B1134" t="inlineStr">
        <is>
          <t>F283139</t>
        </is>
      </c>
      <c r="C1134" t="inlineStr">
        <is>
          <t>C11218</t>
        </is>
      </c>
      <c r="D1134" t="inlineStr">
        <is>
          <t>SKU-10305</t>
        </is>
      </c>
      <c r="E1134" t="inlineStr">
        <is>
          <t>AM03</t>
        </is>
      </c>
      <c r="F1134" s="5" t="n">
        <v>235.8</v>
      </c>
      <c r="G1134">
        <f>IF(LEFT(B1134,1)="C","Credit","Factuur")</f>
        <v/>
      </c>
      <c r="H1134">
        <f>IF(AND(B1134=B1133,D1134=D1133,A1134=A1133,F1134=F1133),1,0)</f>
        <v/>
      </c>
      <c r="I1134">
        <f>IF(C1134="C99999",1,0)</f>
        <v/>
      </c>
      <c r="J1134" s="5">
        <f>IF(OR(H1134=1,I1134=1),0,IF(G1134="Credit",-F1134,F1134))</f>
        <v/>
      </c>
    </row>
    <row r="1135">
      <c r="A1135" t="inlineStr">
        <is>
          <t>2026-07-10</t>
        </is>
      </c>
      <c r="B1135" t="inlineStr">
        <is>
          <t>F284137</t>
        </is>
      </c>
      <c r="C1135" t="inlineStr">
        <is>
          <t>C11261</t>
        </is>
      </c>
      <c r="D1135" t="inlineStr">
        <is>
          <t>SKU-10138</t>
        </is>
      </c>
      <c r="E1135" t="inlineStr">
        <is>
          <t>AM08</t>
        </is>
      </c>
      <c r="F1135" s="5" t="n">
        <v>193.72</v>
      </c>
      <c r="G1135">
        <f>IF(LEFT(B1135,1)="C","Credit","Factuur")</f>
        <v/>
      </c>
      <c r="H1135">
        <f>IF(AND(B1135=B1134,D1135=D1134,A1135=A1134,F1135=F1134),1,0)</f>
        <v/>
      </c>
      <c r="I1135">
        <f>IF(C1135="C99999",1,0)</f>
        <v/>
      </c>
      <c r="J1135" s="5">
        <f>IF(OR(H1135=1,I1135=1),0,IF(G1135="Credit",-F1135,F1135))</f>
        <v/>
      </c>
    </row>
    <row r="1136">
      <c r="A1136" t="inlineStr">
        <is>
          <t>2026-07-10</t>
        </is>
      </c>
      <c r="B1136" t="inlineStr">
        <is>
          <t>F284178</t>
        </is>
      </c>
      <c r="C1136" t="inlineStr">
        <is>
          <t>C11264</t>
        </is>
      </c>
      <c r="D1136" t="inlineStr">
        <is>
          <t>SKU-10102</t>
        </is>
      </c>
      <c r="E1136" t="inlineStr">
        <is>
          <t>AM01</t>
        </is>
      </c>
      <c r="F1136" s="5" t="n">
        <v>517.4400000000001</v>
      </c>
      <c r="G1136">
        <f>IF(LEFT(B1136,1)="C","Credit","Factuur")</f>
        <v/>
      </c>
      <c r="H1136">
        <f>IF(AND(B1136=B1135,D1136=D1135,A1136=A1135,F1136=F1135),1,0)</f>
        <v/>
      </c>
      <c r="I1136">
        <f>IF(C1136="C99999",1,0)</f>
        <v/>
      </c>
      <c r="J1136" s="5">
        <f>IF(OR(H1136=1,I1136=1),0,IF(G1136="Credit",-F1136,F1136))</f>
        <v/>
      </c>
    </row>
    <row r="1137">
      <c r="A1137" t="inlineStr">
        <is>
          <t>2026-07-10</t>
        </is>
      </c>
      <c r="B1137" t="inlineStr">
        <is>
          <t>F284178</t>
        </is>
      </c>
      <c r="C1137" t="inlineStr">
        <is>
          <t>C11264</t>
        </is>
      </c>
      <c r="D1137" t="inlineStr">
        <is>
          <t>SKU-10192</t>
        </is>
      </c>
      <c r="E1137" t="inlineStr">
        <is>
          <t>AM01</t>
        </is>
      </c>
      <c r="F1137" s="5" t="n">
        <v>500.32</v>
      </c>
      <c r="G1137">
        <f>IF(LEFT(B1137,1)="C","Credit","Factuur")</f>
        <v/>
      </c>
      <c r="H1137">
        <f>IF(AND(B1137=B1136,D1137=D1136,A1137=A1136,F1137=F1136),1,0)</f>
        <v/>
      </c>
      <c r="I1137">
        <f>IF(C1137="C99999",1,0)</f>
        <v/>
      </c>
      <c r="J1137" s="5">
        <f>IF(OR(H1137=1,I1137=1),0,IF(G1137="Credit",-F1137,F1137))</f>
        <v/>
      </c>
    </row>
    <row r="1138">
      <c r="A1138" t="inlineStr">
        <is>
          <t>2026-07-10</t>
        </is>
      </c>
      <c r="B1138" t="inlineStr">
        <is>
          <t>F284178</t>
        </is>
      </c>
      <c r="C1138" t="inlineStr">
        <is>
          <t>C11264</t>
        </is>
      </c>
      <c r="D1138" t="inlineStr">
        <is>
          <t>SKU-10201</t>
        </is>
      </c>
      <c r="E1138" t="inlineStr">
        <is>
          <t>AM01</t>
        </is>
      </c>
      <c r="F1138" s="5" t="n">
        <v>506.16</v>
      </c>
      <c r="G1138">
        <f>IF(LEFT(B1138,1)="C","Credit","Factuur")</f>
        <v/>
      </c>
      <c r="H1138">
        <f>IF(AND(B1138=B1137,D1138=D1137,A1138=A1137,F1138=F1137),1,0)</f>
        <v/>
      </c>
      <c r="I1138">
        <f>IF(C1138="C99999",1,0)</f>
        <v/>
      </c>
      <c r="J1138" s="5">
        <f>IF(OR(H1138=1,I1138=1),0,IF(G1138="Credit",-F1138,F1138))</f>
        <v/>
      </c>
    </row>
    <row r="1139">
      <c r="A1139" t="inlineStr">
        <is>
          <t>2026-07-10</t>
        </is>
      </c>
      <c r="B1139" t="inlineStr">
        <is>
          <t>F284178</t>
        </is>
      </c>
      <c r="C1139" t="inlineStr">
        <is>
          <t>C11264</t>
        </is>
      </c>
      <c r="D1139" t="inlineStr">
        <is>
          <t>SKU-10263</t>
        </is>
      </c>
      <c r="E1139" t="inlineStr">
        <is>
          <t>AM01</t>
        </is>
      </c>
      <c r="F1139" s="5" t="n">
        <v>501.02</v>
      </c>
      <c r="G1139">
        <f>IF(LEFT(B1139,1)="C","Credit","Factuur")</f>
        <v/>
      </c>
      <c r="H1139">
        <f>IF(AND(B1139=B1138,D1139=D1138,A1139=A1138,F1139=F1138),1,0)</f>
        <v/>
      </c>
      <c r="I1139">
        <f>IF(C1139="C99999",1,0)</f>
        <v/>
      </c>
      <c r="J1139" s="5">
        <f>IF(OR(H1139=1,I1139=1),0,IF(G1139="Credit",-F1139,F1139))</f>
        <v/>
      </c>
    </row>
    <row r="1140">
      <c r="A1140" t="inlineStr">
        <is>
          <t>2026-07-10</t>
        </is>
      </c>
      <c r="B1140" t="inlineStr">
        <is>
          <t>F284291</t>
        </is>
      </c>
      <c r="C1140" t="inlineStr">
        <is>
          <t>C11271</t>
        </is>
      </c>
      <c r="D1140" t="inlineStr">
        <is>
          <t>SKU-10014</t>
        </is>
      </c>
      <c r="E1140" t="inlineStr">
        <is>
          <t>AM02</t>
        </is>
      </c>
      <c r="F1140" s="5" t="n">
        <v>357.76</v>
      </c>
      <c r="G1140">
        <f>IF(LEFT(B1140,1)="C","Credit","Factuur")</f>
        <v/>
      </c>
      <c r="H1140">
        <f>IF(AND(B1140=B1139,D1140=D1139,A1140=A1139,F1140=F1139),1,0)</f>
        <v/>
      </c>
      <c r="I1140">
        <f>IF(C1140="C99999",1,0)</f>
        <v/>
      </c>
      <c r="J1140" s="5">
        <f>IF(OR(H1140=1,I1140=1),0,IF(G1140="Credit",-F1140,F1140))</f>
        <v/>
      </c>
    </row>
    <row r="1141">
      <c r="A1141" t="inlineStr">
        <is>
          <t>2026-07-10</t>
        </is>
      </c>
      <c r="B1141" t="inlineStr">
        <is>
          <t>F284291</t>
        </is>
      </c>
      <c r="C1141" t="inlineStr">
        <is>
          <t>C11271</t>
        </is>
      </c>
      <c r="D1141" t="inlineStr">
        <is>
          <t>SKU-10111</t>
        </is>
      </c>
      <c r="E1141" t="inlineStr">
        <is>
          <t>AM02</t>
        </is>
      </c>
      <c r="F1141" s="5" t="n">
        <v>355.53</v>
      </c>
      <c r="G1141">
        <f>IF(LEFT(B1141,1)="C","Credit","Factuur")</f>
        <v/>
      </c>
      <c r="H1141">
        <f>IF(AND(B1141=B1140,D1141=D1140,A1141=A1140,F1141=F1140),1,0)</f>
        <v/>
      </c>
      <c r="I1141">
        <f>IF(C1141="C99999",1,0)</f>
        <v/>
      </c>
      <c r="J1141" s="5">
        <f>IF(OR(H1141=1,I1141=1),0,IF(G1141="Credit",-F1141,F1141))</f>
        <v/>
      </c>
    </row>
    <row r="1142">
      <c r="A1142" t="inlineStr">
        <is>
          <t>2026-07-10</t>
        </is>
      </c>
      <c r="B1142" t="inlineStr">
        <is>
          <t>F284291</t>
        </is>
      </c>
      <c r="C1142" t="inlineStr">
        <is>
          <t>C11271</t>
        </is>
      </c>
      <c r="D1142" t="inlineStr">
        <is>
          <t>SKU-10201</t>
        </is>
      </c>
      <c r="E1142" t="inlineStr">
        <is>
          <t>AM02</t>
        </is>
      </c>
      <c r="F1142" s="5" t="n">
        <v>346.32</v>
      </c>
      <c r="G1142">
        <f>IF(LEFT(B1142,1)="C","Credit","Factuur")</f>
        <v/>
      </c>
      <c r="H1142">
        <f>IF(AND(B1142=B1141,D1142=D1141,A1142=A1141,F1142=F1141),1,0)</f>
        <v/>
      </c>
      <c r="I1142">
        <f>IF(C1142="C99999",1,0)</f>
        <v/>
      </c>
      <c r="J1142" s="5">
        <f>IF(OR(H1142=1,I1142=1),0,IF(G1142="Credit",-F1142,F1142))</f>
        <v/>
      </c>
    </row>
    <row r="1143">
      <c r="A1143" t="inlineStr">
        <is>
          <t>2026-07-10</t>
        </is>
      </c>
      <c r="B1143" t="inlineStr">
        <is>
          <t>F284313</t>
        </is>
      </c>
      <c r="C1143" t="inlineStr">
        <is>
          <t>C11272</t>
        </is>
      </c>
      <c r="D1143" t="inlineStr">
        <is>
          <t>SKU-10299</t>
        </is>
      </c>
      <c r="E1143" t="inlineStr">
        <is>
          <t>AM07</t>
        </is>
      </c>
      <c r="F1143" s="5" t="n">
        <v>602.24</v>
      </c>
      <c r="G1143">
        <f>IF(LEFT(B1143,1)="C","Credit","Factuur")</f>
        <v/>
      </c>
      <c r="H1143">
        <f>IF(AND(B1143=B1142,D1143=D1142,A1143=A1142,F1143=F1142),1,0)</f>
        <v/>
      </c>
      <c r="I1143">
        <f>IF(C1143="C99999",1,0)</f>
        <v/>
      </c>
      <c r="J1143" s="5">
        <f>IF(OR(H1143=1,I1143=1),0,IF(G1143="Credit",-F1143,F1143))</f>
        <v/>
      </c>
    </row>
    <row r="1144">
      <c r="A1144" t="inlineStr">
        <is>
          <t>2026-07-10</t>
        </is>
      </c>
      <c r="B1144" t="inlineStr">
        <is>
          <t>F284352</t>
        </is>
      </c>
      <c r="C1144" t="inlineStr">
        <is>
          <t>C11273</t>
        </is>
      </c>
      <c r="D1144" t="inlineStr">
        <is>
          <t>SKU-10057</t>
        </is>
      </c>
      <c r="E1144" t="inlineStr">
        <is>
          <t>IS01</t>
        </is>
      </c>
      <c r="F1144" s="5" t="n">
        <v>22.5</v>
      </c>
      <c r="G1144">
        <f>IF(LEFT(B1144,1)="C","Credit","Factuur")</f>
        <v/>
      </c>
      <c r="H1144">
        <f>IF(AND(B1144=B1143,D1144=D1143,A1144=A1143,F1144=F1143),1,0)</f>
        <v/>
      </c>
      <c r="I1144">
        <f>IF(C1144="C99999",1,0)</f>
        <v/>
      </c>
      <c r="J1144" s="5">
        <f>IF(OR(H1144=1,I1144=1),0,IF(G1144="Credit",-F1144,F1144))</f>
        <v/>
      </c>
    </row>
    <row r="1145">
      <c r="A1145" t="inlineStr">
        <is>
          <t>2026-07-10</t>
        </is>
      </c>
      <c r="B1145" t="inlineStr">
        <is>
          <t>F284567</t>
        </is>
      </c>
      <c r="C1145" t="inlineStr">
        <is>
          <t>C11289</t>
        </is>
      </c>
      <c r="D1145" t="inlineStr">
        <is>
          <t>SKU-10003</t>
        </is>
      </c>
      <c r="E1145" t="inlineStr">
        <is>
          <t>AM01</t>
        </is>
      </c>
      <c r="F1145" s="5" t="n">
        <v>826.5</v>
      </c>
      <c r="G1145">
        <f>IF(LEFT(B1145,1)="C","Credit","Factuur")</f>
        <v/>
      </c>
      <c r="H1145">
        <f>IF(AND(B1145=B1144,D1145=D1144,A1145=A1144,F1145=F1144),1,0)</f>
        <v/>
      </c>
      <c r="I1145">
        <f>IF(C1145="C99999",1,0)</f>
        <v/>
      </c>
      <c r="J1145" s="5">
        <f>IF(OR(H1145=1,I1145=1),0,IF(G1145="Credit",-F1145,F1145))</f>
        <v/>
      </c>
    </row>
    <row r="1146">
      <c r="A1146" t="inlineStr">
        <is>
          <t>2026-07-10</t>
        </is>
      </c>
      <c r="B1146" t="inlineStr">
        <is>
          <t>F284567</t>
        </is>
      </c>
      <c r="C1146" t="inlineStr">
        <is>
          <t>C11289</t>
        </is>
      </c>
      <c r="D1146" t="inlineStr">
        <is>
          <t>SKU-10157</t>
        </is>
      </c>
      <c r="E1146" t="inlineStr">
        <is>
          <t>AM01</t>
        </is>
      </c>
      <c r="F1146" s="5" t="n">
        <v>831.4400000000001</v>
      </c>
      <c r="G1146">
        <f>IF(LEFT(B1146,1)="C","Credit","Factuur")</f>
        <v/>
      </c>
      <c r="H1146">
        <f>IF(AND(B1146=B1145,D1146=D1145,A1146=A1145,F1146=F1145),1,0)</f>
        <v/>
      </c>
      <c r="I1146">
        <f>IF(C1146="C99999",1,0)</f>
        <v/>
      </c>
      <c r="J1146" s="5">
        <f>IF(OR(H1146=1,I1146=1),0,IF(G1146="Credit",-F1146,F1146))</f>
        <v/>
      </c>
    </row>
    <row r="1147">
      <c r="A1147" t="inlineStr">
        <is>
          <t>2026-07-10</t>
        </is>
      </c>
      <c r="B1147" t="inlineStr">
        <is>
          <t>F284567</t>
        </is>
      </c>
      <c r="C1147" t="inlineStr">
        <is>
          <t>C11289</t>
        </is>
      </c>
      <c r="D1147" t="inlineStr">
        <is>
          <t>SKU-10158</t>
        </is>
      </c>
      <c r="E1147" t="inlineStr">
        <is>
          <t>AM01</t>
        </is>
      </c>
      <c r="F1147" s="5" t="n">
        <v>790.97</v>
      </c>
      <c r="G1147">
        <f>IF(LEFT(B1147,1)="C","Credit","Factuur")</f>
        <v/>
      </c>
      <c r="H1147">
        <f>IF(AND(B1147=B1146,D1147=D1146,A1147=A1146,F1147=F1146),1,0)</f>
        <v/>
      </c>
      <c r="I1147">
        <f>IF(C1147="C99999",1,0)</f>
        <v/>
      </c>
      <c r="J1147" s="5">
        <f>IF(OR(H1147=1,I1147=1),0,IF(G1147="Credit",-F1147,F1147))</f>
        <v/>
      </c>
    </row>
    <row r="1148">
      <c r="A1148" t="inlineStr">
        <is>
          <t>2026-07-10</t>
        </is>
      </c>
      <c r="B1148" t="inlineStr">
        <is>
          <t>F284567</t>
        </is>
      </c>
      <c r="C1148" t="inlineStr">
        <is>
          <t>C11289</t>
        </is>
      </c>
      <c r="D1148" t="inlineStr">
        <is>
          <t>SKU-10182</t>
        </is>
      </c>
      <c r="E1148" t="inlineStr">
        <is>
          <t>AM01</t>
        </is>
      </c>
      <c r="F1148" s="5" t="n">
        <v>829.95</v>
      </c>
      <c r="G1148">
        <f>IF(LEFT(B1148,1)="C","Credit","Factuur")</f>
        <v/>
      </c>
      <c r="H1148">
        <f>IF(AND(B1148=B1147,D1148=D1147,A1148=A1147,F1148=F1147),1,0)</f>
        <v/>
      </c>
      <c r="I1148">
        <f>IF(C1148="C99999",1,0)</f>
        <v/>
      </c>
      <c r="J1148" s="5">
        <f>IF(OR(H1148=1,I1148=1),0,IF(G1148="Credit",-F1148,F1148))</f>
        <v/>
      </c>
    </row>
    <row r="1149">
      <c r="A1149" t="inlineStr">
        <is>
          <t>2026-07-10</t>
        </is>
      </c>
      <c r="B1149" t="inlineStr">
        <is>
          <t>F284793</t>
        </is>
      </c>
      <c r="C1149" t="inlineStr">
        <is>
          <t>C11298</t>
        </is>
      </c>
      <c r="D1149" t="inlineStr">
        <is>
          <t>SKU-10005</t>
        </is>
      </c>
      <c r="E1149" t="inlineStr">
        <is>
          <t>AM01</t>
        </is>
      </c>
      <c r="F1149" s="5" t="n">
        <v>224.18</v>
      </c>
      <c r="G1149">
        <f>IF(LEFT(B1149,1)="C","Credit","Factuur")</f>
        <v/>
      </c>
      <c r="H1149">
        <f>IF(AND(B1149=B1148,D1149=D1148,A1149=A1148,F1149=F1148),1,0)</f>
        <v/>
      </c>
      <c r="I1149">
        <f>IF(C1149="C99999",1,0)</f>
        <v/>
      </c>
      <c r="J1149" s="5">
        <f>IF(OR(H1149=1,I1149=1),0,IF(G1149="Credit",-F1149,F1149))</f>
        <v/>
      </c>
    </row>
    <row r="1150">
      <c r="A1150" t="inlineStr">
        <is>
          <t>2026-07-10</t>
        </is>
      </c>
      <c r="B1150" t="inlineStr">
        <is>
          <t>F284793</t>
        </is>
      </c>
      <c r="C1150" t="inlineStr">
        <is>
          <t>C11298</t>
        </is>
      </c>
      <c r="D1150" t="inlineStr">
        <is>
          <t>SKU-10106</t>
        </is>
      </c>
      <c r="E1150" t="inlineStr">
        <is>
          <t>AM01</t>
        </is>
      </c>
      <c r="F1150" s="5" t="n">
        <v>206.6</v>
      </c>
      <c r="G1150">
        <f>IF(LEFT(B1150,1)="C","Credit","Factuur")</f>
        <v/>
      </c>
      <c r="H1150">
        <f>IF(AND(B1150=B1149,D1150=D1149,A1150=A1149,F1150=F1149),1,0)</f>
        <v/>
      </c>
      <c r="I1150">
        <f>IF(C1150="C99999",1,0)</f>
        <v/>
      </c>
      <c r="J1150" s="5">
        <f>IF(OR(H1150=1,I1150=1),0,IF(G1150="Credit",-F1150,F1150))</f>
        <v/>
      </c>
    </row>
    <row r="1151">
      <c r="A1151" t="inlineStr">
        <is>
          <t>2026-07-10</t>
        </is>
      </c>
      <c r="B1151" t="inlineStr">
        <is>
          <t>F284793</t>
        </is>
      </c>
      <c r="C1151" t="inlineStr">
        <is>
          <t>C11298</t>
        </is>
      </c>
      <c r="D1151" t="inlineStr">
        <is>
          <t>SKU-10291</t>
        </is>
      </c>
      <c r="E1151" t="inlineStr">
        <is>
          <t>AM01</t>
        </is>
      </c>
      <c r="F1151" s="5" t="n">
        <v>232.02</v>
      </c>
      <c r="G1151">
        <f>IF(LEFT(B1151,1)="C","Credit","Factuur")</f>
        <v/>
      </c>
      <c r="H1151">
        <f>IF(AND(B1151=B1150,D1151=D1150,A1151=A1150,F1151=F1150),1,0)</f>
        <v/>
      </c>
      <c r="I1151">
        <f>IF(C1151="C99999",1,0)</f>
        <v/>
      </c>
      <c r="J1151" s="5">
        <f>IF(OR(H1151=1,I1151=1),0,IF(G1151="Credit",-F1151,F1151))</f>
        <v/>
      </c>
    </row>
    <row r="1152">
      <c r="A1152" t="inlineStr">
        <is>
          <t>2026-07-10</t>
        </is>
      </c>
      <c r="B1152" t="inlineStr">
        <is>
          <t>F285127</t>
        </is>
      </c>
      <c r="C1152" t="inlineStr">
        <is>
          <t>C11317</t>
        </is>
      </c>
      <c r="D1152" t="inlineStr">
        <is>
          <t>SKU-10032</t>
        </is>
      </c>
      <c r="E1152" t="inlineStr">
        <is>
          <t>AM11</t>
        </is>
      </c>
      <c r="F1152" s="5" t="n">
        <v>588.37</v>
      </c>
      <c r="G1152">
        <f>IF(LEFT(B1152,1)="C","Credit","Factuur")</f>
        <v/>
      </c>
      <c r="H1152">
        <f>IF(AND(B1152=B1151,D1152=D1151,A1152=A1151,F1152=F1151),1,0)</f>
        <v/>
      </c>
      <c r="I1152">
        <f>IF(C1152="C99999",1,0)</f>
        <v/>
      </c>
      <c r="J1152" s="5">
        <f>IF(OR(H1152=1,I1152=1),0,IF(G1152="Credit",-F1152,F1152))</f>
        <v/>
      </c>
    </row>
    <row r="1153">
      <c r="A1153" t="inlineStr">
        <is>
          <t>2026-07-10</t>
        </is>
      </c>
      <c r="B1153" t="inlineStr">
        <is>
          <t>F285127</t>
        </is>
      </c>
      <c r="C1153" t="inlineStr">
        <is>
          <t>C11317</t>
        </is>
      </c>
      <c r="D1153" t="inlineStr">
        <is>
          <t>SKU-10304</t>
        </is>
      </c>
      <c r="E1153" t="inlineStr">
        <is>
          <t>AM11</t>
        </is>
      </c>
      <c r="F1153" s="5" t="n">
        <v>595.92</v>
      </c>
      <c r="G1153">
        <f>IF(LEFT(B1153,1)="C","Credit","Factuur")</f>
        <v/>
      </c>
      <c r="H1153">
        <f>IF(AND(B1153=B1152,D1153=D1152,A1153=A1152,F1153=F1152),1,0)</f>
        <v/>
      </c>
      <c r="I1153">
        <f>IF(C1153="C99999",1,0)</f>
        <v/>
      </c>
      <c r="J1153" s="5">
        <f>IF(OR(H1153=1,I1153=1),0,IF(G1153="Credit",-F1153,F1153))</f>
        <v/>
      </c>
    </row>
    <row r="1154">
      <c r="A1154" t="inlineStr">
        <is>
          <t>2026-07-10</t>
        </is>
      </c>
      <c r="B1154" t="inlineStr">
        <is>
          <t>F285127</t>
        </is>
      </c>
      <c r="C1154" t="inlineStr">
        <is>
          <t>C11317</t>
        </is>
      </c>
      <c r="D1154" t="inlineStr">
        <is>
          <t>SKU-10334</t>
        </is>
      </c>
      <c r="E1154" t="inlineStr">
        <is>
          <t>AM11</t>
        </is>
      </c>
      <c r="F1154" s="5" t="n">
        <v>567.54</v>
      </c>
      <c r="G1154">
        <f>IF(LEFT(B1154,1)="C","Credit","Factuur")</f>
        <v/>
      </c>
      <c r="H1154">
        <f>IF(AND(B1154=B1153,D1154=D1153,A1154=A1153,F1154=F1153),1,0)</f>
        <v/>
      </c>
      <c r="I1154">
        <f>IF(C1154="C99999",1,0)</f>
        <v/>
      </c>
      <c r="J1154" s="5">
        <f>IF(OR(H1154=1,I1154=1),0,IF(G1154="Credit",-F1154,F1154))</f>
        <v/>
      </c>
    </row>
    <row r="1155">
      <c r="A1155" t="inlineStr">
        <is>
          <t>2026-07-10</t>
        </is>
      </c>
      <c r="B1155" t="inlineStr">
        <is>
          <t>F285165</t>
        </is>
      </c>
      <c r="C1155" t="inlineStr">
        <is>
          <t>C11319</t>
        </is>
      </c>
      <c r="D1155" t="inlineStr">
        <is>
          <t>SKU-10187</t>
        </is>
      </c>
      <c r="E1155" t="inlineStr">
        <is>
          <t>AM02</t>
        </is>
      </c>
      <c r="F1155" s="5" t="n">
        <v>182.8</v>
      </c>
      <c r="G1155">
        <f>IF(LEFT(B1155,1)="C","Credit","Factuur")</f>
        <v/>
      </c>
      <c r="H1155">
        <f>IF(AND(B1155=B1154,D1155=D1154,A1155=A1154,F1155=F1154),1,0)</f>
        <v/>
      </c>
      <c r="I1155">
        <f>IF(C1155="C99999",1,0)</f>
        <v/>
      </c>
      <c r="J1155" s="5">
        <f>IF(OR(H1155=1,I1155=1),0,IF(G1155="Credit",-F1155,F1155))</f>
        <v/>
      </c>
    </row>
    <row r="1156">
      <c r="A1156" t="inlineStr">
        <is>
          <t>2026-07-10</t>
        </is>
      </c>
      <c r="B1156" t="inlineStr">
        <is>
          <t>F285165</t>
        </is>
      </c>
      <c r="C1156" t="inlineStr">
        <is>
          <t>C11319</t>
        </is>
      </c>
      <c r="D1156" t="inlineStr">
        <is>
          <t>SKU-10293</t>
        </is>
      </c>
      <c r="E1156" t="inlineStr">
        <is>
          <t>AM02</t>
        </is>
      </c>
      <c r="F1156" s="5" t="n">
        <v>174.24</v>
      </c>
      <c r="G1156">
        <f>IF(LEFT(B1156,1)="C","Credit","Factuur")</f>
        <v/>
      </c>
      <c r="H1156">
        <f>IF(AND(B1156=B1155,D1156=D1155,A1156=A1155,F1156=F1155),1,0)</f>
        <v/>
      </c>
      <c r="I1156">
        <f>IF(C1156="C99999",1,0)</f>
        <v/>
      </c>
      <c r="J1156" s="5">
        <f>IF(OR(H1156=1,I1156=1),0,IF(G1156="Credit",-F1156,F1156))</f>
        <v/>
      </c>
    </row>
    <row r="1157">
      <c r="A1157" t="inlineStr">
        <is>
          <t>2026-07-10</t>
        </is>
      </c>
      <c r="B1157" t="inlineStr">
        <is>
          <t>F285165</t>
        </is>
      </c>
      <c r="C1157" t="inlineStr">
        <is>
          <t>C11319</t>
        </is>
      </c>
      <c r="D1157" t="inlineStr">
        <is>
          <t>SKU-10326</t>
        </is>
      </c>
      <c r="E1157" t="inlineStr">
        <is>
          <t>AM02</t>
        </is>
      </c>
      <c r="F1157" s="5" t="n">
        <v>158</v>
      </c>
      <c r="G1157">
        <f>IF(LEFT(B1157,1)="C","Credit","Factuur")</f>
        <v/>
      </c>
      <c r="H1157">
        <f>IF(AND(B1157=B1156,D1157=D1156,A1157=A1156,F1157=F1156),1,0)</f>
        <v/>
      </c>
      <c r="I1157">
        <f>IF(C1157="C99999",1,0)</f>
        <v/>
      </c>
      <c r="J1157" s="5">
        <f>IF(OR(H1157=1,I1157=1),0,IF(G1157="Credit",-F1157,F1157))</f>
        <v/>
      </c>
    </row>
    <row r="1158">
      <c r="A1158" t="inlineStr">
        <is>
          <t>2026-07-10</t>
        </is>
      </c>
      <c r="B1158" t="inlineStr">
        <is>
          <t>F285331</t>
        </is>
      </c>
      <c r="C1158" t="inlineStr">
        <is>
          <t>C11325</t>
        </is>
      </c>
      <c r="D1158" t="inlineStr">
        <is>
          <t>SKU-10324</t>
        </is>
      </c>
      <c r="E1158" t="inlineStr">
        <is>
          <t>AM02</t>
        </is>
      </c>
      <c r="F1158" s="5" t="n">
        <v>847.08</v>
      </c>
      <c r="G1158">
        <f>IF(LEFT(B1158,1)="C","Credit","Factuur")</f>
        <v/>
      </c>
      <c r="H1158">
        <f>IF(AND(B1158=B1157,D1158=D1157,A1158=A1157,F1158=F1157),1,0)</f>
        <v/>
      </c>
      <c r="I1158">
        <f>IF(C1158="C99999",1,0)</f>
        <v/>
      </c>
      <c r="J1158" s="5">
        <f>IF(OR(H1158=1,I1158=1),0,IF(G1158="Credit",-F1158,F1158))</f>
        <v/>
      </c>
    </row>
    <row r="1159">
      <c r="A1159" t="inlineStr">
        <is>
          <t>2026-07-10</t>
        </is>
      </c>
      <c r="B1159" t="inlineStr">
        <is>
          <t>F285473</t>
        </is>
      </c>
      <c r="C1159" t="inlineStr">
        <is>
          <t>C11331</t>
        </is>
      </c>
      <c r="D1159" t="inlineStr">
        <is>
          <t>SKU-10250</t>
        </is>
      </c>
      <c r="E1159" t="inlineStr"/>
      <c r="F1159" s="5" t="n">
        <v>1455.55</v>
      </c>
      <c r="G1159">
        <f>IF(LEFT(B1159,1)="C","Credit","Factuur")</f>
        <v/>
      </c>
      <c r="H1159">
        <f>IF(AND(B1159=B1158,D1159=D1158,A1159=A1158,F1159=F1158),1,0)</f>
        <v/>
      </c>
      <c r="I1159">
        <f>IF(C1159="C99999",1,0)</f>
        <v/>
      </c>
      <c r="J1159" s="5">
        <f>IF(OR(H1159=1,I1159=1),0,IF(G1159="Credit",-F1159,F1159))</f>
        <v/>
      </c>
    </row>
    <row r="1160">
      <c r="A1160" t="inlineStr">
        <is>
          <t>2026-07-10</t>
        </is>
      </c>
      <c r="B1160" t="inlineStr">
        <is>
          <t>F285996</t>
        </is>
      </c>
      <c r="C1160" t="inlineStr">
        <is>
          <t>C11361</t>
        </is>
      </c>
      <c r="D1160" t="inlineStr">
        <is>
          <t>SKU-10124</t>
        </is>
      </c>
      <c r="E1160" t="inlineStr">
        <is>
          <t>AM09</t>
        </is>
      </c>
      <c r="F1160" s="5" t="n">
        <v>330.07</v>
      </c>
      <c r="G1160">
        <f>IF(LEFT(B1160,1)="C","Credit","Factuur")</f>
        <v/>
      </c>
      <c r="H1160">
        <f>IF(AND(B1160=B1159,D1160=D1159,A1160=A1159,F1160=F1159),1,0)</f>
        <v/>
      </c>
      <c r="I1160">
        <f>IF(C1160="C99999",1,0)</f>
        <v/>
      </c>
      <c r="J1160" s="5">
        <f>IF(OR(H1160=1,I1160=1),0,IF(G1160="Credit",-F1160,F1160))</f>
        <v/>
      </c>
    </row>
    <row r="1161">
      <c r="A1161" t="inlineStr">
        <is>
          <t>2026-07-10</t>
        </is>
      </c>
      <c r="B1161" t="inlineStr">
        <is>
          <t>F285996</t>
        </is>
      </c>
      <c r="C1161" t="inlineStr">
        <is>
          <t>C11361</t>
        </is>
      </c>
      <c r="D1161" t="inlineStr">
        <is>
          <t>SKU-10193</t>
        </is>
      </c>
      <c r="E1161" t="inlineStr">
        <is>
          <t>AM09</t>
        </is>
      </c>
      <c r="F1161" s="5" t="n">
        <v>347.64</v>
      </c>
      <c r="G1161">
        <f>IF(LEFT(B1161,1)="C","Credit","Factuur")</f>
        <v/>
      </c>
      <c r="H1161">
        <f>IF(AND(B1161=B1160,D1161=D1160,A1161=A1160,F1161=F1160),1,0)</f>
        <v/>
      </c>
      <c r="I1161">
        <f>IF(C1161="C99999",1,0)</f>
        <v/>
      </c>
      <c r="J1161" s="5">
        <f>IF(OR(H1161=1,I1161=1),0,IF(G1161="Credit",-F1161,F1161))</f>
        <v/>
      </c>
    </row>
    <row r="1162">
      <c r="A1162" t="inlineStr">
        <is>
          <t>2026-07-10</t>
        </is>
      </c>
      <c r="B1162" t="inlineStr">
        <is>
          <t>F285996</t>
        </is>
      </c>
      <c r="C1162" t="inlineStr">
        <is>
          <t>C11361</t>
        </is>
      </c>
      <c r="D1162" t="inlineStr">
        <is>
          <t>SKU-10200</t>
        </is>
      </c>
      <c r="E1162" t="inlineStr">
        <is>
          <t>AM09</t>
        </is>
      </c>
      <c r="F1162" s="5" t="n">
        <v>374.85</v>
      </c>
      <c r="G1162">
        <f>IF(LEFT(B1162,1)="C","Credit","Factuur")</f>
        <v/>
      </c>
      <c r="H1162">
        <f>IF(AND(B1162=B1161,D1162=D1161,A1162=A1161,F1162=F1161),1,0)</f>
        <v/>
      </c>
      <c r="I1162">
        <f>IF(C1162="C99999",1,0)</f>
        <v/>
      </c>
      <c r="J1162" s="5">
        <f>IF(OR(H1162=1,I1162=1),0,IF(G1162="Credit",-F1162,F1162))</f>
        <v/>
      </c>
    </row>
    <row r="1163">
      <c r="A1163" t="inlineStr">
        <is>
          <t>2026-07-10</t>
        </is>
      </c>
      <c r="B1163" t="inlineStr">
        <is>
          <t>F286019</t>
        </is>
      </c>
      <c r="C1163" t="inlineStr">
        <is>
          <t>C11362</t>
        </is>
      </c>
      <c r="D1163" t="inlineStr">
        <is>
          <t>SKU-10180</t>
        </is>
      </c>
      <c r="E1163" t="inlineStr">
        <is>
          <t>AM09</t>
        </is>
      </c>
      <c r="F1163" s="5" t="n">
        <v>239.54</v>
      </c>
      <c r="G1163">
        <f>IF(LEFT(B1163,1)="C","Credit","Factuur")</f>
        <v/>
      </c>
      <c r="H1163">
        <f>IF(AND(B1163=B1162,D1163=D1162,A1163=A1162,F1163=F1162),1,0)</f>
        <v/>
      </c>
      <c r="I1163">
        <f>IF(C1163="C99999",1,0)</f>
        <v/>
      </c>
      <c r="J1163" s="5">
        <f>IF(OR(H1163=1,I1163=1),0,IF(G1163="Credit",-F1163,F1163))</f>
        <v/>
      </c>
    </row>
    <row r="1164">
      <c r="A1164" t="inlineStr">
        <is>
          <t>2026-07-10</t>
        </is>
      </c>
      <c r="B1164" t="inlineStr">
        <is>
          <t>F286019</t>
        </is>
      </c>
      <c r="C1164" t="inlineStr">
        <is>
          <t>C11362</t>
        </is>
      </c>
      <c r="D1164" t="inlineStr">
        <is>
          <t>SKU-10290</t>
        </is>
      </c>
      <c r="E1164" t="inlineStr">
        <is>
          <t>AM09</t>
        </is>
      </c>
      <c r="F1164" s="5" t="n">
        <v>262.96</v>
      </c>
      <c r="G1164">
        <f>IF(LEFT(B1164,1)="C","Credit","Factuur")</f>
        <v/>
      </c>
      <c r="H1164">
        <f>IF(AND(B1164=B1163,D1164=D1163,A1164=A1163,F1164=F1163),1,0)</f>
        <v/>
      </c>
      <c r="I1164">
        <f>IF(C1164="C99999",1,0)</f>
        <v/>
      </c>
      <c r="J1164" s="5">
        <f>IF(OR(H1164=1,I1164=1),0,IF(G1164="Credit",-F1164,F1164))</f>
        <v/>
      </c>
    </row>
    <row r="1165">
      <c r="A1165" t="inlineStr">
        <is>
          <t>2026-07-10</t>
        </is>
      </c>
      <c r="B1165" t="inlineStr">
        <is>
          <t>F286377</t>
        </is>
      </c>
      <c r="C1165" t="inlineStr">
        <is>
          <t>C11379</t>
        </is>
      </c>
      <c r="D1165" t="inlineStr">
        <is>
          <t>SKU-10024</t>
        </is>
      </c>
      <c r="E1165" t="inlineStr">
        <is>
          <t>AM09</t>
        </is>
      </c>
      <c r="F1165" s="5" t="n">
        <v>459.04</v>
      </c>
      <c r="G1165">
        <f>IF(LEFT(B1165,1)="C","Credit","Factuur")</f>
        <v/>
      </c>
      <c r="H1165">
        <f>IF(AND(B1165=B1164,D1165=D1164,A1165=A1164,F1165=F1164),1,0)</f>
        <v/>
      </c>
      <c r="I1165">
        <f>IF(C1165="C99999",1,0)</f>
        <v/>
      </c>
      <c r="J1165" s="5">
        <f>IF(OR(H1165=1,I1165=1),0,IF(G1165="Credit",-F1165,F1165))</f>
        <v/>
      </c>
    </row>
    <row r="1166">
      <c r="A1166" t="inlineStr">
        <is>
          <t>2026-07-10</t>
        </is>
      </c>
      <c r="B1166" t="inlineStr">
        <is>
          <t>F286377</t>
        </is>
      </c>
      <c r="C1166" t="inlineStr">
        <is>
          <t>C11379</t>
        </is>
      </c>
      <c r="D1166" t="inlineStr">
        <is>
          <t>SKU-10093</t>
        </is>
      </c>
      <c r="E1166" t="inlineStr">
        <is>
          <t>AM09</t>
        </is>
      </c>
      <c r="F1166" s="5" t="n">
        <v>411.78</v>
      </c>
      <c r="G1166">
        <f>IF(LEFT(B1166,1)="C","Credit","Factuur")</f>
        <v/>
      </c>
      <c r="H1166">
        <f>IF(AND(B1166=B1165,D1166=D1165,A1166=A1165,F1166=F1165),1,0)</f>
        <v/>
      </c>
      <c r="I1166">
        <f>IF(C1166="C99999",1,0)</f>
        <v/>
      </c>
      <c r="J1166" s="5">
        <f>IF(OR(H1166=1,I1166=1),0,IF(G1166="Credit",-F1166,F1166))</f>
        <v/>
      </c>
    </row>
    <row r="1167">
      <c r="A1167" t="inlineStr">
        <is>
          <t>2026-07-10</t>
        </is>
      </c>
      <c r="B1167" t="inlineStr">
        <is>
          <t>F286377</t>
        </is>
      </c>
      <c r="C1167" t="inlineStr">
        <is>
          <t>C11379</t>
        </is>
      </c>
      <c r="D1167" t="inlineStr">
        <is>
          <t>SKU-10221</t>
        </is>
      </c>
      <c r="E1167" t="inlineStr">
        <is>
          <t>AM09</t>
        </is>
      </c>
      <c r="F1167" s="5" t="n">
        <v>445.11</v>
      </c>
      <c r="G1167">
        <f>IF(LEFT(B1167,1)="C","Credit","Factuur")</f>
        <v/>
      </c>
      <c r="H1167">
        <f>IF(AND(B1167=B1166,D1167=D1166,A1167=A1166,F1167=F1166),1,0)</f>
        <v/>
      </c>
      <c r="I1167">
        <f>IF(C1167="C99999",1,0)</f>
        <v/>
      </c>
      <c r="J1167" s="5">
        <f>IF(OR(H1167=1,I1167=1),0,IF(G1167="Credit",-F1167,F1167))</f>
        <v/>
      </c>
    </row>
    <row r="1168">
      <c r="A1168" t="inlineStr">
        <is>
          <t>2026-07-10</t>
        </is>
      </c>
      <c r="B1168" t="inlineStr">
        <is>
          <t>F286377</t>
        </is>
      </c>
      <c r="C1168" t="inlineStr">
        <is>
          <t>C11379</t>
        </is>
      </c>
      <c r="D1168" t="inlineStr">
        <is>
          <t>SKU-10290</t>
        </is>
      </c>
      <c r="E1168" t="inlineStr">
        <is>
          <t>AM09</t>
        </is>
      </c>
      <c r="F1168" s="5" t="n">
        <v>458.45</v>
      </c>
      <c r="G1168">
        <f>IF(LEFT(B1168,1)="C","Credit","Factuur")</f>
        <v/>
      </c>
      <c r="H1168">
        <f>IF(AND(B1168=B1167,D1168=D1167,A1168=A1167,F1168=F1167),1,0)</f>
        <v/>
      </c>
      <c r="I1168">
        <f>IF(C1168="C99999",1,0)</f>
        <v/>
      </c>
      <c r="J1168" s="5">
        <f>IF(OR(H1168=1,I1168=1),0,IF(G1168="Credit",-F1168,F1168))</f>
        <v/>
      </c>
    </row>
    <row r="1169">
      <c r="A1169" t="inlineStr">
        <is>
          <t>2026-07-11</t>
        </is>
      </c>
      <c r="B1169" t="inlineStr">
        <is>
          <t>C900321</t>
        </is>
      </c>
      <c r="C1169" t="inlineStr">
        <is>
          <t>C11152</t>
        </is>
      </c>
      <c r="D1169" t="inlineStr">
        <is>
          <t>SKU-10271</t>
        </is>
      </c>
      <c r="E1169" t="inlineStr">
        <is>
          <t>AM06</t>
        </is>
      </c>
      <c r="F1169" s="5" t="n">
        <v>84.79000000000001</v>
      </c>
      <c r="G1169">
        <f>IF(LEFT(B1169,1)="C","Credit","Factuur")</f>
        <v/>
      </c>
      <c r="H1169">
        <f>IF(AND(B1169=B1168,D1169=D1168,A1169=A1168,F1169=F1168),1,0)</f>
        <v/>
      </c>
      <c r="I1169">
        <f>IF(C1169="C99999",1,0)</f>
        <v/>
      </c>
      <c r="J1169" s="5">
        <f>IF(OR(H1169=1,I1169=1),0,IF(G1169="Credit",-F1169,F1169))</f>
        <v/>
      </c>
    </row>
    <row r="1170">
      <c r="A1170" t="inlineStr">
        <is>
          <t>2026-07-11</t>
        </is>
      </c>
      <c r="B1170" t="inlineStr">
        <is>
          <t>C901180</t>
        </is>
      </c>
      <c r="C1170" t="inlineStr">
        <is>
          <t>C10475</t>
        </is>
      </c>
      <c r="D1170" t="inlineStr">
        <is>
          <t>SKU-10261</t>
        </is>
      </c>
      <c r="E1170" t="inlineStr">
        <is>
          <t>IS02</t>
        </is>
      </c>
      <c r="F1170" s="5" t="n">
        <v>47.52</v>
      </c>
      <c r="G1170">
        <f>IF(LEFT(B1170,1)="C","Credit","Factuur")</f>
        <v/>
      </c>
      <c r="H1170">
        <f>IF(AND(B1170=B1169,D1170=D1169,A1170=A1169,F1170=F1169),1,0)</f>
        <v/>
      </c>
      <c r="I1170">
        <f>IF(C1170="C99999",1,0)</f>
        <v/>
      </c>
      <c r="J1170" s="5">
        <f>IF(OR(H1170=1,I1170=1),0,IF(G1170="Credit",-F1170,F1170))</f>
        <v/>
      </c>
    </row>
    <row r="1171">
      <c r="A1171" t="inlineStr">
        <is>
          <t>2026-07-12</t>
        </is>
      </c>
      <c r="B1171" t="inlineStr">
        <is>
          <t>C900089</t>
        </is>
      </c>
      <c r="C1171" t="inlineStr">
        <is>
          <t>C10688</t>
        </is>
      </c>
      <c r="D1171" t="inlineStr">
        <is>
          <t>SKU-10248</t>
        </is>
      </c>
      <c r="E1171" t="inlineStr"/>
      <c r="F1171" s="5" t="n">
        <v>164.32</v>
      </c>
      <c r="G1171">
        <f>IF(LEFT(B1171,1)="C","Credit","Factuur")</f>
        <v/>
      </c>
      <c r="H1171">
        <f>IF(AND(B1171=B1170,D1171=D1170,A1171=A1170,F1171=F1170),1,0)</f>
        <v/>
      </c>
      <c r="I1171">
        <f>IF(C1171="C99999",1,0)</f>
        <v/>
      </c>
      <c r="J1171" s="5">
        <f>IF(OR(H1171=1,I1171=1),0,IF(G1171="Credit",-F1171,F1171))</f>
        <v/>
      </c>
    </row>
    <row r="1172">
      <c r="A1172" t="inlineStr">
        <is>
          <t>2026-07-12</t>
        </is>
      </c>
      <c r="B1172" t="inlineStr">
        <is>
          <t>C900134</t>
        </is>
      </c>
      <c r="C1172" t="inlineStr">
        <is>
          <t>C10293</t>
        </is>
      </c>
      <c r="D1172" t="inlineStr">
        <is>
          <t>SKU-10290</t>
        </is>
      </c>
      <c r="E1172" t="inlineStr"/>
      <c r="F1172" s="5" t="n">
        <v>276.8</v>
      </c>
      <c r="G1172">
        <f>IF(LEFT(B1172,1)="C","Credit","Factuur")</f>
        <v/>
      </c>
      <c r="H1172">
        <f>IF(AND(B1172=B1171,D1172=D1171,A1172=A1171,F1172=F1171),1,0)</f>
        <v/>
      </c>
      <c r="I1172">
        <f>IF(C1172="C99999",1,0)</f>
        <v/>
      </c>
      <c r="J1172" s="5">
        <f>IF(OR(H1172=1,I1172=1),0,IF(G1172="Credit",-F1172,F1172))</f>
        <v/>
      </c>
    </row>
    <row r="1173">
      <c r="A1173" t="inlineStr">
        <is>
          <t>2026-07-12</t>
        </is>
      </c>
      <c r="B1173" t="inlineStr">
        <is>
          <t>C900523</t>
        </is>
      </c>
      <c r="C1173" t="inlineStr">
        <is>
          <t>C10647</t>
        </is>
      </c>
      <c r="D1173" t="inlineStr">
        <is>
          <t>SKU-10288</t>
        </is>
      </c>
      <c r="E1173" t="inlineStr">
        <is>
          <t>AM07</t>
        </is>
      </c>
      <c r="F1173" s="5" t="n">
        <v>64.34</v>
      </c>
      <c r="G1173">
        <f>IF(LEFT(B1173,1)="C","Credit","Factuur")</f>
        <v/>
      </c>
      <c r="H1173">
        <f>IF(AND(B1173=B1172,D1173=D1172,A1173=A1172,F1173=F1172),1,0)</f>
        <v/>
      </c>
      <c r="I1173">
        <f>IF(C1173="C99999",1,0)</f>
        <v/>
      </c>
      <c r="J1173" s="5">
        <f>IF(OR(H1173=1,I1173=1),0,IF(G1173="Credit",-F1173,F1173))</f>
        <v/>
      </c>
    </row>
    <row r="1174">
      <c r="A1174" t="inlineStr">
        <is>
          <t>2026-07-12</t>
        </is>
      </c>
      <c r="B1174" t="inlineStr">
        <is>
          <t>C901072</t>
        </is>
      </c>
      <c r="C1174" t="inlineStr">
        <is>
          <t>C10109</t>
        </is>
      </c>
      <c r="D1174" t="inlineStr">
        <is>
          <t>SKU-10033</t>
        </is>
      </c>
      <c r="E1174" t="inlineStr">
        <is>
          <t>AM01</t>
        </is>
      </c>
      <c r="F1174" s="5" t="n">
        <v>700.05</v>
      </c>
      <c r="G1174">
        <f>IF(LEFT(B1174,1)="C","Credit","Factuur")</f>
        <v/>
      </c>
      <c r="H1174">
        <f>IF(AND(B1174=B1173,D1174=D1173,A1174=A1173,F1174=F1173),1,0)</f>
        <v/>
      </c>
      <c r="I1174">
        <f>IF(C1174="C99999",1,0)</f>
        <v/>
      </c>
      <c r="J1174" s="5">
        <f>IF(OR(H1174=1,I1174=1),0,IF(G1174="Credit",-F1174,F1174))</f>
        <v/>
      </c>
    </row>
    <row r="1175">
      <c r="A1175" t="inlineStr">
        <is>
          <t>2026-07-12</t>
        </is>
      </c>
      <c r="B1175" t="inlineStr">
        <is>
          <t>C901442</t>
        </is>
      </c>
      <c r="C1175" t="inlineStr">
        <is>
          <t>C10109</t>
        </is>
      </c>
      <c r="D1175" t="inlineStr">
        <is>
          <t>SKU-10044</t>
        </is>
      </c>
      <c r="E1175" t="inlineStr">
        <is>
          <t>AM01</t>
        </is>
      </c>
      <c r="F1175" s="5" t="n">
        <v>687.12</v>
      </c>
      <c r="G1175">
        <f>IF(LEFT(B1175,1)="C","Credit","Factuur")</f>
        <v/>
      </c>
      <c r="H1175">
        <f>IF(AND(B1175=B1174,D1175=D1174,A1175=A1174,F1175=F1174),1,0)</f>
        <v/>
      </c>
      <c r="I1175">
        <f>IF(C1175="C99999",1,0)</f>
        <v/>
      </c>
      <c r="J1175" s="5">
        <f>IF(OR(H1175=1,I1175=1),0,IF(G1175="Credit",-F1175,F1175))</f>
        <v/>
      </c>
    </row>
    <row r="1176">
      <c r="A1176" t="inlineStr">
        <is>
          <t>2026-07-12</t>
        </is>
      </c>
      <c r="B1176" t="inlineStr">
        <is>
          <t>C901484</t>
        </is>
      </c>
      <c r="C1176" t="inlineStr">
        <is>
          <t>C10326</t>
        </is>
      </c>
      <c r="D1176" t="inlineStr">
        <is>
          <t>SKU-10180</t>
        </is>
      </c>
      <c r="E1176" t="inlineStr">
        <is>
          <t>AM05</t>
        </is>
      </c>
      <c r="F1176" s="5" t="n">
        <v>221.8</v>
      </c>
      <c r="G1176">
        <f>IF(LEFT(B1176,1)="C","Credit","Factuur")</f>
        <v/>
      </c>
      <c r="H1176">
        <f>IF(AND(B1176=B1175,D1176=D1175,A1176=A1175,F1176=F1175),1,0)</f>
        <v/>
      </c>
      <c r="I1176">
        <f>IF(C1176="C99999",1,0)</f>
        <v/>
      </c>
      <c r="J1176" s="5">
        <f>IF(OR(H1176=1,I1176=1),0,IF(G1176="Credit",-F1176,F1176))</f>
        <v/>
      </c>
    </row>
    <row r="1177">
      <c r="A1177" t="inlineStr">
        <is>
          <t>2026-07-12</t>
        </is>
      </c>
      <c r="B1177" t="inlineStr">
        <is>
          <t>C901764</t>
        </is>
      </c>
      <c r="C1177" t="inlineStr">
        <is>
          <t>C10202</t>
        </is>
      </c>
      <c r="D1177" t="inlineStr">
        <is>
          <t>SKU-10144</t>
        </is>
      </c>
      <c r="E1177" t="inlineStr">
        <is>
          <t>AM12</t>
        </is>
      </c>
      <c r="F1177" s="5" t="n">
        <v>355.26</v>
      </c>
      <c r="G1177">
        <f>IF(LEFT(B1177,1)="C","Credit","Factuur")</f>
        <v/>
      </c>
      <c r="H1177">
        <f>IF(AND(B1177=B1176,D1177=D1176,A1177=A1176,F1177=F1176),1,0)</f>
        <v/>
      </c>
      <c r="I1177">
        <f>IF(C1177="C99999",1,0)</f>
        <v/>
      </c>
      <c r="J1177" s="5">
        <f>IF(OR(H1177=1,I1177=1),0,IF(G1177="Credit",-F1177,F1177))</f>
        <v/>
      </c>
    </row>
    <row r="1178">
      <c r="A1178" t="inlineStr">
        <is>
          <t>2026-07-12</t>
        </is>
      </c>
      <c r="B1178" t="inlineStr">
        <is>
          <t>C901906</t>
        </is>
      </c>
      <c r="C1178" t="inlineStr">
        <is>
          <t>C11209</t>
        </is>
      </c>
      <c r="D1178" t="inlineStr">
        <is>
          <t>SKU-10324</t>
        </is>
      </c>
      <c r="E1178" t="inlineStr">
        <is>
          <t>AM08</t>
        </is>
      </c>
      <c r="F1178" s="5" t="n">
        <v>206.34</v>
      </c>
      <c r="G1178">
        <f>IF(LEFT(B1178,1)="C","Credit","Factuur")</f>
        <v/>
      </c>
      <c r="H1178">
        <f>IF(AND(B1178=B1177,D1178=D1177,A1178=A1177,F1178=F1177),1,0)</f>
        <v/>
      </c>
      <c r="I1178">
        <f>IF(C1178="C99999",1,0)</f>
        <v/>
      </c>
      <c r="J1178" s="5">
        <f>IF(OR(H1178=1,I1178=1),0,IF(G1178="Credit",-F1178,F1178))</f>
        <v/>
      </c>
    </row>
    <row r="1179">
      <c r="A1179" t="inlineStr">
        <is>
          <t>2026-07-12</t>
        </is>
      </c>
      <c r="B1179" t="inlineStr">
        <is>
          <t>C901956</t>
        </is>
      </c>
      <c r="C1179" t="inlineStr">
        <is>
          <t>C10851</t>
        </is>
      </c>
      <c r="D1179" t="inlineStr">
        <is>
          <t>SKU-10284</t>
        </is>
      </c>
      <c r="E1179" t="inlineStr">
        <is>
          <t>AM02</t>
        </is>
      </c>
      <c r="F1179" s="5" t="n">
        <v>339.75</v>
      </c>
      <c r="G1179">
        <f>IF(LEFT(B1179,1)="C","Credit","Factuur")</f>
        <v/>
      </c>
      <c r="H1179">
        <f>IF(AND(B1179=B1178,D1179=D1178,A1179=A1178,F1179=F1178),1,0)</f>
        <v/>
      </c>
      <c r="I1179">
        <f>IF(C1179="C99999",1,0)</f>
        <v/>
      </c>
      <c r="J1179" s="5">
        <f>IF(OR(H1179=1,I1179=1),0,IF(G1179="Credit",-F1179,F1179))</f>
        <v/>
      </c>
    </row>
    <row r="1180">
      <c r="A1180" t="inlineStr">
        <is>
          <t>2026-07-13</t>
        </is>
      </c>
      <c r="B1180" t="inlineStr">
        <is>
          <t>C900302</t>
        </is>
      </c>
      <c r="C1180" t="inlineStr">
        <is>
          <t>C10799</t>
        </is>
      </c>
      <c r="D1180" t="inlineStr">
        <is>
          <t>SKU-10039</t>
        </is>
      </c>
      <c r="E1180" t="inlineStr">
        <is>
          <t>AM07</t>
        </is>
      </c>
      <c r="F1180" s="5" t="n">
        <v>194.58</v>
      </c>
      <c r="G1180">
        <f>IF(LEFT(B1180,1)="C","Credit","Factuur")</f>
        <v/>
      </c>
      <c r="H1180">
        <f>IF(AND(B1180=B1179,D1180=D1179,A1180=A1179,F1180=F1179),1,0)</f>
        <v/>
      </c>
      <c r="I1180">
        <f>IF(C1180="C99999",1,0)</f>
        <v/>
      </c>
      <c r="J1180" s="5">
        <f>IF(OR(H1180=1,I1180=1),0,IF(G1180="Credit",-F1180,F1180))</f>
        <v/>
      </c>
    </row>
    <row r="1181">
      <c r="A1181" t="inlineStr">
        <is>
          <t>2026-07-13</t>
        </is>
      </c>
      <c r="B1181" t="inlineStr">
        <is>
          <t>C900513</t>
        </is>
      </c>
      <c r="C1181" t="inlineStr">
        <is>
          <t>C10031</t>
        </is>
      </c>
      <c r="D1181" t="inlineStr">
        <is>
          <t>SKU-10070</t>
        </is>
      </c>
      <c r="E1181" t="inlineStr">
        <is>
          <t>AM07</t>
        </is>
      </c>
      <c r="F1181" s="5" t="n">
        <v>296.69</v>
      </c>
      <c r="G1181">
        <f>IF(LEFT(B1181,1)="C","Credit","Factuur")</f>
        <v/>
      </c>
      <c r="H1181">
        <f>IF(AND(B1181=B1180,D1181=D1180,A1181=A1180,F1181=F1180),1,0)</f>
        <v/>
      </c>
      <c r="I1181">
        <f>IF(C1181="C99999",1,0)</f>
        <v/>
      </c>
      <c r="J1181" s="5">
        <f>IF(OR(H1181=1,I1181=1),0,IF(G1181="Credit",-F1181,F1181))</f>
        <v/>
      </c>
    </row>
    <row r="1182">
      <c r="A1182" t="inlineStr">
        <is>
          <t>2026-07-13</t>
        </is>
      </c>
      <c r="B1182" t="inlineStr">
        <is>
          <t>C900682</t>
        </is>
      </c>
      <c r="C1182" t="inlineStr">
        <is>
          <t>C10395</t>
        </is>
      </c>
      <c r="D1182" t="inlineStr">
        <is>
          <t>SKU-10131</t>
        </is>
      </c>
      <c r="E1182" t="inlineStr">
        <is>
          <t>AM07</t>
        </is>
      </c>
      <c r="F1182" s="5" t="n">
        <v>221.44</v>
      </c>
      <c r="G1182">
        <f>IF(LEFT(B1182,1)="C","Credit","Factuur")</f>
        <v/>
      </c>
      <c r="H1182">
        <f>IF(AND(B1182=B1181,D1182=D1181,A1182=A1181,F1182=F1181),1,0)</f>
        <v/>
      </c>
      <c r="I1182">
        <f>IF(C1182="C99999",1,0)</f>
        <v/>
      </c>
      <c r="J1182" s="5">
        <f>IF(OR(H1182=1,I1182=1),0,IF(G1182="Credit",-F1182,F1182))</f>
        <v/>
      </c>
    </row>
    <row r="1183">
      <c r="A1183" t="inlineStr">
        <is>
          <t>2026-07-13</t>
        </is>
      </c>
      <c r="B1183" t="inlineStr">
        <is>
          <t>C901617</t>
        </is>
      </c>
      <c r="C1183" t="inlineStr">
        <is>
          <t>C11185</t>
        </is>
      </c>
      <c r="D1183" t="inlineStr">
        <is>
          <t>SKU-10138</t>
        </is>
      </c>
      <c r="E1183" t="inlineStr">
        <is>
          <t>AM08</t>
        </is>
      </c>
      <c r="F1183" s="5" t="n">
        <v>290.59</v>
      </c>
      <c r="G1183">
        <f>IF(LEFT(B1183,1)="C","Credit","Factuur")</f>
        <v/>
      </c>
      <c r="H1183">
        <f>IF(AND(B1183=B1182,D1183=D1182,A1183=A1182,F1183=F1182),1,0)</f>
        <v/>
      </c>
      <c r="I1183">
        <f>IF(C1183="C99999",1,0)</f>
        <v/>
      </c>
      <c r="J1183" s="5">
        <f>IF(OR(H1183=1,I1183=1),0,IF(G1183="Credit",-F1183,F1183))</f>
        <v/>
      </c>
    </row>
    <row r="1184">
      <c r="A1184" t="inlineStr">
        <is>
          <t>2026-07-13</t>
        </is>
      </c>
      <c r="B1184" t="inlineStr">
        <is>
          <t>F262954</t>
        </is>
      </c>
      <c r="C1184" t="inlineStr">
        <is>
          <t>C10159</t>
        </is>
      </c>
      <c r="D1184" t="inlineStr">
        <is>
          <t>SKU-10179</t>
        </is>
      </c>
      <c r="E1184" t="inlineStr">
        <is>
          <t>AM11</t>
        </is>
      </c>
      <c r="F1184" s="5" t="n">
        <v>2886.08</v>
      </c>
      <c r="G1184">
        <f>IF(LEFT(B1184,1)="C","Credit","Factuur")</f>
        <v/>
      </c>
      <c r="H1184">
        <f>IF(AND(B1184=B1183,D1184=D1183,A1184=A1183,F1184=F1183),1,0)</f>
        <v/>
      </c>
      <c r="I1184">
        <f>IF(C1184="C99999",1,0)</f>
        <v/>
      </c>
      <c r="J1184" s="5">
        <f>IF(OR(H1184=1,I1184=1),0,IF(G1184="Credit",-F1184,F1184))</f>
        <v/>
      </c>
    </row>
    <row r="1185">
      <c r="A1185" t="inlineStr">
        <is>
          <t>2026-07-13</t>
        </is>
      </c>
      <c r="B1185" t="inlineStr">
        <is>
          <t>F262954</t>
        </is>
      </c>
      <c r="C1185" t="inlineStr">
        <is>
          <t>C10159</t>
        </is>
      </c>
      <c r="D1185" t="inlineStr">
        <is>
          <t>SKU-10270</t>
        </is>
      </c>
      <c r="E1185" t="inlineStr">
        <is>
          <t>AM11</t>
        </is>
      </c>
      <c r="F1185" s="5" t="n">
        <v>2878.12</v>
      </c>
      <c r="G1185">
        <f>IF(LEFT(B1185,1)="C","Credit","Factuur")</f>
        <v/>
      </c>
      <c r="H1185">
        <f>IF(AND(B1185=B1184,D1185=D1184,A1185=A1184,F1185=F1184),1,0)</f>
        <v/>
      </c>
      <c r="I1185">
        <f>IF(C1185="C99999",1,0)</f>
        <v/>
      </c>
      <c r="J1185" s="5">
        <f>IF(OR(H1185=1,I1185=1),0,IF(G1185="Credit",-F1185,F1185))</f>
        <v/>
      </c>
    </row>
    <row r="1186">
      <c r="A1186" t="inlineStr">
        <is>
          <t>2026-07-13</t>
        </is>
      </c>
      <c r="B1186" t="inlineStr">
        <is>
          <t>F263537</t>
        </is>
      </c>
      <c r="C1186" t="inlineStr">
        <is>
          <t>C10190</t>
        </is>
      </c>
      <c r="D1186" t="inlineStr">
        <is>
          <t>SKU-10046</t>
        </is>
      </c>
      <c r="E1186" t="inlineStr">
        <is>
          <t>AM03</t>
        </is>
      </c>
      <c r="F1186" s="5" t="n">
        <v>497.07</v>
      </c>
      <c r="G1186">
        <f>IF(LEFT(B1186,1)="C","Credit","Factuur")</f>
        <v/>
      </c>
      <c r="H1186">
        <f>IF(AND(B1186=B1185,D1186=D1185,A1186=A1185,F1186=F1185),1,0)</f>
        <v/>
      </c>
      <c r="I1186">
        <f>IF(C1186="C99999",1,0)</f>
        <v/>
      </c>
      <c r="J1186" s="5">
        <f>IF(OR(H1186=1,I1186=1),0,IF(G1186="Credit",-F1186,F1186))</f>
        <v/>
      </c>
    </row>
    <row r="1187">
      <c r="A1187" t="inlineStr">
        <is>
          <t>2026-07-13</t>
        </is>
      </c>
      <c r="B1187" t="inlineStr">
        <is>
          <t>F263537</t>
        </is>
      </c>
      <c r="C1187" t="inlineStr">
        <is>
          <t>C10190</t>
        </is>
      </c>
      <c r="D1187" t="inlineStr">
        <is>
          <t>SKU-10100</t>
        </is>
      </c>
      <c r="E1187" t="inlineStr">
        <is>
          <t>AM03</t>
        </is>
      </c>
      <c r="F1187" s="5" t="n">
        <v>490.62</v>
      </c>
      <c r="G1187">
        <f>IF(LEFT(B1187,1)="C","Credit","Factuur")</f>
        <v/>
      </c>
      <c r="H1187">
        <f>IF(AND(B1187=B1186,D1187=D1186,A1187=A1186,F1187=F1186),1,0)</f>
        <v/>
      </c>
      <c r="I1187">
        <f>IF(C1187="C99999",1,0)</f>
        <v/>
      </c>
      <c r="J1187" s="5">
        <f>IF(OR(H1187=1,I1187=1),0,IF(G1187="Credit",-F1187,F1187))</f>
        <v/>
      </c>
    </row>
    <row r="1188">
      <c r="A1188" t="inlineStr">
        <is>
          <t>2026-07-13</t>
        </is>
      </c>
      <c r="B1188" t="inlineStr">
        <is>
          <t>F263537</t>
        </is>
      </c>
      <c r="C1188" t="inlineStr">
        <is>
          <t>C10190</t>
        </is>
      </c>
      <c r="D1188" t="inlineStr">
        <is>
          <t>SKU-10157</t>
        </is>
      </c>
      <c r="E1188" t="inlineStr">
        <is>
          <t>AM03</t>
        </is>
      </c>
      <c r="F1188" s="5" t="n">
        <v>492.3</v>
      </c>
      <c r="G1188">
        <f>IF(LEFT(B1188,1)="C","Credit","Factuur")</f>
        <v/>
      </c>
      <c r="H1188">
        <f>IF(AND(B1188=B1187,D1188=D1187,A1188=A1187,F1188=F1187),1,0)</f>
        <v/>
      </c>
      <c r="I1188">
        <f>IF(C1188="C99999",1,0)</f>
        <v/>
      </c>
      <c r="J1188" s="5">
        <f>IF(OR(H1188=1,I1188=1),0,IF(G1188="Credit",-F1188,F1188))</f>
        <v/>
      </c>
    </row>
    <row r="1189">
      <c r="A1189" t="inlineStr">
        <is>
          <t>2026-07-13</t>
        </is>
      </c>
      <c r="B1189" t="inlineStr">
        <is>
          <t>F263567</t>
        </is>
      </c>
      <c r="C1189" t="inlineStr">
        <is>
          <t>C10192</t>
        </is>
      </c>
      <c r="D1189" t="inlineStr">
        <is>
          <t>SKU-10064</t>
        </is>
      </c>
      <c r="E1189" t="inlineStr">
        <is>
          <t>AM12</t>
        </is>
      </c>
      <c r="F1189" s="5" t="n">
        <v>1964</v>
      </c>
      <c r="G1189">
        <f>IF(LEFT(B1189,1)="C","Credit","Factuur")</f>
        <v/>
      </c>
      <c r="H1189">
        <f>IF(AND(B1189=B1188,D1189=D1188,A1189=A1188,F1189=F1188),1,0)</f>
        <v/>
      </c>
      <c r="I1189">
        <f>IF(C1189="C99999",1,0)</f>
        <v/>
      </c>
      <c r="J1189" s="5">
        <f>IF(OR(H1189=1,I1189=1),0,IF(G1189="Credit",-F1189,F1189))</f>
        <v/>
      </c>
    </row>
    <row r="1190">
      <c r="A1190" t="inlineStr">
        <is>
          <t>2026-07-13</t>
        </is>
      </c>
      <c r="B1190" t="inlineStr">
        <is>
          <t>F264592</t>
        </is>
      </c>
      <c r="C1190" t="inlineStr">
        <is>
          <t>C10239</t>
        </is>
      </c>
      <c r="D1190" t="inlineStr">
        <is>
          <t>SKU-10262</t>
        </is>
      </c>
      <c r="E1190" t="inlineStr">
        <is>
          <t>AM02</t>
        </is>
      </c>
      <c r="F1190" s="5" t="n">
        <v>339.96</v>
      </c>
      <c r="G1190">
        <f>IF(LEFT(B1190,1)="C","Credit","Factuur")</f>
        <v/>
      </c>
      <c r="H1190">
        <f>IF(AND(B1190=B1189,D1190=D1189,A1190=A1189,F1190=F1189),1,0)</f>
        <v/>
      </c>
      <c r="I1190">
        <f>IF(C1190="C99999",1,0)</f>
        <v/>
      </c>
      <c r="J1190" s="5">
        <f>IF(OR(H1190=1,I1190=1),0,IF(G1190="Credit",-F1190,F1190))</f>
        <v/>
      </c>
    </row>
    <row r="1191">
      <c r="A1191" t="inlineStr">
        <is>
          <t>2026-07-13</t>
        </is>
      </c>
      <c r="B1191" t="inlineStr">
        <is>
          <t>F265566</t>
        </is>
      </c>
      <c r="C1191" t="inlineStr">
        <is>
          <t>C10292</t>
        </is>
      </c>
      <c r="D1191" t="inlineStr">
        <is>
          <t>SKU-10130</t>
        </is>
      </c>
      <c r="E1191" t="inlineStr">
        <is>
          <t>AM05</t>
        </is>
      </c>
      <c r="F1191" s="5" t="n">
        <v>176.68</v>
      </c>
      <c r="G1191">
        <f>IF(LEFT(B1191,1)="C","Credit","Factuur")</f>
        <v/>
      </c>
      <c r="H1191">
        <f>IF(AND(B1191=B1190,D1191=D1190,A1191=A1190,F1191=F1190),1,0)</f>
        <v/>
      </c>
      <c r="I1191">
        <f>IF(C1191="C99999",1,0)</f>
        <v/>
      </c>
      <c r="J1191" s="5">
        <f>IF(OR(H1191=1,I1191=1),0,IF(G1191="Credit",-F1191,F1191))</f>
        <v/>
      </c>
    </row>
    <row r="1192">
      <c r="A1192" t="inlineStr">
        <is>
          <t>2026-07-13</t>
        </is>
      </c>
      <c r="B1192" t="inlineStr">
        <is>
          <t>F265566</t>
        </is>
      </c>
      <c r="C1192" t="inlineStr">
        <is>
          <t>C10292</t>
        </is>
      </c>
      <c r="D1192" t="inlineStr">
        <is>
          <t>SKU-10250</t>
        </is>
      </c>
      <c r="E1192" t="inlineStr">
        <is>
          <t>AM05</t>
        </is>
      </c>
      <c r="F1192" s="5" t="n">
        <v>191.52</v>
      </c>
      <c r="G1192">
        <f>IF(LEFT(B1192,1)="C","Credit","Factuur")</f>
        <v/>
      </c>
      <c r="H1192">
        <f>IF(AND(B1192=B1191,D1192=D1191,A1192=A1191,F1192=F1191),1,0)</f>
        <v/>
      </c>
      <c r="I1192">
        <f>IF(C1192="C99999",1,0)</f>
        <v/>
      </c>
      <c r="J1192" s="5">
        <f>IF(OR(H1192=1,I1192=1),0,IF(G1192="Credit",-F1192,F1192))</f>
        <v/>
      </c>
    </row>
    <row r="1193">
      <c r="A1193" t="inlineStr">
        <is>
          <t>2026-07-13</t>
        </is>
      </c>
      <c r="B1193" t="inlineStr">
        <is>
          <t>F265566</t>
        </is>
      </c>
      <c r="C1193" t="inlineStr">
        <is>
          <t>C10292</t>
        </is>
      </c>
      <c r="D1193" t="inlineStr">
        <is>
          <t>SKU-10328</t>
        </is>
      </c>
      <c r="E1193" t="inlineStr">
        <is>
          <t>AM05</t>
        </is>
      </c>
      <c r="F1193" s="5" t="n">
        <v>187.44</v>
      </c>
      <c r="G1193">
        <f>IF(LEFT(B1193,1)="C","Credit","Factuur")</f>
        <v/>
      </c>
      <c r="H1193">
        <f>IF(AND(B1193=B1192,D1193=D1192,A1193=A1192,F1193=F1192),1,0)</f>
        <v/>
      </c>
      <c r="I1193">
        <f>IF(C1193="C99999",1,0)</f>
        <v/>
      </c>
      <c r="J1193" s="5">
        <f>IF(OR(H1193=1,I1193=1),0,IF(G1193="Credit",-F1193,F1193))</f>
        <v/>
      </c>
    </row>
    <row r="1194">
      <c r="A1194" t="inlineStr">
        <is>
          <t>2026-07-13</t>
        </is>
      </c>
      <c r="B1194" t="inlineStr">
        <is>
          <t>F265566</t>
        </is>
      </c>
      <c r="C1194" t="inlineStr">
        <is>
          <t>C10292</t>
        </is>
      </c>
      <c r="D1194" t="inlineStr">
        <is>
          <t>SKU-10336</t>
        </is>
      </c>
      <c r="E1194" t="inlineStr">
        <is>
          <t>AM05</t>
        </is>
      </c>
      <c r="F1194" s="5" t="n">
        <v>172.83</v>
      </c>
      <c r="G1194">
        <f>IF(LEFT(B1194,1)="C","Credit","Factuur")</f>
        <v/>
      </c>
      <c r="H1194">
        <f>IF(AND(B1194=B1193,D1194=D1193,A1194=A1193,F1194=F1193),1,0)</f>
        <v/>
      </c>
      <c r="I1194">
        <f>IF(C1194="C99999",1,0)</f>
        <v/>
      </c>
      <c r="J1194" s="5">
        <f>IF(OR(H1194=1,I1194=1),0,IF(G1194="Credit",-F1194,F1194))</f>
        <v/>
      </c>
    </row>
    <row r="1195">
      <c r="A1195" t="inlineStr">
        <is>
          <t>2026-07-13</t>
        </is>
      </c>
      <c r="B1195" t="inlineStr">
        <is>
          <t>F268521</t>
        </is>
      </c>
      <c r="C1195" t="inlineStr">
        <is>
          <t>C10447</t>
        </is>
      </c>
      <c r="D1195" t="inlineStr">
        <is>
          <t>SKU-10002</t>
        </is>
      </c>
      <c r="E1195" t="inlineStr">
        <is>
          <t>AM08</t>
        </is>
      </c>
      <c r="F1195" s="5" t="n">
        <v>229.48</v>
      </c>
      <c r="G1195">
        <f>IF(LEFT(B1195,1)="C","Credit","Factuur")</f>
        <v/>
      </c>
      <c r="H1195">
        <f>IF(AND(B1195=B1194,D1195=D1194,A1195=A1194,F1195=F1194),1,0)</f>
        <v/>
      </c>
      <c r="I1195">
        <f>IF(C1195="C99999",1,0)</f>
        <v/>
      </c>
      <c r="J1195" s="5">
        <f>IF(OR(H1195=1,I1195=1),0,IF(G1195="Credit",-F1195,F1195))</f>
        <v/>
      </c>
    </row>
    <row r="1196">
      <c r="A1196" t="inlineStr">
        <is>
          <t>2026-07-13</t>
        </is>
      </c>
      <c r="B1196" t="inlineStr">
        <is>
          <t>F268521</t>
        </is>
      </c>
      <c r="C1196" t="inlineStr">
        <is>
          <t>C10447</t>
        </is>
      </c>
      <c r="D1196" t="inlineStr">
        <is>
          <t>SKU-10091</t>
        </is>
      </c>
      <c r="E1196" t="inlineStr">
        <is>
          <t>AM08</t>
        </is>
      </c>
      <c r="F1196" s="5" t="n">
        <v>234.86</v>
      </c>
      <c r="G1196">
        <f>IF(LEFT(B1196,1)="C","Credit","Factuur")</f>
        <v/>
      </c>
      <c r="H1196">
        <f>IF(AND(B1196=B1195,D1196=D1195,A1196=A1195,F1196=F1195),1,0)</f>
        <v/>
      </c>
      <c r="I1196">
        <f>IF(C1196="C99999",1,0)</f>
        <v/>
      </c>
      <c r="J1196" s="5">
        <f>IF(OR(H1196=1,I1196=1),0,IF(G1196="Credit",-F1196,F1196))</f>
        <v/>
      </c>
    </row>
    <row r="1197">
      <c r="A1197" t="inlineStr">
        <is>
          <t>2026-07-13</t>
        </is>
      </c>
      <c r="B1197" t="inlineStr">
        <is>
          <t>F268521</t>
        </is>
      </c>
      <c r="C1197" t="inlineStr">
        <is>
          <t>C10447</t>
        </is>
      </c>
      <c r="D1197" t="inlineStr">
        <is>
          <t>SKU-10149</t>
        </is>
      </c>
      <c r="E1197" t="inlineStr">
        <is>
          <t>AM08</t>
        </is>
      </c>
      <c r="F1197" s="5" t="n">
        <v>206.85</v>
      </c>
      <c r="G1197">
        <f>IF(LEFT(B1197,1)="C","Credit","Factuur")</f>
        <v/>
      </c>
      <c r="H1197">
        <f>IF(AND(B1197=B1196,D1197=D1196,A1197=A1196,F1197=F1196),1,0)</f>
        <v/>
      </c>
      <c r="I1197">
        <f>IF(C1197="C99999",1,0)</f>
        <v/>
      </c>
      <c r="J1197" s="5">
        <f>IF(OR(H1197=1,I1197=1),0,IF(G1197="Credit",-F1197,F1197))</f>
        <v/>
      </c>
    </row>
    <row r="1198">
      <c r="A1198" t="inlineStr">
        <is>
          <t>2026-07-13</t>
        </is>
      </c>
      <c r="B1198" t="inlineStr">
        <is>
          <t>F268521</t>
        </is>
      </c>
      <c r="C1198" t="inlineStr">
        <is>
          <t>C10447</t>
        </is>
      </c>
      <c r="D1198" t="inlineStr">
        <is>
          <t>SKU-10185</t>
        </is>
      </c>
      <c r="E1198" t="inlineStr">
        <is>
          <t>AM08</t>
        </is>
      </c>
      <c r="F1198" s="5" t="n">
        <v>223.02</v>
      </c>
      <c r="G1198">
        <f>IF(LEFT(B1198,1)="C","Credit","Factuur")</f>
        <v/>
      </c>
      <c r="H1198">
        <f>IF(AND(B1198=B1197,D1198=D1197,A1198=A1197,F1198=F1197),1,0)</f>
        <v/>
      </c>
      <c r="I1198">
        <f>IF(C1198="C99999",1,0)</f>
        <v/>
      </c>
      <c r="J1198" s="5">
        <f>IF(OR(H1198=1,I1198=1),0,IF(G1198="Credit",-F1198,F1198))</f>
        <v/>
      </c>
    </row>
    <row r="1199">
      <c r="A1199" t="inlineStr">
        <is>
          <t>2026-07-13</t>
        </is>
      </c>
      <c r="B1199" t="inlineStr">
        <is>
          <t>F268724</t>
        </is>
      </c>
      <c r="C1199" t="inlineStr">
        <is>
          <t>C10456</t>
        </is>
      </c>
      <c r="D1199" t="inlineStr">
        <is>
          <t>SKU-10274</t>
        </is>
      </c>
      <c r="E1199" t="inlineStr">
        <is>
          <t>AM07</t>
        </is>
      </c>
      <c r="F1199" s="5" t="n">
        <v>205.36</v>
      </c>
      <c r="G1199">
        <f>IF(LEFT(B1199,1)="C","Credit","Factuur")</f>
        <v/>
      </c>
      <c r="H1199">
        <f>IF(AND(B1199=B1198,D1199=D1198,A1199=A1198,F1199=F1198),1,0)</f>
        <v/>
      </c>
      <c r="I1199">
        <f>IF(C1199="C99999",1,0)</f>
        <v/>
      </c>
      <c r="J1199" s="5">
        <f>IF(OR(H1199=1,I1199=1),0,IF(G1199="Credit",-F1199,F1199))</f>
        <v/>
      </c>
    </row>
    <row r="1200">
      <c r="A1200" t="inlineStr">
        <is>
          <t>2026-07-13</t>
        </is>
      </c>
      <c r="B1200" t="inlineStr">
        <is>
          <t>F268724</t>
        </is>
      </c>
      <c r="C1200" t="inlineStr">
        <is>
          <t>C10456</t>
        </is>
      </c>
      <c r="D1200" t="inlineStr">
        <is>
          <t>SKU-10294</t>
        </is>
      </c>
      <c r="E1200" t="inlineStr">
        <is>
          <t>AM07</t>
        </is>
      </c>
      <c r="F1200" s="5" t="n">
        <v>210.16</v>
      </c>
      <c r="G1200">
        <f>IF(LEFT(B1200,1)="C","Credit","Factuur")</f>
        <v/>
      </c>
      <c r="H1200">
        <f>IF(AND(B1200=B1199,D1200=D1199,A1200=A1199,F1200=F1199),1,0)</f>
        <v/>
      </c>
      <c r="I1200">
        <f>IF(C1200="C99999",1,0)</f>
        <v/>
      </c>
      <c r="J1200" s="5">
        <f>IF(OR(H1200=1,I1200=1),0,IF(G1200="Credit",-F1200,F1200))</f>
        <v/>
      </c>
    </row>
    <row r="1201">
      <c r="A1201" t="inlineStr">
        <is>
          <t>2026-07-13</t>
        </is>
      </c>
      <c r="B1201" t="inlineStr">
        <is>
          <t>F268724</t>
        </is>
      </c>
      <c r="C1201" t="inlineStr">
        <is>
          <t>C10456</t>
        </is>
      </c>
      <c r="D1201" t="inlineStr">
        <is>
          <t>SKU-10319</t>
        </is>
      </c>
      <c r="E1201" t="inlineStr">
        <is>
          <t>AM07</t>
        </is>
      </c>
      <c r="F1201" s="5" t="n">
        <v>178.27</v>
      </c>
      <c r="G1201">
        <f>IF(LEFT(B1201,1)="C","Credit","Factuur")</f>
        <v/>
      </c>
      <c r="H1201">
        <f>IF(AND(B1201=B1200,D1201=D1200,A1201=A1200,F1201=F1200),1,0)</f>
        <v/>
      </c>
      <c r="I1201">
        <f>IF(C1201="C99999",1,0)</f>
        <v/>
      </c>
      <c r="J1201" s="5">
        <f>IF(OR(H1201=1,I1201=1),0,IF(G1201="Credit",-F1201,F1201))</f>
        <v/>
      </c>
    </row>
    <row r="1202">
      <c r="A1202" t="inlineStr">
        <is>
          <t>2026-07-13</t>
        </is>
      </c>
      <c r="B1202" t="inlineStr">
        <is>
          <t>F269377</t>
        </is>
      </c>
      <c r="C1202" t="inlineStr">
        <is>
          <t>C10492</t>
        </is>
      </c>
      <c r="D1202" t="inlineStr">
        <is>
          <t>SKU-10059</t>
        </is>
      </c>
      <c r="E1202" t="inlineStr"/>
      <c r="F1202" s="5" t="n">
        <v>252.76</v>
      </c>
      <c r="G1202">
        <f>IF(LEFT(B1202,1)="C","Credit","Factuur")</f>
        <v/>
      </c>
      <c r="H1202">
        <f>IF(AND(B1202=B1201,D1202=D1201,A1202=A1201,F1202=F1201),1,0)</f>
        <v/>
      </c>
      <c r="I1202">
        <f>IF(C1202="C99999",1,0)</f>
        <v/>
      </c>
      <c r="J1202" s="5">
        <f>IF(OR(H1202=1,I1202=1),0,IF(G1202="Credit",-F1202,F1202))</f>
        <v/>
      </c>
    </row>
    <row r="1203">
      <c r="A1203" t="inlineStr">
        <is>
          <t>2026-07-13</t>
        </is>
      </c>
      <c r="B1203" t="inlineStr">
        <is>
          <t>F269377</t>
        </is>
      </c>
      <c r="C1203" t="inlineStr">
        <is>
          <t>C10492</t>
        </is>
      </c>
      <c r="D1203" t="inlineStr">
        <is>
          <t>SKU-10061</t>
        </is>
      </c>
      <c r="E1203" t="inlineStr">
        <is>
          <t>AM08</t>
        </is>
      </c>
      <c r="F1203" s="5" t="n">
        <v>287.28</v>
      </c>
      <c r="G1203">
        <f>IF(LEFT(B1203,1)="C","Credit","Factuur")</f>
        <v/>
      </c>
      <c r="H1203">
        <f>IF(AND(B1203=B1202,D1203=D1202,A1203=A1202,F1203=F1202),1,0)</f>
        <v/>
      </c>
      <c r="I1203">
        <f>IF(C1203="C99999",1,0)</f>
        <v/>
      </c>
      <c r="J1203" s="5">
        <f>IF(OR(H1203=1,I1203=1),0,IF(G1203="Credit",-F1203,F1203))</f>
        <v/>
      </c>
    </row>
    <row r="1204">
      <c r="A1204" t="inlineStr">
        <is>
          <t>2026-07-13</t>
        </is>
      </c>
      <c r="B1204" t="inlineStr">
        <is>
          <t>F269377</t>
        </is>
      </c>
      <c r="C1204" t="inlineStr">
        <is>
          <t>C10492</t>
        </is>
      </c>
      <c r="D1204" t="inlineStr">
        <is>
          <t>SKU-10304</t>
        </is>
      </c>
      <c r="E1204" t="inlineStr">
        <is>
          <t>AM08</t>
        </is>
      </c>
      <c r="F1204" s="5" t="n">
        <v>290.32</v>
      </c>
      <c r="G1204">
        <f>IF(LEFT(B1204,1)="C","Credit","Factuur")</f>
        <v/>
      </c>
      <c r="H1204">
        <f>IF(AND(B1204=B1203,D1204=D1203,A1204=A1203,F1204=F1203),1,0)</f>
        <v/>
      </c>
      <c r="I1204">
        <f>IF(C1204="C99999",1,0)</f>
        <v/>
      </c>
      <c r="J1204" s="5">
        <f>IF(OR(H1204=1,I1204=1),0,IF(G1204="Credit",-F1204,F1204))</f>
        <v/>
      </c>
    </row>
    <row r="1205">
      <c r="A1205" t="inlineStr">
        <is>
          <t>2026-07-13</t>
        </is>
      </c>
      <c r="B1205" t="inlineStr">
        <is>
          <t>F269377</t>
        </is>
      </c>
      <c r="C1205" t="inlineStr">
        <is>
          <t>C10492</t>
        </is>
      </c>
      <c r="D1205" t="inlineStr">
        <is>
          <t>SKU-10379</t>
        </is>
      </c>
      <c r="E1205" t="inlineStr">
        <is>
          <t>AM08</t>
        </is>
      </c>
      <c r="F1205" s="5" t="n">
        <v>308.9</v>
      </c>
      <c r="G1205">
        <f>IF(LEFT(B1205,1)="C","Credit","Factuur")</f>
        <v/>
      </c>
      <c r="H1205">
        <f>IF(AND(B1205=B1204,D1205=D1204,A1205=A1204,F1205=F1204),1,0)</f>
        <v/>
      </c>
      <c r="I1205">
        <f>IF(C1205="C99999",1,0)</f>
        <v/>
      </c>
      <c r="J1205" s="5">
        <f>IF(OR(H1205=1,I1205=1),0,IF(G1205="Credit",-F1205,F1205))</f>
        <v/>
      </c>
    </row>
    <row r="1206">
      <c r="A1206" t="inlineStr">
        <is>
          <t>2026-07-13</t>
        </is>
      </c>
      <c r="B1206" t="inlineStr">
        <is>
          <t>F270584</t>
        </is>
      </c>
      <c r="C1206" t="inlineStr">
        <is>
          <t>C10556</t>
        </is>
      </c>
      <c r="D1206" t="inlineStr">
        <is>
          <t>SKU-10014</t>
        </is>
      </c>
      <c r="E1206" t="inlineStr">
        <is>
          <t>AM11</t>
        </is>
      </c>
      <c r="F1206" s="5" t="n">
        <v>990.72</v>
      </c>
      <c r="G1206">
        <f>IF(LEFT(B1206,1)="C","Credit","Factuur")</f>
        <v/>
      </c>
      <c r="H1206">
        <f>IF(AND(B1206=B1205,D1206=D1205,A1206=A1205,F1206=F1205),1,0)</f>
        <v/>
      </c>
      <c r="I1206">
        <f>IF(C1206="C99999",1,0)</f>
        <v/>
      </c>
      <c r="J1206" s="5">
        <f>IF(OR(H1206=1,I1206=1),0,IF(G1206="Credit",-F1206,F1206))</f>
        <v/>
      </c>
    </row>
    <row r="1207">
      <c r="A1207" t="inlineStr">
        <is>
          <t>2026-07-13</t>
        </is>
      </c>
      <c r="B1207" t="inlineStr">
        <is>
          <t>F270584</t>
        </is>
      </c>
      <c r="C1207" t="inlineStr">
        <is>
          <t>C10556</t>
        </is>
      </c>
      <c r="D1207" t="inlineStr">
        <is>
          <t>SKU-10150</t>
        </is>
      </c>
      <c r="E1207" t="inlineStr">
        <is>
          <t>AM11</t>
        </is>
      </c>
      <c r="F1207" s="5" t="n">
        <v>969.71</v>
      </c>
      <c r="G1207">
        <f>IF(LEFT(B1207,1)="C","Credit","Factuur")</f>
        <v/>
      </c>
      <c r="H1207">
        <f>IF(AND(B1207=B1206,D1207=D1206,A1207=A1206,F1207=F1206),1,0)</f>
        <v/>
      </c>
      <c r="I1207">
        <f>IF(C1207="C99999",1,0)</f>
        <v/>
      </c>
      <c r="J1207" s="5">
        <f>IF(OR(H1207=1,I1207=1),0,IF(G1207="Credit",-F1207,F1207))</f>
        <v/>
      </c>
    </row>
    <row r="1208">
      <c r="A1208" t="inlineStr">
        <is>
          <t>2026-07-13</t>
        </is>
      </c>
      <c r="B1208" t="inlineStr">
        <is>
          <t>F270584</t>
        </is>
      </c>
      <c r="C1208" t="inlineStr">
        <is>
          <t>C10556</t>
        </is>
      </c>
      <c r="D1208" t="inlineStr">
        <is>
          <t>SKU-10289</t>
        </is>
      </c>
      <c r="E1208" t="inlineStr">
        <is>
          <t>AM11</t>
        </is>
      </c>
      <c r="F1208" s="5" t="n">
        <v>998.14</v>
      </c>
      <c r="G1208">
        <f>IF(LEFT(B1208,1)="C","Credit","Factuur")</f>
        <v/>
      </c>
      <c r="H1208">
        <f>IF(AND(B1208=B1207,D1208=D1207,A1208=A1207,F1208=F1207),1,0)</f>
        <v/>
      </c>
      <c r="I1208">
        <f>IF(C1208="C99999",1,0)</f>
        <v/>
      </c>
      <c r="J1208" s="5">
        <f>IF(OR(H1208=1,I1208=1),0,IF(G1208="Credit",-F1208,F1208))</f>
        <v/>
      </c>
    </row>
    <row r="1209">
      <c r="A1209" t="inlineStr">
        <is>
          <t>2026-07-13</t>
        </is>
      </c>
      <c r="B1209" t="inlineStr">
        <is>
          <t>F270793</t>
        </is>
      </c>
      <c r="C1209" t="inlineStr">
        <is>
          <t>C10565</t>
        </is>
      </c>
      <c r="D1209" t="inlineStr">
        <is>
          <t>SKU-10342</t>
        </is>
      </c>
      <c r="E1209" t="inlineStr">
        <is>
          <t>AM11</t>
        </is>
      </c>
      <c r="F1209" s="5" t="n">
        <v>1660.12</v>
      </c>
      <c r="G1209">
        <f>IF(LEFT(B1209,1)="C","Credit","Factuur")</f>
        <v/>
      </c>
      <c r="H1209">
        <f>IF(AND(B1209=B1208,D1209=D1208,A1209=A1208,F1209=F1208),1,0)</f>
        <v/>
      </c>
      <c r="I1209">
        <f>IF(C1209="C99999",1,0)</f>
        <v/>
      </c>
      <c r="J1209" s="5">
        <f>IF(OR(H1209=1,I1209=1),0,IF(G1209="Credit",-F1209,F1209))</f>
        <v/>
      </c>
    </row>
    <row r="1210">
      <c r="A1210" t="inlineStr">
        <is>
          <t>2026-07-13</t>
        </is>
      </c>
      <c r="B1210" t="inlineStr">
        <is>
          <t>F271746</t>
        </is>
      </c>
      <c r="C1210" t="inlineStr">
        <is>
          <t>C10602</t>
        </is>
      </c>
      <c r="D1210" t="inlineStr">
        <is>
          <t>SKU-10194</t>
        </is>
      </c>
      <c r="E1210" t="inlineStr">
        <is>
          <t>AM05</t>
        </is>
      </c>
      <c r="F1210" s="5" t="n">
        <v>313.36</v>
      </c>
      <c r="G1210">
        <f>IF(LEFT(B1210,1)="C","Credit","Factuur")</f>
        <v/>
      </c>
      <c r="H1210">
        <f>IF(AND(B1210=B1209,D1210=D1209,A1210=A1209,F1210=F1209),1,0)</f>
        <v/>
      </c>
      <c r="I1210">
        <f>IF(C1210="C99999",1,0)</f>
        <v/>
      </c>
      <c r="J1210" s="5">
        <f>IF(OR(H1210=1,I1210=1),0,IF(G1210="Credit",-F1210,F1210))</f>
        <v/>
      </c>
    </row>
    <row r="1211">
      <c r="A1211" t="inlineStr">
        <is>
          <t>2026-07-13</t>
        </is>
      </c>
      <c r="B1211" t="inlineStr">
        <is>
          <t>F271746</t>
        </is>
      </c>
      <c r="C1211" t="inlineStr">
        <is>
          <t>C10602</t>
        </is>
      </c>
      <c r="D1211" t="inlineStr">
        <is>
          <t>SKU-10220</t>
        </is>
      </c>
      <c r="E1211" t="inlineStr">
        <is>
          <t>AM05</t>
        </is>
      </c>
      <c r="F1211" s="5" t="n">
        <v>272.82</v>
      </c>
      <c r="G1211">
        <f>IF(LEFT(B1211,1)="C","Credit","Factuur")</f>
        <v/>
      </c>
      <c r="H1211">
        <f>IF(AND(B1211=B1210,D1211=D1210,A1211=A1210,F1211=F1210),1,0)</f>
        <v/>
      </c>
      <c r="I1211">
        <f>IF(C1211="C99999",1,0)</f>
        <v/>
      </c>
      <c r="J1211" s="5">
        <f>IF(OR(H1211=1,I1211=1),0,IF(G1211="Credit",-F1211,F1211))</f>
        <v/>
      </c>
    </row>
    <row r="1212">
      <c r="A1212" t="inlineStr">
        <is>
          <t>2026-07-13</t>
        </is>
      </c>
      <c r="B1212" t="inlineStr">
        <is>
          <t>F271746</t>
        </is>
      </c>
      <c r="C1212" t="inlineStr">
        <is>
          <t>C10602</t>
        </is>
      </c>
      <c r="D1212" t="inlineStr">
        <is>
          <t>SKU-10301</t>
        </is>
      </c>
      <c r="E1212" t="inlineStr">
        <is>
          <t>AM05</t>
        </is>
      </c>
      <c r="F1212" s="5" t="n">
        <v>302</v>
      </c>
      <c r="G1212">
        <f>IF(LEFT(B1212,1)="C","Credit","Factuur")</f>
        <v/>
      </c>
      <c r="H1212">
        <f>IF(AND(B1212=B1211,D1212=D1211,A1212=A1211,F1212=F1211),1,0)</f>
        <v/>
      </c>
      <c r="I1212">
        <f>IF(C1212="C99999",1,0)</f>
        <v/>
      </c>
      <c r="J1212" s="5">
        <f>IF(OR(H1212=1,I1212=1),0,IF(G1212="Credit",-F1212,F1212))</f>
        <v/>
      </c>
    </row>
    <row r="1213">
      <c r="A1213" t="inlineStr">
        <is>
          <t>2026-07-13</t>
        </is>
      </c>
      <c r="B1213" t="inlineStr">
        <is>
          <t>F271882</t>
        </is>
      </c>
      <c r="C1213" t="inlineStr">
        <is>
          <t>C10612</t>
        </is>
      </c>
      <c r="D1213" t="inlineStr">
        <is>
          <t>SKU-10082</t>
        </is>
      </c>
      <c r="E1213" t="inlineStr">
        <is>
          <t>AM11</t>
        </is>
      </c>
      <c r="F1213" s="5" t="n">
        <v>423</v>
      </c>
      <c r="G1213">
        <f>IF(LEFT(B1213,1)="C","Credit","Factuur")</f>
        <v/>
      </c>
      <c r="H1213">
        <f>IF(AND(B1213=B1212,D1213=D1212,A1213=A1212,F1213=F1212),1,0)</f>
        <v/>
      </c>
      <c r="I1213">
        <f>IF(C1213="C99999",1,0)</f>
        <v/>
      </c>
      <c r="J1213" s="5">
        <f>IF(OR(H1213=1,I1213=1),0,IF(G1213="Credit",-F1213,F1213))</f>
        <v/>
      </c>
    </row>
    <row r="1214">
      <c r="A1214" t="inlineStr">
        <is>
          <t>2026-07-13</t>
        </is>
      </c>
      <c r="B1214" t="inlineStr">
        <is>
          <t>F271882</t>
        </is>
      </c>
      <c r="C1214" t="inlineStr">
        <is>
          <t>C10612</t>
        </is>
      </c>
      <c r="D1214" t="inlineStr">
        <is>
          <t>SKU-10138</t>
        </is>
      </c>
      <c r="E1214" t="inlineStr">
        <is>
          <t>AM11</t>
        </is>
      </c>
      <c r="F1214" s="5" t="n">
        <v>407.84</v>
      </c>
      <c r="G1214">
        <f>IF(LEFT(B1214,1)="C","Credit","Factuur")</f>
        <v/>
      </c>
      <c r="H1214">
        <f>IF(AND(B1214=B1213,D1214=D1213,A1214=A1213,F1214=F1213),1,0)</f>
        <v/>
      </c>
      <c r="I1214">
        <f>IF(C1214="C99999",1,0)</f>
        <v/>
      </c>
      <c r="J1214" s="5">
        <f>IF(OR(H1214=1,I1214=1),0,IF(G1214="Credit",-F1214,F1214))</f>
        <v/>
      </c>
    </row>
    <row r="1215">
      <c r="A1215" t="inlineStr">
        <is>
          <t>2026-07-13</t>
        </is>
      </c>
      <c r="B1215" t="inlineStr">
        <is>
          <t>F271882</t>
        </is>
      </c>
      <c r="C1215" t="inlineStr">
        <is>
          <t>C10612</t>
        </is>
      </c>
      <c r="D1215" t="inlineStr">
        <is>
          <t>SKU-10226</t>
        </is>
      </c>
      <c r="E1215" t="inlineStr">
        <is>
          <t>AM11</t>
        </is>
      </c>
      <c r="F1215" s="5" t="n">
        <v>412.93</v>
      </c>
      <c r="G1215">
        <f>IF(LEFT(B1215,1)="C","Credit","Factuur")</f>
        <v/>
      </c>
      <c r="H1215">
        <f>IF(AND(B1215=B1214,D1215=D1214,A1215=A1214,F1215=F1214),1,0)</f>
        <v/>
      </c>
      <c r="I1215">
        <f>IF(C1215="C99999",1,0)</f>
        <v/>
      </c>
      <c r="J1215" s="5">
        <f>IF(OR(H1215=1,I1215=1),0,IF(G1215="Credit",-F1215,F1215))</f>
        <v/>
      </c>
    </row>
    <row r="1216">
      <c r="A1216" t="inlineStr">
        <is>
          <t>2026-07-13</t>
        </is>
      </c>
      <c r="B1216" t="inlineStr">
        <is>
          <t>F271882</t>
        </is>
      </c>
      <c r="C1216" t="inlineStr">
        <is>
          <t>C10612</t>
        </is>
      </c>
      <c r="D1216" t="inlineStr">
        <is>
          <t>SKU-10269</t>
        </is>
      </c>
      <c r="E1216" t="inlineStr">
        <is>
          <t>AM11</t>
        </is>
      </c>
      <c r="F1216" s="5" t="n">
        <v>418.47</v>
      </c>
      <c r="G1216">
        <f>IF(LEFT(B1216,1)="C","Credit","Factuur")</f>
        <v/>
      </c>
      <c r="H1216">
        <f>IF(AND(B1216=B1215,D1216=D1215,A1216=A1215,F1216=F1215),1,0)</f>
        <v/>
      </c>
      <c r="I1216">
        <f>IF(C1216="C99999",1,0)</f>
        <v/>
      </c>
      <c r="J1216" s="5">
        <f>IF(OR(H1216=1,I1216=1),0,IF(G1216="Credit",-F1216,F1216))</f>
        <v/>
      </c>
    </row>
    <row r="1217">
      <c r="A1217" t="inlineStr">
        <is>
          <t>2026-07-13</t>
        </is>
      </c>
      <c r="B1217" t="inlineStr">
        <is>
          <t>F272195</t>
        </is>
      </c>
      <c r="C1217" t="inlineStr">
        <is>
          <t>C10632</t>
        </is>
      </c>
      <c r="D1217" t="inlineStr">
        <is>
          <t>SKU-10352</t>
        </is>
      </c>
      <c r="E1217" t="inlineStr">
        <is>
          <t>AM08</t>
        </is>
      </c>
      <c r="F1217" s="5" t="n">
        <v>537.17</v>
      </c>
      <c r="G1217">
        <f>IF(LEFT(B1217,1)="C","Credit","Factuur")</f>
        <v/>
      </c>
      <c r="H1217">
        <f>IF(AND(B1217=B1216,D1217=D1216,A1217=A1216,F1217=F1216),1,0)</f>
        <v/>
      </c>
      <c r="I1217">
        <f>IF(C1217="C99999",1,0)</f>
        <v/>
      </c>
      <c r="J1217" s="5">
        <f>IF(OR(H1217=1,I1217=1),0,IF(G1217="Credit",-F1217,F1217))</f>
        <v/>
      </c>
    </row>
    <row r="1218">
      <c r="A1218" t="inlineStr">
        <is>
          <t>2026-07-13</t>
        </is>
      </c>
      <c r="B1218" t="inlineStr">
        <is>
          <t>F272263</t>
        </is>
      </c>
      <c r="C1218" t="inlineStr">
        <is>
          <t>C10635</t>
        </is>
      </c>
      <c r="D1218" t="inlineStr">
        <is>
          <t>SKU-10034</t>
        </is>
      </c>
      <c r="E1218" t="inlineStr">
        <is>
          <t>AM06</t>
        </is>
      </c>
      <c r="F1218" s="5" t="n">
        <v>220.54</v>
      </c>
      <c r="G1218">
        <f>IF(LEFT(B1218,1)="C","Credit","Factuur")</f>
        <v/>
      </c>
      <c r="H1218">
        <f>IF(AND(B1218=B1217,D1218=D1217,A1218=A1217,F1218=F1217),1,0)</f>
        <v/>
      </c>
      <c r="I1218">
        <f>IF(C1218="C99999",1,0)</f>
        <v/>
      </c>
      <c r="J1218" s="5">
        <f>IF(OR(H1218=1,I1218=1),0,IF(G1218="Credit",-F1218,F1218))</f>
        <v/>
      </c>
    </row>
    <row r="1219">
      <c r="A1219" t="inlineStr">
        <is>
          <t>2026-07-13</t>
        </is>
      </c>
      <c r="B1219" t="inlineStr">
        <is>
          <t>F272263</t>
        </is>
      </c>
      <c r="C1219" t="inlineStr">
        <is>
          <t>C10635</t>
        </is>
      </c>
      <c r="D1219" t="inlineStr">
        <is>
          <t>SKU-10074</t>
        </is>
      </c>
      <c r="E1219" t="inlineStr">
        <is>
          <t>AM06</t>
        </is>
      </c>
      <c r="F1219" s="5" t="n">
        <v>212.76</v>
      </c>
      <c r="G1219">
        <f>IF(LEFT(B1219,1)="C","Credit","Factuur")</f>
        <v/>
      </c>
      <c r="H1219">
        <f>IF(AND(B1219=B1218,D1219=D1218,A1219=A1218,F1219=F1218),1,0)</f>
        <v/>
      </c>
      <c r="I1219">
        <f>IF(C1219="C99999",1,0)</f>
        <v/>
      </c>
      <c r="J1219" s="5">
        <f>IF(OR(H1219=1,I1219=1),0,IF(G1219="Credit",-F1219,F1219))</f>
        <v/>
      </c>
    </row>
    <row r="1220">
      <c r="A1220" t="inlineStr">
        <is>
          <t>2026-07-13</t>
        </is>
      </c>
      <c r="B1220" t="inlineStr">
        <is>
          <t>F272263</t>
        </is>
      </c>
      <c r="C1220" t="inlineStr">
        <is>
          <t>C10635</t>
        </is>
      </c>
      <c r="D1220" t="inlineStr">
        <is>
          <t>SKU-10124</t>
        </is>
      </c>
      <c r="E1220" t="inlineStr">
        <is>
          <t>AM06</t>
        </is>
      </c>
      <c r="F1220" s="5" t="n">
        <v>218.43</v>
      </c>
      <c r="G1220">
        <f>IF(LEFT(B1220,1)="C","Credit","Factuur")</f>
        <v/>
      </c>
      <c r="H1220">
        <f>IF(AND(B1220=B1219,D1220=D1219,A1220=A1219,F1220=F1219),1,0)</f>
        <v/>
      </c>
      <c r="I1220">
        <f>IF(C1220="C99999",1,0)</f>
        <v/>
      </c>
      <c r="J1220" s="5">
        <f>IF(OR(H1220=1,I1220=1),0,IF(G1220="Credit",-F1220,F1220))</f>
        <v/>
      </c>
    </row>
    <row r="1221">
      <c r="A1221" t="inlineStr">
        <is>
          <t>2026-07-13</t>
        </is>
      </c>
      <c r="B1221" t="inlineStr">
        <is>
          <t>F272263</t>
        </is>
      </c>
      <c r="C1221" t="inlineStr">
        <is>
          <t>C10635</t>
        </is>
      </c>
      <c r="D1221" t="inlineStr">
        <is>
          <t>SKU-10300</t>
        </is>
      </c>
      <c r="E1221" t="inlineStr">
        <is>
          <t>AM06</t>
        </is>
      </c>
      <c r="F1221" s="5" t="n">
        <v>214.48</v>
      </c>
      <c r="G1221">
        <f>IF(LEFT(B1221,1)="C","Credit","Factuur")</f>
        <v/>
      </c>
      <c r="H1221">
        <f>IF(AND(B1221=B1220,D1221=D1220,A1221=A1220,F1221=F1220),1,0)</f>
        <v/>
      </c>
      <c r="I1221">
        <f>IF(C1221="C99999",1,0)</f>
        <v/>
      </c>
      <c r="J1221" s="5">
        <f>IF(OR(H1221=1,I1221=1),0,IF(G1221="Credit",-F1221,F1221))</f>
        <v/>
      </c>
    </row>
    <row r="1222">
      <c r="A1222" t="inlineStr">
        <is>
          <t>2026-07-13</t>
        </is>
      </c>
      <c r="B1222" t="inlineStr">
        <is>
          <t>F274742</t>
        </is>
      </c>
      <c r="C1222" t="inlineStr">
        <is>
          <t>C10779</t>
        </is>
      </c>
      <c r="D1222" t="inlineStr">
        <is>
          <t>SKU-10113</t>
        </is>
      </c>
      <c r="E1222" t="inlineStr"/>
      <c r="F1222" s="5" t="n">
        <v>6961.5</v>
      </c>
      <c r="G1222">
        <f>IF(LEFT(B1222,1)="C","Credit","Factuur")</f>
        <v/>
      </c>
      <c r="H1222">
        <f>IF(AND(B1222=B1221,D1222=D1221,A1222=A1221,F1222=F1221),1,0)</f>
        <v/>
      </c>
      <c r="I1222">
        <f>IF(C1222="C99999",1,0)</f>
        <v/>
      </c>
      <c r="J1222" s="5">
        <f>IF(OR(H1222=1,I1222=1),0,IF(G1222="Credit",-F1222,F1222))</f>
        <v/>
      </c>
    </row>
    <row r="1223">
      <c r="A1223" t="inlineStr">
        <is>
          <t>2026-07-13</t>
        </is>
      </c>
      <c r="B1223" t="inlineStr">
        <is>
          <t>F274742</t>
        </is>
      </c>
      <c r="C1223" t="inlineStr">
        <is>
          <t>C10779</t>
        </is>
      </c>
      <c r="D1223" t="inlineStr">
        <is>
          <t>SKU-10272</t>
        </is>
      </c>
      <c r="E1223" t="inlineStr">
        <is>
          <t>AM09</t>
        </is>
      </c>
      <c r="F1223" s="5" t="n">
        <v>7014.06</v>
      </c>
      <c r="G1223">
        <f>IF(LEFT(B1223,1)="C","Credit","Factuur")</f>
        <v/>
      </c>
      <c r="H1223">
        <f>IF(AND(B1223=B1222,D1223=D1222,A1223=A1222,F1223=F1222),1,0)</f>
        <v/>
      </c>
      <c r="I1223">
        <f>IF(C1223="C99999",1,0)</f>
        <v/>
      </c>
      <c r="J1223" s="5">
        <f>IF(OR(H1223=1,I1223=1),0,IF(G1223="Credit",-F1223,F1223))</f>
        <v/>
      </c>
    </row>
    <row r="1224">
      <c r="A1224" t="inlineStr">
        <is>
          <t>2026-07-13</t>
        </is>
      </c>
      <c r="B1224" t="inlineStr">
        <is>
          <t>F277286</t>
        </is>
      </c>
      <c r="C1224" t="inlineStr">
        <is>
          <t>C10918</t>
        </is>
      </c>
      <c r="D1224" t="inlineStr">
        <is>
          <t>SKU-10228</t>
        </is>
      </c>
      <c r="E1224" t="inlineStr">
        <is>
          <t>AM01</t>
        </is>
      </c>
      <c r="F1224" s="5" t="n">
        <v>1729.38</v>
      </c>
      <c r="G1224">
        <f>IF(LEFT(B1224,1)="C","Credit","Factuur")</f>
        <v/>
      </c>
      <c r="H1224">
        <f>IF(AND(B1224=B1223,D1224=D1223,A1224=A1223,F1224=F1223),1,0)</f>
        <v/>
      </c>
      <c r="I1224">
        <f>IF(C1224="C99999",1,0)</f>
        <v/>
      </c>
      <c r="J1224" s="5">
        <f>IF(OR(H1224=1,I1224=1),0,IF(G1224="Credit",-F1224,F1224))</f>
        <v/>
      </c>
    </row>
    <row r="1225">
      <c r="A1225" t="inlineStr">
        <is>
          <t>2026-07-13</t>
        </is>
      </c>
      <c r="B1225" t="inlineStr">
        <is>
          <t>F277286</t>
        </is>
      </c>
      <c r="C1225" t="inlineStr">
        <is>
          <t>C10918</t>
        </is>
      </c>
      <c r="D1225" t="inlineStr">
        <is>
          <t>SKU-10332</t>
        </is>
      </c>
      <c r="E1225" t="inlineStr">
        <is>
          <t>AM01</t>
        </is>
      </c>
      <c r="F1225" s="5" t="n">
        <v>1749.67</v>
      </c>
      <c r="G1225">
        <f>IF(LEFT(B1225,1)="C","Credit","Factuur")</f>
        <v/>
      </c>
      <c r="H1225">
        <f>IF(AND(B1225=B1224,D1225=D1224,A1225=A1224,F1225=F1224),1,0)</f>
        <v/>
      </c>
      <c r="I1225">
        <f>IF(C1225="C99999",1,0)</f>
        <v/>
      </c>
      <c r="J1225" s="5">
        <f>IF(OR(H1225=1,I1225=1),0,IF(G1225="Credit",-F1225,F1225))</f>
        <v/>
      </c>
    </row>
    <row r="1226">
      <c r="A1226" t="inlineStr">
        <is>
          <t>2026-07-13</t>
        </is>
      </c>
      <c r="B1226" t="inlineStr">
        <is>
          <t>F278022</t>
        </is>
      </c>
      <c r="C1226" t="inlineStr">
        <is>
          <t>C10957</t>
        </is>
      </c>
      <c r="D1226" t="inlineStr">
        <is>
          <t>SKU-10064</t>
        </is>
      </c>
      <c r="E1226" t="inlineStr">
        <is>
          <t>AM06</t>
        </is>
      </c>
      <c r="F1226" s="5" t="n">
        <v>410.48</v>
      </c>
      <c r="G1226">
        <f>IF(LEFT(B1226,1)="C","Credit","Factuur")</f>
        <v/>
      </c>
      <c r="H1226">
        <f>IF(AND(B1226=B1225,D1226=D1225,A1226=A1225,F1226=F1225),1,0)</f>
        <v/>
      </c>
      <c r="I1226">
        <f>IF(C1226="C99999",1,0)</f>
        <v/>
      </c>
      <c r="J1226" s="5">
        <f>IF(OR(H1226=1,I1226=1),0,IF(G1226="Credit",-F1226,F1226))</f>
        <v/>
      </c>
    </row>
    <row r="1227">
      <c r="A1227" t="inlineStr">
        <is>
          <t>2026-07-13</t>
        </is>
      </c>
      <c r="B1227" t="inlineStr">
        <is>
          <t>F278022</t>
        </is>
      </c>
      <c r="C1227" t="inlineStr">
        <is>
          <t>C10957</t>
        </is>
      </c>
      <c r="D1227" t="inlineStr">
        <is>
          <t>SKU-10241</t>
        </is>
      </c>
      <c r="E1227" t="inlineStr">
        <is>
          <t>AM06</t>
        </is>
      </c>
      <c r="F1227" s="5" t="n">
        <v>379.26</v>
      </c>
      <c r="G1227">
        <f>IF(LEFT(B1227,1)="C","Credit","Factuur")</f>
        <v/>
      </c>
      <c r="H1227">
        <f>IF(AND(B1227=B1226,D1227=D1226,A1227=A1226,F1227=F1226),1,0)</f>
        <v/>
      </c>
      <c r="I1227">
        <f>IF(C1227="C99999",1,0)</f>
        <v/>
      </c>
      <c r="J1227" s="5">
        <f>IF(OR(H1227=1,I1227=1),0,IF(G1227="Credit",-F1227,F1227))</f>
        <v/>
      </c>
    </row>
    <row r="1228">
      <c r="A1228" t="inlineStr">
        <is>
          <t>2026-07-13</t>
        </is>
      </c>
      <c r="B1228" t="inlineStr">
        <is>
          <t>F279647</t>
        </is>
      </c>
      <c r="C1228" t="inlineStr">
        <is>
          <t>C11042</t>
        </is>
      </c>
      <c r="D1228" t="inlineStr">
        <is>
          <t>SKU-10085</t>
        </is>
      </c>
      <c r="E1228" t="inlineStr">
        <is>
          <t>AM02</t>
        </is>
      </c>
      <c r="F1228" s="5" t="n">
        <v>1946.2</v>
      </c>
      <c r="G1228">
        <f>IF(LEFT(B1228,1)="C","Credit","Factuur")</f>
        <v/>
      </c>
      <c r="H1228">
        <f>IF(AND(B1228=B1227,D1228=D1227,A1228=A1227,F1228=F1227),1,0)</f>
        <v/>
      </c>
      <c r="I1228">
        <f>IF(C1228="C99999",1,0)</f>
        <v/>
      </c>
      <c r="J1228" s="5">
        <f>IF(OR(H1228=1,I1228=1),0,IF(G1228="Credit",-F1228,F1228))</f>
        <v/>
      </c>
    </row>
    <row r="1229">
      <c r="A1229" t="inlineStr">
        <is>
          <t>2026-07-13</t>
        </is>
      </c>
      <c r="B1229" t="inlineStr">
        <is>
          <t>F279647</t>
        </is>
      </c>
      <c r="C1229" t="inlineStr">
        <is>
          <t>C11042</t>
        </is>
      </c>
      <c r="D1229" t="inlineStr">
        <is>
          <t>SKU-10184</t>
        </is>
      </c>
      <c r="E1229" t="inlineStr">
        <is>
          <t>AM02</t>
        </is>
      </c>
      <c r="F1229" s="5" t="n">
        <v>1945.5</v>
      </c>
      <c r="G1229">
        <f>IF(LEFT(B1229,1)="C","Credit","Factuur")</f>
        <v/>
      </c>
      <c r="H1229">
        <f>IF(AND(B1229=B1228,D1229=D1228,A1229=A1228,F1229=F1228),1,0)</f>
        <v/>
      </c>
      <c r="I1229">
        <f>IF(C1229="C99999",1,0)</f>
        <v/>
      </c>
      <c r="J1229" s="5">
        <f>IF(OR(H1229=1,I1229=1),0,IF(G1229="Credit",-F1229,F1229))</f>
        <v/>
      </c>
    </row>
    <row r="1230">
      <c r="A1230" t="inlineStr">
        <is>
          <t>2026-07-13</t>
        </is>
      </c>
      <c r="B1230" t="inlineStr">
        <is>
          <t>F279999</t>
        </is>
      </c>
      <c r="C1230" t="inlineStr">
        <is>
          <t>C11057</t>
        </is>
      </c>
      <c r="D1230" t="inlineStr">
        <is>
          <t>SKU-10048</t>
        </is>
      </c>
      <c r="E1230" t="inlineStr">
        <is>
          <t>AM03</t>
        </is>
      </c>
      <c r="F1230" s="5" t="n">
        <v>520.84</v>
      </c>
      <c r="G1230">
        <f>IF(LEFT(B1230,1)="C","Credit","Factuur")</f>
        <v/>
      </c>
      <c r="H1230">
        <f>IF(AND(B1230=B1229,D1230=D1229,A1230=A1229,F1230=F1229),1,0)</f>
        <v/>
      </c>
      <c r="I1230">
        <f>IF(C1230="C99999",1,0)</f>
        <v/>
      </c>
      <c r="J1230" s="5">
        <f>IF(OR(H1230=1,I1230=1),0,IF(G1230="Credit",-F1230,F1230))</f>
        <v/>
      </c>
    </row>
    <row r="1231">
      <c r="A1231" t="inlineStr">
        <is>
          <t>2026-07-13</t>
        </is>
      </c>
      <c r="B1231" t="inlineStr">
        <is>
          <t>F279999</t>
        </is>
      </c>
      <c r="C1231" t="inlineStr">
        <is>
          <t>C11057</t>
        </is>
      </c>
      <c r="D1231" t="inlineStr">
        <is>
          <t>SKU-10231</t>
        </is>
      </c>
      <c r="E1231" t="inlineStr">
        <is>
          <t>AM03</t>
        </is>
      </c>
      <c r="F1231" s="5" t="n">
        <v>601.23</v>
      </c>
      <c r="G1231">
        <f>IF(LEFT(B1231,1)="C","Credit","Factuur")</f>
        <v/>
      </c>
      <c r="H1231">
        <f>IF(AND(B1231=B1230,D1231=D1230,A1231=A1230,F1231=F1230),1,0)</f>
        <v/>
      </c>
      <c r="I1231">
        <f>IF(C1231="C99999",1,0)</f>
        <v/>
      </c>
      <c r="J1231" s="5">
        <f>IF(OR(H1231=1,I1231=1),0,IF(G1231="Credit",-F1231,F1231))</f>
        <v/>
      </c>
    </row>
    <row r="1232">
      <c r="A1232" t="inlineStr">
        <is>
          <t>2026-07-13</t>
        </is>
      </c>
      <c r="B1232" t="inlineStr">
        <is>
          <t>F280256</t>
        </is>
      </c>
      <c r="C1232" t="inlineStr">
        <is>
          <t>C11071</t>
        </is>
      </c>
      <c r="D1232" t="inlineStr">
        <is>
          <t>SKU-10323</t>
        </is>
      </c>
      <c r="E1232" t="inlineStr">
        <is>
          <t>AM11</t>
        </is>
      </c>
      <c r="F1232" s="5" t="n">
        <v>2965.2</v>
      </c>
      <c r="G1232">
        <f>IF(LEFT(B1232,1)="C","Credit","Factuur")</f>
        <v/>
      </c>
      <c r="H1232">
        <f>IF(AND(B1232=B1231,D1232=D1231,A1232=A1231,F1232=F1231),1,0)</f>
        <v/>
      </c>
      <c r="I1232">
        <f>IF(C1232="C99999",1,0)</f>
        <v/>
      </c>
      <c r="J1232" s="5">
        <f>IF(OR(H1232=1,I1232=1),0,IF(G1232="Credit",-F1232,F1232))</f>
        <v/>
      </c>
    </row>
    <row r="1233">
      <c r="A1233" t="inlineStr">
        <is>
          <t>2026-07-13</t>
        </is>
      </c>
      <c r="B1233" t="inlineStr">
        <is>
          <t>F280454</t>
        </is>
      </c>
      <c r="C1233" t="inlineStr">
        <is>
          <t>C11079</t>
        </is>
      </c>
      <c r="D1233" t="inlineStr">
        <is>
          <t>SKU-10059</t>
        </is>
      </c>
      <c r="E1233" t="inlineStr">
        <is>
          <t>IS02</t>
        </is>
      </c>
      <c r="F1233" s="5" t="n">
        <v>42.48</v>
      </c>
      <c r="G1233">
        <f>IF(LEFT(B1233,1)="C","Credit","Factuur")</f>
        <v/>
      </c>
      <c r="H1233">
        <f>IF(AND(B1233=B1232,D1233=D1232,A1233=A1232,F1233=F1232),1,0)</f>
        <v/>
      </c>
      <c r="I1233">
        <f>IF(C1233="C99999",1,0)</f>
        <v/>
      </c>
      <c r="J1233" s="5">
        <f>IF(OR(H1233=1,I1233=1),0,IF(G1233="Credit",-F1233,F1233))</f>
        <v/>
      </c>
    </row>
    <row r="1234">
      <c r="A1234" t="inlineStr">
        <is>
          <t>2026-07-13</t>
        </is>
      </c>
      <c r="B1234" t="inlineStr">
        <is>
          <t>F280454</t>
        </is>
      </c>
      <c r="C1234" t="inlineStr">
        <is>
          <t>C11079</t>
        </is>
      </c>
      <c r="D1234" t="inlineStr">
        <is>
          <t>SKU-10074</t>
        </is>
      </c>
      <c r="E1234" t="inlineStr">
        <is>
          <t>IS02</t>
        </is>
      </c>
      <c r="F1234" s="5" t="n">
        <v>53.19</v>
      </c>
      <c r="G1234">
        <f>IF(LEFT(B1234,1)="C","Credit","Factuur")</f>
        <v/>
      </c>
      <c r="H1234">
        <f>IF(AND(B1234=B1233,D1234=D1233,A1234=A1233,F1234=F1233),1,0)</f>
        <v/>
      </c>
      <c r="I1234">
        <f>IF(C1234="C99999",1,0)</f>
        <v/>
      </c>
      <c r="J1234" s="5">
        <f>IF(OR(H1234=1,I1234=1),0,IF(G1234="Credit",-F1234,F1234))</f>
        <v/>
      </c>
    </row>
    <row r="1235">
      <c r="A1235" t="inlineStr">
        <is>
          <t>2026-07-13</t>
        </is>
      </c>
      <c r="B1235" t="inlineStr">
        <is>
          <t>F280454</t>
        </is>
      </c>
      <c r="C1235" t="inlineStr">
        <is>
          <t>C11079</t>
        </is>
      </c>
      <c r="D1235" t="inlineStr">
        <is>
          <t>SKU-10169</t>
        </is>
      </c>
      <c r="E1235" t="inlineStr">
        <is>
          <t>IS02</t>
        </is>
      </c>
      <c r="F1235" s="5" t="n">
        <v>58.63</v>
      </c>
      <c r="G1235">
        <f>IF(LEFT(B1235,1)="C","Credit","Factuur")</f>
        <v/>
      </c>
      <c r="H1235">
        <f>IF(AND(B1235=B1234,D1235=D1234,A1235=A1234,F1235=F1234),1,0)</f>
        <v/>
      </c>
      <c r="I1235">
        <f>IF(C1235="C99999",1,0)</f>
        <v/>
      </c>
      <c r="J1235" s="5">
        <f>IF(OR(H1235=1,I1235=1),0,IF(G1235="Credit",-F1235,F1235))</f>
        <v/>
      </c>
    </row>
    <row r="1236">
      <c r="A1236" t="inlineStr">
        <is>
          <t>2026-07-13</t>
        </is>
      </c>
      <c r="B1236" t="inlineStr">
        <is>
          <t>F281020</t>
        </is>
      </c>
      <c r="C1236" t="inlineStr">
        <is>
          <t>C11107</t>
        </is>
      </c>
      <c r="D1236" t="inlineStr">
        <is>
          <t>SKU-10016</t>
        </is>
      </c>
      <c r="E1236" t="inlineStr">
        <is>
          <t>AM07</t>
        </is>
      </c>
      <c r="F1236" s="5" t="n">
        <v>74.14</v>
      </c>
      <c r="G1236">
        <f>IF(LEFT(B1236,1)="C","Credit","Factuur")</f>
        <v/>
      </c>
      <c r="H1236">
        <f>IF(AND(B1236=B1235,D1236=D1235,A1236=A1235,F1236=F1235),1,0)</f>
        <v/>
      </c>
      <c r="I1236">
        <f>IF(C1236="C99999",1,0)</f>
        <v/>
      </c>
      <c r="J1236" s="5">
        <f>IF(OR(H1236=1,I1236=1),0,IF(G1236="Credit",-F1236,F1236))</f>
        <v/>
      </c>
    </row>
    <row r="1237">
      <c r="A1237" t="inlineStr">
        <is>
          <t>2026-07-13</t>
        </is>
      </c>
      <c r="B1237" t="inlineStr">
        <is>
          <t>F281020</t>
        </is>
      </c>
      <c r="C1237" t="inlineStr">
        <is>
          <t>C11107</t>
        </is>
      </c>
      <c r="D1237" t="inlineStr">
        <is>
          <t>SKU-10023</t>
        </is>
      </c>
      <c r="E1237" t="inlineStr">
        <is>
          <t>AM07</t>
        </is>
      </c>
      <c r="F1237" s="5" t="n">
        <v>53.39</v>
      </c>
      <c r="G1237">
        <f>IF(LEFT(B1237,1)="C","Credit","Factuur")</f>
        <v/>
      </c>
      <c r="H1237">
        <f>IF(AND(B1237=B1236,D1237=D1236,A1237=A1236,F1237=F1236),1,0)</f>
        <v/>
      </c>
      <c r="I1237">
        <f>IF(C1237="C99999",1,0)</f>
        <v/>
      </c>
      <c r="J1237" s="5">
        <f>IF(OR(H1237=1,I1237=1),0,IF(G1237="Credit",-F1237,F1237))</f>
        <v/>
      </c>
    </row>
    <row r="1238">
      <c r="A1238" t="inlineStr">
        <is>
          <t>2026-07-13</t>
        </is>
      </c>
      <c r="B1238" t="inlineStr">
        <is>
          <t>F281020</t>
        </is>
      </c>
      <c r="C1238" t="inlineStr">
        <is>
          <t>C11107</t>
        </is>
      </c>
      <c r="D1238" t="inlineStr">
        <is>
          <t>SKU-10098</t>
        </is>
      </c>
      <c r="E1238" t="inlineStr">
        <is>
          <t>AM07</t>
        </is>
      </c>
      <c r="F1238" s="5" t="n">
        <v>120.03</v>
      </c>
      <c r="G1238">
        <f>IF(LEFT(B1238,1)="C","Credit","Factuur")</f>
        <v/>
      </c>
      <c r="H1238">
        <f>IF(AND(B1238=B1237,D1238=D1237,A1238=A1237,F1238=F1237),1,0)</f>
        <v/>
      </c>
      <c r="I1238">
        <f>IF(C1238="C99999",1,0)</f>
        <v/>
      </c>
      <c r="J1238" s="5">
        <f>IF(OR(H1238=1,I1238=1),0,IF(G1238="Credit",-F1238,F1238))</f>
        <v/>
      </c>
    </row>
    <row r="1239">
      <c r="A1239" t="inlineStr">
        <is>
          <t>2026-07-13</t>
        </is>
      </c>
      <c r="B1239" t="inlineStr">
        <is>
          <t>F281020</t>
        </is>
      </c>
      <c r="C1239" t="inlineStr">
        <is>
          <t>C11107</t>
        </is>
      </c>
      <c r="D1239" t="inlineStr">
        <is>
          <t>SKU-10110</t>
        </is>
      </c>
      <c r="E1239" t="inlineStr">
        <is>
          <t>AM07</t>
        </is>
      </c>
      <c r="F1239" s="5" t="n">
        <v>74.09999999999999</v>
      </c>
      <c r="G1239">
        <f>IF(LEFT(B1239,1)="C","Credit","Factuur")</f>
        <v/>
      </c>
      <c r="H1239">
        <f>IF(AND(B1239=B1238,D1239=D1238,A1239=A1238,F1239=F1238),1,0)</f>
        <v/>
      </c>
      <c r="I1239">
        <f>IF(C1239="C99999",1,0)</f>
        <v/>
      </c>
      <c r="J1239" s="5">
        <f>IF(OR(H1239=1,I1239=1),0,IF(G1239="Credit",-F1239,F1239))</f>
        <v/>
      </c>
    </row>
    <row r="1240">
      <c r="A1240" t="inlineStr">
        <is>
          <t>2026-07-13</t>
        </is>
      </c>
      <c r="B1240" t="inlineStr">
        <is>
          <t>F281020</t>
        </is>
      </c>
      <c r="C1240" t="inlineStr">
        <is>
          <t>C11107</t>
        </is>
      </c>
      <c r="D1240" t="inlineStr">
        <is>
          <t>SKU-10121</t>
        </is>
      </c>
      <c r="E1240" t="inlineStr">
        <is>
          <t>AM07</t>
        </is>
      </c>
      <c r="F1240" s="5" t="n">
        <v>64.93000000000001</v>
      </c>
      <c r="G1240">
        <f>IF(LEFT(B1240,1)="C","Credit","Factuur")</f>
        <v/>
      </c>
      <c r="H1240">
        <f>IF(AND(B1240=B1239,D1240=D1239,A1240=A1239,F1240=F1239),1,0)</f>
        <v/>
      </c>
      <c r="I1240">
        <f>IF(C1240="C99999",1,0)</f>
        <v/>
      </c>
      <c r="J1240" s="5">
        <f>IF(OR(H1240=1,I1240=1),0,IF(G1240="Credit",-F1240,F1240))</f>
        <v/>
      </c>
    </row>
    <row r="1241">
      <c r="A1241" t="inlineStr">
        <is>
          <t>2026-07-13</t>
        </is>
      </c>
      <c r="B1241" t="inlineStr">
        <is>
          <t>F281153</t>
        </is>
      </c>
      <c r="C1241" t="inlineStr">
        <is>
          <t>C11113</t>
        </is>
      </c>
      <c r="D1241" t="inlineStr">
        <is>
          <t>SKU-10249</t>
        </is>
      </c>
      <c r="E1241" t="inlineStr">
        <is>
          <t>AM01</t>
        </is>
      </c>
      <c r="F1241" s="5" t="n">
        <v>136.84</v>
      </c>
      <c r="G1241">
        <f>IF(LEFT(B1241,1)="C","Credit","Factuur")</f>
        <v/>
      </c>
      <c r="H1241">
        <f>IF(AND(B1241=B1240,D1241=D1240,A1241=A1240,F1241=F1240),1,0)</f>
        <v/>
      </c>
      <c r="I1241">
        <f>IF(C1241="C99999",1,0)</f>
        <v/>
      </c>
      <c r="J1241" s="5">
        <f>IF(OR(H1241=1,I1241=1),0,IF(G1241="Credit",-F1241,F1241))</f>
        <v/>
      </c>
    </row>
    <row r="1242">
      <c r="A1242" t="inlineStr">
        <is>
          <t>2026-07-13</t>
        </is>
      </c>
      <c r="B1242" t="inlineStr">
        <is>
          <t>F281153</t>
        </is>
      </c>
      <c r="C1242" t="inlineStr">
        <is>
          <t>C11113</t>
        </is>
      </c>
      <c r="D1242" t="inlineStr">
        <is>
          <t>SKU-10273</t>
        </is>
      </c>
      <c r="E1242" t="inlineStr">
        <is>
          <t>AM01</t>
        </is>
      </c>
      <c r="F1242" s="5" t="n">
        <v>160.6</v>
      </c>
      <c r="G1242">
        <f>IF(LEFT(B1242,1)="C","Credit","Factuur")</f>
        <v/>
      </c>
      <c r="H1242">
        <f>IF(AND(B1242=B1241,D1242=D1241,A1242=A1241,F1242=F1241),1,0)</f>
        <v/>
      </c>
      <c r="I1242">
        <f>IF(C1242="C99999",1,0)</f>
        <v/>
      </c>
      <c r="J1242" s="5">
        <f>IF(OR(H1242=1,I1242=1),0,IF(G1242="Credit",-F1242,F1242))</f>
        <v/>
      </c>
    </row>
    <row r="1243">
      <c r="A1243" t="inlineStr">
        <is>
          <t>2026-07-13</t>
        </is>
      </c>
      <c r="B1243" t="inlineStr">
        <is>
          <t>F281153</t>
        </is>
      </c>
      <c r="C1243" t="inlineStr">
        <is>
          <t>C11113</t>
        </is>
      </c>
      <c r="D1243" t="inlineStr">
        <is>
          <t>SKU-10305</t>
        </is>
      </c>
      <c r="E1243" t="inlineStr">
        <is>
          <t>AM01</t>
        </is>
      </c>
      <c r="F1243" s="5" t="n">
        <v>157.2</v>
      </c>
      <c r="G1243">
        <f>IF(LEFT(B1243,1)="C","Credit","Factuur")</f>
        <v/>
      </c>
      <c r="H1243">
        <f>IF(AND(B1243=B1242,D1243=D1242,A1243=A1242,F1243=F1242),1,0)</f>
        <v/>
      </c>
      <c r="I1243">
        <f>IF(C1243="C99999",1,0)</f>
        <v/>
      </c>
      <c r="J1243" s="5">
        <f>IF(OR(H1243=1,I1243=1),0,IF(G1243="Credit",-F1243,F1243))</f>
        <v/>
      </c>
    </row>
    <row r="1244">
      <c r="A1244" t="inlineStr">
        <is>
          <t>2026-07-13</t>
        </is>
      </c>
      <c r="B1244" t="inlineStr">
        <is>
          <t>F281153</t>
        </is>
      </c>
      <c r="C1244" t="inlineStr">
        <is>
          <t>C11113</t>
        </is>
      </c>
      <c r="D1244" t="inlineStr">
        <is>
          <t>SKU-10314</t>
        </is>
      </c>
      <c r="E1244" t="inlineStr">
        <is>
          <t>AM01</t>
        </is>
      </c>
      <c r="F1244" s="5" t="n">
        <v>129.95</v>
      </c>
      <c r="G1244">
        <f>IF(LEFT(B1244,1)="C","Credit","Factuur")</f>
        <v/>
      </c>
      <c r="H1244">
        <f>IF(AND(B1244=B1243,D1244=D1243,A1244=A1243,F1244=F1243),1,0)</f>
        <v/>
      </c>
      <c r="I1244">
        <f>IF(C1244="C99999",1,0)</f>
        <v/>
      </c>
      <c r="J1244" s="5">
        <f>IF(OR(H1244=1,I1244=1),0,IF(G1244="Credit",-F1244,F1244))</f>
        <v/>
      </c>
    </row>
    <row r="1245">
      <c r="A1245" t="inlineStr">
        <is>
          <t>2026-07-13</t>
        </is>
      </c>
      <c r="B1245" t="inlineStr">
        <is>
          <t>F281153</t>
        </is>
      </c>
      <c r="C1245" t="inlineStr">
        <is>
          <t>C11113</t>
        </is>
      </c>
      <c r="D1245" t="inlineStr">
        <is>
          <t>SKU-10378</t>
        </is>
      </c>
      <c r="E1245" t="inlineStr">
        <is>
          <t>AM01</t>
        </is>
      </c>
      <c r="F1245" s="5" t="n">
        <v>224.33</v>
      </c>
      <c r="G1245">
        <f>IF(LEFT(B1245,1)="C","Credit","Factuur")</f>
        <v/>
      </c>
      <c r="H1245">
        <f>IF(AND(B1245=B1244,D1245=D1244,A1245=A1244,F1245=F1244),1,0)</f>
        <v/>
      </c>
      <c r="I1245">
        <f>IF(C1245="C99999",1,0)</f>
        <v/>
      </c>
      <c r="J1245" s="5">
        <f>IF(OR(H1245=1,I1245=1),0,IF(G1245="Credit",-F1245,F1245))</f>
        <v/>
      </c>
    </row>
    <row r="1246">
      <c r="A1246" t="inlineStr">
        <is>
          <t>2026-07-13</t>
        </is>
      </c>
      <c r="B1246" t="inlineStr">
        <is>
          <t>F281682</t>
        </is>
      </c>
      <c r="C1246" t="inlineStr">
        <is>
          <t>C11144</t>
        </is>
      </c>
      <c r="D1246" t="inlineStr">
        <is>
          <t>SKU-10098</t>
        </is>
      </c>
      <c r="E1246" t="inlineStr">
        <is>
          <t>AM02</t>
        </is>
      </c>
      <c r="F1246" s="5" t="n">
        <v>456.11</v>
      </c>
      <c r="G1246">
        <f>IF(LEFT(B1246,1)="C","Credit","Factuur")</f>
        <v/>
      </c>
      <c r="H1246">
        <f>IF(AND(B1246=B1245,D1246=D1245,A1246=A1245,F1246=F1245),1,0)</f>
        <v/>
      </c>
      <c r="I1246">
        <f>IF(C1246="C99999",1,0)</f>
        <v/>
      </c>
      <c r="J1246" s="5">
        <f>IF(OR(H1246=1,I1246=1),0,IF(G1246="Credit",-F1246,F1246))</f>
        <v/>
      </c>
    </row>
    <row r="1247">
      <c r="A1247" t="inlineStr">
        <is>
          <t>2026-07-13</t>
        </is>
      </c>
      <c r="B1247" t="inlineStr">
        <is>
          <t>F281682</t>
        </is>
      </c>
      <c r="C1247" t="inlineStr">
        <is>
          <t>C11144</t>
        </is>
      </c>
      <c r="D1247" t="inlineStr">
        <is>
          <t>SKU-10366</t>
        </is>
      </c>
      <c r="E1247" t="inlineStr">
        <is>
          <t>AM02</t>
        </is>
      </c>
      <c r="F1247" s="5" t="n">
        <v>451.71</v>
      </c>
      <c r="G1247">
        <f>IF(LEFT(B1247,1)="C","Credit","Factuur")</f>
        <v/>
      </c>
      <c r="H1247">
        <f>IF(AND(B1247=B1246,D1247=D1246,A1247=A1246,F1247=F1246),1,0)</f>
        <v/>
      </c>
      <c r="I1247">
        <f>IF(C1247="C99999",1,0)</f>
        <v/>
      </c>
      <c r="J1247" s="5">
        <f>IF(OR(H1247=1,I1247=1),0,IF(G1247="Credit",-F1247,F1247))</f>
        <v/>
      </c>
    </row>
    <row r="1248">
      <c r="A1248" t="inlineStr">
        <is>
          <t>2026-07-13</t>
        </is>
      </c>
      <c r="B1248" t="inlineStr">
        <is>
          <t>F282050</t>
        </is>
      </c>
      <c r="C1248" t="inlineStr">
        <is>
          <t>C11158</t>
        </is>
      </c>
      <c r="D1248" t="inlineStr">
        <is>
          <t>SKU-10260</t>
        </is>
      </c>
      <c r="E1248" t="inlineStr">
        <is>
          <t>AM06</t>
        </is>
      </c>
      <c r="F1248" s="5" t="n">
        <v>537.37</v>
      </c>
      <c r="G1248">
        <f>IF(LEFT(B1248,1)="C","Credit","Factuur")</f>
        <v/>
      </c>
      <c r="H1248">
        <f>IF(AND(B1248=B1247,D1248=D1247,A1248=A1247,F1248=F1247),1,0)</f>
        <v/>
      </c>
      <c r="I1248">
        <f>IF(C1248="C99999",1,0)</f>
        <v/>
      </c>
      <c r="J1248" s="5">
        <f>IF(OR(H1248=1,I1248=1),0,IF(G1248="Credit",-F1248,F1248))</f>
        <v/>
      </c>
    </row>
    <row r="1249">
      <c r="A1249" t="inlineStr">
        <is>
          <t>2026-07-13</t>
        </is>
      </c>
      <c r="B1249" t="inlineStr">
        <is>
          <t>F282050</t>
        </is>
      </c>
      <c r="C1249" t="inlineStr">
        <is>
          <t>C11158</t>
        </is>
      </c>
      <c r="D1249" t="inlineStr">
        <is>
          <t>SKU-10281</t>
        </is>
      </c>
      <c r="E1249" t="inlineStr">
        <is>
          <t>AM06</t>
        </is>
      </c>
      <c r="F1249" s="5" t="n">
        <v>492.74</v>
      </c>
      <c r="G1249">
        <f>IF(LEFT(B1249,1)="C","Credit","Factuur")</f>
        <v/>
      </c>
      <c r="H1249">
        <f>IF(AND(B1249=B1248,D1249=D1248,A1249=A1248,F1249=F1248),1,0)</f>
        <v/>
      </c>
      <c r="I1249">
        <f>IF(C1249="C99999",1,0)</f>
        <v/>
      </c>
      <c r="J1249" s="5">
        <f>IF(OR(H1249=1,I1249=1),0,IF(G1249="Credit",-F1249,F1249))</f>
        <v/>
      </c>
    </row>
    <row r="1250">
      <c r="A1250" t="inlineStr">
        <is>
          <t>2026-07-13</t>
        </is>
      </c>
      <c r="B1250" t="inlineStr">
        <is>
          <t>F284066</t>
        </is>
      </c>
      <c r="C1250" t="inlineStr">
        <is>
          <t>C11257</t>
        </is>
      </c>
      <c r="D1250" t="inlineStr">
        <is>
          <t>SKU-10193</t>
        </is>
      </c>
      <c r="E1250" t="inlineStr">
        <is>
          <t>AM06</t>
        </is>
      </c>
      <c r="F1250" s="5" t="n">
        <v>243.96</v>
      </c>
      <c r="G1250">
        <f>IF(LEFT(B1250,1)="C","Credit","Factuur")</f>
        <v/>
      </c>
      <c r="H1250">
        <f>IF(AND(B1250=B1249,D1250=D1249,A1250=A1249,F1250=F1249),1,0)</f>
        <v/>
      </c>
      <c r="I1250">
        <f>IF(C1250="C99999",1,0)</f>
        <v/>
      </c>
      <c r="J1250" s="5">
        <f>IF(OR(H1250=1,I1250=1),0,IF(G1250="Credit",-F1250,F1250))</f>
        <v/>
      </c>
    </row>
    <row r="1251">
      <c r="A1251" t="inlineStr">
        <is>
          <t>2026-07-13</t>
        </is>
      </c>
      <c r="B1251" t="inlineStr">
        <is>
          <t>F284066</t>
        </is>
      </c>
      <c r="C1251" t="inlineStr">
        <is>
          <t>C11257</t>
        </is>
      </c>
      <c r="D1251" t="inlineStr">
        <is>
          <t>SKU-10201</t>
        </is>
      </c>
      <c r="E1251" t="inlineStr">
        <is>
          <t>AM06</t>
        </is>
      </c>
      <c r="F1251" s="5" t="n">
        <v>239.76</v>
      </c>
      <c r="G1251">
        <f>IF(LEFT(B1251,1)="C","Credit","Factuur")</f>
        <v/>
      </c>
      <c r="H1251">
        <f>IF(AND(B1251=B1250,D1251=D1250,A1251=A1250,F1251=F1250),1,0)</f>
        <v/>
      </c>
      <c r="I1251">
        <f>IF(C1251="C99999",1,0)</f>
        <v/>
      </c>
      <c r="J1251" s="5">
        <f>IF(OR(H1251=1,I1251=1),0,IF(G1251="Credit",-F1251,F1251))</f>
        <v/>
      </c>
    </row>
    <row r="1252">
      <c r="A1252" t="inlineStr">
        <is>
          <t>2026-07-13</t>
        </is>
      </c>
      <c r="B1252" t="inlineStr">
        <is>
          <t>F284066</t>
        </is>
      </c>
      <c r="C1252" t="inlineStr">
        <is>
          <t>C11257</t>
        </is>
      </c>
      <c r="D1252" t="inlineStr">
        <is>
          <t>SKU-10299</t>
        </is>
      </c>
      <c r="E1252" t="inlineStr">
        <is>
          <t>AM06</t>
        </is>
      </c>
      <c r="F1252" s="5" t="n">
        <v>225.84</v>
      </c>
      <c r="G1252">
        <f>IF(LEFT(B1252,1)="C","Credit","Factuur")</f>
        <v/>
      </c>
      <c r="H1252">
        <f>IF(AND(B1252=B1251,D1252=D1251,A1252=A1251,F1252=F1251),1,0)</f>
        <v/>
      </c>
      <c r="I1252">
        <f>IF(C1252="C99999",1,0)</f>
        <v/>
      </c>
      <c r="J1252" s="5">
        <f>IF(OR(H1252=1,I1252=1),0,IF(G1252="Credit",-F1252,F1252))</f>
        <v/>
      </c>
    </row>
    <row r="1253">
      <c r="A1253" t="inlineStr">
        <is>
          <t>2026-07-13</t>
        </is>
      </c>
      <c r="B1253" t="inlineStr">
        <is>
          <t>F285475</t>
        </is>
      </c>
      <c r="C1253" t="inlineStr">
        <is>
          <t>C11331</t>
        </is>
      </c>
      <c r="D1253" t="inlineStr">
        <is>
          <t>SKU-10183</t>
        </is>
      </c>
      <c r="E1253" t="inlineStr">
        <is>
          <t>AM01</t>
        </is>
      </c>
      <c r="F1253" s="5" t="n">
        <v>1027.5</v>
      </c>
      <c r="G1253">
        <f>IF(LEFT(B1253,1)="C","Credit","Factuur")</f>
        <v/>
      </c>
      <c r="H1253">
        <f>IF(AND(B1253=B1252,D1253=D1252,A1253=A1252,F1253=F1252),1,0)</f>
        <v/>
      </c>
      <c r="I1253">
        <f>IF(C1253="C99999",1,0)</f>
        <v/>
      </c>
      <c r="J1253" s="5">
        <f>IF(OR(H1253=1,I1253=1),0,IF(G1253="Credit",-F1253,F1253))</f>
        <v/>
      </c>
    </row>
    <row r="1254">
      <c r="A1254" t="inlineStr">
        <is>
          <t>2026-07-13</t>
        </is>
      </c>
      <c r="B1254" t="inlineStr">
        <is>
          <t>F285475</t>
        </is>
      </c>
      <c r="C1254" t="inlineStr">
        <is>
          <t>C11331</t>
        </is>
      </c>
      <c r="D1254" t="inlineStr">
        <is>
          <t>SKU-10330</t>
        </is>
      </c>
      <c r="E1254" t="inlineStr">
        <is>
          <t>AM01</t>
        </is>
      </c>
      <c r="F1254" s="5" t="n">
        <v>1018.44</v>
      </c>
      <c r="G1254">
        <f>IF(LEFT(B1254,1)="C","Credit","Factuur")</f>
        <v/>
      </c>
      <c r="H1254">
        <f>IF(AND(B1254=B1253,D1254=D1253,A1254=A1253,F1254=F1253),1,0)</f>
        <v/>
      </c>
      <c r="I1254">
        <f>IF(C1254="C99999",1,0)</f>
        <v/>
      </c>
      <c r="J1254" s="5">
        <f>IF(OR(H1254=1,I1254=1),0,IF(G1254="Credit",-F1254,F1254))</f>
        <v/>
      </c>
    </row>
    <row r="1255">
      <c r="A1255" t="inlineStr">
        <is>
          <t>2026-07-14</t>
        </is>
      </c>
      <c r="B1255" t="inlineStr">
        <is>
          <t>C900195</t>
        </is>
      </c>
      <c r="C1255" t="inlineStr">
        <is>
          <t>C10234</t>
        </is>
      </c>
      <c r="D1255" t="inlineStr">
        <is>
          <t>SKU-10328</t>
        </is>
      </c>
      <c r="E1255" t="inlineStr">
        <is>
          <t>AM08</t>
        </is>
      </c>
      <c r="F1255" s="5" t="n">
        <v>253.04</v>
      </c>
      <c r="G1255">
        <f>IF(LEFT(B1255,1)="C","Credit","Factuur")</f>
        <v/>
      </c>
      <c r="H1255">
        <f>IF(AND(B1255=B1254,D1255=D1254,A1255=A1254,F1255=F1254),1,0)</f>
        <v/>
      </c>
      <c r="I1255">
        <f>IF(C1255="C99999",1,0)</f>
        <v/>
      </c>
      <c r="J1255" s="5">
        <f>IF(OR(H1255=1,I1255=1),0,IF(G1255="Credit",-F1255,F1255))</f>
        <v/>
      </c>
    </row>
    <row r="1256">
      <c r="A1256" t="inlineStr">
        <is>
          <t>2026-07-14</t>
        </is>
      </c>
      <c r="B1256" t="inlineStr">
        <is>
          <t>C900403</t>
        </is>
      </c>
      <c r="C1256" t="inlineStr">
        <is>
          <t>C10025</t>
        </is>
      </c>
      <c r="D1256" t="inlineStr">
        <is>
          <t>SKU-10316</t>
        </is>
      </c>
      <c r="E1256" t="inlineStr">
        <is>
          <t>AM05</t>
        </is>
      </c>
      <c r="F1256" s="5" t="n">
        <v>573.8</v>
      </c>
      <c r="G1256">
        <f>IF(LEFT(B1256,1)="C","Credit","Factuur")</f>
        <v/>
      </c>
      <c r="H1256">
        <f>IF(AND(B1256=B1255,D1256=D1255,A1256=A1255,F1256=F1255),1,0)</f>
        <v/>
      </c>
      <c r="I1256">
        <f>IF(C1256="C99999",1,0)</f>
        <v/>
      </c>
      <c r="J1256" s="5">
        <f>IF(OR(H1256=1,I1256=1),0,IF(G1256="Credit",-F1256,F1256))</f>
        <v/>
      </c>
    </row>
    <row r="1257">
      <c r="A1257" t="inlineStr">
        <is>
          <t>2026-07-14</t>
        </is>
      </c>
      <c r="B1257" t="inlineStr">
        <is>
          <t>C900663</t>
        </is>
      </c>
      <c r="C1257" t="inlineStr">
        <is>
          <t>C10755</t>
        </is>
      </c>
      <c r="D1257" t="inlineStr">
        <is>
          <t>SKU-10154</t>
        </is>
      </c>
      <c r="E1257" t="inlineStr">
        <is>
          <t>IS01</t>
        </is>
      </c>
      <c r="F1257" s="5" t="n">
        <v>24.57</v>
      </c>
      <c r="G1257">
        <f>IF(LEFT(B1257,1)="C","Credit","Factuur")</f>
        <v/>
      </c>
      <c r="H1257">
        <f>IF(AND(B1257=B1256,D1257=D1256,A1257=A1256,F1257=F1256),1,0)</f>
        <v/>
      </c>
      <c r="I1257">
        <f>IF(C1257="C99999",1,0)</f>
        <v/>
      </c>
      <c r="J1257" s="5">
        <f>IF(OR(H1257=1,I1257=1),0,IF(G1257="Credit",-F1257,F1257))</f>
        <v/>
      </c>
    </row>
    <row r="1258">
      <c r="A1258" t="inlineStr">
        <is>
          <t>2026-07-14</t>
        </is>
      </c>
      <c r="B1258" t="inlineStr">
        <is>
          <t>C900982</t>
        </is>
      </c>
      <c r="C1258" t="inlineStr">
        <is>
          <t>C10670</t>
        </is>
      </c>
      <c r="D1258" t="inlineStr">
        <is>
          <t>SKU-10226</t>
        </is>
      </c>
      <c r="E1258" t="inlineStr">
        <is>
          <t>AM03</t>
        </is>
      </c>
      <c r="F1258" s="5" t="n">
        <v>43.72</v>
      </c>
      <c r="G1258">
        <f>IF(LEFT(B1258,1)="C","Credit","Factuur")</f>
        <v/>
      </c>
      <c r="H1258">
        <f>IF(AND(B1258=B1257,D1258=D1257,A1258=A1257,F1258=F1257),1,0)</f>
        <v/>
      </c>
      <c r="I1258">
        <f>IF(C1258="C99999",1,0)</f>
        <v/>
      </c>
      <c r="J1258" s="5">
        <f>IF(OR(H1258=1,I1258=1),0,IF(G1258="Credit",-F1258,F1258))</f>
        <v/>
      </c>
    </row>
    <row r="1259">
      <c r="A1259" t="inlineStr">
        <is>
          <t>2026-07-14</t>
        </is>
      </c>
      <c r="B1259" t="inlineStr">
        <is>
          <t>C901576</t>
        </is>
      </c>
      <c r="C1259" t="inlineStr">
        <is>
          <t>C10921</t>
        </is>
      </c>
      <c r="D1259" t="inlineStr">
        <is>
          <t>SKU-10302</t>
        </is>
      </c>
      <c r="E1259" t="inlineStr">
        <is>
          <t>AM07</t>
        </is>
      </c>
      <c r="F1259" s="5" t="n">
        <v>87.81999999999999</v>
      </c>
      <c r="G1259">
        <f>IF(LEFT(B1259,1)="C","Credit","Factuur")</f>
        <v/>
      </c>
      <c r="H1259">
        <f>IF(AND(B1259=B1258,D1259=D1258,A1259=A1258,F1259=F1258),1,0)</f>
        <v/>
      </c>
      <c r="I1259">
        <f>IF(C1259="C99999",1,0)</f>
        <v/>
      </c>
      <c r="J1259" s="5">
        <f>IF(OR(H1259=1,I1259=1),0,IF(G1259="Credit",-F1259,F1259))</f>
        <v/>
      </c>
    </row>
    <row r="1260">
      <c r="A1260" t="inlineStr">
        <is>
          <t>2026-07-14</t>
        </is>
      </c>
      <c r="B1260" t="inlineStr">
        <is>
          <t>C901719</t>
        </is>
      </c>
      <c r="C1260" t="inlineStr">
        <is>
          <t>C11153</t>
        </is>
      </c>
      <c r="D1260" t="inlineStr">
        <is>
          <t>SKU-10186</t>
        </is>
      </c>
      <c r="E1260" t="inlineStr">
        <is>
          <t>AM03</t>
        </is>
      </c>
      <c r="F1260" s="5" t="n">
        <v>362.95</v>
      </c>
      <c r="G1260">
        <f>IF(LEFT(B1260,1)="C","Credit","Factuur")</f>
        <v/>
      </c>
      <c r="H1260">
        <f>IF(AND(B1260=B1259,D1260=D1259,A1260=A1259,F1260=F1259),1,0)</f>
        <v/>
      </c>
      <c r="I1260">
        <f>IF(C1260="C99999",1,0)</f>
        <v/>
      </c>
      <c r="J1260" s="5">
        <f>IF(OR(H1260=1,I1260=1),0,IF(G1260="Credit",-F1260,F1260))</f>
        <v/>
      </c>
    </row>
    <row r="1261">
      <c r="A1261" t="inlineStr">
        <is>
          <t>2026-07-14</t>
        </is>
      </c>
      <c r="B1261" t="inlineStr">
        <is>
          <t>C901816</t>
        </is>
      </c>
      <c r="C1261" t="inlineStr">
        <is>
          <t>C10284</t>
        </is>
      </c>
      <c r="D1261" t="inlineStr">
        <is>
          <t>SKU-10127</t>
        </is>
      </c>
      <c r="E1261" t="inlineStr">
        <is>
          <t>AM12</t>
        </is>
      </c>
      <c r="F1261" s="5" t="n">
        <v>91.55</v>
      </c>
      <c r="G1261">
        <f>IF(LEFT(B1261,1)="C","Credit","Factuur")</f>
        <v/>
      </c>
      <c r="H1261">
        <f>IF(AND(B1261=B1260,D1261=D1260,A1261=A1260,F1261=F1260),1,0)</f>
        <v/>
      </c>
      <c r="I1261">
        <f>IF(C1261="C99999",1,0)</f>
        <v/>
      </c>
      <c r="J1261" s="5">
        <f>IF(OR(H1261=1,I1261=1),0,IF(G1261="Credit",-F1261,F1261))</f>
        <v/>
      </c>
    </row>
    <row r="1262">
      <c r="A1262" t="inlineStr">
        <is>
          <t>2026-07-14</t>
        </is>
      </c>
      <c r="B1262" t="inlineStr">
        <is>
          <t>F260236</t>
        </is>
      </c>
      <c r="C1262" t="inlineStr">
        <is>
          <t>C10015</t>
        </is>
      </c>
      <c r="D1262" t="inlineStr">
        <is>
          <t>SKU-10038</t>
        </is>
      </c>
      <c r="E1262" t="inlineStr">
        <is>
          <t>AM02</t>
        </is>
      </c>
      <c r="F1262" s="5" t="n">
        <v>78.56999999999999</v>
      </c>
      <c r="G1262">
        <f>IF(LEFT(B1262,1)="C","Credit","Factuur")</f>
        <v/>
      </c>
      <c r="H1262">
        <f>IF(AND(B1262=B1261,D1262=D1261,A1262=A1261,F1262=F1261),1,0)</f>
        <v/>
      </c>
      <c r="I1262">
        <f>IF(C1262="C99999",1,0)</f>
        <v/>
      </c>
      <c r="J1262" s="5">
        <f>IF(OR(H1262=1,I1262=1),0,IF(G1262="Credit",-F1262,F1262))</f>
        <v/>
      </c>
    </row>
    <row r="1263">
      <c r="A1263" t="inlineStr">
        <is>
          <t>2026-07-14</t>
        </is>
      </c>
      <c r="B1263" t="inlineStr">
        <is>
          <t>F260236</t>
        </is>
      </c>
      <c r="C1263" t="inlineStr">
        <is>
          <t>C10015</t>
        </is>
      </c>
      <c r="D1263" t="inlineStr">
        <is>
          <t>SKU-10097</t>
        </is>
      </c>
      <c r="E1263" t="inlineStr">
        <is>
          <t>AM02</t>
        </is>
      </c>
      <c r="F1263" s="5" t="n">
        <v>85.2</v>
      </c>
      <c r="G1263">
        <f>IF(LEFT(B1263,1)="C","Credit","Factuur")</f>
        <v/>
      </c>
      <c r="H1263">
        <f>IF(AND(B1263=B1262,D1263=D1262,A1263=A1262,F1263=F1262),1,0)</f>
        <v/>
      </c>
      <c r="I1263">
        <f>IF(C1263="C99999",1,0)</f>
        <v/>
      </c>
      <c r="J1263" s="5">
        <f>IF(OR(H1263=1,I1263=1),0,IF(G1263="Credit",-F1263,F1263))</f>
        <v/>
      </c>
    </row>
    <row r="1264">
      <c r="A1264" t="inlineStr">
        <is>
          <t>2026-07-14</t>
        </is>
      </c>
      <c r="B1264" t="inlineStr">
        <is>
          <t>F260236</t>
        </is>
      </c>
      <c r="C1264" t="inlineStr">
        <is>
          <t>C10015</t>
        </is>
      </c>
      <c r="D1264" t="inlineStr">
        <is>
          <t>SKU-10118</t>
        </is>
      </c>
      <c r="E1264" t="inlineStr">
        <is>
          <t>AM02</t>
        </is>
      </c>
      <c r="F1264" s="5" t="n">
        <v>69.12</v>
      </c>
      <c r="G1264">
        <f>IF(LEFT(B1264,1)="C","Credit","Factuur")</f>
        <v/>
      </c>
      <c r="H1264">
        <f>IF(AND(B1264=B1263,D1264=D1263,A1264=A1263,F1264=F1263),1,0)</f>
        <v/>
      </c>
      <c r="I1264">
        <f>IF(C1264="C99999",1,0)</f>
        <v/>
      </c>
      <c r="J1264" s="5">
        <f>IF(OR(H1264=1,I1264=1),0,IF(G1264="Credit",-F1264,F1264))</f>
        <v/>
      </c>
    </row>
    <row r="1265">
      <c r="A1265" t="inlineStr">
        <is>
          <t>2026-07-14</t>
        </is>
      </c>
      <c r="B1265" t="inlineStr">
        <is>
          <t>F260236</t>
        </is>
      </c>
      <c r="C1265" t="inlineStr">
        <is>
          <t>C10015</t>
        </is>
      </c>
      <c r="D1265" t="inlineStr">
        <is>
          <t>SKU-10145</t>
        </is>
      </c>
      <c r="E1265" t="inlineStr">
        <is>
          <t>AM02</t>
        </is>
      </c>
      <c r="F1265" s="5" t="n">
        <v>113.22</v>
      </c>
      <c r="G1265">
        <f>IF(LEFT(B1265,1)="C","Credit","Factuur")</f>
        <v/>
      </c>
      <c r="H1265">
        <f>IF(AND(B1265=B1264,D1265=D1264,A1265=A1264,F1265=F1264),1,0)</f>
        <v/>
      </c>
      <c r="I1265">
        <f>IF(C1265="C99999",1,0)</f>
        <v/>
      </c>
      <c r="J1265" s="5">
        <f>IF(OR(H1265=1,I1265=1),0,IF(G1265="Credit",-F1265,F1265))</f>
        <v/>
      </c>
    </row>
    <row r="1266">
      <c r="A1266" t="inlineStr">
        <is>
          <t>2026-07-14</t>
        </is>
      </c>
      <c r="B1266" t="inlineStr">
        <is>
          <t>F260236</t>
        </is>
      </c>
      <c r="C1266" t="inlineStr">
        <is>
          <t>C10015</t>
        </is>
      </c>
      <c r="D1266" t="inlineStr">
        <is>
          <t>SKU-10193</t>
        </is>
      </c>
      <c r="E1266" t="inlineStr">
        <is>
          <t>AM02</t>
        </is>
      </c>
      <c r="F1266" s="5" t="n">
        <v>81.31999999999999</v>
      </c>
      <c r="G1266">
        <f>IF(LEFT(B1266,1)="C","Credit","Factuur")</f>
        <v/>
      </c>
      <c r="H1266">
        <f>IF(AND(B1266=B1265,D1266=D1265,A1266=A1265,F1266=F1265),1,0)</f>
        <v/>
      </c>
      <c r="I1266">
        <f>IF(C1266="C99999",1,0)</f>
        <v/>
      </c>
      <c r="J1266" s="5">
        <f>IF(OR(H1266=1,I1266=1),0,IF(G1266="Credit",-F1266,F1266))</f>
        <v/>
      </c>
    </row>
    <row r="1267">
      <c r="A1267" t="inlineStr">
        <is>
          <t>2026-07-14</t>
        </is>
      </c>
      <c r="B1267" t="inlineStr">
        <is>
          <t>F260645</t>
        </is>
      </c>
      <c r="C1267" t="inlineStr">
        <is>
          <t>C10036</t>
        </is>
      </c>
      <c r="D1267" t="inlineStr">
        <is>
          <t>SKU-10134</t>
        </is>
      </c>
      <c r="E1267" t="inlineStr">
        <is>
          <t>AM01</t>
        </is>
      </c>
      <c r="F1267" s="5" t="n">
        <v>64.92</v>
      </c>
      <c r="G1267">
        <f>IF(LEFT(B1267,1)="C","Credit","Factuur")</f>
        <v/>
      </c>
      <c r="H1267">
        <f>IF(AND(B1267=B1266,D1267=D1266,A1267=A1266,F1267=F1266),1,0)</f>
        <v/>
      </c>
      <c r="I1267">
        <f>IF(C1267="C99999",1,0)</f>
        <v/>
      </c>
      <c r="J1267" s="5">
        <f>IF(OR(H1267=1,I1267=1),0,IF(G1267="Credit",-F1267,F1267))</f>
        <v/>
      </c>
    </row>
    <row r="1268">
      <c r="A1268" t="inlineStr">
        <is>
          <t>2026-07-14</t>
        </is>
      </c>
      <c r="B1268" t="inlineStr">
        <is>
          <t>F260645</t>
        </is>
      </c>
      <c r="C1268" t="inlineStr">
        <is>
          <t>C10036</t>
        </is>
      </c>
      <c r="D1268" t="inlineStr">
        <is>
          <t>SKU-10156</t>
        </is>
      </c>
      <c r="E1268" t="inlineStr">
        <is>
          <t>AM01</t>
        </is>
      </c>
      <c r="F1268" s="5" t="n">
        <v>89.76000000000001</v>
      </c>
      <c r="G1268">
        <f>IF(LEFT(B1268,1)="C","Credit","Factuur")</f>
        <v/>
      </c>
      <c r="H1268">
        <f>IF(AND(B1268=B1267,D1268=D1267,A1268=A1267,F1268=F1267),1,0)</f>
        <v/>
      </c>
      <c r="I1268">
        <f>IF(C1268="C99999",1,0)</f>
        <v/>
      </c>
      <c r="J1268" s="5">
        <f>IF(OR(H1268=1,I1268=1),0,IF(G1268="Credit",-F1268,F1268))</f>
        <v/>
      </c>
    </row>
    <row r="1269">
      <c r="A1269" t="inlineStr">
        <is>
          <t>2026-07-14</t>
        </is>
      </c>
      <c r="B1269" t="inlineStr">
        <is>
          <t>F260645</t>
        </is>
      </c>
      <c r="C1269" t="inlineStr">
        <is>
          <t>C10036</t>
        </is>
      </c>
      <c r="D1269" t="inlineStr">
        <is>
          <t>SKU-10263</t>
        </is>
      </c>
      <c r="E1269" t="inlineStr">
        <is>
          <t>AM01</t>
        </is>
      </c>
      <c r="F1269" s="5" t="n">
        <v>91.65000000000001</v>
      </c>
      <c r="G1269">
        <f>IF(LEFT(B1269,1)="C","Credit","Factuur")</f>
        <v/>
      </c>
      <c r="H1269">
        <f>IF(AND(B1269=B1268,D1269=D1268,A1269=A1268,F1269=F1268),1,0)</f>
        <v/>
      </c>
      <c r="I1269">
        <f>IF(C1269="C99999",1,0)</f>
        <v/>
      </c>
      <c r="J1269" s="5">
        <f>IF(OR(H1269=1,I1269=1),0,IF(G1269="Credit",-F1269,F1269))</f>
        <v/>
      </c>
    </row>
    <row r="1270">
      <c r="A1270" t="inlineStr">
        <is>
          <t>2026-07-14</t>
        </is>
      </c>
      <c r="B1270" t="inlineStr">
        <is>
          <t>F260645</t>
        </is>
      </c>
      <c r="C1270" t="inlineStr">
        <is>
          <t>C10036</t>
        </is>
      </c>
      <c r="D1270" t="inlineStr">
        <is>
          <t>SKU-10289</t>
        </is>
      </c>
      <c r="E1270" t="inlineStr">
        <is>
          <t>AM01</t>
        </is>
      </c>
      <c r="F1270" s="5" t="n">
        <v>72.94</v>
      </c>
      <c r="G1270">
        <f>IF(LEFT(B1270,1)="C","Credit","Factuur")</f>
        <v/>
      </c>
      <c r="H1270">
        <f>IF(AND(B1270=B1269,D1270=D1269,A1270=A1269,F1270=F1269),1,0)</f>
        <v/>
      </c>
      <c r="I1270">
        <f>IF(C1270="C99999",1,0)</f>
        <v/>
      </c>
      <c r="J1270" s="5">
        <f>IF(OR(H1270=1,I1270=1),0,IF(G1270="Credit",-F1270,F1270))</f>
        <v/>
      </c>
    </row>
    <row r="1271">
      <c r="A1271" t="inlineStr">
        <is>
          <t>2026-07-14</t>
        </is>
      </c>
      <c r="B1271" t="inlineStr">
        <is>
          <t>F262229</t>
        </is>
      </c>
      <c r="C1271" t="inlineStr">
        <is>
          <t>C10119</t>
        </is>
      </c>
      <c r="D1271" t="inlineStr">
        <is>
          <t>SKU-10188</t>
        </is>
      </c>
      <c r="E1271" t="inlineStr">
        <is>
          <t>AM12</t>
        </is>
      </c>
      <c r="F1271" s="5" t="n">
        <v>154.26</v>
      </c>
      <c r="G1271">
        <f>IF(LEFT(B1271,1)="C","Credit","Factuur")</f>
        <v/>
      </c>
      <c r="H1271">
        <f>IF(AND(B1271=B1270,D1271=D1270,A1271=A1270,F1271=F1270),1,0)</f>
        <v/>
      </c>
      <c r="I1271">
        <f>IF(C1271="C99999",1,0)</f>
        <v/>
      </c>
      <c r="J1271" s="5">
        <f>IF(OR(H1271=1,I1271=1),0,IF(G1271="Credit",-F1271,F1271))</f>
        <v/>
      </c>
    </row>
    <row r="1272">
      <c r="A1272" t="inlineStr">
        <is>
          <t>2026-07-14</t>
        </is>
      </c>
      <c r="B1272" t="inlineStr">
        <is>
          <t>F262229</t>
        </is>
      </c>
      <c r="C1272" t="inlineStr">
        <is>
          <t>C10119</t>
        </is>
      </c>
      <c r="D1272" t="inlineStr">
        <is>
          <t>SKU-10256</t>
        </is>
      </c>
      <c r="E1272" t="inlineStr">
        <is>
          <t>AM12</t>
        </is>
      </c>
      <c r="F1272" s="5" t="n">
        <v>158.18</v>
      </c>
      <c r="G1272">
        <f>IF(LEFT(B1272,1)="C","Credit","Factuur")</f>
        <v/>
      </c>
      <c r="H1272">
        <f>IF(AND(B1272=B1271,D1272=D1271,A1272=A1271,F1272=F1271),1,0)</f>
        <v/>
      </c>
      <c r="I1272">
        <f>IF(C1272="C99999",1,0)</f>
        <v/>
      </c>
      <c r="J1272" s="5">
        <f>IF(OR(H1272=1,I1272=1),0,IF(G1272="Credit",-F1272,F1272))</f>
        <v/>
      </c>
    </row>
    <row r="1273">
      <c r="A1273" t="inlineStr">
        <is>
          <t>2026-07-14</t>
        </is>
      </c>
      <c r="B1273" t="inlineStr">
        <is>
          <t>F262666</t>
        </is>
      </c>
      <c r="C1273" t="inlineStr">
        <is>
          <t>C10142</t>
        </is>
      </c>
      <c r="D1273" t="inlineStr">
        <is>
          <t>SKU-10057</t>
        </is>
      </c>
      <c r="E1273" t="inlineStr">
        <is>
          <t>IS01</t>
        </is>
      </c>
      <c r="F1273" s="5" t="n">
        <v>90</v>
      </c>
      <c r="G1273">
        <f>IF(LEFT(B1273,1)="C","Credit","Factuur")</f>
        <v/>
      </c>
      <c r="H1273">
        <f>IF(AND(B1273=B1272,D1273=D1272,A1273=A1272,F1273=F1272),1,0)</f>
        <v/>
      </c>
      <c r="I1273">
        <f>IF(C1273="C99999",1,0)</f>
        <v/>
      </c>
      <c r="J1273" s="5">
        <f>IF(OR(H1273=1,I1273=1),0,IF(G1273="Credit",-F1273,F1273))</f>
        <v/>
      </c>
    </row>
    <row r="1274">
      <c r="A1274" t="inlineStr">
        <is>
          <t>2026-07-14</t>
        </is>
      </c>
      <c r="B1274" t="inlineStr">
        <is>
          <t>F262666</t>
        </is>
      </c>
      <c r="C1274" t="inlineStr">
        <is>
          <t>C10142</t>
        </is>
      </c>
      <c r="D1274" t="inlineStr">
        <is>
          <t>SKU-10164</t>
        </is>
      </c>
      <c r="E1274" t="inlineStr">
        <is>
          <t>IS01</t>
        </is>
      </c>
      <c r="F1274" s="5" t="n">
        <v>98.44</v>
      </c>
      <c r="G1274">
        <f>IF(LEFT(B1274,1)="C","Credit","Factuur")</f>
        <v/>
      </c>
      <c r="H1274">
        <f>IF(AND(B1274=B1273,D1274=D1273,A1274=A1273,F1274=F1273),1,0)</f>
        <v/>
      </c>
      <c r="I1274">
        <f>IF(C1274="C99999",1,0)</f>
        <v/>
      </c>
      <c r="J1274" s="5">
        <f>IF(OR(H1274=1,I1274=1),0,IF(G1274="Credit",-F1274,F1274))</f>
        <v/>
      </c>
    </row>
    <row r="1275">
      <c r="A1275" t="inlineStr">
        <is>
          <t>2026-07-14</t>
        </is>
      </c>
      <c r="B1275" t="inlineStr">
        <is>
          <t>F262666</t>
        </is>
      </c>
      <c r="C1275" t="inlineStr">
        <is>
          <t>C10142</t>
        </is>
      </c>
      <c r="D1275" t="inlineStr">
        <is>
          <t>SKU-10189</t>
        </is>
      </c>
      <c r="E1275" t="inlineStr">
        <is>
          <t>IS01</t>
        </is>
      </c>
      <c r="F1275" s="5" t="n">
        <v>96.45999999999999</v>
      </c>
      <c r="G1275">
        <f>IF(LEFT(B1275,1)="C","Credit","Factuur")</f>
        <v/>
      </c>
      <c r="H1275">
        <f>IF(AND(B1275=B1274,D1275=D1274,A1275=A1274,F1275=F1274),1,0)</f>
        <v/>
      </c>
      <c r="I1275">
        <f>IF(C1275="C99999",1,0)</f>
        <v/>
      </c>
      <c r="J1275" s="5">
        <f>IF(OR(H1275=1,I1275=1),0,IF(G1275="Credit",-F1275,F1275))</f>
        <v/>
      </c>
    </row>
    <row r="1276">
      <c r="A1276" t="inlineStr">
        <is>
          <t>2026-07-14</t>
        </is>
      </c>
      <c r="B1276" t="inlineStr">
        <is>
          <t>F262666</t>
        </is>
      </c>
      <c r="C1276" t="inlineStr">
        <is>
          <t>C10142</t>
        </is>
      </c>
      <c r="D1276" t="inlineStr">
        <is>
          <t>SKU-10229</t>
        </is>
      </c>
      <c r="E1276" t="inlineStr">
        <is>
          <t>IS01</t>
        </is>
      </c>
      <c r="F1276" s="5" t="n">
        <v>87.8</v>
      </c>
      <c r="G1276">
        <f>IF(LEFT(B1276,1)="C","Credit","Factuur")</f>
        <v/>
      </c>
      <c r="H1276">
        <f>IF(AND(B1276=B1275,D1276=D1275,A1276=A1275,F1276=F1275),1,0)</f>
        <v/>
      </c>
      <c r="I1276">
        <f>IF(C1276="C99999",1,0)</f>
        <v/>
      </c>
      <c r="J1276" s="5">
        <f>IF(OR(H1276=1,I1276=1),0,IF(G1276="Credit",-F1276,F1276))</f>
        <v/>
      </c>
    </row>
    <row r="1277">
      <c r="A1277" t="inlineStr">
        <is>
          <t>2026-07-14</t>
        </is>
      </c>
      <c r="B1277" t="inlineStr">
        <is>
          <t>F262666</t>
        </is>
      </c>
      <c r="C1277" t="inlineStr">
        <is>
          <t>C10142</t>
        </is>
      </c>
      <c r="D1277" t="inlineStr">
        <is>
          <t>SKU-10288</t>
        </is>
      </c>
      <c r="E1277" t="inlineStr">
        <is>
          <t>IS01</t>
        </is>
      </c>
      <c r="F1277" s="5" t="n">
        <v>96.51000000000001</v>
      </c>
      <c r="G1277">
        <f>IF(LEFT(B1277,1)="C","Credit","Factuur")</f>
        <v/>
      </c>
      <c r="H1277">
        <f>IF(AND(B1277=B1276,D1277=D1276,A1277=A1276,F1277=F1276),1,0)</f>
        <v/>
      </c>
      <c r="I1277">
        <f>IF(C1277="C99999",1,0)</f>
        <v/>
      </c>
      <c r="J1277" s="5">
        <f>IF(OR(H1277=1,I1277=1),0,IF(G1277="Credit",-F1277,F1277))</f>
        <v/>
      </c>
    </row>
    <row r="1278">
      <c r="A1278" t="inlineStr">
        <is>
          <t>2026-07-14</t>
        </is>
      </c>
      <c r="B1278" t="inlineStr">
        <is>
          <t>F262898</t>
        </is>
      </c>
      <c r="C1278" t="inlineStr">
        <is>
          <t>C10156</t>
        </is>
      </c>
      <c r="D1278" t="inlineStr">
        <is>
          <t>SKU-10024</t>
        </is>
      </c>
      <c r="E1278" t="inlineStr">
        <is>
          <t>AM03</t>
        </is>
      </c>
      <c r="F1278" s="5" t="n">
        <v>521.86</v>
      </c>
      <c r="G1278">
        <f>IF(LEFT(B1278,1)="C","Credit","Factuur")</f>
        <v/>
      </c>
      <c r="H1278">
        <f>IF(AND(B1278=B1277,D1278=D1277,A1278=A1277,F1278=F1277),1,0)</f>
        <v/>
      </c>
      <c r="I1278">
        <f>IF(C1278="C99999",1,0)</f>
        <v/>
      </c>
      <c r="J1278" s="5">
        <f>IF(OR(H1278=1,I1278=1),0,IF(G1278="Credit",-F1278,F1278))</f>
        <v/>
      </c>
    </row>
    <row r="1279">
      <c r="A1279" t="inlineStr">
        <is>
          <t>2026-07-14</t>
        </is>
      </c>
      <c r="B1279" t="inlineStr">
        <is>
          <t>F262898</t>
        </is>
      </c>
      <c r="C1279" t="inlineStr">
        <is>
          <t>C10156</t>
        </is>
      </c>
      <c r="D1279" t="inlineStr">
        <is>
          <t>SKU-10047</t>
        </is>
      </c>
      <c r="E1279" t="inlineStr">
        <is>
          <t>AM03</t>
        </is>
      </c>
      <c r="F1279" s="5" t="n">
        <v>574.64</v>
      </c>
      <c r="G1279">
        <f>IF(LEFT(B1279,1)="C","Credit","Factuur")</f>
        <v/>
      </c>
      <c r="H1279">
        <f>IF(AND(B1279=B1278,D1279=D1278,A1279=A1278,F1279=F1278),1,0)</f>
        <v/>
      </c>
      <c r="I1279">
        <f>IF(C1279="C99999",1,0)</f>
        <v/>
      </c>
      <c r="J1279" s="5">
        <f>IF(OR(H1279=1,I1279=1),0,IF(G1279="Credit",-F1279,F1279))</f>
        <v/>
      </c>
    </row>
    <row r="1280">
      <c r="A1280" t="inlineStr">
        <is>
          <t>2026-07-14</t>
        </is>
      </c>
      <c r="B1280" t="inlineStr">
        <is>
          <t>F262898</t>
        </is>
      </c>
      <c r="C1280" t="inlineStr">
        <is>
          <t>C10156</t>
        </is>
      </c>
      <c r="D1280" t="inlineStr">
        <is>
          <t>SKU-10091</t>
        </is>
      </c>
      <c r="E1280" t="inlineStr">
        <is>
          <t>AM03</t>
        </is>
      </c>
      <c r="F1280" s="5" t="n">
        <v>557.79</v>
      </c>
      <c r="G1280">
        <f>IF(LEFT(B1280,1)="C","Credit","Factuur")</f>
        <v/>
      </c>
      <c r="H1280">
        <f>IF(AND(B1280=B1279,D1280=D1279,A1280=A1279,F1280=F1279),1,0)</f>
        <v/>
      </c>
      <c r="I1280">
        <f>IF(C1280="C99999",1,0)</f>
        <v/>
      </c>
      <c r="J1280" s="5">
        <f>IF(OR(H1280=1,I1280=1),0,IF(G1280="Credit",-F1280,F1280))</f>
        <v/>
      </c>
    </row>
    <row r="1281">
      <c r="A1281" t="inlineStr">
        <is>
          <t>2026-07-14</t>
        </is>
      </c>
      <c r="B1281" t="inlineStr">
        <is>
          <t>F262974</t>
        </is>
      </c>
      <c r="C1281" t="inlineStr">
        <is>
          <t>C10161</t>
        </is>
      </c>
      <c r="D1281" t="inlineStr">
        <is>
          <t>SKU-10174</t>
        </is>
      </c>
      <c r="E1281" t="inlineStr">
        <is>
          <t>AM08</t>
        </is>
      </c>
      <c r="F1281" s="5" t="n">
        <v>678.47</v>
      </c>
      <c r="G1281">
        <f>IF(LEFT(B1281,1)="C","Credit","Factuur")</f>
        <v/>
      </c>
      <c r="H1281">
        <f>IF(AND(B1281=B1280,D1281=D1280,A1281=A1280,F1281=F1280),1,0)</f>
        <v/>
      </c>
      <c r="I1281">
        <f>IF(C1281="C99999",1,0)</f>
        <v/>
      </c>
      <c r="J1281" s="5">
        <f>IF(OR(H1281=1,I1281=1),0,IF(G1281="Credit",-F1281,F1281))</f>
        <v/>
      </c>
    </row>
    <row r="1282">
      <c r="A1282" t="inlineStr">
        <is>
          <t>2026-07-14</t>
        </is>
      </c>
      <c r="B1282" t="inlineStr">
        <is>
          <t>F262974</t>
        </is>
      </c>
      <c r="C1282" t="inlineStr">
        <is>
          <t>C10161</t>
        </is>
      </c>
      <c r="D1282" t="inlineStr">
        <is>
          <t>SKU-10304</t>
        </is>
      </c>
      <c r="E1282" t="inlineStr">
        <is>
          <t>AM08</t>
        </is>
      </c>
      <c r="F1282" s="5" t="n">
        <v>672.3200000000001</v>
      </c>
      <c r="G1282">
        <f>IF(LEFT(B1282,1)="C","Credit","Factuur")</f>
        <v/>
      </c>
      <c r="H1282">
        <f>IF(AND(B1282=B1281,D1282=D1281,A1282=A1281,F1282=F1281),1,0)</f>
        <v/>
      </c>
      <c r="I1282">
        <f>IF(C1282="C99999",1,0)</f>
        <v/>
      </c>
      <c r="J1282" s="5">
        <f>IF(OR(H1282=1,I1282=1),0,IF(G1282="Credit",-F1282,F1282))</f>
        <v/>
      </c>
    </row>
    <row r="1283">
      <c r="A1283" t="inlineStr">
        <is>
          <t>2026-07-14</t>
        </is>
      </c>
      <c r="B1283" t="inlineStr">
        <is>
          <t>F264538</t>
        </is>
      </c>
      <c r="C1283" t="inlineStr">
        <is>
          <t>C10234</t>
        </is>
      </c>
      <c r="D1283" t="inlineStr">
        <is>
          <t>SKU-10028</t>
        </is>
      </c>
      <c r="E1283" t="inlineStr">
        <is>
          <t>AM08</t>
        </is>
      </c>
      <c r="F1283" s="5" t="n">
        <v>393.58</v>
      </c>
      <c r="G1283">
        <f>IF(LEFT(B1283,1)="C","Credit","Factuur")</f>
        <v/>
      </c>
      <c r="H1283">
        <f>IF(AND(B1283=B1282,D1283=D1282,A1283=A1282,F1283=F1282),1,0)</f>
        <v/>
      </c>
      <c r="I1283">
        <f>IF(C1283="C99999",1,0)</f>
        <v/>
      </c>
      <c r="J1283" s="5">
        <f>IF(OR(H1283=1,I1283=1),0,IF(G1283="Credit",-F1283,F1283))</f>
        <v/>
      </c>
    </row>
    <row r="1284">
      <c r="A1284" t="inlineStr">
        <is>
          <t>2026-07-14</t>
        </is>
      </c>
      <c r="B1284" t="inlineStr">
        <is>
          <t>F264538</t>
        </is>
      </c>
      <c r="C1284" t="inlineStr">
        <is>
          <t>C10234</t>
        </is>
      </c>
      <c r="D1284" t="inlineStr">
        <is>
          <t>SKU-10225</t>
        </is>
      </c>
      <c r="E1284" t="inlineStr">
        <is>
          <t>AM08</t>
        </is>
      </c>
      <c r="F1284" s="5" t="n">
        <v>385.13</v>
      </c>
      <c r="G1284">
        <f>IF(LEFT(B1284,1)="C","Credit","Factuur")</f>
        <v/>
      </c>
      <c r="H1284">
        <f>IF(AND(B1284=B1283,D1284=D1283,A1284=A1283,F1284=F1283),1,0)</f>
        <v/>
      </c>
      <c r="I1284">
        <f>IF(C1284="C99999",1,0)</f>
        <v/>
      </c>
      <c r="J1284" s="5">
        <f>IF(OR(H1284=1,I1284=1),0,IF(G1284="Credit",-F1284,F1284))</f>
        <v/>
      </c>
    </row>
    <row r="1285">
      <c r="A1285" t="inlineStr">
        <is>
          <t>2026-07-14</t>
        </is>
      </c>
      <c r="B1285" t="inlineStr">
        <is>
          <t>F264668</t>
        </is>
      </c>
      <c r="C1285" t="inlineStr">
        <is>
          <t>C10243</t>
        </is>
      </c>
      <c r="D1285" t="inlineStr">
        <is>
          <t>SKU-10033</t>
        </is>
      </c>
      <c r="E1285" t="inlineStr">
        <is>
          <t>AM02</t>
        </is>
      </c>
      <c r="F1285" s="5" t="n">
        <v>107.7</v>
      </c>
      <c r="G1285">
        <f>IF(LEFT(B1285,1)="C","Credit","Factuur")</f>
        <v/>
      </c>
      <c r="H1285">
        <f>IF(AND(B1285=B1284,D1285=D1284,A1285=A1284,F1285=F1284),1,0)</f>
        <v/>
      </c>
      <c r="I1285">
        <f>IF(C1285="C99999",1,0)</f>
        <v/>
      </c>
      <c r="J1285" s="5">
        <f>IF(OR(H1285=1,I1285=1),0,IF(G1285="Credit",-F1285,F1285))</f>
        <v/>
      </c>
    </row>
    <row r="1286">
      <c r="A1286" t="inlineStr">
        <is>
          <t>2026-07-14</t>
        </is>
      </c>
      <c r="B1286" t="inlineStr">
        <is>
          <t>F264668</t>
        </is>
      </c>
      <c r="C1286" t="inlineStr">
        <is>
          <t>C10243</t>
        </is>
      </c>
      <c r="D1286" t="inlineStr">
        <is>
          <t>SKU-10099</t>
        </is>
      </c>
      <c r="E1286" t="inlineStr">
        <is>
          <t>AM02</t>
        </is>
      </c>
      <c r="F1286" s="5" t="n">
        <v>116.48</v>
      </c>
      <c r="G1286">
        <f>IF(LEFT(B1286,1)="C","Credit","Factuur")</f>
        <v/>
      </c>
      <c r="H1286">
        <f>IF(AND(B1286=B1285,D1286=D1285,A1286=A1285,F1286=F1285),1,0)</f>
        <v/>
      </c>
      <c r="I1286">
        <f>IF(C1286="C99999",1,0)</f>
        <v/>
      </c>
      <c r="J1286" s="5">
        <f>IF(OR(H1286=1,I1286=1),0,IF(G1286="Credit",-F1286,F1286))</f>
        <v/>
      </c>
    </row>
    <row r="1287">
      <c r="A1287" t="inlineStr">
        <is>
          <t>2026-07-14</t>
        </is>
      </c>
      <c r="B1287" t="inlineStr">
        <is>
          <t>F264668</t>
        </is>
      </c>
      <c r="C1287" t="inlineStr">
        <is>
          <t>C10243</t>
        </is>
      </c>
      <c r="D1287" t="inlineStr">
        <is>
          <t>SKU-10246</t>
        </is>
      </c>
      <c r="E1287" t="inlineStr">
        <is>
          <t>AM02</t>
        </is>
      </c>
      <c r="F1287" s="5" t="n">
        <v>103.68</v>
      </c>
      <c r="G1287">
        <f>IF(LEFT(B1287,1)="C","Credit","Factuur")</f>
        <v/>
      </c>
      <c r="H1287">
        <f>IF(AND(B1287=B1286,D1287=D1286,A1287=A1286,F1287=F1286),1,0)</f>
        <v/>
      </c>
      <c r="I1287">
        <f>IF(C1287="C99999",1,0)</f>
        <v/>
      </c>
      <c r="J1287" s="5">
        <f>IF(OR(H1287=1,I1287=1),0,IF(G1287="Credit",-F1287,F1287))</f>
        <v/>
      </c>
    </row>
    <row r="1288">
      <c r="A1288" t="inlineStr">
        <is>
          <t>2026-07-14</t>
        </is>
      </c>
      <c r="B1288" t="inlineStr">
        <is>
          <t>F264668</t>
        </is>
      </c>
      <c r="C1288" t="inlineStr">
        <is>
          <t>C10243</t>
        </is>
      </c>
      <c r="D1288" t="inlineStr">
        <is>
          <t>SKU-10368</t>
        </is>
      </c>
      <c r="E1288" t="inlineStr">
        <is>
          <t>AM02</t>
        </is>
      </c>
      <c r="F1288" s="5" t="n">
        <v>576.3</v>
      </c>
      <c r="G1288">
        <f>IF(LEFT(B1288,1)="C","Credit","Factuur")</f>
        <v/>
      </c>
      <c r="H1288">
        <f>IF(AND(B1288=B1287,D1288=D1287,A1288=A1287,F1288=F1287),1,0)</f>
        <v/>
      </c>
      <c r="I1288">
        <f>IF(C1288="C99999",1,0)</f>
        <v/>
      </c>
      <c r="J1288" s="5">
        <f>IF(OR(H1288=1,I1288=1),0,IF(G1288="Credit",-F1288,F1288))</f>
        <v/>
      </c>
    </row>
    <row r="1289">
      <c r="A1289" t="inlineStr">
        <is>
          <t>2026-07-14</t>
        </is>
      </c>
      <c r="B1289" t="inlineStr">
        <is>
          <t>F265726</t>
        </is>
      </c>
      <c r="C1289" t="inlineStr">
        <is>
          <t>C10299</t>
        </is>
      </c>
      <c r="D1289" t="inlineStr">
        <is>
          <t>SKU-10004</t>
        </is>
      </c>
      <c r="E1289" t="inlineStr">
        <is>
          <t>AM07</t>
        </is>
      </c>
      <c r="F1289" s="5" t="n">
        <v>282.06</v>
      </c>
      <c r="G1289">
        <f>IF(LEFT(B1289,1)="C","Credit","Factuur")</f>
        <v/>
      </c>
      <c r="H1289">
        <f>IF(AND(B1289=B1288,D1289=D1288,A1289=A1288,F1289=F1288),1,0)</f>
        <v/>
      </c>
      <c r="I1289">
        <f>IF(C1289="C99999",1,0)</f>
        <v/>
      </c>
      <c r="J1289" s="5">
        <f>IF(OR(H1289=1,I1289=1),0,IF(G1289="Credit",-F1289,F1289))</f>
        <v/>
      </c>
    </row>
    <row r="1290">
      <c r="A1290" t="inlineStr">
        <is>
          <t>2026-07-14</t>
        </is>
      </c>
      <c r="B1290" t="inlineStr">
        <is>
          <t>F265726</t>
        </is>
      </c>
      <c r="C1290" t="inlineStr">
        <is>
          <t>C10299</t>
        </is>
      </c>
      <c r="D1290" t="inlineStr">
        <is>
          <t>SKU-10078</t>
        </is>
      </c>
      <c r="E1290" t="inlineStr">
        <is>
          <t>AM07</t>
        </is>
      </c>
      <c r="F1290" s="5" t="n">
        <v>247.84</v>
      </c>
      <c r="G1290">
        <f>IF(LEFT(B1290,1)="C","Credit","Factuur")</f>
        <v/>
      </c>
      <c r="H1290">
        <f>IF(AND(B1290=B1289,D1290=D1289,A1290=A1289,F1290=F1289),1,0)</f>
        <v/>
      </c>
      <c r="I1290">
        <f>IF(C1290="C99999",1,0)</f>
        <v/>
      </c>
      <c r="J1290" s="5">
        <f>IF(OR(H1290=1,I1290=1),0,IF(G1290="Credit",-F1290,F1290))</f>
        <v/>
      </c>
    </row>
    <row r="1291">
      <c r="A1291" t="inlineStr">
        <is>
          <t>2026-07-14</t>
        </is>
      </c>
      <c r="B1291" t="inlineStr">
        <is>
          <t>F265726</t>
        </is>
      </c>
      <c r="C1291" t="inlineStr">
        <is>
          <t>C10299</t>
        </is>
      </c>
      <c r="D1291" t="inlineStr">
        <is>
          <t>SKU-10310</t>
        </is>
      </c>
      <c r="E1291" t="inlineStr">
        <is>
          <t>AM07</t>
        </is>
      </c>
      <c r="F1291" s="5" t="n">
        <v>255.25</v>
      </c>
      <c r="G1291">
        <f>IF(LEFT(B1291,1)="C","Credit","Factuur")</f>
        <v/>
      </c>
      <c r="H1291">
        <f>IF(AND(B1291=B1290,D1291=D1290,A1291=A1290,F1291=F1290),1,0)</f>
        <v/>
      </c>
      <c r="I1291">
        <f>IF(C1291="C99999",1,0)</f>
        <v/>
      </c>
      <c r="J1291" s="5">
        <f>IF(OR(H1291=1,I1291=1),0,IF(G1291="Credit",-F1291,F1291))</f>
        <v/>
      </c>
    </row>
    <row r="1292">
      <c r="A1292" t="inlineStr">
        <is>
          <t>2026-07-14</t>
        </is>
      </c>
      <c r="B1292" t="inlineStr">
        <is>
          <t>F267316</t>
        </is>
      </c>
      <c r="C1292" t="inlineStr">
        <is>
          <t>C10387</t>
        </is>
      </c>
      <c r="D1292" t="inlineStr">
        <is>
          <t>SKU-10009</t>
        </is>
      </c>
      <c r="E1292" t="inlineStr">
        <is>
          <t>AM06</t>
        </is>
      </c>
      <c r="F1292" s="5" t="n">
        <v>389.08</v>
      </c>
      <c r="G1292">
        <f>IF(LEFT(B1292,1)="C","Credit","Factuur")</f>
        <v/>
      </c>
      <c r="H1292">
        <f>IF(AND(B1292=B1291,D1292=D1291,A1292=A1291,F1292=F1291),1,0)</f>
        <v/>
      </c>
      <c r="I1292">
        <f>IF(C1292="C99999",1,0)</f>
        <v/>
      </c>
      <c r="J1292" s="5">
        <f>IF(OR(H1292=1,I1292=1),0,IF(G1292="Credit",-F1292,F1292))</f>
        <v/>
      </c>
    </row>
    <row r="1293">
      <c r="A1293" t="inlineStr">
        <is>
          <t>2026-07-14</t>
        </is>
      </c>
      <c r="B1293" t="inlineStr">
        <is>
          <t>F267316</t>
        </is>
      </c>
      <c r="C1293" t="inlineStr">
        <is>
          <t>C10387</t>
        </is>
      </c>
      <c r="D1293" t="inlineStr">
        <is>
          <t>SKU-10012</t>
        </is>
      </c>
      <c r="E1293" t="inlineStr">
        <is>
          <t>AM06</t>
        </is>
      </c>
      <c r="F1293" s="5" t="n">
        <v>414.83</v>
      </c>
      <c r="G1293">
        <f>IF(LEFT(B1293,1)="C","Credit","Factuur")</f>
        <v/>
      </c>
      <c r="H1293">
        <f>IF(AND(B1293=B1292,D1293=D1292,A1293=A1292,F1293=F1292),1,0)</f>
        <v/>
      </c>
      <c r="I1293">
        <f>IF(C1293="C99999",1,0)</f>
        <v/>
      </c>
      <c r="J1293" s="5">
        <f>IF(OR(H1293=1,I1293=1),0,IF(G1293="Credit",-F1293,F1293))</f>
        <v/>
      </c>
    </row>
    <row r="1294">
      <c r="A1294" t="inlineStr">
        <is>
          <t>2026-07-14</t>
        </is>
      </c>
      <c r="B1294" t="inlineStr">
        <is>
          <t>F267316</t>
        </is>
      </c>
      <c r="C1294" t="inlineStr">
        <is>
          <t>C10387</t>
        </is>
      </c>
      <c r="D1294" t="inlineStr">
        <is>
          <t>SKU-10129</t>
        </is>
      </c>
      <c r="E1294" t="inlineStr">
        <is>
          <t>AM06</t>
        </is>
      </c>
      <c r="F1294" s="5" t="n">
        <v>352.34</v>
      </c>
      <c r="G1294">
        <f>IF(LEFT(B1294,1)="C","Credit","Factuur")</f>
        <v/>
      </c>
      <c r="H1294">
        <f>IF(AND(B1294=B1293,D1294=D1293,A1294=A1293,F1294=F1293),1,0)</f>
        <v/>
      </c>
      <c r="I1294">
        <f>IF(C1294="C99999",1,0)</f>
        <v/>
      </c>
      <c r="J1294" s="5">
        <f>IF(OR(H1294=1,I1294=1),0,IF(G1294="Credit",-F1294,F1294))</f>
        <v/>
      </c>
    </row>
    <row r="1295">
      <c r="A1295" t="inlineStr">
        <is>
          <t>2026-07-14</t>
        </is>
      </c>
      <c r="B1295" t="inlineStr">
        <is>
          <t>F267316</t>
        </is>
      </c>
      <c r="C1295" t="inlineStr">
        <is>
          <t>C10387</t>
        </is>
      </c>
      <c r="D1295" t="inlineStr">
        <is>
          <t>SKU-10246</t>
        </is>
      </c>
      <c r="E1295" t="inlineStr">
        <is>
          <t>AM06</t>
        </is>
      </c>
      <c r="F1295" s="5" t="n">
        <v>414.72</v>
      </c>
      <c r="G1295">
        <f>IF(LEFT(B1295,1)="C","Credit","Factuur")</f>
        <v/>
      </c>
      <c r="H1295">
        <f>IF(AND(B1295=B1294,D1295=D1294,A1295=A1294,F1295=F1294),1,0)</f>
        <v/>
      </c>
      <c r="I1295">
        <f>IF(C1295="C99999",1,0)</f>
        <v/>
      </c>
      <c r="J1295" s="5">
        <f>IF(OR(H1295=1,I1295=1),0,IF(G1295="Credit",-F1295,F1295))</f>
        <v/>
      </c>
    </row>
    <row r="1296">
      <c r="A1296" t="inlineStr">
        <is>
          <t>2026-07-14</t>
        </is>
      </c>
      <c r="B1296" t="inlineStr">
        <is>
          <t>F267404</t>
        </is>
      </c>
      <c r="C1296" t="inlineStr">
        <is>
          <t>C10390</t>
        </is>
      </c>
      <c r="D1296" t="inlineStr">
        <is>
          <t>SKU-10150</t>
        </is>
      </c>
      <c r="E1296" t="inlineStr">
        <is>
          <t>AM05</t>
        </is>
      </c>
      <c r="F1296" s="5" t="n">
        <v>789.62</v>
      </c>
      <c r="G1296">
        <f>IF(LEFT(B1296,1)="C","Credit","Factuur")</f>
        <v/>
      </c>
      <c r="H1296">
        <f>IF(AND(B1296=B1295,D1296=D1295,A1296=A1295,F1296=F1295),1,0)</f>
        <v/>
      </c>
      <c r="I1296">
        <f>IF(C1296="C99999",1,0)</f>
        <v/>
      </c>
      <c r="J1296" s="5">
        <f>IF(OR(H1296=1,I1296=1),0,IF(G1296="Credit",-F1296,F1296))</f>
        <v/>
      </c>
    </row>
    <row r="1297">
      <c r="A1297" t="inlineStr">
        <is>
          <t>2026-07-14</t>
        </is>
      </c>
      <c r="B1297" t="inlineStr">
        <is>
          <t>F268445</t>
        </is>
      </c>
      <c r="C1297" t="inlineStr">
        <is>
          <t>C10442</t>
        </is>
      </c>
      <c r="D1297" t="inlineStr">
        <is>
          <t>SKU-10095</t>
        </is>
      </c>
      <c r="E1297" t="inlineStr">
        <is>
          <t>AM06</t>
        </is>
      </c>
      <c r="F1297" s="5" t="n">
        <v>61.9</v>
      </c>
      <c r="G1297">
        <f>IF(LEFT(B1297,1)="C","Credit","Factuur")</f>
        <v/>
      </c>
      <c r="H1297">
        <f>IF(AND(B1297=B1296,D1297=D1296,A1297=A1296,F1297=F1296),1,0)</f>
        <v/>
      </c>
      <c r="I1297">
        <f>IF(C1297="C99999",1,0)</f>
        <v/>
      </c>
      <c r="J1297" s="5">
        <f>IF(OR(H1297=1,I1297=1),0,IF(G1297="Credit",-F1297,F1297))</f>
        <v/>
      </c>
    </row>
    <row r="1298">
      <c r="A1298" t="inlineStr">
        <is>
          <t>2026-07-14</t>
        </is>
      </c>
      <c r="B1298" t="inlineStr">
        <is>
          <t>F268445</t>
        </is>
      </c>
      <c r="C1298" t="inlineStr">
        <is>
          <t>C10442</t>
        </is>
      </c>
      <c r="D1298" t="inlineStr">
        <is>
          <t>SKU-10099</t>
        </is>
      </c>
      <c r="E1298" t="inlineStr">
        <is>
          <t>AM06</t>
        </is>
      </c>
      <c r="F1298" s="5" t="n">
        <v>58.24</v>
      </c>
      <c r="G1298">
        <f>IF(LEFT(B1298,1)="C","Credit","Factuur")</f>
        <v/>
      </c>
      <c r="H1298">
        <f>IF(AND(B1298=B1297,D1298=D1297,A1298=A1297,F1298=F1297),1,0)</f>
        <v/>
      </c>
      <c r="I1298">
        <f>IF(C1298="C99999",1,0)</f>
        <v/>
      </c>
      <c r="J1298" s="5">
        <f>IF(OR(H1298=1,I1298=1),0,IF(G1298="Credit",-F1298,F1298))</f>
        <v/>
      </c>
    </row>
    <row r="1299">
      <c r="A1299" t="inlineStr">
        <is>
          <t>2026-07-14</t>
        </is>
      </c>
      <c r="B1299" t="inlineStr">
        <is>
          <t>F268445</t>
        </is>
      </c>
      <c r="C1299" t="inlineStr">
        <is>
          <t>C10442</t>
        </is>
      </c>
      <c r="D1299" t="inlineStr">
        <is>
          <t>SKU-10197</t>
        </is>
      </c>
      <c r="E1299" t="inlineStr">
        <is>
          <t>AM06</t>
        </is>
      </c>
      <c r="F1299" s="5" t="n">
        <v>81.15000000000001</v>
      </c>
      <c r="G1299">
        <f>IF(LEFT(B1299,1)="C","Credit","Factuur")</f>
        <v/>
      </c>
      <c r="H1299">
        <f>IF(AND(B1299=B1298,D1299=D1298,A1299=A1298,F1299=F1298),1,0)</f>
        <v/>
      </c>
      <c r="I1299">
        <f>IF(C1299="C99999",1,0)</f>
        <v/>
      </c>
      <c r="J1299" s="5">
        <f>IF(OR(H1299=1,I1299=1),0,IF(G1299="Credit",-F1299,F1299))</f>
        <v/>
      </c>
    </row>
    <row r="1300">
      <c r="A1300" t="inlineStr">
        <is>
          <t>2026-07-14</t>
        </is>
      </c>
      <c r="B1300" t="inlineStr">
        <is>
          <t>F268445</t>
        </is>
      </c>
      <c r="C1300" t="inlineStr">
        <is>
          <t>C10442</t>
        </is>
      </c>
      <c r="D1300" t="inlineStr">
        <is>
          <t>SKU-10278</t>
        </is>
      </c>
      <c r="E1300" t="inlineStr">
        <is>
          <t>AM06</t>
        </is>
      </c>
      <c r="F1300" s="5" t="n">
        <v>59.91</v>
      </c>
      <c r="G1300">
        <f>IF(LEFT(B1300,1)="C","Credit","Factuur")</f>
        <v/>
      </c>
      <c r="H1300">
        <f>IF(AND(B1300=B1299,D1300=D1299,A1300=A1299,F1300=F1299),1,0)</f>
        <v/>
      </c>
      <c r="I1300">
        <f>IF(C1300="C99999",1,0)</f>
        <v/>
      </c>
      <c r="J1300" s="5">
        <f>IF(OR(H1300=1,I1300=1),0,IF(G1300="Credit",-F1300,F1300))</f>
        <v/>
      </c>
    </row>
    <row r="1301">
      <c r="A1301" t="inlineStr">
        <is>
          <t>2026-07-14</t>
        </is>
      </c>
      <c r="B1301" t="inlineStr">
        <is>
          <t>F268935</t>
        </is>
      </c>
      <c r="C1301" t="inlineStr">
        <is>
          <t>C10465</t>
        </is>
      </c>
      <c r="D1301" t="inlineStr">
        <is>
          <t>SKU-10163</t>
        </is>
      </c>
      <c r="E1301" t="inlineStr">
        <is>
          <t>AM06</t>
        </is>
      </c>
      <c r="F1301" s="5" t="n">
        <v>966.65</v>
      </c>
      <c r="G1301">
        <f>IF(LEFT(B1301,1)="C","Credit","Factuur")</f>
        <v/>
      </c>
      <c r="H1301">
        <f>IF(AND(B1301=B1300,D1301=D1300,A1301=A1300,F1301=F1300),1,0)</f>
        <v/>
      </c>
      <c r="I1301">
        <f>IF(C1301="C99999",1,0)</f>
        <v/>
      </c>
      <c r="J1301" s="5">
        <f>IF(OR(H1301=1,I1301=1),0,IF(G1301="Credit",-F1301,F1301))</f>
        <v/>
      </c>
    </row>
    <row r="1302">
      <c r="A1302" t="inlineStr">
        <is>
          <t>2026-07-14</t>
        </is>
      </c>
      <c r="B1302" t="inlineStr">
        <is>
          <t>F268935</t>
        </is>
      </c>
      <c r="C1302" t="inlineStr">
        <is>
          <t>C10465</t>
        </is>
      </c>
      <c r="D1302" t="inlineStr">
        <is>
          <t>SKU-10203</t>
        </is>
      </c>
      <c r="E1302" t="inlineStr">
        <is>
          <t>AM06</t>
        </is>
      </c>
      <c r="F1302" s="5" t="n">
        <v>1058.77</v>
      </c>
      <c r="G1302">
        <f>IF(LEFT(B1302,1)="C","Credit","Factuur")</f>
        <v/>
      </c>
      <c r="H1302">
        <f>IF(AND(B1302=B1301,D1302=D1301,A1302=A1301,F1302=F1301),1,0)</f>
        <v/>
      </c>
      <c r="I1302">
        <f>IF(C1302="C99999",1,0)</f>
        <v/>
      </c>
      <c r="J1302" s="5">
        <f>IF(OR(H1302=1,I1302=1),0,IF(G1302="Credit",-F1302,F1302))</f>
        <v/>
      </c>
    </row>
    <row r="1303">
      <c r="A1303" t="inlineStr">
        <is>
          <t>2026-07-14</t>
        </is>
      </c>
      <c r="B1303" t="inlineStr">
        <is>
          <t>F269412</t>
        </is>
      </c>
      <c r="C1303" t="inlineStr">
        <is>
          <t>C10493</t>
        </is>
      </c>
      <c r="D1303" t="inlineStr">
        <is>
          <t>SKU-10304</t>
        </is>
      </c>
      <c r="E1303" t="inlineStr">
        <is>
          <t>AM08</t>
        </is>
      </c>
      <c r="F1303" s="5" t="n">
        <v>1833.6</v>
      </c>
      <c r="G1303">
        <f>IF(LEFT(B1303,1)="C","Credit","Factuur")</f>
        <v/>
      </c>
      <c r="H1303">
        <f>IF(AND(B1303=B1302,D1303=D1302,A1303=A1302,F1303=F1302),1,0)</f>
        <v/>
      </c>
      <c r="I1303">
        <f>IF(C1303="C99999",1,0)</f>
        <v/>
      </c>
      <c r="J1303" s="5">
        <f>IF(OR(H1303=1,I1303=1),0,IF(G1303="Credit",-F1303,F1303))</f>
        <v/>
      </c>
    </row>
    <row r="1304">
      <c r="A1304" t="inlineStr">
        <is>
          <t>2026-07-14</t>
        </is>
      </c>
      <c r="B1304" t="inlineStr">
        <is>
          <t>F270071</t>
        </is>
      </c>
      <c r="C1304" t="inlineStr">
        <is>
          <t>C10530</t>
        </is>
      </c>
      <c r="D1304" t="inlineStr">
        <is>
          <t>SKU-10015</t>
        </is>
      </c>
      <c r="E1304" t="inlineStr">
        <is>
          <t>AM03</t>
        </is>
      </c>
      <c r="F1304" s="5" t="n">
        <v>139.91</v>
      </c>
      <c r="G1304">
        <f>IF(LEFT(B1304,1)="C","Credit","Factuur")</f>
        <v/>
      </c>
      <c r="H1304">
        <f>IF(AND(B1304=B1303,D1304=D1303,A1304=A1303,F1304=F1303),1,0)</f>
        <v/>
      </c>
      <c r="I1304">
        <f>IF(C1304="C99999",1,0)</f>
        <v/>
      </c>
      <c r="J1304" s="5">
        <f>IF(OR(H1304=1,I1304=1),0,IF(G1304="Credit",-F1304,F1304))</f>
        <v/>
      </c>
    </row>
    <row r="1305">
      <c r="A1305" t="inlineStr">
        <is>
          <t>2026-07-14</t>
        </is>
      </c>
      <c r="B1305" t="inlineStr">
        <is>
          <t>F270071</t>
        </is>
      </c>
      <c r="C1305" t="inlineStr">
        <is>
          <t>C10530</t>
        </is>
      </c>
      <c r="D1305" t="inlineStr">
        <is>
          <t>SKU-10099</t>
        </is>
      </c>
      <c r="E1305" t="inlineStr">
        <is>
          <t>AM03</t>
        </is>
      </c>
      <c r="F1305" s="5" t="n">
        <v>174.72</v>
      </c>
      <c r="G1305">
        <f>IF(LEFT(B1305,1)="C","Credit","Factuur")</f>
        <v/>
      </c>
      <c r="H1305">
        <f>IF(AND(B1305=B1304,D1305=D1304,A1305=A1304,F1305=F1304),1,0)</f>
        <v/>
      </c>
      <c r="I1305">
        <f>IF(C1305="C99999",1,0)</f>
        <v/>
      </c>
      <c r="J1305" s="5">
        <f>IF(OR(H1305=1,I1305=1),0,IF(G1305="Credit",-F1305,F1305))</f>
        <v/>
      </c>
    </row>
    <row r="1306">
      <c r="A1306" t="inlineStr">
        <is>
          <t>2026-07-14</t>
        </is>
      </c>
      <c r="B1306" t="inlineStr">
        <is>
          <t>F270071</t>
        </is>
      </c>
      <c r="C1306" t="inlineStr">
        <is>
          <t>C10530</t>
        </is>
      </c>
      <c r="D1306" t="inlineStr">
        <is>
          <t>SKU-10326</t>
        </is>
      </c>
      <c r="E1306" t="inlineStr">
        <is>
          <t>AM03</t>
        </is>
      </c>
      <c r="F1306" s="5" t="n">
        <v>158</v>
      </c>
      <c r="G1306">
        <f>IF(LEFT(B1306,1)="C","Credit","Factuur")</f>
        <v/>
      </c>
      <c r="H1306">
        <f>IF(AND(B1306=B1305,D1306=D1305,A1306=A1305,F1306=F1305),1,0)</f>
        <v/>
      </c>
      <c r="I1306">
        <f>IF(C1306="C99999",1,0)</f>
        <v/>
      </c>
      <c r="J1306" s="5">
        <f>IF(OR(H1306=1,I1306=1),0,IF(G1306="Credit",-F1306,F1306))</f>
        <v/>
      </c>
    </row>
    <row r="1307">
      <c r="A1307" t="inlineStr">
        <is>
          <t>2026-07-14</t>
        </is>
      </c>
      <c r="B1307" t="inlineStr">
        <is>
          <t>F271251</t>
        </is>
      </c>
      <c r="C1307" t="inlineStr">
        <is>
          <t>C10584</t>
        </is>
      </c>
      <c r="D1307" t="inlineStr">
        <is>
          <t>SKU-10059</t>
        </is>
      </c>
      <c r="E1307" t="inlineStr">
        <is>
          <t>AM07</t>
        </is>
      </c>
      <c r="F1307" s="5" t="n">
        <v>1359.36</v>
      </c>
      <c r="G1307">
        <f>IF(LEFT(B1307,1)="C","Credit","Factuur")</f>
        <v/>
      </c>
      <c r="H1307">
        <f>IF(AND(B1307=B1306,D1307=D1306,A1307=A1306,F1307=F1306),1,0)</f>
        <v/>
      </c>
      <c r="I1307">
        <f>IF(C1307="C99999",1,0)</f>
        <v/>
      </c>
      <c r="J1307" s="5">
        <f>IF(OR(H1307=1,I1307=1),0,IF(G1307="Credit",-F1307,F1307))</f>
        <v/>
      </c>
    </row>
    <row r="1308">
      <c r="A1308" t="inlineStr">
        <is>
          <t>2026-07-14</t>
        </is>
      </c>
      <c r="B1308" t="inlineStr">
        <is>
          <t>F271251</t>
        </is>
      </c>
      <c r="C1308" t="inlineStr">
        <is>
          <t>C10584</t>
        </is>
      </c>
      <c r="D1308" t="inlineStr">
        <is>
          <t>SKU-10069</t>
        </is>
      </c>
      <c r="E1308" t="inlineStr">
        <is>
          <t>AM07</t>
        </is>
      </c>
      <c r="F1308" s="5" t="n">
        <v>1382.43</v>
      </c>
      <c r="G1308">
        <f>IF(LEFT(B1308,1)="C","Credit","Factuur")</f>
        <v/>
      </c>
      <c r="H1308">
        <f>IF(AND(B1308=B1307,D1308=D1307,A1308=A1307,F1308=F1307),1,0)</f>
        <v/>
      </c>
      <c r="I1308">
        <f>IF(C1308="C99999",1,0)</f>
        <v/>
      </c>
      <c r="J1308" s="5">
        <f>IF(OR(H1308=1,I1308=1),0,IF(G1308="Credit",-F1308,F1308))</f>
        <v/>
      </c>
    </row>
    <row r="1309">
      <c r="A1309" t="inlineStr">
        <is>
          <t>2026-07-14</t>
        </is>
      </c>
      <c r="B1309" t="inlineStr">
        <is>
          <t>F272731</t>
        </is>
      </c>
      <c r="C1309" t="inlineStr">
        <is>
          <t>C10663</t>
        </is>
      </c>
      <c r="D1309" t="inlineStr">
        <is>
          <t>SKU-10183</t>
        </is>
      </c>
      <c r="E1309" t="inlineStr">
        <is>
          <t>AM02</t>
        </is>
      </c>
      <c r="F1309" s="5" t="n">
        <v>468.54</v>
      </c>
      <c r="G1309">
        <f>IF(LEFT(B1309,1)="C","Credit","Factuur")</f>
        <v/>
      </c>
      <c r="H1309">
        <f>IF(AND(B1309=B1308,D1309=D1308,A1309=A1308,F1309=F1308),1,0)</f>
        <v/>
      </c>
      <c r="I1309">
        <f>IF(C1309="C99999",1,0)</f>
        <v/>
      </c>
      <c r="J1309" s="5">
        <f>IF(OR(H1309=1,I1309=1),0,IF(G1309="Credit",-F1309,F1309))</f>
        <v/>
      </c>
    </row>
    <row r="1310">
      <c r="A1310" t="inlineStr">
        <is>
          <t>2026-07-14</t>
        </is>
      </c>
      <c r="B1310" t="inlineStr">
        <is>
          <t>F272731</t>
        </is>
      </c>
      <c r="C1310" t="inlineStr">
        <is>
          <t>C10663</t>
        </is>
      </c>
      <c r="D1310" t="inlineStr">
        <is>
          <t>SKU-10265</t>
        </is>
      </c>
      <c r="E1310" t="inlineStr">
        <is>
          <t>AM02</t>
        </is>
      </c>
      <c r="F1310" s="5" t="n">
        <v>498.9</v>
      </c>
      <c r="G1310">
        <f>IF(LEFT(B1310,1)="C","Credit","Factuur")</f>
        <v/>
      </c>
      <c r="H1310">
        <f>IF(AND(B1310=B1309,D1310=D1309,A1310=A1309,F1310=F1309),1,0)</f>
        <v/>
      </c>
      <c r="I1310">
        <f>IF(C1310="C99999",1,0)</f>
        <v/>
      </c>
      <c r="J1310" s="5">
        <f>IF(OR(H1310=1,I1310=1),0,IF(G1310="Credit",-F1310,F1310))</f>
        <v/>
      </c>
    </row>
    <row r="1311">
      <c r="A1311" t="inlineStr">
        <is>
          <t>2026-07-14</t>
        </is>
      </c>
      <c r="B1311" t="inlineStr">
        <is>
          <t>F272731</t>
        </is>
      </c>
      <c r="C1311" t="inlineStr">
        <is>
          <t>C10663</t>
        </is>
      </c>
      <c r="D1311" t="inlineStr">
        <is>
          <t>SKU-10273</t>
        </is>
      </c>
      <c r="E1311" t="inlineStr">
        <is>
          <t>AM02</t>
        </is>
      </c>
      <c r="F1311" s="5" t="n">
        <v>481.8</v>
      </c>
      <c r="G1311">
        <f>IF(LEFT(B1311,1)="C","Credit","Factuur")</f>
        <v/>
      </c>
      <c r="H1311">
        <f>IF(AND(B1311=B1310,D1311=D1310,A1311=A1310,F1311=F1310),1,0)</f>
        <v/>
      </c>
      <c r="I1311">
        <f>IF(C1311="C99999",1,0)</f>
        <v/>
      </c>
      <c r="J1311" s="5">
        <f>IF(OR(H1311=1,I1311=1),0,IF(G1311="Credit",-F1311,F1311))</f>
        <v/>
      </c>
    </row>
    <row r="1312">
      <c r="A1312" t="inlineStr">
        <is>
          <t>2026-07-14</t>
        </is>
      </c>
      <c r="B1312" t="inlineStr">
        <is>
          <t>F272731</t>
        </is>
      </c>
      <c r="C1312" t="inlineStr">
        <is>
          <t>C10663</t>
        </is>
      </c>
      <c r="D1312" t="inlineStr">
        <is>
          <t>SKU-10302</t>
        </is>
      </c>
      <c r="E1312" t="inlineStr">
        <is>
          <t>AM02</t>
        </is>
      </c>
      <c r="F1312" s="5" t="n">
        <v>483.01</v>
      </c>
      <c r="G1312">
        <f>IF(LEFT(B1312,1)="C","Credit","Factuur")</f>
        <v/>
      </c>
      <c r="H1312">
        <f>IF(AND(B1312=B1311,D1312=D1311,A1312=A1311,F1312=F1311),1,0)</f>
        <v/>
      </c>
      <c r="I1312">
        <f>IF(C1312="C99999",1,0)</f>
        <v/>
      </c>
      <c r="J1312" s="5">
        <f>IF(OR(H1312=1,I1312=1),0,IF(G1312="Credit",-F1312,F1312))</f>
        <v/>
      </c>
    </row>
    <row r="1313">
      <c r="A1313" t="inlineStr">
        <is>
          <t>2026-07-14</t>
        </is>
      </c>
      <c r="B1313" t="inlineStr">
        <is>
          <t>F272735</t>
        </is>
      </c>
      <c r="C1313" t="inlineStr">
        <is>
          <t>C10663</t>
        </is>
      </c>
      <c r="D1313" t="inlineStr">
        <is>
          <t>SKU-10107</t>
        </is>
      </c>
      <c r="E1313" t="inlineStr">
        <is>
          <t>AM02</t>
        </is>
      </c>
      <c r="F1313" s="5" t="n">
        <v>1037.4</v>
      </c>
      <c r="G1313">
        <f>IF(LEFT(B1313,1)="C","Credit","Factuur")</f>
        <v/>
      </c>
      <c r="H1313">
        <f>IF(AND(B1313=B1312,D1313=D1312,A1313=A1312,F1313=F1312),1,0)</f>
        <v/>
      </c>
      <c r="I1313">
        <f>IF(C1313="C99999",1,0)</f>
        <v/>
      </c>
      <c r="J1313" s="5">
        <f>IF(OR(H1313=1,I1313=1),0,IF(G1313="Credit",-F1313,F1313))</f>
        <v/>
      </c>
    </row>
    <row r="1314">
      <c r="A1314" t="inlineStr">
        <is>
          <t>2026-07-14</t>
        </is>
      </c>
      <c r="B1314" t="inlineStr">
        <is>
          <t>F272735</t>
        </is>
      </c>
      <c r="C1314" t="inlineStr">
        <is>
          <t>C10663</t>
        </is>
      </c>
      <c r="D1314" t="inlineStr">
        <is>
          <t>SKU-10326</t>
        </is>
      </c>
      <c r="E1314" t="inlineStr">
        <is>
          <t>AM02</t>
        </is>
      </c>
      <c r="F1314" s="5" t="n">
        <v>1066.5</v>
      </c>
      <c r="G1314">
        <f>IF(LEFT(B1314,1)="C","Credit","Factuur")</f>
        <v/>
      </c>
      <c r="H1314">
        <f>IF(AND(B1314=B1313,D1314=D1313,A1314=A1313,F1314=F1313),1,0)</f>
        <v/>
      </c>
      <c r="I1314">
        <f>IF(C1314="C99999",1,0)</f>
        <v/>
      </c>
      <c r="J1314" s="5">
        <f>IF(OR(H1314=1,I1314=1),0,IF(G1314="Credit",-F1314,F1314))</f>
        <v/>
      </c>
    </row>
    <row r="1315">
      <c r="A1315" t="inlineStr">
        <is>
          <t>2026-07-14</t>
        </is>
      </c>
      <c r="B1315" t="inlineStr">
        <is>
          <t>F273273</t>
        </is>
      </c>
      <c r="C1315" t="inlineStr">
        <is>
          <t>C10693</t>
        </is>
      </c>
      <c r="D1315" t="inlineStr">
        <is>
          <t>SKU-10112</t>
        </is>
      </c>
      <c r="E1315" t="inlineStr">
        <is>
          <t>AM02</t>
        </is>
      </c>
      <c r="F1315" s="5" t="n">
        <v>467.4</v>
      </c>
      <c r="G1315">
        <f>IF(LEFT(B1315,1)="C","Credit","Factuur")</f>
        <v/>
      </c>
      <c r="H1315">
        <f>IF(AND(B1315=B1314,D1315=D1314,A1315=A1314,F1315=F1314),1,0)</f>
        <v/>
      </c>
      <c r="I1315">
        <f>IF(C1315="C99999",1,0)</f>
        <v/>
      </c>
      <c r="J1315" s="5">
        <f>IF(OR(H1315=1,I1315=1),0,IF(G1315="Credit",-F1315,F1315))</f>
        <v/>
      </c>
    </row>
    <row r="1316">
      <c r="A1316" t="inlineStr">
        <is>
          <t>2026-07-14</t>
        </is>
      </c>
      <c r="B1316" t="inlineStr">
        <is>
          <t>F273628</t>
        </is>
      </c>
      <c r="C1316" t="inlineStr">
        <is>
          <t>C10715</t>
        </is>
      </c>
      <c r="D1316" t="inlineStr">
        <is>
          <t>SKU-10150</t>
        </is>
      </c>
      <c r="E1316" t="inlineStr">
        <is>
          <t>AM02</t>
        </is>
      </c>
      <c r="F1316" s="5" t="n">
        <v>1523.83</v>
      </c>
      <c r="G1316">
        <f>IF(LEFT(B1316,1)="C","Credit","Factuur")</f>
        <v/>
      </c>
      <c r="H1316">
        <f>IF(AND(B1316=B1315,D1316=D1315,A1316=A1315,F1316=F1315),1,0)</f>
        <v/>
      </c>
      <c r="I1316">
        <f>IF(C1316="C99999",1,0)</f>
        <v/>
      </c>
      <c r="J1316" s="5">
        <f>IF(OR(H1316=1,I1316=1),0,IF(G1316="Credit",-F1316,F1316))</f>
        <v/>
      </c>
    </row>
    <row r="1317">
      <c r="A1317" t="inlineStr">
        <is>
          <t>2026-07-14</t>
        </is>
      </c>
      <c r="B1317" t="inlineStr">
        <is>
          <t>F273628</t>
        </is>
      </c>
      <c r="C1317" t="inlineStr">
        <is>
          <t>C10715</t>
        </is>
      </c>
      <c r="D1317" t="inlineStr">
        <is>
          <t>SKU-10284</t>
        </is>
      </c>
      <c r="E1317" t="inlineStr">
        <is>
          <t>AM02</t>
        </is>
      </c>
      <c r="F1317" s="5" t="n">
        <v>1391.35</v>
      </c>
      <c r="G1317">
        <f>IF(LEFT(B1317,1)="C","Credit","Factuur")</f>
        <v/>
      </c>
      <c r="H1317">
        <f>IF(AND(B1317=B1316,D1317=D1316,A1317=A1316,F1317=F1316),1,0)</f>
        <v/>
      </c>
      <c r="I1317">
        <f>IF(C1317="C99999",1,0)</f>
        <v/>
      </c>
      <c r="J1317" s="5">
        <f>IF(OR(H1317=1,I1317=1),0,IF(G1317="Credit",-F1317,F1317))</f>
        <v/>
      </c>
    </row>
    <row r="1318">
      <c r="A1318" t="inlineStr">
        <is>
          <t>2026-07-14</t>
        </is>
      </c>
      <c r="B1318" t="inlineStr">
        <is>
          <t>F273628</t>
        </is>
      </c>
      <c r="C1318" t="inlineStr">
        <is>
          <t>C10715</t>
        </is>
      </c>
      <c r="D1318" t="inlineStr">
        <is>
          <t>SKU-10318</t>
        </is>
      </c>
      <c r="E1318" t="inlineStr">
        <is>
          <t>AM02</t>
        </is>
      </c>
      <c r="F1318" s="5" t="n">
        <v>1465.2</v>
      </c>
      <c r="G1318">
        <f>IF(LEFT(B1318,1)="C","Credit","Factuur")</f>
        <v/>
      </c>
      <c r="H1318">
        <f>IF(AND(B1318=B1317,D1318=D1317,A1318=A1317,F1318=F1317),1,0)</f>
        <v/>
      </c>
      <c r="I1318">
        <f>IF(C1318="C99999",1,0)</f>
        <v/>
      </c>
      <c r="J1318" s="5">
        <f>IF(OR(H1318=1,I1318=1),0,IF(G1318="Credit",-F1318,F1318))</f>
        <v/>
      </c>
    </row>
    <row r="1319">
      <c r="A1319" t="inlineStr">
        <is>
          <t>2026-07-14</t>
        </is>
      </c>
      <c r="B1319" t="inlineStr">
        <is>
          <t>F273628</t>
        </is>
      </c>
      <c r="C1319" t="inlineStr">
        <is>
          <t>C10715</t>
        </is>
      </c>
      <c r="D1319" t="inlineStr">
        <is>
          <t>SKU-10337</t>
        </is>
      </c>
      <c r="E1319" t="inlineStr">
        <is>
          <t>AM02</t>
        </is>
      </c>
      <c r="F1319" s="5" t="n">
        <v>1465.1</v>
      </c>
      <c r="G1319">
        <f>IF(LEFT(B1319,1)="C","Credit","Factuur")</f>
        <v/>
      </c>
      <c r="H1319">
        <f>IF(AND(B1319=B1318,D1319=D1318,A1319=A1318,F1319=F1318),1,0)</f>
        <v/>
      </c>
      <c r="I1319">
        <f>IF(C1319="C99999",1,0)</f>
        <v/>
      </c>
      <c r="J1319" s="5">
        <f>IF(OR(H1319=1,I1319=1),0,IF(G1319="Credit",-F1319,F1319))</f>
        <v/>
      </c>
    </row>
    <row r="1320">
      <c r="A1320" t="inlineStr">
        <is>
          <t>2026-07-14</t>
        </is>
      </c>
      <c r="B1320" t="inlineStr">
        <is>
          <t>F276269</t>
        </is>
      </c>
      <c r="C1320" t="inlineStr">
        <is>
          <t>C10862</t>
        </is>
      </c>
      <c r="D1320" t="inlineStr">
        <is>
          <t>SKU-10031</t>
        </is>
      </c>
      <c r="E1320" t="inlineStr">
        <is>
          <t>AM02</t>
        </is>
      </c>
      <c r="F1320" s="5" t="n">
        <v>700.08</v>
      </c>
      <c r="G1320">
        <f>IF(LEFT(B1320,1)="C","Credit","Factuur")</f>
        <v/>
      </c>
      <c r="H1320">
        <f>IF(AND(B1320=B1319,D1320=D1319,A1320=A1319,F1320=F1319),1,0)</f>
        <v/>
      </c>
      <c r="I1320">
        <f>IF(C1320="C99999",1,0)</f>
        <v/>
      </c>
      <c r="J1320" s="5">
        <f>IF(OR(H1320=1,I1320=1),0,IF(G1320="Credit",-F1320,F1320))</f>
        <v/>
      </c>
    </row>
    <row r="1321">
      <c r="A1321" t="inlineStr">
        <is>
          <t>2026-07-14</t>
        </is>
      </c>
      <c r="B1321" t="inlineStr">
        <is>
          <t>F276269</t>
        </is>
      </c>
      <c r="C1321" t="inlineStr">
        <is>
          <t>C10862</t>
        </is>
      </c>
      <c r="D1321" t="inlineStr">
        <is>
          <t>SKU-10106</t>
        </is>
      </c>
      <c r="E1321" t="inlineStr">
        <is>
          <t>AM02</t>
        </is>
      </c>
      <c r="F1321" s="5" t="n">
        <v>614.63</v>
      </c>
      <c r="G1321">
        <f>IF(LEFT(B1321,1)="C","Credit","Factuur")</f>
        <v/>
      </c>
      <c r="H1321">
        <f>IF(AND(B1321=B1320,D1321=D1320,A1321=A1320,F1321=F1320),1,0)</f>
        <v/>
      </c>
      <c r="I1321">
        <f>IF(C1321="C99999",1,0)</f>
        <v/>
      </c>
      <c r="J1321" s="5">
        <f>IF(OR(H1321=1,I1321=1),0,IF(G1321="Credit",-F1321,F1321))</f>
        <v/>
      </c>
    </row>
    <row r="1322">
      <c r="A1322" t="inlineStr">
        <is>
          <t>2026-07-14</t>
        </is>
      </c>
      <c r="B1322" t="inlineStr">
        <is>
          <t>F276269</t>
        </is>
      </c>
      <c r="C1322" t="inlineStr">
        <is>
          <t>C10862</t>
        </is>
      </c>
      <c r="D1322" t="inlineStr">
        <is>
          <t>SKU-10162</t>
        </is>
      </c>
      <c r="E1322" t="inlineStr">
        <is>
          <t>AM02</t>
        </is>
      </c>
      <c r="F1322" s="5" t="n">
        <v>602.4400000000001</v>
      </c>
      <c r="G1322">
        <f>IF(LEFT(B1322,1)="C","Credit","Factuur")</f>
        <v/>
      </c>
      <c r="H1322">
        <f>IF(AND(B1322=B1321,D1322=D1321,A1322=A1321,F1322=F1321),1,0)</f>
        <v/>
      </c>
      <c r="I1322">
        <f>IF(C1322="C99999",1,0)</f>
        <v/>
      </c>
      <c r="J1322" s="5">
        <f>IF(OR(H1322=1,I1322=1),0,IF(G1322="Credit",-F1322,F1322))</f>
        <v/>
      </c>
    </row>
    <row r="1323">
      <c r="A1323" t="inlineStr">
        <is>
          <t>2026-07-14</t>
        </is>
      </c>
      <c r="B1323" t="inlineStr">
        <is>
          <t>F276269</t>
        </is>
      </c>
      <c r="C1323" t="inlineStr">
        <is>
          <t>C10862</t>
        </is>
      </c>
      <c r="D1323" t="inlineStr">
        <is>
          <t>SKU-10214</t>
        </is>
      </c>
      <c r="E1323" t="inlineStr">
        <is>
          <t>AM02</t>
        </is>
      </c>
      <c r="F1323" s="5" t="n">
        <v>672.83</v>
      </c>
      <c r="G1323">
        <f>IF(LEFT(B1323,1)="C","Credit","Factuur")</f>
        <v/>
      </c>
      <c r="H1323">
        <f>IF(AND(B1323=B1322,D1323=D1322,A1323=A1322,F1323=F1322),1,0)</f>
        <v/>
      </c>
      <c r="I1323">
        <f>IF(C1323="C99999",1,0)</f>
        <v/>
      </c>
      <c r="J1323" s="5">
        <f>IF(OR(H1323=1,I1323=1),0,IF(G1323="Credit",-F1323,F1323))</f>
        <v/>
      </c>
    </row>
    <row r="1324">
      <c r="A1324" t="inlineStr">
        <is>
          <t>2026-07-14</t>
        </is>
      </c>
      <c r="B1324" t="inlineStr">
        <is>
          <t>F276478</t>
        </is>
      </c>
      <c r="C1324" t="inlineStr">
        <is>
          <t>C10872</t>
        </is>
      </c>
      <c r="D1324" t="inlineStr">
        <is>
          <t>SKU-10077</t>
        </is>
      </c>
      <c r="E1324" t="inlineStr">
        <is>
          <t>AM08</t>
        </is>
      </c>
      <c r="F1324" s="5" t="n">
        <v>132.53</v>
      </c>
      <c r="G1324">
        <f>IF(LEFT(B1324,1)="C","Credit","Factuur")</f>
        <v/>
      </c>
      <c r="H1324">
        <f>IF(AND(B1324=B1323,D1324=D1323,A1324=A1323,F1324=F1323),1,0)</f>
        <v/>
      </c>
      <c r="I1324">
        <f>IF(C1324="C99999",1,0)</f>
        <v/>
      </c>
      <c r="J1324" s="5">
        <f>IF(OR(H1324=1,I1324=1),0,IF(G1324="Credit",-F1324,F1324))</f>
        <v/>
      </c>
    </row>
    <row r="1325">
      <c r="A1325" t="inlineStr">
        <is>
          <t>2026-07-14</t>
        </is>
      </c>
      <c r="B1325" t="inlineStr">
        <is>
          <t>F276478</t>
        </is>
      </c>
      <c r="C1325" t="inlineStr">
        <is>
          <t>C10872</t>
        </is>
      </c>
      <c r="D1325" t="inlineStr">
        <is>
          <t>SKU-10279</t>
        </is>
      </c>
      <c r="E1325" t="inlineStr">
        <is>
          <t>AM08</t>
        </is>
      </c>
      <c r="F1325" s="5" t="n">
        <v>126.84</v>
      </c>
      <c r="G1325">
        <f>IF(LEFT(B1325,1)="C","Credit","Factuur")</f>
        <v/>
      </c>
      <c r="H1325">
        <f>IF(AND(B1325=B1324,D1325=D1324,A1325=A1324,F1325=F1324),1,0)</f>
        <v/>
      </c>
      <c r="I1325">
        <f>IF(C1325="C99999",1,0)</f>
        <v/>
      </c>
      <c r="J1325" s="5">
        <f>IF(OR(H1325=1,I1325=1),0,IF(G1325="Credit",-F1325,F1325))</f>
        <v/>
      </c>
    </row>
    <row r="1326">
      <c r="A1326" t="inlineStr">
        <is>
          <t>2026-07-14</t>
        </is>
      </c>
      <c r="B1326" t="inlineStr">
        <is>
          <t>F276478</t>
        </is>
      </c>
      <c r="C1326" t="inlineStr">
        <is>
          <t>C10872</t>
        </is>
      </c>
      <c r="D1326" t="inlineStr">
        <is>
          <t>SKU-10327</t>
        </is>
      </c>
      <c r="E1326" t="inlineStr">
        <is>
          <t>AM08</t>
        </is>
      </c>
      <c r="F1326" s="5" t="n">
        <v>137.74</v>
      </c>
      <c r="G1326">
        <f>IF(LEFT(B1326,1)="C","Credit","Factuur")</f>
        <v/>
      </c>
      <c r="H1326">
        <f>IF(AND(B1326=B1325,D1326=D1325,A1326=A1325,F1326=F1325),1,0)</f>
        <v/>
      </c>
      <c r="I1326">
        <f>IF(C1326="C99999",1,0)</f>
        <v/>
      </c>
      <c r="J1326" s="5">
        <f>IF(OR(H1326=1,I1326=1),0,IF(G1326="Credit",-F1326,F1326))</f>
        <v/>
      </c>
    </row>
    <row r="1327">
      <c r="A1327" t="inlineStr">
        <is>
          <t>2026-07-14</t>
        </is>
      </c>
      <c r="B1327" t="inlineStr">
        <is>
          <t>F276478</t>
        </is>
      </c>
      <c r="C1327" t="inlineStr">
        <is>
          <t>C10872</t>
        </is>
      </c>
      <c r="D1327" t="inlineStr">
        <is>
          <t>SKU-10337</t>
        </is>
      </c>
      <c r="E1327" t="inlineStr">
        <is>
          <t>AM08</t>
        </is>
      </c>
      <c r="F1327" s="5" t="n">
        <v>156.23</v>
      </c>
      <c r="G1327">
        <f>IF(LEFT(B1327,1)="C","Credit","Factuur")</f>
        <v/>
      </c>
      <c r="H1327">
        <f>IF(AND(B1327=B1326,D1327=D1326,A1327=A1326,F1327=F1326),1,0)</f>
        <v/>
      </c>
      <c r="I1327">
        <f>IF(C1327="C99999",1,0)</f>
        <v/>
      </c>
      <c r="J1327" s="5">
        <f>IF(OR(H1327=1,I1327=1),0,IF(G1327="Credit",-F1327,F1327))</f>
        <v/>
      </c>
    </row>
    <row r="1328">
      <c r="A1328" t="inlineStr">
        <is>
          <t>2026-07-14</t>
        </is>
      </c>
      <c r="B1328" t="inlineStr">
        <is>
          <t>F276499</t>
        </is>
      </c>
      <c r="C1328" t="inlineStr">
        <is>
          <t>C10873</t>
        </is>
      </c>
      <c r="D1328" t="inlineStr">
        <is>
          <t>SKU-10096</t>
        </is>
      </c>
      <c r="E1328" t="inlineStr">
        <is>
          <t>AM08</t>
        </is>
      </c>
      <c r="F1328" s="5" t="n">
        <v>343.26</v>
      </c>
      <c r="G1328">
        <f>IF(LEFT(B1328,1)="C","Credit","Factuur")</f>
        <v/>
      </c>
      <c r="H1328">
        <f>IF(AND(B1328=B1327,D1328=D1327,A1328=A1327,F1328=F1327),1,0)</f>
        <v/>
      </c>
      <c r="I1328">
        <f>IF(C1328="C99999",1,0)</f>
        <v/>
      </c>
      <c r="J1328" s="5">
        <f>IF(OR(H1328=1,I1328=1),0,IF(G1328="Credit",-F1328,F1328))</f>
        <v/>
      </c>
    </row>
    <row r="1329">
      <c r="A1329" t="inlineStr">
        <is>
          <t>2026-07-14</t>
        </is>
      </c>
      <c r="B1329" t="inlineStr">
        <is>
          <t>F276499</t>
        </is>
      </c>
      <c r="C1329" t="inlineStr">
        <is>
          <t>C10873</t>
        </is>
      </c>
      <c r="D1329" t="inlineStr">
        <is>
          <t>SKU-10165</t>
        </is>
      </c>
      <c r="E1329" t="inlineStr">
        <is>
          <t>AM08</t>
        </is>
      </c>
      <c r="F1329" s="5" t="n">
        <v>343.8</v>
      </c>
      <c r="G1329">
        <f>IF(LEFT(B1329,1)="C","Credit","Factuur")</f>
        <v/>
      </c>
      <c r="H1329">
        <f>IF(AND(B1329=B1328,D1329=D1328,A1329=A1328,F1329=F1328),1,0)</f>
        <v/>
      </c>
      <c r="I1329">
        <f>IF(C1329="C99999",1,0)</f>
        <v/>
      </c>
      <c r="J1329" s="5">
        <f>IF(OR(H1329=1,I1329=1),0,IF(G1329="Credit",-F1329,F1329))</f>
        <v/>
      </c>
    </row>
    <row r="1330">
      <c r="A1330" t="inlineStr">
        <is>
          <t>2026-07-14</t>
        </is>
      </c>
      <c r="B1330" t="inlineStr">
        <is>
          <t>F276499</t>
        </is>
      </c>
      <c r="C1330" t="inlineStr">
        <is>
          <t>C10873</t>
        </is>
      </c>
      <c r="D1330" t="inlineStr">
        <is>
          <t>SKU-10198</t>
        </is>
      </c>
      <c r="E1330" t="inlineStr">
        <is>
          <t>AM08</t>
        </is>
      </c>
      <c r="F1330" s="5" t="n">
        <v>323.55</v>
      </c>
      <c r="G1330">
        <f>IF(LEFT(B1330,1)="C","Credit","Factuur")</f>
        <v/>
      </c>
      <c r="H1330">
        <f>IF(AND(B1330=B1329,D1330=D1329,A1330=A1329,F1330=F1329),1,0)</f>
        <v/>
      </c>
      <c r="I1330">
        <f>IF(C1330="C99999",1,0)</f>
        <v/>
      </c>
      <c r="J1330" s="5">
        <f>IF(OR(H1330=1,I1330=1),0,IF(G1330="Credit",-F1330,F1330))</f>
        <v/>
      </c>
    </row>
    <row r="1331">
      <c r="A1331" t="inlineStr">
        <is>
          <t>2026-07-14</t>
        </is>
      </c>
      <c r="B1331" t="inlineStr">
        <is>
          <t>F276499</t>
        </is>
      </c>
      <c r="C1331" t="inlineStr">
        <is>
          <t>C10873</t>
        </is>
      </c>
      <c r="D1331" t="inlineStr">
        <is>
          <t>SKU-10305</t>
        </is>
      </c>
      <c r="E1331" t="inlineStr">
        <is>
          <t>AM08</t>
        </is>
      </c>
      <c r="F1331" s="5" t="n">
        <v>327.5</v>
      </c>
      <c r="G1331">
        <f>IF(LEFT(B1331,1)="C","Credit","Factuur")</f>
        <v/>
      </c>
      <c r="H1331">
        <f>IF(AND(B1331=B1330,D1331=D1330,A1331=A1330,F1331=F1330),1,0)</f>
        <v/>
      </c>
      <c r="I1331">
        <f>IF(C1331="C99999",1,0)</f>
        <v/>
      </c>
      <c r="J1331" s="5">
        <f>IF(OR(H1331=1,I1331=1),0,IF(G1331="Credit",-F1331,F1331))</f>
        <v/>
      </c>
    </row>
    <row r="1332">
      <c r="A1332" t="inlineStr">
        <is>
          <t>2026-07-14</t>
        </is>
      </c>
      <c r="B1332" t="inlineStr">
        <is>
          <t>F276499</t>
        </is>
      </c>
      <c r="C1332" t="inlineStr">
        <is>
          <t>C10873</t>
        </is>
      </c>
      <c r="D1332" t="inlineStr">
        <is>
          <t>SKU-10314</t>
        </is>
      </c>
      <c r="E1332" t="inlineStr">
        <is>
          <t>AM08</t>
        </is>
      </c>
      <c r="F1332" s="5" t="n">
        <v>329.28</v>
      </c>
      <c r="G1332">
        <f>IF(LEFT(B1332,1)="C","Credit","Factuur")</f>
        <v/>
      </c>
      <c r="H1332">
        <f>IF(AND(B1332=B1331,D1332=D1331,A1332=A1331,F1332=F1331),1,0)</f>
        <v/>
      </c>
      <c r="I1332">
        <f>IF(C1332="C99999",1,0)</f>
        <v/>
      </c>
      <c r="J1332" s="5">
        <f>IF(OR(H1332=1,I1332=1),0,IF(G1332="Credit",-F1332,F1332))</f>
        <v/>
      </c>
    </row>
    <row r="1333">
      <c r="A1333" t="inlineStr">
        <is>
          <t>2026-07-14</t>
        </is>
      </c>
      <c r="B1333" t="inlineStr">
        <is>
          <t>F276774</t>
        </is>
      </c>
      <c r="C1333" t="inlineStr">
        <is>
          <t>C10890</t>
        </is>
      </c>
      <c r="D1333" t="inlineStr">
        <is>
          <t>SKU-10012</t>
        </is>
      </c>
      <c r="E1333" t="inlineStr">
        <is>
          <t>AM11</t>
        </is>
      </c>
      <c r="F1333" s="5" t="n">
        <v>191.46</v>
      </c>
      <c r="G1333">
        <f>IF(LEFT(B1333,1)="C","Credit","Factuur")</f>
        <v/>
      </c>
      <c r="H1333">
        <f>IF(AND(B1333=B1332,D1333=D1332,A1333=A1332,F1333=F1332),1,0)</f>
        <v/>
      </c>
      <c r="I1333">
        <f>IF(C1333="C99999",1,0)</f>
        <v/>
      </c>
      <c r="J1333" s="5">
        <f>IF(OR(H1333=1,I1333=1),0,IF(G1333="Credit",-F1333,F1333))</f>
        <v/>
      </c>
    </row>
    <row r="1334">
      <c r="A1334" t="inlineStr">
        <is>
          <t>2026-07-14</t>
        </is>
      </c>
      <c r="B1334" t="inlineStr">
        <is>
          <t>F276774</t>
        </is>
      </c>
      <c r="C1334" t="inlineStr">
        <is>
          <t>C10890</t>
        </is>
      </c>
      <c r="D1334" t="inlineStr">
        <is>
          <t>SKU-10048</t>
        </is>
      </c>
      <c r="E1334" t="inlineStr">
        <is>
          <t>AM11</t>
        </is>
      </c>
      <c r="F1334" s="5" t="n">
        <v>210.44</v>
      </c>
      <c r="G1334">
        <f>IF(LEFT(B1334,1)="C","Credit","Factuur")</f>
        <v/>
      </c>
      <c r="H1334">
        <f>IF(AND(B1334=B1333,D1334=D1333,A1334=A1333,F1334=F1333),1,0)</f>
        <v/>
      </c>
      <c r="I1334">
        <f>IF(C1334="C99999",1,0)</f>
        <v/>
      </c>
      <c r="J1334" s="5">
        <f>IF(OR(H1334=1,I1334=1),0,IF(G1334="Credit",-F1334,F1334))</f>
        <v/>
      </c>
    </row>
    <row r="1335">
      <c r="A1335" t="inlineStr">
        <is>
          <t>2026-07-14</t>
        </is>
      </c>
      <c r="B1335" t="inlineStr">
        <is>
          <t>F276774</t>
        </is>
      </c>
      <c r="C1335" t="inlineStr">
        <is>
          <t>C10890</t>
        </is>
      </c>
      <c r="D1335" t="inlineStr">
        <is>
          <t>SKU-10113</t>
        </is>
      </c>
      <c r="E1335" t="inlineStr">
        <is>
          <t>AM11</t>
        </is>
      </c>
      <c r="F1335" s="5" t="n">
        <v>229.5</v>
      </c>
      <c r="G1335">
        <f>IF(LEFT(B1335,1)="C","Credit","Factuur")</f>
        <v/>
      </c>
      <c r="H1335">
        <f>IF(AND(B1335=B1334,D1335=D1334,A1335=A1334,F1335=F1334),1,0)</f>
        <v/>
      </c>
      <c r="I1335">
        <f>IF(C1335="C99999",1,0)</f>
        <v/>
      </c>
      <c r="J1335" s="5">
        <f>IF(OR(H1335=1,I1335=1),0,IF(G1335="Credit",-F1335,F1335))</f>
        <v/>
      </c>
    </row>
    <row r="1336">
      <c r="A1336" t="inlineStr">
        <is>
          <t>2026-07-14</t>
        </is>
      </c>
      <c r="B1336" t="inlineStr">
        <is>
          <t>F276774</t>
        </is>
      </c>
      <c r="C1336" t="inlineStr">
        <is>
          <t>C10890</t>
        </is>
      </c>
      <c r="D1336" t="inlineStr">
        <is>
          <t>SKU-10259</t>
        </is>
      </c>
      <c r="E1336" t="inlineStr">
        <is>
          <t>AM11</t>
        </is>
      </c>
      <c r="F1336" s="5" t="n">
        <v>204.62</v>
      </c>
      <c r="G1336">
        <f>IF(LEFT(B1336,1)="C","Credit","Factuur")</f>
        <v/>
      </c>
      <c r="H1336">
        <f>IF(AND(B1336=B1335,D1336=D1335,A1336=A1335,F1336=F1335),1,0)</f>
        <v/>
      </c>
      <c r="I1336">
        <f>IF(C1336="C99999",1,0)</f>
        <v/>
      </c>
      <c r="J1336" s="5">
        <f>IF(OR(H1336=1,I1336=1),0,IF(G1336="Credit",-F1336,F1336))</f>
        <v/>
      </c>
    </row>
    <row r="1337">
      <c r="A1337" t="inlineStr">
        <is>
          <t>2026-07-14</t>
        </is>
      </c>
      <c r="B1337" t="inlineStr">
        <is>
          <t>F278295</t>
        </is>
      </c>
      <c r="C1337" t="inlineStr">
        <is>
          <t>C10970</t>
        </is>
      </c>
      <c r="D1337" t="inlineStr">
        <is>
          <t>SKU-10088</t>
        </is>
      </c>
      <c r="E1337" t="inlineStr">
        <is>
          <t>AM02</t>
        </is>
      </c>
      <c r="F1337" s="5" t="n">
        <v>117.27</v>
      </c>
      <c r="G1337">
        <f>IF(LEFT(B1337,1)="C","Credit","Factuur")</f>
        <v/>
      </c>
      <c r="H1337">
        <f>IF(AND(B1337=B1336,D1337=D1336,A1337=A1336,F1337=F1336),1,0)</f>
        <v/>
      </c>
      <c r="I1337">
        <f>IF(C1337="C99999",1,0)</f>
        <v/>
      </c>
      <c r="J1337" s="5">
        <f>IF(OR(H1337=1,I1337=1),0,IF(G1337="Credit",-F1337,F1337))</f>
        <v/>
      </c>
    </row>
    <row r="1338">
      <c r="A1338" t="inlineStr">
        <is>
          <t>2026-07-14</t>
        </is>
      </c>
      <c r="B1338" t="inlineStr">
        <is>
          <t>F278295</t>
        </is>
      </c>
      <c r="C1338" t="inlineStr">
        <is>
          <t>C10970</t>
        </is>
      </c>
      <c r="D1338" t="inlineStr">
        <is>
          <t>SKU-10089</t>
        </is>
      </c>
      <c r="E1338" t="inlineStr">
        <is>
          <t>AM02</t>
        </is>
      </c>
      <c r="F1338" s="5" t="n">
        <v>119.32</v>
      </c>
      <c r="G1338">
        <f>IF(LEFT(B1338,1)="C","Credit","Factuur")</f>
        <v/>
      </c>
      <c r="H1338">
        <f>IF(AND(B1338=B1337,D1338=D1337,A1338=A1337,F1338=F1337),1,0)</f>
        <v/>
      </c>
      <c r="I1338">
        <f>IF(C1338="C99999",1,0)</f>
        <v/>
      </c>
      <c r="J1338" s="5">
        <f>IF(OR(H1338=1,I1338=1),0,IF(G1338="Credit",-F1338,F1338))</f>
        <v/>
      </c>
    </row>
    <row r="1339">
      <c r="A1339" t="inlineStr">
        <is>
          <t>2026-07-14</t>
        </is>
      </c>
      <c r="B1339" t="inlineStr">
        <is>
          <t>F278295</t>
        </is>
      </c>
      <c r="C1339" t="inlineStr">
        <is>
          <t>C10970</t>
        </is>
      </c>
      <c r="D1339" t="inlineStr">
        <is>
          <t>SKU-10166</t>
        </is>
      </c>
      <c r="E1339" t="inlineStr">
        <is>
          <t>AM02</t>
        </is>
      </c>
      <c r="F1339" s="5" t="n">
        <v>121.75</v>
      </c>
      <c r="G1339">
        <f>IF(LEFT(B1339,1)="C","Credit","Factuur")</f>
        <v/>
      </c>
      <c r="H1339">
        <f>IF(AND(B1339=B1338,D1339=D1338,A1339=A1338,F1339=F1338),1,0)</f>
        <v/>
      </c>
      <c r="I1339">
        <f>IF(C1339="C99999",1,0)</f>
        <v/>
      </c>
      <c r="J1339" s="5">
        <f>IF(OR(H1339=1,I1339=1),0,IF(G1339="Credit",-F1339,F1339))</f>
        <v/>
      </c>
    </row>
    <row r="1340">
      <c r="A1340" t="inlineStr">
        <is>
          <t>2026-07-14</t>
        </is>
      </c>
      <c r="B1340" t="inlineStr">
        <is>
          <t>F278295</t>
        </is>
      </c>
      <c r="C1340" t="inlineStr">
        <is>
          <t>C10970</t>
        </is>
      </c>
      <c r="D1340" t="inlineStr">
        <is>
          <t>SKU-10184</t>
        </is>
      </c>
      <c r="E1340" t="inlineStr">
        <is>
          <t>AM02</t>
        </is>
      </c>
      <c r="F1340" s="5" t="n">
        <v>129.7</v>
      </c>
      <c r="G1340">
        <f>IF(LEFT(B1340,1)="C","Credit","Factuur")</f>
        <v/>
      </c>
      <c r="H1340">
        <f>IF(AND(B1340=B1339,D1340=D1339,A1340=A1339,F1340=F1339),1,0)</f>
        <v/>
      </c>
      <c r="I1340">
        <f>IF(C1340="C99999",1,0)</f>
        <v/>
      </c>
      <c r="J1340" s="5">
        <f>IF(OR(H1340=1,I1340=1),0,IF(G1340="Credit",-F1340,F1340))</f>
        <v/>
      </c>
    </row>
    <row r="1341">
      <c r="A1341" t="inlineStr">
        <is>
          <t>2026-07-14</t>
        </is>
      </c>
      <c r="B1341" t="inlineStr">
        <is>
          <t>F278295</t>
        </is>
      </c>
      <c r="C1341" t="inlineStr">
        <is>
          <t>C10970</t>
        </is>
      </c>
      <c r="D1341" t="inlineStr">
        <is>
          <t>SKU-10192</t>
        </is>
      </c>
      <c r="E1341" t="inlineStr">
        <is>
          <t>AM02</t>
        </is>
      </c>
      <c r="F1341" s="5" t="n">
        <v>122.72</v>
      </c>
      <c r="G1341">
        <f>IF(LEFT(B1341,1)="C","Credit","Factuur")</f>
        <v/>
      </c>
      <c r="H1341">
        <f>IF(AND(B1341=B1340,D1341=D1340,A1341=A1340,F1341=F1340),1,0)</f>
        <v/>
      </c>
      <c r="I1341">
        <f>IF(C1341="C99999",1,0)</f>
        <v/>
      </c>
      <c r="J1341" s="5">
        <f>IF(OR(H1341=1,I1341=1),0,IF(G1341="Credit",-F1341,F1341))</f>
        <v/>
      </c>
    </row>
    <row r="1342">
      <c r="A1342" t="inlineStr">
        <is>
          <t>2026-07-14</t>
        </is>
      </c>
      <c r="B1342" t="inlineStr">
        <is>
          <t>F278780</t>
        </is>
      </c>
      <c r="C1342" t="inlineStr">
        <is>
          <t>C10996</t>
        </is>
      </c>
      <c r="D1342" t="inlineStr">
        <is>
          <t>SKU-10071</t>
        </is>
      </c>
      <c r="E1342" t="inlineStr">
        <is>
          <t>AM02</t>
        </is>
      </c>
      <c r="F1342" s="5" t="n">
        <v>198.9</v>
      </c>
      <c r="G1342">
        <f>IF(LEFT(B1342,1)="C","Credit","Factuur")</f>
        <v/>
      </c>
      <c r="H1342">
        <f>IF(AND(B1342=B1341,D1342=D1341,A1342=A1341,F1342=F1341),1,0)</f>
        <v/>
      </c>
      <c r="I1342">
        <f>IF(C1342="C99999",1,0)</f>
        <v/>
      </c>
      <c r="J1342" s="5">
        <f>IF(OR(H1342=1,I1342=1),0,IF(G1342="Credit",-F1342,F1342))</f>
        <v/>
      </c>
    </row>
    <row r="1343">
      <c r="A1343" t="inlineStr">
        <is>
          <t>2026-07-14</t>
        </is>
      </c>
      <c r="B1343" t="inlineStr">
        <is>
          <t>F279703</t>
        </is>
      </c>
      <c r="C1343" t="inlineStr">
        <is>
          <t>C11044</t>
        </is>
      </c>
      <c r="D1343" t="inlineStr">
        <is>
          <t>SKU-10054</t>
        </is>
      </c>
      <c r="E1343" t="inlineStr">
        <is>
          <t>AM11</t>
        </is>
      </c>
      <c r="F1343" s="5" t="n">
        <v>724.5599999999999</v>
      </c>
      <c r="G1343">
        <f>IF(LEFT(B1343,1)="C","Credit","Factuur")</f>
        <v/>
      </c>
      <c r="H1343">
        <f>IF(AND(B1343=B1342,D1343=D1342,A1343=A1342,F1343=F1342),1,0)</f>
        <v/>
      </c>
      <c r="I1343">
        <f>IF(C1343="C99999",1,0)</f>
        <v/>
      </c>
      <c r="J1343" s="5">
        <f>IF(OR(H1343=1,I1343=1),0,IF(G1343="Credit",-F1343,F1343))</f>
        <v/>
      </c>
    </row>
    <row r="1344">
      <c r="A1344" t="inlineStr">
        <is>
          <t>2026-07-14</t>
        </is>
      </c>
      <c r="B1344" t="inlineStr">
        <is>
          <t>F279703</t>
        </is>
      </c>
      <c r="C1344" t="inlineStr">
        <is>
          <t>C11044</t>
        </is>
      </c>
      <c r="D1344" t="inlineStr">
        <is>
          <t>SKU-10087</t>
        </is>
      </c>
      <c r="E1344" t="inlineStr">
        <is>
          <t>AM11</t>
        </is>
      </c>
      <c r="F1344" s="5" t="n">
        <v>731.17</v>
      </c>
      <c r="G1344">
        <f>IF(LEFT(B1344,1)="C","Credit","Factuur")</f>
        <v/>
      </c>
      <c r="H1344">
        <f>IF(AND(B1344=B1343,D1344=D1343,A1344=A1343,F1344=F1343),1,0)</f>
        <v/>
      </c>
      <c r="I1344">
        <f>IF(C1344="C99999",1,0)</f>
        <v/>
      </c>
      <c r="J1344" s="5">
        <f>IF(OR(H1344=1,I1344=1),0,IF(G1344="Credit",-F1344,F1344))</f>
        <v/>
      </c>
    </row>
    <row r="1345">
      <c r="A1345" t="inlineStr">
        <is>
          <t>2026-07-14</t>
        </is>
      </c>
      <c r="B1345" t="inlineStr">
        <is>
          <t>F279703</t>
        </is>
      </c>
      <c r="C1345" t="inlineStr">
        <is>
          <t>C11044</t>
        </is>
      </c>
      <c r="D1345" t="inlineStr">
        <is>
          <t>SKU-10177</t>
        </is>
      </c>
      <c r="E1345" t="inlineStr">
        <is>
          <t>AM11</t>
        </is>
      </c>
      <c r="F1345" s="5" t="n">
        <v>719.04</v>
      </c>
      <c r="G1345">
        <f>IF(LEFT(B1345,1)="C","Credit","Factuur")</f>
        <v/>
      </c>
      <c r="H1345">
        <f>IF(AND(B1345=B1344,D1345=D1344,A1345=A1344,F1345=F1344),1,0)</f>
        <v/>
      </c>
      <c r="I1345">
        <f>IF(C1345="C99999",1,0)</f>
        <v/>
      </c>
      <c r="J1345" s="5">
        <f>IF(OR(H1345=1,I1345=1),0,IF(G1345="Credit",-F1345,F1345))</f>
        <v/>
      </c>
    </row>
    <row r="1346">
      <c r="A1346" t="inlineStr">
        <is>
          <t>2026-07-14</t>
        </is>
      </c>
      <c r="B1346" t="inlineStr">
        <is>
          <t>F279703</t>
        </is>
      </c>
      <c r="C1346" t="inlineStr">
        <is>
          <t>C11044</t>
        </is>
      </c>
      <c r="D1346" t="inlineStr">
        <is>
          <t>SKU-10337</t>
        </is>
      </c>
      <c r="E1346" t="inlineStr">
        <is>
          <t>AM11</t>
        </is>
      </c>
      <c r="F1346" s="5" t="n">
        <v>681.72</v>
      </c>
      <c r="G1346">
        <f>IF(LEFT(B1346,1)="C","Credit","Factuur")</f>
        <v/>
      </c>
      <c r="H1346">
        <f>IF(AND(B1346=B1345,D1346=D1345,A1346=A1345,F1346=F1345),1,0)</f>
        <v/>
      </c>
      <c r="I1346">
        <f>IF(C1346="C99999",1,0)</f>
        <v/>
      </c>
      <c r="J1346" s="5">
        <f>IF(OR(H1346=1,I1346=1),0,IF(G1346="Credit",-F1346,F1346))</f>
        <v/>
      </c>
    </row>
    <row r="1347">
      <c r="A1347" t="inlineStr">
        <is>
          <t>2026-07-14</t>
        </is>
      </c>
      <c r="B1347" t="inlineStr">
        <is>
          <t>F280416</t>
        </is>
      </c>
      <c r="C1347" t="inlineStr">
        <is>
          <t>C11078</t>
        </is>
      </c>
      <c r="D1347" t="inlineStr">
        <is>
          <t>SKU-10063</t>
        </is>
      </c>
      <c r="E1347" t="inlineStr">
        <is>
          <t>AM08</t>
        </is>
      </c>
      <c r="F1347" s="5" t="n">
        <v>253.98</v>
      </c>
      <c r="G1347">
        <f>IF(LEFT(B1347,1)="C","Credit","Factuur")</f>
        <v/>
      </c>
      <c r="H1347">
        <f>IF(AND(B1347=B1346,D1347=D1346,A1347=A1346,F1347=F1346),1,0)</f>
        <v/>
      </c>
      <c r="I1347">
        <f>IF(C1347="C99999",1,0)</f>
        <v/>
      </c>
      <c r="J1347" s="5">
        <f>IF(OR(H1347=1,I1347=1),0,IF(G1347="Credit",-F1347,F1347))</f>
        <v/>
      </c>
    </row>
    <row r="1348">
      <c r="A1348" t="inlineStr">
        <is>
          <t>2026-07-14</t>
        </is>
      </c>
      <c r="B1348" t="inlineStr">
        <is>
          <t>F280416</t>
        </is>
      </c>
      <c r="C1348" t="inlineStr">
        <is>
          <t>C11078</t>
        </is>
      </c>
      <c r="D1348" t="inlineStr">
        <is>
          <t>SKU-10268</t>
        </is>
      </c>
      <c r="E1348" t="inlineStr">
        <is>
          <t>AM08</t>
        </is>
      </c>
      <c r="F1348" s="5" t="n">
        <v>226.16</v>
      </c>
      <c r="G1348">
        <f>IF(LEFT(B1348,1)="C","Credit","Factuur")</f>
        <v/>
      </c>
      <c r="H1348">
        <f>IF(AND(B1348=B1347,D1348=D1347,A1348=A1347,F1348=F1347),1,0)</f>
        <v/>
      </c>
      <c r="I1348">
        <f>IF(C1348="C99999",1,0)</f>
        <v/>
      </c>
      <c r="J1348" s="5">
        <f>IF(OR(H1348=1,I1348=1),0,IF(G1348="Credit",-F1348,F1348))</f>
        <v/>
      </c>
    </row>
    <row r="1349">
      <c r="A1349" t="inlineStr">
        <is>
          <t>2026-07-14</t>
        </is>
      </c>
      <c r="B1349" t="inlineStr">
        <is>
          <t>F280416</t>
        </is>
      </c>
      <c r="C1349" t="inlineStr">
        <is>
          <t>C11078</t>
        </is>
      </c>
      <c r="D1349" t="inlineStr">
        <is>
          <t>SKU-10316</t>
        </is>
      </c>
      <c r="E1349" t="inlineStr">
        <is>
          <t>AM08</t>
        </is>
      </c>
      <c r="F1349" s="5" t="n">
        <v>229.52</v>
      </c>
      <c r="G1349">
        <f>IF(LEFT(B1349,1)="C","Credit","Factuur")</f>
        <v/>
      </c>
      <c r="H1349">
        <f>IF(AND(B1349=B1348,D1349=D1348,A1349=A1348,F1349=F1348),1,0)</f>
        <v/>
      </c>
      <c r="I1349">
        <f>IF(C1349="C99999",1,0)</f>
        <v/>
      </c>
      <c r="J1349" s="5">
        <f>IF(OR(H1349=1,I1349=1),0,IF(G1349="Credit",-F1349,F1349))</f>
        <v/>
      </c>
    </row>
    <row r="1350">
      <c r="A1350" t="inlineStr">
        <is>
          <t>2026-07-14</t>
        </is>
      </c>
      <c r="B1350" t="inlineStr">
        <is>
          <t>F280663</t>
        </is>
      </c>
      <c r="C1350" t="inlineStr">
        <is>
          <t>C11091</t>
        </is>
      </c>
      <c r="D1350" t="inlineStr">
        <is>
          <t>SKU-10363</t>
        </is>
      </c>
      <c r="E1350" t="inlineStr">
        <is>
          <t>AM01</t>
        </is>
      </c>
      <c r="F1350" s="5" t="n">
        <v>1488.48</v>
      </c>
      <c r="G1350">
        <f>IF(LEFT(B1350,1)="C","Credit","Factuur")</f>
        <v/>
      </c>
      <c r="H1350">
        <f>IF(AND(B1350=B1349,D1350=D1349,A1350=A1349,F1350=F1349),1,0)</f>
        <v/>
      </c>
      <c r="I1350">
        <f>IF(C1350="C99999",1,0)</f>
        <v/>
      </c>
      <c r="J1350" s="5">
        <f>IF(OR(H1350=1,I1350=1),0,IF(G1350="Credit",-F1350,F1350))</f>
        <v/>
      </c>
    </row>
    <row r="1351">
      <c r="A1351" t="inlineStr">
        <is>
          <t>2026-07-14</t>
        </is>
      </c>
      <c r="B1351" t="inlineStr">
        <is>
          <t>F281608</t>
        </is>
      </c>
      <c r="C1351" t="inlineStr">
        <is>
          <t>C11139</t>
        </is>
      </c>
      <c r="D1351" t="inlineStr">
        <is>
          <t>SKU-10171</t>
        </is>
      </c>
      <c r="E1351" t="inlineStr">
        <is>
          <t>AM03</t>
        </is>
      </c>
      <c r="F1351" s="5" t="n">
        <v>1357.13</v>
      </c>
      <c r="G1351">
        <f>IF(LEFT(B1351,1)="C","Credit","Factuur")</f>
        <v/>
      </c>
      <c r="H1351">
        <f>IF(AND(B1351=B1350,D1351=D1350,A1351=A1350,F1351=F1350),1,0)</f>
        <v/>
      </c>
      <c r="I1351">
        <f>IF(C1351="C99999",1,0)</f>
        <v/>
      </c>
      <c r="J1351" s="5">
        <f>IF(OR(H1351=1,I1351=1),0,IF(G1351="Credit",-F1351,F1351))</f>
        <v/>
      </c>
    </row>
    <row r="1352">
      <c r="A1352" t="inlineStr">
        <is>
          <t>2026-07-14</t>
        </is>
      </c>
      <c r="B1352" t="inlineStr">
        <is>
          <t>F281690</t>
        </is>
      </c>
      <c r="C1352" t="inlineStr">
        <is>
          <t>C11144</t>
        </is>
      </c>
      <c r="D1352" t="inlineStr">
        <is>
          <t>SKU-10144</t>
        </is>
      </c>
      <c r="E1352" t="inlineStr">
        <is>
          <t>AM02</t>
        </is>
      </c>
      <c r="F1352" s="5" t="n">
        <v>450</v>
      </c>
      <c r="G1352">
        <f>IF(LEFT(B1352,1)="C","Credit","Factuur")</f>
        <v/>
      </c>
      <c r="H1352">
        <f>IF(AND(B1352=B1351,D1352=D1351,A1352=A1351,F1352=F1351),1,0)</f>
        <v/>
      </c>
      <c r="I1352">
        <f>IF(C1352="C99999",1,0)</f>
        <v/>
      </c>
      <c r="J1352" s="5">
        <f>IF(OR(H1352=1,I1352=1),0,IF(G1352="Credit",-F1352,F1352))</f>
        <v/>
      </c>
    </row>
    <row r="1353">
      <c r="A1353" t="inlineStr">
        <is>
          <t>2026-07-14</t>
        </is>
      </c>
      <c r="B1353" t="inlineStr">
        <is>
          <t>F281690</t>
        </is>
      </c>
      <c r="C1353" t="inlineStr">
        <is>
          <t>C11144</t>
        </is>
      </c>
      <c r="D1353" t="inlineStr">
        <is>
          <t>SKU-10171</t>
        </is>
      </c>
      <c r="E1353" t="inlineStr">
        <is>
          <t>AM02</t>
        </is>
      </c>
      <c r="F1353" s="5" t="n">
        <v>460.46</v>
      </c>
      <c r="G1353">
        <f>IF(LEFT(B1353,1)="C","Credit","Factuur")</f>
        <v/>
      </c>
      <c r="H1353">
        <f>IF(AND(B1353=B1352,D1353=D1352,A1353=A1352,F1353=F1352),1,0)</f>
        <v/>
      </c>
      <c r="I1353">
        <f>IF(C1353="C99999",1,0)</f>
        <v/>
      </c>
      <c r="J1353" s="5">
        <f>IF(OR(H1353=1,I1353=1),0,IF(G1353="Credit",-F1353,F1353))</f>
        <v/>
      </c>
    </row>
    <row r="1354">
      <c r="A1354" t="inlineStr">
        <is>
          <t>2026-07-14</t>
        </is>
      </c>
      <c r="B1354" t="inlineStr">
        <is>
          <t>F281690</t>
        </is>
      </c>
      <c r="C1354" t="inlineStr">
        <is>
          <t>C11144</t>
        </is>
      </c>
      <c r="D1354" t="inlineStr">
        <is>
          <t>SKU-10201</t>
        </is>
      </c>
      <c r="E1354" t="inlineStr">
        <is>
          <t>AM02</t>
        </is>
      </c>
      <c r="F1354" s="5" t="n">
        <v>455.54</v>
      </c>
      <c r="G1354">
        <f>IF(LEFT(B1354,1)="C","Credit","Factuur")</f>
        <v/>
      </c>
      <c r="H1354">
        <f>IF(AND(B1354=B1353,D1354=D1353,A1354=A1353,F1354=F1353),1,0)</f>
        <v/>
      </c>
      <c r="I1354">
        <f>IF(C1354="C99999",1,0)</f>
        <v/>
      </c>
      <c r="J1354" s="5">
        <f>IF(OR(H1354=1,I1354=1),0,IF(G1354="Credit",-F1354,F1354))</f>
        <v/>
      </c>
    </row>
    <row r="1355">
      <c r="A1355" t="inlineStr">
        <is>
          <t>2026-07-14</t>
        </is>
      </c>
      <c r="B1355" t="inlineStr">
        <is>
          <t>F281690</t>
        </is>
      </c>
      <c r="C1355" t="inlineStr">
        <is>
          <t>C11144</t>
        </is>
      </c>
      <c r="D1355" t="inlineStr">
        <is>
          <t>SKU-10322</t>
        </is>
      </c>
      <c r="E1355" t="inlineStr">
        <is>
          <t>AM02</t>
        </is>
      </c>
      <c r="F1355" s="5" t="n">
        <v>487.98</v>
      </c>
      <c r="G1355">
        <f>IF(LEFT(B1355,1)="C","Credit","Factuur")</f>
        <v/>
      </c>
      <c r="H1355">
        <f>IF(AND(B1355=B1354,D1355=D1354,A1355=A1354,F1355=F1354),1,0)</f>
        <v/>
      </c>
      <c r="I1355">
        <f>IF(C1355="C99999",1,0)</f>
        <v/>
      </c>
      <c r="J1355" s="5">
        <f>IF(OR(H1355=1,I1355=1),0,IF(G1355="Credit",-F1355,F1355))</f>
        <v/>
      </c>
    </row>
    <row r="1356">
      <c r="A1356" t="inlineStr">
        <is>
          <t>2026-07-14</t>
        </is>
      </c>
      <c r="B1356" t="inlineStr">
        <is>
          <t>F281932</t>
        </is>
      </c>
      <c r="C1356" t="inlineStr">
        <is>
          <t>C11153</t>
        </is>
      </c>
      <c r="D1356" t="inlineStr">
        <is>
          <t>SKU-10310</t>
        </is>
      </c>
      <c r="E1356" t="inlineStr">
        <is>
          <t>AM03</t>
        </is>
      </c>
      <c r="F1356" s="5" t="n">
        <v>935.9</v>
      </c>
      <c r="G1356">
        <f>IF(LEFT(B1356,1)="C","Credit","Factuur")</f>
        <v/>
      </c>
      <c r="H1356">
        <f>IF(AND(B1356=B1355,D1356=D1355,A1356=A1355,F1356=F1355),1,0)</f>
        <v/>
      </c>
      <c r="I1356">
        <f>IF(C1356="C99999",1,0)</f>
        <v/>
      </c>
      <c r="J1356" s="5">
        <f>IF(OR(H1356=1,I1356=1),0,IF(G1356="Credit",-F1356,F1356))</f>
        <v/>
      </c>
    </row>
    <row r="1357">
      <c r="A1357" t="inlineStr">
        <is>
          <t>2026-07-14</t>
        </is>
      </c>
      <c r="B1357" t="inlineStr">
        <is>
          <t>F284021</t>
        </is>
      </c>
      <c r="C1357" t="inlineStr">
        <is>
          <t>C11256</t>
        </is>
      </c>
      <c r="D1357" t="inlineStr">
        <is>
          <t>SKU-10046</t>
        </is>
      </c>
      <c r="E1357" t="inlineStr">
        <is>
          <t>AM08</t>
        </is>
      </c>
      <c r="F1357" s="5" t="n">
        <v>789</v>
      </c>
      <c r="G1357">
        <f>IF(LEFT(B1357,1)="C","Credit","Factuur")</f>
        <v/>
      </c>
      <c r="H1357">
        <f>IF(AND(B1357=B1356,D1357=D1356,A1357=A1356,F1357=F1356),1,0)</f>
        <v/>
      </c>
      <c r="I1357">
        <f>IF(C1357="C99999",1,0)</f>
        <v/>
      </c>
      <c r="J1357" s="5">
        <f>IF(OR(H1357=1,I1357=1),0,IF(G1357="Credit",-F1357,F1357))</f>
        <v/>
      </c>
    </row>
    <row r="1358">
      <c r="A1358" t="inlineStr">
        <is>
          <t>2026-07-14</t>
        </is>
      </c>
      <c r="B1358" t="inlineStr">
        <is>
          <t>F284021</t>
        </is>
      </c>
      <c r="C1358" t="inlineStr">
        <is>
          <t>C11256</t>
        </is>
      </c>
      <c r="D1358" t="inlineStr">
        <is>
          <t>SKU-10061</t>
        </is>
      </c>
      <c r="E1358" t="inlineStr">
        <is>
          <t>AM08</t>
        </is>
      </c>
      <c r="F1358" s="5" t="n">
        <v>711.02</v>
      </c>
      <c r="G1358">
        <f>IF(LEFT(B1358,1)="C","Credit","Factuur")</f>
        <v/>
      </c>
      <c r="H1358">
        <f>IF(AND(B1358=B1357,D1358=D1357,A1358=A1357,F1358=F1357),1,0)</f>
        <v/>
      </c>
      <c r="I1358">
        <f>IF(C1358="C99999",1,0)</f>
        <v/>
      </c>
      <c r="J1358" s="5">
        <f>IF(OR(H1358=1,I1358=1),0,IF(G1358="Credit",-F1358,F1358))</f>
        <v/>
      </c>
    </row>
    <row r="1359">
      <c r="A1359" t="inlineStr">
        <is>
          <t>2026-07-14</t>
        </is>
      </c>
      <c r="B1359" t="inlineStr">
        <is>
          <t>F284021</t>
        </is>
      </c>
      <c r="C1359" t="inlineStr">
        <is>
          <t>C11256</t>
        </is>
      </c>
      <c r="D1359" t="inlineStr">
        <is>
          <t>SKU-10077</t>
        </is>
      </c>
      <c r="E1359" t="inlineStr">
        <is>
          <t>AM08</t>
        </is>
      </c>
      <c r="F1359" s="5" t="n">
        <v>743.96</v>
      </c>
      <c r="G1359">
        <f>IF(LEFT(B1359,1)="C","Credit","Factuur")</f>
        <v/>
      </c>
      <c r="H1359">
        <f>IF(AND(B1359=B1358,D1359=D1358,A1359=A1358,F1359=F1358),1,0)</f>
        <v/>
      </c>
      <c r="I1359">
        <f>IF(C1359="C99999",1,0)</f>
        <v/>
      </c>
      <c r="J1359" s="5">
        <f>IF(OR(H1359=1,I1359=1),0,IF(G1359="Credit",-F1359,F1359))</f>
        <v/>
      </c>
    </row>
    <row r="1360">
      <c r="A1360" t="inlineStr">
        <is>
          <t>2026-07-14</t>
        </is>
      </c>
      <c r="B1360" t="inlineStr">
        <is>
          <t>F285223</t>
        </is>
      </c>
      <c r="C1360" t="inlineStr">
        <is>
          <t>C11321</t>
        </is>
      </c>
      <c r="D1360" t="inlineStr">
        <is>
          <t>SKU-10029</t>
        </is>
      </c>
      <c r="E1360" t="inlineStr">
        <is>
          <t>AM12</t>
        </is>
      </c>
      <c r="F1360" s="5" t="n">
        <v>362.64</v>
      </c>
      <c r="G1360">
        <f>IF(LEFT(B1360,1)="C","Credit","Factuur")</f>
        <v/>
      </c>
      <c r="H1360">
        <f>IF(AND(B1360=B1359,D1360=D1359,A1360=A1359,F1360=F1359),1,0)</f>
        <v/>
      </c>
      <c r="I1360">
        <f>IF(C1360="C99999",1,0)</f>
        <v/>
      </c>
      <c r="J1360" s="5">
        <f>IF(OR(H1360=1,I1360=1),0,IF(G1360="Credit",-F1360,F1360))</f>
        <v/>
      </c>
    </row>
    <row r="1361">
      <c r="A1361" t="inlineStr">
        <is>
          <t>2026-07-15</t>
        </is>
      </c>
      <c r="B1361" t="inlineStr">
        <is>
          <t>C900053</t>
        </is>
      </c>
      <c r="C1361" t="inlineStr">
        <is>
          <t>C10793</t>
        </is>
      </c>
      <c r="D1361" t="inlineStr">
        <is>
          <t>SKU-10189</t>
        </is>
      </c>
      <c r="E1361" t="inlineStr">
        <is>
          <t>AM01</t>
        </is>
      </c>
      <c r="F1361" s="5" t="n">
        <v>623.28</v>
      </c>
      <c r="G1361">
        <f>IF(LEFT(B1361,1)="C","Credit","Factuur")</f>
        <v/>
      </c>
      <c r="H1361">
        <f>IF(AND(B1361=B1360,D1361=D1360,A1361=A1360,F1361=F1360),1,0)</f>
        <v/>
      </c>
      <c r="I1361">
        <f>IF(C1361="C99999",1,0)</f>
        <v/>
      </c>
      <c r="J1361" s="5">
        <f>IF(OR(H1361=1,I1361=1),0,IF(G1361="Credit",-F1361,F1361))</f>
        <v/>
      </c>
    </row>
    <row r="1362">
      <c r="A1362" t="inlineStr">
        <is>
          <t>2026-07-15</t>
        </is>
      </c>
      <c r="B1362" t="inlineStr">
        <is>
          <t>C900644</t>
        </is>
      </c>
      <c r="C1362" t="inlineStr">
        <is>
          <t>C10206</t>
        </is>
      </c>
      <c r="D1362" t="inlineStr">
        <is>
          <t>SKU-10252</t>
        </is>
      </c>
      <c r="E1362" t="inlineStr">
        <is>
          <t>AM01</t>
        </is>
      </c>
      <c r="F1362" s="5" t="n">
        <v>588.3</v>
      </c>
      <c r="G1362">
        <f>IF(LEFT(B1362,1)="C","Credit","Factuur")</f>
        <v/>
      </c>
      <c r="H1362">
        <f>IF(AND(B1362=B1361,D1362=D1361,A1362=A1361,F1362=F1361),1,0)</f>
        <v/>
      </c>
      <c r="I1362">
        <f>IF(C1362="C99999",1,0)</f>
        <v/>
      </c>
      <c r="J1362" s="5">
        <f>IF(OR(H1362=1,I1362=1),0,IF(G1362="Credit",-F1362,F1362))</f>
        <v/>
      </c>
    </row>
    <row r="1363">
      <c r="A1363" t="inlineStr">
        <is>
          <t>2026-07-15</t>
        </is>
      </c>
      <c r="B1363" t="inlineStr">
        <is>
          <t>C900776</t>
        </is>
      </c>
      <c r="C1363" t="inlineStr">
        <is>
          <t>C10829</t>
        </is>
      </c>
      <c r="D1363" t="inlineStr">
        <is>
          <t>SKU-10330</t>
        </is>
      </c>
      <c r="E1363" t="inlineStr">
        <is>
          <t>AM05</t>
        </is>
      </c>
      <c r="F1363" s="5" t="n">
        <v>282.9</v>
      </c>
      <c r="G1363">
        <f>IF(LEFT(B1363,1)="C","Credit","Factuur")</f>
        <v/>
      </c>
      <c r="H1363">
        <f>IF(AND(B1363=B1362,D1363=D1362,A1363=A1362,F1363=F1362),1,0)</f>
        <v/>
      </c>
      <c r="I1363">
        <f>IF(C1363="C99999",1,0)</f>
        <v/>
      </c>
      <c r="J1363" s="5">
        <f>IF(OR(H1363=1,I1363=1),0,IF(G1363="Credit",-F1363,F1363))</f>
        <v/>
      </c>
    </row>
    <row r="1364">
      <c r="A1364" t="inlineStr">
        <is>
          <t>2026-07-15</t>
        </is>
      </c>
      <c r="B1364" t="inlineStr">
        <is>
          <t>F260135</t>
        </is>
      </c>
      <c r="C1364" t="inlineStr">
        <is>
          <t>C10008</t>
        </is>
      </c>
      <c r="D1364" t="inlineStr">
        <is>
          <t>SKU-10129</t>
        </is>
      </c>
      <c r="E1364" t="inlineStr">
        <is>
          <t>AM03</t>
        </is>
      </c>
      <c r="F1364" s="5" t="n">
        <v>414.52</v>
      </c>
      <c r="G1364">
        <f>IF(LEFT(B1364,1)="C","Credit","Factuur")</f>
        <v/>
      </c>
      <c r="H1364">
        <f>IF(AND(B1364=B1363,D1364=D1363,A1364=A1363,F1364=F1363),1,0)</f>
        <v/>
      </c>
      <c r="I1364">
        <f>IF(C1364="C99999",1,0)</f>
        <v/>
      </c>
      <c r="J1364" s="5">
        <f>IF(OR(H1364=1,I1364=1),0,IF(G1364="Credit",-F1364,F1364))</f>
        <v/>
      </c>
    </row>
    <row r="1365">
      <c r="A1365" t="inlineStr">
        <is>
          <t>2026-07-15</t>
        </is>
      </c>
      <c r="B1365" t="inlineStr">
        <is>
          <t>F260135</t>
        </is>
      </c>
      <c r="C1365" t="inlineStr">
        <is>
          <t>C10008</t>
        </is>
      </c>
      <c r="D1365" t="inlineStr">
        <is>
          <t>SKU-10213</t>
        </is>
      </c>
      <c r="E1365" t="inlineStr">
        <is>
          <t>AM03</t>
        </is>
      </c>
      <c r="F1365" s="5" t="n">
        <v>361.95</v>
      </c>
      <c r="G1365">
        <f>IF(LEFT(B1365,1)="C","Credit","Factuur")</f>
        <v/>
      </c>
      <c r="H1365">
        <f>IF(AND(B1365=B1364,D1365=D1364,A1365=A1364,F1365=F1364),1,0)</f>
        <v/>
      </c>
      <c r="I1365">
        <f>IF(C1365="C99999",1,0)</f>
        <v/>
      </c>
      <c r="J1365" s="5">
        <f>IF(OR(H1365=1,I1365=1),0,IF(G1365="Credit",-F1365,F1365))</f>
        <v/>
      </c>
    </row>
    <row r="1366">
      <c r="A1366" t="inlineStr">
        <is>
          <t>2026-07-15</t>
        </is>
      </c>
      <c r="B1366" t="inlineStr">
        <is>
          <t>F260135</t>
        </is>
      </c>
      <c r="C1366" t="inlineStr">
        <is>
          <t>C10008</t>
        </is>
      </c>
      <c r="D1366" t="inlineStr">
        <is>
          <t>SKU-10276</t>
        </is>
      </c>
      <c r="E1366" t="inlineStr">
        <is>
          <t>AM03</t>
        </is>
      </c>
      <c r="F1366" s="5" t="n">
        <v>345.8</v>
      </c>
      <c r="G1366">
        <f>IF(LEFT(B1366,1)="C","Credit","Factuur")</f>
        <v/>
      </c>
      <c r="H1366">
        <f>IF(AND(B1366=B1365,D1366=D1365,A1366=A1365,F1366=F1365),1,0)</f>
        <v/>
      </c>
      <c r="I1366">
        <f>IF(C1366="C99999",1,0)</f>
        <v/>
      </c>
      <c r="J1366" s="5">
        <f>IF(OR(H1366=1,I1366=1),0,IF(G1366="Credit",-F1366,F1366))</f>
        <v/>
      </c>
    </row>
    <row r="1367">
      <c r="A1367" t="inlineStr">
        <is>
          <t>2026-07-15</t>
        </is>
      </c>
      <c r="B1367" t="inlineStr">
        <is>
          <t>F260135</t>
        </is>
      </c>
      <c r="C1367" t="inlineStr">
        <is>
          <t>C10008</t>
        </is>
      </c>
      <c r="D1367" t="inlineStr">
        <is>
          <t>SKU-10330</t>
        </is>
      </c>
      <c r="E1367" t="inlineStr">
        <is>
          <t>AM03</t>
        </is>
      </c>
      <c r="F1367" s="5" t="n">
        <v>349.38</v>
      </c>
      <c r="G1367">
        <f>IF(LEFT(B1367,1)="C","Credit","Factuur")</f>
        <v/>
      </c>
      <c r="H1367">
        <f>IF(AND(B1367=B1366,D1367=D1366,A1367=A1366,F1367=F1366),1,0)</f>
        <v/>
      </c>
      <c r="I1367">
        <f>IF(C1367="C99999",1,0)</f>
        <v/>
      </c>
      <c r="J1367" s="5">
        <f>IF(OR(H1367=1,I1367=1),0,IF(G1367="Credit",-F1367,F1367))</f>
        <v/>
      </c>
    </row>
    <row r="1368">
      <c r="A1368" t="inlineStr">
        <is>
          <t>2026-07-15</t>
        </is>
      </c>
      <c r="B1368" t="inlineStr">
        <is>
          <t>F260219</t>
        </is>
      </c>
      <c r="C1368" t="inlineStr">
        <is>
          <t>C10014</t>
        </is>
      </c>
      <c r="D1368" t="inlineStr">
        <is>
          <t>SKU-10073</t>
        </is>
      </c>
      <c r="E1368" t="inlineStr">
        <is>
          <t>AM01</t>
        </is>
      </c>
      <c r="F1368" s="5" t="n">
        <v>684.48</v>
      </c>
      <c r="G1368">
        <f>IF(LEFT(B1368,1)="C","Credit","Factuur")</f>
        <v/>
      </c>
      <c r="H1368">
        <f>IF(AND(B1368=B1367,D1368=D1367,A1368=A1367,F1368=F1367),1,0)</f>
        <v/>
      </c>
      <c r="I1368">
        <f>IF(C1368="C99999",1,0)</f>
        <v/>
      </c>
      <c r="J1368" s="5">
        <f>IF(OR(H1368=1,I1368=1),0,IF(G1368="Credit",-F1368,F1368))</f>
        <v/>
      </c>
    </row>
    <row r="1369">
      <c r="A1369" t="inlineStr">
        <is>
          <t>2026-07-15</t>
        </is>
      </c>
      <c r="B1369" t="inlineStr">
        <is>
          <t>F260219</t>
        </is>
      </c>
      <c r="C1369" t="inlineStr">
        <is>
          <t>C10014</t>
        </is>
      </c>
      <c r="D1369" t="inlineStr">
        <is>
          <t>SKU-10128</t>
        </is>
      </c>
      <c r="E1369" t="inlineStr">
        <is>
          <t>AM01</t>
        </is>
      </c>
      <c r="F1369" s="5" t="n">
        <v>714.2</v>
      </c>
      <c r="G1369">
        <f>IF(LEFT(B1369,1)="C","Credit","Factuur")</f>
        <v/>
      </c>
      <c r="H1369">
        <f>IF(AND(B1369=B1368,D1369=D1368,A1369=A1368,F1369=F1368),1,0)</f>
        <v/>
      </c>
      <c r="I1369">
        <f>IF(C1369="C99999",1,0)</f>
        <v/>
      </c>
      <c r="J1369" s="5">
        <f>IF(OR(H1369=1,I1369=1),0,IF(G1369="Credit",-F1369,F1369))</f>
        <v/>
      </c>
    </row>
    <row r="1370">
      <c r="A1370" t="inlineStr">
        <is>
          <t>2026-07-15</t>
        </is>
      </c>
      <c r="B1370" t="inlineStr">
        <is>
          <t>F260219</t>
        </is>
      </c>
      <c r="C1370" t="inlineStr">
        <is>
          <t>C10014</t>
        </is>
      </c>
      <c r="D1370" t="inlineStr">
        <is>
          <t>SKU-10277</t>
        </is>
      </c>
      <c r="E1370" t="inlineStr">
        <is>
          <t>AM01</t>
        </is>
      </c>
      <c r="F1370" s="5" t="n">
        <v>675.45</v>
      </c>
      <c r="G1370">
        <f>IF(LEFT(B1370,1)="C","Credit","Factuur")</f>
        <v/>
      </c>
      <c r="H1370">
        <f>IF(AND(B1370=B1369,D1370=D1369,A1370=A1369,F1370=F1369),1,0)</f>
        <v/>
      </c>
      <c r="I1370">
        <f>IF(C1370="C99999",1,0)</f>
        <v/>
      </c>
      <c r="J1370" s="5">
        <f>IF(OR(H1370=1,I1370=1),0,IF(G1370="Credit",-F1370,F1370))</f>
        <v/>
      </c>
    </row>
    <row r="1371">
      <c r="A1371" t="inlineStr">
        <is>
          <t>2026-07-15</t>
        </is>
      </c>
      <c r="B1371" t="inlineStr">
        <is>
          <t>F260477</t>
        </is>
      </c>
      <c r="C1371" t="inlineStr">
        <is>
          <t>C10026</t>
        </is>
      </c>
      <c r="D1371" t="inlineStr">
        <is>
          <t>SKU-10110</t>
        </is>
      </c>
      <c r="E1371" t="inlineStr">
        <is>
          <t>AM11</t>
        </is>
      </c>
      <c r="F1371" s="5" t="n">
        <v>790.4</v>
      </c>
      <c r="G1371">
        <f>IF(LEFT(B1371,1)="C","Credit","Factuur")</f>
        <v/>
      </c>
      <c r="H1371">
        <f>IF(AND(B1371=B1370,D1371=D1370,A1371=A1370,F1371=F1370),1,0)</f>
        <v/>
      </c>
      <c r="I1371">
        <f>IF(C1371="C99999",1,0)</f>
        <v/>
      </c>
      <c r="J1371" s="5">
        <f>IF(OR(H1371=1,I1371=1),0,IF(G1371="Credit",-F1371,F1371))</f>
        <v/>
      </c>
    </row>
    <row r="1372">
      <c r="A1372" t="inlineStr">
        <is>
          <t>2026-07-15</t>
        </is>
      </c>
      <c r="B1372" t="inlineStr">
        <is>
          <t>F260477</t>
        </is>
      </c>
      <c r="C1372" t="inlineStr">
        <is>
          <t>C10026</t>
        </is>
      </c>
      <c r="D1372" t="inlineStr">
        <is>
          <t>SKU-10334</t>
        </is>
      </c>
      <c r="E1372" t="inlineStr">
        <is>
          <t>AM11</t>
        </is>
      </c>
      <c r="F1372" s="5" t="n">
        <v>814.65</v>
      </c>
      <c r="G1372">
        <f>IF(LEFT(B1372,1)="C","Credit","Factuur")</f>
        <v/>
      </c>
      <c r="H1372">
        <f>IF(AND(B1372=B1371,D1372=D1371,A1372=A1371,F1372=F1371),1,0)</f>
        <v/>
      </c>
      <c r="I1372">
        <f>IF(C1372="C99999",1,0)</f>
        <v/>
      </c>
      <c r="J1372" s="5">
        <f>IF(OR(H1372=1,I1372=1),0,IF(G1372="Credit",-F1372,F1372))</f>
        <v/>
      </c>
    </row>
    <row r="1373">
      <c r="A1373" t="inlineStr">
        <is>
          <t>2026-07-15</t>
        </is>
      </c>
      <c r="B1373" t="inlineStr">
        <is>
          <t>F262059</t>
        </is>
      </c>
      <c r="C1373" t="inlineStr">
        <is>
          <t>C10109</t>
        </is>
      </c>
      <c r="D1373" t="inlineStr">
        <is>
          <t>SKU-10118</t>
        </is>
      </c>
      <c r="E1373" t="inlineStr">
        <is>
          <t>AM01</t>
        </is>
      </c>
      <c r="F1373" s="5" t="n">
        <v>1459.81</v>
      </c>
      <c r="G1373">
        <f>IF(LEFT(B1373,1)="C","Credit","Factuur")</f>
        <v/>
      </c>
      <c r="H1373">
        <f>IF(AND(B1373=B1372,D1373=D1372,A1373=A1372,F1373=F1372),1,0)</f>
        <v/>
      </c>
      <c r="I1373">
        <f>IF(C1373="C99999",1,0)</f>
        <v/>
      </c>
      <c r="J1373" s="5">
        <f>IF(OR(H1373=1,I1373=1),0,IF(G1373="Credit",-F1373,F1373))</f>
        <v/>
      </c>
    </row>
    <row r="1374">
      <c r="A1374" t="inlineStr">
        <is>
          <t>2026-07-15</t>
        </is>
      </c>
      <c r="B1374" t="inlineStr">
        <is>
          <t>F263856</t>
        </is>
      </c>
      <c r="C1374" t="inlineStr">
        <is>
          <t>C10205</t>
        </is>
      </c>
      <c r="D1374" t="inlineStr">
        <is>
          <t>SKU-10194</t>
        </is>
      </c>
      <c r="E1374" t="inlineStr">
        <is>
          <t>AM12</t>
        </is>
      </c>
      <c r="F1374" s="5" t="n">
        <v>313.36</v>
      </c>
      <c r="G1374">
        <f>IF(LEFT(B1374,1)="C","Credit","Factuur")</f>
        <v/>
      </c>
      <c r="H1374">
        <f>IF(AND(B1374=B1373,D1374=D1373,A1374=A1373,F1374=F1373),1,0)</f>
        <v/>
      </c>
      <c r="I1374">
        <f>IF(C1374="C99999",1,0)</f>
        <v/>
      </c>
      <c r="J1374" s="5">
        <f>IF(OR(H1374=1,I1374=1),0,IF(G1374="Credit",-F1374,F1374))</f>
        <v/>
      </c>
    </row>
    <row r="1375">
      <c r="A1375" t="inlineStr">
        <is>
          <t>2026-07-15</t>
        </is>
      </c>
      <c r="B1375" t="inlineStr">
        <is>
          <t>F263856</t>
        </is>
      </c>
      <c r="C1375" t="inlineStr">
        <is>
          <t>C10205</t>
        </is>
      </c>
      <c r="D1375" t="inlineStr">
        <is>
          <t>SKU-10199</t>
        </is>
      </c>
      <c r="E1375" t="inlineStr">
        <is>
          <t>AM12</t>
        </is>
      </c>
      <c r="F1375" s="5" t="n">
        <v>298.83</v>
      </c>
      <c r="G1375">
        <f>IF(LEFT(B1375,1)="C","Credit","Factuur")</f>
        <v/>
      </c>
      <c r="H1375">
        <f>IF(AND(B1375=B1374,D1375=D1374,A1375=A1374,F1375=F1374),1,0)</f>
        <v/>
      </c>
      <c r="I1375">
        <f>IF(C1375="C99999",1,0)</f>
        <v/>
      </c>
      <c r="J1375" s="5">
        <f>IF(OR(H1375=1,I1375=1),0,IF(G1375="Credit",-F1375,F1375))</f>
        <v/>
      </c>
    </row>
    <row r="1376">
      <c r="A1376" t="inlineStr">
        <is>
          <t>2026-07-15</t>
        </is>
      </c>
      <c r="B1376" t="inlineStr">
        <is>
          <t>F263856</t>
        </is>
      </c>
      <c r="C1376" t="inlineStr">
        <is>
          <t>C10205</t>
        </is>
      </c>
      <c r="D1376" t="inlineStr">
        <is>
          <t>SKU-10337</t>
        </is>
      </c>
      <c r="E1376" t="inlineStr">
        <is>
          <t>AM12</t>
        </is>
      </c>
      <c r="F1376" s="5" t="n">
        <v>299</v>
      </c>
      <c r="G1376">
        <f>IF(LEFT(B1376,1)="C","Credit","Factuur")</f>
        <v/>
      </c>
      <c r="H1376">
        <f>IF(AND(B1376=B1375,D1376=D1375,A1376=A1375,F1376=F1375),1,0)</f>
        <v/>
      </c>
      <c r="I1376">
        <f>IF(C1376="C99999",1,0)</f>
        <v/>
      </c>
      <c r="J1376" s="5">
        <f>IF(OR(H1376=1,I1376=1),0,IF(G1376="Credit",-F1376,F1376))</f>
        <v/>
      </c>
    </row>
    <row r="1377">
      <c r="A1377" t="inlineStr">
        <is>
          <t>2026-07-15</t>
        </is>
      </c>
      <c r="B1377" t="inlineStr">
        <is>
          <t>F264572</t>
        </is>
      </c>
      <c r="C1377" t="inlineStr">
        <is>
          <t>C10239</t>
        </is>
      </c>
      <c r="D1377" t="inlineStr">
        <is>
          <t>SKU-10119</t>
        </is>
      </c>
      <c r="E1377" t="inlineStr">
        <is>
          <t>AM02</t>
        </is>
      </c>
      <c r="F1377" s="5" t="n">
        <v>54.21</v>
      </c>
      <c r="G1377">
        <f>IF(LEFT(B1377,1)="C","Credit","Factuur")</f>
        <v/>
      </c>
      <c r="H1377">
        <f>IF(AND(B1377=B1376,D1377=D1376,A1377=A1376,F1377=F1376),1,0)</f>
        <v/>
      </c>
      <c r="I1377">
        <f>IF(C1377="C99999",1,0)</f>
        <v/>
      </c>
      <c r="J1377" s="5">
        <f>IF(OR(H1377=1,I1377=1),0,IF(G1377="Credit",-F1377,F1377))</f>
        <v/>
      </c>
    </row>
    <row r="1378">
      <c r="A1378" t="inlineStr">
        <is>
          <t>2026-07-15</t>
        </is>
      </c>
      <c r="B1378" t="inlineStr">
        <is>
          <t>F264572</t>
        </is>
      </c>
      <c r="C1378" t="inlineStr">
        <is>
          <t>C10239</t>
        </is>
      </c>
      <c r="D1378" t="inlineStr">
        <is>
          <t>SKU-10186</t>
        </is>
      </c>
      <c r="E1378" t="inlineStr">
        <is>
          <t>AM02</t>
        </is>
      </c>
      <c r="F1378" s="5" t="n">
        <v>71.40000000000001</v>
      </c>
      <c r="G1378">
        <f>IF(LEFT(B1378,1)="C","Credit","Factuur")</f>
        <v/>
      </c>
      <c r="H1378">
        <f>IF(AND(B1378=B1377,D1378=D1377,A1378=A1377,F1378=F1377),1,0)</f>
        <v/>
      </c>
      <c r="I1378">
        <f>IF(C1378="C99999",1,0)</f>
        <v/>
      </c>
      <c r="J1378" s="5">
        <f>IF(OR(H1378=1,I1378=1),0,IF(G1378="Credit",-F1378,F1378))</f>
        <v/>
      </c>
    </row>
    <row r="1379">
      <c r="A1379" t="inlineStr">
        <is>
          <t>2026-07-15</t>
        </is>
      </c>
      <c r="B1379" t="inlineStr">
        <is>
          <t>F264572</t>
        </is>
      </c>
      <c r="C1379" t="inlineStr">
        <is>
          <t>C10239</t>
        </is>
      </c>
      <c r="D1379" t="inlineStr">
        <is>
          <t>SKU-10246</t>
        </is>
      </c>
      <c r="E1379" t="inlineStr">
        <is>
          <t>AM02</t>
        </is>
      </c>
      <c r="F1379" s="5" t="n">
        <v>69.12</v>
      </c>
      <c r="G1379">
        <f>IF(LEFT(B1379,1)="C","Credit","Factuur")</f>
        <v/>
      </c>
      <c r="H1379">
        <f>IF(AND(B1379=B1378,D1379=D1378,A1379=A1378,F1379=F1378),1,0)</f>
        <v/>
      </c>
      <c r="I1379">
        <f>IF(C1379="C99999",1,0)</f>
        <v/>
      </c>
      <c r="J1379" s="5">
        <f>IF(OR(H1379=1,I1379=1),0,IF(G1379="Credit",-F1379,F1379))</f>
        <v/>
      </c>
    </row>
    <row r="1380">
      <c r="A1380" t="inlineStr">
        <is>
          <t>2026-07-15</t>
        </is>
      </c>
      <c r="B1380" t="inlineStr">
        <is>
          <t>F264572</t>
        </is>
      </c>
      <c r="C1380" t="inlineStr">
        <is>
          <t>C10239</t>
        </is>
      </c>
      <c r="D1380" t="inlineStr">
        <is>
          <t>SKU-10332</t>
        </is>
      </c>
      <c r="E1380" t="inlineStr">
        <is>
          <t>AM02</t>
        </is>
      </c>
      <c r="F1380" s="5" t="n">
        <v>81.38</v>
      </c>
      <c r="G1380">
        <f>IF(LEFT(B1380,1)="C","Credit","Factuur")</f>
        <v/>
      </c>
      <c r="H1380">
        <f>IF(AND(B1380=B1379,D1380=D1379,A1380=A1379,F1380=F1379),1,0)</f>
        <v/>
      </c>
      <c r="I1380">
        <f>IF(C1380="C99999",1,0)</f>
        <v/>
      </c>
      <c r="J1380" s="5">
        <f>IF(OR(H1380=1,I1380=1),0,IF(G1380="Credit",-F1380,F1380))</f>
        <v/>
      </c>
    </row>
    <row r="1381">
      <c r="A1381" t="inlineStr">
        <is>
          <t>2026-07-15</t>
        </is>
      </c>
      <c r="B1381" t="inlineStr">
        <is>
          <t>F264572</t>
        </is>
      </c>
      <c r="C1381" t="inlineStr">
        <is>
          <t>C10239</t>
        </is>
      </c>
      <c r="D1381" t="inlineStr">
        <is>
          <t>SKU-10344</t>
        </is>
      </c>
      <c r="E1381" t="inlineStr">
        <is>
          <t>AM02</t>
        </is>
      </c>
      <c r="F1381" s="5" t="n">
        <v>84</v>
      </c>
      <c r="G1381">
        <f>IF(LEFT(B1381,1)="C","Credit","Factuur")</f>
        <v/>
      </c>
      <c r="H1381">
        <f>IF(AND(B1381=B1380,D1381=D1380,A1381=A1380,F1381=F1380),1,0)</f>
        <v/>
      </c>
      <c r="I1381">
        <f>IF(C1381="C99999",1,0)</f>
        <v/>
      </c>
      <c r="J1381" s="5">
        <f>IF(OR(H1381=1,I1381=1),0,IF(G1381="Credit",-F1381,F1381))</f>
        <v/>
      </c>
    </row>
    <row r="1382">
      <c r="A1382" t="inlineStr">
        <is>
          <t>2026-07-15</t>
        </is>
      </c>
      <c r="B1382" t="inlineStr">
        <is>
          <t>F264633</t>
        </is>
      </c>
      <c r="C1382" t="inlineStr">
        <is>
          <t>C10241</t>
        </is>
      </c>
      <c r="D1382" t="inlineStr">
        <is>
          <t>SKU-10148</t>
        </is>
      </c>
      <c r="E1382" t="inlineStr">
        <is>
          <t>AM02</t>
        </is>
      </c>
      <c r="F1382" s="5" t="n">
        <v>764.11</v>
      </c>
      <c r="G1382">
        <f>IF(LEFT(B1382,1)="C","Credit","Factuur")</f>
        <v/>
      </c>
      <c r="H1382">
        <f>IF(AND(B1382=B1381,D1382=D1381,A1382=A1381,F1382=F1381),1,0)</f>
        <v/>
      </c>
      <c r="I1382">
        <f>IF(C1382="C99999",1,0)</f>
        <v/>
      </c>
      <c r="J1382" s="5">
        <f>IF(OR(H1382=1,I1382=1),0,IF(G1382="Credit",-F1382,F1382))</f>
        <v/>
      </c>
    </row>
    <row r="1383">
      <c r="A1383" t="inlineStr">
        <is>
          <t>2026-07-15</t>
        </is>
      </c>
      <c r="B1383" t="inlineStr">
        <is>
          <t>F264633</t>
        </is>
      </c>
      <c r="C1383" t="inlineStr">
        <is>
          <t>C10241</t>
        </is>
      </c>
      <c r="D1383" t="inlineStr">
        <is>
          <t>SKU-10339</t>
        </is>
      </c>
      <c r="E1383" t="inlineStr">
        <is>
          <t>AM02</t>
        </is>
      </c>
      <c r="F1383" s="5" t="n">
        <v>782.6</v>
      </c>
      <c r="G1383">
        <f>IF(LEFT(B1383,1)="C","Credit","Factuur")</f>
        <v/>
      </c>
      <c r="H1383">
        <f>IF(AND(B1383=B1382,D1383=D1382,A1383=A1382,F1383=F1382),1,0)</f>
        <v/>
      </c>
      <c r="I1383">
        <f>IF(C1383="C99999",1,0)</f>
        <v/>
      </c>
      <c r="J1383" s="5">
        <f>IF(OR(H1383=1,I1383=1),0,IF(G1383="Credit",-F1383,F1383))</f>
        <v/>
      </c>
    </row>
    <row r="1384">
      <c r="A1384" t="inlineStr">
        <is>
          <t>2026-07-15</t>
        </is>
      </c>
      <c r="B1384" t="inlineStr">
        <is>
          <t>F267189</t>
        </is>
      </c>
      <c r="C1384" t="inlineStr">
        <is>
          <t>C10381</t>
        </is>
      </c>
      <c r="D1384" t="inlineStr">
        <is>
          <t>SKU-10356</t>
        </is>
      </c>
      <c r="E1384" t="inlineStr">
        <is>
          <t>AM01</t>
        </is>
      </c>
      <c r="F1384" s="5" t="n">
        <v>2366.1</v>
      </c>
      <c r="G1384">
        <f>IF(LEFT(B1384,1)="C","Credit","Factuur")</f>
        <v/>
      </c>
      <c r="H1384">
        <f>IF(AND(B1384=B1383,D1384=D1383,A1384=A1383,F1384=F1383),1,0)</f>
        <v/>
      </c>
      <c r="I1384">
        <f>IF(C1384="C99999",1,0)</f>
        <v/>
      </c>
      <c r="J1384" s="5">
        <f>IF(OR(H1384=1,I1384=1),0,IF(G1384="Credit",-F1384,F1384))</f>
        <v/>
      </c>
    </row>
    <row r="1385">
      <c r="A1385" t="inlineStr">
        <is>
          <t>2026-07-15</t>
        </is>
      </c>
      <c r="B1385" t="inlineStr">
        <is>
          <t>F267192</t>
        </is>
      </c>
      <c r="C1385" t="inlineStr">
        <is>
          <t>C10382</t>
        </is>
      </c>
      <c r="D1385" t="inlineStr">
        <is>
          <t>SKU-10006</t>
        </is>
      </c>
      <c r="E1385" t="inlineStr">
        <is>
          <t>AM08</t>
        </is>
      </c>
      <c r="F1385" s="5" t="n">
        <v>222.72</v>
      </c>
      <c r="G1385">
        <f>IF(LEFT(B1385,1)="C","Credit","Factuur")</f>
        <v/>
      </c>
      <c r="H1385">
        <f>IF(AND(B1385=B1384,D1385=D1384,A1385=A1384,F1385=F1384),1,0)</f>
        <v/>
      </c>
      <c r="I1385">
        <f>IF(C1385="C99999",1,0)</f>
        <v/>
      </c>
      <c r="J1385" s="5">
        <f>IF(OR(H1385=1,I1385=1),0,IF(G1385="Credit",-F1385,F1385))</f>
        <v/>
      </c>
    </row>
    <row r="1386">
      <c r="A1386" t="inlineStr">
        <is>
          <t>2026-07-15</t>
        </is>
      </c>
      <c r="B1386" t="inlineStr">
        <is>
          <t>F267192</t>
        </is>
      </c>
      <c r="C1386" t="inlineStr">
        <is>
          <t>C10382</t>
        </is>
      </c>
      <c r="D1386" t="inlineStr">
        <is>
          <t>SKU-10116</t>
        </is>
      </c>
      <c r="E1386" t="inlineStr">
        <is>
          <t>AM08</t>
        </is>
      </c>
      <c r="F1386" s="5" t="n">
        <v>195.3</v>
      </c>
      <c r="G1386">
        <f>IF(LEFT(B1386,1)="C","Credit","Factuur")</f>
        <v/>
      </c>
      <c r="H1386">
        <f>IF(AND(B1386=B1385,D1386=D1385,A1386=A1385,F1386=F1385),1,0)</f>
        <v/>
      </c>
      <c r="I1386">
        <f>IF(C1386="C99999",1,0)</f>
        <v/>
      </c>
      <c r="J1386" s="5">
        <f>IF(OR(H1386=1,I1386=1),0,IF(G1386="Credit",-F1386,F1386))</f>
        <v/>
      </c>
    </row>
    <row r="1387">
      <c r="A1387" t="inlineStr">
        <is>
          <t>2026-07-15</t>
        </is>
      </c>
      <c r="B1387" t="inlineStr">
        <is>
          <t>F267707</t>
        </is>
      </c>
      <c r="C1387" t="inlineStr">
        <is>
          <t>C10404</t>
        </is>
      </c>
      <c r="D1387" t="inlineStr">
        <is>
          <t>SKU-10161</t>
        </is>
      </c>
      <c r="E1387" t="inlineStr">
        <is>
          <t>AM06</t>
        </is>
      </c>
      <c r="F1387" s="5" t="n">
        <v>128.4</v>
      </c>
      <c r="G1387">
        <f>IF(LEFT(B1387,1)="C","Credit","Factuur")</f>
        <v/>
      </c>
      <c r="H1387">
        <f>IF(AND(B1387=B1386,D1387=D1386,A1387=A1386,F1387=F1386),1,0)</f>
        <v/>
      </c>
      <c r="I1387">
        <f>IF(C1387="C99999",1,0)</f>
        <v/>
      </c>
      <c r="J1387" s="5">
        <f>IF(OR(H1387=1,I1387=1),0,IF(G1387="Credit",-F1387,F1387))</f>
        <v/>
      </c>
    </row>
    <row r="1388">
      <c r="A1388" t="inlineStr">
        <is>
          <t>2026-07-15</t>
        </is>
      </c>
      <c r="B1388" t="inlineStr">
        <is>
          <t>F268087</t>
        </is>
      </c>
      <c r="C1388" t="inlineStr">
        <is>
          <t>C10424</t>
        </is>
      </c>
      <c r="D1388" t="inlineStr">
        <is>
          <t>SKU-10149</t>
        </is>
      </c>
      <c r="E1388" t="inlineStr">
        <is>
          <t>AM01</t>
        </is>
      </c>
      <c r="F1388" s="5" t="n">
        <v>206.85</v>
      </c>
      <c r="G1388">
        <f>IF(LEFT(B1388,1)="C","Credit","Factuur")</f>
        <v/>
      </c>
      <c r="H1388">
        <f>IF(AND(B1388=B1387,D1388=D1387,A1388=A1387,F1388=F1387),1,0)</f>
        <v/>
      </c>
      <c r="I1388">
        <f>IF(C1388="C99999",1,0)</f>
        <v/>
      </c>
      <c r="J1388" s="5">
        <f>IF(OR(H1388=1,I1388=1),0,IF(G1388="Credit",-F1388,F1388))</f>
        <v/>
      </c>
    </row>
    <row r="1389">
      <c r="A1389" t="inlineStr">
        <is>
          <t>2026-07-15</t>
        </is>
      </c>
      <c r="B1389" t="inlineStr">
        <is>
          <t>F268087</t>
        </is>
      </c>
      <c r="C1389" t="inlineStr">
        <is>
          <t>C10424</t>
        </is>
      </c>
      <c r="D1389" t="inlineStr">
        <is>
          <t>SKU-10231</t>
        </is>
      </c>
      <c r="E1389" t="inlineStr">
        <is>
          <t>AM01</t>
        </is>
      </c>
      <c r="F1389" s="5" t="n">
        <v>172.76</v>
      </c>
      <c r="G1389">
        <f>IF(LEFT(B1389,1)="C","Credit","Factuur")</f>
        <v/>
      </c>
      <c r="H1389">
        <f>IF(AND(B1389=B1388,D1389=D1388,A1389=A1388,F1389=F1388),1,0)</f>
        <v/>
      </c>
      <c r="I1389">
        <f>IF(C1389="C99999",1,0)</f>
        <v/>
      </c>
      <c r="J1389" s="5">
        <f>IF(OR(H1389=1,I1389=1),0,IF(G1389="Credit",-F1389,F1389))</f>
        <v/>
      </c>
    </row>
    <row r="1390">
      <c r="A1390" t="inlineStr">
        <is>
          <t>2026-07-15</t>
        </is>
      </c>
      <c r="B1390" t="inlineStr">
        <is>
          <t>F268625</t>
        </is>
      </c>
      <c r="C1390" t="inlineStr">
        <is>
          <t>C10452</t>
        </is>
      </c>
      <c r="D1390" t="inlineStr">
        <is>
          <t>SKU-10199</t>
        </is>
      </c>
      <c r="E1390" t="inlineStr">
        <is>
          <t>AM08</t>
        </is>
      </c>
      <c r="F1390" s="5" t="n">
        <v>905.74</v>
      </c>
      <c r="G1390">
        <f>IF(LEFT(B1390,1)="C","Credit","Factuur")</f>
        <v/>
      </c>
      <c r="H1390">
        <f>IF(AND(B1390=B1389,D1390=D1389,A1390=A1389,F1390=F1389),1,0)</f>
        <v/>
      </c>
      <c r="I1390">
        <f>IF(C1390="C99999",1,0)</f>
        <v/>
      </c>
      <c r="J1390" s="5">
        <f>IF(OR(H1390=1,I1390=1),0,IF(G1390="Credit",-F1390,F1390))</f>
        <v/>
      </c>
    </row>
    <row r="1391">
      <c r="A1391" t="inlineStr">
        <is>
          <t>2026-07-15</t>
        </is>
      </c>
      <c r="B1391" t="inlineStr">
        <is>
          <t>F268625</t>
        </is>
      </c>
      <c r="C1391" t="inlineStr">
        <is>
          <t>C10452</t>
        </is>
      </c>
      <c r="D1391" t="inlineStr">
        <is>
          <t>SKU-10237</t>
        </is>
      </c>
      <c r="E1391" t="inlineStr">
        <is>
          <t>AM08</t>
        </is>
      </c>
      <c r="F1391" s="5" t="n">
        <v>949.41</v>
      </c>
      <c r="G1391">
        <f>IF(LEFT(B1391,1)="C","Credit","Factuur")</f>
        <v/>
      </c>
      <c r="H1391">
        <f>IF(AND(B1391=B1390,D1391=D1390,A1391=A1390,F1391=F1390),1,0)</f>
        <v/>
      </c>
      <c r="I1391">
        <f>IF(C1391="C99999",1,0)</f>
        <v/>
      </c>
      <c r="J1391" s="5">
        <f>IF(OR(H1391=1,I1391=1),0,IF(G1391="Credit",-F1391,F1391))</f>
        <v/>
      </c>
    </row>
    <row r="1392">
      <c r="A1392" t="inlineStr">
        <is>
          <t>2026-07-15</t>
        </is>
      </c>
      <c r="B1392" t="inlineStr">
        <is>
          <t>F269313</t>
        </is>
      </c>
      <c r="C1392" t="inlineStr">
        <is>
          <t>C10490</t>
        </is>
      </c>
      <c r="D1392" t="inlineStr">
        <is>
          <t>SKU-10133</t>
        </is>
      </c>
      <c r="E1392" t="inlineStr">
        <is>
          <t>AM02</t>
        </is>
      </c>
      <c r="F1392" s="5" t="n">
        <v>1455.74</v>
      </c>
      <c r="G1392">
        <f>IF(LEFT(B1392,1)="C","Credit","Factuur")</f>
        <v/>
      </c>
      <c r="H1392">
        <f>IF(AND(B1392=B1391,D1392=D1391,A1392=A1391,F1392=F1391),1,0)</f>
        <v/>
      </c>
      <c r="I1392">
        <f>IF(C1392="C99999",1,0)</f>
        <v/>
      </c>
      <c r="J1392" s="5">
        <f>IF(OR(H1392=1,I1392=1),0,IF(G1392="Credit",-F1392,F1392))</f>
        <v/>
      </c>
    </row>
    <row r="1393">
      <c r="A1393" t="inlineStr">
        <is>
          <t>2026-07-15</t>
        </is>
      </c>
      <c r="B1393" t="inlineStr">
        <is>
          <t>F269502</t>
        </is>
      </c>
      <c r="C1393" t="inlineStr">
        <is>
          <t>C10499</t>
        </is>
      </c>
      <c r="D1393" t="inlineStr">
        <is>
          <t>SKU-10323</t>
        </is>
      </c>
      <c r="E1393" t="inlineStr">
        <is>
          <t>AM09</t>
        </is>
      </c>
      <c r="F1393" s="5" t="n">
        <v>5533.27</v>
      </c>
      <c r="G1393">
        <f>IF(LEFT(B1393,1)="C","Credit","Factuur")</f>
        <v/>
      </c>
      <c r="H1393">
        <f>IF(AND(B1393=B1392,D1393=D1392,A1393=A1392,F1393=F1392),1,0)</f>
        <v/>
      </c>
      <c r="I1393">
        <f>IF(C1393="C99999",1,0)</f>
        <v/>
      </c>
      <c r="J1393" s="5">
        <f>IF(OR(H1393=1,I1393=1),0,IF(G1393="Credit",-F1393,F1393))</f>
        <v/>
      </c>
    </row>
    <row r="1394">
      <c r="A1394" t="inlineStr">
        <is>
          <t>2026-07-15</t>
        </is>
      </c>
      <c r="B1394" t="inlineStr">
        <is>
          <t>F269872</t>
        </is>
      </c>
      <c r="C1394" t="inlineStr">
        <is>
          <t>C10520</t>
        </is>
      </c>
      <c r="D1394" t="inlineStr">
        <is>
          <t>SKU-10040</t>
        </is>
      </c>
      <c r="E1394" t="inlineStr">
        <is>
          <t>AM12</t>
        </is>
      </c>
      <c r="F1394" s="5" t="n">
        <v>1216.62</v>
      </c>
      <c r="G1394">
        <f>IF(LEFT(B1394,1)="C","Credit","Factuur")</f>
        <v/>
      </c>
      <c r="H1394">
        <f>IF(AND(B1394=B1393,D1394=D1393,A1394=A1393,F1394=F1393),1,0)</f>
        <v/>
      </c>
      <c r="I1394">
        <f>IF(C1394="C99999",1,0)</f>
        <v/>
      </c>
      <c r="J1394" s="5">
        <f>IF(OR(H1394=1,I1394=1),0,IF(G1394="Credit",-F1394,F1394))</f>
        <v/>
      </c>
    </row>
    <row r="1395">
      <c r="A1395" t="inlineStr">
        <is>
          <t>2026-07-15</t>
        </is>
      </c>
      <c r="B1395" t="inlineStr">
        <is>
          <t>F269872</t>
        </is>
      </c>
      <c r="C1395" t="inlineStr">
        <is>
          <t>C10520</t>
        </is>
      </c>
      <c r="D1395" t="inlineStr">
        <is>
          <t>SKU-10101</t>
        </is>
      </c>
      <c r="E1395" t="inlineStr">
        <is>
          <t>AM12</t>
        </is>
      </c>
      <c r="F1395" s="5" t="n">
        <v>1128.22</v>
      </c>
      <c r="G1395">
        <f>IF(LEFT(B1395,1)="C","Credit","Factuur")</f>
        <v/>
      </c>
      <c r="H1395">
        <f>IF(AND(B1395=B1394,D1395=D1394,A1395=A1394,F1395=F1394),1,0)</f>
        <v/>
      </c>
      <c r="I1395">
        <f>IF(C1395="C99999",1,0)</f>
        <v/>
      </c>
      <c r="J1395" s="5">
        <f>IF(OR(H1395=1,I1395=1),0,IF(G1395="Credit",-F1395,F1395))</f>
        <v/>
      </c>
    </row>
    <row r="1396">
      <c r="A1396" t="inlineStr">
        <is>
          <t>2026-07-15</t>
        </is>
      </c>
      <c r="B1396" t="inlineStr">
        <is>
          <t>F269872</t>
        </is>
      </c>
      <c r="C1396" t="inlineStr">
        <is>
          <t>C10520</t>
        </is>
      </c>
      <c r="D1396" t="inlineStr">
        <is>
          <t>SKU-10159</t>
        </is>
      </c>
      <c r="E1396" t="inlineStr">
        <is>
          <t>AM12</t>
        </is>
      </c>
      <c r="F1396" s="5" t="n">
        <v>1214.26</v>
      </c>
      <c r="G1396">
        <f>IF(LEFT(B1396,1)="C","Credit","Factuur")</f>
        <v/>
      </c>
      <c r="H1396">
        <f>IF(AND(B1396=B1395,D1396=D1395,A1396=A1395,F1396=F1395),1,0)</f>
        <v/>
      </c>
      <c r="I1396">
        <f>IF(C1396="C99999",1,0)</f>
        <v/>
      </c>
      <c r="J1396" s="5">
        <f>IF(OR(H1396=1,I1396=1),0,IF(G1396="Credit",-F1396,F1396))</f>
        <v/>
      </c>
    </row>
    <row r="1397">
      <c r="A1397" t="inlineStr">
        <is>
          <t>2026-07-15</t>
        </is>
      </c>
      <c r="B1397" t="inlineStr">
        <is>
          <t>F269872</t>
        </is>
      </c>
      <c r="C1397" t="inlineStr">
        <is>
          <t>C10520</t>
        </is>
      </c>
      <c r="D1397" t="inlineStr">
        <is>
          <t>SKU-10279</t>
        </is>
      </c>
      <c r="E1397" t="inlineStr">
        <is>
          <t>AM12</t>
        </is>
      </c>
      <c r="F1397" s="5" t="n">
        <v>1149.82</v>
      </c>
      <c r="G1397">
        <f>IF(LEFT(B1397,1)="C","Credit","Factuur")</f>
        <v/>
      </c>
      <c r="H1397">
        <f>IF(AND(B1397=B1396,D1397=D1396,A1397=A1396,F1397=F1396),1,0)</f>
        <v/>
      </c>
      <c r="I1397">
        <f>IF(C1397="C99999",1,0)</f>
        <v/>
      </c>
      <c r="J1397" s="5">
        <f>IF(OR(H1397=1,I1397=1),0,IF(G1397="Credit",-F1397,F1397))</f>
        <v/>
      </c>
    </row>
    <row r="1398">
      <c r="A1398" t="inlineStr">
        <is>
          <t>2026-07-15</t>
        </is>
      </c>
      <c r="B1398" t="inlineStr">
        <is>
          <t>F270104</t>
        </is>
      </c>
      <c r="C1398" t="inlineStr">
        <is>
          <t>C10532</t>
        </is>
      </c>
      <c r="D1398" t="inlineStr">
        <is>
          <t>SKU-10191</t>
        </is>
      </c>
      <c r="E1398" t="inlineStr">
        <is>
          <t>AM02</t>
        </is>
      </c>
      <c r="F1398" s="5" t="n">
        <v>596.88</v>
      </c>
      <c r="G1398">
        <f>IF(LEFT(B1398,1)="C","Credit","Factuur")</f>
        <v/>
      </c>
      <c r="H1398">
        <f>IF(AND(B1398=B1397,D1398=D1397,A1398=A1397,F1398=F1397),1,0)</f>
        <v/>
      </c>
      <c r="I1398">
        <f>IF(C1398="C99999",1,0)</f>
        <v/>
      </c>
      <c r="J1398" s="5">
        <f>IF(OR(H1398=1,I1398=1),0,IF(G1398="Credit",-F1398,F1398))</f>
        <v/>
      </c>
    </row>
    <row r="1399">
      <c r="A1399" t="inlineStr">
        <is>
          <t>2026-07-15</t>
        </is>
      </c>
      <c r="B1399" t="inlineStr">
        <is>
          <t>F270104</t>
        </is>
      </c>
      <c r="C1399" t="inlineStr">
        <is>
          <t>C10532</t>
        </is>
      </c>
      <c r="D1399" t="inlineStr">
        <is>
          <t>SKU-10335</t>
        </is>
      </c>
      <c r="E1399" t="inlineStr">
        <is>
          <t>AM02</t>
        </is>
      </c>
      <c r="F1399" s="5" t="n">
        <v>608.96</v>
      </c>
      <c r="G1399">
        <f>IF(LEFT(B1399,1)="C","Credit","Factuur")</f>
        <v/>
      </c>
      <c r="H1399">
        <f>IF(AND(B1399=B1398,D1399=D1398,A1399=A1398,F1399=F1398),1,0)</f>
        <v/>
      </c>
      <c r="I1399">
        <f>IF(C1399="C99999",1,0)</f>
        <v/>
      </c>
      <c r="J1399" s="5">
        <f>IF(OR(H1399=1,I1399=1),0,IF(G1399="Credit",-F1399,F1399))</f>
        <v/>
      </c>
    </row>
    <row r="1400">
      <c r="A1400" t="inlineStr">
        <is>
          <t>2026-07-15</t>
        </is>
      </c>
      <c r="B1400" t="inlineStr">
        <is>
          <t>F271857</t>
        </is>
      </c>
      <c r="C1400" t="inlineStr">
        <is>
          <t>C10609</t>
        </is>
      </c>
      <c r="D1400" t="inlineStr">
        <is>
          <t>SKU-10108</t>
        </is>
      </c>
      <c r="E1400" t="inlineStr">
        <is>
          <t>AM01</t>
        </is>
      </c>
      <c r="F1400" s="5" t="n">
        <v>1589.1</v>
      </c>
      <c r="G1400">
        <f>IF(LEFT(B1400,1)="C","Credit","Factuur")</f>
        <v/>
      </c>
      <c r="H1400">
        <f>IF(AND(B1400=B1399,D1400=D1399,A1400=A1399,F1400=F1399),1,0)</f>
        <v/>
      </c>
      <c r="I1400">
        <f>IF(C1400="C99999",1,0)</f>
        <v/>
      </c>
      <c r="J1400" s="5">
        <f>IF(OR(H1400=1,I1400=1),0,IF(G1400="Credit",-F1400,F1400))</f>
        <v/>
      </c>
    </row>
    <row r="1401">
      <c r="A1401" t="inlineStr">
        <is>
          <t>2026-07-15</t>
        </is>
      </c>
      <c r="B1401" t="inlineStr">
        <is>
          <t>F272865</t>
        </is>
      </c>
      <c r="C1401" t="inlineStr">
        <is>
          <t>C10670</t>
        </is>
      </c>
      <c r="D1401" t="inlineStr">
        <is>
          <t>SKU-10243</t>
        </is>
      </c>
      <c r="E1401" t="inlineStr">
        <is>
          <t>AM03</t>
        </is>
      </c>
      <c r="F1401" s="5" t="n">
        <v>237.07</v>
      </c>
      <c r="G1401">
        <f>IF(LEFT(B1401,1)="C","Credit","Factuur")</f>
        <v/>
      </c>
      <c r="H1401">
        <f>IF(AND(B1401=B1400,D1401=D1400,A1401=A1400,F1401=F1400),1,0)</f>
        <v/>
      </c>
      <c r="I1401">
        <f>IF(C1401="C99999",1,0)</f>
        <v/>
      </c>
      <c r="J1401" s="5">
        <f>IF(OR(H1401=1,I1401=1),0,IF(G1401="Credit",-F1401,F1401))</f>
        <v/>
      </c>
    </row>
    <row r="1402">
      <c r="A1402" t="inlineStr">
        <is>
          <t>2026-07-15</t>
        </is>
      </c>
      <c r="B1402" t="inlineStr">
        <is>
          <t>F272865</t>
        </is>
      </c>
      <c r="C1402" t="inlineStr">
        <is>
          <t>C10670</t>
        </is>
      </c>
      <c r="D1402" t="inlineStr">
        <is>
          <t>SKU-10246</t>
        </is>
      </c>
      <c r="E1402" t="inlineStr">
        <is>
          <t>AM03</t>
        </is>
      </c>
      <c r="F1402" s="5" t="n">
        <v>243.3</v>
      </c>
      <c r="G1402">
        <f>IF(LEFT(B1402,1)="C","Credit","Factuur")</f>
        <v/>
      </c>
      <c r="H1402">
        <f>IF(AND(B1402=B1401,D1402=D1401,A1402=A1401,F1402=F1401),1,0)</f>
        <v/>
      </c>
      <c r="I1402">
        <f>IF(C1402="C99999",1,0)</f>
        <v/>
      </c>
      <c r="J1402" s="5">
        <f>IF(OR(H1402=1,I1402=1),0,IF(G1402="Credit",-F1402,F1402))</f>
        <v/>
      </c>
    </row>
    <row r="1403">
      <c r="A1403" t="inlineStr">
        <is>
          <t>2026-07-15</t>
        </is>
      </c>
      <c r="B1403" t="inlineStr">
        <is>
          <t>F272865</t>
        </is>
      </c>
      <c r="C1403" t="inlineStr">
        <is>
          <t>C10670</t>
        </is>
      </c>
      <c r="D1403" t="inlineStr">
        <is>
          <t>SKU-10275</t>
        </is>
      </c>
      <c r="E1403" t="inlineStr">
        <is>
          <t>AM03</t>
        </is>
      </c>
      <c r="F1403" s="5" t="n">
        <v>254.14</v>
      </c>
      <c r="G1403">
        <f>IF(LEFT(B1403,1)="C","Credit","Factuur")</f>
        <v/>
      </c>
      <c r="H1403">
        <f>IF(AND(B1403=B1402,D1403=D1402,A1403=A1402,F1403=F1402),1,0)</f>
        <v/>
      </c>
      <c r="I1403">
        <f>IF(C1403="C99999",1,0)</f>
        <v/>
      </c>
      <c r="J1403" s="5">
        <f>IF(OR(H1403=1,I1403=1),0,IF(G1403="Credit",-F1403,F1403))</f>
        <v/>
      </c>
    </row>
    <row r="1404">
      <c r="A1404" t="inlineStr">
        <is>
          <t>2026-07-15</t>
        </is>
      </c>
      <c r="B1404" t="inlineStr">
        <is>
          <t>F274411</t>
        </is>
      </c>
      <c r="C1404" t="inlineStr">
        <is>
          <t>C10761</t>
        </is>
      </c>
      <c r="D1404" t="inlineStr">
        <is>
          <t>SKU-10217</t>
        </is>
      </c>
      <c r="E1404" t="inlineStr">
        <is>
          <t>AM02</t>
        </is>
      </c>
      <c r="F1404" s="5" t="n">
        <v>309.74</v>
      </c>
      <c r="G1404">
        <f>IF(LEFT(B1404,1)="C","Credit","Factuur")</f>
        <v/>
      </c>
      <c r="H1404">
        <f>IF(AND(B1404=B1403,D1404=D1403,A1404=A1403,F1404=F1403),1,0)</f>
        <v/>
      </c>
      <c r="I1404">
        <f>IF(C1404="C99999",1,0)</f>
        <v/>
      </c>
      <c r="J1404" s="5">
        <f>IF(OR(H1404=1,I1404=1),0,IF(G1404="Credit",-F1404,F1404))</f>
        <v/>
      </c>
    </row>
    <row r="1405">
      <c r="A1405" t="inlineStr">
        <is>
          <t>2026-07-15</t>
        </is>
      </c>
      <c r="B1405" t="inlineStr">
        <is>
          <t>F274411</t>
        </is>
      </c>
      <c r="C1405" t="inlineStr">
        <is>
          <t>C10761</t>
        </is>
      </c>
      <c r="D1405" t="inlineStr">
        <is>
          <t>SKU-10318</t>
        </is>
      </c>
      <c r="E1405" t="inlineStr">
        <is>
          <t>AM02</t>
        </is>
      </c>
      <c r="F1405" s="5" t="n">
        <v>293.04</v>
      </c>
      <c r="G1405">
        <f>IF(LEFT(B1405,1)="C","Credit","Factuur")</f>
        <v/>
      </c>
      <c r="H1405">
        <f>IF(AND(B1405=B1404,D1405=D1404,A1405=A1404,F1405=F1404),1,0)</f>
        <v/>
      </c>
      <c r="I1405">
        <f>IF(C1405="C99999",1,0)</f>
        <v/>
      </c>
      <c r="J1405" s="5">
        <f>IF(OR(H1405=1,I1405=1),0,IF(G1405="Credit",-F1405,F1405))</f>
        <v/>
      </c>
    </row>
    <row r="1406">
      <c r="A1406" t="inlineStr">
        <is>
          <t>2026-07-15</t>
        </is>
      </c>
      <c r="B1406" t="inlineStr">
        <is>
          <t>F274464</t>
        </is>
      </c>
      <c r="C1406" t="inlineStr">
        <is>
          <t>C10762</t>
        </is>
      </c>
      <c r="D1406" t="inlineStr">
        <is>
          <t>SKU-10120</t>
        </is>
      </c>
      <c r="E1406" t="inlineStr">
        <is>
          <t>AM03</t>
        </is>
      </c>
      <c r="F1406" s="5" t="n">
        <v>134.81</v>
      </c>
      <c r="G1406">
        <f>IF(LEFT(B1406,1)="C","Credit","Factuur")</f>
        <v/>
      </c>
      <c r="H1406">
        <f>IF(AND(B1406=B1405,D1406=D1405,A1406=A1405,F1406=F1405),1,0)</f>
        <v/>
      </c>
      <c r="I1406">
        <f>IF(C1406="C99999",1,0)</f>
        <v/>
      </c>
      <c r="J1406" s="5">
        <f>IF(OR(H1406=1,I1406=1),0,IF(G1406="Credit",-F1406,F1406))</f>
        <v/>
      </c>
    </row>
    <row r="1407">
      <c r="A1407" t="inlineStr">
        <is>
          <t>2026-07-15</t>
        </is>
      </c>
      <c r="B1407" t="inlineStr">
        <is>
          <t>F274464</t>
        </is>
      </c>
      <c r="C1407" t="inlineStr">
        <is>
          <t>C10762</t>
        </is>
      </c>
      <c r="D1407" t="inlineStr">
        <is>
          <t>SKU-10203</t>
        </is>
      </c>
      <c r="E1407" t="inlineStr">
        <is>
          <t>AM03</t>
        </is>
      </c>
      <c r="F1407" s="5" t="n">
        <v>133.74</v>
      </c>
      <c r="G1407">
        <f>IF(LEFT(B1407,1)="C","Credit","Factuur")</f>
        <v/>
      </c>
      <c r="H1407">
        <f>IF(AND(B1407=B1406,D1407=D1406,A1407=A1406,F1407=F1406),1,0)</f>
        <v/>
      </c>
      <c r="I1407">
        <f>IF(C1407="C99999",1,0)</f>
        <v/>
      </c>
      <c r="J1407" s="5">
        <f>IF(OR(H1407=1,I1407=1),0,IF(G1407="Credit",-F1407,F1407))</f>
        <v/>
      </c>
    </row>
    <row r="1408">
      <c r="A1408" t="inlineStr">
        <is>
          <t>2026-07-15</t>
        </is>
      </c>
      <c r="B1408" t="inlineStr">
        <is>
          <t>F274464</t>
        </is>
      </c>
      <c r="C1408" t="inlineStr">
        <is>
          <t>C10762</t>
        </is>
      </c>
      <c r="D1408" t="inlineStr">
        <is>
          <t>SKU-10214</t>
        </is>
      </c>
      <c r="E1408" t="inlineStr">
        <is>
          <t>AM03</t>
        </is>
      </c>
      <c r="F1408" s="5" t="n">
        <v>129.39</v>
      </c>
      <c r="G1408">
        <f>IF(LEFT(B1408,1)="C","Credit","Factuur")</f>
        <v/>
      </c>
      <c r="H1408">
        <f>IF(AND(B1408=B1407,D1408=D1407,A1408=A1407,F1408=F1407),1,0)</f>
        <v/>
      </c>
      <c r="I1408">
        <f>IF(C1408="C99999",1,0)</f>
        <v/>
      </c>
      <c r="J1408" s="5">
        <f>IF(OR(H1408=1,I1408=1),0,IF(G1408="Credit",-F1408,F1408))</f>
        <v/>
      </c>
    </row>
    <row r="1409">
      <c r="A1409" t="inlineStr">
        <is>
          <t>2026-07-15</t>
        </is>
      </c>
      <c r="B1409" t="inlineStr">
        <is>
          <t>F274734</t>
        </is>
      </c>
      <c r="C1409" t="inlineStr">
        <is>
          <t>C10779</t>
        </is>
      </c>
      <c r="D1409" t="inlineStr">
        <is>
          <t>SKU-10036</t>
        </is>
      </c>
      <c r="E1409" t="inlineStr">
        <is>
          <t>AM09</t>
        </is>
      </c>
      <c r="F1409" s="5" t="n">
        <v>5346.84</v>
      </c>
      <c r="G1409">
        <f>IF(LEFT(B1409,1)="C","Credit","Factuur")</f>
        <v/>
      </c>
      <c r="H1409">
        <f>IF(AND(B1409=B1408,D1409=D1408,A1409=A1408,F1409=F1408),1,0)</f>
        <v/>
      </c>
      <c r="I1409">
        <f>IF(C1409="C99999",1,0)</f>
        <v/>
      </c>
      <c r="J1409" s="5">
        <f>IF(OR(H1409=1,I1409=1),0,IF(G1409="Credit",-F1409,F1409))</f>
        <v/>
      </c>
    </row>
    <row r="1410">
      <c r="A1410" t="inlineStr">
        <is>
          <t>2026-07-15</t>
        </is>
      </c>
      <c r="B1410" t="inlineStr">
        <is>
          <t>F274734</t>
        </is>
      </c>
      <c r="C1410" t="inlineStr">
        <is>
          <t>C10779</t>
        </is>
      </c>
      <c r="D1410" t="inlineStr">
        <is>
          <t>SKU-10276</t>
        </is>
      </c>
      <c r="E1410" t="inlineStr">
        <is>
          <t>AM09</t>
        </is>
      </c>
      <c r="F1410" s="5" t="n">
        <v>5781.78</v>
      </c>
      <c r="G1410">
        <f>IF(LEFT(B1410,1)="C","Credit","Factuur")</f>
        <v/>
      </c>
      <c r="H1410">
        <f>IF(AND(B1410=B1409,D1410=D1409,A1410=A1409,F1410=F1409),1,0)</f>
        <v/>
      </c>
      <c r="I1410">
        <f>IF(C1410="C99999",1,0)</f>
        <v/>
      </c>
      <c r="J1410" s="5">
        <f>IF(OR(H1410=1,I1410=1),0,IF(G1410="Credit",-F1410,F1410))</f>
        <v/>
      </c>
    </row>
    <row r="1411">
      <c r="A1411" t="inlineStr">
        <is>
          <t>2026-07-15</t>
        </is>
      </c>
      <c r="B1411" t="inlineStr">
        <is>
          <t>F274734</t>
        </is>
      </c>
      <c r="C1411" t="inlineStr">
        <is>
          <t>C10779</t>
        </is>
      </c>
      <c r="D1411" t="inlineStr">
        <is>
          <t>SKU-10307</t>
        </is>
      </c>
      <c r="E1411" t="inlineStr">
        <is>
          <t>AM09</t>
        </is>
      </c>
      <c r="F1411" s="5" t="n">
        <v>5361.84</v>
      </c>
      <c r="G1411">
        <f>IF(LEFT(B1411,1)="C","Credit","Factuur")</f>
        <v/>
      </c>
      <c r="H1411">
        <f>IF(AND(B1411=B1410,D1411=D1410,A1411=A1410,F1411=F1410),1,0)</f>
        <v/>
      </c>
      <c r="I1411">
        <f>IF(C1411="C99999",1,0)</f>
        <v/>
      </c>
      <c r="J1411" s="5">
        <f>IF(OR(H1411=1,I1411=1),0,IF(G1411="Credit",-F1411,F1411))</f>
        <v/>
      </c>
    </row>
    <row r="1412">
      <c r="A1412" t="inlineStr">
        <is>
          <t>2026-07-15</t>
        </is>
      </c>
      <c r="B1412" t="inlineStr">
        <is>
          <t>F275069</t>
        </is>
      </c>
      <c r="C1412" t="inlineStr">
        <is>
          <t>C10793</t>
        </is>
      </c>
      <c r="D1412" t="inlineStr">
        <is>
          <t>SKU-10037</t>
        </is>
      </c>
      <c r="E1412" t="inlineStr"/>
      <c r="F1412" s="5" t="n">
        <v>261.05</v>
      </c>
      <c r="G1412">
        <f>IF(LEFT(B1412,1)="C","Credit","Factuur")</f>
        <v/>
      </c>
      <c r="H1412">
        <f>IF(AND(B1412=B1411,D1412=D1411,A1412=A1411,F1412=F1411),1,0)</f>
        <v/>
      </c>
      <c r="I1412">
        <f>IF(C1412="C99999",1,0)</f>
        <v/>
      </c>
      <c r="J1412" s="5">
        <f>IF(OR(H1412=1,I1412=1),0,IF(G1412="Credit",-F1412,F1412))</f>
        <v/>
      </c>
    </row>
    <row r="1413">
      <c r="A1413" t="inlineStr">
        <is>
          <t>2026-07-15</t>
        </is>
      </c>
      <c r="B1413" t="inlineStr">
        <is>
          <t>F275069</t>
        </is>
      </c>
      <c r="C1413" t="inlineStr">
        <is>
          <t>C10793</t>
        </is>
      </c>
      <c r="D1413" t="inlineStr">
        <is>
          <t>SKU-10112</t>
        </is>
      </c>
      <c r="E1413" t="inlineStr">
        <is>
          <t>AM01</t>
        </is>
      </c>
      <c r="F1413" s="5" t="n">
        <v>280.44</v>
      </c>
      <c r="G1413">
        <f>IF(LEFT(B1413,1)="C","Credit","Factuur")</f>
        <v/>
      </c>
      <c r="H1413">
        <f>IF(AND(B1413=B1412,D1413=D1412,A1413=A1412,F1413=F1412),1,0)</f>
        <v/>
      </c>
      <c r="I1413">
        <f>IF(C1413="C99999",1,0)</f>
        <v/>
      </c>
      <c r="J1413" s="5">
        <f>IF(OR(H1413=1,I1413=1),0,IF(G1413="Credit",-F1413,F1413))</f>
        <v/>
      </c>
    </row>
    <row r="1414">
      <c r="A1414" t="inlineStr">
        <is>
          <t>2026-07-15</t>
        </is>
      </c>
      <c r="B1414" t="inlineStr">
        <is>
          <t>F275069</t>
        </is>
      </c>
      <c r="C1414" t="inlineStr">
        <is>
          <t>C10793</t>
        </is>
      </c>
      <c r="D1414" t="inlineStr">
        <is>
          <t>SKU-10190</t>
        </is>
      </c>
      <c r="E1414" t="inlineStr">
        <is>
          <t>AM01</t>
        </is>
      </c>
      <c r="F1414" s="5" t="n">
        <v>262.92</v>
      </c>
      <c r="G1414">
        <f>IF(LEFT(B1414,1)="C","Credit","Factuur")</f>
        <v/>
      </c>
      <c r="H1414">
        <f>IF(AND(B1414=B1413,D1414=D1413,A1414=A1413,F1414=F1413),1,0)</f>
        <v/>
      </c>
      <c r="I1414">
        <f>IF(C1414="C99999",1,0)</f>
        <v/>
      </c>
      <c r="J1414" s="5">
        <f>IF(OR(H1414=1,I1414=1),0,IF(G1414="Credit",-F1414,F1414))</f>
        <v/>
      </c>
    </row>
    <row r="1415">
      <c r="A1415" t="inlineStr">
        <is>
          <t>2026-07-15</t>
        </is>
      </c>
      <c r="B1415" t="inlineStr">
        <is>
          <t>F275069</t>
        </is>
      </c>
      <c r="C1415" t="inlineStr">
        <is>
          <t>C10793</t>
        </is>
      </c>
      <c r="D1415" t="inlineStr">
        <is>
          <t>SKU-10270</t>
        </is>
      </c>
      <c r="E1415" t="inlineStr">
        <is>
          <t>AM01</t>
        </is>
      </c>
      <c r="F1415" s="5" t="n">
        <v>259.68</v>
      </c>
      <c r="G1415">
        <f>IF(LEFT(B1415,1)="C","Credit","Factuur")</f>
        <v/>
      </c>
      <c r="H1415">
        <f>IF(AND(B1415=B1414,D1415=D1414,A1415=A1414,F1415=F1414),1,0)</f>
        <v/>
      </c>
      <c r="I1415">
        <f>IF(C1415="C99999",1,0)</f>
        <v/>
      </c>
      <c r="J1415" s="5">
        <f>IF(OR(H1415=1,I1415=1),0,IF(G1415="Credit",-F1415,F1415))</f>
        <v/>
      </c>
    </row>
    <row r="1416">
      <c r="A1416" t="inlineStr">
        <is>
          <t>2026-07-15</t>
        </is>
      </c>
      <c r="B1416" t="inlineStr">
        <is>
          <t>F275069</t>
        </is>
      </c>
      <c r="C1416" t="inlineStr">
        <is>
          <t>C10793</t>
        </is>
      </c>
      <c r="D1416" t="inlineStr">
        <is>
          <t>SKU-10323</t>
        </is>
      </c>
      <c r="E1416" t="inlineStr">
        <is>
          <t>AM01</t>
        </is>
      </c>
      <c r="F1416" s="5" t="n">
        <v>264.75</v>
      </c>
      <c r="G1416">
        <f>IF(LEFT(B1416,1)="C","Credit","Factuur")</f>
        <v/>
      </c>
      <c r="H1416">
        <f>IF(AND(B1416=B1415,D1416=D1415,A1416=A1415,F1416=F1415),1,0)</f>
        <v/>
      </c>
      <c r="I1416">
        <f>IF(C1416="C99999",1,0)</f>
        <v/>
      </c>
      <c r="J1416" s="5">
        <f>IF(OR(H1416=1,I1416=1),0,IF(G1416="Credit",-F1416,F1416))</f>
        <v/>
      </c>
    </row>
    <row r="1417">
      <c r="A1417" t="inlineStr">
        <is>
          <t>2026-07-15</t>
        </is>
      </c>
      <c r="B1417" t="inlineStr">
        <is>
          <t>F275151</t>
        </is>
      </c>
      <c r="C1417" t="inlineStr">
        <is>
          <t>C10798</t>
        </is>
      </c>
      <c r="D1417" t="inlineStr">
        <is>
          <t>SKU-10306</t>
        </is>
      </c>
      <c r="E1417" t="inlineStr">
        <is>
          <t>AM08</t>
        </is>
      </c>
      <c r="F1417" s="5" t="n">
        <v>160.79</v>
      </c>
      <c r="G1417">
        <f>IF(LEFT(B1417,1)="C","Credit","Factuur")</f>
        <v/>
      </c>
      <c r="H1417">
        <f>IF(AND(B1417=B1416,D1417=D1416,A1417=A1416,F1417=F1416),1,0)</f>
        <v/>
      </c>
      <c r="I1417">
        <f>IF(C1417="C99999",1,0)</f>
        <v/>
      </c>
      <c r="J1417" s="5">
        <f>IF(OR(H1417=1,I1417=1),0,IF(G1417="Credit",-F1417,F1417))</f>
        <v/>
      </c>
    </row>
    <row r="1418">
      <c r="A1418" t="inlineStr">
        <is>
          <t>2026-07-15</t>
        </is>
      </c>
      <c r="B1418" t="inlineStr">
        <is>
          <t>F275890</t>
        </is>
      </c>
      <c r="C1418" t="inlineStr">
        <is>
          <t>C10843</t>
        </is>
      </c>
      <c r="D1418" t="inlineStr">
        <is>
          <t>SKU-10153</t>
        </is>
      </c>
      <c r="E1418" t="inlineStr">
        <is>
          <t>AM07</t>
        </is>
      </c>
      <c r="F1418" s="5" t="n">
        <v>786.8</v>
      </c>
      <c r="G1418">
        <f>IF(LEFT(B1418,1)="C","Credit","Factuur")</f>
        <v/>
      </c>
      <c r="H1418">
        <f>IF(AND(B1418=B1417,D1418=D1417,A1418=A1417,F1418=F1417),1,0)</f>
        <v/>
      </c>
      <c r="I1418">
        <f>IF(C1418="C99999",1,0)</f>
        <v/>
      </c>
      <c r="J1418" s="5">
        <f>IF(OR(H1418=1,I1418=1),0,IF(G1418="Credit",-F1418,F1418))</f>
        <v/>
      </c>
    </row>
    <row r="1419">
      <c r="A1419" t="inlineStr">
        <is>
          <t>2026-07-15</t>
        </is>
      </c>
      <c r="B1419" t="inlineStr">
        <is>
          <t>F275964</t>
        </is>
      </c>
      <c r="C1419" t="inlineStr">
        <is>
          <t>C10848</t>
        </is>
      </c>
      <c r="D1419" t="inlineStr">
        <is>
          <t>SKU-10244</t>
        </is>
      </c>
      <c r="E1419" t="inlineStr">
        <is>
          <t>AM02</t>
        </is>
      </c>
      <c r="F1419" s="5" t="n">
        <v>95.76000000000001</v>
      </c>
      <c r="G1419">
        <f>IF(LEFT(B1419,1)="C","Credit","Factuur")</f>
        <v/>
      </c>
      <c r="H1419">
        <f>IF(AND(B1419=B1418,D1419=D1418,A1419=A1418,F1419=F1418),1,0)</f>
        <v/>
      </c>
      <c r="I1419">
        <f>IF(C1419="C99999",1,0)</f>
        <v/>
      </c>
      <c r="J1419" s="5">
        <f>IF(OR(H1419=1,I1419=1),0,IF(G1419="Credit",-F1419,F1419))</f>
        <v/>
      </c>
    </row>
    <row r="1420">
      <c r="A1420" t="inlineStr">
        <is>
          <t>2026-07-15</t>
        </is>
      </c>
      <c r="B1420" t="inlineStr">
        <is>
          <t>F275964</t>
        </is>
      </c>
      <c r="C1420" t="inlineStr">
        <is>
          <t>C10848</t>
        </is>
      </c>
      <c r="D1420" t="inlineStr">
        <is>
          <t>SKU-10294</t>
        </is>
      </c>
      <c r="E1420" t="inlineStr">
        <is>
          <t>AM02</t>
        </is>
      </c>
      <c r="F1420" s="5" t="n">
        <v>110.61</v>
      </c>
      <c r="G1420">
        <f>IF(LEFT(B1420,1)="C","Credit","Factuur")</f>
        <v/>
      </c>
      <c r="H1420">
        <f>IF(AND(B1420=B1419,D1420=D1419,A1420=A1419,F1420=F1419),1,0)</f>
        <v/>
      </c>
      <c r="I1420">
        <f>IF(C1420="C99999",1,0)</f>
        <v/>
      </c>
      <c r="J1420" s="5">
        <f>IF(OR(H1420=1,I1420=1),0,IF(G1420="Credit",-F1420,F1420))</f>
        <v/>
      </c>
    </row>
    <row r="1421">
      <c r="A1421" t="inlineStr">
        <is>
          <t>2026-07-15</t>
        </is>
      </c>
      <c r="B1421" t="inlineStr">
        <is>
          <t>F275964</t>
        </is>
      </c>
      <c r="C1421" t="inlineStr">
        <is>
          <t>C10848</t>
        </is>
      </c>
      <c r="D1421" t="inlineStr">
        <is>
          <t>SKU-10302</t>
        </is>
      </c>
      <c r="E1421" t="inlineStr">
        <is>
          <t>AM02</t>
        </is>
      </c>
      <c r="F1421" s="5" t="n">
        <v>87.81999999999999</v>
      </c>
      <c r="G1421">
        <f>IF(LEFT(B1421,1)="C","Credit","Factuur")</f>
        <v/>
      </c>
      <c r="H1421">
        <f>IF(AND(B1421=B1420,D1421=D1420,A1421=A1420,F1421=F1420),1,0)</f>
        <v/>
      </c>
      <c r="I1421">
        <f>IF(C1421="C99999",1,0)</f>
        <v/>
      </c>
      <c r="J1421" s="5">
        <f>IF(OR(H1421=1,I1421=1),0,IF(G1421="Credit",-F1421,F1421))</f>
        <v/>
      </c>
    </row>
    <row r="1422">
      <c r="A1422" t="inlineStr">
        <is>
          <t>2026-07-15</t>
        </is>
      </c>
      <c r="B1422" t="inlineStr">
        <is>
          <t>F275964</t>
        </is>
      </c>
      <c r="C1422" t="inlineStr">
        <is>
          <t>C10848</t>
        </is>
      </c>
      <c r="D1422" t="inlineStr">
        <is>
          <t>SKU-10303</t>
        </is>
      </c>
      <c r="E1422" t="inlineStr">
        <is>
          <t>AM02</t>
        </is>
      </c>
      <c r="F1422" s="5" t="n">
        <v>92.45</v>
      </c>
      <c r="G1422">
        <f>IF(LEFT(B1422,1)="C","Credit","Factuur")</f>
        <v/>
      </c>
      <c r="H1422">
        <f>IF(AND(B1422=B1421,D1422=D1421,A1422=A1421,F1422=F1421),1,0)</f>
        <v/>
      </c>
      <c r="I1422">
        <f>IF(C1422="C99999",1,0)</f>
        <v/>
      </c>
      <c r="J1422" s="5">
        <f>IF(OR(H1422=1,I1422=1),0,IF(G1422="Credit",-F1422,F1422))</f>
        <v/>
      </c>
    </row>
    <row r="1423">
      <c r="A1423" t="inlineStr">
        <is>
          <t>2026-07-15</t>
        </is>
      </c>
      <c r="B1423" t="inlineStr">
        <is>
          <t>F275964</t>
        </is>
      </c>
      <c r="C1423" t="inlineStr">
        <is>
          <t>C10848</t>
        </is>
      </c>
      <c r="D1423" t="inlineStr">
        <is>
          <t>SKU-10328</t>
        </is>
      </c>
      <c r="E1423" t="inlineStr">
        <is>
          <t>AM02</t>
        </is>
      </c>
      <c r="F1423" s="5" t="n">
        <v>89.03</v>
      </c>
      <c r="G1423">
        <f>IF(LEFT(B1423,1)="C","Credit","Factuur")</f>
        <v/>
      </c>
      <c r="H1423">
        <f>IF(AND(B1423=B1422,D1423=D1422,A1423=A1422,F1423=F1422),1,0)</f>
        <v/>
      </c>
      <c r="I1423">
        <f>IF(C1423="C99999",1,0)</f>
        <v/>
      </c>
      <c r="J1423" s="5">
        <f>IF(OR(H1423=1,I1423=1),0,IF(G1423="Credit",-F1423,F1423))</f>
        <v/>
      </c>
    </row>
    <row r="1424">
      <c r="A1424" t="inlineStr">
        <is>
          <t>2026-07-15</t>
        </is>
      </c>
      <c r="B1424" t="inlineStr">
        <is>
          <t>F276102</t>
        </is>
      </c>
      <c r="C1424" t="inlineStr">
        <is>
          <t>C10855</t>
        </is>
      </c>
      <c r="D1424" t="inlineStr">
        <is>
          <t>SKU-10339</t>
        </is>
      </c>
      <c r="E1424" t="inlineStr">
        <is>
          <t>AM08</t>
        </is>
      </c>
      <c r="F1424" s="5" t="n">
        <v>617.05</v>
      </c>
      <c r="G1424">
        <f>IF(LEFT(B1424,1)="C","Credit","Factuur")</f>
        <v/>
      </c>
      <c r="H1424">
        <f>IF(AND(B1424=B1423,D1424=D1423,A1424=A1423,F1424=F1423),1,0)</f>
        <v/>
      </c>
      <c r="I1424">
        <f>IF(C1424="C99999",1,0)</f>
        <v/>
      </c>
      <c r="J1424" s="5">
        <f>IF(OR(H1424=1,I1424=1),0,IF(G1424="Credit",-F1424,F1424))</f>
        <v/>
      </c>
    </row>
    <row r="1425">
      <c r="A1425" t="inlineStr">
        <is>
          <t>2026-07-15</t>
        </is>
      </c>
      <c r="B1425" t="inlineStr">
        <is>
          <t>F276775</t>
        </is>
      </c>
      <c r="C1425" t="inlineStr">
        <is>
          <t>C10890</t>
        </is>
      </c>
      <c r="D1425" t="inlineStr">
        <is>
          <t>SKU-10011</t>
        </is>
      </c>
      <c r="E1425" t="inlineStr">
        <is>
          <t>AM11</t>
        </is>
      </c>
      <c r="F1425" s="5" t="n">
        <v>316.68</v>
      </c>
      <c r="G1425">
        <f>IF(LEFT(B1425,1)="C","Credit","Factuur")</f>
        <v/>
      </c>
      <c r="H1425">
        <f>IF(AND(B1425=B1424,D1425=D1424,A1425=A1424,F1425=F1424),1,0)</f>
        <v/>
      </c>
      <c r="I1425">
        <f>IF(C1425="C99999",1,0)</f>
        <v/>
      </c>
      <c r="J1425" s="5">
        <f>IF(OR(H1425=1,I1425=1),0,IF(G1425="Credit",-F1425,F1425))</f>
        <v/>
      </c>
    </row>
    <row r="1426">
      <c r="A1426" t="inlineStr">
        <is>
          <t>2026-07-15</t>
        </is>
      </c>
      <c r="B1426" t="inlineStr">
        <is>
          <t>F276775</t>
        </is>
      </c>
      <c r="C1426" t="inlineStr">
        <is>
          <t>C10890</t>
        </is>
      </c>
      <c r="D1426" t="inlineStr">
        <is>
          <t>SKU-10012</t>
        </is>
      </c>
      <c r="E1426" t="inlineStr">
        <is>
          <t>AM11</t>
        </is>
      </c>
      <c r="F1426" s="5" t="n">
        <v>303.14</v>
      </c>
      <c r="G1426">
        <f>IF(LEFT(B1426,1)="C","Credit","Factuur")</f>
        <v/>
      </c>
      <c r="H1426">
        <f>IF(AND(B1426=B1425,D1426=D1425,A1426=A1425,F1426=F1425),1,0)</f>
        <v/>
      </c>
      <c r="I1426">
        <f>IF(C1426="C99999",1,0)</f>
        <v/>
      </c>
      <c r="J1426" s="5">
        <f>IF(OR(H1426=1,I1426=1),0,IF(G1426="Credit",-F1426,F1426))</f>
        <v/>
      </c>
    </row>
    <row r="1427">
      <c r="A1427" t="inlineStr">
        <is>
          <t>2026-07-15</t>
        </is>
      </c>
      <c r="B1427" t="inlineStr">
        <is>
          <t>F278885</t>
        </is>
      </c>
      <c r="C1427" t="inlineStr">
        <is>
          <t>C11000</t>
        </is>
      </c>
      <c r="D1427" t="inlineStr">
        <is>
          <t>SKU-10107</t>
        </is>
      </c>
      <c r="E1427" t="inlineStr">
        <is>
          <t>AM12</t>
        </is>
      </c>
      <c r="F1427" s="5" t="n">
        <v>296.4</v>
      </c>
      <c r="G1427">
        <f>IF(LEFT(B1427,1)="C","Credit","Factuur")</f>
        <v/>
      </c>
      <c r="H1427">
        <f>IF(AND(B1427=B1426,D1427=D1426,A1427=A1426,F1427=F1426),1,0)</f>
        <v/>
      </c>
      <c r="I1427">
        <f>IF(C1427="C99999",1,0)</f>
        <v/>
      </c>
      <c r="J1427" s="5">
        <f>IF(OR(H1427=1,I1427=1),0,IF(G1427="Credit",-F1427,F1427))</f>
        <v/>
      </c>
    </row>
    <row r="1428">
      <c r="A1428" t="inlineStr">
        <is>
          <t>2026-07-15</t>
        </is>
      </c>
      <c r="B1428" t="inlineStr">
        <is>
          <t>F278885</t>
        </is>
      </c>
      <c r="C1428" t="inlineStr">
        <is>
          <t>C11000</t>
        </is>
      </c>
      <c r="D1428" t="inlineStr">
        <is>
          <t>SKU-10332</t>
        </is>
      </c>
      <c r="E1428" t="inlineStr">
        <is>
          <t>AM12</t>
        </is>
      </c>
      <c r="F1428" s="5" t="n">
        <v>284.83</v>
      </c>
      <c r="G1428">
        <f>IF(LEFT(B1428,1)="C","Credit","Factuur")</f>
        <v/>
      </c>
      <c r="H1428">
        <f>IF(AND(B1428=B1427,D1428=D1427,A1428=A1427,F1428=F1427),1,0)</f>
        <v/>
      </c>
      <c r="I1428">
        <f>IF(C1428="C99999",1,0)</f>
        <v/>
      </c>
      <c r="J1428" s="5">
        <f>IF(OR(H1428=1,I1428=1),0,IF(G1428="Credit",-F1428,F1428))</f>
        <v/>
      </c>
    </row>
    <row r="1429">
      <c r="A1429" t="inlineStr">
        <is>
          <t>2026-07-15</t>
        </is>
      </c>
      <c r="B1429" t="inlineStr">
        <is>
          <t>F278936</t>
        </is>
      </c>
      <c r="C1429" t="inlineStr">
        <is>
          <t>C11003</t>
        </is>
      </c>
      <c r="D1429" t="inlineStr">
        <is>
          <t>SKU-10059</t>
        </is>
      </c>
      <c r="E1429" t="inlineStr">
        <is>
          <t>AM07</t>
        </is>
      </c>
      <c r="F1429" s="5" t="n">
        <v>127.44</v>
      </c>
      <c r="G1429">
        <f>IF(LEFT(B1429,1)="C","Credit","Factuur")</f>
        <v/>
      </c>
      <c r="H1429">
        <f>IF(AND(B1429=B1428,D1429=D1428,A1429=A1428,F1429=F1428),1,0)</f>
        <v/>
      </c>
      <c r="I1429">
        <f>IF(C1429="C99999",1,0)</f>
        <v/>
      </c>
      <c r="J1429" s="5">
        <f>IF(OR(H1429=1,I1429=1),0,IF(G1429="Credit",-F1429,F1429))</f>
        <v/>
      </c>
    </row>
    <row r="1430">
      <c r="A1430" t="inlineStr">
        <is>
          <t>2026-07-15</t>
        </is>
      </c>
      <c r="B1430" t="inlineStr">
        <is>
          <t>F278936</t>
        </is>
      </c>
      <c r="C1430" t="inlineStr">
        <is>
          <t>C11003</t>
        </is>
      </c>
      <c r="D1430" t="inlineStr">
        <is>
          <t>SKU-10279</t>
        </is>
      </c>
      <c r="E1430" t="inlineStr">
        <is>
          <t>AM07</t>
        </is>
      </c>
      <c r="F1430" s="5" t="n">
        <v>132.64</v>
      </c>
      <c r="G1430">
        <f>IF(LEFT(B1430,1)="C","Credit","Factuur")</f>
        <v/>
      </c>
      <c r="H1430">
        <f>IF(AND(B1430=B1429,D1430=D1429,A1430=A1429,F1430=F1429),1,0)</f>
        <v/>
      </c>
      <c r="I1430">
        <f>IF(C1430="C99999",1,0)</f>
        <v/>
      </c>
      <c r="J1430" s="5">
        <f>IF(OR(H1430=1,I1430=1),0,IF(G1430="Credit",-F1430,F1430))</f>
        <v/>
      </c>
    </row>
    <row r="1431">
      <c r="A1431" t="inlineStr">
        <is>
          <t>2026-07-15</t>
        </is>
      </c>
      <c r="B1431" t="inlineStr">
        <is>
          <t>F278936</t>
        </is>
      </c>
      <c r="C1431" t="inlineStr">
        <is>
          <t>C11003</t>
        </is>
      </c>
      <c r="D1431" t="inlineStr">
        <is>
          <t>SKU-10292</t>
        </is>
      </c>
      <c r="E1431" t="inlineStr">
        <is>
          <t>AM07</t>
        </is>
      </c>
      <c r="F1431" s="5" t="n">
        <v>121.2</v>
      </c>
      <c r="G1431">
        <f>IF(LEFT(B1431,1)="C","Credit","Factuur")</f>
        <v/>
      </c>
      <c r="H1431">
        <f>IF(AND(B1431=B1430,D1431=D1430,A1431=A1430,F1431=F1430),1,0)</f>
        <v/>
      </c>
      <c r="I1431">
        <f>IF(C1431="C99999",1,0)</f>
        <v/>
      </c>
      <c r="J1431" s="5">
        <f>IF(OR(H1431=1,I1431=1),0,IF(G1431="Credit",-F1431,F1431))</f>
        <v/>
      </c>
    </row>
    <row r="1432">
      <c r="A1432" t="inlineStr">
        <is>
          <t>2026-07-15</t>
        </is>
      </c>
      <c r="B1432" t="inlineStr">
        <is>
          <t>F280784</t>
        </is>
      </c>
      <c r="C1432" t="inlineStr">
        <is>
          <t>C11096</t>
        </is>
      </c>
      <c r="D1432" t="inlineStr">
        <is>
          <t>SKU-10067</t>
        </is>
      </c>
      <c r="E1432" t="inlineStr">
        <is>
          <t>AM11</t>
        </is>
      </c>
      <c r="F1432" s="5" t="n">
        <v>232.24</v>
      </c>
      <c r="G1432">
        <f>IF(LEFT(B1432,1)="C","Credit","Factuur")</f>
        <v/>
      </c>
      <c r="H1432">
        <f>IF(AND(B1432=B1431,D1432=D1431,A1432=A1431,F1432=F1431),1,0)</f>
        <v/>
      </c>
      <c r="I1432">
        <f>IF(C1432="C99999",1,0)</f>
        <v/>
      </c>
      <c r="J1432" s="5">
        <f>IF(OR(H1432=1,I1432=1),0,IF(G1432="Credit",-F1432,F1432))</f>
        <v/>
      </c>
    </row>
    <row r="1433">
      <c r="A1433" t="inlineStr">
        <is>
          <t>2026-07-15</t>
        </is>
      </c>
      <c r="B1433" t="inlineStr">
        <is>
          <t>F280784</t>
        </is>
      </c>
      <c r="C1433" t="inlineStr">
        <is>
          <t>C11096</t>
        </is>
      </c>
      <c r="D1433" t="inlineStr">
        <is>
          <t>SKU-10119</t>
        </is>
      </c>
      <c r="E1433" t="inlineStr">
        <is>
          <t>AM11</t>
        </is>
      </c>
      <c r="F1433" s="5" t="n">
        <v>206</v>
      </c>
      <c r="G1433">
        <f>IF(LEFT(B1433,1)="C","Credit","Factuur")</f>
        <v/>
      </c>
      <c r="H1433">
        <f>IF(AND(B1433=B1432,D1433=D1432,A1433=A1432,F1433=F1432),1,0)</f>
        <v/>
      </c>
      <c r="I1433">
        <f>IF(C1433="C99999",1,0)</f>
        <v/>
      </c>
      <c r="J1433" s="5">
        <f>IF(OR(H1433=1,I1433=1),0,IF(G1433="Credit",-F1433,F1433))</f>
        <v/>
      </c>
    </row>
    <row r="1434">
      <c r="A1434" t="inlineStr">
        <is>
          <t>2026-07-15</t>
        </is>
      </c>
      <c r="B1434" t="inlineStr">
        <is>
          <t>F280784</t>
        </is>
      </c>
      <c r="C1434" t="inlineStr">
        <is>
          <t>C11096</t>
        </is>
      </c>
      <c r="D1434" t="inlineStr">
        <is>
          <t>SKU-10140</t>
        </is>
      </c>
      <c r="E1434" t="inlineStr">
        <is>
          <t>AM11</t>
        </is>
      </c>
      <c r="F1434" s="5" t="n">
        <v>209.84</v>
      </c>
      <c r="G1434">
        <f>IF(LEFT(B1434,1)="C","Credit","Factuur")</f>
        <v/>
      </c>
      <c r="H1434">
        <f>IF(AND(B1434=B1433,D1434=D1433,A1434=A1433,F1434=F1433),1,0)</f>
        <v/>
      </c>
      <c r="I1434">
        <f>IF(C1434="C99999",1,0)</f>
        <v/>
      </c>
      <c r="J1434" s="5">
        <f>IF(OR(H1434=1,I1434=1),0,IF(G1434="Credit",-F1434,F1434))</f>
        <v/>
      </c>
    </row>
    <row r="1435">
      <c r="A1435" t="inlineStr">
        <is>
          <t>2026-07-15</t>
        </is>
      </c>
      <c r="B1435" t="inlineStr">
        <is>
          <t>F280784</t>
        </is>
      </c>
      <c r="C1435" t="inlineStr">
        <is>
          <t>C11096</t>
        </is>
      </c>
      <c r="D1435" t="inlineStr">
        <is>
          <t>SKU-10341</t>
        </is>
      </c>
      <c r="E1435" t="inlineStr">
        <is>
          <t>AM11</t>
        </is>
      </c>
      <c r="F1435" s="5" t="n">
        <v>201.2</v>
      </c>
      <c r="G1435">
        <f>IF(LEFT(B1435,1)="C","Credit","Factuur")</f>
        <v/>
      </c>
      <c r="H1435">
        <f>IF(AND(B1435=B1434,D1435=D1434,A1435=A1434,F1435=F1434),1,0)</f>
        <v/>
      </c>
      <c r="I1435">
        <f>IF(C1435="C99999",1,0)</f>
        <v/>
      </c>
      <c r="J1435" s="5">
        <f>IF(OR(H1435=1,I1435=1),0,IF(G1435="Credit",-F1435,F1435))</f>
        <v/>
      </c>
    </row>
    <row r="1436">
      <c r="A1436" t="inlineStr">
        <is>
          <t>2026-07-15</t>
        </is>
      </c>
      <c r="B1436" t="inlineStr">
        <is>
          <t>F281157</t>
        </is>
      </c>
      <c r="C1436" t="inlineStr">
        <is>
          <t>C11113</t>
        </is>
      </c>
      <c r="D1436" t="inlineStr">
        <is>
          <t>SKU-10022</t>
        </is>
      </c>
      <c r="E1436" t="inlineStr">
        <is>
          <t>AM01</t>
        </is>
      </c>
      <c r="F1436" s="5" t="n">
        <v>417.79</v>
      </c>
      <c r="G1436">
        <f>IF(LEFT(B1436,1)="C","Credit","Factuur")</f>
        <v/>
      </c>
      <c r="H1436">
        <f>IF(AND(B1436=B1435,D1436=D1435,A1436=A1435,F1436=F1435),1,0)</f>
        <v/>
      </c>
      <c r="I1436">
        <f>IF(C1436="C99999",1,0)</f>
        <v/>
      </c>
      <c r="J1436" s="5">
        <f>IF(OR(H1436=1,I1436=1),0,IF(G1436="Credit",-F1436,F1436))</f>
        <v/>
      </c>
    </row>
    <row r="1437">
      <c r="A1437" t="inlineStr">
        <is>
          <t>2026-07-15</t>
        </is>
      </c>
      <c r="B1437" t="inlineStr">
        <is>
          <t>F281157</t>
        </is>
      </c>
      <c r="C1437" t="inlineStr">
        <is>
          <t>C11113</t>
        </is>
      </c>
      <c r="D1437" t="inlineStr">
        <is>
          <t>SKU-10275</t>
        </is>
      </c>
      <c r="E1437" t="inlineStr">
        <is>
          <t>AM01</t>
        </is>
      </c>
      <c r="F1437" s="5" t="n">
        <v>473.63</v>
      </c>
      <c r="G1437">
        <f>IF(LEFT(B1437,1)="C","Credit","Factuur")</f>
        <v/>
      </c>
      <c r="H1437">
        <f>IF(AND(B1437=B1436,D1437=D1436,A1437=A1436,F1437=F1436),1,0)</f>
        <v/>
      </c>
      <c r="I1437">
        <f>IF(C1437="C99999",1,0)</f>
        <v/>
      </c>
      <c r="J1437" s="5">
        <f>IF(OR(H1437=1,I1437=1),0,IF(G1437="Credit",-F1437,F1437))</f>
        <v/>
      </c>
    </row>
    <row r="1438">
      <c r="A1438" t="inlineStr">
        <is>
          <t>2026-07-15</t>
        </is>
      </c>
      <c r="B1438" t="inlineStr">
        <is>
          <t>F282307</t>
        </is>
      </c>
      <c r="C1438" t="inlineStr">
        <is>
          <t>C11170</t>
        </is>
      </c>
      <c r="D1438" t="inlineStr">
        <is>
          <t>SKU-10132</t>
        </is>
      </c>
      <c r="E1438" t="inlineStr">
        <is>
          <t>AM07</t>
        </is>
      </c>
      <c r="F1438" s="5" t="n">
        <v>77.7</v>
      </c>
      <c r="G1438">
        <f>IF(LEFT(B1438,1)="C","Credit","Factuur")</f>
        <v/>
      </c>
      <c r="H1438">
        <f>IF(AND(B1438=B1437,D1438=D1437,A1438=A1437,F1438=F1437),1,0)</f>
        <v/>
      </c>
      <c r="I1438">
        <f>IF(C1438="C99999",1,0)</f>
        <v/>
      </c>
      <c r="J1438" s="5">
        <f>IF(OR(H1438=1,I1438=1),0,IF(G1438="Credit",-F1438,F1438))</f>
        <v/>
      </c>
    </row>
    <row r="1439">
      <c r="A1439" t="inlineStr">
        <is>
          <t>2026-07-15</t>
        </is>
      </c>
      <c r="B1439" t="inlineStr">
        <is>
          <t>F282307</t>
        </is>
      </c>
      <c r="C1439" t="inlineStr">
        <is>
          <t>C11170</t>
        </is>
      </c>
      <c r="D1439" t="inlineStr">
        <is>
          <t>SKU-10189</t>
        </is>
      </c>
      <c r="E1439" t="inlineStr">
        <is>
          <t>AM07</t>
        </is>
      </c>
      <c r="F1439" s="5" t="n">
        <v>81.62</v>
      </c>
      <c r="G1439">
        <f>IF(LEFT(B1439,1)="C","Credit","Factuur")</f>
        <v/>
      </c>
      <c r="H1439">
        <f>IF(AND(B1439=B1438,D1439=D1438,A1439=A1438,F1439=F1438),1,0)</f>
        <v/>
      </c>
      <c r="I1439">
        <f>IF(C1439="C99999",1,0)</f>
        <v/>
      </c>
      <c r="J1439" s="5">
        <f>IF(OR(H1439=1,I1439=1),0,IF(G1439="Credit",-F1439,F1439))</f>
        <v/>
      </c>
    </row>
    <row r="1440">
      <c r="A1440" t="inlineStr">
        <is>
          <t>2026-07-15</t>
        </is>
      </c>
      <c r="B1440" t="inlineStr">
        <is>
          <t>F282307</t>
        </is>
      </c>
      <c r="C1440" t="inlineStr">
        <is>
          <t>C11170</t>
        </is>
      </c>
      <c r="D1440" t="inlineStr">
        <is>
          <t>SKU-10214</t>
        </is>
      </c>
      <c r="E1440" t="inlineStr">
        <is>
          <t>AM07</t>
        </is>
      </c>
      <c r="F1440" s="5" t="n">
        <v>81.72</v>
      </c>
      <c r="G1440">
        <f>IF(LEFT(B1440,1)="C","Credit","Factuur")</f>
        <v/>
      </c>
      <c r="H1440">
        <f>IF(AND(B1440=B1439,D1440=D1439,A1440=A1439,F1440=F1439),1,0)</f>
        <v/>
      </c>
      <c r="I1440">
        <f>IF(C1440="C99999",1,0)</f>
        <v/>
      </c>
      <c r="J1440" s="5">
        <f>IF(OR(H1440=1,I1440=1),0,IF(G1440="Credit",-F1440,F1440))</f>
        <v/>
      </c>
    </row>
    <row r="1441">
      <c r="A1441" t="inlineStr">
        <is>
          <t>2026-07-15</t>
        </is>
      </c>
      <c r="B1441" t="inlineStr">
        <is>
          <t>F282307</t>
        </is>
      </c>
      <c r="C1441" t="inlineStr">
        <is>
          <t>C11170</t>
        </is>
      </c>
      <c r="D1441" t="inlineStr">
        <is>
          <t>SKU-10246</t>
        </is>
      </c>
      <c r="E1441" t="inlineStr">
        <is>
          <t>AM07</t>
        </is>
      </c>
      <c r="F1441" s="5" t="n">
        <v>69.12</v>
      </c>
      <c r="G1441">
        <f>IF(LEFT(B1441,1)="C","Credit","Factuur")</f>
        <v/>
      </c>
      <c r="H1441">
        <f>IF(AND(B1441=B1440,D1441=D1440,A1441=A1440,F1441=F1440),1,0)</f>
        <v/>
      </c>
      <c r="I1441">
        <f>IF(C1441="C99999",1,0)</f>
        <v/>
      </c>
      <c r="J1441" s="5">
        <f>IF(OR(H1441=1,I1441=1),0,IF(G1441="Credit",-F1441,F1441))</f>
        <v/>
      </c>
    </row>
    <row r="1442">
      <c r="A1442" t="inlineStr">
        <is>
          <t>2026-07-15</t>
        </is>
      </c>
      <c r="B1442" t="inlineStr">
        <is>
          <t>F282307</t>
        </is>
      </c>
      <c r="C1442" t="inlineStr">
        <is>
          <t>C11170</t>
        </is>
      </c>
      <c r="D1442" t="inlineStr">
        <is>
          <t>SKU-10327</t>
        </is>
      </c>
      <c r="E1442" t="inlineStr">
        <is>
          <t>AM07</t>
        </is>
      </c>
      <c r="F1442" s="5" t="n">
        <v>92.59999999999999</v>
      </c>
      <c r="G1442">
        <f>IF(LEFT(B1442,1)="C","Credit","Factuur")</f>
        <v/>
      </c>
      <c r="H1442">
        <f>IF(AND(B1442=B1441,D1442=D1441,A1442=A1441,F1442=F1441),1,0)</f>
        <v/>
      </c>
      <c r="I1442">
        <f>IF(C1442="C99999",1,0)</f>
        <v/>
      </c>
      <c r="J1442" s="5">
        <f>IF(OR(H1442=1,I1442=1),0,IF(G1442="Credit",-F1442,F1442))</f>
        <v/>
      </c>
    </row>
    <row r="1443">
      <c r="A1443" t="inlineStr">
        <is>
          <t>2026-07-15</t>
        </is>
      </c>
      <c r="B1443" t="inlineStr">
        <is>
          <t>F282479</t>
        </is>
      </c>
      <c r="C1443" t="inlineStr">
        <is>
          <t>C11181</t>
        </is>
      </c>
      <c r="D1443" t="inlineStr">
        <is>
          <t>SKU-10216</t>
        </is>
      </c>
      <c r="E1443" t="inlineStr">
        <is>
          <t>AM08</t>
        </is>
      </c>
      <c r="F1443" s="5" t="n">
        <v>691.6900000000001</v>
      </c>
      <c r="G1443">
        <f>IF(LEFT(B1443,1)="C","Credit","Factuur")</f>
        <v/>
      </c>
      <c r="H1443">
        <f>IF(AND(B1443=B1442,D1443=D1442,A1443=A1442,F1443=F1442),1,0)</f>
        <v/>
      </c>
      <c r="I1443">
        <f>IF(C1443="C99999",1,0)</f>
        <v/>
      </c>
      <c r="J1443" s="5">
        <f>IF(OR(H1443=1,I1443=1),0,IF(G1443="Credit",-F1443,F1443))</f>
        <v/>
      </c>
    </row>
    <row r="1444">
      <c r="A1444" t="inlineStr">
        <is>
          <t>2026-07-15</t>
        </is>
      </c>
      <c r="B1444" t="inlineStr">
        <is>
          <t>F282479</t>
        </is>
      </c>
      <c r="C1444" t="inlineStr">
        <is>
          <t>C11181</t>
        </is>
      </c>
      <c r="D1444" t="inlineStr">
        <is>
          <t>SKU-10225</t>
        </is>
      </c>
      <c r="E1444" t="inlineStr">
        <is>
          <t>AM08</t>
        </is>
      </c>
      <c r="F1444" s="5" t="n">
        <v>647.14</v>
      </c>
      <c r="G1444">
        <f>IF(LEFT(B1444,1)="C","Credit","Factuur")</f>
        <v/>
      </c>
      <c r="H1444">
        <f>IF(AND(B1444=B1443,D1444=D1443,A1444=A1443,F1444=F1443),1,0)</f>
        <v/>
      </c>
      <c r="I1444">
        <f>IF(C1444="C99999",1,0)</f>
        <v/>
      </c>
      <c r="J1444" s="5">
        <f>IF(OR(H1444=1,I1444=1),0,IF(G1444="Credit",-F1444,F1444))</f>
        <v/>
      </c>
    </row>
    <row r="1445">
      <c r="A1445" t="inlineStr">
        <is>
          <t>2026-07-15</t>
        </is>
      </c>
      <c r="B1445" t="inlineStr">
        <is>
          <t>F282479</t>
        </is>
      </c>
      <c r="C1445" t="inlineStr">
        <is>
          <t>C11181</t>
        </is>
      </c>
      <c r="D1445" t="inlineStr">
        <is>
          <t>SKU-10301</t>
        </is>
      </c>
      <c r="E1445" t="inlineStr">
        <is>
          <t>AM08</t>
        </is>
      </c>
      <c r="F1445" s="5" t="n">
        <v>722.5</v>
      </c>
      <c r="G1445">
        <f>IF(LEFT(B1445,1)="C","Credit","Factuur")</f>
        <v/>
      </c>
      <c r="H1445">
        <f>IF(AND(B1445=B1444,D1445=D1444,A1445=A1444,F1445=F1444),1,0)</f>
        <v/>
      </c>
      <c r="I1445">
        <f>IF(C1445="C99999",1,0)</f>
        <v/>
      </c>
      <c r="J1445" s="5">
        <f>IF(OR(H1445=1,I1445=1),0,IF(G1445="Credit",-F1445,F1445))</f>
        <v/>
      </c>
    </row>
    <row r="1446">
      <c r="A1446" t="inlineStr">
        <is>
          <t>2026-07-15</t>
        </is>
      </c>
      <c r="B1446" t="inlineStr">
        <is>
          <t>F283101</t>
        </is>
      </c>
      <c r="C1446" t="inlineStr">
        <is>
          <t>C11215</t>
        </is>
      </c>
      <c r="D1446" t="inlineStr">
        <is>
          <t>SKU-10215</t>
        </is>
      </c>
      <c r="E1446" t="inlineStr">
        <is>
          <t>AM03</t>
        </is>
      </c>
      <c r="F1446" s="5" t="n">
        <v>91.2</v>
      </c>
      <c r="G1446">
        <f>IF(LEFT(B1446,1)="C","Credit","Factuur")</f>
        <v/>
      </c>
      <c r="H1446">
        <f>IF(AND(B1446=B1445,D1446=D1445,A1446=A1445,F1446=F1445),1,0)</f>
        <v/>
      </c>
      <c r="I1446">
        <f>IF(C1446="C99999",1,0)</f>
        <v/>
      </c>
      <c r="J1446" s="5">
        <f>IF(OR(H1446=1,I1446=1),0,IF(G1446="Credit",-F1446,F1446))</f>
        <v/>
      </c>
    </row>
    <row r="1447">
      <c r="A1447" t="inlineStr">
        <is>
          <t>2026-07-15</t>
        </is>
      </c>
      <c r="B1447" t="inlineStr">
        <is>
          <t>F283101</t>
        </is>
      </c>
      <c r="C1447" t="inlineStr">
        <is>
          <t>C11215</t>
        </is>
      </c>
      <c r="D1447" t="inlineStr">
        <is>
          <t>SKU-10235</t>
        </is>
      </c>
      <c r="E1447" t="inlineStr">
        <is>
          <t>AM03</t>
        </is>
      </c>
      <c r="F1447" s="5" t="n">
        <v>78.28</v>
      </c>
      <c r="G1447">
        <f>IF(LEFT(B1447,1)="C","Credit","Factuur")</f>
        <v/>
      </c>
      <c r="H1447">
        <f>IF(AND(B1447=B1446,D1447=D1446,A1447=A1446,F1447=F1446),1,0)</f>
        <v/>
      </c>
      <c r="I1447">
        <f>IF(C1447="C99999",1,0)</f>
        <v/>
      </c>
      <c r="J1447" s="5">
        <f>IF(OR(H1447=1,I1447=1),0,IF(G1447="Credit",-F1447,F1447))</f>
        <v/>
      </c>
    </row>
    <row r="1448">
      <c r="A1448" t="inlineStr">
        <is>
          <t>2026-07-15</t>
        </is>
      </c>
      <c r="B1448" t="inlineStr">
        <is>
          <t>F283101</t>
        </is>
      </c>
      <c r="C1448" t="inlineStr">
        <is>
          <t>C11215</t>
        </is>
      </c>
      <c r="D1448" t="inlineStr">
        <is>
          <t>SKU-10261</t>
        </is>
      </c>
      <c r="E1448" t="inlineStr">
        <is>
          <t>AM03</t>
        </is>
      </c>
      <c r="F1448" s="5" t="n">
        <v>78.98999999999999</v>
      </c>
      <c r="G1448">
        <f>IF(LEFT(B1448,1)="C","Credit","Factuur")</f>
        <v/>
      </c>
      <c r="H1448">
        <f>IF(AND(B1448=B1447,D1448=D1447,A1448=A1447,F1448=F1447),1,0)</f>
        <v/>
      </c>
      <c r="I1448">
        <f>IF(C1448="C99999",1,0)</f>
        <v/>
      </c>
      <c r="J1448" s="5">
        <f>IF(OR(H1448=1,I1448=1),0,IF(G1448="Credit",-F1448,F1448))</f>
        <v/>
      </c>
    </row>
    <row r="1449">
      <c r="A1449" t="inlineStr">
        <is>
          <t>2026-07-15</t>
        </is>
      </c>
      <c r="B1449" t="inlineStr">
        <is>
          <t>F283101</t>
        </is>
      </c>
      <c r="C1449" t="inlineStr">
        <is>
          <t>C11215</t>
        </is>
      </c>
      <c r="D1449" t="inlineStr">
        <is>
          <t>SKU-10273</t>
        </is>
      </c>
      <c r="E1449" t="inlineStr">
        <is>
          <t>AM03</t>
        </is>
      </c>
      <c r="F1449" s="5" t="n">
        <v>96.36</v>
      </c>
      <c r="G1449">
        <f>IF(LEFT(B1449,1)="C","Credit","Factuur")</f>
        <v/>
      </c>
      <c r="H1449">
        <f>IF(AND(B1449=B1448,D1449=D1448,A1449=A1448,F1449=F1448),1,0)</f>
        <v/>
      </c>
      <c r="I1449">
        <f>IF(C1449="C99999",1,0)</f>
        <v/>
      </c>
      <c r="J1449" s="5">
        <f>IF(OR(H1449=1,I1449=1),0,IF(G1449="Credit",-F1449,F1449))</f>
        <v/>
      </c>
    </row>
    <row r="1450">
      <c r="A1450" t="inlineStr">
        <is>
          <t>2026-07-15</t>
        </is>
      </c>
      <c r="B1450" t="inlineStr">
        <is>
          <t>F284672</t>
        </is>
      </c>
      <c r="C1450" t="inlineStr">
        <is>
          <t>C11293</t>
        </is>
      </c>
      <c r="D1450" t="inlineStr">
        <is>
          <t>SKU-10093</t>
        </is>
      </c>
      <c r="E1450" t="inlineStr">
        <is>
          <t>AM11</t>
        </is>
      </c>
      <c r="F1450" s="5" t="n">
        <v>2325.36</v>
      </c>
      <c r="G1450">
        <f>IF(LEFT(B1450,1)="C","Credit","Factuur")</f>
        <v/>
      </c>
      <c r="H1450">
        <f>IF(AND(B1450=B1449,D1450=D1449,A1450=A1449,F1450=F1449),1,0)</f>
        <v/>
      </c>
      <c r="I1450">
        <f>IF(C1450="C99999",1,0)</f>
        <v/>
      </c>
      <c r="J1450" s="5">
        <f>IF(OR(H1450=1,I1450=1),0,IF(G1450="Credit",-F1450,F1450))</f>
        <v/>
      </c>
    </row>
    <row r="1451">
      <c r="A1451" t="inlineStr">
        <is>
          <t>2026-07-15</t>
        </is>
      </c>
      <c r="B1451" t="inlineStr">
        <is>
          <t>F285455</t>
        </is>
      </c>
      <c r="C1451" t="inlineStr">
        <is>
          <t>C11330</t>
        </is>
      </c>
      <c r="D1451" t="inlineStr">
        <is>
          <t>SKU-10062</t>
        </is>
      </c>
      <c r="E1451" t="inlineStr">
        <is>
          <t>AM12</t>
        </is>
      </c>
      <c r="F1451" s="5" t="n">
        <v>630.36</v>
      </c>
      <c r="G1451">
        <f>IF(LEFT(B1451,1)="C","Credit","Factuur")</f>
        <v/>
      </c>
      <c r="H1451">
        <f>IF(AND(B1451=B1450,D1451=D1450,A1451=A1450,F1451=F1450),1,0)</f>
        <v/>
      </c>
      <c r="I1451">
        <f>IF(C1451="C99999",1,0)</f>
        <v/>
      </c>
      <c r="J1451" s="5">
        <f>IF(OR(H1451=1,I1451=1),0,IF(G1451="Credit",-F1451,F1451))</f>
        <v/>
      </c>
    </row>
    <row r="1452">
      <c r="A1452" t="inlineStr">
        <is>
          <t>2026-07-15</t>
        </is>
      </c>
      <c r="B1452" t="inlineStr">
        <is>
          <t>F285455</t>
        </is>
      </c>
      <c r="C1452" t="inlineStr">
        <is>
          <t>C11330</t>
        </is>
      </c>
      <c r="D1452" t="inlineStr">
        <is>
          <t>SKU-10248</t>
        </is>
      </c>
      <c r="E1452" t="inlineStr">
        <is>
          <t>AM12</t>
        </is>
      </c>
      <c r="F1452" s="5" t="n">
        <v>611.0599999999999</v>
      </c>
      <c r="G1452">
        <f>IF(LEFT(B1452,1)="C","Credit","Factuur")</f>
        <v/>
      </c>
      <c r="H1452">
        <f>IF(AND(B1452=B1451,D1452=D1451,A1452=A1451,F1452=F1451),1,0)</f>
        <v/>
      </c>
      <c r="I1452">
        <f>IF(C1452="C99999",1,0)</f>
        <v/>
      </c>
      <c r="J1452" s="5">
        <f>IF(OR(H1452=1,I1452=1),0,IF(G1452="Credit",-F1452,F1452))</f>
        <v/>
      </c>
    </row>
    <row r="1453">
      <c r="A1453" t="inlineStr">
        <is>
          <t>2026-07-15</t>
        </is>
      </c>
      <c r="B1453" t="inlineStr">
        <is>
          <t>F285455</t>
        </is>
      </c>
      <c r="C1453" t="inlineStr">
        <is>
          <t>C11330</t>
        </is>
      </c>
      <c r="D1453" t="inlineStr">
        <is>
          <t>SKU-10299</t>
        </is>
      </c>
      <c r="E1453" t="inlineStr">
        <is>
          <t>AM12</t>
        </is>
      </c>
      <c r="F1453" s="5" t="n">
        <v>715.16</v>
      </c>
      <c r="G1453">
        <f>IF(LEFT(B1453,1)="C","Credit","Factuur")</f>
        <v/>
      </c>
      <c r="H1453">
        <f>IF(AND(B1453=B1452,D1453=D1452,A1453=A1452,F1453=F1452),1,0)</f>
        <v/>
      </c>
      <c r="I1453">
        <f>IF(C1453="C99999",1,0)</f>
        <v/>
      </c>
      <c r="J1453" s="5">
        <f>IF(OR(H1453=1,I1453=1),0,IF(G1453="Credit",-F1453,F1453))</f>
        <v/>
      </c>
    </row>
    <row r="1454">
      <c r="A1454" t="inlineStr">
        <is>
          <t>2026-07-15</t>
        </is>
      </c>
      <c r="B1454" t="inlineStr">
        <is>
          <t>F285455</t>
        </is>
      </c>
      <c r="C1454" t="inlineStr">
        <is>
          <t>C11330</t>
        </is>
      </c>
      <c r="D1454" t="inlineStr">
        <is>
          <t>SKU-10381</t>
        </is>
      </c>
      <c r="E1454" t="inlineStr">
        <is>
          <t>AM12</t>
        </is>
      </c>
      <c r="F1454" s="5" t="n">
        <v>488.64</v>
      </c>
      <c r="G1454">
        <f>IF(LEFT(B1454,1)="C","Credit","Factuur")</f>
        <v/>
      </c>
      <c r="H1454">
        <f>IF(AND(B1454=B1453,D1454=D1453,A1454=A1453,F1454=F1453),1,0)</f>
        <v/>
      </c>
      <c r="I1454">
        <f>IF(C1454="C99999",1,0)</f>
        <v/>
      </c>
      <c r="J1454" s="5">
        <f>IF(OR(H1454=1,I1454=1),0,IF(G1454="Credit",-F1454,F1454))</f>
        <v/>
      </c>
    </row>
    <row r="1455">
      <c r="A1455" t="inlineStr">
        <is>
          <t>2026-07-16</t>
        </is>
      </c>
      <c r="B1455" t="inlineStr">
        <is>
          <t>C900709</t>
        </is>
      </c>
      <c r="C1455" t="inlineStr">
        <is>
          <t>C11325</t>
        </is>
      </c>
      <c r="D1455" t="inlineStr">
        <is>
          <t>SKU-10169</t>
        </is>
      </c>
      <c r="E1455" t="inlineStr">
        <is>
          <t>AM02</t>
        </is>
      </c>
      <c r="F1455" s="5" t="n">
        <v>154.3</v>
      </c>
      <c r="G1455">
        <f>IF(LEFT(B1455,1)="C","Credit","Factuur")</f>
        <v/>
      </c>
      <c r="H1455">
        <f>IF(AND(B1455=B1454,D1455=D1454,A1455=A1454,F1455=F1454),1,0)</f>
        <v/>
      </c>
      <c r="I1455">
        <f>IF(C1455="C99999",1,0)</f>
        <v/>
      </c>
      <c r="J1455" s="5">
        <f>IF(OR(H1455=1,I1455=1),0,IF(G1455="Credit",-F1455,F1455))</f>
        <v/>
      </c>
    </row>
    <row r="1456">
      <c r="A1456" t="inlineStr">
        <is>
          <t>2026-07-16</t>
        </is>
      </c>
      <c r="B1456" t="inlineStr">
        <is>
          <t>C901388</t>
        </is>
      </c>
      <c r="C1456" t="inlineStr">
        <is>
          <t>C10311</t>
        </is>
      </c>
      <c r="D1456" t="inlineStr">
        <is>
          <t>SKU-10190</t>
        </is>
      </c>
      <c r="E1456" t="inlineStr">
        <is>
          <t>AM02</t>
        </is>
      </c>
      <c r="F1456" s="5" t="n">
        <v>749.3200000000001</v>
      </c>
      <c r="G1456">
        <f>IF(LEFT(B1456,1)="C","Credit","Factuur")</f>
        <v/>
      </c>
      <c r="H1456">
        <f>IF(AND(B1456=B1455,D1456=D1455,A1456=A1455,F1456=F1455),1,0)</f>
        <v/>
      </c>
      <c r="I1456">
        <f>IF(C1456="C99999",1,0)</f>
        <v/>
      </c>
      <c r="J1456" s="5">
        <f>IF(OR(H1456=1,I1456=1),0,IF(G1456="Credit",-F1456,F1456))</f>
        <v/>
      </c>
    </row>
    <row r="1457">
      <c r="A1457" t="inlineStr">
        <is>
          <t>2026-07-16</t>
        </is>
      </c>
      <c r="B1457" t="inlineStr">
        <is>
          <t>F260729</t>
        </is>
      </c>
      <c r="C1457" t="inlineStr">
        <is>
          <t>C10045</t>
        </is>
      </c>
      <c r="D1457" t="inlineStr">
        <is>
          <t>SKU-10025</t>
        </is>
      </c>
      <c r="E1457" t="inlineStr">
        <is>
          <t>AM12</t>
        </is>
      </c>
      <c r="F1457" s="5" t="n">
        <v>143.57</v>
      </c>
      <c r="G1457">
        <f>IF(LEFT(B1457,1)="C","Credit","Factuur")</f>
        <v/>
      </c>
      <c r="H1457">
        <f>IF(AND(B1457=B1456,D1457=D1456,A1457=A1456,F1457=F1456),1,0)</f>
        <v/>
      </c>
      <c r="I1457">
        <f>IF(C1457="C99999",1,0)</f>
        <v/>
      </c>
      <c r="J1457" s="5">
        <f>IF(OR(H1457=1,I1457=1),0,IF(G1457="Credit",-F1457,F1457))</f>
        <v/>
      </c>
    </row>
    <row r="1458">
      <c r="A1458" t="inlineStr">
        <is>
          <t>2026-07-16</t>
        </is>
      </c>
      <c r="B1458" t="inlineStr">
        <is>
          <t>F260729</t>
        </is>
      </c>
      <c r="C1458" t="inlineStr">
        <is>
          <t>C10045</t>
        </is>
      </c>
      <c r="D1458" t="inlineStr">
        <is>
          <t>SKU-10031</t>
        </is>
      </c>
      <c r="E1458" t="inlineStr">
        <is>
          <t>AM12</t>
        </is>
      </c>
      <c r="F1458" s="5" t="n">
        <v>123.97</v>
      </c>
      <c r="G1458">
        <f>IF(LEFT(B1458,1)="C","Credit","Factuur")</f>
        <v/>
      </c>
      <c r="H1458">
        <f>IF(AND(B1458=B1457,D1458=D1457,A1458=A1457,F1458=F1457),1,0)</f>
        <v/>
      </c>
      <c r="I1458">
        <f>IF(C1458="C99999",1,0)</f>
        <v/>
      </c>
      <c r="J1458" s="5">
        <f>IF(OR(H1458=1,I1458=1),0,IF(G1458="Credit",-F1458,F1458))</f>
        <v/>
      </c>
    </row>
    <row r="1459">
      <c r="A1459" t="inlineStr">
        <is>
          <t>2026-07-16</t>
        </is>
      </c>
      <c r="B1459" t="inlineStr">
        <is>
          <t>F260729</t>
        </is>
      </c>
      <c r="C1459" t="inlineStr">
        <is>
          <t>C10045</t>
        </is>
      </c>
      <c r="D1459" t="inlineStr">
        <is>
          <t>SKU-10245</t>
        </is>
      </c>
      <c r="E1459" t="inlineStr">
        <is>
          <t>AM12</t>
        </is>
      </c>
      <c r="F1459" s="5" t="n">
        <v>144.4</v>
      </c>
      <c r="G1459">
        <f>IF(LEFT(B1459,1)="C","Credit","Factuur")</f>
        <v/>
      </c>
      <c r="H1459">
        <f>IF(AND(B1459=B1458,D1459=D1458,A1459=A1458,F1459=F1458),1,0)</f>
        <v/>
      </c>
      <c r="I1459">
        <f>IF(C1459="C99999",1,0)</f>
        <v/>
      </c>
      <c r="J1459" s="5">
        <f>IF(OR(H1459=1,I1459=1),0,IF(G1459="Credit",-F1459,F1459))</f>
        <v/>
      </c>
    </row>
    <row r="1460">
      <c r="A1460" t="inlineStr">
        <is>
          <t>2026-07-16</t>
        </is>
      </c>
      <c r="B1460" t="inlineStr">
        <is>
          <t>F260729</t>
        </is>
      </c>
      <c r="C1460" t="inlineStr">
        <is>
          <t>C10045</t>
        </is>
      </c>
      <c r="D1460" t="inlineStr">
        <is>
          <t>SKU-10344</t>
        </is>
      </c>
      <c r="E1460" t="inlineStr">
        <is>
          <t>AM12</t>
        </is>
      </c>
      <c r="F1460" s="5" t="n">
        <v>123.2</v>
      </c>
      <c r="G1460">
        <f>IF(LEFT(B1460,1)="C","Credit","Factuur")</f>
        <v/>
      </c>
      <c r="H1460">
        <f>IF(AND(B1460=B1459,D1460=D1459,A1460=A1459,F1460=F1459),1,0)</f>
        <v/>
      </c>
      <c r="I1460">
        <f>IF(C1460="C99999",1,0)</f>
        <v/>
      </c>
      <c r="J1460" s="5">
        <f>IF(OR(H1460=1,I1460=1),0,IF(G1460="Credit",-F1460,F1460))</f>
        <v/>
      </c>
    </row>
    <row r="1461">
      <c r="A1461" t="inlineStr">
        <is>
          <t>2026-07-16</t>
        </is>
      </c>
      <c r="B1461" t="inlineStr">
        <is>
          <t>F260729</t>
        </is>
      </c>
      <c r="C1461" t="inlineStr">
        <is>
          <t>C10045</t>
        </is>
      </c>
      <c r="D1461" t="inlineStr">
        <is>
          <t>SKU-10378</t>
        </is>
      </c>
      <c r="E1461" t="inlineStr">
        <is>
          <t>AM12</t>
        </is>
      </c>
      <c r="F1461" s="5" t="n">
        <v>224.33</v>
      </c>
      <c r="G1461">
        <f>IF(LEFT(B1461,1)="C","Credit","Factuur")</f>
        <v/>
      </c>
      <c r="H1461">
        <f>IF(AND(B1461=B1460,D1461=D1460,A1461=A1460,F1461=F1460),1,0)</f>
        <v/>
      </c>
      <c r="I1461">
        <f>IF(C1461="C99999",1,0)</f>
        <v/>
      </c>
      <c r="J1461" s="5">
        <f>IF(OR(H1461=1,I1461=1),0,IF(G1461="Credit",-F1461,F1461))</f>
        <v/>
      </c>
    </row>
    <row r="1462">
      <c r="A1462" t="inlineStr">
        <is>
          <t>2026-07-16</t>
        </is>
      </c>
      <c r="B1462" t="inlineStr">
        <is>
          <t>F263359</t>
        </is>
      </c>
      <c r="C1462" t="inlineStr">
        <is>
          <t>C10179</t>
        </is>
      </c>
      <c r="D1462" t="inlineStr">
        <is>
          <t>SKU-10304</t>
        </is>
      </c>
      <c r="E1462" t="inlineStr">
        <is>
          <t>AM02</t>
        </is>
      </c>
      <c r="F1462" s="5" t="n">
        <v>1829.02</v>
      </c>
      <c r="G1462">
        <f>IF(LEFT(B1462,1)="C","Credit","Factuur")</f>
        <v/>
      </c>
      <c r="H1462">
        <f>IF(AND(B1462=B1461,D1462=D1461,A1462=A1461,F1462=F1461),1,0)</f>
        <v/>
      </c>
      <c r="I1462">
        <f>IF(C1462="C99999",1,0)</f>
        <v/>
      </c>
      <c r="J1462" s="5">
        <f>IF(OR(H1462=1,I1462=1),0,IF(G1462="Credit",-F1462,F1462))</f>
        <v/>
      </c>
    </row>
    <row r="1463">
      <c r="A1463" t="inlineStr">
        <is>
          <t>2026-07-16</t>
        </is>
      </c>
      <c r="B1463" t="inlineStr">
        <is>
          <t>F263966</t>
        </is>
      </c>
      <c r="C1463" t="inlineStr">
        <is>
          <t>C10208</t>
        </is>
      </c>
      <c r="D1463" t="inlineStr">
        <is>
          <t>SKU-10352</t>
        </is>
      </c>
      <c r="E1463" t="inlineStr">
        <is>
          <t>AM01</t>
        </is>
      </c>
      <c r="F1463" s="5" t="n">
        <v>1564.1</v>
      </c>
      <c r="G1463">
        <f>IF(LEFT(B1463,1)="C","Credit","Factuur")</f>
        <v/>
      </c>
      <c r="H1463">
        <f>IF(AND(B1463=B1462,D1463=D1462,A1463=A1462,F1463=F1462),1,0)</f>
        <v/>
      </c>
      <c r="I1463">
        <f>IF(C1463="C99999",1,0)</f>
        <v/>
      </c>
      <c r="J1463" s="5">
        <f>IF(OR(H1463=1,I1463=1),0,IF(G1463="Credit",-F1463,F1463))</f>
        <v/>
      </c>
    </row>
    <row r="1464">
      <c r="A1464" t="inlineStr">
        <is>
          <t>2026-07-16</t>
        </is>
      </c>
      <c r="B1464" t="inlineStr">
        <is>
          <t>F264759</t>
        </is>
      </c>
      <c r="C1464" t="inlineStr">
        <is>
          <t>C10249</t>
        </is>
      </c>
      <c r="D1464" t="inlineStr">
        <is>
          <t>SKU-10050</t>
        </is>
      </c>
      <c r="E1464" t="inlineStr">
        <is>
          <t>AM05</t>
        </is>
      </c>
      <c r="F1464" s="5" t="n">
        <v>160.29</v>
      </c>
      <c r="G1464">
        <f>IF(LEFT(B1464,1)="C","Credit","Factuur")</f>
        <v/>
      </c>
      <c r="H1464">
        <f>IF(AND(B1464=B1463,D1464=D1463,A1464=A1463,F1464=F1463),1,0)</f>
        <v/>
      </c>
      <c r="I1464">
        <f>IF(C1464="C99999",1,0)</f>
        <v/>
      </c>
      <c r="J1464" s="5">
        <f>IF(OR(H1464=1,I1464=1),0,IF(G1464="Credit",-F1464,F1464))</f>
        <v/>
      </c>
    </row>
    <row r="1465">
      <c r="A1465" t="inlineStr">
        <is>
          <t>2026-07-16</t>
        </is>
      </c>
      <c r="B1465" t="inlineStr">
        <is>
          <t>F264759</t>
        </is>
      </c>
      <c r="C1465" t="inlineStr">
        <is>
          <t>C10249</t>
        </is>
      </c>
      <c r="D1465" t="inlineStr">
        <is>
          <t>SKU-10091</t>
        </is>
      </c>
      <c r="E1465" t="inlineStr">
        <is>
          <t>AM05</t>
        </is>
      </c>
      <c r="F1465" s="5" t="n">
        <v>234.86</v>
      </c>
      <c r="G1465">
        <f>IF(LEFT(B1465,1)="C","Credit","Factuur")</f>
        <v/>
      </c>
      <c r="H1465">
        <f>IF(AND(B1465=B1464,D1465=D1464,A1465=A1464,F1465=F1464),1,0)</f>
        <v/>
      </c>
      <c r="I1465">
        <f>IF(C1465="C99999",1,0)</f>
        <v/>
      </c>
      <c r="J1465" s="5">
        <f>IF(OR(H1465=1,I1465=1),0,IF(G1465="Credit",-F1465,F1465))</f>
        <v/>
      </c>
    </row>
    <row r="1466">
      <c r="A1466" t="inlineStr">
        <is>
          <t>2026-07-16</t>
        </is>
      </c>
      <c r="B1466" t="inlineStr">
        <is>
          <t>F264759</t>
        </is>
      </c>
      <c r="C1466" t="inlineStr">
        <is>
          <t>C10249</t>
        </is>
      </c>
      <c r="D1466" t="inlineStr">
        <is>
          <t>SKU-10127</t>
        </is>
      </c>
      <c r="E1466" t="inlineStr">
        <is>
          <t>AM05</t>
        </is>
      </c>
      <c r="F1466" s="5" t="n">
        <v>183.1</v>
      </c>
      <c r="G1466">
        <f>IF(LEFT(B1466,1)="C","Credit","Factuur")</f>
        <v/>
      </c>
      <c r="H1466">
        <f>IF(AND(B1466=B1465,D1466=D1465,A1466=A1465,F1466=F1465),1,0)</f>
        <v/>
      </c>
      <c r="I1466">
        <f>IF(C1466="C99999",1,0)</f>
        <v/>
      </c>
      <c r="J1466" s="5">
        <f>IF(OR(H1466=1,I1466=1),0,IF(G1466="Credit",-F1466,F1466))</f>
        <v/>
      </c>
    </row>
    <row r="1467">
      <c r="A1467" t="inlineStr">
        <is>
          <t>2026-07-16</t>
        </is>
      </c>
      <c r="B1467" t="inlineStr">
        <is>
          <t>F264759</t>
        </is>
      </c>
      <c r="C1467" t="inlineStr">
        <is>
          <t>C10249</t>
        </is>
      </c>
      <c r="D1467" t="inlineStr">
        <is>
          <t>SKU-10336</t>
        </is>
      </c>
      <c r="E1467" t="inlineStr">
        <is>
          <t>AM05</t>
        </is>
      </c>
      <c r="F1467" s="5" t="n">
        <v>187.64</v>
      </c>
      <c r="G1467">
        <f>IF(LEFT(B1467,1)="C","Credit","Factuur")</f>
        <v/>
      </c>
      <c r="H1467">
        <f>IF(AND(B1467=B1466,D1467=D1466,A1467=A1466,F1467=F1466),1,0)</f>
        <v/>
      </c>
      <c r="I1467">
        <f>IF(C1467="C99999",1,0)</f>
        <v/>
      </c>
      <c r="J1467" s="5">
        <f>IF(OR(H1467=1,I1467=1),0,IF(G1467="Credit",-F1467,F1467))</f>
        <v/>
      </c>
    </row>
    <row r="1468">
      <c r="A1468" t="inlineStr">
        <is>
          <t>2026-07-16</t>
        </is>
      </c>
      <c r="B1468" t="inlineStr">
        <is>
          <t>F264759</t>
        </is>
      </c>
      <c r="C1468" t="inlineStr">
        <is>
          <t>C10249</t>
        </is>
      </c>
      <c r="D1468" t="inlineStr">
        <is>
          <t>SKU-10339</t>
        </is>
      </c>
      <c r="E1468" t="inlineStr">
        <is>
          <t>AM05</t>
        </is>
      </c>
      <c r="F1468" s="5" t="n">
        <v>171.57</v>
      </c>
      <c r="G1468">
        <f>IF(LEFT(B1468,1)="C","Credit","Factuur")</f>
        <v/>
      </c>
      <c r="H1468">
        <f>IF(AND(B1468=B1467,D1468=D1467,A1468=A1467,F1468=F1467),1,0)</f>
        <v/>
      </c>
      <c r="I1468">
        <f>IF(C1468="C99999",1,0)</f>
        <v/>
      </c>
      <c r="J1468" s="5">
        <f>IF(OR(H1468=1,I1468=1),0,IF(G1468="Credit",-F1468,F1468))</f>
        <v/>
      </c>
    </row>
    <row r="1469">
      <c r="A1469" t="inlineStr">
        <is>
          <t>2026-07-16</t>
        </is>
      </c>
      <c r="B1469" t="inlineStr">
        <is>
          <t>F264929</t>
        </is>
      </c>
      <c r="C1469" t="inlineStr">
        <is>
          <t>C10256</t>
        </is>
      </c>
      <c r="D1469" t="inlineStr">
        <is>
          <t>SKU-10134</t>
        </is>
      </c>
      <c r="E1469" t="inlineStr">
        <is>
          <t>AM05</t>
        </is>
      </c>
      <c r="F1469" s="5" t="n">
        <v>116.18</v>
      </c>
      <c r="G1469">
        <f>IF(LEFT(B1469,1)="C","Credit","Factuur")</f>
        <v/>
      </c>
      <c r="H1469">
        <f>IF(AND(B1469=B1468,D1469=D1468,A1469=A1468,F1469=F1468),1,0)</f>
        <v/>
      </c>
      <c r="I1469">
        <f>IF(C1469="C99999",1,0)</f>
        <v/>
      </c>
      <c r="J1469" s="5">
        <f>IF(OR(H1469=1,I1469=1),0,IF(G1469="Credit",-F1469,F1469))</f>
        <v/>
      </c>
    </row>
    <row r="1470">
      <c r="A1470" t="inlineStr">
        <is>
          <t>2026-07-16</t>
        </is>
      </c>
      <c r="B1470" t="inlineStr">
        <is>
          <t>F264929</t>
        </is>
      </c>
      <c r="C1470" t="inlineStr">
        <is>
          <t>C10256</t>
        </is>
      </c>
      <c r="D1470" t="inlineStr">
        <is>
          <t>SKU-10215</t>
        </is>
      </c>
      <c r="E1470" t="inlineStr">
        <is>
          <t>AM05</t>
        </is>
      </c>
      <c r="F1470" s="5" t="n">
        <v>136.8</v>
      </c>
      <c r="G1470">
        <f>IF(LEFT(B1470,1)="C","Credit","Factuur")</f>
        <v/>
      </c>
      <c r="H1470">
        <f>IF(AND(B1470=B1469,D1470=D1469,A1470=A1469,F1470=F1469),1,0)</f>
        <v/>
      </c>
      <c r="I1470">
        <f>IF(C1470="C99999",1,0)</f>
        <v/>
      </c>
      <c r="J1470" s="5">
        <f>IF(OR(H1470=1,I1470=1),0,IF(G1470="Credit",-F1470,F1470))</f>
        <v/>
      </c>
    </row>
    <row r="1471">
      <c r="A1471" t="inlineStr">
        <is>
          <t>2026-07-16</t>
        </is>
      </c>
      <c r="B1471" t="inlineStr">
        <is>
          <t>F264929</t>
        </is>
      </c>
      <c r="C1471" t="inlineStr">
        <is>
          <t>C10256</t>
        </is>
      </c>
      <c r="D1471" t="inlineStr">
        <is>
          <t>SKU-10357</t>
        </is>
      </c>
      <c r="E1471" t="inlineStr">
        <is>
          <t>AM05</t>
        </is>
      </c>
      <c r="F1471" s="5" t="n">
        <v>106.9</v>
      </c>
      <c r="G1471">
        <f>IF(LEFT(B1471,1)="C","Credit","Factuur")</f>
        <v/>
      </c>
      <c r="H1471">
        <f>IF(AND(B1471=B1470,D1471=D1470,A1471=A1470,F1471=F1470),1,0)</f>
        <v/>
      </c>
      <c r="I1471">
        <f>IF(C1471="C99999",1,0)</f>
        <v/>
      </c>
      <c r="J1471" s="5">
        <f>IF(OR(H1471=1,I1471=1),0,IF(G1471="Credit",-F1471,F1471))</f>
        <v/>
      </c>
    </row>
    <row r="1472">
      <c r="A1472" t="inlineStr">
        <is>
          <t>2026-07-16</t>
        </is>
      </c>
      <c r="B1472" t="inlineStr">
        <is>
          <t>F265458</t>
        </is>
      </c>
      <c r="C1472" t="inlineStr">
        <is>
          <t>C10287</t>
        </is>
      </c>
      <c r="D1472" t="inlineStr">
        <is>
          <t>SKU-10057</t>
        </is>
      </c>
      <c r="E1472" t="inlineStr">
        <is>
          <t>AM08</t>
        </is>
      </c>
      <c r="F1472" s="5" t="n">
        <v>630</v>
      </c>
      <c r="G1472">
        <f>IF(LEFT(B1472,1)="C","Credit","Factuur")</f>
        <v/>
      </c>
      <c r="H1472">
        <f>IF(AND(B1472=B1471,D1472=D1471,A1472=A1471,F1472=F1471),1,0)</f>
        <v/>
      </c>
      <c r="I1472">
        <f>IF(C1472="C99999",1,0)</f>
        <v/>
      </c>
      <c r="J1472" s="5">
        <f>IF(OR(H1472=1,I1472=1),0,IF(G1472="Credit",-F1472,F1472))</f>
        <v/>
      </c>
    </row>
    <row r="1473">
      <c r="A1473" t="inlineStr">
        <is>
          <t>2026-07-16</t>
        </is>
      </c>
      <c r="B1473" t="inlineStr">
        <is>
          <t>F265458</t>
        </is>
      </c>
      <c r="C1473" t="inlineStr">
        <is>
          <t>C10287</t>
        </is>
      </c>
      <c r="D1473" t="inlineStr">
        <is>
          <t>SKU-10073</t>
        </is>
      </c>
      <c r="E1473" t="inlineStr">
        <is>
          <t>AM08</t>
        </is>
      </c>
      <c r="F1473" s="5" t="n">
        <v>627.4400000000001</v>
      </c>
      <c r="G1473">
        <f>IF(LEFT(B1473,1)="C","Credit","Factuur")</f>
        <v/>
      </c>
      <c r="H1473">
        <f>IF(AND(B1473=B1472,D1473=D1472,A1473=A1472,F1473=F1472),1,0)</f>
        <v/>
      </c>
      <c r="I1473">
        <f>IF(C1473="C99999",1,0)</f>
        <v/>
      </c>
      <c r="J1473" s="5">
        <f>IF(OR(H1473=1,I1473=1),0,IF(G1473="Credit",-F1473,F1473))</f>
        <v/>
      </c>
    </row>
    <row r="1474">
      <c r="A1474" t="inlineStr">
        <is>
          <t>2026-07-16</t>
        </is>
      </c>
      <c r="B1474" t="inlineStr">
        <is>
          <t>F265458</t>
        </is>
      </c>
      <c r="C1474" t="inlineStr">
        <is>
          <t>C10287</t>
        </is>
      </c>
      <c r="D1474" t="inlineStr">
        <is>
          <t>SKU-10141</t>
        </is>
      </c>
      <c r="E1474" t="inlineStr"/>
      <c r="F1474" s="5" t="n">
        <v>604.77</v>
      </c>
      <c r="G1474">
        <f>IF(LEFT(B1474,1)="C","Credit","Factuur")</f>
        <v/>
      </c>
      <c r="H1474">
        <f>IF(AND(B1474=B1473,D1474=D1473,A1474=A1473,F1474=F1473),1,0)</f>
        <v/>
      </c>
      <c r="I1474">
        <f>IF(C1474="C99999",1,0)</f>
        <v/>
      </c>
      <c r="J1474" s="5">
        <f>IF(OR(H1474=1,I1474=1),0,IF(G1474="Credit",-F1474,F1474))</f>
        <v/>
      </c>
    </row>
    <row r="1475">
      <c r="A1475" t="inlineStr">
        <is>
          <t>2026-07-16</t>
        </is>
      </c>
      <c r="B1475" t="inlineStr">
        <is>
          <t>F265458</t>
        </is>
      </c>
      <c r="C1475" t="inlineStr">
        <is>
          <t>C10287</t>
        </is>
      </c>
      <c r="D1475" t="inlineStr">
        <is>
          <t>SKU-10293</t>
        </is>
      </c>
      <c r="E1475" t="inlineStr">
        <is>
          <t>AM08</t>
        </is>
      </c>
      <c r="F1475" s="5" t="n">
        <v>638.88</v>
      </c>
      <c r="G1475">
        <f>IF(LEFT(B1475,1)="C","Credit","Factuur")</f>
        <v/>
      </c>
      <c r="H1475">
        <f>IF(AND(B1475=B1474,D1475=D1474,A1475=A1474,F1475=F1474),1,0)</f>
        <v/>
      </c>
      <c r="I1475">
        <f>IF(C1475="C99999",1,0)</f>
        <v/>
      </c>
      <c r="J1475" s="5">
        <f>IF(OR(H1475=1,I1475=1),0,IF(G1475="Credit",-F1475,F1475))</f>
        <v/>
      </c>
    </row>
    <row r="1476">
      <c r="A1476" t="inlineStr">
        <is>
          <t>2026-07-16</t>
        </is>
      </c>
      <c r="B1476" t="inlineStr">
        <is>
          <t>F265526</t>
        </is>
      </c>
      <c r="C1476" t="inlineStr">
        <is>
          <t>C10291</t>
        </is>
      </c>
      <c r="D1476" t="inlineStr">
        <is>
          <t>SKU-10012</t>
        </is>
      </c>
      <c r="E1476" t="inlineStr">
        <is>
          <t>AM02</t>
        </is>
      </c>
      <c r="F1476" s="5" t="n">
        <v>127.64</v>
      </c>
      <c r="G1476">
        <f>IF(LEFT(B1476,1)="C","Credit","Factuur")</f>
        <v/>
      </c>
      <c r="H1476">
        <f>IF(AND(B1476=B1475,D1476=D1475,A1476=A1475,F1476=F1475),1,0)</f>
        <v/>
      </c>
      <c r="I1476">
        <f>IF(C1476="C99999",1,0)</f>
        <v/>
      </c>
      <c r="J1476" s="5">
        <f>IF(OR(H1476=1,I1476=1),0,IF(G1476="Credit",-F1476,F1476))</f>
        <v/>
      </c>
    </row>
    <row r="1477">
      <c r="A1477" t="inlineStr">
        <is>
          <t>2026-07-16</t>
        </is>
      </c>
      <c r="B1477" t="inlineStr">
        <is>
          <t>F265526</t>
        </is>
      </c>
      <c r="C1477" t="inlineStr">
        <is>
          <t>C10291</t>
        </is>
      </c>
      <c r="D1477" t="inlineStr">
        <is>
          <t>SKU-10185</t>
        </is>
      </c>
      <c r="E1477" t="inlineStr">
        <is>
          <t>AM02</t>
        </is>
      </c>
      <c r="F1477" s="5" t="n">
        <v>111.51</v>
      </c>
      <c r="G1477">
        <f>IF(LEFT(B1477,1)="C","Credit","Factuur")</f>
        <v/>
      </c>
      <c r="H1477">
        <f>IF(AND(B1477=B1476,D1477=D1476,A1477=A1476,F1477=F1476),1,0)</f>
        <v/>
      </c>
      <c r="I1477">
        <f>IF(C1477="C99999",1,0)</f>
        <v/>
      </c>
      <c r="J1477" s="5">
        <f>IF(OR(H1477=1,I1477=1),0,IF(G1477="Credit",-F1477,F1477))</f>
        <v/>
      </c>
    </row>
    <row r="1478">
      <c r="A1478" t="inlineStr">
        <is>
          <t>2026-07-16</t>
        </is>
      </c>
      <c r="B1478" t="inlineStr">
        <is>
          <t>F265526</t>
        </is>
      </c>
      <c r="C1478" t="inlineStr">
        <is>
          <t>C10291</t>
        </is>
      </c>
      <c r="D1478" t="inlineStr">
        <is>
          <t>SKU-10189</t>
        </is>
      </c>
      <c r="E1478" t="inlineStr">
        <is>
          <t>AM02</t>
        </is>
      </c>
      <c r="F1478" s="5" t="n">
        <v>118.72</v>
      </c>
      <c r="G1478">
        <f>IF(LEFT(B1478,1)="C","Credit","Factuur")</f>
        <v/>
      </c>
      <c r="H1478">
        <f>IF(AND(B1478=B1477,D1478=D1477,A1478=A1477,F1478=F1477),1,0)</f>
        <v/>
      </c>
      <c r="I1478">
        <f>IF(C1478="C99999",1,0)</f>
        <v/>
      </c>
      <c r="J1478" s="5">
        <f>IF(OR(H1478=1,I1478=1),0,IF(G1478="Credit",-F1478,F1478))</f>
        <v/>
      </c>
    </row>
    <row r="1479">
      <c r="A1479" t="inlineStr">
        <is>
          <t>2026-07-16</t>
        </is>
      </c>
      <c r="B1479" t="inlineStr">
        <is>
          <t>F265725</t>
        </is>
      </c>
      <c r="C1479" t="inlineStr">
        <is>
          <t>C10299</t>
        </is>
      </c>
      <c r="D1479" t="inlineStr">
        <is>
          <t>SKU-10038</t>
        </is>
      </c>
      <c r="E1479" t="inlineStr">
        <is>
          <t>AM07</t>
        </is>
      </c>
      <c r="F1479" s="5" t="n">
        <v>192.06</v>
      </c>
      <c r="G1479">
        <f>IF(LEFT(B1479,1)="C","Credit","Factuur")</f>
        <v/>
      </c>
      <c r="H1479">
        <f>IF(AND(B1479=B1478,D1479=D1478,A1479=A1478,F1479=F1478),1,0)</f>
        <v/>
      </c>
      <c r="I1479">
        <f>IF(C1479="C99999",1,0)</f>
        <v/>
      </c>
      <c r="J1479" s="5">
        <f>IF(OR(H1479=1,I1479=1),0,IF(G1479="Credit",-F1479,F1479))</f>
        <v/>
      </c>
    </row>
    <row r="1480">
      <c r="A1480" t="inlineStr">
        <is>
          <t>2026-07-16</t>
        </is>
      </c>
      <c r="B1480" t="inlineStr">
        <is>
          <t>F265725</t>
        </is>
      </c>
      <c r="C1480" t="inlineStr">
        <is>
          <t>C10299</t>
        </is>
      </c>
      <c r="D1480" t="inlineStr">
        <is>
          <t>SKU-10112</t>
        </is>
      </c>
      <c r="E1480" t="inlineStr">
        <is>
          <t>AM07</t>
        </is>
      </c>
      <c r="F1480" s="5" t="n">
        <v>177.61</v>
      </c>
      <c r="G1480">
        <f>IF(LEFT(B1480,1)="C","Credit","Factuur")</f>
        <v/>
      </c>
      <c r="H1480">
        <f>IF(AND(B1480=B1479,D1480=D1479,A1480=A1479,F1480=F1479),1,0)</f>
        <v/>
      </c>
      <c r="I1480">
        <f>IF(C1480="C99999",1,0)</f>
        <v/>
      </c>
      <c r="J1480" s="5">
        <f>IF(OR(H1480=1,I1480=1),0,IF(G1480="Credit",-F1480,F1480))</f>
        <v/>
      </c>
    </row>
    <row r="1481">
      <c r="A1481" t="inlineStr">
        <is>
          <t>2026-07-16</t>
        </is>
      </c>
      <c r="B1481" t="inlineStr">
        <is>
          <t>F265725</t>
        </is>
      </c>
      <c r="C1481" t="inlineStr">
        <is>
          <t>C10299</t>
        </is>
      </c>
      <c r="D1481" t="inlineStr">
        <is>
          <t>SKU-10272</t>
        </is>
      </c>
      <c r="E1481" t="inlineStr">
        <is>
          <t>AM07</t>
        </is>
      </c>
      <c r="F1481" s="5" t="n">
        <v>188.55</v>
      </c>
      <c r="G1481">
        <f>IF(LEFT(B1481,1)="C","Credit","Factuur")</f>
        <v/>
      </c>
      <c r="H1481">
        <f>IF(AND(B1481=B1480,D1481=D1480,A1481=A1480,F1481=F1480),1,0)</f>
        <v/>
      </c>
      <c r="I1481">
        <f>IF(C1481="C99999",1,0)</f>
        <v/>
      </c>
      <c r="J1481" s="5">
        <f>IF(OR(H1481=1,I1481=1),0,IF(G1481="Credit",-F1481,F1481))</f>
        <v/>
      </c>
    </row>
    <row r="1482">
      <c r="A1482" t="inlineStr">
        <is>
          <t>2026-07-16</t>
        </is>
      </c>
      <c r="B1482" t="inlineStr">
        <is>
          <t>F265777</t>
        </is>
      </c>
      <c r="C1482" t="inlineStr">
        <is>
          <t>C10301</t>
        </is>
      </c>
      <c r="D1482" t="inlineStr">
        <is>
          <t>SKU-10191</t>
        </is>
      </c>
      <c r="E1482" t="inlineStr">
        <is>
          <t>AM08</t>
        </is>
      </c>
      <c r="F1482" s="5" t="n">
        <v>298.44</v>
      </c>
      <c r="G1482">
        <f>IF(LEFT(B1482,1)="C","Credit","Factuur")</f>
        <v/>
      </c>
      <c r="H1482">
        <f>IF(AND(B1482=B1481,D1482=D1481,A1482=A1481,F1482=F1481),1,0)</f>
        <v/>
      </c>
      <c r="I1482">
        <f>IF(C1482="C99999",1,0)</f>
        <v/>
      </c>
      <c r="J1482" s="5">
        <f>IF(OR(H1482=1,I1482=1),0,IF(G1482="Credit",-F1482,F1482))</f>
        <v/>
      </c>
    </row>
    <row r="1483">
      <c r="A1483" t="inlineStr">
        <is>
          <t>2026-07-16</t>
        </is>
      </c>
      <c r="B1483" t="inlineStr">
        <is>
          <t>F265777</t>
        </is>
      </c>
      <c r="C1483" t="inlineStr">
        <is>
          <t>C10301</t>
        </is>
      </c>
      <c r="D1483" t="inlineStr">
        <is>
          <t>SKU-10196</t>
        </is>
      </c>
      <c r="E1483" t="inlineStr">
        <is>
          <t>AM08</t>
        </is>
      </c>
      <c r="F1483" s="5" t="n">
        <v>299.13</v>
      </c>
      <c r="G1483">
        <f>IF(LEFT(B1483,1)="C","Credit","Factuur")</f>
        <v/>
      </c>
      <c r="H1483">
        <f>IF(AND(B1483=B1482,D1483=D1482,A1483=A1482,F1483=F1482),1,0)</f>
        <v/>
      </c>
      <c r="I1483">
        <f>IF(C1483="C99999",1,0)</f>
        <v/>
      </c>
      <c r="J1483" s="5">
        <f>IF(OR(H1483=1,I1483=1),0,IF(G1483="Credit",-F1483,F1483))</f>
        <v/>
      </c>
    </row>
    <row r="1484">
      <c r="A1484" t="inlineStr">
        <is>
          <t>2026-07-16</t>
        </is>
      </c>
      <c r="B1484" t="inlineStr">
        <is>
          <t>F266107</t>
        </is>
      </c>
      <c r="C1484" t="inlineStr">
        <is>
          <t>C10319</t>
        </is>
      </c>
      <c r="D1484" t="inlineStr">
        <is>
          <t>SKU-10103</t>
        </is>
      </c>
      <c r="E1484" t="inlineStr">
        <is>
          <t>AM02</t>
        </is>
      </c>
      <c r="F1484" s="5" t="n">
        <v>150.92</v>
      </c>
      <c r="G1484">
        <f>IF(LEFT(B1484,1)="C","Credit","Factuur")</f>
        <v/>
      </c>
      <c r="H1484">
        <f>IF(AND(B1484=B1483,D1484=D1483,A1484=A1483,F1484=F1483),1,0)</f>
        <v/>
      </c>
      <c r="I1484">
        <f>IF(C1484="C99999",1,0)</f>
        <v/>
      </c>
      <c r="J1484" s="5">
        <f>IF(OR(H1484=1,I1484=1),0,IF(G1484="Credit",-F1484,F1484))</f>
        <v/>
      </c>
    </row>
    <row r="1485">
      <c r="A1485" t="inlineStr">
        <is>
          <t>2026-07-16</t>
        </is>
      </c>
      <c r="B1485" t="inlineStr">
        <is>
          <t>F266107</t>
        </is>
      </c>
      <c r="C1485" t="inlineStr">
        <is>
          <t>C10319</t>
        </is>
      </c>
      <c r="D1485" t="inlineStr">
        <is>
          <t>SKU-10222</t>
        </is>
      </c>
      <c r="E1485" t="inlineStr">
        <is>
          <t>AM02</t>
        </is>
      </c>
      <c r="F1485" s="5" t="n">
        <v>118.44</v>
      </c>
      <c r="G1485">
        <f>IF(LEFT(B1485,1)="C","Credit","Factuur")</f>
        <v/>
      </c>
      <c r="H1485">
        <f>IF(AND(B1485=B1484,D1485=D1484,A1485=A1484,F1485=F1484),1,0)</f>
        <v/>
      </c>
      <c r="I1485">
        <f>IF(C1485="C99999",1,0)</f>
        <v/>
      </c>
      <c r="J1485" s="5">
        <f>IF(OR(H1485=1,I1485=1),0,IF(G1485="Credit",-F1485,F1485))</f>
        <v/>
      </c>
    </row>
    <row r="1486">
      <c r="A1486" t="inlineStr">
        <is>
          <t>2026-07-16</t>
        </is>
      </c>
      <c r="B1486" t="inlineStr">
        <is>
          <t>F266107</t>
        </is>
      </c>
      <c r="C1486" t="inlineStr">
        <is>
          <t>C10319</t>
        </is>
      </c>
      <c r="D1486" t="inlineStr">
        <is>
          <t>SKU-10271</t>
        </is>
      </c>
      <c r="E1486" t="inlineStr">
        <is>
          <t>AM02</t>
        </is>
      </c>
      <c r="F1486" s="5" t="n">
        <v>133</v>
      </c>
      <c r="G1486">
        <f>IF(LEFT(B1486,1)="C","Credit","Factuur")</f>
        <v/>
      </c>
      <c r="H1486">
        <f>IF(AND(B1486=B1485,D1486=D1485,A1486=A1485,F1486=F1485),1,0)</f>
        <v/>
      </c>
      <c r="I1486">
        <f>IF(C1486="C99999",1,0)</f>
        <v/>
      </c>
      <c r="J1486" s="5">
        <f>IF(OR(H1486=1,I1486=1),0,IF(G1486="Credit",-F1486,F1486))</f>
        <v/>
      </c>
    </row>
    <row r="1487">
      <c r="A1487" t="inlineStr">
        <is>
          <t>2026-07-16</t>
        </is>
      </c>
      <c r="B1487" t="inlineStr">
        <is>
          <t>F266107</t>
        </is>
      </c>
      <c r="C1487" t="inlineStr">
        <is>
          <t>C10319</t>
        </is>
      </c>
      <c r="D1487" t="inlineStr">
        <is>
          <t>SKU-10328</t>
        </is>
      </c>
      <c r="E1487" t="inlineStr">
        <is>
          <t>AM02</t>
        </is>
      </c>
      <c r="F1487" s="5" t="n">
        <v>124.96</v>
      </c>
      <c r="G1487">
        <f>IF(LEFT(B1487,1)="C","Credit","Factuur")</f>
        <v/>
      </c>
      <c r="H1487">
        <f>IF(AND(B1487=B1486,D1487=D1486,A1487=A1486,F1487=F1486),1,0)</f>
        <v/>
      </c>
      <c r="I1487">
        <f>IF(C1487="C99999",1,0)</f>
        <v/>
      </c>
      <c r="J1487" s="5">
        <f>IF(OR(H1487=1,I1487=1),0,IF(G1487="Credit",-F1487,F1487))</f>
        <v/>
      </c>
    </row>
    <row r="1488">
      <c r="A1488" t="inlineStr">
        <is>
          <t>2026-07-16</t>
        </is>
      </c>
      <c r="B1488" t="inlineStr">
        <is>
          <t>F267038</t>
        </is>
      </c>
      <c r="C1488" t="inlineStr">
        <is>
          <t>C10371</t>
        </is>
      </c>
      <c r="D1488" t="inlineStr">
        <is>
          <t>SKU-10330</t>
        </is>
      </c>
      <c r="E1488" t="inlineStr">
        <is>
          <t>AM02</t>
        </is>
      </c>
      <c r="F1488" s="5" t="n">
        <v>961.86</v>
      </c>
      <c r="G1488">
        <f>IF(LEFT(B1488,1)="C","Credit","Factuur")</f>
        <v/>
      </c>
      <c r="H1488">
        <f>IF(AND(B1488=B1487,D1488=D1487,A1488=A1487,F1488=F1487),1,0)</f>
        <v/>
      </c>
      <c r="I1488">
        <f>IF(C1488="C99999",1,0)</f>
        <v/>
      </c>
      <c r="J1488" s="5">
        <f>IF(OR(H1488=1,I1488=1),0,IF(G1488="Credit",-F1488,F1488))</f>
        <v/>
      </c>
    </row>
    <row r="1489">
      <c r="A1489" t="inlineStr">
        <is>
          <t>2026-07-16</t>
        </is>
      </c>
      <c r="B1489" t="inlineStr">
        <is>
          <t>F268800</t>
        </is>
      </c>
      <c r="C1489" t="inlineStr">
        <is>
          <t>C10458</t>
        </is>
      </c>
      <c r="D1489" t="inlineStr">
        <is>
          <t>SKU-10123</t>
        </is>
      </c>
      <c r="E1489" t="inlineStr">
        <is>
          <t>AM06</t>
        </is>
      </c>
      <c r="F1489" s="5" t="n">
        <v>2343.6</v>
      </c>
      <c r="G1489">
        <f>IF(LEFT(B1489,1)="C","Credit","Factuur")</f>
        <v/>
      </c>
      <c r="H1489">
        <f>IF(AND(B1489=B1488,D1489=D1488,A1489=A1488,F1489=F1488),1,0)</f>
        <v/>
      </c>
      <c r="I1489">
        <f>IF(C1489="C99999",1,0)</f>
        <v/>
      </c>
      <c r="J1489" s="5">
        <f>IF(OR(H1489=1,I1489=1),0,IF(G1489="Credit",-F1489,F1489))</f>
        <v/>
      </c>
    </row>
    <row r="1490">
      <c r="A1490" t="inlineStr">
        <is>
          <t>2026-07-16</t>
        </is>
      </c>
      <c r="B1490" t="inlineStr">
        <is>
          <t>F268800</t>
        </is>
      </c>
      <c r="C1490" t="inlineStr">
        <is>
          <t>C10458</t>
        </is>
      </c>
      <c r="D1490" t="inlineStr">
        <is>
          <t>SKU-10204</t>
        </is>
      </c>
      <c r="E1490" t="inlineStr">
        <is>
          <t>AM06</t>
        </is>
      </c>
      <c r="F1490" s="5" t="n">
        <v>2343.25</v>
      </c>
      <c r="G1490">
        <f>IF(LEFT(B1490,1)="C","Credit","Factuur")</f>
        <v/>
      </c>
      <c r="H1490">
        <f>IF(AND(B1490=B1489,D1490=D1489,A1490=A1489,F1490=F1489),1,0)</f>
        <v/>
      </c>
      <c r="I1490">
        <f>IF(C1490="C99999",1,0)</f>
        <v/>
      </c>
      <c r="J1490" s="5">
        <f>IF(OR(H1490=1,I1490=1),0,IF(G1490="Credit",-F1490,F1490))</f>
        <v/>
      </c>
    </row>
    <row r="1491">
      <c r="A1491" t="inlineStr">
        <is>
          <t>2026-07-16</t>
        </is>
      </c>
      <c r="B1491" t="inlineStr">
        <is>
          <t>F269867</t>
        </is>
      </c>
      <c r="C1491" t="inlineStr">
        <is>
          <t>C10520</t>
        </is>
      </c>
      <c r="D1491" t="inlineStr">
        <is>
          <t>SKU-10157</t>
        </is>
      </c>
      <c r="E1491" t="inlineStr">
        <is>
          <t>AM12</t>
        </is>
      </c>
      <c r="F1491" s="5" t="n">
        <v>2868.47</v>
      </c>
      <c r="G1491">
        <f>IF(LEFT(B1491,1)="C","Credit","Factuur")</f>
        <v/>
      </c>
      <c r="H1491">
        <f>IF(AND(B1491=B1490,D1491=D1490,A1491=A1490,F1491=F1490),1,0)</f>
        <v/>
      </c>
      <c r="I1491">
        <f>IF(C1491="C99999",1,0)</f>
        <v/>
      </c>
      <c r="J1491" s="5">
        <f>IF(OR(H1491=1,I1491=1),0,IF(G1491="Credit",-F1491,F1491))</f>
        <v/>
      </c>
    </row>
    <row r="1492">
      <c r="A1492" t="inlineStr">
        <is>
          <t>2026-07-16</t>
        </is>
      </c>
      <c r="B1492" t="inlineStr">
        <is>
          <t>F269867</t>
        </is>
      </c>
      <c r="C1492" t="inlineStr">
        <is>
          <t>C10520</t>
        </is>
      </c>
      <c r="D1492" t="inlineStr">
        <is>
          <t>SKU-10164</t>
        </is>
      </c>
      <c r="E1492" t="inlineStr">
        <is>
          <t>AM12</t>
        </is>
      </c>
      <c r="F1492" s="5" t="n">
        <v>3027.03</v>
      </c>
      <c r="G1492">
        <f>IF(LEFT(B1492,1)="C","Credit","Factuur")</f>
        <v/>
      </c>
      <c r="H1492">
        <f>IF(AND(B1492=B1491,D1492=D1491,A1492=A1491,F1492=F1491),1,0)</f>
        <v/>
      </c>
      <c r="I1492">
        <f>IF(C1492="C99999",1,0)</f>
        <v/>
      </c>
      <c r="J1492" s="5">
        <f>IF(OR(H1492=1,I1492=1),0,IF(G1492="Credit",-F1492,F1492))</f>
        <v/>
      </c>
    </row>
    <row r="1493">
      <c r="A1493" t="inlineStr">
        <is>
          <t>2026-07-16</t>
        </is>
      </c>
      <c r="B1493" t="inlineStr">
        <is>
          <t>F271028</t>
        </is>
      </c>
      <c r="C1493" t="inlineStr">
        <is>
          <t>C10575</t>
        </is>
      </c>
      <c r="D1493" t="inlineStr">
        <is>
          <t>SKU-10068</t>
        </is>
      </c>
      <c r="E1493" t="inlineStr">
        <is>
          <t>AM02</t>
        </is>
      </c>
      <c r="F1493" s="5" t="n">
        <v>206.91</v>
      </c>
      <c r="G1493">
        <f>IF(LEFT(B1493,1)="C","Credit","Factuur")</f>
        <v/>
      </c>
      <c r="H1493">
        <f>IF(AND(B1493=B1492,D1493=D1492,A1493=A1492,F1493=F1492),1,0)</f>
        <v/>
      </c>
      <c r="I1493">
        <f>IF(C1493="C99999",1,0)</f>
        <v/>
      </c>
      <c r="J1493" s="5">
        <f>IF(OR(H1493=1,I1493=1),0,IF(G1493="Credit",-F1493,F1493))</f>
        <v/>
      </c>
    </row>
    <row r="1494">
      <c r="A1494" t="inlineStr">
        <is>
          <t>2026-07-16</t>
        </is>
      </c>
      <c r="B1494" t="inlineStr">
        <is>
          <t>F271028</t>
        </is>
      </c>
      <c r="C1494" t="inlineStr">
        <is>
          <t>C10575</t>
        </is>
      </c>
      <c r="D1494" t="inlineStr">
        <is>
          <t>SKU-10284</t>
        </is>
      </c>
      <c r="E1494" t="inlineStr">
        <is>
          <t>AM02</t>
        </is>
      </c>
      <c r="F1494" s="5" t="n">
        <v>204.36</v>
      </c>
      <c r="G1494">
        <f>IF(LEFT(B1494,1)="C","Credit","Factuur")</f>
        <v/>
      </c>
      <c r="H1494">
        <f>IF(AND(B1494=B1493,D1494=D1493,A1494=A1493,F1494=F1493),1,0)</f>
        <v/>
      </c>
      <c r="I1494">
        <f>IF(C1494="C99999",1,0)</f>
        <v/>
      </c>
      <c r="J1494" s="5">
        <f>IF(OR(H1494=1,I1494=1),0,IF(G1494="Credit",-F1494,F1494))</f>
        <v/>
      </c>
    </row>
    <row r="1495">
      <c r="A1495" t="inlineStr">
        <is>
          <t>2026-07-16</t>
        </is>
      </c>
      <c r="B1495" t="inlineStr">
        <is>
          <t>F271028</t>
        </is>
      </c>
      <c r="C1495" t="inlineStr">
        <is>
          <t>C10575</t>
        </is>
      </c>
      <c r="D1495" t="inlineStr">
        <is>
          <t>SKU-10313</t>
        </is>
      </c>
      <c r="E1495" t="inlineStr">
        <is>
          <t>AM02</t>
        </is>
      </c>
      <c r="F1495" s="5" t="n">
        <v>208.5</v>
      </c>
      <c r="G1495">
        <f>IF(LEFT(B1495,1)="C","Credit","Factuur")</f>
        <v/>
      </c>
      <c r="H1495">
        <f>IF(AND(B1495=B1494,D1495=D1494,A1495=A1494,F1495=F1494),1,0)</f>
        <v/>
      </c>
      <c r="I1495">
        <f>IF(C1495="C99999",1,0)</f>
        <v/>
      </c>
      <c r="J1495" s="5">
        <f>IF(OR(H1495=1,I1495=1),0,IF(G1495="Credit",-F1495,F1495))</f>
        <v/>
      </c>
    </row>
    <row r="1496">
      <c r="A1496" t="inlineStr">
        <is>
          <t>2026-07-16</t>
        </is>
      </c>
      <c r="B1496" t="inlineStr">
        <is>
          <t>F271028</t>
        </is>
      </c>
      <c r="C1496" t="inlineStr">
        <is>
          <t>C10575</t>
        </is>
      </c>
      <c r="D1496" t="inlineStr">
        <is>
          <t>SKU-10320</t>
        </is>
      </c>
      <c r="E1496" t="inlineStr">
        <is>
          <t>AM02</t>
        </is>
      </c>
      <c r="F1496" s="5" t="n">
        <v>198.99</v>
      </c>
      <c r="G1496">
        <f>IF(LEFT(B1496,1)="C","Credit","Factuur")</f>
        <v/>
      </c>
      <c r="H1496">
        <f>IF(AND(B1496=B1495,D1496=D1495,A1496=A1495,F1496=F1495),1,0)</f>
        <v/>
      </c>
      <c r="I1496">
        <f>IF(C1496="C99999",1,0)</f>
        <v/>
      </c>
      <c r="J1496" s="5">
        <f>IF(OR(H1496=1,I1496=1),0,IF(G1496="Credit",-F1496,F1496))</f>
        <v/>
      </c>
    </row>
    <row r="1497">
      <c r="A1497" t="inlineStr">
        <is>
          <t>2026-07-16</t>
        </is>
      </c>
      <c r="B1497" t="inlineStr">
        <is>
          <t>F272510</t>
        </is>
      </c>
      <c r="C1497" t="inlineStr">
        <is>
          <t>C10648</t>
        </is>
      </c>
      <c r="D1497" t="inlineStr">
        <is>
          <t>SKU-10118</t>
        </is>
      </c>
      <c r="E1497" t="inlineStr">
        <is>
          <t>AM02</t>
        </is>
      </c>
      <c r="F1497" s="5" t="n">
        <v>760.3200000000001</v>
      </c>
      <c r="G1497">
        <f>IF(LEFT(B1497,1)="C","Credit","Factuur")</f>
        <v/>
      </c>
      <c r="H1497">
        <f>IF(AND(B1497=B1496,D1497=D1496,A1497=A1496,F1497=F1496),1,0)</f>
        <v/>
      </c>
      <c r="I1497">
        <f>IF(C1497="C99999",1,0)</f>
        <v/>
      </c>
      <c r="J1497" s="5">
        <f>IF(OR(H1497=1,I1497=1),0,IF(G1497="Credit",-F1497,F1497))</f>
        <v/>
      </c>
    </row>
    <row r="1498">
      <c r="A1498" t="inlineStr">
        <is>
          <t>2026-07-16</t>
        </is>
      </c>
      <c r="B1498" t="inlineStr">
        <is>
          <t>F272510</t>
        </is>
      </c>
      <c r="C1498" t="inlineStr">
        <is>
          <t>C10648</t>
        </is>
      </c>
      <c r="D1498" t="inlineStr">
        <is>
          <t>SKU-10151</t>
        </is>
      </c>
      <c r="E1498" t="inlineStr">
        <is>
          <t>AM02</t>
        </is>
      </c>
      <c r="F1498" s="5" t="n">
        <v>739.33</v>
      </c>
      <c r="G1498">
        <f>IF(LEFT(B1498,1)="C","Credit","Factuur")</f>
        <v/>
      </c>
      <c r="H1498">
        <f>IF(AND(B1498=B1497,D1498=D1497,A1498=A1497,F1498=F1497),1,0)</f>
        <v/>
      </c>
      <c r="I1498">
        <f>IF(C1498="C99999",1,0)</f>
        <v/>
      </c>
      <c r="J1498" s="5">
        <f>IF(OR(H1498=1,I1498=1),0,IF(G1498="Credit",-F1498,F1498))</f>
        <v/>
      </c>
    </row>
    <row r="1499">
      <c r="A1499" t="inlineStr">
        <is>
          <t>2026-07-16</t>
        </is>
      </c>
      <c r="B1499" t="inlineStr">
        <is>
          <t>F272510</t>
        </is>
      </c>
      <c r="C1499" t="inlineStr">
        <is>
          <t>C10648</t>
        </is>
      </c>
      <c r="D1499" t="inlineStr">
        <is>
          <t>SKU-10333</t>
        </is>
      </c>
      <c r="E1499" t="inlineStr">
        <is>
          <t>AM02</t>
        </is>
      </c>
      <c r="F1499" s="5" t="n">
        <v>713.84</v>
      </c>
      <c r="G1499">
        <f>IF(LEFT(B1499,1)="C","Credit","Factuur")</f>
        <v/>
      </c>
      <c r="H1499">
        <f>IF(AND(B1499=B1498,D1499=D1498,A1499=A1498,F1499=F1498),1,0)</f>
        <v/>
      </c>
      <c r="I1499">
        <f>IF(C1499="C99999",1,0)</f>
        <v/>
      </c>
      <c r="J1499" s="5">
        <f>IF(OR(H1499=1,I1499=1),0,IF(G1499="Credit",-F1499,F1499))</f>
        <v/>
      </c>
    </row>
    <row r="1500">
      <c r="A1500" t="inlineStr">
        <is>
          <t>2026-07-16</t>
        </is>
      </c>
      <c r="B1500" t="inlineStr">
        <is>
          <t>F272953</t>
        </is>
      </c>
      <c r="C1500" t="inlineStr">
        <is>
          <t>C10674</t>
        </is>
      </c>
      <c r="D1500" t="inlineStr">
        <is>
          <t>SKU-10073</t>
        </is>
      </c>
      <c r="E1500" t="inlineStr">
        <is>
          <t>AM05</t>
        </is>
      </c>
      <c r="F1500" s="5" t="n">
        <v>627.4400000000001</v>
      </c>
      <c r="G1500">
        <f>IF(LEFT(B1500,1)="C","Credit","Factuur")</f>
        <v/>
      </c>
      <c r="H1500">
        <f>IF(AND(B1500=B1499,D1500=D1499,A1500=A1499,F1500=F1499),1,0)</f>
        <v/>
      </c>
      <c r="I1500">
        <f>IF(C1500="C99999",1,0)</f>
        <v/>
      </c>
      <c r="J1500" s="5">
        <f>IF(OR(H1500=1,I1500=1),0,IF(G1500="Credit",-F1500,F1500))</f>
        <v/>
      </c>
    </row>
    <row r="1501">
      <c r="A1501" t="inlineStr">
        <is>
          <t>2026-07-16</t>
        </is>
      </c>
      <c r="B1501" t="inlineStr">
        <is>
          <t>F272953</t>
        </is>
      </c>
      <c r="C1501" t="inlineStr">
        <is>
          <t>C10674</t>
        </is>
      </c>
      <c r="D1501" t="inlineStr">
        <is>
          <t>SKU-10101</t>
        </is>
      </c>
      <c r="E1501" t="inlineStr">
        <is>
          <t>AM05</t>
        </is>
      </c>
      <c r="F1501" s="5" t="n">
        <v>593.8</v>
      </c>
      <c r="G1501">
        <f>IF(LEFT(B1501,1)="C","Credit","Factuur")</f>
        <v/>
      </c>
      <c r="H1501">
        <f>IF(AND(B1501=B1500,D1501=D1500,A1501=A1500,F1501=F1500),1,0)</f>
        <v/>
      </c>
      <c r="I1501">
        <f>IF(C1501="C99999",1,0)</f>
        <v/>
      </c>
      <c r="J1501" s="5">
        <f>IF(OR(H1501=1,I1501=1),0,IF(G1501="Credit",-F1501,F1501))</f>
        <v/>
      </c>
    </row>
    <row r="1502">
      <c r="A1502" t="inlineStr">
        <is>
          <t>2026-07-16</t>
        </is>
      </c>
      <c r="B1502" t="inlineStr">
        <is>
          <t>F273247</t>
        </is>
      </c>
      <c r="C1502" t="inlineStr">
        <is>
          <t>C10692</t>
        </is>
      </c>
      <c r="D1502" t="inlineStr">
        <is>
          <t>SKU-10036</t>
        </is>
      </c>
      <c r="E1502" t="inlineStr">
        <is>
          <t>AM09</t>
        </is>
      </c>
      <c r="F1502" s="5" t="n">
        <v>12134.16</v>
      </c>
      <c r="G1502">
        <f>IF(LEFT(B1502,1)="C","Credit","Factuur")</f>
        <v/>
      </c>
      <c r="H1502">
        <f>IF(AND(B1502=B1501,D1502=D1501,A1502=A1501,F1502=F1501),1,0)</f>
        <v/>
      </c>
      <c r="I1502">
        <f>IF(C1502="C99999",1,0)</f>
        <v/>
      </c>
      <c r="J1502" s="5">
        <f>IF(OR(H1502=1,I1502=1),0,IF(G1502="Credit",-F1502,F1502))</f>
        <v/>
      </c>
    </row>
    <row r="1503">
      <c r="A1503" t="inlineStr">
        <is>
          <t>2026-07-16</t>
        </is>
      </c>
      <c r="B1503" t="inlineStr">
        <is>
          <t>F273247</t>
        </is>
      </c>
      <c r="C1503" t="inlineStr">
        <is>
          <t>C10692</t>
        </is>
      </c>
      <c r="D1503" t="inlineStr">
        <is>
          <t>SKU-10293</t>
        </is>
      </c>
      <c r="E1503" t="inlineStr">
        <is>
          <t>AM09</t>
        </is>
      </c>
      <c r="F1503" s="5" t="n">
        <v>12767.92</v>
      </c>
      <c r="G1503">
        <f>IF(LEFT(B1503,1)="C","Credit","Factuur")</f>
        <v/>
      </c>
      <c r="H1503">
        <f>IF(AND(B1503=B1502,D1503=D1502,A1503=A1502,F1503=F1502),1,0)</f>
        <v/>
      </c>
      <c r="I1503">
        <f>IF(C1503="C99999",1,0)</f>
        <v/>
      </c>
      <c r="J1503" s="5">
        <f>IF(OR(H1503=1,I1503=1),0,IF(G1503="Credit",-F1503,F1503))</f>
        <v/>
      </c>
    </row>
    <row r="1504">
      <c r="A1504" t="inlineStr">
        <is>
          <t>2026-07-16</t>
        </is>
      </c>
      <c r="B1504" t="inlineStr">
        <is>
          <t>F273467</t>
        </is>
      </c>
      <c r="C1504" t="inlineStr">
        <is>
          <t>C10704</t>
        </is>
      </c>
      <c r="D1504" t="inlineStr">
        <is>
          <t>SKU-10002</t>
        </is>
      </c>
      <c r="E1504" t="inlineStr">
        <is>
          <t>AM03</t>
        </is>
      </c>
      <c r="F1504" s="5" t="n">
        <v>745.8099999999999</v>
      </c>
      <c r="G1504">
        <f>IF(LEFT(B1504,1)="C","Credit","Factuur")</f>
        <v/>
      </c>
      <c r="H1504">
        <f>IF(AND(B1504=B1503,D1504=D1503,A1504=A1503,F1504=F1503),1,0)</f>
        <v/>
      </c>
      <c r="I1504">
        <f>IF(C1504="C99999",1,0)</f>
        <v/>
      </c>
      <c r="J1504" s="5">
        <f>IF(OR(H1504=1,I1504=1),0,IF(G1504="Credit",-F1504,F1504))</f>
        <v/>
      </c>
    </row>
    <row r="1505">
      <c r="A1505" t="inlineStr">
        <is>
          <t>2026-07-16</t>
        </is>
      </c>
      <c r="B1505" t="inlineStr">
        <is>
          <t>F273467</t>
        </is>
      </c>
      <c r="C1505" t="inlineStr">
        <is>
          <t>C10704</t>
        </is>
      </c>
      <c r="D1505" t="inlineStr">
        <is>
          <t>SKU-10149</t>
        </is>
      </c>
      <c r="E1505" t="inlineStr">
        <is>
          <t>AM03</t>
        </is>
      </c>
      <c r="F1505" s="5" t="n">
        <v>798.38</v>
      </c>
      <c r="G1505">
        <f>IF(LEFT(B1505,1)="C","Credit","Factuur")</f>
        <v/>
      </c>
      <c r="H1505">
        <f>IF(AND(B1505=B1504,D1505=D1504,A1505=A1504,F1505=F1504),1,0)</f>
        <v/>
      </c>
      <c r="I1505">
        <f>IF(C1505="C99999",1,0)</f>
        <v/>
      </c>
      <c r="J1505" s="5">
        <f>IF(OR(H1505=1,I1505=1),0,IF(G1505="Credit",-F1505,F1505))</f>
        <v/>
      </c>
    </row>
    <row r="1506">
      <c r="A1506" t="inlineStr">
        <is>
          <t>2026-07-16</t>
        </is>
      </c>
      <c r="B1506" t="inlineStr">
        <is>
          <t>F273623</t>
        </is>
      </c>
      <c r="C1506" t="inlineStr">
        <is>
          <t>C10714</t>
        </is>
      </c>
      <c r="D1506" t="inlineStr">
        <is>
          <t>SKU-10034</t>
        </is>
      </c>
      <c r="E1506" t="inlineStr">
        <is>
          <t>AM05</t>
        </is>
      </c>
      <c r="F1506" s="5" t="n">
        <v>232.15</v>
      </c>
      <c r="G1506">
        <f>IF(LEFT(B1506,1)="C","Credit","Factuur")</f>
        <v/>
      </c>
      <c r="H1506">
        <f>IF(AND(B1506=B1505,D1506=D1505,A1506=A1505,F1506=F1505),1,0)</f>
        <v/>
      </c>
      <c r="I1506">
        <f>IF(C1506="C99999",1,0)</f>
        <v/>
      </c>
      <c r="J1506" s="5">
        <f>IF(OR(H1506=1,I1506=1),0,IF(G1506="Credit",-F1506,F1506))</f>
        <v/>
      </c>
    </row>
    <row r="1507">
      <c r="A1507" t="inlineStr">
        <is>
          <t>2026-07-16</t>
        </is>
      </c>
      <c r="B1507" t="inlineStr">
        <is>
          <t>F273623</t>
        </is>
      </c>
      <c r="C1507" t="inlineStr">
        <is>
          <t>C10714</t>
        </is>
      </c>
      <c r="D1507" t="inlineStr">
        <is>
          <t>SKU-10087</t>
        </is>
      </c>
      <c r="E1507" t="inlineStr">
        <is>
          <t>AM05</t>
        </is>
      </c>
      <c r="F1507" s="5" t="n">
        <v>189.24</v>
      </c>
      <c r="G1507">
        <f>IF(LEFT(B1507,1)="C","Credit","Factuur")</f>
        <v/>
      </c>
      <c r="H1507">
        <f>IF(AND(B1507=B1506,D1507=D1506,A1507=A1506,F1507=F1506),1,0)</f>
        <v/>
      </c>
      <c r="I1507">
        <f>IF(C1507="C99999",1,0)</f>
        <v/>
      </c>
      <c r="J1507" s="5">
        <f>IF(OR(H1507=1,I1507=1),0,IF(G1507="Credit",-F1507,F1507))</f>
        <v/>
      </c>
    </row>
    <row r="1508">
      <c r="A1508" t="inlineStr">
        <is>
          <t>2026-07-16</t>
        </is>
      </c>
      <c r="B1508" t="inlineStr">
        <is>
          <t>F273623</t>
        </is>
      </c>
      <c r="C1508" t="inlineStr">
        <is>
          <t>C10714</t>
        </is>
      </c>
      <c r="D1508" t="inlineStr">
        <is>
          <t>SKU-10209</t>
        </is>
      </c>
      <c r="E1508" t="inlineStr"/>
      <c r="F1508" s="5" t="n">
        <v>193.34</v>
      </c>
      <c r="G1508">
        <f>IF(LEFT(B1508,1)="C","Credit","Factuur")</f>
        <v/>
      </c>
      <c r="H1508">
        <f>IF(AND(B1508=B1507,D1508=D1507,A1508=A1507,F1508=F1507),1,0)</f>
        <v/>
      </c>
      <c r="I1508">
        <f>IF(C1508="C99999",1,0)</f>
        <v/>
      </c>
      <c r="J1508" s="5">
        <f>IF(OR(H1508=1,I1508=1),0,IF(G1508="Credit",-F1508,F1508))</f>
        <v/>
      </c>
    </row>
    <row r="1509">
      <c r="A1509" t="inlineStr">
        <is>
          <t>2026-07-16</t>
        </is>
      </c>
      <c r="B1509" t="inlineStr">
        <is>
          <t>F274251</t>
        </is>
      </c>
      <c r="C1509" t="inlineStr">
        <is>
          <t>C10753</t>
        </is>
      </c>
      <c r="D1509" t="inlineStr">
        <is>
          <t>SKU-10089</t>
        </is>
      </c>
      <c r="E1509" t="inlineStr">
        <is>
          <t>AM05</t>
        </is>
      </c>
      <c r="F1509" s="5" t="n">
        <v>125.6</v>
      </c>
      <c r="G1509">
        <f>IF(LEFT(B1509,1)="C","Credit","Factuur")</f>
        <v/>
      </c>
      <c r="H1509">
        <f>IF(AND(B1509=B1508,D1509=D1508,A1509=A1508,F1509=F1508),1,0)</f>
        <v/>
      </c>
      <c r="I1509">
        <f>IF(C1509="C99999",1,0)</f>
        <v/>
      </c>
      <c r="J1509" s="5">
        <f>IF(OR(H1509=1,I1509=1),0,IF(G1509="Credit",-F1509,F1509))</f>
        <v/>
      </c>
    </row>
    <row r="1510">
      <c r="A1510" t="inlineStr">
        <is>
          <t>2026-07-16</t>
        </is>
      </c>
      <c r="B1510" t="inlineStr">
        <is>
          <t>F274251</t>
        </is>
      </c>
      <c r="C1510" t="inlineStr">
        <is>
          <t>C10753</t>
        </is>
      </c>
      <c r="D1510" t="inlineStr">
        <is>
          <t>SKU-10102</t>
        </is>
      </c>
      <c r="E1510" t="inlineStr">
        <is>
          <t>AM05</t>
        </is>
      </c>
      <c r="F1510" s="5" t="n">
        <v>172.48</v>
      </c>
      <c r="G1510">
        <f>IF(LEFT(B1510,1)="C","Credit","Factuur")</f>
        <v/>
      </c>
      <c r="H1510">
        <f>IF(AND(B1510=B1509,D1510=D1509,A1510=A1509,F1510=F1509),1,0)</f>
        <v/>
      </c>
      <c r="I1510">
        <f>IF(C1510="C99999",1,0)</f>
        <v/>
      </c>
      <c r="J1510" s="5">
        <f>IF(OR(H1510=1,I1510=1),0,IF(G1510="Credit",-F1510,F1510))</f>
        <v/>
      </c>
    </row>
    <row r="1511">
      <c r="A1511" t="inlineStr">
        <is>
          <t>2026-07-16</t>
        </is>
      </c>
      <c r="B1511" t="inlineStr">
        <is>
          <t>F274251</t>
        </is>
      </c>
      <c r="C1511" t="inlineStr">
        <is>
          <t>C10753</t>
        </is>
      </c>
      <c r="D1511" t="inlineStr">
        <is>
          <t>SKU-10170</t>
        </is>
      </c>
      <c r="E1511" t="inlineStr">
        <is>
          <t>AM05</t>
        </is>
      </c>
      <c r="F1511" s="5" t="n">
        <v>136.84</v>
      </c>
      <c r="G1511">
        <f>IF(LEFT(B1511,1)="C","Credit","Factuur")</f>
        <v/>
      </c>
      <c r="H1511">
        <f>IF(AND(B1511=B1510,D1511=D1510,A1511=A1510,F1511=F1510),1,0)</f>
        <v/>
      </c>
      <c r="I1511">
        <f>IF(C1511="C99999",1,0)</f>
        <v/>
      </c>
      <c r="J1511" s="5">
        <f>IF(OR(H1511=1,I1511=1),0,IF(G1511="Credit",-F1511,F1511))</f>
        <v/>
      </c>
    </row>
    <row r="1512">
      <c r="A1512" t="inlineStr">
        <is>
          <t>2026-07-16</t>
        </is>
      </c>
      <c r="B1512" t="inlineStr">
        <is>
          <t>F274251</t>
        </is>
      </c>
      <c r="C1512" t="inlineStr">
        <is>
          <t>C10753</t>
        </is>
      </c>
      <c r="D1512" t="inlineStr">
        <is>
          <t>SKU-10301</t>
        </is>
      </c>
      <c r="E1512" t="inlineStr">
        <is>
          <t>AM05</t>
        </is>
      </c>
      <c r="F1512" s="5" t="n">
        <v>144.5</v>
      </c>
      <c r="G1512">
        <f>IF(LEFT(B1512,1)="C","Credit","Factuur")</f>
        <v/>
      </c>
      <c r="H1512">
        <f>IF(AND(B1512=B1511,D1512=D1511,A1512=A1511,F1512=F1511),1,0)</f>
        <v/>
      </c>
      <c r="I1512">
        <f>IF(C1512="C99999",1,0)</f>
        <v/>
      </c>
      <c r="J1512" s="5">
        <f>IF(OR(H1512=1,I1512=1),0,IF(G1512="Credit",-F1512,F1512))</f>
        <v/>
      </c>
    </row>
    <row r="1513">
      <c r="A1513" t="inlineStr">
        <is>
          <t>2026-07-16</t>
        </is>
      </c>
      <c r="B1513" t="inlineStr">
        <is>
          <t>F274251</t>
        </is>
      </c>
      <c r="C1513" t="inlineStr">
        <is>
          <t>C10753</t>
        </is>
      </c>
      <c r="D1513" t="inlineStr">
        <is>
          <t>SKU-10325</t>
        </is>
      </c>
      <c r="E1513" t="inlineStr">
        <is>
          <t>AM05</t>
        </is>
      </c>
      <c r="F1513" s="5" t="n">
        <v>141.3</v>
      </c>
      <c r="G1513">
        <f>IF(LEFT(B1513,1)="C","Credit","Factuur")</f>
        <v/>
      </c>
      <c r="H1513">
        <f>IF(AND(B1513=B1512,D1513=D1512,A1513=A1512,F1513=F1512),1,0)</f>
        <v/>
      </c>
      <c r="I1513">
        <f>IF(C1513="C99999",1,0)</f>
        <v/>
      </c>
      <c r="J1513" s="5">
        <f>IF(OR(H1513=1,I1513=1),0,IF(G1513="Credit",-F1513,F1513))</f>
        <v/>
      </c>
    </row>
    <row r="1514">
      <c r="A1514" t="inlineStr">
        <is>
          <t>2026-07-16</t>
        </is>
      </c>
      <c r="B1514" t="inlineStr">
        <is>
          <t>F275143</t>
        </is>
      </c>
      <c r="C1514" t="inlineStr">
        <is>
          <t>C10798</t>
        </is>
      </c>
      <c r="D1514" t="inlineStr">
        <is>
          <t>SKU-10089</t>
        </is>
      </c>
      <c r="E1514" t="inlineStr">
        <is>
          <t>AM08</t>
        </is>
      </c>
      <c r="F1514" s="5" t="n">
        <v>78.5</v>
      </c>
      <c r="G1514">
        <f>IF(LEFT(B1514,1)="C","Credit","Factuur")</f>
        <v/>
      </c>
      <c r="H1514">
        <f>IF(AND(B1514=B1513,D1514=D1513,A1514=A1513,F1514=F1513),1,0)</f>
        <v/>
      </c>
      <c r="I1514">
        <f>IF(C1514="C99999",1,0)</f>
        <v/>
      </c>
      <c r="J1514" s="5">
        <f>IF(OR(H1514=1,I1514=1),0,IF(G1514="Credit",-F1514,F1514))</f>
        <v/>
      </c>
    </row>
    <row r="1515">
      <c r="A1515" t="inlineStr">
        <is>
          <t>2026-07-16</t>
        </is>
      </c>
      <c r="B1515" t="inlineStr">
        <is>
          <t>F275143</t>
        </is>
      </c>
      <c r="C1515" t="inlineStr">
        <is>
          <t>C10798</t>
        </is>
      </c>
      <c r="D1515" t="inlineStr">
        <is>
          <t>SKU-10151</t>
        </is>
      </c>
      <c r="E1515" t="inlineStr">
        <is>
          <t>AM08</t>
        </is>
      </c>
      <c r="F1515" s="5" t="n">
        <v>78.28</v>
      </c>
      <c r="G1515">
        <f>IF(LEFT(B1515,1)="C","Credit","Factuur")</f>
        <v/>
      </c>
      <c r="H1515">
        <f>IF(AND(B1515=B1514,D1515=D1514,A1515=A1514,F1515=F1514),1,0)</f>
        <v/>
      </c>
      <c r="I1515">
        <f>IF(C1515="C99999",1,0)</f>
        <v/>
      </c>
      <c r="J1515" s="5">
        <f>IF(OR(H1515=1,I1515=1),0,IF(G1515="Credit",-F1515,F1515))</f>
        <v/>
      </c>
    </row>
    <row r="1516">
      <c r="A1516" t="inlineStr">
        <is>
          <t>2026-07-16</t>
        </is>
      </c>
      <c r="B1516" t="inlineStr">
        <is>
          <t>F275143</t>
        </is>
      </c>
      <c r="C1516" t="inlineStr">
        <is>
          <t>C10798</t>
        </is>
      </c>
      <c r="D1516" t="inlineStr">
        <is>
          <t>SKU-10238</t>
        </is>
      </c>
      <c r="E1516" t="inlineStr">
        <is>
          <t>AM08</t>
        </is>
      </c>
      <c r="F1516" s="5" t="n">
        <v>70.88</v>
      </c>
      <c r="G1516">
        <f>IF(LEFT(B1516,1)="C","Credit","Factuur")</f>
        <v/>
      </c>
      <c r="H1516">
        <f>IF(AND(B1516=B1515,D1516=D1515,A1516=A1515,F1516=F1515),1,0)</f>
        <v/>
      </c>
      <c r="I1516">
        <f>IF(C1516="C99999",1,0)</f>
        <v/>
      </c>
      <c r="J1516" s="5">
        <f>IF(OR(H1516=1,I1516=1),0,IF(G1516="Credit",-F1516,F1516))</f>
        <v/>
      </c>
    </row>
    <row r="1517">
      <c r="A1517" t="inlineStr">
        <is>
          <t>2026-07-16</t>
        </is>
      </c>
      <c r="B1517" t="inlineStr">
        <is>
          <t>F275335</t>
        </is>
      </c>
      <c r="C1517" t="inlineStr">
        <is>
          <t>C10808</t>
        </is>
      </c>
      <c r="D1517" t="inlineStr">
        <is>
          <t>SKU-10057</t>
        </is>
      </c>
      <c r="E1517" t="inlineStr">
        <is>
          <t>AM11</t>
        </is>
      </c>
      <c r="F1517" s="5" t="n">
        <v>1620</v>
      </c>
      <c r="G1517">
        <f>IF(LEFT(B1517,1)="C","Credit","Factuur")</f>
        <v/>
      </c>
      <c r="H1517">
        <f>IF(AND(B1517=B1516,D1517=D1516,A1517=A1516,F1517=F1516),1,0)</f>
        <v/>
      </c>
      <c r="I1517">
        <f>IF(C1517="C99999",1,0)</f>
        <v/>
      </c>
      <c r="J1517" s="5">
        <f>IF(OR(H1517=1,I1517=1),0,IF(G1517="Credit",-F1517,F1517))</f>
        <v/>
      </c>
    </row>
    <row r="1518">
      <c r="A1518" t="inlineStr">
        <is>
          <t>2026-07-16</t>
        </is>
      </c>
      <c r="B1518" t="inlineStr">
        <is>
          <t>F275511</t>
        </is>
      </c>
      <c r="C1518" t="inlineStr">
        <is>
          <t>C10820</t>
        </is>
      </c>
      <c r="D1518" t="inlineStr">
        <is>
          <t>SKU-10007</t>
        </is>
      </c>
      <c r="E1518" t="inlineStr">
        <is>
          <t>AM02</t>
        </is>
      </c>
      <c r="F1518" s="5" t="n">
        <v>331.17</v>
      </c>
      <c r="G1518">
        <f>IF(LEFT(B1518,1)="C","Credit","Factuur")</f>
        <v/>
      </c>
      <c r="H1518">
        <f>IF(AND(B1518=B1517,D1518=D1517,A1518=A1517,F1518=F1517),1,0)</f>
        <v/>
      </c>
      <c r="I1518">
        <f>IF(C1518="C99999",1,0)</f>
        <v/>
      </c>
      <c r="J1518" s="5">
        <f>IF(OR(H1518=1,I1518=1),0,IF(G1518="Credit",-F1518,F1518))</f>
        <v/>
      </c>
    </row>
    <row r="1519">
      <c r="A1519" t="inlineStr">
        <is>
          <t>2026-07-16</t>
        </is>
      </c>
      <c r="B1519" t="inlineStr">
        <is>
          <t>F275511</t>
        </is>
      </c>
      <c r="C1519" t="inlineStr">
        <is>
          <t>C10820</t>
        </is>
      </c>
      <c r="D1519" t="inlineStr">
        <is>
          <t>SKU-10026</t>
        </is>
      </c>
      <c r="E1519" t="inlineStr">
        <is>
          <t>AM02</t>
        </is>
      </c>
      <c r="F1519" s="5" t="n">
        <v>329.44</v>
      </c>
      <c r="G1519">
        <f>IF(LEFT(B1519,1)="C","Credit","Factuur")</f>
        <v/>
      </c>
      <c r="H1519">
        <f>IF(AND(B1519=B1518,D1519=D1518,A1519=A1518,F1519=F1518),1,0)</f>
        <v/>
      </c>
      <c r="I1519">
        <f>IF(C1519="C99999",1,0)</f>
        <v/>
      </c>
      <c r="J1519" s="5">
        <f>IF(OR(H1519=1,I1519=1),0,IF(G1519="Credit",-F1519,F1519))</f>
        <v/>
      </c>
    </row>
    <row r="1520">
      <c r="A1520" t="inlineStr">
        <is>
          <t>2026-07-16</t>
        </is>
      </c>
      <c r="B1520" t="inlineStr">
        <is>
          <t>F275511</t>
        </is>
      </c>
      <c r="C1520" t="inlineStr">
        <is>
          <t>C10820</t>
        </is>
      </c>
      <c r="D1520" t="inlineStr">
        <is>
          <t>SKU-10147</t>
        </is>
      </c>
      <c r="E1520" t="inlineStr">
        <is>
          <t>AM02</t>
        </is>
      </c>
      <c r="F1520" s="5" t="n">
        <v>323.92</v>
      </c>
      <c r="G1520">
        <f>IF(LEFT(B1520,1)="C","Credit","Factuur")</f>
        <v/>
      </c>
      <c r="H1520">
        <f>IF(AND(B1520=B1519,D1520=D1519,A1520=A1519,F1520=F1519),1,0)</f>
        <v/>
      </c>
      <c r="I1520">
        <f>IF(C1520="C99999",1,0)</f>
        <v/>
      </c>
      <c r="J1520" s="5">
        <f>IF(OR(H1520=1,I1520=1),0,IF(G1520="Credit",-F1520,F1520))</f>
        <v/>
      </c>
    </row>
    <row r="1521">
      <c r="A1521" t="inlineStr">
        <is>
          <t>2026-07-16</t>
        </is>
      </c>
      <c r="B1521" t="inlineStr">
        <is>
          <t>F275511</t>
        </is>
      </c>
      <c r="C1521" t="inlineStr">
        <is>
          <t>C10820</t>
        </is>
      </c>
      <c r="D1521" t="inlineStr">
        <is>
          <t>SKU-10266</t>
        </is>
      </c>
      <c r="E1521" t="inlineStr">
        <is>
          <t>AM02</t>
        </is>
      </c>
      <c r="F1521" s="5" t="n">
        <v>306.09</v>
      </c>
      <c r="G1521">
        <f>IF(LEFT(B1521,1)="C","Credit","Factuur")</f>
        <v/>
      </c>
      <c r="H1521">
        <f>IF(AND(B1521=B1520,D1521=D1520,A1521=A1520,F1521=F1520),1,0)</f>
        <v/>
      </c>
      <c r="I1521">
        <f>IF(C1521="C99999",1,0)</f>
        <v/>
      </c>
      <c r="J1521" s="5">
        <f>IF(OR(H1521=1,I1521=1),0,IF(G1521="Credit",-F1521,F1521))</f>
        <v/>
      </c>
    </row>
    <row r="1522">
      <c r="A1522" t="inlineStr">
        <is>
          <t>2026-07-16</t>
        </is>
      </c>
      <c r="B1522" t="inlineStr">
        <is>
          <t>F278568</t>
        </is>
      </c>
      <c r="C1522" t="inlineStr">
        <is>
          <t>C10985</t>
        </is>
      </c>
      <c r="D1522" t="inlineStr">
        <is>
          <t>SKU-10019</t>
        </is>
      </c>
      <c r="E1522" t="inlineStr">
        <is>
          <t>AM12</t>
        </is>
      </c>
      <c r="F1522" s="5" t="n">
        <v>528.12</v>
      </c>
      <c r="G1522">
        <f>IF(LEFT(B1522,1)="C","Credit","Factuur")</f>
        <v/>
      </c>
      <c r="H1522">
        <f>IF(AND(B1522=B1521,D1522=D1521,A1522=A1521,F1522=F1521),1,0)</f>
        <v/>
      </c>
      <c r="I1522">
        <f>IF(C1522="C99999",1,0)</f>
        <v/>
      </c>
      <c r="J1522" s="5">
        <f>IF(OR(H1522=1,I1522=1),0,IF(G1522="Credit",-F1522,F1522))</f>
        <v/>
      </c>
    </row>
    <row r="1523">
      <c r="A1523" t="inlineStr">
        <is>
          <t>2026-07-16</t>
        </is>
      </c>
      <c r="B1523" t="inlineStr">
        <is>
          <t>F278762</t>
        </is>
      </c>
      <c r="C1523" t="inlineStr">
        <is>
          <t>C10995</t>
        </is>
      </c>
      <c r="D1523" t="inlineStr">
        <is>
          <t>SKU-10099</t>
        </is>
      </c>
      <c r="E1523" t="inlineStr">
        <is>
          <t>AM02</t>
        </is>
      </c>
      <c r="F1523" s="5" t="n">
        <v>582.4</v>
      </c>
      <c r="G1523">
        <f>IF(LEFT(B1523,1)="C","Credit","Factuur")</f>
        <v/>
      </c>
      <c r="H1523">
        <f>IF(AND(B1523=B1522,D1523=D1522,A1523=A1522,F1523=F1522),1,0)</f>
        <v/>
      </c>
      <c r="I1523">
        <f>IF(C1523="C99999",1,0)</f>
        <v/>
      </c>
      <c r="J1523" s="5">
        <f>IF(OR(H1523=1,I1523=1),0,IF(G1523="Credit",-F1523,F1523))</f>
        <v/>
      </c>
    </row>
    <row r="1524">
      <c r="A1524" t="inlineStr">
        <is>
          <t>2026-07-16</t>
        </is>
      </c>
      <c r="B1524" t="inlineStr">
        <is>
          <t>F278762</t>
        </is>
      </c>
      <c r="C1524" t="inlineStr">
        <is>
          <t>C10995</t>
        </is>
      </c>
      <c r="D1524" t="inlineStr">
        <is>
          <t>SKU-10111</t>
        </is>
      </c>
      <c r="E1524" t="inlineStr">
        <is>
          <t>AM02</t>
        </is>
      </c>
      <c r="F1524" s="5" t="n">
        <v>562.92</v>
      </c>
      <c r="G1524">
        <f>IF(LEFT(B1524,1)="C","Credit","Factuur")</f>
        <v/>
      </c>
      <c r="H1524">
        <f>IF(AND(B1524=B1523,D1524=D1523,A1524=A1523,F1524=F1523),1,0)</f>
        <v/>
      </c>
      <c r="I1524">
        <f>IF(C1524="C99999",1,0)</f>
        <v/>
      </c>
      <c r="J1524" s="5">
        <f>IF(OR(H1524=1,I1524=1),0,IF(G1524="Credit",-F1524,F1524))</f>
        <v/>
      </c>
    </row>
    <row r="1525">
      <c r="A1525" t="inlineStr">
        <is>
          <t>2026-07-16</t>
        </is>
      </c>
      <c r="B1525" t="inlineStr">
        <is>
          <t>F278762</t>
        </is>
      </c>
      <c r="C1525" t="inlineStr">
        <is>
          <t>C10995</t>
        </is>
      </c>
      <c r="D1525" t="inlineStr">
        <is>
          <t>SKU-10139</t>
        </is>
      </c>
      <c r="E1525" t="inlineStr">
        <is>
          <t>AM02</t>
        </is>
      </c>
      <c r="F1525" s="5" t="n">
        <v>563.52</v>
      </c>
      <c r="G1525">
        <f>IF(LEFT(B1525,1)="C","Credit","Factuur")</f>
        <v/>
      </c>
      <c r="H1525">
        <f>IF(AND(B1525=B1524,D1525=D1524,A1525=A1524,F1525=F1524),1,0)</f>
        <v/>
      </c>
      <c r="I1525">
        <f>IF(C1525="C99999",1,0)</f>
        <v/>
      </c>
      <c r="J1525" s="5">
        <f>IF(OR(H1525=1,I1525=1),0,IF(G1525="Credit",-F1525,F1525))</f>
        <v/>
      </c>
    </row>
    <row r="1526">
      <c r="A1526" t="inlineStr">
        <is>
          <t>2026-07-16</t>
        </is>
      </c>
      <c r="B1526" t="inlineStr">
        <is>
          <t>F278762</t>
        </is>
      </c>
      <c r="C1526" t="inlineStr">
        <is>
          <t>C10995</t>
        </is>
      </c>
      <c r="D1526" t="inlineStr">
        <is>
          <t>SKU-10189</t>
        </is>
      </c>
      <c r="E1526" t="inlineStr">
        <is>
          <t>AM02</t>
        </is>
      </c>
      <c r="F1526" s="5" t="n">
        <v>563.92</v>
      </c>
      <c r="G1526">
        <f>IF(LEFT(B1526,1)="C","Credit","Factuur")</f>
        <v/>
      </c>
      <c r="H1526">
        <f>IF(AND(B1526=B1525,D1526=D1525,A1526=A1525,F1526=F1525),1,0)</f>
        <v/>
      </c>
      <c r="I1526">
        <f>IF(C1526="C99999",1,0)</f>
        <v/>
      </c>
      <c r="J1526" s="5">
        <f>IF(OR(H1526=1,I1526=1),0,IF(G1526="Credit",-F1526,F1526))</f>
        <v/>
      </c>
    </row>
    <row r="1527">
      <c r="A1527" t="inlineStr">
        <is>
          <t>2026-07-16</t>
        </is>
      </c>
      <c r="B1527" t="inlineStr">
        <is>
          <t>F278762</t>
        </is>
      </c>
      <c r="C1527" t="inlineStr">
        <is>
          <t>C10995</t>
        </is>
      </c>
      <c r="D1527" t="inlineStr">
        <is>
          <t>SKU-10259</t>
        </is>
      </c>
      <c r="E1527" t="inlineStr">
        <is>
          <t>AM02</t>
        </is>
      </c>
      <c r="F1527" s="5" t="n">
        <v>566.64</v>
      </c>
      <c r="G1527">
        <f>IF(LEFT(B1527,1)="C","Credit","Factuur")</f>
        <v/>
      </c>
      <c r="H1527">
        <f>IF(AND(B1527=B1526,D1527=D1526,A1527=A1526,F1527=F1526),1,0)</f>
        <v/>
      </c>
      <c r="I1527">
        <f>IF(C1527="C99999",1,0)</f>
        <v/>
      </c>
      <c r="J1527" s="5">
        <f>IF(OR(H1527=1,I1527=1),0,IF(G1527="Credit",-F1527,F1527))</f>
        <v/>
      </c>
    </row>
    <row r="1528">
      <c r="A1528" t="inlineStr">
        <is>
          <t>2026-07-16</t>
        </is>
      </c>
      <c r="B1528" t="inlineStr">
        <is>
          <t>F278762</t>
        </is>
      </c>
      <c r="C1528" t="inlineStr">
        <is>
          <t>C10995</t>
        </is>
      </c>
      <c r="D1528" t="inlineStr">
        <is>
          <t>SKU-10268</t>
        </is>
      </c>
      <c r="E1528" t="inlineStr">
        <is>
          <t>AM02</t>
        </is>
      </c>
      <c r="F1528" s="5" t="n">
        <v>555.12</v>
      </c>
      <c r="G1528">
        <f>IF(LEFT(B1528,1)="C","Credit","Factuur")</f>
        <v/>
      </c>
      <c r="H1528">
        <f>IF(AND(B1528=B1527,D1528=D1527,A1528=A1527,F1528=F1527),1,0)</f>
        <v/>
      </c>
      <c r="I1528">
        <f>IF(C1528="C99999",1,0)</f>
        <v/>
      </c>
      <c r="J1528" s="5">
        <f>IF(OR(H1528=1,I1528=1),0,IF(G1528="Credit",-F1528,F1528))</f>
        <v/>
      </c>
    </row>
    <row r="1529">
      <c r="A1529" t="inlineStr">
        <is>
          <t>2026-07-16</t>
        </is>
      </c>
      <c r="B1529" t="inlineStr">
        <is>
          <t>F278980</t>
        </is>
      </c>
      <c r="C1529" t="inlineStr">
        <is>
          <t>C11005</t>
        </is>
      </c>
      <c r="D1529" t="inlineStr">
        <is>
          <t>SKU-10004</t>
        </is>
      </c>
      <c r="E1529" t="inlineStr">
        <is>
          <t>AM03</t>
        </is>
      </c>
      <c r="F1529" s="5" t="n">
        <v>282.06</v>
      </c>
      <c r="G1529">
        <f>IF(LEFT(B1529,1)="C","Credit","Factuur")</f>
        <v/>
      </c>
      <c r="H1529">
        <f>IF(AND(B1529=B1528,D1529=D1528,A1529=A1528,F1529=F1528),1,0)</f>
        <v/>
      </c>
      <c r="I1529">
        <f>IF(C1529="C99999",1,0)</f>
        <v/>
      </c>
      <c r="J1529" s="5">
        <f>IF(OR(H1529=1,I1529=1),0,IF(G1529="Credit",-F1529,F1529))</f>
        <v/>
      </c>
    </row>
    <row r="1530">
      <c r="A1530" t="inlineStr">
        <is>
          <t>2026-07-16</t>
        </is>
      </c>
      <c r="B1530" t="inlineStr">
        <is>
          <t>F278980</t>
        </is>
      </c>
      <c r="C1530" t="inlineStr">
        <is>
          <t>C11005</t>
        </is>
      </c>
      <c r="D1530" t="inlineStr">
        <is>
          <t>SKU-10100</t>
        </is>
      </c>
      <c r="E1530" t="inlineStr">
        <is>
          <t>AM03</t>
        </is>
      </c>
      <c r="F1530" s="5" t="n">
        <v>274.17</v>
      </c>
      <c r="G1530">
        <f>IF(LEFT(B1530,1)="C","Credit","Factuur")</f>
        <v/>
      </c>
      <c r="H1530">
        <f>IF(AND(B1530=B1529,D1530=D1529,A1530=A1529,F1530=F1529),1,0)</f>
        <v/>
      </c>
      <c r="I1530">
        <f>IF(C1530="C99999",1,0)</f>
        <v/>
      </c>
      <c r="J1530" s="5">
        <f>IF(OR(H1530=1,I1530=1),0,IF(G1530="Credit",-F1530,F1530))</f>
        <v/>
      </c>
    </row>
    <row r="1531">
      <c r="A1531" t="inlineStr">
        <is>
          <t>2026-07-16</t>
        </is>
      </c>
      <c r="B1531" t="inlineStr">
        <is>
          <t>F278980</t>
        </is>
      </c>
      <c r="C1531" t="inlineStr">
        <is>
          <t>C11005</t>
        </is>
      </c>
      <c r="D1531" t="inlineStr">
        <is>
          <t>SKU-10192</t>
        </is>
      </c>
      <c r="E1531" t="inlineStr">
        <is>
          <t>AM03</t>
        </is>
      </c>
      <c r="F1531" s="5" t="n">
        <v>283.2</v>
      </c>
      <c r="G1531">
        <f>IF(LEFT(B1531,1)="C","Credit","Factuur")</f>
        <v/>
      </c>
      <c r="H1531">
        <f>IF(AND(B1531=B1530,D1531=D1530,A1531=A1530,F1531=F1530),1,0)</f>
        <v/>
      </c>
      <c r="I1531">
        <f>IF(C1531="C99999",1,0)</f>
        <v/>
      </c>
      <c r="J1531" s="5">
        <f>IF(OR(H1531=1,I1531=1),0,IF(G1531="Credit",-F1531,F1531))</f>
        <v/>
      </c>
    </row>
    <row r="1532">
      <c r="A1532" t="inlineStr">
        <is>
          <t>2026-07-16</t>
        </is>
      </c>
      <c r="B1532" t="inlineStr">
        <is>
          <t>F278980</t>
        </is>
      </c>
      <c r="C1532" t="inlineStr">
        <is>
          <t>C11005</t>
        </is>
      </c>
      <c r="D1532" t="inlineStr">
        <is>
          <t>SKU-10332</t>
        </is>
      </c>
      <c r="E1532" t="inlineStr">
        <is>
          <t>AM03</t>
        </is>
      </c>
      <c r="F1532" s="5" t="n">
        <v>284.83</v>
      </c>
      <c r="G1532">
        <f>IF(LEFT(B1532,1)="C","Credit","Factuur")</f>
        <v/>
      </c>
      <c r="H1532">
        <f>IF(AND(B1532=B1531,D1532=D1531,A1532=A1531,F1532=F1531),1,0)</f>
        <v/>
      </c>
      <c r="I1532">
        <f>IF(C1532="C99999",1,0)</f>
        <v/>
      </c>
      <c r="J1532" s="5">
        <f>IF(OR(H1532=1,I1532=1),0,IF(G1532="Credit",-F1532,F1532))</f>
        <v/>
      </c>
    </row>
    <row r="1533">
      <c r="A1533" t="inlineStr">
        <is>
          <t>2026-07-16</t>
        </is>
      </c>
      <c r="B1533" t="inlineStr">
        <is>
          <t>F279793</t>
        </is>
      </c>
      <c r="C1533" t="inlineStr">
        <is>
          <t>C11049</t>
        </is>
      </c>
      <c r="D1533" t="inlineStr">
        <is>
          <t>SKU-10250</t>
        </is>
      </c>
      <c r="E1533" t="inlineStr">
        <is>
          <t>AM05</t>
        </is>
      </c>
      <c r="F1533" s="5" t="n">
        <v>818.75</v>
      </c>
      <c r="G1533">
        <f>IF(LEFT(B1533,1)="C","Credit","Factuur")</f>
        <v/>
      </c>
      <c r="H1533">
        <f>IF(AND(B1533=B1532,D1533=D1532,A1533=A1532,F1533=F1532),1,0)</f>
        <v/>
      </c>
      <c r="I1533">
        <f>IF(C1533="C99999",1,0)</f>
        <v/>
      </c>
      <c r="J1533" s="5">
        <f>IF(OR(H1533=1,I1533=1),0,IF(G1533="Credit",-F1533,F1533))</f>
        <v/>
      </c>
    </row>
    <row r="1534">
      <c r="A1534" t="inlineStr">
        <is>
          <t>2026-07-16</t>
        </is>
      </c>
      <c r="B1534" t="inlineStr">
        <is>
          <t>F279793</t>
        </is>
      </c>
      <c r="C1534" t="inlineStr">
        <is>
          <t>C11049</t>
        </is>
      </c>
      <c r="D1534" t="inlineStr">
        <is>
          <t>SKU-10262</t>
        </is>
      </c>
      <c r="E1534" t="inlineStr">
        <is>
          <t>AM05</t>
        </is>
      </c>
      <c r="F1534" s="5" t="n">
        <v>770.58</v>
      </c>
      <c r="G1534">
        <f>IF(LEFT(B1534,1)="C","Credit","Factuur")</f>
        <v/>
      </c>
      <c r="H1534">
        <f>IF(AND(B1534=B1533,D1534=D1533,A1534=A1533,F1534=F1533),1,0)</f>
        <v/>
      </c>
      <c r="I1534">
        <f>IF(C1534="C99999",1,0)</f>
        <v/>
      </c>
      <c r="J1534" s="5">
        <f>IF(OR(H1534=1,I1534=1),0,IF(G1534="Credit",-F1534,F1534))</f>
        <v/>
      </c>
    </row>
    <row r="1535">
      <c r="A1535" t="inlineStr">
        <is>
          <t>2026-07-16</t>
        </is>
      </c>
      <c r="B1535" t="inlineStr">
        <is>
          <t>F281246</t>
        </is>
      </c>
      <c r="C1535" t="inlineStr">
        <is>
          <t>C11120</t>
        </is>
      </c>
      <c r="D1535" t="inlineStr">
        <is>
          <t>SKU-10303</t>
        </is>
      </c>
      <c r="E1535" t="inlineStr">
        <is>
          <t>AM11</t>
        </is>
      </c>
      <c r="F1535" s="5" t="n">
        <v>184.9</v>
      </c>
      <c r="G1535">
        <f>IF(LEFT(B1535,1)="C","Credit","Factuur")</f>
        <v/>
      </c>
      <c r="H1535">
        <f>IF(AND(B1535=B1534,D1535=D1534,A1535=A1534,F1535=F1534),1,0)</f>
        <v/>
      </c>
      <c r="I1535">
        <f>IF(C1535="C99999",1,0)</f>
        <v/>
      </c>
      <c r="J1535" s="5">
        <f>IF(OR(H1535=1,I1535=1),0,IF(G1535="Credit",-F1535,F1535))</f>
        <v/>
      </c>
    </row>
    <row r="1536">
      <c r="A1536" t="inlineStr">
        <is>
          <t>2026-07-16</t>
        </is>
      </c>
      <c r="B1536" t="inlineStr">
        <is>
          <t>F281246</t>
        </is>
      </c>
      <c r="C1536" t="inlineStr">
        <is>
          <t>C11120</t>
        </is>
      </c>
      <c r="D1536" t="inlineStr">
        <is>
          <t>SKU-10325</t>
        </is>
      </c>
      <c r="E1536" t="inlineStr">
        <is>
          <t>AM11</t>
        </is>
      </c>
      <c r="F1536" s="5" t="n">
        <v>178.98</v>
      </c>
      <c r="G1536">
        <f>IF(LEFT(B1536,1)="C","Credit","Factuur")</f>
        <v/>
      </c>
      <c r="H1536">
        <f>IF(AND(B1536=B1535,D1536=D1535,A1536=A1535,F1536=F1535),1,0)</f>
        <v/>
      </c>
      <c r="I1536">
        <f>IF(C1536="C99999",1,0)</f>
        <v/>
      </c>
      <c r="J1536" s="5">
        <f>IF(OR(H1536=1,I1536=1),0,IF(G1536="Credit",-F1536,F1536))</f>
        <v/>
      </c>
    </row>
    <row r="1537">
      <c r="A1537" t="inlineStr">
        <is>
          <t>2026-07-16</t>
        </is>
      </c>
      <c r="B1537" t="inlineStr">
        <is>
          <t>F282142</t>
        </is>
      </c>
      <c r="C1537" t="inlineStr">
        <is>
          <t>C11163</t>
        </is>
      </c>
      <c r="D1537" t="inlineStr">
        <is>
          <t>SKU-10004</t>
        </is>
      </c>
      <c r="E1537" t="inlineStr">
        <is>
          <t>AM01</t>
        </is>
      </c>
      <c r="F1537" s="5" t="n">
        <v>47.01</v>
      </c>
      <c r="G1537">
        <f>IF(LEFT(B1537,1)="C","Credit","Factuur")</f>
        <v/>
      </c>
      <c r="H1537">
        <f>IF(AND(B1537=B1536,D1537=D1536,A1537=A1536,F1537=F1536),1,0)</f>
        <v/>
      </c>
      <c r="I1537">
        <f>IF(C1537="C99999",1,0)</f>
        <v/>
      </c>
      <c r="J1537" s="5">
        <f>IF(OR(H1537=1,I1537=1),0,IF(G1537="Credit",-F1537,F1537))</f>
        <v/>
      </c>
    </row>
    <row r="1538">
      <c r="A1538" t="inlineStr">
        <is>
          <t>2026-07-16</t>
        </is>
      </c>
      <c r="B1538" t="inlineStr">
        <is>
          <t>F282142</t>
        </is>
      </c>
      <c r="C1538" t="inlineStr">
        <is>
          <t>C11163</t>
        </is>
      </c>
      <c r="D1538" t="inlineStr">
        <is>
          <t>SKU-10093</t>
        </is>
      </c>
      <c r="E1538" t="inlineStr">
        <is>
          <t>AM01</t>
        </is>
      </c>
      <c r="F1538" s="5" t="n">
        <v>96.89</v>
      </c>
      <c r="G1538">
        <f>IF(LEFT(B1538,1)="C","Credit","Factuur")</f>
        <v/>
      </c>
      <c r="H1538">
        <f>IF(AND(B1538=B1537,D1538=D1537,A1538=A1537,F1538=F1537),1,0)</f>
        <v/>
      </c>
      <c r="I1538">
        <f>IF(C1538="C99999",1,0)</f>
        <v/>
      </c>
      <c r="J1538" s="5">
        <f>IF(OR(H1538=1,I1538=1),0,IF(G1538="Credit",-F1538,F1538))</f>
        <v/>
      </c>
    </row>
    <row r="1539">
      <c r="A1539" t="inlineStr">
        <is>
          <t>2026-07-16</t>
        </is>
      </c>
      <c r="B1539" t="inlineStr">
        <is>
          <t>F282142</t>
        </is>
      </c>
      <c r="C1539" t="inlineStr">
        <is>
          <t>C11163</t>
        </is>
      </c>
      <c r="D1539" t="inlineStr">
        <is>
          <t>SKU-10116</t>
        </is>
      </c>
      <c r="E1539" t="inlineStr">
        <is>
          <t>AM01</t>
        </is>
      </c>
      <c r="F1539" s="5" t="n">
        <v>65.09999999999999</v>
      </c>
      <c r="G1539">
        <f>IF(LEFT(B1539,1)="C","Credit","Factuur")</f>
        <v/>
      </c>
      <c r="H1539">
        <f>IF(AND(B1539=B1538,D1539=D1538,A1539=A1538,F1539=F1538),1,0)</f>
        <v/>
      </c>
      <c r="I1539">
        <f>IF(C1539="C99999",1,0)</f>
        <v/>
      </c>
      <c r="J1539" s="5">
        <f>IF(OR(H1539=1,I1539=1),0,IF(G1539="Credit",-F1539,F1539))</f>
        <v/>
      </c>
    </row>
    <row r="1540">
      <c r="A1540" t="inlineStr">
        <is>
          <t>2026-07-16</t>
        </is>
      </c>
      <c r="B1540" t="inlineStr">
        <is>
          <t>F282142</t>
        </is>
      </c>
      <c r="C1540" t="inlineStr">
        <is>
          <t>C11163</t>
        </is>
      </c>
      <c r="D1540" t="inlineStr">
        <is>
          <t>SKU-10299</t>
        </is>
      </c>
      <c r="E1540" t="inlineStr">
        <is>
          <t>AM01</t>
        </is>
      </c>
      <c r="F1540" s="5" t="n">
        <v>37.64</v>
      </c>
      <c r="G1540">
        <f>IF(LEFT(B1540,1)="C","Credit","Factuur")</f>
        <v/>
      </c>
      <c r="H1540">
        <f>IF(AND(B1540=B1539,D1540=D1539,A1540=A1539,F1540=F1539),1,0)</f>
        <v/>
      </c>
      <c r="I1540">
        <f>IF(C1540="C99999",1,0)</f>
        <v/>
      </c>
      <c r="J1540" s="5">
        <f>IF(OR(H1540=1,I1540=1),0,IF(G1540="Credit",-F1540,F1540))</f>
        <v/>
      </c>
    </row>
    <row r="1541">
      <c r="A1541" t="inlineStr">
        <is>
          <t>2026-07-16</t>
        </is>
      </c>
      <c r="B1541" t="inlineStr">
        <is>
          <t>F282418</t>
        </is>
      </c>
      <c r="C1541" t="inlineStr">
        <is>
          <t>C11176</t>
        </is>
      </c>
      <c r="D1541" t="inlineStr">
        <is>
          <t>SKU-10045</t>
        </is>
      </c>
      <c r="E1541" t="inlineStr">
        <is>
          <t>AM03</t>
        </is>
      </c>
      <c r="F1541" s="5" t="n">
        <v>817.11</v>
      </c>
      <c r="G1541">
        <f>IF(LEFT(B1541,1)="C","Credit","Factuur")</f>
        <v/>
      </c>
      <c r="H1541">
        <f>IF(AND(B1541=B1540,D1541=D1540,A1541=A1540,F1541=F1540),1,0)</f>
        <v/>
      </c>
      <c r="I1541">
        <f>IF(C1541="C99999",1,0)</f>
        <v/>
      </c>
      <c r="J1541" s="5">
        <f>IF(OR(H1541=1,I1541=1),0,IF(G1541="Credit",-F1541,F1541))</f>
        <v/>
      </c>
    </row>
    <row r="1542">
      <c r="A1542" t="inlineStr">
        <is>
          <t>2026-07-16</t>
        </is>
      </c>
      <c r="B1542" t="inlineStr">
        <is>
          <t>F282418</t>
        </is>
      </c>
      <c r="C1542" t="inlineStr">
        <is>
          <t>C11176</t>
        </is>
      </c>
      <c r="D1542" t="inlineStr">
        <is>
          <t>SKU-10130</t>
        </is>
      </c>
      <c r="E1542" t="inlineStr">
        <is>
          <t>AM03</t>
        </is>
      </c>
      <c r="F1542" s="5" t="n">
        <v>807.6799999999999</v>
      </c>
      <c r="G1542">
        <f>IF(LEFT(B1542,1)="C","Credit","Factuur")</f>
        <v/>
      </c>
      <c r="H1542">
        <f>IF(AND(B1542=B1541,D1542=D1541,A1542=A1541,F1542=F1541),1,0)</f>
        <v/>
      </c>
      <c r="I1542">
        <f>IF(C1542="C99999",1,0)</f>
        <v/>
      </c>
      <c r="J1542" s="5">
        <f>IF(OR(H1542=1,I1542=1),0,IF(G1542="Credit",-F1542,F1542))</f>
        <v/>
      </c>
    </row>
    <row r="1543">
      <c r="A1543" t="inlineStr">
        <is>
          <t>2026-07-16</t>
        </is>
      </c>
      <c r="B1543" t="inlineStr">
        <is>
          <t>F283558</t>
        </is>
      </c>
      <c r="C1543" t="inlineStr">
        <is>
          <t>C11236</t>
        </is>
      </c>
      <c r="D1543" t="inlineStr">
        <is>
          <t>SKU-10140</t>
        </is>
      </c>
      <c r="E1543" t="inlineStr">
        <is>
          <t>AM01</t>
        </is>
      </c>
      <c r="F1543" s="5" t="n">
        <v>104.92</v>
      </c>
      <c r="G1543">
        <f>IF(LEFT(B1543,1)="C","Credit","Factuur")</f>
        <v/>
      </c>
      <c r="H1543">
        <f>IF(AND(B1543=B1542,D1543=D1542,A1543=A1542,F1543=F1542),1,0)</f>
        <v/>
      </c>
      <c r="I1543">
        <f>IF(C1543="C99999",1,0)</f>
        <v/>
      </c>
      <c r="J1543" s="5">
        <f>IF(OR(H1543=1,I1543=1),0,IF(G1543="Credit",-F1543,F1543))</f>
        <v/>
      </c>
    </row>
    <row r="1544">
      <c r="A1544" t="inlineStr">
        <is>
          <t>2026-07-16</t>
        </is>
      </c>
      <c r="B1544" t="inlineStr">
        <is>
          <t>F283558</t>
        </is>
      </c>
      <c r="C1544" t="inlineStr">
        <is>
          <t>C11236</t>
        </is>
      </c>
      <c r="D1544" t="inlineStr">
        <is>
          <t>SKU-10278</t>
        </is>
      </c>
      <c r="E1544" t="inlineStr">
        <is>
          <t>AM01</t>
        </is>
      </c>
      <c r="F1544" s="5" t="n">
        <v>126.12</v>
      </c>
      <c r="G1544">
        <f>IF(LEFT(B1544,1)="C","Credit","Factuur")</f>
        <v/>
      </c>
      <c r="H1544">
        <f>IF(AND(B1544=B1543,D1544=D1543,A1544=A1543,F1544=F1543),1,0)</f>
        <v/>
      </c>
      <c r="I1544">
        <f>IF(C1544="C99999",1,0)</f>
        <v/>
      </c>
      <c r="J1544" s="5">
        <f>IF(OR(H1544=1,I1544=1),0,IF(G1544="Credit",-F1544,F1544))</f>
        <v/>
      </c>
    </row>
    <row r="1545">
      <c r="A1545" t="inlineStr">
        <is>
          <t>2026-07-16</t>
        </is>
      </c>
      <c r="B1545" t="inlineStr">
        <is>
          <t>F284020</t>
        </is>
      </c>
      <c r="C1545" t="inlineStr">
        <is>
          <t>C11256</t>
        </is>
      </c>
      <c r="D1545" t="inlineStr">
        <is>
          <t>SKU-10054</t>
        </is>
      </c>
      <c r="E1545" t="inlineStr">
        <is>
          <t>AM08</t>
        </is>
      </c>
      <c r="F1545" s="5" t="n">
        <v>905.7</v>
      </c>
      <c r="G1545">
        <f>IF(LEFT(B1545,1)="C","Credit","Factuur")</f>
        <v/>
      </c>
      <c r="H1545">
        <f>IF(AND(B1545=B1544,D1545=D1544,A1545=A1544,F1545=F1544),1,0)</f>
        <v/>
      </c>
      <c r="I1545">
        <f>IF(C1545="C99999",1,0)</f>
        <v/>
      </c>
      <c r="J1545" s="5">
        <f>IF(OR(H1545=1,I1545=1),0,IF(G1545="Credit",-F1545,F1545))</f>
        <v/>
      </c>
    </row>
    <row r="1546">
      <c r="A1546" t="inlineStr">
        <is>
          <t>2026-07-16</t>
        </is>
      </c>
      <c r="B1546" t="inlineStr">
        <is>
          <t>F284020</t>
        </is>
      </c>
      <c r="C1546" t="inlineStr">
        <is>
          <t>C11256</t>
        </is>
      </c>
      <c r="D1546" t="inlineStr">
        <is>
          <t>SKU-10328</t>
        </is>
      </c>
      <c r="E1546" t="inlineStr">
        <is>
          <t>AM08</t>
        </is>
      </c>
      <c r="F1546" s="5" t="n">
        <v>815.36</v>
      </c>
      <c r="G1546">
        <f>IF(LEFT(B1546,1)="C","Credit","Factuur")</f>
        <v/>
      </c>
      <c r="H1546">
        <f>IF(AND(B1546=B1545,D1546=D1545,A1546=A1545,F1546=F1545),1,0)</f>
        <v/>
      </c>
      <c r="I1546">
        <f>IF(C1546="C99999",1,0)</f>
        <v/>
      </c>
      <c r="J1546" s="5">
        <f>IF(OR(H1546=1,I1546=1),0,IF(G1546="Credit",-F1546,F1546))</f>
        <v/>
      </c>
    </row>
    <row r="1547">
      <c r="A1547" t="inlineStr">
        <is>
          <t>2026-07-16</t>
        </is>
      </c>
      <c r="B1547" t="inlineStr">
        <is>
          <t>F284020</t>
        </is>
      </c>
      <c r="C1547" t="inlineStr">
        <is>
          <t>C11256</t>
        </is>
      </c>
      <c r="D1547" t="inlineStr">
        <is>
          <t>SKU-10341</t>
        </is>
      </c>
      <c r="E1547" t="inlineStr">
        <is>
          <t>AM08</t>
        </is>
      </c>
      <c r="F1547" s="5" t="n">
        <v>925.52</v>
      </c>
      <c r="G1547">
        <f>IF(LEFT(B1547,1)="C","Credit","Factuur")</f>
        <v/>
      </c>
      <c r="H1547">
        <f>IF(AND(B1547=B1546,D1547=D1546,A1547=A1546,F1547=F1546),1,0)</f>
        <v/>
      </c>
      <c r="I1547">
        <f>IF(C1547="C99999",1,0)</f>
        <v/>
      </c>
      <c r="J1547" s="5">
        <f>IF(OR(H1547=1,I1547=1),0,IF(G1547="Credit",-F1547,F1547))</f>
        <v/>
      </c>
    </row>
    <row r="1548">
      <c r="A1548" t="inlineStr">
        <is>
          <t>2026-07-16</t>
        </is>
      </c>
      <c r="B1548" t="inlineStr">
        <is>
          <t>F284172</t>
        </is>
      </c>
      <c r="C1548" t="inlineStr">
        <is>
          <t>C11264</t>
        </is>
      </c>
      <c r="D1548" t="inlineStr">
        <is>
          <t>SKU-10191</t>
        </is>
      </c>
      <c r="E1548" t="inlineStr">
        <is>
          <t>AM01</t>
        </is>
      </c>
      <c r="F1548" s="5" t="n">
        <v>1268.37</v>
      </c>
      <c r="G1548">
        <f>IF(LEFT(B1548,1)="C","Credit","Factuur")</f>
        <v/>
      </c>
      <c r="H1548">
        <f>IF(AND(B1548=B1547,D1548=D1547,A1548=A1547,F1548=F1547),1,0)</f>
        <v/>
      </c>
      <c r="I1548">
        <f>IF(C1548="C99999",1,0)</f>
        <v/>
      </c>
      <c r="J1548" s="5">
        <f>IF(OR(H1548=1,I1548=1),0,IF(G1548="Credit",-F1548,F1548))</f>
        <v/>
      </c>
    </row>
    <row r="1549">
      <c r="A1549" t="inlineStr">
        <is>
          <t>2026-07-16</t>
        </is>
      </c>
      <c r="B1549" t="inlineStr">
        <is>
          <t>F284172</t>
        </is>
      </c>
      <c r="C1549" t="inlineStr">
        <is>
          <t>C11264</t>
        </is>
      </c>
      <c r="D1549" t="inlineStr">
        <is>
          <t>SKU-10333</t>
        </is>
      </c>
      <c r="E1549" t="inlineStr">
        <is>
          <t>AM01</t>
        </is>
      </c>
      <c r="F1549" s="5" t="n">
        <v>1263.24</v>
      </c>
      <c r="G1549">
        <f>IF(LEFT(B1549,1)="C","Credit","Factuur")</f>
        <v/>
      </c>
      <c r="H1549">
        <f>IF(AND(B1549=B1548,D1549=D1548,A1549=A1548,F1549=F1548),1,0)</f>
        <v/>
      </c>
      <c r="I1549">
        <f>IF(C1549="C99999",1,0)</f>
        <v/>
      </c>
      <c r="J1549" s="5">
        <f>IF(OR(H1549=1,I1549=1),0,IF(G1549="Credit",-F1549,F1549))</f>
        <v/>
      </c>
    </row>
    <row r="1550">
      <c r="A1550" t="inlineStr">
        <is>
          <t>2026-07-16</t>
        </is>
      </c>
      <c r="B1550" t="inlineStr">
        <is>
          <t>F284180</t>
        </is>
      </c>
      <c r="C1550" t="inlineStr">
        <is>
          <t>C11264</t>
        </is>
      </c>
      <c r="D1550" t="inlineStr">
        <is>
          <t>SKU-10138</t>
        </is>
      </c>
      <c r="E1550" t="inlineStr">
        <is>
          <t>AM01</t>
        </is>
      </c>
      <c r="F1550" s="5" t="n">
        <v>509.8</v>
      </c>
      <c r="G1550">
        <f>IF(LEFT(B1550,1)="C","Credit","Factuur")</f>
        <v/>
      </c>
      <c r="H1550">
        <f>IF(AND(B1550=B1549,D1550=D1549,A1550=A1549,F1550=F1549),1,0)</f>
        <v/>
      </c>
      <c r="I1550">
        <f>IF(C1550="C99999",1,0)</f>
        <v/>
      </c>
      <c r="J1550" s="5">
        <f>IF(OR(H1550=1,I1550=1),0,IF(G1550="Credit",-F1550,F1550))</f>
        <v/>
      </c>
    </row>
    <row r="1551">
      <c r="A1551" t="inlineStr">
        <is>
          <t>2026-07-16</t>
        </is>
      </c>
      <c r="B1551" t="inlineStr">
        <is>
          <t>F284180</t>
        </is>
      </c>
      <c r="C1551" t="inlineStr">
        <is>
          <t>C11264</t>
        </is>
      </c>
      <c r="D1551" t="inlineStr">
        <is>
          <t>SKU-10186</t>
        </is>
      </c>
      <c r="E1551" t="inlineStr">
        <is>
          <t>AM01</t>
        </is>
      </c>
      <c r="F1551" s="5" t="n">
        <v>481.95</v>
      </c>
      <c r="G1551">
        <f>IF(LEFT(B1551,1)="C","Credit","Factuur")</f>
        <v/>
      </c>
      <c r="H1551">
        <f>IF(AND(B1551=B1550,D1551=D1550,A1551=A1550,F1551=F1550),1,0)</f>
        <v/>
      </c>
      <c r="I1551">
        <f>IF(C1551="C99999",1,0)</f>
        <v/>
      </c>
      <c r="J1551" s="5">
        <f>IF(OR(H1551=1,I1551=1),0,IF(G1551="Credit",-F1551,F1551))</f>
        <v/>
      </c>
    </row>
    <row r="1552">
      <c r="A1552" t="inlineStr">
        <is>
          <t>2026-07-16</t>
        </is>
      </c>
      <c r="B1552" t="inlineStr">
        <is>
          <t>F284180</t>
        </is>
      </c>
      <c r="C1552" t="inlineStr">
        <is>
          <t>C11264</t>
        </is>
      </c>
      <c r="D1552" t="inlineStr">
        <is>
          <t>SKU-10325</t>
        </is>
      </c>
      <c r="E1552" t="inlineStr">
        <is>
          <t>AM01</t>
        </is>
      </c>
      <c r="F1552" s="5" t="n">
        <v>471</v>
      </c>
      <c r="G1552">
        <f>IF(LEFT(B1552,1)="C","Credit","Factuur")</f>
        <v/>
      </c>
      <c r="H1552">
        <f>IF(AND(B1552=B1551,D1552=D1551,A1552=A1551,F1552=F1551),1,0)</f>
        <v/>
      </c>
      <c r="I1552">
        <f>IF(C1552="C99999",1,0)</f>
        <v/>
      </c>
      <c r="J1552" s="5">
        <f>IF(OR(H1552=1,I1552=1),0,IF(G1552="Credit",-F1552,F1552))</f>
        <v/>
      </c>
    </row>
    <row r="1553">
      <c r="A1553" t="inlineStr">
        <is>
          <t>2026-07-16</t>
        </is>
      </c>
      <c r="B1553" t="inlineStr">
        <is>
          <t>F284180</t>
        </is>
      </c>
      <c r="C1553" t="inlineStr">
        <is>
          <t>C11264</t>
        </is>
      </c>
      <c r="D1553" t="inlineStr">
        <is>
          <t>SKU-10351</t>
        </is>
      </c>
      <c r="E1553" t="inlineStr">
        <is>
          <t>AM01</t>
        </is>
      </c>
      <c r="F1553" s="5" t="n">
        <v>636.89</v>
      </c>
      <c r="G1553">
        <f>IF(LEFT(B1553,1)="C","Credit","Factuur")</f>
        <v/>
      </c>
      <c r="H1553">
        <f>IF(AND(B1553=B1552,D1553=D1552,A1553=A1552,F1553=F1552),1,0)</f>
        <v/>
      </c>
      <c r="I1553">
        <f>IF(C1553="C99999",1,0)</f>
        <v/>
      </c>
      <c r="J1553" s="5">
        <f>IF(OR(H1553=1,I1553=1),0,IF(G1553="Credit",-F1553,F1553))</f>
        <v/>
      </c>
    </row>
    <row r="1554">
      <c r="A1554" t="inlineStr">
        <is>
          <t>2026-07-16</t>
        </is>
      </c>
      <c r="B1554" t="inlineStr">
        <is>
          <t>F284815</t>
        </is>
      </c>
      <c r="C1554" t="inlineStr">
        <is>
          <t>C11299</t>
        </is>
      </c>
      <c r="D1554" t="inlineStr">
        <is>
          <t>SKU-10181</t>
        </is>
      </c>
      <c r="E1554" t="inlineStr">
        <is>
          <t>AM07</t>
        </is>
      </c>
      <c r="F1554" s="5" t="n">
        <v>913.96</v>
      </c>
      <c r="G1554">
        <f>IF(LEFT(B1554,1)="C","Credit","Factuur")</f>
        <v/>
      </c>
      <c r="H1554">
        <f>IF(AND(B1554=B1553,D1554=D1553,A1554=A1553,F1554=F1553),1,0)</f>
        <v/>
      </c>
      <c r="I1554">
        <f>IF(C1554="C99999",1,0)</f>
        <v/>
      </c>
      <c r="J1554" s="5">
        <f>IF(OR(H1554=1,I1554=1),0,IF(G1554="Credit",-F1554,F1554))</f>
        <v/>
      </c>
    </row>
    <row r="1555">
      <c r="A1555" t="inlineStr">
        <is>
          <t>2026-07-16</t>
        </is>
      </c>
      <c r="B1555" t="inlineStr">
        <is>
          <t>F284815</t>
        </is>
      </c>
      <c r="C1555" t="inlineStr">
        <is>
          <t>C11299</t>
        </is>
      </c>
      <c r="D1555" t="inlineStr">
        <is>
          <t>SKU-10191</t>
        </is>
      </c>
      <c r="E1555" t="inlineStr">
        <is>
          <t>AM07</t>
        </is>
      </c>
      <c r="F1555" s="5" t="n">
        <v>969.9299999999999</v>
      </c>
      <c r="G1555">
        <f>IF(LEFT(B1555,1)="C","Credit","Factuur")</f>
        <v/>
      </c>
      <c r="H1555">
        <f>IF(AND(B1555=B1554,D1555=D1554,A1555=A1554,F1555=F1554),1,0)</f>
        <v/>
      </c>
      <c r="I1555">
        <f>IF(C1555="C99999",1,0)</f>
        <v/>
      </c>
      <c r="J1555" s="5">
        <f>IF(OR(H1555=1,I1555=1),0,IF(G1555="Credit",-F1555,F1555))</f>
        <v/>
      </c>
    </row>
    <row r="1556">
      <c r="A1556" t="inlineStr">
        <is>
          <t>2026-07-16</t>
        </is>
      </c>
      <c r="B1556" t="inlineStr">
        <is>
          <t>F284815</t>
        </is>
      </c>
      <c r="C1556" t="inlineStr">
        <is>
          <t>C11299</t>
        </is>
      </c>
      <c r="D1556" t="inlineStr">
        <is>
          <t>SKU-10314</t>
        </is>
      </c>
      <c r="E1556" t="inlineStr">
        <is>
          <t>AM07</t>
        </is>
      </c>
      <c r="F1556" s="5" t="n">
        <v>964.3200000000001</v>
      </c>
      <c r="G1556">
        <f>IF(LEFT(B1556,1)="C","Credit","Factuur")</f>
        <v/>
      </c>
      <c r="H1556">
        <f>IF(AND(B1556=B1555,D1556=D1555,A1556=A1555,F1556=F1555),1,0)</f>
        <v/>
      </c>
      <c r="I1556">
        <f>IF(C1556="C99999",1,0)</f>
        <v/>
      </c>
      <c r="J1556" s="5">
        <f>IF(OR(H1556=1,I1556=1),0,IF(G1556="Credit",-F1556,F1556))</f>
        <v/>
      </c>
    </row>
    <row r="1557">
      <c r="A1557" t="inlineStr">
        <is>
          <t>2026-07-16</t>
        </is>
      </c>
      <c r="B1557" t="inlineStr">
        <is>
          <t>F285901</t>
        </is>
      </c>
      <c r="C1557" t="inlineStr">
        <is>
          <t>C11356</t>
        </is>
      </c>
      <c r="D1557" t="inlineStr">
        <is>
          <t>SKU-10102</t>
        </is>
      </c>
      <c r="E1557" t="inlineStr">
        <is>
          <t>AM05</t>
        </is>
      </c>
      <c r="F1557" s="5" t="n">
        <v>603.6799999999999</v>
      </c>
      <c r="G1557">
        <f>IF(LEFT(B1557,1)="C","Credit","Factuur")</f>
        <v/>
      </c>
      <c r="H1557">
        <f>IF(AND(B1557=B1556,D1557=D1556,A1557=A1556,F1557=F1556),1,0)</f>
        <v/>
      </c>
      <c r="I1557">
        <f>IF(C1557="C99999",1,0)</f>
        <v/>
      </c>
      <c r="J1557" s="5">
        <f>IF(OR(H1557=1,I1557=1),0,IF(G1557="Credit",-F1557,F1557))</f>
        <v/>
      </c>
    </row>
    <row r="1558">
      <c r="A1558" t="inlineStr">
        <is>
          <t>2026-07-16</t>
        </is>
      </c>
      <c r="B1558" t="inlineStr">
        <is>
          <t>F285901</t>
        </is>
      </c>
      <c r="C1558" t="inlineStr">
        <is>
          <t>C11356</t>
        </is>
      </c>
      <c r="D1558" t="inlineStr">
        <is>
          <t>SKU-10114</t>
        </is>
      </c>
      <c r="E1558" t="inlineStr">
        <is>
          <t>AM05</t>
        </is>
      </c>
      <c r="F1558" s="5" t="n">
        <v>610.58</v>
      </c>
      <c r="G1558">
        <f>IF(LEFT(B1558,1)="C","Credit","Factuur")</f>
        <v/>
      </c>
      <c r="H1558">
        <f>IF(AND(B1558=B1557,D1558=D1557,A1558=A1557,F1558=F1557),1,0)</f>
        <v/>
      </c>
      <c r="I1558">
        <f>IF(C1558="C99999",1,0)</f>
        <v/>
      </c>
      <c r="J1558" s="5">
        <f>IF(OR(H1558=1,I1558=1),0,IF(G1558="Credit",-F1558,F1558))</f>
        <v/>
      </c>
    </row>
    <row r="1559">
      <c r="A1559" t="inlineStr">
        <is>
          <t>2026-07-16</t>
        </is>
      </c>
      <c r="B1559" t="inlineStr">
        <is>
          <t>F286282</t>
        </is>
      </c>
      <c r="C1559" t="inlineStr">
        <is>
          <t>C11374</t>
        </is>
      </c>
      <c r="D1559" t="inlineStr">
        <is>
          <t>SKU-10170</t>
        </is>
      </c>
      <c r="E1559" t="inlineStr">
        <is>
          <t>AM09</t>
        </is>
      </c>
      <c r="F1559" s="5" t="n">
        <v>957.88</v>
      </c>
      <c r="G1559">
        <f>IF(LEFT(B1559,1)="C","Credit","Factuur")</f>
        <v/>
      </c>
      <c r="H1559">
        <f>IF(AND(B1559=B1558,D1559=D1558,A1559=A1558,F1559=F1558),1,0)</f>
        <v/>
      </c>
      <c r="I1559">
        <f>IF(C1559="C99999",1,0)</f>
        <v/>
      </c>
      <c r="J1559" s="5">
        <f>IF(OR(H1559=1,I1559=1),0,IF(G1559="Credit",-F1559,F1559))</f>
        <v/>
      </c>
    </row>
    <row r="1560">
      <c r="A1560" t="inlineStr">
        <is>
          <t>2026-07-16</t>
        </is>
      </c>
      <c r="B1560" t="inlineStr">
        <is>
          <t>F286282</t>
        </is>
      </c>
      <c r="C1560" t="inlineStr">
        <is>
          <t>C11374</t>
        </is>
      </c>
      <c r="D1560" t="inlineStr">
        <is>
          <t>SKU-10276</t>
        </is>
      </c>
      <c r="E1560" t="inlineStr">
        <is>
          <t>AM09</t>
        </is>
      </c>
      <c r="F1560" s="5" t="n">
        <v>864.86</v>
      </c>
      <c r="G1560">
        <f>IF(LEFT(B1560,1)="C","Credit","Factuur")</f>
        <v/>
      </c>
      <c r="H1560">
        <f>IF(AND(B1560=B1559,D1560=D1559,A1560=A1559,F1560=F1559),1,0)</f>
        <v/>
      </c>
      <c r="I1560">
        <f>IF(C1560="C99999",1,0)</f>
        <v/>
      </c>
      <c r="J1560" s="5">
        <f>IF(OR(H1560=1,I1560=1),0,IF(G1560="Credit",-F1560,F1560))</f>
        <v/>
      </c>
    </row>
    <row r="1561">
      <c r="A1561" t="inlineStr">
        <is>
          <t>2026-07-16</t>
        </is>
      </c>
      <c r="B1561" t="inlineStr">
        <is>
          <t>F286282</t>
        </is>
      </c>
      <c r="C1561" t="inlineStr">
        <is>
          <t>C11374</t>
        </is>
      </c>
      <c r="D1561" t="inlineStr">
        <is>
          <t>SKU-10310</t>
        </is>
      </c>
      <c r="E1561" t="inlineStr">
        <is>
          <t>AM09</t>
        </is>
      </c>
      <c r="F1561" s="5" t="n">
        <v>962.77</v>
      </c>
      <c r="G1561">
        <f>IF(LEFT(B1561,1)="C","Credit","Factuur")</f>
        <v/>
      </c>
      <c r="H1561">
        <f>IF(AND(B1561=B1560,D1561=D1560,A1561=A1560,F1561=F1560),1,0)</f>
        <v/>
      </c>
      <c r="I1561">
        <f>IF(C1561="C99999",1,0)</f>
        <v/>
      </c>
      <c r="J1561" s="5">
        <f>IF(OR(H1561=1,I1561=1),0,IF(G1561="Credit",-F1561,F1561))</f>
        <v/>
      </c>
    </row>
    <row r="1562">
      <c r="A1562" t="inlineStr">
        <is>
          <t>2026-07-17</t>
        </is>
      </c>
      <c r="B1562" t="inlineStr">
        <is>
          <t>C900466</t>
        </is>
      </c>
      <c r="C1562" t="inlineStr">
        <is>
          <t>C10054</t>
        </is>
      </c>
      <c r="D1562" t="inlineStr">
        <is>
          <t>SKU-10051</t>
        </is>
      </c>
      <c r="E1562" t="inlineStr">
        <is>
          <t>AM01</t>
        </is>
      </c>
      <c r="F1562" s="5" t="n">
        <v>292.3</v>
      </c>
      <c r="G1562">
        <f>IF(LEFT(B1562,1)="C","Credit","Factuur")</f>
        <v/>
      </c>
      <c r="H1562">
        <f>IF(AND(B1562=B1561,D1562=D1561,A1562=A1561,F1562=F1561),1,0)</f>
        <v/>
      </c>
      <c r="I1562">
        <f>IF(C1562="C99999",1,0)</f>
        <v/>
      </c>
      <c r="J1562" s="5">
        <f>IF(OR(H1562=1,I1562=1),0,IF(G1562="Credit",-F1562,F1562))</f>
        <v/>
      </c>
    </row>
    <row r="1563">
      <c r="A1563" t="inlineStr">
        <is>
          <t>2026-07-17</t>
        </is>
      </c>
      <c r="B1563" t="inlineStr">
        <is>
          <t>C901297</t>
        </is>
      </c>
      <c r="C1563" t="inlineStr">
        <is>
          <t>C10265</t>
        </is>
      </c>
      <c r="D1563" t="inlineStr">
        <is>
          <t>SKU-10267</t>
        </is>
      </c>
      <c r="E1563" t="inlineStr">
        <is>
          <t>AM01</t>
        </is>
      </c>
      <c r="F1563" s="5" t="n">
        <v>399.06</v>
      </c>
      <c r="G1563">
        <f>IF(LEFT(B1563,1)="C","Credit","Factuur")</f>
        <v/>
      </c>
      <c r="H1563">
        <f>IF(AND(B1563=B1562,D1563=D1562,A1563=A1562,F1563=F1562),1,0)</f>
        <v/>
      </c>
      <c r="I1563">
        <f>IF(C1563="C99999",1,0)</f>
        <v/>
      </c>
      <c r="J1563" s="5">
        <f>IF(OR(H1563=1,I1563=1),0,IF(G1563="Credit",-F1563,F1563))</f>
        <v/>
      </c>
    </row>
    <row r="1564">
      <c r="A1564" t="inlineStr">
        <is>
          <t>2026-07-17</t>
        </is>
      </c>
      <c r="B1564" t="inlineStr">
        <is>
          <t>C901746</t>
        </is>
      </c>
      <c r="C1564" t="inlineStr">
        <is>
          <t>C10616</t>
        </is>
      </c>
      <c r="D1564" t="inlineStr">
        <is>
          <t>SKU-10054</t>
        </is>
      </c>
      <c r="E1564" t="inlineStr">
        <is>
          <t>AM07</t>
        </is>
      </c>
      <c r="F1564" s="5" t="n">
        <v>845.3200000000001</v>
      </c>
      <c r="G1564">
        <f>IF(LEFT(B1564,1)="C","Credit","Factuur")</f>
        <v/>
      </c>
      <c r="H1564">
        <f>IF(AND(B1564=B1563,D1564=D1563,A1564=A1563,F1564=F1563),1,0)</f>
        <v/>
      </c>
      <c r="I1564">
        <f>IF(C1564="C99999",1,0)</f>
        <v/>
      </c>
      <c r="J1564" s="5">
        <f>IF(OR(H1564=1,I1564=1),0,IF(G1564="Credit",-F1564,F1564))</f>
        <v/>
      </c>
    </row>
    <row r="1565">
      <c r="A1565" t="inlineStr">
        <is>
          <t>2026-07-17</t>
        </is>
      </c>
      <c r="B1565" t="inlineStr">
        <is>
          <t>F260089</t>
        </is>
      </c>
      <c r="C1565" t="inlineStr">
        <is>
          <t>C10005</t>
        </is>
      </c>
      <c r="D1565" t="inlineStr">
        <is>
          <t>SKU-10007</t>
        </is>
      </c>
      <c r="E1565" t="inlineStr">
        <is>
          <t>AM01</t>
        </is>
      </c>
      <c r="F1565" s="5" t="n">
        <v>119.85</v>
      </c>
      <c r="G1565">
        <f>IF(LEFT(B1565,1)="C","Credit","Factuur")</f>
        <v/>
      </c>
      <c r="H1565">
        <f>IF(AND(B1565=B1564,D1565=D1564,A1565=A1564,F1565=F1564),1,0)</f>
        <v/>
      </c>
      <c r="I1565">
        <f>IF(C1565="C99999",1,0)</f>
        <v/>
      </c>
      <c r="J1565" s="5">
        <f>IF(OR(H1565=1,I1565=1),0,IF(G1565="Credit",-F1565,F1565))</f>
        <v/>
      </c>
    </row>
    <row r="1566">
      <c r="A1566" t="inlineStr">
        <is>
          <t>2026-07-17</t>
        </is>
      </c>
      <c r="B1566" t="inlineStr">
        <is>
          <t>F260089</t>
        </is>
      </c>
      <c r="C1566" t="inlineStr">
        <is>
          <t>C10005</t>
        </is>
      </c>
      <c r="D1566" t="inlineStr">
        <is>
          <t>SKU-10072</t>
        </is>
      </c>
      <c r="E1566" t="inlineStr">
        <is>
          <t>AM01</t>
        </is>
      </c>
      <c r="F1566" s="5" t="n">
        <v>156.69</v>
      </c>
      <c r="G1566">
        <f>IF(LEFT(B1566,1)="C","Credit","Factuur")</f>
        <v/>
      </c>
      <c r="H1566">
        <f>IF(AND(B1566=B1565,D1566=D1565,A1566=A1565,F1566=F1565),1,0)</f>
        <v/>
      </c>
      <c r="I1566">
        <f>IF(C1566="C99999",1,0)</f>
        <v/>
      </c>
      <c r="J1566" s="5">
        <f>IF(OR(H1566=1,I1566=1),0,IF(G1566="Credit",-F1566,F1566))</f>
        <v/>
      </c>
    </row>
    <row r="1567">
      <c r="A1567" t="inlineStr">
        <is>
          <t>2026-07-17</t>
        </is>
      </c>
      <c r="B1567" t="inlineStr">
        <is>
          <t>F260089</t>
        </is>
      </c>
      <c r="C1567" t="inlineStr">
        <is>
          <t>C10005</t>
        </is>
      </c>
      <c r="D1567" t="inlineStr">
        <is>
          <t>SKU-10153</t>
        </is>
      </c>
      <c r="E1567" t="inlineStr">
        <is>
          <t>AM01</t>
        </is>
      </c>
      <c r="F1567" s="5" t="n">
        <v>134.88</v>
      </c>
      <c r="G1567">
        <f>IF(LEFT(B1567,1)="C","Credit","Factuur")</f>
        <v/>
      </c>
      <c r="H1567">
        <f>IF(AND(B1567=B1566,D1567=D1566,A1567=A1566,F1567=F1566),1,0)</f>
        <v/>
      </c>
      <c r="I1567">
        <f>IF(C1567="C99999",1,0)</f>
        <v/>
      </c>
      <c r="J1567" s="5">
        <f>IF(OR(H1567=1,I1567=1),0,IF(G1567="Credit",-F1567,F1567))</f>
        <v/>
      </c>
    </row>
    <row r="1568">
      <c r="A1568" t="inlineStr">
        <is>
          <t>2026-07-17</t>
        </is>
      </c>
      <c r="B1568" t="inlineStr">
        <is>
          <t>F260089</t>
        </is>
      </c>
      <c r="C1568" t="inlineStr">
        <is>
          <t>C10005</t>
        </is>
      </c>
      <c r="D1568" t="inlineStr">
        <is>
          <t>SKU-10160</t>
        </is>
      </c>
      <c r="E1568" t="inlineStr">
        <is>
          <t>AM01</t>
        </is>
      </c>
      <c r="F1568" s="5" t="n">
        <v>124.56</v>
      </c>
      <c r="G1568">
        <f>IF(LEFT(B1568,1)="C","Credit","Factuur")</f>
        <v/>
      </c>
      <c r="H1568">
        <f>IF(AND(B1568=B1567,D1568=D1567,A1568=A1567,F1568=F1567),1,0)</f>
        <v/>
      </c>
      <c r="I1568">
        <f>IF(C1568="C99999",1,0)</f>
        <v/>
      </c>
      <c r="J1568" s="5">
        <f>IF(OR(H1568=1,I1568=1),0,IF(G1568="Credit",-F1568,F1568))</f>
        <v/>
      </c>
    </row>
    <row r="1569">
      <c r="A1569" t="inlineStr">
        <is>
          <t>2026-07-17</t>
        </is>
      </c>
      <c r="B1569" t="inlineStr">
        <is>
          <t>F260089</t>
        </is>
      </c>
      <c r="C1569" t="inlineStr">
        <is>
          <t>C10005</t>
        </is>
      </c>
      <c r="D1569" t="inlineStr">
        <is>
          <t>SKU-10366</t>
        </is>
      </c>
      <c r="E1569" t="inlineStr">
        <is>
          <t>AM01</t>
        </is>
      </c>
      <c r="F1569" s="5" t="n">
        <v>150.57</v>
      </c>
      <c r="G1569">
        <f>IF(LEFT(B1569,1)="C","Credit","Factuur")</f>
        <v/>
      </c>
      <c r="H1569">
        <f>IF(AND(B1569=B1568,D1569=D1568,A1569=A1568,F1569=F1568),1,0)</f>
        <v/>
      </c>
      <c r="I1569">
        <f>IF(C1569="C99999",1,0)</f>
        <v/>
      </c>
      <c r="J1569" s="5">
        <f>IF(OR(H1569=1,I1569=1),0,IF(G1569="Credit",-F1569,F1569))</f>
        <v/>
      </c>
    </row>
    <row r="1570">
      <c r="A1570" t="inlineStr">
        <is>
          <t>2026-07-17</t>
        </is>
      </c>
      <c r="B1570" t="inlineStr">
        <is>
          <t>F260138</t>
        </is>
      </c>
      <c r="C1570" t="inlineStr">
        <is>
          <t>C10009</t>
        </is>
      </c>
      <c r="D1570" t="inlineStr">
        <is>
          <t>SKU-10137</t>
        </is>
      </c>
      <c r="E1570" t="inlineStr">
        <is>
          <t>AM07</t>
        </is>
      </c>
      <c r="F1570" s="5" t="n">
        <v>1259.05</v>
      </c>
      <c r="G1570">
        <f>IF(LEFT(B1570,1)="C","Credit","Factuur")</f>
        <v/>
      </c>
      <c r="H1570">
        <f>IF(AND(B1570=B1569,D1570=D1569,A1570=A1569,F1570=F1569),1,0)</f>
        <v/>
      </c>
      <c r="I1570">
        <f>IF(C1570="C99999",1,0)</f>
        <v/>
      </c>
      <c r="J1570" s="5">
        <f>IF(OR(H1570=1,I1570=1),0,IF(G1570="Credit",-F1570,F1570))</f>
        <v/>
      </c>
    </row>
    <row r="1571">
      <c r="A1571" t="inlineStr">
        <is>
          <t>2026-07-17</t>
        </is>
      </c>
      <c r="B1571" t="inlineStr">
        <is>
          <t>F260138</t>
        </is>
      </c>
      <c r="C1571" t="inlineStr">
        <is>
          <t>C10009</t>
        </is>
      </c>
      <c r="D1571" t="inlineStr">
        <is>
          <t>SKU-10332</t>
        </is>
      </c>
      <c r="E1571" t="inlineStr">
        <is>
          <t>AM07</t>
        </is>
      </c>
      <c r="F1571" s="5" t="n">
        <v>1261.39</v>
      </c>
      <c r="G1571">
        <f>IF(LEFT(B1571,1)="C","Credit","Factuur")</f>
        <v/>
      </c>
      <c r="H1571">
        <f>IF(AND(B1571=B1570,D1571=D1570,A1571=A1570,F1571=F1570),1,0)</f>
        <v/>
      </c>
      <c r="I1571">
        <f>IF(C1571="C99999",1,0)</f>
        <v/>
      </c>
      <c r="J1571" s="5">
        <f>IF(OR(H1571=1,I1571=1),0,IF(G1571="Credit",-F1571,F1571))</f>
        <v/>
      </c>
    </row>
    <row r="1572">
      <c r="A1572" t="inlineStr">
        <is>
          <t>2026-07-17</t>
        </is>
      </c>
      <c r="B1572" t="inlineStr">
        <is>
          <t>F260138</t>
        </is>
      </c>
      <c r="C1572" t="inlineStr">
        <is>
          <t>C10009</t>
        </is>
      </c>
      <c r="D1572" t="inlineStr">
        <is>
          <t>SKU-10334</t>
        </is>
      </c>
      <c r="E1572" t="inlineStr">
        <is>
          <t>AM07</t>
        </is>
      </c>
      <c r="F1572" s="5" t="n">
        <v>1249.13</v>
      </c>
      <c r="G1572">
        <f>IF(LEFT(B1572,1)="C","Credit","Factuur")</f>
        <v/>
      </c>
      <c r="H1572">
        <f>IF(AND(B1572=B1571,D1572=D1571,A1572=A1571,F1572=F1571),1,0)</f>
        <v/>
      </c>
      <c r="I1572">
        <f>IF(C1572="C99999",1,0)</f>
        <v/>
      </c>
      <c r="J1572" s="5">
        <f>IF(OR(H1572=1,I1572=1),0,IF(G1572="Credit",-F1572,F1572))</f>
        <v/>
      </c>
    </row>
    <row r="1573">
      <c r="A1573" t="inlineStr">
        <is>
          <t>2026-07-17</t>
        </is>
      </c>
      <c r="B1573" t="inlineStr">
        <is>
          <t>F260151</t>
        </is>
      </c>
      <c r="C1573" t="inlineStr">
        <is>
          <t>C10009</t>
        </is>
      </c>
      <c r="D1573" t="inlineStr">
        <is>
          <t>SKU-10009</t>
        </is>
      </c>
      <c r="E1573" t="inlineStr">
        <is>
          <t>AM07</t>
        </is>
      </c>
      <c r="F1573" s="5" t="n">
        <v>648.47</v>
      </c>
      <c r="G1573">
        <f>IF(LEFT(B1573,1)="C","Credit","Factuur")</f>
        <v/>
      </c>
      <c r="H1573">
        <f>IF(AND(B1573=B1572,D1573=D1572,A1573=A1572,F1573=F1572),1,0)</f>
        <v/>
      </c>
      <c r="I1573">
        <f>IF(C1573="C99999",1,0)</f>
        <v/>
      </c>
      <c r="J1573" s="5">
        <f>IF(OR(H1573=1,I1573=1),0,IF(G1573="Credit",-F1573,F1573))</f>
        <v/>
      </c>
    </row>
    <row r="1574">
      <c r="A1574" t="inlineStr">
        <is>
          <t>2026-07-17</t>
        </is>
      </c>
      <c r="B1574" t="inlineStr">
        <is>
          <t>F260151</t>
        </is>
      </c>
      <c r="C1574" t="inlineStr">
        <is>
          <t>C10009</t>
        </is>
      </c>
      <c r="D1574" t="inlineStr">
        <is>
          <t>SKU-10037</t>
        </is>
      </c>
      <c r="E1574" t="inlineStr">
        <is>
          <t>AM07</t>
        </is>
      </c>
      <c r="F1574" s="5" t="n">
        <v>603.8200000000001</v>
      </c>
      <c r="G1574">
        <f>IF(LEFT(B1574,1)="C","Credit","Factuur")</f>
        <v/>
      </c>
      <c r="H1574">
        <f>IF(AND(B1574=B1573,D1574=D1573,A1574=A1573,F1574=F1573),1,0)</f>
        <v/>
      </c>
      <c r="I1574">
        <f>IF(C1574="C99999",1,0)</f>
        <v/>
      </c>
      <c r="J1574" s="5">
        <f>IF(OR(H1574=1,I1574=1),0,IF(G1574="Credit",-F1574,F1574))</f>
        <v/>
      </c>
    </row>
    <row r="1575">
      <c r="A1575" t="inlineStr">
        <is>
          <t>2026-07-17</t>
        </is>
      </c>
      <c r="B1575" t="inlineStr">
        <is>
          <t>F260151</t>
        </is>
      </c>
      <c r="C1575" t="inlineStr">
        <is>
          <t>C10009</t>
        </is>
      </c>
      <c r="D1575" t="inlineStr">
        <is>
          <t>SKU-10085</t>
        </is>
      </c>
      <c r="E1575" t="inlineStr">
        <is>
          <t>AM07</t>
        </is>
      </c>
      <c r="F1575" s="5" t="n">
        <v>631.2</v>
      </c>
      <c r="G1575">
        <f>IF(LEFT(B1575,1)="C","Credit","Factuur")</f>
        <v/>
      </c>
      <c r="H1575">
        <f>IF(AND(B1575=B1574,D1575=D1574,A1575=A1574,F1575=F1574),1,0)</f>
        <v/>
      </c>
      <c r="I1575">
        <f>IF(C1575="C99999",1,0)</f>
        <v/>
      </c>
      <c r="J1575" s="5">
        <f>IF(OR(H1575=1,I1575=1),0,IF(G1575="Credit",-F1575,F1575))</f>
        <v/>
      </c>
    </row>
    <row r="1576">
      <c r="A1576" t="inlineStr">
        <is>
          <t>2026-07-17</t>
        </is>
      </c>
      <c r="B1576" t="inlineStr">
        <is>
          <t>F260151</t>
        </is>
      </c>
      <c r="C1576" t="inlineStr">
        <is>
          <t>C10009</t>
        </is>
      </c>
      <c r="D1576" t="inlineStr">
        <is>
          <t>SKU-10281</t>
        </is>
      </c>
      <c r="E1576" t="inlineStr">
        <is>
          <t>AM07</t>
        </is>
      </c>
      <c r="F1576" s="5" t="n">
        <v>640.71</v>
      </c>
      <c r="G1576">
        <f>IF(LEFT(B1576,1)="C","Credit","Factuur")</f>
        <v/>
      </c>
      <c r="H1576">
        <f>IF(AND(B1576=B1575,D1576=D1575,A1576=A1575,F1576=F1575),1,0)</f>
        <v/>
      </c>
      <c r="I1576">
        <f>IF(C1576="C99999",1,0)</f>
        <v/>
      </c>
      <c r="J1576" s="5">
        <f>IF(OR(H1576=1,I1576=1),0,IF(G1576="Credit",-F1576,F1576))</f>
        <v/>
      </c>
    </row>
    <row r="1577">
      <c r="A1577" t="inlineStr">
        <is>
          <t>2026-07-17</t>
        </is>
      </c>
      <c r="B1577" t="inlineStr">
        <is>
          <t>F260242</t>
        </is>
      </c>
      <c r="C1577" t="inlineStr">
        <is>
          <t>C10016</t>
        </is>
      </c>
      <c r="D1577" t="inlineStr">
        <is>
          <t>SKU-10016</t>
        </is>
      </c>
      <c r="E1577" t="inlineStr">
        <is>
          <t>AM05</t>
        </is>
      </c>
      <c r="F1577" s="5" t="n">
        <v>74.14</v>
      </c>
      <c r="G1577">
        <f>IF(LEFT(B1577,1)="C","Credit","Factuur")</f>
        <v/>
      </c>
      <c r="H1577">
        <f>IF(AND(B1577=B1576,D1577=D1576,A1577=A1576,F1577=F1576),1,0)</f>
        <v/>
      </c>
      <c r="I1577">
        <f>IF(C1577="C99999",1,0)</f>
        <v/>
      </c>
      <c r="J1577" s="5">
        <f>IF(OR(H1577=1,I1577=1),0,IF(G1577="Credit",-F1577,F1577))</f>
        <v/>
      </c>
    </row>
    <row r="1578">
      <c r="A1578" t="inlineStr">
        <is>
          <t>2026-07-17</t>
        </is>
      </c>
      <c r="B1578" t="inlineStr">
        <is>
          <t>F260242</t>
        </is>
      </c>
      <c r="C1578" t="inlineStr">
        <is>
          <t>C10016</t>
        </is>
      </c>
      <c r="D1578" t="inlineStr">
        <is>
          <t>SKU-10272</t>
        </is>
      </c>
      <c r="E1578" t="inlineStr">
        <is>
          <t>AM05</t>
        </is>
      </c>
      <c r="F1578" s="5" t="n">
        <v>75.42</v>
      </c>
      <c r="G1578">
        <f>IF(LEFT(B1578,1)="C","Credit","Factuur")</f>
        <v/>
      </c>
      <c r="H1578">
        <f>IF(AND(B1578=B1577,D1578=D1577,A1578=A1577,F1578=F1577),1,0)</f>
        <v/>
      </c>
      <c r="I1578">
        <f>IF(C1578="C99999",1,0)</f>
        <v/>
      </c>
      <c r="J1578" s="5">
        <f>IF(OR(H1578=1,I1578=1),0,IF(G1578="Credit",-F1578,F1578))</f>
        <v/>
      </c>
    </row>
    <row r="1579">
      <c r="A1579" t="inlineStr">
        <is>
          <t>2026-07-17</t>
        </is>
      </c>
      <c r="B1579" t="inlineStr">
        <is>
          <t>F260242</t>
        </is>
      </c>
      <c r="C1579" t="inlineStr">
        <is>
          <t>C10016</t>
        </is>
      </c>
      <c r="D1579" t="inlineStr">
        <is>
          <t>SKU-10316</t>
        </is>
      </c>
      <c r="E1579" t="inlineStr">
        <is>
          <t>AM05</t>
        </is>
      </c>
      <c r="F1579" s="5" t="n">
        <v>81.77</v>
      </c>
      <c r="G1579">
        <f>IF(LEFT(B1579,1)="C","Credit","Factuur")</f>
        <v/>
      </c>
      <c r="H1579">
        <f>IF(AND(B1579=B1578,D1579=D1578,A1579=A1578,F1579=F1578),1,0)</f>
        <v/>
      </c>
      <c r="I1579">
        <f>IF(C1579="C99999",1,0)</f>
        <v/>
      </c>
      <c r="J1579" s="5">
        <f>IF(OR(H1579=1,I1579=1),0,IF(G1579="Credit",-F1579,F1579))</f>
        <v/>
      </c>
    </row>
    <row r="1580">
      <c r="A1580" t="inlineStr">
        <is>
          <t>2026-07-17</t>
        </is>
      </c>
      <c r="B1580" t="inlineStr">
        <is>
          <t>F260242</t>
        </is>
      </c>
      <c r="C1580" t="inlineStr">
        <is>
          <t>C10016</t>
        </is>
      </c>
      <c r="D1580" t="inlineStr">
        <is>
          <t>SKU-10335</t>
        </is>
      </c>
      <c r="E1580" t="inlineStr">
        <is>
          <t>AM05</t>
        </is>
      </c>
      <c r="F1580" s="5" t="n">
        <v>72.31</v>
      </c>
      <c r="G1580">
        <f>IF(LEFT(B1580,1)="C","Credit","Factuur")</f>
        <v/>
      </c>
      <c r="H1580">
        <f>IF(AND(B1580=B1579,D1580=D1579,A1580=A1579,F1580=F1579),1,0)</f>
        <v/>
      </c>
      <c r="I1580">
        <f>IF(C1580="C99999",1,0)</f>
        <v/>
      </c>
      <c r="J1580" s="5">
        <f>IF(OR(H1580=1,I1580=1),0,IF(G1580="Credit",-F1580,F1580))</f>
        <v/>
      </c>
    </row>
    <row r="1581">
      <c r="A1581" t="inlineStr">
        <is>
          <t>2026-07-17</t>
        </is>
      </c>
      <c r="B1581" t="inlineStr">
        <is>
          <t>F260408</t>
        </is>
      </c>
      <c r="C1581" t="inlineStr">
        <is>
          <t>C10022</t>
        </is>
      </c>
      <c r="D1581" t="inlineStr">
        <is>
          <t>SKU-10055</t>
        </is>
      </c>
      <c r="E1581" t="inlineStr">
        <is>
          <t>AM08</t>
        </is>
      </c>
      <c r="F1581" s="5" t="n">
        <v>368.83</v>
      </c>
      <c r="G1581">
        <f>IF(LEFT(B1581,1)="C","Credit","Factuur")</f>
        <v/>
      </c>
      <c r="H1581">
        <f>IF(AND(B1581=B1580,D1581=D1580,A1581=A1580,F1581=F1580),1,0)</f>
        <v/>
      </c>
      <c r="I1581">
        <f>IF(C1581="C99999",1,0)</f>
        <v/>
      </c>
      <c r="J1581" s="5">
        <f>IF(OR(H1581=1,I1581=1),0,IF(G1581="Credit",-F1581,F1581))</f>
        <v/>
      </c>
    </row>
    <row r="1582">
      <c r="A1582" t="inlineStr">
        <is>
          <t>2026-07-17</t>
        </is>
      </c>
      <c r="B1582" t="inlineStr">
        <is>
          <t>F260408</t>
        </is>
      </c>
      <c r="C1582" t="inlineStr">
        <is>
          <t>C10022</t>
        </is>
      </c>
      <c r="D1582" t="inlineStr">
        <is>
          <t>SKU-10139</t>
        </is>
      </c>
      <c r="E1582" t="inlineStr">
        <is>
          <t>AM08</t>
        </is>
      </c>
      <c r="F1582" s="5" t="n">
        <v>356.9</v>
      </c>
      <c r="G1582">
        <f>IF(LEFT(B1582,1)="C","Credit","Factuur")</f>
        <v/>
      </c>
      <c r="H1582">
        <f>IF(AND(B1582=B1581,D1582=D1581,A1582=A1581,F1582=F1581),1,0)</f>
        <v/>
      </c>
      <c r="I1582">
        <f>IF(C1582="C99999",1,0)</f>
        <v/>
      </c>
      <c r="J1582" s="5">
        <f>IF(OR(H1582=1,I1582=1),0,IF(G1582="Credit",-F1582,F1582))</f>
        <v/>
      </c>
    </row>
    <row r="1583">
      <c r="A1583" t="inlineStr">
        <is>
          <t>2026-07-17</t>
        </is>
      </c>
      <c r="B1583" t="inlineStr">
        <is>
          <t>F260408</t>
        </is>
      </c>
      <c r="C1583" t="inlineStr">
        <is>
          <t>C10022</t>
        </is>
      </c>
      <c r="D1583" t="inlineStr">
        <is>
          <t>SKU-10218</t>
        </is>
      </c>
      <c r="E1583" t="inlineStr">
        <is>
          <t>AM08</t>
        </is>
      </c>
      <c r="F1583" s="5" t="n">
        <v>378.08</v>
      </c>
      <c r="G1583">
        <f>IF(LEFT(B1583,1)="C","Credit","Factuur")</f>
        <v/>
      </c>
      <c r="H1583">
        <f>IF(AND(B1583=B1582,D1583=D1582,A1583=A1582,F1583=F1582),1,0)</f>
        <v/>
      </c>
      <c r="I1583">
        <f>IF(C1583="C99999",1,0)</f>
        <v/>
      </c>
      <c r="J1583" s="5">
        <f>IF(OR(H1583=1,I1583=1),0,IF(G1583="Credit",-F1583,F1583))</f>
        <v/>
      </c>
    </row>
    <row r="1584">
      <c r="A1584" t="inlineStr">
        <is>
          <t>2026-07-17</t>
        </is>
      </c>
      <c r="B1584" t="inlineStr">
        <is>
          <t>F260408</t>
        </is>
      </c>
      <c r="C1584" t="inlineStr">
        <is>
          <t>C10022</t>
        </is>
      </c>
      <c r="D1584" t="inlineStr">
        <is>
          <t>SKU-10253</t>
        </is>
      </c>
      <c r="E1584" t="inlineStr">
        <is>
          <t>AM08</t>
        </is>
      </c>
      <c r="F1584" s="5" t="n">
        <v>328.58</v>
      </c>
      <c r="G1584">
        <f>IF(LEFT(B1584,1)="C","Credit","Factuur")</f>
        <v/>
      </c>
      <c r="H1584">
        <f>IF(AND(B1584=B1583,D1584=D1583,A1584=A1583,F1584=F1583),1,0)</f>
        <v/>
      </c>
      <c r="I1584">
        <f>IF(C1584="C99999",1,0)</f>
        <v/>
      </c>
      <c r="J1584" s="5">
        <f>IF(OR(H1584=1,I1584=1),0,IF(G1584="Credit",-F1584,F1584))</f>
        <v/>
      </c>
    </row>
    <row r="1585">
      <c r="A1585" t="inlineStr">
        <is>
          <t>2026-07-17</t>
        </is>
      </c>
      <c r="B1585" t="inlineStr">
        <is>
          <t>F260408</t>
        </is>
      </c>
      <c r="C1585" t="inlineStr">
        <is>
          <t>C10022</t>
        </is>
      </c>
      <c r="D1585" t="inlineStr">
        <is>
          <t>SKU-10287</t>
        </is>
      </c>
      <c r="E1585" t="inlineStr">
        <is>
          <t>AM08</t>
        </is>
      </c>
      <c r="F1585" s="5" t="n">
        <v>343.25</v>
      </c>
      <c r="G1585">
        <f>IF(LEFT(B1585,1)="C","Credit","Factuur")</f>
        <v/>
      </c>
      <c r="H1585">
        <f>IF(AND(B1585=B1584,D1585=D1584,A1585=A1584,F1585=F1584),1,0)</f>
        <v/>
      </c>
      <c r="I1585">
        <f>IF(C1585="C99999",1,0)</f>
        <v/>
      </c>
      <c r="J1585" s="5">
        <f>IF(OR(H1585=1,I1585=1),0,IF(G1585="Credit",-F1585,F1585))</f>
        <v/>
      </c>
    </row>
    <row r="1586">
      <c r="A1586" t="inlineStr">
        <is>
          <t>2026-07-17</t>
        </is>
      </c>
      <c r="B1586" t="inlineStr">
        <is>
          <t>F260408</t>
        </is>
      </c>
      <c r="C1586" t="inlineStr">
        <is>
          <t>C10022</t>
        </is>
      </c>
      <c r="D1586" t="inlineStr">
        <is>
          <t>SKU-10367</t>
        </is>
      </c>
      <c r="E1586" t="inlineStr">
        <is>
          <t>AM08</t>
        </is>
      </c>
      <c r="F1586" s="5" t="n">
        <v>363.75</v>
      </c>
      <c r="G1586">
        <f>IF(LEFT(B1586,1)="C","Credit","Factuur")</f>
        <v/>
      </c>
      <c r="H1586">
        <f>IF(AND(B1586=B1585,D1586=D1585,A1586=A1585,F1586=F1585),1,0)</f>
        <v/>
      </c>
      <c r="I1586">
        <f>IF(C1586="C99999",1,0)</f>
        <v/>
      </c>
      <c r="J1586" s="5">
        <f>IF(OR(H1586=1,I1586=1),0,IF(G1586="Credit",-F1586,F1586))</f>
        <v/>
      </c>
    </row>
    <row r="1587">
      <c r="A1587" t="inlineStr">
        <is>
          <t>2026-07-17</t>
        </is>
      </c>
      <c r="B1587" t="inlineStr">
        <is>
          <t>F261432</t>
        </is>
      </c>
      <c r="C1587" t="inlineStr">
        <is>
          <t>C10077</t>
        </is>
      </c>
      <c r="D1587" t="inlineStr">
        <is>
          <t>SKU-10157</t>
        </is>
      </c>
      <c r="E1587" t="inlineStr">
        <is>
          <t>AM11</t>
        </is>
      </c>
      <c r="F1587" s="5" t="n">
        <v>328.2</v>
      </c>
      <c r="G1587">
        <f>IF(LEFT(B1587,1)="C","Credit","Factuur")</f>
        <v/>
      </c>
      <c r="H1587">
        <f>IF(AND(B1587=B1586,D1587=D1586,A1587=A1586,F1587=F1586),1,0)</f>
        <v/>
      </c>
      <c r="I1587">
        <f>IF(C1587="C99999",1,0)</f>
        <v/>
      </c>
      <c r="J1587" s="5">
        <f>IF(OR(H1587=1,I1587=1),0,IF(G1587="Credit",-F1587,F1587))</f>
        <v/>
      </c>
    </row>
    <row r="1588">
      <c r="A1588" t="inlineStr">
        <is>
          <t>2026-07-17</t>
        </is>
      </c>
      <c r="B1588" t="inlineStr">
        <is>
          <t>F261432</t>
        </is>
      </c>
      <c r="C1588" t="inlineStr">
        <is>
          <t>C10077</t>
        </is>
      </c>
      <c r="D1588" t="inlineStr">
        <is>
          <t>SKU-10178</t>
        </is>
      </c>
      <c r="E1588" t="inlineStr">
        <is>
          <t>AM11</t>
        </is>
      </c>
      <c r="F1588" s="5" t="n">
        <v>328.67</v>
      </c>
      <c r="G1588">
        <f>IF(LEFT(B1588,1)="C","Credit","Factuur")</f>
        <v/>
      </c>
      <c r="H1588">
        <f>IF(AND(B1588=B1587,D1588=D1587,A1588=A1587,F1588=F1587),1,0)</f>
        <v/>
      </c>
      <c r="I1588">
        <f>IF(C1588="C99999",1,0)</f>
        <v/>
      </c>
      <c r="J1588" s="5">
        <f>IF(OR(H1588=1,I1588=1),0,IF(G1588="Credit",-F1588,F1588))</f>
        <v/>
      </c>
    </row>
    <row r="1589">
      <c r="A1589" t="inlineStr">
        <is>
          <t>2026-07-17</t>
        </is>
      </c>
      <c r="B1589" t="inlineStr">
        <is>
          <t>F261432</t>
        </is>
      </c>
      <c r="C1589" t="inlineStr">
        <is>
          <t>C10077</t>
        </is>
      </c>
      <c r="D1589" t="inlineStr">
        <is>
          <t>SKU-10213</t>
        </is>
      </c>
      <c r="E1589" t="inlineStr">
        <is>
          <t>AM11</t>
        </is>
      </c>
      <c r="F1589" s="5" t="n">
        <v>323.85</v>
      </c>
      <c r="G1589">
        <f>IF(LEFT(B1589,1)="C","Credit","Factuur")</f>
        <v/>
      </c>
      <c r="H1589">
        <f>IF(AND(B1589=B1588,D1589=D1588,A1589=A1588,F1589=F1588),1,0)</f>
        <v/>
      </c>
      <c r="I1589">
        <f>IF(C1589="C99999",1,0)</f>
        <v/>
      </c>
      <c r="J1589" s="5">
        <f>IF(OR(H1589=1,I1589=1),0,IF(G1589="Credit",-F1589,F1589))</f>
        <v/>
      </c>
    </row>
    <row r="1590">
      <c r="A1590" t="inlineStr">
        <is>
          <t>2026-07-17</t>
        </is>
      </c>
      <c r="B1590" t="inlineStr">
        <is>
          <t>F261432</t>
        </is>
      </c>
      <c r="C1590" t="inlineStr">
        <is>
          <t>C10077</t>
        </is>
      </c>
      <c r="D1590" t="inlineStr">
        <is>
          <t>SKU-10314</t>
        </is>
      </c>
      <c r="E1590" t="inlineStr">
        <is>
          <t>AM11</t>
        </is>
      </c>
      <c r="F1590" s="5" t="n">
        <v>329.28</v>
      </c>
      <c r="G1590">
        <f>IF(LEFT(B1590,1)="C","Credit","Factuur")</f>
        <v/>
      </c>
      <c r="H1590">
        <f>IF(AND(B1590=B1589,D1590=D1589,A1590=A1589,F1590=F1589),1,0)</f>
        <v/>
      </c>
      <c r="I1590">
        <f>IF(C1590="C99999",1,0)</f>
        <v/>
      </c>
      <c r="J1590" s="5">
        <f>IF(OR(H1590=1,I1590=1),0,IF(G1590="Credit",-F1590,F1590))</f>
        <v/>
      </c>
    </row>
    <row r="1591">
      <c r="A1591" t="inlineStr">
        <is>
          <t>2026-07-17</t>
        </is>
      </c>
      <c r="B1591" t="inlineStr">
        <is>
          <t>F261432</t>
        </is>
      </c>
      <c r="C1591" t="inlineStr">
        <is>
          <t>C10077</t>
        </is>
      </c>
      <c r="D1591" t="inlineStr">
        <is>
          <t>SKU-10324</t>
        </is>
      </c>
      <c r="E1591" t="inlineStr">
        <is>
          <t>AM11</t>
        </is>
      </c>
      <c r="F1591" s="5" t="n">
        <v>325.8</v>
      </c>
      <c r="G1591">
        <f>IF(LEFT(B1591,1)="C","Credit","Factuur")</f>
        <v/>
      </c>
      <c r="H1591">
        <f>IF(AND(B1591=B1590,D1591=D1590,A1591=A1590,F1591=F1590),1,0)</f>
        <v/>
      </c>
      <c r="I1591">
        <f>IF(C1591="C99999",1,0)</f>
        <v/>
      </c>
      <c r="J1591" s="5">
        <f>IF(OR(H1591=1,I1591=1),0,IF(G1591="Credit",-F1591,F1591))</f>
        <v/>
      </c>
    </row>
    <row r="1592">
      <c r="A1592" t="inlineStr">
        <is>
          <t>2026-07-17</t>
        </is>
      </c>
      <c r="B1592" t="inlineStr">
        <is>
          <t>F261432</t>
        </is>
      </c>
      <c r="C1592" t="inlineStr">
        <is>
          <t>C10077</t>
        </is>
      </c>
      <c r="D1592" t="inlineStr">
        <is>
          <t>SKU-10325</t>
        </is>
      </c>
      <c r="E1592" t="inlineStr">
        <is>
          <t>AM11</t>
        </is>
      </c>
      <c r="F1592" s="5" t="n">
        <v>329.7</v>
      </c>
      <c r="G1592">
        <f>IF(LEFT(B1592,1)="C","Credit","Factuur")</f>
        <v/>
      </c>
      <c r="H1592">
        <f>IF(AND(B1592=B1591,D1592=D1591,A1592=A1591,F1592=F1591),1,0)</f>
        <v/>
      </c>
      <c r="I1592">
        <f>IF(C1592="C99999",1,0)</f>
        <v/>
      </c>
      <c r="J1592" s="5">
        <f>IF(OR(H1592=1,I1592=1),0,IF(G1592="Credit",-F1592,F1592))</f>
        <v/>
      </c>
    </row>
    <row r="1593">
      <c r="A1593" t="inlineStr">
        <is>
          <t>2026-07-17</t>
        </is>
      </c>
      <c r="B1593" t="inlineStr">
        <is>
          <t>F262123</t>
        </is>
      </c>
      <c r="C1593" t="inlineStr">
        <is>
          <t>C10112</t>
        </is>
      </c>
      <c r="D1593" t="inlineStr">
        <is>
          <t>SKU-10076</t>
        </is>
      </c>
      <c r="E1593" t="inlineStr">
        <is>
          <t>AM06</t>
        </is>
      </c>
      <c r="F1593" s="5" t="n">
        <v>437.28</v>
      </c>
      <c r="G1593">
        <f>IF(LEFT(B1593,1)="C","Credit","Factuur")</f>
        <v/>
      </c>
      <c r="H1593">
        <f>IF(AND(B1593=B1592,D1593=D1592,A1593=A1592,F1593=F1592),1,0)</f>
        <v/>
      </c>
      <c r="I1593">
        <f>IF(C1593="C99999",1,0)</f>
        <v/>
      </c>
      <c r="J1593" s="5">
        <f>IF(OR(H1593=1,I1593=1),0,IF(G1593="Credit",-F1593,F1593))</f>
        <v/>
      </c>
    </row>
    <row r="1594">
      <c r="A1594" t="inlineStr">
        <is>
          <t>2026-07-17</t>
        </is>
      </c>
      <c r="B1594" t="inlineStr">
        <is>
          <t>F262334</t>
        </is>
      </c>
      <c r="C1594" t="inlineStr">
        <is>
          <t>C10124</t>
        </is>
      </c>
      <c r="D1594" t="inlineStr">
        <is>
          <t>SKU-10321</t>
        </is>
      </c>
      <c r="E1594" t="inlineStr">
        <is>
          <t>AM05</t>
        </is>
      </c>
      <c r="F1594" s="5" t="n">
        <v>878.58</v>
      </c>
      <c r="G1594">
        <f>IF(LEFT(B1594,1)="C","Credit","Factuur")</f>
        <v/>
      </c>
      <c r="H1594">
        <f>IF(AND(B1594=B1593,D1594=D1593,A1594=A1593,F1594=F1593),1,0)</f>
        <v/>
      </c>
      <c r="I1594">
        <f>IF(C1594="C99999",1,0)</f>
        <v/>
      </c>
      <c r="J1594" s="5">
        <f>IF(OR(H1594=1,I1594=1),0,IF(G1594="Credit",-F1594,F1594))</f>
        <v/>
      </c>
    </row>
    <row r="1595">
      <c r="A1595" t="inlineStr">
        <is>
          <t>2026-07-17</t>
        </is>
      </c>
      <c r="B1595" t="inlineStr">
        <is>
          <t>F262334</t>
        </is>
      </c>
      <c r="C1595" t="inlineStr">
        <is>
          <t>C10124</t>
        </is>
      </c>
      <c r="D1595" t="inlineStr">
        <is>
          <t>SKU-10329</t>
        </is>
      </c>
      <c r="E1595" t="inlineStr">
        <is>
          <t>AM05</t>
        </is>
      </c>
      <c r="F1595" s="5" t="n">
        <v>883.6799999999999</v>
      </c>
      <c r="G1595">
        <f>IF(LEFT(B1595,1)="C","Credit","Factuur")</f>
        <v/>
      </c>
      <c r="H1595">
        <f>IF(AND(B1595=B1594,D1595=D1594,A1595=A1594,F1595=F1594),1,0)</f>
        <v/>
      </c>
      <c r="I1595">
        <f>IF(C1595="C99999",1,0)</f>
        <v/>
      </c>
      <c r="J1595" s="5">
        <f>IF(OR(H1595=1,I1595=1),0,IF(G1595="Credit",-F1595,F1595))</f>
        <v/>
      </c>
    </row>
    <row r="1596">
      <c r="A1596" t="inlineStr">
        <is>
          <t>2026-07-17</t>
        </is>
      </c>
      <c r="B1596" t="inlineStr">
        <is>
          <t>F262515</t>
        </is>
      </c>
      <c r="C1596" t="inlineStr">
        <is>
          <t>C10133</t>
        </is>
      </c>
      <c r="D1596" t="inlineStr">
        <is>
          <t>SKU-10079</t>
        </is>
      </c>
      <c r="E1596" t="inlineStr">
        <is>
          <t>AM02</t>
        </is>
      </c>
      <c r="F1596" s="5" t="n">
        <v>239.67</v>
      </c>
      <c r="G1596">
        <f>IF(LEFT(B1596,1)="C","Credit","Factuur")</f>
        <v/>
      </c>
      <c r="H1596">
        <f>IF(AND(B1596=B1595,D1596=D1595,A1596=A1595,F1596=F1595),1,0)</f>
        <v/>
      </c>
      <c r="I1596">
        <f>IF(C1596="C99999",1,0)</f>
        <v/>
      </c>
      <c r="J1596" s="5">
        <f>IF(OR(H1596=1,I1596=1),0,IF(G1596="Credit",-F1596,F1596))</f>
        <v/>
      </c>
    </row>
    <row r="1597">
      <c r="A1597" t="inlineStr">
        <is>
          <t>2026-07-17</t>
        </is>
      </c>
      <c r="B1597" t="inlineStr">
        <is>
          <t>F262515</t>
        </is>
      </c>
      <c r="C1597" t="inlineStr">
        <is>
          <t>C10133</t>
        </is>
      </c>
      <c r="D1597" t="inlineStr">
        <is>
          <t>SKU-10209</t>
        </is>
      </c>
      <c r="E1597" t="inlineStr">
        <is>
          <t>AM02</t>
        </is>
      </c>
      <c r="F1597" s="5" t="n">
        <v>290.02</v>
      </c>
      <c r="G1597">
        <f>IF(LEFT(B1597,1)="C","Credit","Factuur")</f>
        <v/>
      </c>
      <c r="H1597">
        <f>IF(AND(B1597=B1596,D1597=D1596,A1597=A1596,F1597=F1596),1,0)</f>
        <v/>
      </c>
      <c r="I1597">
        <f>IF(C1597="C99999",1,0)</f>
        <v/>
      </c>
      <c r="J1597" s="5">
        <f>IF(OR(H1597=1,I1597=1),0,IF(G1597="Credit",-F1597,F1597))</f>
        <v/>
      </c>
    </row>
    <row r="1598">
      <c r="A1598" t="inlineStr">
        <is>
          <t>2026-07-17</t>
        </is>
      </c>
      <c r="B1598" t="inlineStr">
        <is>
          <t>F262515</t>
        </is>
      </c>
      <c r="C1598" t="inlineStr">
        <is>
          <t>C10133</t>
        </is>
      </c>
      <c r="D1598" t="inlineStr">
        <is>
          <t>SKU-10217</t>
        </is>
      </c>
      <c r="E1598" t="inlineStr">
        <is>
          <t>AM02</t>
        </is>
      </c>
      <c r="F1598" s="5" t="n">
        <v>256.71</v>
      </c>
      <c r="G1598">
        <f>IF(LEFT(B1598,1)="C","Credit","Factuur")</f>
        <v/>
      </c>
      <c r="H1598">
        <f>IF(AND(B1598=B1597,D1598=D1597,A1598=A1597,F1598=F1597),1,0)</f>
        <v/>
      </c>
      <c r="I1598">
        <f>IF(C1598="C99999",1,0)</f>
        <v/>
      </c>
      <c r="J1598" s="5">
        <f>IF(OR(H1598=1,I1598=1),0,IF(G1598="Credit",-F1598,F1598))</f>
        <v/>
      </c>
    </row>
    <row r="1599">
      <c r="A1599" t="inlineStr">
        <is>
          <t>2026-07-17</t>
        </is>
      </c>
      <c r="B1599" t="inlineStr">
        <is>
          <t>F262718</t>
        </is>
      </c>
      <c r="C1599" t="inlineStr">
        <is>
          <t>C10147</t>
        </is>
      </c>
      <c r="D1599" t="inlineStr">
        <is>
          <t>SKU-10078</t>
        </is>
      </c>
      <c r="E1599" t="inlineStr">
        <is>
          <t>AM02</t>
        </is>
      </c>
      <c r="F1599" s="5" t="n">
        <v>4688.23</v>
      </c>
      <c r="G1599">
        <f>IF(LEFT(B1599,1)="C","Credit","Factuur")</f>
        <v/>
      </c>
      <c r="H1599">
        <f>IF(AND(B1599=B1598,D1599=D1598,A1599=A1598,F1599=F1598),1,0)</f>
        <v/>
      </c>
      <c r="I1599">
        <f>IF(C1599="C99999",1,0)</f>
        <v/>
      </c>
      <c r="J1599" s="5">
        <f>IF(OR(H1599=1,I1599=1),0,IF(G1599="Credit",-F1599,F1599))</f>
        <v/>
      </c>
    </row>
    <row r="1600">
      <c r="A1600" t="inlineStr">
        <is>
          <t>2026-07-17</t>
        </is>
      </c>
      <c r="B1600" t="inlineStr">
        <is>
          <t>F262984</t>
        </is>
      </c>
      <c r="C1600" t="inlineStr">
        <is>
          <t>C10161</t>
        </is>
      </c>
      <c r="D1600" t="inlineStr">
        <is>
          <t>SKU-10035</t>
        </is>
      </c>
      <c r="E1600" t="inlineStr">
        <is>
          <t>AM08</t>
        </is>
      </c>
      <c r="F1600" s="5" t="n">
        <v>513.1</v>
      </c>
      <c r="G1600">
        <f>IF(LEFT(B1600,1)="C","Credit","Factuur")</f>
        <v/>
      </c>
      <c r="H1600">
        <f>IF(AND(B1600=B1599,D1600=D1599,A1600=A1599,F1600=F1599),1,0)</f>
        <v/>
      </c>
      <c r="I1600">
        <f>IF(C1600="C99999",1,0)</f>
        <v/>
      </c>
      <c r="J1600" s="5">
        <f>IF(OR(H1600=1,I1600=1),0,IF(G1600="Credit",-F1600,F1600))</f>
        <v/>
      </c>
    </row>
    <row r="1601">
      <c r="A1601" t="inlineStr">
        <is>
          <t>2026-07-17</t>
        </is>
      </c>
      <c r="B1601" t="inlineStr">
        <is>
          <t>F262984</t>
        </is>
      </c>
      <c r="C1601" t="inlineStr">
        <is>
          <t>C10161</t>
        </is>
      </c>
      <c r="D1601" t="inlineStr">
        <is>
          <t>SKU-10043</t>
        </is>
      </c>
      <c r="E1601" t="inlineStr">
        <is>
          <t>AM08</t>
        </is>
      </c>
      <c r="F1601" s="5" t="n">
        <v>534.24</v>
      </c>
      <c r="G1601">
        <f>IF(LEFT(B1601,1)="C","Credit","Factuur")</f>
        <v/>
      </c>
      <c r="H1601">
        <f>IF(AND(B1601=B1600,D1601=D1600,A1601=A1600,F1601=F1600),1,0)</f>
        <v/>
      </c>
      <c r="I1601">
        <f>IF(C1601="C99999",1,0)</f>
        <v/>
      </c>
      <c r="J1601" s="5">
        <f>IF(OR(H1601=1,I1601=1),0,IF(G1601="Credit",-F1601,F1601))</f>
        <v/>
      </c>
    </row>
    <row r="1602">
      <c r="A1602" t="inlineStr">
        <is>
          <t>2026-07-17</t>
        </is>
      </c>
      <c r="B1602" t="inlineStr">
        <is>
          <t>F262984</t>
        </is>
      </c>
      <c r="C1602" t="inlineStr">
        <is>
          <t>C10161</t>
        </is>
      </c>
      <c r="D1602" t="inlineStr">
        <is>
          <t>SKU-10336</t>
        </is>
      </c>
      <c r="E1602" t="inlineStr">
        <is>
          <t>AM08</t>
        </is>
      </c>
      <c r="F1602" s="5" t="n">
        <v>518.49</v>
      </c>
      <c r="G1602">
        <f>IF(LEFT(B1602,1)="C","Credit","Factuur")</f>
        <v/>
      </c>
      <c r="H1602">
        <f>IF(AND(B1602=B1601,D1602=D1601,A1602=A1601,F1602=F1601),1,0)</f>
        <v/>
      </c>
      <c r="I1602">
        <f>IF(C1602="C99999",1,0)</f>
        <v/>
      </c>
      <c r="J1602" s="5">
        <f>IF(OR(H1602=1,I1602=1),0,IF(G1602="Credit",-F1602,F1602))</f>
        <v/>
      </c>
    </row>
    <row r="1603">
      <c r="A1603" t="inlineStr">
        <is>
          <t>2026-07-17</t>
        </is>
      </c>
      <c r="B1603" t="inlineStr">
        <is>
          <t>F264005</t>
        </is>
      </c>
      <c r="C1603" t="inlineStr">
        <is>
          <t>C10210</t>
        </is>
      </c>
      <c r="D1603" t="inlineStr">
        <is>
          <t>SKU-10057</t>
        </is>
      </c>
      <c r="E1603" t="inlineStr">
        <is>
          <t>AM11</t>
        </is>
      </c>
      <c r="F1603" s="5" t="n">
        <v>470.25</v>
      </c>
      <c r="G1603">
        <f>IF(LEFT(B1603,1)="C","Credit","Factuur")</f>
        <v/>
      </c>
      <c r="H1603">
        <f>IF(AND(B1603=B1602,D1603=D1602,A1603=A1602,F1603=F1602),1,0)</f>
        <v/>
      </c>
      <c r="I1603">
        <f>IF(C1603="C99999",1,0)</f>
        <v/>
      </c>
      <c r="J1603" s="5">
        <f>IF(OR(H1603=1,I1603=1),0,IF(G1603="Credit",-F1603,F1603))</f>
        <v/>
      </c>
    </row>
    <row r="1604">
      <c r="A1604" t="inlineStr">
        <is>
          <t>2026-07-17</t>
        </is>
      </c>
      <c r="B1604" t="inlineStr">
        <is>
          <t>F264005</t>
        </is>
      </c>
      <c r="C1604" t="inlineStr">
        <is>
          <t>C10210</t>
        </is>
      </c>
      <c r="D1604" t="inlineStr">
        <is>
          <t>SKU-10127</t>
        </is>
      </c>
      <c r="E1604" t="inlineStr">
        <is>
          <t>AM11</t>
        </is>
      </c>
      <c r="F1604" s="5" t="n">
        <v>434.86</v>
      </c>
      <c r="G1604">
        <f>IF(LEFT(B1604,1)="C","Credit","Factuur")</f>
        <v/>
      </c>
      <c r="H1604">
        <f>IF(AND(B1604=B1603,D1604=D1603,A1604=A1603,F1604=F1603),1,0)</f>
        <v/>
      </c>
      <c r="I1604">
        <f>IF(C1604="C99999",1,0)</f>
        <v/>
      </c>
      <c r="J1604" s="5">
        <f>IF(OR(H1604=1,I1604=1),0,IF(G1604="Credit",-F1604,F1604))</f>
        <v/>
      </c>
    </row>
    <row r="1605">
      <c r="A1605" t="inlineStr">
        <is>
          <t>2026-07-17</t>
        </is>
      </c>
      <c r="B1605" t="inlineStr">
        <is>
          <t>F264163</t>
        </is>
      </c>
      <c r="C1605" t="inlineStr">
        <is>
          <t>C10220</t>
        </is>
      </c>
      <c r="D1605" t="inlineStr">
        <is>
          <t>SKU-10182</t>
        </is>
      </c>
      <c r="E1605" t="inlineStr">
        <is>
          <t>AM07</t>
        </is>
      </c>
      <c r="F1605" s="5" t="n">
        <v>850.5700000000001</v>
      </c>
      <c r="G1605">
        <f>IF(LEFT(B1605,1)="C","Credit","Factuur")</f>
        <v/>
      </c>
      <c r="H1605">
        <f>IF(AND(B1605=B1604,D1605=D1604,A1605=A1604,F1605=F1604),1,0)</f>
        <v/>
      </c>
      <c r="I1605">
        <f>IF(C1605="C99999",1,0)</f>
        <v/>
      </c>
      <c r="J1605" s="5">
        <f>IF(OR(H1605=1,I1605=1),0,IF(G1605="Credit",-F1605,F1605))</f>
        <v/>
      </c>
    </row>
    <row r="1606">
      <c r="A1606" t="inlineStr">
        <is>
          <t>2026-07-17</t>
        </is>
      </c>
      <c r="B1606" t="inlineStr">
        <is>
          <t>F264163</t>
        </is>
      </c>
      <c r="C1606" t="inlineStr">
        <is>
          <t>C10220</t>
        </is>
      </c>
      <c r="D1606" t="inlineStr">
        <is>
          <t>SKU-10308</t>
        </is>
      </c>
      <c r="E1606" t="inlineStr">
        <is>
          <t>AM07</t>
        </is>
      </c>
      <c r="F1606" s="5" t="n">
        <v>857.29</v>
      </c>
      <c r="G1606">
        <f>IF(LEFT(B1606,1)="C","Credit","Factuur")</f>
        <v/>
      </c>
      <c r="H1606">
        <f>IF(AND(B1606=B1605,D1606=D1605,A1606=A1605,F1606=F1605),1,0)</f>
        <v/>
      </c>
      <c r="I1606">
        <f>IF(C1606="C99999",1,0)</f>
        <v/>
      </c>
      <c r="J1606" s="5">
        <f>IF(OR(H1606=1,I1606=1),0,IF(G1606="Credit",-F1606,F1606))</f>
        <v/>
      </c>
    </row>
    <row r="1607">
      <c r="A1607" t="inlineStr">
        <is>
          <t>2026-07-17</t>
        </is>
      </c>
      <c r="B1607" t="inlineStr">
        <is>
          <t>F264203</t>
        </is>
      </c>
      <c r="C1607" t="inlineStr">
        <is>
          <t>C10221</t>
        </is>
      </c>
      <c r="D1607" t="inlineStr">
        <is>
          <t>SKU-10051</t>
        </is>
      </c>
      <c r="E1607" t="inlineStr">
        <is>
          <t>AM06</t>
        </is>
      </c>
      <c r="F1607" s="5" t="n">
        <v>102.56</v>
      </c>
      <c r="G1607">
        <f>IF(LEFT(B1607,1)="C","Credit","Factuur")</f>
        <v/>
      </c>
      <c r="H1607">
        <f>IF(AND(B1607=B1606,D1607=D1606,A1607=A1606,F1607=F1606),1,0)</f>
        <v/>
      </c>
      <c r="I1607">
        <f>IF(C1607="C99999",1,0)</f>
        <v/>
      </c>
      <c r="J1607" s="5">
        <f>IF(OR(H1607=1,I1607=1),0,IF(G1607="Credit",-F1607,F1607))</f>
        <v/>
      </c>
    </row>
    <row r="1608">
      <c r="A1608" t="inlineStr">
        <is>
          <t>2026-07-17</t>
        </is>
      </c>
      <c r="B1608" t="inlineStr">
        <is>
          <t>F264203</t>
        </is>
      </c>
      <c r="C1608" t="inlineStr">
        <is>
          <t>C10221</t>
        </is>
      </c>
      <c r="D1608" t="inlineStr">
        <is>
          <t>SKU-10077</t>
        </is>
      </c>
      <c r="E1608" t="inlineStr">
        <is>
          <t>AM06</t>
        </is>
      </c>
      <c r="F1608" s="5" t="n">
        <v>120.48</v>
      </c>
      <c r="G1608">
        <f>IF(LEFT(B1608,1)="C","Credit","Factuur")</f>
        <v/>
      </c>
      <c r="H1608">
        <f>IF(AND(B1608=B1607,D1608=D1607,A1608=A1607,F1608=F1607),1,0)</f>
        <v/>
      </c>
      <c r="I1608">
        <f>IF(C1608="C99999",1,0)</f>
        <v/>
      </c>
      <c r="J1608" s="5">
        <f>IF(OR(H1608=1,I1608=1),0,IF(G1608="Credit",-F1608,F1608))</f>
        <v/>
      </c>
    </row>
    <row r="1609">
      <c r="A1609" t="inlineStr">
        <is>
          <t>2026-07-17</t>
        </is>
      </c>
      <c r="B1609" t="inlineStr">
        <is>
          <t>F264203</t>
        </is>
      </c>
      <c r="C1609" t="inlineStr">
        <is>
          <t>C10221</t>
        </is>
      </c>
      <c r="D1609" t="inlineStr">
        <is>
          <t>SKU-10300</t>
        </is>
      </c>
      <c r="E1609" t="inlineStr">
        <is>
          <t>AM06</t>
        </is>
      </c>
      <c r="F1609" s="5" t="n">
        <v>116.43</v>
      </c>
      <c r="G1609">
        <f>IF(LEFT(B1609,1)="C","Credit","Factuur")</f>
        <v/>
      </c>
      <c r="H1609">
        <f>IF(AND(B1609=B1608,D1609=D1608,A1609=A1608,F1609=F1608),1,0)</f>
        <v/>
      </c>
      <c r="I1609">
        <f>IF(C1609="C99999",1,0)</f>
        <v/>
      </c>
      <c r="J1609" s="5">
        <f>IF(OR(H1609=1,I1609=1),0,IF(G1609="Credit",-F1609,F1609))</f>
        <v/>
      </c>
    </row>
    <row r="1610">
      <c r="A1610" t="inlineStr">
        <is>
          <t>2026-07-17</t>
        </is>
      </c>
      <c r="B1610" t="inlineStr">
        <is>
          <t>F264203</t>
        </is>
      </c>
      <c r="C1610" t="inlineStr">
        <is>
          <t>C10221</t>
        </is>
      </c>
      <c r="D1610" t="inlineStr">
        <is>
          <t>SKU-10334</t>
        </is>
      </c>
      <c r="E1610" t="inlineStr">
        <is>
          <t>AM06</t>
        </is>
      </c>
      <c r="F1610" s="5" t="n">
        <v>108.62</v>
      </c>
      <c r="G1610">
        <f>IF(LEFT(B1610,1)="C","Credit","Factuur")</f>
        <v/>
      </c>
      <c r="H1610">
        <f>IF(AND(B1610=B1609,D1610=D1609,A1610=A1609,F1610=F1609),1,0)</f>
        <v/>
      </c>
      <c r="I1610">
        <f>IF(C1610="C99999",1,0)</f>
        <v/>
      </c>
      <c r="J1610" s="5">
        <f>IF(OR(H1610=1,I1610=1),0,IF(G1610="Credit",-F1610,F1610))</f>
        <v/>
      </c>
    </row>
    <row r="1611">
      <c r="A1611" t="inlineStr">
        <is>
          <t>2026-07-17</t>
        </is>
      </c>
      <c r="B1611" t="inlineStr">
        <is>
          <t>F264283</t>
        </is>
      </c>
      <c r="C1611" t="inlineStr">
        <is>
          <t>C10225</t>
        </is>
      </c>
      <c r="D1611" t="inlineStr">
        <is>
          <t>SKU-10056</t>
        </is>
      </c>
      <c r="E1611" t="inlineStr">
        <is>
          <t>AM02</t>
        </is>
      </c>
      <c r="F1611" s="5" t="n">
        <v>590.4</v>
      </c>
      <c r="G1611">
        <f>IF(LEFT(B1611,1)="C","Credit","Factuur")</f>
        <v/>
      </c>
      <c r="H1611">
        <f>IF(AND(B1611=B1610,D1611=D1610,A1611=A1610,F1611=F1610),1,0)</f>
        <v/>
      </c>
      <c r="I1611">
        <f>IF(C1611="C99999",1,0)</f>
        <v/>
      </c>
      <c r="J1611" s="5">
        <f>IF(OR(H1611=1,I1611=1),0,IF(G1611="Credit",-F1611,F1611))</f>
        <v/>
      </c>
    </row>
    <row r="1612">
      <c r="A1612" t="inlineStr">
        <is>
          <t>2026-07-17</t>
        </is>
      </c>
      <c r="B1612" t="inlineStr">
        <is>
          <t>F264283</t>
        </is>
      </c>
      <c r="C1612" t="inlineStr">
        <is>
          <t>C10225</t>
        </is>
      </c>
      <c r="D1612" t="inlineStr">
        <is>
          <t>SKU-10384</t>
        </is>
      </c>
      <c r="E1612" t="inlineStr">
        <is>
          <t>AM02</t>
        </is>
      </c>
      <c r="F1612" s="5" t="n">
        <v>607</v>
      </c>
      <c r="G1612">
        <f>IF(LEFT(B1612,1)="C","Credit","Factuur")</f>
        <v/>
      </c>
      <c r="H1612">
        <f>IF(AND(B1612=B1611,D1612=D1611,A1612=A1611,F1612=F1611),1,0)</f>
        <v/>
      </c>
      <c r="I1612">
        <f>IF(C1612="C99999",1,0)</f>
        <v/>
      </c>
      <c r="J1612" s="5">
        <f>IF(OR(H1612=1,I1612=1),0,IF(G1612="Credit",-F1612,F1612))</f>
        <v/>
      </c>
    </row>
    <row r="1613">
      <c r="A1613" t="inlineStr">
        <is>
          <t>2026-07-17</t>
        </is>
      </c>
      <c r="B1613" t="inlineStr">
        <is>
          <t>F264494</t>
        </is>
      </c>
      <c r="C1613" t="inlineStr">
        <is>
          <t>C10233</t>
        </is>
      </c>
      <c r="D1613" t="inlineStr">
        <is>
          <t>SKU-10026</t>
        </is>
      </c>
      <c r="E1613" t="inlineStr">
        <is>
          <t>AM03</t>
        </is>
      </c>
      <c r="F1613" s="5" t="n">
        <v>658.88</v>
      </c>
      <c r="G1613">
        <f>IF(LEFT(B1613,1)="C","Credit","Factuur")</f>
        <v/>
      </c>
      <c r="H1613">
        <f>IF(AND(B1613=B1612,D1613=D1612,A1613=A1612,F1613=F1612),1,0)</f>
        <v/>
      </c>
      <c r="I1613">
        <f>IF(C1613="C99999",1,0)</f>
        <v/>
      </c>
      <c r="J1613" s="5">
        <f>IF(OR(H1613=1,I1613=1),0,IF(G1613="Credit",-F1613,F1613))</f>
        <v/>
      </c>
    </row>
    <row r="1614">
      <c r="A1614" t="inlineStr">
        <is>
          <t>2026-07-17</t>
        </is>
      </c>
      <c r="B1614" t="inlineStr">
        <is>
          <t>F264494</t>
        </is>
      </c>
      <c r="C1614" t="inlineStr">
        <is>
          <t>C10233</t>
        </is>
      </c>
      <c r="D1614" t="inlineStr">
        <is>
          <t>SKU-10155</t>
        </is>
      </c>
      <c r="E1614" t="inlineStr">
        <is>
          <t>AM03</t>
        </is>
      </c>
      <c r="F1614" s="5" t="n">
        <v>646.76</v>
      </c>
      <c r="G1614">
        <f>IF(LEFT(B1614,1)="C","Credit","Factuur")</f>
        <v/>
      </c>
      <c r="H1614">
        <f>IF(AND(B1614=B1613,D1614=D1613,A1614=A1613,F1614=F1613),1,0)</f>
        <v/>
      </c>
      <c r="I1614">
        <f>IF(C1614="C99999",1,0)</f>
        <v/>
      </c>
      <c r="J1614" s="5">
        <f>IF(OR(H1614=1,I1614=1),0,IF(G1614="Credit",-F1614,F1614))</f>
        <v/>
      </c>
    </row>
    <row r="1615">
      <c r="A1615" t="inlineStr">
        <is>
          <t>2026-07-17</t>
        </is>
      </c>
      <c r="B1615" t="inlineStr">
        <is>
          <t>F264494</t>
        </is>
      </c>
      <c r="C1615" t="inlineStr">
        <is>
          <t>C10233</t>
        </is>
      </c>
      <c r="D1615" t="inlineStr">
        <is>
          <t>SKU-10175</t>
        </is>
      </c>
      <c r="E1615" t="inlineStr">
        <is>
          <t>AM03</t>
        </is>
      </c>
      <c r="F1615" s="5" t="n">
        <v>649.9299999999999</v>
      </c>
      <c r="G1615">
        <f>IF(LEFT(B1615,1)="C","Credit","Factuur")</f>
        <v/>
      </c>
      <c r="H1615">
        <f>IF(AND(B1615=B1614,D1615=D1614,A1615=A1614,F1615=F1614),1,0)</f>
        <v/>
      </c>
      <c r="I1615">
        <f>IF(C1615="C99999",1,0)</f>
        <v/>
      </c>
      <c r="J1615" s="5">
        <f>IF(OR(H1615=1,I1615=1),0,IF(G1615="Credit",-F1615,F1615))</f>
        <v/>
      </c>
    </row>
    <row r="1616">
      <c r="A1616" t="inlineStr">
        <is>
          <t>2026-07-17</t>
        </is>
      </c>
      <c r="B1616" t="inlineStr">
        <is>
          <t>F264745</t>
        </is>
      </c>
      <c r="C1616" t="inlineStr">
        <is>
          <t>C10248</t>
        </is>
      </c>
      <c r="D1616" t="inlineStr">
        <is>
          <t>SKU-10339</t>
        </is>
      </c>
      <c r="E1616" t="inlineStr">
        <is>
          <t>AM08</t>
        </is>
      </c>
      <c r="F1616" s="5" t="n">
        <v>2107</v>
      </c>
      <c r="G1616">
        <f>IF(LEFT(B1616,1)="C","Credit","Factuur")</f>
        <v/>
      </c>
      <c r="H1616">
        <f>IF(AND(B1616=B1615,D1616=D1615,A1616=A1615,F1616=F1615),1,0)</f>
        <v/>
      </c>
      <c r="I1616">
        <f>IF(C1616="C99999",1,0)</f>
        <v/>
      </c>
      <c r="J1616" s="5">
        <f>IF(OR(H1616=1,I1616=1),0,IF(G1616="Credit",-F1616,F1616))</f>
        <v/>
      </c>
    </row>
    <row r="1617">
      <c r="A1617" t="inlineStr">
        <is>
          <t>2026-07-17</t>
        </is>
      </c>
      <c r="B1617" t="inlineStr">
        <is>
          <t>F264787</t>
        </is>
      </c>
      <c r="C1617" t="inlineStr">
        <is>
          <t>C10249</t>
        </is>
      </c>
      <c r="D1617" t="inlineStr">
        <is>
          <t>SKU-10267</t>
        </is>
      </c>
      <c r="E1617" t="inlineStr">
        <is>
          <t>AM05</t>
        </is>
      </c>
      <c r="F1617" s="5" t="n">
        <v>421.23</v>
      </c>
      <c r="G1617">
        <f>IF(LEFT(B1617,1)="C","Credit","Factuur")</f>
        <v/>
      </c>
      <c r="H1617">
        <f>IF(AND(B1617=B1616,D1617=D1616,A1617=A1616,F1617=F1616),1,0)</f>
        <v/>
      </c>
      <c r="I1617">
        <f>IF(C1617="C99999",1,0)</f>
        <v/>
      </c>
      <c r="J1617" s="5">
        <f>IF(OR(H1617=1,I1617=1),0,IF(G1617="Credit",-F1617,F1617))</f>
        <v/>
      </c>
    </row>
    <row r="1618">
      <c r="A1618" t="inlineStr">
        <is>
          <t>2026-07-17</t>
        </is>
      </c>
      <c r="B1618" t="inlineStr">
        <is>
          <t>F264787</t>
        </is>
      </c>
      <c r="C1618" t="inlineStr">
        <is>
          <t>C10249</t>
        </is>
      </c>
      <c r="D1618" t="inlineStr">
        <is>
          <t>SKU-10270</t>
        </is>
      </c>
      <c r="E1618" t="inlineStr"/>
      <c r="F1618" s="5" t="n">
        <v>432.8</v>
      </c>
      <c r="G1618">
        <f>IF(LEFT(B1618,1)="C","Credit","Factuur")</f>
        <v/>
      </c>
      <c r="H1618">
        <f>IF(AND(B1618=B1617,D1618=D1617,A1618=A1617,F1618=F1617),1,0)</f>
        <v/>
      </c>
      <c r="I1618">
        <f>IF(C1618="C99999",1,0)</f>
        <v/>
      </c>
      <c r="J1618" s="5">
        <f>IF(OR(H1618=1,I1618=1),0,IF(G1618="Credit",-F1618,F1618))</f>
        <v/>
      </c>
    </row>
    <row r="1619">
      <c r="A1619" t="inlineStr">
        <is>
          <t>2026-07-17</t>
        </is>
      </c>
      <c r="B1619" t="inlineStr">
        <is>
          <t>F265280</t>
        </is>
      </c>
      <c r="C1619" t="inlineStr">
        <is>
          <t>C10280</t>
        </is>
      </c>
      <c r="D1619" t="inlineStr">
        <is>
          <t>SKU-10080</t>
        </is>
      </c>
      <c r="E1619" t="inlineStr">
        <is>
          <t>AM09</t>
        </is>
      </c>
      <c r="F1619" s="5" t="n">
        <v>3721.29</v>
      </c>
      <c r="G1619">
        <f>IF(LEFT(B1619,1)="C","Credit","Factuur")</f>
        <v/>
      </c>
      <c r="H1619">
        <f>IF(AND(B1619=B1618,D1619=D1618,A1619=A1618,F1619=F1618),1,0)</f>
        <v/>
      </c>
      <c r="I1619">
        <f>IF(C1619="C99999",1,0)</f>
        <v/>
      </c>
      <c r="J1619" s="5">
        <f>IF(OR(H1619=1,I1619=1),0,IF(G1619="Credit",-F1619,F1619))</f>
        <v/>
      </c>
    </row>
    <row r="1620">
      <c r="A1620" t="inlineStr">
        <is>
          <t>2026-07-17</t>
        </is>
      </c>
      <c r="B1620" t="inlineStr">
        <is>
          <t>F265280</t>
        </is>
      </c>
      <c r="C1620" t="inlineStr">
        <is>
          <t>C10280</t>
        </is>
      </c>
      <c r="D1620" t="inlineStr">
        <is>
          <t>SKU-10332</t>
        </is>
      </c>
      <c r="E1620" t="inlineStr">
        <is>
          <t>AM09</t>
        </is>
      </c>
      <c r="F1620" s="5" t="n">
        <v>3808.58</v>
      </c>
      <c r="G1620">
        <f>IF(LEFT(B1620,1)="C","Credit","Factuur")</f>
        <v/>
      </c>
      <c r="H1620">
        <f>IF(AND(B1620=B1619,D1620=D1619,A1620=A1619,F1620=F1619),1,0)</f>
        <v/>
      </c>
      <c r="I1620">
        <f>IF(C1620="C99999",1,0)</f>
        <v/>
      </c>
      <c r="J1620" s="5">
        <f>IF(OR(H1620=1,I1620=1),0,IF(G1620="Credit",-F1620,F1620))</f>
        <v/>
      </c>
    </row>
    <row r="1621">
      <c r="A1621" t="inlineStr">
        <is>
          <t>2026-07-17</t>
        </is>
      </c>
      <c r="B1621" t="inlineStr">
        <is>
          <t>F265315</t>
        </is>
      </c>
      <c r="C1621" t="inlineStr">
        <is>
          <t>C10281</t>
        </is>
      </c>
      <c r="D1621" t="inlineStr">
        <is>
          <t>SKU-10007</t>
        </is>
      </c>
      <c r="E1621" t="inlineStr">
        <is>
          <t>AM06</t>
        </is>
      </c>
      <c r="F1621" s="5" t="n">
        <v>772.73</v>
      </c>
      <c r="G1621">
        <f>IF(LEFT(B1621,1)="C","Credit","Factuur")</f>
        <v/>
      </c>
      <c r="H1621">
        <f>IF(AND(B1621=B1620,D1621=D1620,A1621=A1620,F1621=F1620),1,0)</f>
        <v/>
      </c>
      <c r="I1621">
        <f>IF(C1621="C99999",1,0)</f>
        <v/>
      </c>
      <c r="J1621" s="5">
        <f>IF(OR(H1621=1,I1621=1),0,IF(G1621="Credit",-F1621,F1621))</f>
        <v/>
      </c>
    </row>
    <row r="1622">
      <c r="A1622" t="inlineStr">
        <is>
          <t>2026-07-17</t>
        </is>
      </c>
      <c r="B1622" t="inlineStr">
        <is>
          <t>F265352</t>
        </is>
      </c>
      <c r="C1622" t="inlineStr">
        <is>
          <t>C10283</t>
        </is>
      </c>
      <c r="D1622" t="inlineStr">
        <is>
          <t>SKU-10138</t>
        </is>
      </c>
      <c r="E1622" t="inlineStr">
        <is>
          <t>AM05</t>
        </is>
      </c>
      <c r="F1622" s="5" t="n">
        <v>581.17</v>
      </c>
      <c r="G1622">
        <f>IF(LEFT(B1622,1)="C","Credit","Factuur")</f>
        <v/>
      </c>
      <c r="H1622">
        <f>IF(AND(B1622=B1621,D1622=D1621,A1622=A1621,F1622=F1621),1,0)</f>
        <v/>
      </c>
      <c r="I1622">
        <f>IF(C1622="C99999",1,0)</f>
        <v/>
      </c>
      <c r="J1622" s="5">
        <f>IF(OR(H1622=1,I1622=1),0,IF(G1622="Credit",-F1622,F1622))</f>
        <v/>
      </c>
    </row>
    <row r="1623">
      <c r="A1623" t="inlineStr">
        <is>
          <t>2026-07-17</t>
        </is>
      </c>
      <c r="B1623" t="inlineStr">
        <is>
          <t>F265352</t>
        </is>
      </c>
      <c r="C1623" t="inlineStr">
        <is>
          <t>C10283</t>
        </is>
      </c>
      <c r="D1623" t="inlineStr">
        <is>
          <t>SKU-10195</t>
        </is>
      </c>
      <c r="E1623" t="inlineStr">
        <is>
          <t>AM05</t>
        </is>
      </c>
      <c r="F1623" s="5" t="n">
        <v>672.48</v>
      </c>
      <c r="G1623">
        <f>IF(LEFT(B1623,1)="C","Credit","Factuur")</f>
        <v/>
      </c>
      <c r="H1623">
        <f>IF(AND(B1623=B1622,D1623=D1622,A1623=A1622,F1623=F1622),1,0)</f>
        <v/>
      </c>
      <c r="I1623">
        <f>IF(C1623="C99999",1,0)</f>
        <v/>
      </c>
      <c r="J1623" s="5">
        <f>IF(OR(H1623=1,I1623=1),0,IF(G1623="Credit",-F1623,F1623))</f>
        <v/>
      </c>
    </row>
    <row r="1624">
      <c r="A1624" t="inlineStr">
        <is>
          <t>2026-07-17</t>
        </is>
      </c>
      <c r="B1624" t="inlineStr">
        <is>
          <t>F265360</t>
        </is>
      </c>
      <c r="C1624" t="inlineStr">
        <is>
          <t>C10284</t>
        </is>
      </c>
      <c r="D1624" t="inlineStr">
        <is>
          <t>SKU-10178</t>
        </is>
      </c>
      <c r="E1624" t="inlineStr">
        <is>
          <t>AM12</t>
        </is>
      </c>
      <c r="F1624" s="5" t="n">
        <v>571.6</v>
      </c>
      <c r="G1624">
        <f>IF(LEFT(B1624,1)="C","Credit","Factuur")</f>
        <v/>
      </c>
      <c r="H1624">
        <f>IF(AND(B1624=B1623,D1624=D1623,A1624=A1623,F1624=F1623),1,0)</f>
        <v/>
      </c>
      <c r="I1624">
        <f>IF(C1624="C99999",1,0)</f>
        <v/>
      </c>
      <c r="J1624" s="5">
        <f>IF(OR(H1624=1,I1624=1),0,IF(G1624="Credit",-F1624,F1624))</f>
        <v/>
      </c>
    </row>
    <row r="1625">
      <c r="A1625" t="inlineStr">
        <is>
          <t>2026-07-17</t>
        </is>
      </c>
      <c r="B1625" t="inlineStr">
        <is>
          <t>F265752</t>
        </is>
      </c>
      <c r="C1625" t="inlineStr">
        <is>
          <t>C10300</t>
        </is>
      </c>
      <c r="D1625" t="inlineStr">
        <is>
          <t>SKU-10114</t>
        </is>
      </c>
      <c r="E1625" t="inlineStr">
        <is>
          <t>AM03</t>
        </is>
      </c>
      <c r="F1625" s="5" t="n">
        <v>107.12</v>
      </c>
      <c r="G1625">
        <f>IF(LEFT(B1625,1)="C","Credit","Factuur")</f>
        <v/>
      </c>
      <c r="H1625">
        <f>IF(AND(B1625=B1624,D1625=D1624,A1625=A1624,F1625=F1624),1,0)</f>
        <v/>
      </c>
      <c r="I1625">
        <f>IF(C1625="C99999",1,0)</f>
        <v/>
      </c>
      <c r="J1625" s="5">
        <f>IF(OR(H1625=1,I1625=1),0,IF(G1625="Credit",-F1625,F1625))</f>
        <v/>
      </c>
    </row>
    <row r="1626">
      <c r="A1626" t="inlineStr">
        <is>
          <t>2026-07-17</t>
        </is>
      </c>
      <c r="B1626" t="inlineStr">
        <is>
          <t>F265752</t>
        </is>
      </c>
      <c r="C1626" t="inlineStr">
        <is>
          <t>C10300</t>
        </is>
      </c>
      <c r="D1626" t="inlineStr">
        <is>
          <t>SKU-10158</t>
        </is>
      </c>
      <c r="E1626" t="inlineStr">
        <is>
          <t>AM03</t>
        </is>
      </c>
      <c r="F1626" s="5" t="n">
        <v>99.55</v>
      </c>
      <c r="G1626">
        <f>IF(LEFT(B1626,1)="C","Credit","Factuur")</f>
        <v/>
      </c>
      <c r="H1626">
        <f>IF(AND(B1626=B1625,D1626=D1625,A1626=A1625,F1626=F1625),1,0)</f>
        <v/>
      </c>
      <c r="I1626">
        <f>IF(C1626="C99999",1,0)</f>
        <v/>
      </c>
      <c r="J1626" s="5">
        <f>IF(OR(H1626=1,I1626=1),0,IF(G1626="Credit",-F1626,F1626))</f>
        <v/>
      </c>
    </row>
    <row r="1627">
      <c r="A1627" t="inlineStr">
        <is>
          <t>2026-07-17</t>
        </is>
      </c>
      <c r="B1627" t="inlineStr">
        <is>
          <t>F265752</t>
        </is>
      </c>
      <c r="C1627" t="inlineStr">
        <is>
          <t>C10300</t>
        </is>
      </c>
      <c r="D1627" t="inlineStr">
        <is>
          <t>SKU-10290</t>
        </is>
      </c>
      <c r="E1627" t="inlineStr">
        <is>
          <t>AM03</t>
        </is>
      </c>
      <c r="F1627" s="5" t="n">
        <v>95.15000000000001</v>
      </c>
      <c r="G1627">
        <f>IF(LEFT(B1627,1)="C","Credit","Factuur")</f>
        <v/>
      </c>
      <c r="H1627">
        <f>IF(AND(B1627=B1626,D1627=D1626,A1627=A1626,F1627=F1626),1,0)</f>
        <v/>
      </c>
      <c r="I1627">
        <f>IF(C1627="C99999",1,0)</f>
        <v/>
      </c>
      <c r="J1627" s="5">
        <f>IF(OR(H1627=1,I1627=1),0,IF(G1627="Credit",-F1627,F1627))</f>
        <v/>
      </c>
    </row>
    <row r="1628">
      <c r="A1628" t="inlineStr">
        <is>
          <t>2026-07-17</t>
        </is>
      </c>
      <c r="B1628" t="inlineStr">
        <is>
          <t>F265752</t>
        </is>
      </c>
      <c r="C1628" t="inlineStr">
        <is>
          <t>C10300</t>
        </is>
      </c>
      <c r="D1628" t="inlineStr">
        <is>
          <t>SKU-10304</t>
        </is>
      </c>
      <c r="E1628" t="inlineStr">
        <is>
          <t>AM03</t>
        </is>
      </c>
      <c r="F1628" s="5" t="n">
        <v>91.68000000000001</v>
      </c>
      <c r="G1628">
        <f>IF(LEFT(B1628,1)="C","Credit","Factuur")</f>
        <v/>
      </c>
      <c r="H1628">
        <f>IF(AND(B1628=B1627,D1628=D1627,A1628=A1627,F1628=F1627),1,0)</f>
        <v/>
      </c>
      <c r="I1628">
        <f>IF(C1628="C99999",1,0)</f>
        <v/>
      </c>
      <c r="J1628" s="5">
        <f>IF(OR(H1628=1,I1628=1),0,IF(G1628="Credit",-F1628,F1628))</f>
        <v/>
      </c>
    </row>
    <row r="1629">
      <c r="A1629" t="inlineStr">
        <is>
          <t>2026-07-17</t>
        </is>
      </c>
      <c r="B1629" t="inlineStr">
        <is>
          <t>F265752</t>
        </is>
      </c>
      <c r="C1629" t="inlineStr">
        <is>
          <t>C10300</t>
        </is>
      </c>
      <c r="D1629" t="inlineStr">
        <is>
          <t>SKU-10339</t>
        </is>
      </c>
      <c r="E1629" t="inlineStr">
        <is>
          <t>AM03</t>
        </is>
      </c>
      <c r="F1629" s="5" t="n">
        <v>85.79000000000001</v>
      </c>
      <c r="G1629">
        <f>IF(LEFT(B1629,1)="C","Credit","Factuur")</f>
        <v/>
      </c>
      <c r="H1629">
        <f>IF(AND(B1629=B1628,D1629=D1628,A1629=A1628,F1629=F1628),1,0)</f>
        <v/>
      </c>
      <c r="I1629">
        <f>IF(C1629="C99999",1,0)</f>
        <v/>
      </c>
      <c r="J1629" s="5">
        <f>IF(OR(H1629=1,I1629=1),0,IF(G1629="Credit",-F1629,F1629))</f>
        <v/>
      </c>
    </row>
    <row r="1630">
      <c r="A1630" t="inlineStr">
        <is>
          <t>2026-07-17</t>
        </is>
      </c>
      <c r="B1630" t="inlineStr">
        <is>
          <t>F266078</t>
        </is>
      </c>
      <c r="C1630" t="inlineStr">
        <is>
          <t>C10318</t>
        </is>
      </c>
      <c r="D1630" t="inlineStr">
        <is>
          <t>SKU-10003</t>
        </is>
      </c>
      <c r="E1630" t="inlineStr">
        <is>
          <t>AM08</t>
        </is>
      </c>
      <c r="F1630" s="5" t="n">
        <v>1239.75</v>
      </c>
      <c r="G1630">
        <f>IF(LEFT(B1630,1)="C","Credit","Factuur")</f>
        <v/>
      </c>
      <c r="H1630">
        <f>IF(AND(B1630=B1629,D1630=D1629,A1630=A1629,F1630=F1629),1,0)</f>
        <v/>
      </c>
      <c r="I1630">
        <f>IF(C1630="C99999",1,0)</f>
        <v/>
      </c>
      <c r="J1630" s="5">
        <f>IF(OR(H1630=1,I1630=1),0,IF(G1630="Credit",-F1630,F1630))</f>
        <v/>
      </c>
    </row>
    <row r="1631">
      <c r="A1631" t="inlineStr">
        <is>
          <t>2026-07-17</t>
        </is>
      </c>
      <c r="B1631" t="inlineStr">
        <is>
          <t>F266078</t>
        </is>
      </c>
      <c r="C1631" t="inlineStr">
        <is>
          <t>C10318</t>
        </is>
      </c>
      <c r="D1631" t="inlineStr">
        <is>
          <t>SKU-10276</t>
        </is>
      </c>
      <c r="E1631" t="inlineStr">
        <is>
          <t>AM08</t>
        </is>
      </c>
      <c r="F1631" s="5" t="n">
        <v>1237.6</v>
      </c>
      <c r="G1631">
        <f>IF(LEFT(B1631,1)="C","Credit","Factuur")</f>
        <v/>
      </c>
      <c r="H1631">
        <f>IF(AND(B1631=B1630,D1631=D1630,A1631=A1630,F1631=F1630),1,0)</f>
        <v/>
      </c>
      <c r="I1631">
        <f>IF(C1631="C99999",1,0)</f>
        <v/>
      </c>
      <c r="J1631" s="5">
        <f>IF(OR(H1631=1,I1631=1),0,IF(G1631="Credit",-F1631,F1631))</f>
        <v/>
      </c>
    </row>
    <row r="1632">
      <c r="A1632" t="inlineStr">
        <is>
          <t>2026-07-17</t>
        </is>
      </c>
      <c r="B1632" t="inlineStr">
        <is>
          <t>F266909</t>
        </is>
      </c>
      <c r="C1632" t="inlineStr">
        <is>
          <t>C10364</t>
        </is>
      </c>
      <c r="D1632" t="inlineStr">
        <is>
          <t>SKU-10014</t>
        </is>
      </c>
      <c r="E1632" t="inlineStr">
        <is>
          <t>AM02</t>
        </is>
      </c>
      <c r="F1632" s="5" t="n">
        <v>1673.22</v>
      </c>
      <c r="G1632">
        <f>IF(LEFT(B1632,1)="C","Credit","Factuur")</f>
        <v/>
      </c>
      <c r="H1632">
        <f>IF(AND(B1632=B1631,D1632=D1631,A1632=A1631,F1632=F1631),1,0)</f>
        <v/>
      </c>
      <c r="I1632">
        <f>IF(C1632="C99999",1,0)</f>
        <v/>
      </c>
      <c r="J1632" s="5">
        <f>IF(OR(H1632=1,I1632=1),0,IF(G1632="Credit",-F1632,F1632))</f>
        <v/>
      </c>
    </row>
    <row r="1633">
      <c r="A1633" t="inlineStr">
        <is>
          <t>2026-07-17</t>
        </is>
      </c>
      <c r="B1633" t="inlineStr">
        <is>
          <t>F266913</t>
        </is>
      </c>
      <c r="C1633" t="inlineStr">
        <is>
          <t>C10364</t>
        </is>
      </c>
      <c r="D1633" t="inlineStr">
        <is>
          <t>SKU-10153</t>
        </is>
      </c>
      <c r="E1633" t="inlineStr">
        <is>
          <t>AM02</t>
        </is>
      </c>
      <c r="F1633" s="5" t="n">
        <v>1430.85</v>
      </c>
      <c r="G1633">
        <f>IF(LEFT(B1633,1)="C","Credit","Factuur")</f>
        <v/>
      </c>
      <c r="H1633">
        <f>IF(AND(B1633=B1632,D1633=D1632,A1633=A1632,F1633=F1632),1,0)</f>
        <v/>
      </c>
      <c r="I1633">
        <f>IF(C1633="C99999",1,0)</f>
        <v/>
      </c>
      <c r="J1633" s="5">
        <f>IF(OR(H1633=1,I1633=1),0,IF(G1633="Credit",-F1633,F1633))</f>
        <v/>
      </c>
    </row>
    <row r="1634">
      <c r="A1634" t="inlineStr">
        <is>
          <t>2026-07-17</t>
        </is>
      </c>
      <c r="B1634" t="inlineStr">
        <is>
          <t>F267671</t>
        </is>
      </c>
      <c r="C1634" t="inlineStr">
        <is>
          <t>C10402</t>
        </is>
      </c>
      <c r="D1634" t="inlineStr">
        <is>
          <t>SKU-10127</t>
        </is>
      </c>
      <c r="E1634" t="inlineStr">
        <is>
          <t>AM02</t>
        </is>
      </c>
      <c r="F1634" s="5" t="n">
        <v>2563.4</v>
      </c>
      <c r="G1634">
        <f>IF(LEFT(B1634,1)="C","Credit","Factuur")</f>
        <v/>
      </c>
      <c r="H1634">
        <f>IF(AND(B1634=B1633,D1634=D1633,A1634=A1633,F1634=F1633),1,0)</f>
        <v/>
      </c>
      <c r="I1634">
        <f>IF(C1634="C99999",1,0)</f>
        <v/>
      </c>
      <c r="J1634" s="5">
        <f>IF(OR(H1634=1,I1634=1),0,IF(G1634="Credit",-F1634,F1634))</f>
        <v/>
      </c>
    </row>
    <row r="1635">
      <c r="A1635" t="inlineStr">
        <is>
          <t>2026-07-17</t>
        </is>
      </c>
      <c r="B1635" t="inlineStr">
        <is>
          <t>F267671</t>
        </is>
      </c>
      <c r="C1635" t="inlineStr">
        <is>
          <t>C10402</t>
        </is>
      </c>
      <c r="D1635" t="inlineStr">
        <is>
          <t>SKU-10193</t>
        </is>
      </c>
      <c r="E1635" t="inlineStr">
        <is>
          <t>AM02</t>
        </is>
      </c>
      <c r="F1635" s="5" t="n">
        <v>2561.58</v>
      </c>
      <c r="G1635">
        <f>IF(LEFT(B1635,1)="C","Credit","Factuur")</f>
        <v/>
      </c>
      <c r="H1635">
        <f>IF(AND(B1635=B1634,D1635=D1634,A1635=A1634,F1635=F1634),1,0)</f>
        <v/>
      </c>
      <c r="I1635">
        <f>IF(C1635="C99999",1,0)</f>
        <v/>
      </c>
      <c r="J1635" s="5">
        <f>IF(OR(H1635=1,I1635=1),0,IF(G1635="Credit",-F1635,F1635))</f>
        <v/>
      </c>
    </row>
    <row r="1636">
      <c r="A1636" t="inlineStr">
        <is>
          <t>2026-07-17</t>
        </is>
      </c>
      <c r="B1636" t="inlineStr">
        <is>
          <t>F267671</t>
        </is>
      </c>
      <c r="C1636" t="inlineStr">
        <is>
          <t>C10402</t>
        </is>
      </c>
      <c r="D1636" t="inlineStr">
        <is>
          <t>SKU-10200</t>
        </is>
      </c>
      <c r="E1636" t="inlineStr">
        <is>
          <t>AM02</t>
        </is>
      </c>
      <c r="F1636" s="5" t="n">
        <v>2552.55</v>
      </c>
      <c r="G1636">
        <f>IF(LEFT(B1636,1)="C","Credit","Factuur")</f>
        <v/>
      </c>
      <c r="H1636">
        <f>IF(AND(B1636=B1635,D1636=D1635,A1636=A1635,F1636=F1635),1,0)</f>
        <v/>
      </c>
      <c r="I1636">
        <f>IF(C1636="C99999",1,0)</f>
        <v/>
      </c>
      <c r="J1636" s="5">
        <f>IF(OR(H1636=1,I1636=1),0,IF(G1636="Credit",-F1636,F1636))</f>
        <v/>
      </c>
    </row>
    <row r="1637">
      <c r="A1637" t="inlineStr">
        <is>
          <t>2026-07-17</t>
        </is>
      </c>
      <c r="B1637" t="inlineStr">
        <is>
          <t>F267950</t>
        </is>
      </c>
      <c r="C1637" t="inlineStr">
        <is>
          <t>C10417</t>
        </is>
      </c>
      <c r="D1637" t="inlineStr">
        <is>
          <t>SKU-10029</t>
        </is>
      </c>
      <c r="E1637" t="inlineStr">
        <is>
          <t>AM02</t>
        </is>
      </c>
      <c r="F1637" s="5" t="n">
        <v>467.85</v>
      </c>
      <c r="G1637">
        <f>IF(LEFT(B1637,1)="C","Credit","Factuur")</f>
        <v/>
      </c>
      <c r="H1637">
        <f>IF(AND(B1637=B1636,D1637=D1636,A1637=A1636,F1637=F1636),1,0)</f>
        <v/>
      </c>
      <c r="I1637">
        <f>IF(C1637="C99999",1,0)</f>
        <v/>
      </c>
      <c r="J1637" s="5">
        <f>IF(OR(H1637=1,I1637=1),0,IF(G1637="Credit",-F1637,F1637))</f>
        <v/>
      </c>
    </row>
    <row r="1638">
      <c r="A1638" t="inlineStr">
        <is>
          <t>2026-07-17</t>
        </is>
      </c>
      <c r="B1638" t="inlineStr">
        <is>
          <t>F267950</t>
        </is>
      </c>
      <c r="C1638" t="inlineStr">
        <is>
          <t>C10417</t>
        </is>
      </c>
      <c r="D1638" t="inlineStr">
        <is>
          <t>SKU-10273</t>
        </is>
      </c>
      <c r="E1638" t="inlineStr">
        <is>
          <t>AM02</t>
        </is>
      </c>
      <c r="F1638" s="5" t="n">
        <v>513.92</v>
      </c>
      <c r="G1638">
        <f>IF(LEFT(B1638,1)="C","Credit","Factuur")</f>
        <v/>
      </c>
      <c r="H1638">
        <f>IF(AND(B1638=B1637,D1638=D1637,A1638=A1637,F1638=F1637),1,0)</f>
        <v/>
      </c>
      <c r="I1638">
        <f>IF(C1638="C99999",1,0)</f>
        <v/>
      </c>
      <c r="J1638" s="5">
        <f>IF(OR(H1638=1,I1638=1),0,IF(G1638="Credit",-F1638,F1638))</f>
        <v/>
      </c>
    </row>
    <row r="1639">
      <c r="A1639" t="inlineStr">
        <is>
          <t>2026-07-17</t>
        </is>
      </c>
      <c r="B1639" t="inlineStr">
        <is>
          <t>F267950</t>
        </is>
      </c>
      <c r="C1639" t="inlineStr">
        <is>
          <t>C10417</t>
        </is>
      </c>
      <c r="D1639" t="inlineStr">
        <is>
          <t>SKU-10274</t>
        </is>
      </c>
      <c r="E1639" t="inlineStr">
        <is>
          <t>AM02</t>
        </is>
      </c>
      <c r="F1639" s="5" t="n">
        <v>513.4</v>
      </c>
      <c r="G1639">
        <f>IF(LEFT(B1639,1)="C","Credit","Factuur")</f>
        <v/>
      </c>
      <c r="H1639">
        <f>IF(AND(B1639=B1638,D1639=D1638,A1639=A1638,F1639=F1638),1,0)</f>
        <v/>
      </c>
      <c r="I1639">
        <f>IF(C1639="C99999",1,0)</f>
        <v/>
      </c>
      <c r="J1639" s="5">
        <f>IF(OR(H1639=1,I1639=1),0,IF(G1639="Credit",-F1639,F1639))</f>
        <v/>
      </c>
    </row>
    <row r="1640">
      <c r="A1640" t="inlineStr">
        <is>
          <t>2026-07-17</t>
        </is>
      </c>
      <c r="B1640" t="inlineStr">
        <is>
          <t>F267950</t>
        </is>
      </c>
      <c r="C1640" t="inlineStr">
        <is>
          <t>C10417</t>
        </is>
      </c>
      <c r="D1640" t="inlineStr">
        <is>
          <t>SKU-10311</t>
        </is>
      </c>
      <c r="E1640" t="inlineStr">
        <is>
          <t>AM02</t>
        </is>
      </c>
      <c r="F1640" s="5" t="n">
        <v>475.13</v>
      </c>
      <c r="G1640">
        <f>IF(LEFT(B1640,1)="C","Credit","Factuur")</f>
        <v/>
      </c>
      <c r="H1640">
        <f>IF(AND(B1640=B1639,D1640=D1639,A1640=A1639,F1640=F1639),1,0)</f>
        <v/>
      </c>
      <c r="I1640">
        <f>IF(C1640="C99999",1,0)</f>
        <v/>
      </c>
      <c r="J1640" s="5">
        <f>IF(OR(H1640=1,I1640=1),0,IF(G1640="Credit",-F1640,F1640))</f>
        <v/>
      </c>
    </row>
    <row r="1641">
      <c r="A1641" t="inlineStr">
        <is>
          <t>2026-07-17</t>
        </is>
      </c>
      <c r="B1641" t="inlineStr">
        <is>
          <t>F268028</t>
        </is>
      </c>
      <c r="C1641" t="inlineStr">
        <is>
          <t>C10422</t>
        </is>
      </c>
      <c r="D1641" t="inlineStr">
        <is>
          <t>SKU-10243</t>
        </is>
      </c>
      <c r="E1641" t="inlineStr">
        <is>
          <t>AM12</t>
        </is>
      </c>
      <c r="F1641" s="5" t="n">
        <v>524.66</v>
      </c>
      <c r="G1641">
        <f>IF(LEFT(B1641,1)="C","Credit","Factuur")</f>
        <v/>
      </c>
      <c r="H1641">
        <f>IF(AND(B1641=B1640,D1641=D1640,A1641=A1640,F1641=F1640),1,0)</f>
        <v/>
      </c>
      <c r="I1641">
        <f>IF(C1641="C99999",1,0)</f>
        <v/>
      </c>
      <c r="J1641" s="5">
        <f>IF(OR(H1641=1,I1641=1),0,IF(G1641="Credit",-F1641,F1641))</f>
        <v/>
      </c>
    </row>
    <row r="1642">
      <c r="A1642" t="inlineStr">
        <is>
          <t>2026-07-17</t>
        </is>
      </c>
      <c r="B1642" t="inlineStr">
        <is>
          <t>F268028</t>
        </is>
      </c>
      <c r="C1642" t="inlineStr">
        <is>
          <t>C10422</t>
        </is>
      </c>
      <c r="D1642" t="inlineStr">
        <is>
          <t>SKU-10334</t>
        </is>
      </c>
      <c r="E1642" t="inlineStr">
        <is>
          <t>AM12</t>
        </is>
      </c>
      <c r="F1642" s="5" t="n">
        <v>543.1</v>
      </c>
      <c r="G1642">
        <f>IF(LEFT(B1642,1)="C","Credit","Factuur")</f>
        <v/>
      </c>
      <c r="H1642">
        <f>IF(AND(B1642=B1641,D1642=D1641,A1642=A1641,F1642=F1641),1,0)</f>
        <v/>
      </c>
      <c r="I1642">
        <f>IF(C1642="C99999",1,0)</f>
        <v/>
      </c>
      <c r="J1642" s="5">
        <f>IF(OR(H1642=1,I1642=1),0,IF(G1642="Credit",-F1642,F1642))</f>
        <v/>
      </c>
    </row>
    <row r="1643">
      <c r="A1643" t="inlineStr">
        <is>
          <t>2026-07-17</t>
        </is>
      </c>
      <c r="B1643" t="inlineStr">
        <is>
          <t>F268675</t>
        </is>
      </c>
      <c r="C1643" t="inlineStr">
        <is>
          <t>C10454</t>
        </is>
      </c>
      <c r="D1643" t="inlineStr">
        <is>
          <t>SKU-10074</t>
        </is>
      </c>
      <c r="E1643" t="inlineStr">
        <is>
          <t>AM12</t>
        </is>
      </c>
      <c r="F1643" s="5" t="n">
        <v>226.06</v>
      </c>
      <c r="G1643">
        <f>IF(LEFT(B1643,1)="C","Credit","Factuur")</f>
        <v/>
      </c>
      <c r="H1643">
        <f>IF(AND(B1643=B1642,D1643=D1642,A1643=A1642,F1643=F1642),1,0)</f>
        <v/>
      </c>
      <c r="I1643">
        <f>IF(C1643="C99999",1,0)</f>
        <v/>
      </c>
      <c r="J1643" s="5">
        <f>IF(OR(H1643=1,I1643=1),0,IF(G1643="Credit",-F1643,F1643))</f>
        <v/>
      </c>
    </row>
    <row r="1644">
      <c r="A1644" t="inlineStr">
        <is>
          <t>2026-07-17</t>
        </is>
      </c>
      <c r="B1644" t="inlineStr">
        <is>
          <t>F268675</t>
        </is>
      </c>
      <c r="C1644" t="inlineStr">
        <is>
          <t>C10454</t>
        </is>
      </c>
      <c r="D1644" t="inlineStr">
        <is>
          <t>SKU-10232</t>
        </is>
      </c>
      <c r="E1644" t="inlineStr">
        <is>
          <t>AM12</t>
        </is>
      </c>
      <c r="F1644" s="5" t="n">
        <v>251.71</v>
      </c>
      <c r="G1644">
        <f>IF(LEFT(B1644,1)="C","Credit","Factuur")</f>
        <v/>
      </c>
      <c r="H1644">
        <f>IF(AND(B1644=B1643,D1644=D1643,A1644=A1643,F1644=F1643),1,0)</f>
        <v/>
      </c>
      <c r="I1644">
        <f>IF(C1644="C99999",1,0)</f>
        <v/>
      </c>
      <c r="J1644" s="5">
        <f>IF(OR(H1644=1,I1644=1),0,IF(G1644="Credit",-F1644,F1644))</f>
        <v/>
      </c>
    </row>
    <row r="1645">
      <c r="A1645" t="inlineStr">
        <is>
          <t>2026-07-17</t>
        </is>
      </c>
      <c r="B1645" t="inlineStr">
        <is>
          <t>F268688</t>
        </is>
      </c>
      <c r="C1645" t="inlineStr">
        <is>
          <t>C10454</t>
        </is>
      </c>
      <c r="D1645" t="inlineStr">
        <is>
          <t>SKU-10057</t>
        </is>
      </c>
      <c r="E1645" t="inlineStr">
        <is>
          <t>AM12</t>
        </is>
      </c>
      <c r="F1645" s="5" t="n">
        <v>99</v>
      </c>
      <c r="G1645">
        <f>IF(LEFT(B1645,1)="C","Credit","Factuur")</f>
        <v/>
      </c>
      <c r="H1645">
        <f>IF(AND(B1645=B1644,D1645=D1644,A1645=A1644,F1645=F1644),1,0)</f>
        <v/>
      </c>
      <c r="I1645">
        <f>IF(C1645="C99999",1,0)</f>
        <v/>
      </c>
      <c r="J1645" s="5">
        <f>IF(OR(H1645=1,I1645=1),0,IF(G1645="Credit",-F1645,F1645))</f>
        <v/>
      </c>
    </row>
    <row r="1646">
      <c r="A1646" t="inlineStr">
        <is>
          <t>2026-07-17</t>
        </is>
      </c>
      <c r="B1646" t="inlineStr">
        <is>
          <t>F268688</t>
        </is>
      </c>
      <c r="C1646" t="inlineStr">
        <is>
          <t>C10454</t>
        </is>
      </c>
      <c r="D1646" t="inlineStr">
        <is>
          <t>SKU-10112</t>
        </is>
      </c>
      <c r="E1646" t="inlineStr">
        <is>
          <t>AM12</t>
        </is>
      </c>
      <c r="F1646" s="5" t="n">
        <v>84.13</v>
      </c>
      <c r="G1646">
        <f>IF(LEFT(B1646,1)="C","Credit","Factuur")</f>
        <v/>
      </c>
      <c r="H1646">
        <f>IF(AND(B1646=B1645,D1646=D1645,A1646=A1645,F1646=F1645),1,0)</f>
        <v/>
      </c>
      <c r="I1646">
        <f>IF(C1646="C99999",1,0)</f>
        <v/>
      </c>
      <c r="J1646" s="5">
        <f>IF(OR(H1646=1,I1646=1),0,IF(G1646="Credit",-F1646,F1646))</f>
        <v/>
      </c>
    </row>
    <row r="1647">
      <c r="A1647" t="inlineStr">
        <is>
          <t>2026-07-17</t>
        </is>
      </c>
      <c r="B1647" t="inlineStr">
        <is>
          <t>F268688</t>
        </is>
      </c>
      <c r="C1647" t="inlineStr">
        <is>
          <t>C10454</t>
        </is>
      </c>
      <c r="D1647" t="inlineStr">
        <is>
          <t>SKU-10127</t>
        </is>
      </c>
      <c r="E1647" t="inlineStr">
        <is>
          <t>AM12</t>
        </is>
      </c>
      <c r="F1647" s="5" t="n">
        <v>82.39</v>
      </c>
      <c r="G1647">
        <f>IF(LEFT(B1647,1)="C","Credit","Factuur")</f>
        <v/>
      </c>
      <c r="H1647">
        <f>IF(AND(B1647=B1646,D1647=D1646,A1647=A1646,F1647=F1646),1,0)</f>
        <v/>
      </c>
      <c r="I1647">
        <f>IF(C1647="C99999",1,0)</f>
        <v/>
      </c>
      <c r="J1647" s="5">
        <f>IF(OR(H1647=1,I1647=1),0,IF(G1647="Credit",-F1647,F1647))</f>
        <v/>
      </c>
    </row>
    <row r="1648">
      <c r="A1648" t="inlineStr">
        <is>
          <t>2026-07-17</t>
        </is>
      </c>
      <c r="B1648" t="inlineStr">
        <is>
          <t>F268688</t>
        </is>
      </c>
      <c r="C1648" t="inlineStr">
        <is>
          <t>C10454</t>
        </is>
      </c>
      <c r="D1648" t="inlineStr">
        <is>
          <t>SKU-10211</t>
        </is>
      </c>
      <c r="E1648" t="inlineStr">
        <is>
          <t>AM12</t>
        </is>
      </c>
      <c r="F1648" s="5" t="n">
        <v>92.91</v>
      </c>
      <c r="G1648">
        <f>IF(LEFT(B1648,1)="C","Credit","Factuur")</f>
        <v/>
      </c>
      <c r="H1648">
        <f>IF(AND(B1648=B1647,D1648=D1647,A1648=A1647,F1648=F1647),1,0)</f>
        <v/>
      </c>
      <c r="I1648">
        <f>IF(C1648="C99999",1,0)</f>
        <v/>
      </c>
      <c r="J1648" s="5">
        <f>IF(OR(H1648=1,I1648=1),0,IF(G1648="Credit",-F1648,F1648))</f>
        <v/>
      </c>
    </row>
    <row r="1649">
      <c r="A1649" t="inlineStr">
        <is>
          <t>2026-07-17</t>
        </is>
      </c>
      <c r="B1649" t="inlineStr">
        <is>
          <t>F269074</t>
        </is>
      </c>
      <c r="C1649" t="inlineStr">
        <is>
          <t>C10475</t>
        </is>
      </c>
      <c r="D1649" t="inlineStr">
        <is>
          <t>SKU-10009</t>
        </is>
      </c>
      <c r="E1649" t="inlineStr">
        <is>
          <t>IS02</t>
        </is>
      </c>
      <c r="F1649" s="5" t="n">
        <v>32.42</v>
      </c>
      <c r="G1649">
        <f>IF(LEFT(B1649,1)="C","Credit","Factuur")</f>
        <v/>
      </c>
      <c r="H1649">
        <f>IF(AND(B1649=B1648,D1649=D1648,A1649=A1648,F1649=F1648),1,0)</f>
        <v/>
      </c>
      <c r="I1649">
        <f>IF(C1649="C99999",1,0)</f>
        <v/>
      </c>
      <c r="J1649" s="5">
        <f>IF(OR(H1649=1,I1649=1),0,IF(G1649="Credit",-F1649,F1649))</f>
        <v/>
      </c>
    </row>
    <row r="1650">
      <c r="A1650" t="inlineStr">
        <is>
          <t>2026-07-17</t>
        </is>
      </c>
      <c r="B1650" t="inlineStr">
        <is>
          <t>F269074</t>
        </is>
      </c>
      <c r="C1650" t="inlineStr">
        <is>
          <t>C10475</t>
        </is>
      </c>
      <c r="D1650" t="inlineStr">
        <is>
          <t>SKU-10010</t>
        </is>
      </c>
      <c r="E1650" t="inlineStr">
        <is>
          <t>IS02</t>
        </is>
      </c>
      <c r="F1650" s="5" t="n">
        <v>44.12</v>
      </c>
      <c r="G1650">
        <f>IF(LEFT(B1650,1)="C","Credit","Factuur")</f>
        <v/>
      </c>
      <c r="H1650">
        <f>IF(AND(B1650=B1649,D1650=D1649,A1650=A1649,F1650=F1649),1,0)</f>
        <v/>
      </c>
      <c r="I1650">
        <f>IF(C1650="C99999",1,0)</f>
        <v/>
      </c>
      <c r="J1650" s="5">
        <f>IF(OR(H1650=1,I1650=1),0,IF(G1650="Credit",-F1650,F1650))</f>
        <v/>
      </c>
    </row>
    <row r="1651">
      <c r="A1651" t="inlineStr">
        <is>
          <t>2026-07-17</t>
        </is>
      </c>
      <c r="B1651" t="inlineStr">
        <is>
          <t>F269074</t>
        </is>
      </c>
      <c r="C1651" t="inlineStr">
        <is>
          <t>C10475</t>
        </is>
      </c>
      <c r="D1651" t="inlineStr">
        <is>
          <t>SKU-10022</t>
        </is>
      </c>
      <c r="E1651" t="inlineStr">
        <is>
          <t>IS02</t>
        </is>
      </c>
      <c r="F1651" s="5" t="n">
        <v>38.91</v>
      </c>
      <c r="G1651">
        <f>IF(LEFT(B1651,1)="C","Credit","Factuur")</f>
        <v/>
      </c>
      <c r="H1651">
        <f>IF(AND(B1651=B1650,D1651=D1650,A1651=A1650,F1651=F1650),1,0)</f>
        <v/>
      </c>
      <c r="I1651">
        <f>IF(C1651="C99999",1,0)</f>
        <v/>
      </c>
      <c r="J1651" s="5">
        <f>IF(OR(H1651=1,I1651=1),0,IF(G1651="Credit",-F1651,F1651))</f>
        <v/>
      </c>
    </row>
    <row r="1652">
      <c r="A1652" t="inlineStr">
        <is>
          <t>2026-07-17</t>
        </is>
      </c>
      <c r="B1652" t="inlineStr">
        <is>
          <t>F269074</t>
        </is>
      </c>
      <c r="C1652" t="inlineStr">
        <is>
          <t>C10475</t>
        </is>
      </c>
      <c r="D1652" t="inlineStr">
        <is>
          <t>SKU-10074</t>
        </is>
      </c>
      <c r="E1652" t="inlineStr">
        <is>
          <t>IS02</t>
        </is>
      </c>
      <c r="F1652" s="5" t="n">
        <v>53.19</v>
      </c>
      <c r="G1652">
        <f>IF(LEFT(B1652,1)="C","Credit","Factuur")</f>
        <v/>
      </c>
      <c r="H1652">
        <f>IF(AND(B1652=B1651,D1652=D1651,A1652=A1651,F1652=F1651),1,0)</f>
        <v/>
      </c>
      <c r="I1652">
        <f>IF(C1652="C99999",1,0)</f>
        <v/>
      </c>
      <c r="J1652" s="5">
        <f>IF(OR(H1652=1,I1652=1),0,IF(G1652="Credit",-F1652,F1652))</f>
        <v/>
      </c>
    </row>
    <row r="1653">
      <c r="A1653" t="inlineStr">
        <is>
          <t>2026-07-17</t>
        </is>
      </c>
      <c r="B1653" t="inlineStr">
        <is>
          <t>F269074</t>
        </is>
      </c>
      <c r="C1653" t="inlineStr">
        <is>
          <t>C10475</t>
        </is>
      </c>
      <c r="D1653" t="inlineStr">
        <is>
          <t>SKU-10224</t>
        </is>
      </c>
      <c r="E1653" t="inlineStr">
        <is>
          <t>IS02</t>
        </is>
      </c>
      <c r="F1653" s="5" t="n">
        <v>33.25</v>
      </c>
      <c r="G1653">
        <f>IF(LEFT(B1653,1)="C","Credit","Factuur")</f>
        <v/>
      </c>
      <c r="H1653">
        <f>IF(AND(B1653=B1652,D1653=D1652,A1653=A1652,F1653=F1652),1,0)</f>
        <v/>
      </c>
      <c r="I1653">
        <f>IF(C1653="C99999",1,0)</f>
        <v/>
      </c>
      <c r="J1653" s="5">
        <f>IF(OR(H1653=1,I1653=1),0,IF(G1653="Credit",-F1653,F1653))</f>
        <v/>
      </c>
    </row>
    <row r="1654">
      <c r="A1654" t="inlineStr">
        <is>
          <t>2026-07-17</t>
        </is>
      </c>
      <c r="B1654" t="inlineStr">
        <is>
          <t>F269157</t>
        </is>
      </c>
      <c r="C1654" t="inlineStr">
        <is>
          <t>C10479</t>
        </is>
      </c>
      <c r="D1654" t="inlineStr">
        <is>
          <t>SKU-10280</t>
        </is>
      </c>
      <c r="E1654" t="inlineStr">
        <is>
          <t>AM11</t>
        </is>
      </c>
      <c r="F1654" s="5" t="n">
        <v>660.75</v>
      </c>
      <c r="G1654">
        <f>IF(LEFT(B1654,1)="C","Credit","Factuur")</f>
        <v/>
      </c>
      <c r="H1654">
        <f>IF(AND(B1654=B1653,D1654=D1653,A1654=A1653,F1654=F1653),1,0)</f>
        <v/>
      </c>
      <c r="I1654">
        <f>IF(C1654="C99999",1,0)</f>
        <v/>
      </c>
      <c r="J1654" s="5">
        <f>IF(OR(H1654=1,I1654=1),0,IF(G1654="Credit",-F1654,F1654))</f>
        <v/>
      </c>
    </row>
    <row r="1655">
      <c r="A1655" t="inlineStr">
        <is>
          <t>2026-07-17</t>
        </is>
      </c>
      <c r="B1655" t="inlineStr">
        <is>
          <t>F269274</t>
        </is>
      </c>
      <c r="C1655" t="inlineStr">
        <is>
          <t>C10488</t>
        </is>
      </c>
      <c r="D1655" t="inlineStr">
        <is>
          <t>SKU-10107</t>
        </is>
      </c>
      <c r="E1655" t="inlineStr">
        <is>
          <t>AM03</t>
        </is>
      </c>
      <c r="F1655" s="5" t="n">
        <v>2637.96</v>
      </c>
      <c r="G1655">
        <f>IF(LEFT(B1655,1)="C","Credit","Factuur")</f>
        <v/>
      </c>
      <c r="H1655">
        <f>IF(AND(B1655=B1654,D1655=D1654,A1655=A1654,F1655=F1654),1,0)</f>
        <v/>
      </c>
      <c r="I1655">
        <f>IF(C1655="C99999",1,0)</f>
        <v/>
      </c>
      <c r="J1655" s="5">
        <f>IF(OR(H1655=1,I1655=1),0,IF(G1655="Credit",-F1655,F1655))</f>
        <v/>
      </c>
    </row>
    <row r="1656">
      <c r="A1656" t="inlineStr">
        <is>
          <t>2026-07-17</t>
        </is>
      </c>
      <c r="B1656" t="inlineStr">
        <is>
          <t>F269364</t>
        </is>
      </c>
      <c r="C1656" t="inlineStr">
        <is>
          <t>C10491</t>
        </is>
      </c>
      <c r="D1656" t="inlineStr">
        <is>
          <t>SKU-10073</t>
        </is>
      </c>
      <c r="E1656" t="inlineStr">
        <is>
          <t>AM05</t>
        </is>
      </c>
      <c r="F1656" s="5" t="n">
        <v>1083.76</v>
      </c>
      <c r="G1656">
        <f>IF(LEFT(B1656,1)="C","Credit","Factuur")</f>
        <v/>
      </c>
      <c r="H1656">
        <f>IF(AND(B1656=B1655,D1656=D1655,A1656=A1655,F1656=F1655),1,0)</f>
        <v/>
      </c>
      <c r="I1656">
        <f>IF(C1656="C99999",1,0)</f>
        <v/>
      </c>
      <c r="J1656" s="5">
        <f>IF(OR(H1656=1,I1656=1),0,IF(G1656="Credit",-F1656,F1656))</f>
        <v/>
      </c>
    </row>
    <row r="1657">
      <c r="A1657" t="inlineStr">
        <is>
          <t>2026-07-17</t>
        </is>
      </c>
      <c r="B1657" t="inlineStr">
        <is>
          <t>F269364</t>
        </is>
      </c>
      <c r="C1657" t="inlineStr">
        <is>
          <t>C10491</t>
        </is>
      </c>
      <c r="D1657" t="inlineStr">
        <is>
          <t>SKU-10130</t>
        </is>
      </c>
      <c r="E1657" t="inlineStr">
        <is>
          <t>AM05</t>
        </is>
      </c>
      <c r="F1657" s="5" t="n">
        <v>1085.32</v>
      </c>
      <c r="G1657">
        <f>IF(LEFT(B1657,1)="C","Credit","Factuur")</f>
        <v/>
      </c>
      <c r="H1657">
        <f>IF(AND(B1657=B1656,D1657=D1656,A1657=A1656,F1657=F1656),1,0)</f>
        <v/>
      </c>
      <c r="I1657">
        <f>IF(C1657="C99999",1,0)</f>
        <v/>
      </c>
      <c r="J1657" s="5">
        <f>IF(OR(H1657=1,I1657=1),0,IF(G1657="Credit",-F1657,F1657))</f>
        <v/>
      </c>
    </row>
    <row r="1658">
      <c r="A1658" t="inlineStr">
        <is>
          <t>2026-07-17</t>
        </is>
      </c>
      <c r="B1658" t="inlineStr">
        <is>
          <t>F269364</t>
        </is>
      </c>
      <c r="C1658" t="inlineStr">
        <is>
          <t>C10491</t>
        </is>
      </c>
      <c r="D1658" t="inlineStr">
        <is>
          <t>SKU-10141</t>
        </is>
      </c>
      <c r="E1658" t="inlineStr">
        <is>
          <t>AM05</t>
        </is>
      </c>
      <c r="F1658" s="5" t="n">
        <v>1058.35</v>
      </c>
      <c r="G1658">
        <f>IF(LEFT(B1658,1)="C","Credit","Factuur")</f>
        <v/>
      </c>
      <c r="H1658">
        <f>IF(AND(B1658=B1657,D1658=D1657,A1658=A1657,F1658=F1657),1,0)</f>
        <v/>
      </c>
      <c r="I1658">
        <f>IF(C1658="C99999",1,0)</f>
        <v/>
      </c>
      <c r="J1658" s="5">
        <f>IF(OR(H1658=1,I1658=1),0,IF(G1658="Credit",-F1658,F1658))</f>
        <v/>
      </c>
    </row>
    <row r="1659">
      <c r="A1659" t="inlineStr">
        <is>
          <t>2026-07-17</t>
        </is>
      </c>
      <c r="B1659" t="inlineStr">
        <is>
          <t>F269364</t>
        </is>
      </c>
      <c r="C1659" t="inlineStr">
        <is>
          <t>C10491</t>
        </is>
      </c>
      <c r="D1659" t="inlineStr">
        <is>
          <t>SKU-10233</t>
        </is>
      </c>
      <c r="E1659" t="inlineStr">
        <is>
          <t>AM05</t>
        </is>
      </c>
      <c r="F1659" s="5" t="n">
        <v>1039</v>
      </c>
      <c r="G1659">
        <f>IF(LEFT(B1659,1)="C","Credit","Factuur")</f>
        <v/>
      </c>
      <c r="H1659">
        <f>IF(AND(B1659=B1658,D1659=D1658,A1659=A1658,F1659=F1658),1,0)</f>
        <v/>
      </c>
      <c r="I1659">
        <f>IF(C1659="C99999",1,0)</f>
        <v/>
      </c>
      <c r="J1659" s="5">
        <f>IF(OR(H1659=1,I1659=1),0,IF(G1659="Credit",-F1659,F1659))</f>
        <v/>
      </c>
    </row>
    <row r="1660">
      <c r="A1660" t="inlineStr">
        <is>
          <t>2026-07-17</t>
        </is>
      </c>
      <c r="B1660" t="inlineStr">
        <is>
          <t>F269507</t>
        </is>
      </c>
      <c r="C1660" t="inlineStr">
        <is>
          <t>C10499</t>
        </is>
      </c>
      <c r="D1660" t="inlineStr">
        <is>
          <t>SKU-10065</t>
        </is>
      </c>
      <c r="E1660" t="inlineStr">
        <is>
          <t>AM09</t>
        </is>
      </c>
      <c r="F1660" s="5" t="n">
        <v>3578.9</v>
      </c>
      <c r="G1660">
        <f>IF(LEFT(B1660,1)="C","Credit","Factuur")</f>
        <v/>
      </c>
      <c r="H1660">
        <f>IF(AND(B1660=B1659,D1660=D1659,A1660=A1659,F1660=F1659),1,0)</f>
        <v/>
      </c>
      <c r="I1660">
        <f>IF(C1660="C99999",1,0)</f>
        <v/>
      </c>
      <c r="J1660" s="5">
        <f>IF(OR(H1660=1,I1660=1),0,IF(G1660="Credit",-F1660,F1660))</f>
        <v/>
      </c>
    </row>
    <row r="1661">
      <c r="A1661" t="inlineStr">
        <is>
          <t>2026-07-17</t>
        </is>
      </c>
      <c r="B1661" t="inlineStr">
        <is>
          <t>F269507</t>
        </is>
      </c>
      <c r="C1661" t="inlineStr">
        <is>
          <t>C10499</t>
        </is>
      </c>
      <c r="D1661" t="inlineStr">
        <is>
          <t>SKU-10217</t>
        </is>
      </c>
      <c r="E1661" t="inlineStr">
        <is>
          <t>AM09</t>
        </is>
      </c>
      <c r="F1661" s="5" t="n">
        <v>3766.62</v>
      </c>
      <c r="G1661">
        <f>IF(LEFT(B1661,1)="C","Credit","Factuur")</f>
        <v/>
      </c>
      <c r="H1661">
        <f>IF(AND(B1661=B1660,D1661=D1660,A1661=A1660,F1661=F1660),1,0)</f>
        <v/>
      </c>
      <c r="I1661">
        <f>IF(C1661="C99999",1,0)</f>
        <v/>
      </c>
      <c r="J1661" s="5">
        <f>IF(OR(H1661=1,I1661=1),0,IF(G1661="Credit",-F1661,F1661))</f>
        <v/>
      </c>
    </row>
    <row r="1662">
      <c r="A1662" t="inlineStr">
        <is>
          <t>2026-07-17</t>
        </is>
      </c>
      <c r="B1662" t="inlineStr">
        <is>
          <t>F269507</t>
        </is>
      </c>
      <c r="C1662" t="inlineStr">
        <is>
          <t>C10499</t>
        </is>
      </c>
      <c r="D1662" t="inlineStr">
        <is>
          <t>SKU-10279</t>
        </is>
      </c>
      <c r="E1662" t="inlineStr">
        <is>
          <t>AM09</t>
        </is>
      </c>
      <c r="F1662" s="5" t="n">
        <v>3575.48</v>
      </c>
      <c r="G1662">
        <f>IF(LEFT(B1662,1)="C","Credit","Factuur")</f>
        <v/>
      </c>
      <c r="H1662">
        <f>IF(AND(B1662=B1661,D1662=D1661,A1662=A1661,F1662=F1661),1,0)</f>
        <v/>
      </c>
      <c r="I1662">
        <f>IF(C1662="C99999",1,0)</f>
        <v/>
      </c>
      <c r="J1662" s="5">
        <f>IF(OR(H1662=1,I1662=1),0,IF(G1662="Credit",-F1662,F1662))</f>
        <v/>
      </c>
    </row>
    <row r="1663">
      <c r="A1663" t="inlineStr">
        <is>
          <t>2026-07-17</t>
        </is>
      </c>
      <c r="B1663" t="inlineStr">
        <is>
          <t>F269575</t>
        </is>
      </c>
      <c r="C1663" t="inlineStr">
        <is>
          <t>C10504</t>
        </is>
      </c>
      <c r="D1663" t="inlineStr">
        <is>
          <t>SKU-10101</t>
        </is>
      </c>
      <c r="E1663" t="inlineStr">
        <is>
          <t>AM03</t>
        </is>
      </c>
      <c r="F1663" s="5" t="n">
        <v>118.76</v>
      </c>
      <c r="G1663">
        <f>IF(LEFT(B1663,1)="C","Credit","Factuur")</f>
        <v/>
      </c>
      <c r="H1663">
        <f>IF(AND(B1663=B1662,D1663=D1662,A1663=A1662,F1663=F1662),1,0)</f>
        <v/>
      </c>
      <c r="I1663">
        <f>IF(C1663="C99999",1,0)</f>
        <v/>
      </c>
      <c r="J1663" s="5">
        <f>IF(OR(H1663=1,I1663=1),0,IF(G1663="Credit",-F1663,F1663))</f>
        <v/>
      </c>
    </row>
    <row r="1664">
      <c r="A1664" t="inlineStr">
        <is>
          <t>2026-07-17</t>
        </is>
      </c>
      <c r="B1664" t="inlineStr">
        <is>
          <t>F269575</t>
        </is>
      </c>
      <c r="C1664" t="inlineStr">
        <is>
          <t>C10504</t>
        </is>
      </c>
      <c r="D1664" t="inlineStr">
        <is>
          <t>SKU-10168</t>
        </is>
      </c>
      <c r="E1664" t="inlineStr">
        <is>
          <t>AM03</t>
        </is>
      </c>
      <c r="F1664" s="5" t="n">
        <v>99.12</v>
      </c>
      <c r="G1664">
        <f>IF(LEFT(B1664,1)="C","Credit","Factuur")</f>
        <v/>
      </c>
      <c r="H1664">
        <f>IF(AND(B1664=B1663,D1664=D1663,A1664=A1663,F1664=F1663),1,0)</f>
        <v/>
      </c>
      <c r="I1664">
        <f>IF(C1664="C99999",1,0)</f>
        <v/>
      </c>
      <c r="J1664" s="5">
        <f>IF(OR(H1664=1,I1664=1),0,IF(G1664="Credit",-F1664,F1664))</f>
        <v/>
      </c>
    </row>
    <row r="1665">
      <c r="A1665" t="inlineStr">
        <is>
          <t>2026-07-17</t>
        </is>
      </c>
      <c r="B1665" t="inlineStr">
        <is>
          <t>F269575</t>
        </is>
      </c>
      <c r="C1665" t="inlineStr">
        <is>
          <t>C10504</t>
        </is>
      </c>
      <c r="D1665" t="inlineStr">
        <is>
          <t>SKU-10238</t>
        </is>
      </c>
      <c r="E1665" t="inlineStr">
        <is>
          <t>AM03</t>
        </is>
      </c>
      <c r="F1665" s="5" t="n">
        <v>96.25</v>
      </c>
      <c r="G1665">
        <f>IF(LEFT(B1665,1)="C","Credit","Factuur")</f>
        <v/>
      </c>
      <c r="H1665">
        <f>IF(AND(B1665=B1664,D1665=D1664,A1665=A1664,F1665=F1664),1,0)</f>
        <v/>
      </c>
      <c r="I1665">
        <f>IF(C1665="C99999",1,0)</f>
        <v/>
      </c>
      <c r="J1665" s="5">
        <f>IF(OR(H1665=1,I1665=1),0,IF(G1665="Credit",-F1665,F1665))</f>
        <v/>
      </c>
    </row>
    <row r="1666">
      <c r="A1666" t="inlineStr">
        <is>
          <t>2026-07-17</t>
        </is>
      </c>
      <c r="B1666" t="inlineStr">
        <is>
          <t>F270162</t>
        </is>
      </c>
      <c r="C1666" t="inlineStr">
        <is>
          <t>C10536</t>
        </is>
      </c>
      <c r="D1666" t="inlineStr">
        <is>
          <t>SKU-10021</t>
        </is>
      </c>
      <c r="E1666" t="inlineStr">
        <is>
          <t>AM11</t>
        </is>
      </c>
      <c r="F1666" s="5" t="n">
        <v>1336.41</v>
      </c>
      <c r="G1666">
        <f>IF(LEFT(B1666,1)="C","Credit","Factuur")</f>
        <v/>
      </c>
      <c r="H1666">
        <f>IF(AND(B1666=B1665,D1666=D1665,A1666=A1665,F1666=F1665),1,0)</f>
        <v/>
      </c>
      <c r="I1666">
        <f>IF(C1666="C99999",1,0)</f>
        <v/>
      </c>
      <c r="J1666" s="5">
        <f>IF(OR(H1666=1,I1666=1),0,IF(G1666="Credit",-F1666,F1666))</f>
        <v/>
      </c>
    </row>
    <row r="1667">
      <c r="A1667" t="inlineStr">
        <is>
          <t>2026-07-17</t>
        </is>
      </c>
      <c r="B1667" t="inlineStr">
        <is>
          <t>F270162</t>
        </is>
      </c>
      <c r="C1667" t="inlineStr">
        <is>
          <t>C10536</t>
        </is>
      </c>
      <c r="D1667" t="inlineStr">
        <is>
          <t>SKU-10030</t>
        </is>
      </c>
      <c r="E1667" t="inlineStr">
        <is>
          <t>AM11</t>
        </is>
      </c>
      <c r="F1667" s="5" t="n">
        <v>1360.15</v>
      </c>
      <c r="G1667">
        <f>IF(LEFT(B1667,1)="C","Credit","Factuur")</f>
        <v/>
      </c>
      <c r="H1667">
        <f>IF(AND(B1667=B1666,D1667=D1666,A1667=A1666,F1667=F1666),1,0)</f>
        <v/>
      </c>
      <c r="I1667">
        <f>IF(C1667="C99999",1,0)</f>
        <v/>
      </c>
      <c r="J1667" s="5">
        <f>IF(OR(H1667=1,I1667=1),0,IF(G1667="Credit",-F1667,F1667))</f>
        <v/>
      </c>
    </row>
    <row r="1668">
      <c r="A1668" t="inlineStr">
        <is>
          <t>2026-07-17</t>
        </is>
      </c>
      <c r="B1668" t="inlineStr">
        <is>
          <t>F270228</t>
        </is>
      </c>
      <c r="C1668" t="inlineStr">
        <is>
          <t>C10540</t>
        </is>
      </c>
      <c r="D1668" t="inlineStr">
        <is>
          <t>SKU-10007</t>
        </is>
      </c>
      <c r="E1668" t="inlineStr">
        <is>
          <t>AM08</t>
        </is>
      </c>
      <c r="F1668" s="5" t="n">
        <v>331.17</v>
      </c>
      <c r="G1668">
        <f>IF(LEFT(B1668,1)="C","Credit","Factuur")</f>
        <v/>
      </c>
      <c r="H1668">
        <f>IF(AND(B1668=B1667,D1668=D1667,A1668=A1667,F1668=F1667),1,0)</f>
        <v/>
      </c>
      <c r="I1668">
        <f>IF(C1668="C99999",1,0)</f>
        <v/>
      </c>
      <c r="J1668" s="5">
        <f>IF(OR(H1668=1,I1668=1),0,IF(G1668="Credit",-F1668,F1668))</f>
        <v/>
      </c>
    </row>
    <row r="1669">
      <c r="A1669" t="inlineStr">
        <is>
          <t>2026-07-17</t>
        </is>
      </c>
      <c r="B1669" t="inlineStr">
        <is>
          <t>F270228</t>
        </is>
      </c>
      <c r="C1669" t="inlineStr">
        <is>
          <t>C10540</t>
        </is>
      </c>
      <c r="D1669" t="inlineStr">
        <is>
          <t>SKU-10255</t>
        </is>
      </c>
      <c r="E1669" t="inlineStr">
        <is>
          <t>AM08</t>
        </is>
      </c>
      <c r="F1669" s="5" t="n">
        <v>337.07</v>
      </c>
      <c r="G1669">
        <f>IF(LEFT(B1669,1)="C","Credit","Factuur")</f>
        <v/>
      </c>
      <c r="H1669">
        <f>IF(AND(B1669=B1668,D1669=D1668,A1669=A1668,F1669=F1668),1,0)</f>
        <v/>
      </c>
      <c r="I1669">
        <f>IF(C1669="C99999",1,0)</f>
        <v/>
      </c>
      <c r="J1669" s="5">
        <f>IF(OR(H1669=1,I1669=1),0,IF(G1669="Credit",-F1669,F1669))</f>
        <v/>
      </c>
    </row>
    <row r="1670">
      <c r="A1670" t="inlineStr">
        <is>
          <t>2026-07-17</t>
        </is>
      </c>
      <c r="B1670" t="inlineStr">
        <is>
          <t>F270228</t>
        </is>
      </c>
      <c r="C1670" t="inlineStr">
        <is>
          <t>C10540</t>
        </is>
      </c>
      <c r="D1670" t="inlineStr">
        <is>
          <t>SKU-10258</t>
        </is>
      </c>
      <c r="E1670" t="inlineStr">
        <is>
          <t>AM08</t>
        </is>
      </c>
      <c r="F1670" s="5" t="n">
        <v>341.8</v>
      </c>
      <c r="G1670">
        <f>IF(LEFT(B1670,1)="C","Credit","Factuur")</f>
        <v/>
      </c>
      <c r="H1670">
        <f>IF(AND(B1670=B1669,D1670=D1669,A1670=A1669,F1670=F1669),1,0)</f>
        <v/>
      </c>
      <c r="I1670">
        <f>IF(C1670="C99999",1,0)</f>
        <v/>
      </c>
      <c r="J1670" s="5">
        <f>IF(OR(H1670=1,I1670=1),0,IF(G1670="Credit",-F1670,F1670))</f>
        <v/>
      </c>
    </row>
    <row r="1671">
      <c r="A1671" t="inlineStr">
        <is>
          <t>2026-07-17</t>
        </is>
      </c>
      <c r="B1671" t="inlineStr">
        <is>
          <t>F270228</t>
        </is>
      </c>
      <c r="C1671" t="inlineStr">
        <is>
          <t>C10540</t>
        </is>
      </c>
      <c r="D1671" t="inlineStr">
        <is>
          <t>SKU-10266</t>
        </is>
      </c>
      <c r="E1671" t="inlineStr">
        <is>
          <t>AM08</t>
        </is>
      </c>
      <c r="F1671" s="5" t="n">
        <v>306.09</v>
      </c>
      <c r="G1671">
        <f>IF(LEFT(B1671,1)="C","Credit","Factuur")</f>
        <v/>
      </c>
      <c r="H1671">
        <f>IF(AND(B1671=B1670,D1671=D1670,A1671=A1670,F1671=F1670),1,0)</f>
        <v/>
      </c>
      <c r="I1671">
        <f>IF(C1671="C99999",1,0)</f>
        <v/>
      </c>
      <c r="J1671" s="5">
        <f>IF(OR(H1671=1,I1671=1),0,IF(G1671="Credit",-F1671,F1671))</f>
        <v/>
      </c>
    </row>
    <row r="1672">
      <c r="A1672" t="inlineStr">
        <is>
          <t>2026-07-17</t>
        </is>
      </c>
      <c r="B1672" t="inlineStr">
        <is>
          <t>F270344</t>
        </is>
      </c>
      <c r="C1672" t="inlineStr">
        <is>
          <t>C10545</t>
        </is>
      </c>
      <c r="D1672" t="inlineStr">
        <is>
          <t>SKU-10042</t>
        </is>
      </c>
      <c r="E1672" t="inlineStr">
        <is>
          <t>AM02</t>
        </is>
      </c>
      <c r="F1672" s="5" t="n">
        <v>267.7</v>
      </c>
      <c r="G1672">
        <f>IF(LEFT(B1672,1)="C","Credit","Factuur")</f>
        <v/>
      </c>
      <c r="H1672">
        <f>IF(AND(B1672=B1671,D1672=D1671,A1672=A1671,F1672=F1671),1,0)</f>
        <v/>
      </c>
      <c r="I1672">
        <f>IF(C1672="C99999",1,0)</f>
        <v/>
      </c>
      <c r="J1672" s="5">
        <f>IF(OR(H1672=1,I1672=1),0,IF(G1672="Credit",-F1672,F1672))</f>
        <v/>
      </c>
    </row>
    <row r="1673">
      <c r="A1673" t="inlineStr">
        <is>
          <t>2026-07-17</t>
        </is>
      </c>
      <c r="B1673" t="inlineStr">
        <is>
          <t>F270344</t>
        </is>
      </c>
      <c r="C1673" t="inlineStr">
        <is>
          <t>C10545</t>
        </is>
      </c>
      <c r="D1673" t="inlineStr">
        <is>
          <t>SKU-10234</t>
        </is>
      </c>
      <c r="E1673" t="inlineStr">
        <is>
          <t>AM02</t>
        </is>
      </c>
      <c r="F1673" s="5" t="n">
        <v>286.2</v>
      </c>
      <c r="G1673">
        <f>IF(LEFT(B1673,1)="C","Credit","Factuur")</f>
        <v/>
      </c>
      <c r="H1673">
        <f>IF(AND(B1673=B1672,D1673=D1672,A1673=A1672,F1673=F1672),1,0)</f>
        <v/>
      </c>
      <c r="I1673">
        <f>IF(C1673="C99999",1,0)</f>
        <v/>
      </c>
      <c r="J1673" s="5">
        <f>IF(OR(H1673=1,I1673=1),0,IF(G1673="Credit",-F1673,F1673))</f>
        <v/>
      </c>
    </row>
    <row r="1674">
      <c r="A1674" t="inlineStr">
        <is>
          <t>2026-07-17</t>
        </is>
      </c>
      <c r="B1674" t="inlineStr">
        <is>
          <t>F270344</t>
        </is>
      </c>
      <c r="C1674" t="inlineStr">
        <is>
          <t>C10545</t>
        </is>
      </c>
      <c r="D1674" t="inlineStr">
        <is>
          <t>SKU-10288</t>
        </is>
      </c>
      <c r="E1674" t="inlineStr">
        <is>
          <t>AM02</t>
        </is>
      </c>
      <c r="F1674" s="5" t="n">
        <v>321.7</v>
      </c>
      <c r="G1674">
        <f>IF(LEFT(B1674,1)="C","Credit","Factuur")</f>
        <v/>
      </c>
      <c r="H1674">
        <f>IF(AND(B1674=B1673,D1674=D1673,A1674=A1673,F1674=F1673),1,0)</f>
        <v/>
      </c>
      <c r="I1674">
        <f>IF(C1674="C99999",1,0)</f>
        <v/>
      </c>
      <c r="J1674" s="5">
        <f>IF(OR(H1674=1,I1674=1),0,IF(G1674="Credit",-F1674,F1674))</f>
        <v/>
      </c>
    </row>
    <row r="1675">
      <c r="A1675" t="inlineStr">
        <is>
          <t>2026-07-17</t>
        </is>
      </c>
      <c r="B1675" t="inlineStr">
        <is>
          <t>F270432</t>
        </is>
      </c>
      <c r="C1675" t="inlineStr">
        <is>
          <t>C10549</t>
        </is>
      </c>
      <c r="D1675" t="inlineStr">
        <is>
          <t>SKU-10121</t>
        </is>
      </c>
      <c r="E1675" t="inlineStr">
        <is>
          <t>AM08</t>
        </is>
      </c>
      <c r="F1675" s="5" t="n">
        <v>519.4400000000001</v>
      </c>
      <c r="G1675">
        <f>IF(LEFT(B1675,1)="C","Credit","Factuur")</f>
        <v/>
      </c>
      <c r="H1675">
        <f>IF(AND(B1675=B1674,D1675=D1674,A1675=A1674,F1675=F1674),1,0)</f>
        <v/>
      </c>
      <c r="I1675">
        <f>IF(C1675="C99999",1,0)</f>
        <v/>
      </c>
      <c r="J1675" s="5">
        <f>IF(OR(H1675=1,I1675=1),0,IF(G1675="Credit",-F1675,F1675))</f>
        <v/>
      </c>
    </row>
    <row r="1676">
      <c r="A1676" t="inlineStr">
        <is>
          <t>2026-07-17</t>
        </is>
      </c>
      <c r="B1676" t="inlineStr">
        <is>
          <t>F270432</t>
        </is>
      </c>
      <c r="C1676" t="inlineStr">
        <is>
          <t>C10549</t>
        </is>
      </c>
      <c r="D1676" t="inlineStr">
        <is>
          <t>SKU-10171</t>
        </is>
      </c>
      <c r="E1676" t="inlineStr">
        <is>
          <t>AM08</t>
        </is>
      </c>
      <c r="F1676" s="5" t="n">
        <v>510.2</v>
      </c>
      <c r="G1676">
        <f>IF(LEFT(B1676,1)="C","Credit","Factuur")</f>
        <v/>
      </c>
      <c r="H1676">
        <f>IF(AND(B1676=B1675,D1676=D1675,A1676=A1675,F1676=F1675),1,0)</f>
        <v/>
      </c>
      <c r="I1676">
        <f>IF(C1676="C99999",1,0)</f>
        <v/>
      </c>
      <c r="J1676" s="5">
        <f>IF(OR(H1676=1,I1676=1),0,IF(G1676="Credit",-F1676,F1676))</f>
        <v/>
      </c>
    </row>
    <row r="1677">
      <c r="A1677" t="inlineStr">
        <is>
          <t>2026-07-17</t>
        </is>
      </c>
      <c r="B1677" t="inlineStr">
        <is>
          <t>F270432</t>
        </is>
      </c>
      <c r="C1677" t="inlineStr">
        <is>
          <t>C10549</t>
        </is>
      </c>
      <c r="D1677" t="inlineStr">
        <is>
          <t>SKU-10179</t>
        </is>
      </c>
      <c r="E1677" t="inlineStr">
        <is>
          <t>AM08</t>
        </is>
      </c>
      <c r="F1677" s="5" t="n">
        <v>522.48</v>
      </c>
      <c r="G1677">
        <f>IF(LEFT(B1677,1)="C","Credit","Factuur")</f>
        <v/>
      </c>
      <c r="H1677">
        <f>IF(AND(B1677=B1676,D1677=D1676,A1677=A1676,F1677=F1676),1,0)</f>
        <v/>
      </c>
      <c r="I1677">
        <f>IF(C1677="C99999",1,0)</f>
        <v/>
      </c>
      <c r="J1677" s="5">
        <f>IF(OR(H1677=1,I1677=1),0,IF(G1677="Credit",-F1677,F1677))</f>
        <v/>
      </c>
    </row>
    <row r="1678">
      <c r="A1678" t="inlineStr">
        <is>
          <t>2026-07-17</t>
        </is>
      </c>
      <c r="B1678" t="inlineStr">
        <is>
          <t>F271159</t>
        </is>
      </c>
      <c r="C1678" t="inlineStr">
        <is>
          <t>C10581</t>
        </is>
      </c>
      <c r="D1678" t="inlineStr">
        <is>
          <t>SKU-10082</t>
        </is>
      </c>
      <c r="E1678" t="inlineStr">
        <is>
          <t>AM02</t>
        </is>
      </c>
      <c r="F1678" s="5" t="n">
        <v>156.28</v>
      </c>
      <c r="G1678">
        <f>IF(LEFT(B1678,1)="C","Credit","Factuur")</f>
        <v/>
      </c>
      <c r="H1678">
        <f>IF(AND(B1678=B1677,D1678=D1677,A1678=A1677,F1678=F1677),1,0)</f>
        <v/>
      </c>
      <c r="I1678">
        <f>IF(C1678="C99999",1,0)</f>
        <v/>
      </c>
      <c r="J1678" s="5">
        <f>IF(OR(H1678=1,I1678=1),0,IF(G1678="Credit",-F1678,F1678))</f>
        <v/>
      </c>
    </row>
    <row r="1679">
      <c r="A1679" t="inlineStr">
        <is>
          <t>2026-07-17</t>
        </is>
      </c>
      <c r="B1679" t="inlineStr">
        <is>
          <t>F271159</t>
        </is>
      </c>
      <c r="C1679" t="inlineStr">
        <is>
          <t>C10581</t>
        </is>
      </c>
      <c r="D1679" t="inlineStr">
        <is>
          <t>SKU-10270</t>
        </is>
      </c>
      <c r="E1679" t="inlineStr">
        <is>
          <t>AM02</t>
        </is>
      </c>
      <c r="F1679" s="5" t="n">
        <v>154.19</v>
      </c>
      <c r="G1679">
        <f>IF(LEFT(B1679,1)="C","Credit","Factuur")</f>
        <v/>
      </c>
      <c r="H1679">
        <f>IF(AND(B1679=B1678,D1679=D1678,A1679=A1678,F1679=F1678),1,0)</f>
        <v/>
      </c>
      <c r="I1679">
        <f>IF(C1679="C99999",1,0)</f>
        <v/>
      </c>
      <c r="J1679" s="5">
        <f>IF(OR(H1679=1,I1679=1),0,IF(G1679="Credit",-F1679,F1679))</f>
        <v/>
      </c>
    </row>
    <row r="1680">
      <c r="A1680" t="inlineStr">
        <is>
          <t>2026-07-17</t>
        </is>
      </c>
      <c r="B1680" t="inlineStr">
        <is>
          <t>F271192</t>
        </is>
      </c>
      <c r="C1680" t="inlineStr">
        <is>
          <t>C10583</t>
        </is>
      </c>
      <c r="D1680" t="inlineStr">
        <is>
          <t>SKU-10152</t>
        </is>
      </c>
      <c r="E1680" t="inlineStr">
        <is>
          <t>AM01</t>
        </is>
      </c>
      <c r="F1680" s="5" t="n">
        <v>190.8</v>
      </c>
      <c r="G1680">
        <f>IF(LEFT(B1680,1)="C","Credit","Factuur")</f>
        <v/>
      </c>
      <c r="H1680">
        <f>IF(AND(B1680=B1679,D1680=D1679,A1680=A1679,F1680=F1679),1,0)</f>
        <v/>
      </c>
      <c r="I1680">
        <f>IF(C1680="C99999",1,0)</f>
        <v/>
      </c>
      <c r="J1680" s="5">
        <f>IF(OR(H1680=1,I1680=1),0,IF(G1680="Credit",-F1680,F1680))</f>
        <v/>
      </c>
    </row>
    <row r="1681">
      <c r="A1681" t="inlineStr">
        <is>
          <t>2026-07-17</t>
        </is>
      </c>
      <c r="B1681" t="inlineStr">
        <is>
          <t>F271192</t>
        </is>
      </c>
      <c r="C1681" t="inlineStr">
        <is>
          <t>C10583</t>
        </is>
      </c>
      <c r="D1681" t="inlineStr">
        <is>
          <t>SKU-10173</t>
        </is>
      </c>
      <c r="E1681" t="inlineStr">
        <is>
          <t>AM01</t>
        </is>
      </c>
      <c r="F1681" s="5" t="n">
        <v>183.82</v>
      </c>
      <c r="G1681">
        <f>IF(LEFT(B1681,1)="C","Credit","Factuur")</f>
        <v/>
      </c>
      <c r="H1681">
        <f>IF(AND(B1681=B1680,D1681=D1680,A1681=A1680,F1681=F1680),1,0)</f>
        <v/>
      </c>
      <c r="I1681">
        <f>IF(C1681="C99999",1,0)</f>
        <v/>
      </c>
      <c r="J1681" s="5">
        <f>IF(OR(H1681=1,I1681=1),0,IF(G1681="Credit",-F1681,F1681))</f>
        <v/>
      </c>
    </row>
    <row r="1682">
      <c r="A1682" t="inlineStr">
        <is>
          <t>2026-07-17</t>
        </is>
      </c>
      <c r="B1682" t="inlineStr">
        <is>
          <t>F271245</t>
        </is>
      </c>
      <c r="C1682" t="inlineStr">
        <is>
          <t>C10584</t>
        </is>
      </c>
      <c r="D1682" t="inlineStr">
        <is>
          <t>SKU-10005</t>
        </is>
      </c>
      <c r="E1682" t="inlineStr">
        <is>
          <t>AM07</t>
        </is>
      </c>
      <c r="F1682" s="5" t="n">
        <v>665.09</v>
      </c>
      <c r="G1682">
        <f>IF(LEFT(B1682,1)="C","Credit","Factuur")</f>
        <v/>
      </c>
      <c r="H1682">
        <f>IF(AND(B1682=B1681,D1682=D1681,A1682=A1681,F1682=F1681),1,0)</f>
        <v/>
      </c>
      <c r="I1682">
        <f>IF(C1682="C99999",1,0)</f>
        <v/>
      </c>
      <c r="J1682" s="5">
        <f>IF(OR(H1682=1,I1682=1),0,IF(G1682="Credit",-F1682,F1682))</f>
        <v/>
      </c>
    </row>
    <row r="1683">
      <c r="A1683" t="inlineStr">
        <is>
          <t>2026-07-17</t>
        </is>
      </c>
      <c r="B1683" t="inlineStr">
        <is>
          <t>F271245</t>
        </is>
      </c>
      <c r="C1683" t="inlineStr">
        <is>
          <t>C10584</t>
        </is>
      </c>
      <c r="D1683" t="inlineStr">
        <is>
          <t>SKU-10274</t>
        </is>
      </c>
      <c r="E1683" t="inlineStr">
        <is>
          <t>AM07</t>
        </is>
      </c>
      <c r="F1683" s="5" t="n">
        <v>755.98</v>
      </c>
      <c r="G1683">
        <f>IF(LEFT(B1683,1)="C","Credit","Factuur")</f>
        <v/>
      </c>
      <c r="H1683">
        <f>IF(AND(B1683=B1682,D1683=D1682,A1683=A1682,F1683=F1682),1,0)</f>
        <v/>
      </c>
      <c r="I1683">
        <f>IF(C1683="C99999",1,0)</f>
        <v/>
      </c>
      <c r="J1683" s="5">
        <f>IF(OR(H1683=1,I1683=1),0,IF(G1683="Credit",-F1683,F1683))</f>
        <v/>
      </c>
    </row>
    <row r="1684">
      <c r="A1684" t="inlineStr">
        <is>
          <t>2026-07-17</t>
        </is>
      </c>
      <c r="B1684" t="inlineStr">
        <is>
          <t>F271245</t>
        </is>
      </c>
      <c r="C1684" t="inlineStr">
        <is>
          <t>C10584</t>
        </is>
      </c>
      <c r="D1684" t="inlineStr">
        <is>
          <t>SKU-10306</t>
        </is>
      </c>
      <c r="E1684" t="inlineStr">
        <is>
          <t>AM07</t>
        </is>
      </c>
      <c r="F1684" s="5" t="n">
        <v>780.98</v>
      </c>
      <c r="G1684">
        <f>IF(LEFT(B1684,1)="C","Credit","Factuur")</f>
        <v/>
      </c>
      <c r="H1684">
        <f>IF(AND(B1684=B1683,D1684=D1683,A1684=A1683,F1684=F1683),1,0)</f>
        <v/>
      </c>
      <c r="I1684">
        <f>IF(C1684="C99999",1,0)</f>
        <v/>
      </c>
      <c r="J1684" s="5">
        <f>IF(OR(H1684=1,I1684=1),0,IF(G1684="Credit",-F1684,F1684))</f>
        <v/>
      </c>
    </row>
    <row r="1685">
      <c r="A1685" t="inlineStr">
        <is>
          <t>2026-07-17</t>
        </is>
      </c>
      <c r="B1685" t="inlineStr">
        <is>
          <t>F271246</t>
        </is>
      </c>
      <c r="C1685" t="inlineStr">
        <is>
          <t>C10584</t>
        </is>
      </c>
      <c r="D1685" t="inlineStr">
        <is>
          <t>SKU-10014</t>
        </is>
      </c>
      <c r="E1685" t="inlineStr">
        <is>
          <t>AM07</t>
        </is>
      </c>
      <c r="F1685" s="5" t="n">
        <v>992.92</v>
      </c>
      <c r="G1685">
        <f>IF(LEFT(B1685,1)="C","Credit","Factuur")</f>
        <v/>
      </c>
      <c r="H1685">
        <f>IF(AND(B1685=B1684,D1685=D1684,A1685=A1684,F1685=F1684),1,0)</f>
        <v/>
      </c>
      <c r="I1685">
        <f>IF(C1685="C99999",1,0)</f>
        <v/>
      </c>
      <c r="J1685" s="5">
        <f>IF(OR(H1685=1,I1685=1),0,IF(G1685="Credit",-F1685,F1685))</f>
        <v/>
      </c>
    </row>
    <row r="1686">
      <c r="A1686" t="inlineStr">
        <is>
          <t>2026-07-17</t>
        </is>
      </c>
      <c r="B1686" t="inlineStr">
        <is>
          <t>F271246</t>
        </is>
      </c>
      <c r="C1686" t="inlineStr">
        <is>
          <t>C10584</t>
        </is>
      </c>
      <c r="D1686" t="inlineStr">
        <is>
          <t>SKU-10222</t>
        </is>
      </c>
      <c r="E1686" t="inlineStr">
        <is>
          <t>AM07</t>
        </is>
      </c>
      <c r="F1686" s="5" t="n">
        <v>1024.51</v>
      </c>
      <c r="G1686">
        <f>IF(LEFT(B1686,1)="C","Credit","Factuur")</f>
        <v/>
      </c>
      <c r="H1686">
        <f>IF(AND(B1686=B1685,D1686=D1685,A1686=A1685,F1686=F1685),1,0)</f>
        <v/>
      </c>
      <c r="I1686">
        <f>IF(C1686="C99999",1,0)</f>
        <v/>
      </c>
      <c r="J1686" s="5">
        <f>IF(OR(H1686=1,I1686=1),0,IF(G1686="Credit",-F1686,F1686))</f>
        <v/>
      </c>
    </row>
    <row r="1687">
      <c r="A1687" t="inlineStr">
        <is>
          <t>2026-07-17</t>
        </is>
      </c>
      <c r="B1687" t="inlineStr">
        <is>
          <t>F271313</t>
        </is>
      </c>
      <c r="C1687" t="inlineStr">
        <is>
          <t>C10587</t>
        </is>
      </c>
      <c r="D1687" t="inlineStr">
        <is>
          <t>SKU-10087</t>
        </is>
      </c>
      <c r="E1687" t="inlineStr">
        <is>
          <t>AM01</t>
        </is>
      </c>
      <c r="F1687" s="5" t="n">
        <v>258.06</v>
      </c>
      <c r="G1687">
        <f>IF(LEFT(B1687,1)="C","Credit","Factuur")</f>
        <v/>
      </c>
      <c r="H1687">
        <f>IF(AND(B1687=B1686,D1687=D1686,A1687=A1686,F1687=F1686),1,0)</f>
        <v/>
      </c>
      <c r="I1687">
        <f>IF(C1687="C99999",1,0)</f>
        <v/>
      </c>
      <c r="J1687" s="5">
        <f>IF(OR(H1687=1,I1687=1),0,IF(G1687="Credit",-F1687,F1687))</f>
        <v/>
      </c>
    </row>
    <row r="1688">
      <c r="A1688" t="inlineStr">
        <is>
          <t>2026-07-17</t>
        </is>
      </c>
      <c r="B1688" t="inlineStr">
        <is>
          <t>F271313</t>
        </is>
      </c>
      <c r="C1688" t="inlineStr">
        <is>
          <t>C10587</t>
        </is>
      </c>
      <c r="D1688" t="inlineStr">
        <is>
          <t>SKU-10276</t>
        </is>
      </c>
      <c r="E1688" t="inlineStr">
        <is>
          <t>AM01</t>
        </is>
      </c>
      <c r="F1688" s="5" t="n">
        <v>247.52</v>
      </c>
      <c r="G1688">
        <f>IF(LEFT(B1688,1)="C","Credit","Factuur")</f>
        <v/>
      </c>
      <c r="H1688">
        <f>IF(AND(B1688=B1687,D1688=D1687,A1688=A1687,F1688=F1687),1,0)</f>
        <v/>
      </c>
      <c r="I1688">
        <f>IF(C1688="C99999",1,0)</f>
        <v/>
      </c>
      <c r="J1688" s="5">
        <f>IF(OR(H1688=1,I1688=1),0,IF(G1688="Credit",-F1688,F1688))</f>
        <v/>
      </c>
    </row>
    <row r="1689">
      <c r="A1689" t="inlineStr">
        <is>
          <t>2026-07-17</t>
        </is>
      </c>
      <c r="B1689" t="inlineStr">
        <is>
          <t>F271331</t>
        </is>
      </c>
      <c r="C1689" t="inlineStr">
        <is>
          <t>C10588</t>
        </is>
      </c>
      <c r="D1689" t="inlineStr">
        <is>
          <t>SKU-10016</t>
        </is>
      </c>
      <c r="E1689" t="inlineStr">
        <is>
          <t>AM02</t>
        </is>
      </c>
      <c r="F1689" s="5" t="n">
        <v>9058.559999999999</v>
      </c>
      <c r="G1689">
        <f>IF(LEFT(B1689,1)="C","Credit","Factuur")</f>
        <v/>
      </c>
      <c r="H1689">
        <f>IF(AND(B1689=B1688,D1689=D1688,A1689=A1688,F1689=F1688),1,0)</f>
        <v/>
      </c>
      <c r="I1689">
        <f>IF(C1689="C99999",1,0)</f>
        <v/>
      </c>
      <c r="J1689" s="5">
        <f>IF(OR(H1689=1,I1689=1),0,IF(G1689="Credit",-F1689,F1689))</f>
        <v/>
      </c>
    </row>
    <row r="1690">
      <c r="A1690" t="inlineStr">
        <is>
          <t>2026-07-17</t>
        </is>
      </c>
      <c r="B1690" t="inlineStr">
        <is>
          <t>F271331</t>
        </is>
      </c>
      <c r="C1690" t="inlineStr">
        <is>
          <t>C10588</t>
        </is>
      </c>
      <c r="D1690" t="inlineStr">
        <is>
          <t>SKU-10185</t>
        </is>
      </c>
      <c r="E1690" t="inlineStr">
        <is>
          <t>AM02</t>
        </is>
      </c>
      <c r="F1690" s="5" t="n">
        <v>9069.48</v>
      </c>
      <c r="G1690">
        <f>IF(LEFT(B1690,1)="C","Credit","Factuur")</f>
        <v/>
      </c>
      <c r="H1690">
        <f>IF(AND(B1690=B1689,D1690=D1689,A1690=A1689,F1690=F1689),1,0)</f>
        <v/>
      </c>
      <c r="I1690">
        <f>IF(C1690="C99999",1,0)</f>
        <v/>
      </c>
      <c r="J1690" s="5">
        <f>IF(OR(H1690=1,I1690=1),0,IF(G1690="Credit",-F1690,F1690))</f>
        <v/>
      </c>
    </row>
    <row r="1691">
      <c r="A1691" t="inlineStr">
        <is>
          <t>2026-07-17</t>
        </is>
      </c>
      <c r="B1691" t="inlineStr">
        <is>
          <t>F271372</t>
        </is>
      </c>
      <c r="C1691" t="inlineStr">
        <is>
          <t>C10590</t>
        </is>
      </c>
      <c r="D1691" t="inlineStr">
        <is>
          <t>SKU-10030</t>
        </is>
      </c>
      <c r="E1691" t="inlineStr">
        <is>
          <t>AM02</t>
        </is>
      </c>
      <c r="F1691" s="5" t="n">
        <v>399.39</v>
      </c>
      <c r="G1691">
        <f>IF(LEFT(B1691,1)="C","Credit","Factuur")</f>
        <v/>
      </c>
      <c r="H1691">
        <f>IF(AND(B1691=B1690,D1691=D1690,A1691=A1690,F1691=F1690),1,0)</f>
        <v/>
      </c>
      <c r="I1691">
        <f>IF(C1691="C99999",1,0)</f>
        <v/>
      </c>
      <c r="J1691" s="5">
        <f>IF(OR(H1691=1,I1691=1),0,IF(G1691="Credit",-F1691,F1691))</f>
        <v/>
      </c>
    </row>
    <row r="1692">
      <c r="A1692" t="inlineStr">
        <is>
          <t>2026-07-17</t>
        </is>
      </c>
      <c r="B1692" t="inlineStr">
        <is>
          <t>F271372</t>
        </is>
      </c>
      <c r="C1692" t="inlineStr">
        <is>
          <t>C10590</t>
        </is>
      </c>
      <c r="D1692" t="inlineStr">
        <is>
          <t>SKU-10106</t>
        </is>
      </c>
      <c r="E1692" t="inlineStr">
        <is>
          <t>AM02</t>
        </is>
      </c>
      <c r="F1692" s="5" t="n">
        <v>363.62</v>
      </c>
      <c r="G1692">
        <f>IF(LEFT(B1692,1)="C","Credit","Factuur")</f>
        <v/>
      </c>
      <c r="H1692">
        <f>IF(AND(B1692=B1691,D1692=D1691,A1692=A1691,F1692=F1691),1,0)</f>
        <v/>
      </c>
      <c r="I1692">
        <f>IF(C1692="C99999",1,0)</f>
        <v/>
      </c>
      <c r="J1692" s="5">
        <f>IF(OR(H1692=1,I1692=1),0,IF(G1692="Credit",-F1692,F1692))</f>
        <v/>
      </c>
    </row>
    <row r="1693">
      <c r="A1693" t="inlineStr">
        <is>
          <t>2026-07-17</t>
        </is>
      </c>
      <c r="B1693" t="inlineStr">
        <is>
          <t>F271372</t>
        </is>
      </c>
      <c r="C1693" t="inlineStr">
        <is>
          <t>C10590</t>
        </is>
      </c>
      <c r="D1693" t="inlineStr">
        <is>
          <t>SKU-10323</t>
        </is>
      </c>
      <c r="E1693" t="inlineStr">
        <is>
          <t>AM02</t>
        </is>
      </c>
      <c r="F1693" s="5" t="n">
        <v>405.95</v>
      </c>
      <c r="G1693">
        <f>IF(LEFT(B1693,1)="C","Credit","Factuur")</f>
        <v/>
      </c>
      <c r="H1693">
        <f>IF(AND(B1693=B1692,D1693=D1692,A1693=A1692,F1693=F1692),1,0)</f>
        <v/>
      </c>
      <c r="I1693">
        <f>IF(C1693="C99999",1,0)</f>
        <v/>
      </c>
      <c r="J1693" s="5">
        <f>IF(OR(H1693=1,I1693=1),0,IF(G1693="Credit",-F1693,F1693))</f>
        <v/>
      </c>
    </row>
    <row r="1694">
      <c r="A1694" t="inlineStr">
        <is>
          <t>2026-07-17</t>
        </is>
      </c>
      <c r="B1694" t="inlineStr">
        <is>
          <t>F271614</t>
        </is>
      </c>
      <c r="C1694" t="inlineStr">
        <is>
          <t>C10598</t>
        </is>
      </c>
      <c r="D1694" t="inlineStr">
        <is>
          <t>SKU-10132</t>
        </is>
      </c>
      <c r="E1694" t="inlineStr">
        <is>
          <t>AM03</t>
        </is>
      </c>
      <c r="F1694" s="5" t="n">
        <v>128.2</v>
      </c>
      <c r="G1694">
        <f>IF(LEFT(B1694,1)="C","Credit","Factuur")</f>
        <v/>
      </c>
      <c r="H1694">
        <f>IF(AND(B1694=B1693,D1694=D1693,A1694=A1693,F1694=F1693),1,0)</f>
        <v/>
      </c>
      <c r="I1694">
        <f>IF(C1694="C99999",1,0)</f>
        <v/>
      </c>
      <c r="J1694" s="5">
        <f>IF(OR(H1694=1,I1694=1),0,IF(G1694="Credit",-F1694,F1694))</f>
        <v/>
      </c>
    </row>
    <row r="1695">
      <c r="A1695" t="inlineStr">
        <is>
          <t>2026-07-17</t>
        </is>
      </c>
      <c r="B1695" t="inlineStr">
        <is>
          <t>F272068</t>
        </is>
      </c>
      <c r="C1695" t="inlineStr">
        <is>
          <t>C10625</t>
        </is>
      </c>
      <c r="D1695" t="inlineStr">
        <is>
          <t>SKU-10263</t>
        </is>
      </c>
      <c r="E1695" t="inlineStr">
        <is>
          <t>AM01</t>
        </is>
      </c>
      <c r="F1695" s="5" t="n">
        <v>531.5700000000001</v>
      </c>
      <c r="G1695">
        <f>IF(LEFT(B1695,1)="C","Credit","Factuur")</f>
        <v/>
      </c>
      <c r="H1695">
        <f>IF(AND(B1695=B1694,D1695=D1694,A1695=A1694,F1695=F1694),1,0)</f>
        <v/>
      </c>
      <c r="I1695">
        <f>IF(C1695="C99999",1,0)</f>
        <v/>
      </c>
      <c r="J1695" s="5">
        <f>IF(OR(H1695=1,I1695=1),0,IF(G1695="Credit",-F1695,F1695))</f>
        <v/>
      </c>
    </row>
    <row r="1696">
      <c r="A1696" t="inlineStr">
        <is>
          <t>2026-07-17</t>
        </is>
      </c>
      <c r="B1696" t="inlineStr">
        <is>
          <t>F272068</t>
        </is>
      </c>
      <c r="C1696" t="inlineStr">
        <is>
          <t>C10625</t>
        </is>
      </c>
      <c r="D1696" t="inlineStr">
        <is>
          <t>SKU-10314</t>
        </is>
      </c>
      <c r="E1696" t="inlineStr">
        <is>
          <t>AM01</t>
        </is>
      </c>
      <c r="F1696" s="5" t="n">
        <v>502.74</v>
      </c>
      <c r="G1696">
        <f>IF(LEFT(B1696,1)="C","Credit","Factuur")</f>
        <v/>
      </c>
      <c r="H1696">
        <f>IF(AND(B1696=B1695,D1696=D1695,A1696=A1695,F1696=F1695),1,0)</f>
        <v/>
      </c>
      <c r="I1696">
        <f>IF(C1696="C99999",1,0)</f>
        <v/>
      </c>
      <c r="J1696" s="5">
        <f>IF(OR(H1696=1,I1696=1),0,IF(G1696="Credit",-F1696,F1696))</f>
        <v/>
      </c>
    </row>
    <row r="1697">
      <c r="A1697" t="inlineStr">
        <is>
          <t>2026-07-17</t>
        </is>
      </c>
      <c r="B1697" t="inlineStr">
        <is>
          <t>F272144</t>
        </is>
      </c>
      <c r="C1697" t="inlineStr">
        <is>
          <t>C10628</t>
        </is>
      </c>
      <c r="D1697" t="inlineStr">
        <is>
          <t>SKU-10007</t>
        </is>
      </c>
      <c r="E1697" t="inlineStr">
        <is>
          <t>AM11</t>
        </is>
      </c>
      <c r="F1697" s="5" t="n">
        <v>2176.26</v>
      </c>
      <c r="G1697">
        <f>IF(LEFT(B1697,1)="C","Credit","Factuur")</f>
        <v/>
      </c>
      <c r="H1697">
        <f>IF(AND(B1697=B1696,D1697=D1696,A1697=A1696,F1697=F1696),1,0)</f>
        <v/>
      </c>
      <c r="I1697">
        <f>IF(C1697="C99999",1,0)</f>
        <v/>
      </c>
      <c r="J1697" s="5">
        <f>IF(OR(H1697=1,I1697=1),0,IF(G1697="Credit",-F1697,F1697))</f>
        <v/>
      </c>
    </row>
    <row r="1698">
      <c r="A1698" t="inlineStr">
        <is>
          <t>2026-07-17</t>
        </is>
      </c>
      <c r="B1698" t="inlineStr">
        <is>
          <t>F272246</t>
        </is>
      </c>
      <c r="C1698" t="inlineStr">
        <is>
          <t>C10634</t>
        </is>
      </c>
      <c r="D1698" t="inlineStr">
        <is>
          <t>SKU-10317</t>
        </is>
      </c>
      <c r="E1698" t="inlineStr">
        <is>
          <t>AM11</t>
        </is>
      </c>
      <c r="F1698" s="5" t="n">
        <v>2549.32</v>
      </c>
      <c r="G1698">
        <f>IF(LEFT(B1698,1)="C","Credit","Factuur")</f>
        <v/>
      </c>
      <c r="H1698">
        <f>IF(AND(B1698=B1697,D1698=D1697,A1698=A1697,F1698=F1697),1,0)</f>
        <v/>
      </c>
      <c r="I1698">
        <f>IF(C1698="C99999",1,0)</f>
        <v/>
      </c>
      <c r="J1698" s="5">
        <f>IF(OR(H1698=1,I1698=1),0,IF(G1698="Credit",-F1698,F1698))</f>
        <v/>
      </c>
    </row>
    <row r="1699">
      <c r="A1699" t="inlineStr">
        <is>
          <t>2026-07-17</t>
        </is>
      </c>
      <c r="B1699" t="inlineStr">
        <is>
          <t>F272913</t>
        </is>
      </c>
      <c r="C1699" t="inlineStr">
        <is>
          <t>C10672</t>
        </is>
      </c>
      <c r="D1699" t="inlineStr">
        <is>
          <t>SKU-10019</t>
        </is>
      </c>
      <c r="E1699" t="inlineStr">
        <is>
          <t>AM08</t>
        </is>
      </c>
      <c r="F1699" s="5" t="n">
        <v>38.73</v>
      </c>
      <c r="G1699">
        <f>IF(LEFT(B1699,1)="C","Credit","Factuur")</f>
        <v/>
      </c>
      <c r="H1699">
        <f>IF(AND(B1699=B1698,D1699=D1698,A1699=A1698,F1699=F1698),1,0)</f>
        <v/>
      </c>
      <c r="I1699">
        <f>IF(C1699="C99999",1,0)</f>
        <v/>
      </c>
      <c r="J1699" s="5">
        <f>IF(OR(H1699=1,I1699=1),0,IF(G1699="Credit",-F1699,F1699))</f>
        <v/>
      </c>
    </row>
    <row r="1700">
      <c r="A1700" t="inlineStr">
        <is>
          <t>2026-07-17</t>
        </is>
      </c>
      <c r="B1700" t="inlineStr">
        <is>
          <t>F272913</t>
        </is>
      </c>
      <c r="C1700" t="inlineStr">
        <is>
          <t>C10672</t>
        </is>
      </c>
      <c r="D1700" t="inlineStr">
        <is>
          <t>SKU-10023</t>
        </is>
      </c>
      <c r="E1700" t="inlineStr">
        <is>
          <t>AM08</t>
        </is>
      </c>
      <c r="F1700" s="5" t="n">
        <v>50.72</v>
      </c>
      <c r="G1700">
        <f>IF(LEFT(B1700,1)="C","Credit","Factuur")</f>
        <v/>
      </c>
      <c r="H1700">
        <f>IF(AND(B1700=B1699,D1700=D1699,A1700=A1699,F1700=F1699),1,0)</f>
        <v/>
      </c>
      <c r="I1700">
        <f>IF(C1700="C99999",1,0)</f>
        <v/>
      </c>
      <c r="J1700" s="5">
        <f>IF(OR(H1700=1,I1700=1),0,IF(G1700="Credit",-F1700,F1700))</f>
        <v/>
      </c>
    </row>
    <row r="1701">
      <c r="A1701" t="inlineStr">
        <is>
          <t>2026-07-17</t>
        </is>
      </c>
      <c r="B1701" t="inlineStr">
        <is>
          <t>F272913</t>
        </is>
      </c>
      <c r="C1701" t="inlineStr">
        <is>
          <t>C10672</t>
        </is>
      </c>
      <c r="D1701" t="inlineStr">
        <is>
          <t>SKU-10045</t>
        </is>
      </c>
      <c r="E1701" t="inlineStr">
        <is>
          <t>AM08</t>
        </is>
      </c>
      <c r="F1701" s="5" t="n">
        <v>34.24</v>
      </c>
      <c r="G1701">
        <f>IF(LEFT(B1701,1)="C","Credit","Factuur")</f>
        <v/>
      </c>
      <c r="H1701">
        <f>IF(AND(B1701=B1700,D1701=D1700,A1701=A1700,F1701=F1700),1,0)</f>
        <v/>
      </c>
      <c r="I1701">
        <f>IF(C1701="C99999",1,0)</f>
        <v/>
      </c>
      <c r="J1701" s="5">
        <f>IF(OR(H1701=1,I1701=1),0,IF(G1701="Credit",-F1701,F1701))</f>
        <v/>
      </c>
    </row>
    <row r="1702">
      <c r="A1702" t="inlineStr">
        <is>
          <t>2026-07-17</t>
        </is>
      </c>
      <c r="B1702" t="inlineStr">
        <is>
          <t>F272913</t>
        </is>
      </c>
      <c r="C1702" t="inlineStr">
        <is>
          <t>C10672</t>
        </is>
      </c>
      <c r="D1702" t="inlineStr">
        <is>
          <t>SKU-10229</t>
        </is>
      </c>
      <c r="E1702" t="inlineStr">
        <is>
          <t>AM08</t>
        </is>
      </c>
      <c r="F1702" s="5" t="n">
        <v>35.12</v>
      </c>
      <c r="G1702">
        <f>IF(LEFT(B1702,1)="C","Credit","Factuur")</f>
        <v/>
      </c>
      <c r="H1702">
        <f>IF(AND(B1702=B1701,D1702=D1701,A1702=A1701,F1702=F1701),1,0)</f>
        <v/>
      </c>
      <c r="I1702">
        <f>IF(C1702="C99999",1,0)</f>
        <v/>
      </c>
      <c r="J1702" s="5">
        <f>IF(OR(H1702=1,I1702=1),0,IF(G1702="Credit",-F1702,F1702))</f>
        <v/>
      </c>
    </row>
    <row r="1703">
      <c r="A1703" t="inlineStr">
        <is>
          <t>2026-07-17</t>
        </is>
      </c>
      <c r="B1703" t="inlineStr">
        <is>
          <t>F272913</t>
        </is>
      </c>
      <c r="C1703" t="inlineStr">
        <is>
          <t>C10672</t>
        </is>
      </c>
      <c r="D1703" t="inlineStr">
        <is>
          <t>SKU-10317</t>
        </is>
      </c>
      <c r="E1703" t="inlineStr">
        <is>
          <t>AM08</t>
        </is>
      </c>
      <c r="F1703" s="5" t="n">
        <v>24.94</v>
      </c>
      <c r="G1703">
        <f>IF(LEFT(B1703,1)="C","Credit","Factuur")</f>
        <v/>
      </c>
      <c r="H1703">
        <f>IF(AND(B1703=B1702,D1703=D1702,A1703=A1702,F1703=F1702),1,0)</f>
        <v/>
      </c>
      <c r="I1703">
        <f>IF(C1703="C99999",1,0)</f>
        <v/>
      </c>
      <c r="J1703" s="5">
        <f>IF(OR(H1703=1,I1703=1),0,IF(G1703="Credit",-F1703,F1703))</f>
        <v/>
      </c>
    </row>
    <row r="1704">
      <c r="A1704" t="inlineStr">
        <is>
          <t>2026-07-17</t>
        </is>
      </c>
      <c r="B1704" t="inlineStr">
        <is>
          <t>F272913</t>
        </is>
      </c>
      <c r="C1704" t="inlineStr">
        <is>
          <t>C10672</t>
        </is>
      </c>
      <c r="D1704" t="inlineStr">
        <is>
          <t>SKU-10343</t>
        </is>
      </c>
      <c r="E1704" t="inlineStr">
        <is>
          <t>AM08</t>
        </is>
      </c>
      <c r="F1704" s="5" t="n">
        <v>24.07</v>
      </c>
      <c r="G1704">
        <f>IF(LEFT(B1704,1)="C","Credit","Factuur")</f>
        <v/>
      </c>
      <c r="H1704">
        <f>IF(AND(B1704=B1703,D1704=D1703,A1704=A1703,F1704=F1703),1,0)</f>
        <v/>
      </c>
      <c r="I1704">
        <f>IF(C1704="C99999",1,0)</f>
        <v/>
      </c>
      <c r="J1704" s="5">
        <f>IF(OR(H1704=1,I1704=1),0,IF(G1704="Credit",-F1704,F1704))</f>
        <v/>
      </c>
    </row>
    <row r="1705">
      <c r="A1705" t="inlineStr">
        <is>
          <t>2026-07-17</t>
        </is>
      </c>
      <c r="B1705" t="inlineStr">
        <is>
          <t>F273073</t>
        </is>
      </c>
      <c r="C1705" t="inlineStr">
        <is>
          <t>C10684</t>
        </is>
      </c>
      <c r="D1705" t="inlineStr">
        <is>
          <t>SKU-10003</t>
        </is>
      </c>
      <c r="E1705" t="inlineStr">
        <is>
          <t>AM02</t>
        </is>
      </c>
      <c r="F1705" s="5" t="n">
        <v>82.65000000000001</v>
      </c>
      <c r="G1705">
        <f>IF(LEFT(B1705,1)="C","Credit","Factuur")</f>
        <v/>
      </c>
      <c r="H1705">
        <f>IF(AND(B1705=B1704,D1705=D1704,A1705=A1704,F1705=F1704),1,0)</f>
        <v/>
      </c>
      <c r="I1705">
        <f>IF(C1705="C99999",1,0)</f>
        <v/>
      </c>
      <c r="J1705" s="5">
        <f>IF(OR(H1705=1,I1705=1),0,IF(G1705="Credit",-F1705,F1705))</f>
        <v/>
      </c>
    </row>
    <row r="1706">
      <c r="A1706" t="inlineStr">
        <is>
          <t>2026-07-17</t>
        </is>
      </c>
      <c r="B1706" t="inlineStr">
        <is>
          <t>F273073</t>
        </is>
      </c>
      <c r="C1706" t="inlineStr">
        <is>
          <t>C10684</t>
        </is>
      </c>
      <c r="D1706" t="inlineStr">
        <is>
          <t>SKU-10065</t>
        </is>
      </c>
      <c r="E1706" t="inlineStr">
        <is>
          <t>AM02</t>
        </is>
      </c>
      <c r="F1706" s="5" t="n">
        <v>93.61</v>
      </c>
      <c r="G1706">
        <f>IF(LEFT(B1706,1)="C","Credit","Factuur")</f>
        <v/>
      </c>
      <c r="H1706">
        <f>IF(AND(B1706=B1705,D1706=D1705,A1706=A1705,F1706=F1705),1,0)</f>
        <v/>
      </c>
      <c r="I1706">
        <f>IF(C1706="C99999",1,0)</f>
        <v/>
      </c>
      <c r="J1706" s="5">
        <f>IF(OR(H1706=1,I1706=1),0,IF(G1706="Credit",-F1706,F1706))</f>
        <v/>
      </c>
    </row>
    <row r="1707">
      <c r="A1707" t="inlineStr">
        <is>
          <t>2026-07-17</t>
        </is>
      </c>
      <c r="B1707" t="inlineStr">
        <is>
          <t>F273073</t>
        </is>
      </c>
      <c r="C1707" t="inlineStr">
        <is>
          <t>C10684</t>
        </is>
      </c>
      <c r="D1707" t="inlineStr">
        <is>
          <t>SKU-10173</t>
        </is>
      </c>
      <c r="E1707" t="inlineStr">
        <is>
          <t>AM02</t>
        </is>
      </c>
      <c r="F1707" s="5" t="n">
        <v>86</v>
      </c>
      <c r="G1707">
        <f>IF(LEFT(B1707,1)="C","Credit","Factuur")</f>
        <v/>
      </c>
      <c r="H1707">
        <f>IF(AND(B1707=B1706,D1707=D1706,A1707=A1706,F1707=F1706),1,0)</f>
        <v/>
      </c>
      <c r="I1707">
        <f>IF(C1707="C99999",1,0)</f>
        <v/>
      </c>
      <c r="J1707" s="5">
        <f>IF(OR(H1707=1,I1707=1),0,IF(G1707="Credit",-F1707,F1707))</f>
        <v/>
      </c>
    </row>
    <row r="1708">
      <c r="A1708" t="inlineStr">
        <is>
          <t>2026-07-17</t>
        </is>
      </c>
      <c r="B1708" t="inlineStr">
        <is>
          <t>F273073</t>
        </is>
      </c>
      <c r="C1708" t="inlineStr">
        <is>
          <t>C10684</t>
        </is>
      </c>
      <c r="D1708" t="inlineStr">
        <is>
          <t>SKU-10236</t>
        </is>
      </c>
      <c r="E1708" t="inlineStr">
        <is>
          <t>AM02</t>
        </is>
      </c>
      <c r="F1708" s="5" t="n">
        <v>100.32</v>
      </c>
      <c r="G1708">
        <f>IF(LEFT(B1708,1)="C","Credit","Factuur")</f>
        <v/>
      </c>
      <c r="H1708">
        <f>IF(AND(B1708=B1707,D1708=D1707,A1708=A1707,F1708=F1707),1,0)</f>
        <v/>
      </c>
      <c r="I1708">
        <f>IF(C1708="C99999",1,0)</f>
        <v/>
      </c>
      <c r="J1708" s="5">
        <f>IF(OR(H1708=1,I1708=1),0,IF(G1708="Credit",-F1708,F1708))</f>
        <v/>
      </c>
    </row>
    <row r="1709">
      <c r="A1709" t="inlineStr">
        <is>
          <t>2026-07-17</t>
        </is>
      </c>
      <c r="B1709" t="inlineStr">
        <is>
          <t>F273073</t>
        </is>
      </c>
      <c r="C1709" t="inlineStr">
        <is>
          <t>C10684</t>
        </is>
      </c>
      <c r="D1709" t="inlineStr">
        <is>
          <t>SKU-10338</t>
        </is>
      </c>
      <c r="E1709" t="inlineStr">
        <is>
          <t>AM02</t>
        </is>
      </c>
      <c r="F1709" s="5" t="n">
        <v>106.16</v>
      </c>
      <c r="G1709">
        <f>IF(LEFT(B1709,1)="C","Credit","Factuur")</f>
        <v/>
      </c>
      <c r="H1709">
        <f>IF(AND(B1709=B1708,D1709=D1708,A1709=A1708,F1709=F1708),1,0)</f>
        <v/>
      </c>
      <c r="I1709">
        <f>IF(C1709="C99999",1,0)</f>
        <v/>
      </c>
      <c r="J1709" s="5">
        <f>IF(OR(H1709=1,I1709=1),0,IF(G1709="Credit",-F1709,F1709))</f>
        <v/>
      </c>
    </row>
    <row r="1710">
      <c r="A1710" t="inlineStr">
        <is>
          <t>2026-07-17</t>
        </is>
      </c>
      <c r="B1710" t="inlineStr">
        <is>
          <t>F273349</t>
        </is>
      </c>
      <c r="C1710" t="inlineStr">
        <is>
          <t>C10699</t>
        </is>
      </c>
      <c r="D1710" t="inlineStr">
        <is>
          <t>SKU-10147</t>
        </is>
      </c>
      <c r="E1710" t="inlineStr">
        <is>
          <t>AM12</t>
        </is>
      </c>
      <c r="F1710" s="5" t="n">
        <v>762.16</v>
      </c>
      <c r="G1710">
        <f>IF(LEFT(B1710,1)="C","Credit","Factuur")</f>
        <v/>
      </c>
      <c r="H1710">
        <f>IF(AND(B1710=B1709,D1710=D1709,A1710=A1709,F1710=F1709),1,0)</f>
        <v/>
      </c>
      <c r="I1710">
        <f>IF(C1710="C99999",1,0)</f>
        <v/>
      </c>
      <c r="J1710" s="5">
        <f>IF(OR(H1710=1,I1710=1),0,IF(G1710="Credit",-F1710,F1710))</f>
        <v/>
      </c>
    </row>
    <row r="1711">
      <c r="A1711" t="inlineStr">
        <is>
          <t>2026-07-17</t>
        </is>
      </c>
      <c r="B1711" t="inlineStr">
        <is>
          <t>F273349</t>
        </is>
      </c>
      <c r="C1711" t="inlineStr">
        <is>
          <t>C10699</t>
        </is>
      </c>
      <c r="D1711" t="inlineStr">
        <is>
          <t>SKU-10243</t>
        </is>
      </c>
      <c r="E1711" t="inlineStr">
        <is>
          <t>AM12</t>
        </is>
      </c>
      <c r="F1711" s="5" t="n">
        <v>781.26</v>
      </c>
      <c r="G1711">
        <f>IF(LEFT(B1711,1)="C","Credit","Factuur")</f>
        <v/>
      </c>
      <c r="H1711">
        <f>IF(AND(B1711=B1710,D1711=D1710,A1711=A1710,F1711=F1710),1,0)</f>
        <v/>
      </c>
      <c r="I1711">
        <f>IF(C1711="C99999",1,0)</f>
        <v/>
      </c>
      <c r="J1711" s="5">
        <f>IF(OR(H1711=1,I1711=1),0,IF(G1711="Credit",-F1711,F1711))</f>
        <v/>
      </c>
    </row>
    <row r="1712">
      <c r="A1712" t="inlineStr">
        <is>
          <t>2026-07-17</t>
        </is>
      </c>
      <c r="B1712" t="inlineStr">
        <is>
          <t>F273369</t>
        </is>
      </c>
      <c r="C1712" t="inlineStr">
        <is>
          <t>C10700</t>
        </is>
      </c>
      <c r="D1712" t="inlineStr">
        <is>
          <t>SKU-10164</t>
        </is>
      </c>
      <c r="E1712" t="inlineStr">
        <is>
          <t>AM11</t>
        </is>
      </c>
      <c r="F1712" s="5" t="n">
        <v>442.98</v>
      </c>
      <c r="G1712">
        <f>IF(LEFT(B1712,1)="C","Credit","Factuur")</f>
        <v/>
      </c>
      <c r="H1712">
        <f>IF(AND(B1712=B1711,D1712=D1711,A1712=A1711,F1712=F1711),1,0)</f>
        <v/>
      </c>
      <c r="I1712">
        <f>IF(C1712="C99999",1,0)</f>
        <v/>
      </c>
      <c r="J1712" s="5">
        <f>IF(OR(H1712=1,I1712=1),0,IF(G1712="Credit",-F1712,F1712))</f>
        <v/>
      </c>
    </row>
    <row r="1713">
      <c r="A1713" t="inlineStr">
        <is>
          <t>2026-07-17</t>
        </is>
      </c>
      <c r="B1713" t="inlineStr">
        <is>
          <t>F273384</t>
        </is>
      </c>
      <c r="C1713" t="inlineStr">
        <is>
          <t>C10701</t>
        </is>
      </c>
      <c r="D1713" t="inlineStr">
        <is>
          <t>SKU-10030</t>
        </is>
      </c>
      <c r="E1713" t="inlineStr">
        <is>
          <t>AM11</t>
        </is>
      </c>
      <c r="F1713" s="5" t="n">
        <v>346.22</v>
      </c>
      <c r="G1713">
        <f>IF(LEFT(B1713,1)="C","Credit","Factuur")</f>
        <v/>
      </c>
      <c r="H1713">
        <f>IF(AND(B1713=B1712,D1713=D1712,A1713=A1712,F1713=F1712),1,0)</f>
        <v/>
      </c>
      <c r="I1713">
        <f>IF(C1713="C99999",1,0)</f>
        <v/>
      </c>
      <c r="J1713" s="5">
        <f>IF(OR(H1713=1,I1713=1),0,IF(G1713="Credit",-F1713,F1713))</f>
        <v/>
      </c>
    </row>
    <row r="1714">
      <c r="A1714" t="inlineStr">
        <is>
          <t>2026-07-17</t>
        </is>
      </c>
      <c r="B1714" t="inlineStr">
        <is>
          <t>F273384</t>
        </is>
      </c>
      <c r="C1714" t="inlineStr">
        <is>
          <t>C10701</t>
        </is>
      </c>
      <c r="D1714" t="inlineStr">
        <is>
          <t>SKU-10225</t>
        </is>
      </c>
      <c r="E1714" t="inlineStr">
        <is>
          <t>AM11</t>
        </is>
      </c>
      <c r="F1714" s="5" t="n">
        <v>354.6</v>
      </c>
      <c r="G1714">
        <f>IF(LEFT(B1714,1)="C","Credit","Factuur")</f>
        <v/>
      </c>
      <c r="H1714">
        <f>IF(AND(B1714=B1713,D1714=D1713,A1714=A1713,F1714=F1713),1,0)</f>
        <v/>
      </c>
      <c r="I1714">
        <f>IF(C1714="C99999",1,0)</f>
        <v/>
      </c>
      <c r="J1714" s="5">
        <f>IF(OR(H1714=1,I1714=1),0,IF(G1714="Credit",-F1714,F1714))</f>
        <v/>
      </c>
    </row>
    <row r="1715">
      <c r="A1715" t="inlineStr">
        <is>
          <t>2026-07-17</t>
        </is>
      </c>
      <c r="B1715" t="inlineStr">
        <is>
          <t>F273384</t>
        </is>
      </c>
      <c r="C1715" t="inlineStr">
        <is>
          <t>C10701</t>
        </is>
      </c>
      <c r="D1715" t="inlineStr">
        <is>
          <t>SKU-10267</t>
        </is>
      </c>
      <c r="E1715" t="inlineStr">
        <is>
          <t>AM11</t>
        </is>
      </c>
      <c r="F1715" s="5" t="n">
        <v>336.98</v>
      </c>
      <c r="G1715">
        <f>IF(LEFT(B1715,1)="C","Credit","Factuur")</f>
        <v/>
      </c>
      <c r="H1715">
        <f>IF(AND(B1715=B1714,D1715=D1714,A1715=A1714,F1715=F1714),1,0)</f>
        <v/>
      </c>
      <c r="I1715">
        <f>IF(C1715="C99999",1,0)</f>
        <v/>
      </c>
      <c r="J1715" s="5">
        <f>IF(OR(H1715=1,I1715=1),0,IF(G1715="Credit",-F1715,F1715))</f>
        <v/>
      </c>
    </row>
    <row r="1716">
      <c r="A1716" t="inlineStr">
        <is>
          <t>2026-07-17</t>
        </is>
      </c>
      <c r="B1716" t="inlineStr">
        <is>
          <t>F273384</t>
        </is>
      </c>
      <c r="C1716" t="inlineStr">
        <is>
          <t>C10701</t>
        </is>
      </c>
      <c r="D1716" t="inlineStr">
        <is>
          <t>SKU-10305</t>
        </is>
      </c>
      <c r="E1716" t="inlineStr">
        <is>
          <t>AM11</t>
        </is>
      </c>
      <c r="F1716" s="5" t="n">
        <v>324.23</v>
      </c>
      <c r="G1716">
        <f>IF(LEFT(B1716,1)="C","Credit","Factuur")</f>
        <v/>
      </c>
      <c r="H1716">
        <f>IF(AND(B1716=B1715,D1716=D1715,A1716=A1715,F1716=F1715),1,0)</f>
        <v/>
      </c>
      <c r="I1716">
        <f>IF(C1716="C99999",1,0)</f>
        <v/>
      </c>
      <c r="J1716" s="5">
        <f>IF(OR(H1716=1,I1716=1),0,IF(G1716="Credit",-F1716,F1716))</f>
        <v/>
      </c>
    </row>
    <row r="1717">
      <c r="A1717" t="inlineStr">
        <is>
          <t>2026-07-17</t>
        </is>
      </c>
      <c r="B1717" t="inlineStr">
        <is>
          <t>F273384</t>
        </is>
      </c>
      <c r="C1717" t="inlineStr">
        <is>
          <t>C10701</t>
        </is>
      </c>
      <c r="D1717" t="inlineStr">
        <is>
          <t>SKU-10356</t>
        </is>
      </c>
      <c r="E1717" t="inlineStr">
        <is>
          <t>AM11</t>
        </is>
      </c>
      <c r="F1717" s="5" t="n">
        <v>322.65</v>
      </c>
      <c r="G1717">
        <f>IF(LEFT(B1717,1)="C","Credit","Factuur")</f>
        <v/>
      </c>
      <c r="H1717">
        <f>IF(AND(B1717=B1716,D1717=D1716,A1717=A1716,F1717=F1716),1,0)</f>
        <v/>
      </c>
      <c r="I1717">
        <f>IF(C1717="C99999",1,0)</f>
        <v/>
      </c>
      <c r="J1717" s="5">
        <f>IF(OR(H1717=1,I1717=1),0,IF(G1717="Credit",-F1717,F1717))</f>
        <v/>
      </c>
    </row>
    <row r="1718">
      <c r="A1718" t="inlineStr">
        <is>
          <t>2026-07-17</t>
        </is>
      </c>
      <c r="B1718" t="inlineStr">
        <is>
          <t>F273581</t>
        </is>
      </c>
      <c r="C1718" t="inlineStr">
        <is>
          <t>C10713</t>
        </is>
      </c>
      <c r="D1718" t="inlineStr">
        <is>
          <t>SKU-10025</t>
        </is>
      </c>
      <c r="E1718" t="inlineStr">
        <is>
          <t>AM08</t>
        </is>
      </c>
      <c r="F1718" s="5" t="n">
        <v>293.67</v>
      </c>
      <c r="G1718">
        <f>IF(LEFT(B1718,1)="C","Credit","Factuur")</f>
        <v/>
      </c>
      <c r="H1718">
        <f>IF(AND(B1718=B1717,D1718=D1717,A1718=A1717,F1718=F1717),1,0)</f>
        <v/>
      </c>
      <c r="I1718">
        <f>IF(C1718="C99999",1,0)</f>
        <v/>
      </c>
      <c r="J1718" s="5">
        <f>IF(OR(H1718=1,I1718=1),0,IF(G1718="Credit",-F1718,F1718))</f>
        <v/>
      </c>
    </row>
    <row r="1719">
      <c r="A1719" t="inlineStr">
        <is>
          <t>2026-07-17</t>
        </is>
      </c>
      <c r="B1719" t="inlineStr">
        <is>
          <t>F273581</t>
        </is>
      </c>
      <c r="C1719" t="inlineStr">
        <is>
          <t>C10713</t>
        </is>
      </c>
      <c r="D1719" t="inlineStr">
        <is>
          <t>SKU-10222</t>
        </is>
      </c>
      <c r="E1719" t="inlineStr">
        <is>
          <t>AM08</t>
        </is>
      </c>
      <c r="F1719" s="5" t="n">
        <v>254.65</v>
      </c>
      <c r="G1719">
        <f>IF(LEFT(B1719,1)="C","Credit","Factuur")</f>
        <v/>
      </c>
      <c r="H1719">
        <f>IF(AND(B1719=B1718,D1719=D1718,A1719=A1718,F1719=F1718),1,0)</f>
        <v/>
      </c>
      <c r="I1719">
        <f>IF(C1719="C99999",1,0)</f>
        <v/>
      </c>
      <c r="J1719" s="5">
        <f>IF(OR(H1719=1,I1719=1),0,IF(G1719="Credit",-F1719,F1719))</f>
        <v/>
      </c>
    </row>
    <row r="1720">
      <c r="A1720" t="inlineStr">
        <is>
          <t>2026-07-17</t>
        </is>
      </c>
      <c r="B1720" t="inlineStr">
        <is>
          <t>F273581</t>
        </is>
      </c>
      <c r="C1720" t="inlineStr">
        <is>
          <t>C10713</t>
        </is>
      </c>
      <c r="D1720" t="inlineStr">
        <is>
          <t>SKU-10295</t>
        </is>
      </c>
      <c r="E1720" t="inlineStr">
        <is>
          <t>AM08</t>
        </is>
      </c>
      <c r="F1720" s="5" t="n">
        <v>245.44</v>
      </c>
      <c r="G1720">
        <f>IF(LEFT(B1720,1)="C","Credit","Factuur")</f>
        <v/>
      </c>
      <c r="H1720">
        <f>IF(AND(B1720=B1719,D1720=D1719,A1720=A1719,F1720=F1719),1,0)</f>
        <v/>
      </c>
      <c r="I1720">
        <f>IF(C1720="C99999",1,0)</f>
        <v/>
      </c>
      <c r="J1720" s="5">
        <f>IF(OR(H1720=1,I1720=1),0,IF(G1720="Credit",-F1720,F1720))</f>
        <v/>
      </c>
    </row>
    <row r="1721">
      <c r="A1721" t="inlineStr">
        <is>
          <t>2026-07-17</t>
        </is>
      </c>
      <c r="B1721" t="inlineStr">
        <is>
          <t>F273646</t>
        </is>
      </c>
      <c r="C1721" t="inlineStr">
        <is>
          <t>C10715</t>
        </is>
      </c>
      <c r="D1721" t="inlineStr">
        <is>
          <t>SKU-10003</t>
        </is>
      </c>
      <c r="E1721" t="inlineStr">
        <is>
          <t>AM02</t>
        </is>
      </c>
      <c r="F1721" s="5" t="n">
        <v>3195.8</v>
      </c>
      <c r="G1721">
        <f>IF(LEFT(B1721,1)="C","Credit","Factuur")</f>
        <v/>
      </c>
      <c r="H1721">
        <f>IF(AND(B1721=B1720,D1721=D1720,A1721=A1720,F1721=F1720),1,0)</f>
        <v/>
      </c>
      <c r="I1721">
        <f>IF(C1721="C99999",1,0)</f>
        <v/>
      </c>
      <c r="J1721" s="5">
        <f>IF(OR(H1721=1,I1721=1),0,IF(G1721="Credit",-F1721,F1721))</f>
        <v/>
      </c>
    </row>
    <row r="1722">
      <c r="A1722" t="inlineStr">
        <is>
          <t>2026-07-17</t>
        </is>
      </c>
      <c r="B1722" t="inlineStr">
        <is>
          <t>F273646</t>
        </is>
      </c>
      <c r="C1722" t="inlineStr">
        <is>
          <t>C10715</t>
        </is>
      </c>
      <c r="D1722" t="inlineStr">
        <is>
          <t>SKU-10342</t>
        </is>
      </c>
      <c r="E1722" t="inlineStr">
        <is>
          <t>AM02</t>
        </is>
      </c>
      <c r="F1722" s="5" t="n">
        <v>3201.66</v>
      </c>
      <c r="G1722">
        <f>IF(LEFT(B1722,1)="C","Credit","Factuur")</f>
        <v/>
      </c>
      <c r="H1722">
        <f>IF(AND(B1722=B1721,D1722=D1721,A1722=A1721,F1722=F1721),1,0)</f>
        <v/>
      </c>
      <c r="I1722">
        <f>IF(C1722="C99999",1,0)</f>
        <v/>
      </c>
      <c r="J1722" s="5">
        <f>IF(OR(H1722=1,I1722=1),0,IF(G1722="Credit",-F1722,F1722))</f>
        <v/>
      </c>
    </row>
    <row r="1723">
      <c r="A1723" t="inlineStr">
        <is>
          <t>2026-07-17</t>
        </is>
      </c>
      <c r="B1723" t="inlineStr">
        <is>
          <t>F273660</t>
        </is>
      </c>
      <c r="C1723" t="inlineStr">
        <is>
          <t>C10716</t>
        </is>
      </c>
      <c r="D1723" t="inlineStr">
        <is>
          <t>SKU-10344</t>
        </is>
      </c>
      <c r="E1723" t="inlineStr">
        <is>
          <t>AM02</t>
        </is>
      </c>
      <c r="F1723" s="5" t="n">
        <v>1456</v>
      </c>
      <c r="G1723">
        <f>IF(LEFT(B1723,1)="C","Credit","Factuur")</f>
        <v/>
      </c>
      <c r="H1723">
        <f>IF(AND(B1723=B1722,D1723=D1722,A1723=A1722,F1723=F1722),1,0)</f>
        <v/>
      </c>
      <c r="I1723">
        <f>IF(C1723="C99999",1,0)</f>
        <v/>
      </c>
      <c r="J1723" s="5">
        <f>IF(OR(H1723=1,I1723=1),0,IF(G1723="Credit",-F1723,F1723))</f>
        <v/>
      </c>
    </row>
    <row r="1724">
      <c r="A1724" t="inlineStr">
        <is>
          <t>2026-07-17</t>
        </is>
      </c>
      <c r="B1724" t="inlineStr">
        <is>
          <t>F273787</t>
        </is>
      </c>
      <c r="C1724" t="inlineStr">
        <is>
          <t>C10725</t>
        </is>
      </c>
      <c r="D1724" t="inlineStr">
        <is>
          <t>SKU-10037</t>
        </is>
      </c>
      <c r="E1724" t="inlineStr">
        <is>
          <t>AM03</t>
        </is>
      </c>
      <c r="F1724" s="5" t="n">
        <v>528.34</v>
      </c>
      <c r="G1724">
        <f>IF(LEFT(B1724,1)="C","Credit","Factuur")</f>
        <v/>
      </c>
      <c r="H1724">
        <f>IF(AND(B1724=B1723,D1724=D1723,A1724=A1723,F1724=F1723),1,0)</f>
        <v/>
      </c>
      <c r="I1724">
        <f>IF(C1724="C99999",1,0)</f>
        <v/>
      </c>
      <c r="J1724" s="5">
        <f>IF(OR(H1724=1,I1724=1),0,IF(G1724="Credit",-F1724,F1724))</f>
        <v/>
      </c>
    </row>
    <row r="1725">
      <c r="A1725" t="inlineStr">
        <is>
          <t>2026-07-17</t>
        </is>
      </c>
      <c r="B1725" t="inlineStr">
        <is>
          <t>F274088</t>
        </is>
      </c>
      <c r="C1725" t="inlineStr">
        <is>
          <t>C10746</t>
        </is>
      </c>
      <c r="D1725" t="inlineStr">
        <is>
          <t>SKU-10307</t>
        </is>
      </c>
      <c r="E1725" t="inlineStr">
        <is>
          <t>AM11</t>
        </is>
      </c>
      <c r="F1725" s="5" t="n">
        <v>297.88</v>
      </c>
      <c r="G1725">
        <f>IF(LEFT(B1725,1)="C","Credit","Factuur")</f>
        <v/>
      </c>
      <c r="H1725">
        <f>IF(AND(B1725=B1724,D1725=D1724,A1725=A1724,F1725=F1724),1,0)</f>
        <v/>
      </c>
      <c r="I1725">
        <f>IF(C1725="C99999",1,0)</f>
        <v/>
      </c>
      <c r="J1725" s="5">
        <f>IF(OR(H1725=1,I1725=1),0,IF(G1725="Credit",-F1725,F1725))</f>
        <v/>
      </c>
    </row>
    <row r="1726">
      <c r="A1726" t="inlineStr">
        <is>
          <t>2026-07-17</t>
        </is>
      </c>
      <c r="B1726" t="inlineStr">
        <is>
          <t>F274547</t>
        </is>
      </c>
      <c r="C1726" t="inlineStr">
        <is>
          <t>C10768</t>
        </is>
      </c>
      <c r="D1726" t="inlineStr">
        <is>
          <t>SKU-10206</t>
        </is>
      </c>
      <c r="E1726" t="inlineStr">
        <is>
          <t>AM07</t>
        </is>
      </c>
      <c r="F1726" s="5" t="n">
        <v>784.92</v>
      </c>
      <c r="G1726">
        <f>IF(LEFT(B1726,1)="C","Credit","Factuur")</f>
        <v/>
      </c>
      <c r="H1726">
        <f>IF(AND(B1726=B1725,D1726=D1725,A1726=A1725,F1726=F1725),1,0)</f>
        <v/>
      </c>
      <c r="I1726">
        <f>IF(C1726="C99999",1,0)</f>
        <v/>
      </c>
      <c r="J1726" s="5">
        <f>IF(OR(H1726=1,I1726=1),0,IF(G1726="Credit",-F1726,F1726))</f>
        <v/>
      </c>
    </row>
    <row r="1727">
      <c r="A1727" t="inlineStr">
        <is>
          <t>2026-07-17</t>
        </is>
      </c>
      <c r="B1727" t="inlineStr">
        <is>
          <t>F274981</t>
        </is>
      </c>
      <c r="C1727" t="inlineStr">
        <is>
          <t>C10790</t>
        </is>
      </c>
      <c r="D1727" t="inlineStr">
        <is>
          <t>SKU-10184</t>
        </is>
      </c>
      <c r="E1727" t="inlineStr">
        <is>
          <t>AM03</t>
        </is>
      </c>
      <c r="F1727" s="5" t="n">
        <v>181.58</v>
      </c>
      <c r="G1727">
        <f>IF(LEFT(B1727,1)="C","Credit","Factuur")</f>
        <v/>
      </c>
      <c r="H1727">
        <f>IF(AND(B1727=B1726,D1727=D1726,A1727=A1726,F1727=F1726),1,0)</f>
        <v/>
      </c>
      <c r="I1727">
        <f>IF(C1727="C99999",1,0)</f>
        <v/>
      </c>
      <c r="J1727" s="5">
        <f>IF(OR(H1727=1,I1727=1),0,IF(G1727="Credit",-F1727,F1727))</f>
        <v/>
      </c>
    </row>
    <row r="1728">
      <c r="A1728" t="inlineStr">
        <is>
          <t>2026-07-17</t>
        </is>
      </c>
      <c r="B1728" t="inlineStr">
        <is>
          <t>F274981</t>
        </is>
      </c>
      <c r="C1728" t="inlineStr">
        <is>
          <t>C10790</t>
        </is>
      </c>
      <c r="D1728" t="inlineStr">
        <is>
          <t>SKU-10223</t>
        </is>
      </c>
      <c r="E1728" t="inlineStr">
        <is>
          <t>AM03</t>
        </is>
      </c>
      <c r="F1728" s="5" t="n">
        <v>182.16</v>
      </c>
      <c r="G1728">
        <f>IF(LEFT(B1728,1)="C","Credit","Factuur")</f>
        <v/>
      </c>
      <c r="H1728">
        <f>IF(AND(B1728=B1727,D1728=D1727,A1728=A1727,F1728=F1727),1,0)</f>
        <v/>
      </c>
      <c r="I1728">
        <f>IF(C1728="C99999",1,0)</f>
        <v/>
      </c>
      <c r="J1728" s="5">
        <f>IF(OR(H1728=1,I1728=1),0,IF(G1728="Credit",-F1728,F1728))</f>
        <v/>
      </c>
    </row>
    <row r="1729">
      <c r="A1729" t="inlineStr">
        <is>
          <t>2026-07-17</t>
        </is>
      </c>
      <c r="B1729" t="inlineStr">
        <is>
          <t>F274981</t>
        </is>
      </c>
      <c r="C1729" t="inlineStr">
        <is>
          <t>C10790</t>
        </is>
      </c>
      <c r="D1729" t="inlineStr">
        <is>
          <t>SKU-10304</t>
        </is>
      </c>
      <c r="E1729" t="inlineStr">
        <is>
          <t>AM03</t>
        </is>
      </c>
      <c r="F1729" s="5" t="n">
        <v>183.36</v>
      </c>
      <c r="G1729">
        <f>IF(LEFT(B1729,1)="C","Credit","Factuur")</f>
        <v/>
      </c>
      <c r="H1729">
        <f>IF(AND(B1729=B1728,D1729=D1728,A1729=A1728,F1729=F1728),1,0)</f>
        <v/>
      </c>
      <c r="I1729">
        <f>IF(C1729="C99999",1,0)</f>
        <v/>
      </c>
      <c r="J1729" s="5">
        <f>IF(OR(H1729=1,I1729=1),0,IF(G1729="Credit",-F1729,F1729))</f>
        <v/>
      </c>
    </row>
    <row r="1730">
      <c r="A1730" t="inlineStr">
        <is>
          <t>2026-07-17</t>
        </is>
      </c>
      <c r="B1730" t="inlineStr">
        <is>
          <t>F275237</t>
        </is>
      </c>
      <c r="C1730" t="inlineStr">
        <is>
          <t>C10802</t>
        </is>
      </c>
      <c r="D1730" t="inlineStr">
        <is>
          <t>SKU-10045</t>
        </is>
      </c>
      <c r="E1730" t="inlineStr"/>
      <c r="F1730" s="5" t="n">
        <v>665.36</v>
      </c>
      <c r="G1730">
        <f>IF(LEFT(B1730,1)="C","Credit","Factuur")</f>
        <v/>
      </c>
      <c r="H1730">
        <f>IF(AND(B1730=B1729,D1730=D1729,A1730=A1729,F1730=F1729),1,0)</f>
        <v/>
      </c>
      <c r="I1730">
        <f>IF(C1730="C99999",1,0)</f>
        <v/>
      </c>
      <c r="J1730" s="5">
        <f>IF(OR(H1730=1,I1730=1),0,IF(G1730="Credit",-F1730,F1730))</f>
        <v/>
      </c>
    </row>
    <row r="1731">
      <c r="A1731" t="inlineStr">
        <is>
          <t>2026-07-17</t>
        </is>
      </c>
      <c r="B1731" t="inlineStr">
        <is>
          <t>F275661</t>
        </is>
      </c>
      <c r="C1731" t="inlineStr">
        <is>
          <t>C10829</t>
        </is>
      </c>
      <c r="D1731" t="inlineStr">
        <is>
          <t>SKU-10008</t>
        </is>
      </c>
      <c r="E1731" t="inlineStr">
        <is>
          <t>AM05</t>
        </is>
      </c>
      <c r="F1731" s="5" t="n">
        <v>229.32</v>
      </c>
      <c r="G1731">
        <f>IF(LEFT(B1731,1)="C","Credit","Factuur")</f>
        <v/>
      </c>
      <c r="H1731">
        <f>IF(AND(B1731=B1730,D1731=D1730,A1731=A1730,F1731=F1730),1,0)</f>
        <v/>
      </c>
      <c r="I1731">
        <f>IF(C1731="C99999",1,0)</f>
        <v/>
      </c>
      <c r="J1731" s="5">
        <f>IF(OR(H1731=1,I1731=1),0,IF(G1731="Credit",-F1731,F1731))</f>
        <v/>
      </c>
    </row>
    <row r="1732">
      <c r="A1732" t="inlineStr">
        <is>
          <t>2026-07-17</t>
        </is>
      </c>
      <c r="B1732" t="inlineStr">
        <is>
          <t>F275661</t>
        </is>
      </c>
      <c r="C1732" t="inlineStr">
        <is>
          <t>C10829</t>
        </is>
      </c>
      <c r="D1732" t="inlineStr">
        <is>
          <t>SKU-10061</t>
        </is>
      </c>
      <c r="E1732" t="inlineStr">
        <is>
          <t>AM05</t>
        </is>
      </c>
      <c r="F1732" s="5" t="n">
        <v>215.46</v>
      </c>
      <c r="G1732">
        <f>IF(LEFT(B1732,1)="C","Credit","Factuur")</f>
        <v/>
      </c>
      <c r="H1732">
        <f>IF(AND(B1732=B1731,D1732=D1731,A1732=A1731,F1732=F1731),1,0)</f>
        <v/>
      </c>
      <c r="I1732">
        <f>IF(C1732="C99999",1,0)</f>
        <v/>
      </c>
      <c r="J1732" s="5">
        <f>IF(OR(H1732=1,I1732=1),0,IF(G1732="Credit",-F1732,F1732))</f>
        <v/>
      </c>
    </row>
    <row r="1733">
      <c r="A1733" t="inlineStr">
        <is>
          <t>2026-07-17</t>
        </is>
      </c>
      <c r="B1733" t="inlineStr">
        <is>
          <t>F275661</t>
        </is>
      </c>
      <c r="C1733" t="inlineStr">
        <is>
          <t>C10829</t>
        </is>
      </c>
      <c r="D1733" t="inlineStr">
        <is>
          <t>SKU-10220</t>
        </is>
      </c>
      <c r="E1733" t="inlineStr">
        <is>
          <t>AM05</t>
        </is>
      </c>
      <c r="F1733" s="5" t="n">
        <v>198.59</v>
      </c>
      <c r="G1733">
        <f>IF(LEFT(B1733,1)="C","Credit","Factuur")</f>
        <v/>
      </c>
      <c r="H1733">
        <f>IF(AND(B1733=B1732,D1733=D1732,A1733=A1732,F1733=F1732),1,0)</f>
        <v/>
      </c>
      <c r="I1733">
        <f>IF(C1733="C99999",1,0)</f>
        <v/>
      </c>
      <c r="J1733" s="5">
        <f>IF(OR(H1733=1,I1733=1),0,IF(G1733="Credit",-F1733,F1733))</f>
        <v/>
      </c>
    </row>
    <row r="1734">
      <c r="A1734" t="inlineStr">
        <is>
          <t>2026-07-17</t>
        </is>
      </c>
      <c r="B1734" t="inlineStr">
        <is>
          <t>F275661</t>
        </is>
      </c>
      <c r="C1734" t="inlineStr">
        <is>
          <t>C10829</t>
        </is>
      </c>
      <c r="D1734" t="inlineStr">
        <is>
          <t>SKU-10239</t>
        </is>
      </c>
      <c r="E1734" t="inlineStr">
        <is>
          <t>AM05</t>
        </is>
      </c>
      <c r="F1734" s="5" t="n">
        <v>198.59</v>
      </c>
      <c r="G1734">
        <f>IF(LEFT(B1734,1)="C","Credit","Factuur")</f>
        <v/>
      </c>
      <c r="H1734">
        <f>IF(AND(B1734=B1733,D1734=D1733,A1734=A1733,F1734=F1733),1,0)</f>
        <v/>
      </c>
      <c r="I1734">
        <f>IF(C1734="C99999",1,0)</f>
        <v/>
      </c>
      <c r="J1734" s="5">
        <f>IF(OR(H1734=1,I1734=1),0,IF(G1734="Credit",-F1734,F1734))</f>
        <v/>
      </c>
    </row>
    <row r="1735">
      <c r="A1735" t="inlineStr">
        <is>
          <t>2026-07-17</t>
        </is>
      </c>
      <c r="B1735" t="inlineStr">
        <is>
          <t>F275661</t>
        </is>
      </c>
      <c r="C1735" t="inlineStr">
        <is>
          <t>C10829</t>
        </is>
      </c>
      <c r="D1735" t="inlineStr">
        <is>
          <t>SKU-10255</t>
        </is>
      </c>
      <c r="E1735" t="inlineStr">
        <is>
          <t>AM05</t>
        </is>
      </c>
      <c r="F1735" s="5" t="n">
        <v>227.75</v>
      </c>
      <c r="G1735">
        <f>IF(LEFT(B1735,1)="C","Credit","Factuur")</f>
        <v/>
      </c>
      <c r="H1735">
        <f>IF(AND(B1735=B1734,D1735=D1734,A1735=A1734,F1735=F1734),1,0)</f>
        <v/>
      </c>
      <c r="I1735">
        <f>IF(C1735="C99999",1,0)</f>
        <v/>
      </c>
      <c r="J1735" s="5">
        <f>IF(OR(H1735=1,I1735=1),0,IF(G1735="Credit",-F1735,F1735))</f>
        <v/>
      </c>
    </row>
    <row r="1736">
      <c r="A1736" t="inlineStr">
        <is>
          <t>2026-07-17</t>
        </is>
      </c>
      <c r="B1736" t="inlineStr">
        <is>
          <t>F275674</t>
        </is>
      </c>
      <c r="C1736" t="inlineStr">
        <is>
          <t>C10830</t>
        </is>
      </c>
      <c r="D1736" t="inlineStr">
        <is>
          <t>SKU-10246</t>
        </is>
      </c>
      <c r="E1736" t="inlineStr">
        <is>
          <t>AM07</t>
        </is>
      </c>
      <c r="F1736" s="5" t="n">
        <v>725.76</v>
      </c>
      <c r="G1736">
        <f>IF(LEFT(B1736,1)="C","Credit","Factuur")</f>
        <v/>
      </c>
      <c r="H1736">
        <f>IF(AND(B1736=B1735,D1736=D1735,A1736=A1735,F1736=F1735),1,0)</f>
        <v/>
      </c>
      <c r="I1736">
        <f>IF(C1736="C99999",1,0)</f>
        <v/>
      </c>
      <c r="J1736" s="5">
        <f>IF(OR(H1736=1,I1736=1),0,IF(G1736="Credit",-F1736,F1736))</f>
        <v/>
      </c>
    </row>
    <row r="1737">
      <c r="A1737" t="inlineStr">
        <is>
          <t>2026-07-17</t>
        </is>
      </c>
      <c r="B1737" t="inlineStr">
        <is>
          <t>F275674</t>
        </is>
      </c>
      <c r="C1737" t="inlineStr">
        <is>
          <t>C10830</t>
        </is>
      </c>
      <c r="D1737" t="inlineStr">
        <is>
          <t>SKU-10319</t>
        </is>
      </c>
      <c r="E1737" t="inlineStr">
        <is>
          <t>AM07</t>
        </is>
      </c>
      <c r="F1737" s="5" t="n">
        <v>723.5</v>
      </c>
      <c r="G1737">
        <f>IF(LEFT(B1737,1)="C","Credit","Factuur")</f>
        <v/>
      </c>
      <c r="H1737">
        <f>IF(AND(B1737=B1736,D1737=D1736,A1737=A1736,F1737=F1736),1,0)</f>
        <v/>
      </c>
      <c r="I1737">
        <f>IF(C1737="C99999",1,0)</f>
        <v/>
      </c>
      <c r="J1737" s="5">
        <f>IF(OR(H1737=1,I1737=1),0,IF(G1737="Credit",-F1737,F1737))</f>
        <v/>
      </c>
    </row>
    <row r="1738">
      <c r="A1738" t="inlineStr">
        <is>
          <t>2026-07-17</t>
        </is>
      </c>
      <c r="B1738" t="inlineStr">
        <is>
          <t>F275719</t>
        </is>
      </c>
      <c r="C1738" t="inlineStr">
        <is>
          <t>C10832</t>
        </is>
      </c>
      <c r="D1738" t="inlineStr">
        <is>
          <t>SKU-10205</t>
        </is>
      </c>
      <c r="E1738" t="inlineStr">
        <is>
          <t>AM05</t>
        </is>
      </c>
      <c r="F1738" s="5" t="n">
        <v>289.17</v>
      </c>
      <c r="G1738">
        <f>IF(LEFT(B1738,1)="C","Credit","Factuur")</f>
        <v/>
      </c>
      <c r="H1738">
        <f>IF(AND(B1738=B1737,D1738=D1737,A1738=A1737,F1738=F1737),1,0)</f>
        <v/>
      </c>
      <c r="I1738">
        <f>IF(C1738="C99999",1,0)</f>
        <v/>
      </c>
      <c r="J1738" s="5">
        <f>IF(OR(H1738=1,I1738=1),0,IF(G1738="Credit",-F1738,F1738))</f>
        <v/>
      </c>
    </row>
    <row r="1739">
      <c r="A1739" t="inlineStr">
        <is>
          <t>2026-07-17</t>
        </is>
      </c>
      <c r="B1739" t="inlineStr">
        <is>
          <t>F275719</t>
        </is>
      </c>
      <c r="C1739" t="inlineStr">
        <is>
          <t>C10832</t>
        </is>
      </c>
      <c r="D1739" t="inlineStr">
        <is>
          <t>SKU-10343</t>
        </is>
      </c>
      <c r="E1739" t="inlineStr">
        <is>
          <t>AM05</t>
        </is>
      </c>
      <c r="F1739" s="5" t="n">
        <v>292.64</v>
      </c>
      <c r="G1739">
        <f>IF(LEFT(B1739,1)="C","Credit","Factuur")</f>
        <v/>
      </c>
      <c r="H1739">
        <f>IF(AND(B1739=B1738,D1739=D1738,A1739=A1738,F1739=F1738),1,0)</f>
        <v/>
      </c>
      <c r="I1739">
        <f>IF(C1739="C99999",1,0)</f>
        <v/>
      </c>
      <c r="J1739" s="5">
        <f>IF(OR(H1739=1,I1739=1),0,IF(G1739="Credit",-F1739,F1739))</f>
        <v/>
      </c>
    </row>
    <row r="1740">
      <c r="A1740" t="inlineStr">
        <is>
          <t>2026-07-17</t>
        </is>
      </c>
      <c r="B1740" t="inlineStr">
        <is>
          <t>F275806</t>
        </is>
      </c>
      <c r="C1740" t="inlineStr">
        <is>
          <t>C10837</t>
        </is>
      </c>
      <c r="D1740" t="inlineStr">
        <is>
          <t>SKU-10024</t>
        </is>
      </c>
      <c r="E1740" t="inlineStr">
        <is>
          <t>AM05</t>
        </is>
      </c>
      <c r="F1740" s="5" t="n">
        <v>72.48</v>
      </c>
      <c r="G1740">
        <f>IF(LEFT(B1740,1)="C","Credit","Factuur")</f>
        <v/>
      </c>
      <c r="H1740">
        <f>IF(AND(B1740=B1739,D1740=D1739,A1740=A1739,F1740=F1739),1,0)</f>
        <v/>
      </c>
      <c r="I1740">
        <f>IF(C1740="C99999",1,0)</f>
        <v/>
      </c>
      <c r="J1740" s="5">
        <f>IF(OR(H1740=1,I1740=1),0,IF(G1740="Credit",-F1740,F1740))</f>
        <v/>
      </c>
    </row>
    <row r="1741">
      <c r="A1741" t="inlineStr">
        <is>
          <t>2026-07-17</t>
        </is>
      </c>
      <c r="B1741" t="inlineStr">
        <is>
          <t>F275806</t>
        </is>
      </c>
      <c r="C1741" t="inlineStr">
        <is>
          <t>C10837</t>
        </is>
      </c>
      <c r="D1741" t="inlineStr">
        <is>
          <t>SKU-10046</t>
        </is>
      </c>
      <c r="E1741" t="inlineStr">
        <is>
          <t>AM05</t>
        </is>
      </c>
      <c r="F1741" s="5" t="n">
        <v>63.12</v>
      </c>
      <c r="G1741">
        <f>IF(LEFT(B1741,1)="C","Credit","Factuur")</f>
        <v/>
      </c>
      <c r="H1741">
        <f>IF(AND(B1741=B1740,D1741=D1740,A1741=A1740,F1741=F1740),1,0)</f>
        <v/>
      </c>
      <c r="I1741">
        <f>IF(C1741="C99999",1,0)</f>
        <v/>
      </c>
      <c r="J1741" s="5">
        <f>IF(OR(H1741=1,I1741=1),0,IF(G1741="Credit",-F1741,F1741))</f>
        <v/>
      </c>
    </row>
    <row r="1742">
      <c r="A1742" t="inlineStr">
        <is>
          <t>2026-07-17</t>
        </is>
      </c>
      <c r="B1742" t="inlineStr">
        <is>
          <t>F275806</t>
        </is>
      </c>
      <c r="C1742" t="inlineStr">
        <is>
          <t>C10837</t>
        </is>
      </c>
      <c r="D1742" t="inlineStr">
        <is>
          <t>SKU-10275</t>
        </is>
      </c>
      <c r="E1742" t="inlineStr">
        <is>
          <t>AM05</t>
        </is>
      </c>
      <c r="F1742" s="5" t="n">
        <v>57.76</v>
      </c>
      <c r="G1742">
        <f>IF(LEFT(B1742,1)="C","Credit","Factuur")</f>
        <v/>
      </c>
      <c r="H1742">
        <f>IF(AND(B1742=B1741,D1742=D1741,A1742=A1741,F1742=F1741),1,0)</f>
        <v/>
      </c>
      <c r="I1742">
        <f>IF(C1742="C99999",1,0)</f>
        <v/>
      </c>
      <c r="J1742" s="5">
        <f>IF(OR(H1742=1,I1742=1),0,IF(G1742="Credit",-F1742,F1742))</f>
        <v/>
      </c>
    </row>
    <row r="1743">
      <c r="A1743" t="inlineStr">
        <is>
          <t>2026-07-17</t>
        </is>
      </c>
      <c r="B1743" t="inlineStr">
        <is>
          <t>F275806</t>
        </is>
      </c>
      <c r="C1743" t="inlineStr">
        <is>
          <t>C10837</t>
        </is>
      </c>
      <c r="D1743" t="inlineStr">
        <is>
          <t>SKU-10336</t>
        </is>
      </c>
      <c r="E1743" t="inlineStr">
        <is>
          <t>AM05</t>
        </is>
      </c>
      <c r="F1743" s="5" t="n">
        <v>46.91</v>
      </c>
      <c r="G1743">
        <f>IF(LEFT(B1743,1)="C","Credit","Factuur")</f>
        <v/>
      </c>
      <c r="H1743">
        <f>IF(AND(B1743=B1742,D1743=D1742,A1743=A1742,F1743=F1742),1,0)</f>
        <v/>
      </c>
      <c r="I1743">
        <f>IF(C1743="C99999",1,0)</f>
        <v/>
      </c>
      <c r="J1743" s="5">
        <f>IF(OR(H1743=1,I1743=1),0,IF(G1743="Credit",-F1743,F1743))</f>
        <v/>
      </c>
    </row>
    <row r="1744">
      <c r="A1744" t="inlineStr">
        <is>
          <t>2026-07-17</t>
        </is>
      </c>
      <c r="B1744" t="inlineStr">
        <is>
          <t>F275966</t>
        </is>
      </c>
      <c r="C1744" t="inlineStr">
        <is>
          <t>C10848</t>
        </is>
      </c>
      <c r="D1744" t="inlineStr">
        <is>
          <t>SKU-10021</t>
        </is>
      </c>
      <c r="E1744" t="inlineStr">
        <is>
          <t>AM02</t>
        </is>
      </c>
      <c r="F1744" s="5" t="n">
        <v>86.22</v>
      </c>
      <c r="G1744">
        <f>IF(LEFT(B1744,1)="C","Credit","Factuur")</f>
        <v/>
      </c>
      <c r="H1744">
        <f>IF(AND(B1744=B1743,D1744=D1743,A1744=A1743,F1744=F1743),1,0)</f>
        <v/>
      </c>
      <c r="I1744">
        <f>IF(C1744="C99999",1,0)</f>
        <v/>
      </c>
      <c r="J1744" s="5">
        <f>IF(OR(H1744=1,I1744=1),0,IF(G1744="Credit",-F1744,F1744))</f>
        <v/>
      </c>
    </row>
    <row r="1745">
      <c r="A1745" t="inlineStr">
        <is>
          <t>2026-07-17</t>
        </is>
      </c>
      <c r="B1745" t="inlineStr">
        <is>
          <t>F275966</t>
        </is>
      </c>
      <c r="C1745" t="inlineStr">
        <is>
          <t>C10848</t>
        </is>
      </c>
      <c r="D1745" t="inlineStr">
        <is>
          <t>SKU-10062</t>
        </is>
      </c>
      <c r="E1745" t="inlineStr">
        <is>
          <t>AM02</t>
        </is>
      </c>
      <c r="F1745" s="5" t="n">
        <v>67.76000000000001</v>
      </c>
      <c r="G1745">
        <f>IF(LEFT(B1745,1)="C","Credit","Factuur")</f>
        <v/>
      </c>
      <c r="H1745">
        <f>IF(AND(B1745=B1744,D1745=D1744,A1745=A1744,F1745=F1744),1,0)</f>
        <v/>
      </c>
      <c r="I1745">
        <f>IF(C1745="C99999",1,0)</f>
        <v/>
      </c>
      <c r="J1745" s="5">
        <f>IF(OR(H1745=1,I1745=1),0,IF(G1745="Credit",-F1745,F1745))</f>
        <v/>
      </c>
    </row>
    <row r="1746">
      <c r="A1746" t="inlineStr">
        <is>
          <t>2026-07-17</t>
        </is>
      </c>
      <c r="B1746" t="inlineStr">
        <is>
          <t>F275966</t>
        </is>
      </c>
      <c r="C1746" t="inlineStr">
        <is>
          <t>C10848</t>
        </is>
      </c>
      <c r="D1746" t="inlineStr">
        <is>
          <t>SKU-10278</t>
        </is>
      </c>
      <c r="E1746" t="inlineStr">
        <is>
          <t>AM02</t>
        </is>
      </c>
      <c r="F1746" s="5" t="n">
        <v>63.06</v>
      </c>
      <c r="G1746">
        <f>IF(LEFT(B1746,1)="C","Credit","Factuur")</f>
        <v/>
      </c>
      <c r="H1746">
        <f>IF(AND(B1746=B1745,D1746=D1745,A1746=A1745,F1746=F1745),1,0)</f>
        <v/>
      </c>
      <c r="I1746">
        <f>IF(C1746="C99999",1,0)</f>
        <v/>
      </c>
      <c r="J1746" s="5">
        <f>IF(OR(H1746=1,I1746=1),0,IF(G1746="Credit",-F1746,F1746))</f>
        <v/>
      </c>
    </row>
    <row r="1747">
      <c r="A1747" t="inlineStr">
        <is>
          <t>2026-07-17</t>
        </is>
      </c>
      <c r="B1747" t="inlineStr">
        <is>
          <t>F275966</t>
        </is>
      </c>
      <c r="C1747" t="inlineStr">
        <is>
          <t>C10848</t>
        </is>
      </c>
      <c r="D1747" t="inlineStr">
        <is>
          <t>SKU-10315</t>
        </is>
      </c>
      <c r="E1747" t="inlineStr"/>
      <c r="F1747" s="5" t="n">
        <v>54.45</v>
      </c>
      <c r="G1747">
        <f>IF(LEFT(B1747,1)="C","Credit","Factuur")</f>
        <v/>
      </c>
      <c r="H1747">
        <f>IF(AND(B1747=B1746,D1747=D1746,A1747=A1746,F1747=F1746),1,0)</f>
        <v/>
      </c>
      <c r="I1747">
        <f>IF(C1747="C99999",1,0)</f>
        <v/>
      </c>
      <c r="J1747" s="5">
        <f>IF(OR(H1747=1,I1747=1),0,IF(G1747="Credit",-F1747,F1747))</f>
        <v/>
      </c>
    </row>
    <row r="1748">
      <c r="A1748" t="inlineStr">
        <is>
          <t>2026-07-17</t>
        </is>
      </c>
      <c r="B1748" t="inlineStr">
        <is>
          <t>F275966</t>
        </is>
      </c>
      <c r="C1748" t="inlineStr">
        <is>
          <t>C10848</t>
        </is>
      </c>
      <c r="D1748" t="inlineStr">
        <is>
          <t>SKU-10341</t>
        </is>
      </c>
      <c r="E1748" t="inlineStr">
        <is>
          <t>AM02</t>
        </is>
      </c>
      <c r="F1748" s="5" t="n">
        <v>80.48</v>
      </c>
      <c r="G1748">
        <f>IF(LEFT(B1748,1)="C","Credit","Factuur")</f>
        <v/>
      </c>
      <c r="H1748">
        <f>IF(AND(B1748=B1747,D1748=D1747,A1748=A1747,F1748=F1747),1,0)</f>
        <v/>
      </c>
      <c r="I1748">
        <f>IF(C1748="C99999",1,0)</f>
        <v/>
      </c>
      <c r="J1748" s="5">
        <f>IF(OR(H1748=1,I1748=1),0,IF(G1748="Credit",-F1748,F1748))</f>
        <v/>
      </c>
    </row>
    <row r="1749">
      <c r="A1749" t="inlineStr">
        <is>
          <t>2026-07-17</t>
        </is>
      </c>
      <c r="B1749" t="inlineStr">
        <is>
          <t>F276034</t>
        </is>
      </c>
      <c r="C1749" t="inlineStr">
        <is>
          <t>C10851</t>
        </is>
      </c>
      <c r="D1749" t="inlineStr">
        <is>
          <t>SKU-10070</t>
        </is>
      </c>
      <c r="E1749" t="inlineStr">
        <is>
          <t>AM02</t>
        </is>
      </c>
      <c r="F1749" s="5" t="n">
        <v>312.63</v>
      </c>
      <c r="G1749">
        <f>IF(LEFT(B1749,1)="C","Credit","Factuur")</f>
        <v/>
      </c>
      <c r="H1749">
        <f>IF(AND(B1749=B1748,D1749=D1748,A1749=A1748,F1749=F1748),1,0)</f>
        <v/>
      </c>
      <c r="I1749">
        <f>IF(C1749="C99999",1,0)</f>
        <v/>
      </c>
      <c r="J1749" s="5">
        <f>IF(OR(H1749=1,I1749=1),0,IF(G1749="Credit",-F1749,F1749))</f>
        <v/>
      </c>
    </row>
    <row r="1750">
      <c r="A1750" t="inlineStr">
        <is>
          <t>2026-07-17</t>
        </is>
      </c>
      <c r="B1750" t="inlineStr">
        <is>
          <t>F276034</t>
        </is>
      </c>
      <c r="C1750" t="inlineStr">
        <is>
          <t>C10851</t>
        </is>
      </c>
      <c r="D1750" t="inlineStr">
        <is>
          <t>SKU-10116</t>
        </is>
      </c>
      <c r="E1750" t="inlineStr">
        <is>
          <t>AM02</t>
        </is>
      </c>
      <c r="F1750" s="5" t="n">
        <v>309.22</v>
      </c>
      <c r="G1750">
        <f>IF(LEFT(B1750,1)="C","Credit","Factuur")</f>
        <v/>
      </c>
      <c r="H1750">
        <f>IF(AND(B1750=B1749,D1750=D1749,A1750=A1749,F1750=F1749),1,0)</f>
        <v/>
      </c>
      <c r="I1750">
        <f>IF(C1750="C99999",1,0)</f>
        <v/>
      </c>
      <c r="J1750" s="5">
        <f>IF(OR(H1750=1,I1750=1),0,IF(G1750="Credit",-F1750,F1750))</f>
        <v/>
      </c>
    </row>
    <row r="1751">
      <c r="A1751" t="inlineStr">
        <is>
          <t>2026-07-17</t>
        </is>
      </c>
      <c r="B1751" t="inlineStr">
        <is>
          <t>F276034</t>
        </is>
      </c>
      <c r="C1751" t="inlineStr">
        <is>
          <t>C10851</t>
        </is>
      </c>
      <c r="D1751" t="inlineStr">
        <is>
          <t>SKU-10258</t>
        </is>
      </c>
      <c r="E1751" t="inlineStr">
        <is>
          <t>AM02</t>
        </is>
      </c>
      <c r="F1751" s="5" t="n">
        <v>270.71</v>
      </c>
      <c r="G1751">
        <f>IF(LEFT(B1751,1)="C","Credit","Factuur")</f>
        <v/>
      </c>
      <c r="H1751">
        <f>IF(AND(B1751=B1750,D1751=D1750,A1751=A1750,F1751=F1750),1,0)</f>
        <v/>
      </c>
      <c r="I1751">
        <f>IF(C1751="C99999",1,0)</f>
        <v/>
      </c>
      <c r="J1751" s="5">
        <f>IF(OR(H1751=1,I1751=1),0,IF(G1751="Credit",-F1751,F1751))</f>
        <v/>
      </c>
    </row>
    <row r="1752">
      <c r="A1752" t="inlineStr">
        <is>
          <t>2026-07-17</t>
        </is>
      </c>
      <c r="B1752" t="inlineStr">
        <is>
          <t>F276034</t>
        </is>
      </c>
      <c r="C1752" t="inlineStr">
        <is>
          <t>C10851</t>
        </is>
      </c>
      <c r="D1752" t="inlineStr">
        <is>
          <t>SKU-10264</t>
        </is>
      </c>
      <c r="E1752" t="inlineStr">
        <is>
          <t>AM02</t>
        </is>
      </c>
      <c r="F1752" s="5" t="n">
        <v>270.3</v>
      </c>
      <c r="G1752">
        <f>IF(LEFT(B1752,1)="C","Credit","Factuur")</f>
        <v/>
      </c>
      <c r="H1752">
        <f>IF(AND(B1752=B1751,D1752=D1751,A1752=A1751,F1752=F1751),1,0)</f>
        <v/>
      </c>
      <c r="I1752">
        <f>IF(C1752="C99999",1,0)</f>
        <v/>
      </c>
      <c r="J1752" s="5">
        <f>IF(OR(H1752=1,I1752=1),0,IF(G1752="Credit",-F1752,F1752))</f>
        <v/>
      </c>
    </row>
    <row r="1753">
      <c r="A1753" t="inlineStr">
        <is>
          <t>2026-07-17</t>
        </is>
      </c>
      <c r="B1753" t="inlineStr">
        <is>
          <t>F276034</t>
        </is>
      </c>
      <c r="C1753" t="inlineStr">
        <is>
          <t>C10851</t>
        </is>
      </c>
      <c r="D1753" t="inlineStr">
        <is>
          <t>SKU-10305</t>
        </is>
      </c>
      <c r="E1753" t="inlineStr">
        <is>
          <t>AM02</t>
        </is>
      </c>
      <c r="F1753" s="5" t="n">
        <v>314.4</v>
      </c>
      <c r="G1753">
        <f>IF(LEFT(B1753,1)="C","Credit","Factuur")</f>
        <v/>
      </c>
      <c r="H1753">
        <f>IF(AND(B1753=B1752,D1753=D1752,A1753=A1752,F1753=F1752),1,0)</f>
        <v/>
      </c>
      <c r="I1753">
        <f>IF(C1753="C99999",1,0)</f>
        <v/>
      </c>
      <c r="J1753" s="5">
        <f>IF(OR(H1753=1,I1753=1),0,IF(G1753="Credit",-F1753,F1753))</f>
        <v/>
      </c>
    </row>
    <row r="1754">
      <c r="A1754" t="inlineStr">
        <is>
          <t>2026-07-17</t>
        </is>
      </c>
      <c r="B1754" t="inlineStr">
        <is>
          <t>F276034</t>
        </is>
      </c>
      <c r="C1754" t="inlineStr">
        <is>
          <t>C10851</t>
        </is>
      </c>
      <c r="D1754" t="inlineStr">
        <is>
          <t>SKU-10316</t>
        </is>
      </c>
      <c r="E1754" t="inlineStr">
        <is>
          <t>AM02</t>
        </is>
      </c>
      <c r="F1754" s="5" t="n">
        <v>315.59</v>
      </c>
      <c r="G1754">
        <f>IF(LEFT(B1754,1)="C","Credit","Factuur")</f>
        <v/>
      </c>
      <c r="H1754">
        <f>IF(AND(B1754=B1753,D1754=D1753,A1754=A1753,F1754=F1753),1,0)</f>
        <v/>
      </c>
      <c r="I1754">
        <f>IF(C1754="C99999",1,0)</f>
        <v/>
      </c>
      <c r="J1754" s="5">
        <f>IF(OR(H1754=1,I1754=1),0,IF(G1754="Credit",-F1754,F1754))</f>
        <v/>
      </c>
    </row>
    <row r="1755">
      <c r="A1755" t="inlineStr">
        <is>
          <t>2026-07-17</t>
        </is>
      </c>
      <c r="B1755" t="inlineStr">
        <is>
          <t>F276034</t>
        </is>
      </c>
      <c r="C1755" t="inlineStr">
        <is>
          <t>C10851</t>
        </is>
      </c>
      <c r="D1755" t="inlineStr">
        <is>
          <t>SKU-10342</t>
        </is>
      </c>
      <c r="E1755" t="inlineStr">
        <is>
          <t>AM02</t>
        </is>
      </c>
      <c r="F1755" s="5" t="n">
        <v>289.67</v>
      </c>
      <c r="G1755">
        <f>IF(LEFT(B1755,1)="C","Credit","Factuur")</f>
        <v/>
      </c>
      <c r="H1755">
        <f>IF(AND(B1755=B1754,D1755=D1754,A1755=A1754,F1755=F1754),1,0)</f>
        <v/>
      </c>
      <c r="I1755">
        <f>IF(C1755="C99999",1,0)</f>
        <v/>
      </c>
      <c r="J1755" s="5">
        <f>IF(OR(H1755=1,I1755=1),0,IF(G1755="Credit",-F1755,F1755))</f>
        <v/>
      </c>
    </row>
    <row r="1756">
      <c r="A1756" t="inlineStr">
        <is>
          <t>2026-07-17</t>
        </is>
      </c>
      <c r="B1756" t="inlineStr">
        <is>
          <t>F276254</t>
        </is>
      </c>
      <c r="C1756" t="inlineStr">
        <is>
          <t>C10862</t>
        </is>
      </c>
      <c r="D1756" t="inlineStr">
        <is>
          <t>SKU-10037</t>
        </is>
      </c>
      <c r="E1756" t="inlineStr">
        <is>
          <t>AM02</t>
        </is>
      </c>
      <c r="F1756" s="5" t="n">
        <v>659.21</v>
      </c>
      <c r="G1756">
        <f>IF(LEFT(B1756,1)="C","Credit","Factuur")</f>
        <v/>
      </c>
      <c r="H1756">
        <f>IF(AND(B1756=B1755,D1756=D1755,A1756=A1755,F1756=F1755),1,0)</f>
        <v/>
      </c>
      <c r="I1756">
        <f>IF(C1756="C99999",1,0)</f>
        <v/>
      </c>
      <c r="J1756" s="5">
        <f>IF(OR(H1756=1,I1756=1),0,IF(G1756="Credit",-F1756,F1756))</f>
        <v/>
      </c>
    </row>
    <row r="1757">
      <c r="A1757" t="inlineStr">
        <is>
          <t>2026-07-17</t>
        </is>
      </c>
      <c r="B1757" t="inlineStr">
        <is>
          <t>F276254</t>
        </is>
      </c>
      <c r="C1757" t="inlineStr">
        <is>
          <t>C10862</t>
        </is>
      </c>
      <c r="D1757" t="inlineStr">
        <is>
          <t>SKU-10061</t>
        </is>
      </c>
      <c r="E1757" t="inlineStr">
        <is>
          <t>AM02</t>
        </is>
      </c>
      <c r="F1757" s="5" t="n">
        <v>754.11</v>
      </c>
      <c r="G1757">
        <f>IF(LEFT(B1757,1)="C","Credit","Factuur")</f>
        <v/>
      </c>
      <c r="H1757">
        <f>IF(AND(B1757=B1756,D1757=D1756,A1757=A1756,F1757=F1756),1,0)</f>
        <v/>
      </c>
      <c r="I1757">
        <f>IF(C1757="C99999",1,0)</f>
        <v/>
      </c>
      <c r="J1757" s="5">
        <f>IF(OR(H1757=1,I1757=1),0,IF(G1757="Credit",-F1757,F1757))</f>
        <v/>
      </c>
    </row>
    <row r="1758">
      <c r="A1758" t="inlineStr">
        <is>
          <t>2026-07-17</t>
        </is>
      </c>
      <c r="B1758" t="inlineStr">
        <is>
          <t>F276254</t>
        </is>
      </c>
      <c r="C1758" t="inlineStr">
        <is>
          <t>C10862</t>
        </is>
      </c>
      <c r="D1758" t="inlineStr">
        <is>
          <t>SKU-10231</t>
        </is>
      </c>
      <c r="E1758" t="inlineStr">
        <is>
          <t>AM02</t>
        </is>
      </c>
      <c r="F1758" s="5" t="n">
        <v>673.62</v>
      </c>
      <c r="G1758">
        <f>IF(LEFT(B1758,1)="C","Credit","Factuur")</f>
        <v/>
      </c>
      <c r="H1758">
        <f>IF(AND(B1758=B1757,D1758=D1757,A1758=A1757,F1758=F1757),1,0)</f>
        <v/>
      </c>
      <c r="I1758">
        <f>IF(C1758="C99999",1,0)</f>
        <v/>
      </c>
      <c r="J1758" s="5">
        <f>IF(OR(H1758=1,I1758=1),0,IF(G1758="Credit",-F1758,F1758))</f>
        <v/>
      </c>
    </row>
    <row r="1759">
      <c r="A1759" t="inlineStr">
        <is>
          <t>2026-07-17</t>
        </is>
      </c>
      <c r="B1759" t="inlineStr">
        <is>
          <t>F276254</t>
        </is>
      </c>
      <c r="C1759" t="inlineStr">
        <is>
          <t>C10862</t>
        </is>
      </c>
      <c r="D1759" t="inlineStr">
        <is>
          <t>SKU-10249</t>
        </is>
      </c>
      <c r="E1759" t="inlineStr">
        <is>
          <t>AM02</t>
        </is>
      </c>
      <c r="F1759" s="5" t="n">
        <v>709.08</v>
      </c>
      <c r="G1759">
        <f>IF(LEFT(B1759,1)="C","Credit","Factuur")</f>
        <v/>
      </c>
      <c r="H1759">
        <f>IF(AND(B1759=B1758,D1759=D1758,A1759=A1758,F1759=F1758),1,0)</f>
        <v/>
      </c>
      <c r="I1759">
        <f>IF(C1759="C99999",1,0)</f>
        <v/>
      </c>
      <c r="J1759" s="5">
        <f>IF(OR(H1759=1,I1759=1),0,IF(G1759="Credit",-F1759,F1759))</f>
        <v/>
      </c>
    </row>
    <row r="1760">
      <c r="A1760" t="inlineStr">
        <is>
          <t>2026-07-17</t>
        </is>
      </c>
      <c r="B1760" t="inlineStr">
        <is>
          <t>F276279</t>
        </is>
      </c>
      <c r="C1760" t="inlineStr">
        <is>
          <t>C10863</t>
        </is>
      </c>
      <c r="D1760" t="inlineStr">
        <is>
          <t>SKU-10111</t>
        </is>
      </c>
      <c r="E1760" t="inlineStr">
        <is>
          <t>AM02</t>
        </is>
      </c>
      <c r="F1760" s="5" t="n">
        <v>1185.1</v>
      </c>
      <c r="G1760">
        <f>IF(LEFT(B1760,1)="C","Credit","Factuur")</f>
        <v/>
      </c>
      <c r="H1760">
        <f>IF(AND(B1760=B1759,D1760=D1759,A1760=A1759,F1760=F1759),1,0)</f>
        <v/>
      </c>
      <c r="I1760">
        <f>IF(C1760="C99999",1,0)</f>
        <v/>
      </c>
      <c r="J1760" s="5">
        <f>IF(OR(H1760=1,I1760=1),0,IF(G1760="Credit",-F1760,F1760))</f>
        <v/>
      </c>
    </row>
    <row r="1761">
      <c r="A1761" t="inlineStr">
        <is>
          <t>2026-07-17</t>
        </is>
      </c>
      <c r="B1761" t="inlineStr">
        <is>
          <t>F276279</t>
        </is>
      </c>
      <c r="C1761" t="inlineStr">
        <is>
          <t>C10863</t>
        </is>
      </c>
      <c r="D1761" t="inlineStr">
        <is>
          <t>SKU-10167</t>
        </is>
      </c>
      <c r="E1761" t="inlineStr">
        <is>
          <t>AM02</t>
        </is>
      </c>
      <c r="F1761" s="5" t="n">
        <v>1132.01</v>
      </c>
      <c r="G1761">
        <f>IF(LEFT(B1761,1)="C","Credit","Factuur")</f>
        <v/>
      </c>
      <c r="H1761">
        <f>IF(AND(B1761=B1760,D1761=D1760,A1761=A1760,F1761=F1760),1,0)</f>
        <v/>
      </c>
      <c r="I1761">
        <f>IF(C1761="C99999",1,0)</f>
        <v/>
      </c>
      <c r="J1761" s="5">
        <f>IF(OR(H1761=1,I1761=1),0,IF(G1761="Credit",-F1761,F1761))</f>
        <v/>
      </c>
    </row>
    <row r="1762">
      <c r="A1762" t="inlineStr">
        <is>
          <t>2026-07-17</t>
        </is>
      </c>
      <c r="B1762" t="inlineStr">
        <is>
          <t>F276279</t>
        </is>
      </c>
      <c r="C1762" t="inlineStr">
        <is>
          <t>C10863</t>
        </is>
      </c>
      <c r="D1762" t="inlineStr">
        <is>
          <t>SKU-10174</t>
        </is>
      </c>
      <c r="E1762" t="inlineStr">
        <is>
          <t>AM02</t>
        </is>
      </c>
      <c r="F1762" s="5" t="n">
        <v>1061.61</v>
      </c>
      <c r="G1762">
        <f>IF(LEFT(B1762,1)="C","Credit","Factuur")</f>
        <v/>
      </c>
      <c r="H1762">
        <f>IF(AND(B1762=B1761,D1762=D1761,A1762=A1761,F1762=F1761),1,0)</f>
        <v/>
      </c>
      <c r="I1762">
        <f>IF(C1762="C99999",1,0)</f>
        <v/>
      </c>
      <c r="J1762" s="5">
        <f>IF(OR(H1762=1,I1762=1),0,IF(G1762="Credit",-F1762,F1762))</f>
        <v/>
      </c>
    </row>
    <row r="1763">
      <c r="A1763" t="inlineStr">
        <is>
          <t>2026-07-17</t>
        </is>
      </c>
      <c r="B1763" t="inlineStr">
        <is>
          <t>F276279</t>
        </is>
      </c>
      <c r="C1763" t="inlineStr">
        <is>
          <t>C10863</t>
        </is>
      </c>
      <c r="D1763" t="inlineStr">
        <is>
          <t>SKU-10280</t>
        </is>
      </c>
      <c r="E1763" t="inlineStr">
        <is>
          <t>AM02</t>
        </is>
      </c>
      <c r="F1763" s="5" t="n">
        <v>1136.49</v>
      </c>
      <c r="G1763">
        <f>IF(LEFT(B1763,1)="C","Credit","Factuur")</f>
        <v/>
      </c>
      <c r="H1763">
        <f>IF(AND(B1763=B1762,D1763=D1762,A1763=A1762,F1763=F1762),1,0)</f>
        <v/>
      </c>
      <c r="I1763">
        <f>IF(C1763="C99999",1,0)</f>
        <v/>
      </c>
      <c r="J1763" s="5">
        <f>IF(OR(H1763=1,I1763=1),0,IF(G1763="Credit",-F1763,F1763))</f>
        <v/>
      </c>
    </row>
    <row r="1764">
      <c r="A1764" t="inlineStr">
        <is>
          <t>2026-07-17</t>
        </is>
      </c>
      <c r="B1764" t="inlineStr">
        <is>
          <t>F276279</t>
        </is>
      </c>
      <c r="C1764" t="inlineStr">
        <is>
          <t>C10863</t>
        </is>
      </c>
      <c r="D1764" t="inlineStr">
        <is>
          <t>SKU-10324</t>
        </is>
      </c>
      <c r="E1764" t="inlineStr">
        <is>
          <t>AM02</t>
        </is>
      </c>
      <c r="F1764" s="5" t="n">
        <v>1129.44</v>
      </c>
      <c r="G1764">
        <f>IF(LEFT(B1764,1)="C","Credit","Factuur")</f>
        <v/>
      </c>
      <c r="H1764">
        <f>IF(AND(B1764=B1763,D1764=D1763,A1764=A1763,F1764=F1763),1,0)</f>
        <v/>
      </c>
      <c r="I1764">
        <f>IF(C1764="C99999",1,0)</f>
        <v/>
      </c>
      <c r="J1764" s="5">
        <f>IF(OR(H1764=1,I1764=1),0,IF(G1764="Credit",-F1764,F1764))</f>
        <v/>
      </c>
    </row>
    <row r="1765">
      <c r="A1765" t="inlineStr">
        <is>
          <t>2026-07-17</t>
        </is>
      </c>
      <c r="B1765" t="inlineStr">
        <is>
          <t>F276337</t>
        </is>
      </c>
      <c r="C1765" t="inlineStr">
        <is>
          <t>C10866</t>
        </is>
      </c>
      <c r="D1765" t="inlineStr">
        <is>
          <t>SKU-10247</t>
        </is>
      </c>
      <c r="E1765" t="inlineStr">
        <is>
          <t>AM11</t>
        </is>
      </c>
      <c r="F1765" s="5" t="n">
        <v>957.24</v>
      </c>
      <c r="G1765">
        <f>IF(LEFT(B1765,1)="C","Credit","Factuur")</f>
        <v/>
      </c>
      <c r="H1765">
        <f>IF(AND(B1765=B1764,D1765=D1764,A1765=A1764,F1765=F1764),1,0)</f>
        <v/>
      </c>
      <c r="I1765">
        <f>IF(C1765="C99999",1,0)</f>
        <v/>
      </c>
      <c r="J1765" s="5">
        <f>IF(OR(H1765=1,I1765=1),0,IF(G1765="Credit",-F1765,F1765))</f>
        <v/>
      </c>
    </row>
    <row r="1766">
      <c r="A1766" t="inlineStr">
        <is>
          <t>2026-07-17</t>
        </is>
      </c>
      <c r="B1766" t="inlineStr">
        <is>
          <t>F276337</t>
        </is>
      </c>
      <c r="C1766" t="inlineStr">
        <is>
          <t>C10866</t>
        </is>
      </c>
      <c r="D1766" t="inlineStr">
        <is>
          <t>SKU-10288</t>
        </is>
      </c>
      <c r="E1766" t="inlineStr">
        <is>
          <t>AM11</t>
        </is>
      </c>
      <c r="F1766" s="5" t="n">
        <v>947.41</v>
      </c>
      <c r="G1766">
        <f>IF(LEFT(B1766,1)="C","Credit","Factuur")</f>
        <v/>
      </c>
      <c r="H1766">
        <f>IF(AND(B1766=B1765,D1766=D1765,A1766=A1765,F1766=F1765),1,0)</f>
        <v/>
      </c>
      <c r="I1766">
        <f>IF(C1766="C99999",1,0)</f>
        <v/>
      </c>
      <c r="J1766" s="5">
        <f>IF(OR(H1766=1,I1766=1),0,IF(G1766="Credit",-F1766,F1766))</f>
        <v/>
      </c>
    </row>
    <row r="1767">
      <c r="A1767" t="inlineStr">
        <is>
          <t>2026-07-17</t>
        </is>
      </c>
      <c r="B1767" t="inlineStr">
        <is>
          <t>F276337</t>
        </is>
      </c>
      <c r="C1767" t="inlineStr">
        <is>
          <t>C10866</t>
        </is>
      </c>
      <c r="D1767" t="inlineStr">
        <is>
          <t>SKU-10333</t>
        </is>
      </c>
      <c r="E1767" t="inlineStr">
        <is>
          <t>AM11</t>
        </is>
      </c>
      <c r="F1767" s="5" t="n">
        <v>1001.88</v>
      </c>
      <c r="G1767">
        <f>IF(LEFT(B1767,1)="C","Credit","Factuur")</f>
        <v/>
      </c>
      <c r="H1767">
        <f>IF(AND(B1767=B1766,D1767=D1766,A1767=A1766,F1767=F1766),1,0)</f>
        <v/>
      </c>
      <c r="I1767">
        <f>IF(C1767="C99999",1,0)</f>
        <v/>
      </c>
      <c r="J1767" s="5">
        <f>IF(OR(H1767=1,I1767=1),0,IF(G1767="Credit",-F1767,F1767))</f>
        <v/>
      </c>
    </row>
    <row r="1768">
      <c r="A1768" t="inlineStr">
        <is>
          <t>2026-07-17</t>
        </is>
      </c>
      <c r="B1768" t="inlineStr">
        <is>
          <t>F277446</t>
        </is>
      </c>
      <c r="C1768" t="inlineStr">
        <is>
          <t>C10928</t>
        </is>
      </c>
      <c r="D1768" t="inlineStr">
        <is>
          <t>SKU-10332</t>
        </is>
      </c>
      <c r="E1768" t="inlineStr">
        <is>
          <t>AM12</t>
        </is>
      </c>
      <c r="F1768" s="5" t="n">
        <v>463.87</v>
      </c>
      <c r="G1768">
        <f>IF(LEFT(B1768,1)="C","Credit","Factuur")</f>
        <v/>
      </c>
      <c r="H1768">
        <f>IF(AND(B1768=B1767,D1768=D1767,A1768=A1767,F1768=F1767),1,0)</f>
        <v/>
      </c>
      <c r="I1768">
        <f>IF(C1768="C99999",1,0)</f>
        <v/>
      </c>
      <c r="J1768" s="5">
        <f>IF(OR(H1768=1,I1768=1),0,IF(G1768="Credit",-F1768,F1768))</f>
        <v/>
      </c>
    </row>
    <row r="1769">
      <c r="A1769" t="inlineStr">
        <is>
          <t>2026-07-17</t>
        </is>
      </c>
      <c r="B1769" t="inlineStr">
        <is>
          <t>F277562</t>
        </is>
      </c>
      <c r="C1769" t="inlineStr">
        <is>
          <t>C10933</t>
        </is>
      </c>
      <c r="D1769" t="inlineStr">
        <is>
          <t>SKU-10111</t>
        </is>
      </c>
      <c r="E1769" t="inlineStr">
        <is>
          <t>AM02</t>
        </is>
      </c>
      <c r="F1769" s="5" t="n">
        <v>705.13</v>
      </c>
      <c r="G1769">
        <f>IF(LEFT(B1769,1)="C","Credit","Factuur")</f>
        <v/>
      </c>
      <c r="H1769">
        <f>IF(AND(B1769=B1768,D1769=D1768,A1769=A1768,F1769=F1768),1,0)</f>
        <v/>
      </c>
      <c r="I1769">
        <f>IF(C1769="C99999",1,0)</f>
        <v/>
      </c>
      <c r="J1769" s="5">
        <f>IF(OR(H1769=1,I1769=1),0,IF(G1769="Credit",-F1769,F1769))</f>
        <v/>
      </c>
    </row>
    <row r="1770">
      <c r="A1770" t="inlineStr">
        <is>
          <t>2026-07-17</t>
        </is>
      </c>
      <c r="B1770" t="inlineStr">
        <is>
          <t>F277562</t>
        </is>
      </c>
      <c r="C1770" t="inlineStr">
        <is>
          <t>C10933</t>
        </is>
      </c>
      <c r="D1770" t="inlineStr">
        <is>
          <t>SKU-10285</t>
        </is>
      </c>
      <c r="E1770" t="inlineStr">
        <is>
          <t>AM02</t>
        </is>
      </c>
      <c r="F1770" s="5" t="n">
        <v>836.42</v>
      </c>
      <c r="G1770">
        <f>IF(LEFT(B1770,1)="C","Credit","Factuur")</f>
        <v/>
      </c>
      <c r="H1770">
        <f>IF(AND(B1770=B1769,D1770=D1769,A1770=A1769,F1770=F1769),1,0)</f>
        <v/>
      </c>
      <c r="I1770">
        <f>IF(C1770="C99999",1,0)</f>
        <v/>
      </c>
      <c r="J1770" s="5">
        <f>IF(OR(H1770=1,I1770=1),0,IF(G1770="Credit",-F1770,F1770))</f>
        <v/>
      </c>
    </row>
    <row r="1771">
      <c r="A1771" t="inlineStr">
        <is>
          <t>2026-07-17</t>
        </is>
      </c>
      <c r="B1771" t="inlineStr">
        <is>
          <t>F277725</t>
        </is>
      </c>
      <c r="C1771" t="inlineStr">
        <is>
          <t>C10941</t>
        </is>
      </c>
      <c r="D1771" t="inlineStr">
        <is>
          <t>SKU-10006</t>
        </is>
      </c>
      <c r="E1771" t="inlineStr">
        <is>
          <t>AM03</t>
        </is>
      </c>
      <c r="F1771" s="5" t="n">
        <v>111.36</v>
      </c>
      <c r="G1771">
        <f>IF(LEFT(B1771,1)="C","Credit","Factuur")</f>
        <v/>
      </c>
      <c r="H1771">
        <f>IF(AND(B1771=B1770,D1771=D1770,A1771=A1770,F1771=F1770),1,0)</f>
        <v/>
      </c>
      <c r="I1771">
        <f>IF(C1771="C99999",1,0)</f>
        <v/>
      </c>
      <c r="J1771" s="5">
        <f>IF(OR(H1771=1,I1771=1),0,IF(G1771="Credit",-F1771,F1771))</f>
        <v/>
      </c>
    </row>
    <row r="1772">
      <c r="A1772" t="inlineStr">
        <is>
          <t>2026-07-17</t>
        </is>
      </c>
      <c r="B1772" t="inlineStr">
        <is>
          <t>F277725</t>
        </is>
      </c>
      <c r="C1772" t="inlineStr">
        <is>
          <t>C10941</t>
        </is>
      </c>
      <c r="D1772" t="inlineStr">
        <is>
          <t>SKU-10158</t>
        </is>
      </c>
      <c r="E1772" t="inlineStr">
        <is>
          <t>AM03</t>
        </is>
      </c>
      <c r="F1772" s="5" t="n">
        <v>108.6</v>
      </c>
      <c r="G1772">
        <f>IF(LEFT(B1772,1)="C","Credit","Factuur")</f>
        <v/>
      </c>
      <c r="H1772">
        <f>IF(AND(B1772=B1771,D1772=D1771,A1772=A1771,F1772=F1771),1,0)</f>
        <v/>
      </c>
      <c r="I1772">
        <f>IF(C1772="C99999",1,0)</f>
        <v/>
      </c>
      <c r="J1772" s="5">
        <f>IF(OR(H1772=1,I1772=1),0,IF(G1772="Credit",-F1772,F1772))</f>
        <v/>
      </c>
    </row>
    <row r="1773">
      <c r="A1773" t="inlineStr">
        <is>
          <t>2026-07-17</t>
        </is>
      </c>
      <c r="B1773" t="inlineStr">
        <is>
          <t>F277747</t>
        </is>
      </c>
      <c r="C1773" t="inlineStr">
        <is>
          <t>C10942</t>
        </is>
      </c>
      <c r="D1773" t="inlineStr">
        <is>
          <t>SKU-10075</t>
        </is>
      </c>
      <c r="E1773" t="inlineStr">
        <is>
          <t>AM08</t>
        </is>
      </c>
      <c r="F1773" s="5" t="n">
        <v>115.32</v>
      </c>
      <c r="G1773">
        <f>IF(LEFT(B1773,1)="C","Credit","Factuur")</f>
        <v/>
      </c>
      <c r="H1773">
        <f>IF(AND(B1773=B1772,D1773=D1772,A1773=A1772,F1773=F1772),1,0)</f>
        <v/>
      </c>
      <c r="I1773">
        <f>IF(C1773="C99999",1,0)</f>
        <v/>
      </c>
      <c r="J1773" s="5">
        <f>IF(OR(H1773=1,I1773=1),0,IF(G1773="Credit",-F1773,F1773))</f>
        <v/>
      </c>
    </row>
    <row r="1774">
      <c r="A1774" t="inlineStr">
        <is>
          <t>2026-07-17</t>
        </is>
      </c>
      <c r="B1774" t="inlineStr">
        <is>
          <t>F277747</t>
        </is>
      </c>
      <c r="C1774" t="inlineStr">
        <is>
          <t>C10942</t>
        </is>
      </c>
      <c r="D1774" t="inlineStr">
        <is>
          <t>SKU-10076</t>
        </is>
      </c>
      <c r="E1774" t="inlineStr">
        <is>
          <t>AM08</t>
        </is>
      </c>
      <c r="F1774" s="5" t="n">
        <v>129.82</v>
      </c>
      <c r="G1774">
        <f>IF(LEFT(B1774,1)="C","Credit","Factuur")</f>
        <v/>
      </c>
      <c r="H1774">
        <f>IF(AND(B1774=B1773,D1774=D1773,A1774=A1773,F1774=F1773),1,0)</f>
        <v/>
      </c>
      <c r="I1774">
        <f>IF(C1774="C99999",1,0)</f>
        <v/>
      </c>
      <c r="J1774" s="5">
        <f>IF(OR(H1774=1,I1774=1),0,IF(G1774="Credit",-F1774,F1774))</f>
        <v/>
      </c>
    </row>
    <row r="1775">
      <c r="A1775" t="inlineStr">
        <is>
          <t>2026-07-17</t>
        </is>
      </c>
      <c r="B1775" t="inlineStr">
        <is>
          <t>F277747</t>
        </is>
      </c>
      <c r="C1775" t="inlineStr">
        <is>
          <t>C10942</t>
        </is>
      </c>
      <c r="D1775" t="inlineStr">
        <is>
          <t>SKU-10204</t>
        </is>
      </c>
      <c r="E1775" t="inlineStr">
        <is>
          <t>AM08</t>
        </is>
      </c>
      <c r="F1775" s="5" t="n">
        <v>139.05</v>
      </c>
      <c r="G1775">
        <f>IF(LEFT(B1775,1)="C","Credit","Factuur")</f>
        <v/>
      </c>
      <c r="H1775">
        <f>IF(AND(B1775=B1774,D1775=D1774,A1775=A1774,F1775=F1774),1,0)</f>
        <v/>
      </c>
      <c r="I1775">
        <f>IF(C1775="C99999",1,0)</f>
        <v/>
      </c>
      <c r="J1775" s="5">
        <f>IF(OR(H1775=1,I1775=1),0,IF(G1775="Credit",-F1775,F1775))</f>
        <v/>
      </c>
    </row>
    <row r="1776">
      <c r="A1776" t="inlineStr">
        <is>
          <t>2026-07-17</t>
        </is>
      </c>
      <c r="B1776" t="inlineStr">
        <is>
          <t>F277747</t>
        </is>
      </c>
      <c r="C1776" t="inlineStr">
        <is>
          <t>C10942</t>
        </is>
      </c>
      <c r="D1776" t="inlineStr">
        <is>
          <t>SKU-10338</t>
        </is>
      </c>
      <c r="E1776" t="inlineStr">
        <is>
          <t>AM08</t>
        </is>
      </c>
      <c r="F1776" s="5" t="n">
        <v>126.06</v>
      </c>
      <c r="G1776">
        <f>IF(LEFT(B1776,1)="C","Credit","Factuur")</f>
        <v/>
      </c>
      <c r="H1776">
        <f>IF(AND(B1776=B1775,D1776=D1775,A1776=A1775,F1776=F1775),1,0)</f>
        <v/>
      </c>
      <c r="I1776">
        <f>IF(C1776="C99999",1,0)</f>
        <v/>
      </c>
      <c r="J1776" s="5">
        <f>IF(OR(H1776=1,I1776=1),0,IF(G1776="Credit",-F1776,F1776))</f>
        <v/>
      </c>
    </row>
    <row r="1777">
      <c r="A1777" t="inlineStr">
        <is>
          <t>2026-07-17</t>
        </is>
      </c>
      <c r="B1777" t="inlineStr">
        <is>
          <t>F278465</t>
        </is>
      </c>
      <c r="C1777" t="inlineStr">
        <is>
          <t>C10978</t>
        </is>
      </c>
      <c r="D1777" t="inlineStr">
        <is>
          <t>SKU-10034</t>
        </is>
      </c>
      <c r="E1777" t="inlineStr">
        <is>
          <t>AM06</t>
        </is>
      </c>
      <c r="F1777" s="5" t="n">
        <v>92.86</v>
      </c>
      <c r="G1777">
        <f>IF(LEFT(B1777,1)="C","Credit","Factuur")</f>
        <v/>
      </c>
      <c r="H1777">
        <f>IF(AND(B1777=B1776,D1777=D1776,A1777=A1776,F1777=F1776),1,0)</f>
        <v/>
      </c>
      <c r="I1777">
        <f>IF(C1777="C99999",1,0)</f>
        <v/>
      </c>
      <c r="J1777" s="5">
        <f>IF(OR(H1777=1,I1777=1),0,IF(G1777="Credit",-F1777,F1777))</f>
        <v/>
      </c>
    </row>
    <row r="1778">
      <c r="A1778" t="inlineStr">
        <is>
          <t>2026-07-17</t>
        </is>
      </c>
      <c r="B1778" t="inlineStr">
        <is>
          <t>F278465</t>
        </is>
      </c>
      <c r="C1778" t="inlineStr">
        <is>
          <t>C10978</t>
        </is>
      </c>
      <c r="D1778" t="inlineStr">
        <is>
          <t>SKU-10088</t>
        </is>
      </c>
      <c r="E1778" t="inlineStr">
        <is>
          <t>AM06</t>
        </is>
      </c>
      <c r="F1778" s="5" t="n">
        <v>102.61</v>
      </c>
      <c r="G1778">
        <f>IF(LEFT(B1778,1)="C","Credit","Factuur")</f>
        <v/>
      </c>
      <c r="H1778">
        <f>IF(AND(B1778=B1777,D1778=D1777,A1778=A1777,F1778=F1777),1,0)</f>
        <v/>
      </c>
      <c r="I1778">
        <f>IF(C1778="C99999",1,0)</f>
        <v/>
      </c>
      <c r="J1778" s="5">
        <f>IF(OR(H1778=1,I1778=1),0,IF(G1778="Credit",-F1778,F1778))</f>
        <v/>
      </c>
    </row>
    <row r="1779">
      <c r="A1779" t="inlineStr">
        <is>
          <t>2026-07-17</t>
        </is>
      </c>
      <c r="B1779" t="inlineStr">
        <is>
          <t>F278465</t>
        </is>
      </c>
      <c r="C1779" t="inlineStr">
        <is>
          <t>C10978</t>
        </is>
      </c>
      <c r="D1779" t="inlineStr">
        <is>
          <t>SKU-10114</t>
        </is>
      </c>
      <c r="E1779" t="inlineStr">
        <is>
          <t>AM06</t>
        </is>
      </c>
      <c r="F1779" s="5" t="n">
        <v>96.41</v>
      </c>
      <c r="G1779">
        <f>IF(LEFT(B1779,1)="C","Credit","Factuur")</f>
        <v/>
      </c>
      <c r="H1779">
        <f>IF(AND(B1779=B1778,D1779=D1778,A1779=A1778,F1779=F1778),1,0)</f>
        <v/>
      </c>
      <c r="I1779">
        <f>IF(C1779="C99999",1,0)</f>
        <v/>
      </c>
      <c r="J1779" s="5">
        <f>IF(OR(H1779=1,I1779=1),0,IF(G1779="Credit",-F1779,F1779))</f>
        <v/>
      </c>
    </row>
    <row r="1780">
      <c r="A1780" t="inlineStr">
        <is>
          <t>2026-07-17</t>
        </is>
      </c>
      <c r="B1780" t="inlineStr">
        <is>
          <t>F278465</t>
        </is>
      </c>
      <c r="C1780" t="inlineStr">
        <is>
          <t>C10978</t>
        </is>
      </c>
      <c r="D1780" t="inlineStr">
        <is>
          <t>SKU-10279</t>
        </is>
      </c>
      <c r="E1780" t="inlineStr">
        <is>
          <t>AM06</t>
        </is>
      </c>
      <c r="F1780" s="5" t="n">
        <v>84.56</v>
      </c>
      <c r="G1780">
        <f>IF(LEFT(B1780,1)="C","Credit","Factuur")</f>
        <v/>
      </c>
      <c r="H1780">
        <f>IF(AND(B1780=B1779,D1780=D1779,A1780=A1779,F1780=F1779),1,0)</f>
        <v/>
      </c>
      <c r="I1780">
        <f>IF(C1780="C99999",1,0)</f>
        <v/>
      </c>
      <c r="J1780" s="5">
        <f>IF(OR(H1780=1,I1780=1),0,IF(G1780="Credit",-F1780,F1780))</f>
        <v/>
      </c>
    </row>
    <row r="1781">
      <c r="A1781" t="inlineStr">
        <is>
          <t>2026-07-17</t>
        </is>
      </c>
      <c r="B1781" t="inlineStr">
        <is>
          <t>F278465</t>
        </is>
      </c>
      <c r="C1781" t="inlineStr">
        <is>
          <t>C10978</t>
        </is>
      </c>
      <c r="D1781" t="inlineStr">
        <is>
          <t>SKU-10310</t>
        </is>
      </c>
      <c r="E1781" t="inlineStr">
        <is>
          <t>AM06</t>
        </is>
      </c>
      <c r="F1781" s="5" t="n">
        <v>100.76</v>
      </c>
      <c r="G1781">
        <f>IF(LEFT(B1781,1)="C","Credit","Factuur")</f>
        <v/>
      </c>
      <c r="H1781">
        <f>IF(AND(B1781=B1780,D1781=D1780,A1781=A1780,F1781=F1780),1,0)</f>
        <v/>
      </c>
      <c r="I1781">
        <f>IF(C1781="C99999",1,0)</f>
        <v/>
      </c>
      <c r="J1781" s="5">
        <f>IF(OR(H1781=1,I1781=1),0,IF(G1781="Credit",-F1781,F1781))</f>
        <v/>
      </c>
    </row>
    <row r="1782">
      <c r="A1782" t="inlineStr">
        <is>
          <t>2026-07-17</t>
        </is>
      </c>
      <c r="B1782" t="inlineStr">
        <is>
          <t>F279310</t>
        </is>
      </c>
      <c r="C1782" t="inlineStr">
        <is>
          <t>C11025</t>
        </is>
      </c>
      <c r="D1782" t="inlineStr">
        <is>
          <t>SKU-10118</t>
        </is>
      </c>
      <c r="E1782" t="inlineStr">
        <is>
          <t>AM01</t>
        </is>
      </c>
      <c r="F1782" s="5" t="n">
        <v>763.78</v>
      </c>
      <c r="G1782">
        <f>IF(LEFT(B1782,1)="C","Credit","Factuur")</f>
        <v/>
      </c>
      <c r="H1782">
        <f>IF(AND(B1782=B1781,D1782=D1781,A1782=A1781,F1782=F1781),1,0)</f>
        <v/>
      </c>
      <c r="I1782">
        <f>IF(C1782="C99999",1,0)</f>
        <v/>
      </c>
      <c r="J1782" s="5">
        <f>IF(OR(H1782=1,I1782=1),0,IF(G1782="Credit",-F1782,F1782))</f>
        <v/>
      </c>
    </row>
    <row r="1783">
      <c r="A1783" t="inlineStr">
        <is>
          <t>2026-07-17</t>
        </is>
      </c>
      <c r="B1783" t="inlineStr">
        <is>
          <t>F279310</t>
        </is>
      </c>
      <c r="C1783" t="inlineStr">
        <is>
          <t>C11025</t>
        </is>
      </c>
      <c r="D1783" t="inlineStr">
        <is>
          <t>SKU-10156</t>
        </is>
      </c>
      <c r="E1783" t="inlineStr">
        <is>
          <t>AM01</t>
        </is>
      </c>
      <c r="F1783" s="5" t="n">
        <v>942.48</v>
      </c>
      <c r="G1783">
        <f>IF(LEFT(B1783,1)="C","Credit","Factuur")</f>
        <v/>
      </c>
      <c r="H1783">
        <f>IF(AND(B1783=B1782,D1783=D1782,A1783=A1782,F1783=F1782),1,0)</f>
        <v/>
      </c>
      <c r="I1783">
        <f>IF(C1783="C99999",1,0)</f>
        <v/>
      </c>
      <c r="J1783" s="5">
        <f>IF(OR(H1783=1,I1783=1),0,IF(G1783="Credit",-F1783,F1783))</f>
        <v/>
      </c>
    </row>
    <row r="1784">
      <c r="A1784" t="inlineStr">
        <is>
          <t>2026-07-17</t>
        </is>
      </c>
      <c r="B1784" t="inlineStr">
        <is>
          <t>F279347</t>
        </is>
      </c>
      <c r="C1784" t="inlineStr">
        <is>
          <t>C11027</t>
        </is>
      </c>
      <c r="D1784" t="inlineStr">
        <is>
          <t>SKU-10075</t>
        </is>
      </c>
      <c r="E1784" t="inlineStr">
        <is>
          <t>AM01</t>
        </is>
      </c>
      <c r="F1784" s="5" t="n">
        <v>876.4299999999999</v>
      </c>
      <c r="G1784">
        <f>IF(LEFT(B1784,1)="C","Credit","Factuur")</f>
        <v/>
      </c>
      <c r="H1784">
        <f>IF(AND(B1784=B1783,D1784=D1783,A1784=A1783,F1784=F1783),1,0)</f>
        <v/>
      </c>
      <c r="I1784">
        <f>IF(C1784="C99999",1,0)</f>
        <v/>
      </c>
      <c r="J1784" s="5">
        <f>IF(OR(H1784=1,I1784=1),0,IF(G1784="Credit",-F1784,F1784))</f>
        <v/>
      </c>
    </row>
    <row r="1785">
      <c r="A1785" t="inlineStr">
        <is>
          <t>2026-07-17</t>
        </is>
      </c>
      <c r="B1785" t="inlineStr">
        <is>
          <t>F279347</t>
        </is>
      </c>
      <c r="C1785" t="inlineStr">
        <is>
          <t>C11027</t>
        </is>
      </c>
      <c r="D1785" t="inlineStr">
        <is>
          <t>SKU-10240</t>
        </is>
      </c>
      <c r="E1785" t="inlineStr">
        <is>
          <t>AM01</t>
        </is>
      </c>
      <c r="F1785" s="5" t="n">
        <v>896.4</v>
      </c>
      <c r="G1785">
        <f>IF(LEFT(B1785,1)="C","Credit","Factuur")</f>
        <v/>
      </c>
      <c r="H1785">
        <f>IF(AND(B1785=B1784,D1785=D1784,A1785=A1784,F1785=F1784),1,0)</f>
        <v/>
      </c>
      <c r="I1785">
        <f>IF(C1785="C99999",1,0)</f>
        <v/>
      </c>
      <c r="J1785" s="5">
        <f>IF(OR(H1785=1,I1785=1),0,IF(G1785="Credit",-F1785,F1785))</f>
        <v/>
      </c>
    </row>
    <row r="1786">
      <c r="A1786" t="inlineStr">
        <is>
          <t>2026-07-17</t>
        </is>
      </c>
      <c r="B1786" t="inlineStr">
        <is>
          <t>F279532</t>
        </is>
      </c>
      <c r="C1786" t="inlineStr">
        <is>
          <t>C11034</t>
        </is>
      </c>
      <c r="D1786" t="inlineStr">
        <is>
          <t>SKU-10020</t>
        </is>
      </c>
      <c r="E1786" t="inlineStr">
        <is>
          <t>AM03</t>
        </is>
      </c>
      <c r="F1786" s="5" t="n">
        <v>185.64</v>
      </c>
      <c r="G1786">
        <f>IF(LEFT(B1786,1)="C","Credit","Factuur")</f>
        <v/>
      </c>
      <c r="H1786">
        <f>IF(AND(B1786=B1785,D1786=D1785,A1786=A1785,F1786=F1785),1,0)</f>
        <v/>
      </c>
      <c r="I1786">
        <f>IF(C1786="C99999",1,0)</f>
        <v/>
      </c>
      <c r="J1786" s="5">
        <f>IF(OR(H1786=1,I1786=1),0,IF(G1786="Credit",-F1786,F1786))</f>
        <v/>
      </c>
    </row>
    <row r="1787">
      <c r="A1787" t="inlineStr">
        <is>
          <t>2026-07-17</t>
        </is>
      </c>
      <c r="B1787" t="inlineStr">
        <is>
          <t>F279532</t>
        </is>
      </c>
      <c r="C1787" t="inlineStr">
        <is>
          <t>C11034</t>
        </is>
      </c>
      <c r="D1787" t="inlineStr">
        <is>
          <t>SKU-10064</t>
        </is>
      </c>
      <c r="E1787" t="inlineStr">
        <is>
          <t>AM03</t>
        </is>
      </c>
      <c r="F1787" s="5" t="n">
        <v>176.76</v>
      </c>
      <c r="G1787">
        <f>IF(LEFT(B1787,1)="C","Credit","Factuur")</f>
        <v/>
      </c>
      <c r="H1787">
        <f>IF(AND(B1787=B1786,D1787=D1786,A1787=A1786,F1787=F1786),1,0)</f>
        <v/>
      </c>
      <c r="I1787">
        <f>IF(C1787="C99999",1,0)</f>
        <v/>
      </c>
      <c r="J1787" s="5">
        <f>IF(OR(H1787=1,I1787=1),0,IF(G1787="Credit",-F1787,F1787))</f>
        <v/>
      </c>
    </row>
    <row r="1788">
      <c r="A1788" t="inlineStr">
        <is>
          <t>2026-07-17</t>
        </is>
      </c>
      <c r="B1788" t="inlineStr">
        <is>
          <t>F279532</t>
        </is>
      </c>
      <c r="C1788" t="inlineStr">
        <is>
          <t>C11034</t>
        </is>
      </c>
      <c r="D1788" t="inlineStr">
        <is>
          <t>SKU-10235</t>
        </is>
      </c>
      <c r="E1788" t="inlineStr">
        <is>
          <t>AM03</t>
        </is>
      </c>
      <c r="F1788" s="5" t="n">
        <v>159.53</v>
      </c>
      <c r="G1788">
        <f>IF(LEFT(B1788,1)="C","Credit","Factuur")</f>
        <v/>
      </c>
      <c r="H1788">
        <f>IF(AND(B1788=B1787,D1788=D1787,A1788=A1787,F1788=F1787),1,0)</f>
        <v/>
      </c>
      <c r="I1788">
        <f>IF(C1788="C99999",1,0)</f>
        <v/>
      </c>
      <c r="J1788" s="5">
        <f>IF(OR(H1788=1,I1788=1),0,IF(G1788="Credit",-F1788,F1788))</f>
        <v/>
      </c>
    </row>
    <row r="1789">
      <c r="A1789" t="inlineStr">
        <is>
          <t>2026-07-17</t>
        </is>
      </c>
      <c r="B1789" t="inlineStr">
        <is>
          <t>F279644</t>
        </is>
      </c>
      <c r="C1789" t="inlineStr">
        <is>
          <t>C11042</t>
        </is>
      </c>
      <c r="D1789" t="inlineStr">
        <is>
          <t>SKU-10042</t>
        </is>
      </c>
      <c r="E1789" t="inlineStr">
        <is>
          <t>AM02</t>
        </is>
      </c>
      <c r="F1789" s="5" t="n">
        <v>1096.86</v>
      </c>
      <c r="G1789">
        <f>IF(LEFT(B1789,1)="C","Credit","Factuur")</f>
        <v/>
      </c>
      <c r="H1789">
        <f>IF(AND(B1789=B1788,D1789=D1788,A1789=A1788,F1789=F1788),1,0)</f>
        <v/>
      </c>
      <c r="I1789">
        <f>IF(C1789="C99999",1,0)</f>
        <v/>
      </c>
      <c r="J1789" s="5">
        <f>IF(OR(H1789=1,I1789=1),0,IF(G1789="Credit",-F1789,F1789))</f>
        <v/>
      </c>
    </row>
    <row r="1790">
      <c r="A1790" t="inlineStr">
        <is>
          <t>2026-07-17</t>
        </is>
      </c>
      <c r="B1790" t="inlineStr">
        <is>
          <t>F279644</t>
        </is>
      </c>
      <c r="C1790" t="inlineStr">
        <is>
          <t>C11042</t>
        </is>
      </c>
      <c r="D1790" t="inlineStr">
        <is>
          <t>SKU-10089</t>
        </is>
      </c>
      <c r="E1790" t="inlineStr">
        <is>
          <t>AM02</t>
        </is>
      </c>
      <c r="F1790" s="5" t="n">
        <v>1044.05</v>
      </c>
      <c r="G1790">
        <f>IF(LEFT(B1790,1)="C","Credit","Factuur")</f>
        <v/>
      </c>
      <c r="H1790">
        <f>IF(AND(B1790=B1789,D1790=D1789,A1790=A1789,F1790=F1789),1,0)</f>
        <v/>
      </c>
      <c r="I1790">
        <f>IF(C1790="C99999",1,0)</f>
        <v/>
      </c>
      <c r="J1790" s="5">
        <f>IF(OR(H1790=1,I1790=1),0,IF(G1790="Credit",-F1790,F1790))</f>
        <v/>
      </c>
    </row>
    <row r="1791">
      <c r="A1791" t="inlineStr">
        <is>
          <t>2026-07-17</t>
        </is>
      </c>
      <c r="B1791" t="inlineStr">
        <is>
          <t>F279644</t>
        </is>
      </c>
      <c r="C1791" t="inlineStr">
        <is>
          <t>C11042</t>
        </is>
      </c>
      <c r="D1791" t="inlineStr">
        <is>
          <t>SKU-10098</t>
        </is>
      </c>
      <c r="E1791" t="inlineStr">
        <is>
          <t>AM02</t>
        </is>
      </c>
      <c r="F1791" s="5" t="n">
        <v>1080.27</v>
      </c>
      <c r="G1791">
        <f>IF(LEFT(B1791,1)="C","Credit","Factuur")</f>
        <v/>
      </c>
      <c r="H1791">
        <f>IF(AND(B1791=B1790,D1791=D1790,A1791=A1790,F1791=F1790),1,0)</f>
        <v/>
      </c>
      <c r="I1791">
        <f>IF(C1791="C99999",1,0)</f>
        <v/>
      </c>
      <c r="J1791" s="5">
        <f>IF(OR(H1791=1,I1791=1),0,IF(G1791="Credit",-F1791,F1791))</f>
        <v/>
      </c>
    </row>
    <row r="1792">
      <c r="A1792" t="inlineStr">
        <is>
          <t>2026-07-17</t>
        </is>
      </c>
      <c r="B1792" t="inlineStr">
        <is>
          <t>F279653</t>
        </is>
      </c>
      <c r="C1792" t="inlineStr">
        <is>
          <t>C11043</t>
        </is>
      </c>
      <c r="D1792" t="inlineStr">
        <is>
          <t>SKU-10028</t>
        </is>
      </c>
      <c r="E1792" t="inlineStr">
        <is>
          <t>AM02</t>
        </is>
      </c>
      <c r="F1792" s="5" t="n">
        <v>254.67</v>
      </c>
      <c r="G1792">
        <f>IF(LEFT(B1792,1)="C","Credit","Factuur")</f>
        <v/>
      </c>
      <c r="H1792">
        <f>IF(AND(B1792=B1791,D1792=D1791,A1792=A1791,F1792=F1791),1,0)</f>
        <v/>
      </c>
      <c r="I1792">
        <f>IF(C1792="C99999",1,0)</f>
        <v/>
      </c>
      <c r="J1792" s="5">
        <f>IF(OR(H1792=1,I1792=1),0,IF(G1792="Credit",-F1792,F1792))</f>
        <v/>
      </c>
    </row>
    <row r="1793">
      <c r="A1793" t="inlineStr">
        <is>
          <t>2026-07-17</t>
        </is>
      </c>
      <c r="B1793" t="inlineStr">
        <is>
          <t>F279738</t>
        </is>
      </c>
      <c r="C1793" t="inlineStr">
        <is>
          <t>C11047</t>
        </is>
      </c>
      <c r="D1793" t="inlineStr">
        <is>
          <t>SKU-10351</t>
        </is>
      </c>
      <c r="E1793" t="inlineStr">
        <is>
          <t>AM02</t>
        </is>
      </c>
      <c r="F1793" s="5" t="n">
        <v>1719.6</v>
      </c>
      <c r="G1793">
        <f>IF(LEFT(B1793,1)="C","Credit","Factuur")</f>
        <v/>
      </c>
      <c r="H1793">
        <f>IF(AND(B1793=B1792,D1793=D1792,A1793=A1792,F1793=F1792),1,0)</f>
        <v/>
      </c>
      <c r="I1793">
        <f>IF(C1793="C99999",1,0)</f>
        <v/>
      </c>
      <c r="J1793" s="5">
        <f>IF(OR(H1793=1,I1793=1),0,IF(G1793="Credit",-F1793,F1793))</f>
        <v/>
      </c>
    </row>
    <row r="1794">
      <c r="A1794" t="inlineStr">
        <is>
          <t>2026-07-17</t>
        </is>
      </c>
      <c r="B1794" t="inlineStr">
        <is>
          <t>F279813</t>
        </is>
      </c>
      <c r="C1794" t="inlineStr">
        <is>
          <t>C11050</t>
        </is>
      </c>
      <c r="D1794" t="inlineStr">
        <is>
          <t>SKU-10048</t>
        </is>
      </c>
      <c r="E1794" t="inlineStr">
        <is>
          <t>AM01</t>
        </is>
      </c>
      <c r="F1794" s="5" t="n">
        <v>157.83</v>
      </c>
      <c r="G1794">
        <f>IF(LEFT(B1794,1)="C","Credit","Factuur")</f>
        <v/>
      </c>
      <c r="H1794">
        <f>IF(AND(B1794=B1793,D1794=D1793,A1794=A1793,F1794=F1793),1,0)</f>
        <v/>
      </c>
      <c r="I1794">
        <f>IF(C1794="C99999",1,0)</f>
        <v/>
      </c>
      <c r="J1794" s="5">
        <f>IF(OR(H1794=1,I1794=1),0,IF(G1794="Credit",-F1794,F1794))</f>
        <v/>
      </c>
    </row>
    <row r="1795">
      <c r="A1795" t="inlineStr">
        <is>
          <t>2026-07-17</t>
        </is>
      </c>
      <c r="B1795" t="inlineStr">
        <is>
          <t>F279813</t>
        </is>
      </c>
      <c r="C1795" t="inlineStr">
        <is>
          <t>C11050</t>
        </is>
      </c>
      <c r="D1795" t="inlineStr">
        <is>
          <t>SKU-10300</t>
        </is>
      </c>
      <c r="E1795" t="inlineStr">
        <is>
          <t>AM01</t>
        </is>
      </c>
      <c r="F1795" s="5" t="n">
        <v>165.46</v>
      </c>
      <c r="G1795">
        <f>IF(LEFT(B1795,1)="C","Credit","Factuur")</f>
        <v/>
      </c>
      <c r="H1795">
        <f>IF(AND(B1795=B1794,D1795=D1794,A1795=A1794,F1795=F1794),1,0)</f>
        <v/>
      </c>
      <c r="I1795">
        <f>IF(C1795="C99999",1,0)</f>
        <v/>
      </c>
      <c r="J1795" s="5">
        <f>IF(OR(H1795=1,I1795=1),0,IF(G1795="Credit",-F1795,F1795))</f>
        <v/>
      </c>
    </row>
    <row r="1796">
      <c r="A1796" t="inlineStr">
        <is>
          <t>2026-07-17</t>
        </is>
      </c>
      <c r="B1796" t="inlineStr">
        <is>
          <t>F279813</t>
        </is>
      </c>
      <c r="C1796" t="inlineStr">
        <is>
          <t>C11050</t>
        </is>
      </c>
      <c r="D1796" t="inlineStr">
        <is>
          <t>SKU-10301</t>
        </is>
      </c>
      <c r="E1796" t="inlineStr">
        <is>
          <t>AM01</t>
        </is>
      </c>
      <c r="F1796" s="5" t="n">
        <v>164.73</v>
      </c>
      <c r="G1796">
        <f>IF(LEFT(B1796,1)="C","Credit","Factuur")</f>
        <v/>
      </c>
      <c r="H1796">
        <f>IF(AND(B1796=B1795,D1796=D1795,A1796=A1795,F1796=F1795),1,0)</f>
        <v/>
      </c>
      <c r="I1796">
        <f>IF(C1796="C99999",1,0)</f>
        <v/>
      </c>
      <c r="J1796" s="5">
        <f>IF(OR(H1796=1,I1796=1),0,IF(G1796="Credit",-F1796,F1796))</f>
        <v/>
      </c>
    </row>
    <row r="1797">
      <c r="A1797" t="inlineStr">
        <is>
          <t>2026-07-17</t>
        </is>
      </c>
      <c r="B1797" t="inlineStr">
        <is>
          <t>F279886</t>
        </is>
      </c>
      <c r="C1797" t="inlineStr">
        <is>
          <t>C11052</t>
        </is>
      </c>
      <c r="D1797" t="inlineStr">
        <is>
          <t>SKU-10305</t>
        </is>
      </c>
      <c r="E1797" t="inlineStr">
        <is>
          <t>AM01</t>
        </is>
      </c>
      <c r="F1797" s="5" t="n">
        <v>884.25</v>
      </c>
      <c r="G1797">
        <f>IF(LEFT(B1797,1)="C","Credit","Factuur")</f>
        <v/>
      </c>
      <c r="H1797">
        <f>IF(AND(B1797=B1796,D1797=D1796,A1797=A1796,F1797=F1796),1,0)</f>
        <v/>
      </c>
      <c r="I1797">
        <f>IF(C1797="C99999",1,0)</f>
        <v/>
      </c>
      <c r="J1797" s="5">
        <f>IF(OR(H1797=1,I1797=1),0,IF(G1797="Credit",-F1797,F1797))</f>
        <v/>
      </c>
    </row>
    <row r="1798">
      <c r="A1798" t="inlineStr">
        <is>
          <t>2026-07-17</t>
        </is>
      </c>
      <c r="B1798" t="inlineStr">
        <is>
          <t>F279976</t>
        </is>
      </c>
      <c r="C1798" t="inlineStr">
        <is>
          <t>C11055</t>
        </is>
      </c>
      <c r="D1798" t="inlineStr">
        <is>
          <t>SKU-10088</t>
        </is>
      </c>
      <c r="E1798" t="inlineStr">
        <is>
          <t>AM03</t>
        </is>
      </c>
      <c r="F1798" s="5" t="n">
        <v>756.0700000000001</v>
      </c>
      <c r="G1798">
        <f>IF(LEFT(B1798,1)="C","Credit","Factuur")</f>
        <v/>
      </c>
      <c r="H1798">
        <f>IF(AND(B1798=B1797,D1798=D1797,A1798=A1797,F1798=F1797),1,0)</f>
        <v/>
      </c>
      <c r="I1798">
        <f>IF(C1798="C99999",1,0)</f>
        <v/>
      </c>
      <c r="J1798" s="5">
        <f>IF(OR(H1798=1,I1798=1),0,IF(G1798="Credit",-F1798,F1798))</f>
        <v/>
      </c>
    </row>
    <row r="1799">
      <c r="A1799" t="inlineStr">
        <is>
          <t>2026-07-17</t>
        </is>
      </c>
      <c r="B1799" t="inlineStr">
        <is>
          <t>F279976</t>
        </is>
      </c>
      <c r="C1799" t="inlineStr">
        <is>
          <t>C11055</t>
        </is>
      </c>
      <c r="D1799" t="inlineStr">
        <is>
          <t>SKU-10284</t>
        </is>
      </c>
      <c r="E1799" t="inlineStr">
        <is>
          <t>AM03</t>
        </is>
      </c>
      <c r="F1799" s="5" t="n">
        <v>674.39</v>
      </c>
      <c r="G1799">
        <f>IF(LEFT(B1799,1)="C","Credit","Factuur")</f>
        <v/>
      </c>
      <c r="H1799">
        <f>IF(AND(B1799=B1798,D1799=D1798,A1799=A1798,F1799=F1798),1,0)</f>
        <v/>
      </c>
      <c r="I1799">
        <f>IF(C1799="C99999",1,0)</f>
        <v/>
      </c>
      <c r="J1799" s="5">
        <f>IF(OR(H1799=1,I1799=1),0,IF(G1799="Credit",-F1799,F1799))</f>
        <v/>
      </c>
    </row>
    <row r="1800">
      <c r="A1800" t="inlineStr">
        <is>
          <t>2026-07-17</t>
        </is>
      </c>
      <c r="B1800" t="inlineStr">
        <is>
          <t>F280116</t>
        </is>
      </c>
      <c r="C1800" t="inlineStr">
        <is>
          <t>C11063</t>
        </is>
      </c>
      <c r="D1800" t="inlineStr">
        <is>
          <t>SKU-10113</t>
        </is>
      </c>
      <c r="E1800" t="inlineStr">
        <is>
          <t>AM11</t>
        </is>
      </c>
      <c r="F1800" s="5" t="n">
        <v>76.5</v>
      </c>
      <c r="G1800">
        <f>IF(LEFT(B1800,1)="C","Credit","Factuur")</f>
        <v/>
      </c>
      <c r="H1800">
        <f>IF(AND(B1800=B1799,D1800=D1799,A1800=A1799,F1800=F1799),1,0)</f>
        <v/>
      </c>
      <c r="I1800">
        <f>IF(C1800="C99999",1,0)</f>
        <v/>
      </c>
      <c r="J1800" s="5">
        <f>IF(OR(H1800=1,I1800=1),0,IF(G1800="Credit",-F1800,F1800))</f>
        <v/>
      </c>
    </row>
    <row r="1801">
      <c r="A1801" t="inlineStr">
        <is>
          <t>2026-07-17</t>
        </is>
      </c>
      <c r="B1801" t="inlineStr">
        <is>
          <t>F280116</t>
        </is>
      </c>
      <c r="C1801" t="inlineStr">
        <is>
          <t>C11063</t>
        </is>
      </c>
      <c r="D1801" t="inlineStr">
        <is>
          <t>SKU-10268</t>
        </is>
      </c>
      <c r="E1801" t="inlineStr">
        <is>
          <t>AM11</t>
        </is>
      </c>
      <c r="F1801" s="5" t="n">
        <v>41.12</v>
      </c>
      <c r="G1801">
        <f>IF(LEFT(B1801,1)="C","Credit","Factuur")</f>
        <v/>
      </c>
      <c r="H1801">
        <f>IF(AND(B1801=B1800,D1801=D1800,A1801=A1800,F1801=F1800),1,0)</f>
        <v/>
      </c>
      <c r="I1801">
        <f>IF(C1801="C99999",1,0)</f>
        <v/>
      </c>
      <c r="J1801" s="5">
        <f>IF(OR(H1801=1,I1801=1),0,IF(G1801="Credit",-F1801,F1801))</f>
        <v/>
      </c>
    </row>
    <row r="1802">
      <c r="A1802" t="inlineStr">
        <is>
          <t>2026-07-17</t>
        </is>
      </c>
      <c r="B1802" t="inlineStr">
        <is>
          <t>F280116</t>
        </is>
      </c>
      <c r="C1802" t="inlineStr">
        <is>
          <t>C11063</t>
        </is>
      </c>
      <c r="D1802" t="inlineStr">
        <is>
          <t>SKU-10296</t>
        </is>
      </c>
      <c r="E1802" t="inlineStr">
        <is>
          <t>AM11</t>
        </is>
      </c>
      <c r="F1802" s="5" t="n">
        <v>50.2</v>
      </c>
      <c r="G1802">
        <f>IF(LEFT(B1802,1)="C","Credit","Factuur")</f>
        <v/>
      </c>
      <c r="H1802">
        <f>IF(AND(B1802=B1801,D1802=D1801,A1802=A1801,F1802=F1801),1,0)</f>
        <v/>
      </c>
      <c r="I1802">
        <f>IF(C1802="C99999",1,0)</f>
        <v/>
      </c>
      <c r="J1802" s="5">
        <f>IF(OR(H1802=1,I1802=1),0,IF(G1802="Credit",-F1802,F1802))</f>
        <v/>
      </c>
    </row>
    <row r="1803">
      <c r="A1803" t="inlineStr">
        <is>
          <t>2026-07-17</t>
        </is>
      </c>
      <c r="B1803" t="inlineStr">
        <is>
          <t>F280187</t>
        </is>
      </c>
      <c r="C1803" t="inlineStr">
        <is>
          <t>C11066</t>
        </is>
      </c>
      <c r="D1803" t="inlineStr">
        <is>
          <t>SKU-10090</t>
        </is>
      </c>
      <c r="E1803" t="inlineStr">
        <is>
          <t>AM08</t>
        </is>
      </c>
      <c r="F1803" s="5" t="n">
        <v>382.8</v>
      </c>
      <c r="G1803">
        <f>IF(LEFT(B1803,1)="C","Credit","Factuur")</f>
        <v/>
      </c>
      <c r="H1803">
        <f>IF(AND(B1803=B1802,D1803=D1802,A1803=A1802,F1803=F1802),1,0)</f>
        <v/>
      </c>
      <c r="I1803">
        <f>IF(C1803="C99999",1,0)</f>
        <v/>
      </c>
      <c r="J1803" s="5">
        <f>IF(OR(H1803=1,I1803=1),0,IF(G1803="Credit",-F1803,F1803))</f>
        <v/>
      </c>
    </row>
    <row r="1804">
      <c r="A1804" t="inlineStr">
        <is>
          <t>2026-07-17</t>
        </is>
      </c>
      <c r="B1804" t="inlineStr">
        <is>
          <t>F280187</t>
        </is>
      </c>
      <c r="C1804" t="inlineStr">
        <is>
          <t>C11066</t>
        </is>
      </c>
      <c r="D1804" t="inlineStr">
        <is>
          <t>SKU-10095</t>
        </is>
      </c>
      <c r="E1804" t="inlineStr">
        <is>
          <t>AM08</t>
        </is>
      </c>
      <c r="F1804" s="5" t="n">
        <v>433.3</v>
      </c>
      <c r="G1804">
        <f>IF(LEFT(B1804,1)="C","Credit","Factuur")</f>
        <v/>
      </c>
      <c r="H1804">
        <f>IF(AND(B1804=B1803,D1804=D1803,A1804=A1803,F1804=F1803),1,0)</f>
        <v/>
      </c>
      <c r="I1804">
        <f>IF(C1804="C99999",1,0)</f>
        <v/>
      </c>
      <c r="J1804" s="5">
        <f>IF(OR(H1804=1,I1804=1),0,IF(G1804="Credit",-F1804,F1804))</f>
        <v/>
      </c>
    </row>
    <row r="1805">
      <c r="A1805" t="inlineStr">
        <is>
          <t>2026-07-17</t>
        </is>
      </c>
      <c r="B1805" t="inlineStr">
        <is>
          <t>F280187</t>
        </is>
      </c>
      <c r="C1805" t="inlineStr">
        <is>
          <t>C11066</t>
        </is>
      </c>
      <c r="D1805" t="inlineStr">
        <is>
          <t>SKU-10119</t>
        </is>
      </c>
      <c r="E1805" t="inlineStr">
        <is>
          <t>AM08</t>
        </is>
      </c>
      <c r="F1805" s="5" t="n">
        <v>433.68</v>
      </c>
      <c r="G1805">
        <f>IF(LEFT(B1805,1)="C","Credit","Factuur")</f>
        <v/>
      </c>
      <c r="H1805">
        <f>IF(AND(B1805=B1804,D1805=D1804,A1805=A1804,F1805=F1804),1,0)</f>
        <v/>
      </c>
      <c r="I1805">
        <f>IF(C1805="C99999",1,0)</f>
        <v/>
      </c>
      <c r="J1805" s="5">
        <f>IF(OR(H1805=1,I1805=1),0,IF(G1805="Credit",-F1805,F1805))</f>
        <v/>
      </c>
    </row>
    <row r="1806">
      <c r="A1806" t="inlineStr">
        <is>
          <t>2026-07-17</t>
        </is>
      </c>
      <c r="B1806" t="inlineStr">
        <is>
          <t>F280562</t>
        </is>
      </c>
      <c r="C1806" t="inlineStr">
        <is>
          <t>C11083</t>
        </is>
      </c>
      <c r="D1806" t="inlineStr">
        <is>
          <t>SKU-10320</t>
        </is>
      </c>
      <c r="E1806" t="inlineStr">
        <is>
          <t>AM11</t>
        </is>
      </c>
      <c r="F1806" s="5" t="n">
        <v>168.04</v>
      </c>
      <c r="G1806">
        <f>IF(LEFT(B1806,1)="C","Credit","Factuur")</f>
        <v/>
      </c>
      <c r="H1806">
        <f>IF(AND(B1806=B1805,D1806=D1805,A1806=A1805,F1806=F1805),1,0)</f>
        <v/>
      </c>
      <c r="I1806">
        <f>IF(C1806="C99999",1,0)</f>
        <v/>
      </c>
      <c r="J1806" s="5">
        <f>IF(OR(H1806=1,I1806=1),0,IF(G1806="Credit",-F1806,F1806))</f>
        <v/>
      </c>
    </row>
    <row r="1807">
      <c r="A1807" t="inlineStr">
        <is>
          <t>2026-07-17</t>
        </is>
      </c>
      <c r="B1807" t="inlineStr">
        <is>
          <t>F280562</t>
        </is>
      </c>
      <c r="C1807" t="inlineStr">
        <is>
          <t>C11083</t>
        </is>
      </c>
      <c r="D1807" t="inlineStr">
        <is>
          <t>SKU-10324</t>
        </is>
      </c>
      <c r="E1807" t="inlineStr">
        <is>
          <t>AM11</t>
        </is>
      </c>
      <c r="F1807" s="5" t="n">
        <v>173.76</v>
      </c>
      <c r="G1807">
        <f>IF(LEFT(B1807,1)="C","Credit","Factuur")</f>
        <v/>
      </c>
      <c r="H1807">
        <f>IF(AND(B1807=B1806,D1807=D1806,A1807=A1806,F1807=F1806),1,0)</f>
        <v/>
      </c>
      <c r="I1807">
        <f>IF(C1807="C99999",1,0)</f>
        <v/>
      </c>
      <c r="J1807" s="5">
        <f>IF(OR(H1807=1,I1807=1),0,IF(G1807="Credit",-F1807,F1807))</f>
        <v/>
      </c>
    </row>
    <row r="1808">
      <c r="A1808" t="inlineStr">
        <is>
          <t>2026-07-17</t>
        </is>
      </c>
      <c r="B1808" t="inlineStr">
        <is>
          <t>F280562</t>
        </is>
      </c>
      <c r="C1808" t="inlineStr">
        <is>
          <t>C11083</t>
        </is>
      </c>
      <c r="D1808" t="inlineStr">
        <is>
          <t>SKU-10378</t>
        </is>
      </c>
      <c r="E1808" t="inlineStr">
        <is>
          <t>AM11</t>
        </is>
      </c>
      <c r="F1808" s="5" t="n">
        <v>224.33</v>
      </c>
      <c r="G1808">
        <f>IF(LEFT(B1808,1)="C","Credit","Factuur")</f>
        <v/>
      </c>
      <c r="H1808">
        <f>IF(AND(B1808=B1807,D1808=D1807,A1808=A1807,F1808=F1807),1,0)</f>
        <v/>
      </c>
      <c r="I1808">
        <f>IF(C1808="C99999",1,0)</f>
        <v/>
      </c>
      <c r="J1808" s="5">
        <f>IF(OR(H1808=1,I1808=1),0,IF(G1808="Credit",-F1808,F1808))</f>
        <v/>
      </c>
    </row>
    <row r="1809">
      <c r="A1809" t="inlineStr">
        <is>
          <t>2026-07-17</t>
        </is>
      </c>
      <c r="B1809" t="inlineStr">
        <is>
          <t>F280931</t>
        </is>
      </c>
      <c r="C1809" t="inlineStr">
        <is>
          <t>C11103</t>
        </is>
      </c>
      <c r="D1809" t="inlineStr">
        <is>
          <t>SKU-10232</t>
        </is>
      </c>
      <c r="E1809" t="inlineStr">
        <is>
          <t>AM02</t>
        </is>
      </c>
      <c r="F1809" s="5" t="n">
        <v>242.88</v>
      </c>
      <c r="G1809">
        <f>IF(LEFT(B1809,1)="C","Credit","Factuur")</f>
        <v/>
      </c>
      <c r="H1809">
        <f>IF(AND(B1809=B1808,D1809=D1808,A1809=A1808,F1809=F1808),1,0)</f>
        <v/>
      </c>
      <c r="I1809">
        <f>IF(C1809="C99999",1,0)</f>
        <v/>
      </c>
      <c r="J1809" s="5">
        <f>IF(OR(H1809=1,I1809=1),0,IF(G1809="Credit",-F1809,F1809))</f>
        <v/>
      </c>
    </row>
    <row r="1810">
      <c r="A1810" t="inlineStr">
        <is>
          <t>2026-07-17</t>
        </is>
      </c>
      <c r="B1810" t="inlineStr">
        <is>
          <t>F280931</t>
        </is>
      </c>
      <c r="C1810" t="inlineStr">
        <is>
          <t>C11103</t>
        </is>
      </c>
      <c r="D1810" t="inlineStr">
        <is>
          <t>SKU-10246</t>
        </is>
      </c>
      <c r="E1810" t="inlineStr">
        <is>
          <t>AM02</t>
        </is>
      </c>
      <c r="F1810" s="5" t="n">
        <v>241.92</v>
      </c>
      <c r="G1810">
        <f>IF(LEFT(B1810,1)="C","Credit","Factuur")</f>
        <v/>
      </c>
      <c r="H1810">
        <f>IF(AND(B1810=B1809,D1810=D1809,A1810=A1809,F1810=F1809),1,0)</f>
        <v/>
      </c>
      <c r="I1810">
        <f>IF(C1810="C99999",1,0)</f>
        <v/>
      </c>
      <c r="J1810" s="5">
        <f>IF(OR(H1810=1,I1810=1),0,IF(G1810="Credit",-F1810,F1810))</f>
        <v/>
      </c>
    </row>
    <row r="1811">
      <c r="A1811" t="inlineStr">
        <is>
          <t>2026-07-17</t>
        </is>
      </c>
      <c r="B1811" t="inlineStr">
        <is>
          <t>F280931</t>
        </is>
      </c>
      <c r="C1811" t="inlineStr">
        <is>
          <t>C11103</t>
        </is>
      </c>
      <c r="D1811" t="inlineStr">
        <is>
          <t>SKU-10288</t>
        </is>
      </c>
      <c r="E1811" t="inlineStr">
        <is>
          <t>AM02</t>
        </is>
      </c>
      <c r="F1811" s="5" t="n">
        <v>225.19</v>
      </c>
      <c r="G1811">
        <f>IF(LEFT(B1811,1)="C","Credit","Factuur")</f>
        <v/>
      </c>
      <c r="H1811">
        <f>IF(AND(B1811=B1810,D1811=D1810,A1811=A1810,F1811=F1810),1,0)</f>
        <v/>
      </c>
      <c r="I1811">
        <f>IF(C1811="C99999",1,0)</f>
        <v/>
      </c>
      <c r="J1811" s="5">
        <f>IF(OR(H1811=1,I1811=1),0,IF(G1811="Credit",-F1811,F1811))</f>
        <v/>
      </c>
    </row>
    <row r="1812">
      <c r="A1812" t="inlineStr">
        <is>
          <t>2026-07-17</t>
        </is>
      </c>
      <c r="B1812" t="inlineStr">
        <is>
          <t>F281275</t>
        </is>
      </c>
      <c r="C1812" t="inlineStr">
        <is>
          <t>C11122</t>
        </is>
      </c>
      <c r="D1812" t="inlineStr">
        <is>
          <t>SKU-10156</t>
        </is>
      </c>
      <c r="E1812" t="inlineStr"/>
      <c r="F1812" s="5" t="n">
        <v>1077.12</v>
      </c>
      <c r="G1812">
        <f>IF(LEFT(B1812,1)="C","Credit","Factuur")</f>
        <v/>
      </c>
      <c r="H1812">
        <f>IF(AND(B1812=B1811,D1812=D1811,A1812=A1811,F1812=F1811),1,0)</f>
        <v/>
      </c>
      <c r="I1812">
        <f>IF(C1812="C99999",1,0)</f>
        <v/>
      </c>
      <c r="J1812" s="5">
        <f>IF(OR(H1812=1,I1812=1),0,IF(G1812="Credit",-F1812,F1812))</f>
        <v/>
      </c>
    </row>
    <row r="1813">
      <c r="A1813" t="inlineStr">
        <is>
          <t>2026-07-17</t>
        </is>
      </c>
      <c r="B1813" t="inlineStr">
        <is>
          <t>F281275</t>
        </is>
      </c>
      <c r="C1813" t="inlineStr">
        <is>
          <t>C11122</t>
        </is>
      </c>
      <c r="D1813" t="inlineStr">
        <is>
          <t>SKU-10195</t>
        </is>
      </c>
      <c r="E1813" t="inlineStr">
        <is>
          <t>AM05</t>
        </is>
      </c>
      <c r="F1813" s="5" t="n">
        <v>1064.76</v>
      </c>
      <c r="G1813">
        <f>IF(LEFT(B1813,1)="C","Credit","Factuur")</f>
        <v/>
      </c>
      <c r="H1813">
        <f>IF(AND(B1813=B1812,D1813=D1812,A1813=A1812,F1813=F1812),1,0)</f>
        <v/>
      </c>
      <c r="I1813">
        <f>IF(C1813="C99999",1,0)</f>
        <v/>
      </c>
      <c r="J1813" s="5">
        <f>IF(OR(H1813=1,I1813=1),0,IF(G1813="Credit",-F1813,F1813))</f>
        <v/>
      </c>
    </row>
    <row r="1814">
      <c r="A1814" t="inlineStr">
        <is>
          <t>2026-07-17</t>
        </is>
      </c>
      <c r="B1814" t="inlineStr">
        <is>
          <t>F281284</t>
        </is>
      </c>
      <c r="C1814" t="inlineStr">
        <is>
          <t>C11122</t>
        </is>
      </c>
      <c r="D1814" t="inlineStr">
        <is>
          <t>SKU-10092</t>
        </is>
      </c>
      <c r="E1814" t="inlineStr">
        <is>
          <t>AM05</t>
        </is>
      </c>
      <c r="F1814" s="5" t="n">
        <v>521.51</v>
      </c>
      <c r="G1814">
        <f>IF(LEFT(B1814,1)="C","Credit","Factuur")</f>
        <v/>
      </c>
      <c r="H1814">
        <f>IF(AND(B1814=B1813,D1814=D1813,A1814=A1813,F1814=F1813),1,0)</f>
        <v/>
      </c>
      <c r="I1814">
        <f>IF(C1814="C99999",1,0)</f>
        <v/>
      </c>
      <c r="J1814" s="5">
        <f>IF(OR(H1814=1,I1814=1),0,IF(G1814="Credit",-F1814,F1814))</f>
        <v/>
      </c>
    </row>
    <row r="1815">
      <c r="A1815" t="inlineStr">
        <is>
          <t>2026-07-17</t>
        </is>
      </c>
      <c r="B1815" t="inlineStr">
        <is>
          <t>F281284</t>
        </is>
      </c>
      <c r="C1815" t="inlineStr">
        <is>
          <t>C11122</t>
        </is>
      </c>
      <c r="D1815" t="inlineStr">
        <is>
          <t>SKU-10170</t>
        </is>
      </c>
      <c r="E1815" t="inlineStr">
        <is>
          <t>AM05</t>
        </is>
      </c>
      <c r="F1815" s="5" t="n">
        <v>522.48</v>
      </c>
      <c r="G1815">
        <f>IF(LEFT(B1815,1)="C","Credit","Factuur")</f>
        <v/>
      </c>
      <c r="H1815">
        <f>IF(AND(B1815=B1814,D1815=D1814,A1815=A1814,F1815=F1814),1,0)</f>
        <v/>
      </c>
      <c r="I1815">
        <f>IF(C1815="C99999",1,0)</f>
        <v/>
      </c>
      <c r="J1815" s="5">
        <f>IF(OR(H1815=1,I1815=1),0,IF(G1815="Credit",-F1815,F1815))</f>
        <v/>
      </c>
    </row>
    <row r="1816">
      <c r="A1816" t="inlineStr">
        <is>
          <t>2026-07-17</t>
        </is>
      </c>
      <c r="B1816" t="inlineStr">
        <is>
          <t>F281284</t>
        </is>
      </c>
      <c r="C1816" t="inlineStr">
        <is>
          <t>C11122</t>
        </is>
      </c>
      <c r="D1816" t="inlineStr">
        <is>
          <t>SKU-10343</t>
        </is>
      </c>
      <c r="E1816" t="inlineStr">
        <is>
          <t>AM05</t>
        </is>
      </c>
      <c r="F1816" s="5" t="n">
        <v>528.64</v>
      </c>
      <c r="G1816">
        <f>IF(LEFT(B1816,1)="C","Credit","Factuur")</f>
        <v/>
      </c>
      <c r="H1816">
        <f>IF(AND(B1816=B1815,D1816=D1815,A1816=A1815,F1816=F1815),1,0)</f>
        <v/>
      </c>
      <c r="I1816">
        <f>IF(C1816="C99999",1,0)</f>
        <v/>
      </c>
      <c r="J1816" s="5">
        <f>IF(OR(H1816=1,I1816=1),0,IF(G1816="Credit",-F1816,F1816))</f>
        <v/>
      </c>
    </row>
    <row r="1817">
      <c r="A1817" t="inlineStr">
        <is>
          <t>2026-07-17</t>
        </is>
      </c>
      <c r="B1817" t="inlineStr">
        <is>
          <t>F281346</t>
        </is>
      </c>
      <c r="C1817" t="inlineStr">
        <is>
          <t>C11124</t>
        </is>
      </c>
      <c r="D1817" t="inlineStr">
        <is>
          <t>SKU-10055</t>
        </is>
      </c>
      <c r="E1817" t="inlineStr">
        <is>
          <t>AM07</t>
        </is>
      </c>
      <c r="F1817" s="5" t="n">
        <v>234.71</v>
      </c>
      <c r="G1817">
        <f>IF(LEFT(B1817,1)="C","Credit","Factuur")</f>
        <v/>
      </c>
      <c r="H1817">
        <f>IF(AND(B1817=B1816,D1817=D1816,A1817=A1816,F1817=F1816),1,0)</f>
        <v/>
      </c>
      <c r="I1817">
        <f>IF(C1817="C99999",1,0)</f>
        <v/>
      </c>
      <c r="J1817" s="5">
        <f>IF(OR(H1817=1,I1817=1),0,IF(G1817="Credit",-F1817,F1817))</f>
        <v/>
      </c>
    </row>
    <row r="1818">
      <c r="A1818" t="inlineStr">
        <is>
          <t>2026-07-17</t>
        </is>
      </c>
      <c r="B1818" t="inlineStr">
        <is>
          <t>F281346</t>
        </is>
      </c>
      <c r="C1818" t="inlineStr">
        <is>
          <t>C11124</t>
        </is>
      </c>
      <c r="D1818" t="inlineStr">
        <is>
          <t>SKU-10086</t>
        </is>
      </c>
      <c r="E1818" t="inlineStr">
        <is>
          <t>AM07</t>
        </is>
      </c>
      <c r="F1818" s="5" t="n">
        <v>221.34</v>
      </c>
      <c r="G1818">
        <f>IF(LEFT(B1818,1)="C","Credit","Factuur")</f>
        <v/>
      </c>
      <c r="H1818">
        <f>IF(AND(B1818=B1817,D1818=D1817,A1818=A1817,F1818=F1817),1,0)</f>
        <v/>
      </c>
      <c r="I1818">
        <f>IF(C1818="C99999",1,0)</f>
        <v/>
      </c>
      <c r="J1818" s="5">
        <f>IF(OR(H1818=1,I1818=1),0,IF(G1818="Credit",-F1818,F1818))</f>
        <v/>
      </c>
    </row>
    <row r="1819">
      <c r="A1819" t="inlineStr">
        <is>
          <t>2026-07-17</t>
        </is>
      </c>
      <c r="B1819" t="inlineStr">
        <is>
          <t>F281346</t>
        </is>
      </c>
      <c r="C1819" t="inlineStr">
        <is>
          <t>C11124</t>
        </is>
      </c>
      <c r="D1819" t="inlineStr">
        <is>
          <t>SKU-10195</t>
        </is>
      </c>
      <c r="E1819" t="inlineStr">
        <is>
          <t>AM07</t>
        </is>
      </c>
      <c r="F1819" s="5" t="n">
        <v>224.16</v>
      </c>
      <c r="G1819">
        <f>IF(LEFT(B1819,1)="C","Credit","Factuur")</f>
        <v/>
      </c>
      <c r="H1819">
        <f>IF(AND(B1819=B1818,D1819=D1818,A1819=A1818,F1819=F1818),1,0)</f>
        <v/>
      </c>
      <c r="I1819">
        <f>IF(C1819="C99999",1,0)</f>
        <v/>
      </c>
      <c r="J1819" s="5">
        <f>IF(OR(H1819=1,I1819=1),0,IF(G1819="Credit",-F1819,F1819))</f>
        <v/>
      </c>
    </row>
    <row r="1820">
      <c r="A1820" t="inlineStr">
        <is>
          <t>2026-07-17</t>
        </is>
      </c>
      <c r="B1820" t="inlineStr">
        <is>
          <t>F281346</t>
        </is>
      </c>
      <c r="C1820" t="inlineStr">
        <is>
          <t>C11124</t>
        </is>
      </c>
      <c r="D1820" t="inlineStr">
        <is>
          <t>SKU-10272</t>
        </is>
      </c>
      <c r="E1820" t="inlineStr">
        <is>
          <t>AM07</t>
        </is>
      </c>
      <c r="F1820" s="5" t="n">
        <v>199.11</v>
      </c>
      <c r="G1820">
        <f>IF(LEFT(B1820,1)="C","Credit","Factuur")</f>
        <v/>
      </c>
      <c r="H1820">
        <f>IF(AND(B1820=B1819,D1820=D1819,A1820=A1819,F1820=F1819),1,0)</f>
        <v/>
      </c>
      <c r="I1820">
        <f>IF(C1820="C99999",1,0)</f>
        <v/>
      </c>
      <c r="J1820" s="5">
        <f>IF(OR(H1820=1,I1820=1),0,IF(G1820="Credit",-F1820,F1820))</f>
        <v/>
      </c>
    </row>
    <row r="1821">
      <c r="A1821" t="inlineStr">
        <is>
          <t>2026-07-17</t>
        </is>
      </c>
      <c r="B1821" t="inlineStr">
        <is>
          <t>F281592</t>
        </is>
      </c>
      <c r="C1821" t="inlineStr">
        <is>
          <t>C11139</t>
        </is>
      </c>
      <c r="D1821" t="inlineStr">
        <is>
          <t>SKU-10070</t>
        </is>
      </c>
      <c r="E1821" t="inlineStr">
        <is>
          <t>AM03</t>
        </is>
      </c>
      <c r="F1821" s="5" t="n">
        <v>557.83</v>
      </c>
      <c r="G1821">
        <f>IF(LEFT(B1821,1)="C","Credit","Factuur")</f>
        <v/>
      </c>
      <c r="H1821">
        <f>IF(AND(B1821=B1820,D1821=D1820,A1821=A1820,F1821=F1820),1,0)</f>
        <v/>
      </c>
      <c r="I1821">
        <f>IF(C1821="C99999",1,0)</f>
        <v/>
      </c>
      <c r="J1821" s="5">
        <f>IF(OR(H1821=1,I1821=1),0,IF(G1821="Credit",-F1821,F1821))</f>
        <v/>
      </c>
    </row>
    <row r="1822">
      <c r="A1822" t="inlineStr">
        <is>
          <t>2026-07-17</t>
        </is>
      </c>
      <c r="B1822" t="inlineStr">
        <is>
          <t>F281592</t>
        </is>
      </c>
      <c r="C1822" t="inlineStr">
        <is>
          <t>C11139</t>
        </is>
      </c>
      <c r="D1822" t="inlineStr">
        <is>
          <t>SKU-10274</t>
        </is>
      </c>
      <c r="E1822" t="inlineStr">
        <is>
          <t>AM03</t>
        </is>
      </c>
      <c r="F1822" s="5" t="n">
        <v>496.97</v>
      </c>
      <c r="G1822">
        <f>IF(LEFT(B1822,1)="C","Credit","Factuur")</f>
        <v/>
      </c>
      <c r="H1822">
        <f>IF(AND(B1822=B1821,D1822=D1821,A1822=A1821,F1822=F1821),1,0)</f>
        <v/>
      </c>
      <c r="I1822">
        <f>IF(C1822="C99999",1,0)</f>
        <v/>
      </c>
      <c r="J1822" s="5">
        <f>IF(OR(H1822=1,I1822=1),0,IF(G1822="Credit",-F1822,F1822))</f>
        <v/>
      </c>
    </row>
    <row r="1823">
      <c r="A1823" t="inlineStr">
        <is>
          <t>2026-07-17</t>
        </is>
      </c>
      <c r="B1823" t="inlineStr">
        <is>
          <t>F281709</t>
        </is>
      </c>
      <c r="C1823" t="inlineStr">
        <is>
          <t>C11145</t>
        </is>
      </c>
      <c r="D1823" t="inlineStr">
        <is>
          <t>SKU-10201</t>
        </is>
      </c>
      <c r="E1823" t="inlineStr">
        <is>
          <t>AM11</t>
        </is>
      </c>
      <c r="F1823" s="5" t="n">
        <v>532.8</v>
      </c>
      <c r="G1823">
        <f>IF(LEFT(B1823,1)="C","Credit","Factuur")</f>
        <v/>
      </c>
      <c r="H1823">
        <f>IF(AND(B1823=B1822,D1823=D1822,A1823=A1822,F1823=F1822),1,0)</f>
        <v/>
      </c>
      <c r="I1823">
        <f>IF(C1823="C99999",1,0)</f>
        <v/>
      </c>
      <c r="J1823" s="5">
        <f>IF(OR(H1823=1,I1823=1),0,IF(G1823="Credit",-F1823,F1823))</f>
        <v/>
      </c>
    </row>
    <row r="1824">
      <c r="A1824" t="inlineStr">
        <is>
          <t>2026-07-17</t>
        </is>
      </c>
      <c r="B1824" t="inlineStr">
        <is>
          <t>F281721</t>
        </is>
      </c>
      <c r="C1824" t="inlineStr">
        <is>
          <t>C11145</t>
        </is>
      </c>
      <c r="D1824" t="inlineStr">
        <is>
          <t>SKU-10028</t>
        </is>
      </c>
      <c r="E1824" t="inlineStr">
        <is>
          <t>AM11</t>
        </is>
      </c>
      <c r="F1824" s="5" t="n">
        <v>173.64</v>
      </c>
      <c r="G1824">
        <f>IF(LEFT(B1824,1)="C","Credit","Factuur")</f>
        <v/>
      </c>
      <c r="H1824">
        <f>IF(AND(B1824=B1823,D1824=D1823,A1824=A1823,F1824=F1823),1,0)</f>
        <v/>
      </c>
      <c r="I1824">
        <f>IF(C1824="C99999",1,0)</f>
        <v/>
      </c>
      <c r="J1824" s="5">
        <f>IF(OR(H1824=1,I1824=1),0,IF(G1824="Credit",-F1824,F1824))</f>
        <v/>
      </c>
    </row>
    <row r="1825">
      <c r="A1825" t="inlineStr">
        <is>
          <t>2026-07-17</t>
        </is>
      </c>
      <c r="B1825" t="inlineStr">
        <is>
          <t>F281721</t>
        </is>
      </c>
      <c r="C1825" t="inlineStr">
        <is>
          <t>C11145</t>
        </is>
      </c>
      <c r="D1825" t="inlineStr">
        <is>
          <t>SKU-10046</t>
        </is>
      </c>
      <c r="E1825" t="inlineStr">
        <is>
          <t>AM11</t>
        </is>
      </c>
      <c r="F1825" s="5" t="n">
        <v>173.58</v>
      </c>
      <c r="G1825">
        <f>IF(LEFT(B1825,1)="C","Credit","Factuur")</f>
        <v/>
      </c>
      <c r="H1825">
        <f>IF(AND(B1825=B1824,D1825=D1824,A1825=A1824,F1825=F1824),1,0)</f>
        <v/>
      </c>
      <c r="I1825">
        <f>IF(C1825="C99999",1,0)</f>
        <v/>
      </c>
      <c r="J1825" s="5">
        <f>IF(OR(H1825=1,I1825=1),0,IF(G1825="Credit",-F1825,F1825))</f>
        <v/>
      </c>
    </row>
    <row r="1826">
      <c r="A1826" t="inlineStr">
        <is>
          <t>2026-07-17</t>
        </is>
      </c>
      <c r="B1826" t="inlineStr">
        <is>
          <t>F281721</t>
        </is>
      </c>
      <c r="C1826" t="inlineStr">
        <is>
          <t>C11145</t>
        </is>
      </c>
      <c r="D1826" t="inlineStr">
        <is>
          <t>SKU-10176</t>
        </is>
      </c>
      <c r="E1826" t="inlineStr">
        <is>
          <t>AM11</t>
        </is>
      </c>
      <c r="F1826" s="5" t="n">
        <v>172.48</v>
      </c>
      <c r="G1826">
        <f>IF(LEFT(B1826,1)="C","Credit","Factuur")</f>
        <v/>
      </c>
      <c r="H1826">
        <f>IF(AND(B1826=B1825,D1826=D1825,A1826=A1825,F1826=F1825),1,0)</f>
        <v/>
      </c>
      <c r="I1826">
        <f>IF(C1826="C99999",1,0)</f>
        <v/>
      </c>
      <c r="J1826" s="5">
        <f>IF(OR(H1826=1,I1826=1),0,IF(G1826="Credit",-F1826,F1826))</f>
        <v/>
      </c>
    </row>
    <row r="1827">
      <c r="A1827" t="inlineStr">
        <is>
          <t>2026-07-17</t>
        </is>
      </c>
      <c r="B1827" t="inlineStr">
        <is>
          <t>F281721</t>
        </is>
      </c>
      <c r="C1827" t="inlineStr">
        <is>
          <t>C11145</t>
        </is>
      </c>
      <c r="D1827" t="inlineStr">
        <is>
          <t>SKU-10288</t>
        </is>
      </c>
      <c r="E1827" t="inlineStr">
        <is>
          <t>AM11</t>
        </is>
      </c>
      <c r="F1827" s="5" t="n">
        <v>160.85</v>
      </c>
      <c r="G1827">
        <f>IF(LEFT(B1827,1)="C","Credit","Factuur")</f>
        <v/>
      </c>
      <c r="H1827">
        <f>IF(AND(B1827=B1826,D1827=D1826,A1827=A1826,F1827=F1826),1,0)</f>
        <v/>
      </c>
      <c r="I1827">
        <f>IF(C1827="C99999",1,0)</f>
        <v/>
      </c>
      <c r="J1827" s="5">
        <f>IF(OR(H1827=1,I1827=1),0,IF(G1827="Credit",-F1827,F1827))</f>
        <v/>
      </c>
    </row>
    <row r="1828">
      <c r="A1828" t="inlineStr">
        <is>
          <t>2026-07-17</t>
        </is>
      </c>
      <c r="B1828" t="inlineStr">
        <is>
          <t>F281807</t>
        </is>
      </c>
      <c r="C1828" t="inlineStr">
        <is>
          <t>C11148</t>
        </is>
      </c>
      <c r="D1828" t="inlineStr">
        <is>
          <t>SKU-10290</t>
        </is>
      </c>
      <c r="E1828" t="inlineStr">
        <is>
          <t>AM02</t>
        </is>
      </c>
      <c r="F1828" s="5" t="n">
        <v>599.88</v>
      </c>
      <c r="G1828">
        <f>IF(LEFT(B1828,1)="C","Credit","Factuur")</f>
        <v/>
      </c>
      <c r="H1828">
        <f>IF(AND(B1828=B1827,D1828=D1827,A1828=A1827,F1828=F1827),1,0)</f>
        <v/>
      </c>
      <c r="I1828">
        <f>IF(C1828="C99999",1,0)</f>
        <v/>
      </c>
      <c r="J1828" s="5">
        <f>IF(OR(H1828=1,I1828=1),0,IF(G1828="Credit",-F1828,F1828))</f>
        <v/>
      </c>
    </row>
    <row r="1829">
      <c r="A1829" t="inlineStr">
        <is>
          <t>2026-07-17</t>
        </is>
      </c>
      <c r="B1829" t="inlineStr">
        <is>
          <t>F281939</t>
        </is>
      </c>
      <c r="C1829" t="inlineStr">
        <is>
          <t>C11153</t>
        </is>
      </c>
      <c r="D1829" t="inlineStr">
        <is>
          <t>SKU-10024</t>
        </is>
      </c>
      <c r="E1829" t="inlineStr">
        <is>
          <t>AM03</t>
        </is>
      </c>
      <c r="F1829" s="5" t="n">
        <v>229.52</v>
      </c>
      <c r="G1829">
        <f>IF(LEFT(B1829,1)="C","Credit","Factuur")</f>
        <v/>
      </c>
      <c r="H1829">
        <f>IF(AND(B1829=B1828,D1829=D1828,A1829=A1828,F1829=F1828),1,0)</f>
        <v/>
      </c>
      <c r="I1829">
        <f>IF(C1829="C99999",1,0)</f>
        <v/>
      </c>
      <c r="J1829" s="5">
        <f>IF(OR(H1829=1,I1829=1),0,IF(G1829="Credit",-F1829,F1829))</f>
        <v/>
      </c>
    </row>
    <row r="1830">
      <c r="A1830" t="inlineStr">
        <is>
          <t>2026-07-17</t>
        </is>
      </c>
      <c r="B1830" t="inlineStr">
        <is>
          <t>F281939</t>
        </is>
      </c>
      <c r="C1830" t="inlineStr">
        <is>
          <t>C11153</t>
        </is>
      </c>
      <c r="D1830" t="inlineStr">
        <is>
          <t>SKU-10178</t>
        </is>
      </c>
      <c r="E1830" t="inlineStr">
        <is>
          <t>AM03</t>
        </is>
      </c>
      <c r="F1830" s="5" t="n">
        <v>228.64</v>
      </c>
      <c r="G1830">
        <f>IF(LEFT(B1830,1)="C","Credit","Factuur")</f>
        <v/>
      </c>
      <c r="H1830">
        <f>IF(AND(B1830=B1829,D1830=D1829,A1830=A1829,F1830=F1829),1,0)</f>
        <v/>
      </c>
      <c r="I1830">
        <f>IF(C1830="C99999",1,0)</f>
        <v/>
      </c>
      <c r="J1830" s="5">
        <f>IF(OR(H1830=1,I1830=1),0,IF(G1830="Credit",-F1830,F1830))</f>
        <v/>
      </c>
    </row>
    <row r="1831">
      <c r="A1831" t="inlineStr">
        <is>
          <t>2026-07-17</t>
        </is>
      </c>
      <c r="B1831" t="inlineStr">
        <is>
          <t>F281939</t>
        </is>
      </c>
      <c r="C1831" t="inlineStr">
        <is>
          <t>C11153</t>
        </is>
      </c>
      <c r="D1831" t="inlineStr">
        <is>
          <t>SKU-10338</t>
        </is>
      </c>
      <c r="E1831" t="inlineStr">
        <is>
          <t>AM03</t>
        </is>
      </c>
      <c r="F1831" s="5" t="n">
        <v>226.92</v>
      </c>
      <c r="G1831">
        <f>IF(LEFT(B1831,1)="C","Credit","Factuur")</f>
        <v/>
      </c>
      <c r="H1831">
        <f>IF(AND(B1831=B1830,D1831=D1830,A1831=A1830,F1831=F1830),1,0)</f>
        <v/>
      </c>
      <c r="I1831">
        <f>IF(C1831="C99999",1,0)</f>
        <v/>
      </c>
      <c r="J1831" s="5">
        <f>IF(OR(H1831=1,I1831=1),0,IF(G1831="Credit",-F1831,F1831))</f>
        <v/>
      </c>
    </row>
    <row r="1832">
      <c r="A1832" t="inlineStr">
        <is>
          <t>2026-07-17</t>
        </is>
      </c>
      <c r="B1832" t="inlineStr">
        <is>
          <t>F281939</t>
        </is>
      </c>
      <c r="C1832" t="inlineStr">
        <is>
          <t>C11153</t>
        </is>
      </c>
      <c r="D1832" t="inlineStr">
        <is>
          <t>SKU-10340</t>
        </is>
      </c>
      <c r="E1832" t="inlineStr">
        <is>
          <t>AM03</t>
        </is>
      </c>
      <c r="F1832" s="5" t="n">
        <v>236.4</v>
      </c>
      <c r="G1832">
        <f>IF(LEFT(B1832,1)="C","Credit","Factuur")</f>
        <v/>
      </c>
      <c r="H1832">
        <f>IF(AND(B1832=B1831,D1832=D1831,A1832=A1831,F1832=F1831),1,0)</f>
        <v/>
      </c>
      <c r="I1832">
        <f>IF(C1832="C99999",1,0)</f>
        <v/>
      </c>
      <c r="J1832" s="5">
        <f>IF(OR(H1832=1,I1832=1),0,IF(G1832="Credit",-F1832,F1832))</f>
        <v/>
      </c>
    </row>
    <row r="1833">
      <c r="A1833" t="inlineStr">
        <is>
          <t>2026-07-17</t>
        </is>
      </c>
      <c r="B1833" t="inlineStr">
        <is>
          <t>F283044</t>
        </is>
      </c>
      <c r="C1833" t="inlineStr">
        <is>
          <t>C11211</t>
        </is>
      </c>
      <c r="D1833" t="inlineStr">
        <is>
          <t>SKU-10355</t>
        </is>
      </c>
      <c r="E1833" t="inlineStr">
        <is>
          <t>AM11</t>
        </is>
      </c>
      <c r="F1833" s="5" t="n">
        <v>1479.84</v>
      </c>
      <c r="G1833">
        <f>IF(LEFT(B1833,1)="C","Credit","Factuur")</f>
        <v/>
      </c>
      <c r="H1833">
        <f>IF(AND(B1833=B1832,D1833=D1832,A1833=A1832,F1833=F1832),1,0)</f>
        <v/>
      </c>
      <c r="I1833">
        <f>IF(C1833="C99999",1,0)</f>
        <v/>
      </c>
      <c r="J1833" s="5">
        <f>IF(OR(H1833=1,I1833=1),0,IF(G1833="Credit",-F1833,F1833))</f>
        <v/>
      </c>
    </row>
    <row r="1834">
      <c r="A1834" t="inlineStr">
        <is>
          <t>2026-07-17</t>
        </is>
      </c>
      <c r="B1834" t="inlineStr">
        <is>
          <t>F283222</t>
        </is>
      </c>
      <c r="C1834" t="inlineStr">
        <is>
          <t>C11223</t>
        </is>
      </c>
      <c r="D1834" t="inlineStr">
        <is>
          <t>SKU-10010</t>
        </is>
      </c>
      <c r="E1834" t="inlineStr">
        <is>
          <t>AM03</t>
        </is>
      </c>
      <c r="F1834" s="5" t="n">
        <v>116.48</v>
      </c>
      <c r="G1834">
        <f>IF(LEFT(B1834,1)="C","Credit","Factuur")</f>
        <v/>
      </c>
      <c r="H1834">
        <f>IF(AND(B1834=B1833,D1834=D1833,A1834=A1833,F1834=F1833),1,0)</f>
        <v/>
      </c>
      <c r="I1834">
        <f>IF(C1834="C99999",1,0)</f>
        <v/>
      </c>
      <c r="J1834" s="5">
        <f>IF(OR(H1834=1,I1834=1),0,IF(G1834="Credit",-F1834,F1834))</f>
        <v/>
      </c>
    </row>
    <row r="1835">
      <c r="A1835" t="inlineStr">
        <is>
          <t>2026-07-17</t>
        </is>
      </c>
      <c r="B1835" t="inlineStr">
        <is>
          <t>F283222</t>
        </is>
      </c>
      <c r="C1835" t="inlineStr">
        <is>
          <t>C11223</t>
        </is>
      </c>
      <c r="D1835" t="inlineStr">
        <is>
          <t>SKU-10076</t>
        </is>
      </c>
      <c r="E1835" t="inlineStr">
        <is>
          <t>AM03</t>
        </is>
      </c>
      <c r="F1835" s="5" t="n">
        <v>96.2</v>
      </c>
      <c r="G1835">
        <f>IF(LEFT(B1835,1)="C","Credit","Factuur")</f>
        <v/>
      </c>
      <c r="H1835">
        <f>IF(AND(B1835=B1834,D1835=D1834,A1835=A1834,F1835=F1834),1,0)</f>
        <v/>
      </c>
      <c r="I1835">
        <f>IF(C1835="C99999",1,0)</f>
        <v/>
      </c>
      <c r="J1835" s="5">
        <f>IF(OR(H1835=1,I1835=1),0,IF(G1835="Credit",-F1835,F1835))</f>
        <v/>
      </c>
    </row>
    <row r="1836">
      <c r="A1836" t="inlineStr">
        <is>
          <t>2026-07-17</t>
        </is>
      </c>
      <c r="B1836" t="inlineStr">
        <is>
          <t>F283222</t>
        </is>
      </c>
      <c r="C1836" t="inlineStr">
        <is>
          <t>C11223</t>
        </is>
      </c>
      <c r="D1836" t="inlineStr">
        <is>
          <t>SKU-10273</t>
        </is>
      </c>
      <c r="E1836" t="inlineStr">
        <is>
          <t>AM03</t>
        </is>
      </c>
      <c r="F1836" s="5" t="n">
        <v>96.36</v>
      </c>
      <c r="G1836">
        <f>IF(LEFT(B1836,1)="C","Credit","Factuur")</f>
        <v/>
      </c>
      <c r="H1836">
        <f>IF(AND(B1836=B1835,D1836=D1835,A1836=A1835,F1836=F1835),1,0)</f>
        <v/>
      </c>
      <c r="I1836">
        <f>IF(C1836="C99999",1,0)</f>
        <v/>
      </c>
      <c r="J1836" s="5">
        <f>IF(OR(H1836=1,I1836=1),0,IF(G1836="Credit",-F1836,F1836))</f>
        <v/>
      </c>
    </row>
    <row r="1837">
      <c r="A1837" t="inlineStr">
        <is>
          <t>2026-07-17</t>
        </is>
      </c>
      <c r="B1837" t="inlineStr">
        <is>
          <t>F283222</t>
        </is>
      </c>
      <c r="C1837" t="inlineStr">
        <is>
          <t>C11223</t>
        </is>
      </c>
      <c r="D1837" t="inlineStr">
        <is>
          <t>SKU-10277</t>
        </is>
      </c>
      <c r="E1837" t="inlineStr">
        <is>
          <t>AM03</t>
        </is>
      </c>
      <c r="F1837" s="5" t="n">
        <v>101.32</v>
      </c>
      <c r="G1837">
        <f>IF(LEFT(B1837,1)="C","Credit","Factuur")</f>
        <v/>
      </c>
      <c r="H1837">
        <f>IF(AND(B1837=B1836,D1837=D1836,A1837=A1836,F1837=F1836),1,0)</f>
        <v/>
      </c>
      <c r="I1837">
        <f>IF(C1837="C99999",1,0)</f>
        <v/>
      </c>
      <c r="J1837" s="5">
        <f>IF(OR(H1837=1,I1837=1),0,IF(G1837="Credit",-F1837,F1837))</f>
        <v/>
      </c>
    </row>
    <row r="1838">
      <c r="A1838" t="inlineStr">
        <is>
          <t>2026-07-17</t>
        </is>
      </c>
      <c r="B1838" t="inlineStr">
        <is>
          <t>F283426</t>
        </is>
      </c>
      <c r="C1838" t="inlineStr">
        <is>
          <t>C11230</t>
        </is>
      </c>
      <c r="D1838" t="inlineStr">
        <is>
          <t>SKU-10125</t>
        </is>
      </c>
      <c r="E1838" t="inlineStr">
        <is>
          <t>AM03</t>
        </is>
      </c>
      <c r="F1838" s="5" t="n">
        <v>242.92</v>
      </c>
      <c r="G1838">
        <f>IF(LEFT(B1838,1)="C","Credit","Factuur")</f>
        <v/>
      </c>
      <c r="H1838">
        <f>IF(AND(B1838=B1837,D1838=D1837,A1838=A1837,F1838=F1837),1,0)</f>
        <v/>
      </c>
      <c r="I1838">
        <f>IF(C1838="C99999",1,0)</f>
        <v/>
      </c>
      <c r="J1838" s="5">
        <f>IF(OR(H1838=1,I1838=1),0,IF(G1838="Credit",-F1838,F1838))</f>
        <v/>
      </c>
    </row>
    <row r="1839">
      <c r="A1839" t="inlineStr">
        <is>
          <t>2026-07-17</t>
        </is>
      </c>
      <c r="B1839" t="inlineStr">
        <is>
          <t>F283771</t>
        </is>
      </c>
      <c r="C1839" t="inlineStr">
        <is>
          <t>C11246</t>
        </is>
      </c>
      <c r="D1839" t="inlineStr">
        <is>
          <t>SKU-10281</t>
        </is>
      </c>
      <c r="E1839" t="inlineStr">
        <is>
          <t>AM02</t>
        </is>
      </c>
      <c r="F1839" s="5" t="n">
        <v>698.0700000000001</v>
      </c>
      <c r="G1839">
        <f>IF(LEFT(B1839,1)="C","Credit","Factuur")</f>
        <v/>
      </c>
      <c r="H1839">
        <f>IF(AND(B1839=B1838,D1839=D1838,A1839=A1838,F1839=F1838),1,0)</f>
        <v/>
      </c>
      <c r="I1839">
        <f>IF(C1839="C99999",1,0)</f>
        <v/>
      </c>
      <c r="J1839" s="5">
        <f>IF(OR(H1839=1,I1839=1),0,IF(G1839="Credit",-F1839,F1839))</f>
        <v/>
      </c>
    </row>
    <row r="1840">
      <c r="A1840" t="inlineStr">
        <is>
          <t>2026-07-17</t>
        </is>
      </c>
      <c r="B1840" t="inlineStr">
        <is>
          <t>F283817</t>
        </is>
      </c>
      <c r="C1840" t="inlineStr">
        <is>
          <t>C11248</t>
        </is>
      </c>
      <c r="D1840" t="inlineStr">
        <is>
          <t>SKU-10073</t>
        </is>
      </c>
      <c r="E1840" t="inlineStr">
        <is>
          <t>AM05</t>
        </is>
      </c>
      <c r="F1840" s="5" t="n">
        <v>171.12</v>
      </c>
      <c r="G1840">
        <f>IF(LEFT(B1840,1)="C","Credit","Factuur")</f>
        <v/>
      </c>
      <c r="H1840">
        <f>IF(AND(B1840=B1839,D1840=D1839,A1840=A1839,F1840=F1839),1,0)</f>
        <v/>
      </c>
      <c r="I1840">
        <f>IF(C1840="C99999",1,0)</f>
        <v/>
      </c>
      <c r="J1840" s="5">
        <f>IF(OR(H1840=1,I1840=1),0,IF(G1840="Credit",-F1840,F1840))</f>
        <v/>
      </c>
    </row>
    <row r="1841">
      <c r="A1841" t="inlineStr">
        <is>
          <t>2026-07-17</t>
        </is>
      </c>
      <c r="B1841" t="inlineStr">
        <is>
          <t>F283817</t>
        </is>
      </c>
      <c r="C1841" t="inlineStr">
        <is>
          <t>C11248</t>
        </is>
      </c>
      <c r="D1841" t="inlineStr">
        <is>
          <t>SKU-10217</t>
        </is>
      </c>
      <c r="E1841" t="inlineStr">
        <is>
          <t>AM05</t>
        </is>
      </c>
      <c r="F1841" s="5" t="n">
        <v>167.74</v>
      </c>
      <c r="G1841">
        <f>IF(LEFT(B1841,1)="C","Credit","Factuur")</f>
        <v/>
      </c>
      <c r="H1841">
        <f>IF(AND(B1841=B1840,D1841=D1840,A1841=A1840,F1841=F1840),1,0)</f>
        <v/>
      </c>
      <c r="I1841">
        <f>IF(C1841="C99999",1,0)</f>
        <v/>
      </c>
      <c r="J1841" s="5">
        <f>IF(OR(H1841=1,I1841=1),0,IF(G1841="Credit",-F1841,F1841))</f>
        <v/>
      </c>
    </row>
    <row r="1842">
      <c r="A1842" t="inlineStr">
        <is>
          <t>2026-07-17</t>
        </is>
      </c>
      <c r="B1842" t="inlineStr">
        <is>
          <t>F283817</t>
        </is>
      </c>
      <c r="C1842" t="inlineStr">
        <is>
          <t>C11248</t>
        </is>
      </c>
      <c r="D1842" t="inlineStr">
        <is>
          <t>SKU-10225</t>
        </is>
      </c>
      <c r="E1842" t="inlineStr">
        <is>
          <t>AM05</t>
        </is>
      </c>
      <c r="F1842" s="5" t="n">
        <v>197</v>
      </c>
      <c r="G1842">
        <f>IF(LEFT(B1842,1)="C","Credit","Factuur")</f>
        <v/>
      </c>
      <c r="H1842">
        <f>IF(AND(B1842=B1841,D1842=D1841,A1842=A1841,F1842=F1841),1,0)</f>
        <v/>
      </c>
      <c r="I1842">
        <f>IF(C1842="C99999",1,0)</f>
        <v/>
      </c>
      <c r="J1842" s="5">
        <f>IF(OR(H1842=1,I1842=1),0,IF(G1842="Credit",-F1842,F1842))</f>
        <v/>
      </c>
    </row>
    <row r="1843">
      <c r="A1843" t="inlineStr">
        <is>
          <t>2026-07-17</t>
        </is>
      </c>
      <c r="B1843" t="inlineStr">
        <is>
          <t>F283817</t>
        </is>
      </c>
      <c r="C1843" t="inlineStr">
        <is>
          <t>C11248</t>
        </is>
      </c>
      <c r="D1843" t="inlineStr">
        <is>
          <t>SKU-10349</t>
        </is>
      </c>
      <c r="E1843" t="inlineStr">
        <is>
          <t>AM05</t>
        </is>
      </c>
      <c r="F1843" s="5" t="n">
        <v>207.87</v>
      </c>
      <c r="G1843">
        <f>IF(LEFT(B1843,1)="C","Credit","Factuur")</f>
        <v/>
      </c>
      <c r="H1843">
        <f>IF(AND(B1843=B1842,D1843=D1842,A1843=A1842,F1843=F1842),1,0)</f>
        <v/>
      </c>
      <c r="I1843">
        <f>IF(C1843="C99999",1,0)</f>
        <v/>
      </c>
      <c r="J1843" s="5">
        <f>IF(OR(H1843=1,I1843=1),0,IF(G1843="Credit",-F1843,F1843))</f>
        <v/>
      </c>
    </row>
    <row r="1844">
      <c r="A1844" t="inlineStr">
        <is>
          <t>2026-07-17</t>
        </is>
      </c>
      <c r="B1844" t="inlineStr">
        <is>
          <t>F284544</t>
        </is>
      </c>
      <c r="C1844" t="inlineStr">
        <is>
          <t>C11287</t>
        </is>
      </c>
      <c r="D1844" t="inlineStr">
        <is>
          <t>SKU-10003</t>
        </is>
      </c>
      <c r="E1844" t="inlineStr">
        <is>
          <t>AM03</t>
        </is>
      </c>
      <c r="F1844" s="5" t="n">
        <v>137.75</v>
      </c>
      <c r="G1844">
        <f>IF(LEFT(B1844,1)="C","Credit","Factuur")</f>
        <v/>
      </c>
      <c r="H1844">
        <f>IF(AND(B1844=B1843,D1844=D1843,A1844=A1843,F1844=F1843),1,0)</f>
        <v/>
      </c>
      <c r="I1844">
        <f>IF(C1844="C99999",1,0)</f>
        <v/>
      </c>
      <c r="J1844" s="5">
        <f>IF(OR(H1844=1,I1844=1),0,IF(G1844="Credit",-F1844,F1844))</f>
        <v/>
      </c>
    </row>
    <row r="1845">
      <c r="A1845" t="inlineStr">
        <is>
          <t>2026-07-17</t>
        </is>
      </c>
      <c r="B1845" t="inlineStr">
        <is>
          <t>F284544</t>
        </is>
      </c>
      <c r="C1845" t="inlineStr">
        <is>
          <t>C11287</t>
        </is>
      </c>
      <c r="D1845" t="inlineStr">
        <is>
          <t>SKU-10018</t>
        </is>
      </c>
      <c r="E1845" t="inlineStr">
        <is>
          <t>AM03</t>
        </is>
      </c>
      <c r="F1845" s="5" t="n">
        <v>160.83</v>
      </c>
      <c r="G1845">
        <f>IF(LEFT(B1845,1)="C","Credit","Factuur")</f>
        <v/>
      </c>
      <c r="H1845">
        <f>IF(AND(B1845=B1844,D1845=D1844,A1845=A1844,F1845=F1844),1,0)</f>
        <v/>
      </c>
      <c r="I1845">
        <f>IF(C1845="C99999",1,0)</f>
        <v/>
      </c>
      <c r="J1845" s="5">
        <f>IF(OR(H1845=1,I1845=1),0,IF(G1845="Credit",-F1845,F1845))</f>
        <v/>
      </c>
    </row>
    <row r="1846">
      <c r="A1846" t="inlineStr">
        <is>
          <t>2026-07-17</t>
        </is>
      </c>
      <c r="B1846" t="inlineStr">
        <is>
          <t>F284544</t>
        </is>
      </c>
      <c r="C1846" t="inlineStr">
        <is>
          <t>C11287</t>
        </is>
      </c>
      <c r="D1846" t="inlineStr">
        <is>
          <t>SKU-10083</t>
        </is>
      </c>
      <c r="E1846" t="inlineStr">
        <is>
          <t>AM03</t>
        </is>
      </c>
      <c r="F1846" s="5" t="n">
        <v>120.78</v>
      </c>
      <c r="G1846">
        <f>IF(LEFT(B1846,1)="C","Credit","Factuur")</f>
        <v/>
      </c>
      <c r="H1846">
        <f>IF(AND(B1846=B1845,D1846=D1845,A1846=A1845,F1846=F1845),1,0)</f>
        <v/>
      </c>
      <c r="I1846">
        <f>IF(C1846="C99999",1,0)</f>
        <v/>
      </c>
      <c r="J1846" s="5">
        <f>IF(OR(H1846=1,I1846=1),0,IF(G1846="Credit",-F1846,F1846))</f>
        <v/>
      </c>
    </row>
    <row r="1847">
      <c r="A1847" t="inlineStr">
        <is>
          <t>2026-07-17</t>
        </is>
      </c>
      <c r="B1847" t="inlineStr">
        <is>
          <t>F284544</t>
        </is>
      </c>
      <c r="C1847" t="inlineStr">
        <is>
          <t>C11287</t>
        </is>
      </c>
      <c r="D1847" t="inlineStr">
        <is>
          <t>SKU-10305</t>
        </is>
      </c>
      <c r="E1847" t="inlineStr">
        <is>
          <t>AM03</t>
        </is>
      </c>
      <c r="F1847" s="5" t="n">
        <v>144.1</v>
      </c>
      <c r="G1847">
        <f>IF(LEFT(B1847,1)="C","Credit","Factuur")</f>
        <v/>
      </c>
      <c r="H1847">
        <f>IF(AND(B1847=B1846,D1847=D1846,A1847=A1846,F1847=F1846),1,0)</f>
        <v/>
      </c>
      <c r="I1847">
        <f>IF(C1847="C99999",1,0)</f>
        <v/>
      </c>
      <c r="J1847" s="5">
        <f>IF(OR(H1847=1,I1847=1),0,IF(G1847="Credit",-F1847,F1847))</f>
        <v/>
      </c>
    </row>
    <row r="1848">
      <c r="A1848" t="inlineStr">
        <is>
          <t>2026-07-17</t>
        </is>
      </c>
      <c r="B1848" t="inlineStr">
        <is>
          <t>F284544</t>
        </is>
      </c>
      <c r="C1848" t="inlineStr">
        <is>
          <t>C11287</t>
        </is>
      </c>
      <c r="D1848" t="inlineStr">
        <is>
          <t>SKU-10322</t>
        </is>
      </c>
      <c r="E1848" t="inlineStr">
        <is>
          <t>AM03</t>
        </is>
      </c>
      <c r="F1848" s="5" t="n">
        <v>154.53</v>
      </c>
      <c r="G1848">
        <f>IF(LEFT(B1848,1)="C","Credit","Factuur")</f>
        <v/>
      </c>
      <c r="H1848">
        <f>IF(AND(B1848=B1847,D1848=D1847,A1848=A1847,F1848=F1847),1,0)</f>
        <v/>
      </c>
      <c r="I1848">
        <f>IF(C1848="C99999",1,0)</f>
        <v/>
      </c>
      <c r="J1848" s="5">
        <f>IF(OR(H1848=1,I1848=1),0,IF(G1848="Credit",-F1848,F1848))</f>
        <v/>
      </c>
    </row>
    <row r="1849">
      <c r="A1849" t="inlineStr">
        <is>
          <t>2026-07-17</t>
        </is>
      </c>
      <c r="B1849" t="inlineStr">
        <is>
          <t>F285003</t>
        </is>
      </c>
      <c r="C1849" t="inlineStr">
        <is>
          <t>C11308</t>
        </is>
      </c>
      <c r="D1849" t="inlineStr">
        <is>
          <t>SKU-10117</t>
        </is>
      </c>
      <c r="E1849" t="inlineStr">
        <is>
          <t>AM02</t>
        </is>
      </c>
      <c r="F1849" s="5" t="n">
        <v>726.96</v>
      </c>
      <c r="G1849">
        <f>IF(LEFT(B1849,1)="C","Credit","Factuur")</f>
        <v/>
      </c>
      <c r="H1849">
        <f>IF(AND(B1849=B1848,D1849=D1848,A1849=A1848,F1849=F1848),1,0)</f>
        <v/>
      </c>
      <c r="I1849">
        <f>IF(C1849="C99999",1,0)</f>
        <v/>
      </c>
      <c r="J1849" s="5">
        <f>IF(OR(H1849=1,I1849=1),0,IF(G1849="Credit",-F1849,F1849))</f>
        <v/>
      </c>
    </row>
    <row r="1850">
      <c r="A1850" t="inlineStr">
        <is>
          <t>2026-07-17</t>
        </is>
      </c>
      <c r="B1850" t="inlineStr">
        <is>
          <t>F285238</t>
        </is>
      </c>
      <c r="C1850" t="inlineStr">
        <is>
          <t>C11322</t>
        </is>
      </c>
      <c r="D1850" t="inlineStr">
        <is>
          <t>SKU-10212</t>
        </is>
      </c>
      <c r="E1850" t="inlineStr"/>
      <c r="F1850" s="5" t="n">
        <v>93.69</v>
      </c>
      <c r="G1850">
        <f>IF(LEFT(B1850,1)="C","Credit","Factuur")</f>
        <v/>
      </c>
      <c r="H1850">
        <f>IF(AND(B1850=B1849,D1850=D1849,A1850=A1849,F1850=F1849),1,0)</f>
        <v/>
      </c>
      <c r="I1850">
        <f>IF(C1850="C99999",1,0)</f>
        <v/>
      </c>
      <c r="J1850" s="5">
        <f>IF(OR(H1850=1,I1850=1),0,IF(G1850="Credit",-F1850,F1850))</f>
        <v/>
      </c>
    </row>
    <row r="1851">
      <c r="A1851" t="inlineStr">
        <is>
          <t>2026-07-17</t>
        </is>
      </c>
      <c r="B1851" t="inlineStr">
        <is>
          <t>F285238</t>
        </is>
      </c>
      <c r="C1851" t="inlineStr">
        <is>
          <t>C11322</t>
        </is>
      </c>
      <c r="D1851" t="inlineStr">
        <is>
          <t>SKU-10230</t>
        </is>
      </c>
      <c r="E1851" t="inlineStr">
        <is>
          <t>AM05</t>
        </is>
      </c>
      <c r="F1851" s="5" t="n">
        <v>84.45</v>
      </c>
      <c r="G1851">
        <f>IF(LEFT(B1851,1)="C","Credit","Factuur")</f>
        <v/>
      </c>
      <c r="H1851">
        <f>IF(AND(B1851=B1850,D1851=D1850,A1851=A1850,F1851=F1850),1,0)</f>
        <v/>
      </c>
      <c r="I1851">
        <f>IF(C1851="C99999",1,0)</f>
        <v/>
      </c>
      <c r="J1851" s="5">
        <f>IF(OR(H1851=1,I1851=1),0,IF(G1851="Credit",-F1851,F1851))</f>
        <v/>
      </c>
    </row>
    <row r="1852">
      <c r="A1852" t="inlineStr">
        <is>
          <t>2026-07-17</t>
        </is>
      </c>
      <c r="B1852" t="inlineStr">
        <is>
          <t>F285238</t>
        </is>
      </c>
      <c r="C1852" t="inlineStr">
        <is>
          <t>C11322</t>
        </is>
      </c>
      <c r="D1852" t="inlineStr">
        <is>
          <t>SKU-10251</t>
        </is>
      </c>
      <c r="E1852" t="inlineStr">
        <is>
          <t>AM05</t>
        </is>
      </c>
      <c r="F1852" s="5" t="n">
        <v>69.34</v>
      </c>
      <c r="G1852">
        <f>IF(LEFT(B1852,1)="C","Credit","Factuur")</f>
        <v/>
      </c>
      <c r="H1852">
        <f>IF(AND(B1852=B1851,D1852=D1851,A1852=A1851,F1852=F1851),1,0)</f>
        <v/>
      </c>
      <c r="I1852">
        <f>IF(C1852="C99999",1,0)</f>
        <v/>
      </c>
      <c r="J1852" s="5">
        <f>IF(OR(H1852=1,I1852=1),0,IF(G1852="Credit",-F1852,F1852))</f>
        <v/>
      </c>
    </row>
    <row r="1853">
      <c r="A1853" t="inlineStr">
        <is>
          <t>2026-07-17</t>
        </is>
      </c>
      <c r="B1853" t="inlineStr">
        <is>
          <t>F285238</t>
        </is>
      </c>
      <c r="C1853" t="inlineStr">
        <is>
          <t>C11322</t>
        </is>
      </c>
      <c r="D1853" t="inlineStr">
        <is>
          <t>SKU-10317</t>
        </is>
      </c>
      <c r="E1853" t="inlineStr">
        <is>
          <t>AM05</t>
        </is>
      </c>
      <c r="F1853" s="5" t="n">
        <v>78.97</v>
      </c>
      <c r="G1853">
        <f>IF(LEFT(B1853,1)="C","Credit","Factuur")</f>
        <v/>
      </c>
      <c r="H1853">
        <f>IF(AND(B1853=B1852,D1853=D1852,A1853=A1852,F1853=F1852),1,0)</f>
        <v/>
      </c>
      <c r="I1853">
        <f>IF(C1853="C99999",1,0)</f>
        <v/>
      </c>
      <c r="J1853" s="5">
        <f>IF(OR(H1853=1,I1853=1),0,IF(G1853="Credit",-F1853,F1853))</f>
        <v/>
      </c>
    </row>
    <row r="1854">
      <c r="A1854" t="inlineStr">
        <is>
          <t>2026-07-17</t>
        </is>
      </c>
      <c r="B1854" t="inlineStr">
        <is>
          <t>F285334</t>
        </is>
      </c>
      <c r="C1854" t="inlineStr">
        <is>
          <t>C11325</t>
        </is>
      </c>
      <c r="D1854" t="inlineStr">
        <is>
          <t>SKU-10243</t>
        </is>
      </c>
      <c r="E1854" t="inlineStr">
        <is>
          <t>AM02</t>
        </is>
      </c>
      <c r="F1854" s="5" t="n">
        <v>524.66</v>
      </c>
      <c r="G1854">
        <f>IF(LEFT(B1854,1)="C","Credit","Factuur")</f>
        <v/>
      </c>
      <c r="H1854">
        <f>IF(AND(B1854=B1853,D1854=D1853,A1854=A1853,F1854=F1853),1,0)</f>
        <v/>
      </c>
      <c r="I1854">
        <f>IF(C1854="C99999",1,0)</f>
        <v/>
      </c>
      <c r="J1854" s="5">
        <f>IF(OR(H1854=1,I1854=1),0,IF(G1854="Credit",-F1854,F1854))</f>
        <v/>
      </c>
    </row>
    <row r="1855">
      <c r="A1855" t="inlineStr">
        <is>
          <t>2026-07-17</t>
        </is>
      </c>
      <c r="B1855" t="inlineStr">
        <is>
          <t>F285334</t>
        </is>
      </c>
      <c r="C1855" t="inlineStr">
        <is>
          <t>C11325</t>
        </is>
      </c>
      <c r="D1855" t="inlineStr">
        <is>
          <t>SKU-10303</t>
        </is>
      </c>
      <c r="E1855" t="inlineStr">
        <is>
          <t>AM02</t>
        </is>
      </c>
      <c r="F1855" s="5" t="n">
        <v>554.7</v>
      </c>
      <c r="G1855">
        <f>IF(LEFT(B1855,1)="C","Credit","Factuur")</f>
        <v/>
      </c>
      <c r="H1855">
        <f>IF(AND(B1855=B1854,D1855=D1854,A1855=A1854,F1855=F1854),1,0)</f>
        <v/>
      </c>
      <c r="I1855">
        <f>IF(C1855="C99999",1,0)</f>
        <v/>
      </c>
      <c r="J1855" s="5">
        <f>IF(OR(H1855=1,I1855=1),0,IF(G1855="Credit",-F1855,F1855))</f>
        <v/>
      </c>
    </row>
    <row r="1856">
      <c r="A1856" t="inlineStr">
        <is>
          <t>2026-07-17</t>
        </is>
      </c>
      <c r="B1856" t="inlineStr">
        <is>
          <t>F285518</t>
        </is>
      </c>
      <c r="C1856" t="inlineStr">
        <is>
          <t>C11334</t>
        </is>
      </c>
      <c r="D1856" t="inlineStr">
        <is>
          <t>SKU-10343</t>
        </is>
      </c>
      <c r="E1856" t="inlineStr">
        <is>
          <t>AM12</t>
        </is>
      </c>
      <c r="F1856" s="5" t="n">
        <v>792.96</v>
      </c>
      <c r="G1856">
        <f>IF(LEFT(B1856,1)="C","Credit","Factuur")</f>
        <v/>
      </c>
      <c r="H1856">
        <f>IF(AND(B1856=B1855,D1856=D1855,A1856=A1855,F1856=F1855),1,0)</f>
        <v/>
      </c>
      <c r="I1856">
        <f>IF(C1856="C99999",1,0)</f>
        <v/>
      </c>
      <c r="J1856" s="5">
        <f>IF(OR(H1856=1,I1856=1),0,IF(G1856="Credit",-F1856,F1856))</f>
        <v/>
      </c>
    </row>
    <row r="1857">
      <c r="A1857" t="inlineStr">
        <is>
          <t>2026-07-17</t>
        </is>
      </c>
      <c r="B1857" t="inlineStr">
        <is>
          <t>F285570</t>
        </is>
      </c>
      <c r="C1857" t="inlineStr">
        <is>
          <t>C11336</t>
        </is>
      </c>
      <c r="D1857" t="inlineStr">
        <is>
          <t>SKU-10019</t>
        </is>
      </c>
      <c r="E1857" t="inlineStr">
        <is>
          <t>AM01</t>
        </is>
      </c>
      <c r="F1857" s="5" t="n">
        <v>1544.75</v>
      </c>
      <c r="G1857">
        <f>IF(LEFT(B1857,1)="C","Credit","Factuur")</f>
        <v/>
      </c>
      <c r="H1857">
        <f>IF(AND(B1857=B1856,D1857=D1856,A1857=A1856,F1857=F1856),1,0)</f>
        <v/>
      </c>
      <c r="I1857">
        <f>IF(C1857="C99999",1,0)</f>
        <v/>
      </c>
      <c r="J1857" s="5">
        <f>IF(OR(H1857=1,I1857=1),0,IF(G1857="Credit",-F1857,F1857))</f>
        <v/>
      </c>
    </row>
    <row r="1858">
      <c r="A1858" t="inlineStr">
        <is>
          <t>2026-07-17</t>
        </is>
      </c>
      <c r="B1858" t="inlineStr">
        <is>
          <t>F285714</t>
        </is>
      </c>
      <c r="C1858" t="inlineStr">
        <is>
          <t>C11344</t>
        </is>
      </c>
      <c r="D1858" t="inlineStr">
        <is>
          <t>SKU-10015</t>
        </is>
      </c>
      <c r="E1858" t="inlineStr">
        <is>
          <t>AM09</t>
        </is>
      </c>
      <c r="F1858" s="5" t="n">
        <v>4614.46</v>
      </c>
      <c r="G1858">
        <f>IF(LEFT(B1858,1)="C","Credit","Factuur")</f>
        <v/>
      </c>
      <c r="H1858">
        <f>IF(AND(B1858=B1857,D1858=D1857,A1858=A1857,F1858=F1857),1,0)</f>
        <v/>
      </c>
      <c r="I1858">
        <f>IF(C1858="C99999",1,0)</f>
        <v/>
      </c>
      <c r="J1858" s="5">
        <f>IF(OR(H1858=1,I1858=1),0,IF(G1858="Credit",-F1858,F1858))</f>
        <v/>
      </c>
    </row>
    <row r="1859">
      <c r="A1859" t="inlineStr">
        <is>
          <t>2026-07-17</t>
        </is>
      </c>
      <c r="B1859" t="inlineStr">
        <is>
          <t>F285714</t>
        </is>
      </c>
      <c r="C1859" t="inlineStr">
        <is>
          <t>C11344</t>
        </is>
      </c>
      <c r="D1859" t="inlineStr">
        <is>
          <t>SKU-10167</t>
        </is>
      </c>
      <c r="E1859" t="inlineStr">
        <is>
          <t>AM09</t>
        </is>
      </c>
      <c r="F1859" s="5" t="n">
        <v>4406.56</v>
      </c>
      <c r="G1859">
        <f>IF(LEFT(B1859,1)="C","Credit","Factuur")</f>
        <v/>
      </c>
      <c r="H1859">
        <f>IF(AND(B1859=B1858,D1859=D1858,A1859=A1858,F1859=F1858),1,0)</f>
        <v/>
      </c>
      <c r="I1859">
        <f>IF(C1859="C99999",1,0)</f>
        <v/>
      </c>
      <c r="J1859" s="5">
        <f>IF(OR(H1859=1,I1859=1),0,IF(G1859="Credit",-F1859,F1859))</f>
        <v/>
      </c>
    </row>
    <row r="1860">
      <c r="A1860" t="inlineStr">
        <is>
          <t>2026-07-17</t>
        </is>
      </c>
      <c r="B1860" t="inlineStr">
        <is>
          <t>F285714</t>
        </is>
      </c>
      <c r="C1860" t="inlineStr">
        <is>
          <t>C11344</t>
        </is>
      </c>
      <c r="D1860" t="inlineStr">
        <is>
          <t>SKU-10229</t>
        </is>
      </c>
      <c r="E1860" t="inlineStr">
        <is>
          <t>AM09</t>
        </is>
      </c>
      <c r="F1860" s="5" t="n">
        <v>4635.84</v>
      </c>
      <c r="G1860">
        <f>IF(LEFT(B1860,1)="C","Credit","Factuur")</f>
        <v/>
      </c>
      <c r="H1860">
        <f>IF(AND(B1860=B1859,D1860=D1859,A1860=A1859,F1860=F1859),1,0)</f>
        <v/>
      </c>
      <c r="I1860">
        <f>IF(C1860="C99999",1,0)</f>
        <v/>
      </c>
      <c r="J1860" s="5">
        <f>IF(OR(H1860=1,I1860=1),0,IF(G1860="Credit",-F1860,F1860))</f>
        <v/>
      </c>
    </row>
    <row r="1861">
      <c r="A1861" t="inlineStr">
        <is>
          <t>2026-07-17</t>
        </is>
      </c>
      <c r="B1861" t="inlineStr">
        <is>
          <t>F285774</t>
        </is>
      </c>
      <c r="C1861" t="inlineStr">
        <is>
          <t>C11346</t>
        </is>
      </c>
      <c r="D1861" t="inlineStr">
        <is>
          <t>SKU-10068</t>
        </is>
      </c>
      <c r="E1861" t="inlineStr">
        <is>
          <t>IS02</t>
        </is>
      </c>
      <c r="F1861" s="5" t="n">
        <v>32.67</v>
      </c>
      <c r="G1861">
        <f>IF(LEFT(B1861,1)="C","Credit","Factuur")</f>
        <v/>
      </c>
      <c r="H1861">
        <f>IF(AND(B1861=B1860,D1861=D1860,A1861=A1860,F1861=F1860),1,0)</f>
        <v/>
      </c>
      <c r="I1861">
        <f>IF(C1861="C99999",1,0)</f>
        <v/>
      </c>
      <c r="J1861" s="5">
        <f>IF(OR(H1861=1,I1861=1),0,IF(G1861="Credit",-F1861,F1861))</f>
        <v/>
      </c>
    </row>
    <row r="1862">
      <c r="A1862" t="inlineStr">
        <is>
          <t>2026-07-17</t>
        </is>
      </c>
      <c r="B1862" t="inlineStr">
        <is>
          <t>F285774</t>
        </is>
      </c>
      <c r="C1862" t="inlineStr">
        <is>
          <t>C11346</t>
        </is>
      </c>
      <c r="D1862" t="inlineStr">
        <is>
          <t>SKU-10227</t>
        </is>
      </c>
      <c r="E1862" t="inlineStr">
        <is>
          <t>IS02</t>
        </is>
      </c>
      <c r="F1862" s="5" t="n">
        <v>25.31</v>
      </c>
      <c r="G1862">
        <f>IF(LEFT(B1862,1)="C","Credit","Factuur")</f>
        <v/>
      </c>
      <c r="H1862">
        <f>IF(AND(B1862=B1861,D1862=D1861,A1862=A1861,F1862=F1861),1,0)</f>
        <v/>
      </c>
      <c r="I1862">
        <f>IF(C1862="C99999",1,0)</f>
        <v/>
      </c>
      <c r="J1862" s="5">
        <f>IF(OR(H1862=1,I1862=1),0,IF(G1862="Credit",-F1862,F1862))</f>
        <v/>
      </c>
    </row>
    <row r="1863">
      <c r="A1863" t="inlineStr">
        <is>
          <t>2026-07-17</t>
        </is>
      </c>
      <c r="B1863" t="inlineStr">
        <is>
          <t>F285774</t>
        </is>
      </c>
      <c r="C1863" t="inlineStr">
        <is>
          <t>C11346</t>
        </is>
      </c>
      <c r="D1863" t="inlineStr">
        <is>
          <t>SKU-10244</t>
        </is>
      </c>
      <c r="E1863" t="inlineStr">
        <is>
          <t>IS02</t>
        </is>
      </c>
      <c r="F1863" s="5" t="n">
        <v>35.91</v>
      </c>
      <c r="G1863">
        <f>IF(LEFT(B1863,1)="C","Credit","Factuur")</f>
        <v/>
      </c>
      <c r="H1863">
        <f>IF(AND(B1863=B1862,D1863=D1862,A1863=A1862,F1863=F1862),1,0)</f>
        <v/>
      </c>
      <c r="I1863">
        <f>IF(C1863="C99999",1,0)</f>
        <v/>
      </c>
      <c r="J1863" s="5">
        <f>IF(OR(H1863=1,I1863=1),0,IF(G1863="Credit",-F1863,F1863))</f>
        <v/>
      </c>
    </row>
    <row r="1864">
      <c r="A1864" t="inlineStr">
        <is>
          <t>2026-07-17</t>
        </is>
      </c>
      <c r="B1864" t="inlineStr">
        <is>
          <t>F285774</t>
        </is>
      </c>
      <c r="C1864" t="inlineStr">
        <is>
          <t>C11346</t>
        </is>
      </c>
      <c r="D1864" t="inlineStr">
        <is>
          <t>SKU-10266</t>
        </is>
      </c>
      <c r="E1864" t="inlineStr">
        <is>
          <t>IS02</t>
        </is>
      </c>
      <c r="F1864" s="5" t="n">
        <v>35.8</v>
      </c>
      <c r="G1864">
        <f>IF(LEFT(B1864,1)="C","Credit","Factuur")</f>
        <v/>
      </c>
      <c r="H1864">
        <f>IF(AND(B1864=B1863,D1864=D1863,A1864=A1863,F1864=F1863),1,0)</f>
        <v/>
      </c>
      <c r="I1864">
        <f>IF(C1864="C99999",1,0)</f>
        <v/>
      </c>
      <c r="J1864" s="5">
        <f>IF(OR(H1864=1,I1864=1),0,IF(G1864="Credit",-F1864,F1864))</f>
        <v/>
      </c>
    </row>
    <row r="1865">
      <c r="A1865" t="inlineStr">
        <is>
          <t>2026-07-17</t>
        </is>
      </c>
      <c r="B1865" t="inlineStr">
        <is>
          <t>F285854</t>
        </is>
      </c>
      <c r="C1865" t="inlineStr">
        <is>
          <t>C11352</t>
        </is>
      </c>
      <c r="D1865" t="inlineStr">
        <is>
          <t>SKU-10012</t>
        </is>
      </c>
      <c r="E1865" t="inlineStr">
        <is>
          <t>AM08</t>
        </is>
      </c>
      <c r="F1865" s="5" t="n">
        <v>818.49</v>
      </c>
      <c r="G1865">
        <f>IF(LEFT(B1865,1)="C","Credit","Factuur")</f>
        <v/>
      </c>
      <c r="H1865">
        <f>IF(AND(B1865=B1864,D1865=D1864,A1865=A1864,F1865=F1864),1,0)</f>
        <v/>
      </c>
      <c r="I1865">
        <f>IF(C1865="C99999",1,0)</f>
        <v/>
      </c>
      <c r="J1865" s="5">
        <f>IF(OR(H1865=1,I1865=1),0,IF(G1865="Credit",-F1865,F1865))</f>
        <v/>
      </c>
    </row>
    <row r="1866">
      <c r="A1866" t="inlineStr">
        <is>
          <t>2026-07-18</t>
        </is>
      </c>
      <c r="B1866" t="inlineStr">
        <is>
          <t>C901067</t>
        </is>
      </c>
      <c r="C1866" t="inlineStr">
        <is>
          <t>C11288</t>
        </is>
      </c>
      <c r="D1866" t="inlineStr">
        <is>
          <t>SKU-10088</t>
        </is>
      </c>
      <c r="E1866" t="inlineStr">
        <is>
          <t>AM12</t>
        </is>
      </c>
      <c r="F1866" s="5" t="n">
        <v>175.9</v>
      </c>
      <c r="G1866">
        <f>IF(LEFT(B1866,1)="C","Credit","Factuur")</f>
        <v/>
      </c>
      <c r="H1866">
        <f>IF(AND(B1866=B1865,D1866=D1865,A1866=A1865,F1866=F1865),1,0)</f>
        <v/>
      </c>
      <c r="I1866">
        <f>IF(C1866="C99999",1,0)</f>
        <v/>
      </c>
      <c r="J1866" s="5">
        <f>IF(OR(H1866=1,I1866=1),0,IF(G1866="Credit",-F1866,F1866))</f>
        <v/>
      </c>
    </row>
    <row r="1867">
      <c r="A1867" t="inlineStr">
        <is>
          <t>2026-07-18</t>
        </is>
      </c>
      <c r="B1867" t="inlineStr">
        <is>
          <t>C901152</t>
        </is>
      </c>
      <c r="C1867" t="inlineStr">
        <is>
          <t>C10826</t>
        </is>
      </c>
      <c r="D1867" t="inlineStr">
        <is>
          <t>SKU-10294</t>
        </is>
      </c>
      <c r="E1867" t="inlineStr">
        <is>
          <t>AM02</t>
        </is>
      </c>
      <c r="F1867" s="5" t="n">
        <v>258.09</v>
      </c>
      <c r="G1867">
        <f>IF(LEFT(B1867,1)="C","Credit","Factuur")</f>
        <v/>
      </c>
      <c r="H1867">
        <f>IF(AND(B1867=B1866,D1867=D1866,A1867=A1866,F1867=F1866),1,0)</f>
        <v/>
      </c>
      <c r="I1867">
        <f>IF(C1867="C99999",1,0)</f>
        <v/>
      </c>
      <c r="J1867" s="5">
        <f>IF(OR(H1867=1,I1867=1),0,IF(G1867="Credit",-F1867,F1867))</f>
        <v/>
      </c>
    </row>
    <row r="1868">
      <c r="A1868" t="inlineStr">
        <is>
          <t>2026-07-19</t>
        </is>
      </c>
      <c r="B1868" t="inlineStr">
        <is>
          <t>C900052</t>
        </is>
      </c>
      <c r="C1868" t="inlineStr">
        <is>
          <t>C10855</t>
        </is>
      </c>
      <c r="D1868" t="inlineStr">
        <is>
          <t>SKU-10300</t>
        </is>
      </c>
      <c r="E1868" t="inlineStr">
        <is>
          <t>AM08</t>
        </is>
      </c>
      <c r="F1868" s="5" t="n">
        <v>183.84</v>
      </c>
      <c r="G1868">
        <f>IF(LEFT(B1868,1)="C","Credit","Factuur")</f>
        <v/>
      </c>
      <c r="H1868">
        <f>IF(AND(B1868=B1867,D1868=D1867,A1868=A1867,F1868=F1867),1,0)</f>
        <v/>
      </c>
      <c r="I1868">
        <f>IF(C1868="C99999",1,0)</f>
        <v/>
      </c>
      <c r="J1868" s="5">
        <f>IF(OR(H1868=1,I1868=1),0,IF(G1868="Credit",-F1868,F1868))</f>
        <v/>
      </c>
    </row>
    <row r="1869">
      <c r="A1869" t="inlineStr">
        <is>
          <t>2026-07-19</t>
        </is>
      </c>
      <c r="B1869" t="inlineStr">
        <is>
          <t>C900997</t>
        </is>
      </c>
      <c r="C1869" t="inlineStr">
        <is>
          <t>C10249</t>
        </is>
      </c>
      <c r="D1869" t="inlineStr">
        <is>
          <t>SKU-10037</t>
        </is>
      </c>
      <c r="E1869" t="inlineStr">
        <is>
          <t>AM05</t>
        </is>
      </c>
      <c r="F1869" s="5" t="n">
        <v>431.3</v>
      </c>
      <c r="G1869">
        <f>IF(LEFT(B1869,1)="C","Credit","Factuur")</f>
        <v/>
      </c>
      <c r="H1869">
        <f>IF(AND(B1869=B1868,D1869=D1868,A1869=A1868,F1869=F1868),1,0)</f>
        <v/>
      </c>
      <c r="I1869">
        <f>IF(C1869="C99999",1,0)</f>
        <v/>
      </c>
      <c r="J1869" s="5">
        <f>IF(OR(H1869=1,I1869=1),0,IF(G1869="Credit",-F1869,F1869))</f>
        <v/>
      </c>
    </row>
    <row r="1870">
      <c r="A1870" t="inlineStr">
        <is>
          <t>2026-07-20</t>
        </is>
      </c>
      <c r="B1870" t="inlineStr">
        <is>
          <t>C901042</t>
        </is>
      </c>
      <c r="C1870" t="inlineStr">
        <is>
          <t>C10523</t>
        </is>
      </c>
      <c r="D1870" t="inlineStr">
        <is>
          <t>SKU-10288</t>
        </is>
      </c>
      <c r="E1870" t="inlineStr">
        <is>
          <t>AM02</t>
        </is>
      </c>
      <c r="F1870" s="5" t="n">
        <v>488.98</v>
      </c>
      <c r="G1870">
        <f>IF(LEFT(B1870,1)="C","Credit","Factuur")</f>
        <v/>
      </c>
      <c r="H1870">
        <f>IF(AND(B1870=B1869,D1870=D1869,A1870=A1869,F1870=F1869),1,0)</f>
        <v/>
      </c>
      <c r="I1870">
        <f>IF(C1870="C99999",1,0)</f>
        <v/>
      </c>
      <c r="J1870" s="5">
        <f>IF(OR(H1870=1,I1870=1),0,IF(G1870="Credit",-F1870,F1870))</f>
        <v/>
      </c>
    </row>
    <row r="1871">
      <c r="A1871" t="inlineStr">
        <is>
          <t>2026-07-20</t>
        </is>
      </c>
      <c r="B1871" t="inlineStr">
        <is>
          <t>C901428</t>
        </is>
      </c>
      <c r="C1871" t="inlineStr">
        <is>
          <t>C10672</t>
        </is>
      </c>
      <c r="D1871" t="inlineStr">
        <is>
          <t>SKU-10019</t>
        </is>
      </c>
      <c r="E1871" t="inlineStr">
        <is>
          <t>AM08</t>
        </is>
      </c>
      <c r="F1871" s="5" t="n">
        <v>38.73</v>
      </c>
      <c r="G1871">
        <f>IF(LEFT(B1871,1)="C","Credit","Factuur")</f>
        <v/>
      </c>
      <c r="H1871">
        <f>IF(AND(B1871=B1870,D1871=D1870,A1871=A1870,F1871=F1870),1,0)</f>
        <v/>
      </c>
      <c r="I1871">
        <f>IF(C1871="C99999",1,0)</f>
        <v/>
      </c>
      <c r="J1871" s="5">
        <f>IF(OR(H1871=1,I1871=1),0,IF(G1871="Credit",-F1871,F1871))</f>
        <v/>
      </c>
    </row>
    <row r="1872">
      <c r="A1872" t="inlineStr">
        <is>
          <t>2026-07-20</t>
        </is>
      </c>
      <c r="B1872" t="inlineStr">
        <is>
          <t>C901937</t>
        </is>
      </c>
      <c r="C1872" t="inlineStr">
        <is>
          <t>C10702</t>
        </is>
      </c>
      <c r="D1872" t="inlineStr">
        <is>
          <t>SKU-10007</t>
        </is>
      </c>
      <c r="E1872" t="inlineStr">
        <is>
          <t>AM03</t>
        </is>
      </c>
      <c r="F1872" s="5" t="n">
        <v>898.89</v>
      </c>
      <c r="G1872">
        <f>IF(LEFT(B1872,1)="C","Credit","Factuur")</f>
        <v/>
      </c>
      <c r="H1872">
        <f>IF(AND(B1872=B1871,D1872=D1871,A1872=A1871,F1872=F1871),1,0)</f>
        <v/>
      </c>
      <c r="I1872">
        <f>IF(C1872="C99999",1,0)</f>
        <v/>
      </c>
      <c r="J1872" s="5">
        <f>IF(OR(H1872=1,I1872=1),0,IF(G1872="Credit",-F1872,F1872))</f>
        <v/>
      </c>
    </row>
    <row r="1873">
      <c r="A1873" t="inlineStr">
        <is>
          <t>2026-07-20</t>
        </is>
      </c>
      <c r="B1873" t="inlineStr">
        <is>
          <t>F260177</t>
        </is>
      </c>
      <c r="C1873" t="inlineStr">
        <is>
          <t>C10011</t>
        </is>
      </c>
      <c r="D1873" t="inlineStr">
        <is>
          <t>SKU-10249</t>
        </is>
      </c>
      <c r="E1873" t="inlineStr">
        <is>
          <t>AM03</t>
        </is>
      </c>
      <c r="F1873" s="5" t="n">
        <v>105.74</v>
      </c>
      <c r="G1873">
        <f>IF(LEFT(B1873,1)="C","Credit","Factuur")</f>
        <v/>
      </c>
      <c r="H1873">
        <f>IF(AND(B1873=B1872,D1873=D1872,A1873=A1872,F1873=F1872),1,0)</f>
        <v/>
      </c>
      <c r="I1873">
        <f>IF(C1873="C99999",1,0)</f>
        <v/>
      </c>
      <c r="J1873" s="5">
        <f>IF(OR(H1873=1,I1873=1),0,IF(G1873="Credit",-F1873,F1873))</f>
        <v/>
      </c>
    </row>
    <row r="1874">
      <c r="A1874" t="inlineStr">
        <is>
          <t>2026-07-20</t>
        </is>
      </c>
      <c r="B1874" t="inlineStr">
        <is>
          <t>F260177</t>
        </is>
      </c>
      <c r="C1874" t="inlineStr">
        <is>
          <t>C10011</t>
        </is>
      </c>
      <c r="D1874" t="inlineStr">
        <is>
          <t>SKU-10258</t>
        </is>
      </c>
      <c r="E1874" t="inlineStr">
        <is>
          <t>AM03</t>
        </is>
      </c>
      <c r="F1874" s="5" t="n">
        <v>105.27</v>
      </c>
      <c r="G1874">
        <f>IF(LEFT(B1874,1)="C","Credit","Factuur")</f>
        <v/>
      </c>
      <c r="H1874">
        <f>IF(AND(B1874=B1873,D1874=D1873,A1874=A1873,F1874=F1873),1,0)</f>
        <v/>
      </c>
      <c r="I1874">
        <f>IF(C1874="C99999",1,0)</f>
        <v/>
      </c>
      <c r="J1874" s="5">
        <f>IF(OR(H1874=1,I1874=1),0,IF(G1874="Credit",-F1874,F1874))</f>
        <v/>
      </c>
    </row>
    <row r="1875">
      <c r="A1875" t="inlineStr">
        <is>
          <t>2026-07-20</t>
        </is>
      </c>
      <c r="B1875" t="inlineStr">
        <is>
          <t>F260177</t>
        </is>
      </c>
      <c r="C1875" t="inlineStr">
        <is>
          <t>C10011</t>
        </is>
      </c>
      <c r="D1875" t="inlineStr">
        <is>
          <t>SKU-10265</t>
        </is>
      </c>
      <c r="E1875" t="inlineStr">
        <is>
          <t>AM03</t>
        </is>
      </c>
      <c r="F1875" s="5" t="n">
        <v>87.81</v>
      </c>
      <c r="G1875">
        <f>IF(LEFT(B1875,1)="C","Credit","Factuur")</f>
        <v/>
      </c>
      <c r="H1875">
        <f>IF(AND(B1875=B1874,D1875=D1874,A1875=A1874,F1875=F1874),1,0)</f>
        <v/>
      </c>
      <c r="I1875">
        <f>IF(C1875="C99999",1,0)</f>
        <v/>
      </c>
      <c r="J1875" s="5">
        <f>IF(OR(H1875=1,I1875=1),0,IF(G1875="Credit",-F1875,F1875))</f>
        <v/>
      </c>
    </row>
    <row r="1876">
      <c r="A1876" t="inlineStr">
        <is>
          <t>2026-07-20</t>
        </is>
      </c>
      <c r="B1876" t="inlineStr">
        <is>
          <t>F260177</t>
        </is>
      </c>
      <c r="C1876" t="inlineStr">
        <is>
          <t>C10011</t>
        </is>
      </c>
      <c r="D1876" t="inlineStr">
        <is>
          <t>SKU-10376</t>
        </is>
      </c>
      <c r="E1876" t="inlineStr">
        <is>
          <t>AM03</t>
        </is>
      </c>
      <c r="F1876" s="5" t="n">
        <v>82.64</v>
      </c>
      <c r="G1876">
        <f>IF(LEFT(B1876,1)="C","Credit","Factuur")</f>
        <v/>
      </c>
      <c r="H1876">
        <f>IF(AND(B1876=B1875,D1876=D1875,A1876=A1875,F1876=F1875),1,0)</f>
        <v/>
      </c>
      <c r="I1876">
        <f>IF(C1876="C99999",1,0)</f>
        <v/>
      </c>
      <c r="J1876" s="5">
        <f>IF(OR(H1876=1,I1876=1),0,IF(G1876="Credit",-F1876,F1876))</f>
        <v/>
      </c>
    </row>
    <row r="1877">
      <c r="A1877" t="inlineStr">
        <is>
          <t>2026-07-20</t>
        </is>
      </c>
      <c r="B1877" t="inlineStr">
        <is>
          <t>F260289</t>
        </is>
      </c>
      <c r="C1877" t="inlineStr">
        <is>
          <t>C10019</t>
        </is>
      </c>
      <c r="D1877" t="inlineStr">
        <is>
          <t>SKU-10116</t>
        </is>
      </c>
      <c r="E1877" t="inlineStr">
        <is>
          <t>AM02</t>
        </is>
      </c>
      <c r="F1877" s="5" t="n">
        <v>130.2</v>
      </c>
      <c r="G1877">
        <f>IF(LEFT(B1877,1)="C","Credit","Factuur")</f>
        <v/>
      </c>
      <c r="H1877">
        <f>IF(AND(B1877=B1876,D1877=D1876,A1877=A1876,F1877=F1876),1,0)</f>
        <v/>
      </c>
      <c r="I1877">
        <f>IF(C1877="C99999",1,0)</f>
        <v/>
      </c>
      <c r="J1877" s="5">
        <f>IF(OR(H1877=1,I1877=1),0,IF(G1877="Credit",-F1877,F1877))</f>
        <v/>
      </c>
    </row>
    <row r="1878">
      <c r="A1878" t="inlineStr">
        <is>
          <t>2026-07-20</t>
        </is>
      </c>
      <c r="B1878" t="inlineStr">
        <is>
          <t>F260289</t>
        </is>
      </c>
      <c r="C1878" t="inlineStr">
        <is>
          <t>C10019</t>
        </is>
      </c>
      <c r="D1878" t="inlineStr">
        <is>
          <t>SKU-10125</t>
        </is>
      </c>
      <c r="E1878" t="inlineStr">
        <is>
          <t>AM02</t>
        </is>
      </c>
      <c r="F1878" s="5" t="n">
        <v>121.46</v>
      </c>
      <c r="G1878">
        <f>IF(LEFT(B1878,1)="C","Credit","Factuur")</f>
        <v/>
      </c>
      <c r="H1878">
        <f>IF(AND(B1878=B1877,D1878=D1877,A1878=A1877,F1878=F1877),1,0)</f>
        <v/>
      </c>
      <c r="I1878">
        <f>IF(C1878="C99999",1,0)</f>
        <v/>
      </c>
      <c r="J1878" s="5">
        <f>IF(OR(H1878=1,I1878=1),0,IF(G1878="Credit",-F1878,F1878))</f>
        <v/>
      </c>
    </row>
    <row r="1879">
      <c r="A1879" t="inlineStr">
        <is>
          <t>2026-07-20</t>
        </is>
      </c>
      <c r="B1879" t="inlineStr">
        <is>
          <t>F260289</t>
        </is>
      </c>
      <c r="C1879" t="inlineStr">
        <is>
          <t>C10019</t>
        </is>
      </c>
      <c r="D1879" t="inlineStr">
        <is>
          <t>SKU-10281</t>
        </is>
      </c>
      <c r="E1879" t="inlineStr">
        <is>
          <t>AM02</t>
        </is>
      </c>
      <c r="F1879" s="5" t="n">
        <v>111.87</v>
      </c>
      <c r="G1879">
        <f>IF(LEFT(B1879,1)="C","Credit","Factuur")</f>
        <v/>
      </c>
      <c r="H1879">
        <f>IF(AND(B1879=B1878,D1879=D1878,A1879=A1878,F1879=F1878),1,0)</f>
        <v/>
      </c>
      <c r="I1879">
        <f>IF(C1879="C99999",1,0)</f>
        <v/>
      </c>
      <c r="J1879" s="5">
        <f>IF(OR(H1879=1,I1879=1),0,IF(G1879="Credit",-F1879,F1879))</f>
        <v/>
      </c>
    </row>
    <row r="1880">
      <c r="A1880" t="inlineStr">
        <is>
          <t>2026-07-20</t>
        </is>
      </c>
      <c r="B1880" t="inlineStr">
        <is>
          <t>F260620</t>
        </is>
      </c>
      <c r="C1880" t="inlineStr">
        <is>
          <t>C10035</t>
        </is>
      </c>
      <c r="D1880" t="inlineStr">
        <is>
          <t>SKU-10015</t>
        </is>
      </c>
      <c r="E1880" t="inlineStr">
        <is>
          <t>AM07</t>
        </is>
      </c>
      <c r="F1880" s="5" t="n">
        <v>343.63</v>
      </c>
      <c r="G1880">
        <f>IF(LEFT(B1880,1)="C","Credit","Factuur")</f>
        <v/>
      </c>
      <c r="H1880">
        <f>IF(AND(B1880=B1879,D1880=D1879,A1880=A1879,F1880=F1879),1,0)</f>
        <v/>
      </c>
      <c r="I1880">
        <f>IF(C1880="C99999",1,0)</f>
        <v/>
      </c>
      <c r="J1880" s="5">
        <f>IF(OR(H1880=1,I1880=1),0,IF(G1880="Credit",-F1880,F1880))</f>
        <v/>
      </c>
    </row>
    <row r="1881">
      <c r="A1881" t="inlineStr">
        <is>
          <t>2026-07-20</t>
        </is>
      </c>
      <c r="B1881" t="inlineStr">
        <is>
          <t>F260620</t>
        </is>
      </c>
      <c r="C1881" t="inlineStr">
        <is>
          <t>C10035</t>
        </is>
      </c>
      <c r="D1881" t="inlineStr">
        <is>
          <t>SKU-10041</t>
        </is>
      </c>
      <c r="E1881" t="inlineStr">
        <is>
          <t>AM07</t>
        </is>
      </c>
      <c r="F1881" s="5" t="n">
        <v>337.12</v>
      </c>
      <c r="G1881">
        <f>IF(LEFT(B1881,1)="C","Credit","Factuur")</f>
        <v/>
      </c>
      <c r="H1881">
        <f>IF(AND(B1881=B1880,D1881=D1880,A1881=A1880,F1881=F1880),1,0)</f>
        <v/>
      </c>
      <c r="I1881">
        <f>IF(C1881="C99999",1,0)</f>
        <v/>
      </c>
      <c r="J1881" s="5">
        <f>IF(OR(H1881=1,I1881=1),0,IF(G1881="Credit",-F1881,F1881))</f>
        <v/>
      </c>
    </row>
    <row r="1882">
      <c r="A1882" t="inlineStr">
        <is>
          <t>2026-07-20</t>
        </is>
      </c>
      <c r="B1882" t="inlineStr">
        <is>
          <t>F260620</t>
        </is>
      </c>
      <c r="C1882" t="inlineStr">
        <is>
          <t>C10035</t>
        </is>
      </c>
      <c r="D1882" t="inlineStr">
        <is>
          <t>SKU-10219</t>
        </is>
      </c>
      <c r="E1882" t="inlineStr">
        <is>
          <t>AM07</t>
        </is>
      </c>
      <c r="F1882" s="5" t="n">
        <v>346.84</v>
      </c>
      <c r="G1882">
        <f>IF(LEFT(B1882,1)="C","Credit","Factuur")</f>
        <v/>
      </c>
      <c r="H1882">
        <f>IF(AND(B1882=B1881,D1882=D1881,A1882=A1881,F1882=F1881),1,0)</f>
        <v/>
      </c>
      <c r="I1882">
        <f>IF(C1882="C99999",1,0)</f>
        <v/>
      </c>
      <c r="J1882" s="5">
        <f>IF(OR(H1882=1,I1882=1),0,IF(G1882="Credit",-F1882,F1882))</f>
        <v/>
      </c>
    </row>
    <row r="1883">
      <c r="A1883" t="inlineStr">
        <is>
          <t>2026-07-20</t>
        </is>
      </c>
      <c r="B1883" t="inlineStr">
        <is>
          <t>F260620</t>
        </is>
      </c>
      <c r="C1883" t="inlineStr">
        <is>
          <t>C10035</t>
        </is>
      </c>
      <c r="D1883" t="inlineStr">
        <is>
          <t>SKU-10230</t>
        </is>
      </c>
      <c r="E1883" t="inlineStr">
        <is>
          <t>AM07</t>
        </is>
      </c>
      <c r="F1883" s="5" t="n">
        <v>337.82</v>
      </c>
      <c r="G1883">
        <f>IF(LEFT(B1883,1)="C","Credit","Factuur")</f>
        <v/>
      </c>
      <c r="H1883">
        <f>IF(AND(B1883=B1882,D1883=D1882,A1883=A1882,F1883=F1882),1,0)</f>
        <v/>
      </c>
      <c r="I1883">
        <f>IF(C1883="C99999",1,0)</f>
        <v/>
      </c>
      <c r="J1883" s="5">
        <f>IF(OR(H1883=1,I1883=1),0,IF(G1883="Credit",-F1883,F1883))</f>
        <v/>
      </c>
    </row>
    <row r="1884">
      <c r="A1884" t="inlineStr">
        <is>
          <t>2026-07-20</t>
        </is>
      </c>
      <c r="B1884" t="inlineStr">
        <is>
          <t>F261166</t>
        </is>
      </c>
      <c r="C1884" t="inlineStr">
        <is>
          <t>C10065</t>
        </is>
      </c>
      <c r="D1884" t="inlineStr">
        <is>
          <t>SKU-10008</t>
        </is>
      </c>
      <c r="E1884" t="inlineStr">
        <is>
          <t>AM01</t>
        </is>
      </c>
      <c r="F1884" s="5" t="n">
        <v>139.23</v>
      </c>
      <c r="G1884">
        <f>IF(LEFT(B1884,1)="C","Credit","Factuur")</f>
        <v/>
      </c>
      <c r="H1884">
        <f>IF(AND(B1884=B1883,D1884=D1883,A1884=A1883,F1884=F1883),1,0)</f>
        <v/>
      </c>
      <c r="I1884">
        <f>IF(C1884="C99999",1,0)</f>
        <v/>
      </c>
      <c r="J1884" s="5">
        <f>IF(OR(H1884=1,I1884=1),0,IF(G1884="Credit",-F1884,F1884))</f>
        <v/>
      </c>
    </row>
    <row r="1885">
      <c r="A1885" t="inlineStr">
        <is>
          <t>2026-07-20</t>
        </is>
      </c>
      <c r="B1885" t="inlineStr">
        <is>
          <t>F261166</t>
        </is>
      </c>
      <c r="C1885" t="inlineStr">
        <is>
          <t>C10065</t>
        </is>
      </c>
      <c r="D1885" t="inlineStr">
        <is>
          <t>SKU-10054</t>
        </is>
      </c>
      <c r="E1885" t="inlineStr">
        <is>
          <t>AM01</t>
        </is>
      </c>
      <c r="F1885" s="5" t="n">
        <v>150.95</v>
      </c>
      <c r="G1885">
        <f>IF(LEFT(B1885,1)="C","Credit","Factuur")</f>
        <v/>
      </c>
      <c r="H1885">
        <f>IF(AND(B1885=B1884,D1885=D1884,A1885=A1884,F1885=F1884),1,0)</f>
        <v/>
      </c>
      <c r="I1885">
        <f>IF(C1885="C99999",1,0)</f>
        <v/>
      </c>
      <c r="J1885" s="5">
        <f>IF(OR(H1885=1,I1885=1),0,IF(G1885="Credit",-F1885,F1885))</f>
        <v/>
      </c>
    </row>
    <row r="1886">
      <c r="A1886" t="inlineStr">
        <is>
          <t>2026-07-20</t>
        </is>
      </c>
      <c r="B1886" t="inlineStr">
        <is>
          <t>F261166</t>
        </is>
      </c>
      <c r="C1886" t="inlineStr">
        <is>
          <t>C10065</t>
        </is>
      </c>
      <c r="D1886" t="inlineStr">
        <is>
          <t>SKU-10057</t>
        </is>
      </c>
      <c r="E1886" t="inlineStr">
        <is>
          <t>AM01</t>
        </is>
      </c>
      <c r="F1886" s="5" t="n">
        <v>157.5</v>
      </c>
      <c r="G1886">
        <f>IF(LEFT(B1886,1)="C","Credit","Factuur")</f>
        <v/>
      </c>
      <c r="H1886">
        <f>IF(AND(B1886=B1885,D1886=D1885,A1886=A1885,F1886=F1885),1,0)</f>
        <v/>
      </c>
      <c r="I1886">
        <f>IF(C1886="C99999",1,0)</f>
        <v/>
      </c>
      <c r="J1886" s="5">
        <f>IF(OR(H1886=1,I1886=1),0,IF(G1886="Credit",-F1886,F1886))</f>
        <v/>
      </c>
    </row>
    <row r="1887">
      <c r="A1887" t="inlineStr">
        <is>
          <t>2026-07-20</t>
        </is>
      </c>
      <c r="B1887" t="inlineStr">
        <is>
          <t>F261166</t>
        </is>
      </c>
      <c r="C1887" t="inlineStr">
        <is>
          <t>C10065</t>
        </is>
      </c>
      <c r="D1887" t="inlineStr">
        <is>
          <t>SKU-10282</t>
        </is>
      </c>
      <c r="E1887" t="inlineStr">
        <is>
          <t>AM01</t>
        </is>
      </c>
      <c r="F1887" s="5" t="n">
        <v>151.9</v>
      </c>
      <c r="G1887">
        <f>IF(LEFT(B1887,1)="C","Credit","Factuur")</f>
        <v/>
      </c>
      <c r="H1887">
        <f>IF(AND(B1887=B1886,D1887=D1886,A1887=A1886,F1887=F1886),1,0)</f>
        <v/>
      </c>
      <c r="I1887">
        <f>IF(C1887="C99999",1,0)</f>
        <v/>
      </c>
      <c r="J1887" s="5">
        <f>IF(OR(H1887=1,I1887=1),0,IF(G1887="Credit",-F1887,F1887))</f>
        <v/>
      </c>
    </row>
    <row r="1888">
      <c r="A1888" t="inlineStr">
        <is>
          <t>2026-07-20</t>
        </is>
      </c>
      <c r="B1888" t="inlineStr">
        <is>
          <t>F261166</t>
        </is>
      </c>
      <c r="C1888" t="inlineStr">
        <is>
          <t>C10065</t>
        </is>
      </c>
      <c r="D1888" t="inlineStr">
        <is>
          <t>SKU-10299</t>
        </is>
      </c>
      <c r="E1888" t="inlineStr">
        <is>
          <t>AM01</t>
        </is>
      </c>
      <c r="F1888" s="5" t="n">
        <v>135.5</v>
      </c>
      <c r="G1888">
        <f>IF(LEFT(B1888,1)="C","Credit","Factuur")</f>
        <v/>
      </c>
      <c r="H1888">
        <f>IF(AND(B1888=B1887,D1888=D1887,A1888=A1887,F1888=F1887),1,0)</f>
        <v/>
      </c>
      <c r="I1888">
        <f>IF(C1888="C99999",1,0)</f>
        <v/>
      </c>
      <c r="J1888" s="5">
        <f>IF(OR(H1888=1,I1888=1),0,IF(G1888="Credit",-F1888,F1888))</f>
        <v/>
      </c>
    </row>
    <row r="1889">
      <c r="A1889" t="inlineStr">
        <is>
          <t>2026-07-20</t>
        </is>
      </c>
      <c r="B1889" t="inlineStr">
        <is>
          <t>F262250</t>
        </is>
      </c>
      <c r="C1889" t="inlineStr">
        <is>
          <t>C10120</t>
        </is>
      </c>
      <c r="D1889" t="inlineStr">
        <is>
          <t>SKU-10023</t>
        </is>
      </c>
      <c r="E1889" t="inlineStr">
        <is>
          <t>AM02</t>
        </is>
      </c>
      <c r="F1889" s="5" t="n">
        <v>101.44</v>
      </c>
      <c r="G1889">
        <f>IF(LEFT(B1889,1)="C","Credit","Factuur")</f>
        <v/>
      </c>
      <c r="H1889">
        <f>IF(AND(B1889=B1888,D1889=D1888,A1889=A1888,F1889=F1888),1,0)</f>
        <v/>
      </c>
      <c r="I1889">
        <f>IF(C1889="C99999",1,0)</f>
        <v/>
      </c>
      <c r="J1889" s="5">
        <f>IF(OR(H1889=1,I1889=1),0,IF(G1889="Credit",-F1889,F1889))</f>
        <v/>
      </c>
    </row>
    <row r="1890">
      <c r="A1890" t="inlineStr">
        <is>
          <t>2026-07-20</t>
        </is>
      </c>
      <c r="B1890" t="inlineStr">
        <is>
          <t>F262250</t>
        </is>
      </c>
      <c r="C1890" t="inlineStr">
        <is>
          <t>C10120</t>
        </is>
      </c>
      <c r="D1890" t="inlineStr">
        <is>
          <t>SKU-10228</t>
        </is>
      </c>
      <c r="E1890" t="inlineStr">
        <is>
          <t>AM02</t>
        </is>
      </c>
      <c r="F1890" s="5" t="n">
        <v>86.08</v>
      </c>
      <c r="G1890">
        <f>IF(LEFT(B1890,1)="C","Credit","Factuur")</f>
        <v/>
      </c>
      <c r="H1890">
        <f>IF(AND(B1890=B1889,D1890=D1889,A1890=A1889,F1890=F1889),1,0)</f>
        <v/>
      </c>
      <c r="I1890">
        <f>IF(C1890="C99999",1,0)</f>
        <v/>
      </c>
      <c r="J1890" s="5">
        <f>IF(OR(H1890=1,I1890=1),0,IF(G1890="Credit",-F1890,F1890))</f>
        <v/>
      </c>
    </row>
    <row r="1891">
      <c r="A1891" t="inlineStr">
        <is>
          <t>2026-07-20</t>
        </is>
      </c>
      <c r="B1891" t="inlineStr">
        <is>
          <t>F262250</t>
        </is>
      </c>
      <c r="C1891" t="inlineStr">
        <is>
          <t>C10120</t>
        </is>
      </c>
      <c r="D1891" t="inlineStr">
        <is>
          <t>SKU-10288</t>
        </is>
      </c>
      <c r="E1891" t="inlineStr">
        <is>
          <t>AM02</t>
        </is>
      </c>
      <c r="F1891" s="5" t="n">
        <v>91.68000000000001</v>
      </c>
      <c r="G1891">
        <f>IF(LEFT(B1891,1)="C","Credit","Factuur")</f>
        <v/>
      </c>
      <c r="H1891">
        <f>IF(AND(B1891=B1890,D1891=D1890,A1891=A1890,F1891=F1890),1,0)</f>
        <v/>
      </c>
      <c r="I1891">
        <f>IF(C1891="C99999",1,0)</f>
        <v/>
      </c>
      <c r="J1891" s="5">
        <f>IF(OR(H1891=1,I1891=1),0,IF(G1891="Credit",-F1891,F1891))</f>
        <v/>
      </c>
    </row>
    <row r="1892">
      <c r="A1892" t="inlineStr">
        <is>
          <t>2026-07-20</t>
        </is>
      </c>
      <c r="B1892" t="inlineStr">
        <is>
          <t>F262250</t>
        </is>
      </c>
      <c r="C1892" t="inlineStr">
        <is>
          <t>C10120</t>
        </is>
      </c>
      <c r="D1892" t="inlineStr">
        <is>
          <t>SKU-10339</t>
        </is>
      </c>
      <c r="E1892" t="inlineStr">
        <is>
          <t>AM02</t>
        </is>
      </c>
      <c r="F1892" s="5" t="n">
        <v>100.08</v>
      </c>
      <c r="G1892">
        <f>IF(LEFT(B1892,1)="C","Credit","Factuur")</f>
        <v/>
      </c>
      <c r="H1892">
        <f>IF(AND(B1892=B1891,D1892=D1891,A1892=A1891,F1892=F1891),1,0)</f>
        <v/>
      </c>
      <c r="I1892">
        <f>IF(C1892="C99999",1,0)</f>
        <v/>
      </c>
      <c r="J1892" s="5">
        <f>IF(OR(H1892=1,I1892=1),0,IF(G1892="Credit",-F1892,F1892))</f>
        <v/>
      </c>
    </row>
    <row r="1893">
      <c r="A1893" t="inlineStr">
        <is>
          <t>2026-07-20</t>
        </is>
      </c>
      <c r="B1893" t="inlineStr">
        <is>
          <t>F262288</t>
        </is>
      </c>
      <c r="C1893" t="inlineStr">
        <is>
          <t>C10122</t>
        </is>
      </c>
      <c r="D1893" t="inlineStr">
        <is>
          <t>SKU-10002</t>
        </is>
      </c>
      <c r="E1893" t="inlineStr">
        <is>
          <t>AM12</t>
        </is>
      </c>
      <c r="F1893" s="5" t="n">
        <v>57.37</v>
      </c>
      <c r="G1893">
        <f>IF(LEFT(B1893,1)="C","Credit","Factuur")</f>
        <v/>
      </c>
      <c r="H1893">
        <f>IF(AND(B1893=B1892,D1893=D1892,A1893=A1892,F1893=F1892),1,0)</f>
        <v/>
      </c>
      <c r="I1893">
        <f>IF(C1893="C99999",1,0)</f>
        <v/>
      </c>
      <c r="J1893" s="5">
        <f>IF(OR(H1893=1,I1893=1),0,IF(G1893="Credit",-F1893,F1893))</f>
        <v/>
      </c>
    </row>
    <row r="1894">
      <c r="A1894" t="inlineStr">
        <is>
          <t>2026-07-20</t>
        </is>
      </c>
      <c r="B1894" t="inlineStr">
        <is>
          <t>F262288</t>
        </is>
      </c>
      <c r="C1894" t="inlineStr">
        <is>
          <t>C10122</t>
        </is>
      </c>
      <c r="D1894" t="inlineStr">
        <is>
          <t>SKU-10007</t>
        </is>
      </c>
      <c r="E1894" t="inlineStr">
        <is>
          <t>AM12</t>
        </is>
      </c>
      <c r="F1894" s="5" t="n">
        <v>70.97</v>
      </c>
      <c r="G1894">
        <f>IF(LEFT(B1894,1)="C","Credit","Factuur")</f>
        <v/>
      </c>
      <c r="H1894">
        <f>IF(AND(B1894=B1893,D1894=D1893,A1894=A1893,F1894=F1893),1,0)</f>
        <v/>
      </c>
      <c r="I1894">
        <f>IF(C1894="C99999",1,0)</f>
        <v/>
      </c>
      <c r="J1894" s="5">
        <f>IF(OR(H1894=1,I1894=1),0,IF(G1894="Credit",-F1894,F1894))</f>
        <v/>
      </c>
    </row>
    <row r="1895">
      <c r="A1895" t="inlineStr">
        <is>
          <t>2026-07-20</t>
        </is>
      </c>
      <c r="B1895" t="inlineStr">
        <is>
          <t>F262288</t>
        </is>
      </c>
      <c r="C1895" t="inlineStr">
        <is>
          <t>C10122</t>
        </is>
      </c>
      <c r="D1895" t="inlineStr">
        <is>
          <t>SKU-10097</t>
        </is>
      </c>
      <c r="E1895" t="inlineStr">
        <is>
          <t>AM12</t>
        </is>
      </c>
      <c r="F1895" s="5" t="n">
        <v>80.94</v>
      </c>
      <c r="G1895">
        <f>IF(LEFT(B1895,1)="C","Credit","Factuur")</f>
        <v/>
      </c>
      <c r="H1895">
        <f>IF(AND(B1895=B1894,D1895=D1894,A1895=A1894,F1895=F1894),1,0)</f>
        <v/>
      </c>
      <c r="I1895">
        <f>IF(C1895="C99999",1,0)</f>
        <v/>
      </c>
      <c r="J1895" s="5">
        <f>IF(OR(H1895=1,I1895=1),0,IF(G1895="Credit",-F1895,F1895))</f>
        <v/>
      </c>
    </row>
    <row r="1896">
      <c r="A1896" t="inlineStr">
        <is>
          <t>2026-07-20</t>
        </is>
      </c>
      <c r="B1896" t="inlineStr">
        <is>
          <t>F262288</t>
        </is>
      </c>
      <c r="C1896" t="inlineStr">
        <is>
          <t>C10122</t>
        </is>
      </c>
      <c r="D1896" t="inlineStr">
        <is>
          <t>SKU-10246</t>
        </is>
      </c>
      <c r="E1896" t="inlineStr">
        <is>
          <t>AM12</t>
        </is>
      </c>
      <c r="F1896" s="5" t="n">
        <v>69.12</v>
      </c>
      <c r="G1896">
        <f>IF(LEFT(B1896,1)="C","Credit","Factuur")</f>
        <v/>
      </c>
      <c r="H1896">
        <f>IF(AND(B1896=B1895,D1896=D1895,A1896=A1895,F1896=F1895),1,0)</f>
        <v/>
      </c>
      <c r="I1896">
        <f>IF(C1896="C99999",1,0)</f>
        <v/>
      </c>
      <c r="J1896" s="5">
        <f>IF(OR(H1896=1,I1896=1),0,IF(G1896="Credit",-F1896,F1896))</f>
        <v/>
      </c>
    </row>
    <row r="1897">
      <c r="A1897" t="inlineStr">
        <is>
          <t>2026-07-20</t>
        </is>
      </c>
      <c r="B1897" t="inlineStr">
        <is>
          <t>F262288</t>
        </is>
      </c>
      <c r="C1897" t="inlineStr">
        <is>
          <t>C10122</t>
        </is>
      </c>
      <c r="D1897" t="inlineStr">
        <is>
          <t>SKU-10294</t>
        </is>
      </c>
      <c r="E1897" t="inlineStr">
        <is>
          <t>AM12</t>
        </is>
      </c>
      <c r="F1897" s="5" t="n">
        <v>70.05</v>
      </c>
      <c r="G1897">
        <f>IF(LEFT(B1897,1)="C","Credit","Factuur")</f>
        <v/>
      </c>
      <c r="H1897">
        <f>IF(AND(B1897=B1896,D1897=D1896,A1897=A1896,F1897=F1896),1,0)</f>
        <v/>
      </c>
      <c r="I1897">
        <f>IF(C1897="C99999",1,0)</f>
        <v/>
      </c>
      <c r="J1897" s="5">
        <f>IF(OR(H1897=1,I1897=1),0,IF(G1897="Credit",-F1897,F1897))</f>
        <v/>
      </c>
    </row>
    <row r="1898">
      <c r="A1898" t="inlineStr">
        <is>
          <t>2026-07-20</t>
        </is>
      </c>
      <c r="B1898" t="inlineStr">
        <is>
          <t>F262288</t>
        </is>
      </c>
      <c r="C1898" t="inlineStr">
        <is>
          <t>C10122</t>
        </is>
      </c>
      <c r="D1898" t="inlineStr">
        <is>
          <t>SKU-10377</t>
        </is>
      </c>
      <c r="E1898" t="inlineStr">
        <is>
          <t>AM12</t>
        </is>
      </c>
      <c r="F1898" s="5" t="n">
        <v>84.43000000000001</v>
      </c>
      <c r="G1898">
        <f>IF(LEFT(B1898,1)="C","Credit","Factuur")</f>
        <v/>
      </c>
      <c r="H1898">
        <f>IF(AND(B1898=B1897,D1898=D1897,A1898=A1897,F1898=F1897),1,0)</f>
        <v/>
      </c>
      <c r="I1898">
        <f>IF(C1898="C99999",1,0)</f>
        <v/>
      </c>
      <c r="J1898" s="5">
        <f>IF(OR(H1898=1,I1898=1),0,IF(G1898="Credit",-F1898,F1898))</f>
        <v/>
      </c>
    </row>
    <row r="1899">
      <c r="A1899" t="inlineStr">
        <is>
          <t>2026-07-20</t>
        </is>
      </c>
      <c r="B1899" t="inlineStr">
        <is>
          <t>F264135</t>
        </is>
      </c>
      <c r="C1899" t="inlineStr">
        <is>
          <t>C10219</t>
        </is>
      </c>
      <c r="D1899" t="inlineStr">
        <is>
          <t>SKU-10070</t>
        </is>
      </c>
      <c r="E1899" t="inlineStr">
        <is>
          <t>AM07</t>
        </is>
      </c>
      <c r="F1899" s="5" t="n">
        <v>110.65</v>
      </c>
      <c r="G1899">
        <f>IF(LEFT(B1899,1)="C","Credit","Factuur")</f>
        <v/>
      </c>
      <c r="H1899">
        <f>IF(AND(B1899=B1898,D1899=D1898,A1899=A1898,F1899=F1898),1,0)</f>
        <v/>
      </c>
      <c r="I1899">
        <f>IF(C1899="C99999",1,0)</f>
        <v/>
      </c>
      <c r="J1899" s="5">
        <f>IF(OR(H1899=1,I1899=1),0,IF(G1899="Credit",-F1899,F1899))</f>
        <v/>
      </c>
    </row>
    <row r="1900">
      <c r="A1900" t="inlineStr">
        <is>
          <t>2026-07-20</t>
        </is>
      </c>
      <c r="B1900" t="inlineStr">
        <is>
          <t>F264135</t>
        </is>
      </c>
      <c r="C1900" t="inlineStr">
        <is>
          <t>C10219</t>
        </is>
      </c>
      <c r="D1900" t="inlineStr">
        <is>
          <t>SKU-10101</t>
        </is>
      </c>
      <c r="E1900" t="inlineStr">
        <is>
          <t>AM07</t>
        </is>
      </c>
      <c r="F1900" s="5" t="n">
        <v>112.82</v>
      </c>
      <c r="G1900">
        <f>IF(LEFT(B1900,1)="C","Credit","Factuur")</f>
        <v/>
      </c>
      <c r="H1900">
        <f>IF(AND(B1900=B1899,D1900=D1899,A1900=A1899,F1900=F1899),1,0)</f>
        <v/>
      </c>
      <c r="I1900">
        <f>IF(C1900="C99999",1,0)</f>
        <v/>
      </c>
      <c r="J1900" s="5">
        <f>IF(OR(H1900=1,I1900=1),0,IF(G1900="Credit",-F1900,F1900))</f>
        <v/>
      </c>
    </row>
    <row r="1901">
      <c r="A1901" t="inlineStr">
        <is>
          <t>2026-07-20</t>
        </is>
      </c>
      <c r="B1901" t="inlineStr">
        <is>
          <t>F264135</t>
        </is>
      </c>
      <c r="C1901" t="inlineStr">
        <is>
          <t>C10219</t>
        </is>
      </c>
      <c r="D1901" t="inlineStr">
        <is>
          <t>SKU-10150</t>
        </is>
      </c>
      <c r="E1901" t="inlineStr">
        <is>
          <t>AM07</t>
        </is>
      </c>
      <c r="F1901" s="5" t="n">
        <v>131.6</v>
      </c>
      <c r="G1901">
        <f>IF(LEFT(B1901,1)="C","Credit","Factuur")</f>
        <v/>
      </c>
      <c r="H1901">
        <f>IF(AND(B1901=B1900,D1901=D1900,A1901=A1900,F1901=F1900),1,0)</f>
        <v/>
      </c>
      <c r="I1901">
        <f>IF(C1901="C99999",1,0)</f>
        <v/>
      </c>
      <c r="J1901" s="5">
        <f>IF(OR(H1901=1,I1901=1),0,IF(G1901="Credit",-F1901,F1901))</f>
        <v/>
      </c>
    </row>
    <row r="1902">
      <c r="A1902" t="inlineStr">
        <is>
          <t>2026-07-20</t>
        </is>
      </c>
      <c r="B1902" t="inlineStr">
        <is>
          <t>F264135</t>
        </is>
      </c>
      <c r="C1902" t="inlineStr">
        <is>
          <t>C10219</t>
        </is>
      </c>
      <c r="D1902" t="inlineStr">
        <is>
          <t>SKU-10220</t>
        </is>
      </c>
      <c r="E1902" t="inlineStr">
        <is>
          <t>AM07</t>
        </is>
      </c>
      <c r="F1902" s="5" t="n">
        <v>120.36</v>
      </c>
      <c r="G1902">
        <f>IF(LEFT(B1902,1)="C","Credit","Factuur")</f>
        <v/>
      </c>
      <c r="H1902">
        <f>IF(AND(B1902=B1901,D1902=D1901,A1902=A1901,F1902=F1901),1,0)</f>
        <v/>
      </c>
      <c r="I1902">
        <f>IF(C1902="C99999",1,0)</f>
        <v/>
      </c>
      <c r="J1902" s="5">
        <f>IF(OR(H1902=1,I1902=1),0,IF(G1902="Credit",-F1902,F1902))</f>
        <v/>
      </c>
    </row>
    <row r="1903">
      <c r="A1903" t="inlineStr">
        <is>
          <t>2026-07-20</t>
        </is>
      </c>
      <c r="B1903" t="inlineStr">
        <is>
          <t>F264135</t>
        </is>
      </c>
      <c r="C1903" t="inlineStr">
        <is>
          <t>C10219</t>
        </is>
      </c>
      <c r="D1903" t="inlineStr">
        <is>
          <t>SKU-10344</t>
        </is>
      </c>
      <c r="E1903" t="inlineStr">
        <is>
          <t>AM07</t>
        </is>
      </c>
      <c r="F1903" s="5" t="n">
        <v>112</v>
      </c>
      <c r="G1903">
        <f>IF(LEFT(B1903,1)="C","Credit","Factuur")</f>
        <v/>
      </c>
      <c r="H1903">
        <f>IF(AND(B1903=B1902,D1903=D1902,A1903=A1902,F1903=F1902),1,0)</f>
        <v/>
      </c>
      <c r="I1903">
        <f>IF(C1903="C99999",1,0)</f>
        <v/>
      </c>
      <c r="J1903" s="5">
        <f>IF(OR(H1903=1,I1903=1),0,IF(G1903="Credit",-F1903,F1903))</f>
        <v/>
      </c>
    </row>
    <row r="1904">
      <c r="A1904" t="inlineStr">
        <is>
          <t>2026-07-20</t>
        </is>
      </c>
      <c r="B1904" t="inlineStr">
        <is>
          <t>F264153</t>
        </is>
      </c>
      <c r="C1904" t="inlineStr">
        <is>
          <t>C10220</t>
        </is>
      </c>
      <c r="D1904" t="inlineStr">
        <is>
          <t>SKU-10294</t>
        </is>
      </c>
      <c r="E1904" t="inlineStr">
        <is>
          <t>AM07</t>
        </is>
      </c>
      <c r="F1904" s="5" t="n">
        <v>2027.85</v>
      </c>
      <c r="G1904">
        <f>IF(LEFT(B1904,1)="C","Credit","Factuur")</f>
        <v/>
      </c>
      <c r="H1904">
        <f>IF(AND(B1904=B1903,D1904=D1903,A1904=A1903,F1904=F1903),1,0)</f>
        <v/>
      </c>
      <c r="I1904">
        <f>IF(C1904="C99999",1,0)</f>
        <v/>
      </c>
      <c r="J1904" s="5">
        <f>IF(OR(H1904=1,I1904=1),0,IF(G1904="Credit",-F1904,F1904))</f>
        <v/>
      </c>
    </row>
    <row r="1905">
      <c r="A1905" t="inlineStr">
        <is>
          <t>2026-07-20</t>
        </is>
      </c>
      <c r="B1905" t="inlineStr">
        <is>
          <t>F267028</t>
        </is>
      </c>
      <c r="C1905" t="inlineStr">
        <is>
          <t>C10369</t>
        </is>
      </c>
      <c r="D1905" t="inlineStr">
        <is>
          <t>SKU-10020</t>
        </is>
      </c>
      <c r="E1905" t="inlineStr">
        <is>
          <t>AM05</t>
        </is>
      </c>
      <c r="F1905" s="5" t="n">
        <v>360.67</v>
      </c>
      <c r="G1905">
        <f>IF(LEFT(B1905,1)="C","Credit","Factuur")</f>
        <v/>
      </c>
      <c r="H1905">
        <f>IF(AND(B1905=B1904,D1905=D1904,A1905=A1904,F1905=F1904),1,0)</f>
        <v/>
      </c>
      <c r="I1905">
        <f>IF(C1905="C99999",1,0)</f>
        <v/>
      </c>
      <c r="J1905" s="5">
        <f>IF(OR(H1905=1,I1905=1),0,IF(G1905="Credit",-F1905,F1905))</f>
        <v/>
      </c>
    </row>
    <row r="1906">
      <c r="A1906" t="inlineStr">
        <is>
          <t>2026-07-20</t>
        </is>
      </c>
      <c r="B1906" t="inlineStr">
        <is>
          <t>F267028</t>
        </is>
      </c>
      <c r="C1906" t="inlineStr">
        <is>
          <t>C10369</t>
        </is>
      </c>
      <c r="D1906" t="inlineStr">
        <is>
          <t>SKU-10074</t>
        </is>
      </c>
      <c r="E1906" t="inlineStr">
        <is>
          <t>AM05</t>
        </is>
      </c>
      <c r="F1906" s="5" t="n">
        <v>404.24</v>
      </c>
      <c r="G1906">
        <f>IF(LEFT(B1906,1)="C","Credit","Factuur")</f>
        <v/>
      </c>
      <c r="H1906">
        <f>IF(AND(B1906=B1905,D1906=D1905,A1906=A1905,F1906=F1905),1,0)</f>
        <v/>
      </c>
      <c r="I1906">
        <f>IF(C1906="C99999",1,0)</f>
        <v/>
      </c>
      <c r="J1906" s="5">
        <f>IF(OR(H1906=1,I1906=1),0,IF(G1906="Credit",-F1906,F1906))</f>
        <v/>
      </c>
    </row>
    <row r="1907">
      <c r="A1907" t="inlineStr">
        <is>
          <t>2026-07-20</t>
        </is>
      </c>
      <c r="B1907" t="inlineStr">
        <is>
          <t>F267028</t>
        </is>
      </c>
      <c r="C1907" t="inlineStr">
        <is>
          <t>C10369</t>
        </is>
      </c>
      <c r="D1907" t="inlineStr">
        <is>
          <t>SKU-10240</t>
        </is>
      </c>
      <c r="E1907" t="inlineStr">
        <is>
          <t>AM05</t>
        </is>
      </c>
      <c r="F1907" s="5" t="n">
        <v>425.79</v>
      </c>
      <c r="G1907">
        <f>IF(LEFT(B1907,1)="C","Credit","Factuur")</f>
        <v/>
      </c>
      <c r="H1907">
        <f>IF(AND(B1907=B1906,D1907=D1906,A1907=A1906,F1907=F1906),1,0)</f>
        <v/>
      </c>
      <c r="I1907">
        <f>IF(C1907="C99999",1,0)</f>
        <v/>
      </c>
      <c r="J1907" s="5">
        <f>IF(OR(H1907=1,I1907=1),0,IF(G1907="Credit",-F1907,F1907))</f>
        <v/>
      </c>
    </row>
    <row r="1908">
      <c r="A1908" t="inlineStr">
        <is>
          <t>2026-07-20</t>
        </is>
      </c>
      <c r="B1908" t="inlineStr">
        <is>
          <t>F267028</t>
        </is>
      </c>
      <c r="C1908" t="inlineStr">
        <is>
          <t>C10369</t>
        </is>
      </c>
      <c r="D1908" t="inlineStr">
        <is>
          <t>SKU-10334</t>
        </is>
      </c>
      <c r="E1908" t="inlineStr">
        <is>
          <t>AM05</t>
        </is>
      </c>
      <c r="F1908" s="5" t="n">
        <v>434.48</v>
      </c>
      <c r="G1908">
        <f>IF(LEFT(B1908,1)="C","Credit","Factuur")</f>
        <v/>
      </c>
      <c r="H1908">
        <f>IF(AND(B1908=B1907,D1908=D1907,A1908=A1907,F1908=F1907),1,0)</f>
        <v/>
      </c>
      <c r="I1908">
        <f>IF(C1908="C99999",1,0)</f>
        <v/>
      </c>
      <c r="J1908" s="5">
        <f>IF(OR(H1908=1,I1908=1),0,IF(G1908="Credit",-F1908,F1908))</f>
        <v/>
      </c>
    </row>
    <row r="1909">
      <c r="A1909" t="inlineStr">
        <is>
          <t>2026-07-20</t>
        </is>
      </c>
      <c r="B1909" t="inlineStr">
        <is>
          <t>F267339</t>
        </is>
      </c>
      <c r="C1909" t="inlineStr">
        <is>
          <t>C10387</t>
        </is>
      </c>
      <c r="D1909" t="inlineStr">
        <is>
          <t>SKU-10174</t>
        </is>
      </c>
      <c r="E1909" t="inlineStr">
        <is>
          <t>AM06</t>
        </is>
      </c>
      <c r="F1909" s="5" t="n">
        <v>957.84</v>
      </c>
      <c r="G1909">
        <f>IF(LEFT(B1909,1)="C","Credit","Factuur")</f>
        <v/>
      </c>
      <c r="H1909">
        <f>IF(AND(B1909=B1908,D1909=D1908,A1909=A1908,F1909=F1908),1,0)</f>
        <v/>
      </c>
      <c r="I1909">
        <f>IF(C1909="C99999",1,0)</f>
        <v/>
      </c>
      <c r="J1909" s="5">
        <f>IF(OR(H1909=1,I1909=1),0,IF(G1909="Credit",-F1909,F1909))</f>
        <v/>
      </c>
    </row>
    <row r="1910">
      <c r="A1910" t="inlineStr">
        <is>
          <t>2026-07-20</t>
        </is>
      </c>
      <c r="B1910" t="inlineStr">
        <is>
          <t>F267644</t>
        </is>
      </c>
      <c r="C1910" t="inlineStr">
        <is>
          <t>C10401</t>
        </is>
      </c>
      <c r="D1910" t="inlineStr">
        <is>
          <t>SKU-10049</t>
        </is>
      </c>
      <c r="E1910" t="inlineStr">
        <is>
          <t>AM02</t>
        </is>
      </c>
      <c r="F1910" s="5" t="n">
        <v>531.6</v>
      </c>
      <c r="G1910">
        <f>IF(LEFT(B1910,1)="C","Credit","Factuur")</f>
        <v/>
      </c>
      <c r="H1910">
        <f>IF(AND(B1910=B1909,D1910=D1909,A1910=A1909,F1910=F1909),1,0)</f>
        <v/>
      </c>
      <c r="I1910">
        <f>IF(C1910="C99999",1,0)</f>
        <v/>
      </c>
      <c r="J1910" s="5">
        <f>IF(OR(H1910=1,I1910=1),0,IF(G1910="Credit",-F1910,F1910))</f>
        <v/>
      </c>
    </row>
    <row r="1911">
      <c r="A1911" t="inlineStr">
        <is>
          <t>2026-07-20</t>
        </is>
      </c>
      <c r="B1911" t="inlineStr">
        <is>
          <t>F267644</t>
        </is>
      </c>
      <c r="C1911" t="inlineStr">
        <is>
          <t>C10401</t>
        </is>
      </c>
      <c r="D1911" t="inlineStr">
        <is>
          <t>SKU-10240</t>
        </is>
      </c>
      <c r="E1911" t="inlineStr">
        <is>
          <t>AM02</t>
        </is>
      </c>
      <c r="F1911" s="5" t="n">
        <v>460.15</v>
      </c>
      <c r="G1911">
        <f>IF(LEFT(B1911,1)="C","Credit","Factuur")</f>
        <v/>
      </c>
      <c r="H1911">
        <f>IF(AND(B1911=B1910,D1911=D1910,A1911=A1910,F1911=F1910),1,0)</f>
        <v/>
      </c>
      <c r="I1911">
        <f>IF(C1911="C99999",1,0)</f>
        <v/>
      </c>
      <c r="J1911" s="5">
        <f>IF(OR(H1911=1,I1911=1),0,IF(G1911="Credit",-F1911,F1911))</f>
        <v/>
      </c>
    </row>
    <row r="1912">
      <c r="A1912" t="inlineStr">
        <is>
          <t>2026-07-20</t>
        </is>
      </c>
      <c r="B1912" t="inlineStr">
        <is>
          <t>F267644</t>
        </is>
      </c>
      <c r="C1912" t="inlineStr">
        <is>
          <t>C10401</t>
        </is>
      </c>
      <c r="D1912" t="inlineStr">
        <is>
          <t>SKU-10302</t>
        </is>
      </c>
      <c r="E1912" t="inlineStr">
        <is>
          <t>AM02</t>
        </is>
      </c>
      <c r="F1912" s="5" t="n">
        <v>500.57</v>
      </c>
      <c r="G1912">
        <f>IF(LEFT(B1912,1)="C","Credit","Factuur")</f>
        <v/>
      </c>
      <c r="H1912">
        <f>IF(AND(B1912=B1911,D1912=D1911,A1912=A1911,F1912=F1911),1,0)</f>
        <v/>
      </c>
      <c r="I1912">
        <f>IF(C1912="C99999",1,0)</f>
        <v/>
      </c>
      <c r="J1912" s="5">
        <f>IF(OR(H1912=1,I1912=1),0,IF(G1912="Credit",-F1912,F1912))</f>
        <v/>
      </c>
    </row>
    <row r="1913">
      <c r="A1913" t="inlineStr">
        <is>
          <t>2026-07-20</t>
        </is>
      </c>
      <c r="B1913" t="inlineStr">
        <is>
          <t>F268576</t>
        </is>
      </c>
      <c r="C1913" t="inlineStr">
        <is>
          <t>C10449</t>
        </is>
      </c>
      <c r="D1913" t="inlineStr">
        <is>
          <t>SKU-10008</t>
        </is>
      </c>
      <c r="E1913" t="inlineStr">
        <is>
          <t>AM09</t>
        </is>
      </c>
      <c r="F1913" s="5" t="n">
        <v>1572.48</v>
      </c>
      <c r="G1913">
        <f>IF(LEFT(B1913,1)="C","Credit","Factuur")</f>
        <v/>
      </c>
      <c r="H1913">
        <f>IF(AND(B1913=B1912,D1913=D1912,A1913=A1912,F1913=F1912),1,0)</f>
        <v/>
      </c>
      <c r="I1913">
        <f>IF(C1913="C99999",1,0)</f>
        <v/>
      </c>
      <c r="J1913" s="5">
        <f>IF(OR(H1913=1,I1913=1),0,IF(G1913="Credit",-F1913,F1913))</f>
        <v/>
      </c>
    </row>
    <row r="1914">
      <c r="A1914" t="inlineStr">
        <is>
          <t>2026-07-20</t>
        </is>
      </c>
      <c r="B1914" t="inlineStr">
        <is>
          <t>F268576</t>
        </is>
      </c>
      <c r="C1914" t="inlineStr">
        <is>
          <t>C10449</t>
        </is>
      </c>
      <c r="D1914" t="inlineStr">
        <is>
          <t>SKU-10019</t>
        </is>
      </c>
      <c r="E1914" t="inlineStr">
        <is>
          <t>AM09</t>
        </is>
      </c>
      <c r="F1914" s="5" t="n">
        <v>1346.71</v>
      </c>
      <c r="G1914">
        <f>IF(LEFT(B1914,1)="C","Credit","Factuur")</f>
        <v/>
      </c>
      <c r="H1914">
        <f>IF(AND(B1914=B1913,D1914=D1913,A1914=A1913,F1914=F1913),1,0)</f>
        <v/>
      </c>
      <c r="I1914">
        <f>IF(C1914="C99999",1,0)</f>
        <v/>
      </c>
      <c r="J1914" s="5">
        <f>IF(OR(H1914=1,I1914=1),0,IF(G1914="Credit",-F1914,F1914))</f>
        <v/>
      </c>
    </row>
    <row r="1915">
      <c r="A1915" t="inlineStr">
        <is>
          <t>2026-07-20</t>
        </is>
      </c>
      <c r="B1915" t="inlineStr">
        <is>
          <t>F268576</t>
        </is>
      </c>
      <c r="C1915" t="inlineStr">
        <is>
          <t>C10449</t>
        </is>
      </c>
      <c r="D1915" t="inlineStr">
        <is>
          <t>SKU-10137</t>
        </is>
      </c>
      <c r="E1915" t="inlineStr">
        <is>
          <t>AM09</t>
        </is>
      </c>
      <c r="F1915" s="5" t="n">
        <v>1317.16</v>
      </c>
      <c r="G1915">
        <f>IF(LEFT(B1915,1)="C","Credit","Factuur")</f>
        <v/>
      </c>
      <c r="H1915">
        <f>IF(AND(B1915=B1914,D1915=D1914,A1915=A1914,F1915=F1914),1,0)</f>
        <v/>
      </c>
      <c r="I1915">
        <f>IF(C1915="C99999",1,0)</f>
        <v/>
      </c>
      <c r="J1915" s="5">
        <f>IF(OR(H1915=1,I1915=1),0,IF(G1915="Credit",-F1915,F1915))</f>
        <v/>
      </c>
    </row>
    <row r="1916">
      <c r="A1916" t="inlineStr">
        <is>
          <t>2026-07-20</t>
        </is>
      </c>
      <c r="B1916" t="inlineStr">
        <is>
          <t>F268576</t>
        </is>
      </c>
      <c r="C1916" t="inlineStr">
        <is>
          <t>C10449</t>
        </is>
      </c>
      <c r="D1916" t="inlineStr">
        <is>
          <t>SKU-10293</t>
        </is>
      </c>
      <c r="E1916" t="inlineStr">
        <is>
          <t>AM09</t>
        </is>
      </c>
      <c r="F1916" s="5" t="n">
        <v>1332.94</v>
      </c>
      <c r="G1916">
        <f>IF(LEFT(B1916,1)="C","Credit","Factuur")</f>
        <v/>
      </c>
      <c r="H1916">
        <f>IF(AND(B1916=B1915,D1916=D1915,A1916=A1915,F1916=F1915),1,0)</f>
        <v/>
      </c>
      <c r="I1916">
        <f>IF(C1916="C99999",1,0)</f>
        <v/>
      </c>
      <c r="J1916" s="5">
        <f>IF(OR(H1916=1,I1916=1),0,IF(G1916="Credit",-F1916,F1916))</f>
        <v/>
      </c>
    </row>
    <row r="1917">
      <c r="A1917" t="inlineStr">
        <is>
          <t>2026-07-20</t>
        </is>
      </c>
      <c r="B1917" t="inlineStr">
        <is>
          <t>F268576</t>
        </is>
      </c>
      <c r="C1917" t="inlineStr">
        <is>
          <t>C10449</t>
        </is>
      </c>
      <c r="D1917" t="inlineStr">
        <is>
          <t>SKU-10307</t>
        </is>
      </c>
      <c r="E1917" t="inlineStr">
        <is>
          <t>AM09</t>
        </is>
      </c>
      <c r="F1917" s="5" t="n">
        <v>1557.1</v>
      </c>
      <c r="G1917">
        <f>IF(LEFT(B1917,1)="C","Credit","Factuur")</f>
        <v/>
      </c>
      <c r="H1917">
        <f>IF(AND(B1917=B1916,D1917=D1916,A1917=A1916,F1917=F1916),1,0)</f>
        <v/>
      </c>
      <c r="I1917">
        <f>IF(C1917="C99999",1,0)</f>
        <v/>
      </c>
      <c r="J1917" s="5">
        <f>IF(OR(H1917=1,I1917=1),0,IF(G1917="Credit",-F1917,F1917))</f>
        <v/>
      </c>
    </row>
    <row r="1918">
      <c r="A1918" t="inlineStr">
        <is>
          <t>2026-07-20</t>
        </is>
      </c>
      <c r="B1918" t="inlineStr">
        <is>
          <t>F269539</t>
        </is>
      </c>
      <c r="C1918" t="inlineStr">
        <is>
          <t>C10500</t>
        </is>
      </c>
      <c r="D1918" t="inlineStr">
        <is>
          <t>SKU-10047</t>
        </is>
      </c>
      <c r="E1918" t="inlineStr">
        <is>
          <t>AM02</t>
        </is>
      </c>
      <c r="F1918" s="5" t="n">
        <v>58.77</v>
      </c>
      <c r="G1918">
        <f>IF(LEFT(B1918,1)="C","Credit","Factuur")</f>
        <v/>
      </c>
      <c r="H1918">
        <f>IF(AND(B1918=B1917,D1918=D1917,A1918=A1917,F1918=F1917),1,0)</f>
        <v/>
      </c>
      <c r="I1918">
        <f>IF(C1918="C99999",1,0)</f>
        <v/>
      </c>
      <c r="J1918" s="5">
        <f>IF(OR(H1918=1,I1918=1),0,IF(G1918="Credit",-F1918,F1918))</f>
        <v/>
      </c>
    </row>
    <row r="1919">
      <c r="A1919" t="inlineStr">
        <is>
          <t>2026-07-20</t>
        </is>
      </c>
      <c r="B1919" t="inlineStr">
        <is>
          <t>F269539</t>
        </is>
      </c>
      <c r="C1919" t="inlineStr">
        <is>
          <t>C10500</t>
        </is>
      </c>
      <c r="D1919" t="inlineStr">
        <is>
          <t>SKU-10168</t>
        </is>
      </c>
      <c r="E1919" t="inlineStr">
        <is>
          <t>AM02</t>
        </is>
      </c>
      <c r="F1919" s="5" t="n">
        <v>69.56</v>
      </c>
      <c r="G1919">
        <f>IF(LEFT(B1919,1)="C","Credit","Factuur")</f>
        <v/>
      </c>
      <c r="H1919">
        <f>IF(AND(B1919=B1918,D1919=D1918,A1919=A1918,F1919=F1918),1,0)</f>
        <v/>
      </c>
      <c r="I1919">
        <f>IF(C1919="C99999",1,0)</f>
        <v/>
      </c>
      <c r="J1919" s="5">
        <f>IF(OR(H1919=1,I1919=1),0,IF(G1919="Credit",-F1919,F1919))</f>
        <v/>
      </c>
    </row>
    <row r="1920">
      <c r="A1920" t="inlineStr">
        <is>
          <t>2026-07-20</t>
        </is>
      </c>
      <c r="B1920" t="inlineStr">
        <is>
          <t>F269539</t>
        </is>
      </c>
      <c r="C1920" t="inlineStr">
        <is>
          <t>C10500</t>
        </is>
      </c>
      <c r="D1920" t="inlineStr">
        <is>
          <t>SKU-10200</t>
        </is>
      </c>
      <c r="E1920" t="inlineStr">
        <is>
          <t>AM02</t>
        </is>
      </c>
      <c r="F1920" s="5" t="n">
        <v>53.55</v>
      </c>
      <c r="G1920">
        <f>IF(LEFT(B1920,1)="C","Credit","Factuur")</f>
        <v/>
      </c>
      <c r="H1920">
        <f>IF(AND(B1920=B1919,D1920=D1919,A1920=A1919,F1920=F1919),1,0)</f>
        <v/>
      </c>
      <c r="I1920">
        <f>IF(C1920="C99999",1,0)</f>
        <v/>
      </c>
      <c r="J1920" s="5">
        <f>IF(OR(H1920=1,I1920=1),0,IF(G1920="Credit",-F1920,F1920))</f>
        <v/>
      </c>
    </row>
    <row r="1921">
      <c r="A1921" t="inlineStr">
        <is>
          <t>2026-07-20</t>
        </is>
      </c>
      <c r="B1921" t="inlineStr">
        <is>
          <t>F269539</t>
        </is>
      </c>
      <c r="C1921" t="inlineStr">
        <is>
          <t>C10500</t>
        </is>
      </c>
      <c r="D1921" t="inlineStr">
        <is>
          <t>SKU-10229</t>
        </is>
      </c>
      <c r="E1921" t="inlineStr">
        <is>
          <t>AM02</t>
        </is>
      </c>
      <c r="F1921" s="5" t="n">
        <v>52.68</v>
      </c>
      <c r="G1921">
        <f>IF(LEFT(B1921,1)="C","Credit","Factuur")</f>
        <v/>
      </c>
      <c r="H1921">
        <f>IF(AND(B1921=B1920,D1921=D1920,A1921=A1920,F1921=F1920),1,0)</f>
        <v/>
      </c>
      <c r="I1921">
        <f>IF(C1921="C99999",1,0)</f>
        <v/>
      </c>
      <c r="J1921" s="5">
        <f>IF(OR(H1921=1,I1921=1),0,IF(G1921="Credit",-F1921,F1921))</f>
        <v/>
      </c>
    </row>
    <row r="1922">
      <c r="A1922" t="inlineStr">
        <is>
          <t>2026-07-20</t>
        </is>
      </c>
      <c r="B1922" t="inlineStr">
        <is>
          <t>F269539</t>
        </is>
      </c>
      <c r="C1922" t="inlineStr">
        <is>
          <t>C10500</t>
        </is>
      </c>
      <c r="D1922" t="inlineStr">
        <is>
          <t>SKU-10300</t>
        </is>
      </c>
      <c r="E1922" t="inlineStr"/>
      <c r="F1922" s="5" t="n">
        <v>61.28</v>
      </c>
      <c r="G1922">
        <f>IF(LEFT(B1922,1)="C","Credit","Factuur")</f>
        <v/>
      </c>
      <c r="H1922">
        <f>IF(AND(B1922=B1921,D1922=D1921,A1922=A1921,F1922=F1921),1,0)</f>
        <v/>
      </c>
      <c r="I1922">
        <f>IF(C1922="C99999",1,0)</f>
        <v/>
      </c>
      <c r="J1922" s="5">
        <f>IF(OR(H1922=1,I1922=1),0,IF(G1922="Credit",-F1922,F1922))</f>
        <v/>
      </c>
    </row>
    <row r="1923">
      <c r="A1923" t="inlineStr">
        <is>
          <t>2026-07-20</t>
        </is>
      </c>
      <c r="B1923" t="inlineStr">
        <is>
          <t>F270062</t>
        </is>
      </c>
      <c r="C1923" t="inlineStr">
        <is>
          <t>C10529</t>
        </is>
      </c>
      <c r="D1923" t="inlineStr">
        <is>
          <t>SKU-10085</t>
        </is>
      </c>
      <c r="E1923" t="inlineStr">
        <is>
          <t>AM12</t>
        </is>
      </c>
      <c r="F1923" s="5" t="n">
        <v>1299.22</v>
      </c>
      <c r="G1923">
        <f>IF(LEFT(B1923,1)="C","Credit","Factuur")</f>
        <v/>
      </c>
      <c r="H1923">
        <f>IF(AND(B1923=B1922,D1923=D1922,A1923=A1922,F1923=F1922),1,0)</f>
        <v/>
      </c>
      <c r="I1923">
        <f>IF(C1923="C99999",1,0)</f>
        <v/>
      </c>
      <c r="J1923" s="5">
        <f>IF(OR(H1923=1,I1923=1),0,IF(G1923="Credit",-F1923,F1923))</f>
        <v/>
      </c>
    </row>
    <row r="1924">
      <c r="A1924" t="inlineStr">
        <is>
          <t>2026-07-20</t>
        </is>
      </c>
      <c r="B1924" t="inlineStr">
        <is>
          <t>F270989</t>
        </is>
      </c>
      <c r="C1924" t="inlineStr">
        <is>
          <t>C10573</t>
        </is>
      </c>
      <c r="D1924" t="inlineStr">
        <is>
          <t>SKU-10088</t>
        </is>
      </c>
      <c r="E1924" t="inlineStr">
        <is>
          <t>AM08</t>
        </is>
      </c>
      <c r="F1924" s="5" t="n">
        <v>246.88</v>
      </c>
      <c r="G1924">
        <f>IF(LEFT(B1924,1)="C","Credit","Factuur")</f>
        <v/>
      </c>
      <c r="H1924">
        <f>IF(AND(B1924=B1923,D1924=D1923,A1924=A1923,F1924=F1923),1,0)</f>
        <v/>
      </c>
      <c r="I1924">
        <f>IF(C1924="C99999",1,0)</f>
        <v/>
      </c>
      <c r="J1924" s="5">
        <f>IF(OR(H1924=1,I1924=1),0,IF(G1924="Credit",-F1924,F1924))</f>
        <v/>
      </c>
    </row>
    <row r="1925">
      <c r="A1925" t="inlineStr">
        <is>
          <t>2026-07-20</t>
        </is>
      </c>
      <c r="B1925" t="inlineStr">
        <is>
          <t>F270989</t>
        </is>
      </c>
      <c r="C1925" t="inlineStr">
        <is>
          <t>C10573</t>
        </is>
      </c>
      <c r="D1925" t="inlineStr">
        <is>
          <t>SKU-10110</t>
        </is>
      </c>
      <c r="E1925" t="inlineStr">
        <is>
          <t>AM08</t>
        </is>
      </c>
      <c r="F1925" s="5" t="n">
        <v>247</v>
      </c>
      <c r="G1925">
        <f>IF(LEFT(B1925,1)="C","Credit","Factuur")</f>
        <v/>
      </c>
      <c r="H1925">
        <f>IF(AND(B1925=B1924,D1925=D1924,A1925=A1924,F1925=F1924),1,0)</f>
        <v/>
      </c>
      <c r="I1925">
        <f>IF(C1925="C99999",1,0)</f>
        <v/>
      </c>
      <c r="J1925" s="5">
        <f>IF(OR(H1925=1,I1925=1),0,IF(G1925="Credit",-F1925,F1925))</f>
        <v/>
      </c>
    </row>
    <row r="1926">
      <c r="A1926" t="inlineStr">
        <is>
          <t>2026-07-20</t>
        </is>
      </c>
      <c r="B1926" t="inlineStr">
        <is>
          <t>F270989</t>
        </is>
      </c>
      <c r="C1926" t="inlineStr">
        <is>
          <t>C10573</t>
        </is>
      </c>
      <c r="D1926" t="inlineStr">
        <is>
          <t>SKU-10190</t>
        </is>
      </c>
      <c r="E1926" t="inlineStr">
        <is>
          <t>AM08</t>
        </is>
      </c>
      <c r="F1926" s="5" t="n">
        <v>262.92</v>
      </c>
      <c r="G1926">
        <f>IF(LEFT(B1926,1)="C","Credit","Factuur")</f>
        <v/>
      </c>
      <c r="H1926">
        <f>IF(AND(B1926=B1925,D1926=D1925,A1926=A1925,F1926=F1925),1,0)</f>
        <v/>
      </c>
      <c r="I1926">
        <f>IF(C1926="C99999",1,0)</f>
        <v/>
      </c>
      <c r="J1926" s="5">
        <f>IF(OR(H1926=1,I1926=1),0,IF(G1926="Credit",-F1926,F1926))</f>
        <v/>
      </c>
    </row>
    <row r="1927">
      <c r="A1927" t="inlineStr">
        <is>
          <t>2026-07-20</t>
        </is>
      </c>
      <c r="B1927" t="inlineStr">
        <is>
          <t>F270989</t>
        </is>
      </c>
      <c r="C1927" t="inlineStr">
        <is>
          <t>C10573</t>
        </is>
      </c>
      <c r="D1927" t="inlineStr">
        <is>
          <t>SKU-10317</t>
        </is>
      </c>
      <c r="E1927" t="inlineStr">
        <is>
          <t>AM08</t>
        </is>
      </c>
      <c r="F1927" s="5" t="n">
        <v>249.39</v>
      </c>
      <c r="G1927">
        <f>IF(LEFT(B1927,1)="C","Credit","Factuur")</f>
        <v/>
      </c>
      <c r="H1927">
        <f>IF(AND(B1927=B1926,D1927=D1926,A1927=A1926,F1927=F1926),1,0)</f>
        <v/>
      </c>
      <c r="I1927">
        <f>IF(C1927="C99999",1,0)</f>
        <v/>
      </c>
      <c r="J1927" s="5">
        <f>IF(OR(H1927=1,I1927=1),0,IF(G1927="Credit",-F1927,F1927))</f>
        <v/>
      </c>
    </row>
    <row r="1928">
      <c r="A1928" t="inlineStr">
        <is>
          <t>2026-07-20</t>
        </is>
      </c>
      <c r="B1928" t="inlineStr">
        <is>
          <t>F271160</t>
        </is>
      </c>
      <c r="C1928" t="inlineStr">
        <is>
          <t>C10581</t>
        </is>
      </c>
      <c r="D1928" t="inlineStr">
        <is>
          <t>SKU-10126</t>
        </is>
      </c>
      <c r="E1928" t="inlineStr">
        <is>
          <t>AM02</t>
        </is>
      </c>
      <c r="F1928" s="5" t="n">
        <v>99.67</v>
      </c>
      <c r="G1928">
        <f>IF(LEFT(B1928,1)="C","Credit","Factuur")</f>
        <v/>
      </c>
      <c r="H1928">
        <f>IF(AND(B1928=B1927,D1928=D1927,A1928=A1927,F1928=F1927),1,0)</f>
        <v/>
      </c>
      <c r="I1928">
        <f>IF(C1928="C99999",1,0)</f>
        <v/>
      </c>
      <c r="J1928" s="5">
        <f>IF(OR(H1928=1,I1928=1),0,IF(G1928="Credit",-F1928,F1928))</f>
        <v/>
      </c>
    </row>
    <row r="1929">
      <c r="A1929" t="inlineStr">
        <is>
          <t>2026-07-20</t>
        </is>
      </c>
      <c r="B1929" t="inlineStr">
        <is>
          <t>F271160</t>
        </is>
      </c>
      <c r="C1929" t="inlineStr">
        <is>
          <t>C10581</t>
        </is>
      </c>
      <c r="D1929" t="inlineStr">
        <is>
          <t>SKU-10139</t>
        </is>
      </c>
      <c r="E1929" t="inlineStr">
        <is>
          <t>AM02</t>
        </is>
      </c>
      <c r="F1929" s="5" t="n">
        <v>117.4</v>
      </c>
      <c r="G1929">
        <f>IF(LEFT(B1929,1)="C","Credit","Factuur")</f>
        <v/>
      </c>
      <c r="H1929">
        <f>IF(AND(B1929=B1928,D1929=D1928,A1929=A1928,F1929=F1928),1,0)</f>
        <v/>
      </c>
      <c r="I1929">
        <f>IF(C1929="C99999",1,0)</f>
        <v/>
      </c>
      <c r="J1929" s="5">
        <f>IF(OR(H1929=1,I1929=1),0,IF(G1929="Credit",-F1929,F1929))</f>
        <v/>
      </c>
    </row>
    <row r="1930">
      <c r="A1930" t="inlineStr">
        <is>
          <t>2026-07-20</t>
        </is>
      </c>
      <c r="B1930" t="inlineStr">
        <is>
          <t>F271160</t>
        </is>
      </c>
      <c r="C1930" t="inlineStr">
        <is>
          <t>C10581</t>
        </is>
      </c>
      <c r="D1930" t="inlineStr">
        <is>
          <t>SKU-10232</t>
        </is>
      </c>
      <c r="E1930" t="inlineStr">
        <is>
          <t>AM02</t>
        </is>
      </c>
      <c r="F1930" s="5" t="n">
        <v>110.4</v>
      </c>
      <c r="G1930">
        <f>IF(LEFT(B1930,1)="C","Credit","Factuur")</f>
        <v/>
      </c>
      <c r="H1930">
        <f>IF(AND(B1930=B1929,D1930=D1929,A1930=A1929,F1930=F1929),1,0)</f>
        <v/>
      </c>
      <c r="I1930">
        <f>IF(C1930="C99999",1,0)</f>
        <v/>
      </c>
      <c r="J1930" s="5">
        <f>IF(OR(H1930=1,I1930=1),0,IF(G1930="Credit",-F1930,F1930))</f>
        <v/>
      </c>
    </row>
    <row r="1931">
      <c r="A1931" t="inlineStr">
        <is>
          <t>2026-07-20</t>
        </is>
      </c>
      <c r="B1931" t="inlineStr">
        <is>
          <t>F271160</t>
        </is>
      </c>
      <c r="C1931" t="inlineStr">
        <is>
          <t>C10581</t>
        </is>
      </c>
      <c r="D1931" t="inlineStr">
        <is>
          <t>SKU-10268</t>
        </is>
      </c>
      <c r="E1931" t="inlineStr">
        <is>
          <t>AM02</t>
        </is>
      </c>
      <c r="F1931" s="5" t="n">
        <v>97.66</v>
      </c>
      <c r="G1931">
        <f>IF(LEFT(B1931,1)="C","Credit","Factuur")</f>
        <v/>
      </c>
      <c r="H1931">
        <f>IF(AND(B1931=B1930,D1931=D1930,A1931=A1930,F1931=F1930),1,0)</f>
        <v/>
      </c>
      <c r="I1931">
        <f>IF(C1931="C99999",1,0)</f>
        <v/>
      </c>
      <c r="J1931" s="5">
        <f>IF(OR(H1931=1,I1931=1),0,IF(G1931="Credit",-F1931,F1931))</f>
        <v/>
      </c>
    </row>
    <row r="1932">
      <c r="A1932" t="inlineStr">
        <is>
          <t>2026-07-20</t>
        </is>
      </c>
      <c r="B1932" t="inlineStr">
        <is>
          <t>F271160</t>
        </is>
      </c>
      <c r="C1932" t="inlineStr">
        <is>
          <t>C10581</t>
        </is>
      </c>
      <c r="D1932" t="inlineStr">
        <is>
          <t>SKU-10275</t>
        </is>
      </c>
      <c r="E1932" t="inlineStr">
        <is>
          <t>AM02</t>
        </is>
      </c>
      <c r="F1932" s="5" t="n">
        <v>103.97</v>
      </c>
      <c r="G1932">
        <f>IF(LEFT(B1932,1)="C","Credit","Factuur")</f>
        <v/>
      </c>
      <c r="H1932">
        <f>IF(AND(B1932=B1931,D1932=D1931,A1932=A1931,F1932=F1931),1,0)</f>
        <v/>
      </c>
      <c r="I1932">
        <f>IF(C1932="C99999",1,0)</f>
        <v/>
      </c>
      <c r="J1932" s="5">
        <f>IF(OR(H1932=1,I1932=1),0,IF(G1932="Credit",-F1932,F1932))</f>
        <v/>
      </c>
    </row>
    <row r="1933">
      <c r="A1933" t="inlineStr">
        <is>
          <t>2026-07-20</t>
        </is>
      </c>
      <c r="B1933" t="inlineStr">
        <is>
          <t>F273199</t>
        </is>
      </c>
      <c r="C1933" t="inlineStr">
        <is>
          <t>C10689</t>
        </is>
      </c>
      <c r="D1933" t="inlineStr">
        <is>
          <t>SKU-10053</t>
        </is>
      </c>
      <c r="E1933" t="inlineStr">
        <is>
          <t>AM07</t>
        </is>
      </c>
      <c r="F1933" s="5" t="n">
        <v>463.12</v>
      </c>
      <c r="G1933">
        <f>IF(LEFT(B1933,1)="C","Credit","Factuur")</f>
        <v/>
      </c>
      <c r="H1933">
        <f>IF(AND(B1933=B1932,D1933=D1932,A1933=A1932,F1933=F1932),1,0)</f>
        <v/>
      </c>
      <c r="I1933">
        <f>IF(C1933="C99999",1,0)</f>
        <v/>
      </c>
      <c r="J1933" s="5">
        <f>IF(OR(H1933=1,I1933=1),0,IF(G1933="Credit",-F1933,F1933))</f>
        <v/>
      </c>
    </row>
    <row r="1934">
      <c r="A1934" t="inlineStr">
        <is>
          <t>2026-07-20</t>
        </is>
      </c>
      <c r="B1934" t="inlineStr">
        <is>
          <t>F273199</t>
        </is>
      </c>
      <c r="C1934" t="inlineStr">
        <is>
          <t>C10689</t>
        </is>
      </c>
      <c r="D1934" t="inlineStr">
        <is>
          <t>SKU-10057</t>
        </is>
      </c>
      <c r="E1934" t="inlineStr">
        <is>
          <t>AM07</t>
        </is>
      </c>
      <c r="F1934" s="5" t="n">
        <v>472.5</v>
      </c>
      <c r="G1934">
        <f>IF(LEFT(B1934,1)="C","Credit","Factuur")</f>
        <v/>
      </c>
      <c r="H1934">
        <f>IF(AND(B1934=B1933,D1934=D1933,A1934=A1933,F1934=F1933),1,0)</f>
        <v/>
      </c>
      <c r="I1934">
        <f>IF(C1934="C99999",1,0)</f>
        <v/>
      </c>
      <c r="J1934" s="5">
        <f>IF(OR(H1934=1,I1934=1),0,IF(G1934="Credit",-F1934,F1934))</f>
        <v/>
      </c>
    </row>
    <row r="1935">
      <c r="A1935" t="inlineStr">
        <is>
          <t>2026-07-20</t>
        </is>
      </c>
      <c r="B1935" t="inlineStr">
        <is>
          <t>F273199</t>
        </is>
      </c>
      <c r="C1935" t="inlineStr">
        <is>
          <t>C10689</t>
        </is>
      </c>
      <c r="D1935" t="inlineStr">
        <is>
          <t>SKU-10077</t>
        </is>
      </c>
      <c r="E1935" t="inlineStr">
        <is>
          <t>AM07</t>
        </is>
      </c>
      <c r="F1935" s="5" t="n">
        <v>481.92</v>
      </c>
      <c r="G1935">
        <f>IF(LEFT(B1935,1)="C","Credit","Factuur")</f>
        <v/>
      </c>
      <c r="H1935">
        <f>IF(AND(B1935=B1934,D1935=D1934,A1935=A1934,F1935=F1934),1,0)</f>
        <v/>
      </c>
      <c r="I1935">
        <f>IF(C1935="C99999",1,0)</f>
        <v/>
      </c>
      <c r="J1935" s="5">
        <f>IF(OR(H1935=1,I1935=1),0,IF(G1935="Credit",-F1935,F1935))</f>
        <v/>
      </c>
    </row>
    <row r="1936">
      <c r="A1936" t="inlineStr">
        <is>
          <t>2026-07-20</t>
        </is>
      </c>
      <c r="B1936" t="inlineStr">
        <is>
          <t>F273199</t>
        </is>
      </c>
      <c r="C1936" t="inlineStr">
        <is>
          <t>C10689</t>
        </is>
      </c>
      <c r="D1936" t="inlineStr">
        <is>
          <t>SKU-10101</t>
        </is>
      </c>
      <c r="E1936" t="inlineStr">
        <is>
          <t>AM07</t>
        </is>
      </c>
      <c r="F1936" s="5" t="n">
        <v>451.29</v>
      </c>
      <c r="G1936">
        <f>IF(LEFT(B1936,1)="C","Credit","Factuur")</f>
        <v/>
      </c>
      <c r="H1936">
        <f>IF(AND(B1936=B1935,D1936=D1935,A1936=A1935,F1936=F1935),1,0)</f>
        <v/>
      </c>
      <c r="I1936">
        <f>IF(C1936="C99999",1,0)</f>
        <v/>
      </c>
      <c r="J1936" s="5">
        <f>IF(OR(H1936=1,I1936=1),0,IF(G1936="Credit",-F1936,F1936))</f>
        <v/>
      </c>
    </row>
    <row r="1937">
      <c r="A1937" t="inlineStr">
        <is>
          <t>2026-07-20</t>
        </is>
      </c>
      <c r="B1937" t="inlineStr">
        <is>
          <t>F273254</t>
        </is>
      </c>
      <c r="C1937" t="inlineStr">
        <is>
          <t>C10692</t>
        </is>
      </c>
      <c r="D1937" t="inlineStr">
        <is>
          <t>SKU-10024</t>
        </is>
      </c>
      <c r="E1937" t="inlineStr">
        <is>
          <t>AM09</t>
        </is>
      </c>
      <c r="F1937" s="5" t="n">
        <v>7023.31</v>
      </c>
      <c r="G1937">
        <f>IF(LEFT(B1937,1)="C","Credit","Factuur")</f>
        <v/>
      </c>
      <c r="H1937">
        <f>IF(AND(B1937=B1936,D1937=D1936,A1937=A1936,F1937=F1936),1,0)</f>
        <v/>
      </c>
      <c r="I1937">
        <f>IF(C1937="C99999",1,0)</f>
        <v/>
      </c>
      <c r="J1937" s="5">
        <f>IF(OR(H1937=1,I1937=1),0,IF(G1937="Credit",-F1937,F1937))</f>
        <v/>
      </c>
    </row>
    <row r="1938">
      <c r="A1938" t="inlineStr">
        <is>
          <t>2026-07-20</t>
        </is>
      </c>
      <c r="B1938" t="inlineStr">
        <is>
          <t>F273254</t>
        </is>
      </c>
      <c r="C1938" t="inlineStr">
        <is>
          <t>C10692</t>
        </is>
      </c>
      <c r="D1938" t="inlineStr">
        <is>
          <t>SKU-10228</t>
        </is>
      </c>
      <c r="E1938" t="inlineStr">
        <is>
          <t>AM09</t>
        </is>
      </c>
      <c r="F1938" s="5" t="n">
        <v>7015.67</v>
      </c>
      <c r="G1938">
        <f>IF(LEFT(B1938,1)="C","Credit","Factuur")</f>
        <v/>
      </c>
      <c r="H1938">
        <f>IF(AND(B1938=B1937,D1938=D1937,A1938=A1937,F1938=F1937),1,0)</f>
        <v/>
      </c>
      <c r="I1938">
        <f>IF(C1938="C99999",1,0)</f>
        <v/>
      </c>
      <c r="J1938" s="5">
        <f>IF(OR(H1938=1,I1938=1),0,IF(G1938="Credit",-F1938,F1938))</f>
        <v/>
      </c>
    </row>
    <row r="1939">
      <c r="A1939" t="inlineStr">
        <is>
          <t>2026-07-20</t>
        </is>
      </c>
      <c r="B1939" t="inlineStr">
        <is>
          <t>F273254</t>
        </is>
      </c>
      <c r="C1939" t="inlineStr">
        <is>
          <t>C10692</t>
        </is>
      </c>
      <c r="D1939" t="inlineStr">
        <is>
          <t>SKU-10299</t>
        </is>
      </c>
      <c r="E1939" t="inlineStr">
        <is>
          <t>AM09</t>
        </is>
      </c>
      <c r="F1939" s="5" t="n">
        <v>6639.7</v>
      </c>
      <c r="G1939">
        <f>IF(LEFT(B1939,1)="C","Credit","Factuur")</f>
        <v/>
      </c>
      <c r="H1939">
        <f>IF(AND(B1939=B1938,D1939=D1938,A1939=A1938,F1939=F1938),1,0)</f>
        <v/>
      </c>
      <c r="I1939">
        <f>IF(C1939="C99999",1,0)</f>
        <v/>
      </c>
      <c r="J1939" s="5">
        <f>IF(OR(H1939=1,I1939=1),0,IF(G1939="Credit",-F1939,F1939))</f>
        <v/>
      </c>
    </row>
    <row r="1940">
      <c r="A1940" t="inlineStr">
        <is>
          <t>2026-07-20</t>
        </is>
      </c>
      <c r="B1940" t="inlineStr">
        <is>
          <t>F273254</t>
        </is>
      </c>
      <c r="C1940" t="inlineStr">
        <is>
          <t>C10692</t>
        </is>
      </c>
      <c r="D1940" t="inlineStr">
        <is>
          <t>SKU-10315</t>
        </is>
      </c>
      <c r="E1940" t="inlineStr">
        <is>
          <t>AM09</t>
        </is>
      </c>
      <c r="F1940" s="5" t="n">
        <v>6294.42</v>
      </c>
      <c r="G1940">
        <f>IF(LEFT(B1940,1)="C","Credit","Factuur")</f>
        <v/>
      </c>
      <c r="H1940">
        <f>IF(AND(B1940=B1939,D1940=D1939,A1940=A1939,F1940=F1939),1,0)</f>
        <v/>
      </c>
      <c r="I1940">
        <f>IF(C1940="C99999",1,0)</f>
        <v/>
      </c>
      <c r="J1940" s="5">
        <f>IF(OR(H1940=1,I1940=1),0,IF(G1940="Credit",-F1940,F1940))</f>
        <v/>
      </c>
    </row>
    <row r="1941">
      <c r="A1941" t="inlineStr">
        <is>
          <t>2026-07-20</t>
        </is>
      </c>
      <c r="B1941" t="inlineStr">
        <is>
          <t>F274132</t>
        </is>
      </c>
      <c r="C1941" t="inlineStr">
        <is>
          <t>C10747</t>
        </is>
      </c>
      <c r="D1941" t="inlineStr">
        <is>
          <t>SKU-10065</t>
        </is>
      </c>
      <c r="E1941" t="inlineStr">
        <is>
          <t>AM08</t>
        </is>
      </c>
      <c r="F1941" s="5" t="n">
        <v>361.57</v>
      </c>
      <c r="G1941">
        <f>IF(LEFT(B1941,1)="C","Credit","Factuur")</f>
        <v/>
      </c>
      <c r="H1941">
        <f>IF(AND(B1941=B1940,D1941=D1940,A1941=A1940,F1941=F1940),1,0)</f>
        <v/>
      </c>
      <c r="I1941">
        <f>IF(C1941="C99999",1,0)</f>
        <v/>
      </c>
      <c r="J1941" s="5">
        <f>IF(OR(H1941=1,I1941=1),0,IF(G1941="Credit",-F1941,F1941))</f>
        <v/>
      </c>
    </row>
    <row r="1942">
      <c r="A1942" t="inlineStr">
        <is>
          <t>2026-07-20</t>
        </is>
      </c>
      <c r="B1942" t="inlineStr">
        <is>
          <t>F274132</t>
        </is>
      </c>
      <c r="C1942" t="inlineStr">
        <is>
          <t>C10747</t>
        </is>
      </c>
      <c r="D1942" t="inlineStr">
        <is>
          <t>SKU-10229</t>
        </is>
      </c>
      <c r="E1942" t="inlineStr">
        <is>
          <t>AM08</t>
        </is>
      </c>
      <c r="F1942" s="5" t="n">
        <v>403.88</v>
      </c>
      <c r="G1942">
        <f>IF(LEFT(B1942,1)="C","Credit","Factuur")</f>
        <v/>
      </c>
      <c r="H1942">
        <f>IF(AND(B1942=B1941,D1942=D1941,A1942=A1941,F1942=F1941),1,0)</f>
        <v/>
      </c>
      <c r="I1942">
        <f>IF(C1942="C99999",1,0)</f>
        <v/>
      </c>
      <c r="J1942" s="5">
        <f>IF(OR(H1942=1,I1942=1),0,IF(G1942="Credit",-F1942,F1942))</f>
        <v/>
      </c>
    </row>
    <row r="1943">
      <c r="A1943" t="inlineStr">
        <is>
          <t>2026-07-20</t>
        </is>
      </c>
      <c r="B1943" t="inlineStr">
        <is>
          <t>F274132</t>
        </is>
      </c>
      <c r="C1943" t="inlineStr">
        <is>
          <t>C10747</t>
        </is>
      </c>
      <c r="D1943" t="inlineStr">
        <is>
          <t>SKU-10250</t>
        </is>
      </c>
      <c r="E1943" t="inlineStr">
        <is>
          <t>AM08</t>
        </is>
      </c>
      <c r="F1943" s="5" t="n">
        <v>345.93</v>
      </c>
      <c r="G1943">
        <f>IF(LEFT(B1943,1)="C","Credit","Factuur")</f>
        <v/>
      </c>
      <c r="H1943">
        <f>IF(AND(B1943=B1942,D1943=D1942,A1943=A1942,F1943=F1942),1,0)</f>
        <v/>
      </c>
      <c r="I1943">
        <f>IF(C1943="C99999",1,0)</f>
        <v/>
      </c>
      <c r="J1943" s="5">
        <f>IF(OR(H1943=1,I1943=1),0,IF(G1943="Credit",-F1943,F1943))</f>
        <v/>
      </c>
    </row>
    <row r="1944">
      <c r="A1944" t="inlineStr">
        <is>
          <t>2026-07-20</t>
        </is>
      </c>
      <c r="B1944" t="inlineStr">
        <is>
          <t>F274132</t>
        </is>
      </c>
      <c r="C1944" t="inlineStr">
        <is>
          <t>C10747</t>
        </is>
      </c>
      <c r="D1944" t="inlineStr">
        <is>
          <t>SKU-10345</t>
        </is>
      </c>
      <c r="E1944" t="inlineStr">
        <is>
          <t>AM08</t>
        </is>
      </c>
      <c r="F1944" s="5" t="n">
        <v>397.21</v>
      </c>
      <c r="G1944">
        <f>IF(LEFT(B1944,1)="C","Credit","Factuur")</f>
        <v/>
      </c>
      <c r="H1944">
        <f>IF(AND(B1944=B1943,D1944=D1943,A1944=A1943,F1944=F1943),1,0)</f>
        <v/>
      </c>
      <c r="I1944">
        <f>IF(C1944="C99999",1,0)</f>
        <v/>
      </c>
      <c r="J1944" s="5">
        <f>IF(OR(H1944=1,I1944=1),0,IF(G1944="Credit",-F1944,F1944))</f>
        <v/>
      </c>
    </row>
    <row r="1945">
      <c r="A1945" t="inlineStr">
        <is>
          <t>2026-07-20</t>
        </is>
      </c>
      <c r="B1945" t="inlineStr">
        <is>
          <t>F275005</t>
        </is>
      </c>
      <c r="C1945" t="inlineStr">
        <is>
          <t>C10792</t>
        </is>
      </c>
      <c r="D1945" t="inlineStr">
        <is>
          <t>SKU-10318</t>
        </is>
      </c>
      <c r="E1945" t="inlineStr">
        <is>
          <t>AM12</t>
        </is>
      </c>
      <c r="F1945" s="5" t="n">
        <v>2317.87</v>
      </c>
      <c r="G1945">
        <f>IF(LEFT(B1945,1)="C","Credit","Factuur")</f>
        <v/>
      </c>
      <c r="H1945">
        <f>IF(AND(B1945=B1944,D1945=D1944,A1945=A1944,F1945=F1944),1,0)</f>
        <v/>
      </c>
      <c r="I1945">
        <f>IF(C1945="C99999",1,0)</f>
        <v/>
      </c>
      <c r="J1945" s="5">
        <f>IF(OR(H1945=1,I1945=1),0,IF(G1945="Credit",-F1945,F1945))</f>
        <v/>
      </c>
    </row>
    <row r="1946">
      <c r="A1946" t="inlineStr">
        <is>
          <t>2026-07-20</t>
        </is>
      </c>
      <c r="B1946" t="inlineStr">
        <is>
          <t>F275683</t>
        </is>
      </c>
      <c r="C1946" t="inlineStr">
        <is>
          <t>C10830</t>
        </is>
      </c>
      <c r="D1946" t="inlineStr">
        <is>
          <t>SKU-10125</t>
        </is>
      </c>
      <c r="E1946" t="inlineStr">
        <is>
          <t>AM07</t>
        </is>
      </c>
      <c r="F1946" s="5" t="n">
        <v>1518.25</v>
      </c>
      <c r="G1946">
        <f>IF(LEFT(B1946,1)="C","Credit","Factuur")</f>
        <v/>
      </c>
      <c r="H1946">
        <f>IF(AND(B1946=B1945,D1946=D1945,A1946=A1945,F1946=F1945),1,0)</f>
        <v/>
      </c>
      <c r="I1946">
        <f>IF(C1946="C99999",1,0)</f>
        <v/>
      </c>
      <c r="J1946" s="5">
        <f>IF(OR(H1946=1,I1946=1),0,IF(G1946="Credit",-F1946,F1946))</f>
        <v/>
      </c>
    </row>
    <row r="1947">
      <c r="A1947" t="inlineStr">
        <is>
          <t>2026-07-20</t>
        </is>
      </c>
      <c r="B1947" t="inlineStr">
        <is>
          <t>F276245</t>
        </is>
      </c>
      <c r="C1947" t="inlineStr">
        <is>
          <t>C10861</t>
        </is>
      </c>
      <c r="D1947" t="inlineStr">
        <is>
          <t>SKU-10028</t>
        </is>
      </c>
      <c r="E1947" t="inlineStr">
        <is>
          <t>AM03</t>
        </is>
      </c>
      <c r="F1947" s="5" t="n">
        <v>274.93</v>
      </c>
      <c r="G1947">
        <f>IF(LEFT(B1947,1)="C","Credit","Factuur")</f>
        <v/>
      </c>
      <c r="H1947">
        <f>IF(AND(B1947=B1946,D1947=D1946,A1947=A1946,F1947=F1946),1,0)</f>
        <v/>
      </c>
      <c r="I1947">
        <f>IF(C1947="C99999",1,0)</f>
        <v/>
      </c>
      <c r="J1947" s="5">
        <f>IF(OR(H1947=1,I1947=1),0,IF(G1947="Credit",-F1947,F1947))</f>
        <v/>
      </c>
    </row>
    <row r="1948">
      <c r="A1948" t="inlineStr">
        <is>
          <t>2026-07-20</t>
        </is>
      </c>
      <c r="B1948" t="inlineStr">
        <is>
          <t>F276245</t>
        </is>
      </c>
      <c r="C1948" t="inlineStr">
        <is>
          <t>C10861</t>
        </is>
      </c>
      <c r="D1948" t="inlineStr">
        <is>
          <t>SKU-10059</t>
        </is>
      </c>
      <c r="E1948" t="inlineStr">
        <is>
          <t>AM03</t>
        </is>
      </c>
      <c r="F1948" s="5" t="n">
        <v>252.76</v>
      </c>
      <c r="G1948">
        <f>IF(LEFT(B1948,1)="C","Credit","Factuur")</f>
        <v/>
      </c>
      <c r="H1948">
        <f>IF(AND(B1948=B1947,D1948=D1947,A1948=A1947,F1948=F1947),1,0)</f>
        <v/>
      </c>
      <c r="I1948">
        <f>IF(C1948="C99999",1,0)</f>
        <v/>
      </c>
      <c r="J1948" s="5">
        <f>IF(OR(H1948=1,I1948=1),0,IF(G1948="Credit",-F1948,F1948))</f>
        <v/>
      </c>
    </row>
    <row r="1949">
      <c r="A1949" t="inlineStr">
        <is>
          <t>2026-07-20</t>
        </is>
      </c>
      <c r="B1949" t="inlineStr">
        <is>
          <t>F276245</t>
        </is>
      </c>
      <c r="C1949" t="inlineStr">
        <is>
          <t>C10861</t>
        </is>
      </c>
      <c r="D1949" t="inlineStr">
        <is>
          <t>SKU-10106</t>
        </is>
      </c>
      <c r="E1949" t="inlineStr">
        <is>
          <t>AM03</t>
        </is>
      </c>
      <c r="F1949" s="5" t="n">
        <v>294.4</v>
      </c>
      <c r="G1949">
        <f>IF(LEFT(B1949,1)="C","Credit","Factuur")</f>
        <v/>
      </c>
      <c r="H1949">
        <f>IF(AND(B1949=B1948,D1949=D1948,A1949=A1948,F1949=F1948),1,0)</f>
        <v/>
      </c>
      <c r="I1949">
        <f>IF(C1949="C99999",1,0)</f>
        <v/>
      </c>
      <c r="J1949" s="5">
        <f>IF(OR(H1949=1,I1949=1),0,IF(G1949="Credit",-F1949,F1949))</f>
        <v/>
      </c>
    </row>
    <row r="1950">
      <c r="A1950" t="inlineStr">
        <is>
          <t>2026-07-20</t>
        </is>
      </c>
      <c r="B1950" t="inlineStr">
        <is>
          <t>F276245</t>
        </is>
      </c>
      <c r="C1950" t="inlineStr">
        <is>
          <t>C10861</t>
        </is>
      </c>
      <c r="D1950" t="inlineStr">
        <is>
          <t>SKU-10309</t>
        </is>
      </c>
      <c r="E1950" t="inlineStr">
        <is>
          <t>AM03</t>
        </is>
      </c>
      <c r="F1950" s="5" t="n">
        <v>284.65</v>
      </c>
      <c r="G1950">
        <f>IF(LEFT(B1950,1)="C","Credit","Factuur")</f>
        <v/>
      </c>
      <c r="H1950">
        <f>IF(AND(B1950=B1949,D1950=D1949,A1950=A1949,F1950=F1949),1,0)</f>
        <v/>
      </c>
      <c r="I1950">
        <f>IF(C1950="C99999",1,0)</f>
        <v/>
      </c>
      <c r="J1950" s="5">
        <f>IF(OR(H1950=1,I1950=1),0,IF(G1950="Credit",-F1950,F1950))</f>
        <v/>
      </c>
    </row>
    <row r="1951">
      <c r="A1951" t="inlineStr">
        <is>
          <t>2026-07-20</t>
        </is>
      </c>
      <c r="B1951" t="inlineStr">
        <is>
          <t>F276245</t>
        </is>
      </c>
      <c r="C1951" t="inlineStr">
        <is>
          <t>C10861</t>
        </is>
      </c>
      <c r="D1951" t="inlineStr">
        <is>
          <t>SKU-10333</t>
        </is>
      </c>
      <c r="E1951" t="inlineStr">
        <is>
          <t>AM03</t>
        </is>
      </c>
      <c r="F1951" s="5" t="n">
        <v>274.43</v>
      </c>
      <c r="G1951">
        <f>IF(LEFT(B1951,1)="C","Credit","Factuur")</f>
        <v/>
      </c>
      <c r="H1951">
        <f>IF(AND(B1951=B1950,D1951=D1950,A1951=A1950,F1951=F1950),1,0)</f>
        <v/>
      </c>
      <c r="I1951">
        <f>IF(C1951="C99999",1,0)</f>
        <v/>
      </c>
      <c r="J1951" s="5">
        <f>IF(OR(H1951=1,I1951=1),0,IF(G1951="Credit",-F1951,F1951))</f>
        <v/>
      </c>
    </row>
    <row r="1952">
      <c r="A1952" t="inlineStr">
        <is>
          <t>2026-07-20</t>
        </is>
      </c>
      <c r="B1952" t="inlineStr">
        <is>
          <t>F277269</t>
        </is>
      </c>
      <c r="C1952" t="inlineStr">
        <is>
          <t>C10918</t>
        </is>
      </c>
      <c r="D1952" t="inlineStr">
        <is>
          <t>SKU-10310</t>
        </is>
      </c>
      <c r="E1952" t="inlineStr"/>
      <c r="F1952" s="5" t="n">
        <v>2239</v>
      </c>
      <c r="G1952">
        <f>IF(LEFT(B1952,1)="C","Credit","Factuur")</f>
        <v/>
      </c>
      <c r="H1952">
        <f>IF(AND(B1952=B1951,D1952=D1951,A1952=A1951,F1952=F1951),1,0)</f>
        <v/>
      </c>
      <c r="I1952">
        <f>IF(C1952="C99999",1,0)</f>
        <v/>
      </c>
      <c r="J1952" s="5">
        <f>IF(OR(H1952=1,I1952=1),0,IF(G1952="Credit",-F1952,F1952))</f>
        <v/>
      </c>
    </row>
    <row r="1953">
      <c r="A1953" t="inlineStr">
        <is>
          <t>2026-07-20</t>
        </is>
      </c>
      <c r="B1953" t="inlineStr">
        <is>
          <t>F278050</t>
        </is>
      </c>
      <c r="C1953" t="inlineStr">
        <is>
          <t>C10958</t>
        </is>
      </c>
      <c r="D1953" t="inlineStr">
        <is>
          <t>SKU-10069</t>
        </is>
      </c>
      <c r="E1953" t="inlineStr">
        <is>
          <t>AM12</t>
        </is>
      </c>
      <c r="F1953" s="5" t="n">
        <v>364.68</v>
      </c>
      <c r="G1953">
        <f>IF(LEFT(B1953,1)="C","Credit","Factuur")</f>
        <v/>
      </c>
      <c r="H1953">
        <f>IF(AND(B1953=B1952,D1953=D1952,A1953=A1952,F1953=F1952),1,0)</f>
        <v/>
      </c>
      <c r="I1953">
        <f>IF(C1953="C99999",1,0)</f>
        <v/>
      </c>
      <c r="J1953" s="5">
        <f>IF(OR(H1953=1,I1953=1),0,IF(G1953="Credit",-F1953,F1953))</f>
        <v/>
      </c>
    </row>
    <row r="1954">
      <c r="A1954" t="inlineStr">
        <is>
          <t>2026-07-20</t>
        </is>
      </c>
      <c r="B1954" t="inlineStr">
        <is>
          <t>F278050</t>
        </is>
      </c>
      <c r="C1954" t="inlineStr">
        <is>
          <t>C10958</t>
        </is>
      </c>
      <c r="D1954" t="inlineStr">
        <is>
          <t>SKU-10232</t>
        </is>
      </c>
      <c r="E1954" t="inlineStr">
        <is>
          <t>AM12</t>
        </is>
      </c>
      <c r="F1954" s="5" t="n">
        <v>419.52</v>
      </c>
      <c r="G1954">
        <f>IF(LEFT(B1954,1)="C","Credit","Factuur")</f>
        <v/>
      </c>
      <c r="H1954">
        <f>IF(AND(B1954=B1953,D1954=D1953,A1954=A1953,F1954=F1953),1,0)</f>
        <v/>
      </c>
      <c r="I1954">
        <f>IF(C1954="C99999",1,0)</f>
        <v/>
      </c>
      <c r="J1954" s="5">
        <f>IF(OR(H1954=1,I1954=1),0,IF(G1954="Credit",-F1954,F1954))</f>
        <v/>
      </c>
    </row>
    <row r="1955">
      <c r="A1955" t="inlineStr">
        <is>
          <t>2026-07-20</t>
        </is>
      </c>
      <c r="B1955" t="inlineStr">
        <is>
          <t>F278050</t>
        </is>
      </c>
      <c r="C1955" t="inlineStr">
        <is>
          <t>C10958</t>
        </is>
      </c>
      <c r="D1955" t="inlineStr">
        <is>
          <t>SKU-10360</t>
        </is>
      </c>
      <c r="E1955" t="inlineStr">
        <is>
          <t>AM12</t>
        </is>
      </c>
      <c r="F1955" s="5" t="n">
        <v>346.09</v>
      </c>
      <c r="G1955">
        <f>IF(LEFT(B1955,1)="C","Credit","Factuur")</f>
        <v/>
      </c>
      <c r="H1955">
        <f>IF(AND(B1955=B1954,D1955=D1954,A1955=A1954,F1955=F1954),1,0)</f>
        <v/>
      </c>
      <c r="I1955">
        <f>IF(C1955="C99999",1,0)</f>
        <v/>
      </c>
      <c r="J1955" s="5">
        <f>IF(OR(H1955=1,I1955=1),0,IF(G1955="Credit",-F1955,F1955))</f>
        <v/>
      </c>
    </row>
    <row r="1956">
      <c r="A1956" t="inlineStr">
        <is>
          <t>2026-07-20</t>
        </is>
      </c>
      <c r="B1956" t="inlineStr">
        <is>
          <t>F278111</t>
        </is>
      </c>
      <c r="C1956" t="inlineStr">
        <is>
          <t>C10963</t>
        </is>
      </c>
      <c r="D1956" t="inlineStr">
        <is>
          <t>SKU-10158</t>
        </is>
      </c>
      <c r="E1956" t="inlineStr">
        <is>
          <t>AM07</t>
        </is>
      </c>
      <c r="F1956" s="5" t="n">
        <v>425.35</v>
      </c>
      <c r="G1956">
        <f>IF(LEFT(B1956,1)="C","Credit","Factuur")</f>
        <v/>
      </c>
      <c r="H1956">
        <f>IF(AND(B1956=B1955,D1956=D1955,A1956=A1955,F1956=F1955),1,0)</f>
        <v/>
      </c>
      <c r="I1956">
        <f>IF(C1956="C99999",1,0)</f>
        <v/>
      </c>
      <c r="J1956" s="5">
        <f>IF(OR(H1956=1,I1956=1),0,IF(G1956="Credit",-F1956,F1956))</f>
        <v/>
      </c>
    </row>
    <row r="1957">
      <c r="A1957" t="inlineStr">
        <is>
          <t>2026-07-20</t>
        </is>
      </c>
      <c r="B1957" t="inlineStr">
        <is>
          <t>F278111</t>
        </is>
      </c>
      <c r="C1957" t="inlineStr">
        <is>
          <t>C10963</t>
        </is>
      </c>
      <c r="D1957" t="inlineStr">
        <is>
          <t>SKU-10191</t>
        </is>
      </c>
      <c r="E1957" t="inlineStr">
        <is>
          <t>AM07</t>
        </is>
      </c>
      <c r="F1957" s="5" t="n">
        <v>422.79</v>
      </c>
      <c r="G1957">
        <f>IF(LEFT(B1957,1)="C","Credit","Factuur")</f>
        <v/>
      </c>
      <c r="H1957">
        <f>IF(AND(B1957=B1956,D1957=D1956,A1957=A1956,F1957=F1956),1,0)</f>
        <v/>
      </c>
      <c r="I1957">
        <f>IF(C1957="C99999",1,0)</f>
        <v/>
      </c>
      <c r="J1957" s="5">
        <f>IF(OR(H1957=1,I1957=1),0,IF(G1957="Credit",-F1957,F1957))</f>
        <v/>
      </c>
    </row>
    <row r="1958">
      <c r="A1958" t="inlineStr">
        <is>
          <t>2026-07-20</t>
        </is>
      </c>
      <c r="B1958" t="inlineStr">
        <is>
          <t>F278111</t>
        </is>
      </c>
      <c r="C1958" t="inlineStr">
        <is>
          <t>C10963</t>
        </is>
      </c>
      <c r="D1958" t="inlineStr">
        <is>
          <t>SKU-10210</t>
        </is>
      </c>
      <c r="E1958" t="inlineStr">
        <is>
          <t>AM07</t>
        </is>
      </c>
      <c r="F1958" s="5" t="n">
        <v>387.77</v>
      </c>
      <c r="G1958">
        <f>IF(LEFT(B1958,1)="C","Credit","Factuur")</f>
        <v/>
      </c>
      <c r="H1958">
        <f>IF(AND(B1958=B1957,D1958=D1957,A1958=A1957,F1958=F1957),1,0)</f>
        <v/>
      </c>
      <c r="I1958">
        <f>IF(C1958="C99999",1,0)</f>
        <v/>
      </c>
      <c r="J1958" s="5">
        <f>IF(OR(H1958=1,I1958=1),0,IF(G1958="Credit",-F1958,F1958))</f>
        <v/>
      </c>
    </row>
    <row r="1959">
      <c r="A1959" t="inlineStr">
        <is>
          <t>2026-07-20</t>
        </is>
      </c>
      <c r="B1959" t="inlineStr">
        <is>
          <t>F278111</t>
        </is>
      </c>
      <c r="C1959" t="inlineStr">
        <is>
          <t>C10963</t>
        </is>
      </c>
      <c r="D1959" t="inlineStr">
        <is>
          <t>SKU-10251</t>
        </is>
      </c>
      <c r="E1959" t="inlineStr">
        <is>
          <t>AM07</t>
        </is>
      </c>
      <c r="F1959" s="5" t="n">
        <v>353.63</v>
      </c>
      <c r="G1959">
        <f>IF(LEFT(B1959,1)="C","Credit","Factuur")</f>
        <v/>
      </c>
      <c r="H1959">
        <f>IF(AND(B1959=B1958,D1959=D1958,A1959=A1958,F1959=F1958),1,0)</f>
        <v/>
      </c>
      <c r="I1959">
        <f>IF(C1959="C99999",1,0)</f>
        <v/>
      </c>
      <c r="J1959" s="5">
        <f>IF(OR(H1959=1,I1959=1),0,IF(G1959="Credit",-F1959,F1959))</f>
        <v/>
      </c>
    </row>
    <row r="1960">
      <c r="A1960" t="inlineStr">
        <is>
          <t>2026-07-20</t>
        </is>
      </c>
      <c r="B1960" t="inlineStr">
        <is>
          <t>F278616</t>
        </is>
      </c>
      <c r="C1960" t="inlineStr">
        <is>
          <t>C10987</t>
        </is>
      </c>
      <c r="D1960" t="inlineStr">
        <is>
          <t>SKU-10100</t>
        </is>
      </c>
      <c r="E1960" t="inlineStr">
        <is>
          <t>AM06</t>
        </is>
      </c>
      <c r="F1960" s="5" t="n">
        <v>822.51</v>
      </c>
      <c r="G1960">
        <f>IF(LEFT(B1960,1)="C","Credit","Factuur")</f>
        <v/>
      </c>
      <c r="H1960">
        <f>IF(AND(B1960=B1959,D1960=D1959,A1960=A1959,F1960=F1959),1,0)</f>
        <v/>
      </c>
      <c r="I1960">
        <f>IF(C1960="C99999",1,0)</f>
        <v/>
      </c>
      <c r="J1960" s="5">
        <f>IF(OR(H1960=1,I1960=1),0,IF(G1960="Credit",-F1960,F1960))</f>
        <v/>
      </c>
    </row>
    <row r="1961">
      <c r="A1961" t="inlineStr">
        <is>
          <t>2026-07-20</t>
        </is>
      </c>
      <c r="B1961" t="inlineStr">
        <is>
          <t>F279228</t>
        </is>
      </c>
      <c r="C1961" t="inlineStr">
        <is>
          <t>C11021</t>
        </is>
      </c>
      <c r="D1961" t="inlineStr">
        <is>
          <t>SKU-10015</t>
        </is>
      </c>
      <c r="E1961" t="inlineStr">
        <is>
          <t>AM05</t>
        </is>
      </c>
      <c r="F1961" s="5" t="n">
        <v>419.72</v>
      </c>
      <c r="G1961">
        <f>IF(LEFT(B1961,1)="C","Credit","Factuur")</f>
        <v/>
      </c>
      <c r="H1961">
        <f>IF(AND(B1961=B1960,D1961=D1960,A1961=A1960,F1961=F1960),1,0)</f>
        <v/>
      </c>
      <c r="I1961">
        <f>IF(C1961="C99999",1,0)</f>
        <v/>
      </c>
      <c r="J1961" s="5">
        <f>IF(OR(H1961=1,I1961=1),0,IF(G1961="Credit",-F1961,F1961))</f>
        <v/>
      </c>
    </row>
    <row r="1962">
      <c r="A1962" t="inlineStr">
        <is>
          <t>2026-07-20</t>
        </is>
      </c>
      <c r="B1962" t="inlineStr">
        <is>
          <t>F279228</t>
        </is>
      </c>
      <c r="C1962" t="inlineStr">
        <is>
          <t>C11021</t>
        </is>
      </c>
      <c r="D1962" t="inlineStr">
        <is>
          <t>SKU-10373</t>
        </is>
      </c>
      <c r="E1962" t="inlineStr">
        <is>
          <t>AM05</t>
        </is>
      </c>
      <c r="F1962" s="5" t="n">
        <v>323.17</v>
      </c>
      <c r="G1962">
        <f>IF(LEFT(B1962,1)="C","Credit","Factuur")</f>
        <v/>
      </c>
      <c r="H1962">
        <f>IF(AND(B1962=B1961,D1962=D1961,A1962=A1961,F1962=F1961),1,0)</f>
        <v/>
      </c>
      <c r="I1962">
        <f>IF(C1962="C99999",1,0)</f>
        <v/>
      </c>
      <c r="J1962" s="5">
        <f>IF(OR(H1962=1,I1962=1),0,IF(G1962="Credit",-F1962,F1962))</f>
        <v/>
      </c>
    </row>
    <row r="1963">
      <c r="A1963" t="inlineStr">
        <is>
          <t>2026-07-20</t>
        </is>
      </c>
      <c r="B1963" t="inlineStr">
        <is>
          <t>F279228</t>
        </is>
      </c>
      <c r="C1963" t="inlineStr">
        <is>
          <t>C11021</t>
        </is>
      </c>
      <c r="D1963" t="inlineStr">
        <is>
          <t>SKU-10379</t>
        </is>
      </c>
      <c r="E1963" t="inlineStr">
        <is>
          <t>AM05</t>
        </is>
      </c>
      <c r="F1963" s="5" t="n">
        <v>487.74</v>
      </c>
      <c r="G1963">
        <f>IF(LEFT(B1963,1)="C","Credit","Factuur")</f>
        <v/>
      </c>
      <c r="H1963">
        <f>IF(AND(B1963=B1962,D1963=D1962,A1963=A1962,F1963=F1962),1,0)</f>
        <v/>
      </c>
      <c r="I1963">
        <f>IF(C1963="C99999",1,0)</f>
        <v/>
      </c>
      <c r="J1963" s="5">
        <f>IF(OR(H1963=1,I1963=1),0,IF(G1963="Credit",-F1963,F1963))</f>
        <v/>
      </c>
    </row>
    <row r="1964">
      <c r="A1964" t="inlineStr">
        <is>
          <t>2026-07-20</t>
        </is>
      </c>
      <c r="B1964" t="inlineStr">
        <is>
          <t>F281279</t>
        </is>
      </c>
      <c r="C1964" t="inlineStr">
        <is>
          <t>C11122</t>
        </is>
      </c>
      <c r="D1964" t="inlineStr">
        <is>
          <t>SKU-10324</t>
        </is>
      </c>
      <c r="E1964" t="inlineStr">
        <is>
          <t>AM05</t>
        </is>
      </c>
      <c r="F1964" s="5" t="n">
        <v>3084.24</v>
      </c>
      <c r="G1964">
        <f>IF(LEFT(B1964,1)="C","Credit","Factuur")</f>
        <v/>
      </c>
      <c r="H1964">
        <f>IF(AND(B1964=B1963,D1964=D1963,A1964=A1963,F1964=F1963),1,0)</f>
        <v/>
      </c>
      <c r="I1964">
        <f>IF(C1964="C99999",1,0)</f>
        <v/>
      </c>
      <c r="J1964" s="5">
        <f>IF(OR(H1964=1,I1964=1),0,IF(G1964="Credit",-F1964,F1964))</f>
        <v/>
      </c>
    </row>
    <row r="1965">
      <c r="A1965" t="inlineStr">
        <is>
          <t>2026-07-20</t>
        </is>
      </c>
      <c r="B1965" t="inlineStr">
        <is>
          <t>F281997</t>
        </is>
      </c>
      <c r="C1965" t="inlineStr">
        <is>
          <t>C11156</t>
        </is>
      </c>
      <c r="D1965" t="inlineStr">
        <is>
          <t>SKU-10030</t>
        </is>
      </c>
      <c r="E1965" t="inlineStr">
        <is>
          <t>AM01</t>
        </is>
      </c>
      <c r="F1965" s="5" t="n">
        <v>692.4400000000001</v>
      </c>
      <c r="G1965">
        <f>IF(LEFT(B1965,1)="C","Credit","Factuur")</f>
        <v/>
      </c>
      <c r="H1965">
        <f>IF(AND(B1965=B1964,D1965=D1964,A1965=A1964,F1965=F1964),1,0)</f>
        <v/>
      </c>
      <c r="I1965">
        <f>IF(C1965="C99999",1,0)</f>
        <v/>
      </c>
      <c r="J1965" s="5">
        <f>IF(OR(H1965=1,I1965=1),0,IF(G1965="Credit",-F1965,F1965))</f>
        <v/>
      </c>
    </row>
    <row r="1966">
      <c r="A1966" t="inlineStr">
        <is>
          <t>2026-07-20</t>
        </is>
      </c>
      <c r="B1966" t="inlineStr">
        <is>
          <t>F281997</t>
        </is>
      </c>
      <c r="C1966" t="inlineStr">
        <is>
          <t>C11156</t>
        </is>
      </c>
      <c r="D1966" t="inlineStr">
        <is>
          <t>SKU-10079</t>
        </is>
      </c>
      <c r="E1966" t="inlineStr">
        <is>
          <t>AM01</t>
        </is>
      </c>
      <c r="F1966" s="5" t="n">
        <v>582.05</v>
      </c>
      <c r="G1966">
        <f>IF(LEFT(B1966,1)="C","Credit","Factuur")</f>
        <v/>
      </c>
      <c r="H1966">
        <f>IF(AND(B1966=B1965,D1966=D1965,A1966=A1965,F1966=F1965),1,0)</f>
        <v/>
      </c>
      <c r="I1966">
        <f>IF(C1966="C99999",1,0)</f>
        <v/>
      </c>
      <c r="J1966" s="5">
        <f>IF(OR(H1966=1,I1966=1),0,IF(G1966="Credit",-F1966,F1966))</f>
        <v/>
      </c>
    </row>
    <row r="1967">
      <c r="A1967" t="inlineStr">
        <is>
          <t>2026-07-20</t>
        </is>
      </c>
      <c r="B1967" t="inlineStr">
        <is>
          <t>F281997</t>
        </is>
      </c>
      <c r="C1967" t="inlineStr">
        <is>
          <t>C11156</t>
        </is>
      </c>
      <c r="D1967" t="inlineStr">
        <is>
          <t>SKU-10168</t>
        </is>
      </c>
      <c r="E1967" t="inlineStr">
        <is>
          <t>AM01</t>
        </is>
      </c>
      <c r="F1967" s="5" t="n">
        <v>695.6</v>
      </c>
      <c r="G1967">
        <f>IF(LEFT(B1967,1)="C","Credit","Factuur")</f>
        <v/>
      </c>
      <c r="H1967">
        <f>IF(AND(B1967=B1966,D1967=D1966,A1967=A1966,F1967=F1966),1,0)</f>
        <v/>
      </c>
      <c r="I1967">
        <f>IF(C1967="C99999",1,0)</f>
        <v/>
      </c>
      <c r="J1967" s="5">
        <f>IF(OR(H1967=1,I1967=1),0,IF(G1967="Credit",-F1967,F1967))</f>
        <v/>
      </c>
    </row>
    <row r="1968">
      <c r="A1968" t="inlineStr">
        <is>
          <t>2026-07-20</t>
        </is>
      </c>
      <c r="B1968" t="inlineStr">
        <is>
          <t>F281997</t>
        </is>
      </c>
      <c r="C1968" t="inlineStr">
        <is>
          <t>C11156</t>
        </is>
      </c>
      <c r="D1968" t="inlineStr">
        <is>
          <t>SKU-10191</t>
        </is>
      </c>
      <c r="E1968" t="inlineStr">
        <is>
          <t>AM01</t>
        </is>
      </c>
      <c r="F1968" s="5" t="n">
        <v>661.54</v>
      </c>
      <c r="G1968">
        <f>IF(LEFT(B1968,1)="C","Credit","Factuur")</f>
        <v/>
      </c>
      <c r="H1968">
        <f>IF(AND(B1968=B1967,D1968=D1967,A1968=A1967,F1968=F1967),1,0)</f>
        <v/>
      </c>
      <c r="I1968">
        <f>IF(C1968="C99999",1,0)</f>
        <v/>
      </c>
      <c r="J1968" s="5">
        <f>IF(OR(H1968=1,I1968=1),0,IF(G1968="Credit",-F1968,F1968))</f>
        <v/>
      </c>
    </row>
    <row r="1969">
      <c r="A1969" t="inlineStr">
        <is>
          <t>2026-07-20</t>
        </is>
      </c>
      <c r="B1969" t="inlineStr">
        <is>
          <t>F281997</t>
        </is>
      </c>
      <c r="C1969" t="inlineStr">
        <is>
          <t>C11156</t>
        </is>
      </c>
      <c r="D1969" t="inlineStr">
        <is>
          <t>SKU-10279</t>
        </is>
      </c>
      <c r="E1969" t="inlineStr">
        <is>
          <t>AM01</t>
        </is>
      </c>
      <c r="F1969" s="5" t="n">
        <v>696.36</v>
      </c>
      <c r="G1969">
        <f>IF(LEFT(B1969,1)="C","Credit","Factuur")</f>
        <v/>
      </c>
      <c r="H1969">
        <f>IF(AND(B1969=B1968,D1969=D1968,A1969=A1968,F1969=F1968),1,0)</f>
        <v/>
      </c>
      <c r="I1969">
        <f>IF(C1969="C99999",1,0)</f>
        <v/>
      </c>
      <c r="J1969" s="5">
        <f>IF(OR(H1969=1,I1969=1),0,IF(G1969="Credit",-F1969,F1969))</f>
        <v/>
      </c>
    </row>
    <row r="1970">
      <c r="A1970" t="inlineStr">
        <is>
          <t>2026-07-20</t>
        </is>
      </c>
      <c r="B1970" t="inlineStr">
        <is>
          <t>F282786</t>
        </is>
      </c>
      <c r="C1970" t="inlineStr">
        <is>
          <t>C11197</t>
        </is>
      </c>
      <c r="D1970" t="inlineStr">
        <is>
          <t>SKU-10137</t>
        </is>
      </c>
      <c r="E1970" t="inlineStr">
        <is>
          <t>AM12</t>
        </is>
      </c>
      <c r="F1970" s="5" t="n">
        <v>96.84999999999999</v>
      </c>
      <c r="G1970">
        <f>IF(LEFT(B1970,1)="C","Credit","Factuur")</f>
        <v/>
      </c>
      <c r="H1970">
        <f>IF(AND(B1970=B1969,D1970=D1969,A1970=A1969,F1970=F1969),1,0)</f>
        <v/>
      </c>
      <c r="I1970">
        <f>IF(C1970="C99999",1,0)</f>
        <v/>
      </c>
      <c r="J1970" s="5">
        <f>IF(OR(H1970=1,I1970=1),0,IF(G1970="Credit",-F1970,F1970))</f>
        <v/>
      </c>
    </row>
    <row r="1971">
      <c r="A1971" t="inlineStr">
        <is>
          <t>2026-07-20</t>
        </is>
      </c>
      <c r="B1971" t="inlineStr">
        <is>
          <t>F282786</t>
        </is>
      </c>
      <c r="C1971" t="inlineStr">
        <is>
          <t>C11197</t>
        </is>
      </c>
      <c r="D1971" t="inlineStr">
        <is>
          <t>SKU-10144</t>
        </is>
      </c>
      <c r="E1971" t="inlineStr">
        <is>
          <t>AM12</t>
        </is>
      </c>
      <c r="F1971" s="5" t="n">
        <v>112.5</v>
      </c>
      <c r="G1971">
        <f>IF(LEFT(B1971,1)="C","Credit","Factuur")</f>
        <v/>
      </c>
      <c r="H1971">
        <f>IF(AND(B1971=B1970,D1971=D1970,A1971=A1970,F1971=F1970),1,0)</f>
        <v/>
      </c>
      <c r="I1971">
        <f>IF(C1971="C99999",1,0)</f>
        <v/>
      </c>
      <c r="J1971" s="5">
        <f>IF(OR(H1971=1,I1971=1),0,IF(G1971="Credit",-F1971,F1971))</f>
        <v/>
      </c>
    </row>
    <row r="1972">
      <c r="A1972" t="inlineStr">
        <is>
          <t>2026-07-20</t>
        </is>
      </c>
      <c r="B1972" t="inlineStr">
        <is>
          <t>F282786</t>
        </is>
      </c>
      <c r="C1972" t="inlineStr">
        <is>
          <t>C11197</t>
        </is>
      </c>
      <c r="D1972" t="inlineStr">
        <is>
          <t>SKU-10159</t>
        </is>
      </c>
      <c r="E1972" t="inlineStr">
        <is>
          <t>AM12</t>
        </is>
      </c>
      <c r="F1972" s="5" t="n">
        <v>139.25</v>
      </c>
      <c r="G1972">
        <f>IF(LEFT(B1972,1)="C","Credit","Factuur")</f>
        <v/>
      </c>
      <c r="H1972">
        <f>IF(AND(B1972=B1971,D1972=D1971,A1972=A1971,F1972=F1971),1,0)</f>
        <v/>
      </c>
      <c r="I1972">
        <f>IF(C1972="C99999",1,0)</f>
        <v/>
      </c>
      <c r="J1972" s="5">
        <f>IF(OR(H1972=1,I1972=1),0,IF(G1972="Credit",-F1972,F1972))</f>
        <v/>
      </c>
    </row>
    <row r="1973">
      <c r="A1973" t="inlineStr">
        <is>
          <t>2026-07-20</t>
        </is>
      </c>
      <c r="B1973" t="inlineStr">
        <is>
          <t>F282786</t>
        </is>
      </c>
      <c r="C1973" t="inlineStr">
        <is>
          <t>C11197</t>
        </is>
      </c>
      <c r="D1973" t="inlineStr">
        <is>
          <t>SKU-10176</t>
        </is>
      </c>
      <c r="E1973" t="inlineStr">
        <is>
          <t>AM12</t>
        </is>
      </c>
      <c r="F1973" s="5" t="n">
        <v>141.12</v>
      </c>
      <c r="G1973">
        <f>IF(LEFT(B1973,1)="C","Credit","Factuur")</f>
        <v/>
      </c>
      <c r="H1973">
        <f>IF(AND(B1973=B1972,D1973=D1972,A1973=A1972,F1973=F1972),1,0)</f>
        <v/>
      </c>
      <c r="I1973">
        <f>IF(C1973="C99999",1,0)</f>
        <v/>
      </c>
      <c r="J1973" s="5">
        <f>IF(OR(H1973=1,I1973=1),0,IF(G1973="Credit",-F1973,F1973))</f>
        <v/>
      </c>
    </row>
    <row r="1974">
      <c r="A1974" t="inlineStr">
        <is>
          <t>2026-07-20</t>
        </is>
      </c>
      <c r="B1974" t="inlineStr">
        <is>
          <t>F282786</t>
        </is>
      </c>
      <c r="C1974" t="inlineStr">
        <is>
          <t>C11197</t>
        </is>
      </c>
      <c r="D1974" t="inlineStr">
        <is>
          <t>SKU-10190</t>
        </is>
      </c>
      <c r="E1974" t="inlineStr">
        <is>
          <t>AM12</t>
        </is>
      </c>
      <c r="F1974" s="5" t="n">
        <v>124.89</v>
      </c>
      <c r="G1974">
        <f>IF(LEFT(B1974,1)="C","Credit","Factuur")</f>
        <v/>
      </c>
      <c r="H1974">
        <f>IF(AND(B1974=B1973,D1974=D1973,A1974=A1973,F1974=F1973),1,0)</f>
        <v/>
      </c>
      <c r="I1974">
        <f>IF(C1974="C99999",1,0)</f>
        <v/>
      </c>
      <c r="J1974" s="5">
        <f>IF(OR(H1974=1,I1974=1),0,IF(G1974="Credit",-F1974,F1974))</f>
        <v/>
      </c>
    </row>
    <row r="1975">
      <c r="A1975" t="inlineStr">
        <is>
          <t>2026-07-20</t>
        </is>
      </c>
      <c r="B1975" t="inlineStr">
        <is>
          <t>F282786</t>
        </is>
      </c>
      <c r="C1975" t="inlineStr">
        <is>
          <t>C11197</t>
        </is>
      </c>
      <c r="D1975" t="inlineStr">
        <is>
          <t>SKU-10201</t>
        </is>
      </c>
      <c r="E1975" t="inlineStr">
        <is>
          <t>AM12</t>
        </is>
      </c>
      <c r="F1975" s="5" t="n">
        <v>133.2</v>
      </c>
      <c r="G1975">
        <f>IF(LEFT(B1975,1)="C","Credit","Factuur")</f>
        <v/>
      </c>
      <c r="H1975">
        <f>IF(AND(B1975=B1974,D1975=D1974,A1975=A1974,F1975=F1974),1,0)</f>
        <v/>
      </c>
      <c r="I1975">
        <f>IF(C1975="C99999",1,0)</f>
        <v/>
      </c>
      <c r="J1975" s="5">
        <f>IF(OR(H1975=1,I1975=1),0,IF(G1975="Credit",-F1975,F1975))</f>
        <v/>
      </c>
    </row>
    <row r="1976">
      <c r="A1976" t="inlineStr">
        <is>
          <t>2026-07-20</t>
        </is>
      </c>
      <c r="B1976" t="inlineStr">
        <is>
          <t>F282786</t>
        </is>
      </c>
      <c r="C1976" t="inlineStr">
        <is>
          <t>C11197</t>
        </is>
      </c>
      <c r="D1976" t="inlineStr">
        <is>
          <t>SKU-10269</t>
        </is>
      </c>
      <c r="E1976" t="inlineStr">
        <is>
          <t>AM12</t>
        </is>
      </c>
      <c r="F1976" s="5" t="n">
        <v>144.3</v>
      </c>
      <c r="G1976">
        <f>IF(LEFT(B1976,1)="C","Credit","Factuur")</f>
        <v/>
      </c>
      <c r="H1976">
        <f>IF(AND(B1976=B1975,D1976=D1975,A1976=A1975,F1976=F1975),1,0)</f>
        <v/>
      </c>
      <c r="I1976">
        <f>IF(C1976="C99999",1,0)</f>
        <v/>
      </c>
      <c r="J1976" s="5">
        <f>IF(OR(H1976=1,I1976=1),0,IF(G1976="Credit",-F1976,F1976))</f>
        <v/>
      </c>
    </row>
    <row r="1977">
      <c r="A1977" t="inlineStr">
        <is>
          <t>2026-07-20</t>
        </is>
      </c>
      <c r="B1977" t="inlineStr">
        <is>
          <t>F282786</t>
        </is>
      </c>
      <c r="C1977" t="inlineStr">
        <is>
          <t>C11197</t>
        </is>
      </c>
      <c r="D1977" t="inlineStr">
        <is>
          <t>SKU-10282</t>
        </is>
      </c>
      <c r="E1977" t="inlineStr">
        <is>
          <t>AM12</t>
        </is>
      </c>
      <c r="F1977" s="5" t="n">
        <v>130.2</v>
      </c>
      <c r="G1977">
        <f>IF(LEFT(B1977,1)="C","Credit","Factuur")</f>
        <v/>
      </c>
      <c r="H1977">
        <f>IF(AND(B1977=B1976,D1977=D1976,A1977=A1976,F1977=F1976),1,0)</f>
        <v/>
      </c>
      <c r="I1977">
        <f>IF(C1977="C99999",1,0)</f>
        <v/>
      </c>
      <c r="J1977" s="5">
        <f>IF(OR(H1977=1,I1977=1),0,IF(G1977="Credit",-F1977,F1977))</f>
        <v/>
      </c>
    </row>
    <row r="1978">
      <c r="A1978" t="inlineStr">
        <is>
          <t>2026-07-20</t>
        </is>
      </c>
      <c r="B1978" t="inlineStr">
        <is>
          <t>F282786</t>
        </is>
      </c>
      <c r="C1978" t="inlineStr">
        <is>
          <t>C11197</t>
        </is>
      </c>
      <c r="D1978" t="inlineStr">
        <is>
          <t>SKU-10317</t>
        </is>
      </c>
      <c r="E1978" t="inlineStr">
        <is>
          <t>AM12</t>
        </is>
      </c>
      <c r="F1978" s="5" t="n">
        <v>138.55</v>
      </c>
      <c r="G1978">
        <f>IF(LEFT(B1978,1)="C","Credit","Factuur")</f>
        <v/>
      </c>
      <c r="H1978">
        <f>IF(AND(B1978=B1977,D1978=D1977,A1978=A1977,F1978=F1977),1,0)</f>
        <v/>
      </c>
      <c r="I1978">
        <f>IF(C1978="C99999",1,0)</f>
        <v/>
      </c>
      <c r="J1978" s="5">
        <f>IF(OR(H1978=1,I1978=1),0,IF(G1978="Credit",-F1978,F1978))</f>
        <v/>
      </c>
    </row>
    <row r="1979">
      <c r="A1979" t="inlineStr">
        <is>
          <t>2026-07-20</t>
        </is>
      </c>
      <c r="B1979" t="inlineStr">
        <is>
          <t>F284310</t>
        </is>
      </c>
      <c r="C1979" t="inlineStr">
        <is>
          <t>C11272</t>
        </is>
      </c>
      <c r="D1979" t="inlineStr">
        <is>
          <t>SKU-10215</t>
        </is>
      </c>
      <c r="E1979" t="inlineStr">
        <is>
          <t>AM07</t>
        </is>
      </c>
      <c r="F1979" s="5" t="n">
        <v>118.86</v>
      </c>
      <c r="G1979">
        <f>IF(LEFT(B1979,1)="C","Credit","Factuur")</f>
        <v/>
      </c>
      <c r="H1979">
        <f>IF(AND(B1979=B1978,D1979=D1978,A1979=A1978,F1979=F1978),1,0)</f>
        <v/>
      </c>
      <c r="I1979">
        <f>IF(C1979="C99999",1,0)</f>
        <v/>
      </c>
      <c r="J1979" s="5">
        <f>IF(OR(H1979=1,I1979=1),0,IF(G1979="Credit",-F1979,F1979))</f>
        <v/>
      </c>
    </row>
    <row r="1980">
      <c r="A1980" t="inlineStr">
        <is>
          <t>2026-07-20</t>
        </is>
      </c>
      <c r="B1980" t="inlineStr">
        <is>
          <t>F284310</t>
        </is>
      </c>
      <c r="C1980" t="inlineStr">
        <is>
          <t>C11272</t>
        </is>
      </c>
      <c r="D1980" t="inlineStr">
        <is>
          <t>SKU-10273</t>
        </is>
      </c>
      <c r="E1980" t="inlineStr">
        <is>
          <t>AM07</t>
        </is>
      </c>
      <c r="F1980" s="5" t="n">
        <v>115.63</v>
      </c>
      <c r="G1980">
        <f>IF(LEFT(B1980,1)="C","Credit","Factuur")</f>
        <v/>
      </c>
      <c r="H1980">
        <f>IF(AND(B1980=B1979,D1980=D1979,A1980=A1979,F1980=F1979),1,0)</f>
        <v/>
      </c>
      <c r="I1980">
        <f>IF(C1980="C99999",1,0)</f>
        <v/>
      </c>
      <c r="J1980" s="5">
        <f>IF(OR(H1980=1,I1980=1),0,IF(G1980="Credit",-F1980,F1980))</f>
        <v/>
      </c>
    </row>
    <row r="1981">
      <c r="A1981" t="inlineStr">
        <is>
          <t>2026-07-20</t>
        </is>
      </c>
      <c r="B1981" t="inlineStr">
        <is>
          <t>F284310</t>
        </is>
      </c>
      <c r="C1981" t="inlineStr">
        <is>
          <t>C11272</t>
        </is>
      </c>
      <c r="D1981" t="inlineStr">
        <is>
          <t>SKU-10306</t>
        </is>
      </c>
      <c r="E1981" t="inlineStr">
        <is>
          <t>AM07</t>
        </is>
      </c>
      <c r="F1981" s="5" t="n">
        <v>130.93</v>
      </c>
      <c r="G1981">
        <f>IF(LEFT(B1981,1)="C","Credit","Factuur")</f>
        <v/>
      </c>
      <c r="H1981">
        <f>IF(AND(B1981=B1980,D1981=D1980,A1981=A1980,F1981=F1980),1,0)</f>
        <v/>
      </c>
      <c r="I1981">
        <f>IF(C1981="C99999",1,0)</f>
        <v/>
      </c>
      <c r="J1981" s="5">
        <f>IF(OR(H1981=1,I1981=1),0,IF(G1981="Credit",-F1981,F1981))</f>
        <v/>
      </c>
    </row>
    <row r="1982">
      <c r="A1982" t="inlineStr">
        <is>
          <t>2026-07-20</t>
        </is>
      </c>
      <c r="B1982" t="inlineStr">
        <is>
          <t>F284310</t>
        </is>
      </c>
      <c r="C1982" t="inlineStr">
        <is>
          <t>C11272</t>
        </is>
      </c>
      <c r="D1982" t="inlineStr">
        <is>
          <t>SKU-10337</t>
        </is>
      </c>
      <c r="E1982" t="inlineStr">
        <is>
          <t>AM07</t>
        </is>
      </c>
      <c r="F1982" s="5" t="n">
        <v>118.4</v>
      </c>
      <c r="G1982">
        <f>IF(LEFT(B1982,1)="C","Credit","Factuur")</f>
        <v/>
      </c>
      <c r="H1982">
        <f>IF(AND(B1982=B1981,D1982=D1981,A1982=A1981,F1982=F1981),1,0)</f>
        <v/>
      </c>
      <c r="I1982">
        <f>IF(C1982="C99999",1,0)</f>
        <v/>
      </c>
      <c r="J1982" s="5">
        <f>IF(OR(H1982=1,I1982=1),0,IF(G1982="Credit",-F1982,F1982))</f>
        <v/>
      </c>
    </row>
    <row r="1983">
      <c r="A1983" t="inlineStr">
        <is>
          <t>2026-07-20</t>
        </is>
      </c>
      <c r="B1983" t="inlineStr">
        <is>
          <t>F285282</t>
        </is>
      </c>
      <c r="C1983" t="inlineStr">
        <is>
          <t>C11323</t>
        </is>
      </c>
      <c r="D1983" t="inlineStr">
        <is>
          <t>SKU-10240</t>
        </is>
      </c>
      <c r="E1983" t="inlineStr">
        <is>
          <t>AM08</t>
        </is>
      </c>
      <c r="F1983" s="5" t="n">
        <v>816.1</v>
      </c>
      <c r="G1983">
        <f>IF(LEFT(B1983,1)="C","Credit","Factuur")</f>
        <v/>
      </c>
      <c r="H1983">
        <f>IF(AND(B1983=B1982,D1983=D1982,A1983=A1982,F1983=F1982),1,0)</f>
        <v/>
      </c>
      <c r="I1983">
        <f>IF(C1983="C99999",1,0)</f>
        <v/>
      </c>
      <c r="J1983" s="5">
        <f>IF(OR(H1983=1,I1983=1),0,IF(G1983="Credit",-F1983,F1983))</f>
        <v/>
      </c>
    </row>
    <row r="1984">
      <c r="A1984" t="inlineStr">
        <is>
          <t>2026-07-20</t>
        </is>
      </c>
      <c r="B1984" t="inlineStr">
        <is>
          <t>F285282</t>
        </is>
      </c>
      <c r="C1984" t="inlineStr">
        <is>
          <t>C11323</t>
        </is>
      </c>
      <c r="D1984" t="inlineStr">
        <is>
          <t>SKU-10286</t>
        </is>
      </c>
      <c r="E1984" t="inlineStr">
        <is>
          <t>AM08</t>
        </is>
      </c>
      <c r="F1984" s="5" t="n">
        <v>857.75</v>
      </c>
      <c r="G1984">
        <f>IF(LEFT(B1984,1)="C","Credit","Factuur")</f>
        <v/>
      </c>
      <c r="H1984">
        <f>IF(AND(B1984=B1983,D1984=D1983,A1984=A1983,F1984=F1983),1,0)</f>
        <v/>
      </c>
      <c r="I1984">
        <f>IF(C1984="C99999",1,0)</f>
        <v/>
      </c>
      <c r="J1984" s="5">
        <f>IF(OR(H1984=1,I1984=1),0,IF(G1984="Credit",-F1984,F1984))</f>
        <v/>
      </c>
    </row>
    <row r="1985">
      <c r="A1985" t="inlineStr">
        <is>
          <t>2026-07-20</t>
        </is>
      </c>
      <c r="B1985" t="inlineStr">
        <is>
          <t>F285282</t>
        </is>
      </c>
      <c r="C1985" t="inlineStr">
        <is>
          <t>C11323</t>
        </is>
      </c>
      <c r="D1985" t="inlineStr">
        <is>
          <t>SKU-10300</t>
        </is>
      </c>
      <c r="E1985" t="inlineStr">
        <is>
          <t>AM08</t>
        </is>
      </c>
      <c r="F1985" s="5" t="n">
        <v>857.92</v>
      </c>
      <c r="G1985">
        <f>IF(LEFT(B1985,1)="C","Credit","Factuur")</f>
        <v/>
      </c>
      <c r="H1985">
        <f>IF(AND(B1985=B1984,D1985=D1984,A1985=A1984,F1985=F1984),1,0)</f>
        <v/>
      </c>
      <c r="I1985">
        <f>IF(C1985="C99999",1,0)</f>
        <v/>
      </c>
      <c r="J1985" s="5">
        <f>IF(OR(H1985=1,I1985=1),0,IF(G1985="Credit",-F1985,F1985))</f>
        <v/>
      </c>
    </row>
    <row r="1986">
      <c r="A1986" t="inlineStr">
        <is>
          <t>2026-07-20</t>
        </is>
      </c>
      <c r="B1986" t="inlineStr">
        <is>
          <t>F286196</t>
        </is>
      </c>
      <c r="C1986" t="inlineStr">
        <is>
          <t>C11370</t>
        </is>
      </c>
      <c r="D1986" t="inlineStr">
        <is>
          <t>SKU-10043</t>
        </is>
      </c>
      <c r="E1986" t="inlineStr">
        <is>
          <t>AM09</t>
        </is>
      </c>
      <c r="F1986" s="5" t="n">
        <v>3049.62</v>
      </c>
      <c r="G1986">
        <f>IF(LEFT(B1986,1)="C","Credit","Factuur")</f>
        <v/>
      </c>
      <c r="H1986">
        <f>IF(AND(B1986=B1985,D1986=D1985,A1986=A1985,F1986=F1985),1,0)</f>
        <v/>
      </c>
      <c r="I1986">
        <f>IF(C1986="C99999",1,0)</f>
        <v/>
      </c>
      <c r="J1986" s="5">
        <f>IF(OR(H1986=1,I1986=1),0,IF(G1986="Credit",-F1986,F1986))</f>
        <v/>
      </c>
    </row>
    <row r="1987">
      <c r="A1987" t="inlineStr">
        <is>
          <t>2026-07-21</t>
        </is>
      </c>
      <c r="B1987" t="inlineStr">
        <is>
          <t>C900126</t>
        </is>
      </c>
      <c r="C1987" t="inlineStr">
        <is>
          <t>C10711</t>
        </is>
      </c>
      <c r="D1987" t="inlineStr">
        <is>
          <t>SKU-10010</t>
        </is>
      </c>
      <c r="E1987" t="inlineStr"/>
      <c r="F1987" s="5" t="n">
        <v>5137.77</v>
      </c>
      <c r="G1987">
        <f>IF(LEFT(B1987,1)="C","Credit","Factuur")</f>
        <v/>
      </c>
      <c r="H1987">
        <f>IF(AND(B1987=B1986,D1987=D1986,A1987=A1986,F1987=F1986),1,0)</f>
        <v/>
      </c>
      <c r="I1987">
        <f>IF(C1987="C99999",1,0)</f>
        <v/>
      </c>
      <c r="J1987" s="5">
        <f>IF(OR(H1987=1,I1987=1),0,IF(G1987="Credit",-F1987,F1987))</f>
        <v/>
      </c>
    </row>
    <row r="1988">
      <c r="A1988" t="inlineStr">
        <is>
          <t>2026-07-21</t>
        </is>
      </c>
      <c r="B1988" t="inlineStr">
        <is>
          <t>C900215</t>
        </is>
      </c>
      <c r="C1988" t="inlineStr">
        <is>
          <t>C10193</t>
        </is>
      </c>
      <c r="D1988" t="inlineStr">
        <is>
          <t>SKU-10272</t>
        </is>
      </c>
      <c r="E1988" t="inlineStr">
        <is>
          <t>AM02</t>
        </is>
      </c>
      <c r="F1988" s="5" t="n">
        <v>942.75</v>
      </c>
      <c r="G1988">
        <f>IF(LEFT(B1988,1)="C","Credit","Factuur")</f>
        <v/>
      </c>
      <c r="H1988">
        <f>IF(AND(B1988=B1987,D1988=D1987,A1988=A1987,F1988=F1987),1,0)</f>
        <v/>
      </c>
      <c r="I1988">
        <f>IF(C1988="C99999",1,0)</f>
        <v/>
      </c>
      <c r="J1988" s="5">
        <f>IF(OR(H1988=1,I1988=1),0,IF(G1988="Credit",-F1988,F1988))</f>
        <v/>
      </c>
    </row>
    <row r="1989">
      <c r="A1989" t="inlineStr">
        <is>
          <t>2026-07-21</t>
        </is>
      </c>
      <c r="B1989" t="inlineStr">
        <is>
          <t>C900736</t>
        </is>
      </c>
      <c r="C1989" t="inlineStr">
        <is>
          <t>C10417</t>
        </is>
      </c>
      <c r="D1989" t="inlineStr">
        <is>
          <t>SKU-10341</t>
        </is>
      </c>
      <c r="E1989" t="inlineStr">
        <is>
          <t>AM02</t>
        </is>
      </c>
      <c r="F1989" s="5" t="n">
        <v>442.64</v>
      </c>
      <c r="G1989">
        <f>IF(LEFT(B1989,1)="C","Credit","Factuur")</f>
        <v/>
      </c>
      <c r="H1989">
        <f>IF(AND(B1989=B1988,D1989=D1988,A1989=A1988,F1989=F1988),1,0)</f>
        <v/>
      </c>
      <c r="I1989">
        <f>IF(C1989="C99999",1,0)</f>
        <v/>
      </c>
      <c r="J1989" s="5">
        <f>IF(OR(H1989=1,I1989=1),0,IF(G1989="Credit",-F1989,F1989))</f>
        <v/>
      </c>
    </row>
    <row r="1990">
      <c r="A1990" t="inlineStr">
        <is>
          <t>2026-07-21</t>
        </is>
      </c>
      <c r="B1990" t="inlineStr">
        <is>
          <t>C901807</t>
        </is>
      </c>
      <c r="C1990" t="inlineStr">
        <is>
          <t>C11144</t>
        </is>
      </c>
      <c r="D1990" t="inlineStr">
        <is>
          <t>SKU-10201</t>
        </is>
      </c>
      <c r="E1990" t="inlineStr">
        <is>
          <t>AM02</t>
        </is>
      </c>
      <c r="F1990" s="5" t="n">
        <v>455.54</v>
      </c>
      <c r="G1990">
        <f>IF(LEFT(B1990,1)="C","Credit","Factuur")</f>
        <v/>
      </c>
      <c r="H1990">
        <f>IF(AND(B1990=B1989,D1990=D1989,A1990=A1989,F1990=F1989),1,0)</f>
        <v/>
      </c>
      <c r="I1990">
        <f>IF(C1990="C99999",1,0)</f>
        <v/>
      </c>
      <c r="J1990" s="5">
        <f>IF(OR(H1990=1,I1990=1),0,IF(G1990="Credit",-F1990,F1990))</f>
        <v/>
      </c>
    </row>
    <row r="1991">
      <c r="A1991" t="inlineStr">
        <is>
          <t>2026-07-21</t>
        </is>
      </c>
      <c r="B1991" t="inlineStr">
        <is>
          <t>F260643</t>
        </is>
      </c>
      <c r="C1991" t="inlineStr">
        <is>
          <t>C10036</t>
        </is>
      </c>
      <c r="D1991" t="inlineStr">
        <is>
          <t>SKU-10017</t>
        </is>
      </c>
      <c r="E1991" t="inlineStr">
        <is>
          <t>AM01</t>
        </is>
      </c>
      <c r="F1991" s="5" t="n">
        <v>155.4</v>
      </c>
      <c r="G1991">
        <f>IF(LEFT(B1991,1)="C","Credit","Factuur")</f>
        <v/>
      </c>
      <c r="H1991">
        <f>IF(AND(B1991=B1990,D1991=D1990,A1991=A1990,F1991=F1990),1,0)</f>
        <v/>
      </c>
      <c r="I1991">
        <f>IF(C1991="C99999",1,0)</f>
        <v/>
      </c>
      <c r="J1991" s="5">
        <f>IF(OR(H1991=1,I1991=1),0,IF(G1991="Credit",-F1991,F1991))</f>
        <v/>
      </c>
    </row>
    <row r="1992">
      <c r="A1992" t="inlineStr">
        <is>
          <t>2026-07-21</t>
        </is>
      </c>
      <c r="B1992" t="inlineStr">
        <is>
          <t>F260643</t>
        </is>
      </c>
      <c r="C1992" t="inlineStr">
        <is>
          <t>C10036</t>
        </is>
      </c>
      <c r="D1992" t="inlineStr">
        <is>
          <t>SKU-10066</t>
        </is>
      </c>
      <c r="E1992" t="inlineStr">
        <is>
          <t>AM01</t>
        </is>
      </c>
      <c r="F1992" s="5" t="n">
        <v>142.88</v>
      </c>
      <c r="G1992">
        <f>IF(LEFT(B1992,1)="C","Credit","Factuur")</f>
        <v/>
      </c>
      <c r="H1992">
        <f>IF(AND(B1992=B1991,D1992=D1991,A1992=A1991,F1992=F1991),1,0)</f>
        <v/>
      </c>
      <c r="I1992">
        <f>IF(C1992="C99999",1,0)</f>
        <v/>
      </c>
      <c r="J1992" s="5">
        <f>IF(OR(H1992=1,I1992=1),0,IF(G1992="Credit",-F1992,F1992))</f>
        <v/>
      </c>
    </row>
    <row r="1993">
      <c r="A1993" t="inlineStr">
        <is>
          <t>2026-07-21</t>
        </is>
      </c>
      <c r="B1993" t="inlineStr">
        <is>
          <t>F261784</t>
        </is>
      </c>
      <c r="C1993" t="inlineStr">
        <is>
          <t>C10093</t>
        </is>
      </c>
      <c r="D1993" t="inlineStr">
        <is>
          <t>SKU-10026</t>
        </is>
      </c>
      <c r="E1993" t="inlineStr">
        <is>
          <t>AM01</t>
        </is>
      </c>
      <c r="F1993" s="5" t="n">
        <v>247.08</v>
      </c>
      <c r="G1993">
        <f>IF(LEFT(B1993,1)="C","Credit","Factuur")</f>
        <v/>
      </c>
      <c r="H1993">
        <f>IF(AND(B1993=B1992,D1993=D1992,A1993=A1992,F1993=F1992),1,0)</f>
        <v/>
      </c>
      <c r="I1993">
        <f>IF(C1993="C99999",1,0)</f>
        <v/>
      </c>
      <c r="J1993" s="5">
        <f>IF(OR(H1993=1,I1993=1),0,IF(G1993="Credit",-F1993,F1993))</f>
        <v/>
      </c>
    </row>
    <row r="1994">
      <c r="A1994" t="inlineStr">
        <is>
          <t>2026-07-21</t>
        </is>
      </c>
      <c r="B1994" t="inlineStr">
        <is>
          <t>F261784</t>
        </is>
      </c>
      <c r="C1994" t="inlineStr">
        <is>
          <t>C10093</t>
        </is>
      </c>
      <c r="D1994" t="inlineStr">
        <is>
          <t>SKU-10367</t>
        </is>
      </c>
      <c r="E1994" t="inlineStr">
        <is>
          <t>AM01</t>
        </is>
      </c>
      <c r="F1994" s="5" t="n">
        <v>191.45</v>
      </c>
      <c r="G1994">
        <f>IF(LEFT(B1994,1)="C","Credit","Factuur")</f>
        <v/>
      </c>
      <c r="H1994">
        <f>IF(AND(B1994=B1993,D1994=D1993,A1994=A1993,F1994=F1993),1,0)</f>
        <v/>
      </c>
      <c r="I1994">
        <f>IF(C1994="C99999",1,0)</f>
        <v/>
      </c>
      <c r="J1994" s="5">
        <f>IF(OR(H1994=1,I1994=1),0,IF(G1994="Credit",-F1994,F1994))</f>
        <v/>
      </c>
    </row>
    <row r="1995">
      <c r="A1995" t="inlineStr">
        <is>
          <t>2026-07-21</t>
        </is>
      </c>
      <c r="B1995" t="inlineStr">
        <is>
          <t>F262310</t>
        </is>
      </c>
      <c r="C1995" t="inlineStr">
        <is>
          <t>C10122</t>
        </is>
      </c>
      <c r="D1995" t="inlineStr">
        <is>
          <t>SKU-10041</t>
        </is>
      </c>
      <c r="E1995" t="inlineStr">
        <is>
          <t>AM12</t>
        </is>
      </c>
      <c r="F1995" s="5" t="n">
        <v>591.6799999999999</v>
      </c>
      <c r="G1995">
        <f>IF(LEFT(B1995,1)="C","Credit","Factuur")</f>
        <v/>
      </c>
      <c r="H1995">
        <f>IF(AND(B1995=B1994,D1995=D1994,A1995=A1994,F1995=F1994),1,0)</f>
        <v/>
      </c>
      <c r="I1995">
        <f>IF(C1995="C99999",1,0)</f>
        <v/>
      </c>
      <c r="J1995" s="5">
        <f>IF(OR(H1995=1,I1995=1),0,IF(G1995="Credit",-F1995,F1995))</f>
        <v/>
      </c>
    </row>
    <row r="1996">
      <c r="A1996" t="inlineStr">
        <is>
          <t>2026-07-21</t>
        </is>
      </c>
      <c r="B1996" t="inlineStr">
        <is>
          <t>F262364</t>
        </is>
      </c>
      <c r="C1996" t="inlineStr">
        <is>
          <t>C10125</t>
        </is>
      </c>
      <c r="D1996" t="inlineStr">
        <is>
          <t>SKU-10055</t>
        </is>
      </c>
      <c r="E1996" t="inlineStr">
        <is>
          <t>AM03</t>
        </is>
      </c>
      <c r="F1996" s="5" t="n">
        <v>191.12</v>
      </c>
      <c r="G1996">
        <f>IF(LEFT(B1996,1)="C","Credit","Factuur")</f>
        <v/>
      </c>
      <c r="H1996">
        <f>IF(AND(B1996=B1995,D1996=D1995,A1996=A1995,F1996=F1995),1,0)</f>
        <v/>
      </c>
      <c r="I1996">
        <f>IF(C1996="C99999",1,0)</f>
        <v/>
      </c>
      <c r="J1996" s="5">
        <f>IF(OR(H1996=1,I1996=1),0,IF(G1996="Credit",-F1996,F1996))</f>
        <v/>
      </c>
    </row>
    <row r="1997">
      <c r="A1997" t="inlineStr">
        <is>
          <t>2026-07-21</t>
        </is>
      </c>
      <c r="B1997" t="inlineStr">
        <is>
          <t>F264439</t>
        </is>
      </c>
      <c r="C1997" t="inlineStr">
        <is>
          <t>C10230</t>
        </is>
      </c>
      <c r="D1997" t="inlineStr">
        <is>
          <t>SKU-10050</t>
        </is>
      </c>
      <c r="E1997" t="inlineStr">
        <is>
          <t>IS01</t>
        </is>
      </c>
      <c r="F1997" s="5" t="n">
        <v>53.43</v>
      </c>
      <c r="G1997">
        <f>IF(LEFT(B1997,1)="C","Credit","Factuur")</f>
        <v/>
      </c>
      <c r="H1997">
        <f>IF(AND(B1997=B1996,D1997=D1996,A1997=A1996,F1997=F1996),1,0)</f>
        <v/>
      </c>
      <c r="I1997">
        <f>IF(C1997="C99999",1,0)</f>
        <v/>
      </c>
      <c r="J1997" s="5">
        <f>IF(OR(H1997=1,I1997=1),0,IF(G1997="Credit",-F1997,F1997))</f>
        <v/>
      </c>
    </row>
    <row r="1998">
      <c r="A1998" t="inlineStr">
        <is>
          <t>2026-07-21</t>
        </is>
      </c>
      <c r="B1998" t="inlineStr">
        <is>
          <t>F264439</t>
        </is>
      </c>
      <c r="C1998" t="inlineStr">
        <is>
          <t>C10230</t>
        </is>
      </c>
      <c r="D1998" t="inlineStr">
        <is>
          <t>SKU-10052</t>
        </is>
      </c>
      <c r="E1998" t="inlineStr">
        <is>
          <t>IS01</t>
        </is>
      </c>
      <c r="F1998" s="5" t="n">
        <v>52.61</v>
      </c>
      <c r="G1998">
        <f>IF(LEFT(B1998,1)="C","Credit","Factuur")</f>
        <v/>
      </c>
      <c r="H1998">
        <f>IF(AND(B1998=B1997,D1998=D1997,A1998=A1997,F1998=F1997),1,0)</f>
        <v/>
      </c>
      <c r="I1998">
        <f>IF(C1998="C99999",1,0)</f>
        <v/>
      </c>
      <c r="J1998" s="5">
        <f>IF(OR(H1998=1,I1998=1),0,IF(G1998="Credit",-F1998,F1998))</f>
        <v/>
      </c>
    </row>
    <row r="1999">
      <c r="A1999" t="inlineStr">
        <is>
          <t>2026-07-21</t>
        </is>
      </c>
      <c r="B1999" t="inlineStr">
        <is>
          <t>F264439</t>
        </is>
      </c>
      <c r="C1999" t="inlineStr">
        <is>
          <t>C10230</t>
        </is>
      </c>
      <c r="D1999" t="inlineStr">
        <is>
          <t>SKU-10111</t>
        </is>
      </c>
      <c r="E1999" t="inlineStr">
        <is>
          <t>IS01</t>
        </is>
      </c>
      <c r="F1999" s="5" t="n">
        <v>112.58</v>
      </c>
      <c r="G1999">
        <f>IF(LEFT(B1999,1)="C","Credit","Factuur")</f>
        <v/>
      </c>
      <c r="H1999">
        <f>IF(AND(B1999=B1998,D1999=D1998,A1999=A1998,F1999=F1998),1,0)</f>
        <v/>
      </c>
      <c r="I1999">
        <f>IF(C1999="C99999",1,0)</f>
        <v/>
      </c>
      <c r="J1999" s="5">
        <f>IF(OR(H1999=1,I1999=1),0,IF(G1999="Credit",-F1999,F1999))</f>
        <v/>
      </c>
    </row>
    <row r="2000">
      <c r="A2000" t="inlineStr">
        <is>
          <t>2026-07-21</t>
        </is>
      </c>
      <c r="B2000" t="inlineStr">
        <is>
          <t>F264439</t>
        </is>
      </c>
      <c r="C2000" t="inlineStr">
        <is>
          <t>C10230</t>
        </is>
      </c>
      <c r="D2000" t="inlineStr">
        <is>
          <t>SKU-10161</t>
        </is>
      </c>
      <c r="E2000" t="inlineStr">
        <is>
          <t>IS01</t>
        </is>
      </c>
      <c r="F2000" s="5" t="n">
        <v>32.1</v>
      </c>
      <c r="G2000">
        <f>IF(LEFT(B2000,1)="C","Credit","Factuur")</f>
        <v/>
      </c>
      <c r="H2000">
        <f>IF(AND(B2000=B1999,D2000=D1999,A2000=A1999,F2000=F1999),1,0)</f>
        <v/>
      </c>
      <c r="I2000">
        <f>IF(C2000="C99999",1,0)</f>
        <v/>
      </c>
      <c r="J2000" s="5">
        <f>IF(OR(H2000=1,I2000=1),0,IF(G2000="Credit",-F2000,F2000))</f>
        <v/>
      </c>
    </row>
    <row r="2001">
      <c r="A2001" t="inlineStr">
        <is>
          <t>2026-07-21</t>
        </is>
      </c>
      <c r="B2001" t="inlineStr">
        <is>
          <t>F264439</t>
        </is>
      </c>
      <c r="C2001" t="inlineStr">
        <is>
          <t>C10230</t>
        </is>
      </c>
      <c r="D2001" t="inlineStr">
        <is>
          <t>SKU-10307</t>
        </is>
      </c>
      <c r="E2001" t="inlineStr">
        <is>
          <t>IS01</t>
        </is>
      </c>
      <c r="F2001" s="5" t="n">
        <v>32.16</v>
      </c>
      <c r="G2001">
        <f>IF(LEFT(B2001,1)="C","Credit","Factuur")</f>
        <v/>
      </c>
      <c r="H2001">
        <f>IF(AND(B2001=B2000,D2001=D2000,A2001=A2000,F2001=F2000),1,0)</f>
        <v/>
      </c>
      <c r="I2001">
        <f>IF(C2001="C99999",1,0)</f>
        <v/>
      </c>
      <c r="J2001" s="5">
        <f>IF(OR(H2001=1,I2001=1),0,IF(G2001="Credit",-F2001,F2001))</f>
        <v/>
      </c>
    </row>
    <row r="2002">
      <c r="A2002" t="inlineStr">
        <is>
          <t>2026-07-21</t>
        </is>
      </c>
      <c r="B2002" t="inlineStr">
        <is>
          <t>F265005</t>
        </is>
      </c>
      <c r="C2002" t="inlineStr">
        <is>
          <t>C10262</t>
        </is>
      </c>
      <c r="D2002" t="inlineStr">
        <is>
          <t>SKU-10026</t>
        </is>
      </c>
      <c r="E2002" t="inlineStr">
        <is>
          <t>AM06</t>
        </is>
      </c>
      <c r="F2002" s="5" t="n">
        <v>455.04</v>
      </c>
      <c r="G2002">
        <f>IF(LEFT(B2002,1)="C","Credit","Factuur")</f>
        <v/>
      </c>
      <c r="H2002">
        <f>IF(AND(B2002=B2001,D2002=D2001,A2002=A2001,F2002=F2001),1,0)</f>
        <v/>
      </c>
      <c r="I2002">
        <f>IF(C2002="C99999",1,0)</f>
        <v/>
      </c>
      <c r="J2002" s="5">
        <f>IF(OR(H2002=1,I2002=1),0,IF(G2002="Credit",-F2002,F2002))</f>
        <v/>
      </c>
    </row>
    <row r="2003">
      <c r="A2003" t="inlineStr">
        <is>
          <t>2026-07-21</t>
        </is>
      </c>
      <c r="B2003" t="inlineStr">
        <is>
          <t>F265005</t>
        </is>
      </c>
      <c r="C2003" t="inlineStr">
        <is>
          <t>C10262</t>
        </is>
      </c>
      <c r="D2003" t="inlineStr">
        <is>
          <t>SKU-10041</t>
        </is>
      </c>
      <c r="E2003" t="inlineStr">
        <is>
          <t>AM06</t>
        </is>
      </c>
      <c r="F2003" s="5" t="n">
        <v>438.6</v>
      </c>
      <c r="G2003">
        <f>IF(LEFT(B2003,1)="C","Credit","Factuur")</f>
        <v/>
      </c>
      <c r="H2003">
        <f>IF(AND(B2003=B2002,D2003=D2002,A2003=A2002,F2003=F2002),1,0)</f>
        <v/>
      </c>
      <c r="I2003">
        <f>IF(C2003="C99999",1,0)</f>
        <v/>
      </c>
      <c r="J2003" s="5">
        <f>IF(OR(H2003=1,I2003=1),0,IF(G2003="Credit",-F2003,F2003))</f>
        <v/>
      </c>
    </row>
    <row r="2004">
      <c r="A2004" t="inlineStr">
        <is>
          <t>2026-07-21</t>
        </is>
      </c>
      <c r="B2004" t="inlineStr">
        <is>
          <t>F265005</t>
        </is>
      </c>
      <c r="C2004" t="inlineStr">
        <is>
          <t>C10262</t>
        </is>
      </c>
      <c r="D2004" t="inlineStr">
        <is>
          <t>SKU-10237</t>
        </is>
      </c>
      <c r="E2004" t="inlineStr">
        <is>
          <t>AM06</t>
        </is>
      </c>
      <c r="F2004" s="5" t="n">
        <v>517.86</v>
      </c>
      <c r="G2004">
        <f>IF(LEFT(B2004,1)="C","Credit","Factuur")</f>
        <v/>
      </c>
      <c r="H2004">
        <f>IF(AND(B2004=B2003,D2004=D2003,A2004=A2003,F2004=F2003),1,0)</f>
        <v/>
      </c>
      <c r="I2004">
        <f>IF(C2004="C99999",1,0)</f>
        <v/>
      </c>
      <c r="J2004" s="5">
        <f>IF(OR(H2004=1,I2004=1),0,IF(G2004="Credit",-F2004,F2004))</f>
        <v/>
      </c>
    </row>
    <row r="2005">
      <c r="A2005" t="inlineStr">
        <is>
          <t>2026-07-21</t>
        </is>
      </c>
      <c r="B2005" t="inlineStr">
        <is>
          <t>F265005</t>
        </is>
      </c>
      <c r="C2005" t="inlineStr">
        <is>
          <t>C10262</t>
        </is>
      </c>
      <c r="D2005" t="inlineStr">
        <is>
          <t>SKU-10342</t>
        </is>
      </c>
      <c r="E2005" t="inlineStr">
        <is>
          <t>AM06</t>
        </is>
      </c>
      <c r="F2005" s="5" t="n">
        <v>462.12</v>
      </c>
      <c r="G2005">
        <f>IF(LEFT(B2005,1)="C","Credit","Factuur")</f>
        <v/>
      </c>
      <c r="H2005">
        <f>IF(AND(B2005=B2004,D2005=D2004,A2005=A2004,F2005=F2004),1,0)</f>
        <v/>
      </c>
      <c r="I2005">
        <f>IF(C2005="C99999",1,0)</f>
        <v/>
      </c>
      <c r="J2005" s="5">
        <f>IF(OR(H2005=1,I2005=1),0,IF(G2005="Credit",-F2005,F2005))</f>
        <v/>
      </c>
    </row>
    <row r="2006">
      <c r="A2006" t="inlineStr">
        <is>
          <t>2026-07-21</t>
        </is>
      </c>
      <c r="B2006" t="inlineStr">
        <is>
          <t>F266591</t>
        </is>
      </c>
      <c r="C2006" t="inlineStr">
        <is>
          <t>C10346</t>
        </is>
      </c>
      <c r="D2006" t="inlineStr">
        <is>
          <t>SKU-10180</t>
        </is>
      </c>
      <c r="E2006" t="inlineStr">
        <is>
          <t>AM12</t>
        </is>
      </c>
      <c r="F2006" s="5" t="n">
        <v>842.84</v>
      </c>
      <c r="G2006">
        <f>IF(LEFT(B2006,1)="C","Credit","Factuur")</f>
        <v/>
      </c>
      <c r="H2006">
        <f>IF(AND(B2006=B2005,D2006=D2005,A2006=A2005,F2006=F2005),1,0)</f>
        <v/>
      </c>
      <c r="I2006">
        <f>IF(C2006="C99999",1,0)</f>
        <v/>
      </c>
      <c r="J2006" s="5">
        <f>IF(OR(H2006=1,I2006=1),0,IF(G2006="Credit",-F2006,F2006))</f>
        <v/>
      </c>
    </row>
    <row r="2007">
      <c r="A2007" t="inlineStr">
        <is>
          <t>2026-07-21</t>
        </is>
      </c>
      <c r="B2007" t="inlineStr">
        <is>
          <t>F266977</t>
        </is>
      </c>
      <c r="C2007" t="inlineStr">
        <is>
          <t>C10367</t>
        </is>
      </c>
      <c r="D2007" t="inlineStr">
        <is>
          <t>SKU-10007</t>
        </is>
      </c>
      <c r="E2007" t="inlineStr">
        <is>
          <t>AM07</t>
        </is>
      </c>
      <c r="F2007" s="5" t="n">
        <v>335.11</v>
      </c>
      <c r="G2007">
        <f>IF(LEFT(B2007,1)="C","Credit","Factuur")</f>
        <v/>
      </c>
      <c r="H2007">
        <f>IF(AND(B2007=B2006,D2007=D2006,A2007=A2006,F2007=F2006),1,0)</f>
        <v/>
      </c>
      <c r="I2007">
        <f>IF(C2007="C99999",1,0)</f>
        <v/>
      </c>
      <c r="J2007" s="5">
        <f>IF(OR(H2007=1,I2007=1),0,IF(G2007="Credit",-F2007,F2007))</f>
        <v/>
      </c>
    </row>
    <row r="2008">
      <c r="A2008" t="inlineStr">
        <is>
          <t>2026-07-21</t>
        </is>
      </c>
      <c r="B2008" t="inlineStr">
        <is>
          <t>F266977</t>
        </is>
      </c>
      <c r="C2008" t="inlineStr">
        <is>
          <t>C10367</t>
        </is>
      </c>
      <c r="D2008" t="inlineStr">
        <is>
          <t>SKU-10033</t>
        </is>
      </c>
      <c r="E2008" t="inlineStr">
        <is>
          <t>AM07</t>
        </is>
      </c>
      <c r="F2008" s="5" t="n">
        <v>368.33</v>
      </c>
      <c r="G2008">
        <f>IF(LEFT(B2008,1)="C","Credit","Factuur")</f>
        <v/>
      </c>
      <c r="H2008">
        <f>IF(AND(B2008=B2007,D2008=D2007,A2008=A2007,F2008=F2007),1,0)</f>
        <v/>
      </c>
      <c r="I2008">
        <f>IF(C2008="C99999",1,0)</f>
        <v/>
      </c>
      <c r="J2008" s="5">
        <f>IF(OR(H2008=1,I2008=1),0,IF(G2008="Credit",-F2008,F2008))</f>
        <v/>
      </c>
    </row>
    <row r="2009">
      <c r="A2009" t="inlineStr">
        <is>
          <t>2026-07-21</t>
        </is>
      </c>
      <c r="B2009" t="inlineStr">
        <is>
          <t>F266977</t>
        </is>
      </c>
      <c r="C2009" t="inlineStr">
        <is>
          <t>C10367</t>
        </is>
      </c>
      <c r="D2009" t="inlineStr">
        <is>
          <t>SKU-10161</t>
        </is>
      </c>
      <c r="E2009" t="inlineStr">
        <is>
          <t>AM07</t>
        </is>
      </c>
      <c r="F2009" s="5" t="n">
        <v>365.94</v>
      </c>
      <c r="G2009">
        <f>IF(LEFT(B2009,1)="C","Credit","Factuur")</f>
        <v/>
      </c>
      <c r="H2009">
        <f>IF(AND(B2009=B2008,D2009=D2008,A2009=A2008,F2009=F2008),1,0)</f>
        <v/>
      </c>
      <c r="I2009">
        <f>IF(C2009="C99999",1,0)</f>
        <v/>
      </c>
      <c r="J2009" s="5">
        <f>IF(OR(H2009=1,I2009=1),0,IF(G2009="Credit",-F2009,F2009))</f>
        <v/>
      </c>
    </row>
    <row r="2010">
      <c r="A2010" t="inlineStr">
        <is>
          <t>2026-07-21</t>
        </is>
      </c>
      <c r="B2010" t="inlineStr">
        <is>
          <t>F266977</t>
        </is>
      </c>
      <c r="C2010" t="inlineStr">
        <is>
          <t>C10367</t>
        </is>
      </c>
      <c r="D2010" t="inlineStr">
        <is>
          <t>SKU-10173</t>
        </is>
      </c>
      <c r="E2010" t="inlineStr">
        <is>
          <t>AM07</t>
        </is>
      </c>
      <c r="F2010" s="5" t="n">
        <v>340.56</v>
      </c>
      <c r="G2010">
        <f>IF(LEFT(B2010,1)="C","Credit","Factuur")</f>
        <v/>
      </c>
      <c r="H2010">
        <f>IF(AND(B2010=B2009,D2010=D2009,A2010=A2009,F2010=F2009),1,0)</f>
        <v/>
      </c>
      <c r="I2010">
        <f>IF(C2010="C99999",1,0)</f>
        <v/>
      </c>
      <c r="J2010" s="5">
        <f>IF(OR(H2010=1,I2010=1),0,IF(G2010="Credit",-F2010,F2010))</f>
        <v/>
      </c>
    </row>
    <row r="2011">
      <c r="A2011" t="inlineStr">
        <is>
          <t>2026-07-21</t>
        </is>
      </c>
      <c r="B2011" t="inlineStr">
        <is>
          <t>F266977</t>
        </is>
      </c>
      <c r="C2011" t="inlineStr">
        <is>
          <t>C10367</t>
        </is>
      </c>
      <c r="D2011" t="inlineStr">
        <is>
          <t>SKU-10215</t>
        </is>
      </c>
      <c r="E2011" t="inlineStr">
        <is>
          <t>AM07</t>
        </is>
      </c>
      <c r="F2011" s="5" t="n">
        <v>345.1</v>
      </c>
      <c r="G2011">
        <f>IF(LEFT(B2011,1)="C","Credit","Factuur")</f>
        <v/>
      </c>
      <c r="H2011">
        <f>IF(AND(B2011=B2010,D2011=D2010,A2011=A2010,F2011=F2010),1,0)</f>
        <v/>
      </c>
      <c r="I2011">
        <f>IF(C2011="C99999",1,0)</f>
        <v/>
      </c>
      <c r="J2011" s="5">
        <f>IF(OR(H2011=1,I2011=1),0,IF(G2011="Credit",-F2011,F2011))</f>
        <v/>
      </c>
    </row>
    <row r="2012">
      <c r="A2012" t="inlineStr">
        <is>
          <t>2026-07-21</t>
        </is>
      </c>
      <c r="B2012" t="inlineStr">
        <is>
          <t>F266977</t>
        </is>
      </c>
      <c r="C2012" t="inlineStr">
        <is>
          <t>C10367</t>
        </is>
      </c>
      <c r="D2012" t="inlineStr">
        <is>
          <t>SKU-10329</t>
        </is>
      </c>
      <c r="E2012" t="inlineStr">
        <is>
          <t>AM07</t>
        </is>
      </c>
      <c r="F2012" s="5" t="n">
        <v>344.27</v>
      </c>
      <c r="G2012">
        <f>IF(LEFT(B2012,1)="C","Credit","Factuur")</f>
        <v/>
      </c>
      <c r="H2012">
        <f>IF(AND(B2012=B2011,D2012=D2011,A2012=A2011,F2012=F2011),1,0)</f>
        <v/>
      </c>
      <c r="I2012">
        <f>IF(C2012="C99999",1,0)</f>
        <v/>
      </c>
      <c r="J2012" s="5">
        <f>IF(OR(H2012=1,I2012=1),0,IF(G2012="Credit",-F2012,F2012))</f>
        <v/>
      </c>
    </row>
    <row r="2013">
      <c r="A2013" t="inlineStr">
        <is>
          <t>2026-07-21</t>
        </is>
      </c>
      <c r="B2013" t="inlineStr">
        <is>
          <t>F267264</t>
        </is>
      </c>
      <c r="C2013" t="inlineStr">
        <is>
          <t>C10385</t>
        </is>
      </c>
      <c r="D2013" t="inlineStr">
        <is>
          <t>SKU-10008</t>
        </is>
      </c>
      <c r="E2013" t="inlineStr">
        <is>
          <t>AM08</t>
        </is>
      </c>
      <c r="F2013" s="5" t="n">
        <v>501.23</v>
      </c>
      <c r="G2013">
        <f>IF(LEFT(B2013,1)="C","Credit","Factuur")</f>
        <v/>
      </c>
      <c r="H2013">
        <f>IF(AND(B2013=B2012,D2013=D2012,A2013=A2012,F2013=F2012),1,0)</f>
        <v/>
      </c>
      <c r="I2013">
        <f>IF(C2013="C99999",1,0)</f>
        <v/>
      </c>
      <c r="J2013" s="5">
        <f>IF(OR(H2013=1,I2013=1),0,IF(G2013="Credit",-F2013,F2013))</f>
        <v/>
      </c>
    </row>
    <row r="2014">
      <c r="A2014" t="inlineStr">
        <is>
          <t>2026-07-21</t>
        </is>
      </c>
      <c r="B2014" t="inlineStr">
        <is>
          <t>F267264</t>
        </is>
      </c>
      <c r="C2014" t="inlineStr">
        <is>
          <t>C10385</t>
        </is>
      </c>
      <c r="D2014" t="inlineStr">
        <is>
          <t>SKU-10038</t>
        </is>
      </c>
      <c r="E2014" t="inlineStr">
        <is>
          <t>AM08</t>
        </is>
      </c>
      <c r="F2014" s="5" t="n">
        <v>539.08</v>
      </c>
      <c r="G2014">
        <f>IF(LEFT(B2014,1)="C","Credit","Factuur")</f>
        <v/>
      </c>
      <c r="H2014">
        <f>IF(AND(B2014=B2013,D2014=D2013,A2014=A2013,F2014=F2013),1,0)</f>
        <v/>
      </c>
      <c r="I2014">
        <f>IF(C2014="C99999",1,0)</f>
        <v/>
      </c>
      <c r="J2014" s="5">
        <f>IF(OR(H2014=1,I2014=1),0,IF(G2014="Credit",-F2014,F2014))</f>
        <v/>
      </c>
    </row>
    <row r="2015">
      <c r="A2015" t="inlineStr">
        <is>
          <t>2026-07-21</t>
        </is>
      </c>
      <c r="B2015" t="inlineStr">
        <is>
          <t>F267264</t>
        </is>
      </c>
      <c r="C2015" t="inlineStr">
        <is>
          <t>C10385</t>
        </is>
      </c>
      <c r="D2015" t="inlineStr">
        <is>
          <t>SKU-10055</t>
        </is>
      </c>
      <c r="E2015" t="inlineStr">
        <is>
          <t>AM08</t>
        </is>
      </c>
      <c r="F2015" s="5" t="n">
        <v>570.01</v>
      </c>
      <c r="G2015">
        <f>IF(LEFT(B2015,1)="C","Credit","Factuur")</f>
        <v/>
      </c>
      <c r="H2015">
        <f>IF(AND(B2015=B2014,D2015=D2014,A2015=A2014,F2015=F2014),1,0)</f>
        <v/>
      </c>
      <c r="I2015">
        <f>IF(C2015="C99999",1,0)</f>
        <v/>
      </c>
      <c r="J2015" s="5">
        <f>IF(OR(H2015=1,I2015=1),0,IF(G2015="Credit",-F2015,F2015))</f>
        <v/>
      </c>
    </row>
    <row r="2016">
      <c r="A2016" t="inlineStr">
        <is>
          <t>2026-07-21</t>
        </is>
      </c>
      <c r="B2016" t="inlineStr">
        <is>
          <t>F267264</t>
        </is>
      </c>
      <c r="C2016" t="inlineStr">
        <is>
          <t>C10385</t>
        </is>
      </c>
      <c r="D2016" t="inlineStr">
        <is>
          <t>SKU-10076</t>
        </is>
      </c>
      <c r="E2016" t="inlineStr">
        <is>
          <t>AM08</t>
        </is>
      </c>
      <c r="F2016" s="5" t="n">
        <v>545.23</v>
      </c>
      <c r="G2016">
        <f>IF(LEFT(B2016,1)="C","Credit","Factuur")</f>
        <v/>
      </c>
      <c r="H2016">
        <f>IF(AND(B2016=B2015,D2016=D2015,A2016=A2015,F2016=F2015),1,0)</f>
        <v/>
      </c>
      <c r="I2016">
        <f>IF(C2016="C99999",1,0)</f>
        <v/>
      </c>
      <c r="J2016" s="5">
        <f>IF(OR(H2016=1,I2016=1),0,IF(G2016="Credit",-F2016,F2016))</f>
        <v/>
      </c>
    </row>
    <row r="2017">
      <c r="A2017" t="inlineStr">
        <is>
          <t>2026-07-21</t>
        </is>
      </c>
      <c r="B2017" t="inlineStr">
        <is>
          <t>F267264</t>
        </is>
      </c>
      <c r="C2017" t="inlineStr">
        <is>
          <t>C10385</t>
        </is>
      </c>
      <c r="D2017" t="inlineStr">
        <is>
          <t>SKU-10101</t>
        </is>
      </c>
      <c r="E2017" t="inlineStr">
        <is>
          <t>AM08</t>
        </is>
      </c>
      <c r="F2017" s="5" t="n">
        <v>522.54</v>
      </c>
      <c r="G2017">
        <f>IF(LEFT(B2017,1)="C","Credit","Factuur")</f>
        <v/>
      </c>
      <c r="H2017">
        <f>IF(AND(B2017=B2016,D2017=D2016,A2017=A2016,F2017=F2016),1,0)</f>
        <v/>
      </c>
      <c r="I2017">
        <f>IF(C2017="C99999",1,0)</f>
        <v/>
      </c>
      <c r="J2017" s="5">
        <f>IF(OR(H2017=1,I2017=1),0,IF(G2017="Credit",-F2017,F2017))</f>
        <v/>
      </c>
    </row>
    <row r="2018">
      <c r="A2018" t="inlineStr">
        <is>
          <t>2026-07-21</t>
        </is>
      </c>
      <c r="B2018" t="inlineStr">
        <is>
          <t>F267264</t>
        </is>
      </c>
      <c r="C2018" t="inlineStr">
        <is>
          <t>C10385</t>
        </is>
      </c>
      <c r="D2018" t="inlineStr">
        <is>
          <t>SKU-10104</t>
        </is>
      </c>
      <c r="E2018" t="inlineStr">
        <is>
          <t>AM08</t>
        </is>
      </c>
      <c r="F2018" s="5" t="n">
        <v>546.84</v>
      </c>
      <c r="G2018">
        <f>IF(LEFT(B2018,1)="C","Credit","Factuur")</f>
        <v/>
      </c>
      <c r="H2018">
        <f>IF(AND(B2018=B2017,D2018=D2017,A2018=A2017,F2018=F2017),1,0)</f>
        <v/>
      </c>
      <c r="I2018">
        <f>IF(C2018="C99999",1,0)</f>
        <v/>
      </c>
      <c r="J2018" s="5">
        <f>IF(OR(H2018=1,I2018=1),0,IF(G2018="Credit",-F2018,F2018))</f>
        <v/>
      </c>
    </row>
    <row r="2019">
      <c r="A2019" t="inlineStr">
        <is>
          <t>2026-07-21</t>
        </is>
      </c>
      <c r="B2019" t="inlineStr">
        <is>
          <t>F267356</t>
        </is>
      </c>
      <c r="C2019" t="inlineStr">
        <is>
          <t>C10388</t>
        </is>
      </c>
      <c r="D2019" t="inlineStr">
        <is>
          <t>SKU-10115</t>
        </is>
      </c>
      <c r="E2019" t="inlineStr">
        <is>
          <t>AM02</t>
        </is>
      </c>
      <c r="F2019" s="5" t="n">
        <v>393.52</v>
      </c>
      <c r="G2019">
        <f>IF(LEFT(B2019,1)="C","Credit","Factuur")</f>
        <v/>
      </c>
      <c r="H2019">
        <f>IF(AND(B2019=B2018,D2019=D2018,A2019=A2018,F2019=F2018),1,0)</f>
        <v/>
      </c>
      <c r="I2019">
        <f>IF(C2019="C99999",1,0)</f>
        <v/>
      </c>
      <c r="J2019" s="5">
        <f>IF(OR(H2019=1,I2019=1),0,IF(G2019="Credit",-F2019,F2019))</f>
        <v/>
      </c>
    </row>
    <row r="2020">
      <c r="A2020" t="inlineStr">
        <is>
          <t>2026-07-21</t>
        </is>
      </c>
      <c r="B2020" t="inlineStr">
        <is>
          <t>F267356</t>
        </is>
      </c>
      <c r="C2020" t="inlineStr">
        <is>
          <t>C10388</t>
        </is>
      </c>
      <c r="D2020" t="inlineStr">
        <is>
          <t>SKU-10123</t>
        </is>
      </c>
      <c r="E2020" t="inlineStr">
        <is>
          <t>AM02</t>
        </is>
      </c>
      <c r="F2020" s="5" t="n">
        <v>371.07</v>
      </c>
      <c r="G2020">
        <f>IF(LEFT(B2020,1)="C","Credit","Factuur")</f>
        <v/>
      </c>
      <c r="H2020">
        <f>IF(AND(B2020=B2019,D2020=D2019,A2020=A2019,F2020=F2019),1,0)</f>
        <v/>
      </c>
      <c r="I2020">
        <f>IF(C2020="C99999",1,0)</f>
        <v/>
      </c>
      <c r="J2020" s="5">
        <f>IF(OR(H2020=1,I2020=1),0,IF(G2020="Credit",-F2020,F2020))</f>
        <v/>
      </c>
    </row>
    <row r="2021">
      <c r="A2021" t="inlineStr">
        <is>
          <t>2026-07-21</t>
        </is>
      </c>
      <c r="B2021" t="inlineStr">
        <is>
          <t>F267356</t>
        </is>
      </c>
      <c r="C2021" t="inlineStr">
        <is>
          <t>C10388</t>
        </is>
      </c>
      <c r="D2021" t="inlineStr">
        <is>
          <t>SKU-10170</t>
        </is>
      </c>
      <c r="E2021" t="inlineStr">
        <is>
          <t>AM02</t>
        </is>
      </c>
      <c r="F2021" s="5" t="n">
        <v>354.54</v>
      </c>
      <c r="G2021">
        <f>IF(LEFT(B2021,1)="C","Credit","Factuur")</f>
        <v/>
      </c>
      <c r="H2021">
        <f>IF(AND(B2021=B2020,D2021=D2020,A2021=A2020,F2021=F2020),1,0)</f>
        <v/>
      </c>
      <c r="I2021">
        <f>IF(C2021="C99999",1,0)</f>
        <v/>
      </c>
      <c r="J2021" s="5">
        <f>IF(OR(H2021=1,I2021=1),0,IF(G2021="Credit",-F2021,F2021))</f>
        <v/>
      </c>
    </row>
    <row r="2022">
      <c r="A2022" t="inlineStr">
        <is>
          <t>2026-07-21</t>
        </is>
      </c>
      <c r="B2022" t="inlineStr">
        <is>
          <t>F267356</t>
        </is>
      </c>
      <c r="C2022" t="inlineStr">
        <is>
          <t>C10388</t>
        </is>
      </c>
      <c r="D2022" t="inlineStr">
        <is>
          <t>SKU-10294</t>
        </is>
      </c>
      <c r="E2022" t="inlineStr">
        <is>
          <t>AM02</t>
        </is>
      </c>
      <c r="F2022" s="5" t="n">
        <v>368.7</v>
      </c>
      <c r="G2022">
        <f>IF(LEFT(B2022,1)="C","Credit","Factuur")</f>
        <v/>
      </c>
      <c r="H2022">
        <f>IF(AND(B2022=B2021,D2022=D2021,A2022=A2021,F2022=F2021),1,0)</f>
        <v/>
      </c>
      <c r="I2022">
        <f>IF(C2022="C99999",1,0)</f>
        <v/>
      </c>
      <c r="J2022" s="5">
        <f>IF(OR(H2022=1,I2022=1),0,IF(G2022="Credit",-F2022,F2022))</f>
        <v/>
      </c>
    </row>
    <row r="2023">
      <c r="A2023" t="inlineStr">
        <is>
          <t>2026-07-21</t>
        </is>
      </c>
      <c r="B2023" t="inlineStr">
        <is>
          <t>F267356</t>
        </is>
      </c>
      <c r="C2023" t="inlineStr">
        <is>
          <t>C10388</t>
        </is>
      </c>
      <c r="D2023" t="inlineStr">
        <is>
          <t>SKU-10338</t>
        </is>
      </c>
      <c r="E2023" t="inlineStr">
        <is>
          <t>AM02</t>
        </is>
      </c>
      <c r="F2023" s="5" t="n">
        <v>352.98</v>
      </c>
      <c r="G2023">
        <f>IF(LEFT(B2023,1)="C","Credit","Factuur")</f>
        <v/>
      </c>
      <c r="H2023">
        <f>IF(AND(B2023=B2022,D2023=D2022,A2023=A2022,F2023=F2022),1,0)</f>
        <v/>
      </c>
      <c r="I2023">
        <f>IF(C2023="C99999",1,0)</f>
        <v/>
      </c>
      <c r="J2023" s="5">
        <f>IF(OR(H2023=1,I2023=1),0,IF(G2023="Credit",-F2023,F2023))</f>
        <v/>
      </c>
    </row>
    <row r="2024">
      <c r="A2024" t="inlineStr">
        <is>
          <t>2026-07-21</t>
        </is>
      </c>
      <c r="B2024" t="inlineStr">
        <is>
          <t>F267364</t>
        </is>
      </c>
      <c r="C2024" t="inlineStr">
        <is>
          <t>C10388</t>
        </is>
      </c>
      <c r="D2024" t="inlineStr">
        <is>
          <t>SKU-10038</t>
        </is>
      </c>
      <c r="E2024" t="inlineStr">
        <is>
          <t>AM02</t>
        </is>
      </c>
      <c r="F2024" s="5" t="n">
        <v>410.31</v>
      </c>
      <c r="G2024">
        <f>IF(LEFT(B2024,1)="C","Credit","Factuur")</f>
        <v/>
      </c>
      <c r="H2024">
        <f>IF(AND(B2024=B2023,D2024=D2023,A2024=A2023,F2024=F2023),1,0)</f>
        <v/>
      </c>
      <c r="I2024">
        <f>IF(C2024="C99999",1,0)</f>
        <v/>
      </c>
      <c r="J2024" s="5">
        <f>IF(OR(H2024=1,I2024=1),0,IF(G2024="Credit",-F2024,F2024))</f>
        <v/>
      </c>
    </row>
    <row r="2025">
      <c r="A2025" t="inlineStr">
        <is>
          <t>2026-07-21</t>
        </is>
      </c>
      <c r="B2025" t="inlineStr">
        <is>
          <t>F267364</t>
        </is>
      </c>
      <c r="C2025" t="inlineStr">
        <is>
          <t>C10388</t>
        </is>
      </c>
      <c r="D2025" t="inlineStr">
        <is>
          <t>SKU-10050</t>
        </is>
      </c>
      <c r="E2025" t="inlineStr"/>
      <c r="F2025" s="5" t="n">
        <v>427.44</v>
      </c>
      <c r="G2025">
        <f>IF(LEFT(B2025,1)="C","Credit","Factuur")</f>
        <v/>
      </c>
      <c r="H2025">
        <f>IF(AND(B2025=B2024,D2025=D2024,A2025=A2024,F2025=F2024),1,0)</f>
        <v/>
      </c>
      <c r="I2025">
        <f>IF(C2025="C99999",1,0)</f>
        <v/>
      </c>
      <c r="J2025" s="5">
        <f>IF(OR(H2025=1,I2025=1),0,IF(G2025="Credit",-F2025,F2025))</f>
        <v/>
      </c>
    </row>
    <row r="2026">
      <c r="A2026" t="inlineStr">
        <is>
          <t>2026-07-21</t>
        </is>
      </c>
      <c r="B2026" t="inlineStr">
        <is>
          <t>F267364</t>
        </is>
      </c>
      <c r="C2026" t="inlineStr">
        <is>
          <t>C10388</t>
        </is>
      </c>
      <c r="D2026" t="inlineStr">
        <is>
          <t>SKU-10338</t>
        </is>
      </c>
      <c r="E2026" t="inlineStr">
        <is>
          <t>AM02</t>
        </is>
      </c>
      <c r="F2026" s="5" t="n">
        <v>424.64</v>
      </c>
      <c r="G2026">
        <f>IF(LEFT(B2026,1)="C","Credit","Factuur")</f>
        <v/>
      </c>
      <c r="H2026">
        <f>IF(AND(B2026=B2025,D2026=D2025,A2026=A2025,F2026=F2025),1,0)</f>
        <v/>
      </c>
      <c r="I2026">
        <f>IF(C2026="C99999",1,0)</f>
        <v/>
      </c>
      <c r="J2026" s="5">
        <f>IF(OR(H2026=1,I2026=1),0,IF(G2026="Credit",-F2026,F2026))</f>
        <v/>
      </c>
    </row>
    <row r="2027">
      <c r="A2027" t="inlineStr">
        <is>
          <t>2026-07-21</t>
        </is>
      </c>
      <c r="B2027" t="inlineStr">
        <is>
          <t>F267672</t>
        </is>
      </c>
      <c r="C2027" t="inlineStr">
        <is>
          <t>C10402</t>
        </is>
      </c>
      <c r="D2027" t="inlineStr">
        <is>
          <t>SKU-10281</t>
        </is>
      </c>
      <c r="E2027" t="inlineStr">
        <is>
          <t>AM02</t>
        </is>
      </c>
      <c r="F2027" s="5" t="n">
        <v>5807.07</v>
      </c>
      <c r="G2027">
        <f>IF(LEFT(B2027,1)="C","Credit","Factuur")</f>
        <v/>
      </c>
      <c r="H2027">
        <f>IF(AND(B2027=B2026,D2027=D2026,A2027=A2026,F2027=F2026),1,0)</f>
        <v/>
      </c>
      <c r="I2027">
        <f>IF(C2027="C99999",1,0)</f>
        <v/>
      </c>
      <c r="J2027" s="5">
        <f>IF(OR(H2027=1,I2027=1),0,IF(G2027="Credit",-F2027,F2027))</f>
        <v/>
      </c>
    </row>
    <row r="2028">
      <c r="A2028" t="inlineStr">
        <is>
          <t>2026-07-21</t>
        </is>
      </c>
      <c r="B2028" t="inlineStr">
        <is>
          <t>F267801</t>
        </is>
      </c>
      <c r="C2028" t="inlineStr">
        <is>
          <t>C10409</t>
        </is>
      </c>
      <c r="D2028" t="inlineStr">
        <is>
          <t>SKU-10154</t>
        </is>
      </c>
      <c r="E2028" t="inlineStr">
        <is>
          <t>AM08</t>
        </is>
      </c>
      <c r="F2028" s="5" t="n">
        <v>663.39</v>
      </c>
      <c r="G2028">
        <f>IF(LEFT(B2028,1)="C","Credit","Factuur")</f>
        <v/>
      </c>
      <c r="H2028">
        <f>IF(AND(B2028=B2027,D2028=D2027,A2028=A2027,F2028=F2027),1,0)</f>
        <v/>
      </c>
      <c r="I2028">
        <f>IF(C2028="C99999",1,0)</f>
        <v/>
      </c>
      <c r="J2028" s="5">
        <f>IF(OR(H2028=1,I2028=1),0,IF(G2028="Credit",-F2028,F2028))</f>
        <v/>
      </c>
    </row>
    <row r="2029">
      <c r="A2029" t="inlineStr">
        <is>
          <t>2026-07-21</t>
        </is>
      </c>
      <c r="B2029" t="inlineStr">
        <is>
          <t>F267801</t>
        </is>
      </c>
      <c r="C2029" t="inlineStr">
        <is>
          <t>C10409</t>
        </is>
      </c>
      <c r="D2029" t="inlineStr">
        <is>
          <t>SKU-10271</t>
        </is>
      </c>
      <c r="E2029" t="inlineStr">
        <is>
          <t>AM08</t>
        </is>
      </c>
      <c r="F2029" s="5" t="n">
        <v>665</v>
      </c>
      <c r="G2029">
        <f>IF(LEFT(B2029,1)="C","Credit","Factuur")</f>
        <v/>
      </c>
      <c r="H2029">
        <f>IF(AND(B2029=B2028,D2029=D2028,A2029=A2028,F2029=F2028),1,0)</f>
        <v/>
      </c>
      <c r="I2029">
        <f>IF(C2029="C99999",1,0)</f>
        <v/>
      </c>
      <c r="J2029" s="5">
        <f>IF(OR(H2029=1,I2029=1),0,IF(G2029="Credit",-F2029,F2029))</f>
        <v/>
      </c>
    </row>
    <row r="2030">
      <c r="A2030" t="inlineStr">
        <is>
          <t>2026-07-21</t>
        </is>
      </c>
      <c r="B2030" t="inlineStr">
        <is>
          <t>F267801</t>
        </is>
      </c>
      <c r="C2030" t="inlineStr">
        <is>
          <t>C10409</t>
        </is>
      </c>
      <c r="D2030" t="inlineStr">
        <is>
          <t>SKU-10337</t>
        </is>
      </c>
      <c r="E2030" t="inlineStr">
        <is>
          <t>AM08</t>
        </is>
      </c>
      <c r="F2030" s="5" t="n">
        <v>672.75</v>
      </c>
      <c r="G2030">
        <f>IF(LEFT(B2030,1)="C","Credit","Factuur")</f>
        <v/>
      </c>
      <c r="H2030">
        <f>IF(AND(B2030=B2029,D2030=D2029,A2030=A2029,F2030=F2029),1,0)</f>
        <v/>
      </c>
      <c r="I2030">
        <f>IF(C2030="C99999",1,0)</f>
        <v/>
      </c>
      <c r="J2030" s="5">
        <f>IF(OR(H2030=1,I2030=1),0,IF(G2030="Credit",-F2030,F2030))</f>
        <v/>
      </c>
    </row>
    <row r="2031">
      <c r="A2031" t="inlineStr">
        <is>
          <t>2026-07-21</t>
        </is>
      </c>
      <c r="B2031" t="inlineStr">
        <is>
          <t>F267999</t>
        </is>
      </c>
      <c r="C2031" t="inlineStr">
        <is>
          <t>C10421</t>
        </is>
      </c>
      <c r="D2031" t="inlineStr">
        <is>
          <t>SKU-10130</t>
        </is>
      </c>
      <c r="E2031" t="inlineStr">
        <is>
          <t>AM02</t>
        </is>
      </c>
      <c r="F2031" s="5" t="n">
        <v>1413.44</v>
      </c>
      <c r="G2031">
        <f>IF(LEFT(B2031,1)="C","Credit","Factuur")</f>
        <v/>
      </c>
      <c r="H2031">
        <f>IF(AND(B2031=B2030,D2031=D2030,A2031=A2030,F2031=F2030),1,0)</f>
        <v/>
      </c>
      <c r="I2031">
        <f>IF(C2031="C99999",1,0)</f>
        <v/>
      </c>
      <c r="J2031" s="5">
        <f>IF(OR(H2031=1,I2031=1),0,IF(G2031="Credit",-F2031,F2031))</f>
        <v/>
      </c>
    </row>
    <row r="2032">
      <c r="A2032" t="inlineStr">
        <is>
          <t>2026-07-21</t>
        </is>
      </c>
      <c r="B2032" t="inlineStr">
        <is>
          <t>F268582</t>
        </is>
      </c>
      <c r="C2032" t="inlineStr">
        <is>
          <t>C10450</t>
        </is>
      </c>
      <c r="D2032" t="inlineStr">
        <is>
          <t>SKU-10090</t>
        </is>
      </c>
      <c r="E2032" t="inlineStr">
        <is>
          <t>AM03</t>
        </is>
      </c>
      <c r="F2032" s="5" t="n">
        <v>561.4400000000001</v>
      </c>
      <c r="G2032">
        <f>IF(LEFT(B2032,1)="C","Credit","Factuur")</f>
        <v/>
      </c>
      <c r="H2032">
        <f>IF(AND(B2032=B2031,D2032=D2031,A2032=A2031,F2032=F2031),1,0)</f>
        <v/>
      </c>
      <c r="I2032">
        <f>IF(C2032="C99999",1,0)</f>
        <v/>
      </c>
      <c r="J2032" s="5">
        <f>IF(OR(H2032=1,I2032=1),0,IF(G2032="Credit",-F2032,F2032))</f>
        <v/>
      </c>
    </row>
    <row r="2033">
      <c r="A2033" t="inlineStr">
        <is>
          <t>2026-07-21</t>
        </is>
      </c>
      <c r="B2033" t="inlineStr">
        <is>
          <t>F268582</t>
        </is>
      </c>
      <c r="C2033" t="inlineStr">
        <is>
          <t>C10450</t>
        </is>
      </c>
      <c r="D2033" t="inlineStr">
        <is>
          <t>SKU-10150</t>
        </is>
      </c>
      <c r="E2033" t="inlineStr">
        <is>
          <t>AM03</t>
        </is>
      </c>
      <c r="F2033" s="5" t="n">
        <v>692.65</v>
      </c>
      <c r="G2033">
        <f>IF(LEFT(B2033,1)="C","Credit","Factuur")</f>
        <v/>
      </c>
      <c r="H2033">
        <f>IF(AND(B2033=B2032,D2033=D2032,A2033=A2032,F2033=F2032),1,0)</f>
        <v/>
      </c>
      <c r="I2033">
        <f>IF(C2033="C99999",1,0)</f>
        <v/>
      </c>
      <c r="J2033" s="5">
        <f>IF(OR(H2033=1,I2033=1),0,IF(G2033="Credit",-F2033,F2033))</f>
        <v/>
      </c>
    </row>
    <row r="2034">
      <c r="A2034" t="inlineStr">
        <is>
          <t>2026-07-21</t>
        </is>
      </c>
      <c r="B2034" t="inlineStr">
        <is>
          <t>F268582</t>
        </is>
      </c>
      <c r="C2034" t="inlineStr">
        <is>
          <t>C10450</t>
        </is>
      </c>
      <c r="D2034" t="inlineStr">
        <is>
          <t>SKU-10201</t>
        </is>
      </c>
      <c r="E2034" t="inlineStr">
        <is>
          <t>AM03</t>
        </is>
      </c>
      <c r="F2034" s="5" t="n">
        <v>612.72</v>
      </c>
      <c r="G2034">
        <f>IF(LEFT(B2034,1)="C","Credit","Factuur")</f>
        <v/>
      </c>
      <c r="H2034">
        <f>IF(AND(B2034=B2033,D2034=D2033,A2034=A2033,F2034=F2033),1,0)</f>
        <v/>
      </c>
      <c r="I2034">
        <f>IF(C2034="C99999",1,0)</f>
        <v/>
      </c>
      <c r="J2034" s="5">
        <f>IF(OR(H2034=1,I2034=1),0,IF(G2034="Credit",-F2034,F2034))</f>
        <v/>
      </c>
    </row>
    <row r="2035">
      <c r="A2035" t="inlineStr">
        <is>
          <t>2026-07-21</t>
        </is>
      </c>
      <c r="B2035" t="inlineStr">
        <is>
          <t>F268582</t>
        </is>
      </c>
      <c r="C2035" t="inlineStr">
        <is>
          <t>C10450</t>
        </is>
      </c>
      <c r="D2035" t="inlineStr">
        <is>
          <t>SKU-10306</t>
        </is>
      </c>
      <c r="E2035" t="inlineStr">
        <is>
          <t>AM03</t>
        </is>
      </c>
      <c r="F2035" s="5" t="n">
        <v>558.17</v>
      </c>
      <c r="G2035">
        <f>IF(LEFT(B2035,1)="C","Credit","Factuur")</f>
        <v/>
      </c>
      <c r="H2035">
        <f>IF(AND(B2035=B2034,D2035=D2034,A2035=A2034,F2035=F2034),1,0)</f>
        <v/>
      </c>
      <c r="I2035">
        <f>IF(C2035="C99999",1,0)</f>
        <v/>
      </c>
      <c r="J2035" s="5">
        <f>IF(OR(H2035=1,I2035=1),0,IF(G2035="Credit",-F2035,F2035))</f>
        <v/>
      </c>
    </row>
    <row r="2036">
      <c r="A2036" t="inlineStr">
        <is>
          <t>2026-07-21</t>
        </is>
      </c>
      <c r="B2036" t="inlineStr">
        <is>
          <t>F268665</t>
        </is>
      </c>
      <c r="C2036" t="inlineStr">
        <is>
          <t>C10454</t>
        </is>
      </c>
      <c r="D2036" t="inlineStr">
        <is>
          <t>SKU-10053</t>
        </is>
      </c>
      <c r="E2036" t="inlineStr">
        <is>
          <t>AM12</t>
        </is>
      </c>
      <c r="F2036" s="5" t="n">
        <v>202.5</v>
      </c>
      <c r="G2036">
        <f>IF(LEFT(B2036,1)="C","Credit","Factuur")</f>
        <v/>
      </c>
      <c r="H2036">
        <f>IF(AND(B2036=B2035,D2036=D2035,A2036=A2035,F2036=F2035),1,0)</f>
        <v/>
      </c>
      <c r="I2036">
        <f>IF(C2036="C99999",1,0)</f>
        <v/>
      </c>
      <c r="J2036" s="5">
        <f>IF(OR(H2036=1,I2036=1),0,IF(G2036="Credit",-F2036,F2036))</f>
        <v/>
      </c>
    </row>
    <row r="2037">
      <c r="A2037" t="inlineStr">
        <is>
          <t>2026-07-21</t>
        </is>
      </c>
      <c r="B2037" t="inlineStr">
        <is>
          <t>F268665</t>
        </is>
      </c>
      <c r="C2037" t="inlineStr">
        <is>
          <t>C10454</t>
        </is>
      </c>
      <c r="D2037" t="inlineStr">
        <is>
          <t>SKU-10231</t>
        </is>
      </c>
      <c r="E2037" t="inlineStr">
        <is>
          <t>AM12</t>
        </is>
      </c>
      <c r="F2037" s="5" t="n">
        <v>220.86</v>
      </c>
      <c r="G2037">
        <f>IF(LEFT(B2037,1)="C","Credit","Factuur")</f>
        <v/>
      </c>
      <c r="H2037">
        <f>IF(AND(B2037=B2036,D2037=D2036,A2037=A2036,F2037=F2036),1,0)</f>
        <v/>
      </c>
      <c r="I2037">
        <f>IF(C2037="C99999",1,0)</f>
        <v/>
      </c>
      <c r="J2037" s="5">
        <f>IF(OR(H2037=1,I2037=1),0,IF(G2037="Credit",-F2037,F2037))</f>
        <v/>
      </c>
    </row>
    <row r="2038">
      <c r="A2038" t="inlineStr">
        <is>
          <t>2026-07-21</t>
        </is>
      </c>
      <c r="B2038" t="inlineStr">
        <is>
          <t>F268896</t>
        </is>
      </c>
      <c r="C2038" t="inlineStr">
        <is>
          <t>C10463</t>
        </is>
      </c>
      <c r="D2038" t="inlineStr">
        <is>
          <t>SKU-10043</t>
        </is>
      </c>
      <c r="E2038" t="inlineStr">
        <is>
          <t>AM01</t>
        </is>
      </c>
      <c r="F2038" s="5" t="n">
        <v>80.14</v>
      </c>
      <c r="G2038">
        <f>IF(LEFT(B2038,1)="C","Credit","Factuur")</f>
        <v/>
      </c>
      <c r="H2038">
        <f>IF(AND(B2038=B2037,D2038=D2037,A2038=A2037,F2038=F2037),1,0)</f>
        <v/>
      </c>
      <c r="I2038">
        <f>IF(C2038="C99999",1,0)</f>
        <v/>
      </c>
      <c r="J2038" s="5">
        <f>IF(OR(H2038=1,I2038=1),0,IF(G2038="Credit",-F2038,F2038))</f>
        <v/>
      </c>
    </row>
    <row r="2039">
      <c r="A2039" t="inlineStr">
        <is>
          <t>2026-07-21</t>
        </is>
      </c>
      <c r="B2039" t="inlineStr">
        <is>
          <t>F268896</t>
        </is>
      </c>
      <c r="C2039" t="inlineStr">
        <is>
          <t>C10463</t>
        </is>
      </c>
      <c r="D2039" t="inlineStr">
        <is>
          <t>SKU-10046</t>
        </is>
      </c>
      <c r="E2039" t="inlineStr">
        <is>
          <t>AM01</t>
        </is>
      </c>
      <c r="F2039" s="5" t="n">
        <v>94.68000000000001</v>
      </c>
      <c r="G2039">
        <f>IF(LEFT(B2039,1)="C","Credit","Factuur")</f>
        <v/>
      </c>
      <c r="H2039">
        <f>IF(AND(B2039=B2038,D2039=D2038,A2039=A2038,F2039=F2038),1,0)</f>
        <v/>
      </c>
      <c r="I2039">
        <f>IF(C2039="C99999",1,0)</f>
        <v/>
      </c>
      <c r="J2039" s="5">
        <f>IF(OR(H2039=1,I2039=1),0,IF(G2039="Credit",-F2039,F2039))</f>
        <v/>
      </c>
    </row>
    <row r="2040">
      <c r="A2040" t="inlineStr">
        <is>
          <t>2026-07-21</t>
        </is>
      </c>
      <c r="B2040" t="inlineStr">
        <is>
          <t>F268896</t>
        </is>
      </c>
      <c r="C2040" t="inlineStr">
        <is>
          <t>C10463</t>
        </is>
      </c>
      <c r="D2040" t="inlineStr">
        <is>
          <t>SKU-10150</t>
        </is>
      </c>
      <c r="E2040" t="inlineStr"/>
      <c r="F2040" s="5" t="n">
        <v>138.53</v>
      </c>
      <c r="G2040">
        <f>IF(LEFT(B2040,1)="C","Credit","Factuur")</f>
        <v/>
      </c>
      <c r="H2040">
        <f>IF(AND(B2040=B2039,D2040=D2039,A2040=A2039,F2040=F2039),1,0)</f>
        <v/>
      </c>
      <c r="I2040">
        <f>IF(C2040="C99999",1,0)</f>
        <v/>
      </c>
      <c r="J2040" s="5">
        <f>IF(OR(H2040=1,I2040=1),0,IF(G2040="Credit",-F2040,F2040))</f>
        <v/>
      </c>
    </row>
    <row r="2041">
      <c r="A2041" t="inlineStr">
        <is>
          <t>2026-07-21</t>
        </is>
      </c>
      <c r="B2041" t="inlineStr">
        <is>
          <t>F268896</t>
        </is>
      </c>
      <c r="C2041" t="inlineStr">
        <is>
          <t>C10463</t>
        </is>
      </c>
      <c r="D2041" t="inlineStr">
        <is>
          <t>SKU-10235</t>
        </is>
      </c>
      <c r="E2041" t="inlineStr">
        <is>
          <t>AM01</t>
        </is>
      </c>
      <c r="F2041" s="5" t="n">
        <v>93.94</v>
      </c>
      <c r="G2041">
        <f>IF(LEFT(B2041,1)="C","Credit","Factuur")</f>
        <v/>
      </c>
      <c r="H2041">
        <f>IF(AND(B2041=B2040,D2041=D2040,A2041=A2040,F2041=F2040),1,0)</f>
        <v/>
      </c>
      <c r="I2041">
        <f>IF(C2041="C99999",1,0)</f>
        <v/>
      </c>
      <c r="J2041" s="5">
        <f>IF(OR(H2041=1,I2041=1),0,IF(G2041="Credit",-F2041,F2041))</f>
        <v/>
      </c>
    </row>
    <row r="2042">
      <c r="A2042" t="inlineStr">
        <is>
          <t>2026-07-21</t>
        </is>
      </c>
      <c r="B2042" t="inlineStr">
        <is>
          <t>F268896</t>
        </is>
      </c>
      <c r="C2042" t="inlineStr">
        <is>
          <t>C10463</t>
        </is>
      </c>
      <c r="D2042" t="inlineStr">
        <is>
          <t>SKU-10345</t>
        </is>
      </c>
      <c r="E2042" t="inlineStr">
        <is>
          <t>AM01</t>
        </is>
      </c>
      <c r="F2042" s="5" t="n">
        <v>108.33</v>
      </c>
      <c r="G2042">
        <f>IF(LEFT(B2042,1)="C","Credit","Factuur")</f>
        <v/>
      </c>
      <c r="H2042">
        <f>IF(AND(B2042=B2041,D2042=D2041,A2042=A2041,F2042=F2041),1,0)</f>
        <v/>
      </c>
      <c r="I2042">
        <f>IF(C2042="C99999",1,0)</f>
        <v/>
      </c>
      <c r="J2042" s="5">
        <f>IF(OR(H2042=1,I2042=1),0,IF(G2042="Credit",-F2042,F2042))</f>
        <v/>
      </c>
    </row>
    <row r="2043">
      <c r="A2043" t="inlineStr">
        <is>
          <t>2026-07-21</t>
        </is>
      </c>
      <c r="B2043" t="inlineStr">
        <is>
          <t>F268970</t>
        </is>
      </c>
      <c r="C2043" t="inlineStr">
        <is>
          <t>C10466</t>
        </is>
      </c>
      <c r="D2043" t="inlineStr">
        <is>
          <t>SKU-10096</t>
        </is>
      </c>
      <c r="E2043" t="inlineStr">
        <is>
          <t>AM05</t>
        </is>
      </c>
      <c r="F2043" s="5" t="n">
        <v>217.4</v>
      </c>
      <c r="G2043">
        <f>IF(LEFT(B2043,1)="C","Credit","Factuur")</f>
        <v/>
      </c>
      <c r="H2043">
        <f>IF(AND(B2043=B2042,D2043=D2042,A2043=A2042,F2043=F2042),1,0)</f>
        <v/>
      </c>
      <c r="I2043">
        <f>IF(C2043="C99999",1,0)</f>
        <v/>
      </c>
      <c r="J2043" s="5">
        <f>IF(OR(H2043=1,I2043=1),0,IF(G2043="Credit",-F2043,F2043))</f>
        <v/>
      </c>
    </row>
    <row r="2044">
      <c r="A2044" t="inlineStr">
        <is>
          <t>2026-07-21</t>
        </is>
      </c>
      <c r="B2044" t="inlineStr">
        <is>
          <t>F268970</t>
        </is>
      </c>
      <c r="C2044" t="inlineStr">
        <is>
          <t>C10466</t>
        </is>
      </c>
      <c r="D2044" t="inlineStr">
        <is>
          <t>SKU-10306</t>
        </is>
      </c>
      <c r="E2044" t="inlineStr">
        <is>
          <t>AM05</t>
        </is>
      </c>
      <c r="F2044" s="5" t="n">
        <v>229.7</v>
      </c>
      <c r="G2044">
        <f>IF(LEFT(B2044,1)="C","Credit","Factuur")</f>
        <v/>
      </c>
      <c r="H2044">
        <f>IF(AND(B2044=B2043,D2044=D2043,A2044=A2043,F2044=F2043),1,0)</f>
        <v/>
      </c>
      <c r="I2044">
        <f>IF(C2044="C99999",1,0)</f>
        <v/>
      </c>
      <c r="J2044" s="5">
        <f>IF(OR(H2044=1,I2044=1),0,IF(G2044="Credit",-F2044,F2044))</f>
        <v/>
      </c>
    </row>
    <row r="2045">
      <c r="A2045" t="inlineStr">
        <is>
          <t>2026-07-21</t>
        </is>
      </c>
      <c r="B2045" t="inlineStr">
        <is>
          <t>F269044</t>
        </is>
      </c>
      <c r="C2045" t="inlineStr">
        <is>
          <t>C10471</t>
        </is>
      </c>
      <c r="D2045" t="inlineStr">
        <is>
          <t>SKU-10230</t>
        </is>
      </c>
      <c r="E2045" t="inlineStr">
        <is>
          <t>AM01</t>
        </is>
      </c>
      <c r="F2045" s="5" t="n">
        <v>177.8</v>
      </c>
      <c r="G2045">
        <f>IF(LEFT(B2045,1)="C","Credit","Factuur")</f>
        <v/>
      </c>
      <c r="H2045">
        <f>IF(AND(B2045=B2044,D2045=D2044,A2045=A2044,F2045=F2044),1,0)</f>
        <v/>
      </c>
      <c r="I2045">
        <f>IF(C2045="C99999",1,0)</f>
        <v/>
      </c>
      <c r="J2045" s="5">
        <f>IF(OR(H2045=1,I2045=1),0,IF(G2045="Credit",-F2045,F2045))</f>
        <v/>
      </c>
    </row>
    <row r="2046">
      <c r="A2046" t="inlineStr">
        <is>
          <t>2026-07-21</t>
        </is>
      </c>
      <c r="B2046" t="inlineStr">
        <is>
          <t>F269044</t>
        </is>
      </c>
      <c r="C2046" t="inlineStr">
        <is>
          <t>C10471</t>
        </is>
      </c>
      <c r="D2046" t="inlineStr">
        <is>
          <t>SKU-10270</t>
        </is>
      </c>
      <c r="E2046" t="inlineStr">
        <is>
          <t>AM01</t>
        </is>
      </c>
      <c r="F2046" s="5" t="n">
        <v>155.81</v>
      </c>
      <c r="G2046">
        <f>IF(LEFT(B2046,1)="C","Credit","Factuur")</f>
        <v/>
      </c>
      <c r="H2046">
        <f>IF(AND(B2046=B2045,D2046=D2045,A2046=A2045,F2046=F2045),1,0)</f>
        <v/>
      </c>
      <c r="I2046">
        <f>IF(C2046="C99999",1,0)</f>
        <v/>
      </c>
      <c r="J2046" s="5">
        <f>IF(OR(H2046=1,I2046=1),0,IF(G2046="Credit",-F2046,F2046))</f>
        <v/>
      </c>
    </row>
    <row r="2047">
      <c r="A2047" t="inlineStr">
        <is>
          <t>2026-07-21</t>
        </is>
      </c>
      <c r="B2047" t="inlineStr">
        <is>
          <t>F269044</t>
        </is>
      </c>
      <c r="C2047" t="inlineStr">
        <is>
          <t>C10471</t>
        </is>
      </c>
      <c r="D2047" t="inlineStr">
        <is>
          <t>SKU-10329</t>
        </is>
      </c>
      <c r="E2047" t="inlineStr">
        <is>
          <t>AM01</t>
        </is>
      </c>
      <c r="F2047" s="5" t="n">
        <v>184.1</v>
      </c>
      <c r="G2047">
        <f>IF(LEFT(B2047,1)="C","Credit","Factuur")</f>
        <v/>
      </c>
      <c r="H2047">
        <f>IF(AND(B2047=B2046,D2047=D2046,A2047=A2046,F2047=F2046),1,0)</f>
        <v/>
      </c>
      <c r="I2047">
        <f>IF(C2047="C99999",1,0)</f>
        <v/>
      </c>
      <c r="J2047" s="5">
        <f>IF(OR(H2047=1,I2047=1),0,IF(G2047="Credit",-F2047,F2047))</f>
        <v/>
      </c>
    </row>
    <row r="2048">
      <c r="A2048" t="inlineStr">
        <is>
          <t>2026-07-21</t>
        </is>
      </c>
      <c r="B2048" t="inlineStr">
        <is>
          <t>F269120</t>
        </is>
      </c>
      <c r="C2048" t="inlineStr">
        <is>
          <t>C10478</t>
        </is>
      </c>
      <c r="D2048" t="inlineStr">
        <is>
          <t>SKU-10174</t>
        </is>
      </c>
      <c r="E2048" t="inlineStr">
        <is>
          <t>AM12</t>
        </is>
      </c>
      <c r="F2048" s="5" t="n">
        <v>2993.25</v>
      </c>
      <c r="G2048">
        <f>IF(LEFT(B2048,1)="C","Credit","Factuur")</f>
        <v/>
      </c>
      <c r="H2048">
        <f>IF(AND(B2048=B2047,D2048=D2047,A2048=A2047,F2048=F2047),1,0)</f>
        <v/>
      </c>
      <c r="I2048">
        <f>IF(C2048="C99999",1,0)</f>
        <v/>
      </c>
      <c r="J2048" s="5">
        <f>IF(OR(H2048=1,I2048=1),0,IF(G2048="Credit",-F2048,F2048))</f>
        <v/>
      </c>
    </row>
    <row r="2049">
      <c r="A2049" t="inlineStr">
        <is>
          <t>2026-07-21</t>
        </is>
      </c>
      <c r="B2049" t="inlineStr">
        <is>
          <t>F269658</t>
        </is>
      </c>
      <c r="C2049" t="inlineStr">
        <is>
          <t>C10508</t>
        </is>
      </c>
      <c r="D2049" t="inlineStr">
        <is>
          <t>SKU-10060</t>
        </is>
      </c>
      <c r="E2049" t="inlineStr">
        <is>
          <t>AM01</t>
        </is>
      </c>
      <c r="F2049" s="5" t="n">
        <v>264.6</v>
      </c>
      <c r="G2049">
        <f>IF(LEFT(B2049,1)="C","Credit","Factuur")</f>
        <v/>
      </c>
      <c r="H2049">
        <f>IF(AND(B2049=B2048,D2049=D2048,A2049=A2048,F2049=F2048),1,0)</f>
        <v/>
      </c>
      <c r="I2049">
        <f>IF(C2049="C99999",1,0)</f>
        <v/>
      </c>
      <c r="J2049" s="5">
        <f>IF(OR(H2049=1,I2049=1),0,IF(G2049="Credit",-F2049,F2049))</f>
        <v/>
      </c>
    </row>
    <row r="2050">
      <c r="A2050" t="inlineStr">
        <is>
          <t>2026-07-21</t>
        </is>
      </c>
      <c r="B2050" t="inlineStr">
        <is>
          <t>F269658</t>
        </is>
      </c>
      <c r="C2050" t="inlineStr">
        <is>
          <t>C10508</t>
        </is>
      </c>
      <c r="D2050" t="inlineStr">
        <is>
          <t>SKU-10147</t>
        </is>
      </c>
      <c r="E2050" t="inlineStr">
        <is>
          <t>AM01</t>
        </is>
      </c>
      <c r="F2050" s="5" t="n">
        <v>285.81</v>
      </c>
      <c r="G2050">
        <f>IF(LEFT(B2050,1)="C","Credit","Factuur")</f>
        <v/>
      </c>
      <c r="H2050">
        <f>IF(AND(B2050=B2049,D2050=D2049,A2050=A2049,F2050=F2049),1,0)</f>
        <v/>
      </c>
      <c r="I2050">
        <f>IF(C2050="C99999",1,0)</f>
        <v/>
      </c>
      <c r="J2050" s="5">
        <f>IF(OR(H2050=1,I2050=1),0,IF(G2050="Credit",-F2050,F2050))</f>
        <v/>
      </c>
    </row>
    <row r="2051">
      <c r="A2051" t="inlineStr">
        <is>
          <t>2026-07-21</t>
        </is>
      </c>
      <c r="B2051" t="inlineStr">
        <is>
          <t>F269658</t>
        </is>
      </c>
      <c r="C2051" t="inlineStr">
        <is>
          <t>C10508</t>
        </is>
      </c>
      <c r="D2051" t="inlineStr">
        <is>
          <t>SKU-10215</t>
        </is>
      </c>
      <c r="E2051" t="inlineStr">
        <is>
          <t>AM01</t>
        </is>
      </c>
      <c r="F2051" s="5" t="n">
        <v>268.58</v>
      </c>
      <c r="G2051">
        <f>IF(LEFT(B2051,1)="C","Credit","Factuur")</f>
        <v/>
      </c>
      <c r="H2051">
        <f>IF(AND(B2051=B2050,D2051=D2050,A2051=A2050,F2051=F2050),1,0)</f>
        <v/>
      </c>
      <c r="I2051">
        <f>IF(C2051="C99999",1,0)</f>
        <v/>
      </c>
      <c r="J2051" s="5">
        <f>IF(OR(H2051=1,I2051=1),0,IF(G2051="Credit",-F2051,F2051))</f>
        <v/>
      </c>
    </row>
    <row r="2052">
      <c r="A2052" t="inlineStr">
        <is>
          <t>2026-07-21</t>
        </is>
      </c>
      <c r="B2052" t="inlineStr">
        <is>
          <t>F269658</t>
        </is>
      </c>
      <c r="C2052" t="inlineStr">
        <is>
          <t>C10508</t>
        </is>
      </c>
      <c r="D2052" t="inlineStr">
        <is>
          <t>SKU-10222</t>
        </is>
      </c>
      <c r="E2052" t="inlineStr">
        <is>
          <t>AM01</t>
        </is>
      </c>
      <c r="F2052" s="5" t="n">
        <v>282.94</v>
      </c>
      <c r="G2052">
        <f>IF(LEFT(B2052,1)="C","Credit","Factuur")</f>
        <v/>
      </c>
      <c r="H2052">
        <f>IF(AND(B2052=B2051,D2052=D2051,A2052=A2051,F2052=F2051),1,0)</f>
        <v/>
      </c>
      <c r="I2052">
        <f>IF(C2052="C99999",1,0)</f>
        <v/>
      </c>
      <c r="J2052" s="5">
        <f>IF(OR(H2052=1,I2052=1),0,IF(G2052="Credit",-F2052,F2052))</f>
        <v/>
      </c>
    </row>
    <row r="2053">
      <c r="A2053" t="inlineStr">
        <is>
          <t>2026-07-21</t>
        </is>
      </c>
      <c r="B2053" t="inlineStr">
        <is>
          <t>F269658</t>
        </is>
      </c>
      <c r="C2053" t="inlineStr">
        <is>
          <t>C10508</t>
        </is>
      </c>
      <c r="D2053" t="inlineStr">
        <is>
          <t>SKU-10296</t>
        </is>
      </c>
      <c r="E2053" t="inlineStr">
        <is>
          <t>AM01</t>
        </is>
      </c>
      <c r="F2053" s="5" t="n">
        <v>248.49</v>
      </c>
      <c r="G2053">
        <f>IF(LEFT(B2053,1)="C","Credit","Factuur")</f>
        <v/>
      </c>
      <c r="H2053">
        <f>IF(AND(B2053=B2052,D2053=D2052,A2053=A2052,F2053=F2052),1,0)</f>
        <v/>
      </c>
      <c r="I2053">
        <f>IF(C2053="C99999",1,0)</f>
        <v/>
      </c>
      <c r="J2053" s="5">
        <f>IF(OR(H2053=1,I2053=1),0,IF(G2053="Credit",-F2053,F2053))</f>
        <v/>
      </c>
    </row>
    <row r="2054">
      <c r="A2054" t="inlineStr">
        <is>
          <t>2026-07-21</t>
        </is>
      </c>
      <c r="B2054" t="inlineStr">
        <is>
          <t>F269658</t>
        </is>
      </c>
      <c r="C2054" t="inlineStr">
        <is>
          <t>C10508</t>
        </is>
      </c>
      <c r="D2054" t="inlineStr">
        <is>
          <t>SKU-10309</t>
        </is>
      </c>
      <c r="E2054" t="inlineStr">
        <is>
          <t>AM01</t>
        </is>
      </c>
      <c r="F2054" s="5" t="n">
        <v>235.67</v>
      </c>
      <c r="G2054">
        <f>IF(LEFT(B2054,1)="C","Credit","Factuur")</f>
        <v/>
      </c>
      <c r="H2054">
        <f>IF(AND(B2054=B2053,D2054=D2053,A2054=A2053,F2054=F2053),1,0)</f>
        <v/>
      </c>
      <c r="I2054">
        <f>IF(C2054="C99999",1,0)</f>
        <v/>
      </c>
      <c r="J2054" s="5">
        <f>IF(OR(H2054=1,I2054=1),0,IF(G2054="Credit",-F2054,F2054))</f>
        <v/>
      </c>
    </row>
    <row r="2055">
      <c r="A2055" t="inlineStr">
        <is>
          <t>2026-07-21</t>
        </is>
      </c>
      <c r="B2055" t="inlineStr">
        <is>
          <t>F269901</t>
        </is>
      </c>
      <c r="C2055" t="inlineStr">
        <is>
          <t>C10522</t>
        </is>
      </c>
      <c r="D2055" t="inlineStr">
        <is>
          <t>SKU-10159</t>
        </is>
      </c>
      <c r="E2055" t="inlineStr">
        <is>
          <t>AM11</t>
        </is>
      </c>
      <c r="F2055" s="5" t="n">
        <v>211.66</v>
      </c>
      <c r="G2055">
        <f>IF(LEFT(B2055,1)="C","Credit","Factuur")</f>
        <v/>
      </c>
      <c r="H2055">
        <f>IF(AND(B2055=B2054,D2055=D2054,A2055=A2054,F2055=F2054),1,0)</f>
        <v/>
      </c>
      <c r="I2055">
        <f>IF(C2055="C99999",1,0)</f>
        <v/>
      </c>
      <c r="J2055" s="5">
        <f>IF(OR(H2055=1,I2055=1),0,IF(G2055="Credit",-F2055,F2055))</f>
        <v/>
      </c>
    </row>
    <row r="2056">
      <c r="A2056" t="inlineStr">
        <is>
          <t>2026-07-21</t>
        </is>
      </c>
      <c r="B2056" t="inlineStr">
        <is>
          <t>F269901</t>
        </is>
      </c>
      <c r="C2056" t="inlineStr">
        <is>
          <t>C10522</t>
        </is>
      </c>
      <c r="D2056" t="inlineStr">
        <is>
          <t>SKU-10275</t>
        </is>
      </c>
      <c r="E2056" t="inlineStr">
        <is>
          <t>AM11</t>
        </is>
      </c>
      <c r="F2056" s="5" t="n">
        <v>218.88</v>
      </c>
      <c r="G2056">
        <f>IF(LEFT(B2056,1)="C","Credit","Factuur")</f>
        <v/>
      </c>
      <c r="H2056">
        <f>IF(AND(B2056=B2055,D2056=D2055,A2056=A2055,F2056=F2055),1,0)</f>
        <v/>
      </c>
      <c r="I2056">
        <f>IF(C2056="C99999",1,0)</f>
        <v/>
      </c>
      <c r="J2056" s="5">
        <f>IF(OR(H2056=1,I2056=1),0,IF(G2056="Credit",-F2056,F2056))</f>
        <v/>
      </c>
    </row>
    <row r="2057">
      <c r="A2057" t="inlineStr">
        <is>
          <t>2026-07-21</t>
        </is>
      </c>
      <c r="B2057" t="inlineStr">
        <is>
          <t>F270495</t>
        </is>
      </c>
      <c r="C2057" t="inlineStr">
        <is>
          <t>C10552</t>
        </is>
      </c>
      <c r="D2057" t="inlineStr">
        <is>
          <t>SKU-10184</t>
        </is>
      </c>
      <c r="E2057" t="inlineStr">
        <is>
          <t>AM03</t>
        </is>
      </c>
      <c r="F2057" s="5" t="n">
        <v>570.6799999999999</v>
      </c>
      <c r="G2057">
        <f>IF(LEFT(B2057,1)="C","Credit","Factuur")</f>
        <v/>
      </c>
      <c r="H2057">
        <f>IF(AND(B2057=B2056,D2057=D2056,A2057=A2056,F2057=F2056),1,0)</f>
        <v/>
      </c>
      <c r="I2057">
        <f>IF(C2057="C99999",1,0)</f>
        <v/>
      </c>
      <c r="J2057" s="5">
        <f>IF(OR(H2057=1,I2057=1),0,IF(G2057="Credit",-F2057,F2057))</f>
        <v/>
      </c>
    </row>
    <row r="2058">
      <c r="A2058" t="inlineStr">
        <is>
          <t>2026-07-21</t>
        </is>
      </c>
      <c r="B2058" t="inlineStr">
        <is>
          <t>F270495</t>
        </is>
      </c>
      <c r="C2058" t="inlineStr">
        <is>
          <t>C10552</t>
        </is>
      </c>
      <c r="D2058" t="inlineStr">
        <is>
          <t>SKU-10343</t>
        </is>
      </c>
      <c r="E2058" t="inlineStr">
        <is>
          <t>AM03</t>
        </is>
      </c>
      <c r="F2058" s="5" t="n">
        <v>489.46</v>
      </c>
      <c r="G2058">
        <f>IF(LEFT(B2058,1)="C","Credit","Factuur")</f>
        <v/>
      </c>
      <c r="H2058">
        <f>IF(AND(B2058=B2057,D2058=D2057,A2058=A2057,F2058=F2057),1,0)</f>
        <v/>
      </c>
      <c r="I2058">
        <f>IF(C2058="C99999",1,0)</f>
        <v/>
      </c>
      <c r="J2058" s="5">
        <f>IF(OR(H2058=1,I2058=1),0,IF(G2058="Credit",-F2058,F2058))</f>
        <v/>
      </c>
    </row>
    <row r="2059">
      <c r="A2059" t="inlineStr">
        <is>
          <t>2026-07-21</t>
        </is>
      </c>
      <c r="B2059" t="inlineStr">
        <is>
          <t>F271820</t>
        </is>
      </c>
      <c r="C2059" t="inlineStr">
        <is>
          <t>C10607</t>
        </is>
      </c>
      <c r="D2059" t="inlineStr">
        <is>
          <t>SKU-10174</t>
        </is>
      </c>
      <c r="E2059" t="inlineStr">
        <is>
          <t>AM08</t>
        </is>
      </c>
      <c r="F2059" s="5" t="n">
        <v>1396.85</v>
      </c>
      <c r="G2059">
        <f>IF(LEFT(B2059,1)="C","Credit","Factuur")</f>
        <v/>
      </c>
      <c r="H2059">
        <f>IF(AND(B2059=B2058,D2059=D2058,A2059=A2058,F2059=F2058),1,0)</f>
        <v/>
      </c>
      <c r="I2059">
        <f>IF(C2059="C99999",1,0)</f>
        <v/>
      </c>
      <c r="J2059" s="5">
        <f>IF(OR(H2059=1,I2059=1),0,IF(G2059="Credit",-F2059,F2059))</f>
        <v/>
      </c>
    </row>
    <row r="2060">
      <c r="A2060" t="inlineStr">
        <is>
          <t>2026-07-21</t>
        </is>
      </c>
      <c r="B2060" t="inlineStr">
        <is>
          <t>F271820</t>
        </is>
      </c>
      <c r="C2060" t="inlineStr">
        <is>
          <t>C10607</t>
        </is>
      </c>
      <c r="D2060" t="inlineStr">
        <is>
          <t>SKU-10197</t>
        </is>
      </c>
      <c r="E2060" t="inlineStr">
        <is>
          <t>AM08</t>
        </is>
      </c>
      <c r="F2060" s="5" t="n">
        <v>1409.43</v>
      </c>
      <c r="G2060">
        <f>IF(LEFT(B2060,1)="C","Credit","Factuur")</f>
        <v/>
      </c>
      <c r="H2060">
        <f>IF(AND(B2060=B2059,D2060=D2059,A2060=A2059,F2060=F2059),1,0)</f>
        <v/>
      </c>
      <c r="I2060">
        <f>IF(C2060="C99999",1,0)</f>
        <v/>
      </c>
      <c r="J2060" s="5">
        <f>IF(OR(H2060=1,I2060=1),0,IF(G2060="Credit",-F2060,F2060))</f>
        <v/>
      </c>
    </row>
    <row r="2061">
      <c r="A2061" t="inlineStr">
        <is>
          <t>2026-07-21</t>
        </is>
      </c>
      <c r="B2061" t="inlineStr">
        <is>
          <t>F271820</t>
        </is>
      </c>
      <c r="C2061" t="inlineStr">
        <is>
          <t>C10607</t>
        </is>
      </c>
      <c r="D2061" t="inlineStr">
        <is>
          <t>SKU-10258</t>
        </is>
      </c>
      <c r="E2061" t="inlineStr">
        <is>
          <t>AM08</t>
        </is>
      </c>
      <c r="F2061" s="5" t="n">
        <v>1401.38</v>
      </c>
      <c r="G2061">
        <f>IF(LEFT(B2061,1)="C","Credit","Factuur")</f>
        <v/>
      </c>
      <c r="H2061">
        <f>IF(AND(B2061=B2060,D2061=D2060,A2061=A2060,F2061=F2060),1,0)</f>
        <v/>
      </c>
      <c r="I2061">
        <f>IF(C2061="C99999",1,0)</f>
        <v/>
      </c>
      <c r="J2061" s="5">
        <f>IF(OR(H2061=1,I2061=1),0,IF(G2061="Credit",-F2061,F2061))</f>
        <v/>
      </c>
    </row>
    <row r="2062">
      <c r="A2062" t="inlineStr">
        <is>
          <t>2026-07-21</t>
        </is>
      </c>
      <c r="B2062" t="inlineStr">
        <is>
          <t>F271820</t>
        </is>
      </c>
      <c r="C2062" t="inlineStr">
        <is>
          <t>C10607</t>
        </is>
      </c>
      <c r="D2062" t="inlineStr">
        <is>
          <t>SKU-10277</t>
        </is>
      </c>
      <c r="E2062" t="inlineStr">
        <is>
          <t>AM08</t>
        </is>
      </c>
      <c r="F2062" s="5" t="n">
        <v>1386.45</v>
      </c>
      <c r="G2062">
        <f>IF(LEFT(B2062,1)="C","Credit","Factuur")</f>
        <v/>
      </c>
      <c r="H2062">
        <f>IF(AND(B2062=B2061,D2062=D2061,A2062=A2061,F2062=F2061),1,0)</f>
        <v/>
      </c>
      <c r="I2062">
        <f>IF(C2062="C99999",1,0)</f>
        <v/>
      </c>
      <c r="J2062" s="5">
        <f>IF(OR(H2062=1,I2062=1),0,IF(G2062="Credit",-F2062,F2062))</f>
        <v/>
      </c>
    </row>
    <row r="2063">
      <c r="A2063" t="inlineStr">
        <is>
          <t>2026-07-21</t>
        </is>
      </c>
      <c r="B2063" t="inlineStr">
        <is>
          <t>F271852</t>
        </is>
      </c>
      <c r="C2063" t="inlineStr">
        <is>
          <t>C10609</t>
        </is>
      </c>
      <c r="D2063" t="inlineStr">
        <is>
          <t>SKU-10146</t>
        </is>
      </c>
      <c r="E2063" t="inlineStr">
        <is>
          <t>AM01</t>
        </is>
      </c>
      <c r="F2063" s="5" t="n">
        <v>462.28</v>
      </c>
      <c r="G2063">
        <f>IF(LEFT(B2063,1)="C","Credit","Factuur")</f>
        <v/>
      </c>
      <c r="H2063">
        <f>IF(AND(B2063=B2062,D2063=D2062,A2063=A2062,F2063=F2062),1,0)</f>
        <v/>
      </c>
      <c r="I2063">
        <f>IF(C2063="C99999",1,0)</f>
        <v/>
      </c>
      <c r="J2063" s="5">
        <f>IF(OR(H2063=1,I2063=1),0,IF(G2063="Credit",-F2063,F2063))</f>
        <v/>
      </c>
    </row>
    <row r="2064">
      <c r="A2064" t="inlineStr">
        <is>
          <t>2026-07-21</t>
        </is>
      </c>
      <c r="B2064" t="inlineStr">
        <is>
          <t>F271852</t>
        </is>
      </c>
      <c r="C2064" t="inlineStr">
        <is>
          <t>C10609</t>
        </is>
      </c>
      <c r="D2064" t="inlineStr">
        <is>
          <t>SKU-10323</t>
        </is>
      </c>
      <c r="E2064" t="inlineStr">
        <is>
          <t>AM01</t>
        </is>
      </c>
      <c r="F2064" s="5" t="n">
        <v>405.95</v>
      </c>
      <c r="G2064">
        <f>IF(LEFT(B2064,1)="C","Credit","Factuur")</f>
        <v/>
      </c>
      <c r="H2064">
        <f>IF(AND(B2064=B2063,D2064=D2063,A2064=A2063,F2064=F2063),1,0)</f>
        <v/>
      </c>
      <c r="I2064">
        <f>IF(C2064="C99999",1,0)</f>
        <v/>
      </c>
      <c r="J2064" s="5">
        <f>IF(OR(H2064=1,I2064=1),0,IF(G2064="Credit",-F2064,F2064))</f>
        <v/>
      </c>
    </row>
    <row r="2065">
      <c r="A2065" t="inlineStr">
        <is>
          <t>2026-07-21</t>
        </is>
      </c>
      <c r="B2065" t="inlineStr">
        <is>
          <t>F271852</t>
        </is>
      </c>
      <c r="C2065" t="inlineStr">
        <is>
          <t>C10609</t>
        </is>
      </c>
      <c r="D2065" t="inlineStr">
        <is>
          <t>SKU-10362</t>
        </is>
      </c>
      <c r="E2065" t="inlineStr">
        <is>
          <t>AM01</t>
        </is>
      </c>
      <c r="F2065" s="5" t="n">
        <v>384.75</v>
      </c>
      <c r="G2065">
        <f>IF(LEFT(B2065,1)="C","Credit","Factuur")</f>
        <v/>
      </c>
      <c r="H2065">
        <f>IF(AND(B2065=B2064,D2065=D2064,A2065=A2064,F2065=F2064),1,0)</f>
        <v/>
      </c>
      <c r="I2065">
        <f>IF(C2065="C99999",1,0)</f>
        <v/>
      </c>
      <c r="J2065" s="5">
        <f>IF(OR(H2065=1,I2065=1),0,IF(G2065="Credit",-F2065,F2065))</f>
        <v/>
      </c>
    </row>
    <row r="2066">
      <c r="A2066" t="inlineStr">
        <is>
          <t>2026-07-21</t>
        </is>
      </c>
      <c r="B2066" t="inlineStr">
        <is>
          <t>F272036</t>
        </is>
      </c>
      <c r="C2066" t="inlineStr">
        <is>
          <t>C10620</t>
        </is>
      </c>
      <c r="D2066" t="inlineStr">
        <is>
          <t>SKU-10041</t>
        </is>
      </c>
      <c r="E2066" t="inlineStr">
        <is>
          <t>AM03</t>
        </is>
      </c>
      <c r="F2066" s="5" t="n">
        <v>96.31999999999999</v>
      </c>
      <c r="G2066">
        <f>IF(LEFT(B2066,1)="C","Credit","Factuur")</f>
        <v/>
      </c>
      <c r="H2066">
        <f>IF(AND(B2066=B2065,D2066=D2065,A2066=A2065,F2066=F2065),1,0)</f>
        <v/>
      </c>
      <c r="I2066">
        <f>IF(C2066="C99999",1,0)</f>
        <v/>
      </c>
      <c r="J2066" s="5">
        <f>IF(OR(H2066=1,I2066=1),0,IF(G2066="Credit",-F2066,F2066))</f>
        <v/>
      </c>
    </row>
    <row r="2067">
      <c r="A2067" t="inlineStr">
        <is>
          <t>2026-07-21</t>
        </is>
      </c>
      <c r="B2067" t="inlineStr">
        <is>
          <t>F272036</t>
        </is>
      </c>
      <c r="C2067" t="inlineStr">
        <is>
          <t>C10620</t>
        </is>
      </c>
      <c r="D2067" t="inlineStr">
        <is>
          <t>SKU-10103</t>
        </is>
      </c>
      <c r="E2067" t="inlineStr">
        <is>
          <t>AM03</t>
        </is>
      </c>
      <c r="F2067" s="5" t="n">
        <v>75.45999999999999</v>
      </c>
      <c r="G2067">
        <f>IF(LEFT(B2067,1)="C","Credit","Factuur")</f>
        <v/>
      </c>
      <c r="H2067">
        <f>IF(AND(B2067=B2066,D2067=D2066,A2067=A2066,F2067=F2066),1,0)</f>
        <v/>
      </c>
      <c r="I2067">
        <f>IF(C2067="C99999",1,0)</f>
        <v/>
      </c>
      <c r="J2067" s="5">
        <f>IF(OR(H2067=1,I2067=1),0,IF(G2067="Credit",-F2067,F2067))</f>
        <v/>
      </c>
    </row>
    <row r="2068">
      <c r="A2068" t="inlineStr">
        <is>
          <t>2026-07-21</t>
        </is>
      </c>
      <c r="B2068" t="inlineStr">
        <is>
          <t>F272036</t>
        </is>
      </c>
      <c r="C2068" t="inlineStr">
        <is>
          <t>C10620</t>
        </is>
      </c>
      <c r="D2068" t="inlineStr">
        <is>
          <t>SKU-10191</t>
        </is>
      </c>
      <c r="E2068" t="inlineStr">
        <is>
          <t>AM03</t>
        </is>
      </c>
      <c r="F2068" s="5" t="n">
        <v>99.48</v>
      </c>
      <c r="G2068">
        <f>IF(LEFT(B2068,1)="C","Credit","Factuur")</f>
        <v/>
      </c>
      <c r="H2068">
        <f>IF(AND(B2068=B2067,D2068=D2067,A2068=A2067,F2068=F2067),1,0)</f>
        <v/>
      </c>
      <c r="I2068">
        <f>IF(C2068="C99999",1,0)</f>
        <v/>
      </c>
      <c r="J2068" s="5">
        <f>IF(OR(H2068=1,I2068=1),0,IF(G2068="Credit",-F2068,F2068))</f>
        <v/>
      </c>
    </row>
    <row r="2069">
      <c r="A2069" t="inlineStr">
        <is>
          <t>2026-07-21</t>
        </is>
      </c>
      <c r="B2069" t="inlineStr">
        <is>
          <t>F272036</t>
        </is>
      </c>
      <c r="C2069" t="inlineStr">
        <is>
          <t>C10620</t>
        </is>
      </c>
      <c r="D2069" t="inlineStr">
        <is>
          <t>SKU-10195</t>
        </is>
      </c>
      <c r="E2069" t="inlineStr">
        <is>
          <t>AM03</t>
        </is>
      </c>
      <c r="F2069" s="5" t="n">
        <v>79.86</v>
      </c>
      <c r="G2069">
        <f>IF(LEFT(B2069,1)="C","Credit","Factuur")</f>
        <v/>
      </c>
      <c r="H2069">
        <f>IF(AND(B2069=B2068,D2069=D2068,A2069=A2068,F2069=F2068),1,0)</f>
        <v/>
      </c>
      <c r="I2069">
        <f>IF(C2069="C99999",1,0)</f>
        <v/>
      </c>
      <c r="J2069" s="5">
        <f>IF(OR(H2069=1,I2069=1),0,IF(G2069="Credit",-F2069,F2069))</f>
        <v/>
      </c>
    </row>
    <row r="2070">
      <c r="A2070" t="inlineStr">
        <is>
          <t>2026-07-21</t>
        </is>
      </c>
      <c r="B2070" t="inlineStr">
        <is>
          <t>F272036</t>
        </is>
      </c>
      <c r="C2070" t="inlineStr">
        <is>
          <t>C10620</t>
        </is>
      </c>
      <c r="D2070" t="inlineStr">
        <is>
          <t>SKU-10274</t>
        </is>
      </c>
      <c r="E2070" t="inlineStr">
        <is>
          <t>AM03</t>
        </is>
      </c>
      <c r="F2070" s="5" t="n">
        <v>102.68</v>
      </c>
      <c r="G2070">
        <f>IF(LEFT(B2070,1)="C","Credit","Factuur")</f>
        <v/>
      </c>
      <c r="H2070">
        <f>IF(AND(B2070=B2069,D2070=D2069,A2070=A2069,F2070=F2069),1,0)</f>
        <v/>
      </c>
      <c r="I2070">
        <f>IF(C2070="C99999",1,0)</f>
        <v/>
      </c>
      <c r="J2070" s="5">
        <f>IF(OR(H2070=1,I2070=1),0,IF(G2070="Credit",-F2070,F2070))</f>
        <v/>
      </c>
    </row>
    <row r="2071">
      <c r="A2071" t="inlineStr">
        <is>
          <t>2026-07-21</t>
        </is>
      </c>
      <c r="B2071" t="inlineStr">
        <is>
          <t>F272036</t>
        </is>
      </c>
      <c r="C2071" t="inlineStr">
        <is>
          <t>C10620</t>
        </is>
      </c>
      <c r="D2071" t="inlineStr">
        <is>
          <t>SKU-10335</t>
        </is>
      </c>
      <c r="E2071" t="inlineStr">
        <is>
          <t>AM03</t>
        </is>
      </c>
      <c r="F2071" s="5" t="n">
        <v>96.88</v>
      </c>
      <c r="G2071">
        <f>IF(LEFT(B2071,1)="C","Credit","Factuur")</f>
        <v/>
      </c>
      <c r="H2071">
        <f>IF(AND(B2071=B2070,D2071=D2070,A2071=A2070,F2071=F2070),1,0)</f>
        <v/>
      </c>
      <c r="I2071">
        <f>IF(C2071="C99999",1,0)</f>
        <v/>
      </c>
      <c r="J2071" s="5">
        <f>IF(OR(H2071=1,I2071=1),0,IF(G2071="Credit",-F2071,F2071))</f>
        <v/>
      </c>
    </row>
    <row r="2072">
      <c r="A2072" t="inlineStr">
        <is>
          <t>2026-07-21</t>
        </is>
      </c>
      <c r="B2072" t="inlineStr">
        <is>
          <t>F272155</t>
        </is>
      </c>
      <c r="C2072" t="inlineStr">
        <is>
          <t>C10629</t>
        </is>
      </c>
      <c r="D2072" t="inlineStr">
        <is>
          <t>SKU-10029</t>
        </is>
      </c>
      <c r="E2072" t="inlineStr">
        <is>
          <t>AM12</t>
        </is>
      </c>
      <c r="F2072" s="5" t="n">
        <v>805.86</v>
      </c>
      <c r="G2072">
        <f>IF(LEFT(B2072,1)="C","Credit","Factuur")</f>
        <v/>
      </c>
      <c r="H2072">
        <f>IF(AND(B2072=B2071,D2072=D2071,A2072=A2071,F2072=F2071),1,0)</f>
        <v/>
      </c>
      <c r="I2072">
        <f>IF(C2072="C99999",1,0)</f>
        <v/>
      </c>
      <c r="J2072" s="5">
        <f>IF(OR(H2072=1,I2072=1),0,IF(G2072="Credit",-F2072,F2072))</f>
        <v/>
      </c>
    </row>
    <row r="2073">
      <c r="A2073" t="inlineStr">
        <is>
          <t>2026-07-21</t>
        </is>
      </c>
      <c r="B2073" t="inlineStr">
        <is>
          <t>F272155</t>
        </is>
      </c>
      <c r="C2073" t="inlineStr">
        <is>
          <t>C10629</t>
        </is>
      </c>
      <c r="D2073" t="inlineStr">
        <is>
          <t>SKU-10064</t>
        </is>
      </c>
      <c r="E2073" t="inlineStr">
        <is>
          <t>AM12</t>
        </is>
      </c>
      <c r="F2073" s="5" t="n">
        <v>785.6</v>
      </c>
      <c r="G2073">
        <f>IF(LEFT(B2073,1)="C","Credit","Factuur")</f>
        <v/>
      </c>
      <c r="H2073">
        <f>IF(AND(B2073=B2072,D2073=D2072,A2073=A2072,F2073=F2072),1,0)</f>
        <v/>
      </c>
      <c r="I2073">
        <f>IF(C2073="C99999",1,0)</f>
        <v/>
      </c>
      <c r="J2073" s="5">
        <f>IF(OR(H2073=1,I2073=1),0,IF(G2073="Credit",-F2073,F2073))</f>
        <v/>
      </c>
    </row>
    <row r="2074">
      <c r="A2074" t="inlineStr">
        <is>
          <t>2026-07-21</t>
        </is>
      </c>
      <c r="B2074" t="inlineStr">
        <is>
          <t>F272155</t>
        </is>
      </c>
      <c r="C2074" t="inlineStr">
        <is>
          <t>C10629</t>
        </is>
      </c>
      <c r="D2074" t="inlineStr">
        <is>
          <t>SKU-10171</t>
        </is>
      </c>
      <c r="E2074" t="inlineStr">
        <is>
          <t>AM12</t>
        </is>
      </c>
      <c r="F2074" s="5" t="n">
        <v>816.3200000000001</v>
      </c>
      <c r="G2074">
        <f>IF(LEFT(B2074,1)="C","Credit","Factuur")</f>
        <v/>
      </c>
      <c r="H2074">
        <f>IF(AND(B2074=B2073,D2074=D2073,A2074=A2073,F2074=F2073),1,0)</f>
        <v/>
      </c>
      <c r="I2074">
        <f>IF(C2074="C99999",1,0)</f>
        <v/>
      </c>
      <c r="J2074" s="5">
        <f>IF(OR(H2074=1,I2074=1),0,IF(G2074="Credit",-F2074,F2074))</f>
        <v/>
      </c>
    </row>
    <row r="2075">
      <c r="A2075" t="inlineStr">
        <is>
          <t>2026-07-21</t>
        </is>
      </c>
      <c r="B2075" t="inlineStr">
        <is>
          <t>F272257</t>
        </is>
      </c>
      <c r="C2075" t="inlineStr">
        <is>
          <t>C10634</t>
        </is>
      </c>
      <c r="D2075" t="inlineStr">
        <is>
          <t>SKU-10075</t>
        </is>
      </c>
      <c r="E2075" t="inlineStr">
        <is>
          <t>AM11</t>
        </is>
      </c>
      <c r="F2075" s="5" t="n">
        <v>864.9</v>
      </c>
      <c r="G2075">
        <f>IF(LEFT(B2075,1)="C","Credit","Factuur")</f>
        <v/>
      </c>
      <c r="H2075">
        <f>IF(AND(B2075=B2074,D2075=D2074,A2075=A2074,F2075=F2074),1,0)</f>
        <v/>
      </c>
      <c r="I2075">
        <f>IF(C2075="C99999",1,0)</f>
        <v/>
      </c>
      <c r="J2075" s="5">
        <f>IF(OR(H2075=1,I2075=1),0,IF(G2075="Credit",-F2075,F2075))</f>
        <v/>
      </c>
    </row>
    <row r="2076">
      <c r="A2076" t="inlineStr">
        <is>
          <t>2026-07-21</t>
        </is>
      </c>
      <c r="B2076" t="inlineStr">
        <is>
          <t>F272257</t>
        </is>
      </c>
      <c r="C2076" t="inlineStr">
        <is>
          <t>C10634</t>
        </is>
      </c>
      <c r="D2076" t="inlineStr">
        <is>
          <t>SKU-10077</t>
        </is>
      </c>
      <c r="E2076" t="inlineStr">
        <is>
          <t>AM11</t>
        </is>
      </c>
      <c r="F2076" s="5" t="n">
        <v>843.36</v>
      </c>
      <c r="G2076">
        <f>IF(LEFT(B2076,1)="C","Credit","Factuur")</f>
        <v/>
      </c>
      <c r="H2076">
        <f>IF(AND(B2076=B2075,D2076=D2075,A2076=A2075,F2076=F2075),1,0)</f>
        <v/>
      </c>
      <c r="I2076">
        <f>IF(C2076="C99999",1,0)</f>
        <v/>
      </c>
      <c r="J2076" s="5">
        <f>IF(OR(H2076=1,I2076=1),0,IF(G2076="Credit",-F2076,F2076))</f>
        <v/>
      </c>
    </row>
    <row r="2077">
      <c r="A2077" t="inlineStr">
        <is>
          <t>2026-07-21</t>
        </is>
      </c>
      <c r="B2077" t="inlineStr">
        <is>
          <t>F272257</t>
        </is>
      </c>
      <c r="C2077" t="inlineStr">
        <is>
          <t>C10634</t>
        </is>
      </c>
      <c r="D2077" t="inlineStr">
        <is>
          <t>SKU-10152</t>
        </is>
      </c>
      <c r="E2077" t="inlineStr">
        <is>
          <t>AM11</t>
        </is>
      </c>
      <c r="F2077" s="5" t="n">
        <v>839.52</v>
      </c>
      <c r="G2077">
        <f>IF(LEFT(B2077,1)="C","Credit","Factuur")</f>
        <v/>
      </c>
      <c r="H2077">
        <f>IF(AND(B2077=B2076,D2077=D2076,A2077=A2076,F2077=F2076),1,0)</f>
        <v/>
      </c>
      <c r="I2077">
        <f>IF(C2077="C99999",1,0)</f>
        <v/>
      </c>
      <c r="J2077" s="5">
        <f>IF(OR(H2077=1,I2077=1),0,IF(G2077="Credit",-F2077,F2077))</f>
        <v/>
      </c>
    </row>
    <row r="2078">
      <c r="A2078" t="inlineStr">
        <is>
          <t>2026-07-21</t>
        </is>
      </c>
      <c r="B2078" t="inlineStr">
        <is>
          <t>F272555</t>
        </is>
      </c>
      <c r="C2078" t="inlineStr">
        <is>
          <t>C10651</t>
        </is>
      </c>
      <c r="D2078" t="inlineStr">
        <is>
          <t>SKU-10009</t>
        </is>
      </c>
      <c r="E2078" t="inlineStr">
        <is>
          <t>AM02</t>
        </is>
      </c>
      <c r="F2078" s="5" t="n">
        <v>136.52</v>
      </c>
      <c r="G2078">
        <f>IF(LEFT(B2078,1)="C","Credit","Factuur")</f>
        <v/>
      </c>
      <c r="H2078">
        <f>IF(AND(B2078=B2077,D2078=D2077,A2078=A2077,F2078=F2077),1,0)</f>
        <v/>
      </c>
      <c r="I2078">
        <f>IF(C2078="C99999",1,0)</f>
        <v/>
      </c>
      <c r="J2078" s="5">
        <f>IF(OR(H2078=1,I2078=1),0,IF(G2078="Credit",-F2078,F2078))</f>
        <v/>
      </c>
    </row>
    <row r="2079">
      <c r="A2079" t="inlineStr">
        <is>
          <t>2026-07-21</t>
        </is>
      </c>
      <c r="B2079" t="inlineStr">
        <is>
          <t>F272555</t>
        </is>
      </c>
      <c r="C2079" t="inlineStr">
        <is>
          <t>C10651</t>
        </is>
      </c>
      <c r="D2079" t="inlineStr">
        <is>
          <t>SKU-10115</t>
        </is>
      </c>
      <c r="E2079" t="inlineStr">
        <is>
          <t>AM02</t>
        </is>
      </c>
      <c r="F2079" s="5" t="n">
        <v>147.57</v>
      </c>
      <c r="G2079">
        <f>IF(LEFT(B2079,1)="C","Credit","Factuur")</f>
        <v/>
      </c>
      <c r="H2079">
        <f>IF(AND(B2079=B2078,D2079=D2078,A2079=A2078,F2079=F2078),1,0)</f>
        <v/>
      </c>
      <c r="I2079">
        <f>IF(C2079="C99999",1,0)</f>
        <v/>
      </c>
      <c r="J2079" s="5">
        <f>IF(OR(H2079=1,I2079=1),0,IF(G2079="Credit",-F2079,F2079))</f>
        <v/>
      </c>
    </row>
    <row r="2080">
      <c r="A2080" t="inlineStr">
        <is>
          <t>2026-07-21</t>
        </is>
      </c>
      <c r="B2080" t="inlineStr">
        <is>
          <t>F272555</t>
        </is>
      </c>
      <c r="C2080" t="inlineStr">
        <is>
          <t>C10651</t>
        </is>
      </c>
      <c r="D2080" t="inlineStr">
        <is>
          <t>SKU-10267</t>
        </is>
      </c>
      <c r="E2080" t="inlineStr">
        <is>
          <t>AM02</t>
        </is>
      </c>
      <c r="F2080" s="5" t="n">
        <v>133.02</v>
      </c>
      <c r="G2080">
        <f>IF(LEFT(B2080,1)="C","Credit","Factuur")</f>
        <v/>
      </c>
      <c r="H2080">
        <f>IF(AND(B2080=B2079,D2080=D2079,A2080=A2079,F2080=F2079),1,0)</f>
        <v/>
      </c>
      <c r="I2080">
        <f>IF(C2080="C99999",1,0)</f>
        <v/>
      </c>
      <c r="J2080" s="5">
        <f>IF(OR(H2080=1,I2080=1),0,IF(G2080="Credit",-F2080,F2080))</f>
        <v/>
      </c>
    </row>
    <row r="2081">
      <c r="A2081" t="inlineStr">
        <is>
          <t>2026-07-21</t>
        </is>
      </c>
      <c r="B2081" t="inlineStr">
        <is>
          <t>F273169</t>
        </is>
      </c>
      <c r="C2081" t="inlineStr">
        <is>
          <t>C10688</t>
        </is>
      </c>
      <c r="D2081" t="inlineStr">
        <is>
          <t>SKU-10345</t>
        </is>
      </c>
      <c r="E2081" t="inlineStr">
        <is>
          <t>AM03</t>
        </is>
      </c>
      <c r="F2081" s="5" t="n">
        <v>368.32</v>
      </c>
      <c r="G2081">
        <f>IF(LEFT(B2081,1)="C","Credit","Factuur")</f>
        <v/>
      </c>
      <c r="H2081">
        <f>IF(AND(B2081=B2080,D2081=D2080,A2081=A2080,F2081=F2080),1,0)</f>
        <v/>
      </c>
      <c r="I2081">
        <f>IF(C2081="C99999",1,0)</f>
        <v/>
      </c>
      <c r="J2081" s="5">
        <f>IF(OR(H2081=1,I2081=1),0,IF(G2081="Credit",-F2081,F2081))</f>
        <v/>
      </c>
    </row>
    <row r="2082">
      <c r="A2082" t="inlineStr">
        <is>
          <t>2026-07-21</t>
        </is>
      </c>
      <c r="B2082" t="inlineStr">
        <is>
          <t>F273575</t>
        </is>
      </c>
      <c r="C2082" t="inlineStr">
        <is>
          <t>C10713</t>
        </is>
      </c>
      <c r="D2082" t="inlineStr">
        <is>
          <t>SKU-10010</t>
        </is>
      </c>
      <c r="E2082" t="inlineStr">
        <is>
          <t>AM08</t>
        </is>
      </c>
      <c r="F2082" s="5" t="n">
        <v>176.48</v>
      </c>
      <c r="G2082">
        <f>IF(LEFT(B2082,1)="C","Credit","Factuur")</f>
        <v/>
      </c>
      <c r="H2082">
        <f>IF(AND(B2082=B2081,D2082=D2081,A2082=A2081,F2082=F2081),1,0)</f>
        <v/>
      </c>
      <c r="I2082">
        <f>IF(C2082="C99999",1,0)</f>
        <v/>
      </c>
      <c r="J2082" s="5">
        <f>IF(OR(H2082=1,I2082=1),0,IF(G2082="Credit",-F2082,F2082))</f>
        <v/>
      </c>
    </row>
    <row r="2083">
      <c r="A2083" t="inlineStr">
        <is>
          <t>2026-07-21</t>
        </is>
      </c>
      <c r="B2083" t="inlineStr">
        <is>
          <t>F273575</t>
        </is>
      </c>
      <c r="C2083" t="inlineStr">
        <is>
          <t>C10713</t>
        </is>
      </c>
      <c r="D2083" t="inlineStr">
        <is>
          <t>SKU-10077</t>
        </is>
      </c>
      <c r="E2083" t="inlineStr">
        <is>
          <t>AM08</t>
        </is>
      </c>
      <c r="F2083" s="5" t="n">
        <v>153.61</v>
      </c>
      <c r="G2083">
        <f>IF(LEFT(B2083,1)="C","Credit","Factuur")</f>
        <v/>
      </c>
      <c r="H2083">
        <f>IF(AND(B2083=B2082,D2083=D2082,A2083=A2082,F2083=F2082),1,0)</f>
        <v/>
      </c>
      <c r="I2083">
        <f>IF(C2083="C99999",1,0)</f>
        <v/>
      </c>
      <c r="J2083" s="5">
        <f>IF(OR(H2083=1,I2083=1),0,IF(G2083="Credit",-F2083,F2083))</f>
        <v/>
      </c>
    </row>
    <row r="2084">
      <c r="A2084" t="inlineStr">
        <is>
          <t>2026-07-21</t>
        </is>
      </c>
      <c r="B2084" t="inlineStr">
        <is>
          <t>F273575</t>
        </is>
      </c>
      <c r="C2084" t="inlineStr">
        <is>
          <t>C10713</t>
        </is>
      </c>
      <c r="D2084" t="inlineStr">
        <is>
          <t>SKU-10083</t>
        </is>
      </c>
      <c r="E2084" t="inlineStr">
        <is>
          <t>AM08</t>
        </is>
      </c>
      <c r="F2084" s="5" t="n">
        <v>181.17</v>
      </c>
      <c r="G2084">
        <f>IF(LEFT(B2084,1)="C","Credit","Factuur")</f>
        <v/>
      </c>
      <c r="H2084">
        <f>IF(AND(B2084=B2083,D2084=D2083,A2084=A2083,F2084=F2083),1,0)</f>
        <v/>
      </c>
      <c r="I2084">
        <f>IF(C2084="C99999",1,0)</f>
        <v/>
      </c>
      <c r="J2084" s="5">
        <f>IF(OR(H2084=1,I2084=1),0,IF(G2084="Credit",-F2084,F2084))</f>
        <v/>
      </c>
    </row>
    <row r="2085">
      <c r="A2085" t="inlineStr">
        <is>
          <t>2026-07-21</t>
        </is>
      </c>
      <c r="B2085" t="inlineStr">
        <is>
          <t>F273575</t>
        </is>
      </c>
      <c r="C2085" t="inlineStr">
        <is>
          <t>C10713</t>
        </is>
      </c>
      <c r="D2085" t="inlineStr">
        <is>
          <t>SKU-10089</t>
        </is>
      </c>
      <c r="E2085" t="inlineStr">
        <is>
          <t>AM08</t>
        </is>
      </c>
      <c r="F2085" s="5" t="n">
        <v>165.79</v>
      </c>
      <c r="G2085">
        <f>IF(LEFT(B2085,1)="C","Credit","Factuur")</f>
        <v/>
      </c>
      <c r="H2085">
        <f>IF(AND(B2085=B2084,D2085=D2084,A2085=A2084,F2085=F2084),1,0)</f>
        <v/>
      </c>
      <c r="I2085">
        <f>IF(C2085="C99999",1,0)</f>
        <v/>
      </c>
      <c r="J2085" s="5">
        <f>IF(OR(H2085=1,I2085=1),0,IF(G2085="Credit",-F2085,F2085))</f>
        <v/>
      </c>
    </row>
    <row r="2086">
      <c r="A2086" t="inlineStr">
        <is>
          <t>2026-07-21</t>
        </is>
      </c>
      <c r="B2086" t="inlineStr">
        <is>
          <t>F273575</t>
        </is>
      </c>
      <c r="C2086" t="inlineStr">
        <is>
          <t>C10713</t>
        </is>
      </c>
      <c r="D2086" t="inlineStr">
        <is>
          <t>SKU-10279</t>
        </is>
      </c>
      <c r="E2086" t="inlineStr">
        <is>
          <t>AM08</t>
        </is>
      </c>
      <c r="F2086" s="5" t="n">
        <v>173.26</v>
      </c>
      <c r="G2086">
        <f>IF(LEFT(B2086,1)="C","Credit","Factuur")</f>
        <v/>
      </c>
      <c r="H2086">
        <f>IF(AND(B2086=B2085,D2086=D2085,A2086=A2085,F2086=F2085),1,0)</f>
        <v/>
      </c>
      <c r="I2086">
        <f>IF(C2086="C99999",1,0)</f>
        <v/>
      </c>
      <c r="J2086" s="5">
        <f>IF(OR(H2086=1,I2086=1),0,IF(G2086="Credit",-F2086,F2086))</f>
        <v/>
      </c>
    </row>
    <row r="2087">
      <c r="A2087" t="inlineStr">
        <is>
          <t>2026-07-21</t>
        </is>
      </c>
      <c r="B2087" t="inlineStr">
        <is>
          <t>F273613</t>
        </is>
      </c>
      <c r="C2087" t="inlineStr">
        <is>
          <t>C10714</t>
        </is>
      </c>
      <c r="D2087" t="inlineStr">
        <is>
          <t>SKU-10058</t>
        </is>
      </c>
      <c r="E2087" t="inlineStr">
        <is>
          <t>AM05</t>
        </is>
      </c>
      <c r="F2087" s="5" t="n">
        <v>196.62</v>
      </c>
      <c r="G2087">
        <f>IF(LEFT(B2087,1)="C","Credit","Factuur")</f>
        <v/>
      </c>
      <c r="H2087">
        <f>IF(AND(B2087=B2086,D2087=D2086,A2087=A2086,F2087=F2086),1,0)</f>
        <v/>
      </c>
      <c r="I2087">
        <f>IF(C2087="C99999",1,0)</f>
        <v/>
      </c>
      <c r="J2087" s="5">
        <f>IF(OR(H2087=1,I2087=1),0,IF(G2087="Credit",-F2087,F2087))</f>
        <v/>
      </c>
    </row>
    <row r="2088">
      <c r="A2088" t="inlineStr">
        <is>
          <t>2026-07-21</t>
        </is>
      </c>
      <c r="B2088" t="inlineStr">
        <is>
          <t>F273613</t>
        </is>
      </c>
      <c r="C2088" t="inlineStr">
        <is>
          <t>C10714</t>
        </is>
      </c>
      <c r="D2088" t="inlineStr">
        <is>
          <t>SKU-10086</t>
        </is>
      </c>
      <c r="E2088" t="inlineStr">
        <is>
          <t>AM05</t>
        </is>
      </c>
      <c r="F2088" s="5" t="n">
        <v>183.32</v>
      </c>
      <c r="G2088">
        <f>IF(LEFT(B2088,1)="C","Credit","Factuur")</f>
        <v/>
      </c>
      <c r="H2088">
        <f>IF(AND(B2088=B2087,D2088=D2087,A2088=A2087,F2088=F2087),1,0)</f>
        <v/>
      </c>
      <c r="I2088">
        <f>IF(C2088="C99999",1,0)</f>
        <v/>
      </c>
      <c r="J2088" s="5">
        <f>IF(OR(H2088=1,I2088=1),0,IF(G2088="Credit",-F2088,F2088))</f>
        <v/>
      </c>
    </row>
    <row r="2089">
      <c r="A2089" t="inlineStr">
        <is>
          <t>2026-07-21</t>
        </is>
      </c>
      <c r="B2089" t="inlineStr">
        <is>
          <t>F273613</t>
        </is>
      </c>
      <c r="C2089" t="inlineStr">
        <is>
          <t>C10714</t>
        </is>
      </c>
      <c r="D2089" t="inlineStr">
        <is>
          <t>SKU-10214</t>
        </is>
      </c>
      <c r="E2089" t="inlineStr">
        <is>
          <t>AM05</t>
        </is>
      </c>
      <c r="F2089" s="5" t="n">
        <v>194.08</v>
      </c>
      <c r="G2089">
        <f>IF(LEFT(B2089,1)="C","Credit","Factuur")</f>
        <v/>
      </c>
      <c r="H2089">
        <f>IF(AND(B2089=B2088,D2089=D2088,A2089=A2088,F2089=F2088),1,0)</f>
        <v/>
      </c>
      <c r="I2089">
        <f>IF(C2089="C99999",1,0)</f>
        <v/>
      </c>
      <c r="J2089" s="5">
        <f>IF(OR(H2089=1,I2089=1),0,IF(G2089="Credit",-F2089,F2089))</f>
        <v/>
      </c>
    </row>
    <row r="2090">
      <c r="A2090" t="inlineStr">
        <is>
          <t>2026-07-21</t>
        </is>
      </c>
      <c r="B2090" t="inlineStr">
        <is>
          <t>F273613</t>
        </is>
      </c>
      <c r="C2090" t="inlineStr">
        <is>
          <t>C10714</t>
        </is>
      </c>
      <c r="D2090" t="inlineStr">
        <is>
          <t>SKU-10327</t>
        </is>
      </c>
      <c r="E2090" t="inlineStr">
        <is>
          <t>AM05</t>
        </is>
      </c>
      <c r="F2090" s="5" t="n">
        <v>197.93</v>
      </c>
      <c r="G2090">
        <f>IF(LEFT(B2090,1)="C","Credit","Factuur")</f>
        <v/>
      </c>
      <c r="H2090">
        <f>IF(AND(B2090=B2089,D2090=D2089,A2090=A2089,F2090=F2089),1,0)</f>
        <v/>
      </c>
      <c r="I2090">
        <f>IF(C2090="C99999",1,0)</f>
        <v/>
      </c>
      <c r="J2090" s="5">
        <f>IF(OR(H2090=1,I2090=1),0,IF(G2090="Credit",-F2090,F2090))</f>
        <v/>
      </c>
    </row>
    <row r="2091">
      <c r="A2091" t="inlineStr">
        <is>
          <t>2026-07-21</t>
        </is>
      </c>
      <c r="B2091" t="inlineStr">
        <is>
          <t>F273613</t>
        </is>
      </c>
      <c r="C2091" t="inlineStr">
        <is>
          <t>C10714</t>
        </is>
      </c>
      <c r="D2091" t="inlineStr">
        <is>
          <t>SKU-10328</t>
        </is>
      </c>
      <c r="E2091" t="inlineStr">
        <is>
          <t>AM05</t>
        </is>
      </c>
      <c r="F2091" s="5" t="n">
        <v>207.75</v>
      </c>
      <c r="G2091">
        <f>IF(LEFT(B2091,1)="C","Credit","Factuur")</f>
        <v/>
      </c>
      <c r="H2091">
        <f>IF(AND(B2091=B2090,D2091=D2090,A2091=A2090,F2091=F2090),1,0)</f>
        <v/>
      </c>
      <c r="I2091">
        <f>IF(C2091="C99999",1,0)</f>
        <v/>
      </c>
      <c r="J2091" s="5">
        <f>IF(OR(H2091=1,I2091=1),0,IF(G2091="Credit",-F2091,F2091))</f>
        <v/>
      </c>
    </row>
    <row r="2092">
      <c r="A2092" t="inlineStr">
        <is>
          <t>2026-07-21</t>
        </is>
      </c>
      <c r="B2092" t="inlineStr">
        <is>
          <t>F273725</t>
        </is>
      </c>
      <c r="C2092" t="inlineStr">
        <is>
          <t>C10722</t>
        </is>
      </c>
      <c r="D2092" t="inlineStr">
        <is>
          <t>SKU-10058</t>
        </is>
      </c>
      <c r="E2092" t="inlineStr">
        <is>
          <t>AM11</t>
        </is>
      </c>
      <c r="F2092" s="5" t="n">
        <v>404.81</v>
      </c>
      <c r="G2092">
        <f>IF(LEFT(B2092,1)="C","Credit","Factuur")</f>
        <v/>
      </c>
      <c r="H2092">
        <f>IF(AND(B2092=B2091,D2092=D2091,A2092=A2091,F2092=F2091),1,0)</f>
        <v/>
      </c>
      <c r="I2092">
        <f>IF(C2092="C99999",1,0)</f>
        <v/>
      </c>
      <c r="J2092" s="5">
        <f>IF(OR(H2092=1,I2092=1),0,IF(G2092="Credit",-F2092,F2092))</f>
        <v/>
      </c>
    </row>
    <row r="2093">
      <c r="A2093" t="inlineStr">
        <is>
          <t>2026-07-21</t>
        </is>
      </c>
      <c r="B2093" t="inlineStr">
        <is>
          <t>F273725</t>
        </is>
      </c>
      <c r="C2093" t="inlineStr">
        <is>
          <t>C10722</t>
        </is>
      </c>
      <c r="D2093" t="inlineStr">
        <is>
          <t>SKU-10257</t>
        </is>
      </c>
      <c r="E2093" t="inlineStr">
        <is>
          <t>AM11</t>
        </is>
      </c>
      <c r="F2093" s="5" t="n">
        <v>359.49</v>
      </c>
      <c r="G2093">
        <f>IF(LEFT(B2093,1)="C","Credit","Factuur")</f>
        <v/>
      </c>
      <c r="H2093">
        <f>IF(AND(B2093=B2092,D2093=D2092,A2093=A2092,F2093=F2092),1,0)</f>
        <v/>
      </c>
      <c r="I2093">
        <f>IF(C2093="C99999",1,0)</f>
        <v/>
      </c>
      <c r="J2093" s="5">
        <f>IF(OR(H2093=1,I2093=1),0,IF(G2093="Credit",-F2093,F2093))</f>
        <v/>
      </c>
    </row>
    <row r="2094">
      <c r="A2094" t="inlineStr">
        <is>
          <t>2026-07-21</t>
        </is>
      </c>
      <c r="B2094" t="inlineStr">
        <is>
          <t>F273779</t>
        </is>
      </c>
      <c r="C2094" t="inlineStr">
        <is>
          <t>C10724</t>
        </is>
      </c>
      <c r="D2094" t="inlineStr">
        <is>
          <t>SKU-10010</t>
        </is>
      </c>
      <c r="E2094" t="inlineStr">
        <is>
          <t>AM06</t>
        </is>
      </c>
      <c r="F2094" s="5" t="n">
        <v>167.66</v>
      </c>
      <c r="G2094">
        <f>IF(LEFT(B2094,1)="C","Credit","Factuur")</f>
        <v/>
      </c>
      <c r="H2094">
        <f>IF(AND(B2094=B2093,D2094=D2093,A2094=A2093,F2094=F2093),1,0)</f>
        <v/>
      </c>
      <c r="I2094">
        <f>IF(C2094="C99999",1,0)</f>
        <v/>
      </c>
      <c r="J2094" s="5">
        <f>IF(OR(H2094=1,I2094=1),0,IF(G2094="Credit",-F2094,F2094))</f>
        <v/>
      </c>
    </row>
    <row r="2095">
      <c r="A2095" t="inlineStr">
        <is>
          <t>2026-07-21</t>
        </is>
      </c>
      <c r="B2095" t="inlineStr">
        <is>
          <t>F273779</t>
        </is>
      </c>
      <c r="C2095" t="inlineStr">
        <is>
          <t>C10724</t>
        </is>
      </c>
      <c r="D2095" t="inlineStr">
        <is>
          <t>SKU-10323</t>
        </is>
      </c>
      <c r="E2095" t="inlineStr">
        <is>
          <t>AM06</t>
        </is>
      </c>
      <c r="F2095" s="5" t="n">
        <v>158.85</v>
      </c>
      <c r="G2095">
        <f>IF(LEFT(B2095,1)="C","Credit","Factuur")</f>
        <v/>
      </c>
      <c r="H2095">
        <f>IF(AND(B2095=B2094,D2095=D2094,A2095=A2094,F2095=F2094),1,0)</f>
        <v/>
      </c>
      <c r="I2095">
        <f>IF(C2095="C99999",1,0)</f>
        <v/>
      </c>
      <c r="J2095" s="5">
        <f>IF(OR(H2095=1,I2095=1),0,IF(G2095="Credit",-F2095,F2095))</f>
        <v/>
      </c>
    </row>
    <row r="2096">
      <c r="A2096" t="inlineStr">
        <is>
          <t>2026-07-21</t>
        </is>
      </c>
      <c r="B2096" t="inlineStr">
        <is>
          <t>F273779</t>
        </is>
      </c>
      <c r="C2096" t="inlineStr">
        <is>
          <t>C10724</t>
        </is>
      </c>
      <c r="D2096" t="inlineStr">
        <is>
          <t>SKU-10331</t>
        </is>
      </c>
      <c r="E2096" t="inlineStr">
        <is>
          <t>AM06</t>
        </is>
      </c>
      <c r="F2096" s="5" t="n">
        <v>171.72</v>
      </c>
      <c r="G2096">
        <f>IF(LEFT(B2096,1)="C","Credit","Factuur")</f>
        <v/>
      </c>
      <c r="H2096">
        <f>IF(AND(B2096=B2095,D2096=D2095,A2096=A2095,F2096=F2095),1,0)</f>
        <v/>
      </c>
      <c r="I2096">
        <f>IF(C2096="C99999",1,0)</f>
        <v/>
      </c>
      <c r="J2096" s="5">
        <f>IF(OR(H2096=1,I2096=1),0,IF(G2096="Credit",-F2096,F2096))</f>
        <v/>
      </c>
    </row>
    <row r="2097">
      <c r="A2097" t="inlineStr">
        <is>
          <t>2026-07-21</t>
        </is>
      </c>
      <c r="B2097" t="inlineStr">
        <is>
          <t>F274996</t>
        </is>
      </c>
      <c r="C2097" t="inlineStr">
        <is>
          <t>C10791</t>
        </is>
      </c>
      <c r="D2097" t="inlineStr">
        <is>
          <t>SKU-10101</t>
        </is>
      </c>
      <c r="E2097" t="inlineStr">
        <is>
          <t>AM05</t>
        </is>
      </c>
      <c r="F2097" s="5" t="n">
        <v>178.14</v>
      </c>
      <c r="G2097">
        <f>IF(LEFT(B2097,1)="C","Credit","Factuur")</f>
        <v/>
      </c>
      <c r="H2097">
        <f>IF(AND(B2097=B2096,D2097=D2096,A2097=A2096,F2097=F2096),1,0)</f>
        <v/>
      </c>
      <c r="I2097">
        <f>IF(C2097="C99999",1,0)</f>
        <v/>
      </c>
      <c r="J2097" s="5">
        <f>IF(OR(H2097=1,I2097=1),0,IF(G2097="Credit",-F2097,F2097))</f>
        <v/>
      </c>
    </row>
    <row r="2098">
      <c r="A2098" t="inlineStr">
        <is>
          <t>2026-07-21</t>
        </is>
      </c>
      <c r="B2098" t="inlineStr">
        <is>
          <t>F274996</t>
        </is>
      </c>
      <c r="C2098" t="inlineStr">
        <is>
          <t>C10791</t>
        </is>
      </c>
      <c r="D2098" t="inlineStr">
        <is>
          <t>SKU-10108</t>
        </is>
      </c>
      <c r="E2098" t="inlineStr">
        <is>
          <t>AM05</t>
        </is>
      </c>
      <c r="F2098" s="5" t="n">
        <v>185.86</v>
      </c>
      <c r="G2098">
        <f>IF(LEFT(B2098,1)="C","Credit","Factuur")</f>
        <v/>
      </c>
      <c r="H2098">
        <f>IF(AND(B2098=B2097,D2098=D2097,A2098=A2097,F2098=F2097),1,0)</f>
        <v/>
      </c>
      <c r="I2098">
        <f>IF(C2098="C99999",1,0)</f>
        <v/>
      </c>
      <c r="J2098" s="5">
        <f>IF(OR(H2098=1,I2098=1),0,IF(G2098="Credit",-F2098,F2098))</f>
        <v/>
      </c>
    </row>
    <row r="2099">
      <c r="A2099" t="inlineStr">
        <is>
          <t>2026-07-21</t>
        </is>
      </c>
      <c r="B2099" t="inlineStr">
        <is>
          <t>F274996</t>
        </is>
      </c>
      <c r="C2099" t="inlineStr">
        <is>
          <t>C10791</t>
        </is>
      </c>
      <c r="D2099" t="inlineStr">
        <is>
          <t>SKU-10251</t>
        </is>
      </c>
      <c r="E2099" t="inlineStr">
        <is>
          <t>AM05</t>
        </is>
      </c>
      <c r="F2099" s="5" t="n">
        <v>173.35</v>
      </c>
      <c r="G2099">
        <f>IF(LEFT(B2099,1)="C","Credit","Factuur")</f>
        <v/>
      </c>
      <c r="H2099">
        <f>IF(AND(B2099=B2098,D2099=D2098,A2099=A2098,F2099=F2098),1,0)</f>
        <v/>
      </c>
      <c r="I2099">
        <f>IF(C2099="C99999",1,0)</f>
        <v/>
      </c>
      <c r="J2099" s="5">
        <f>IF(OR(H2099=1,I2099=1),0,IF(G2099="Credit",-F2099,F2099))</f>
        <v/>
      </c>
    </row>
    <row r="2100">
      <c r="A2100" t="inlineStr">
        <is>
          <t>2026-07-21</t>
        </is>
      </c>
      <c r="B2100" t="inlineStr">
        <is>
          <t>F274996</t>
        </is>
      </c>
      <c r="C2100" t="inlineStr">
        <is>
          <t>C10791</t>
        </is>
      </c>
      <c r="D2100" t="inlineStr">
        <is>
          <t>SKU-10279</t>
        </is>
      </c>
      <c r="E2100" t="inlineStr">
        <is>
          <t>AM05</t>
        </is>
      </c>
      <c r="F2100" s="5" t="n">
        <v>173.26</v>
      </c>
      <c r="G2100">
        <f>IF(LEFT(B2100,1)="C","Credit","Factuur")</f>
        <v/>
      </c>
      <c r="H2100">
        <f>IF(AND(B2100=B2099,D2100=D2099,A2100=A2099,F2100=F2099),1,0)</f>
        <v/>
      </c>
      <c r="I2100">
        <f>IF(C2100="C99999",1,0)</f>
        <v/>
      </c>
      <c r="J2100" s="5">
        <f>IF(OR(H2100=1,I2100=1),0,IF(G2100="Credit",-F2100,F2100))</f>
        <v/>
      </c>
    </row>
    <row r="2101">
      <c r="A2101" t="inlineStr">
        <is>
          <t>2026-07-21</t>
        </is>
      </c>
      <c r="B2101" t="inlineStr">
        <is>
          <t>F275622</t>
        </is>
      </c>
      <c r="C2101" t="inlineStr">
        <is>
          <t>C10827</t>
        </is>
      </c>
      <c r="D2101" t="inlineStr">
        <is>
          <t>SKU-10042</t>
        </is>
      </c>
      <c r="E2101" t="inlineStr">
        <is>
          <t>AM02</t>
        </is>
      </c>
      <c r="F2101" s="5" t="n">
        <v>149.6</v>
      </c>
      <c r="G2101">
        <f>IF(LEFT(B2101,1)="C","Credit","Factuur")</f>
        <v/>
      </c>
      <c r="H2101">
        <f>IF(AND(B2101=B2100,D2101=D2100,A2101=A2100,F2101=F2100),1,0)</f>
        <v/>
      </c>
      <c r="I2101">
        <f>IF(C2101="C99999",1,0)</f>
        <v/>
      </c>
      <c r="J2101" s="5">
        <f>IF(OR(H2101=1,I2101=1),0,IF(G2101="Credit",-F2101,F2101))</f>
        <v/>
      </c>
    </row>
    <row r="2102">
      <c r="A2102" t="inlineStr">
        <is>
          <t>2026-07-21</t>
        </is>
      </c>
      <c r="B2102" t="inlineStr">
        <is>
          <t>F275622</t>
        </is>
      </c>
      <c r="C2102" t="inlineStr">
        <is>
          <t>C10827</t>
        </is>
      </c>
      <c r="D2102" t="inlineStr">
        <is>
          <t>SKU-10050</t>
        </is>
      </c>
      <c r="E2102" t="inlineStr">
        <is>
          <t>AM02</t>
        </is>
      </c>
      <c r="F2102" s="5" t="n">
        <v>152.28</v>
      </c>
      <c r="G2102">
        <f>IF(LEFT(B2102,1)="C","Credit","Factuur")</f>
        <v/>
      </c>
      <c r="H2102">
        <f>IF(AND(B2102=B2101,D2102=D2101,A2102=A2101,F2102=F2101),1,0)</f>
        <v/>
      </c>
      <c r="I2102">
        <f>IF(C2102="C99999",1,0)</f>
        <v/>
      </c>
      <c r="J2102" s="5">
        <f>IF(OR(H2102=1,I2102=1),0,IF(G2102="Credit",-F2102,F2102))</f>
        <v/>
      </c>
    </row>
    <row r="2103">
      <c r="A2103" t="inlineStr">
        <is>
          <t>2026-07-21</t>
        </is>
      </c>
      <c r="B2103" t="inlineStr">
        <is>
          <t>F275622</t>
        </is>
      </c>
      <c r="C2103" t="inlineStr">
        <is>
          <t>C10827</t>
        </is>
      </c>
      <c r="D2103" t="inlineStr">
        <is>
          <t>SKU-10096</t>
        </is>
      </c>
      <c r="E2103" t="inlineStr">
        <is>
          <t>AM02</t>
        </is>
      </c>
      <c r="F2103" s="5" t="n">
        <v>171.63</v>
      </c>
      <c r="G2103">
        <f>IF(LEFT(B2103,1)="C","Credit","Factuur")</f>
        <v/>
      </c>
      <c r="H2103">
        <f>IF(AND(B2103=B2102,D2103=D2102,A2103=A2102,F2103=F2102),1,0)</f>
        <v/>
      </c>
      <c r="I2103">
        <f>IF(C2103="C99999",1,0)</f>
        <v/>
      </c>
      <c r="J2103" s="5">
        <f>IF(OR(H2103=1,I2103=1),0,IF(G2103="Credit",-F2103,F2103))</f>
        <v/>
      </c>
    </row>
    <row r="2104">
      <c r="A2104" t="inlineStr">
        <is>
          <t>2026-07-21</t>
        </is>
      </c>
      <c r="B2104" t="inlineStr">
        <is>
          <t>F275622</t>
        </is>
      </c>
      <c r="C2104" t="inlineStr">
        <is>
          <t>C10827</t>
        </is>
      </c>
      <c r="D2104" t="inlineStr">
        <is>
          <t>SKU-10180</t>
        </is>
      </c>
      <c r="E2104" t="inlineStr">
        <is>
          <t>AM02</t>
        </is>
      </c>
      <c r="F2104" s="5" t="n">
        <v>177.44</v>
      </c>
      <c r="G2104">
        <f>IF(LEFT(B2104,1)="C","Credit","Factuur")</f>
        <v/>
      </c>
      <c r="H2104">
        <f>IF(AND(B2104=B2103,D2104=D2103,A2104=A2103,F2104=F2103),1,0)</f>
        <v/>
      </c>
      <c r="I2104">
        <f>IF(C2104="C99999",1,0)</f>
        <v/>
      </c>
      <c r="J2104" s="5">
        <f>IF(OR(H2104=1,I2104=1),0,IF(G2104="Credit",-F2104,F2104))</f>
        <v/>
      </c>
    </row>
    <row r="2105">
      <c r="A2105" t="inlineStr">
        <is>
          <t>2026-07-21</t>
        </is>
      </c>
      <c r="B2105" t="inlineStr">
        <is>
          <t>F276263</t>
        </is>
      </c>
      <c r="C2105" t="inlineStr">
        <is>
          <t>C10862</t>
        </is>
      </c>
      <c r="D2105" t="inlineStr">
        <is>
          <t>SKU-10217</t>
        </is>
      </c>
      <c r="E2105" t="inlineStr">
        <is>
          <t>AM02</t>
        </is>
      </c>
      <c r="F2105" s="5" t="n">
        <v>1915.48</v>
      </c>
      <c r="G2105">
        <f>IF(LEFT(B2105,1)="C","Credit","Factuur")</f>
        <v/>
      </c>
      <c r="H2105">
        <f>IF(AND(B2105=B2104,D2105=D2104,A2105=A2104,F2105=F2104),1,0)</f>
        <v/>
      </c>
      <c r="I2105">
        <f>IF(C2105="C99999",1,0)</f>
        <v/>
      </c>
      <c r="J2105" s="5">
        <f>IF(OR(H2105=1,I2105=1),0,IF(G2105="Credit",-F2105,F2105))</f>
        <v/>
      </c>
    </row>
    <row r="2106">
      <c r="A2106" t="inlineStr">
        <is>
          <t>2026-07-21</t>
        </is>
      </c>
      <c r="B2106" t="inlineStr">
        <is>
          <t>F276263</t>
        </is>
      </c>
      <c r="C2106" t="inlineStr">
        <is>
          <t>C10862</t>
        </is>
      </c>
      <c r="D2106" t="inlineStr">
        <is>
          <t>SKU-10275</t>
        </is>
      </c>
      <c r="E2106" t="inlineStr">
        <is>
          <t>AM02</t>
        </is>
      </c>
      <c r="F2106" s="5" t="n">
        <v>1776.33</v>
      </c>
      <c r="G2106">
        <f>IF(LEFT(B2106,1)="C","Credit","Factuur")</f>
        <v/>
      </c>
      <c r="H2106">
        <f>IF(AND(B2106=B2105,D2106=D2105,A2106=A2105,F2106=F2105),1,0)</f>
        <v/>
      </c>
      <c r="I2106">
        <f>IF(C2106="C99999",1,0)</f>
        <v/>
      </c>
      <c r="J2106" s="5">
        <f>IF(OR(H2106=1,I2106=1),0,IF(G2106="Credit",-F2106,F2106))</f>
        <v/>
      </c>
    </row>
    <row r="2107">
      <c r="A2107" t="inlineStr">
        <is>
          <t>2026-07-21</t>
        </is>
      </c>
      <c r="B2107" t="inlineStr">
        <is>
          <t>F277591</t>
        </is>
      </c>
      <c r="C2107" t="inlineStr">
        <is>
          <t>C10934</t>
        </is>
      </c>
      <c r="D2107" t="inlineStr">
        <is>
          <t>SKU-10072</t>
        </is>
      </c>
      <c r="E2107" t="inlineStr">
        <is>
          <t>AM02</t>
        </is>
      </c>
      <c r="F2107" s="5" t="n">
        <v>1044.6</v>
      </c>
      <c r="G2107">
        <f>IF(LEFT(B2107,1)="C","Credit","Factuur")</f>
        <v/>
      </c>
      <c r="H2107">
        <f>IF(AND(B2107=B2106,D2107=D2106,A2107=A2106,F2107=F2106),1,0)</f>
        <v/>
      </c>
      <c r="I2107">
        <f>IF(C2107="C99999",1,0)</f>
        <v/>
      </c>
      <c r="J2107" s="5">
        <f>IF(OR(H2107=1,I2107=1),0,IF(G2107="Credit",-F2107,F2107))</f>
        <v/>
      </c>
    </row>
    <row r="2108">
      <c r="A2108" t="inlineStr">
        <is>
          <t>2026-07-21</t>
        </is>
      </c>
      <c r="B2108" t="inlineStr">
        <is>
          <t>F277591</t>
        </is>
      </c>
      <c r="C2108" t="inlineStr">
        <is>
          <t>C10934</t>
        </is>
      </c>
      <c r="D2108" t="inlineStr">
        <is>
          <t>SKU-10312</t>
        </is>
      </c>
      <c r="E2108" t="inlineStr">
        <is>
          <t>AM02</t>
        </is>
      </c>
      <c r="F2108" s="5" t="n">
        <v>1032</v>
      </c>
      <c r="G2108">
        <f>IF(LEFT(B2108,1)="C","Credit","Factuur")</f>
        <v/>
      </c>
      <c r="H2108">
        <f>IF(AND(B2108=B2107,D2108=D2107,A2108=A2107,F2108=F2107),1,0)</f>
        <v/>
      </c>
      <c r="I2108">
        <f>IF(C2108="C99999",1,0)</f>
        <v/>
      </c>
      <c r="J2108" s="5">
        <f>IF(OR(H2108=1,I2108=1),0,IF(G2108="Credit",-F2108,F2108))</f>
        <v/>
      </c>
    </row>
    <row r="2109">
      <c r="A2109" t="inlineStr">
        <is>
          <t>2026-07-21</t>
        </is>
      </c>
      <c r="B2109" t="inlineStr">
        <is>
          <t>F278609</t>
        </is>
      </c>
      <c r="C2109" t="inlineStr">
        <is>
          <t>C10987</t>
        </is>
      </c>
      <c r="D2109" t="inlineStr">
        <is>
          <t>SKU-10251</t>
        </is>
      </c>
      <c r="E2109" t="inlineStr">
        <is>
          <t>AM06</t>
        </is>
      </c>
      <c r="F2109" s="5" t="n">
        <v>757.54</v>
      </c>
      <c r="G2109">
        <f>IF(LEFT(B2109,1)="C","Credit","Factuur")</f>
        <v/>
      </c>
      <c r="H2109">
        <f>IF(AND(B2109=B2108,D2109=D2108,A2109=A2108,F2109=F2108),1,0)</f>
        <v/>
      </c>
      <c r="I2109">
        <f>IF(C2109="C99999",1,0)</f>
        <v/>
      </c>
      <c r="J2109" s="5">
        <f>IF(OR(H2109=1,I2109=1),0,IF(G2109="Credit",-F2109,F2109))</f>
        <v/>
      </c>
    </row>
    <row r="2110">
      <c r="A2110" t="inlineStr">
        <is>
          <t>2026-07-21</t>
        </is>
      </c>
      <c r="B2110" t="inlineStr">
        <is>
          <t>F283169</t>
        </is>
      </c>
      <c r="C2110" t="inlineStr">
        <is>
          <t>C11219</t>
        </is>
      </c>
      <c r="D2110" t="inlineStr">
        <is>
          <t>SKU-10018</t>
        </is>
      </c>
      <c r="E2110" t="inlineStr">
        <is>
          <t>AM03</t>
        </is>
      </c>
      <c r="F2110" s="5" t="n">
        <v>152.79</v>
      </c>
      <c r="G2110">
        <f>IF(LEFT(B2110,1)="C","Credit","Factuur")</f>
        <v/>
      </c>
      <c r="H2110">
        <f>IF(AND(B2110=B2109,D2110=D2109,A2110=A2109,F2110=F2109),1,0)</f>
        <v/>
      </c>
      <c r="I2110">
        <f>IF(C2110="C99999",1,0)</f>
        <v/>
      </c>
      <c r="J2110" s="5">
        <f>IF(OR(H2110=1,I2110=1),0,IF(G2110="Credit",-F2110,F2110))</f>
        <v/>
      </c>
    </row>
    <row r="2111">
      <c r="A2111" t="inlineStr">
        <is>
          <t>2026-07-21</t>
        </is>
      </c>
      <c r="B2111" t="inlineStr">
        <is>
          <t>F283169</t>
        </is>
      </c>
      <c r="C2111" t="inlineStr">
        <is>
          <t>C11219</t>
        </is>
      </c>
      <c r="D2111" t="inlineStr">
        <is>
          <t>SKU-10019</t>
        </is>
      </c>
      <c r="E2111" t="inlineStr">
        <is>
          <t>AM03</t>
        </is>
      </c>
      <c r="F2111" s="5" t="n">
        <v>132.03</v>
      </c>
      <c r="G2111">
        <f>IF(LEFT(B2111,1)="C","Credit","Factuur")</f>
        <v/>
      </c>
      <c r="H2111">
        <f>IF(AND(B2111=B2110,D2111=D2110,A2111=A2110,F2111=F2110),1,0)</f>
        <v/>
      </c>
      <c r="I2111">
        <f>IF(C2111="C99999",1,0)</f>
        <v/>
      </c>
      <c r="J2111" s="5">
        <f>IF(OR(H2111=1,I2111=1),0,IF(G2111="Credit",-F2111,F2111))</f>
        <v/>
      </c>
    </row>
    <row r="2112">
      <c r="A2112" t="inlineStr">
        <is>
          <t>2026-07-21</t>
        </is>
      </c>
      <c r="B2112" t="inlineStr">
        <is>
          <t>F283169</t>
        </is>
      </c>
      <c r="C2112" t="inlineStr">
        <is>
          <t>C11219</t>
        </is>
      </c>
      <c r="D2112" t="inlineStr">
        <is>
          <t>SKU-10047</t>
        </is>
      </c>
      <c r="E2112" t="inlineStr">
        <is>
          <t>AM03</t>
        </is>
      </c>
      <c r="F2112" s="5" t="n">
        <v>150.19</v>
      </c>
      <c r="G2112">
        <f>IF(LEFT(B2112,1)="C","Credit","Factuur")</f>
        <v/>
      </c>
      <c r="H2112">
        <f>IF(AND(B2112=B2111,D2112=D2111,A2112=A2111,F2112=F2111),1,0)</f>
        <v/>
      </c>
      <c r="I2112">
        <f>IF(C2112="C99999",1,0)</f>
        <v/>
      </c>
      <c r="J2112" s="5">
        <f>IF(OR(H2112=1,I2112=1),0,IF(G2112="Credit",-F2112,F2112))</f>
        <v/>
      </c>
    </row>
    <row r="2113">
      <c r="A2113" t="inlineStr">
        <is>
          <t>2026-07-21</t>
        </is>
      </c>
      <c r="B2113" t="inlineStr">
        <is>
          <t>F283169</t>
        </is>
      </c>
      <c r="C2113" t="inlineStr">
        <is>
          <t>C11219</t>
        </is>
      </c>
      <c r="D2113" t="inlineStr">
        <is>
          <t>SKU-10266</t>
        </is>
      </c>
      <c r="E2113" t="inlineStr">
        <is>
          <t>AM03</t>
        </is>
      </c>
      <c r="F2113" s="5" t="n">
        <v>143.2</v>
      </c>
      <c r="G2113">
        <f>IF(LEFT(B2113,1)="C","Credit","Factuur")</f>
        <v/>
      </c>
      <c r="H2113">
        <f>IF(AND(B2113=B2112,D2113=D2112,A2113=A2112,F2113=F2112),1,0)</f>
        <v/>
      </c>
      <c r="I2113">
        <f>IF(C2113="C99999",1,0)</f>
        <v/>
      </c>
      <c r="J2113" s="5">
        <f>IF(OR(H2113=1,I2113=1),0,IF(G2113="Credit",-F2113,F2113))</f>
        <v/>
      </c>
    </row>
    <row r="2114">
      <c r="A2114" t="inlineStr">
        <is>
          <t>2026-07-21</t>
        </is>
      </c>
      <c r="B2114" t="inlineStr">
        <is>
          <t>F283427</t>
        </is>
      </c>
      <c r="C2114" t="inlineStr">
        <is>
          <t>C11230</t>
        </is>
      </c>
      <c r="D2114" t="inlineStr">
        <is>
          <t>SKU-10019</t>
        </is>
      </c>
      <c r="E2114" t="inlineStr">
        <is>
          <t>AM03</t>
        </is>
      </c>
      <c r="F2114" s="5" t="n">
        <v>88.02</v>
      </c>
      <c r="G2114">
        <f>IF(LEFT(B2114,1)="C","Credit","Factuur")</f>
        <v/>
      </c>
      <c r="H2114">
        <f>IF(AND(B2114=B2113,D2114=D2113,A2114=A2113,F2114=F2113),1,0)</f>
        <v/>
      </c>
      <c r="I2114">
        <f>IF(C2114="C99999",1,0)</f>
        <v/>
      </c>
      <c r="J2114" s="5">
        <f>IF(OR(H2114=1,I2114=1),0,IF(G2114="Credit",-F2114,F2114))</f>
        <v/>
      </c>
    </row>
    <row r="2115">
      <c r="A2115" t="inlineStr">
        <is>
          <t>2026-07-21</t>
        </is>
      </c>
      <c r="B2115" t="inlineStr">
        <is>
          <t>F283427</t>
        </is>
      </c>
      <c r="C2115" t="inlineStr">
        <is>
          <t>C11230</t>
        </is>
      </c>
      <c r="D2115" t="inlineStr">
        <is>
          <t>SKU-10049</t>
        </is>
      </c>
      <c r="E2115" t="inlineStr">
        <is>
          <t>AM03</t>
        </is>
      </c>
      <c r="F2115" s="5" t="n">
        <v>106.32</v>
      </c>
      <c r="G2115">
        <f>IF(LEFT(B2115,1)="C","Credit","Factuur")</f>
        <v/>
      </c>
      <c r="H2115">
        <f>IF(AND(B2115=B2114,D2115=D2114,A2115=A2114,F2115=F2114),1,0)</f>
        <v/>
      </c>
      <c r="I2115">
        <f>IF(C2115="C99999",1,0)</f>
        <v/>
      </c>
      <c r="J2115" s="5">
        <f>IF(OR(H2115=1,I2115=1),0,IF(G2115="Credit",-F2115,F2115))</f>
        <v/>
      </c>
    </row>
    <row r="2116">
      <c r="A2116" t="inlineStr">
        <is>
          <t>2026-07-21</t>
        </is>
      </c>
      <c r="B2116" t="inlineStr">
        <is>
          <t>F283427</t>
        </is>
      </c>
      <c r="C2116" t="inlineStr">
        <is>
          <t>C11230</t>
        </is>
      </c>
      <c r="D2116" t="inlineStr">
        <is>
          <t>SKU-10082</t>
        </is>
      </c>
      <c r="E2116" t="inlineStr">
        <is>
          <t>AM03</t>
        </is>
      </c>
      <c r="F2116" s="5" t="n">
        <v>94</v>
      </c>
      <c r="G2116">
        <f>IF(LEFT(B2116,1)="C","Credit","Factuur")</f>
        <v/>
      </c>
      <c r="H2116">
        <f>IF(AND(B2116=B2115,D2116=D2115,A2116=A2115,F2116=F2115),1,0)</f>
        <v/>
      </c>
      <c r="I2116">
        <f>IF(C2116="C99999",1,0)</f>
        <v/>
      </c>
      <c r="J2116" s="5">
        <f>IF(OR(H2116=1,I2116=1),0,IF(G2116="Credit",-F2116,F2116))</f>
        <v/>
      </c>
    </row>
    <row r="2117">
      <c r="A2117" t="inlineStr">
        <is>
          <t>2026-07-21</t>
        </is>
      </c>
      <c r="B2117" t="inlineStr">
        <is>
          <t>F284754</t>
        </is>
      </c>
      <c r="C2117" t="inlineStr">
        <is>
          <t>C11296</t>
        </is>
      </c>
      <c r="D2117" t="inlineStr">
        <is>
          <t>SKU-10128</t>
        </is>
      </c>
      <c r="E2117" t="inlineStr">
        <is>
          <t>AM11</t>
        </is>
      </c>
      <c r="F2117" s="5" t="n">
        <v>1699.8</v>
      </c>
      <c r="G2117">
        <f>IF(LEFT(B2117,1)="C","Credit","Factuur")</f>
        <v/>
      </c>
      <c r="H2117">
        <f>IF(AND(B2117=B2116,D2117=D2116,A2117=A2116,F2117=F2116),1,0)</f>
        <v/>
      </c>
      <c r="I2117">
        <f>IF(C2117="C99999",1,0)</f>
        <v/>
      </c>
      <c r="J2117" s="5">
        <f>IF(OR(H2117=1,I2117=1),0,IF(G2117="Credit",-F2117,F2117))</f>
        <v/>
      </c>
    </row>
    <row r="2118">
      <c r="A2118" t="inlineStr">
        <is>
          <t>2026-07-21</t>
        </is>
      </c>
      <c r="B2118" t="inlineStr">
        <is>
          <t>F284754</t>
        </is>
      </c>
      <c r="C2118" t="inlineStr">
        <is>
          <t>C11296</t>
        </is>
      </c>
      <c r="D2118" t="inlineStr">
        <is>
          <t>SKU-10322</t>
        </is>
      </c>
      <c r="E2118" t="inlineStr">
        <is>
          <t>AM11</t>
        </is>
      </c>
      <c r="F2118" s="5" t="n">
        <v>1765.4</v>
      </c>
      <c r="G2118">
        <f>IF(LEFT(B2118,1)="C","Credit","Factuur")</f>
        <v/>
      </c>
      <c r="H2118">
        <f>IF(AND(B2118=B2117,D2118=D2117,A2118=A2117,F2118=F2117),1,0)</f>
        <v/>
      </c>
      <c r="I2118">
        <f>IF(C2118="C99999",1,0)</f>
        <v/>
      </c>
      <c r="J2118" s="5">
        <f>IF(OR(H2118=1,I2118=1),0,IF(G2118="Credit",-F2118,F2118))</f>
        <v/>
      </c>
    </row>
    <row r="2119">
      <c r="A2119" t="inlineStr">
        <is>
          <t>2026-07-21</t>
        </is>
      </c>
      <c r="B2119" t="inlineStr">
        <is>
          <t>F284754</t>
        </is>
      </c>
      <c r="C2119" t="inlineStr">
        <is>
          <t>C11296</t>
        </is>
      </c>
      <c r="D2119" t="inlineStr">
        <is>
          <t>SKU-10326</t>
        </is>
      </c>
      <c r="E2119" t="inlineStr">
        <is>
          <t>AM11</t>
        </is>
      </c>
      <c r="F2119" s="5" t="n">
        <v>1813.05</v>
      </c>
      <c r="G2119">
        <f>IF(LEFT(B2119,1)="C","Credit","Factuur")</f>
        <v/>
      </c>
      <c r="H2119">
        <f>IF(AND(B2119=B2118,D2119=D2118,A2119=A2118,F2119=F2118),1,0)</f>
        <v/>
      </c>
      <c r="I2119">
        <f>IF(C2119="C99999",1,0)</f>
        <v/>
      </c>
      <c r="J2119" s="5">
        <f>IF(OR(H2119=1,I2119=1),0,IF(G2119="Credit",-F2119,F2119))</f>
        <v/>
      </c>
    </row>
    <row r="2120">
      <c r="A2120" t="inlineStr">
        <is>
          <t>2026-07-21</t>
        </is>
      </c>
      <c r="B2120" t="inlineStr">
        <is>
          <t>F284840</t>
        </is>
      </c>
      <c r="C2120" t="inlineStr">
        <is>
          <t>C11300</t>
        </is>
      </c>
      <c r="D2120" t="inlineStr">
        <is>
          <t>SKU-10039</t>
        </is>
      </c>
      <c r="E2120" t="inlineStr">
        <is>
          <t>AM11</t>
        </is>
      </c>
      <c r="F2120" s="5" t="n">
        <v>114.15</v>
      </c>
      <c r="G2120">
        <f>IF(LEFT(B2120,1)="C","Credit","Factuur")</f>
        <v/>
      </c>
      <c r="H2120">
        <f>IF(AND(B2120=B2119,D2120=D2119,A2120=A2119,F2120=F2119),1,0)</f>
        <v/>
      </c>
      <c r="I2120">
        <f>IF(C2120="C99999",1,0)</f>
        <v/>
      </c>
      <c r="J2120" s="5">
        <f>IF(OR(H2120=1,I2120=1),0,IF(G2120="Credit",-F2120,F2120))</f>
        <v/>
      </c>
    </row>
    <row r="2121">
      <c r="A2121" t="inlineStr">
        <is>
          <t>2026-07-21</t>
        </is>
      </c>
      <c r="B2121" t="inlineStr">
        <is>
          <t>F284840</t>
        </is>
      </c>
      <c r="C2121" t="inlineStr">
        <is>
          <t>C11300</t>
        </is>
      </c>
      <c r="D2121" t="inlineStr">
        <is>
          <t>SKU-10096</t>
        </is>
      </c>
      <c r="E2121" t="inlineStr"/>
      <c r="F2121" s="5" t="n">
        <v>114.42</v>
      </c>
      <c r="G2121">
        <f>IF(LEFT(B2121,1)="C","Credit","Factuur")</f>
        <v/>
      </c>
      <c r="H2121">
        <f>IF(AND(B2121=B2120,D2121=D2120,A2121=A2120,F2121=F2120),1,0)</f>
        <v/>
      </c>
      <c r="I2121">
        <f>IF(C2121="C99999",1,0)</f>
        <v/>
      </c>
      <c r="J2121" s="5">
        <f>IF(OR(H2121=1,I2121=1),0,IF(G2121="Credit",-F2121,F2121))</f>
        <v/>
      </c>
    </row>
    <row r="2122">
      <c r="A2122" t="inlineStr">
        <is>
          <t>2026-07-21</t>
        </is>
      </c>
      <c r="B2122" t="inlineStr">
        <is>
          <t>F284840</t>
        </is>
      </c>
      <c r="C2122" t="inlineStr">
        <is>
          <t>C11300</t>
        </is>
      </c>
      <c r="D2122" t="inlineStr">
        <is>
          <t>SKU-10111</t>
        </is>
      </c>
      <c r="E2122" t="inlineStr">
        <is>
          <t>AM11</t>
        </is>
      </c>
      <c r="F2122" s="5" t="n">
        <v>100.73</v>
      </c>
      <c r="G2122">
        <f>IF(LEFT(B2122,1)="C","Credit","Factuur")</f>
        <v/>
      </c>
      <c r="H2122">
        <f>IF(AND(B2122=B2121,D2122=D2121,A2122=A2121,F2122=F2121),1,0)</f>
        <v/>
      </c>
      <c r="I2122">
        <f>IF(C2122="C99999",1,0)</f>
        <v/>
      </c>
      <c r="J2122" s="5">
        <f>IF(OR(H2122=1,I2122=1),0,IF(G2122="Credit",-F2122,F2122))</f>
        <v/>
      </c>
    </row>
    <row r="2123">
      <c r="A2123" t="inlineStr">
        <is>
          <t>2026-07-21</t>
        </is>
      </c>
      <c r="B2123" t="inlineStr">
        <is>
          <t>F284840</t>
        </is>
      </c>
      <c r="C2123" t="inlineStr">
        <is>
          <t>C11300</t>
        </is>
      </c>
      <c r="D2123" t="inlineStr">
        <is>
          <t>SKU-10286</t>
        </is>
      </c>
      <c r="E2123" t="inlineStr">
        <is>
          <t>AM11</t>
        </is>
      </c>
      <c r="F2123" s="5" t="n">
        <v>108.59</v>
      </c>
      <c r="G2123">
        <f>IF(LEFT(B2123,1)="C","Credit","Factuur")</f>
        <v/>
      </c>
      <c r="H2123">
        <f>IF(AND(B2123=B2122,D2123=D2122,A2123=A2122,F2123=F2122),1,0)</f>
        <v/>
      </c>
      <c r="I2123">
        <f>IF(C2123="C99999",1,0)</f>
        <v/>
      </c>
      <c r="J2123" s="5">
        <f>IF(OR(H2123=1,I2123=1),0,IF(G2123="Credit",-F2123,F2123))</f>
        <v/>
      </c>
    </row>
    <row r="2124">
      <c r="A2124" t="inlineStr">
        <is>
          <t>2026-07-21</t>
        </is>
      </c>
      <c r="B2124" t="inlineStr">
        <is>
          <t>F285964</t>
        </is>
      </c>
      <c r="C2124" t="inlineStr">
        <is>
          <t>C11360</t>
        </is>
      </c>
      <c r="D2124" t="inlineStr">
        <is>
          <t>SKU-10095</t>
        </is>
      </c>
      <c r="E2124" t="inlineStr">
        <is>
          <t>AM08</t>
        </is>
      </c>
      <c r="F2124" s="5" t="n">
        <v>495.2</v>
      </c>
      <c r="G2124">
        <f>IF(LEFT(B2124,1)="C","Credit","Factuur")</f>
        <v/>
      </c>
      <c r="H2124">
        <f>IF(AND(B2124=B2123,D2124=D2123,A2124=A2123,F2124=F2123),1,0)</f>
        <v/>
      </c>
      <c r="I2124">
        <f>IF(C2124="C99999",1,0)</f>
        <v/>
      </c>
      <c r="J2124" s="5">
        <f>IF(OR(H2124=1,I2124=1),0,IF(G2124="Credit",-F2124,F2124))</f>
        <v/>
      </c>
    </row>
    <row r="2125">
      <c r="A2125" t="inlineStr">
        <is>
          <t>2026-07-21</t>
        </is>
      </c>
      <c r="B2125" t="inlineStr">
        <is>
          <t>F285964</t>
        </is>
      </c>
      <c r="C2125" t="inlineStr">
        <is>
          <t>C11360</t>
        </is>
      </c>
      <c r="D2125" t="inlineStr">
        <is>
          <t>SKU-10312</t>
        </is>
      </c>
      <c r="E2125" t="inlineStr">
        <is>
          <t>AM08</t>
        </is>
      </c>
      <c r="F2125" s="5" t="n">
        <v>481.6</v>
      </c>
      <c r="G2125">
        <f>IF(LEFT(B2125,1)="C","Credit","Factuur")</f>
        <v/>
      </c>
      <c r="H2125">
        <f>IF(AND(B2125=B2124,D2125=D2124,A2125=A2124,F2125=F2124),1,0)</f>
        <v/>
      </c>
      <c r="I2125">
        <f>IF(C2125="C99999",1,0)</f>
        <v/>
      </c>
      <c r="J2125" s="5">
        <f>IF(OR(H2125=1,I2125=1),0,IF(G2125="Credit",-F2125,F2125))</f>
        <v/>
      </c>
    </row>
    <row r="2126">
      <c r="A2126" t="inlineStr">
        <is>
          <t>2026-07-21</t>
        </is>
      </c>
      <c r="B2126" t="inlineStr">
        <is>
          <t>F286052</t>
        </is>
      </c>
      <c r="C2126" t="inlineStr">
        <is>
          <t>C11363</t>
        </is>
      </c>
      <c r="D2126" t="inlineStr">
        <is>
          <t>SKU-10272</t>
        </is>
      </c>
      <c r="E2126" t="inlineStr">
        <is>
          <t>AM09</t>
        </is>
      </c>
      <c r="F2126" s="5" t="n">
        <v>256.43</v>
      </c>
      <c r="G2126">
        <f>IF(LEFT(B2126,1)="C","Credit","Factuur")</f>
        <v/>
      </c>
      <c r="H2126">
        <f>IF(AND(B2126=B2125,D2126=D2125,A2126=A2125,F2126=F2125),1,0)</f>
        <v/>
      </c>
      <c r="I2126">
        <f>IF(C2126="C99999",1,0)</f>
        <v/>
      </c>
      <c r="J2126" s="5">
        <f>IF(OR(H2126=1,I2126=1),0,IF(G2126="Credit",-F2126,F2126))</f>
        <v/>
      </c>
    </row>
    <row r="2127">
      <c r="A2127" t="inlineStr">
        <is>
          <t>2026-07-22</t>
        </is>
      </c>
      <c r="B2127" t="inlineStr">
        <is>
          <t>C900202</t>
        </is>
      </c>
      <c r="C2127" t="inlineStr">
        <is>
          <t>C10082</t>
        </is>
      </c>
      <c r="D2127" t="inlineStr">
        <is>
          <t>SKU-10166</t>
        </is>
      </c>
      <c r="E2127" t="inlineStr">
        <is>
          <t>AM09</t>
        </is>
      </c>
      <c r="F2127" s="5" t="n">
        <v>1110.36</v>
      </c>
      <c r="G2127">
        <f>IF(LEFT(B2127,1)="C","Credit","Factuur")</f>
        <v/>
      </c>
      <c r="H2127">
        <f>IF(AND(B2127=B2126,D2127=D2126,A2127=A2126,F2127=F2126),1,0)</f>
        <v/>
      </c>
      <c r="I2127">
        <f>IF(C2127="C99999",1,0)</f>
        <v/>
      </c>
      <c r="J2127" s="5">
        <f>IF(OR(H2127=1,I2127=1),0,IF(G2127="Credit",-F2127,F2127))</f>
        <v/>
      </c>
    </row>
    <row r="2128">
      <c r="A2128" t="inlineStr">
        <is>
          <t>2026-07-22</t>
        </is>
      </c>
      <c r="B2128" t="inlineStr">
        <is>
          <t>C900876</t>
        </is>
      </c>
      <c r="C2128" t="inlineStr">
        <is>
          <t>C10148</t>
        </is>
      </c>
      <c r="D2128" t="inlineStr">
        <is>
          <t>SKU-10368</t>
        </is>
      </c>
      <c r="E2128" t="inlineStr">
        <is>
          <t>AM09</t>
        </is>
      </c>
      <c r="F2128" s="5" t="n">
        <v>1469.56</v>
      </c>
      <c r="G2128">
        <f>IF(LEFT(B2128,1)="C","Credit","Factuur")</f>
        <v/>
      </c>
      <c r="H2128">
        <f>IF(AND(B2128=B2127,D2128=D2127,A2128=A2127,F2128=F2127),1,0)</f>
        <v/>
      </c>
      <c r="I2128">
        <f>IF(C2128="C99999",1,0)</f>
        <v/>
      </c>
      <c r="J2128" s="5">
        <f>IF(OR(H2128=1,I2128=1),0,IF(G2128="Credit",-F2128,F2128))</f>
        <v/>
      </c>
    </row>
    <row r="2129">
      <c r="A2129" t="inlineStr">
        <is>
          <t>2026-07-22</t>
        </is>
      </c>
      <c r="B2129" t="inlineStr">
        <is>
          <t>C901665</t>
        </is>
      </c>
      <c r="C2129" t="inlineStr">
        <is>
          <t>C11028</t>
        </is>
      </c>
      <c r="D2129" t="inlineStr">
        <is>
          <t>SKU-10163</t>
        </is>
      </c>
      <c r="E2129" t="inlineStr">
        <is>
          <t>AM06</t>
        </is>
      </c>
      <c r="F2129" s="5" t="n">
        <v>174.96</v>
      </c>
      <c r="G2129">
        <f>IF(LEFT(B2129,1)="C","Credit","Factuur")</f>
        <v/>
      </c>
      <c r="H2129">
        <f>IF(AND(B2129=B2128,D2129=D2128,A2129=A2128,F2129=F2128),1,0)</f>
        <v/>
      </c>
      <c r="I2129">
        <f>IF(C2129="C99999",1,0)</f>
        <v/>
      </c>
      <c r="J2129" s="5">
        <f>IF(OR(H2129=1,I2129=1),0,IF(G2129="Credit",-F2129,F2129))</f>
        <v/>
      </c>
    </row>
    <row r="2130">
      <c r="A2130" t="inlineStr">
        <is>
          <t>2026-07-22</t>
        </is>
      </c>
      <c r="B2130" t="inlineStr">
        <is>
          <t>C901814</t>
        </is>
      </c>
      <c r="C2130" t="inlineStr">
        <is>
          <t>C10299</t>
        </is>
      </c>
      <c r="D2130" t="inlineStr">
        <is>
          <t>SKU-10004</t>
        </is>
      </c>
      <c r="E2130" t="inlineStr">
        <is>
          <t>AM07</t>
        </is>
      </c>
      <c r="F2130" s="5" t="n">
        <v>282.06</v>
      </c>
      <c r="G2130">
        <f>IF(LEFT(B2130,1)="C","Credit","Factuur")</f>
        <v/>
      </c>
      <c r="H2130">
        <f>IF(AND(B2130=B2129,D2130=D2129,A2130=A2129,F2130=F2129),1,0)</f>
        <v/>
      </c>
      <c r="I2130">
        <f>IF(C2130="C99999",1,0)</f>
        <v/>
      </c>
      <c r="J2130" s="5">
        <f>IF(OR(H2130=1,I2130=1),0,IF(G2130="Credit",-F2130,F2130))</f>
        <v/>
      </c>
    </row>
    <row r="2131">
      <c r="A2131" t="inlineStr">
        <is>
          <t>2026-07-22</t>
        </is>
      </c>
      <c r="B2131" t="inlineStr">
        <is>
          <t>C901857</t>
        </is>
      </c>
      <c r="C2131" t="inlineStr">
        <is>
          <t>C10168</t>
        </is>
      </c>
      <c r="D2131" t="inlineStr">
        <is>
          <t>SKU-10219</t>
        </is>
      </c>
      <c r="E2131" t="inlineStr">
        <is>
          <t>AM02</t>
        </is>
      </c>
      <c r="F2131" s="5" t="n">
        <v>202.77</v>
      </c>
      <c r="G2131">
        <f>IF(LEFT(B2131,1)="C","Credit","Factuur")</f>
        <v/>
      </c>
      <c r="H2131">
        <f>IF(AND(B2131=B2130,D2131=D2130,A2131=A2130,F2131=F2130),1,0)</f>
        <v/>
      </c>
      <c r="I2131">
        <f>IF(C2131="C99999",1,0)</f>
        <v/>
      </c>
      <c r="J2131" s="5">
        <f>IF(OR(H2131=1,I2131=1),0,IF(G2131="Credit",-F2131,F2131))</f>
        <v/>
      </c>
    </row>
    <row r="2132">
      <c r="A2132" t="inlineStr">
        <is>
          <t>2026-07-22</t>
        </is>
      </c>
      <c r="B2132" t="inlineStr">
        <is>
          <t>F260252</t>
        </is>
      </c>
      <c r="C2132" t="inlineStr">
        <is>
          <t>C10016</t>
        </is>
      </c>
      <c r="D2132" t="inlineStr">
        <is>
          <t>SKU-10027</t>
        </is>
      </c>
      <c r="E2132" t="inlineStr">
        <is>
          <t>AM05</t>
        </is>
      </c>
      <c r="F2132" s="5" t="n">
        <v>110.68</v>
      </c>
      <c r="G2132">
        <f>IF(LEFT(B2132,1)="C","Credit","Factuur")</f>
        <v/>
      </c>
      <c r="H2132">
        <f>IF(AND(B2132=B2131,D2132=D2131,A2132=A2131,F2132=F2131),1,0)</f>
        <v/>
      </c>
      <c r="I2132">
        <f>IF(C2132="C99999",1,0)</f>
        <v/>
      </c>
      <c r="J2132" s="5">
        <f>IF(OR(H2132=1,I2132=1),0,IF(G2132="Credit",-F2132,F2132))</f>
        <v/>
      </c>
    </row>
    <row r="2133">
      <c r="A2133" t="inlineStr">
        <is>
          <t>2026-07-22</t>
        </is>
      </c>
      <c r="B2133" t="inlineStr">
        <is>
          <t>F260252</t>
        </is>
      </c>
      <c r="C2133" t="inlineStr">
        <is>
          <t>C10016</t>
        </is>
      </c>
      <c r="D2133" t="inlineStr">
        <is>
          <t>SKU-10068</t>
        </is>
      </c>
      <c r="E2133" t="inlineStr">
        <is>
          <t>AM05</t>
        </is>
      </c>
      <c r="F2133" s="5" t="n">
        <v>119.79</v>
      </c>
      <c r="G2133">
        <f>IF(LEFT(B2133,1)="C","Credit","Factuur")</f>
        <v/>
      </c>
      <c r="H2133">
        <f>IF(AND(B2133=B2132,D2133=D2132,A2133=A2132,F2133=F2132),1,0)</f>
        <v/>
      </c>
      <c r="I2133">
        <f>IF(C2133="C99999",1,0)</f>
        <v/>
      </c>
      <c r="J2133" s="5">
        <f>IF(OR(H2133=1,I2133=1),0,IF(G2133="Credit",-F2133,F2133))</f>
        <v/>
      </c>
    </row>
    <row r="2134">
      <c r="A2134" t="inlineStr">
        <is>
          <t>2026-07-22</t>
        </is>
      </c>
      <c r="B2134" t="inlineStr">
        <is>
          <t>F260252</t>
        </is>
      </c>
      <c r="C2134" t="inlineStr">
        <is>
          <t>C10016</t>
        </is>
      </c>
      <c r="D2134" t="inlineStr">
        <is>
          <t>SKU-10130</t>
        </is>
      </c>
      <c r="E2134" t="inlineStr">
        <is>
          <t>AM05</t>
        </is>
      </c>
      <c r="F2134" s="5" t="n">
        <v>126.2</v>
      </c>
      <c r="G2134">
        <f>IF(LEFT(B2134,1)="C","Credit","Factuur")</f>
        <v/>
      </c>
      <c r="H2134">
        <f>IF(AND(B2134=B2133,D2134=D2133,A2134=A2133,F2134=F2133),1,0)</f>
        <v/>
      </c>
      <c r="I2134">
        <f>IF(C2134="C99999",1,0)</f>
        <v/>
      </c>
      <c r="J2134" s="5">
        <f>IF(OR(H2134=1,I2134=1),0,IF(G2134="Credit",-F2134,F2134))</f>
        <v/>
      </c>
    </row>
    <row r="2135">
      <c r="A2135" t="inlineStr">
        <is>
          <t>2026-07-22</t>
        </is>
      </c>
      <c r="B2135" t="inlineStr">
        <is>
          <t>F260252</t>
        </is>
      </c>
      <c r="C2135" t="inlineStr">
        <is>
          <t>C10016</t>
        </is>
      </c>
      <c r="D2135" t="inlineStr">
        <is>
          <t>SKU-10141</t>
        </is>
      </c>
      <c r="E2135" t="inlineStr">
        <is>
          <t>AM05</t>
        </is>
      </c>
      <c r="F2135" s="5" t="n">
        <v>106.1</v>
      </c>
      <c r="G2135">
        <f>IF(LEFT(B2135,1)="C","Credit","Factuur")</f>
        <v/>
      </c>
      <c r="H2135">
        <f>IF(AND(B2135=B2134,D2135=D2134,A2135=A2134,F2135=F2134),1,0)</f>
        <v/>
      </c>
      <c r="I2135">
        <f>IF(C2135="C99999",1,0)</f>
        <v/>
      </c>
      <c r="J2135" s="5">
        <f>IF(OR(H2135=1,I2135=1),0,IF(G2135="Credit",-F2135,F2135))</f>
        <v/>
      </c>
    </row>
    <row r="2136">
      <c r="A2136" t="inlineStr">
        <is>
          <t>2026-07-22</t>
        </is>
      </c>
      <c r="B2136" t="inlineStr">
        <is>
          <t>F260252</t>
        </is>
      </c>
      <c r="C2136" t="inlineStr">
        <is>
          <t>C10016</t>
        </is>
      </c>
      <c r="D2136" t="inlineStr">
        <is>
          <t>SKU-10360</t>
        </is>
      </c>
      <c r="E2136" t="inlineStr"/>
      <c r="F2136" s="5" t="n">
        <v>186.81</v>
      </c>
      <c r="G2136">
        <f>IF(LEFT(B2136,1)="C","Credit","Factuur")</f>
        <v/>
      </c>
      <c r="H2136">
        <f>IF(AND(B2136=B2135,D2136=D2135,A2136=A2135,F2136=F2135),1,0)</f>
        <v/>
      </c>
      <c r="I2136">
        <f>IF(C2136="C99999",1,0)</f>
        <v/>
      </c>
      <c r="J2136" s="5">
        <f>IF(OR(H2136=1,I2136=1),0,IF(G2136="Credit",-F2136,F2136))</f>
        <v/>
      </c>
    </row>
    <row r="2137">
      <c r="A2137" t="inlineStr">
        <is>
          <t>2026-07-22</t>
        </is>
      </c>
      <c r="B2137" t="inlineStr">
        <is>
          <t>F261800</t>
        </is>
      </c>
      <c r="C2137" t="inlineStr">
        <is>
          <t>C10095</t>
        </is>
      </c>
      <c r="D2137" t="inlineStr">
        <is>
          <t>SKU-10331</t>
        </is>
      </c>
      <c r="E2137" t="inlineStr">
        <is>
          <t>AM01</t>
        </is>
      </c>
      <c r="F2137" s="5" t="n">
        <v>1287.9</v>
      </c>
      <c r="G2137">
        <f>IF(LEFT(B2137,1)="C","Credit","Factuur")</f>
        <v/>
      </c>
      <c r="H2137">
        <f>IF(AND(B2137=B2136,D2137=D2136,A2137=A2136,F2137=F2136),1,0)</f>
        <v/>
      </c>
      <c r="I2137">
        <f>IF(C2137="C99999",1,0)</f>
        <v/>
      </c>
      <c r="J2137" s="5">
        <f>IF(OR(H2137=1,I2137=1),0,IF(G2137="Credit",-F2137,F2137))</f>
        <v/>
      </c>
    </row>
    <row r="2138">
      <c r="A2138" t="inlineStr">
        <is>
          <t>2026-07-22</t>
        </is>
      </c>
      <c r="B2138" t="inlineStr">
        <is>
          <t>F261854</t>
        </is>
      </c>
      <c r="C2138" t="inlineStr">
        <is>
          <t>C10099</t>
        </is>
      </c>
      <c r="D2138" t="inlineStr">
        <is>
          <t>SKU-10150</t>
        </is>
      </c>
      <c r="E2138" t="inlineStr">
        <is>
          <t>AM02</t>
        </is>
      </c>
      <c r="F2138" s="5" t="n">
        <v>263.21</v>
      </c>
      <c r="G2138">
        <f>IF(LEFT(B2138,1)="C","Credit","Factuur")</f>
        <v/>
      </c>
      <c r="H2138">
        <f>IF(AND(B2138=B2137,D2138=D2137,A2138=A2137,F2138=F2137),1,0)</f>
        <v/>
      </c>
      <c r="I2138">
        <f>IF(C2138="C99999",1,0)</f>
        <v/>
      </c>
      <c r="J2138" s="5">
        <f>IF(OR(H2138=1,I2138=1),0,IF(G2138="Credit",-F2138,F2138))</f>
        <v/>
      </c>
    </row>
    <row r="2139">
      <c r="A2139" t="inlineStr">
        <is>
          <t>2026-07-22</t>
        </is>
      </c>
      <c r="B2139" t="inlineStr">
        <is>
          <t>F261854</t>
        </is>
      </c>
      <c r="C2139" t="inlineStr">
        <is>
          <t>C10099</t>
        </is>
      </c>
      <c r="D2139" t="inlineStr">
        <is>
          <t>SKU-10216</t>
        </is>
      </c>
      <c r="E2139" t="inlineStr">
        <is>
          <t>AM02</t>
        </is>
      </c>
      <c r="F2139" s="5" t="n">
        <v>268.18</v>
      </c>
      <c r="G2139">
        <f>IF(LEFT(B2139,1)="C","Credit","Factuur")</f>
        <v/>
      </c>
      <c r="H2139">
        <f>IF(AND(B2139=B2138,D2139=D2138,A2139=A2138,F2139=F2138),1,0)</f>
        <v/>
      </c>
      <c r="I2139">
        <f>IF(C2139="C99999",1,0)</f>
        <v/>
      </c>
      <c r="J2139" s="5">
        <f>IF(OR(H2139=1,I2139=1),0,IF(G2139="Credit",-F2139,F2139))</f>
        <v/>
      </c>
    </row>
    <row r="2140">
      <c r="A2140" t="inlineStr">
        <is>
          <t>2026-07-22</t>
        </is>
      </c>
      <c r="B2140" t="inlineStr">
        <is>
          <t>F261854</t>
        </is>
      </c>
      <c r="C2140" t="inlineStr">
        <is>
          <t>C10099</t>
        </is>
      </c>
      <c r="D2140" t="inlineStr">
        <is>
          <t>SKU-10243</t>
        </is>
      </c>
      <c r="E2140" t="inlineStr">
        <is>
          <t>AM02</t>
        </is>
      </c>
      <c r="F2140" s="5" t="n">
        <v>278.83</v>
      </c>
      <c r="G2140">
        <f>IF(LEFT(B2140,1)="C","Credit","Factuur")</f>
        <v/>
      </c>
      <c r="H2140">
        <f>IF(AND(B2140=B2139,D2140=D2139,A2140=A2139,F2140=F2139),1,0)</f>
        <v/>
      </c>
      <c r="I2140">
        <f>IF(C2140="C99999",1,0)</f>
        <v/>
      </c>
      <c r="J2140" s="5">
        <f>IF(OR(H2140=1,I2140=1),0,IF(G2140="Credit",-F2140,F2140))</f>
        <v/>
      </c>
    </row>
    <row r="2141">
      <c r="A2141" t="inlineStr">
        <is>
          <t>2026-07-22</t>
        </is>
      </c>
      <c r="B2141" t="inlineStr">
        <is>
          <t>F264495</t>
        </is>
      </c>
      <c r="C2141" t="inlineStr">
        <is>
          <t>C10233</t>
        </is>
      </c>
      <c r="D2141" t="inlineStr">
        <is>
          <t>SKU-10288</t>
        </is>
      </c>
      <c r="E2141" t="inlineStr">
        <is>
          <t>AM03</t>
        </is>
      </c>
      <c r="F2141" s="5" t="n">
        <v>1640.67</v>
      </c>
      <c r="G2141">
        <f>IF(LEFT(B2141,1)="C","Credit","Factuur")</f>
        <v/>
      </c>
      <c r="H2141">
        <f>IF(AND(B2141=B2140,D2141=D2140,A2141=A2140,F2141=F2140),1,0)</f>
        <v/>
      </c>
      <c r="I2141">
        <f>IF(C2141="C99999",1,0)</f>
        <v/>
      </c>
      <c r="J2141" s="5">
        <f>IF(OR(H2141=1,I2141=1),0,IF(G2141="Credit",-F2141,F2141))</f>
        <v/>
      </c>
    </row>
    <row r="2142">
      <c r="A2142" t="inlineStr">
        <is>
          <t>2026-07-22</t>
        </is>
      </c>
      <c r="B2142" t="inlineStr">
        <is>
          <t>F265016</t>
        </is>
      </c>
      <c r="C2142" t="inlineStr">
        <is>
          <t>C10263</t>
        </is>
      </c>
      <c r="D2142" t="inlineStr">
        <is>
          <t>SKU-10092</t>
        </is>
      </c>
      <c r="E2142" t="inlineStr">
        <is>
          <t>AM03</t>
        </is>
      </c>
      <c r="F2142" s="5" t="n">
        <v>343.1</v>
      </c>
      <c r="G2142">
        <f>IF(LEFT(B2142,1)="C","Credit","Factuur")</f>
        <v/>
      </c>
      <c r="H2142">
        <f>IF(AND(B2142=B2141,D2142=D2141,A2142=A2141,F2142=F2141),1,0)</f>
        <v/>
      </c>
      <c r="I2142">
        <f>IF(C2142="C99999",1,0)</f>
        <v/>
      </c>
      <c r="J2142" s="5">
        <f>IF(OR(H2142=1,I2142=1),0,IF(G2142="Credit",-F2142,F2142))</f>
        <v/>
      </c>
    </row>
    <row r="2143">
      <c r="A2143" t="inlineStr">
        <is>
          <t>2026-07-22</t>
        </is>
      </c>
      <c r="B2143" t="inlineStr">
        <is>
          <t>F265016</t>
        </is>
      </c>
      <c r="C2143" t="inlineStr">
        <is>
          <t>C10263</t>
        </is>
      </c>
      <c r="D2143" t="inlineStr">
        <is>
          <t>SKU-10116</t>
        </is>
      </c>
      <c r="E2143" t="inlineStr">
        <is>
          <t>AM03</t>
        </is>
      </c>
      <c r="F2143" s="5" t="n">
        <v>325.5</v>
      </c>
      <c r="G2143">
        <f>IF(LEFT(B2143,1)="C","Credit","Factuur")</f>
        <v/>
      </c>
      <c r="H2143">
        <f>IF(AND(B2143=B2142,D2143=D2142,A2143=A2142,F2143=F2142),1,0)</f>
        <v/>
      </c>
      <c r="I2143">
        <f>IF(C2143="C99999",1,0)</f>
        <v/>
      </c>
      <c r="J2143" s="5">
        <f>IF(OR(H2143=1,I2143=1),0,IF(G2143="Credit",-F2143,F2143))</f>
        <v/>
      </c>
    </row>
    <row r="2144">
      <c r="A2144" t="inlineStr">
        <is>
          <t>2026-07-22</t>
        </is>
      </c>
      <c r="B2144" t="inlineStr">
        <is>
          <t>F265058</t>
        </is>
      </c>
      <c r="C2144" t="inlineStr">
        <is>
          <t>C10265</t>
        </is>
      </c>
      <c r="D2144" t="inlineStr">
        <is>
          <t>SKU-10078</t>
        </is>
      </c>
      <c r="E2144" t="inlineStr">
        <is>
          <t>AM01</t>
        </is>
      </c>
      <c r="F2144" s="5" t="n">
        <v>380.45</v>
      </c>
      <c r="G2144">
        <f>IF(LEFT(B2144,1)="C","Credit","Factuur")</f>
        <v/>
      </c>
      <c r="H2144">
        <f>IF(AND(B2144=B2143,D2144=D2143,A2144=A2143,F2144=F2143),1,0)</f>
        <v/>
      </c>
      <c r="I2144">
        <f>IF(C2144="C99999",1,0)</f>
        <v/>
      </c>
      <c r="J2144" s="5">
        <f>IF(OR(H2144=1,I2144=1),0,IF(G2144="Credit",-F2144,F2144))</f>
        <v/>
      </c>
    </row>
    <row r="2145">
      <c r="A2145" t="inlineStr">
        <is>
          <t>2026-07-22</t>
        </is>
      </c>
      <c r="B2145" t="inlineStr">
        <is>
          <t>F265058</t>
        </is>
      </c>
      <c r="C2145" t="inlineStr">
        <is>
          <t>C10265</t>
        </is>
      </c>
      <c r="D2145" t="inlineStr">
        <is>
          <t>SKU-10082</t>
        </is>
      </c>
      <c r="E2145" t="inlineStr">
        <is>
          <t>AM01</t>
        </is>
      </c>
      <c r="F2145" s="5" t="n">
        <v>376</v>
      </c>
      <c r="G2145">
        <f>IF(LEFT(B2145,1)="C","Credit","Factuur")</f>
        <v/>
      </c>
      <c r="H2145">
        <f>IF(AND(B2145=B2144,D2145=D2144,A2145=A2144,F2145=F2144),1,0)</f>
        <v/>
      </c>
      <c r="I2145">
        <f>IF(C2145="C99999",1,0)</f>
        <v/>
      </c>
      <c r="J2145" s="5">
        <f>IF(OR(H2145=1,I2145=1),0,IF(G2145="Credit",-F2145,F2145))</f>
        <v/>
      </c>
    </row>
    <row r="2146">
      <c r="A2146" t="inlineStr">
        <is>
          <t>2026-07-22</t>
        </is>
      </c>
      <c r="B2146" t="inlineStr">
        <is>
          <t>F265058</t>
        </is>
      </c>
      <c r="C2146" t="inlineStr">
        <is>
          <t>C10265</t>
        </is>
      </c>
      <c r="D2146" t="inlineStr">
        <is>
          <t>SKU-10153</t>
        </is>
      </c>
      <c r="E2146" t="inlineStr">
        <is>
          <t>AM01</t>
        </is>
      </c>
      <c r="F2146" s="5" t="n">
        <v>382.16</v>
      </c>
      <c r="G2146">
        <f>IF(LEFT(B2146,1)="C","Credit","Factuur")</f>
        <v/>
      </c>
      <c r="H2146">
        <f>IF(AND(B2146=B2145,D2146=D2145,A2146=A2145,F2146=F2145),1,0)</f>
        <v/>
      </c>
      <c r="I2146">
        <f>IF(C2146="C99999",1,0)</f>
        <v/>
      </c>
      <c r="J2146" s="5">
        <f>IF(OR(H2146=1,I2146=1),0,IF(G2146="Credit",-F2146,F2146))</f>
        <v/>
      </c>
    </row>
    <row r="2147">
      <c r="A2147" t="inlineStr">
        <is>
          <t>2026-07-22</t>
        </is>
      </c>
      <c r="B2147" t="inlineStr">
        <is>
          <t>F265058</t>
        </is>
      </c>
      <c r="C2147" t="inlineStr">
        <is>
          <t>C10265</t>
        </is>
      </c>
      <c r="D2147" t="inlineStr">
        <is>
          <t>SKU-10160</t>
        </is>
      </c>
      <c r="E2147" t="inlineStr">
        <is>
          <t>AM01</t>
        </is>
      </c>
      <c r="F2147" s="5" t="n">
        <v>373.68</v>
      </c>
      <c r="G2147">
        <f>IF(LEFT(B2147,1)="C","Credit","Factuur")</f>
        <v/>
      </c>
      <c r="H2147">
        <f>IF(AND(B2147=B2146,D2147=D2146,A2147=A2146,F2147=F2146),1,0)</f>
        <v/>
      </c>
      <c r="I2147">
        <f>IF(C2147="C99999",1,0)</f>
        <v/>
      </c>
      <c r="J2147" s="5">
        <f>IF(OR(H2147=1,I2147=1),0,IF(G2147="Credit",-F2147,F2147))</f>
        <v/>
      </c>
    </row>
    <row r="2148">
      <c r="A2148" t="inlineStr">
        <is>
          <t>2026-07-22</t>
        </is>
      </c>
      <c r="B2148" t="inlineStr">
        <is>
          <t>F265058</t>
        </is>
      </c>
      <c r="C2148" t="inlineStr">
        <is>
          <t>C10265</t>
        </is>
      </c>
      <c r="D2148" t="inlineStr">
        <is>
          <t>SKU-10324</t>
        </is>
      </c>
      <c r="E2148" t="inlineStr">
        <is>
          <t>AM01</t>
        </is>
      </c>
      <c r="F2148" s="5" t="n">
        <v>369.24</v>
      </c>
      <c r="G2148">
        <f>IF(LEFT(B2148,1)="C","Credit","Factuur")</f>
        <v/>
      </c>
      <c r="H2148">
        <f>IF(AND(B2148=B2147,D2148=D2147,A2148=A2147,F2148=F2147),1,0)</f>
        <v/>
      </c>
      <c r="I2148">
        <f>IF(C2148="C99999",1,0)</f>
        <v/>
      </c>
      <c r="J2148" s="5">
        <f>IF(OR(H2148=1,I2148=1),0,IF(G2148="Credit",-F2148,F2148))</f>
        <v/>
      </c>
    </row>
    <row r="2149">
      <c r="A2149" t="inlineStr">
        <is>
          <t>2026-07-22</t>
        </is>
      </c>
      <c r="B2149" t="inlineStr">
        <is>
          <t>F265709</t>
        </is>
      </c>
      <c r="C2149" t="inlineStr">
        <is>
          <t>C10299</t>
        </is>
      </c>
      <c r="D2149" t="inlineStr">
        <is>
          <t>SKU-10290</t>
        </is>
      </c>
      <c r="E2149" t="inlineStr">
        <is>
          <t>AM07</t>
        </is>
      </c>
      <c r="F2149" s="5" t="n">
        <v>986.1</v>
      </c>
      <c r="G2149">
        <f>IF(LEFT(B2149,1)="C","Credit","Factuur")</f>
        <v/>
      </c>
      <c r="H2149">
        <f>IF(AND(B2149=B2148,D2149=D2148,A2149=A2148,F2149=F2148),1,0)</f>
        <v/>
      </c>
      <c r="I2149">
        <f>IF(C2149="C99999",1,0)</f>
        <v/>
      </c>
      <c r="J2149" s="5">
        <f>IF(OR(H2149=1,I2149=1),0,IF(G2149="Credit",-F2149,F2149))</f>
        <v/>
      </c>
    </row>
    <row r="2150">
      <c r="A2150" t="inlineStr">
        <is>
          <t>2026-07-22</t>
        </is>
      </c>
      <c r="B2150" t="inlineStr">
        <is>
          <t>F266809</t>
        </is>
      </c>
      <c r="C2150" t="inlineStr">
        <is>
          <t>C10359</t>
        </is>
      </c>
      <c r="D2150" t="inlineStr">
        <is>
          <t>SKU-10015</t>
        </is>
      </c>
      <c r="E2150" t="inlineStr">
        <is>
          <t>AM06</t>
        </is>
      </c>
      <c r="F2150" s="5" t="n">
        <v>233.18</v>
      </c>
      <c r="G2150">
        <f>IF(LEFT(B2150,1)="C","Credit","Factuur")</f>
        <v/>
      </c>
      <c r="H2150">
        <f>IF(AND(B2150=B2149,D2150=D2149,A2150=A2149,F2150=F2149),1,0)</f>
        <v/>
      </c>
      <c r="I2150">
        <f>IF(C2150="C99999",1,0)</f>
        <v/>
      </c>
      <c r="J2150" s="5">
        <f>IF(OR(H2150=1,I2150=1),0,IF(G2150="Credit",-F2150,F2150))</f>
        <v/>
      </c>
    </row>
    <row r="2151">
      <c r="A2151" t="inlineStr">
        <is>
          <t>2026-07-22</t>
        </is>
      </c>
      <c r="B2151" t="inlineStr">
        <is>
          <t>F266809</t>
        </is>
      </c>
      <c r="C2151" t="inlineStr">
        <is>
          <t>C10359</t>
        </is>
      </c>
      <c r="D2151" t="inlineStr">
        <is>
          <t>SKU-10100</t>
        </is>
      </c>
      <c r="E2151" t="inlineStr">
        <is>
          <t>AM06</t>
        </is>
      </c>
      <c r="F2151" s="5" t="n">
        <v>259.74</v>
      </c>
      <c r="G2151">
        <f>IF(LEFT(B2151,1)="C","Credit","Factuur")</f>
        <v/>
      </c>
      <c r="H2151">
        <f>IF(AND(B2151=B2150,D2151=D2150,A2151=A2150,F2151=F2150),1,0)</f>
        <v/>
      </c>
      <c r="I2151">
        <f>IF(C2151="C99999",1,0)</f>
        <v/>
      </c>
      <c r="J2151" s="5">
        <f>IF(OR(H2151=1,I2151=1),0,IF(G2151="Credit",-F2151,F2151))</f>
        <v/>
      </c>
    </row>
    <row r="2152">
      <c r="A2152" t="inlineStr">
        <is>
          <t>2026-07-22</t>
        </is>
      </c>
      <c r="B2152" t="inlineStr">
        <is>
          <t>F266809</t>
        </is>
      </c>
      <c r="C2152" t="inlineStr">
        <is>
          <t>C10359</t>
        </is>
      </c>
      <c r="D2152" t="inlineStr">
        <is>
          <t>SKU-10191</t>
        </is>
      </c>
      <c r="E2152" t="inlineStr">
        <is>
          <t>AM06</t>
        </is>
      </c>
      <c r="F2152" s="5" t="n">
        <v>248.7</v>
      </c>
      <c r="G2152">
        <f>IF(LEFT(B2152,1)="C","Credit","Factuur")</f>
        <v/>
      </c>
      <c r="H2152">
        <f>IF(AND(B2152=B2151,D2152=D2151,A2152=A2151,F2152=F2151),1,0)</f>
        <v/>
      </c>
      <c r="I2152">
        <f>IF(C2152="C99999",1,0)</f>
        <v/>
      </c>
      <c r="J2152" s="5">
        <f>IF(OR(H2152=1,I2152=1),0,IF(G2152="Credit",-F2152,F2152))</f>
        <v/>
      </c>
    </row>
    <row r="2153">
      <c r="A2153" t="inlineStr">
        <is>
          <t>2026-07-22</t>
        </is>
      </c>
      <c r="B2153" t="inlineStr">
        <is>
          <t>F266809</t>
        </is>
      </c>
      <c r="C2153" t="inlineStr">
        <is>
          <t>C10359</t>
        </is>
      </c>
      <c r="D2153" t="inlineStr">
        <is>
          <t>SKU-10285</t>
        </is>
      </c>
      <c r="E2153" t="inlineStr">
        <is>
          <t>AM06</t>
        </is>
      </c>
      <c r="F2153" s="5" t="n">
        <v>248.82</v>
      </c>
      <c r="G2153">
        <f>IF(LEFT(B2153,1)="C","Credit","Factuur")</f>
        <v/>
      </c>
      <c r="H2153">
        <f>IF(AND(B2153=B2152,D2153=D2152,A2153=A2152,F2153=F2152),1,0)</f>
        <v/>
      </c>
      <c r="I2153">
        <f>IF(C2153="C99999",1,0)</f>
        <v/>
      </c>
      <c r="J2153" s="5">
        <f>IF(OR(H2153=1,I2153=1),0,IF(G2153="Credit",-F2153,F2153))</f>
        <v/>
      </c>
    </row>
    <row r="2154">
      <c r="A2154" t="inlineStr">
        <is>
          <t>2026-07-22</t>
        </is>
      </c>
      <c r="B2154" t="inlineStr">
        <is>
          <t>F267415</t>
        </is>
      </c>
      <c r="C2154" t="inlineStr">
        <is>
          <t>C10392</t>
        </is>
      </c>
      <c r="D2154" t="inlineStr">
        <is>
          <t>SKU-10080</t>
        </is>
      </c>
      <c r="E2154" t="inlineStr">
        <is>
          <t>AM02</t>
        </is>
      </c>
      <c r="F2154" s="5" t="n">
        <v>686.34</v>
      </c>
      <c r="G2154">
        <f>IF(LEFT(B2154,1)="C","Credit","Factuur")</f>
        <v/>
      </c>
      <c r="H2154">
        <f>IF(AND(B2154=B2153,D2154=D2153,A2154=A2153,F2154=F2153),1,0)</f>
        <v/>
      </c>
      <c r="I2154">
        <f>IF(C2154="C99999",1,0)</f>
        <v/>
      </c>
      <c r="J2154" s="5">
        <f>IF(OR(H2154=1,I2154=1),0,IF(G2154="Credit",-F2154,F2154))</f>
        <v/>
      </c>
    </row>
    <row r="2155">
      <c r="A2155" t="inlineStr">
        <is>
          <t>2026-07-22</t>
        </is>
      </c>
      <c r="B2155" t="inlineStr">
        <is>
          <t>F267415</t>
        </is>
      </c>
      <c r="C2155" t="inlineStr">
        <is>
          <t>C10392</t>
        </is>
      </c>
      <c r="D2155" t="inlineStr">
        <is>
          <t>SKU-10309</t>
        </is>
      </c>
      <c r="E2155" t="inlineStr">
        <is>
          <t>AM02</t>
        </is>
      </c>
      <c r="F2155" s="5" t="n">
        <v>658.49</v>
      </c>
      <c r="G2155">
        <f>IF(LEFT(B2155,1)="C","Credit","Factuur")</f>
        <v/>
      </c>
      <c r="H2155">
        <f>IF(AND(B2155=B2154,D2155=D2154,A2155=A2154,F2155=F2154),1,0)</f>
        <v/>
      </c>
      <c r="I2155">
        <f>IF(C2155="C99999",1,0)</f>
        <v/>
      </c>
      <c r="J2155" s="5">
        <f>IF(OR(H2155=1,I2155=1),0,IF(G2155="Credit",-F2155,F2155))</f>
        <v/>
      </c>
    </row>
    <row r="2156">
      <c r="A2156" t="inlineStr">
        <is>
          <t>2026-07-22</t>
        </is>
      </c>
      <c r="B2156" t="inlineStr">
        <is>
          <t>F267415</t>
        </is>
      </c>
      <c r="C2156" t="inlineStr">
        <is>
          <t>C10392</t>
        </is>
      </c>
      <c r="D2156" t="inlineStr">
        <is>
          <t>SKU-10385</t>
        </is>
      </c>
      <c r="E2156" t="inlineStr">
        <is>
          <t>AM02</t>
        </is>
      </c>
      <c r="F2156" s="5" t="n">
        <v>682.05</v>
      </c>
      <c r="G2156">
        <f>IF(LEFT(B2156,1)="C","Credit","Factuur")</f>
        <v/>
      </c>
      <c r="H2156">
        <f>IF(AND(B2156=B2155,D2156=D2155,A2156=A2155,F2156=F2155),1,0)</f>
        <v/>
      </c>
      <c r="I2156">
        <f>IF(C2156="C99999",1,0)</f>
        <v/>
      </c>
      <c r="J2156" s="5">
        <f>IF(OR(H2156=1,I2156=1),0,IF(G2156="Credit",-F2156,F2156))</f>
        <v/>
      </c>
    </row>
    <row r="2157">
      <c r="A2157" t="inlineStr">
        <is>
          <t>2026-07-22</t>
        </is>
      </c>
      <c r="B2157" t="inlineStr">
        <is>
          <t>F268326</t>
        </is>
      </c>
      <c r="C2157" t="inlineStr">
        <is>
          <t>C10436</t>
        </is>
      </c>
      <c r="D2157" t="inlineStr">
        <is>
          <t>SKU-10205</t>
        </is>
      </c>
      <c r="E2157" t="inlineStr">
        <is>
          <t>AM06</t>
        </is>
      </c>
      <c r="F2157" s="5" t="n">
        <v>508.94</v>
      </c>
      <c r="G2157">
        <f>IF(LEFT(B2157,1)="C","Credit","Factuur")</f>
        <v/>
      </c>
      <c r="H2157">
        <f>IF(AND(B2157=B2156,D2157=D2156,A2157=A2156,F2157=F2156),1,0)</f>
        <v/>
      </c>
      <c r="I2157">
        <f>IF(C2157="C99999",1,0)</f>
        <v/>
      </c>
      <c r="J2157" s="5">
        <f>IF(OR(H2157=1,I2157=1),0,IF(G2157="Credit",-F2157,F2157))</f>
        <v/>
      </c>
    </row>
    <row r="2158">
      <c r="A2158" t="inlineStr">
        <is>
          <t>2026-07-22</t>
        </is>
      </c>
      <c r="B2158" t="inlineStr">
        <is>
          <t>F268326</t>
        </is>
      </c>
      <c r="C2158" t="inlineStr">
        <is>
          <t>C10436</t>
        </is>
      </c>
      <c r="D2158" t="inlineStr">
        <is>
          <t>SKU-10226</t>
        </is>
      </c>
      <c r="E2158" t="inlineStr">
        <is>
          <t>AM06</t>
        </is>
      </c>
      <c r="F2158" s="5" t="n">
        <v>582.96</v>
      </c>
      <c r="G2158">
        <f>IF(LEFT(B2158,1)="C","Credit","Factuur")</f>
        <v/>
      </c>
      <c r="H2158">
        <f>IF(AND(B2158=B2157,D2158=D2157,A2158=A2157,F2158=F2157),1,0)</f>
        <v/>
      </c>
      <c r="I2158">
        <f>IF(C2158="C99999",1,0)</f>
        <v/>
      </c>
      <c r="J2158" s="5">
        <f>IF(OR(H2158=1,I2158=1),0,IF(G2158="Credit",-F2158,F2158))</f>
        <v/>
      </c>
    </row>
    <row r="2159">
      <c r="A2159" t="inlineStr">
        <is>
          <t>2026-07-22</t>
        </is>
      </c>
      <c r="B2159" t="inlineStr">
        <is>
          <t>F268843</t>
        </is>
      </c>
      <c r="C2159" t="inlineStr">
        <is>
          <t>C10461</t>
        </is>
      </c>
      <c r="D2159" t="inlineStr">
        <is>
          <t>SKU-10184</t>
        </is>
      </c>
      <c r="E2159" t="inlineStr">
        <is>
          <t>AM03</t>
        </is>
      </c>
      <c r="F2159" s="5" t="n">
        <v>394.29</v>
      </c>
      <c r="G2159">
        <f>IF(LEFT(B2159,1)="C","Credit","Factuur")</f>
        <v/>
      </c>
      <c r="H2159">
        <f>IF(AND(B2159=B2158,D2159=D2158,A2159=A2158,F2159=F2158),1,0)</f>
        <v/>
      </c>
      <c r="I2159">
        <f>IF(C2159="C99999",1,0)</f>
        <v/>
      </c>
      <c r="J2159" s="5">
        <f>IF(OR(H2159=1,I2159=1),0,IF(G2159="Credit",-F2159,F2159))</f>
        <v/>
      </c>
    </row>
    <row r="2160">
      <c r="A2160" t="inlineStr">
        <is>
          <t>2026-07-22</t>
        </is>
      </c>
      <c r="B2160" t="inlineStr">
        <is>
          <t>F268843</t>
        </is>
      </c>
      <c r="C2160" t="inlineStr">
        <is>
          <t>C10461</t>
        </is>
      </c>
      <c r="D2160" t="inlineStr">
        <is>
          <t>SKU-10218</t>
        </is>
      </c>
      <c r="E2160" t="inlineStr">
        <is>
          <t>AM03</t>
        </is>
      </c>
      <c r="F2160" s="5" t="n">
        <v>401.71</v>
      </c>
      <c r="G2160">
        <f>IF(LEFT(B2160,1)="C","Credit","Factuur")</f>
        <v/>
      </c>
      <c r="H2160">
        <f>IF(AND(B2160=B2159,D2160=D2159,A2160=A2159,F2160=F2159),1,0)</f>
        <v/>
      </c>
      <c r="I2160">
        <f>IF(C2160="C99999",1,0)</f>
        <v/>
      </c>
      <c r="J2160" s="5">
        <f>IF(OR(H2160=1,I2160=1),0,IF(G2160="Credit",-F2160,F2160))</f>
        <v/>
      </c>
    </row>
    <row r="2161">
      <c r="A2161" t="inlineStr">
        <is>
          <t>2026-07-22</t>
        </is>
      </c>
      <c r="B2161" t="inlineStr">
        <is>
          <t>F268843</t>
        </is>
      </c>
      <c r="C2161" t="inlineStr">
        <is>
          <t>C10461</t>
        </is>
      </c>
      <c r="D2161" t="inlineStr">
        <is>
          <t>SKU-10278</t>
        </is>
      </c>
      <c r="E2161" t="inlineStr">
        <is>
          <t>AM03</t>
        </is>
      </c>
      <c r="F2161" s="5" t="n">
        <v>399.38</v>
      </c>
      <c r="G2161">
        <f>IF(LEFT(B2161,1)="C","Credit","Factuur")</f>
        <v/>
      </c>
      <c r="H2161">
        <f>IF(AND(B2161=B2160,D2161=D2160,A2161=A2160,F2161=F2160),1,0)</f>
        <v/>
      </c>
      <c r="I2161">
        <f>IF(C2161="C99999",1,0)</f>
        <v/>
      </c>
      <c r="J2161" s="5">
        <f>IF(OR(H2161=1,I2161=1),0,IF(G2161="Credit",-F2161,F2161))</f>
        <v/>
      </c>
    </row>
    <row r="2162">
      <c r="A2162" t="inlineStr">
        <is>
          <t>2026-07-22</t>
        </is>
      </c>
      <c r="B2162" t="inlineStr">
        <is>
          <t>F268843</t>
        </is>
      </c>
      <c r="C2162" t="inlineStr">
        <is>
          <t>C10461</t>
        </is>
      </c>
      <c r="D2162" t="inlineStr">
        <is>
          <t>SKU-10290</t>
        </is>
      </c>
      <c r="E2162" t="inlineStr">
        <is>
          <t>AM03</t>
        </is>
      </c>
      <c r="F2162" s="5" t="n">
        <v>406.55</v>
      </c>
      <c r="G2162">
        <f>IF(LEFT(B2162,1)="C","Credit","Factuur")</f>
        <v/>
      </c>
      <c r="H2162">
        <f>IF(AND(B2162=B2161,D2162=D2161,A2162=A2161,F2162=F2161),1,0)</f>
        <v/>
      </c>
      <c r="I2162">
        <f>IF(C2162="C99999",1,0)</f>
        <v/>
      </c>
      <c r="J2162" s="5">
        <f>IF(OR(H2162=1,I2162=1),0,IF(G2162="Credit",-F2162,F2162))</f>
        <v/>
      </c>
    </row>
    <row r="2163">
      <c r="A2163" t="inlineStr">
        <is>
          <t>2026-07-22</t>
        </is>
      </c>
      <c r="B2163" t="inlineStr">
        <is>
          <t>F271500</t>
        </is>
      </c>
      <c r="C2163" t="inlineStr">
        <is>
          <t>C10594</t>
        </is>
      </c>
      <c r="D2163" t="inlineStr">
        <is>
          <t>SKU-10050</t>
        </is>
      </c>
      <c r="E2163" t="inlineStr">
        <is>
          <t>AM05</t>
        </is>
      </c>
      <c r="F2163" s="5" t="n">
        <v>801.45</v>
      </c>
      <c r="G2163">
        <f>IF(LEFT(B2163,1)="C","Credit","Factuur")</f>
        <v/>
      </c>
      <c r="H2163">
        <f>IF(AND(B2163=B2162,D2163=D2162,A2163=A2162,F2163=F2162),1,0)</f>
        <v/>
      </c>
      <c r="I2163">
        <f>IF(C2163="C99999",1,0)</f>
        <v/>
      </c>
      <c r="J2163" s="5">
        <f>IF(OR(H2163=1,I2163=1),0,IF(G2163="Credit",-F2163,F2163))</f>
        <v/>
      </c>
    </row>
    <row r="2164">
      <c r="A2164" t="inlineStr">
        <is>
          <t>2026-07-22</t>
        </is>
      </c>
      <c r="B2164" t="inlineStr">
        <is>
          <t>F271500</t>
        </is>
      </c>
      <c r="C2164" t="inlineStr">
        <is>
          <t>C10594</t>
        </is>
      </c>
      <c r="D2164" t="inlineStr">
        <is>
          <t>SKU-10080</t>
        </is>
      </c>
      <c r="E2164" t="inlineStr">
        <is>
          <t>AM05</t>
        </is>
      </c>
      <c r="F2164" s="5" t="n">
        <v>797.04</v>
      </c>
      <c r="G2164">
        <f>IF(LEFT(B2164,1)="C","Credit","Factuur")</f>
        <v/>
      </c>
      <c r="H2164">
        <f>IF(AND(B2164=B2163,D2164=D2163,A2164=A2163,F2164=F2163),1,0)</f>
        <v/>
      </c>
      <c r="I2164">
        <f>IF(C2164="C99999",1,0)</f>
        <v/>
      </c>
      <c r="J2164" s="5">
        <f>IF(OR(H2164=1,I2164=1),0,IF(G2164="Credit",-F2164,F2164))</f>
        <v/>
      </c>
    </row>
    <row r="2165">
      <c r="A2165" t="inlineStr">
        <is>
          <t>2026-07-22</t>
        </is>
      </c>
      <c r="B2165" t="inlineStr">
        <is>
          <t>F272908</t>
        </is>
      </c>
      <c r="C2165" t="inlineStr">
        <is>
          <t>C10672</t>
        </is>
      </c>
      <c r="D2165" t="inlineStr">
        <is>
          <t>SKU-10025</t>
        </is>
      </c>
      <c r="E2165" t="inlineStr">
        <is>
          <t>AM08</t>
        </is>
      </c>
      <c r="F2165" s="5" t="n">
        <v>57.43</v>
      </c>
      <c r="G2165">
        <f>IF(LEFT(B2165,1)="C","Credit","Factuur")</f>
        <v/>
      </c>
      <c r="H2165">
        <f>IF(AND(B2165=B2164,D2165=D2164,A2165=A2164,F2165=F2164),1,0)</f>
        <v/>
      </c>
      <c r="I2165">
        <f>IF(C2165="C99999",1,0)</f>
        <v/>
      </c>
      <c r="J2165" s="5">
        <f>IF(OR(H2165=1,I2165=1),0,IF(G2165="Credit",-F2165,F2165))</f>
        <v/>
      </c>
    </row>
    <row r="2166">
      <c r="A2166" t="inlineStr">
        <is>
          <t>2026-07-22</t>
        </is>
      </c>
      <c r="B2166" t="inlineStr">
        <is>
          <t>F272908</t>
        </is>
      </c>
      <c r="C2166" t="inlineStr">
        <is>
          <t>C10672</t>
        </is>
      </c>
      <c r="D2166" t="inlineStr">
        <is>
          <t>SKU-10061</t>
        </is>
      </c>
      <c r="E2166" t="inlineStr">
        <is>
          <t>AM08</t>
        </is>
      </c>
      <c r="F2166" s="5" t="n">
        <v>61.05</v>
      </c>
      <c r="G2166">
        <f>IF(LEFT(B2166,1)="C","Credit","Factuur")</f>
        <v/>
      </c>
      <c r="H2166">
        <f>IF(AND(B2166=B2165,D2166=D2165,A2166=A2165,F2166=F2165),1,0)</f>
        <v/>
      </c>
      <c r="I2166">
        <f>IF(C2166="C99999",1,0)</f>
        <v/>
      </c>
      <c r="J2166" s="5">
        <f>IF(OR(H2166=1,I2166=1),0,IF(G2166="Credit",-F2166,F2166))</f>
        <v/>
      </c>
    </row>
    <row r="2167">
      <c r="A2167" t="inlineStr">
        <is>
          <t>2026-07-22</t>
        </is>
      </c>
      <c r="B2167" t="inlineStr">
        <is>
          <t>F272908</t>
        </is>
      </c>
      <c r="C2167" t="inlineStr">
        <is>
          <t>C10672</t>
        </is>
      </c>
      <c r="D2167" t="inlineStr">
        <is>
          <t>SKU-10277</t>
        </is>
      </c>
      <c r="E2167" t="inlineStr">
        <is>
          <t>AM08</t>
        </is>
      </c>
      <c r="F2167" s="5" t="n">
        <v>67.54000000000001</v>
      </c>
      <c r="G2167">
        <f>IF(LEFT(B2167,1)="C","Credit","Factuur")</f>
        <v/>
      </c>
      <c r="H2167">
        <f>IF(AND(B2167=B2166,D2167=D2166,A2167=A2166,F2167=F2166),1,0)</f>
        <v/>
      </c>
      <c r="I2167">
        <f>IF(C2167="C99999",1,0)</f>
        <v/>
      </c>
      <c r="J2167" s="5">
        <f>IF(OR(H2167=1,I2167=1),0,IF(G2167="Credit",-F2167,F2167))</f>
        <v/>
      </c>
    </row>
    <row r="2168">
      <c r="A2168" t="inlineStr">
        <is>
          <t>2026-07-22</t>
        </is>
      </c>
      <c r="B2168" t="inlineStr">
        <is>
          <t>F272908</t>
        </is>
      </c>
      <c r="C2168" t="inlineStr">
        <is>
          <t>C10672</t>
        </is>
      </c>
      <c r="D2168" t="inlineStr">
        <is>
          <t>SKU-10285</t>
        </is>
      </c>
      <c r="E2168" t="inlineStr">
        <is>
          <t>AM08</t>
        </is>
      </c>
      <c r="F2168" s="5" t="n">
        <v>54.55</v>
      </c>
      <c r="G2168">
        <f>IF(LEFT(B2168,1)="C","Credit","Factuur")</f>
        <v/>
      </c>
      <c r="H2168">
        <f>IF(AND(B2168=B2167,D2168=D2167,A2168=A2167,F2168=F2167),1,0)</f>
        <v/>
      </c>
      <c r="I2168">
        <f>IF(C2168="C99999",1,0)</f>
        <v/>
      </c>
      <c r="J2168" s="5">
        <f>IF(OR(H2168=1,I2168=1),0,IF(G2168="Credit",-F2168,F2168))</f>
        <v/>
      </c>
    </row>
    <row r="2169">
      <c r="A2169" t="inlineStr">
        <is>
          <t>2026-07-22</t>
        </is>
      </c>
      <c r="B2169" t="inlineStr">
        <is>
          <t>F272996</t>
        </is>
      </c>
      <c r="C2169" t="inlineStr">
        <is>
          <t>C10676</t>
        </is>
      </c>
      <c r="D2169" t="inlineStr">
        <is>
          <t>SKU-10229</t>
        </is>
      </c>
      <c r="E2169" t="inlineStr">
        <is>
          <t>AM05</t>
        </is>
      </c>
      <c r="F2169" s="5" t="n">
        <v>150.14</v>
      </c>
      <c r="G2169">
        <f>IF(LEFT(B2169,1)="C","Credit","Factuur")</f>
        <v/>
      </c>
      <c r="H2169">
        <f>IF(AND(B2169=B2168,D2169=D2168,A2169=A2168,F2169=F2168),1,0)</f>
        <v/>
      </c>
      <c r="I2169">
        <f>IF(C2169="C99999",1,0)</f>
        <v/>
      </c>
      <c r="J2169" s="5">
        <f>IF(OR(H2169=1,I2169=1),0,IF(G2169="Credit",-F2169,F2169))</f>
        <v/>
      </c>
    </row>
    <row r="2170">
      <c r="A2170" t="inlineStr">
        <is>
          <t>2026-07-22</t>
        </is>
      </c>
      <c r="B2170" t="inlineStr">
        <is>
          <t>F272996</t>
        </is>
      </c>
      <c r="C2170" t="inlineStr">
        <is>
          <t>C10676</t>
        </is>
      </c>
      <c r="D2170" t="inlineStr">
        <is>
          <t>SKU-10366</t>
        </is>
      </c>
      <c r="E2170" t="inlineStr">
        <is>
          <t>AM05</t>
        </is>
      </c>
      <c r="F2170" s="5" t="n">
        <v>150.57</v>
      </c>
      <c r="G2170">
        <f>IF(LEFT(B2170,1)="C","Credit","Factuur")</f>
        <v/>
      </c>
      <c r="H2170">
        <f>IF(AND(B2170=B2169,D2170=D2169,A2170=A2169,F2170=F2169),1,0)</f>
        <v/>
      </c>
      <c r="I2170">
        <f>IF(C2170="C99999",1,0)</f>
        <v/>
      </c>
      <c r="J2170" s="5">
        <f>IF(OR(H2170=1,I2170=1),0,IF(G2170="Credit",-F2170,F2170))</f>
        <v/>
      </c>
    </row>
    <row r="2171">
      <c r="A2171" t="inlineStr">
        <is>
          <t>2026-07-22</t>
        </is>
      </c>
      <c r="B2171" t="inlineStr">
        <is>
          <t>F273255</t>
        </is>
      </c>
      <c r="C2171" t="inlineStr">
        <is>
          <t>C10692</t>
        </is>
      </c>
      <c r="D2171" t="inlineStr">
        <is>
          <t>SKU-10092</t>
        </is>
      </c>
      <c r="E2171" t="inlineStr">
        <is>
          <t>AM09</t>
        </is>
      </c>
      <c r="F2171" s="5" t="n">
        <v>5969.94</v>
      </c>
      <c r="G2171">
        <f>IF(LEFT(B2171,1)="C","Credit","Factuur")</f>
        <v/>
      </c>
      <c r="H2171">
        <f>IF(AND(B2171=B2170,D2171=D2170,A2171=A2170,F2171=F2170),1,0)</f>
        <v/>
      </c>
      <c r="I2171">
        <f>IF(C2171="C99999",1,0)</f>
        <v/>
      </c>
      <c r="J2171" s="5">
        <f>IF(OR(H2171=1,I2171=1),0,IF(G2171="Credit",-F2171,F2171))</f>
        <v/>
      </c>
    </row>
    <row r="2172">
      <c r="A2172" t="inlineStr">
        <is>
          <t>2026-07-22</t>
        </is>
      </c>
      <c r="B2172" t="inlineStr">
        <is>
          <t>F273255</t>
        </is>
      </c>
      <c r="C2172" t="inlineStr">
        <is>
          <t>C10692</t>
        </is>
      </c>
      <c r="D2172" t="inlineStr">
        <is>
          <t>SKU-10143</t>
        </is>
      </c>
      <c r="E2172" t="inlineStr">
        <is>
          <t>AM09</t>
        </is>
      </c>
      <c r="F2172" s="5" t="n">
        <v>5661.77</v>
      </c>
      <c r="G2172">
        <f>IF(LEFT(B2172,1)="C","Credit","Factuur")</f>
        <v/>
      </c>
      <c r="H2172">
        <f>IF(AND(B2172=B2171,D2172=D2171,A2172=A2171,F2172=F2171),1,0)</f>
        <v/>
      </c>
      <c r="I2172">
        <f>IF(C2172="C99999",1,0)</f>
        <v/>
      </c>
      <c r="J2172" s="5">
        <f>IF(OR(H2172=1,I2172=1),0,IF(G2172="Credit",-F2172,F2172))</f>
        <v/>
      </c>
    </row>
    <row r="2173">
      <c r="A2173" t="inlineStr">
        <is>
          <t>2026-07-22</t>
        </is>
      </c>
      <c r="B2173" t="inlineStr">
        <is>
          <t>F273255</t>
        </is>
      </c>
      <c r="C2173" t="inlineStr">
        <is>
          <t>C10692</t>
        </is>
      </c>
      <c r="D2173" t="inlineStr">
        <is>
          <t>SKU-10302</t>
        </is>
      </c>
      <c r="E2173" t="inlineStr">
        <is>
          <t>AM09</t>
        </is>
      </c>
      <c r="F2173" s="5" t="n">
        <v>5971.76</v>
      </c>
      <c r="G2173">
        <f>IF(LEFT(B2173,1)="C","Credit","Factuur")</f>
        <v/>
      </c>
      <c r="H2173">
        <f>IF(AND(B2173=B2172,D2173=D2172,A2173=A2172,F2173=F2172),1,0)</f>
        <v/>
      </c>
      <c r="I2173">
        <f>IF(C2173="C99999",1,0)</f>
        <v/>
      </c>
      <c r="J2173" s="5">
        <f>IF(OR(H2173=1,I2173=1),0,IF(G2173="Credit",-F2173,F2173))</f>
        <v/>
      </c>
    </row>
    <row r="2174">
      <c r="A2174" t="inlineStr">
        <is>
          <t>2026-07-22</t>
        </is>
      </c>
      <c r="B2174" t="inlineStr">
        <is>
          <t>F273255</t>
        </is>
      </c>
      <c r="C2174" t="inlineStr">
        <is>
          <t>C10692</t>
        </is>
      </c>
      <c r="D2174" t="inlineStr">
        <is>
          <t>SKU-10312</t>
        </is>
      </c>
      <c r="E2174" t="inlineStr">
        <is>
          <t>AM09</t>
        </is>
      </c>
      <c r="F2174" s="5" t="n">
        <v>5985.6</v>
      </c>
      <c r="G2174">
        <f>IF(LEFT(B2174,1)="C","Credit","Factuur")</f>
        <v/>
      </c>
      <c r="H2174">
        <f>IF(AND(B2174=B2173,D2174=D2173,A2174=A2173,F2174=F2173),1,0)</f>
        <v/>
      </c>
      <c r="I2174">
        <f>IF(C2174="C99999",1,0)</f>
        <v/>
      </c>
      <c r="J2174" s="5">
        <f>IF(OR(H2174=1,I2174=1),0,IF(G2174="Credit",-F2174,F2174))</f>
        <v/>
      </c>
    </row>
    <row r="2175">
      <c r="A2175" t="inlineStr">
        <is>
          <t>2026-07-22</t>
        </is>
      </c>
      <c r="B2175" t="inlineStr">
        <is>
          <t>F273327</t>
        </is>
      </c>
      <c r="C2175" t="inlineStr">
        <is>
          <t>C10698</t>
        </is>
      </c>
      <c r="D2175" t="inlineStr">
        <is>
          <t>SKU-10031</t>
        </is>
      </c>
      <c r="E2175" t="inlineStr">
        <is>
          <t>AM11</t>
        </is>
      </c>
      <c r="F2175" s="5" t="n">
        <v>1254.31</v>
      </c>
      <c r="G2175">
        <f>IF(LEFT(B2175,1)="C","Credit","Factuur")</f>
        <v/>
      </c>
      <c r="H2175">
        <f>IF(AND(B2175=B2174,D2175=D2174,A2175=A2174,F2175=F2174),1,0)</f>
        <v/>
      </c>
      <c r="I2175">
        <f>IF(C2175="C99999",1,0)</f>
        <v/>
      </c>
      <c r="J2175" s="5">
        <f>IF(OR(H2175=1,I2175=1),0,IF(G2175="Credit",-F2175,F2175))</f>
        <v/>
      </c>
    </row>
    <row r="2176">
      <c r="A2176" t="inlineStr">
        <is>
          <t>2026-07-22</t>
        </is>
      </c>
      <c r="B2176" t="inlineStr">
        <is>
          <t>F273327</t>
        </is>
      </c>
      <c r="C2176" t="inlineStr">
        <is>
          <t>C10698</t>
        </is>
      </c>
      <c r="D2176" t="inlineStr">
        <is>
          <t>SKU-10170</t>
        </is>
      </c>
      <c r="E2176" t="inlineStr">
        <is>
          <t>AM11</t>
        </is>
      </c>
      <c r="F2176" s="5" t="n">
        <v>1244</v>
      </c>
      <c r="G2176">
        <f>IF(LEFT(B2176,1)="C","Credit","Factuur")</f>
        <v/>
      </c>
      <c r="H2176">
        <f>IF(AND(B2176=B2175,D2176=D2175,A2176=A2175,F2176=F2175),1,0)</f>
        <v/>
      </c>
      <c r="I2176">
        <f>IF(C2176="C99999",1,0)</f>
        <v/>
      </c>
      <c r="J2176" s="5">
        <f>IF(OR(H2176=1,I2176=1),0,IF(G2176="Credit",-F2176,F2176))</f>
        <v/>
      </c>
    </row>
    <row r="2177">
      <c r="A2177" t="inlineStr">
        <is>
          <t>2026-07-22</t>
        </is>
      </c>
      <c r="B2177" t="inlineStr">
        <is>
          <t>F273327</t>
        </is>
      </c>
      <c r="C2177" t="inlineStr">
        <is>
          <t>C10698</t>
        </is>
      </c>
      <c r="D2177" t="inlineStr">
        <is>
          <t>SKU-10183</t>
        </is>
      </c>
      <c r="E2177" t="inlineStr">
        <is>
          <t>AM11</t>
        </is>
      </c>
      <c r="F2177" s="5" t="n">
        <v>1246.7</v>
      </c>
      <c r="G2177">
        <f>IF(LEFT(B2177,1)="C","Credit","Factuur")</f>
        <v/>
      </c>
      <c r="H2177">
        <f>IF(AND(B2177=B2176,D2177=D2176,A2177=A2176,F2177=F2176),1,0)</f>
        <v/>
      </c>
      <c r="I2177">
        <f>IF(C2177="C99999",1,0)</f>
        <v/>
      </c>
      <c r="J2177" s="5">
        <f>IF(OR(H2177=1,I2177=1),0,IF(G2177="Credit",-F2177,F2177))</f>
        <v/>
      </c>
    </row>
    <row r="2178">
      <c r="A2178" t="inlineStr">
        <is>
          <t>2026-07-22</t>
        </is>
      </c>
      <c r="B2178" t="inlineStr">
        <is>
          <t>F273327</t>
        </is>
      </c>
      <c r="C2178" t="inlineStr">
        <is>
          <t>C10698</t>
        </is>
      </c>
      <c r="D2178" t="inlineStr">
        <is>
          <t>SKU-10340</t>
        </is>
      </c>
      <c r="E2178" t="inlineStr"/>
      <c r="F2178" s="5" t="n">
        <v>1245.04</v>
      </c>
      <c r="G2178">
        <f>IF(LEFT(B2178,1)="C","Credit","Factuur")</f>
        <v/>
      </c>
      <c r="H2178">
        <f>IF(AND(B2178=B2177,D2178=D2177,A2178=A2177,F2178=F2177),1,0)</f>
        <v/>
      </c>
      <c r="I2178">
        <f>IF(C2178="C99999",1,0)</f>
        <v/>
      </c>
      <c r="J2178" s="5">
        <f>IF(OR(H2178=1,I2178=1),0,IF(G2178="Credit",-F2178,F2178))</f>
        <v/>
      </c>
    </row>
    <row r="2179">
      <c r="A2179" t="inlineStr">
        <is>
          <t>2026-07-22</t>
        </is>
      </c>
      <c r="B2179" t="inlineStr">
        <is>
          <t>F273464</t>
        </is>
      </c>
      <c r="C2179" t="inlineStr">
        <is>
          <t>C10704</t>
        </is>
      </c>
      <c r="D2179" t="inlineStr">
        <is>
          <t>SKU-10311</t>
        </is>
      </c>
      <c r="E2179" t="inlineStr">
        <is>
          <t>AM03</t>
        </is>
      </c>
      <c r="F2179" s="5" t="n">
        <v>1191.51</v>
      </c>
      <c r="G2179">
        <f>IF(LEFT(B2179,1)="C","Credit","Factuur")</f>
        <v/>
      </c>
      <c r="H2179">
        <f>IF(AND(B2179=B2178,D2179=D2178,A2179=A2178,F2179=F2178),1,0)</f>
        <v/>
      </c>
      <c r="I2179">
        <f>IF(C2179="C99999",1,0)</f>
        <v/>
      </c>
      <c r="J2179" s="5">
        <f>IF(OR(H2179=1,I2179=1),0,IF(G2179="Credit",-F2179,F2179))</f>
        <v/>
      </c>
    </row>
    <row r="2180">
      <c r="A2180" t="inlineStr">
        <is>
          <t>2026-07-22</t>
        </is>
      </c>
      <c r="B2180" t="inlineStr">
        <is>
          <t>F273773</t>
        </is>
      </c>
      <c r="C2180" t="inlineStr">
        <is>
          <t>C10724</t>
        </is>
      </c>
      <c r="D2180" t="inlineStr">
        <is>
          <t>SKU-10026</t>
        </is>
      </c>
      <c r="E2180" t="inlineStr">
        <is>
          <t>AM06</t>
        </is>
      </c>
      <c r="F2180" s="5" t="n">
        <v>452.98</v>
      </c>
      <c r="G2180">
        <f>IF(LEFT(B2180,1)="C","Credit","Factuur")</f>
        <v/>
      </c>
      <c r="H2180">
        <f>IF(AND(B2180=B2179,D2180=D2179,A2180=A2179,F2180=F2179),1,0)</f>
        <v/>
      </c>
      <c r="I2180">
        <f>IF(C2180="C99999",1,0)</f>
        <v/>
      </c>
      <c r="J2180" s="5">
        <f>IF(OR(H2180=1,I2180=1),0,IF(G2180="Credit",-F2180,F2180))</f>
        <v/>
      </c>
    </row>
    <row r="2181">
      <c r="A2181" t="inlineStr">
        <is>
          <t>2026-07-22</t>
        </is>
      </c>
      <c r="B2181" t="inlineStr">
        <is>
          <t>F274159</t>
        </is>
      </c>
      <c r="C2181" t="inlineStr">
        <is>
          <t>C10748</t>
        </is>
      </c>
      <c r="D2181" t="inlineStr">
        <is>
          <t>SKU-10042</t>
        </is>
      </c>
      <c r="E2181" t="inlineStr">
        <is>
          <t>AM02</t>
        </is>
      </c>
      <c r="F2181" s="5" t="n">
        <v>124.89</v>
      </c>
      <c r="G2181">
        <f>IF(LEFT(B2181,1)="C","Credit","Factuur")</f>
        <v/>
      </c>
      <c r="H2181">
        <f>IF(AND(B2181=B2180,D2181=D2180,A2181=A2180,F2181=F2180),1,0)</f>
        <v/>
      </c>
      <c r="I2181">
        <f>IF(C2181="C99999",1,0)</f>
        <v/>
      </c>
      <c r="J2181" s="5">
        <f>IF(OR(H2181=1,I2181=1),0,IF(G2181="Credit",-F2181,F2181))</f>
        <v/>
      </c>
    </row>
    <row r="2182">
      <c r="A2182" t="inlineStr">
        <is>
          <t>2026-07-22</t>
        </is>
      </c>
      <c r="B2182" t="inlineStr">
        <is>
          <t>F274159</t>
        </is>
      </c>
      <c r="C2182" t="inlineStr">
        <is>
          <t>C10748</t>
        </is>
      </c>
      <c r="D2182" t="inlineStr">
        <is>
          <t>SKU-10057</t>
        </is>
      </c>
      <c r="E2182" t="inlineStr">
        <is>
          <t>AM02</t>
        </is>
      </c>
      <c r="F2182" s="5" t="n">
        <v>135</v>
      </c>
      <c r="G2182">
        <f>IF(LEFT(B2182,1)="C","Credit","Factuur")</f>
        <v/>
      </c>
      <c r="H2182">
        <f>IF(AND(B2182=B2181,D2182=D2181,A2182=A2181,F2182=F2181),1,0)</f>
        <v/>
      </c>
      <c r="I2182">
        <f>IF(C2182="C99999",1,0)</f>
        <v/>
      </c>
      <c r="J2182" s="5">
        <f>IF(OR(H2182=1,I2182=1),0,IF(G2182="Credit",-F2182,F2182))</f>
        <v/>
      </c>
    </row>
    <row r="2183">
      <c r="A2183" t="inlineStr">
        <is>
          <t>2026-07-22</t>
        </is>
      </c>
      <c r="B2183" t="inlineStr">
        <is>
          <t>F274159</t>
        </is>
      </c>
      <c r="C2183" t="inlineStr">
        <is>
          <t>C10748</t>
        </is>
      </c>
      <c r="D2183" t="inlineStr">
        <is>
          <t>SKU-10088</t>
        </is>
      </c>
      <c r="E2183" t="inlineStr">
        <is>
          <t>AM02</t>
        </is>
      </c>
      <c r="F2183" s="5" t="n">
        <v>117.27</v>
      </c>
      <c r="G2183">
        <f>IF(LEFT(B2183,1)="C","Credit","Factuur")</f>
        <v/>
      </c>
      <c r="H2183">
        <f>IF(AND(B2183=B2182,D2183=D2182,A2183=A2182,F2183=F2182),1,0)</f>
        <v/>
      </c>
      <c r="I2183">
        <f>IF(C2183="C99999",1,0)</f>
        <v/>
      </c>
      <c r="J2183" s="5">
        <f>IF(OR(H2183=1,I2183=1),0,IF(G2183="Credit",-F2183,F2183))</f>
        <v/>
      </c>
    </row>
    <row r="2184">
      <c r="A2184" t="inlineStr">
        <is>
          <t>2026-07-22</t>
        </is>
      </c>
      <c r="B2184" t="inlineStr">
        <is>
          <t>F274159</t>
        </is>
      </c>
      <c r="C2184" t="inlineStr">
        <is>
          <t>C10748</t>
        </is>
      </c>
      <c r="D2184" t="inlineStr">
        <is>
          <t>SKU-10166</t>
        </is>
      </c>
      <c r="E2184" t="inlineStr">
        <is>
          <t>AM02</t>
        </is>
      </c>
      <c r="F2184" s="5" t="n">
        <v>121.75</v>
      </c>
      <c r="G2184">
        <f>IF(LEFT(B2184,1)="C","Credit","Factuur")</f>
        <v/>
      </c>
      <c r="H2184">
        <f>IF(AND(B2184=B2183,D2184=D2183,A2184=A2183,F2184=F2183),1,0)</f>
        <v/>
      </c>
      <c r="I2184">
        <f>IF(C2184="C99999",1,0)</f>
        <v/>
      </c>
      <c r="J2184" s="5">
        <f>IF(OR(H2184=1,I2184=1),0,IF(G2184="Credit",-F2184,F2184))</f>
        <v/>
      </c>
    </row>
    <row r="2185">
      <c r="A2185" t="inlineStr">
        <is>
          <t>2026-07-22</t>
        </is>
      </c>
      <c r="B2185" t="inlineStr">
        <is>
          <t>F274159</t>
        </is>
      </c>
      <c r="C2185" t="inlineStr">
        <is>
          <t>C10748</t>
        </is>
      </c>
      <c r="D2185" t="inlineStr">
        <is>
          <t>SKU-10197</t>
        </is>
      </c>
      <c r="E2185" t="inlineStr">
        <is>
          <t>AM02</t>
        </is>
      </c>
      <c r="F2185" s="5" t="n">
        <v>121.72</v>
      </c>
      <c r="G2185">
        <f>IF(LEFT(B2185,1)="C","Credit","Factuur")</f>
        <v/>
      </c>
      <c r="H2185">
        <f>IF(AND(B2185=B2184,D2185=D2184,A2185=A2184,F2185=F2184),1,0)</f>
        <v/>
      </c>
      <c r="I2185">
        <f>IF(C2185="C99999",1,0)</f>
        <v/>
      </c>
      <c r="J2185" s="5">
        <f>IF(OR(H2185=1,I2185=1),0,IF(G2185="Credit",-F2185,F2185))</f>
        <v/>
      </c>
    </row>
    <row r="2186">
      <c r="A2186" t="inlineStr">
        <is>
          <t>2026-07-22</t>
        </is>
      </c>
      <c r="B2186" t="inlineStr">
        <is>
          <t>F274159</t>
        </is>
      </c>
      <c r="C2186" t="inlineStr">
        <is>
          <t>C10748</t>
        </is>
      </c>
      <c r="D2186" t="inlineStr">
        <is>
          <t>SKU-10246</t>
        </is>
      </c>
      <c r="E2186" t="inlineStr">
        <is>
          <t>AM02</t>
        </is>
      </c>
      <c r="F2186" s="5" t="n">
        <v>138.24</v>
      </c>
      <c r="G2186">
        <f>IF(LEFT(B2186,1)="C","Credit","Factuur")</f>
        <v/>
      </c>
      <c r="H2186">
        <f>IF(AND(B2186=B2185,D2186=D2185,A2186=A2185,F2186=F2185),1,0)</f>
        <v/>
      </c>
      <c r="I2186">
        <f>IF(C2186="C99999",1,0)</f>
        <v/>
      </c>
      <c r="J2186" s="5">
        <f>IF(OR(H2186=1,I2186=1),0,IF(G2186="Credit",-F2186,F2186))</f>
        <v/>
      </c>
    </row>
    <row r="2187">
      <c r="A2187" t="inlineStr">
        <is>
          <t>2026-07-22</t>
        </is>
      </c>
      <c r="B2187" t="inlineStr">
        <is>
          <t>F274546</t>
        </is>
      </c>
      <c r="C2187" t="inlineStr">
        <is>
          <t>C10768</t>
        </is>
      </c>
      <c r="D2187" t="inlineStr">
        <is>
          <t>SKU-10002</t>
        </is>
      </c>
      <c r="E2187" t="inlineStr">
        <is>
          <t>AM07</t>
        </is>
      </c>
      <c r="F2187" s="5" t="n">
        <v>286.85</v>
      </c>
      <c r="G2187">
        <f>IF(LEFT(B2187,1)="C","Credit","Factuur")</f>
        <v/>
      </c>
      <c r="H2187">
        <f>IF(AND(B2187=B2186,D2187=D2186,A2187=A2186,F2187=F2186),1,0)</f>
        <v/>
      </c>
      <c r="I2187">
        <f>IF(C2187="C99999",1,0)</f>
        <v/>
      </c>
      <c r="J2187" s="5">
        <f>IF(OR(H2187=1,I2187=1),0,IF(G2187="Credit",-F2187,F2187))</f>
        <v/>
      </c>
    </row>
    <row r="2188">
      <c r="A2188" t="inlineStr">
        <is>
          <t>2026-07-22</t>
        </is>
      </c>
      <c r="B2188" t="inlineStr">
        <is>
          <t>F274546</t>
        </is>
      </c>
      <c r="C2188" t="inlineStr">
        <is>
          <t>C10768</t>
        </is>
      </c>
      <c r="D2188" t="inlineStr">
        <is>
          <t>SKU-10066</t>
        </is>
      </c>
      <c r="E2188" t="inlineStr">
        <is>
          <t>AM07</t>
        </is>
      </c>
      <c r="F2188" s="5" t="n">
        <v>264.33</v>
      </c>
      <c r="G2188">
        <f>IF(LEFT(B2188,1)="C","Credit","Factuur")</f>
        <v/>
      </c>
      <c r="H2188">
        <f>IF(AND(B2188=B2187,D2188=D2187,A2188=A2187,F2188=F2187),1,0)</f>
        <v/>
      </c>
      <c r="I2188">
        <f>IF(C2188="C99999",1,0)</f>
        <v/>
      </c>
      <c r="J2188" s="5">
        <f>IF(OR(H2188=1,I2188=1),0,IF(G2188="Credit",-F2188,F2188))</f>
        <v/>
      </c>
    </row>
    <row r="2189">
      <c r="A2189" t="inlineStr">
        <is>
          <t>2026-07-22</t>
        </is>
      </c>
      <c r="B2189" t="inlineStr">
        <is>
          <t>F274546</t>
        </is>
      </c>
      <c r="C2189" t="inlineStr">
        <is>
          <t>C10768</t>
        </is>
      </c>
      <c r="D2189" t="inlineStr">
        <is>
          <t>SKU-10133</t>
        </is>
      </c>
      <c r="E2189" t="inlineStr">
        <is>
          <t>AM07</t>
        </is>
      </c>
      <c r="F2189" s="5" t="n">
        <v>264.68</v>
      </c>
      <c r="G2189">
        <f>IF(LEFT(B2189,1)="C","Credit","Factuur")</f>
        <v/>
      </c>
      <c r="H2189">
        <f>IF(AND(B2189=B2188,D2189=D2188,A2189=A2188,F2189=F2188),1,0)</f>
        <v/>
      </c>
      <c r="I2189">
        <f>IF(C2189="C99999",1,0)</f>
        <v/>
      </c>
      <c r="J2189" s="5">
        <f>IF(OR(H2189=1,I2189=1),0,IF(G2189="Credit",-F2189,F2189))</f>
        <v/>
      </c>
    </row>
    <row r="2190">
      <c r="A2190" t="inlineStr">
        <is>
          <t>2026-07-22</t>
        </is>
      </c>
      <c r="B2190" t="inlineStr">
        <is>
          <t>F274546</t>
        </is>
      </c>
      <c r="C2190" t="inlineStr">
        <is>
          <t>C10768</t>
        </is>
      </c>
      <c r="D2190" t="inlineStr">
        <is>
          <t>SKU-10134</t>
        </is>
      </c>
      <c r="E2190" t="inlineStr">
        <is>
          <t>AM07</t>
        </is>
      </c>
      <c r="F2190" s="5" t="n">
        <v>273.36</v>
      </c>
      <c r="G2190">
        <f>IF(LEFT(B2190,1)="C","Credit","Factuur")</f>
        <v/>
      </c>
      <c r="H2190">
        <f>IF(AND(B2190=B2189,D2190=D2189,A2190=A2189,F2190=F2189),1,0)</f>
        <v/>
      </c>
      <c r="I2190">
        <f>IF(C2190="C99999",1,0)</f>
        <v/>
      </c>
      <c r="J2190" s="5">
        <f>IF(OR(H2190=1,I2190=1),0,IF(G2190="Credit",-F2190,F2190))</f>
        <v/>
      </c>
    </row>
    <row r="2191">
      <c r="A2191" t="inlineStr">
        <is>
          <t>2026-07-22</t>
        </is>
      </c>
      <c r="B2191" t="inlineStr">
        <is>
          <t>F275258</t>
        </is>
      </c>
      <c r="C2191" t="inlineStr">
        <is>
          <t>C10802</t>
        </is>
      </c>
      <c r="D2191" t="inlineStr">
        <is>
          <t>SKU-10005</t>
        </is>
      </c>
      <c r="E2191" t="inlineStr">
        <is>
          <t>AM03</t>
        </is>
      </c>
      <c r="F2191" s="5" t="n">
        <v>105.57</v>
      </c>
      <c r="G2191">
        <f>IF(LEFT(B2191,1)="C","Credit","Factuur")</f>
        <v/>
      </c>
      <c r="H2191">
        <f>IF(AND(B2191=B2190,D2191=D2190,A2191=A2190,F2191=F2190),1,0)</f>
        <v/>
      </c>
      <c r="I2191">
        <f>IF(C2191="C99999",1,0)</f>
        <v/>
      </c>
      <c r="J2191" s="5">
        <f>IF(OR(H2191=1,I2191=1),0,IF(G2191="Credit",-F2191,F2191))</f>
        <v/>
      </c>
    </row>
    <row r="2192">
      <c r="A2192" t="inlineStr">
        <is>
          <t>2026-07-22</t>
        </is>
      </c>
      <c r="B2192" t="inlineStr">
        <is>
          <t>F275258</t>
        </is>
      </c>
      <c r="C2192" t="inlineStr">
        <is>
          <t>C10802</t>
        </is>
      </c>
      <c r="D2192" t="inlineStr">
        <is>
          <t>SKU-10024</t>
        </is>
      </c>
      <c r="E2192" t="inlineStr">
        <is>
          <t>AM03</t>
        </is>
      </c>
      <c r="F2192" s="5" t="n">
        <v>114.76</v>
      </c>
      <c r="G2192">
        <f>IF(LEFT(B2192,1)="C","Credit","Factuur")</f>
        <v/>
      </c>
      <c r="H2192">
        <f>IF(AND(B2192=B2191,D2192=D2191,A2192=A2191,F2192=F2191),1,0)</f>
        <v/>
      </c>
      <c r="I2192">
        <f>IF(C2192="C99999",1,0)</f>
        <v/>
      </c>
      <c r="J2192" s="5">
        <f>IF(OR(H2192=1,I2192=1),0,IF(G2192="Credit",-F2192,F2192))</f>
        <v/>
      </c>
    </row>
    <row r="2193">
      <c r="A2193" t="inlineStr">
        <is>
          <t>2026-07-22</t>
        </is>
      </c>
      <c r="B2193" t="inlineStr">
        <is>
          <t>F275258</t>
        </is>
      </c>
      <c r="C2193" t="inlineStr">
        <is>
          <t>C10802</t>
        </is>
      </c>
      <c r="D2193" t="inlineStr">
        <is>
          <t>SKU-10089</t>
        </is>
      </c>
      <c r="E2193" t="inlineStr">
        <is>
          <t>AM03</t>
        </is>
      </c>
      <c r="F2193" s="5" t="n">
        <v>106.76</v>
      </c>
      <c r="G2193">
        <f>IF(LEFT(B2193,1)="C","Credit","Factuur")</f>
        <v/>
      </c>
      <c r="H2193">
        <f>IF(AND(B2193=B2192,D2193=D2192,A2193=A2192,F2193=F2192),1,0)</f>
        <v/>
      </c>
      <c r="I2193">
        <f>IF(C2193="C99999",1,0)</f>
        <v/>
      </c>
      <c r="J2193" s="5">
        <f>IF(OR(H2193=1,I2193=1),0,IF(G2193="Credit",-F2193,F2193))</f>
        <v/>
      </c>
    </row>
    <row r="2194">
      <c r="A2194" t="inlineStr">
        <is>
          <t>2026-07-22</t>
        </is>
      </c>
      <c r="B2194" t="inlineStr">
        <is>
          <t>F275258</t>
        </is>
      </c>
      <c r="C2194" t="inlineStr">
        <is>
          <t>C10802</t>
        </is>
      </c>
      <c r="D2194" t="inlineStr">
        <is>
          <t>SKU-10116</t>
        </is>
      </c>
      <c r="E2194" t="inlineStr">
        <is>
          <t>AM03</t>
        </is>
      </c>
      <c r="F2194" s="5" t="n">
        <v>130.2</v>
      </c>
      <c r="G2194">
        <f>IF(LEFT(B2194,1)="C","Credit","Factuur")</f>
        <v/>
      </c>
      <c r="H2194">
        <f>IF(AND(B2194=B2193,D2194=D2193,A2194=A2193,F2194=F2193),1,0)</f>
        <v/>
      </c>
      <c r="I2194">
        <f>IF(C2194="C99999",1,0)</f>
        <v/>
      </c>
      <c r="J2194" s="5">
        <f>IF(OR(H2194=1,I2194=1),0,IF(G2194="Credit",-F2194,F2194))</f>
        <v/>
      </c>
    </row>
    <row r="2195">
      <c r="A2195" t="inlineStr">
        <is>
          <t>2026-07-22</t>
        </is>
      </c>
      <c r="B2195" t="inlineStr">
        <is>
          <t>F275258</t>
        </is>
      </c>
      <c r="C2195" t="inlineStr">
        <is>
          <t>C10802</t>
        </is>
      </c>
      <c r="D2195" t="inlineStr">
        <is>
          <t>SKU-10240</t>
        </is>
      </c>
      <c r="E2195" t="inlineStr">
        <is>
          <t>AM03</t>
        </is>
      </c>
      <c r="F2195" s="5" t="n">
        <v>119.52</v>
      </c>
      <c r="G2195">
        <f>IF(LEFT(B2195,1)="C","Credit","Factuur")</f>
        <v/>
      </c>
      <c r="H2195">
        <f>IF(AND(B2195=B2194,D2195=D2194,A2195=A2194,F2195=F2194),1,0)</f>
        <v/>
      </c>
      <c r="I2195">
        <f>IF(C2195="C99999",1,0)</f>
        <v/>
      </c>
      <c r="J2195" s="5">
        <f>IF(OR(H2195=1,I2195=1),0,IF(G2195="Credit",-F2195,F2195))</f>
        <v/>
      </c>
    </row>
    <row r="2196">
      <c r="A2196" t="inlineStr">
        <is>
          <t>2026-07-22</t>
        </is>
      </c>
      <c r="B2196" t="inlineStr">
        <is>
          <t>F276477</t>
        </is>
      </c>
      <c r="C2196" t="inlineStr">
        <is>
          <t>C10872</t>
        </is>
      </c>
      <c r="D2196" t="inlineStr">
        <is>
          <t>SKU-10292</t>
        </is>
      </c>
      <c r="E2196" t="inlineStr">
        <is>
          <t>AM08</t>
        </is>
      </c>
      <c r="F2196" s="5" t="n">
        <v>805.98</v>
      </c>
      <c r="G2196">
        <f>IF(LEFT(B2196,1)="C","Credit","Factuur")</f>
        <v/>
      </c>
      <c r="H2196">
        <f>IF(AND(B2196=B2195,D2196=D2195,A2196=A2195,F2196=F2195),1,0)</f>
        <v/>
      </c>
      <c r="I2196">
        <f>IF(C2196="C99999",1,0)</f>
        <v/>
      </c>
      <c r="J2196" s="5">
        <f>IF(OR(H2196=1,I2196=1),0,IF(G2196="Credit",-F2196,F2196))</f>
        <v/>
      </c>
    </row>
    <row r="2197">
      <c r="A2197" t="inlineStr">
        <is>
          <t>2026-07-22</t>
        </is>
      </c>
      <c r="B2197" t="inlineStr">
        <is>
          <t>F276534</t>
        </is>
      </c>
      <c r="C2197" t="inlineStr">
        <is>
          <t>C10877</t>
        </is>
      </c>
      <c r="D2197" t="inlineStr">
        <is>
          <t>SKU-10144</t>
        </is>
      </c>
      <c r="E2197" t="inlineStr">
        <is>
          <t>AM03</t>
        </is>
      </c>
      <c r="F2197" s="5" t="n">
        <v>947.36</v>
      </c>
      <c r="G2197">
        <f>IF(LEFT(B2197,1)="C","Credit","Factuur")</f>
        <v/>
      </c>
      <c r="H2197">
        <f>IF(AND(B2197=B2196,D2197=D2196,A2197=A2196,F2197=F2196),1,0)</f>
        <v/>
      </c>
      <c r="I2197">
        <f>IF(C2197="C99999",1,0)</f>
        <v/>
      </c>
      <c r="J2197" s="5">
        <f>IF(OR(H2197=1,I2197=1),0,IF(G2197="Credit",-F2197,F2197))</f>
        <v/>
      </c>
    </row>
    <row r="2198">
      <c r="A2198" t="inlineStr">
        <is>
          <t>2026-07-22</t>
        </is>
      </c>
      <c r="B2198" t="inlineStr">
        <is>
          <t>F276948</t>
        </is>
      </c>
      <c r="C2198" t="inlineStr">
        <is>
          <t>C10898</t>
        </is>
      </c>
      <c r="D2198" t="inlineStr">
        <is>
          <t>SKU-10311</t>
        </is>
      </c>
      <c r="E2198" t="inlineStr">
        <is>
          <t>AM03</t>
        </is>
      </c>
      <c r="F2198" s="5" t="n">
        <v>558.98</v>
      </c>
      <c r="G2198">
        <f>IF(LEFT(B2198,1)="C","Credit","Factuur")</f>
        <v/>
      </c>
      <c r="H2198">
        <f>IF(AND(B2198=B2197,D2198=D2197,A2198=A2197,F2198=F2197),1,0)</f>
        <v/>
      </c>
      <c r="I2198">
        <f>IF(C2198="C99999",1,0)</f>
        <v/>
      </c>
      <c r="J2198" s="5">
        <f>IF(OR(H2198=1,I2198=1),0,IF(G2198="Credit",-F2198,F2198))</f>
        <v/>
      </c>
    </row>
    <row r="2199">
      <c r="A2199" t="inlineStr">
        <is>
          <t>2026-07-22</t>
        </is>
      </c>
      <c r="B2199" t="inlineStr">
        <is>
          <t>F276948</t>
        </is>
      </c>
      <c r="C2199" t="inlineStr">
        <is>
          <t>C10898</t>
        </is>
      </c>
      <c r="D2199" t="inlineStr">
        <is>
          <t>SKU-10335</t>
        </is>
      </c>
      <c r="E2199" t="inlineStr">
        <is>
          <t>AM03</t>
        </is>
      </c>
      <c r="F2199" s="5" t="n">
        <v>558.79</v>
      </c>
      <c r="G2199">
        <f>IF(LEFT(B2199,1)="C","Credit","Factuur")</f>
        <v/>
      </c>
      <c r="H2199">
        <f>IF(AND(B2199=B2198,D2199=D2198,A2199=A2198,F2199=F2198),1,0)</f>
        <v/>
      </c>
      <c r="I2199">
        <f>IF(C2199="C99999",1,0)</f>
        <v/>
      </c>
      <c r="J2199" s="5">
        <f>IF(OR(H2199=1,I2199=1),0,IF(G2199="Credit",-F2199,F2199))</f>
        <v/>
      </c>
    </row>
    <row r="2200">
      <c r="A2200" t="inlineStr">
        <is>
          <t>2026-07-22</t>
        </is>
      </c>
      <c r="B2200" t="inlineStr">
        <is>
          <t>F278158</t>
        </is>
      </c>
      <c r="C2200" t="inlineStr">
        <is>
          <t>C10965</t>
        </is>
      </c>
      <c r="D2200" t="inlineStr">
        <is>
          <t>SKU-10073</t>
        </is>
      </c>
      <c r="E2200" t="inlineStr">
        <is>
          <t>AM01</t>
        </is>
      </c>
      <c r="F2200" s="5" t="n">
        <v>114.08</v>
      </c>
      <c r="G2200">
        <f>IF(LEFT(B2200,1)="C","Credit","Factuur")</f>
        <v/>
      </c>
      <c r="H2200">
        <f>IF(AND(B2200=B2199,D2200=D2199,A2200=A2199,F2200=F2199),1,0)</f>
        <v/>
      </c>
      <c r="I2200">
        <f>IF(C2200="C99999",1,0)</f>
        <v/>
      </c>
      <c r="J2200" s="5">
        <f>IF(OR(H2200=1,I2200=1),0,IF(G2200="Credit",-F2200,F2200))</f>
        <v/>
      </c>
    </row>
    <row r="2201">
      <c r="A2201" t="inlineStr">
        <is>
          <t>2026-07-22</t>
        </is>
      </c>
      <c r="B2201" t="inlineStr">
        <is>
          <t>F278158</t>
        </is>
      </c>
      <c r="C2201" t="inlineStr">
        <is>
          <t>C10965</t>
        </is>
      </c>
      <c r="D2201" t="inlineStr">
        <is>
          <t>SKU-10076</t>
        </is>
      </c>
      <c r="E2201" t="inlineStr">
        <is>
          <t>AM01</t>
        </is>
      </c>
      <c r="F2201" s="5" t="n">
        <v>103.85</v>
      </c>
      <c r="G2201">
        <f>IF(LEFT(B2201,1)="C","Credit","Factuur")</f>
        <v/>
      </c>
      <c r="H2201">
        <f>IF(AND(B2201=B2200,D2201=D2200,A2201=A2200,F2201=F2200),1,0)</f>
        <v/>
      </c>
      <c r="I2201">
        <f>IF(C2201="C99999",1,0)</f>
        <v/>
      </c>
      <c r="J2201" s="5">
        <f>IF(OR(H2201=1,I2201=1),0,IF(G2201="Credit",-F2201,F2201))</f>
        <v/>
      </c>
    </row>
    <row r="2202">
      <c r="A2202" t="inlineStr">
        <is>
          <t>2026-07-22</t>
        </is>
      </c>
      <c r="B2202" t="inlineStr">
        <is>
          <t>F278158</t>
        </is>
      </c>
      <c r="C2202" t="inlineStr">
        <is>
          <t>C10965</t>
        </is>
      </c>
      <c r="D2202" t="inlineStr">
        <is>
          <t>SKU-10203</t>
        </is>
      </c>
      <c r="E2202" t="inlineStr">
        <is>
          <t>AM01</t>
        </is>
      </c>
      <c r="F2202" s="5" t="n">
        <v>89.16</v>
      </c>
      <c r="G2202">
        <f>IF(LEFT(B2202,1)="C","Credit","Factuur")</f>
        <v/>
      </c>
      <c r="H2202">
        <f>IF(AND(B2202=B2201,D2202=D2201,A2202=A2201,F2202=F2201),1,0)</f>
        <v/>
      </c>
      <c r="I2202">
        <f>IF(C2202="C99999",1,0)</f>
        <v/>
      </c>
      <c r="J2202" s="5">
        <f>IF(OR(H2202=1,I2202=1),0,IF(G2202="Credit",-F2202,F2202))</f>
        <v/>
      </c>
    </row>
    <row r="2203">
      <c r="A2203" t="inlineStr">
        <is>
          <t>2026-07-22</t>
        </is>
      </c>
      <c r="B2203" t="inlineStr">
        <is>
          <t>F279171</t>
        </is>
      </c>
      <c r="C2203" t="inlineStr">
        <is>
          <t>C11016</t>
        </is>
      </c>
      <c r="D2203" t="inlineStr">
        <is>
          <t>SKU-10017</t>
        </is>
      </c>
      <c r="E2203" t="inlineStr">
        <is>
          <t>AM03</t>
        </is>
      </c>
      <c r="F2203" s="5" t="n">
        <v>194.25</v>
      </c>
      <c r="G2203">
        <f>IF(LEFT(B2203,1)="C","Credit","Factuur")</f>
        <v/>
      </c>
      <c r="H2203">
        <f>IF(AND(B2203=B2202,D2203=D2202,A2203=A2202,F2203=F2202),1,0)</f>
        <v/>
      </c>
      <c r="I2203">
        <f>IF(C2203="C99999",1,0)</f>
        <v/>
      </c>
      <c r="J2203" s="5">
        <f>IF(OR(H2203=1,I2203=1),0,IF(G2203="Credit",-F2203,F2203))</f>
        <v/>
      </c>
    </row>
    <row r="2204">
      <c r="A2204" t="inlineStr">
        <is>
          <t>2026-07-22</t>
        </is>
      </c>
      <c r="B2204" t="inlineStr">
        <is>
          <t>F279171</t>
        </is>
      </c>
      <c r="C2204" t="inlineStr">
        <is>
          <t>C11016</t>
        </is>
      </c>
      <c r="D2204" t="inlineStr">
        <is>
          <t>SKU-10033</t>
        </is>
      </c>
      <c r="E2204" t="inlineStr">
        <is>
          <t>AM03</t>
        </is>
      </c>
      <c r="F2204" s="5" t="n">
        <v>193.86</v>
      </c>
      <c r="G2204">
        <f>IF(LEFT(B2204,1)="C","Credit","Factuur")</f>
        <v/>
      </c>
      <c r="H2204">
        <f>IF(AND(B2204=B2203,D2204=D2203,A2204=A2203,F2204=F2203),1,0)</f>
        <v/>
      </c>
      <c r="I2204">
        <f>IF(C2204="C99999",1,0)</f>
        <v/>
      </c>
      <c r="J2204" s="5">
        <f>IF(OR(H2204=1,I2204=1),0,IF(G2204="Credit",-F2204,F2204))</f>
        <v/>
      </c>
    </row>
    <row r="2205">
      <c r="A2205" t="inlineStr">
        <is>
          <t>2026-07-22</t>
        </is>
      </c>
      <c r="B2205" t="inlineStr">
        <is>
          <t>F279171</t>
        </is>
      </c>
      <c r="C2205" t="inlineStr">
        <is>
          <t>C11016</t>
        </is>
      </c>
      <c r="D2205" t="inlineStr">
        <is>
          <t>SKU-10058</t>
        </is>
      </c>
      <c r="E2205" t="inlineStr">
        <is>
          <t>AM03</t>
        </is>
      </c>
      <c r="F2205" s="5" t="n">
        <v>173.49</v>
      </c>
      <c r="G2205">
        <f>IF(LEFT(B2205,1)="C","Credit","Factuur")</f>
        <v/>
      </c>
      <c r="H2205">
        <f>IF(AND(B2205=B2204,D2205=D2204,A2205=A2204,F2205=F2204),1,0)</f>
        <v/>
      </c>
      <c r="I2205">
        <f>IF(C2205="C99999",1,0)</f>
        <v/>
      </c>
      <c r="J2205" s="5">
        <f>IF(OR(H2205=1,I2205=1),0,IF(G2205="Credit",-F2205,F2205))</f>
        <v/>
      </c>
    </row>
    <row r="2206">
      <c r="A2206" t="inlineStr">
        <is>
          <t>2026-07-22</t>
        </is>
      </c>
      <c r="B2206" t="inlineStr">
        <is>
          <t>F279171</t>
        </is>
      </c>
      <c r="C2206" t="inlineStr">
        <is>
          <t>C11016</t>
        </is>
      </c>
      <c r="D2206" t="inlineStr">
        <is>
          <t>SKU-10065</t>
        </is>
      </c>
      <c r="E2206" t="inlineStr">
        <is>
          <t>AM03</t>
        </is>
      </c>
      <c r="F2206" s="5" t="n">
        <v>197.08</v>
      </c>
      <c r="G2206">
        <f>IF(LEFT(B2206,1)="C","Credit","Factuur")</f>
        <v/>
      </c>
      <c r="H2206">
        <f>IF(AND(B2206=B2205,D2206=D2205,A2206=A2205,F2206=F2205),1,0)</f>
        <v/>
      </c>
      <c r="I2206">
        <f>IF(C2206="C99999",1,0)</f>
        <v/>
      </c>
      <c r="J2206" s="5">
        <f>IF(OR(H2206=1,I2206=1),0,IF(G2206="Credit",-F2206,F2206))</f>
        <v/>
      </c>
    </row>
    <row r="2207">
      <c r="A2207" t="inlineStr">
        <is>
          <t>2026-07-22</t>
        </is>
      </c>
      <c r="B2207" t="inlineStr">
        <is>
          <t>F279171</t>
        </is>
      </c>
      <c r="C2207" t="inlineStr">
        <is>
          <t>C11016</t>
        </is>
      </c>
      <c r="D2207" t="inlineStr">
        <is>
          <t>SKU-10126</t>
        </is>
      </c>
      <c r="E2207" t="inlineStr">
        <is>
          <t>AM03</t>
        </is>
      </c>
      <c r="F2207" s="5" t="n">
        <v>209.84</v>
      </c>
      <c r="G2207">
        <f>IF(LEFT(B2207,1)="C","Credit","Factuur")</f>
        <v/>
      </c>
      <c r="H2207">
        <f>IF(AND(B2207=B2206,D2207=D2206,A2207=A2206,F2207=F2206),1,0)</f>
        <v/>
      </c>
      <c r="I2207">
        <f>IF(C2207="C99999",1,0)</f>
        <v/>
      </c>
      <c r="J2207" s="5">
        <f>IF(OR(H2207=1,I2207=1),0,IF(G2207="Credit",-F2207,F2207))</f>
        <v/>
      </c>
    </row>
    <row r="2208">
      <c r="A2208" t="inlineStr">
        <is>
          <t>2026-07-22</t>
        </is>
      </c>
      <c r="B2208" t="inlineStr">
        <is>
          <t>F280397</t>
        </is>
      </c>
      <c r="C2208" t="inlineStr">
        <is>
          <t>C11076</t>
        </is>
      </c>
      <c r="D2208" t="inlineStr">
        <is>
          <t>SKU-10033</t>
        </is>
      </c>
      <c r="E2208" t="inlineStr">
        <is>
          <t>AM12</t>
        </is>
      </c>
      <c r="F2208" s="5" t="n">
        <v>358.1</v>
      </c>
      <c r="G2208">
        <f>IF(LEFT(B2208,1)="C","Credit","Factuur")</f>
        <v/>
      </c>
      <c r="H2208">
        <f>IF(AND(B2208=B2207,D2208=D2207,A2208=A2207,F2208=F2207),1,0)</f>
        <v/>
      </c>
      <c r="I2208">
        <f>IF(C2208="C99999",1,0)</f>
        <v/>
      </c>
      <c r="J2208" s="5">
        <f>IF(OR(H2208=1,I2208=1),0,IF(G2208="Credit",-F2208,F2208))</f>
        <v/>
      </c>
    </row>
    <row r="2209">
      <c r="A2209" t="inlineStr">
        <is>
          <t>2026-07-22</t>
        </is>
      </c>
      <c r="B2209" t="inlineStr">
        <is>
          <t>F281578</t>
        </is>
      </c>
      <c r="C2209" t="inlineStr">
        <is>
          <t>C11139</t>
        </is>
      </c>
      <c r="D2209" t="inlineStr">
        <is>
          <t>SKU-10018</t>
        </is>
      </c>
      <c r="E2209" t="inlineStr">
        <is>
          <t>AM03</t>
        </is>
      </c>
      <c r="F2209" s="5" t="n">
        <v>254.65</v>
      </c>
      <c r="G2209">
        <f>IF(LEFT(B2209,1)="C","Credit","Factuur")</f>
        <v/>
      </c>
      <c r="H2209">
        <f>IF(AND(B2209=B2208,D2209=D2208,A2209=A2208,F2209=F2208),1,0)</f>
        <v/>
      </c>
      <c r="I2209">
        <f>IF(C2209="C99999",1,0)</f>
        <v/>
      </c>
      <c r="J2209" s="5">
        <f>IF(OR(H2209=1,I2209=1),0,IF(G2209="Credit",-F2209,F2209))</f>
        <v/>
      </c>
    </row>
    <row r="2210">
      <c r="A2210" t="inlineStr">
        <is>
          <t>2026-07-22</t>
        </is>
      </c>
      <c r="B2210" t="inlineStr">
        <is>
          <t>F281578</t>
        </is>
      </c>
      <c r="C2210" t="inlineStr">
        <is>
          <t>C11139</t>
        </is>
      </c>
      <c r="D2210" t="inlineStr">
        <is>
          <t>SKU-10050</t>
        </is>
      </c>
      <c r="E2210" t="inlineStr">
        <is>
          <t>AM03</t>
        </is>
      </c>
      <c r="F2210" s="5" t="n">
        <v>227.08</v>
      </c>
      <c r="G2210">
        <f>IF(LEFT(B2210,1)="C","Credit","Factuur")</f>
        <v/>
      </c>
      <c r="H2210">
        <f>IF(AND(B2210=B2209,D2210=D2209,A2210=A2209,F2210=F2209),1,0)</f>
        <v/>
      </c>
      <c r="I2210">
        <f>IF(C2210="C99999",1,0)</f>
        <v/>
      </c>
      <c r="J2210" s="5">
        <f>IF(OR(H2210=1,I2210=1),0,IF(G2210="Credit",-F2210,F2210))</f>
        <v/>
      </c>
    </row>
    <row r="2211">
      <c r="A2211" t="inlineStr">
        <is>
          <t>2026-07-22</t>
        </is>
      </c>
      <c r="B2211" t="inlineStr">
        <is>
          <t>F281578</t>
        </is>
      </c>
      <c r="C2211" t="inlineStr">
        <is>
          <t>C11139</t>
        </is>
      </c>
      <c r="D2211" t="inlineStr">
        <is>
          <t>SKU-10238</t>
        </is>
      </c>
      <c r="E2211" t="inlineStr">
        <is>
          <t>AM03</t>
        </is>
      </c>
      <c r="F2211" s="5" t="n">
        <v>232.75</v>
      </c>
      <c r="G2211">
        <f>IF(LEFT(B2211,1)="C","Credit","Factuur")</f>
        <v/>
      </c>
      <c r="H2211">
        <f>IF(AND(B2211=B2210,D2211=D2210,A2211=A2210,F2211=F2210),1,0)</f>
        <v/>
      </c>
      <c r="I2211">
        <f>IF(C2211="C99999",1,0)</f>
        <v/>
      </c>
      <c r="J2211" s="5">
        <f>IF(OR(H2211=1,I2211=1),0,IF(G2211="Credit",-F2211,F2211))</f>
        <v/>
      </c>
    </row>
    <row r="2212">
      <c r="A2212" t="inlineStr">
        <is>
          <t>2026-07-22</t>
        </is>
      </c>
      <c r="B2212" t="inlineStr">
        <is>
          <t>F281578</t>
        </is>
      </c>
      <c r="C2212" t="inlineStr">
        <is>
          <t>C11139</t>
        </is>
      </c>
      <c r="D2212" t="inlineStr">
        <is>
          <t>SKU-10321</t>
        </is>
      </c>
      <c r="E2212" t="inlineStr">
        <is>
          <t>AM03</t>
        </is>
      </c>
      <c r="F2212" s="5" t="n">
        <v>219.65</v>
      </c>
      <c r="G2212">
        <f>IF(LEFT(B2212,1)="C","Credit","Factuur")</f>
        <v/>
      </c>
      <c r="H2212">
        <f>IF(AND(B2212=B2211,D2212=D2211,A2212=A2211,F2212=F2211),1,0)</f>
        <v/>
      </c>
      <c r="I2212">
        <f>IF(C2212="C99999",1,0)</f>
        <v/>
      </c>
      <c r="J2212" s="5">
        <f>IF(OR(H2212=1,I2212=1),0,IF(G2212="Credit",-F2212,F2212))</f>
        <v/>
      </c>
    </row>
    <row r="2213">
      <c r="A2213" t="inlineStr">
        <is>
          <t>2026-07-22</t>
        </is>
      </c>
      <c r="B2213" t="inlineStr">
        <is>
          <t>F281578</t>
        </is>
      </c>
      <c r="C2213" t="inlineStr">
        <is>
          <t>C11139</t>
        </is>
      </c>
      <c r="D2213" t="inlineStr">
        <is>
          <t>SKU-10352</t>
        </is>
      </c>
      <c r="E2213" t="inlineStr">
        <is>
          <t>AM03</t>
        </is>
      </c>
      <c r="F2213" s="5" t="n">
        <v>315.98</v>
      </c>
      <c r="G2213">
        <f>IF(LEFT(B2213,1)="C","Credit","Factuur")</f>
        <v/>
      </c>
      <c r="H2213">
        <f>IF(AND(B2213=B2212,D2213=D2212,A2213=A2212,F2213=F2212),1,0)</f>
        <v/>
      </c>
      <c r="I2213">
        <f>IF(C2213="C99999",1,0)</f>
        <v/>
      </c>
      <c r="J2213" s="5">
        <f>IF(OR(H2213=1,I2213=1),0,IF(G2213="Credit",-F2213,F2213))</f>
        <v/>
      </c>
    </row>
    <row r="2214">
      <c r="A2214" t="inlineStr">
        <is>
          <t>2026-07-22</t>
        </is>
      </c>
      <c r="B2214" t="inlineStr">
        <is>
          <t>F282816</t>
        </is>
      </c>
      <c r="C2214" t="inlineStr">
        <is>
          <t>C11198</t>
        </is>
      </c>
      <c r="D2214" t="inlineStr">
        <is>
          <t>SKU-10044</t>
        </is>
      </c>
      <c r="E2214" t="inlineStr">
        <is>
          <t>AM06</t>
        </is>
      </c>
      <c r="F2214" s="5" t="n">
        <v>147.24</v>
      </c>
      <c r="G2214">
        <f>IF(LEFT(B2214,1)="C","Credit","Factuur")</f>
        <v/>
      </c>
      <c r="H2214">
        <f>IF(AND(B2214=B2213,D2214=D2213,A2214=A2213,F2214=F2213),1,0)</f>
        <v/>
      </c>
      <c r="I2214">
        <f>IF(C2214="C99999",1,0)</f>
        <v/>
      </c>
      <c r="J2214" s="5">
        <f>IF(OR(H2214=1,I2214=1),0,IF(G2214="Credit",-F2214,F2214))</f>
        <v/>
      </c>
    </row>
    <row r="2215">
      <c r="A2215" t="inlineStr">
        <is>
          <t>2026-07-22</t>
        </is>
      </c>
      <c r="B2215" t="inlineStr">
        <is>
          <t>F282816</t>
        </is>
      </c>
      <c r="C2215" t="inlineStr">
        <is>
          <t>C11198</t>
        </is>
      </c>
      <c r="D2215" t="inlineStr">
        <is>
          <t>SKU-10117</t>
        </is>
      </c>
      <c r="E2215" t="inlineStr">
        <is>
          <t>AM06</t>
        </is>
      </c>
      <c r="F2215" s="5" t="n">
        <v>121.16</v>
      </c>
      <c r="G2215">
        <f>IF(LEFT(B2215,1)="C","Credit","Factuur")</f>
        <v/>
      </c>
      <c r="H2215">
        <f>IF(AND(B2215=B2214,D2215=D2214,A2215=A2214,F2215=F2214),1,0)</f>
        <v/>
      </c>
      <c r="I2215">
        <f>IF(C2215="C99999",1,0)</f>
        <v/>
      </c>
      <c r="J2215" s="5">
        <f>IF(OR(H2215=1,I2215=1),0,IF(G2215="Credit",-F2215,F2215))</f>
        <v/>
      </c>
    </row>
    <row r="2216">
      <c r="A2216" t="inlineStr">
        <is>
          <t>2026-07-22</t>
        </is>
      </c>
      <c r="B2216" t="inlineStr">
        <is>
          <t>F282816</t>
        </is>
      </c>
      <c r="C2216" t="inlineStr">
        <is>
          <t>C11198</t>
        </is>
      </c>
      <c r="D2216" t="inlineStr">
        <is>
          <t>SKU-10292</t>
        </is>
      </c>
      <c r="E2216" t="inlineStr">
        <is>
          <t>AM06</t>
        </is>
      </c>
      <c r="F2216" s="5" t="n">
        <v>145.44</v>
      </c>
      <c r="G2216">
        <f>IF(LEFT(B2216,1)="C","Credit","Factuur")</f>
        <v/>
      </c>
      <c r="H2216">
        <f>IF(AND(B2216=B2215,D2216=D2215,A2216=A2215,F2216=F2215),1,0)</f>
        <v/>
      </c>
      <c r="I2216">
        <f>IF(C2216="C99999",1,0)</f>
        <v/>
      </c>
      <c r="J2216" s="5">
        <f>IF(OR(H2216=1,I2216=1),0,IF(G2216="Credit",-F2216,F2216))</f>
        <v/>
      </c>
    </row>
    <row r="2217">
      <c r="A2217" t="inlineStr">
        <is>
          <t>2026-07-22</t>
        </is>
      </c>
      <c r="B2217" t="inlineStr">
        <is>
          <t>F284539</t>
        </is>
      </c>
      <c r="C2217" t="inlineStr">
        <is>
          <t>C11287</t>
        </is>
      </c>
      <c r="D2217" t="inlineStr">
        <is>
          <t>SKU-10170</t>
        </is>
      </c>
      <c r="E2217" t="inlineStr">
        <is>
          <t>AM03</t>
        </is>
      </c>
      <c r="F2217" s="5" t="n">
        <v>609.5599999999999</v>
      </c>
      <c r="G2217">
        <f>IF(LEFT(B2217,1)="C","Credit","Factuur")</f>
        <v/>
      </c>
      <c r="H2217">
        <f>IF(AND(B2217=B2216,D2217=D2216,A2217=A2216,F2217=F2216),1,0)</f>
        <v/>
      </c>
      <c r="I2217">
        <f>IF(C2217="C99999",1,0)</f>
        <v/>
      </c>
      <c r="J2217" s="5">
        <f>IF(OR(H2217=1,I2217=1),0,IF(G2217="Credit",-F2217,F2217))</f>
        <v/>
      </c>
    </row>
    <row r="2218">
      <c r="A2218" t="inlineStr">
        <is>
          <t>2026-07-22</t>
        </is>
      </c>
      <c r="B2218" t="inlineStr">
        <is>
          <t>F285046</t>
        </is>
      </c>
      <c r="C2218" t="inlineStr">
        <is>
          <t>C11310</t>
        </is>
      </c>
      <c r="D2218" t="inlineStr">
        <is>
          <t>SKU-10048</t>
        </is>
      </c>
      <c r="E2218" t="inlineStr">
        <is>
          <t>AM02</t>
        </is>
      </c>
      <c r="F2218" s="5" t="n">
        <v>263.05</v>
      </c>
      <c r="G2218">
        <f>IF(LEFT(B2218,1)="C","Credit","Factuur")</f>
        <v/>
      </c>
      <c r="H2218">
        <f>IF(AND(B2218=B2217,D2218=D2217,A2218=A2217,F2218=F2217),1,0)</f>
        <v/>
      </c>
      <c r="I2218">
        <f>IF(C2218="C99999",1,0)</f>
        <v/>
      </c>
      <c r="J2218" s="5">
        <f>IF(OR(H2218=1,I2218=1),0,IF(G2218="Credit",-F2218,F2218))</f>
        <v/>
      </c>
    </row>
    <row r="2219">
      <c r="A2219" t="inlineStr">
        <is>
          <t>2026-07-22</t>
        </is>
      </c>
      <c r="B2219" t="inlineStr">
        <is>
          <t>F285046</t>
        </is>
      </c>
      <c r="C2219" t="inlineStr">
        <is>
          <t>C11310</t>
        </is>
      </c>
      <c r="D2219" t="inlineStr">
        <is>
          <t>SKU-10148</t>
        </is>
      </c>
      <c r="E2219" t="inlineStr">
        <is>
          <t>AM02</t>
        </is>
      </c>
      <c r="F2219" s="5" t="n">
        <v>268.11</v>
      </c>
      <c r="G2219">
        <f>IF(LEFT(B2219,1)="C","Credit","Factuur")</f>
        <v/>
      </c>
      <c r="H2219">
        <f>IF(AND(B2219=B2218,D2219=D2218,A2219=A2218,F2219=F2218),1,0)</f>
        <v/>
      </c>
      <c r="I2219">
        <f>IF(C2219="C99999",1,0)</f>
        <v/>
      </c>
      <c r="J2219" s="5">
        <f>IF(OR(H2219=1,I2219=1),0,IF(G2219="Credit",-F2219,F2219))</f>
        <v/>
      </c>
    </row>
    <row r="2220">
      <c r="A2220" t="inlineStr">
        <is>
          <t>2026-07-22</t>
        </is>
      </c>
      <c r="B2220" t="inlineStr">
        <is>
          <t>F285046</t>
        </is>
      </c>
      <c r="C2220" t="inlineStr">
        <is>
          <t>C11310</t>
        </is>
      </c>
      <c r="D2220" t="inlineStr">
        <is>
          <t>SKU-10165</t>
        </is>
      </c>
      <c r="E2220" t="inlineStr">
        <is>
          <t>AM02</t>
        </is>
      </c>
      <c r="F2220" s="5" t="n">
        <v>275.04</v>
      </c>
      <c r="G2220">
        <f>IF(LEFT(B2220,1)="C","Credit","Factuur")</f>
        <v/>
      </c>
      <c r="H2220">
        <f>IF(AND(B2220=B2219,D2220=D2219,A2220=A2219,F2220=F2219),1,0)</f>
        <v/>
      </c>
      <c r="I2220">
        <f>IF(C2220="C99999",1,0)</f>
        <v/>
      </c>
      <c r="J2220" s="5">
        <f>IF(OR(H2220=1,I2220=1),0,IF(G2220="Credit",-F2220,F2220))</f>
        <v/>
      </c>
    </row>
    <row r="2221">
      <c r="A2221" t="inlineStr">
        <is>
          <t>2026-07-22</t>
        </is>
      </c>
      <c r="B2221" t="inlineStr">
        <is>
          <t>F286246</t>
        </is>
      </c>
      <c r="C2221" t="inlineStr">
        <is>
          <t>C11372</t>
        </is>
      </c>
      <c r="D2221" t="inlineStr">
        <is>
          <t>SKU-10081</t>
        </is>
      </c>
      <c r="E2221" t="inlineStr">
        <is>
          <t>AM09</t>
        </is>
      </c>
      <c r="F2221" s="5" t="n">
        <v>127.14</v>
      </c>
      <c r="G2221">
        <f>IF(LEFT(B2221,1)="C","Credit","Factuur")</f>
        <v/>
      </c>
      <c r="H2221">
        <f>IF(AND(B2221=B2220,D2221=D2220,A2221=A2220,F2221=F2220),1,0)</f>
        <v/>
      </c>
      <c r="I2221">
        <f>IF(C2221="C99999",1,0)</f>
        <v/>
      </c>
      <c r="J2221" s="5">
        <f>IF(OR(H2221=1,I2221=1),0,IF(G2221="Credit",-F2221,F2221))</f>
        <v/>
      </c>
    </row>
    <row r="2222">
      <c r="A2222" t="inlineStr">
        <is>
          <t>2026-07-22</t>
        </is>
      </c>
      <c r="B2222" t="inlineStr">
        <is>
          <t>F286246</t>
        </is>
      </c>
      <c r="C2222" t="inlineStr">
        <is>
          <t>C11372</t>
        </is>
      </c>
      <c r="D2222" t="inlineStr">
        <is>
          <t>SKU-10089</t>
        </is>
      </c>
      <c r="E2222" t="inlineStr">
        <is>
          <t>AM09</t>
        </is>
      </c>
      <c r="F2222" s="5" t="n">
        <v>125.6</v>
      </c>
      <c r="G2222">
        <f>IF(LEFT(B2222,1)="C","Credit","Factuur")</f>
        <v/>
      </c>
      <c r="H2222">
        <f>IF(AND(B2222=B2221,D2222=D2221,A2222=A2221,F2222=F2221),1,0)</f>
        <v/>
      </c>
      <c r="I2222">
        <f>IF(C2222="C99999",1,0)</f>
        <v/>
      </c>
      <c r="J2222" s="5">
        <f>IF(OR(H2222=1,I2222=1),0,IF(G2222="Credit",-F2222,F2222))</f>
        <v/>
      </c>
    </row>
    <row r="2223">
      <c r="A2223" t="inlineStr">
        <is>
          <t>2026-07-22</t>
        </is>
      </c>
      <c r="B2223" t="inlineStr">
        <is>
          <t>F286246</t>
        </is>
      </c>
      <c r="C2223" t="inlineStr">
        <is>
          <t>C11372</t>
        </is>
      </c>
      <c r="D2223" t="inlineStr">
        <is>
          <t>SKU-10142</t>
        </is>
      </c>
      <c r="E2223" t="inlineStr">
        <is>
          <t>AM09</t>
        </is>
      </c>
      <c r="F2223" s="5" t="n">
        <v>137.67</v>
      </c>
      <c r="G2223">
        <f>IF(LEFT(B2223,1)="C","Credit","Factuur")</f>
        <v/>
      </c>
      <c r="H2223">
        <f>IF(AND(B2223=B2222,D2223=D2222,A2223=A2222,F2223=F2222),1,0)</f>
        <v/>
      </c>
      <c r="I2223">
        <f>IF(C2223="C99999",1,0)</f>
        <v/>
      </c>
      <c r="J2223" s="5">
        <f>IF(OR(H2223=1,I2223=1),0,IF(G2223="Credit",-F2223,F2223))</f>
        <v/>
      </c>
    </row>
    <row r="2224">
      <c r="A2224" t="inlineStr">
        <is>
          <t>2026-07-22</t>
        </is>
      </c>
      <c r="B2224" t="inlineStr">
        <is>
          <t>F286246</t>
        </is>
      </c>
      <c r="C2224" t="inlineStr">
        <is>
          <t>C11372</t>
        </is>
      </c>
      <c r="D2224" t="inlineStr">
        <is>
          <t>SKU-10323</t>
        </is>
      </c>
      <c r="E2224" t="inlineStr">
        <is>
          <t>AM09</t>
        </is>
      </c>
      <c r="F2224" s="5" t="n">
        <v>105.02</v>
      </c>
      <c r="G2224">
        <f>IF(LEFT(B2224,1)="C","Credit","Factuur")</f>
        <v/>
      </c>
      <c r="H2224">
        <f>IF(AND(B2224=B2223,D2224=D2223,A2224=A2223,F2224=F2223),1,0)</f>
        <v/>
      </c>
      <c r="I2224">
        <f>IF(C2224="C99999",1,0)</f>
        <v/>
      </c>
      <c r="J2224" s="5">
        <f>IF(OR(H2224=1,I2224=1),0,IF(G2224="Credit",-F2224,F2224))</f>
        <v/>
      </c>
    </row>
    <row r="2225">
      <c r="A2225" t="inlineStr">
        <is>
          <t>2026-07-22</t>
        </is>
      </c>
      <c r="B2225" t="inlineStr">
        <is>
          <t>F286283</t>
        </is>
      </c>
      <c r="C2225" t="inlineStr">
        <is>
          <t>C11374</t>
        </is>
      </c>
      <c r="D2225" t="inlineStr">
        <is>
          <t>SKU-10129</t>
        </is>
      </c>
      <c r="E2225" t="inlineStr">
        <is>
          <t>AM09</t>
        </is>
      </c>
      <c r="F2225" s="5" t="n">
        <v>1036.3</v>
      </c>
      <c r="G2225">
        <f>IF(LEFT(B2225,1)="C","Credit","Factuur")</f>
        <v/>
      </c>
      <c r="H2225">
        <f>IF(AND(B2225=B2224,D2225=D2224,A2225=A2224,F2225=F2224),1,0)</f>
        <v/>
      </c>
      <c r="I2225">
        <f>IF(C2225="C99999",1,0)</f>
        <v/>
      </c>
      <c r="J2225" s="5">
        <f>IF(OR(H2225=1,I2225=1),0,IF(G2225="Credit",-F2225,F2225))</f>
        <v/>
      </c>
    </row>
    <row r="2226">
      <c r="A2226" t="inlineStr">
        <is>
          <t>2026-07-22</t>
        </is>
      </c>
      <c r="B2226" t="inlineStr">
        <is>
          <t>F286283</t>
        </is>
      </c>
      <c r="C2226" t="inlineStr">
        <is>
          <t>C11374</t>
        </is>
      </c>
      <c r="D2226" t="inlineStr">
        <is>
          <t>SKU-10185</t>
        </is>
      </c>
      <c r="E2226" t="inlineStr">
        <is>
          <t>AM09</t>
        </is>
      </c>
      <c r="F2226" s="5" t="n">
        <v>953.41</v>
      </c>
      <c r="G2226">
        <f>IF(LEFT(B2226,1)="C","Credit","Factuur")</f>
        <v/>
      </c>
      <c r="H2226">
        <f>IF(AND(B2226=B2225,D2226=D2225,A2226=A2225,F2226=F2225),1,0)</f>
        <v/>
      </c>
      <c r="I2226">
        <f>IF(C2226="C99999",1,0)</f>
        <v/>
      </c>
      <c r="J2226" s="5">
        <f>IF(OR(H2226=1,I2226=1),0,IF(G2226="Credit",-F2226,F2226))</f>
        <v/>
      </c>
    </row>
    <row r="2227">
      <c r="A2227" t="inlineStr">
        <is>
          <t>2026-07-22</t>
        </is>
      </c>
      <c r="B2227" t="inlineStr">
        <is>
          <t>F286283</t>
        </is>
      </c>
      <c r="C2227" t="inlineStr">
        <is>
          <t>C11374</t>
        </is>
      </c>
      <c r="D2227" t="inlineStr">
        <is>
          <t>SKU-10271</t>
        </is>
      </c>
      <c r="E2227" t="inlineStr">
        <is>
          <t>AM09</t>
        </is>
      </c>
      <c r="F2227" s="5" t="n">
        <v>997.5</v>
      </c>
      <c r="G2227">
        <f>IF(LEFT(B2227,1)="C","Credit","Factuur")</f>
        <v/>
      </c>
      <c r="H2227">
        <f>IF(AND(B2227=B2226,D2227=D2226,A2227=A2226,F2227=F2226),1,0)</f>
        <v/>
      </c>
      <c r="I2227">
        <f>IF(C2227="C99999",1,0)</f>
        <v/>
      </c>
      <c r="J2227" s="5">
        <f>IF(OR(H2227=1,I2227=1),0,IF(G2227="Credit",-F2227,F2227))</f>
        <v/>
      </c>
    </row>
    <row r="2228">
      <c r="A2228" t="inlineStr">
        <is>
          <t>2026-07-22</t>
        </is>
      </c>
      <c r="B2228" t="inlineStr">
        <is>
          <t>F286423</t>
        </is>
      </c>
      <c r="C2228" t="inlineStr">
        <is>
          <t>C99999</t>
        </is>
      </c>
      <c r="D2228" t="inlineStr">
        <is>
          <t>SKU-10034</t>
        </is>
      </c>
      <c r="E2228" t="inlineStr"/>
      <c r="F2228" s="5" t="n">
        <v>46.43</v>
      </c>
      <c r="G2228">
        <f>IF(LEFT(B2228,1)="C","Credit","Factuur")</f>
        <v/>
      </c>
      <c r="H2228">
        <f>IF(AND(B2228=B2227,D2228=D2227,A2228=A2227,F2228=F2227),1,0)</f>
        <v/>
      </c>
      <c r="I2228">
        <f>IF(C2228="C99999",1,0)</f>
        <v/>
      </c>
      <c r="J2228" s="5">
        <f>IF(OR(H2228=1,I2228=1),0,IF(G2228="Credit",-F2228,F2228))</f>
        <v/>
      </c>
    </row>
    <row r="2229">
      <c r="A2229" t="inlineStr">
        <is>
          <t>2026-07-22</t>
        </is>
      </c>
      <c r="B2229" t="inlineStr">
        <is>
          <t>F286423</t>
        </is>
      </c>
      <c r="C2229" t="inlineStr">
        <is>
          <t>C99999</t>
        </is>
      </c>
      <c r="D2229" t="inlineStr">
        <is>
          <t>SKU-10046</t>
        </is>
      </c>
      <c r="E2229" t="inlineStr">
        <is>
          <t>IS01</t>
        </is>
      </c>
      <c r="F2229" s="5" t="n">
        <v>59.96</v>
      </c>
      <c r="G2229">
        <f>IF(LEFT(B2229,1)="C","Credit","Factuur")</f>
        <v/>
      </c>
      <c r="H2229">
        <f>IF(AND(B2229=B2228,D2229=D2228,A2229=A2228,F2229=F2228),1,0)</f>
        <v/>
      </c>
      <c r="I2229">
        <f>IF(C2229="C99999",1,0)</f>
        <v/>
      </c>
      <c r="J2229" s="5">
        <f>IF(OR(H2229=1,I2229=1),0,IF(G2229="Credit",-F2229,F2229))</f>
        <v/>
      </c>
    </row>
    <row r="2230">
      <c r="A2230" t="inlineStr">
        <is>
          <t>2026-07-22</t>
        </is>
      </c>
      <c r="B2230" t="inlineStr">
        <is>
          <t>F286423</t>
        </is>
      </c>
      <c r="C2230" t="inlineStr">
        <is>
          <t>C99999</t>
        </is>
      </c>
      <c r="D2230" t="inlineStr">
        <is>
          <t>SKU-10143</t>
        </is>
      </c>
      <c r="E2230" t="inlineStr">
        <is>
          <t>IS01</t>
        </is>
      </c>
      <c r="F2230" s="5" t="n">
        <v>72.68000000000001</v>
      </c>
      <c r="G2230">
        <f>IF(LEFT(B2230,1)="C","Credit","Factuur")</f>
        <v/>
      </c>
      <c r="H2230">
        <f>IF(AND(B2230=B2229,D2230=D2229,A2230=A2229,F2230=F2229),1,0)</f>
        <v/>
      </c>
      <c r="I2230">
        <f>IF(C2230="C99999",1,0)</f>
        <v/>
      </c>
      <c r="J2230" s="5">
        <f>IF(OR(H2230=1,I2230=1),0,IF(G2230="Credit",-F2230,F2230))</f>
        <v/>
      </c>
    </row>
    <row r="2231">
      <c r="A2231" t="inlineStr">
        <is>
          <t>2026-07-23</t>
        </is>
      </c>
      <c r="B2231" t="inlineStr">
        <is>
          <t>C900701</t>
        </is>
      </c>
      <c r="C2231" t="inlineStr">
        <is>
          <t>C10384</t>
        </is>
      </c>
      <c r="D2231" t="inlineStr">
        <is>
          <t>SKU-10273</t>
        </is>
      </c>
      <c r="E2231" t="inlineStr">
        <is>
          <t>AM02</t>
        </is>
      </c>
      <c r="F2231" s="5" t="n">
        <v>732.34</v>
      </c>
      <c r="G2231">
        <f>IF(LEFT(B2231,1)="C","Credit","Factuur")</f>
        <v/>
      </c>
      <c r="H2231">
        <f>IF(AND(B2231=B2230,D2231=D2230,A2231=A2230,F2231=F2230),1,0)</f>
        <v/>
      </c>
      <c r="I2231">
        <f>IF(C2231="C99999",1,0)</f>
        <v/>
      </c>
      <c r="J2231" s="5">
        <f>IF(OR(H2231=1,I2231=1),0,IF(G2231="Credit",-F2231,F2231))</f>
        <v/>
      </c>
    </row>
    <row r="2232">
      <c r="A2232" t="inlineStr">
        <is>
          <t>2026-07-23</t>
        </is>
      </c>
      <c r="B2232" t="inlineStr">
        <is>
          <t>F260186</t>
        </is>
      </c>
      <c r="C2232" t="inlineStr">
        <is>
          <t>C10011</t>
        </is>
      </c>
      <c r="D2232" t="inlineStr">
        <is>
          <t>SKU-10301</t>
        </is>
      </c>
      <c r="E2232" t="inlineStr">
        <is>
          <t>AM03</t>
        </is>
      </c>
      <c r="F2232" s="5" t="n">
        <v>664.7</v>
      </c>
      <c r="G2232">
        <f>IF(LEFT(B2232,1)="C","Credit","Factuur")</f>
        <v/>
      </c>
      <c r="H2232">
        <f>IF(AND(B2232=B2231,D2232=D2231,A2232=A2231,F2232=F2231),1,0)</f>
        <v/>
      </c>
      <c r="I2232">
        <f>IF(C2232="C99999",1,0)</f>
        <v/>
      </c>
      <c r="J2232" s="5">
        <f>IF(OR(H2232=1,I2232=1),0,IF(G2232="Credit",-F2232,F2232))</f>
        <v/>
      </c>
    </row>
    <row r="2233">
      <c r="A2233" t="inlineStr">
        <is>
          <t>2026-07-23</t>
        </is>
      </c>
      <c r="B2233" t="inlineStr">
        <is>
          <t>F260458</t>
        </is>
      </c>
      <c r="C2233" t="inlineStr">
        <is>
          <t>C10024</t>
        </is>
      </c>
      <c r="D2233" t="inlineStr">
        <is>
          <t>SKU-10030</t>
        </is>
      </c>
      <c r="E2233" t="inlineStr">
        <is>
          <t>AM03</t>
        </is>
      </c>
      <c r="F2233" s="5" t="n">
        <v>197.84</v>
      </c>
      <c r="G2233">
        <f>IF(LEFT(B2233,1)="C","Credit","Factuur")</f>
        <v/>
      </c>
      <c r="H2233">
        <f>IF(AND(B2233=B2232,D2233=D2232,A2233=A2232,F2233=F2232),1,0)</f>
        <v/>
      </c>
      <c r="I2233">
        <f>IF(C2233="C99999",1,0)</f>
        <v/>
      </c>
      <c r="J2233" s="5">
        <f>IF(OR(H2233=1,I2233=1),0,IF(G2233="Credit",-F2233,F2233))</f>
        <v/>
      </c>
    </row>
    <row r="2234">
      <c r="A2234" t="inlineStr">
        <is>
          <t>2026-07-23</t>
        </is>
      </c>
      <c r="B2234" t="inlineStr">
        <is>
          <t>F260458</t>
        </is>
      </c>
      <c r="C2234" t="inlineStr">
        <is>
          <t>C10024</t>
        </is>
      </c>
      <c r="D2234" t="inlineStr">
        <is>
          <t>SKU-10223</t>
        </is>
      </c>
      <c r="E2234" t="inlineStr">
        <is>
          <t>AM03</t>
        </is>
      </c>
      <c r="F2234" s="5" t="n">
        <v>194.68</v>
      </c>
      <c r="G2234">
        <f>IF(LEFT(B2234,1)="C","Credit","Factuur")</f>
        <v/>
      </c>
      <c r="H2234">
        <f>IF(AND(B2234=B2233,D2234=D2233,A2234=A2233,F2234=F2233),1,0)</f>
        <v/>
      </c>
      <c r="I2234">
        <f>IF(C2234="C99999",1,0)</f>
        <v/>
      </c>
      <c r="J2234" s="5">
        <f>IF(OR(H2234=1,I2234=1),0,IF(G2234="Credit",-F2234,F2234))</f>
        <v/>
      </c>
    </row>
    <row r="2235">
      <c r="A2235" t="inlineStr">
        <is>
          <t>2026-07-23</t>
        </is>
      </c>
      <c r="B2235" t="inlineStr">
        <is>
          <t>F260458</t>
        </is>
      </c>
      <c r="C2235" t="inlineStr">
        <is>
          <t>C10024</t>
        </is>
      </c>
      <c r="D2235" t="inlineStr">
        <is>
          <t>SKU-10350</t>
        </is>
      </c>
      <c r="E2235" t="inlineStr">
        <is>
          <t>AM03</t>
        </is>
      </c>
      <c r="F2235" s="5" t="n">
        <v>360.34</v>
      </c>
      <c r="G2235">
        <f>IF(LEFT(B2235,1)="C","Credit","Factuur")</f>
        <v/>
      </c>
      <c r="H2235">
        <f>IF(AND(B2235=B2234,D2235=D2234,A2235=A2234,F2235=F2234),1,0)</f>
        <v/>
      </c>
      <c r="I2235">
        <f>IF(C2235="C99999",1,0)</f>
        <v/>
      </c>
      <c r="J2235" s="5">
        <f>IF(OR(H2235=1,I2235=1),0,IF(G2235="Credit",-F2235,F2235))</f>
        <v/>
      </c>
    </row>
    <row r="2236">
      <c r="A2236" t="inlineStr">
        <is>
          <t>2026-07-23</t>
        </is>
      </c>
      <c r="B2236" t="inlineStr">
        <is>
          <t>F261549</t>
        </is>
      </c>
      <c r="C2236" t="inlineStr">
        <is>
          <t>C10082</t>
        </is>
      </c>
      <c r="D2236" t="inlineStr">
        <is>
          <t>SKU-10106</t>
        </is>
      </c>
      <c r="E2236" t="inlineStr">
        <is>
          <t>AM09</t>
        </is>
      </c>
      <c r="F2236" s="5" t="n">
        <v>7261.99</v>
      </c>
      <c r="G2236">
        <f>IF(LEFT(B2236,1)="C","Credit","Factuur")</f>
        <v/>
      </c>
      <c r="H2236">
        <f>IF(AND(B2236=B2235,D2236=D2235,A2236=A2235,F2236=F2235),1,0)</f>
        <v/>
      </c>
      <c r="I2236">
        <f>IF(C2236="C99999",1,0)</f>
        <v/>
      </c>
      <c r="J2236" s="5">
        <f>IF(OR(H2236=1,I2236=1),0,IF(G2236="Credit",-F2236,F2236))</f>
        <v/>
      </c>
    </row>
    <row r="2237">
      <c r="A2237" t="inlineStr">
        <is>
          <t>2026-07-23</t>
        </is>
      </c>
      <c r="B2237" t="inlineStr">
        <is>
          <t>F261549</t>
        </is>
      </c>
      <c r="C2237" t="inlineStr">
        <is>
          <t>C10082</t>
        </is>
      </c>
      <c r="D2237" t="inlineStr">
        <is>
          <t>SKU-10209</t>
        </is>
      </c>
      <c r="E2237" t="inlineStr">
        <is>
          <t>AM09</t>
        </is>
      </c>
      <c r="F2237" s="5" t="n">
        <v>7218.18</v>
      </c>
      <c r="G2237">
        <f>IF(LEFT(B2237,1)="C","Credit","Factuur")</f>
        <v/>
      </c>
      <c r="H2237">
        <f>IF(AND(B2237=B2236,D2237=D2236,A2237=A2236,F2237=F2236),1,0)</f>
        <v/>
      </c>
      <c r="I2237">
        <f>IF(C2237="C99999",1,0)</f>
        <v/>
      </c>
      <c r="J2237" s="5">
        <f>IF(OR(H2237=1,I2237=1),0,IF(G2237="Credit",-F2237,F2237))</f>
        <v/>
      </c>
    </row>
    <row r="2238">
      <c r="A2238" t="inlineStr">
        <is>
          <t>2026-07-23</t>
        </is>
      </c>
      <c r="B2238" t="inlineStr">
        <is>
          <t>F261549</t>
        </is>
      </c>
      <c r="C2238" t="inlineStr">
        <is>
          <t>C10082</t>
        </is>
      </c>
      <c r="D2238" t="inlineStr">
        <is>
          <t>SKU-10292</t>
        </is>
      </c>
      <c r="E2238" t="inlineStr">
        <is>
          <t>AM09</t>
        </is>
      </c>
      <c r="F2238" s="5" t="n">
        <v>7230.79</v>
      </c>
      <c r="G2238">
        <f>IF(LEFT(B2238,1)="C","Credit","Factuur")</f>
        <v/>
      </c>
      <c r="H2238">
        <f>IF(AND(B2238=B2237,D2238=D2237,A2238=A2237,F2238=F2237),1,0)</f>
        <v/>
      </c>
      <c r="I2238">
        <f>IF(C2238="C99999",1,0)</f>
        <v/>
      </c>
      <c r="J2238" s="5">
        <f>IF(OR(H2238=1,I2238=1),0,IF(G2238="Credit",-F2238,F2238))</f>
        <v/>
      </c>
    </row>
    <row r="2239">
      <c r="A2239" t="inlineStr">
        <is>
          <t>2026-07-23</t>
        </is>
      </c>
      <c r="B2239" t="inlineStr">
        <is>
          <t>F261588</t>
        </is>
      </c>
      <c r="C2239" t="inlineStr">
        <is>
          <t>C10084</t>
        </is>
      </c>
      <c r="D2239" t="inlineStr">
        <is>
          <t>SKU-10014</t>
        </is>
      </c>
      <c r="E2239" t="inlineStr">
        <is>
          <t>AM02</t>
        </is>
      </c>
      <c r="F2239" s="5" t="n">
        <v>192.64</v>
      </c>
      <c r="G2239">
        <f>IF(LEFT(B2239,1)="C","Credit","Factuur")</f>
        <v/>
      </c>
      <c r="H2239">
        <f>IF(AND(B2239=B2238,D2239=D2238,A2239=A2238,F2239=F2238),1,0)</f>
        <v/>
      </c>
      <c r="I2239">
        <f>IF(C2239="C99999",1,0)</f>
        <v/>
      </c>
      <c r="J2239" s="5">
        <f>IF(OR(H2239=1,I2239=1),0,IF(G2239="Credit",-F2239,F2239))</f>
        <v/>
      </c>
    </row>
    <row r="2240">
      <c r="A2240" t="inlineStr">
        <is>
          <t>2026-07-23</t>
        </is>
      </c>
      <c r="B2240" t="inlineStr">
        <is>
          <t>F261588</t>
        </is>
      </c>
      <c r="C2240" t="inlineStr">
        <is>
          <t>C10084</t>
        </is>
      </c>
      <c r="D2240" t="inlineStr">
        <is>
          <t>SKU-10125</t>
        </is>
      </c>
      <c r="E2240" t="inlineStr">
        <is>
          <t>AM02</t>
        </is>
      </c>
      <c r="F2240" s="5" t="n">
        <v>182.19</v>
      </c>
      <c r="G2240">
        <f>IF(LEFT(B2240,1)="C","Credit","Factuur")</f>
        <v/>
      </c>
      <c r="H2240">
        <f>IF(AND(B2240=B2239,D2240=D2239,A2240=A2239,F2240=F2239),1,0)</f>
        <v/>
      </c>
      <c r="I2240">
        <f>IF(C2240="C99999",1,0)</f>
        <v/>
      </c>
      <c r="J2240" s="5">
        <f>IF(OR(H2240=1,I2240=1),0,IF(G2240="Credit",-F2240,F2240))</f>
        <v/>
      </c>
    </row>
    <row r="2241">
      <c r="A2241" t="inlineStr">
        <is>
          <t>2026-07-23</t>
        </is>
      </c>
      <c r="B2241" t="inlineStr">
        <is>
          <t>F261588</t>
        </is>
      </c>
      <c r="C2241" t="inlineStr">
        <is>
          <t>C10084</t>
        </is>
      </c>
      <c r="D2241" t="inlineStr">
        <is>
          <t>SKU-10287</t>
        </is>
      </c>
      <c r="E2241" t="inlineStr">
        <is>
          <t>AM02</t>
        </is>
      </c>
      <c r="F2241" s="5" t="n">
        <v>200.23</v>
      </c>
      <c r="G2241">
        <f>IF(LEFT(B2241,1)="C","Credit","Factuur")</f>
        <v/>
      </c>
      <c r="H2241">
        <f>IF(AND(B2241=B2240,D2241=D2240,A2241=A2240,F2241=F2240),1,0)</f>
        <v/>
      </c>
      <c r="I2241">
        <f>IF(C2241="C99999",1,0)</f>
        <v/>
      </c>
      <c r="J2241" s="5">
        <f>IF(OR(H2241=1,I2241=1),0,IF(G2241="Credit",-F2241,F2241))</f>
        <v/>
      </c>
    </row>
    <row r="2242">
      <c r="A2242" t="inlineStr">
        <is>
          <t>2026-07-23</t>
        </is>
      </c>
      <c r="B2242" t="inlineStr">
        <is>
          <t>F261588</t>
        </is>
      </c>
      <c r="C2242" t="inlineStr">
        <is>
          <t>C10084</t>
        </is>
      </c>
      <c r="D2242" t="inlineStr">
        <is>
          <t>SKU-10321</t>
        </is>
      </c>
      <c r="E2242" t="inlineStr"/>
      <c r="F2242" s="5" t="n">
        <v>185.48</v>
      </c>
      <c r="G2242">
        <f>IF(LEFT(B2242,1)="C","Credit","Factuur")</f>
        <v/>
      </c>
      <c r="H2242">
        <f>IF(AND(B2242=B2241,D2242=D2241,A2242=A2241,F2242=F2241),1,0)</f>
        <v/>
      </c>
      <c r="I2242">
        <f>IF(C2242="C99999",1,0)</f>
        <v/>
      </c>
      <c r="J2242" s="5">
        <f>IF(OR(H2242=1,I2242=1),0,IF(G2242="Credit",-F2242,F2242))</f>
        <v/>
      </c>
    </row>
    <row r="2243">
      <c r="A2243" t="inlineStr">
        <is>
          <t>2026-07-23</t>
        </is>
      </c>
      <c r="B2243" t="inlineStr">
        <is>
          <t>F262152</t>
        </is>
      </c>
      <c r="C2243" t="inlineStr">
        <is>
          <t>C10113</t>
        </is>
      </c>
      <c r="D2243" t="inlineStr">
        <is>
          <t>SKU-10143</t>
        </is>
      </c>
      <c r="E2243" t="inlineStr">
        <is>
          <t>AM12</t>
        </is>
      </c>
      <c r="F2243" s="5" t="n">
        <v>494.22</v>
      </c>
      <c r="G2243">
        <f>IF(LEFT(B2243,1)="C","Credit","Factuur")</f>
        <v/>
      </c>
      <c r="H2243">
        <f>IF(AND(B2243=B2242,D2243=D2242,A2243=A2242,F2243=F2242),1,0)</f>
        <v/>
      </c>
      <c r="I2243">
        <f>IF(C2243="C99999",1,0)</f>
        <v/>
      </c>
      <c r="J2243" s="5">
        <f>IF(OR(H2243=1,I2243=1),0,IF(G2243="Credit",-F2243,F2243))</f>
        <v/>
      </c>
    </row>
    <row r="2244">
      <c r="A2244" t="inlineStr">
        <is>
          <t>2026-07-23</t>
        </is>
      </c>
      <c r="B2244" t="inlineStr">
        <is>
          <t>F262152</t>
        </is>
      </c>
      <c r="C2244" t="inlineStr">
        <is>
          <t>C10113</t>
        </is>
      </c>
      <c r="D2244" t="inlineStr">
        <is>
          <t>SKU-10230</t>
        </is>
      </c>
      <c r="E2244" t="inlineStr">
        <is>
          <t>AM12</t>
        </is>
      </c>
      <c r="F2244" s="5" t="n">
        <v>540.51</v>
      </c>
      <c r="G2244">
        <f>IF(LEFT(B2244,1)="C","Credit","Factuur")</f>
        <v/>
      </c>
      <c r="H2244">
        <f>IF(AND(B2244=B2243,D2244=D2243,A2244=A2243,F2244=F2243),1,0)</f>
        <v/>
      </c>
      <c r="I2244">
        <f>IF(C2244="C99999",1,0)</f>
        <v/>
      </c>
      <c r="J2244" s="5">
        <f>IF(OR(H2244=1,I2244=1),0,IF(G2244="Credit",-F2244,F2244))</f>
        <v/>
      </c>
    </row>
    <row r="2245">
      <c r="A2245" t="inlineStr">
        <is>
          <t>2026-07-23</t>
        </is>
      </c>
      <c r="B2245" t="inlineStr">
        <is>
          <t>F262152</t>
        </is>
      </c>
      <c r="C2245" t="inlineStr">
        <is>
          <t>C10113</t>
        </is>
      </c>
      <c r="D2245" t="inlineStr">
        <is>
          <t>SKU-10232</t>
        </is>
      </c>
      <c r="E2245" t="inlineStr">
        <is>
          <t>AM12</t>
        </is>
      </c>
      <c r="F2245" s="5" t="n">
        <v>574.08</v>
      </c>
      <c r="G2245">
        <f>IF(LEFT(B2245,1)="C","Credit","Factuur")</f>
        <v/>
      </c>
      <c r="H2245">
        <f>IF(AND(B2245=B2244,D2245=D2244,A2245=A2244,F2245=F2244),1,0)</f>
        <v/>
      </c>
      <c r="I2245">
        <f>IF(C2245="C99999",1,0)</f>
        <v/>
      </c>
      <c r="J2245" s="5">
        <f>IF(OR(H2245=1,I2245=1),0,IF(G2245="Credit",-F2245,F2245))</f>
        <v/>
      </c>
    </row>
    <row r="2246">
      <c r="A2246" t="inlineStr">
        <is>
          <t>2026-07-23</t>
        </is>
      </c>
      <c r="B2246" t="inlineStr">
        <is>
          <t>F262152</t>
        </is>
      </c>
      <c r="C2246" t="inlineStr">
        <is>
          <t>C10113</t>
        </is>
      </c>
      <c r="D2246" t="inlineStr">
        <is>
          <t>SKU-10277</t>
        </is>
      </c>
      <c r="E2246" t="inlineStr">
        <is>
          <t>AM12</t>
        </is>
      </c>
      <c r="F2246" s="5" t="n">
        <v>540.36</v>
      </c>
      <c r="G2246">
        <f>IF(LEFT(B2246,1)="C","Credit","Factuur")</f>
        <v/>
      </c>
      <c r="H2246">
        <f>IF(AND(B2246=B2245,D2246=D2245,A2246=A2245,F2246=F2245),1,0)</f>
        <v/>
      </c>
      <c r="I2246">
        <f>IF(C2246="C99999",1,0)</f>
        <v/>
      </c>
      <c r="J2246" s="5">
        <f>IF(OR(H2246=1,I2246=1),0,IF(G2246="Credit",-F2246,F2246))</f>
        <v/>
      </c>
    </row>
    <row r="2247">
      <c r="A2247" t="inlineStr">
        <is>
          <t>2026-07-23</t>
        </is>
      </c>
      <c r="B2247" t="inlineStr">
        <is>
          <t>F262152</t>
        </is>
      </c>
      <c r="C2247" t="inlineStr">
        <is>
          <t>C10113</t>
        </is>
      </c>
      <c r="D2247" t="inlineStr">
        <is>
          <t>SKU-10369</t>
        </is>
      </c>
      <c r="E2247" t="inlineStr">
        <is>
          <t>AM12</t>
        </is>
      </c>
      <c r="F2247" s="5" t="n">
        <v>639.26</v>
      </c>
      <c r="G2247">
        <f>IF(LEFT(B2247,1)="C","Credit","Factuur")</f>
        <v/>
      </c>
      <c r="H2247">
        <f>IF(AND(B2247=B2246,D2247=D2246,A2247=A2246,F2247=F2246),1,0)</f>
        <v/>
      </c>
      <c r="I2247">
        <f>IF(C2247="C99999",1,0)</f>
        <v/>
      </c>
      <c r="J2247" s="5">
        <f>IF(OR(H2247=1,I2247=1),0,IF(G2247="Credit",-F2247,F2247))</f>
        <v/>
      </c>
    </row>
    <row r="2248">
      <c r="A2248" t="inlineStr">
        <is>
          <t>2026-07-23</t>
        </is>
      </c>
      <c r="B2248" t="inlineStr">
        <is>
          <t>F262467</t>
        </is>
      </c>
      <c r="C2248" t="inlineStr">
        <is>
          <t>C10131</t>
        </is>
      </c>
      <c r="D2248" t="inlineStr">
        <is>
          <t>SKU-10005</t>
        </is>
      </c>
      <c r="E2248" t="inlineStr">
        <is>
          <t>AM11</t>
        </is>
      </c>
      <c r="F2248" s="5" t="n">
        <v>171.23</v>
      </c>
      <c r="G2248">
        <f>IF(LEFT(B2248,1)="C","Credit","Factuur")</f>
        <v/>
      </c>
      <c r="H2248">
        <f>IF(AND(B2248=B2247,D2248=D2247,A2248=A2247,F2248=F2247),1,0)</f>
        <v/>
      </c>
      <c r="I2248">
        <f>IF(C2248="C99999",1,0)</f>
        <v/>
      </c>
      <c r="J2248" s="5">
        <f>IF(OR(H2248=1,I2248=1),0,IF(G2248="Credit",-F2248,F2248))</f>
        <v/>
      </c>
    </row>
    <row r="2249">
      <c r="A2249" t="inlineStr">
        <is>
          <t>2026-07-23</t>
        </is>
      </c>
      <c r="B2249" t="inlineStr">
        <is>
          <t>F262467</t>
        </is>
      </c>
      <c r="C2249" t="inlineStr">
        <is>
          <t>C10131</t>
        </is>
      </c>
      <c r="D2249" t="inlineStr">
        <is>
          <t>SKU-10022</t>
        </is>
      </c>
      <c r="E2249" t="inlineStr">
        <is>
          <t>AM11</t>
        </is>
      </c>
      <c r="F2249" s="5" t="n">
        <v>184.32</v>
      </c>
      <c r="G2249">
        <f>IF(LEFT(B2249,1)="C","Credit","Factuur")</f>
        <v/>
      </c>
      <c r="H2249">
        <f>IF(AND(B2249=B2248,D2249=D2248,A2249=A2248,F2249=F2248),1,0)</f>
        <v/>
      </c>
      <c r="I2249">
        <f>IF(C2249="C99999",1,0)</f>
        <v/>
      </c>
      <c r="J2249" s="5">
        <f>IF(OR(H2249=1,I2249=1),0,IF(G2249="Credit",-F2249,F2249))</f>
        <v/>
      </c>
    </row>
    <row r="2250">
      <c r="A2250" t="inlineStr">
        <is>
          <t>2026-07-23</t>
        </is>
      </c>
      <c r="B2250" t="inlineStr">
        <is>
          <t>F262467</t>
        </is>
      </c>
      <c r="C2250" t="inlineStr">
        <is>
          <t>C10131</t>
        </is>
      </c>
      <c r="D2250" t="inlineStr">
        <is>
          <t>SKU-10334</t>
        </is>
      </c>
      <c r="E2250" t="inlineStr">
        <is>
          <t>AM11</t>
        </is>
      </c>
      <c r="F2250" s="5" t="n">
        <v>217.24</v>
      </c>
      <c r="G2250">
        <f>IF(LEFT(B2250,1)="C","Credit","Factuur")</f>
        <v/>
      </c>
      <c r="H2250">
        <f>IF(AND(B2250=B2249,D2250=D2249,A2250=A2249,F2250=F2249),1,0)</f>
        <v/>
      </c>
      <c r="I2250">
        <f>IF(C2250="C99999",1,0)</f>
        <v/>
      </c>
      <c r="J2250" s="5">
        <f>IF(OR(H2250=1,I2250=1),0,IF(G2250="Credit",-F2250,F2250))</f>
        <v/>
      </c>
    </row>
    <row r="2251">
      <c r="A2251" t="inlineStr">
        <is>
          <t>2026-07-23</t>
        </is>
      </c>
      <c r="B2251" t="inlineStr">
        <is>
          <t>F264703</t>
        </is>
      </c>
      <c r="C2251" t="inlineStr">
        <is>
          <t>C10245</t>
        </is>
      </c>
      <c r="D2251" t="inlineStr">
        <is>
          <t>SKU-10012</t>
        </is>
      </c>
      <c r="E2251" t="inlineStr">
        <is>
          <t>IS01</t>
        </is>
      </c>
      <c r="F2251" s="5" t="n">
        <v>60.63</v>
      </c>
      <c r="G2251">
        <f>IF(LEFT(B2251,1)="C","Credit","Factuur")</f>
        <v/>
      </c>
      <c r="H2251">
        <f>IF(AND(B2251=B2250,D2251=D2250,A2251=A2250,F2251=F2250),1,0)</f>
        <v/>
      </c>
      <c r="I2251">
        <f>IF(C2251="C99999",1,0)</f>
        <v/>
      </c>
      <c r="J2251" s="5">
        <f>IF(OR(H2251=1,I2251=1),0,IF(G2251="Credit",-F2251,F2251))</f>
        <v/>
      </c>
    </row>
    <row r="2252">
      <c r="A2252" t="inlineStr">
        <is>
          <t>2026-07-23</t>
        </is>
      </c>
      <c r="B2252" t="inlineStr">
        <is>
          <t>F264703</t>
        </is>
      </c>
      <c r="C2252" t="inlineStr">
        <is>
          <t>C10245</t>
        </is>
      </c>
      <c r="D2252" t="inlineStr">
        <is>
          <t>SKU-10153</t>
        </is>
      </c>
      <c r="E2252" t="inlineStr">
        <is>
          <t>IS01</t>
        </is>
      </c>
      <c r="F2252" s="5" t="n">
        <v>67.44</v>
      </c>
      <c r="G2252">
        <f>IF(LEFT(B2252,1)="C","Credit","Factuur")</f>
        <v/>
      </c>
      <c r="H2252">
        <f>IF(AND(B2252=B2251,D2252=D2251,A2252=A2251,F2252=F2251),1,0)</f>
        <v/>
      </c>
      <c r="I2252">
        <f>IF(C2252="C99999",1,0)</f>
        <v/>
      </c>
      <c r="J2252" s="5">
        <f>IF(OR(H2252=1,I2252=1),0,IF(G2252="Credit",-F2252,F2252))</f>
        <v/>
      </c>
    </row>
    <row r="2253">
      <c r="A2253" t="inlineStr">
        <is>
          <t>2026-07-23</t>
        </is>
      </c>
      <c r="B2253" t="inlineStr">
        <is>
          <t>F265094</t>
        </is>
      </c>
      <c r="C2253" t="inlineStr">
        <is>
          <t>C10268</t>
        </is>
      </c>
      <c r="D2253" t="inlineStr">
        <is>
          <t>SKU-10104</t>
        </is>
      </c>
      <c r="E2253" t="inlineStr">
        <is>
          <t>AM06</t>
        </is>
      </c>
      <c r="F2253" s="5" t="n">
        <v>1640.52</v>
      </c>
      <c r="G2253">
        <f>IF(LEFT(B2253,1)="C","Credit","Factuur")</f>
        <v/>
      </c>
      <c r="H2253">
        <f>IF(AND(B2253=B2252,D2253=D2252,A2253=A2252,F2253=F2252),1,0)</f>
        <v/>
      </c>
      <c r="I2253">
        <f>IF(C2253="C99999",1,0)</f>
        <v/>
      </c>
      <c r="J2253" s="5">
        <f>IF(OR(H2253=1,I2253=1),0,IF(G2253="Credit",-F2253,F2253))</f>
        <v/>
      </c>
    </row>
    <row r="2254">
      <c r="A2254" t="inlineStr">
        <is>
          <t>2026-07-23</t>
        </is>
      </c>
      <c r="B2254" t="inlineStr">
        <is>
          <t>F265094</t>
        </is>
      </c>
      <c r="C2254" t="inlineStr">
        <is>
          <t>C10268</t>
        </is>
      </c>
      <c r="D2254" t="inlineStr">
        <is>
          <t>SKU-10226</t>
        </is>
      </c>
      <c r="E2254" t="inlineStr">
        <is>
          <t>AM06</t>
        </is>
      </c>
      <c r="F2254" s="5" t="n">
        <v>1651.72</v>
      </c>
      <c r="G2254">
        <f>IF(LEFT(B2254,1)="C","Credit","Factuur")</f>
        <v/>
      </c>
      <c r="H2254">
        <f>IF(AND(B2254=B2253,D2254=D2253,A2254=A2253,F2254=F2253),1,0)</f>
        <v/>
      </c>
      <c r="I2254">
        <f>IF(C2254="C99999",1,0)</f>
        <v/>
      </c>
      <c r="J2254" s="5">
        <f>IF(OR(H2254=1,I2254=1),0,IF(G2254="Credit",-F2254,F2254))</f>
        <v/>
      </c>
    </row>
    <row r="2255">
      <c r="A2255" t="inlineStr">
        <is>
          <t>2026-07-23</t>
        </is>
      </c>
      <c r="B2255" t="inlineStr">
        <is>
          <t>F265094</t>
        </is>
      </c>
      <c r="C2255" t="inlineStr">
        <is>
          <t>C10268</t>
        </is>
      </c>
      <c r="D2255" t="inlineStr">
        <is>
          <t>SKU-10294</t>
        </is>
      </c>
      <c r="E2255" t="inlineStr">
        <is>
          <t>AM06</t>
        </is>
      </c>
      <c r="F2255" s="5" t="n">
        <v>1659.15</v>
      </c>
      <c r="G2255">
        <f>IF(LEFT(B2255,1)="C","Credit","Factuur")</f>
        <v/>
      </c>
      <c r="H2255">
        <f>IF(AND(B2255=B2254,D2255=D2254,A2255=A2254,F2255=F2254),1,0)</f>
        <v/>
      </c>
      <c r="I2255">
        <f>IF(C2255="C99999",1,0)</f>
        <v/>
      </c>
      <c r="J2255" s="5">
        <f>IF(OR(H2255=1,I2255=1),0,IF(G2255="Credit",-F2255,F2255))</f>
        <v/>
      </c>
    </row>
    <row r="2256">
      <c r="A2256" t="inlineStr">
        <is>
          <t>2026-07-23</t>
        </is>
      </c>
      <c r="B2256" t="inlineStr">
        <is>
          <t>F265094</t>
        </is>
      </c>
      <c r="C2256" t="inlineStr">
        <is>
          <t>C10268</t>
        </is>
      </c>
      <c r="D2256" t="inlineStr">
        <is>
          <t>SKU-10384</t>
        </is>
      </c>
      <c r="E2256" t="inlineStr">
        <is>
          <t>AM06</t>
        </is>
      </c>
      <c r="F2256" s="5" t="n">
        <v>1526.43</v>
      </c>
      <c r="G2256">
        <f>IF(LEFT(B2256,1)="C","Credit","Factuur")</f>
        <v/>
      </c>
      <c r="H2256">
        <f>IF(AND(B2256=B2255,D2256=D2255,A2256=A2255,F2256=F2255),1,0)</f>
        <v/>
      </c>
      <c r="I2256">
        <f>IF(C2256="C99999",1,0)</f>
        <v/>
      </c>
      <c r="J2256" s="5">
        <f>IF(OR(H2256=1,I2256=1),0,IF(G2256="Credit",-F2256,F2256))</f>
        <v/>
      </c>
    </row>
    <row r="2257">
      <c r="A2257" t="inlineStr">
        <is>
          <t>2026-07-23</t>
        </is>
      </c>
      <c r="B2257" t="inlineStr">
        <is>
          <t>F265304</t>
        </is>
      </c>
      <c r="C2257" t="inlineStr">
        <is>
          <t>C10280</t>
        </is>
      </c>
      <c r="D2257" t="inlineStr">
        <is>
          <t>SKU-10070</t>
        </is>
      </c>
      <c r="E2257" t="inlineStr">
        <is>
          <t>AM09</t>
        </is>
      </c>
      <c r="F2257" s="5" t="n">
        <v>5535.39</v>
      </c>
      <c r="G2257">
        <f>IF(LEFT(B2257,1)="C","Credit","Factuur")</f>
        <v/>
      </c>
      <c r="H2257">
        <f>IF(AND(B2257=B2256,D2257=D2256,A2257=A2256,F2257=F2256),1,0)</f>
        <v/>
      </c>
      <c r="I2257">
        <f>IF(C2257="C99999",1,0)</f>
        <v/>
      </c>
      <c r="J2257" s="5">
        <f>IF(OR(H2257=1,I2257=1),0,IF(G2257="Credit",-F2257,F2257))</f>
        <v/>
      </c>
    </row>
    <row r="2258">
      <c r="A2258" t="inlineStr">
        <is>
          <t>2026-07-23</t>
        </is>
      </c>
      <c r="B2258" t="inlineStr">
        <is>
          <t>F265304</t>
        </is>
      </c>
      <c r="C2258" t="inlineStr">
        <is>
          <t>C10280</t>
        </is>
      </c>
      <c r="D2258" t="inlineStr">
        <is>
          <t>SKU-10330</t>
        </is>
      </c>
      <c r="E2258" t="inlineStr">
        <is>
          <t>AM09</t>
        </is>
      </c>
      <c r="F2258" s="5" t="n">
        <v>4713.11</v>
      </c>
      <c r="G2258">
        <f>IF(LEFT(B2258,1)="C","Credit","Factuur")</f>
        <v/>
      </c>
      <c r="H2258">
        <f>IF(AND(B2258=B2257,D2258=D2257,A2258=A2257,F2258=F2257),1,0)</f>
        <v/>
      </c>
      <c r="I2258">
        <f>IF(C2258="C99999",1,0)</f>
        <v/>
      </c>
      <c r="J2258" s="5">
        <f>IF(OR(H2258=1,I2258=1),0,IF(G2258="Credit",-F2258,F2258))</f>
        <v/>
      </c>
    </row>
    <row r="2259">
      <c r="A2259" t="inlineStr">
        <is>
          <t>2026-07-23</t>
        </is>
      </c>
      <c r="B2259" t="inlineStr">
        <is>
          <t>F265328</t>
        </is>
      </c>
      <c r="C2259" t="inlineStr">
        <is>
          <t>C10281</t>
        </is>
      </c>
      <c r="D2259" t="inlineStr">
        <is>
          <t>SKU-10111</t>
        </is>
      </c>
      <c r="E2259" t="inlineStr">
        <is>
          <t>AM06</t>
        </is>
      </c>
      <c r="F2259" s="5" t="n">
        <v>112.58</v>
      </c>
      <c r="G2259">
        <f>IF(LEFT(B2259,1)="C","Credit","Factuur")</f>
        <v/>
      </c>
      <c r="H2259">
        <f>IF(AND(B2259=B2258,D2259=D2258,A2259=A2258,F2259=F2258),1,0)</f>
        <v/>
      </c>
      <c r="I2259">
        <f>IF(C2259="C99999",1,0)</f>
        <v/>
      </c>
      <c r="J2259" s="5">
        <f>IF(OR(H2259=1,I2259=1),0,IF(G2259="Credit",-F2259,F2259))</f>
        <v/>
      </c>
    </row>
    <row r="2260">
      <c r="A2260" t="inlineStr">
        <is>
          <t>2026-07-23</t>
        </is>
      </c>
      <c r="B2260" t="inlineStr">
        <is>
          <t>F265328</t>
        </is>
      </c>
      <c r="C2260" t="inlineStr">
        <is>
          <t>C10281</t>
        </is>
      </c>
      <c r="D2260" t="inlineStr">
        <is>
          <t>SKU-10252</t>
        </is>
      </c>
      <c r="E2260" t="inlineStr">
        <is>
          <t>AM06</t>
        </is>
      </c>
      <c r="F2260" s="5" t="n">
        <v>159</v>
      </c>
      <c r="G2260">
        <f>IF(LEFT(B2260,1)="C","Credit","Factuur")</f>
        <v/>
      </c>
      <c r="H2260">
        <f>IF(AND(B2260=B2259,D2260=D2259,A2260=A2259,F2260=F2259),1,0)</f>
        <v/>
      </c>
      <c r="I2260">
        <f>IF(C2260="C99999",1,0)</f>
        <v/>
      </c>
      <c r="J2260" s="5">
        <f>IF(OR(H2260=1,I2260=1),0,IF(G2260="Credit",-F2260,F2260))</f>
        <v/>
      </c>
    </row>
    <row r="2261">
      <c r="A2261" t="inlineStr">
        <is>
          <t>2026-07-23</t>
        </is>
      </c>
      <c r="B2261" t="inlineStr">
        <is>
          <t>F265328</t>
        </is>
      </c>
      <c r="C2261" t="inlineStr">
        <is>
          <t>C10281</t>
        </is>
      </c>
      <c r="D2261" t="inlineStr">
        <is>
          <t>SKU-10279</t>
        </is>
      </c>
      <c r="E2261" t="inlineStr">
        <is>
          <t>AM06</t>
        </is>
      </c>
      <c r="F2261" s="5" t="n">
        <v>149.22</v>
      </c>
      <c r="G2261">
        <f>IF(LEFT(B2261,1)="C","Credit","Factuur")</f>
        <v/>
      </c>
      <c r="H2261">
        <f>IF(AND(B2261=B2260,D2261=D2260,A2261=A2260,F2261=F2260),1,0)</f>
        <v/>
      </c>
      <c r="I2261">
        <f>IF(C2261="C99999",1,0)</f>
        <v/>
      </c>
      <c r="J2261" s="5">
        <f>IF(OR(H2261=1,I2261=1),0,IF(G2261="Credit",-F2261,F2261))</f>
        <v/>
      </c>
    </row>
    <row r="2262">
      <c r="A2262" t="inlineStr">
        <is>
          <t>2026-07-23</t>
        </is>
      </c>
      <c r="B2262" t="inlineStr">
        <is>
          <t>F265328</t>
        </is>
      </c>
      <c r="C2262" t="inlineStr">
        <is>
          <t>C10281</t>
        </is>
      </c>
      <c r="D2262" t="inlineStr">
        <is>
          <t>SKU-10322</t>
        </is>
      </c>
      <c r="E2262" t="inlineStr">
        <is>
          <t>AM06</t>
        </is>
      </c>
      <c r="F2262" s="5" t="n">
        <v>162.66</v>
      </c>
      <c r="G2262">
        <f>IF(LEFT(B2262,1)="C","Credit","Factuur")</f>
        <v/>
      </c>
      <c r="H2262">
        <f>IF(AND(B2262=B2261,D2262=D2261,A2262=A2261,F2262=F2261),1,0)</f>
        <v/>
      </c>
      <c r="I2262">
        <f>IF(C2262="C99999",1,0)</f>
        <v/>
      </c>
      <c r="J2262" s="5">
        <f>IF(OR(H2262=1,I2262=1),0,IF(G2262="Credit",-F2262,F2262))</f>
        <v/>
      </c>
    </row>
    <row r="2263">
      <c r="A2263" t="inlineStr">
        <is>
          <t>2026-07-23</t>
        </is>
      </c>
      <c r="B2263" t="inlineStr">
        <is>
          <t>F265328</t>
        </is>
      </c>
      <c r="C2263" t="inlineStr">
        <is>
          <t>C10281</t>
        </is>
      </c>
      <c r="D2263" t="inlineStr">
        <is>
          <t>SKU-10345</t>
        </is>
      </c>
      <c r="E2263" t="inlineStr">
        <is>
          <t>AM06</t>
        </is>
      </c>
      <c r="F2263" s="5" t="n">
        <v>144.44</v>
      </c>
      <c r="G2263">
        <f>IF(LEFT(B2263,1)="C","Credit","Factuur")</f>
        <v/>
      </c>
      <c r="H2263">
        <f>IF(AND(B2263=B2262,D2263=D2262,A2263=A2262,F2263=F2262),1,0)</f>
        <v/>
      </c>
      <c r="I2263">
        <f>IF(C2263="C99999",1,0)</f>
        <v/>
      </c>
      <c r="J2263" s="5">
        <f>IF(OR(H2263=1,I2263=1),0,IF(G2263="Credit",-F2263,F2263))</f>
        <v/>
      </c>
    </row>
    <row r="2264">
      <c r="A2264" t="inlineStr">
        <is>
          <t>2026-07-23</t>
        </is>
      </c>
      <c r="B2264" t="inlineStr">
        <is>
          <t>F265739</t>
        </is>
      </c>
      <c r="C2264" t="inlineStr">
        <is>
          <t>C10299</t>
        </is>
      </c>
      <c r="D2264" t="inlineStr">
        <is>
          <t>SKU-10341</t>
        </is>
      </c>
      <c r="E2264" t="inlineStr">
        <is>
          <t>AM07</t>
        </is>
      </c>
      <c r="F2264" s="5" t="n">
        <v>1032.16</v>
      </c>
      <c r="G2264">
        <f>IF(LEFT(B2264,1)="C","Credit","Factuur")</f>
        <v/>
      </c>
      <c r="H2264">
        <f>IF(AND(B2264=B2263,D2264=D2263,A2264=A2263,F2264=F2263),1,0)</f>
        <v/>
      </c>
      <c r="I2264">
        <f>IF(C2264="C99999",1,0)</f>
        <v/>
      </c>
      <c r="J2264" s="5">
        <f>IF(OR(H2264=1,I2264=1),0,IF(G2264="Credit",-F2264,F2264))</f>
        <v/>
      </c>
    </row>
    <row r="2265">
      <c r="A2265" t="inlineStr">
        <is>
          <t>2026-07-23</t>
        </is>
      </c>
      <c r="B2265" t="inlineStr">
        <is>
          <t>F265912</t>
        </is>
      </c>
      <c r="C2265" t="inlineStr">
        <is>
          <t>C10311</t>
        </is>
      </c>
      <c r="D2265" t="inlineStr">
        <is>
          <t>SKU-10264</t>
        </is>
      </c>
      <c r="E2265" t="inlineStr">
        <is>
          <t>AM02</t>
        </is>
      </c>
      <c r="F2265" s="5" t="n">
        <v>2409.31</v>
      </c>
      <c r="G2265">
        <f>IF(LEFT(B2265,1)="C","Credit","Factuur")</f>
        <v/>
      </c>
      <c r="H2265">
        <f>IF(AND(B2265=B2264,D2265=D2264,A2265=A2264,F2265=F2264),1,0)</f>
        <v/>
      </c>
      <c r="I2265">
        <f>IF(C2265="C99999",1,0)</f>
        <v/>
      </c>
      <c r="J2265" s="5">
        <f>IF(OR(H2265=1,I2265=1),0,IF(G2265="Credit",-F2265,F2265))</f>
        <v/>
      </c>
    </row>
    <row r="2266">
      <c r="A2266" t="inlineStr">
        <is>
          <t>2026-07-23</t>
        </is>
      </c>
      <c r="B2266" t="inlineStr">
        <is>
          <t>F266366</t>
        </is>
      </c>
      <c r="C2266" t="inlineStr">
        <is>
          <t>C10335</t>
        </is>
      </c>
      <c r="D2266" t="inlineStr">
        <is>
          <t>SKU-10344</t>
        </is>
      </c>
      <c r="E2266" t="inlineStr">
        <is>
          <t>AM02</t>
        </is>
      </c>
      <c r="F2266" s="5" t="n">
        <v>1848</v>
      </c>
      <c r="G2266">
        <f>IF(LEFT(B2266,1)="C","Credit","Factuur")</f>
        <v/>
      </c>
      <c r="H2266">
        <f>IF(AND(B2266=B2265,D2266=D2265,A2266=A2265,F2266=F2265),1,0)</f>
        <v/>
      </c>
      <c r="I2266">
        <f>IF(C2266="C99999",1,0)</f>
        <v/>
      </c>
      <c r="J2266" s="5">
        <f>IF(OR(H2266=1,I2266=1),0,IF(G2266="Credit",-F2266,F2266))</f>
        <v/>
      </c>
    </row>
    <row r="2267">
      <c r="A2267" t="inlineStr">
        <is>
          <t>2026-07-23</t>
        </is>
      </c>
      <c r="B2267" t="inlineStr">
        <is>
          <t>F269804</t>
        </is>
      </c>
      <c r="C2267" t="inlineStr">
        <is>
          <t>C10517</t>
        </is>
      </c>
      <c r="D2267" t="inlineStr">
        <is>
          <t>SKU-10054</t>
        </is>
      </c>
      <c r="E2267" t="inlineStr">
        <is>
          <t>AM06</t>
        </is>
      </c>
      <c r="F2267" s="5" t="n">
        <v>1418.93</v>
      </c>
      <c r="G2267">
        <f>IF(LEFT(B2267,1)="C","Credit","Factuur")</f>
        <v/>
      </c>
      <c r="H2267">
        <f>IF(AND(B2267=B2266,D2267=D2266,A2267=A2266,F2267=F2266),1,0)</f>
        <v/>
      </c>
      <c r="I2267">
        <f>IF(C2267="C99999",1,0)</f>
        <v/>
      </c>
      <c r="J2267" s="5">
        <f>IF(OR(H2267=1,I2267=1),0,IF(G2267="Credit",-F2267,F2267))</f>
        <v/>
      </c>
    </row>
    <row r="2268">
      <c r="A2268" t="inlineStr">
        <is>
          <t>2026-07-23</t>
        </is>
      </c>
      <c r="B2268" t="inlineStr">
        <is>
          <t>F270998</t>
        </is>
      </c>
      <c r="C2268" t="inlineStr">
        <is>
          <t>C10574</t>
        </is>
      </c>
      <c r="D2268" t="inlineStr">
        <is>
          <t>SKU-10314</t>
        </is>
      </c>
      <c r="E2268" t="inlineStr">
        <is>
          <t>AM02</t>
        </is>
      </c>
      <c r="F2268" s="5" t="n">
        <v>78.2</v>
      </c>
      <c r="G2268">
        <f>IF(LEFT(B2268,1)="C","Credit","Factuur")</f>
        <v/>
      </c>
      <c r="H2268">
        <f>IF(AND(B2268=B2267,D2268=D2267,A2268=A2267,F2268=F2267),1,0)</f>
        <v/>
      </c>
      <c r="I2268">
        <f>IF(C2268="C99999",1,0)</f>
        <v/>
      </c>
      <c r="J2268" s="5">
        <f>IF(OR(H2268=1,I2268=1),0,IF(G2268="Credit",-F2268,F2268))</f>
        <v/>
      </c>
    </row>
    <row r="2269">
      <c r="A2269" t="inlineStr">
        <is>
          <t>2026-07-23</t>
        </is>
      </c>
      <c r="B2269" t="inlineStr">
        <is>
          <t>F271334</t>
        </is>
      </c>
      <c r="C2269" t="inlineStr">
        <is>
          <t>C10589</t>
        </is>
      </c>
      <c r="D2269" t="inlineStr">
        <is>
          <t>SKU-10121</t>
        </is>
      </c>
      <c r="E2269" t="inlineStr">
        <is>
          <t>AM08</t>
        </is>
      </c>
      <c r="F2269" s="5" t="n">
        <v>324.65</v>
      </c>
      <c r="G2269">
        <f>IF(LEFT(B2269,1)="C","Credit","Factuur")</f>
        <v/>
      </c>
      <c r="H2269">
        <f>IF(AND(B2269=B2268,D2269=D2268,A2269=A2268,F2269=F2268),1,0)</f>
        <v/>
      </c>
      <c r="I2269">
        <f>IF(C2269="C99999",1,0)</f>
        <v/>
      </c>
      <c r="J2269" s="5">
        <f>IF(OR(H2269=1,I2269=1),0,IF(G2269="Credit",-F2269,F2269))</f>
        <v/>
      </c>
    </row>
    <row r="2270">
      <c r="A2270" t="inlineStr">
        <is>
          <t>2026-07-23</t>
        </is>
      </c>
      <c r="B2270" t="inlineStr">
        <is>
          <t>F271334</t>
        </is>
      </c>
      <c r="C2270" t="inlineStr">
        <is>
          <t>C10589</t>
        </is>
      </c>
      <c r="D2270" t="inlineStr">
        <is>
          <t>SKU-10268</t>
        </is>
      </c>
      <c r="E2270" t="inlineStr">
        <is>
          <t>AM08</t>
        </is>
      </c>
      <c r="F2270" s="5" t="n">
        <v>349.52</v>
      </c>
      <c r="G2270">
        <f>IF(LEFT(B2270,1)="C","Credit","Factuur")</f>
        <v/>
      </c>
      <c r="H2270">
        <f>IF(AND(B2270=B2269,D2270=D2269,A2270=A2269,F2270=F2269),1,0)</f>
        <v/>
      </c>
      <c r="I2270">
        <f>IF(C2270="C99999",1,0)</f>
        <v/>
      </c>
      <c r="J2270" s="5">
        <f>IF(OR(H2270=1,I2270=1),0,IF(G2270="Credit",-F2270,F2270))</f>
        <v/>
      </c>
    </row>
    <row r="2271">
      <c r="A2271" t="inlineStr">
        <is>
          <t>2026-07-23</t>
        </is>
      </c>
      <c r="B2271" t="inlineStr">
        <is>
          <t>F271334</t>
        </is>
      </c>
      <c r="C2271" t="inlineStr">
        <is>
          <t>C10589</t>
        </is>
      </c>
      <c r="D2271" t="inlineStr">
        <is>
          <t>SKU-10323</t>
        </is>
      </c>
      <c r="E2271" t="inlineStr">
        <is>
          <t>AM08</t>
        </is>
      </c>
      <c r="F2271" s="5" t="n">
        <v>353</v>
      </c>
      <c r="G2271">
        <f>IF(LEFT(B2271,1)="C","Credit","Factuur")</f>
        <v/>
      </c>
      <c r="H2271">
        <f>IF(AND(B2271=B2270,D2271=D2270,A2271=A2270,F2271=F2270),1,0)</f>
        <v/>
      </c>
      <c r="I2271">
        <f>IF(C2271="C99999",1,0)</f>
        <v/>
      </c>
      <c r="J2271" s="5">
        <f>IF(OR(H2271=1,I2271=1),0,IF(G2271="Credit",-F2271,F2271))</f>
        <v/>
      </c>
    </row>
    <row r="2272">
      <c r="A2272" t="inlineStr">
        <is>
          <t>2026-07-23</t>
        </is>
      </c>
      <c r="B2272" t="inlineStr">
        <is>
          <t>F271334</t>
        </is>
      </c>
      <c r="C2272" t="inlineStr">
        <is>
          <t>C10589</t>
        </is>
      </c>
      <c r="D2272" t="inlineStr">
        <is>
          <t>SKU-10351</t>
        </is>
      </c>
      <c r="E2272" t="inlineStr">
        <is>
          <t>AM08</t>
        </is>
      </c>
      <c r="F2272" s="5" t="n">
        <v>636.89</v>
      </c>
      <c r="G2272">
        <f>IF(LEFT(B2272,1)="C","Credit","Factuur")</f>
        <v/>
      </c>
      <c r="H2272">
        <f>IF(AND(B2272=B2271,D2272=D2271,A2272=A2271,F2272=F2271),1,0)</f>
        <v/>
      </c>
      <c r="I2272">
        <f>IF(C2272="C99999",1,0)</f>
        <v/>
      </c>
      <c r="J2272" s="5">
        <f>IF(OR(H2272=1,I2272=1),0,IF(G2272="Credit",-F2272,F2272))</f>
        <v/>
      </c>
    </row>
    <row r="2273">
      <c r="A2273" t="inlineStr">
        <is>
          <t>2026-07-23</t>
        </is>
      </c>
      <c r="B2273" t="inlineStr">
        <is>
          <t>F271915</t>
        </is>
      </c>
      <c r="C2273" t="inlineStr">
        <is>
          <t>C10614</t>
        </is>
      </c>
      <c r="D2273" t="inlineStr">
        <is>
          <t>SKU-10019</t>
        </is>
      </c>
      <c r="E2273" t="inlineStr">
        <is>
          <t>AM01</t>
        </is>
      </c>
      <c r="F2273" s="5" t="n">
        <v>440.1</v>
      </c>
      <c r="G2273">
        <f>IF(LEFT(B2273,1)="C","Credit","Factuur")</f>
        <v/>
      </c>
      <c r="H2273">
        <f>IF(AND(B2273=B2272,D2273=D2272,A2273=A2272,F2273=F2272),1,0)</f>
        <v/>
      </c>
      <c r="I2273">
        <f>IF(C2273="C99999",1,0)</f>
        <v/>
      </c>
      <c r="J2273" s="5">
        <f>IF(OR(H2273=1,I2273=1),0,IF(G2273="Credit",-F2273,F2273))</f>
        <v/>
      </c>
    </row>
    <row r="2274">
      <c r="A2274" t="inlineStr">
        <is>
          <t>2026-07-23</t>
        </is>
      </c>
      <c r="B2274" t="inlineStr">
        <is>
          <t>F271915</t>
        </is>
      </c>
      <c r="C2274" t="inlineStr">
        <is>
          <t>C10614</t>
        </is>
      </c>
      <c r="D2274" t="inlineStr">
        <is>
          <t>SKU-10038</t>
        </is>
      </c>
      <c r="E2274" t="inlineStr">
        <is>
          <t>AM01</t>
        </is>
      </c>
      <c r="F2274" s="5" t="n">
        <v>419.04</v>
      </c>
      <c r="G2274">
        <f>IF(LEFT(B2274,1)="C","Credit","Factuur")</f>
        <v/>
      </c>
      <c r="H2274">
        <f>IF(AND(B2274=B2273,D2274=D2273,A2274=A2273,F2274=F2273),1,0)</f>
        <v/>
      </c>
      <c r="I2274">
        <f>IF(C2274="C99999",1,0)</f>
        <v/>
      </c>
      <c r="J2274" s="5">
        <f>IF(OR(H2274=1,I2274=1),0,IF(G2274="Credit",-F2274,F2274))</f>
        <v/>
      </c>
    </row>
    <row r="2275">
      <c r="A2275" t="inlineStr">
        <is>
          <t>2026-07-23</t>
        </is>
      </c>
      <c r="B2275" t="inlineStr">
        <is>
          <t>F271915</t>
        </is>
      </c>
      <c r="C2275" t="inlineStr">
        <is>
          <t>C10614</t>
        </is>
      </c>
      <c r="D2275" t="inlineStr">
        <is>
          <t>SKU-10051</t>
        </is>
      </c>
      <c r="E2275" t="inlineStr">
        <is>
          <t>AM01</t>
        </is>
      </c>
      <c r="F2275" s="5" t="n">
        <v>410.24</v>
      </c>
      <c r="G2275">
        <f>IF(LEFT(B2275,1)="C","Credit","Factuur")</f>
        <v/>
      </c>
      <c r="H2275">
        <f>IF(AND(B2275=B2274,D2275=D2274,A2275=A2274,F2275=F2274),1,0)</f>
        <v/>
      </c>
      <c r="I2275">
        <f>IF(C2275="C99999",1,0)</f>
        <v/>
      </c>
      <c r="J2275" s="5">
        <f>IF(OR(H2275=1,I2275=1),0,IF(G2275="Credit",-F2275,F2275))</f>
        <v/>
      </c>
    </row>
    <row r="2276">
      <c r="A2276" t="inlineStr">
        <is>
          <t>2026-07-23</t>
        </is>
      </c>
      <c r="B2276" t="inlineStr">
        <is>
          <t>F271915</t>
        </is>
      </c>
      <c r="C2276" t="inlineStr">
        <is>
          <t>C10614</t>
        </is>
      </c>
      <c r="D2276" t="inlineStr">
        <is>
          <t>SKU-10276</t>
        </is>
      </c>
      <c r="E2276" t="inlineStr">
        <is>
          <t>AM01</t>
        </is>
      </c>
      <c r="F2276" s="5" t="n">
        <v>401.13</v>
      </c>
      <c r="G2276">
        <f>IF(LEFT(B2276,1)="C","Credit","Factuur")</f>
        <v/>
      </c>
      <c r="H2276">
        <f>IF(AND(B2276=B2275,D2276=D2275,A2276=A2275,F2276=F2275),1,0)</f>
        <v/>
      </c>
      <c r="I2276">
        <f>IF(C2276="C99999",1,0)</f>
        <v/>
      </c>
      <c r="J2276" s="5">
        <f>IF(OR(H2276=1,I2276=1),0,IF(G2276="Credit",-F2276,F2276))</f>
        <v/>
      </c>
    </row>
    <row r="2277">
      <c r="A2277" t="inlineStr">
        <is>
          <t>2026-07-23</t>
        </is>
      </c>
      <c r="B2277" t="inlineStr">
        <is>
          <t>F271915</t>
        </is>
      </c>
      <c r="C2277" t="inlineStr">
        <is>
          <t>C10614</t>
        </is>
      </c>
      <c r="D2277" t="inlineStr">
        <is>
          <t>SKU-10290</t>
        </is>
      </c>
      <c r="E2277" t="inlineStr">
        <is>
          <t>AM01</t>
        </is>
      </c>
      <c r="F2277" s="5" t="n">
        <v>415.2</v>
      </c>
      <c r="G2277">
        <f>IF(LEFT(B2277,1)="C","Credit","Factuur")</f>
        <v/>
      </c>
      <c r="H2277">
        <f>IF(AND(B2277=B2276,D2277=D2276,A2277=A2276,F2277=F2276),1,0)</f>
        <v/>
      </c>
      <c r="I2277">
        <f>IF(C2277="C99999",1,0)</f>
        <v/>
      </c>
      <c r="J2277" s="5">
        <f>IF(OR(H2277=1,I2277=1),0,IF(G2277="Credit",-F2277,F2277))</f>
        <v/>
      </c>
    </row>
    <row r="2278">
      <c r="A2278" t="inlineStr">
        <is>
          <t>2026-07-23</t>
        </is>
      </c>
      <c r="B2278" t="inlineStr">
        <is>
          <t>F274338</t>
        </is>
      </c>
      <c r="C2278" t="inlineStr">
        <is>
          <t>C10757</t>
        </is>
      </c>
      <c r="D2278" t="inlineStr">
        <is>
          <t>SKU-10287</t>
        </is>
      </c>
      <c r="E2278" t="inlineStr">
        <is>
          <t>AM06</t>
        </is>
      </c>
      <c r="F2278" s="5" t="n">
        <v>503.44</v>
      </c>
      <c r="G2278">
        <f>IF(LEFT(B2278,1)="C","Credit","Factuur")</f>
        <v/>
      </c>
      <c r="H2278">
        <f>IF(AND(B2278=B2277,D2278=D2277,A2278=A2277,F2278=F2277),1,0)</f>
        <v/>
      </c>
      <c r="I2278">
        <f>IF(C2278="C99999",1,0)</f>
        <v/>
      </c>
      <c r="J2278" s="5">
        <f>IF(OR(H2278=1,I2278=1),0,IF(G2278="Credit",-F2278,F2278))</f>
        <v/>
      </c>
    </row>
    <row r="2279">
      <c r="A2279" t="inlineStr">
        <is>
          <t>2026-07-23</t>
        </is>
      </c>
      <c r="B2279" t="inlineStr">
        <is>
          <t>F276410</t>
        </is>
      </c>
      <c r="C2279" t="inlineStr">
        <is>
          <t>C10869</t>
        </is>
      </c>
      <c r="D2279" t="inlineStr">
        <is>
          <t>SKU-10272</t>
        </is>
      </c>
      <c r="E2279" t="inlineStr">
        <is>
          <t>AM05</t>
        </is>
      </c>
      <c r="F2279" s="5" t="n">
        <v>490.23</v>
      </c>
      <c r="G2279">
        <f>IF(LEFT(B2279,1)="C","Credit","Factuur")</f>
        <v/>
      </c>
      <c r="H2279">
        <f>IF(AND(B2279=B2278,D2279=D2278,A2279=A2278,F2279=F2278),1,0)</f>
        <v/>
      </c>
      <c r="I2279">
        <f>IF(C2279="C99999",1,0)</f>
        <v/>
      </c>
      <c r="J2279" s="5">
        <f>IF(OR(H2279=1,I2279=1),0,IF(G2279="Credit",-F2279,F2279))</f>
        <v/>
      </c>
    </row>
    <row r="2280">
      <c r="A2280" t="inlineStr">
        <is>
          <t>2026-07-23</t>
        </is>
      </c>
      <c r="B2280" t="inlineStr">
        <is>
          <t>F276479</t>
        </is>
      </c>
      <c r="C2280" t="inlineStr">
        <is>
          <t>C10872</t>
        </is>
      </c>
      <c r="D2280" t="inlineStr">
        <is>
          <t>SKU-10231</t>
        </is>
      </c>
      <c r="E2280" t="inlineStr">
        <is>
          <t>AM08</t>
        </is>
      </c>
      <c r="F2280" s="5" t="n">
        <v>365.03</v>
      </c>
      <c r="G2280">
        <f>IF(LEFT(B2280,1)="C","Credit","Factuur")</f>
        <v/>
      </c>
      <c r="H2280">
        <f>IF(AND(B2280=B2279,D2280=D2279,A2280=A2279,F2280=F2279),1,0)</f>
        <v/>
      </c>
      <c r="I2280">
        <f>IF(C2280="C99999",1,0)</f>
        <v/>
      </c>
      <c r="J2280" s="5">
        <f>IF(OR(H2280=1,I2280=1),0,IF(G2280="Credit",-F2280,F2280))</f>
        <v/>
      </c>
    </row>
    <row r="2281">
      <c r="A2281" t="inlineStr">
        <is>
          <t>2026-07-23</t>
        </is>
      </c>
      <c r="B2281" t="inlineStr">
        <is>
          <t>F276479</t>
        </is>
      </c>
      <c r="C2281" t="inlineStr">
        <is>
          <t>C10872</t>
        </is>
      </c>
      <c r="D2281" t="inlineStr">
        <is>
          <t>SKU-10281</t>
        </is>
      </c>
      <c r="E2281" t="inlineStr">
        <is>
          <t>AM08</t>
        </is>
      </c>
      <c r="F2281" s="5" t="n">
        <v>405.78</v>
      </c>
      <c r="G2281">
        <f>IF(LEFT(B2281,1)="C","Credit","Factuur")</f>
        <v/>
      </c>
      <c r="H2281">
        <f>IF(AND(B2281=B2280,D2281=D2280,A2281=A2280,F2281=F2280),1,0)</f>
        <v/>
      </c>
      <c r="I2281">
        <f>IF(C2281="C99999",1,0)</f>
        <v/>
      </c>
      <c r="J2281" s="5">
        <f>IF(OR(H2281=1,I2281=1),0,IF(G2281="Credit",-F2281,F2281))</f>
        <v/>
      </c>
    </row>
    <row r="2282">
      <c r="A2282" t="inlineStr">
        <is>
          <t>2026-07-23</t>
        </is>
      </c>
      <c r="B2282" t="inlineStr">
        <is>
          <t>F276627</t>
        </is>
      </c>
      <c r="C2282" t="inlineStr">
        <is>
          <t>C10882</t>
        </is>
      </c>
      <c r="D2282" t="inlineStr">
        <is>
          <t>SKU-10220</t>
        </is>
      </c>
      <c r="E2282" t="inlineStr">
        <is>
          <t>AM07</t>
        </is>
      </c>
      <c r="F2282" s="5" t="n">
        <v>1825.46</v>
      </c>
      <c r="G2282">
        <f>IF(LEFT(B2282,1)="C","Credit","Factuur")</f>
        <v/>
      </c>
      <c r="H2282">
        <f>IF(AND(B2282=B2281,D2282=D2281,A2282=A2281,F2282=F2281),1,0)</f>
        <v/>
      </c>
      <c r="I2282">
        <f>IF(C2282="C99999",1,0)</f>
        <v/>
      </c>
      <c r="J2282" s="5">
        <f>IF(OR(H2282=1,I2282=1),0,IF(G2282="Credit",-F2282,F2282))</f>
        <v/>
      </c>
    </row>
    <row r="2283">
      <c r="A2283" t="inlineStr">
        <is>
          <t>2026-07-23</t>
        </is>
      </c>
      <c r="B2283" t="inlineStr">
        <is>
          <t>F278207</t>
        </is>
      </c>
      <c r="C2283" t="inlineStr">
        <is>
          <t>C10967</t>
        </is>
      </c>
      <c r="D2283" t="inlineStr">
        <is>
          <t>SKU-10010</t>
        </is>
      </c>
      <c r="E2283" t="inlineStr">
        <is>
          <t>AM03</t>
        </is>
      </c>
      <c r="F2283" s="5" t="n">
        <v>251.48</v>
      </c>
      <c r="G2283">
        <f>IF(LEFT(B2283,1)="C","Credit","Factuur")</f>
        <v/>
      </c>
      <c r="H2283">
        <f>IF(AND(B2283=B2282,D2283=D2282,A2283=A2282,F2283=F2282),1,0)</f>
        <v/>
      </c>
      <c r="I2283">
        <f>IF(C2283="C99999",1,0)</f>
        <v/>
      </c>
      <c r="J2283" s="5">
        <f>IF(OR(H2283=1,I2283=1),0,IF(G2283="Credit",-F2283,F2283))</f>
        <v/>
      </c>
    </row>
    <row r="2284">
      <c r="A2284" t="inlineStr">
        <is>
          <t>2026-07-23</t>
        </is>
      </c>
      <c r="B2284" t="inlineStr">
        <is>
          <t>F278207</t>
        </is>
      </c>
      <c r="C2284" t="inlineStr">
        <is>
          <t>C10967</t>
        </is>
      </c>
      <c r="D2284" t="inlineStr">
        <is>
          <t>SKU-10133</t>
        </is>
      </c>
      <c r="E2284" t="inlineStr">
        <is>
          <t>AM03</t>
        </is>
      </c>
      <c r="F2284" s="5" t="n">
        <v>251.45</v>
      </c>
      <c r="G2284">
        <f>IF(LEFT(B2284,1)="C","Credit","Factuur")</f>
        <v/>
      </c>
      <c r="H2284">
        <f>IF(AND(B2284=B2283,D2284=D2283,A2284=A2283,F2284=F2283),1,0)</f>
        <v/>
      </c>
      <c r="I2284">
        <f>IF(C2284="C99999",1,0)</f>
        <v/>
      </c>
      <c r="J2284" s="5">
        <f>IF(OR(H2284=1,I2284=1),0,IF(G2284="Credit",-F2284,F2284))</f>
        <v/>
      </c>
    </row>
    <row r="2285">
      <c r="A2285" t="inlineStr">
        <is>
          <t>2026-07-23</t>
        </is>
      </c>
      <c r="B2285" t="inlineStr">
        <is>
          <t>F278207</t>
        </is>
      </c>
      <c r="C2285" t="inlineStr">
        <is>
          <t>C10967</t>
        </is>
      </c>
      <c r="D2285" t="inlineStr">
        <is>
          <t>SKU-10177</t>
        </is>
      </c>
      <c r="E2285" t="inlineStr">
        <is>
          <t>AM03</t>
        </is>
      </c>
      <c r="F2285" s="5" t="n">
        <v>235.83</v>
      </c>
      <c r="G2285">
        <f>IF(LEFT(B2285,1)="C","Credit","Factuur")</f>
        <v/>
      </c>
      <c r="H2285">
        <f>IF(AND(B2285=B2284,D2285=D2284,A2285=A2284,F2285=F2284),1,0)</f>
        <v/>
      </c>
      <c r="I2285">
        <f>IF(C2285="C99999",1,0)</f>
        <v/>
      </c>
      <c r="J2285" s="5">
        <f>IF(OR(H2285=1,I2285=1),0,IF(G2285="Credit",-F2285,F2285))</f>
        <v/>
      </c>
    </row>
    <row r="2286">
      <c r="A2286" t="inlineStr">
        <is>
          <t>2026-07-23</t>
        </is>
      </c>
      <c r="B2286" t="inlineStr">
        <is>
          <t>F278207</t>
        </is>
      </c>
      <c r="C2286" t="inlineStr">
        <is>
          <t>C10967</t>
        </is>
      </c>
      <c r="D2286" t="inlineStr">
        <is>
          <t>SKU-10322</t>
        </is>
      </c>
      <c r="E2286" t="inlineStr">
        <is>
          <t>AM03</t>
        </is>
      </c>
      <c r="F2286" s="5" t="n">
        <v>271.1</v>
      </c>
      <c r="G2286">
        <f>IF(LEFT(B2286,1)="C","Credit","Factuur")</f>
        <v/>
      </c>
      <c r="H2286">
        <f>IF(AND(B2286=B2285,D2286=D2285,A2286=A2285,F2286=F2285),1,0)</f>
        <v/>
      </c>
      <c r="I2286">
        <f>IF(C2286="C99999",1,0)</f>
        <v/>
      </c>
      <c r="J2286" s="5">
        <f>IF(OR(H2286=1,I2286=1),0,IF(G2286="Credit",-F2286,F2286))</f>
        <v/>
      </c>
    </row>
    <row r="2287">
      <c r="A2287" t="inlineStr">
        <is>
          <t>2026-07-23</t>
        </is>
      </c>
      <c r="B2287" t="inlineStr">
        <is>
          <t>F278207</t>
        </is>
      </c>
      <c r="C2287" t="inlineStr">
        <is>
          <t>C10967</t>
        </is>
      </c>
      <c r="D2287" t="inlineStr">
        <is>
          <t>SKU-10324</t>
        </is>
      </c>
      <c r="E2287" t="inlineStr">
        <is>
          <t>AM03</t>
        </is>
      </c>
      <c r="F2287" s="5" t="n">
        <v>226.97</v>
      </c>
      <c r="G2287">
        <f>IF(LEFT(B2287,1)="C","Credit","Factuur")</f>
        <v/>
      </c>
      <c r="H2287">
        <f>IF(AND(B2287=B2286,D2287=D2286,A2287=A2286,F2287=F2286),1,0)</f>
        <v/>
      </c>
      <c r="I2287">
        <f>IF(C2287="C99999",1,0)</f>
        <v/>
      </c>
      <c r="J2287" s="5">
        <f>IF(OR(H2287=1,I2287=1),0,IF(G2287="Credit",-F2287,F2287))</f>
        <v/>
      </c>
    </row>
    <row r="2288">
      <c r="A2288" t="inlineStr">
        <is>
          <t>2026-07-23</t>
        </is>
      </c>
      <c r="B2288" t="inlineStr">
        <is>
          <t>F278207</t>
        </is>
      </c>
      <c r="C2288" t="inlineStr">
        <is>
          <t>C10967</t>
        </is>
      </c>
      <c r="D2288" t="inlineStr">
        <is>
          <t>SKU-10325</t>
        </is>
      </c>
      <c r="E2288" t="inlineStr">
        <is>
          <t>AM03</t>
        </is>
      </c>
      <c r="F2288" s="5" t="n">
        <v>235.5</v>
      </c>
      <c r="G2288">
        <f>IF(LEFT(B2288,1)="C","Credit","Factuur")</f>
        <v/>
      </c>
      <c r="H2288">
        <f>IF(AND(B2288=B2287,D2288=D2287,A2288=A2287,F2288=F2287),1,0)</f>
        <v/>
      </c>
      <c r="I2288">
        <f>IF(C2288="C99999",1,0)</f>
        <v/>
      </c>
      <c r="J2288" s="5">
        <f>IF(OR(H2288=1,I2288=1),0,IF(G2288="Credit",-F2288,F2288))</f>
        <v/>
      </c>
    </row>
    <row r="2289">
      <c r="A2289" t="inlineStr">
        <is>
          <t>2026-07-23</t>
        </is>
      </c>
      <c r="B2289" t="inlineStr">
        <is>
          <t>F279345</t>
        </is>
      </c>
      <c r="C2289" t="inlineStr">
        <is>
          <t>C11027</t>
        </is>
      </c>
      <c r="D2289" t="inlineStr">
        <is>
          <t>SKU-10376</t>
        </is>
      </c>
      <c r="E2289" t="inlineStr">
        <is>
          <t>AM01</t>
        </is>
      </c>
      <c r="F2289" s="5" t="n">
        <v>1404.88</v>
      </c>
      <c r="G2289">
        <f>IF(LEFT(B2289,1)="C","Credit","Factuur")</f>
        <v/>
      </c>
      <c r="H2289">
        <f>IF(AND(B2289=B2288,D2289=D2288,A2289=A2288,F2289=F2288),1,0)</f>
        <v/>
      </c>
      <c r="I2289">
        <f>IF(C2289="C99999",1,0)</f>
        <v/>
      </c>
      <c r="J2289" s="5">
        <f>IF(OR(H2289=1,I2289=1),0,IF(G2289="Credit",-F2289,F2289))</f>
        <v/>
      </c>
    </row>
    <row r="2290">
      <c r="A2290" t="inlineStr">
        <is>
          <t>2026-07-23</t>
        </is>
      </c>
      <c r="B2290" t="inlineStr">
        <is>
          <t>F279446</t>
        </is>
      </c>
      <c r="C2290" t="inlineStr">
        <is>
          <t>C11031</t>
        </is>
      </c>
      <c r="D2290" t="inlineStr">
        <is>
          <t>SKU-10112</t>
        </is>
      </c>
      <c r="E2290" t="inlineStr">
        <is>
          <t>AM02</t>
        </is>
      </c>
      <c r="F2290" s="5" t="n">
        <v>1215.24</v>
      </c>
      <c r="G2290">
        <f>IF(LEFT(B2290,1)="C","Credit","Factuur")</f>
        <v/>
      </c>
      <c r="H2290">
        <f>IF(AND(B2290=B2289,D2290=D2289,A2290=A2289,F2290=F2289),1,0)</f>
        <v/>
      </c>
      <c r="I2290">
        <f>IF(C2290="C99999",1,0)</f>
        <v/>
      </c>
      <c r="J2290" s="5">
        <f>IF(OR(H2290=1,I2290=1),0,IF(G2290="Credit",-F2290,F2290))</f>
        <v/>
      </c>
    </row>
    <row r="2291">
      <c r="A2291" t="inlineStr">
        <is>
          <t>2026-07-23</t>
        </is>
      </c>
      <c r="B2291" t="inlineStr">
        <is>
          <t>F281222</t>
        </is>
      </c>
      <c r="C2291" t="inlineStr">
        <is>
          <t>C11119</t>
        </is>
      </c>
      <c r="D2291" t="inlineStr">
        <is>
          <t>SKU-10036</t>
        </is>
      </c>
      <c r="E2291" t="inlineStr">
        <is>
          <t>AM01</t>
        </is>
      </c>
      <c r="F2291" s="5" t="n">
        <v>620.9</v>
      </c>
      <c r="G2291">
        <f>IF(LEFT(B2291,1)="C","Credit","Factuur")</f>
        <v/>
      </c>
      <c r="H2291">
        <f>IF(AND(B2291=B2290,D2291=D2290,A2291=A2290,F2291=F2290),1,0)</f>
        <v/>
      </c>
      <c r="I2291">
        <f>IF(C2291="C99999",1,0)</f>
        <v/>
      </c>
      <c r="J2291" s="5">
        <f>IF(OR(H2291=1,I2291=1),0,IF(G2291="Credit",-F2291,F2291))</f>
        <v/>
      </c>
    </row>
    <row r="2292">
      <c r="A2292" t="inlineStr">
        <is>
          <t>2026-07-23</t>
        </is>
      </c>
      <c r="B2292" t="inlineStr">
        <is>
          <t>F281222</t>
        </is>
      </c>
      <c r="C2292" t="inlineStr">
        <is>
          <t>C11119</t>
        </is>
      </c>
      <c r="D2292" t="inlineStr">
        <is>
          <t>SKU-10112</t>
        </is>
      </c>
      <c r="E2292" t="inlineStr">
        <is>
          <t>AM01</t>
        </is>
      </c>
      <c r="F2292" s="5" t="n">
        <v>621.64</v>
      </c>
      <c r="G2292">
        <f>IF(LEFT(B2292,1)="C","Credit","Factuur")</f>
        <v/>
      </c>
      <c r="H2292">
        <f>IF(AND(B2292=B2291,D2292=D2291,A2292=A2291,F2292=F2291),1,0)</f>
        <v/>
      </c>
      <c r="I2292">
        <f>IF(C2292="C99999",1,0)</f>
        <v/>
      </c>
      <c r="J2292" s="5">
        <f>IF(OR(H2292=1,I2292=1),0,IF(G2292="Credit",-F2292,F2292))</f>
        <v/>
      </c>
    </row>
    <row r="2293">
      <c r="A2293" t="inlineStr">
        <is>
          <t>2026-07-23</t>
        </is>
      </c>
      <c r="B2293" t="inlineStr">
        <is>
          <t>F281222</t>
        </is>
      </c>
      <c r="C2293" t="inlineStr">
        <is>
          <t>C11119</t>
        </is>
      </c>
      <c r="D2293" t="inlineStr">
        <is>
          <t>SKU-10309</t>
        </is>
      </c>
      <c r="E2293" t="inlineStr">
        <is>
          <t>AM01</t>
        </is>
      </c>
      <c r="F2293" s="5" t="n">
        <v>646.9400000000001</v>
      </c>
      <c r="G2293">
        <f>IF(LEFT(B2293,1)="C","Credit","Factuur")</f>
        <v/>
      </c>
      <c r="H2293">
        <f>IF(AND(B2293=B2292,D2293=D2292,A2293=A2292,F2293=F2292),1,0)</f>
        <v/>
      </c>
      <c r="I2293">
        <f>IF(C2293="C99999",1,0)</f>
        <v/>
      </c>
      <c r="J2293" s="5">
        <f>IF(OR(H2293=1,I2293=1),0,IF(G2293="Credit",-F2293,F2293))</f>
        <v/>
      </c>
    </row>
    <row r="2294">
      <c r="A2294" t="inlineStr">
        <is>
          <t>2026-07-23</t>
        </is>
      </c>
      <c r="B2294" t="inlineStr">
        <is>
          <t>F283043</t>
        </is>
      </c>
      <c r="C2294" t="inlineStr">
        <is>
          <t>C11211</t>
        </is>
      </c>
      <c r="D2294" t="inlineStr">
        <is>
          <t>SKU-10335</t>
        </is>
      </c>
      <c r="E2294" t="inlineStr">
        <is>
          <t>AM11</t>
        </is>
      </c>
      <c r="F2294" s="5" t="n">
        <v>982.64</v>
      </c>
      <c r="G2294">
        <f>IF(LEFT(B2294,1)="C","Credit","Factuur")</f>
        <v/>
      </c>
      <c r="H2294">
        <f>IF(AND(B2294=B2293,D2294=D2293,A2294=A2293,F2294=F2293),1,0)</f>
        <v/>
      </c>
      <c r="I2294">
        <f>IF(C2294="C99999",1,0)</f>
        <v/>
      </c>
      <c r="J2294" s="5">
        <f>IF(OR(H2294=1,I2294=1),0,IF(G2294="Credit",-F2294,F2294))</f>
        <v/>
      </c>
    </row>
    <row r="2295">
      <c r="A2295" t="inlineStr">
        <is>
          <t>2026-07-23</t>
        </is>
      </c>
      <c r="B2295" t="inlineStr">
        <is>
          <t>F283982</t>
        </is>
      </c>
      <c r="C2295" t="inlineStr">
        <is>
          <t>C11254</t>
        </is>
      </c>
      <c r="D2295" t="inlineStr">
        <is>
          <t>SKU-10054</t>
        </is>
      </c>
      <c r="E2295" t="inlineStr">
        <is>
          <t>AM11</t>
        </is>
      </c>
      <c r="F2295" s="5" t="n">
        <v>436.25</v>
      </c>
      <c r="G2295">
        <f>IF(LEFT(B2295,1)="C","Credit","Factuur")</f>
        <v/>
      </c>
      <c r="H2295">
        <f>IF(AND(B2295=B2294,D2295=D2294,A2295=A2294,F2295=F2294),1,0)</f>
        <v/>
      </c>
      <c r="I2295">
        <f>IF(C2295="C99999",1,0)</f>
        <v/>
      </c>
      <c r="J2295" s="5">
        <f>IF(OR(H2295=1,I2295=1),0,IF(G2295="Credit",-F2295,F2295))</f>
        <v/>
      </c>
    </row>
    <row r="2296">
      <c r="A2296" t="inlineStr">
        <is>
          <t>2026-07-23</t>
        </is>
      </c>
      <c r="B2296" t="inlineStr">
        <is>
          <t>F283982</t>
        </is>
      </c>
      <c r="C2296" t="inlineStr">
        <is>
          <t>C11254</t>
        </is>
      </c>
      <c r="D2296" t="inlineStr">
        <is>
          <t>SKU-10149</t>
        </is>
      </c>
      <c r="E2296" t="inlineStr">
        <is>
          <t>AM11</t>
        </is>
      </c>
      <c r="F2296" s="5" t="n">
        <v>431.85</v>
      </c>
      <c r="G2296">
        <f>IF(LEFT(B2296,1)="C","Credit","Factuur")</f>
        <v/>
      </c>
      <c r="H2296">
        <f>IF(AND(B2296=B2295,D2296=D2295,A2296=A2295,F2296=F2295),1,0)</f>
        <v/>
      </c>
      <c r="I2296">
        <f>IF(C2296="C99999",1,0)</f>
        <v/>
      </c>
      <c r="J2296" s="5">
        <f>IF(OR(H2296=1,I2296=1),0,IF(G2296="Credit",-F2296,F2296))</f>
        <v/>
      </c>
    </row>
    <row r="2297">
      <c r="A2297" t="inlineStr">
        <is>
          <t>2026-07-23</t>
        </is>
      </c>
      <c r="B2297" t="inlineStr">
        <is>
          <t>F283982</t>
        </is>
      </c>
      <c r="C2297" t="inlineStr">
        <is>
          <t>C11254</t>
        </is>
      </c>
      <c r="D2297" t="inlineStr">
        <is>
          <t>SKU-10276</t>
        </is>
      </c>
      <c r="E2297" t="inlineStr">
        <is>
          <t>AM11</t>
        </is>
      </c>
      <c r="F2297" s="5" t="n">
        <v>509.6</v>
      </c>
      <c r="G2297">
        <f>IF(LEFT(B2297,1)="C","Credit","Factuur")</f>
        <v/>
      </c>
      <c r="H2297">
        <f>IF(AND(B2297=B2296,D2297=D2296,A2297=A2296,F2297=F2296),1,0)</f>
        <v/>
      </c>
      <c r="I2297">
        <f>IF(C2297="C99999",1,0)</f>
        <v/>
      </c>
      <c r="J2297" s="5">
        <f>IF(OR(H2297=1,I2297=1),0,IF(G2297="Credit",-F2297,F2297))</f>
        <v/>
      </c>
    </row>
    <row r="2298">
      <c r="A2298" t="inlineStr">
        <is>
          <t>2026-07-23</t>
        </is>
      </c>
      <c r="B2298" t="inlineStr">
        <is>
          <t>F284554</t>
        </is>
      </c>
      <c r="C2298" t="inlineStr">
        <is>
          <t>C11288</t>
        </is>
      </c>
      <c r="D2298" t="inlineStr">
        <is>
          <t>SKU-10336</t>
        </is>
      </c>
      <c r="E2298" t="inlineStr">
        <is>
          <t>AM12</t>
        </is>
      </c>
      <c r="F2298" s="5" t="n">
        <v>222.21</v>
      </c>
      <c r="G2298">
        <f>IF(LEFT(B2298,1)="C","Credit","Factuur")</f>
        <v/>
      </c>
      <c r="H2298">
        <f>IF(AND(B2298=B2297,D2298=D2297,A2298=A2297,F2298=F2297),1,0)</f>
        <v/>
      </c>
      <c r="I2298">
        <f>IF(C2298="C99999",1,0)</f>
        <v/>
      </c>
      <c r="J2298" s="5">
        <f>IF(OR(H2298=1,I2298=1),0,IF(G2298="Credit",-F2298,F2298))</f>
        <v/>
      </c>
    </row>
    <row r="2299">
      <c r="A2299" t="inlineStr">
        <is>
          <t>2026-07-23</t>
        </is>
      </c>
      <c r="B2299" t="inlineStr">
        <is>
          <t>F284554</t>
        </is>
      </c>
      <c r="C2299" t="inlineStr">
        <is>
          <t>C11288</t>
        </is>
      </c>
      <c r="D2299" t="inlineStr">
        <is>
          <t>SKU-10353</t>
        </is>
      </c>
      <c r="E2299" t="inlineStr">
        <is>
          <t>AM12</t>
        </is>
      </c>
      <c r="F2299" s="5" t="n">
        <v>221.92</v>
      </c>
      <c r="G2299">
        <f>IF(LEFT(B2299,1)="C","Credit","Factuur")</f>
        <v/>
      </c>
      <c r="H2299">
        <f>IF(AND(B2299=B2298,D2299=D2298,A2299=A2298,F2299=F2298),1,0)</f>
        <v/>
      </c>
      <c r="I2299">
        <f>IF(C2299="C99999",1,0)</f>
        <v/>
      </c>
      <c r="J2299" s="5">
        <f>IF(OR(H2299=1,I2299=1),0,IF(G2299="Credit",-F2299,F2299))</f>
        <v/>
      </c>
    </row>
    <row r="2300">
      <c r="A2300" t="inlineStr">
        <is>
          <t>2026-07-23</t>
        </is>
      </c>
      <c r="B2300" t="inlineStr">
        <is>
          <t>F285407</t>
        </is>
      </c>
      <c r="C2300" t="inlineStr">
        <is>
          <t>C11327</t>
        </is>
      </c>
      <c r="D2300" t="inlineStr">
        <is>
          <t>SKU-10016</t>
        </is>
      </c>
      <c r="E2300" t="inlineStr">
        <is>
          <t>AM11</t>
        </is>
      </c>
      <c r="F2300" s="5" t="n">
        <v>160.07</v>
      </c>
      <c r="G2300">
        <f>IF(LEFT(B2300,1)="C","Credit","Factuur")</f>
        <v/>
      </c>
      <c r="H2300">
        <f>IF(AND(B2300=B2299,D2300=D2299,A2300=A2299,F2300=F2299),1,0)</f>
        <v/>
      </c>
      <c r="I2300">
        <f>IF(C2300="C99999",1,0)</f>
        <v/>
      </c>
      <c r="J2300" s="5">
        <f>IF(OR(H2300=1,I2300=1),0,IF(G2300="Credit",-F2300,F2300))</f>
        <v/>
      </c>
    </row>
    <row r="2301">
      <c r="A2301" t="inlineStr">
        <is>
          <t>2026-07-23</t>
        </is>
      </c>
      <c r="B2301" t="inlineStr">
        <is>
          <t>F285407</t>
        </is>
      </c>
      <c r="C2301" t="inlineStr">
        <is>
          <t>C11327</t>
        </is>
      </c>
      <c r="D2301" t="inlineStr">
        <is>
          <t>SKU-10055</t>
        </is>
      </c>
      <c r="E2301" t="inlineStr">
        <is>
          <t>AM11</t>
        </is>
      </c>
      <c r="F2301" s="5" t="n">
        <v>142.5</v>
      </c>
      <c r="G2301">
        <f>IF(LEFT(B2301,1)="C","Credit","Factuur")</f>
        <v/>
      </c>
      <c r="H2301">
        <f>IF(AND(B2301=B2300,D2301=D2300,A2301=A2300,F2301=F2300),1,0)</f>
        <v/>
      </c>
      <c r="I2301">
        <f>IF(C2301="C99999",1,0)</f>
        <v/>
      </c>
      <c r="J2301" s="5">
        <f>IF(OR(H2301=1,I2301=1),0,IF(G2301="Credit",-F2301,F2301))</f>
        <v/>
      </c>
    </row>
    <row r="2302">
      <c r="A2302" t="inlineStr">
        <is>
          <t>2026-07-23</t>
        </is>
      </c>
      <c r="B2302" t="inlineStr">
        <is>
          <t>F285407</t>
        </is>
      </c>
      <c r="C2302" t="inlineStr">
        <is>
          <t>C11327</t>
        </is>
      </c>
      <c r="D2302" t="inlineStr">
        <is>
          <t>SKU-10088</t>
        </is>
      </c>
      <c r="E2302" t="inlineStr">
        <is>
          <t>AM11</t>
        </is>
      </c>
      <c r="F2302" s="5" t="n">
        <v>152.76</v>
      </c>
      <c r="G2302">
        <f>IF(LEFT(B2302,1)="C","Credit","Factuur")</f>
        <v/>
      </c>
      <c r="H2302">
        <f>IF(AND(B2302=B2301,D2302=D2301,A2302=A2301,F2302=F2301),1,0)</f>
        <v/>
      </c>
      <c r="I2302">
        <f>IF(C2302="C99999",1,0)</f>
        <v/>
      </c>
      <c r="J2302" s="5">
        <f>IF(OR(H2302=1,I2302=1),0,IF(G2302="Credit",-F2302,F2302))</f>
        <v/>
      </c>
    </row>
    <row r="2303">
      <c r="A2303" t="inlineStr">
        <is>
          <t>2026-07-23</t>
        </is>
      </c>
      <c r="B2303" t="inlineStr">
        <is>
          <t>F285407</t>
        </is>
      </c>
      <c r="C2303" t="inlineStr">
        <is>
          <t>C11327</t>
        </is>
      </c>
      <c r="D2303" t="inlineStr">
        <is>
          <t>SKU-10103</t>
        </is>
      </c>
      <c r="E2303" t="inlineStr">
        <is>
          <t>AM11</t>
        </is>
      </c>
      <c r="F2303" s="5" t="n">
        <v>158.86</v>
      </c>
      <c r="G2303">
        <f>IF(LEFT(B2303,1)="C","Credit","Factuur")</f>
        <v/>
      </c>
      <c r="H2303">
        <f>IF(AND(B2303=B2302,D2303=D2302,A2303=A2302,F2303=F2302),1,0)</f>
        <v/>
      </c>
      <c r="I2303">
        <f>IF(C2303="C99999",1,0)</f>
        <v/>
      </c>
      <c r="J2303" s="5">
        <f>IF(OR(H2303=1,I2303=1),0,IF(G2303="Credit",-F2303,F2303))</f>
        <v/>
      </c>
    </row>
    <row r="2304">
      <c r="A2304" t="inlineStr">
        <is>
          <t>2026-07-23</t>
        </is>
      </c>
      <c r="B2304" t="inlineStr">
        <is>
          <t>F285407</t>
        </is>
      </c>
      <c r="C2304" t="inlineStr">
        <is>
          <t>C11327</t>
        </is>
      </c>
      <c r="D2304" t="inlineStr">
        <is>
          <t>SKU-10128</t>
        </is>
      </c>
      <c r="E2304" t="inlineStr">
        <is>
          <t>AM11</t>
        </is>
      </c>
      <c r="F2304" s="5" t="n">
        <v>169.62</v>
      </c>
      <c r="G2304">
        <f>IF(LEFT(B2304,1)="C","Credit","Factuur")</f>
        <v/>
      </c>
      <c r="H2304">
        <f>IF(AND(B2304=B2303,D2304=D2303,A2304=A2303,F2304=F2303),1,0)</f>
        <v/>
      </c>
      <c r="I2304">
        <f>IF(C2304="C99999",1,0)</f>
        <v/>
      </c>
      <c r="J2304" s="5">
        <f>IF(OR(H2304=1,I2304=1),0,IF(G2304="Credit",-F2304,F2304))</f>
        <v/>
      </c>
    </row>
    <row r="2305">
      <c r="A2305" t="inlineStr">
        <is>
          <t>2026-07-23</t>
        </is>
      </c>
      <c r="B2305" t="inlineStr">
        <is>
          <t>F285407</t>
        </is>
      </c>
      <c r="C2305" t="inlineStr">
        <is>
          <t>C11327</t>
        </is>
      </c>
      <c r="D2305" t="inlineStr">
        <is>
          <t>SKU-10184</t>
        </is>
      </c>
      <c r="E2305" t="inlineStr">
        <is>
          <t>AM11</t>
        </is>
      </c>
      <c r="F2305" s="5" t="n">
        <v>147.86</v>
      </c>
      <c r="G2305">
        <f>IF(LEFT(B2305,1)="C","Credit","Factuur")</f>
        <v/>
      </c>
      <c r="H2305">
        <f>IF(AND(B2305=B2304,D2305=D2304,A2305=A2304,F2305=F2304),1,0)</f>
        <v/>
      </c>
      <c r="I2305">
        <f>IF(C2305="C99999",1,0)</f>
        <v/>
      </c>
      <c r="J2305" s="5">
        <f>IF(OR(H2305=1,I2305=1),0,IF(G2305="Credit",-F2305,F2305))</f>
        <v/>
      </c>
    </row>
    <row r="2306">
      <c r="A2306" t="inlineStr">
        <is>
          <t>2026-07-23</t>
        </is>
      </c>
      <c r="B2306" t="inlineStr">
        <is>
          <t>F285407</t>
        </is>
      </c>
      <c r="C2306" t="inlineStr">
        <is>
          <t>C11327</t>
        </is>
      </c>
      <c r="D2306" t="inlineStr">
        <is>
          <t>SKU-10240</t>
        </is>
      </c>
      <c r="E2306" t="inlineStr">
        <is>
          <t>AM11</t>
        </is>
      </c>
      <c r="F2306" s="5" t="n">
        <v>144.62</v>
      </c>
      <c r="G2306">
        <f>IF(LEFT(B2306,1)="C","Credit","Factuur")</f>
        <v/>
      </c>
      <c r="H2306">
        <f>IF(AND(B2306=B2305,D2306=D2305,A2306=A2305,F2306=F2305),1,0)</f>
        <v/>
      </c>
      <c r="I2306">
        <f>IF(C2306="C99999",1,0)</f>
        <v/>
      </c>
      <c r="J2306" s="5">
        <f>IF(OR(H2306=1,I2306=1),0,IF(G2306="Credit",-F2306,F2306))</f>
        <v/>
      </c>
    </row>
    <row r="2307">
      <c r="A2307" t="inlineStr">
        <is>
          <t>2026-07-23</t>
        </is>
      </c>
      <c r="B2307" t="inlineStr">
        <is>
          <t>F285407</t>
        </is>
      </c>
      <c r="C2307" t="inlineStr">
        <is>
          <t>C11327</t>
        </is>
      </c>
      <c r="D2307" t="inlineStr">
        <is>
          <t>SKU-10289</t>
        </is>
      </c>
      <c r="E2307" t="inlineStr">
        <is>
          <t>AM11</t>
        </is>
      </c>
      <c r="F2307" s="5" t="n">
        <v>145.88</v>
      </c>
      <c r="G2307">
        <f>IF(LEFT(B2307,1)="C","Credit","Factuur")</f>
        <v/>
      </c>
      <c r="H2307">
        <f>IF(AND(B2307=B2306,D2307=D2306,A2307=A2306,F2307=F2306),1,0)</f>
        <v/>
      </c>
      <c r="I2307">
        <f>IF(C2307="C99999",1,0)</f>
        <v/>
      </c>
      <c r="J2307" s="5">
        <f>IF(OR(H2307=1,I2307=1),0,IF(G2307="Credit",-F2307,F2307))</f>
        <v/>
      </c>
    </row>
    <row r="2308">
      <c r="A2308" t="inlineStr">
        <is>
          <t>2026-07-23</t>
        </is>
      </c>
      <c r="B2308" t="inlineStr">
        <is>
          <t>F285407</t>
        </is>
      </c>
      <c r="C2308" t="inlineStr">
        <is>
          <t>C11327</t>
        </is>
      </c>
      <c r="D2308" t="inlineStr">
        <is>
          <t>SKU-10290</t>
        </is>
      </c>
      <c r="E2308" t="inlineStr">
        <is>
          <t>AM11</t>
        </is>
      </c>
      <c r="F2308" s="5" t="n">
        <v>164.35</v>
      </c>
      <c r="G2308">
        <f>IF(LEFT(B2308,1)="C","Credit","Factuur")</f>
        <v/>
      </c>
      <c r="H2308">
        <f>IF(AND(B2308=B2307,D2308=D2307,A2308=A2307,F2308=F2307),1,0)</f>
        <v/>
      </c>
      <c r="I2308">
        <f>IF(C2308="C99999",1,0)</f>
        <v/>
      </c>
      <c r="J2308" s="5">
        <f>IF(OR(H2308=1,I2308=1),0,IF(G2308="Credit",-F2308,F2308))</f>
        <v/>
      </c>
    </row>
    <row r="2309">
      <c r="A2309" t="inlineStr">
        <is>
          <t>2026-07-24</t>
        </is>
      </c>
      <c r="B2309" t="inlineStr">
        <is>
          <t>C900482</t>
        </is>
      </c>
      <c r="C2309" t="inlineStr">
        <is>
          <t>C10841</t>
        </is>
      </c>
      <c r="D2309" t="inlineStr">
        <is>
          <t>SKU-10074</t>
        </is>
      </c>
      <c r="E2309" t="inlineStr">
        <is>
          <t>AM11</t>
        </is>
      </c>
      <c r="F2309" s="5" t="n">
        <v>425.52</v>
      </c>
      <c r="G2309">
        <f>IF(LEFT(B2309,1)="C","Credit","Factuur")</f>
        <v/>
      </c>
      <c r="H2309">
        <f>IF(AND(B2309=B2308,D2309=D2308,A2309=A2308,F2309=F2308),1,0)</f>
        <v/>
      </c>
      <c r="I2309">
        <f>IF(C2309="C99999",1,0)</f>
        <v/>
      </c>
      <c r="J2309" s="5">
        <f>IF(OR(H2309=1,I2309=1),0,IF(G2309="Credit",-F2309,F2309))</f>
        <v/>
      </c>
    </row>
    <row r="2310">
      <c r="A2310" t="inlineStr">
        <is>
          <t>2026-07-24</t>
        </is>
      </c>
      <c r="B2310" t="inlineStr">
        <is>
          <t>C901433</t>
        </is>
      </c>
      <c r="C2310" t="inlineStr">
        <is>
          <t>C10841</t>
        </is>
      </c>
      <c r="D2310" t="inlineStr">
        <is>
          <t>SKU-10272</t>
        </is>
      </c>
      <c r="E2310" t="inlineStr">
        <is>
          <t>AM11</t>
        </is>
      </c>
      <c r="F2310" s="5" t="n">
        <v>859.79</v>
      </c>
      <c r="G2310">
        <f>IF(LEFT(B2310,1)="C","Credit","Factuur")</f>
        <v/>
      </c>
      <c r="H2310">
        <f>IF(AND(B2310=B2309,D2310=D2309,A2310=A2309,F2310=F2309),1,0)</f>
        <v/>
      </c>
      <c r="I2310">
        <f>IF(C2310="C99999",1,0)</f>
        <v/>
      </c>
      <c r="J2310" s="5">
        <f>IF(OR(H2310=1,I2310=1),0,IF(G2310="Credit",-F2310,F2310))</f>
        <v/>
      </c>
    </row>
    <row r="2311">
      <c r="A2311" t="inlineStr">
        <is>
          <t>2026-07-24</t>
        </is>
      </c>
      <c r="B2311" t="inlineStr">
        <is>
          <t>C901714</t>
        </is>
      </c>
      <c r="C2311" t="inlineStr">
        <is>
          <t>C11272</t>
        </is>
      </c>
      <c r="D2311" t="inlineStr">
        <is>
          <t>SKU-10215</t>
        </is>
      </c>
      <c r="E2311" t="inlineStr">
        <is>
          <t>AM07</t>
        </is>
      </c>
      <c r="F2311" s="5" t="n">
        <v>118.86</v>
      </c>
      <c r="G2311">
        <f>IF(LEFT(B2311,1)="C","Credit","Factuur")</f>
        <v/>
      </c>
      <c r="H2311">
        <f>IF(AND(B2311=B2310,D2311=D2310,A2311=A2310,F2311=F2310),1,0)</f>
        <v/>
      </c>
      <c r="I2311">
        <f>IF(C2311="C99999",1,0)</f>
        <v/>
      </c>
      <c r="J2311" s="5">
        <f>IF(OR(H2311=1,I2311=1),0,IF(G2311="Credit",-F2311,F2311))</f>
        <v/>
      </c>
    </row>
    <row r="2312">
      <c r="A2312" t="inlineStr">
        <is>
          <t>2026-07-24</t>
        </is>
      </c>
      <c r="B2312" t="inlineStr">
        <is>
          <t>C901950</t>
        </is>
      </c>
      <c r="C2312" t="inlineStr">
        <is>
          <t>C10289</t>
        </is>
      </c>
      <c r="D2312" t="inlineStr">
        <is>
          <t>SKU-10218</t>
        </is>
      </c>
      <c r="E2312" t="inlineStr">
        <is>
          <t>AM07</t>
        </is>
      </c>
      <c r="F2312" s="5" t="n">
        <v>425.34</v>
      </c>
      <c r="G2312">
        <f>IF(LEFT(B2312,1)="C","Credit","Factuur")</f>
        <v/>
      </c>
      <c r="H2312">
        <f>IF(AND(B2312=B2311,D2312=D2311,A2312=A2311,F2312=F2311),1,0)</f>
        <v/>
      </c>
      <c r="I2312">
        <f>IF(C2312="C99999",1,0)</f>
        <v/>
      </c>
      <c r="J2312" s="5">
        <f>IF(OR(H2312=1,I2312=1),0,IF(G2312="Credit",-F2312,F2312))</f>
        <v/>
      </c>
    </row>
    <row r="2313">
      <c r="A2313" t="inlineStr">
        <is>
          <t>2026-07-24</t>
        </is>
      </c>
      <c r="B2313" t="inlineStr">
        <is>
          <t>F260001</t>
        </is>
      </c>
      <c r="C2313" t="inlineStr">
        <is>
          <t>C10001</t>
        </is>
      </c>
      <c r="D2313" t="inlineStr">
        <is>
          <t>SKU-10129</t>
        </is>
      </c>
      <c r="E2313" t="inlineStr">
        <is>
          <t>AM02</t>
        </is>
      </c>
      <c r="F2313" s="5" t="n">
        <v>886.04</v>
      </c>
      <c r="G2313">
        <f>IF(LEFT(B2313,1)="C","Credit","Factuur")</f>
        <v/>
      </c>
      <c r="H2313">
        <f>IF(AND(B2313=B2312,D2313=D2312,A2313=A2312,F2313=F2312),1,0)</f>
        <v/>
      </c>
      <c r="I2313">
        <f>IF(C2313="C99999",1,0)</f>
        <v/>
      </c>
      <c r="J2313" s="5">
        <f>IF(OR(H2313=1,I2313=1),0,IF(G2313="Credit",-F2313,F2313))</f>
        <v/>
      </c>
    </row>
    <row r="2314">
      <c r="A2314" t="inlineStr">
        <is>
          <t>2026-07-24</t>
        </is>
      </c>
      <c r="B2314" t="inlineStr">
        <is>
          <t>F260152</t>
        </is>
      </c>
      <c r="C2314" t="inlineStr">
        <is>
          <t>C10009</t>
        </is>
      </c>
      <c r="D2314" t="inlineStr">
        <is>
          <t>SKU-10094</t>
        </is>
      </c>
      <c r="E2314" t="inlineStr">
        <is>
          <t>AM07</t>
        </is>
      </c>
      <c r="F2314" s="5" t="n">
        <v>1301.8</v>
      </c>
      <c r="G2314">
        <f>IF(LEFT(B2314,1)="C","Credit","Factuur")</f>
        <v/>
      </c>
      <c r="H2314">
        <f>IF(AND(B2314=B2313,D2314=D2313,A2314=A2313,F2314=F2313),1,0)</f>
        <v/>
      </c>
      <c r="I2314">
        <f>IF(C2314="C99999",1,0)</f>
        <v/>
      </c>
      <c r="J2314" s="5">
        <f>IF(OR(H2314=1,I2314=1),0,IF(G2314="Credit",-F2314,F2314))</f>
        <v/>
      </c>
    </row>
    <row r="2315">
      <c r="A2315" t="inlineStr">
        <is>
          <t>2026-07-24</t>
        </is>
      </c>
      <c r="B2315" t="inlineStr">
        <is>
          <t>F260152</t>
        </is>
      </c>
      <c r="C2315" t="inlineStr">
        <is>
          <t>C10009</t>
        </is>
      </c>
      <c r="D2315" t="inlineStr">
        <is>
          <t>SKU-10293</t>
        </is>
      </c>
      <c r="E2315" t="inlineStr">
        <is>
          <t>AM07</t>
        </is>
      </c>
      <c r="F2315" s="5" t="n">
        <v>1287.44</v>
      </c>
      <c r="G2315">
        <f>IF(LEFT(B2315,1)="C","Credit","Factuur")</f>
        <v/>
      </c>
      <c r="H2315">
        <f>IF(AND(B2315=B2314,D2315=D2314,A2315=A2314,F2315=F2314),1,0)</f>
        <v/>
      </c>
      <c r="I2315">
        <f>IF(C2315="C99999",1,0)</f>
        <v/>
      </c>
      <c r="J2315" s="5">
        <f>IF(OR(H2315=1,I2315=1),0,IF(G2315="Credit",-F2315,F2315))</f>
        <v/>
      </c>
    </row>
    <row r="2316">
      <c r="A2316" t="inlineStr">
        <is>
          <t>2026-07-24</t>
        </is>
      </c>
      <c r="B2316" t="inlineStr">
        <is>
          <t>F260152</t>
        </is>
      </c>
      <c r="C2316" t="inlineStr">
        <is>
          <t>C10009</t>
        </is>
      </c>
      <c r="D2316" t="inlineStr">
        <is>
          <t>SKU-10382</t>
        </is>
      </c>
      <c r="E2316" t="inlineStr">
        <is>
          <t>AM07</t>
        </is>
      </c>
      <c r="F2316" s="5" t="n">
        <v>1173.66</v>
      </c>
      <c r="G2316">
        <f>IF(LEFT(B2316,1)="C","Credit","Factuur")</f>
        <v/>
      </c>
      <c r="H2316">
        <f>IF(AND(B2316=B2315,D2316=D2315,A2316=A2315,F2316=F2315),1,0)</f>
        <v/>
      </c>
      <c r="I2316">
        <f>IF(C2316="C99999",1,0)</f>
        <v/>
      </c>
      <c r="J2316" s="5">
        <f>IF(OR(H2316=1,I2316=1),0,IF(G2316="Credit",-F2316,F2316))</f>
        <v/>
      </c>
    </row>
    <row r="2317">
      <c r="A2317" t="inlineStr">
        <is>
          <t>2026-07-24</t>
        </is>
      </c>
      <c r="B2317" t="inlineStr">
        <is>
          <t>F260641</t>
        </is>
      </c>
      <c r="C2317" t="inlineStr">
        <is>
          <t>C10036</t>
        </is>
      </c>
      <c r="D2317" t="inlineStr">
        <is>
          <t>SKU-10273</t>
        </is>
      </c>
      <c r="E2317" t="inlineStr">
        <is>
          <t>AM01</t>
        </is>
      </c>
      <c r="F2317" s="5" t="n">
        <v>224.84</v>
      </c>
      <c r="G2317">
        <f>IF(LEFT(B2317,1)="C","Credit","Factuur")</f>
        <v/>
      </c>
      <c r="H2317">
        <f>IF(AND(B2317=B2316,D2317=D2316,A2317=A2316,F2317=F2316),1,0)</f>
        <v/>
      </c>
      <c r="I2317">
        <f>IF(C2317="C99999",1,0)</f>
        <v/>
      </c>
      <c r="J2317" s="5">
        <f>IF(OR(H2317=1,I2317=1),0,IF(G2317="Credit",-F2317,F2317))</f>
        <v/>
      </c>
    </row>
    <row r="2318">
      <c r="A2318" t="inlineStr">
        <is>
          <t>2026-07-24</t>
        </is>
      </c>
      <c r="B2318" t="inlineStr">
        <is>
          <t>F260853</t>
        </is>
      </c>
      <c r="C2318" t="inlineStr">
        <is>
          <t>C10049</t>
        </is>
      </c>
      <c r="D2318" t="inlineStr">
        <is>
          <t>SKU-10257</t>
        </is>
      </c>
      <c r="E2318" t="inlineStr">
        <is>
          <t>AM09</t>
        </is>
      </c>
      <c r="F2318" s="5" t="n">
        <v>5609.09</v>
      </c>
      <c r="G2318">
        <f>IF(LEFT(B2318,1)="C","Credit","Factuur")</f>
        <v/>
      </c>
      <c r="H2318">
        <f>IF(AND(B2318=B2317,D2318=D2317,A2318=A2317,F2318=F2317),1,0)</f>
        <v/>
      </c>
      <c r="I2318">
        <f>IF(C2318="C99999",1,0)</f>
        <v/>
      </c>
      <c r="J2318" s="5">
        <f>IF(OR(H2318=1,I2318=1),0,IF(G2318="Credit",-F2318,F2318))</f>
        <v/>
      </c>
    </row>
    <row r="2319">
      <c r="A2319" t="inlineStr">
        <is>
          <t>2026-07-24</t>
        </is>
      </c>
      <c r="B2319" t="inlineStr">
        <is>
          <t>F260853</t>
        </is>
      </c>
      <c r="C2319" t="inlineStr">
        <is>
          <t>C10049</t>
        </is>
      </c>
      <c r="D2319" t="inlineStr">
        <is>
          <t>SKU-10340</t>
        </is>
      </c>
      <c r="E2319" t="inlineStr">
        <is>
          <t>AM09</t>
        </is>
      </c>
      <c r="F2319" s="5" t="n">
        <v>4768.98</v>
      </c>
      <c r="G2319">
        <f>IF(LEFT(B2319,1)="C","Credit","Factuur")</f>
        <v/>
      </c>
      <c r="H2319">
        <f>IF(AND(B2319=B2318,D2319=D2318,A2319=A2318,F2319=F2318),1,0)</f>
        <v/>
      </c>
      <c r="I2319">
        <f>IF(C2319="C99999",1,0)</f>
        <v/>
      </c>
      <c r="J2319" s="5">
        <f>IF(OR(H2319=1,I2319=1),0,IF(G2319="Credit",-F2319,F2319))</f>
        <v/>
      </c>
    </row>
    <row r="2320">
      <c r="A2320" t="inlineStr">
        <is>
          <t>2026-07-24</t>
        </is>
      </c>
      <c r="B2320" t="inlineStr">
        <is>
          <t>F261451</t>
        </is>
      </c>
      <c r="C2320" t="inlineStr">
        <is>
          <t>C10077</t>
        </is>
      </c>
      <c r="D2320" t="inlineStr">
        <is>
          <t>SKU-10098</t>
        </is>
      </c>
      <c r="E2320" t="inlineStr">
        <is>
          <t>AM11</t>
        </is>
      </c>
      <c r="F2320" s="5" t="n">
        <v>1800.45</v>
      </c>
      <c r="G2320">
        <f>IF(LEFT(B2320,1)="C","Credit","Factuur")</f>
        <v/>
      </c>
      <c r="H2320">
        <f>IF(AND(B2320=B2319,D2320=D2319,A2320=A2319,F2320=F2319),1,0)</f>
        <v/>
      </c>
      <c r="I2320">
        <f>IF(C2320="C99999",1,0)</f>
        <v/>
      </c>
      <c r="J2320" s="5">
        <f>IF(OR(H2320=1,I2320=1),0,IF(G2320="Credit",-F2320,F2320))</f>
        <v/>
      </c>
    </row>
    <row r="2321">
      <c r="A2321" t="inlineStr">
        <is>
          <t>2026-07-24</t>
        </is>
      </c>
      <c r="B2321" t="inlineStr">
        <is>
          <t>F261451</t>
        </is>
      </c>
      <c r="C2321" t="inlineStr">
        <is>
          <t>C10077</t>
        </is>
      </c>
      <c r="D2321" t="inlineStr">
        <is>
          <t>SKU-10170</t>
        </is>
      </c>
      <c r="E2321" t="inlineStr">
        <is>
          <t>AM11</t>
        </is>
      </c>
      <c r="F2321" s="5" t="n">
        <v>1713.61</v>
      </c>
      <c r="G2321">
        <f>IF(LEFT(B2321,1)="C","Credit","Factuur")</f>
        <v/>
      </c>
      <c r="H2321">
        <f>IF(AND(B2321=B2320,D2321=D2320,A2321=A2320,F2321=F2320),1,0)</f>
        <v/>
      </c>
      <c r="I2321">
        <f>IF(C2321="C99999",1,0)</f>
        <v/>
      </c>
      <c r="J2321" s="5">
        <f>IF(OR(H2321=1,I2321=1),0,IF(G2321="Credit",-F2321,F2321))</f>
        <v/>
      </c>
    </row>
    <row r="2322">
      <c r="A2322" t="inlineStr">
        <is>
          <t>2026-07-24</t>
        </is>
      </c>
      <c r="B2322" t="inlineStr">
        <is>
          <t>F261559</t>
        </is>
      </c>
      <c r="C2322" t="inlineStr">
        <is>
          <t>C10082</t>
        </is>
      </c>
      <c r="D2322" t="inlineStr">
        <is>
          <t>SKU-10065</t>
        </is>
      </c>
      <c r="E2322" t="inlineStr">
        <is>
          <t>AM09</t>
        </is>
      </c>
      <c r="F2322" s="5" t="n">
        <v>16871.94</v>
      </c>
      <c r="G2322">
        <f>IF(LEFT(B2322,1)="C","Credit","Factuur")</f>
        <v/>
      </c>
      <c r="H2322">
        <f>IF(AND(B2322=B2321,D2322=D2321,A2322=A2321,F2322=F2321),1,0)</f>
        <v/>
      </c>
      <c r="I2322">
        <f>IF(C2322="C99999",1,0)</f>
        <v/>
      </c>
      <c r="J2322" s="5">
        <f>IF(OR(H2322=1,I2322=1),0,IF(G2322="Credit",-F2322,F2322))</f>
        <v/>
      </c>
    </row>
    <row r="2323">
      <c r="A2323" t="inlineStr">
        <is>
          <t>2026-07-24</t>
        </is>
      </c>
      <c r="B2323" t="inlineStr">
        <is>
          <t>F261632</t>
        </is>
      </c>
      <c r="C2323" t="inlineStr">
        <is>
          <t>C10086</t>
        </is>
      </c>
      <c r="D2323" t="inlineStr">
        <is>
          <t>SKU-10173</t>
        </is>
      </c>
      <c r="E2323" t="inlineStr">
        <is>
          <t>AM02</t>
        </is>
      </c>
      <c r="F2323" s="5" t="n">
        <v>322.5</v>
      </c>
      <c r="G2323">
        <f>IF(LEFT(B2323,1)="C","Credit","Factuur")</f>
        <v/>
      </c>
      <c r="H2323">
        <f>IF(AND(B2323=B2322,D2323=D2322,A2323=A2322,F2323=F2322),1,0)</f>
        <v/>
      </c>
      <c r="I2323">
        <f>IF(C2323="C99999",1,0)</f>
        <v/>
      </c>
      <c r="J2323" s="5">
        <f>IF(OR(H2323=1,I2323=1),0,IF(G2323="Credit",-F2323,F2323))</f>
        <v/>
      </c>
    </row>
    <row r="2324">
      <c r="A2324" t="inlineStr">
        <is>
          <t>2026-07-24</t>
        </is>
      </c>
      <c r="B2324" t="inlineStr">
        <is>
          <t>F261632</t>
        </is>
      </c>
      <c r="C2324" t="inlineStr">
        <is>
          <t>C10086</t>
        </is>
      </c>
      <c r="D2324" t="inlineStr">
        <is>
          <t>SKU-10192</t>
        </is>
      </c>
      <c r="E2324" t="inlineStr"/>
      <c r="F2324" s="5" t="n">
        <v>330.4</v>
      </c>
      <c r="G2324">
        <f>IF(LEFT(B2324,1)="C","Credit","Factuur")</f>
        <v/>
      </c>
      <c r="H2324">
        <f>IF(AND(B2324=B2323,D2324=D2323,A2324=A2323,F2324=F2323),1,0)</f>
        <v/>
      </c>
      <c r="I2324">
        <f>IF(C2324="C99999",1,0)</f>
        <v/>
      </c>
      <c r="J2324" s="5">
        <f>IF(OR(H2324=1,I2324=1),0,IF(G2324="Credit",-F2324,F2324))</f>
        <v/>
      </c>
    </row>
    <row r="2325">
      <c r="A2325" t="inlineStr">
        <is>
          <t>2026-07-24</t>
        </is>
      </c>
      <c r="B2325" t="inlineStr">
        <is>
          <t>F261632</t>
        </is>
      </c>
      <c r="C2325" t="inlineStr">
        <is>
          <t>C10086</t>
        </is>
      </c>
      <c r="D2325" t="inlineStr">
        <is>
          <t>SKU-10320</t>
        </is>
      </c>
      <c r="E2325" t="inlineStr">
        <is>
          <t>AM02</t>
        </is>
      </c>
      <c r="F2325" s="5" t="n">
        <v>308.07</v>
      </c>
      <c r="G2325">
        <f>IF(LEFT(B2325,1)="C","Credit","Factuur")</f>
        <v/>
      </c>
      <c r="H2325">
        <f>IF(AND(B2325=B2324,D2325=D2324,A2325=A2324,F2325=F2324),1,0)</f>
        <v/>
      </c>
      <c r="I2325">
        <f>IF(C2325="C99999",1,0)</f>
        <v/>
      </c>
      <c r="J2325" s="5">
        <f>IF(OR(H2325=1,I2325=1),0,IF(G2325="Credit",-F2325,F2325))</f>
        <v/>
      </c>
    </row>
    <row r="2326">
      <c r="A2326" t="inlineStr">
        <is>
          <t>2026-07-24</t>
        </is>
      </c>
      <c r="B2326" t="inlineStr">
        <is>
          <t>F261632</t>
        </is>
      </c>
      <c r="C2326" t="inlineStr">
        <is>
          <t>C10086</t>
        </is>
      </c>
      <c r="D2326" t="inlineStr">
        <is>
          <t>SKU-10332</t>
        </is>
      </c>
      <c r="E2326" t="inlineStr">
        <is>
          <t>AM02</t>
        </is>
      </c>
      <c r="F2326" s="5" t="n">
        <v>325.52</v>
      </c>
      <c r="G2326">
        <f>IF(LEFT(B2326,1)="C","Credit","Factuur")</f>
        <v/>
      </c>
      <c r="H2326">
        <f>IF(AND(B2326=B2325,D2326=D2325,A2326=A2325,F2326=F2325),1,0)</f>
        <v/>
      </c>
      <c r="I2326">
        <f>IF(C2326="C99999",1,0)</f>
        <v/>
      </c>
      <c r="J2326" s="5">
        <f>IF(OR(H2326=1,I2326=1),0,IF(G2326="Credit",-F2326,F2326))</f>
        <v/>
      </c>
    </row>
    <row r="2327">
      <c r="A2327" t="inlineStr">
        <is>
          <t>2026-07-24</t>
        </is>
      </c>
      <c r="B2327" t="inlineStr">
        <is>
          <t>F261748</t>
        </is>
      </c>
      <c r="C2327" t="inlineStr">
        <is>
          <t>C10091</t>
        </is>
      </c>
      <c r="D2327" t="inlineStr">
        <is>
          <t>SKU-10331</t>
        </is>
      </c>
      <c r="E2327" t="inlineStr">
        <is>
          <t>AM11</t>
        </is>
      </c>
      <c r="F2327" s="5" t="n">
        <v>1223.51</v>
      </c>
      <c r="G2327">
        <f>IF(LEFT(B2327,1)="C","Credit","Factuur")</f>
        <v/>
      </c>
      <c r="H2327">
        <f>IF(AND(B2327=B2326,D2327=D2326,A2327=A2326,F2327=F2326),1,0)</f>
        <v/>
      </c>
      <c r="I2327">
        <f>IF(C2327="C99999",1,0)</f>
        <v/>
      </c>
      <c r="J2327" s="5">
        <f>IF(OR(H2327=1,I2327=1),0,IF(G2327="Credit",-F2327,F2327))</f>
        <v/>
      </c>
    </row>
    <row r="2328">
      <c r="A2328" t="inlineStr">
        <is>
          <t>2026-07-24</t>
        </is>
      </c>
      <c r="B2328" t="inlineStr">
        <is>
          <t>F262206</t>
        </is>
      </c>
      <c r="C2328" t="inlineStr">
        <is>
          <t>C10117</t>
        </is>
      </c>
      <c r="D2328" t="inlineStr">
        <is>
          <t>SKU-10072</t>
        </is>
      </c>
      <c r="E2328" t="inlineStr">
        <is>
          <t>AM02</t>
        </is>
      </c>
      <c r="F2328" s="5" t="n">
        <v>470.07</v>
      </c>
      <c r="G2328">
        <f>IF(LEFT(B2328,1)="C","Credit","Factuur")</f>
        <v/>
      </c>
      <c r="H2328">
        <f>IF(AND(B2328=B2327,D2328=D2327,A2328=A2327,F2328=F2327),1,0)</f>
        <v/>
      </c>
      <c r="I2328">
        <f>IF(C2328="C99999",1,0)</f>
        <v/>
      </c>
      <c r="J2328" s="5">
        <f>IF(OR(H2328=1,I2328=1),0,IF(G2328="Credit",-F2328,F2328))</f>
        <v/>
      </c>
    </row>
    <row r="2329">
      <c r="A2329" t="inlineStr">
        <is>
          <t>2026-07-24</t>
        </is>
      </c>
      <c r="B2329" t="inlineStr">
        <is>
          <t>F262206</t>
        </is>
      </c>
      <c r="C2329" t="inlineStr">
        <is>
          <t>C10117</t>
        </is>
      </c>
      <c r="D2329" t="inlineStr">
        <is>
          <t>SKU-10250</t>
        </is>
      </c>
      <c r="E2329" t="inlineStr">
        <is>
          <t>AM02</t>
        </is>
      </c>
      <c r="F2329" s="5" t="n">
        <v>478.8</v>
      </c>
      <c r="G2329">
        <f>IF(LEFT(B2329,1)="C","Credit","Factuur")</f>
        <v/>
      </c>
      <c r="H2329">
        <f>IF(AND(B2329=B2328,D2329=D2328,A2329=A2328,F2329=F2328),1,0)</f>
        <v/>
      </c>
      <c r="I2329">
        <f>IF(C2329="C99999",1,0)</f>
        <v/>
      </c>
      <c r="J2329" s="5">
        <f>IF(OR(H2329=1,I2329=1),0,IF(G2329="Credit",-F2329,F2329))</f>
        <v/>
      </c>
    </row>
    <row r="2330">
      <c r="A2330" t="inlineStr">
        <is>
          <t>2026-07-24</t>
        </is>
      </c>
      <c r="B2330" t="inlineStr">
        <is>
          <t>F262206</t>
        </is>
      </c>
      <c r="C2330" t="inlineStr">
        <is>
          <t>C10117</t>
        </is>
      </c>
      <c r="D2330" t="inlineStr">
        <is>
          <t>SKU-10381</t>
        </is>
      </c>
      <c r="E2330" t="inlineStr">
        <is>
          <t>AM02</t>
        </is>
      </c>
      <c r="F2330" s="5" t="n">
        <v>462.92</v>
      </c>
      <c r="G2330">
        <f>IF(LEFT(B2330,1)="C","Credit","Factuur")</f>
        <v/>
      </c>
      <c r="H2330">
        <f>IF(AND(B2330=B2329,D2330=D2329,A2330=A2329,F2330=F2329),1,0)</f>
        <v/>
      </c>
      <c r="I2330">
        <f>IF(C2330="C99999",1,0)</f>
        <v/>
      </c>
      <c r="J2330" s="5">
        <f>IF(OR(H2330=1,I2330=1),0,IF(G2330="Credit",-F2330,F2330))</f>
        <v/>
      </c>
    </row>
    <row r="2331">
      <c r="A2331" t="inlineStr">
        <is>
          <t>2026-07-24</t>
        </is>
      </c>
      <c r="B2331" t="inlineStr">
        <is>
          <t>F262725</t>
        </is>
      </c>
      <c r="C2331" t="inlineStr">
        <is>
          <t>C10147</t>
        </is>
      </c>
      <c r="D2331" t="inlineStr">
        <is>
          <t>SKU-10006</t>
        </is>
      </c>
      <c r="E2331" t="inlineStr">
        <is>
          <t>AM02</t>
        </is>
      </c>
      <c r="F2331" s="5" t="n">
        <v>1405.92</v>
      </c>
      <c r="G2331">
        <f>IF(LEFT(B2331,1)="C","Credit","Factuur")</f>
        <v/>
      </c>
      <c r="H2331">
        <f>IF(AND(B2331=B2330,D2331=D2330,A2331=A2330,F2331=F2330),1,0)</f>
        <v/>
      </c>
      <c r="I2331">
        <f>IF(C2331="C99999",1,0)</f>
        <v/>
      </c>
      <c r="J2331" s="5">
        <f>IF(OR(H2331=1,I2331=1),0,IF(G2331="Credit",-F2331,F2331))</f>
        <v/>
      </c>
    </row>
    <row r="2332">
      <c r="A2332" t="inlineStr">
        <is>
          <t>2026-07-24</t>
        </is>
      </c>
      <c r="B2332" t="inlineStr">
        <is>
          <t>F262725</t>
        </is>
      </c>
      <c r="C2332" t="inlineStr">
        <is>
          <t>C10147</t>
        </is>
      </c>
      <c r="D2332" t="inlineStr">
        <is>
          <t>SKU-10076</t>
        </is>
      </c>
      <c r="E2332" t="inlineStr">
        <is>
          <t>AM02</t>
        </is>
      </c>
      <c r="F2332" s="5" t="n">
        <v>1393.83</v>
      </c>
      <c r="G2332">
        <f>IF(LEFT(B2332,1)="C","Credit","Factuur")</f>
        <v/>
      </c>
      <c r="H2332">
        <f>IF(AND(B2332=B2331,D2332=D2331,A2332=A2331,F2332=F2331),1,0)</f>
        <v/>
      </c>
      <c r="I2332">
        <f>IF(C2332="C99999",1,0)</f>
        <v/>
      </c>
      <c r="J2332" s="5">
        <f>IF(OR(H2332=1,I2332=1),0,IF(G2332="Credit",-F2332,F2332))</f>
        <v/>
      </c>
    </row>
    <row r="2333">
      <c r="A2333" t="inlineStr">
        <is>
          <t>2026-07-24</t>
        </is>
      </c>
      <c r="B2333" t="inlineStr">
        <is>
          <t>F262725</t>
        </is>
      </c>
      <c r="C2333" t="inlineStr">
        <is>
          <t>C10147</t>
        </is>
      </c>
      <c r="D2333" t="inlineStr">
        <is>
          <t>SKU-10194</t>
        </is>
      </c>
      <c r="E2333" t="inlineStr">
        <is>
          <t>AM02</t>
        </is>
      </c>
      <c r="F2333" s="5" t="n">
        <v>1339.61</v>
      </c>
      <c r="G2333">
        <f>IF(LEFT(B2333,1)="C","Credit","Factuur")</f>
        <v/>
      </c>
      <c r="H2333">
        <f>IF(AND(B2333=B2332,D2333=D2332,A2333=A2332,F2333=F2332),1,0)</f>
        <v/>
      </c>
      <c r="I2333">
        <f>IF(C2333="C99999",1,0)</f>
        <v/>
      </c>
      <c r="J2333" s="5">
        <f>IF(OR(H2333=1,I2333=1),0,IF(G2333="Credit",-F2333,F2333))</f>
        <v/>
      </c>
    </row>
    <row r="2334">
      <c r="A2334" t="inlineStr">
        <is>
          <t>2026-07-24</t>
        </is>
      </c>
      <c r="B2334" t="inlineStr">
        <is>
          <t>F262725</t>
        </is>
      </c>
      <c r="C2334" t="inlineStr">
        <is>
          <t>C10147</t>
        </is>
      </c>
      <c r="D2334" t="inlineStr">
        <is>
          <t>SKU-10265</t>
        </is>
      </c>
      <c r="E2334" t="inlineStr">
        <is>
          <t>AM02</t>
        </is>
      </c>
      <c r="F2334" s="5" t="n">
        <v>1396.92</v>
      </c>
      <c r="G2334">
        <f>IF(LEFT(B2334,1)="C","Credit","Factuur")</f>
        <v/>
      </c>
      <c r="H2334">
        <f>IF(AND(B2334=B2333,D2334=D2333,A2334=A2333,F2334=F2333),1,0)</f>
        <v/>
      </c>
      <c r="I2334">
        <f>IF(C2334="C99999",1,0)</f>
        <v/>
      </c>
      <c r="J2334" s="5">
        <f>IF(OR(H2334=1,I2334=1),0,IF(G2334="Credit",-F2334,F2334))</f>
        <v/>
      </c>
    </row>
    <row r="2335">
      <c r="A2335" t="inlineStr">
        <is>
          <t>2026-07-24</t>
        </is>
      </c>
      <c r="B2335" t="inlineStr">
        <is>
          <t>F263360</t>
        </is>
      </c>
      <c r="C2335" t="inlineStr">
        <is>
          <t>C10179</t>
        </is>
      </c>
      <c r="D2335" t="inlineStr">
        <is>
          <t>SKU-10130</t>
        </is>
      </c>
      <c r="E2335" t="inlineStr">
        <is>
          <t>AM02</t>
        </is>
      </c>
      <c r="F2335" s="5" t="n">
        <v>522.47</v>
      </c>
      <c r="G2335">
        <f>IF(LEFT(B2335,1)="C","Credit","Factuur")</f>
        <v/>
      </c>
      <c r="H2335">
        <f>IF(AND(B2335=B2334,D2335=D2334,A2335=A2334,F2335=F2334),1,0)</f>
        <v/>
      </c>
      <c r="I2335">
        <f>IF(C2335="C99999",1,0)</f>
        <v/>
      </c>
      <c r="J2335" s="5">
        <f>IF(OR(H2335=1,I2335=1),0,IF(G2335="Credit",-F2335,F2335))</f>
        <v/>
      </c>
    </row>
    <row r="2336">
      <c r="A2336" t="inlineStr">
        <is>
          <t>2026-07-24</t>
        </is>
      </c>
      <c r="B2336" t="inlineStr">
        <is>
          <t>F263360</t>
        </is>
      </c>
      <c r="C2336" t="inlineStr">
        <is>
          <t>C10179</t>
        </is>
      </c>
      <c r="D2336" t="inlineStr">
        <is>
          <t>SKU-10248</t>
        </is>
      </c>
      <c r="E2336" t="inlineStr">
        <is>
          <t>AM02</t>
        </is>
      </c>
      <c r="F2336" s="5" t="n">
        <v>575.12</v>
      </c>
      <c r="G2336">
        <f>IF(LEFT(B2336,1)="C","Credit","Factuur")</f>
        <v/>
      </c>
      <c r="H2336">
        <f>IF(AND(B2336=B2335,D2336=D2335,A2336=A2335,F2336=F2335),1,0)</f>
        <v/>
      </c>
      <c r="I2336">
        <f>IF(C2336="C99999",1,0)</f>
        <v/>
      </c>
      <c r="J2336" s="5">
        <f>IF(OR(H2336=1,I2336=1),0,IF(G2336="Credit",-F2336,F2336))</f>
        <v/>
      </c>
    </row>
    <row r="2337">
      <c r="A2337" t="inlineStr">
        <is>
          <t>2026-07-24</t>
        </is>
      </c>
      <c r="B2337" t="inlineStr">
        <is>
          <t>F263360</t>
        </is>
      </c>
      <c r="C2337" t="inlineStr">
        <is>
          <t>C10179</t>
        </is>
      </c>
      <c r="D2337" t="inlineStr">
        <is>
          <t>SKU-10346</t>
        </is>
      </c>
      <c r="E2337" t="inlineStr">
        <is>
          <t>AM02</t>
        </is>
      </c>
      <c r="F2337" s="5" t="n">
        <v>1078.58</v>
      </c>
      <c r="G2337">
        <f>IF(LEFT(B2337,1)="C","Credit","Factuur")</f>
        <v/>
      </c>
      <c r="H2337">
        <f>IF(AND(B2337=B2336,D2337=D2336,A2337=A2336,F2337=F2336),1,0)</f>
        <v/>
      </c>
      <c r="I2337">
        <f>IF(C2337="C99999",1,0)</f>
        <v/>
      </c>
      <c r="J2337" s="5">
        <f>IF(OR(H2337=1,I2337=1),0,IF(G2337="Credit",-F2337,F2337))</f>
        <v/>
      </c>
    </row>
    <row r="2338">
      <c r="A2338" t="inlineStr">
        <is>
          <t>2026-07-24</t>
        </is>
      </c>
      <c r="B2338" t="inlineStr">
        <is>
          <t>F263386</t>
        </is>
      </c>
      <c r="C2338" t="inlineStr">
        <is>
          <t>C10179</t>
        </is>
      </c>
      <c r="D2338" t="inlineStr">
        <is>
          <t>SKU-10076</t>
        </is>
      </c>
      <c r="E2338" t="inlineStr">
        <is>
          <t>AM02</t>
        </is>
      </c>
      <c r="F2338" s="5" t="n">
        <v>545.23</v>
      </c>
      <c r="G2338">
        <f>IF(LEFT(B2338,1)="C","Credit","Factuur")</f>
        <v/>
      </c>
      <c r="H2338">
        <f>IF(AND(B2338=B2337,D2338=D2337,A2338=A2337,F2338=F2337),1,0)</f>
        <v/>
      </c>
      <c r="I2338">
        <f>IF(C2338="C99999",1,0)</f>
        <v/>
      </c>
      <c r="J2338" s="5">
        <f>IF(OR(H2338=1,I2338=1),0,IF(G2338="Credit",-F2338,F2338))</f>
        <v/>
      </c>
    </row>
    <row r="2339">
      <c r="A2339" t="inlineStr">
        <is>
          <t>2026-07-24</t>
        </is>
      </c>
      <c r="B2339" t="inlineStr">
        <is>
          <t>F263386</t>
        </is>
      </c>
      <c r="C2339" t="inlineStr">
        <is>
          <t>C10179</t>
        </is>
      </c>
      <c r="D2339" t="inlineStr">
        <is>
          <t>SKU-10206</t>
        </is>
      </c>
      <c r="E2339" t="inlineStr">
        <is>
          <t>AM02</t>
        </is>
      </c>
      <c r="F2339" s="5" t="n">
        <v>582.36</v>
      </c>
      <c r="G2339">
        <f>IF(LEFT(B2339,1)="C","Credit","Factuur")</f>
        <v/>
      </c>
      <c r="H2339">
        <f>IF(AND(B2339=B2338,D2339=D2338,A2339=A2338,F2339=F2338),1,0)</f>
        <v/>
      </c>
      <c r="I2339">
        <f>IF(C2339="C99999",1,0)</f>
        <v/>
      </c>
      <c r="J2339" s="5">
        <f>IF(OR(H2339=1,I2339=1),0,IF(G2339="Credit",-F2339,F2339))</f>
        <v/>
      </c>
    </row>
    <row r="2340">
      <c r="A2340" t="inlineStr">
        <is>
          <t>2026-07-24</t>
        </is>
      </c>
      <c r="B2340" t="inlineStr">
        <is>
          <t>F263545</t>
        </is>
      </c>
      <c r="C2340" t="inlineStr">
        <is>
          <t>C10190</t>
        </is>
      </c>
      <c r="D2340" t="inlineStr">
        <is>
          <t>SKU-10015</t>
        </is>
      </c>
      <c r="E2340" t="inlineStr">
        <is>
          <t>AM03</t>
        </is>
      </c>
      <c r="F2340" s="5" t="n">
        <v>294.54</v>
      </c>
      <c r="G2340">
        <f>IF(LEFT(B2340,1)="C","Credit","Factuur")</f>
        <v/>
      </c>
      <c r="H2340">
        <f>IF(AND(B2340=B2339,D2340=D2339,A2340=A2339,F2340=F2339),1,0)</f>
        <v/>
      </c>
      <c r="I2340">
        <f>IF(C2340="C99999",1,0)</f>
        <v/>
      </c>
      <c r="J2340" s="5">
        <f>IF(OR(H2340=1,I2340=1),0,IF(G2340="Credit",-F2340,F2340))</f>
        <v/>
      </c>
    </row>
    <row r="2341">
      <c r="A2341" t="inlineStr">
        <is>
          <t>2026-07-24</t>
        </is>
      </c>
      <c r="B2341" t="inlineStr">
        <is>
          <t>F263545</t>
        </is>
      </c>
      <c r="C2341" t="inlineStr">
        <is>
          <t>C10190</t>
        </is>
      </c>
      <c r="D2341" t="inlineStr">
        <is>
          <t>SKU-10126</t>
        </is>
      </c>
      <c r="E2341" t="inlineStr">
        <is>
          <t>AM03</t>
        </is>
      </c>
      <c r="F2341" s="5" t="n">
        <v>262.3</v>
      </c>
      <c r="G2341">
        <f>IF(LEFT(B2341,1)="C","Credit","Factuur")</f>
        <v/>
      </c>
      <c r="H2341">
        <f>IF(AND(B2341=B2340,D2341=D2340,A2341=A2340,F2341=F2340),1,0)</f>
        <v/>
      </c>
      <c r="I2341">
        <f>IF(C2341="C99999",1,0)</f>
        <v/>
      </c>
      <c r="J2341" s="5">
        <f>IF(OR(H2341=1,I2341=1),0,IF(G2341="Credit",-F2341,F2341))</f>
        <v/>
      </c>
    </row>
    <row r="2342">
      <c r="A2342" t="inlineStr">
        <is>
          <t>2026-07-24</t>
        </is>
      </c>
      <c r="B2342" t="inlineStr">
        <is>
          <t>F263545</t>
        </is>
      </c>
      <c r="C2342" t="inlineStr">
        <is>
          <t>C10190</t>
        </is>
      </c>
      <c r="D2342" t="inlineStr">
        <is>
          <t>SKU-10195</t>
        </is>
      </c>
      <c r="E2342" t="inlineStr">
        <is>
          <t>AM03</t>
        </is>
      </c>
      <c r="F2342" s="5" t="n">
        <v>280.2</v>
      </c>
      <c r="G2342">
        <f>IF(LEFT(B2342,1)="C","Credit","Factuur")</f>
        <v/>
      </c>
      <c r="H2342">
        <f>IF(AND(B2342=B2341,D2342=D2341,A2342=A2341,F2342=F2341),1,0)</f>
        <v/>
      </c>
      <c r="I2342">
        <f>IF(C2342="C99999",1,0)</f>
        <v/>
      </c>
      <c r="J2342" s="5">
        <f>IF(OR(H2342=1,I2342=1),0,IF(G2342="Credit",-F2342,F2342))</f>
        <v/>
      </c>
    </row>
    <row r="2343">
      <c r="A2343" t="inlineStr">
        <is>
          <t>2026-07-24</t>
        </is>
      </c>
      <c r="B2343" t="inlineStr">
        <is>
          <t>F263545</t>
        </is>
      </c>
      <c r="C2343" t="inlineStr">
        <is>
          <t>C10190</t>
        </is>
      </c>
      <c r="D2343" t="inlineStr">
        <is>
          <t>SKU-10215</t>
        </is>
      </c>
      <c r="E2343" t="inlineStr">
        <is>
          <t>AM03</t>
        </is>
      </c>
      <c r="F2343" s="5" t="n">
        <v>257.03</v>
      </c>
      <c r="G2343">
        <f>IF(LEFT(B2343,1)="C","Credit","Factuur")</f>
        <v/>
      </c>
      <c r="H2343">
        <f>IF(AND(B2343=B2342,D2343=D2342,A2343=A2342,F2343=F2342),1,0)</f>
        <v/>
      </c>
      <c r="I2343">
        <f>IF(C2343="C99999",1,0)</f>
        <v/>
      </c>
      <c r="J2343" s="5">
        <f>IF(OR(H2343=1,I2343=1),0,IF(G2343="Credit",-F2343,F2343))</f>
        <v/>
      </c>
    </row>
    <row r="2344">
      <c r="A2344" t="inlineStr">
        <is>
          <t>2026-07-24</t>
        </is>
      </c>
      <c r="B2344" t="inlineStr">
        <is>
          <t>F263545</t>
        </is>
      </c>
      <c r="C2344" t="inlineStr">
        <is>
          <t>C10190</t>
        </is>
      </c>
      <c r="D2344" t="inlineStr">
        <is>
          <t>SKU-10275</t>
        </is>
      </c>
      <c r="E2344" t="inlineStr">
        <is>
          <t>AM03</t>
        </is>
      </c>
      <c r="F2344" s="5" t="n">
        <v>267.52</v>
      </c>
      <c r="G2344">
        <f>IF(LEFT(B2344,1)="C","Credit","Factuur")</f>
        <v/>
      </c>
      <c r="H2344">
        <f>IF(AND(B2344=B2343,D2344=D2343,A2344=A2343,F2344=F2343),1,0)</f>
        <v/>
      </c>
      <c r="I2344">
        <f>IF(C2344="C99999",1,0)</f>
        <v/>
      </c>
      <c r="J2344" s="5">
        <f>IF(OR(H2344=1,I2344=1),0,IF(G2344="Credit",-F2344,F2344))</f>
        <v/>
      </c>
    </row>
    <row r="2345">
      <c r="A2345" t="inlineStr">
        <is>
          <t>2026-07-24</t>
        </is>
      </c>
      <c r="B2345" t="inlineStr">
        <is>
          <t>F263545</t>
        </is>
      </c>
      <c r="C2345" t="inlineStr">
        <is>
          <t>C10190</t>
        </is>
      </c>
      <c r="D2345" t="inlineStr">
        <is>
          <t>SKU-10292</t>
        </is>
      </c>
      <c r="E2345" t="inlineStr">
        <is>
          <t>AM03</t>
        </is>
      </c>
      <c r="F2345" s="5" t="n">
        <v>266.64</v>
      </c>
      <c r="G2345">
        <f>IF(LEFT(B2345,1)="C","Credit","Factuur")</f>
        <v/>
      </c>
      <c r="H2345">
        <f>IF(AND(B2345=B2344,D2345=D2344,A2345=A2344,F2345=F2344),1,0)</f>
        <v/>
      </c>
      <c r="I2345">
        <f>IF(C2345="C99999",1,0)</f>
        <v/>
      </c>
      <c r="J2345" s="5">
        <f>IF(OR(H2345=1,I2345=1),0,IF(G2345="Credit",-F2345,F2345))</f>
        <v/>
      </c>
    </row>
    <row r="2346">
      <c r="A2346" t="inlineStr">
        <is>
          <t>2026-07-24</t>
        </is>
      </c>
      <c r="B2346" t="inlineStr">
        <is>
          <t>F263871</t>
        </is>
      </c>
      <c r="C2346" t="inlineStr">
        <is>
          <t>C10205</t>
        </is>
      </c>
      <c r="D2346" t="inlineStr">
        <is>
          <t>SKU-10188</t>
        </is>
      </c>
      <c r="E2346" t="inlineStr">
        <is>
          <t>AM12</t>
        </is>
      </c>
      <c r="F2346" s="5" t="n">
        <v>439.64</v>
      </c>
      <c r="G2346">
        <f>IF(LEFT(B2346,1)="C","Credit","Factuur")</f>
        <v/>
      </c>
      <c r="H2346">
        <f>IF(AND(B2346=B2345,D2346=D2345,A2346=A2345,F2346=F2345),1,0)</f>
        <v/>
      </c>
      <c r="I2346">
        <f>IF(C2346="C99999",1,0)</f>
        <v/>
      </c>
      <c r="J2346" s="5">
        <f>IF(OR(H2346=1,I2346=1),0,IF(G2346="Credit",-F2346,F2346))</f>
        <v/>
      </c>
    </row>
    <row r="2347">
      <c r="A2347" t="inlineStr">
        <is>
          <t>2026-07-24</t>
        </is>
      </c>
      <c r="B2347" t="inlineStr">
        <is>
          <t>F263871</t>
        </is>
      </c>
      <c r="C2347" t="inlineStr">
        <is>
          <t>C10205</t>
        </is>
      </c>
      <c r="D2347" t="inlineStr">
        <is>
          <t>SKU-10277</t>
        </is>
      </c>
      <c r="E2347" t="inlineStr">
        <is>
          <t>AM12</t>
        </is>
      </c>
      <c r="F2347" s="5" t="n">
        <v>462.15</v>
      </c>
      <c r="G2347">
        <f>IF(LEFT(B2347,1)="C","Credit","Factuur")</f>
        <v/>
      </c>
      <c r="H2347">
        <f>IF(AND(B2347=B2346,D2347=D2346,A2347=A2346,F2347=F2346),1,0)</f>
        <v/>
      </c>
      <c r="I2347">
        <f>IF(C2347="C99999",1,0)</f>
        <v/>
      </c>
      <c r="J2347" s="5">
        <f>IF(OR(H2347=1,I2347=1),0,IF(G2347="Credit",-F2347,F2347))</f>
        <v/>
      </c>
    </row>
    <row r="2348">
      <c r="A2348" t="inlineStr">
        <is>
          <t>2026-07-24</t>
        </is>
      </c>
      <c r="B2348" t="inlineStr">
        <is>
          <t>F264105</t>
        </is>
      </c>
      <c r="C2348" t="inlineStr">
        <is>
          <t>C10217</t>
        </is>
      </c>
      <c r="D2348" t="inlineStr">
        <is>
          <t>SKU-10118</t>
        </is>
      </c>
      <c r="E2348" t="inlineStr">
        <is>
          <t>AM11</t>
        </is>
      </c>
      <c r="F2348" s="5" t="n">
        <v>483.84</v>
      </c>
      <c r="G2348">
        <f>IF(LEFT(B2348,1)="C","Credit","Factuur")</f>
        <v/>
      </c>
      <c r="H2348">
        <f>IF(AND(B2348=B2347,D2348=D2347,A2348=A2347,F2348=F2347),1,0)</f>
        <v/>
      </c>
      <c r="I2348">
        <f>IF(C2348="C99999",1,0)</f>
        <v/>
      </c>
      <c r="J2348" s="5">
        <f>IF(OR(H2348=1,I2348=1),0,IF(G2348="Credit",-F2348,F2348))</f>
        <v/>
      </c>
    </row>
    <row r="2349">
      <c r="A2349" t="inlineStr">
        <is>
          <t>2026-07-24</t>
        </is>
      </c>
      <c r="B2349" t="inlineStr">
        <is>
          <t>F264105</t>
        </is>
      </c>
      <c r="C2349" t="inlineStr">
        <is>
          <t>C10217</t>
        </is>
      </c>
      <c r="D2349" t="inlineStr">
        <is>
          <t>SKU-10213</t>
        </is>
      </c>
      <c r="E2349" t="inlineStr">
        <is>
          <t>AM11</t>
        </is>
      </c>
      <c r="F2349" s="5" t="n">
        <v>434.34</v>
      </c>
      <c r="G2349">
        <f>IF(LEFT(B2349,1)="C","Credit","Factuur")</f>
        <v/>
      </c>
      <c r="H2349">
        <f>IF(AND(B2349=B2348,D2349=D2348,A2349=A2348,F2349=F2348),1,0)</f>
        <v/>
      </c>
      <c r="I2349">
        <f>IF(C2349="C99999",1,0)</f>
        <v/>
      </c>
      <c r="J2349" s="5">
        <f>IF(OR(H2349=1,I2349=1),0,IF(G2349="Credit",-F2349,F2349))</f>
        <v/>
      </c>
    </row>
    <row r="2350">
      <c r="A2350" t="inlineStr">
        <is>
          <t>2026-07-24</t>
        </is>
      </c>
      <c r="B2350" t="inlineStr">
        <is>
          <t>F264226</t>
        </is>
      </c>
      <c r="C2350" t="inlineStr">
        <is>
          <t>C10222</t>
        </is>
      </c>
      <c r="D2350" t="inlineStr">
        <is>
          <t>SKU-10018</t>
        </is>
      </c>
      <c r="E2350" t="inlineStr">
        <is>
          <t>AM01</t>
        </is>
      </c>
      <c r="F2350" s="5" t="n">
        <v>214.44</v>
      </c>
      <c r="G2350">
        <f>IF(LEFT(B2350,1)="C","Credit","Factuur")</f>
        <v/>
      </c>
      <c r="H2350">
        <f>IF(AND(B2350=B2349,D2350=D2349,A2350=A2349,F2350=F2349),1,0)</f>
        <v/>
      </c>
      <c r="I2350">
        <f>IF(C2350="C99999",1,0)</f>
        <v/>
      </c>
      <c r="J2350" s="5">
        <f>IF(OR(H2350=1,I2350=1),0,IF(G2350="Credit",-F2350,F2350))</f>
        <v/>
      </c>
    </row>
    <row r="2351">
      <c r="A2351" t="inlineStr">
        <is>
          <t>2026-07-24</t>
        </is>
      </c>
      <c r="B2351" t="inlineStr">
        <is>
          <t>F264226</t>
        </is>
      </c>
      <c r="C2351" t="inlineStr">
        <is>
          <t>C10222</t>
        </is>
      </c>
      <c r="D2351" t="inlineStr">
        <is>
          <t>SKU-10316</t>
        </is>
      </c>
      <c r="E2351" t="inlineStr">
        <is>
          <t>AM01</t>
        </is>
      </c>
      <c r="F2351" s="5" t="n">
        <v>229.52</v>
      </c>
      <c r="G2351">
        <f>IF(LEFT(B2351,1)="C","Credit","Factuur")</f>
        <v/>
      </c>
      <c r="H2351">
        <f>IF(AND(B2351=B2350,D2351=D2350,A2351=A2350,F2351=F2350),1,0)</f>
        <v/>
      </c>
      <c r="I2351">
        <f>IF(C2351="C99999",1,0)</f>
        <v/>
      </c>
      <c r="J2351" s="5">
        <f>IF(OR(H2351=1,I2351=1),0,IF(G2351="Credit",-F2351,F2351))</f>
        <v/>
      </c>
    </row>
    <row r="2352">
      <c r="A2352" t="inlineStr">
        <is>
          <t>2026-07-24</t>
        </is>
      </c>
      <c r="B2352" t="inlineStr">
        <is>
          <t>F264906</t>
        </is>
      </c>
      <c r="C2352" t="inlineStr">
        <is>
          <t>C10255</t>
        </is>
      </c>
      <c r="D2352" t="inlineStr">
        <is>
          <t>SKU-10047</t>
        </is>
      </c>
      <c r="E2352" t="inlineStr">
        <is>
          <t>AM08</t>
        </is>
      </c>
      <c r="F2352" s="5" t="n">
        <v>574.64</v>
      </c>
      <c r="G2352">
        <f>IF(LEFT(B2352,1)="C","Credit","Factuur")</f>
        <v/>
      </c>
      <c r="H2352">
        <f>IF(AND(B2352=B2351,D2352=D2351,A2352=A2351,F2352=F2351),1,0)</f>
        <v/>
      </c>
      <c r="I2352">
        <f>IF(C2352="C99999",1,0)</f>
        <v/>
      </c>
      <c r="J2352" s="5">
        <f>IF(OR(H2352=1,I2352=1),0,IF(G2352="Credit",-F2352,F2352))</f>
        <v/>
      </c>
    </row>
    <row r="2353">
      <c r="A2353" t="inlineStr">
        <is>
          <t>2026-07-24</t>
        </is>
      </c>
      <c r="B2353" t="inlineStr">
        <is>
          <t>F264906</t>
        </is>
      </c>
      <c r="C2353" t="inlineStr">
        <is>
          <t>C10255</t>
        </is>
      </c>
      <c r="D2353" t="inlineStr">
        <is>
          <t>SKU-10103</t>
        </is>
      </c>
      <c r="E2353" t="inlineStr">
        <is>
          <t>AM08</t>
        </is>
      </c>
      <c r="F2353" s="5" t="n">
        <v>556.01</v>
      </c>
      <c r="G2353">
        <f>IF(LEFT(B2353,1)="C","Credit","Factuur")</f>
        <v/>
      </c>
      <c r="H2353">
        <f>IF(AND(B2353=B2352,D2353=D2352,A2353=A2352,F2353=F2352),1,0)</f>
        <v/>
      </c>
      <c r="I2353">
        <f>IF(C2353="C99999",1,0)</f>
        <v/>
      </c>
      <c r="J2353" s="5">
        <f>IF(OR(H2353=1,I2353=1),0,IF(G2353="Credit",-F2353,F2353))</f>
        <v/>
      </c>
    </row>
    <row r="2354">
      <c r="A2354" t="inlineStr">
        <is>
          <t>2026-07-24</t>
        </is>
      </c>
      <c r="B2354" t="inlineStr">
        <is>
          <t>F264906</t>
        </is>
      </c>
      <c r="C2354" t="inlineStr">
        <is>
          <t>C10255</t>
        </is>
      </c>
      <c r="D2354" t="inlineStr">
        <is>
          <t>SKU-10204</t>
        </is>
      </c>
      <c r="E2354" t="inlineStr">
        <is>
          <t>AM08</t>
        </is>
      </c>
      <c r="F2354" s="5" t="n">
        <v>571.65</v>
      </c>
      <c r="G2354">
        <f>IF(LEFT(B2354,1)="C","Credit","Factuur")</f>
        <v/>
      </c>
      <c r="H2354">
        <f>IF(AND(B2354=B2353,D2354=D2353,A2354=A2353,F2354=F2353),1,0)</f>
        <v/>
      </c>
      <c r="I2354">
        <f>IF(C2354="C99999",1,0)</f>
        <v/>
      </c>
      <c r="J2354" s="5">
        <f>IF(OR(H2354=1,I2354=1),0,IF(G2354="Credit",-F2354,F2354))</f>
        <v/>
      </c>
    </row>
    <row r="2355">
      <c r="A2355" t="inlineStr">
        <is>
          <t>2026-07-24</t>
        </is>
      </c>
      <c r="B2355" t="inlineStr">
        <is>
          <t>F264963</t>
        </is>
      </c>
      <c r="C2355" t="inlineStr">
        <is>
          <t>C10259</t>
        </is>
      </c>
      <c r="D2355" t="inlineStr">
        <is>
          <t>SKU-10032</t>
        </is>
      </c>
      <c r="E2355" t="inlineStr">
        <is>
          <t>AM08</t>
        </is>
      </c>
      <c r="F2355" s="5" t="n">
        <v>173.05</v>
      </c>
      <c r="G2355">
        <f>IF(LEFT(B2355,1)="C","Credit","Factuur")</f>
        <v/>
      </c>
      <c r="H2355">
        <f>IF(AND(B2355=B2354,D2355=D2354,A2355=A2354,F2355=F2354),1,0)</f>
        <v/>
      </c>
      <c r="I2355">
        <f>IF(C2355="C99999",1,0)</f>
        <v/>
      </c>
      <c r="J2355" s="5">
        <f>IF(OR(H2355=1,I2355=1),0,IF(G2355="Credit",-F2355,F2355))</f>
        <v/>
      </c>
    </row>
    <row r="2356">
      <c r="A2356" t="inlineStr">
        <is>
          <t>2026-07-24</t>
        </is>
      </c>
      <c r="B2356" t="inlineStr">
        <is>
          <t>F264963</t>
        </is>
      </c>
      <c r="C2356" t="inlineStr">
        <is>
          <t>C10259</t>
        </is>
      </c>
      <c r="D2356" t="inlineStr">
        <is>
          <t>SKU-10056</t>
        </is>
      </c>
      <c r="E2356" t="inlineStr">
        <is>
          <t>AM08</t>
        </is>
      </c>
      <c r="F2356" s="5" t="n">
        <v>176</v>
      </c>
      <c r="G2356">
        <f>IF(LEFT(B2356,1)="C","Credit","Factuur")</f>
        <v/>
      </c>
      <c r="H2356">
        <f>IF(AND(B2356=B2355,D2356=D2355,A2356=A2355,F2356=F2355),1,0)</f>
        <v/>
      </c>
      <c r="I2356">
        <f>IF(C2356="C99999",1,0)</f>
        <v/>
      </c>
      <c r="J2356" s="5">
        <f>IF(OR(H2356=1,I2356=1),0,IF(G2356="Credit",-F2356,F2356))</f>
        <v/>
      </c>
    </row>
    <row r="2357">
      <c r="A2357" t="inlineStr">
        <is>
          <t>2026-07-24</t>
        </is>
      </c>
      <c r="B2357" t="inlineStr">
        <is>
          <t>F264963</t>
        </is>
      </c>
      <c r="C2357" t="inlineStr">
        <is>
          <t>C10259</t>
        </is>
      </c>
      <c r="D2357" t="inlineStr">
        <is>
          <t>SKU-10057</t>
        </is>
      </c>
      <c r="E2357" t="inlineStr">
        <is>
          <t>AM08</t>
        </is>
      </c>
      <c r="F2357" s="5" t="n">
        <v>180</v>
      </c>
      <c r="G2357">
        <f>IF(LEFT(B2357,1)="C","Credit","Factuur")</f>
        <v/>
      </c>
      <c r="H2357">
        <f>IF(AND(B2357=B2356,D2357=D2356,A2357=A2356,F2357=F2356),1,0)</f>
        <v/>
      </c>
      <c r="I2357">
        <f>IF(C2357="C99999",1,0)</f>
        <v/>
      </c>
      <c r="J2357" s="5">
        <f>IF(OR(H2357=1,I2357=1),0,IF(G2357="Credit",-F2357,F2357))</f>
        <v/>
      </c>
    </row>
    <row r="2358">
      <c r="A2358" t="inlineStr">
        <is>
          <t>2026-07-24</t>
        </is>
      </c>
      <c r="B2358" t="inlineStr">
        <is>
          <t>F264963</t>
        </is>
      </c>
      <c r="C2358" t="inlineStr">
        <is>
          <t>C10259</t>
        </is>
      </c>
      <c r="D2358" t="inlineStr">
        <is>
          <t>SKU-10179</t>
        </is>
      </c>
      <c r="E2358" t="inlineStr">
        <is>
          <t>AM08</t>
        </is>
      </c>
      <c r="F2358" s="5" t="n">
        <v>174.16</v>
      </c>
      <c r="G2358">
        <f>IF(LEFT(B2358,1)="C","Credit","Factuur")</f>
        <v/>
      </c>
      <c r="H2358">
        <f>IF(AND(B2358=B2357,D2358=D2357,A2358=A2357,F2358=F2357),1,0)</f>
        <v/>
      </c>
      <c r="I2358">
        <f>IF(C2358="C99999",1,0)</f>
        <v/>
      </c>
      <c r="J2358" s="5">
        <f>IF(OR(H2358=1,I2358=1),0,IF(G2358="Credit",-F2358,F2358))</f>
        <v/>
      </c>
    </row>
    <row r="2359">
      <c r="A2359" t="inlineStr">
        <is>
          <t>2026-07-24</t>
        </is>
      </c>
      <c r="B2359" t="inlineStr">
        <is>
          <t>F265173</t>
        </is>
      </c>
      <c r="C2359" t="inlineStr">
        <is>
          <t>C10273</t>
        </is>
      </c>
      <c r="D2359" t="inlineStr">
        <is>
          <t>SKU-10083</t>
        </is>
      </c>
      <c r="E2359" t="inlineStr">
        <is>
          <t>AM03</t>
        </is>
      </c>
      <c r="F2359" s="5" t="n">
        <v>114.74</v>
      </c>
      <c r="G2359">
        <f>IF(LEFT(B2359,1)="C","Credit","Factuur")</f>
        <v/>
      </c>
      <c r="H2359">
        <f>IF(AND(B2359=B2358,D2359=D2358,A2359=A2358,F2359=F2358),1,0)</f>
        <v/>
      </c>
      <c r="I2359">
        <f>IF(C2359="C99999",1,0)</f>
        <v/>
      </c>
      <c r="J2359" s="5">
        <f>IF(OR(H2359=1,I2359=1),0,IF(G2359="Credit",-F2359,F2359))</f>
        <v/>
      </c>
    </row>
    <row r="2360">
      <c r="A2360" t="inlineStr">
        <is>
          <t>2026-07-24</t>
        </is>
      </c>
      <c r="B2360" t="inlineStr">
        <is>
          <t>F265173</t>
        </is>
      </c>
      <c r="C2360" t="inlineStr">
        <is>
          <t>C10273</t>
        </is>
      </c>
      <c r="D2360" t="inlineStr">
        <is>
          <t>SKU-10168</t>
        </is>
      </c>
      <c r="E2360" t="inlineStr">
        <is>
          <t>AM03</t>
        </is>
      </c>
      <c r="F2360" s="5" t="n">
        <v>139.12</v>
      </c>
      <c r="G2360">
        <f>IF(LEFT(B2360,1)="C","Credit","Factuur")</f>
        <v/>
      </c>
      <c r="H2360">
        <f>IF(AND(B2360=B2359,D2360=D2359,A2360=A2359,F2360=F2359),1,0)</f>
        <v/>
      </c>
      <c r="I2360">
        <f>IF(C2360="C99999",1,0)</f>
        <v/>
      </c>
      <c r="J2360" s="5">
        <f>IF(OR(H2360=1,I2360=1),0,IF(G2360="Credit",-F2360,F2360))</f>
        <v/>
      </c>
    </row>
    <row r="2361">
      <c r="A2361" t="inlineStr">
        <is>
          <t>2026-07-24</t>
        </is>
      </c>
      <c r="B2361" t="inlineStr">
        <is>
          <t>F265173</t>
        </is>
      </c>
      <c r="C2361" t="inlineStr">
        <is>
          <t>C10273</t>
        </is>
      </c>
      <c r="D2361" t="inlineStr">
        <is>
          <t>SKU-10230</t>
        </is>
      </c>
      <c r="E2361" t="inlineStr">
        <is>
          <t>AM03</t>
        </is>
      </c>
      <c r="F2361" s="5" t="n">
        <v>135.13</v>
      </c>
      <c r="G2361">
        <f>IF(LEFT(B2361,1)="C","Credit","Factuur")</f>
        <v/>
      </c>
      <c r="H2361">
        <f>IF(AND(B2361=B2360,D2361=D2360,A2361=A2360,F2361=F2360),1,0)</f>
        <v/>
      </c>
      <c r="I2361">
        <f>IF(C2361="C99999",1,0)</f>
        <v/>
      </c>
      <c r="J2361" s="5">
        <f>IF(OR(H2361=1,I2361=1),0,IF(G2361="Credit",-F2361,F2361))</f>
        <v/>
      </c>
    </row>
    <row r="2362">
      <c r="A2362" t="inlineStr">
        <is>
          <t>2026-07-24</t>
        </is>
      </c>
      <c r="B2362" t="inlineStr">
        <is>
          <t>F265173</t>
        </is>
      </c>
      <c r="C2362" t="inlineStr">
        <is>
          <t>C10273</t>
        </is>
      </c>
      <c r="D2362" t="inlineStr">
        <is>
          <t>SKU-10270</t>
        </is>
      </c>
      <c r="E2362" t="inlineStr">
        <is>
          <t>AM03</t>
        </is>
      </c>
      <c r="F2362" s="5" t="n">
        <v>151.48</v>
      </c>
      <c r="G2362">
        <f>IF(LEFT(B2362,1)="C","Credit","Factuur")</f>
        <v/>
      </c>
      <c r="H2362">
        <f>IF(AND(B2362=B2361,D2362=D2361,A2362=A2361,F2362=F2361),1,0)</f>
        <v/>
      </c>
      <c r="I2362">
        <f>IF(C2362="C99999",1,0)</f>
        <v/>
      </c>
      <c r="J2362" s="5">
        <f>IF(OR(H2362=1,I2362=1),0,IF(G2362="Credit",-F2362,F2362))</f>
        <v/>
      </c>
    </row>
    <row r="2363">
      <c r="A2363" t="inlineStr">
        <is>
          <t>2026-07-24</t>
        </is>
      </c>
      <c r="B2363" t="inlineStr">
        <is>
          <t>F265262</t>
        </is>
      </c>
      <c r="C2363" t="inlineStr">
        <is>
          <t>C10279</t>
        </is>
      </c>
      <c r="D2363" t="inlineStr">
        <is>
          <t>SKU-10194</t>
        </is>
      </c>
      <c r="E2363" t="inlineStr">
        <is>
          <t>AM05</t>
        </is>
      </c>
      <c r="F2363" s="5" t="n">
        <v>1997.67</v>
      </c>
      <c r="G2363">
        <f>IF(LEFT(B2363,1)="C","Credit","Factuur")</f>
        <v/>
      </c>
      <c r="H2363">
        <f>IF(AND(B2363=B2362,D2363=D2362,A2363=A2362,F2363=F2362),1,0)</f>
        <v/>
      </c>
      <c r="I2363">
        <f>IF(C2363="C99999",1,0)</f>
        <v/>
      </c>
      <c r="J2363" s="5">
        <f>IF(OR(H2363=1,I2363=1),0,IF(G2363="Credit",-F2363,F2363))</f>
        <v/>
      </c>
    </row>
    <row r="2364">
      <c r="A2364" t="inlineStr">
        <is>
          <t>2026-07-24</t>
        </is>
      </c>
      <c r="B2364" t="inlineStr">
        <is>
          <t>F265262</t>
        </is>
      </c>
      <c r="C2364" t="inlineStr">
        <is>
          <t>C10279</t>
        </is>
      </c>
      <c r="D2364" t="inlineStr">
        <is>
          <t>SKU-10264</t>
        </is>
      </c>
      <c r="E2364" t="inlineStr">
        <is>
          <t>AM05</t>
        </is>
      </c>
      <c r="F2364" s="5" t="n">
        <v>2002.2</v>
      </c>
      <c r="G2364">
        <f>IF(LEFT(B2364,1)="C","Credit","Factuur")</f>
        <v/>
      </c>
      <c r="H2364">
        <f>IF(AND(B2364=B2363,D2364=D2363,A2364=A2363,F2364=F2363),1,0)</f>
        <v/>
      </c>
      <c r="I2364">
        <f>IF(C2364="C99999",1,0)</f>
        <v/>
      </c>
      <c r="J2364" s="5">
        <f>IF(OR(H2364=1,I2364=1),0,IF(G2364="Credit",-F2364,F2364))</f>
        <v/>
      </c>
    </row>
    <row r="2365">
      <c r="A2365" t="inlineStr">
        <is>
          <t>2026-07-24</t>
        </is>
      </c>
      <c r="B2365" t="inlineStr">
        <is>
          <t>F265262</t>
        </is>
      </c>
      <c r="C2365" t="inlineStr">
        <is>
          <t>C10279</t>
        </is>
      </c>
      <c r="D2365" t="inlineStr">
        <is>
          <t>SKU-10337</t>
        </is>
      </c>
      <c r="E2365" t="inlineStr">
        <is>
          <t>AM05</t>
        </is>
      </c>
      <c r="F2365" s="5" t="n">
        <v>2003.3</v>
      </c>
      <c r="G2365">
        <f>IF(LEFT(B2365,1)="C","Credit","Factuur")</f>
        <v/>
      </c>
      <c r="H2365">
        <f>IF(AND(B2365=B2364,D2365=D2364,A2365=A2364,F2365=F2364),1,0)</f>
        <v/>
      </c>
      <c r="I2365">
        <f>IF(C2365="C99999",1,0)</f>
        <v/>
      </c>
      <c r="J2365" s="5">
        <f>IF(OR(H2365=1,I2365=1),0,IF(G2365="Credit",-F2365,F2365))</f>
        <v/>
      </c>
    </row>
    <row r="2366">
      <c r="A2366" t="inlineStr">
        <is>
          <t>2026-07-24</t>
        </is>
      </c>
      <c r="B2366" t="inlineStr">
        <is>
          <t>F265489</t>
        </is>
      </c>
      <c r="C2366" t="inlineStr">
        <is>
          <t>C10289</t>
        </is>
      </c>
      <c r="D2366" t="inlineStr">
        <is>
          <t>SKU-10018</t>
        </is>
      </c>
      <c r="E2366" t="inlineStr">
        <is>
          <t>AM07</t>
        </is>
      </c>
      <c r="F2366" s="5" t="n">
        <v>546.8200000000001</v>
      </c>
      <c r="G2366">
        <f>IF(LEFT(B2366,1)="C","Credit","Factuur")</f>
        <v/>
      </c>
      <c r="H2366">
        <f>IF(AND(B2366=B2365,D2366=D2365,A2366=A2365,F2366=F2365),1,0)</f>
        <v/>
      </c>
      <c r="I2366">
        <f>IF(C2366="C99999",1,0)</f>
        <v/>
      </c>
      <c r="J2366" s="5">
        <f>IF(OR(H2366=1,I2366=1),0,IF(G2366="Credit",-F2366,F2366))</f>
        <v/>
      </c>
    </row>
    <row r="2367">
      <c r="A2367" t="inlineStr">
        <is>
          <t>2026-07-24</t>
        </is>
      </c>
      <c r="B2367" t="inlineStr">
        <is>
          <t>F265489</t>
        </is>
      </c>
      <c r="C2367" t="inlineStr">
        <is>
          <t>C10289</t>
        </is>
      </c>
      <c r="D2367" t="inlineStr">
        <is>
          <t>SKU-10068</t>
        </is>
      </c>
      <c r="E2367" t="inlineStr">
        <is>
          <t>AM07</t>
        </is>
      </c>
      <c r="F2367" s="5" t="n">
        <v>664.29</v>
      </c>
      <c r="G2367">
        <f>IF(LEFT(B2367,1)="C","Credit","Factuur")</f>
        <v/>
      </c>
      <c r="H2367">
        <f>IF(AND(B2367=B2366,D2367=D2366,A2367=A2366,F2367=F2366),1,0)</f>
        <v/>
      </c>
      <c r="I2367">
        <f>IF(C2367="C99999",1,0)</f>
        <v/>
      </c>
      <c r="J2367" s="5">
        <f>IF(OR(H2367=1,I2367=1),0,IF(G2367="Credit",-F2367,F2367))</f>
        <v/>
      </c>
    </row>
    <row r="2368">
      <c r="A2368" t="inlineStr">
        <is>
          <t>2026-07-24</t>
        </is>
      </c>
      <c r="B2368" t="inlineStr">
        <is>
          <t>F265489</t>
        </is>
      </c>
      <c r="C2368" t="inlineStr">
        <is>
          <t>C10289</t>
        </is>
      </c>
      <c r="D2368" t="inlineStr">
        <is>
          <t>SKU-10078</t>
        </is>
      </c>
      <c r="E2368" t="inlineStr">
        <is>
          <t>AM07</t>
        </is>
      </c>
      <c r="F2368" s="5" t="n">
        <v>640.24</v>
      </c>
      <c r="G2368">
        <f>IF(LEFT(B2368,1)="C","Credit","Factuur")</f>
        <v/>
      </c>
      <c r="H2368">
        <f>IF(AND(B2368=B2367,D2368=D2367,A2368=A2367,F2368=F2367),1,0)</f>
        <v/>
      </c>
      <c r="I2368">
        <f>IF(C2368="C99999",1,0)</f>
        <v/>
      </c>
      <c r="J2368" s="5">
        <f>IF(OR(H2368=1,I2368=1),0,IF(G2368="Credit",-F2368,F2368))</f>
        <v/>
      </c>
    </row>
    <row r="2369">
      <c r="A2369" t="inlineStr">
        <is>
          <t>2026-07-24</t>
        </is>
      </c>
      <c r="B2369" t="inlineStr">
        <is>
          <t>F265489</t>
        </is>
      </c>
      <c r="C2369" t="inlineStr">
        <is>
          <t>C10289</t>
        </is>
      </c>
      <c r="D2369" t="inlineStr">
        <is>
          <t>SKU-10158</t>
        </is>
      </c>
      <c r="E2369" t="inlineStr">
        <is>
          <t>AM07</t>
        </is>
      </c>
      <c r="F2369" s="5" t="n">
        <v>636.22</v>
      </c>
      <c r="G2369">
        <f>IF(LEFT(B2369,1)="C","Credit","Factuur")</f>
        <v/>
      </c>
      <c r="H2369">
        <f>IF(AND(B2369=B2368,D2369=D2368,A2369=A2368,F2369=F2368),1,0)</f>
        <v/>
      </c>
      <c r="I2369">
        <f>IF(C2369="C99999",1,0)</f>
        <v/>
      </c>
      <c r="J2369" s="5">
        <f>IF(OR(H2369=1,I2369=1),0,IF(G2369="Credit",-F2369,F2369))</f>
        <v/>
      </c>
    </row>
    <row r="2370">
      <c r="A2370" t="inlineStr">
        <is>
          <t>2026-07-24</t>
        </is>
      </c>
      <c r="B2370" t="inlineStr">
        <is>
          <t>F265489</t>
        </is>
      </c>
      <c r="C2370" t="inlineStr">
        <is>
          <t>C10289</t>
        </is>
      </c>
      <c r="D2370" t="inlineStr">
        <is>
          <t>SKU-10373</t>
        </is>
      </c>
      <c r="E2370" t="inlineStr">
        <is>
          <t>AM07</t>
        </is>
      </c>
      <c r="F2370" s="5" t="n">
        <v>646.34</v>
      </c>
      <c r="G2370">
        <f>IF(LEFT(B2370,1)="C","Credit","Factuur")</f>
        <v/>
      </c>
      <c r="H2370">
        <f>IF(AND(B2370=B2369,D2370=D2369,A2370=A2369,F2370=F2369),1,0)</f>
        <v/>
      </c>
      <c r="I2370">
        <f>IF(C2370="C99999",1,0)</f>
        <v/>
      </c>
      <c r="J2370" s="5">
        <f>IF(OR(H2370=1,I2370=1),0,IF(G2370="Credit",-F2370,F2370))</f>
        <v/>
      </c>
    </row>
    <row r="2371">
      <c r="A2371" t="inlineStr">
        <is>
          <t>2026-07-24</t>
        </is>
      </c>
      <c r="B2371" t="inlineStr">
        <is>
          <t>F266044</t>
        </is>
      </c>
      <c r="C2371" t="inlineStr">
        <is>
          <t>C10317</t>
        </is>
      </c>
      <c r="D2371" t="inlineStr">
        <is>
          <t>SKU-10050</t>
        </is>
      </c>
      <c r="E2371" t="inlineStr">
        <is>
          <t>AM03</t>
        </is>
      </c>
      <c r="F2371" s="5" t="n">
        <v>213.72</v>
      </c>
      <c r="G2371">
        <f>IF(LEFT(B2371,1)="C","Credit","Factuur")</f>
        <v/>
      </c>
      <c r="H2371">
        <f>IF(AND(B2371=B2370,D2371=D2370,A2371=A2370,F2371=F2370),1,0)</f>
        <v/>
      </c>
      <c r="I2371">
        <f>IF(C2371="C99999",1,0)</f>
        <v/>
      </c>
      <c r="J2371" s="5">
        <f>IF(OR(H2371=1,I2371=1),0,IF(G2371="Credit",-F2371,F2371))</f>
        <v/>
      </c>
    </row>
    <row r="2372">
      <c r="A2372" t="inlineStr">
        <is>
          <t>2026-07-24</t>
        </is>
      </c>
      <c r="B2372" t="inlineStr">
        <is>
          <t>F266044</t>
        </is>
      </c>
      <c r="C2372" t="inlineStr">
        <is>
          <t>C10317</t>
        </is>
      </c>
      <c r="D2372" t="inlineStr">
        <is>
          <t>SKU-10334</t>
        </is>
      </c>
      <c r="E2372" t="inlineStr">
        <is>
          <t>AM03</t>
        </is>
      </c>
      <c r="F2372" s="5" t="n">
        <v>195.52</v>
      </c>
      <c r="G2372">
        <f>IF(LEFT(B2372,1)="C","Credit","Factuur")</f>
        <v/>
      </c>
      <c r="H2372">
        <f>IF(AND(B2372=B2371,D2372=D2371,A2372=A2371,F2372=F2371),1,0)</f>
        <v/>
      </c>
      <c r="I2372">
        <f>IF(C2372="C99999",1,0)</f>
        <v/>
      </c>
      <c r="J2372" s="5">
        <f>IF(OR(H2372=1,I2372=1),0,IF(G2372="Credit",-F2372,F2372))</f>
        <v/>
      </c>
    </row>
    <row r="2373">
      <c r="A2373" t="inlineStr">
        <is>
          <t>2026-07-24</t>
        </is>
      </c>
      <c r="B2373" t="inlineStr">
        <is>
          <t>F266245</t>
        </is>
      </c>
      <c r="C2373" t="inlineStr">
        <is>
          <t>C10326</t>
        </is>
      </c>
      <c r="D2373" t="inlineStr">
        <is>
          <t>SKU-10099</t>
        </is>
      </c>
      <c r="E2373" t="inlineStr">
        <is>
          <t>AM05</t>
        </is>
      </c>
      <c r="F2373" s="5" t="n">
        <v>1383.2</v>
      </c>
      <c r="G2373">
        <f>IF(LEFT(B2373,1)="C","Credit","Factuur")</f>
        <v/>
      </c>
      <c r="H2373">
        <f>IF(AND(B2373=B2372,D2373=D2372,A2373=A2372,F2373=F2372),1,0)</f>
        <v/>
      </c>
      <c r="I2373">
        <f>IF(C2373="C99999",1,0)</f>
        <v/>
      </c>
      <c r="J2373" s="5">
        <f>IF(OR(H2373=1,I2373=1),0,IF(G2373="Credit",-F2373,F2373))</f>
        <v/>
      </c>
    </row>
    <row r="2374">
      <c r="A2374" t="inlineStr">
        <is>
          <t>2026-07-24</t>
        </is>
      </c>
      <c r="B2374" t="inlineStr">
        <is>
          <t>F266425</t>
        </is>
      </c>
      <c r="C2374" t="inlineStr">
        <is>
          <t>C10338</t>
        </is>
      </c>
      <c r="D2374" t="inlineStr">
        <is>
          <t>SKU-10158</t>
        </is>
      </c>
      <c r="E2374" t="inlineStr">
        <is>
          <t>AM05</t>
        </is>
      </c>
      <c r="F2374" s="5" t="n">
        <v>868.8</v>
      </c>
      <c r="G2374">
        <f>IF(LEFT(B2374,1)="C","Credit","Factuur")</f>
        <v/>
      </c>
      <c r="H2374">
        <f>IF(AND(B2374=B2373,D2374=D2373,A2374=A2373,F2374=F2373),1,0)</f>
        <v/>
      </c>
      <c r="I2374">
        <f>IF(C2374="C99999",1,0)</f>
        <v/>
      </c>
      <c r="J2374" s="5">
        <f>IF(OR(H2374=1,I2374=1),0,IF(G2374="Credit",-F2374,F2374))</f>
        <v/>
      </c>
    </row>
    <row r="2375">
      <c r="A2375" t="inlineStr">
        <is>
          <t>2026-07-24</t>
        </is>
      </c>
      <c r="B2375" t="inlineStr">
        <is>
          <t>F266443</t>
        </is>
      </c>
      <c r="C2375" t="inlineStr">
        <is>
          <t>C10339</t>
        </is>
      </c>
      <c r="D2375" t="inlineStr">
        <is>
          <t>SKU-10084</t>
        </is>
      </c>
      <c r="E2375" t="inlineStr">
        <is>
          <t>AM01</t>
        </is>
      </c>
      <c r="F2375" s="5" t="n">
        <v>716.36</v>
      </c>
      <c r="G2375">
        <f>IF(LEFT(B2375,1)="C","Credit","Factuur")</f>
        <v/>
      </c>
      <c r="H2375">
        <f>IF(AND(B2375=B2374,D2375=D2374,A2375=A2374,F2375=F2374),1,0)</f>
        <v/>
      </c>
      <c r="I2375">
        <f>IF(C2375="C99999",1,0)</f>
        <v/>
      </c>
      <c r="J2375" s="5">
        <f>IF(OR(H2375=1,I2375=1),0,IF(G2375="Credit",-F2375,F2375))</f>
        <v/>
      </c>
    </row>
    <row r="2376">
      <c r="A2376" t="inlineStr">
        <is>
          <t>2026-07-24</t>
        </is>
      </c>
      <c r="B2376" t="inlineStr">
        <is>
          <t>F266443</t>
        </is>
      </c>
      <c r="C2376" t="inlineStr">
        <is>
          <t>C10339</t>
        </is>
      </c>
      <c r="D2376" t="inlineStr">
        <is>
          <t>SKU-10128</t>
        </is>
      </c>
      <c r="E2376" t="inlineStr">
        <is>
          <t>AM01</t>
        </is>
      </c>
      <c r="F2376" s="5" t="n">
        <v>749.91</v>
      </c>
      <c r="G2376">
        <f>IF(LEFT(B2376,1)="C","Credit","Factuur")</f>
        <v/>
      </c>
      <c r="H2376">
        <f>IF(AND(B2376=B2375,D2376=D2375,A2376=A2375,F2376=F2375),1,0)</f>
        <v/>
      </c>
      <c r="I2376">
        <f>IF(C2376="C99999",1,0)</f>
        <v/>
      </c>
      <c r="J2376" s="5">
        <f>IF(OR(H2376=1,I2376=1),0,IF(G2376="Credit",-F2376,F2376))</f>
        <v/>
      </c>
    </row>
    <row r="2377">
      <c r="A2377" t="inlineStr">
        <is>
          <t>2026-07-24</t>
        </is>
      </c>
      <c r="B2377" t="inlineStr">
        <is>
          <t>F266443</t>
        </is>
      </c>
      <c r="C2377" t="inlineStr">
        <is>
          <t>C10339</t>
        </is>
      </c>
      <c r="D2377" t="inlineStr">
        <is>
          <t>SKU-10285</t>
        </is>
      </c>
      <c r="E2377" t="inlineStr">
        <is>
          <t>AM01</t>
        </is>
      </c>
      <c r="F2377" s="5" t="n">
        <v>765.6</v>
      </c>
      <c r="G2377">
        <f>IF(LEFT(B2377,1)="C","Credit","Factuur")</f>
        <v/>
      </c>
      <c r="H2377">
        <f>IF(AND(B2377=B2376,D2377=D2376,A2377=A2376,F2377=F2376),1,0)</f>
        <v/>
      </c>
      <c r="I2377">
        <f>IF(C2377="C99999",1,0)</f>
        <v/>
      </c>
      <c r="J2377" s="5">
        <f>IF(OR(H2377=1,I2377=1),0,IF(G2377="Credit",-F2377,F2377))</f>
        <v/>
      </c>
    </row>
    <row r="2378">
      <c r="A2378" t="inlineStr">
        <is>
          <t>2026-07-24</t>
        </is>
      </c>
      <c r="B2378" t="inlineStr">
        <is>
          <t>F266471</t>
        </is>
      </c>
      <c r="C2378" t="inlineStr">
        <is>
          <t>C10341</t>
        </is>
      </c>
      <c r="D2378" t="inlineStr">
        <is>
          <t>SKU-10100</t>
        </is>
      </c>
      <c r="E2378" t="inlineStr">
        <is>
          <t>AM12</t>
        </is>
      </c>
      <c r="F2378" s="5" t="n">
        <v>259.74</v>
      </c>
      <c r="G2378">
        <f>IF(LEFT(B2378,1)="C","Credit","Factuur")</f>
        <v/>
      </c>
      <c r="H2378">
        <f>IF(AND(B2378=B2377,D2378=D2377,A2378=A2377,F2378=F2377),1,0)</f>
        <v/>
      </c>
      <c r="I2378">
        <f>IF(C2378="C99999",1,0)</f>
        <v/>
      </c>
      <c r="J2378" s="5">
        <f>IF(OR(H2378=1,I2378=1),0,IF(G2378="Credit",-F2378,F2378))</f>
        <v/>
      </c>
    </row>
    <row r="2379">
      <c r="A2379" t="inlineStr">
        <is>
          <t>2026-07-24</t>
        </is>
      </c>
      <c r="B2379" t="inlineStr">
        <is>
          <t>F266471</t>
        </is>
      </c>
      <c r="C2379" t="inlineStr">
        <is>
          <t>C10341</t>
        </is>
      </c>
      <c r="D2379" t="inlineStr">
        <is>
          <t>SKU-10147</t>
        </is>
      </c>
      <c r="E2379" t="inlineStr">
        <is>
          <t>AM12</t>
        </is>
      </c>
      <c r="F2379" s="5" t="n">
        <v>271.52</v>
      </c>
      <c r="G2379">
        <f>IF(LEFT(B2379,1)="C","Credit","Factuur")</f>
        <v/>
      </c>
      <c r="H2379">
        <f>IF(AND(B2379=B2378,D2379=D2378,A2379=A2378,F2379=F2378),1,0)</f>
        <v/>
      </c>
      <c r="I2379">
        <f>IF(C2379="C99999",1,0)</f>
        <v/>
      </c>
      <c r="J2379" s="5">
        <f>IF(OR(H2379=1,I2379=1),0,IF(G2379="Credit",-F2379,F2379))</f>
        <v/>
      </c>
    </row>
    <row r="2380">
      <c r="A2380" t="inlineStr">
        <is>
          <t>2026-07-24</t>
        </is>
      </c>
      <c r="B2380" t="inlineStr">
        <is>
          <t>F266471</t>
        </is>
      </c>
      <c r="C2380" t="inlineStr">
        <is>
          <t>C10341</t>
        </is>
      </c>
      <c r="D2380" t="inlineStr">
        <is>
          <t>SKU-10299</t>
        </is>
      </c>
      <c r="E2380" t="inlineStr">
        <is>
          <t>AM12</t>
        </is>
      </c>
      <c r="F2380" s="5" t="n">
        <v>263.48</v>
      </c>
      <c r="G2380">
        <f>IF(LEFT(B2380,1)="C","Credit","Factuur")</f>
        <v/>
      </c>
      <c r="H2380">
        <f>IF(AND(B2380=B2379,D2380=D2379,A2380=A2379,F2380=F2379),1,0)</f>
        <v/>
      </c>
      <c r="I2380">
        <f>IF(C2380="C99999",1,0)</f>
        <v/>
      </c>
      <c r="J2380" s="5">
        <f>IF(OR(H2380=1,I2380=1),0,IF(G2380="Credit",-F2380,F2380))</f>
        <v/>
      </c>
    </row>
    <row r="2381">
      <c r="A2381" t="inlineStr">
        <is>
          <t>2026-07-24</t>
        </is>
      </c>
      <c r="B2381" t="inlineStr">
        <is>
          <t>F266471</t>
        </is>
      </c>
      <c r="C2381" t="inlineStr">
        <is>
          <t>C10341</t>
        </is>
      </c>
      <c r="D2381" t="inlineStr">
        <is>
          <t>SKU-10332</t>
        </is>
      </c>
      <c r="E2381" t="inlineStr"/>
      <c r="F2381" s="5" t="n">
        <v>284.83</v>
      </c>
      <c r="G2381">
        <f>IF(LEFT(B2381,1)="C","Credit","Factuur")</f>
        <v/>
      </c>
      <c r="H2381">
        <f>IF(AND(B2381=B2380,D2381=D2380,A2381=A2380,F2381=F2380),1,0)</f>
        <v/>
      </c>
      <c r="I2381">
        <f>IF(C2381="C99999",1,0)</f>
        <v/>
      </c>
      <c r="J2381" s="5">
        <f>IF(OR(H2381=1,I2381=1),0,IF(G2381="Credit",-F2381,F2381))</f>
        <v/>
      </c>
    </row>
    <row r="2382">
      <c r="A2382" t="inlineStr">
        <is>
          <t>2026-07-24</t>
        </is>
      </c>
      <c r="B2382" t="inlineStr">
        <is>
          <t>F266867</t>
        </is>
      </c>
      <c r="C2382" t="inlineStr">
        <is>
          <t>C10361</t>
        </is>
      </c>
      <c r="D2382" t="inlineStr">
        <is>
          <t>SKU-10139</t>
        </is>
      </c>
      <c r="E2382" t="inlineStr">
        <is>
          <t>AM05</t>
        </is>
      </c>
      <c r="F2382" s="5" t="n">
        <v>410.9</v>
      </c>
      <c r="G2382">
        <f>IF(LEFT(B2382,1)="C","Credit","Factuur")</f>
        <v/>
      </c>
      <c r="H2382">
        <f>IF(AND(B2382=B2381,D2382=D2381,A2382=A2381,F2382=F2381),1,0)</f>
        <v/>
      </c>
      <c r="I2382">
        <f>IF(C2382="C99999",1,0)</f>
        <v/>
      </c>
      <c r="J2382" s="5">
        <f>IF(OR(H2382=1,I2382=1),0,IF(G2382="Credit",-F2382,F2382))</f>
        <v/>
      </c>
    </row>
    <row r="2383">
      <c r="A2383" t="inlineStr">
        <is>
          <t>2026-07-24</t>
        </is>
      </c>
      <c r="B2383" t="inlineStr">
        <is>
          <t>F266867</t>
        </is>
      </c>
      <c r="C2383" t="inlineStr">
        <is>
          <t>C10361</t>
        </is>
      </c>
      <c r="D2383" t="inlineStr">
        <is>
          <t>SKU-10158</t>
        </is>
      </c>
      <c r="E2383" t="inlineStr">
        <is>
          <t>AM05</t>
        </is>
      </c>
      <c r="F2383" s="5" t="n">
        <v>386.89</v>
      </c>
      <c r="G2383">
        <f>IF(LEFT(B2383,1)="C","Credit","Factuur")</f>
        <v/>
      </c>
      <c r="H2383">
        <f>IF(AND(B2383=B2382,D2383=D2382,A2383=A2382,F2383=F2382),1,0)</f>
        <v/>
      </c>
      <c r="I2383">
        <f>IF(C2383="C99999",1,0)</f>
        <v/>
      </c>
      <c r="J2383" s="5">
        <f>IF(OR(H2383=1,I2383=1),0,IF(G2383="Credit",-F2383,F2383))</f>
        <v/>
      </c>
    </row>
    <row r="2384">
      <c r="A2384" t="inlineStr">
        <is>
          <t>2026-07-24</t>
        </is>
      </c>
      <c r="B2384" t="inlineStr">
        <is>
          <t>F266867</t>
        </is>
      </c>
      <c r="C2384" t="inlineStr">
        <is>
          <t>C10361</t>
        </is>
      </c>
      <c r="D2384" t="inlineStr">
        <is>
          <t>SKU-10307</t>
        </is>
      </c>
      <c r="E2384" t="inlineStr">
        <is>
          <t>AM05</t>
        </is>
      </c>
      <c r="F2384" s="5" t="n">
        <v>385.89</v>
      </c>
      <c r="G2384">
        <f>IF(LEFT(B2384,1)="C","Credit","Factuur")</f>
        <v/>
      </c>
      <c r="H2384">
        <f>IF(AND(B2384=B2383,D2384=D2383,A2384=A2383,F2384=F2383),1,0)</f>
        <v/>
      </c>
      <c r="I2384">
        <f>IF(C2384="C99999",1,0)</f>
        <v/>
      </c>
      <c r="J2384" s="5">
        <f>IF(OR(H2384=1,I2384=1),0,IF(G2384="Credit",-F2384,F2384))</f>
        <v/>
      </c>
    </row>
    <row r="2385">
      <c r="A2385" t="inlineStr">
        <is>
          <t>2026-07-24</t>
        </is>
      </c>
      <c r="B2385" t="inlineStr">
        <is>
          <t>F266882</t>
        </is>
      </c>
      <c r="C2385" t="inlineStr">
        <is>
          <t>C10363</t>
        </is>
      </c>
      <c r="D2385" t="inlineStr">
        <is>
          <t>SKU-10075</t>
        </is>
      </c>
      <c r="E2385" t="inlineStr">
        <is>
          <t>AM08</t>
        </is>
      </c>
      <c r="F2385" s="5" t="n">
        <v>1960.44</v>
      </c>
      <c r="G2385">
        <f>IF(LEFT(B2385,1)="C","Credit","Factuur")</f>
        <v/>
      </c>
      <c r="H2385">
        <f>IF(AND(B2385=B2384,D2385=D2384,A2385=A2384,F2385=F2384),1,0)</f>
        <v/>
      </c>
      <c r="I2385">
        <f>IF(C2385="C99999",1,0)</f>
        <v/>
      </c>
      <c r="J2385" s="5">
        <f>IF(OR(H2385=1,I2385=1),0,IF(G2385="Credit",-F2385,F2385))</f>
        <v/>
      </c>
    </row>
    <row r="2386">
      <c r="A2386" t="inlineStr">
        <is>
          <t>2026-07-24</t>
        </is>
      </c>
      <c r="B2386" t="inlineStr">
        <is>
          <t>F267142</t>
        </is>
      </c>
      <c r="C2386" t="inlineStr">
        <is>
          <t>C10378</t>
        </is>
      </c>
      <c r="D2386" t="inlineStr">
        <is>
          <t>SKU-10317</t>
        </is>
      </c>
      <c r="E2386" t="inlineStr">
        <is>
          <t>AM05</t>
        </is>
      </c>
      <c r="F2386" s="5" t="n">
        <v>360.23</v>
      </c>
      <c r="G2386">
        <f>IF(LEFT(B2386,1)="C","Credit","Factuur")</f>
        <v/>
      </c>
      <c r="H2386">
        <f>IF(AND(B2386=B2385,D2386=D2385,A2386=A2385,F2386=F2385),1,0)</f>
        <v/>
      </c>
      <c r="I2386">
        <f>IF(C2386="C99999",1,0)</f>
        <v/>
      </c>
      <c r="J2386" s="5">
        <f>IF(OR(H2386=1,I2386=1),0,IF(G2386="Credit",-F2386,F2386))</f>
        <v/>
      </c>
    </row>
    <row r="2387">
      <c r="A2387" t="inlineStr">
        <is>
          <t>2026-07-24</t>
        </is>
      </c>
      <c r="B2387" t="inlineStr">
        <is>
          <t>F267181</t>
        </is>
      </c>
      <c r="C2387" t="inlineStr">
        <is>
          <t>C10381</t>
        </is>
      </c>
      <c r="D2387" t="inlineStr">
        <is>
          <t>SKU-10029</t>
        </is>
      </c>
      <c r="E2387" t="inlineStr">
        <is>
          <t>AM01</t>
        </is>
      </c>
      <c r="F2387" s="5" t="n">
        <v>723.04</v>
      </c>
      <c r="G2387">
        <f>IF(LEFT(B2387,1)="C","Credit","Factuur")</f>
        <v/>
      </c>
      <c r="H2387">
        <f>IF(AND(B2387=B2386,D2387=D2386,A2387=A2386,F2387=F2386),1,0)</f>
        <v/>
      </c>
      <c r="I2387">
        <f>IF(C2387="C99999",1,0)</f>
        <v/>
      </c>
      <c r="J2387" s="5">
        <f>IF(OR(H2387=1,I2387=1),0,IF(G2387="Credit",-F2387,F2387))</f>
        <v/>
      </c>
    </row>
    <row r="2388">
      <c r="A2388" t="inlineStr">
        <is>
          <t>2026-07-24</t>
        </is>
      </c>
      <c r="B2388" t="inlineStr">
        <is>
          <t>F267181</t>
        </is>
      </c>
      <c r="C2388" t="inlineStr">
        <is>
          <t>C10381</t>
        </is>
      </c>
      <c r="D2388" t="inlineStr">
        <is>
          <t>SKU-10170</t>
        </is>
      </c>
      <c r="E2388" t="inlineStr">
        <is>
          <t>AM01</t>
        </is>
      </c>
      <c r="F2388" s="5" t="n">
        <v>783.72</v>
      </c>
      <c r="G2388">
        <f>IF(LEFT(B2388,1)="C","Credit","Factuur")</f>
        <v/>
      </c>
      <c r="H2388">
        <f>IF(AND(B2388=B2387,D2388=D2387,A2388=A2387,F2388=F2387),1,0)</f>
        <v/>
      </c>
      <c r="I2388">
        <f>IF(C2388="C99999",1,0)</f>
        <v/>
      </c>
      <c r="J2388" s="5">
        <f>IF(OR(H2388=1,I2388=1),0,IF(G2388="Credit",-F2388,F2388))</f>
        <v/>
      </c>
    </row>
    <row r="2389">
      <c r="A2389" t="inlineStr">
        <is>
          <t>2026-07-24</t>
        </is>
      </c>
      <c r="B2389" t="inlineStr">
        <is>
          <t>F267181</t>
        </is>
      </c>
      <c r="C2389" t="inlineStr">
        <is>
          <t>C10381</t>
        </is>
      </c>
      <c r="D2389" t="inlineStr">
        <is>
          <t>SKU-10333</t>
        </is>
      </c>
      <c r="E2389" t="inlineStr">
        <is>
          <t>AM01</t>
        </is>
      </c>
      <c r="F2389" s="5" t="n">
        <v>784.08</v>
      </c>
      <c r="G2389">
        <f>IF(LEFT(B2389,1)="C","Credit","Factuur")</f>
        <v/>
      </c>
      <c r="H2389">
        <f>IF(AND(B2389=B2388,D2389=D2388,A2389=A2388,F2389=F2388),1,0)</f>
        <v/>
      </c>
      <c r="I2389">
        <f>IF(C2389="C99999",1,0)</f>
        <v/>
      </c>
      <c r="J2389" s="5">
        <f>IF(OR(H2389=1,I2389=1),0,IF(G2389="Credit",-F2389,F2389))</f>
        <v/>
      </c>
    </row>
    <row r="2390">
      <c r="A2390" t="inlineStr">
        <is>
          <t>2026-07-24</t>
        </is>
      </c>
      <c r="B2390" t="inlineStr">
        <is>
          <t>F267962</t>
        </is>
      </c>
      <c r="C2390" t="inlineStr">
        <is>
          <t>C10418</t>
        </is>
      </c>
      <c r="D2390" t="inlineStr">
        <is>
          <t>SKU-10008</t>
        </is>
      </c>
      <c r="E2390" t="inlineStr">
        <is>
          <t>AM12</t>
        </is>
      </c>
      <c r="F2390" s="5" t="n">
        <v>124.49</v>
      </c>
      <c r="G2390">
        <f>IF(LEFT(B2390,1)="C","Credit","Factuur")</f>
        <v/>
      </c>
      <c r="H2390">
        <f>IF(AND(B2390=B2389,D2390=D2389,A2390=A2389,F2390=F2389),1,0)</f>
        <v/>
      </c>
      <c r="I2390">
        <f>IF(C2390="C99999",1,0)</f>
        <v/>
      </c>
      <c r="J2390" s="5">
        <f>IF(OR(H2390=1,I2390=1),0,IF(G2390="Credit",-F2390,F2390))</f>
        <v/>
      </c>
    </row>
    <row r="2391">
      <c r="A2391" t="inlineStr">
        <is>
          <t>2026-07-24</t>
        </is>
      </c>
      <c r="B2391" t="inlineStr">
        <is>
          <t>F267962</t>
        </is>
      </c>
      <c r="C2391" t="inlineStr">
        <is>
          <t>C10418</t>
        </is>
      </c>
      <c r="D2391" t="inlineStr">
        <is>
          <t>SKU-10044</t>
        </is>
      </c>
      <c r="E2391" t="inlineStr">
        <is>
          <t>AM12</t>
        </is>
      </c>
      <c r="F2391" s="5" t="n">
        <v>98.16</v>
      </c>
      <c r="G2391">
        <f>IF(LEFT(B2391,1)="C","Credit","Factuur")</f>
        <v/>
      </c>
      <c r="H2391">
        <f>IF(AND(B2391=B2390,D2391=D2390,A2391=A2390,F2391=F2390),1,0)</f>
        <v/>
      </c>
      <c r="I2391">
        <f>IF(C2391="C99999",1,0)</f>
        <v/>
      </c>
      <c r="J2391" s="5">
        <f>IF(OR(H2391=1,I2391=1),0,IF(G2391="Credit",-F2391,F2391))</f>
        <v/>
      </c>
    </row>
    <row r="2392">
      <c r="A2392" t="inlineStr">
        <is>
          <t>2026-07-24</t>
        </is>
      </c>
      <c r="B2392" t="inlineStr">
        <is>
          <t>F267962</t>
        </is>
      </c>
      <c r="C2392" t="inlineStr">
        <is>
          <t>C10418</t>
        </is>
      </c>
      <c r="D2392" t="inlineStr">
        <is>
          <t>SKU-10058</t>
        </is>
      </c>
      <c r="E2392" t="inlineStr">
        <is>
          <t>AM12</t>
        </is>
      </c>
      <c r="F2392" s="5" t="n">
        <v>115.66</v>
      </c>
      <c r="G2392">
        <f>IF(LEFT(B2392,1)="C","Credit","Factuur")</f>
        <v/>
      </c>
      <c r="H2392">
        <f>IF(AND(B2392=B2391,D2392=D2391,A2392=A2391,F2392=F2391),1,0)</f>
        <v/>
      </c>
      <c r="I2392">
        <f>IF(C2392="C99999",1,0)</f>
        <v/>
      </c>
      <c r="J2392" s="5">
        <f>IF(OR(H2392=1,I2392=1),0,IF(G2392="Credit",-F2392,F2392))</f>
        <v/>
      </c>
    </row>
    <row r="2393">
      <c r="A2393" t="inlineStr">
        <is>
          <t>2026-07-24</t>
        </is>
      </c>
      <c r="B2393" t="inlineStr">
        <is>
          <t>F267987</t>
        </is>
      </c>
      <c r="C2393" t="inlineStr">
        <is>
          <t>C10421</t>
        </is>
      </c>
      <c r="D2393" t="inlineStr">
        <is>
          <t>SKU-10002</t>
        </is>
      </c>
      <c r="E2393" t="inlineStr">
        <is>
          <t>AM02</t>
        </is>
      </c>
      <c r="F2393" s="5" t="n">
        <v>229.48</v>
      </c>
      <c r="G2393">
        <f>IF(LEFT(B2393,1)="C","Credit","Factuur")</f>
        <v/>
      </c>
      <c r="H2393">
        <f>IF(AND(B2393=B2392,D2393=D2392,A2393=A2392,F2393=F2392),1,0)</f>
        <v/>
      </c>
      <c r="I2393">
        <f>IF(C2393="C99999",1,0)</f>
        <v/>
      </c>
      <c r="J2393" s="5">
        <f>IF(OR(H2393=1,I2393=1),0,IF(G2393="Credit",-F2393,F2393))</f>
        <v/>
      </c>
    </row>
    <row r="2394">
      <c r="A2394" t="inlineStr">
        <is>
          <t>2026-07-24</t>
        </is>
      </c>
      <c r="B2394" t="inlineStr">
        <is>
          <t>F267987</t>
        </is>
      </c>
      <c r="C2394" t="inlineStr">
        <is>
          <t>C10421</t>
        </is>
      </c>
      <c r="D2394" t="inlineStr">
        <is>
          <t>SKU-10049</t>
        </is>
      </c>
      <c r="E2394" t="inlineStr">
        <is>
          <t>AM02</t>
        </is>
      </c>
      <c r="F2394" s="5" t="n">
        <v>265.8</v>
      </c>
      <c r="G2394">
        <f>IF(LEFT(B2394,1)="C","Credit","Factuur")</f>
        <v/>
      </c>
      <c r="H2394">
        <f>IF(AND(B2394=B2393,D2394=D2393,A2394=A2393,F2394=F2393),1,0)</f>
        <v/>
      </c>
      <c r="I2394">
        <f>IF(C2394="C99999",1,0)</f>
        <v/>
      </c>
      <c r="J2394" s="5">
        <f>IF(OR(H2394=1,I2394=1),0,IF(G2394="Credit",-F2394,F2394))</f>
        <v/>
      </c>
    </row>
    <row r="2395">
      <c r="A2395" t="inlineStr">
        <is>
          <t>2026-07-24</t>
        </is>
      </c>
      <c r="B2395" t="inlineStr">
        <is>
          <t>F267987</t>
        </is>
      </c>
      <c r="C2395" t="inlineStr">
        <is>
          <t>C10421</t>
        </is>
      </c>
      <c r="D2395" t="inlineStr">
        <is>
          <t>SKU-10143</t>
        </is>
      </c>
      <c r="E2395" t="inlineStr">
        <is>
          <t>AM02</t>
        </is>
      </c>
      <c r="F2395" s="5" t="n">
        <v>218.04</v>
      </c>
      <c r="G2395">
        <f>IF(LEFT(B2395,1)="C","Credit","Factuur")</f>
        <v/>
      </c>
      <c r="H2395">
        <f>IF(AND(B2395=B2394,D2395=D2394,A2395=A2394,F2395=F2394),1,0)</f>
        <v/>
      </c>
      <c r="I2395">
        <f>IF(C2395="C99999",1,0)</f>
        <v/>
      </c>
      <c r="J2395" s="5">
        <f>IF(OR(H2395=1,I2395=1),0,IF(G2395="Credit",-F2395,F2395))</f>
        <v/>
      </c>
    </row>
    <row r="2396">
      <c r="A2396" t="inlineStr">
        <is>
          <t>2026-07-24</t>
        </is>
      </c>
      <c r="B2396" t="inlineStr">
        <is>
          <t>F268077</t>
        </is>
      </c>
      <c r="C2396" t="inlineStr">
        <is>
          <t>C10424</t>
        </is>
      </c>
      <c r="D2396" t="inlineStr">
        <is>
          <t>SKU-10034</t>
        </is>
      </c>
      <c r="E2396" t="inlineStr">
        <is>
          <t>AM01</t>
        </is>
      </c>
      <c r="F2396" s="5" t="n">
        <v>44.11</v>
      </c>
      <c r="G2396">
        <f>IF(LEFT(B2396,1)="C","Credit","Factuur")</f>
        <v/>
      </c>
      <c r="H2396">
        <f>IF(AND(B2396=B2395,D2396=D2395,A2396=A2395,F2396=F2395),1,0)</f>
        <v/>
      </c>
      <c r="I2396">
        <f>IF(C2396="C99999",1,0)</f>
        <v/>
      </c>
      <c r="J2396" s="5">
        <f>IF(OR(H2396=1,I2396=1),0,IF(G2396="Credit",-F2396,F2396))</f>
        <v/>
      </c>
    </row>
    <row r="2397">
      <c r="A2397" t="inlineStr">
        <is>
          <t>2026-07-24</t>
        </is>
      </c>
      <c r="B2397" t="inlineStr">
        <is>
          <t>F268077</t>
        </is>
      </c>
      <c r="C2397" t="inlineStr">
        <is>
          <t>C10424</t>
        </is>
      </c>
      <c r="D2397" t="inlineStr">
        <is>
          <t>SKU-10058</t>
        </is>
      </c>
      <c r="E2397" t="inlineStr">
        <is>
          <t>AM01</t>
        </is>
      </c>
      <c r="F2397" s="5" t="n">
        <v>50.89</v>
      </c>
      <c r="G2397">
        <f>IF(LEFT(B2397,1)="C","Credit","Factuur")</f>
        <v/>
      </c>
      <c r="H2397">
        <f>IF(AND(B2397=B2396,D2397=D2396,A2397=A2396,F2397=F2396),1,0)</f>
        <v/>
      </c>
      <c r="I2397">
        <f>IF(C2397="C99999",1,0)</f>
        <v/>
      </c>
      <c r="J2397" s="5">
        <f>IF(OR(H2397=1,I2397=1),0,IF(G2397="Credit",-F2397,F2397))</f>
        <v/>
      </c>
    </row>
    <row r="2398">
      <c r="A2398" t="inlineStr">
        <is>
          <t>2026-07-24</t>
        </is>
      </c>
      <c r="B2398" t="inlineStr">
        <is>
          <t>F268077</t>
        </is>
      </c>
      <c r="C2398" t="inlineStr">
        <is>
          <t>C10424</t>
        </is>
      </c>
      <c r="D2398" t="inlineStr">
        <is>
          <t>SKU-10060</t>
        </is>
      </c>
      <c r="E2398" t="inlineStr">
        <is>
          <t>AM01</t>
        </is>
      </c>
      <c r="F2398" s="5" t="n">
        <v>44.1</v>
      </c>
      <c r="G2398">
        <f>IF(LEFT(B2398,1)="C","Credit","Factuur")</f>
        <v/>
      </c>
      <c r="H2398">
        <f>IF(AND(B2398=B2397,D2398=D2397,A2398=A2397,F2398=F2397),1,0)</f>
        <v/>
      </c>
      <c r="I2398">
        <f>IF(C2398="C99999",1,0)</f>
        <v/>
      </c>
      <c r="J2398" s="5">
        <f>IF(OR(H2398=1,I2398=1),0,IF(G2398="Credit",-F2398,F2398))</f>
        <v/>
      </c>
    </row>
    <row r="2399">
      <c r="A2399" t="inlineStr">
        <is>
          <t>2026-07-24</t>
        </is>
      </c>
      <c r="B2399" t="inlineStr">
        <is>
          <t>F268077</t>
        </is>
      </c>
      <c r="C2399" t="inlineStr">
        <is>
          <t>C10424</t>
        </is>
      </c>
      <c r="D2399" t="inlineStr">
        <is>
          <t>SKU-10240</t>
        </is>
      </c>
      <c r="E2399" t="inlineStr">
        <is>
          <t>AM01</t>
        </is>
      </c>
      <c r="F2399" s="5" t="n">
        <v>59.16</v>
      </c>
      <c r="G2399">
        <f>IF(LEFT(B2399,1)="C","Credit","Factuur")</f>
        <v/>
      </c>
      <c r="H2399">
        <f>IF(AND(B2399=B2398,D2399=D2398,A2399=A2398,F2399=F2398),1,0)</f>
        <v/>
      </c>
      <c r="I2399">
        <f>IF(C2399="C99999",1,0)</f>
        <v/>
      </c>
      <c r="J2399" s="5">
        <f>IF(OR(H2399=1,I2399=1),0,IF(G2399="Credit",-F2399,F2399))</f>
        <v/>
      </c>
    </row>
    <row r="2400">
      <c r="A2400" t="inlineStr">
        <is>
          <t>2026-07-24</t>
        </is>
      </c>
      <c r="B2400" t="inlineStr">
        <is>
          <t>F268342</t>
        </is>
      </c>
      <c r="C2400" t="inlineStr">
        <is>
          <t>C10436</t>
        </is>
      </c>
      <c r="D2400" t="inlineStr">
        <is>
          <t>SKU-10331</t>
        </is>
      </c>
      <c r="E2400" t="inlineStr">
        <is>
          <t>AM06</t>
        </is>
      </c>
      <c r="F2400" s="5" t="n">
        <v>1230.66</v>
      </c>
      <c r="G2400">
        <f>IF(LEFT(B2400,1)="C","Credit","Factuur")</f>
        <v/>
      </c>
      <c r="H2400">
        <f>IF(AND(B2400=B2399,D2400=D2399,A2400=A2399,F2400=F2399),1,0)</f>
        <v/>
      </c>
      <c r="I2400">
        <f>IF(C2400="C99999",1,0)</f>
        <v/>
      </c>
      <c r="J2400" s="5">
        <f>IF(OR(H2400=1,I2400=1),0,IF(G2400="Credit",-F2400,F2400))</f>
        <v/>
      </c>
    </row>
    <row r="2401">
      <c r="A2401" t="inlineStr">
        <is>
          <t>2026-07-24</t>
        </is>
      </c>
      <c r="B2401" t="inlineStr">
        <is>
          <t>F268370</t>
        </is>
      </c>
      <c r="C2401" t="inlineStr">
        <is>
          <t>C10437</t>
        </is>
      </c>
      <c r="D2401" t="inlineStr">
        <is>
          <t>SKU-10303</t>
        </is>
      </c>
      <c r="E2401" t="inlineStr">
        <is>
          <t>AM11</t>
        </is>
      </c>
      <c r="F2401" s="5" t="n">
        <v>795.0700000000001</v>
      </c>
      <c r="G2401">
        <f>IF(LEFT(B2401,1)="C","Credit","Factuur")</f>
        <v/>
      </c>
      <c r="H2401">
        <f>IF(AND(B2401=B2400,D2401=D2400,A2401=A2400,F2401=F2400),1,0)</f>
        <v/>
      </c>
      <c r="I2401">
        <f>IF(C2401="C99999",1,0)</f>
        <v/>
      </c>
      <c r="J2401" s="5">
        <f>IF(OR(H2401=1,I2401=1),0,IF(G2401="Credit",-F2401,F2401))</f>
        <v/>
      </c>
    </row>
    <row r="2402">
      <c r="A2402" t="inlineStr">
        <is>
          <t>2026-07-24</t>
        </is>
      </c>
      <c r="B2402" t="inlineStr">
        <is>
          <t>F268461</t>
        </is>
      </c>
      <c r="C2402" t="inlineStr">
        <is>
          <t>C10443</t>
        </is>
      </c>
      <c r="D2402" t="inlineStr">
        <is>
          <t>SKU-10227</t>
        </is>
      </c>
      <c r="E2402" t="inlineStr">
        <is>
          <t>AM02</t>
        </is>
      </c>
      <c r="F2402" s="5" t="n">
        <v>213.12</v>
      </c>
      <c r="G2402">
        <f>IF(LEFT(B2402,1)="C","Credit","Factuur")</f>
        <v/>
      </c>
      <c r="H2402">
        <f>IF(AND(B2402=B2401,D2402=D2401,A2402=A2401,F2402=F2401),1,0)</f>
        <v/>
      </c>
      <c r="I2402">
        <f>IF(C2402="C99999",1,0)</f>
        <v/>
      </c>
      <c r="J2402" s="5">
        <f>IF(OR(H2402=1,I2402=1),0,IF(G2402="Credit",-F2402,F2402))</f>
        <v/>
      </c>
    </row>
    <row r="2403">
      <c r="A2403" t="inlineStr">
        <is>
          <t>2026-07-24</t>
        </is>
      </c>
      <c r="B2403" t="inlineStr">
        <is>
          <t>F268689</t>
        </is>
      </c>
      <c r="C2403" t="inlineStr">
        <is>
          <t>C10454</t>
        </is>
      </c>
      <c r="D2403" t="inlineStr">
        <is>
          <t>SKU-10040</t>
        </is>
      </c>
      <c r="E2403" t="inlineStr">
        <is>
          <t>AM12</t>
        </is>
      </c>
      <c r="F2403" s="5" t="n">
        <v>300.4</v>
      </c>
      <c r="G2403">
        <f>IF(LEFT(B2403,1)="C","Credit","Factuur")</f>
        <v/>
      </c>
      <c r="H2403">
        <f>IF(AND(B2403=B2402,D2403=D2402,A2403=A2402,F2403=F2402),1,0)</f>
        <v/>
      </c>
      <c r="I2403">
        <f>IF(C2403="C99999",1,0)</f>
        <v/>
      </c>
      <c r="J2403" s="5">
        <f>IF(OR(H2403=1,I2403=1),0,IF(G2403="Credit",-F2403,F2403))</f>
        <v/>
      </c>
    </row>
    <row r="2404">
      <c r="A2404" t="inlineStr">
        <is>
          <t>2026-07-24</t>
        </is>
      </c>
      <c r="B2404" t="inlineStr">
        <is>
          <t>F268689</t>
        </is>
      </c>
      <c r="C2404" t="inlineStr">
        <is>
          <t>C10454</t>
        </is>
      </c>
      <c r="D2404" t="inlineStr">
        <is>
          <t>SKU-10268</t>
        </is>
      </c>
      <c r="E2404" t="inlineStr">
        <is>
          <t>AM12</t>
        </is>
      </c>
      <c r="F2404" s="5" t="n">
        <v>277.56</v>
      </c>
      <c r="G2404">
        <f>IF(LEFT(B2404,1)="C","Credit","Factuur")</f>
        <v/>
      </c>
      <c r="H2404">
        <f>IF(AND(B2404=B2403,D2404=D2403,A2404=A2403,F2404=F2403),1,0)</f>
        <v/>
      </c>
      <c r="I2404">
        <f>IF(C2404="C99999",1,0)</f>
        <v/>
      </c>
      <c r="J2404" s="5">
        <f>IF(OR(H2404=1,I2404=1),0,IF(G2404="Credit",-F2404,F2404))</f>
        <v/>
      </c>
    </row>
    <row r="2405">
      <c r="A2405" t="inlineStr">
        <is>
          <t>2026-07-24</t>
        </is>
      </c>
      <c r="B2405" t="inlineStr">
        <is>
          <t>F269207</t>
        </is>
      </c>
      <c r="C2405" t="inlineStr">
        <is>
          <t>C10484</t>
        </is>
      </c>
      <c r="D2405" t="inlineStr">
        <is>
          <t>SKU-10017</t>
        </is>
      </c>
      <c r="E2405" t="inlineStr">
        <is>
          <t>AM02</t>
        </is>
      </c>
      <c r="F2405" s="5" t="n">
        <v>155.4</v>
      </c>
      <c r="G2405">
        <f>IF(LEFT(B2405,1)="C","Credit","Factuur")</f>
        <v/>
      </c>
      <c r="H2405">
        <f>IF(AND(B2405=B2404,D2405=D2404,A2405=A2404,F2405=F2404),1,0)</f>
        <v/>
      </c>
      <c r="I2405">
        <f>IF(C2405="C99999",1,0)</f>
        <v/>
      </c>
      <c r="J2405" s="5">
        <f>IF(OR(H2405=1,I2405=1),0,IF(G2405="Credit",-F2405,F2405))</f>
        <v/>
      </c>
    </row>
    <row r="2406">
      <c r="A2406" t="inlineStr">
        <is>
          <t>2026-07-24</t>
        </is>
      </c>
      <c r="B2406" t="inlineStr">
        <is>
          <t>F269207</t>
        </is>
      </c>
      <c r="C2406" t="inlineStr">
        <is>
          <t>C10484</t>
        </is>
      </c>
      <c r="D2406" t="inlineStr">
        <is>
          <t>SKU-10087</t>
        </is>
      </c>
      <c r="E2406" t="inlineStr">
        <is>
          <t>AM02</t>
        </is>
      </c>
      <c r="F2406" s="5" t="n">
        <v>172.04</v>
      </c>
      <c r="G2406">
        <f>IF(LEFT(B2406,1)="C","Credit","Factuur")</f>
        <v/>
      </c>
      <c r="H2406">
        <f>IF(AND(B2406=B2405,D2406=D2405,A2406=A2405,F2406=F2405),1,0)</f>
        <v/>
      </c>
      <c r="I2406">
        <f>IF(C2406="C99999",1,0)</f>
        <v/>
      </c>
      <c r="J2406" s="5">
        <f>IF(OR(H2406=1,I2406=1),0,IF(G2406="Credit",-F2406,F2406))</f>
        <v/>
      </c>
    </row>
    <row r="2407">
      <c r="A2407" t="inlineStr">
        <is>
          <t>2026-07-24</t>
        </is>
      </c>
      <c r="B2407" t="inlineStr">
        <is>
          <t>F269207</t>
        </is>
      </c>
      <c r="C2407" t="inlineStr">
        <is>
          <t>C10484</t>
        </is>
      </c>
      <c r="D2407" t="inlineStr">
        <is>
          <t>SKU-10132</t>
        </is>
      </c>
      <c r="E2407" t="inlineStr">
        <is>
          <t>AM02</t>
        </is>
      </c>
      <c r="F2407" s="5" t="n">
        <v>168.35</v>
      </c>
      <c r="G2407">
        <f>IF(LEFT(B2407,1)="C","Credit","Factuur")</f>
        <v/>
      </c>
      <c r="H2407">
        <f>IF(AND(B2407=B2406,D2407=D2406,A2407=A2406,F2407=F2406),1,0)</f>
        <v/>
      </c>
      <c r="I2407">
        <f>IF(C2407="C99999",1,0)</f>
        <v/>
      </c>
      <c r="J2407" s="5">
        <f>IF(OR(H2407=1,I2407=1),0,IF(G2407="Credit",-F2407,F2407))</f>
        <v/>
      </c>
    </row>
    <row r="2408">
      <c r="A2408" t="inlineStr">
        <is>
          <t>2026-07-24</t>
        </is>
      </c>
      <c r="B2408" t="inlineStr">
        <is>
          <t>F269207</t>
        </is>
      </c>
      <c r="C2408" t="inlineStr">
        <is>
          <t>C10484</t>
        </is>
      </c>
      <c r="D2408" t="inlineStr">
        <is>
          <t>SKU-10309</t>
        </is>
      </c>
      <c r="E2408" t="inlineStr">
        <is>
          <t>AM02</t>
        </is>
      </c>
      <c r="F2408" s="5" t="n">
        <v>184.84</v>
      </c>
      <c r="G2408">
        <f>IF(LEFT(B2408,1)="C","Credit","Factuur")</f>
        <v/>
      </c>
      <c r="H2408">
        <f>IF(AND(B2408=B2407,D2408=D2407,A2408=A2407,F2408=F2407),1,0)</f>
        <v/>
      </c>
      <c r="I2408">
        <f>IF(C2408="C99999",1,0)</f>
        <v/>
      </c>
      <c r="J2408" s="5">
        <f>IF(OR(H2408=1,I2408=1),0,IF(G2408="Credit",-F2408,F2408))</f>
        <v/>
      </c>
    </row>
    <row r="2409">
      <c r="A2409" t="inlineStr">
        <is>
          <t>2026-07-24</t>
        </is>
      </c>
      <c r="B2409" t="inlineStr">
        <is>
          <t>F269273</t>
        </is>
      </c>
      <c r="C2409" t="inlineStr">
        <is>
          <t>C10488</t>
        </is>
      </c>
      <c r="D2409" t="inlineStr">
        <is>
          <t>SKU-10019</t>
        </is>
      </c>
      <c r="E2409" t="inlineStr">
        <is>
          <t>AM03</t>
        </is>
      </c>
      <c r="F2409" s="5" t="n">
        <v>1232.28</v>
      </c>
      <c r="G2409">
        <f>IF(LEFT(B2409,1)="C","Credit","Factuur")</f>
        <v/>
      </c>
      <c r="H2409">
        <f>IF(AND(B2409=B2408,D2409=D2408,A2409=A2408,F2409=F2408),1,0)</f>
        <v/>
      </c>
      <c r="I2409">
        <f>IF(C2409="C99999",1,0)</f>
        <v/>
      </c>
      <c r="J2409" s="5">
        <f>IF(OR(H2409=1,I2409=1),0,IF(G2409="Credit",-F2409,F2409))</f>
        <v/>
      </c>
    </row>
    <row r="2410">
      <c r="A2410" t="inlineStr">
        <is>
          <t>2026-07-24</t>
        </is>
      </c>
      <c r="B2410" t="inlineStr">
        <is>
          <t>F269273</t>
        </is>
      </c>
      <c r="C2410" t="inlineStr">
        <is>
          <t>C10488</t>
        </is>
      </c>
      <c r="D2410" t="inlineStr">
        <is>
          <t>SKU-10196</t>
        </is>
      </c>
      <c r="E2410" t="inlineStr">
        <is>
          <t>AM03</t>
        </is>
      </c>
      <c r="F2410" s="5" t="n">
        <v>1219.53</v>
      </c>
      <c r="G2410">
        <f>IF(LEFT(B2410,1)="C","Credit","Factuur")</f>
        <v/>
      </c>
      <c r="H2410">
        <f>IF(AND(B2410=B2409,D2410=D2409,A2410=A2409,F2410=F2409),1,0)</f>
        <v/>
      </c>
      <c r="I2410">
        <f>IF(C2410="C99999",1,0)</f>
        <v/>
      </c>
      <c r="J2410" s="5">
        <f>IF(OR(H2410=1,I2410=1),0,IF(G2410="Credit",-F2410,F2410))</f>
        <v/>
      </c>
    </row>
    <row r="2411">
      <c r="A2411" t="inlineStr">
        <is>
          <t>2026-07-24</t>
        </is>
      </c>
      <c r="B2411" t="inlineStr">
        <is>
          <t>F270287</t>
        </is>
      </c>
      <c r="C2411" t="inlineStr">
        <is>
          <t>C10542</t>
        </is>
      </c>
      <c r="D2411" t="inlineStr">
        <is>
          <t>SKU-10064</t>
        </is>
      </c>
      <c r="E2411" t="inlineStr">
        <is>
          <t>AM08</t>
        </is>
      </c>
      <c r="F2411" s="5" t="n">
        <v>589.2</v>
      </c>
      <c r="G2411">
        <f>IF(LEFT(B2411,1)="C","Credit","Factuur")</f>
        <v/>
      </c>
      <c r="H2411">
        <f>IF(AND(B2411=B2410,D2411=D2410,A2411=A2410,F2411=F2410),1,0)</f>
        <v/>
      </c>
      <c r="I2411">
        <f>IF(C2411="C99999",1,0)</f>
        <v/>
      </c>
      <c r="J2411" s="5">
        <f>IF(OR(H2411=1,I2411=1),0,IF(G2411="Credit",-F2411,F2411))</f>
        <v/>
      </c>
    </row>
    <row r="2412">
      <c r="A2412" t="inlineStr">
        <is>
          <t>2026-07-24</t>
        </is>
      </c>
      <c r="B2412" t="inlineStr">
        <is>
          <t>F270287</t>
        </is>
      </c>
      <c r="C2412" t="inlineStr">
        <is>
          <t>C10542</t>
        </is>
      </c>
      <c r="D2412" t="inlineStr">
        <is>
          <t>SKU-10114</t>
        </is>
      </c>
      <c r="E2412" t="inlineStr">
        <is>
          <t>AM08</t>
        </is>
      </c>
      <c r="F2412" s="5" t="n">
        <v>530.24</v>
      </c>
      <c r="G2412">
        <f>IF(LEFT(B2412,1)="C","Credit","Factuur")</f>
        <v/>
      </c>
      <c r="H2412">
        <f>IF(AND(B2412=B2411,D2412=D2411,A2412=A2411,F2412=F2411),1,0)</f>
        <v/>
      </c>
      <c r="I2412">
        <f>IF(C2412="C99999",1,0)</f>
        <v/>
      </c>
      <c r="J2412" s="5">
        <f>IF(OR(H2412=1,I2412=1),0,IF(G2412="Credit",-F2412,F2412))</f>
        <v/>
      </c>
    </row>
    <row r="2413">
      <c r="A2413" t="inlineStr">
        <is>
          <t>2026-07-24</t>
        </is>
      </c>
      <c r="B2413" t="inlineStr">
        <is>
          <t>F270287</t>
        </is>
      </c>
      <c r="C2413" t="inlineStr">
        <is>
          <t>C10542</t>
        </is>
      </c>
      <c r="D2413" t="inlineStr">
        <is>
          <t>SKU-10130</t>
        </is>
      </c>
      <c r="E2413" t="inlineStr">
        <is>
          <t>AM08</t>
        </is>
      </c>
      <c r="F2413" s="5" t="n">
        <v>580.52</v>
      </c>
      <c r="G2413">
        <f>IF(LEFT(B2413,1)="C","Credit","Factuur")</f>
        <v/>
      </c>
      <c r="H2413">
        <f>IF(AND(B2413=B2412,D2413=D2412,A2413=A2412,F2413=F2412),1,0)</f>
        <v/>
      </c>
      <c r="I2413">
        <f>IF(C2413="C99999",1,0)</f>
        <v/>
      </c>
      <c r="J2413" s="5">
        <f>IF(OR(H2413=1,I2413=1),0,IF(G2413="Credit",-F2413,F2413))</f>
        <v/>
      </c>
    </row>
    <row r="2414">
      <c r="A2414" t="inlineStr">
        <is>
          <t>2026-07-24</t>
        </is>
      </c>
      <c r="B2414" t="inlineStr">
        <is>
          <t>F270287</t>
        </is>
      </c>
      <c r="C2414" t="inlineStr">
        <is>
          <t>C10542</t>
        </is>
      </c>
      <c r="D2414" t="inlineStr">
        <is>
          <t>SKU-10258</t>
        </is>
      </c>
      <c r="E2414" t="inlineStr">
        <is>
          <t>AM08</t>
        </is>
      </c>
      <c r="F2414" s="5" t="n">
        <v>522.95</v>
      </c>
      <c r="G2414">
        <f>IF(LEFT(B2414,1)="C","Credit","Factuur")</f>
        <v/>
      </c>
      <c r="H2414">
        <f>IF(AND(B2414=B2413,D2414=D2413,A2414=A2413,F2414=F2413),1,0)</f>
        <v/>
      </c>
      <c r="I2414">
        <f>IF(C2414="C99999",1,0)</f>
        <v/>
      </c>
      <c r="J2414" s="5">
        <f>IF(OR(H2414=1,I2414=1),0,IF(G2414="Credit",-F2414,F2414))</f>
        <v/>
      </c>
    </row>
    <row r="2415">
      <c r="A2415" t="inlineStr">
        <is>
          <t>2026-07-24</t>
        </is>
      </c>
      <c r="B2415" t="inlineStr">
        <is>
          <t>F270287</t>
        </is>
      </c>
      <c r="C2415" t="inlineStr">
        <is>
          <t>C10542</t>
        </is>
      </c>
      <c r="D2415" t="inlineStr">
        <is>
          <t>SKU-10310</t>
        </is>
      </c>
      <c r="E2415" t="inlineStr">
        <is>
          <t>AM08</t>
        </is>
      </c>
      <c r="F2415" s="5" t="n">
        <v>582.14</v>
      </c>
      <c r="G2415">
        <f>IF(LEFT(B2415,1)="C","Credit","Factuur")</f>
        <v/>
      </c>
      <c r="H2415">
        <f>IF(AND(B2415=B2414,D2415=D2414,A2415=A2414,F2415=F2414),1,0)</f>
        <v/>
      </c>
      <c r="I2415">
        <f>IF(C2415="C99999",1,0)</f>
        <v/>
      </c>
      <c r="J2415" s="5">
        <f>IF(OR(H2415=1,I2415=1),0,IF(G2415="Credit",-F2415,F2415))</f>
        <v/>
      </c>
    </row>
    <row r="2416">
      <c r="A2416" t="inlineStr">
        <is>
          <t>2026-07-24</t>
        </is>
      </c>
      <c r="B2416" t="inlineStr">
        <is>
          <t>F270318</t>
        </is>
      </c>
      <c r="C2416" t="inlineStr">
        <is>
          <t>C10543</t>
        </is>
      </c>
      <c r="D2416" t="inlineStr">
        <is>
          <t>SKU-10040</t>
        </is>
      </c>
      <c r="E2416" t="inlineStr">
        <is>
          <t>AM05</t>
        </is>
      </c>
      <c r="F2416" s="5" t="n">
        <v>675.9</v>
      </c>
      <c r="G2416">
        <f>IF(LEFT(B2416,1)="C","Credit","Factuur")</f>
        <v/>
      </c>
      <c r="H2416">
        <f>IF(AND(B2416=B2415,D2416=D2415,A2416=A2415,F2416=F2415),1,0)</f>
        <v/>
      </c>
      <c r="I2416">
        <f>IF(C2416="C99999",1,0)</f>
        <v/>
      </c>
      <c r="J2416" s="5">
        <f>IF(OR(H2416=1,I2416=1),0,IF(G2416="Credit",-F2416,F2416))</f>
        <v/>
      </c>
    </row>
    <row r="2417">
      <c r="A2417" t="inlineStr">
        <is>
          <t>2026-07-24</t>
        </is>
      </c>
      <c r="B2417" t="inlineStr">
        <is>
          <t>F270318</t>
        </is>
      </c>
      <c r="C2417" t="inlineStr">
        <is>
          <t>C10543</t>
        </is>
      </c>
      <c r="D2417" t="inlineStr">
        <is>
          <t>SKU-10123</t>
        </is>
      </c>
      <c r="E2417" t="inlineStr">
        <is>
          <t>AM05</t>
        </is>
      </c>
      <c r="F2417" s="5" t="n">
        <v>694.4</v>
      </c>
      <c r="G2417">
        <f>IF(LEFT(B2417,1)="C","Credit","Factuur")</f>
        <v/>
      </c>
      <c r="H2417">
        <f>IF(AND(B2417=B2416,D2417=D2416,A2417=A2416,F2417=F2416),1,0)</f>
        <v/>
      </c>
      <c r="I2417">
        <f>IF(C2417="C99999",1,0)</f>
        <v/>
      </c>
      <c r="J2417" s="5">
        <f>IF(OR(H2417=1,I2417=1),0,IF(G2417="Credit",-F2417,F2417))</f>
        <v/>
      </c>
    </row>
    <row r="2418">
      <c r="A2418" t="inlineStr">
        <is>
          <t>2026-07-24</t>
        </is>
      </c>
      <c r="B2418" t="inlineStr">
        <is>
          <t>F270451</t>
        </is>
      </c>
      <c r="C2418" t="inlineStr">
        <is>
          <t>C10550</t>
        </is>
      </c>
      <c r="D2418" t="inlineStr">
        <is>
          <t>SKU-10053</t>
        </is>
      </c>
      <c r="E2418" t="inlineStr">
        <is>
          <t>AM03</t>
        </is>
      </c>
      <c r="F2418" s="5" t="n">
        <v>975</v>
      </c>
      <c r="G2418">
        <f>IF(LEFT(B2418,1)="C","Credit","Factuur")</f>
        <v/>
      </c>
      <c r="H2418">
        <f>IF(AND(B2418=B2417,D2418=D2417,A2418=A2417,F2418=F2417),1,0)</f>
        <v/>
      </c>
      <c r="I2418">
        <f>IF(C2418="C99999",1,0)</f>
        <v/>
      </c>
      <c r="J2418" s="5">
        <f>IF(OR(H2418=1,I2418=1),0,IF(G2418="Credit",-F2418,F2418))</f>
        <v/>
      </c>
    </row>
    <row r="2419">
      <c r="A2419" t="inlineStr">
        <is>
          <t>2026-07-24</t>
        </is>
      </c>
      <c r="B2419" t="inlineStr">
        <is>
          <t>F270451</t>
        </is>
      </c>
      <c r="C2419" t="inlineStr">
        <is>
          <t>C10550</t>
        </is>
      </c>
      <c r="D2419" t="inlineStr">
        <is>
          <t>SKU-10144</t>
        </is>
      </c>
      <c r="E2419" t="inlineStr">
        <is>
          <t>AM03</t>
        </is>
      </c>
      <c r="F2419" s="5" t="n">
        <v>899.99</v>
      </c>
      <c r="G2419">
        <f>IF(LEFT(B2419,1)="C","Credit","Factuur")</f>
        <v/>
      </c>
      <c r="H2419">
        <f>IF(AND(B2419=B2418,D2419=D2418,A2419=A2418,F2419=F2418),1,0)</f>
        <v/>
      </c>
      <c r="I2419">
        <f>IF(C2419="C99999",1,0)</f>
        <v/>
      </c>
      <c r="J2419" s="5">
        <f>IF(OR(H2419=1,I2419=1),0,IF(G2419="Credit",-F2419,F2419))</f>
        <v/>
      </c>
    </row>
    <row r="2420">
      <c r="A2420" t="inlineStr">
        <is>
          <t>2026-07-24</t>
        </is>
      </c>
      <c r="B2420" t="inlineStr">
        <is>
          <t>F270451</t>
        </is>
      </c>
      <c r="C2420" t="inlineStr">
        <is>
          <t>C10550</t>
        </is>
      </c>
      <c r="D2420" t="inlineStr">
        <is>
          <t>SKU-10224</t>
        </is>
      </c>
      <c r="E2420" t="inlineStr">
        <is>
          <t>AM03</t>
        </is>
      </c>
      <c r="F2420" s="5" t="n">
        <v>819.61</v>
      </c>
      <c r="G2420">
        <f>IF(LEFT(B2420,1)="C","Credit","Factuur")</f>
        <v/>
      </c>
      <c r="H2420">
        <f>IF(AND(B2420=B2419,D2420=D2419,A2420=A2419,F2420=F2419),1,0)</f>
        <v/>
      </c>
      <c r="I2420">
        <f>IF(C2420="C99999",1,0)</f>
        <v/>
      </c>
      <c r="J2420" s="5">
        <f>IF(OR(H2420=1,I2420=1),0,IF(G2420="Credit",-F2420,F2420))</f>
        <v/>
      </c>
    </row>
    <row r="2421">
      <c r="A2421" t="inlineStr">
        <is>
          <t>2026-07-24</t>
        </is>
      </c>
      <c r="B2421" t="inlineStr">
        <is>
          <t>F270451</t>
        </is>
      </c>
      <c r="C2421" t="inlineStr">
        <is>
          <t>C10550</t>
        </is>
      </c>
      <c r="D2421" t="inlineStr">
        <is>
          <t>SKU-10302</t>
        </is>
      </c>
      <c r="E2421" t="inlineStr">
        <is>
          <t>AM03</t>
        </is>
      </c>
      <c r="F2421" s="5" t="n">
        <v>966.02</v>
      </c>
      <c r="G2421">
        <f>IF(LEFT(B2421,1)="C","Credit","Factuur")</f>
        <v/>
      </c>
      <c r="H2421">
        <f>IF(AND(B2421=B2420,D2421=D2420,A2421=A2420,F2421=F2420),1,0)</f>
        <v/>
      </c>
      <c r="I2421">
        <f>IF(C2421="C99999",1,0)</f>
        <v/>
      </c>
      <c r="J2421" s="5">
        <f>IF(OR(H2421=1,I2421=1),0,IF(G2421="Credit",-F2421,F2421))</f>
        <v/>
      </c>
    </row>
    <row r="2422">
      <c r="A2422" t="inlineStr">
        <is>
          <t>2026-07-24</t>
        </is>
      </c>
      <c r="B2422" t="inlineStr">
        <is>
          <t>F270479</t>
        </is>
      </c>
      <c r="C2422" t="inlineStr">
        <is>
          <t>C10552</t>
        </is>
      </c>
      <c r="D2422" t="inlineStr">
        <is>
          <t>SKU-10032</t>
        </is>
      </c>
      <c r="E2422" t="inlineStr">
        <is>
          <t>AM03</t>
        </is>
      </c>
      <c r="F2422" s="5" t="n">
        <v>484.54</v>
      </c>
      <c r="G2422">
        <f>IF(LEFT(B2422,1)="C","Credit","Factuur")</f>
        <v/>
      </c>
      <c r="H2422">
        <f>IF(AND(B2422=B2421,D2422=D2421,A2422=A2421,F2422=F2421),1,0)</f>
        <v/>
      </c>
      <c r="I2422">
        <f>IF(C2422="C99999",1,0)</f>
        <v/>
      </c>
      <c r="J2422" s="5">
        <f>IF(OR(H2422=1,I2422=1),0,IF(G2422="Credit",-F2422,F2422))</f>
        <v/>
      </c>
    </row>
    <row r="2423">
      <c r="A2423" t="inlineStr">
        <is>
          <t>2026-07-24</t>
        </is>
      </c>
      <c r="B2423" t="inlineStr">
        <is>
          <t>F270479</t>
        </is>
      </c>
      <c r="C2423" t="inlineStr">
        <is>
          <t>C10552</t>
        </is>
      </c>
      <c r="D2423" t="inlineStr">
        <is>
          <t>SKU-10301</t>
        </is>
      </c>
      <c r="E2423" t="inlineStr">
        <is>
          <t>AM03</t>
        </is>
      </c>
      <c r="F2423" s="5" t="n">
        <v>439.28</v>
      </c>
      <c r="G2423">
        <f>IF(LEFT(B2423,1)="C","Credit","Factuur")</f>
        <v/>
      </c>
      <c r="H2423">
        <f>IF(AND(B2423=B2422,D2423=D2422,A2423=A2422,F2423=F2422),1,0)</f>
        <v/>
      </c>
      <c r="I2423">
        <f>IF(C2423="C99999",1,0)</f>
        <v/>
      </c>
      <c r="J2423" s="5">
        <f>IF(OR(H2423=1,I2423=1),0,IF(G2423="Credit",-F2423,F2423))</f>
        <v/>
      </c>
    </row>
    <row r="2424">
      <c r="A2424" t="inlineStr">
        <is>
          <t>2026-07-24</t>
        </is>
      </c>
      <c r="B2424" t="inlineStr">
        <is>
          <t>F270479</t>
        </is>
      </c>
      <c r="C2424" t="inlineStr">
        <is>
          <t>C10552</t>
        </is>
      </c>
      <c r="D2424" t="inlineStr">
        <is>
          <t>SKU-10328</t>
        </is>
      </c>
      <c r="E2424" t="inlineStr">
        <is>
          <t>AM03</t>
        </is>
      </c>
      <c r="F2424" s="5" t="n">
        <v>398.31</v>
      </c>
      <c r="G2424">
        <f>IF(LEFT(B2424,1)="C","Credit","Factuur")</f>
        <v/>
      </c>
      <c r="H2424">
        <f>IF(AND(B2424=B2423,D2424=D2423,A2424=A2423,F2424=F2423),1,0)</f>
        <v/>
      </c>
      <c r="I2424">
        <f>IF(C2424="C99999",1,0)</f>
        <v/>
      </c>
      <c r="J2424" s="5">
        <f>IF(OR(H2424=1,I2424=1),0,IF(G2424="Credit",-F2424,F2424))</f>
        <v/>
      </c>
    </row>
    <row r="2425">
      <c r="A2425" t="inlineStr">
        <is>
          <t>2026-07-24</t>
        </is>
      </c>
      <c r="B2425" t="inlineStr">
        <is>
          <t>F271323</t>
        </is>
      </c>
      <c r="C2425" t="inlineStr">
        <is>
          <t>C10588</t>
        </is>
      </c>
      <c r="D2425" t="inlineStr">
        <is>
          <t>SKU-10176</t>
        </is>
      </c>
      <c r="E2425" t="inlineStr">
        <is>
          <t>AM02</t>
        </is>
      </c>
      <c r="F2425" s="5" t="n">
        <v>18643.52</v>
      </c>
      <c r="G2425">
        <f>IF(LEFT(B2425,1)="C","Credit","Factuur")</f>
        <v/>
      </c>
      <c r="H2425">
        <f>IF(AND(B2425=B2424,D2425=D2424,A2425=A2424,F2425=F2424),1,0)</f>
        <v/>
      </c>
      <c r="I2425">
        <f>IF(C2425="C99999",1,0)</f>
        <v/>
      </c>
      <c r="J2425" s="5">
        <f>IF(OR(H2425=1,I2425=1),0,IF(G2425="Credit",-F2425,F2425))</f>
        <v/>
      </c>
    </row>
    <row r="2426">
      <c r="A2426" t="inlineStr">
        <is>
          <t>2026-07-24</t>
        </is>
      </c>
      <c r="B2426" t="inlineStr">
        <is>
          <t>F271573</t>
        </is>
      </c>
      <c r="C2426" t="inlineStr">
        <is>
          <t>C10596</t>
        </is>
      </c>
      <c r="D2426" t="inlineStr">
        <is>
          <t>SKU-10263</t>
        </is>
      </c>
      <c r="E2426" t="inlineStr">
        <is>
          <t>AM01</t>
        </is>
      </c>
      <c r="F2426" s="5" t="n">
        <v>295.72</v>
      </c>
      <c r="G2426">
        <f>IF(LEFT(B2426,1)="C","Credit","Factuur")</f>
        <v/>
      </c>
      <c r="H2426">
        <f>IF(AND(B2426=B2425,D2426=D2425,A2426=A2425,F2426=F2425),1,0)</f>
        <v/>
      </c>
      <c r="I2426">
        <f>IF(C2426="C99999",1,0)</f>
        <v/>
      </c>
      <c r="J2426" s="5">
        <f>IF(OR(H2426=1,I2426=1),0,IF(G2426="Credit",-F2426,F2426))</f>
        <v/>
      </c>
    </row>
    <row r="2427">
      <c r="A2427" t="inlineStr">
        <is>
          <t>2026-07-24</t>
        </is>
      </c>
      <c r="B2427" t="inlineStr">
        <is>
          <t>F272071</t>
        </is>
      </c>
      <c r="C2427" t="inlineStr">
        <is>
          <t>C10625</t>
        </is>
      </c>
      <c r="D2427" t="inlineStr">
        <is>
          <t>SKU-10183</t>
        </is>
      </c>
      <c r="E2427" t="inlineStr">
        <is>
          <t>AM01</t>
        </is>
      </c>
      <c r="F2427" s="5" t="n">
        <v>267.83</v>
      </c>
      <c r="G2427">
        <f>IF(LEFT(B2427,1)="C","Credit","Factuur")</f>
        <v/>
      </c>
      <c r="H2427">
        <f>IF(AND(B2427=B2426,D2427=D2426,A2427=A2426,F2427=F2426),1,0)</f>
        <v/>
      </c>
      <c r="I2427">
        <f>IF(C2427="C99999",1,0)</f>
        <v/>
      </c>
      <c r="J2427" s="5">
        <f>IF(OR(H2427=1,I2427=1),0,IF(G2427="Credit",-F2427,F2427))</f>
        <v/>
      </c>
    </row>
    <row r="2428">
      <c r="A2428" t="inlineStr">
        <is>
          <t>2026-07-24</t>
        </is>
      </c>
      <c r="B2428" t="inlineStr">
        <is>
          <t>F272071</t>
        </is>
      </c>
      <c r="C2428" t="inlineStr">
        <is>
          <t>C10625</t>
        </is>
      </c>
      <c r="D2428" t="inlineStr">
        <is>
          <t>SKU-10228</t>
        </is>
      </c>
      <c r="E2428" t="inlineStr">
        <is>
          <t>AM01</t>
        </is>
      </c>
      <c r="F2428" s="5" t="n">
        <v>280.44</v>
      </c>
      <c r="G2428">
        <f>IF(LEFT(B2428,1)="C","Credit","Factuur")</f>
        <v/>
      </c>
      <c r="H2428">
        <f>IF(AND(B2428=B2427,D2428=D2427,A2428=A2427,F2428=F2427),1,0)</f>
        <v/>
      </c>
      <c r="I2428">
        <f>IF(C2428="C99999",1,0)</f>
        <v/>
      </c>
      <c r="J2428" s="5">
        <f>IF(OR(H2428=1,I2428=1),0,IF(G2428="Credit",-F2428,F2428))</f>
        <v/>
      </c>
    </row>
    <row r="2429">
      <c r="A2429" t="inlineStr">
        <is>
          <t>2026-07-24</t>
        </is>
      </c>
      <c r="B2429" t="inlineStr">
        <is>
          <t>F272071</t>
        </is>
      </c>
      <c r="C2429" t="inlineStr">
        <is>
          <t>C10625</t>
        </is>
      </c>
      <c r="D2429" t="inlineStr">
        <is>
          <t>SKU-10356</t>
        </is>
      </c>
      <c r="E2429" t="inlineStr">
        <is>
          <t>AM01</t>
        </is>
      </c>
      <c r="F2429" s="5" t="n">
        <v>290.38</v>
      </c>
      <c r="G2429">
        <f>IF(LEFT(B2429,1)="C","Credit","Factuur")</f>
        <v/>
      </c>
      <c r="H2429">
        <f>IF(AND(B2429=B2428,D2429=D2428,A2429=A2428,F2429=F2428),1,0)</f>
        <v/>
      </c>
      <c r="I2429">
        <f>IF(C2429="C99999",1,0)</f>
        <v/>
      </c>
      <c r="J2429" s="5">
        <f>IF(OR(H2429=1,I2429=1),0,IF(G2429="Credit",-F2429,F2429))</f>
        <v/>
      </c>
    </row>
    <row r="2430">
      <c r="A2430" t="inlineStr">
        <is>
          <t>2026-07-24</t>
        </is>
      </c>
      <c r="B2430" t="inlineStr">
        <is>
          <t>F272125</t>
        </is>
      </c>
      <c r="C2430" t="inlineStr">
        <is>
          <t>C10628</t>
        </is>
      </c>
      <c r="D2430" t="inlineStr">
        <is>
          <t>SKU-10054</t>
        </is>
      </c>
      <c r="E2430" t="inlineStr">
        <is>
          <t>AM11</t>
        </is>
      </c>
      <c r="F2430" s="5" t="n">
        <v>1003.82</v>
      </c>
      <c r="G2430">
        <f>IF(LEFT(B2430,1)="C","Credit","Factuur")</f>
        <v/>
      </c>
      <c r="H2430">
        <f>IF(AND(B2430=B2429,D2430=D2429,A2430=A2429,F2430=F2429),1,0)</f>
        <v/>
      </c>
      <c r="I2430">
        <f>IF(C2430="C99999",1,0)</f>
        <v/>
      </c>
      <c r="J2430" s="5">
        <f>IF(OR(H2430=1,I2430=1),0,IF(G2430="Credit",-F2430,F2430))</f>
        <v/>
      </c>
    </row>
    <row r="2431">
      <c r="A2431" t="inlineStr">
        <is>
          <t>2026-07-24</t>
        </is>
      </c>
      <c r="B2431" t="inlineStr">
        <is>
          <t>F272125</t>
        </is>
      </c>
      <c r="C2431" t="inlineStr">
        <is>
          <t>C10628</t>
        </is>
      </c>
      <c r="D2431" t="inlineStr">
        <is>
          <t>SKU-10289</t>
        </is>
      </c>
      <c r="E2431" t="inlineStr">
        <is>
          <t>AM11</t>
        </is>
      </c>
      <c r="F2431" s="5" t="n">
        <v>1021.17</v>
      </c>
      <c r="G2431">
        <f>IF(LEFT(B2431,1)="C","Credit","Factuur")</f>
        <v/>
      </c>
      <c r="H2431">
        <f>IF(AND(B2431=B2430,D2431=D2430,A2431=A2430,F2431=F2430),1,0)</f>
        <v/>
      </c>
      <c r="I2431">
        <f>IF(C2431="C99999",1,0)</f>
        <v/>
      </c>
      <c r="J2431" s="5">
        <f>IF(OR(H2431=1,I2431=1),0,IF(G2431="Credit",-F2431,F2431))</f>
        <v/>
      </c>
    </row>
    <row r="2432">
      <c r="A2432" t="inlineStr">
        <is>
          <t>2026-07-24</t>
        </is>
      </c>
      <c r="B2432" t="inlineStr">
        <is>
          <t>F272398</t>
        </is>
      </c>
      <c r="C2432" t="inlineStr">
        <is>
          <t>C10641</t>
        </is>
      </c>
      <c r="D2432" t="inlineStr">
        <is>
          <t>SKU-10037</t>
        </is>
      </c>
      <c r="E2432" t="inlineStr">
        <is>
          <t>AM02</t>
        </is>
      </c>
      <c r="F2432" s="5" t="n">
        <v>301.91</v>
      </c>
      <c r="G2432">
        <f>IF(LEFT(B2432,1)="C","Credit","Factuur")</f>
        <v/>
      </c>
      <c r="H2432">
        <f>IF(AND(B2432=B2431,D2432=D2431,A2432=A2431,F2432=F2431),1,0)</f>
        <v/>
      </c>
      <c r="I2432">
        <f>IF(C2432="C99999",1,0)</f>
        <v/>
      </c>
      <c r="J2432" s="5">
        <f>IF(OR(H2432=1,I2432=1),0,IF(G2432="Credit",-F2432,F2432))</f>
        <v/>
      </c>
    </row>
    <row r="2433">
      <c r="A2433" t="inlineStr">
        <is>
          <t>2026-07-24</t>
        </is>
      </c>
      <c r="B2433" t="inlineStr">
        <is>
          <t>F272398</t>
        </is>
      </c>
      <c r="C2433" t="inlineStr">
        <is>
          <t>C10641</t>
        </is>
      </c>
      <c r="D2433" t="inlineStr">
        <is>
          <t>SKU-10059</t>
        </is>
      </c>
      <c r="E2433" t="inlineStr">
        <is>
          <t>AM02</t>
        </is>
      </c>
      <c r="F2433" s="5" t="n">
        <v>322.85</v>
      </c>
      <c r="G2433">
        <f>IF(LEFT(B2433,1)="C","Credit","Factuur")</f>
        <v/>
      </c>
      <c r="H2433">
        <f>IF(AND(B2433=B2432,D2433=D2432,A2433=A2432,F2433=F2432),1,0)</f>
        <v/>
      </c>
      <c r="I2433">
        <f>IF(C2433="C99999",1,0)</f>
        <v/>
      </c>
      <c r="J2433" s="5">
        <f>IF(OR(H2433=1,I2433=1),0,IF(G2433="Credit",-F2433,F2433))</f>
        <v/>
      </c>
    </row>
    <row r="2434">
      <c r="A2434" t="inlineStr">
        <is>
          <t>2026-07-24</t>
        </is>
      </c>
      <c r="B2434" t="inlineStr">
        <is>
          <t>F272398</t>
        </is>
      </c>
      <c r="C2434" t="inlineStr">
        <is>
          <t>C10641</t>
        </is>
      </c>
      <c r="D2434" t="inlineStr">
        <is>
          <t>SKU-10139</t>
        </is>
      </c>
      <c r="E2434" t="inlineStr">
        <is>
          <t>AM02</t>
        </is>
      </c>
      <c r="F2434" s="5" t="n">
        <v>316.98</v>
      </c>
      <c r="G2434">
        <f>IF(LEFT(B2434,1)="C","Credit","Factuur")</f>
        <v/>
      </c>
      <c r="H2434">
        <f>IF(AND(B2434=B2433,D2434=D2433,A2434=A2433,F2434=F2433),1,0)</f>
        <v/>
      </c>
      <c r="I2434">
        <f>IF(C2434="C99999",1,0)</f>
        <v/>
      </c>
      <c r="J2434" s="5">
        <f>IF(OR(H2434=1,I2434=1),0,IF(G2434="Credit",-F2434,F2434))</f>
        <v/>
      </c>
    </row>
    <row r="2435">
      <c r="A2435" t="inlineStr">
        <is>
          <t>2026-07-24</t>
        </is>
      </c>
      <c r="B2435" t="inlineStr">
        <is>
          <t>F272736</t>
        </is>
      </c>
      <c r="C2435" t="inlineStr">
        <is>
          <t>C10663</t>
        </is>
      </c>
      <c r="D2435" t="inlineStr">
        <is>
          <t>SKU-10173</t>
        </is>
      </c>
      <c r="E2435" t="inlineStr">
        <is>
          <t>AM02</t>
        </is>
      </c>
      <c r="F2435" s="5" t="n">
        <v>774</v>
      </c>
      <c r="G2435">
        <f>IF(LEFT(B2435,1)="C","Credit","Factuur")</f>
        <v/>
      </c>
      <c r="H2435">
        <f>IF(AND(B2435=B2434,D2435=D2434,A2435=A2434,F2435=F2434),1,0)</f>
        <v/>
      </c>
      <c r="I2435">
        <f>IF(C2435="C99999",1,0)</f>
        <v/>
      </c>
      <c r="J2435" s="5">
        <f>IF(OR(H2435=1,I2435=1),0,IF(G2435="Credit",-F2435,F2435))</f>
        <v/>
      </c>
    </row>
    <row r="2436">
      <c r="A2436" t="inlineStr">
        <is>
          <t>2026-07-24</t>
        </is>
      </c>
      <c r="B2436" t="inlineStr">
        <is>
          <t>F272736</t>
        </is>
      </c>
      <c r="C2436" t="inlineStr">
        <is>
          <t>C10663</t>
        </is>
      </c>
      <c r="D2436" t="inlineStr">
        <is>
          <t>SKU-10320</t>
        </is>
      </c>
      <c r="E2436" t="inlineStr">
        <is>
          <t>AM02</t>
        </is>
      </c>
      <c r="F2436" s="5" t="n">
        <v>781.22</v>
      </c>
      <c r="G2436">
        <f>IF(LEFT(B2436,1)="C","Credit","Factuur")</f>
        <v/>
      </c>
      <c r="H2436">
        <f>IF(AND(B2436=B2435,D2436=D2435,A2436=A2435,F2436=F2435),1,0)</f>
        <v/>
      </c>
      <c r="I2436">
        <f>IF(C2436="C99999",1,0)</f>
        <v/>
      </c>
      <c r="J2436" s="5">
        <f>IF(OR(H2436=1,I2436=1),0,IF(G2436="Credit",-F2436,F2436))</f>
        <v/>
      </c>
    </row>
    <row r="2437">
      <c r="A2437" t="inlineStr">
        <is>
          <t>2026-07-24</t>
        </is>
      </c>
      <c r="B2437" t="inlineStr">
        <is>
          <t>F272816</t>
        </is>
      </c>
      <c r="C2437" t="inlineStr">
        <is>
          <t>C10668</t>
        </is>
      </c>
      <c r="D2437" t="inlineStr">
        <is>
          <t>SKU-10316</t>
        </is>
      </c>
      <c r="E2437" t="inlineStr">
        <is>
          <t>AM02</t>
        </is>
      </c>
      <c r="F2437" s="5" t="n">
        <v>315.59</v>
      </c>
      <c r="G2437">
        <f>IF(LEFT(B2437,1)="C","Credit","Factuur")</f>
        <v/>
      </c>
      <c r="H2437">
        <f>IF(AND(B2437=B2436,D2437=D2436,A2437=A2436,F2437=F2436),1,0)</f>
        <v/>
      </c>
      <c r="I2437">
        <f>IF(C2437="C99999",1,0)</f>
        <v/>
      </c>
      <c r="J2437" s="5">
        <f>IF(OR(H2437=1,I2437=1),0,IF(G2437="Credit",-F2437,F2437))</f>
        <v/>
      </c>
    </row>
    <row r="2438">
      <c r="A2438" t="inlineStr">
        <is>
          <t>2026-07-24</t>
        </is>
      </c>
      <c r="B2438" t="inlineStr">
        <is>
          <t>F273370</t>
        </is>
      </c>
      <c r="C2438" t="inlineStr">
        <is>
          <t>C10700</t>
        </is>
      </c>
      <c r="D2438" t="inlineStr">
        <is>
          <t>SKU-10020</t>
        </is>
      </c>
      <c r="E2438" t="inlineStr">
        <is>
          <t>AM11</t>
        </is>
      </c>
      <c r="F2438" s="5" t="n">
        <v>75.58</v>
      </c>
      <c r="G2438">
        <f>IF(LEFT(B2438,1)="C","Credit","Factuur")</f>
        <v/>
      </c>
      <c r="H2438">
        <f>IF(AND(B2438=B2437,D2438=D2437,A2438=A2437,F2438=F2437),1,0)</f>
        <v/>
      </c>
      <c r="I2438">
        <f>IF(C2438="C99999",1,0)</f>
        <v/>
      </c>
      <c r="J2438" s="5">
        <f>IF(OR(H2438=1,I2438=1),0,IF(G2438="Credit",-F2438,F2438))</f>
        <v/>
      </c>
    </row>
    <row r="2439">
      <c r="A2439" t="inlineStr">
        <is>
          <t>2026-07-24</t>
        </is>
      </c>
      <c r="B2439" t="inlineStr">
        <is>
          <t>F273370</t>
        </is>
      </c>
      <c r="C2439" t="inlineStr">
        <is>
          <t>C10700</t>
        </is>
      </c>
      <c r="D2439" t="inlineStr">
        <is>
          <t>SKU-10034</t>
        </is>
      </c>
      <c r="E2439" t="inlineStr">
        <is>
          <t>AM11</t>
        </is>
      </c>
      <c r="F2439" s="5" t="n">
        <v>92.86</v>
      </c>
      <c r="G2439">
        <f>IF(LEFT(B2439,1)="C","Credit","Factuur")</f>
        <v/>
      </c>
      <c r="H2439">
        <f>IF(AND(B2439=B2438,D2439=D2438,A2439=A2438,F2439=F2438),1,0)</f>
        <v/>
      </c>
      <c r="I2439">
        <f>IF(C2439="C99999",1,0)</f>
        <v/>
      </c>
      <c r="J2439" s="5">
        <f>IF(OR(H2439=1,I2439=1),0,IF(G2439="Credit",-F2439,F2439))</f>
        <v/>
      </c>
    </row>
    <row r="2440">
      <c r="A2440" t="inlineStr">
        <is>
          <t>2026-07-24</t>
        </is>
      </c>
      <c r="B2440" t="inlineStr">
        <is>
          <t>F273370</t>
        </is>
      </c>
      <c r="C2440" t="inlineStr">
        <is>
          <t>C10700</t>
        </is>
      </c>
      <c r="D2440" t="inlineStr">
        <is>
          <t>SKU-10212</t>
        </is>
      </c>
      <c r="E2440" t="inlineStr">
        <is>
          <t>AM11</t>
        </is>
      </c>
      <c r="F2440" s="5" t="n">
        <v>62.46</v>
      </c>
      <c r="G2440">
        <f>IF(LEFT(B2440,1)="C","Credit","Factuur")</f>
        <v/>
      </c>
      <c r="H2440">
        <f>IF(AND(B2440=B2439,D2440=D2439,A2440=A2439,F2440=F2439),1,0)</f>
        <v/>
      </c>
      <c r="I2440">
        <f>IF(C2440="C99999",1,0)</f>
        <v/>
      </c>
      <c r="J2440" s="5">
        <f>IF(OR(H2440=1,I2440=1),0,IF(G2440="Credit",-F2440,F2440))</f>
        <v/>
      </c>
    </row>
    <row r="2441">
      <c r="A2441" t="inlineStr">
        <is>
          <t>2026-07-24</t>
        </is>
      </c>
      <c r="B2441" t="inlineStr">
        <is>
          <t>F273370</t>
        </is>
      </c>
      <c r="C2441" t="inlineStr">
        <is>
          <t>C10700</t>
        </is>
      </c>
      <c r="D2441" t="inlineStr">
        <is>
          <t>SKU-10276</t>
        </is>
      </c>
      <c r="E2441" t="inlineStr">
        <is>
          <t>AM11</t>
        </is>
      </c>
      <c r="F2441" s="5" t="n">
        <v>72.8</v>
      </c>
      <c r="G2441">
        <f>IF(LEFT(B2441,1)="C","Credit","Factuur")</f>
        <v/>
      </c>
      <c r="H2441">
        <f>IF(AND(B2441=B2440,D2441=D2440,A2441=A2440,F2441=F2440),1,0)</f>
        <v/>
      </c>
      <c r="I2441">
        <f>IF(C2441="C99999",1,0)</f>
        <v/>
      </c>
      <c r="J2441" s="5">
        <f>IF(OR(H2441=1,I2441=1),0,IF(G2441="Credit",-F2441,F2441))</f>
        <v/>
      </c>
    </row>
    <row r="2442">
      <c r="A2442" t="inlineStr">
        <is>
          <t>2026-07-24</t>
        </is>
      </c>
      <c r="B2442" t="inlineStr">
        <is>
          <t>F273370</t>
        </is>
      </c>
      <c r="C2442" t="inlineStr">
        <is>
          <t>C10700</t>
        </is>
      </c>
      <c r="D2442" t="inlineStr">
        <is>
          <t>SKU-10278</t>
        </is>
      </c>
      <c r="E2442" t="inlineStr">
        <is>
          <t>AM11</t>
        </is>
      </c>
      <c r="F2442" s="5" t="n">
        <v>84.08</v>
      </c>
      <c r="G2442">
        <f>IF(LEFT(B2442,1)="C","Credit","Factuur")</f>
        <v/>
      </c>
      <c r="H2442">
        <f>IF(AND(B2442=B2441,D2442=D2441,A2442=A2441,F2442=F2441),1,0)</f>
        <v/>
      </c>
      <c r="I2442">
        <f>IF(C2442="C99999",1,0)</f>
        <v/>
      </c>
      <c r="J2442" s="5">
        <f>IF(OR(H2442=1,I2442=1),0,IF(G2442="Credit",-F2442,F2442))</f>
        <v/>
      </c>
    </row>
    <row r="2443">
      <c r="A2443" t="inlineStr">
        <is>
          <t>2026-07-24</t>
        </is>
      </c>
      <c r="B2443" t="inlineStr">
        <is>
          <t>F273629</t>
        </is>
      </c>
      <c r="C2443" t="inlineStr">
        <is>
          <t>C10715</t>
        </is>
      </c>
      <c r="D2443" t="inlineStr">
        <is>
          <t>SKU-10003</t>
        </is>
      </c>
      <c r="E2443" t="inlineStr">
        <is>
          <t>AM02</t>
        </is>
      </c>
      <c r="F2443" s="5" t="n">
        <v>1515.25</v>
      </c>
      <c r="G2443">
        <f>IF(LEFT(B2443,1)="C","Credit","Factuur")</f>
        <v/>
      </c>
      <c r="H2443">
        <f>IF(AND(B2443=B2442,D2443=D2442,A2443=A2442,F2443=F2442),1,0)</f>
        <v/>
      </c>
      <c r="I2443">
        <f>IF(C2443="C99999",1,0)</f>
        <v/>
      </c>
      <c r="J2443" s="5">
        <f>IF(OR(H2443=1,I2443=1),0,IF(G2443="Credit",-F2443,F2443))</f>
        <v/>
      </c>
    </row>
    <row r="2444">
      <c r="A2444" t="inlineStr">
        <is>
          <t>2026-07-24</t>
        </is>
      </c>
      <c r="B2444" t="inlineStr">
        <is>
          <t>F273629</t>
        </is>
      </c>
      <c r="C2444" t="inlineStr">
        <is>
          <t>C10715</t>
        </is>
      </c>
      <c r="D2444" t="inlineStr">
        <is>
          <t>SKU-10194</t>
        </is>
      </c>
      <c r="E2444" t="inlineStr">
        <is>
          <t>AM02</t>
        </is>
      </c>
      <c r="F2444" s="5" t="n">
        <v>1527.63</v>
      </c>
      <c r="G2444">
        <f>IF(LEFT(B2444,1)="C","Credit","Factuur")</f>
        <v/>
      </c>
      <c r="H2444">
        <f>IF(AND(B2444=B2443,D2444=D2443,A2444=A2443,F2444=F2443),1,0)</f>
        <v/>
      </c>
      <c r="I2444">
        <f>IF(C2444="C99999",1,0)</f>
        <v/>
      </c>
      <c r="J2444" s="5">
        <f>IF(OR(H2444=1,I2444=1),0,IF(G2444="Credit",-F2444,F2444))</f>
        <v/>
      </c>
    </row>
    <row r="2445">
      <c r="A2445" t="inlineStr">
        <is>
          <t>2026-07-24</t>
        </is>
      </c>
      <c r="B2445" t="inlineStr">
        <is>
          <t>F273629</t>
        </is>
      </c>
      <c r="C2445" t="inlineStr">
        <is>
          <t>C10715</t>
        </is>
      </c>
      <c r="D2445" t="inlineStr">
        <is>
          <t>SKU-10298</t>
        </is>
      </c>
      <c r="E2445" t="inlineStr">
        <is>
          <t>AM02</t>
        </is>
      </c>
      <c r="F2445" s="5" t="n">
        <v>1506</v>
      </c>
      <c r="G2445">
        <f>IF(LEFT(B2445,1)="C","Credit","Factuur")</f>
        <v/>
      </c>
      <c r="H2445">
        <f>IF(AND(B2445=B2444,D2445=D2444,A2445=A2444,F2445=F2444),1,0)</f>
        <v/>
      </c>
      <c r="I2445">
        <f>IF(C2445="C99999",1,0)</f>
        <v/>
      </c>
      <c r="J2445" s="5">
        <f>IF(OR(H2445=1,I2445=1),0,IF(G2445="Credit",-F2445,F2445))</f>
        <v/>
      </c>
    </row>
    <row r="2446">
      <c r="A2446" t="inlineStr">
        <is>
          <t>2026-07-24</t>
        </is>
      </c>
      <c r="B2446" t="inlineStr">
        <is>
          <t>F273629</t>
        </is>
      </c>
      <c r="C2446" t="inlineStr">
        <is>
          <t>C10715</t>
        </is>
      </c>
      <c r="D2446" t="inlineStr">
        <is>
          <t>SKU-10326</t>
        </is>
      </c>
      <c r="E2446" t="inlineStr">
        <is>
          <t>AM02</t>
        </is>
      </c>
      <c r="F2446" s="5" t="n">
        <v>1501</v>
      </c>
      <c r="G2446">
        <f>IF(LEFT(B2446,1)="C","Credit","Factuur")</f>
        <v/>
      </c>
      <c r="H2446">
        <f>IF(AND(B2446=B2445,D2446=D2445,A2446=A2445,F2446=F2445),1,0)</f>
        <v/>
      </c>
      <c r="I2446">
        <f>IF(C2446="C99999",1,0)</f>
        <v/>
      </c>
      <c r="J2446" s="5">
        <f>IF(OR(H2446=1,I2446=1),0,IF(G2446="Credit",-F2446,F2446))</f>
        <v/>
      </c>
    </row>
    <row r="2447">
      <c r="A2447" t="inlineStr">
        <is>
          <t>2026-07-24</t>
        </is>
      </c>
      <c r="B2447" t="inlineStr">
        <is>
          <t>F273629</t>
        </is>
      </c>
      <c r="C2447" t="inlineStr">
        <is>
          <t>C10715</t>
        </is>
      </c>
      <c r="D2447" t="inlineStr">
        <is>
          <t>SKU-10337</t>
        </is>
      </c>
      <c r="E2447" t="inlineStr">
        <is>
          <t>AM02</t>
        </is>
      </c>
      <c r="F2447" s="5" t="n">
        <v>1509.95</v>
      </c>
      <c r="G2447">
        <f>IF(LEFT(B2447,1)="C","Credit","Factuur")</f>
        <v/>
      </c>
      <c r="H2447">
        <f>IF(AND(B2447=B2446,D2447=D2446,A2447=A2446,F2447=F2446),1,0)</f>
        <v/>
      </c>
      <c r="I2447">
        <f>IF(C2447="C99999",1,0)</f>
        <v/>
      </c>
      <c r="J2447" s="5">
        <f>IF(OR(H2447=1,I2447=1),0,IF(G2447="Credit",-F2447,F2447))</f>
        <v/>
      </c>
    </row>
    <row r="2448">
      <c r="A2448" t="inlineStr">
        <is>
          <t>2026-07-24</t>
        </is>
      </c>
      <c r="B2448" t="inlineStr">
        <is>
          <t>F273672</t>
        </is>
      </c>
      <c r="C2448" t="inlineStr">
        <is>
          <t>C10717</t>
        </is>
      </c>
      <c r="D2448" t="inlineStr">
        <is>
          <t>SKU-10113</t>
        </is>
      </c>
      <c r="E2448" t="inlineStr">
        <is>
          <t>AM11</t>
        </is>
      </c>
      <c r="F2448" s="5" t="n">
        <v>153</v>
      </c>
      <c r="G2448">
        <f>IF(LEFT(B2448,1)="C","Credit","Factuur")</f>
        <v/>
      </c>
      <c r="H2448">
        <f>IF(AND(B2448=B2447,D2448=D2447,A2448=A2447,F2448=F2447),1,0)</f>
        <v/>
      </c>
      <c r="I2448">
        <f>IF(C2448="C99999",1,0)</f>
        <v/>
      </c>
      <c r="J2448" s="5">
        <f>IF(OR(H2448=1,I2448=1),0,IF(G2448="Credit",-F2448,F2448))</f>
        <v/>
      </c>
    </row>
    <row r="2449">
      <c r="A2449" t="inlineStr">
        <is>
          <t>2026-07-24</t>
        </is>
      </c>
      <c r="B2449" t="inlineStr">
        <is>
          <t>F273672</t>
        </is>
      </c>
      <c r="C2449" t="inlineStr">
        <is>
          <t>C10717</t>
        </is>
      </c>
      <c r="D2449" t="inlineStr">
        <is>
          <t>SKU-10132</t>
        </is>
      </c>
      <c r="E2449" t="inlineStr">
        <is>
          <t>AM11</t>
        </is>
      </c>
      <c r="F2449" s="5" t="n">
        <v>142.45</v>
      </c>
      <c r="G2449">
        <f>IF(LEFT(B2449,1)="C","Credit","Factuur")</f>
        <v/>
      </c>
      <c r="H2449">
        <f>IF(AND(B2449=B2448,D2449=D2448,A2449=A2448,F2449=F2448),1,0)</f>
        <v/>
      </c>
      <c r="I2449">
        <f>IF(C2449="C99999",1,0)</f>
        <v/>
      </c>
      <c r="J2449" s="5">
        <f>IF(OR(H2449=1,I2449=1),0,IF(G2449="Credit",-F2449,F2449))</f>
        <v/>
      </c>
    </row>
    <row r="2450">
      <c r="A2450" t="inlineStr">
        <is>
          <t>2026-07-24</t>
        </is>
      </c>
      <c r="B2450" t="inlineStr">
        <is>
          <t>F273672</t>
        </is>
      </c>
      <c r="C2450" t="inlineStr">
        <is>
          <t>C10717</t>
        </is>
      </c>
      <c r="D2450" t="inlineStr">
        <is>
          <t>SKU-10341</t>
        </is>
      </c>
      <c r="E2450" t="inlineStr">
        <is>
          <t>AM11</t>
        </is>
      </c>
      <c r="F2450" s="5" t="n">
        <v>120.72</v>
      </c>
      <c r="G2450">
        <f>IF(LEFT(B2450,1)="C","Credit","Factuur")</f>
        <v/>
      </c>
      <c r="H2450">
        <f>IF(AND(B2450=B2449,D2450=D2449,A2450=A2449,F2450=F2449),1,0)</f>
        <v/>
      </c>
      <c r="I2450">
        <f>IF(C2450="C99999",1,0)</f>
        <v/>
      </c>
      <c r="J2450" s="5">
        <f>IF(OR(H2450=1,I2450=1),0,IF(G2450="Credit",-F2450,F2450))</f>
        <v/>
      </c>
    </row>
    <row r="2451">
      <c r="A2451" t="inlineStr">
        <is>
          <t>2026-07-24</t>
        </is>
      </c>
      <c r="B2451" t="inlineStr">
        <is>
          <t>F273927</t>
        </is>
      </c>
      <c r="C2451" t="inlineStr">
        <is>
          <t>C10735</t>
        </is>
      </c>
      <c r="D2451" t="inlineStr">
        <is>
          <t>SKU-10035</t>
        </is>
      </c>
      <c r="E2451" t="inlineStr">
        <is>
          <t>AM01</t>
        </is>
      </c>
      <c r="F2451" s="5" t="n">
        <v>1759.2</v>
      </c>
      <c r="G2451">
        <f>IF(LEFT(B2451,1)="C","Credit","Factuur")</f>
        <v/>
      </c>
      <c r="H2451">
        <f>IF(AND(B2451=B2450,D2451=D2450,A2451=A2450,F2451=F2450),1,0)</f>
        <v/>
      </c>
      <c r="I2451">
        <f>IF(C2451="C99999",1,0)</f>
        <v/>
      </c>
      <c r="J2451" s="5">
        <f>IF(OR(H2451=1,I2451=1),0,IF(G2451="Credit",-F2451,F2451))</f>
        <v/>
      </c>
    </row>
    <row r="2452">
      <c r="A2452" t="inlineStr">
        <is>
          <t>2026-07-24</t>
        </is>
      </c>
      <c r="B2452" t="inlineStr">
        <is>
          <t>F274019</t>
        </is>
      </c>
      <c r="C2452" t="inlineStr">
        <is>
          <t>C10740</t>
        </is>
      </c>
      <c r="D2452" t="inlineStr">
        <is>
          <t>SKU-10288</t>
        </is>
      </c>
      <c r="E2452" t="inlineStr">
        <is>
          <t>AM11</t>
        </is>
      </c>
      <c r="F2452" s="5" t="n">
        <v>1833.69</v>
      </c>
      <c r="G2452">
        <f>IF(LEFT(B2452,1)="C","Credit","Factuur")</f>
        <v/>
      </c>
      <c r="H2452">
        <f>IF(AND(B2452=B2451,D2452=D2451,A2452=A2451,F2452=F2451),1,0)</f>
        <v/>
      </c>
      <c r="I2452">
        <f>IF(C2452="C99999",1,0)</f>
        <v/>
      </c>
      <c r="J2452" s="5">
        <f>IF(OR(H2452=1,I2452=1),0,IF(G2452="Credit",-F2452,F2452))</f>
        <v/>
      </c>
    </row>
    <row r="2453">
      <c r="A2453" t="inlineStr">
        <is>
          <t>2026-07-24</t>
        </is>
      </c>
      <c r="B2453" t="inlineStr">
        <is>
          <t>F274019</t>
        </is>
      </c>
      <c r="C2453" t="inlineStr">
        <is>
          <t>C10740</t>
        </is>
      </c>
      <c r="D2453" t="inlineStr">
        <is>
          <t>SKU-10347</t>
        </is>
      </c>
      <c r="E2453" t="inlineStr">
        <is>
          <t>AM11</t>
        </is>
      </c>
      <c r="F2453" s="5" t="n">
        <v>1571.75</v>
      </c>
      <c r="G2453">
        <f>IF(LEFT(B2453,1)="C","Credit","Factuur")</f>
        <v/>
      </c>
      <c r="H2453">
        <f>IF(AND(B2453=B2452,D2453=D2452,A2453=A2452,F2453=F2452),1,0)</f>
        <v/>
      </c>
      <c r="I2453">
        <f>IF(C2453="C99999",1,0)</f>
        <v/>
      </c>
      <c r="J2453" s="5">
        <f>IF(OR(H2453=1,I2453=1),0,IF(G2453="Credit",-F2453,F2453))</f>
        <v/>
      </c>
    </row>
    <row r="2454">
      <c r="A2454" t="inlineStr">
        <is>
          <t>2026-07-24</t>
        </is>
      </c>
      <c r="B2454" t="inlineStr">
        <is>
          <t>F274245</t>
        </is>
      </c>
      <c r="C2454" t="inlineStr">
        <is>
          <t>C10753</t>
        </is>
      </c>
      <c r="D2454" t="inlineStr">
        <is>
          <t>SKU-10026</t>
        </is>
      </c>
      <c r="E2454" t="inlineStr">
        <is>
          <t>AM05</t>
        </is>
      </c>
      <c r="F2454" s="5" t="n">
        <v>195.6</v>
      </c>
      <c r="G2454">
        <f>IF(LEFT(B2454,1)="C","Credit","Factuur")</f>
        <v/>
      </c>
      <c r="H2454">
        <f>IF(AND(B2454=B2453,D2454=D2453,A2454=A2453,F2454=F2453),1,0)</f>
        <v/>
      </c>
      <c r="I2454">
        <f>IF(C2454="C99999",1,0)</f>
        <v/>
      </c>
      <c r="J2454" s="5">
        <f>IF(OR(H2454=1,I2454=1),0,IF(G2454="Credit",-F2454,F2454))</f>
        <v/>
      </c>
    </row>
    <row r="2455">
      <c r="A2455" t="inlineStr">
        <is>
          <t>2026-07-24</t>
        </is>
      </c>
      <c r="B2455" t="inlineStr">
        <is>
          <t>F274245</t>
        </is>
      </c>
      <c r="C2455" t="inlineStr">
        <is>
          <t>C10753</t>
        </is>
      </c>
      <c r="D2455" t="inlineStr">
        <is>
          <t>SKU-10222</t>
        </is>
      </c>
      <c r="E2455" t="inlineStr">
        <is>
          <t>AM05</t>
        </is>
      </c>
      <c r="F2455" s="5" t="n">
        <v>217.14</v>
      </c>
      <c r="G2455">
        <f>IF(LEFT(B2455,1)="C","Credit","Factuur")</f>
        <v/>
      </c>
      <c r="H2455">
        <f>IF(AND(B2455=B2454,D2455=D2454,A2455=A2454,F2455=F2454),1,0)</f>
        <v/>
      </c>
      <c r="I2455">
        <f>IF(C2455="C99999",1,0)</f>
        <v/>
      </c>
      <c r="J2455" s="5">
        <f>IF(OR(H2455=1,I2455=1),0,IF(G2455="Credit",-F2455,F2455))</f>
        <v/>
      </c>
    </row>
    <row r="2456">
      <c r="A2456" t="inlineStr">
        <is>
          <t>2026-07-24</t>
        </is>
      </c>
      <c r="B2456" t="inlineStr">
        <is>
          <t>F274451</t>
        </is>
      </c>
      <c r="C2456" t="inlineStr">
        <is>
          <t>C10762</t>
        </is>
      </c>
      <c r="D2456" t="inlineStr">
        <is>
          <t>SKU-10038</t>
        </is>
      </c>
      <c r="E2456" t="inlineStr">
        <is>
          <t>AM03</t>
        </is>
      </c>
      <c r="F2456" s="5" t="n">
        <v>273.69</v>
      </c>
      <c r="G2456">
        <f>IF(LEFT(B2456,1)="C","Credit","Factuur")</f>
        <v/>
      </c>
      <c r="H2456">
        <f>IF(AND(B2456=B2455,D2456=D2455,A2456=A2455,F2456=F2455),1,0)</f>
        <v/>
      </c>
      <c r="I2456">
        <f>IF(C2456="C99999",1,0)</f>
        <v/>
      </c>
      <c r="J2456" s="5">
        <f>IF(OR(H2456=1,I2456=1),0,IF(G2456="Credit",-F2456,F2456))</f>
        <v/>
      </c>
    </row>
    <row r="2457">
      <c r="A2457" t="inlineStr">
        <is>
          <t>2026-07-24</t>
        </is>
      </c>
      <c r="B2457" t="inlineStr">
        <is>
          <t>F274658</t>
        </is>
      </c>
      <c r="C2457" t="inlineStr">
        <is>
          <t>C10777</t>
        </is>
      </c>
      <c r="D2457" t="inlineStr">
        <is>
          <t>SKU-10061</t>
        </is>
      </c>
      <c r="E2457" t="inlineStr">
        <is>
          <t>AM07</t>
        </is>
      </c>
      <c r="F2457" s="5" t="n">
        <v>221.21</v>
      </c>
      <c r="G2457">
        <f>IF(LEFT(B2457,1)="C","Credit","Factuur")</f>
        <v/>
      </c>
      <c r="H2457">
        <f>IF(AND(B2457=B2456,D2457=D2456,A2457=A2456,F2457=F2456),1,0)</f>
        <v/>
      </c>
      <c r="I2457">
        <f>IF(C2457="C99999",1,0)</f>
        <v/>
      </c>
      <c r="J2457" s="5">
        <f>IF(OR(H2457=1,I2457=1),0,IF(G2457="Credit",-F2457,F2457))</f>
        <v/>
      </c>
    </row>
    <row r="2458">
      <c r="A2458" t="inlineStr">
        <is>
          <t>2026-07-24</t>
        </is>
      </c>
      <c r="B2458" t="inlineStr">
        <is>
          <t>F274658</t>
        </is>
      </c>
      <c r="C2458" t="inlineStr">
        <is>
          <t>C10777</t>
        </is>
      </c>
      <c r="D2458" t="inlineStr">
        <is>
          <t>SKU-10174</t>
        </is>
      </c>
      <c r="E2458" t="inlineStr">
        <is>
          <t>AM07</t>
        </is>
      </c>
      <c r="F2458" s="5" t="n">
        <v>279.37</v>
      </c>
      <c r="G2458">
        <f>IF(LEFT(B2458,1)="C","Credit","Factuur")</f>
        <v/>
      </c>
      <c r="H2458">
        <f>IF(AND(B2458=B2457,D2458=D2457,A2458=A2457,F2458=F2457),1,0)</f>
        <v/>
      </c>
      <c r="I2458">
        <f>IF(C2458="C99999",1,0)</f>
        <v/>
      </c>
      <c r="J2458" s="5">
        <f>IF(OR(H2458=1,I2458=1),0,IF(G2458="Credit",-F2458,F2458))</f>
        <v/>
      </c>
    </row>
    <row r="2459">
      <c r="A2459" t="inlineStr">
        <is>
          <t>2026-07-24</t>
        </is>
      </c>
      <c r="B2459" t="inlineStr">
        <is>
          <t>F274658</t>
        </is>
      </c>
      <c r="C2459" t="inlineStr">
        <is>
          <t>C10777</t>
        </is>
      </c>
      <c r="D2459" t="inlineStr">
        <is>
          <t>SKU-10290</t>
        </is>
      </c>
      <c r="E2459" t="inlineStr">
        <is>
          <t>AM07</t>
        </is>
      </c>
      <c r="F2459" s="5" t="n">
        <v>228.36</v>
      </c>
      <c r="G2459">
        <f>IF(LEFT(B2459,1)="C","Credit","Factuur")</f>
        <v/>
      </c>
      <c r="H2459">
        <f>IF(AND(B2459=B2458,D2459=D2458,A2459=A2458,F2459=F2458),1,0)</f>
        <v/>
      </c>
      <c r="I2459">
        <f>IF(C2459="C99999",1,0)</f>
        <v/>
      </c>
      <c r="J2459" s="5">
        <f>IF(OR(H2459=1,I2459=1),0,IF(G2459="Credit",-F2459,F2459))</f>
        <v/>
      </c>
    </row>
    <row r="2460">
      <c r="A2460" t="inlineStr">
        <is>
          <t>2026-07-24</t>
        </is>
      </c>
      <c r="B2460" t="inlineStr">
        <is>
          <t>F274658</t>
        </is>
      </c>
      <c r="C2460" t="inlineStr">
        <is>
          <t>C10777</t>
        </is>
      </c>
      <c r="D2460" t="inlineStr">
        <is>
          <t>SKU-10335</t>
        </is>
      </c>
      <c r="E2460" t="inlineStr">
        <is>
          <t>AM07</t>
        </is>
      </c>
      <c r="F2460" s="5" t="n">
        <v>262.96</v>
      </c>
      <c r="G2460">
        <f>IF(LEFT(B2460,1)="C","Credit","Factuur")</f>
        <v/>
      </c>
      <c r="H2460">
        <f>IF(AND(B2460=B2459,D2460=D2459,A2460=A2459,F2460=F2459),1,0)</f>
        <v/>
      </c>
      <c r="I2460">
        <f>IF(C2460="C99999",1,0)</f>
        <v/>
      </c>
      <c r="J2460" s="5">
        <f>IF(OR(H2460=1,I2460=1),0,IF(G2460="Credit",-F2460,F2460))</f>
        <v/>
      </c>
    </row>
    <row r="2461">
      <c r="A2461" t="inlineStr">
        <is>
          <t>2026-07-24</t>
        </is>
      </c>
      <c r="B2461" t="inlineStr">
        <is>
          <t>F274658</t>
        </is>
      </c>
      <c r="C2461" t="inlineStr">
        <is>
          <t>C10777</t>
        </is>
      </c>
      <c r="D2461" t="inlineStr">
        <is>
          <t>SKU-10361</t>
        </is>
      </c>
      <c r="E2461" t="inlineStr">
        <is>
          <t>AM07</t>
        </is>
      </c>
      <c r="F2461" s="5" t="n">
        <v>285.46</v>
      </c>
      <c r="G2461">
        <f>IF(LEFT(B2461,1)="C","Credit","Factuur")</f>
        <v/>
      </c>
      <c r="H2461">
        <f>IF(AND(B2461=B2460,D2461=D2460,A2461=A2460,F2461=F2460),1,0)</f>
        <v/>
      </c>
      <c r="I2461">
        <f>IF(C2461="C99999",1,0)</f>
        <v/>
      </c>
      <c r="J2461" s="5">
        <f>IF(OR(H2461=1,I2461=1),0,IF(G2461="Credit",-F2461,F2461))</f>
        <v/>
      </c>
    </row>
    <row r="2462">
      <c r="A2462" t="inlineStr">
        <is>
          <t>2026-07-24</t>
        </is>
      </c>
      <c r="B2462" t="inlineStr">
        <is>
          <t>F275125</t>
        </is>
      </c>
      <c r="C2462" t="inlineStr">
        <is>
          <t>C10797</t>
        </is>
      </c>
      <c r="D2462" t="inlineStr">
        <is>
          <t>SKU-10111</t>
        </is>
      </c>
      <c r="E2462" t="inlineStr">
        <is>
          <t>AM05</t>
        </is>
      </c>
      <c r="F2462" s="5" t="n">
        <v>355.53</v>
      </c>
      <c r="G2462">
        <f>IF(LEFT(B2462,1)="C","Credit","Factuur")</f>
        <v/>
      </c>
      <c r="H2462">
        <f>IF(AND(B2462=B2461,D2462=D2461,A2462=A2461,F2462=F2461),1,0)</f>
        <v/>
      </c>
      <c r="I2462">
        <f>IF(C2462="C99999",1,0)</f>
        <v/>
      </c>
      <c r="J2462" s="5">
        <f>IF(OR(H2462=1,I2462=1),0,IF(G2462="Credit",-F2462,F2462))</f>
        <v/>
      </c>
    </row>
    <row r="2463">
      <c r="A2463" t="inlineStr">
        <is>
          <t>2026-07-24</t>
        </is>
      </c>
      <c r="B2463" t="inlineStr">
        <is>
          <t>F275125</t>
        </is>
      </c>
      <c r="C2463" t="inlineStr">
        <is>
          <t>C10797</t>
        </is>
      </c>
      <c r="D2463" t="inlineStr">
        <is>
          <t>SKU-10232</t>
        </is>
      </c>
      <c r="E2463" t="inlineStr">
        <is>
          <t>AM05</t>
        </is>
      </c>
      <c r="F2463" s="5" t="n">
        <v>397.44</v>
      </c>
      <c r="G2463">
        <f>IF(LEFT(B2463,1)="C","Credit","Factuur")</f>
        <v/>
      </c>
      <c r="H2463">
        <f>IF(AND(B2463=B2462,D2463=D2462,A2463=A2462,F2463=F2462),1,0)</f>
        <v/>
      </c>
      <c r="I2463">
        <f>IF(C2463="C99999",1,0)</f>
        <v/>
      </c>
      <c r="J2463" s="5">
        <f>IF(OR(H2463=1,I2463=1),0,IF(G2463="Credit",-F2463,F2463))</f>
        <v/>
      </c>
    </row>
    <row r="2464">
      <c r="A2464" t="inlineStr">
        <is>
          <t>2026-07-24</t>
        </is>
      </c>
      <c r="B2464" t="inlineStr">
        <is>
          <t>F275459</t>
        </is>
      </c>
      <c r="C2464" t="inlineStr">
        <is>
          <t>C10818</t>
        </is>
      </c>
      <c r="D2464" t="inlineStr">
        <is>
          <t>SKU-10208</t>
        </is>
      </c>
      <c r="E2464" t="inlineStr">
        <is>
          <t>AM07</t>
        </is>
      </c>
      <c r="F2464" s="5" t="n">
        <v>118.39</v>
      </c>
      <c r="G2464">
        <f>IF(LEFT(B2464,1)="C","Credit","Factuur")</f>
        <v/>
      </c>
      <c r="H2464">
        <f>IF(AND(B2464=B2463,D2464=D2463,A2464=A2463,F2464=F2463),1,0)</f>
        <v/>
      </c>
      <c r="I2464">
        <f>IF(C2464="C99999",1,0)</f>
        <v/>
      </c>
      <c r="J2464" s="5">
        <f>IF(OR(H2464=1,I2464=1),0,IF(G2464="Credit",-F2464,F2464))</f>
        <v/>
      </c>
    </row>
    <row r="2465">
      <c r="A2465" t="inlineStr">
        <is>
          <t>2026-07-24</t>
        </is>
      </c>
      <c r="B2465" t="inlineStr">
        <is>
          <t>F275459</t>
        </is>
      </c>
      <c r="C2465" t="inlineStr">
        <is>
          <t>C10818</t>
        </is>
      </c>
      <c r="D2465" t="inlineStr">
        <is>
          <t>SKU-10231</t>
        </is>
      </c>
      <c r="E2465" t="inlineStr">
        <is>
          <t>AM07</t>
        </is>
      </c>
      <c r="F2465" s="5" t="n">
        <v>134.97</v>
      </c>
      <c r="G2465">
        <f>IF(LEFT(B2465,1)="C","Credit","Factuur")</f>
        <v/>
      </c>
      <c r="H2465">
        <f>IF(AND(B2465=B2464,D2465=D2464,A2465=A2464,F2465=F2464),1,0)</f>
        <v/>
      </c>
      <c r="I2465">
        <f>IF(C2465="C99999",1,0)</f>
        <v/>
      </c>
      <c r="J2465" s="5">
        <f>IF(OR(H2465=1,I2465=1),0,IF(G2465="Credit",-F2465,F2465))</f>
        <v/>
      </c>
    </row>
    <row r="2466">
      <c r="A2466" t="inlineStr">
        <is>
          <t>2026-07-24</t>
        </is>
      </c>
      <c r="B2466" t="inlineStr">
        <is>
          <t>F275459</t>
        </is>
      </c>
      <c r="C2466" t="inlineStr">
        <is>
          <t>C10818</t>
        </is>
      </c>
      <c r="D2466" t="inlineStr">
        <is>
          <t>SKU-10238</t>
        </is>
      </c>
      <c r="E2466" t="inlineStr">
        <is>
          <t>AM07</t>
        </is>
      </c>
      <c r="F2466" s="5" t="n">
        <v>131.25</v>
      </c>
      <c r="G2466">
        <f>IF(LEFT(B2466,1)="C","Credit","Factuur")</f>
        <v/>
      </c>
      <c r="H2466">
        <f>IF(AND(B2466=B2465,D2466=D2465,A2466=A2465,F2466=F2465),1,0)</f>
        <v/>
      </c>
      <c r="I2466">
        <f>IF(C2466="C99999",1,0)</f>
        <v/>
      </c>
      <c r="J2466" s="5">
        <f>IF(OR(H2466=1,I2466=1),0,IF(G2466="Credit",-F2466,F2466))</f>
        <v/>
      </c>
    </row>
    <row r="2467">
      <c r="A2467" t="inlineStr">
        <is>
          <t>2026-07-24</t>
        </is>
      </c>
      <c r="B2467" t="inlineStr">
        <is>
          <t>F275471</t>
        </is>
      </c>
      <c r="C2467" t="inlineStr">
        <is>
          <t>C10818</t>
        </is>
      </c>
      <c r="D2467" t="inlineStr">
        <is>
          <t>SKU-10344</t>
        </is>
      </c>
      <c r="E2467" t="inlineStr">
        <is>
          <t>AM07</t>
        </is>
      </c>
      <c r="F2467" s="5" t="n">
        <v>372.4</v>
      </c>
      <c r="G2467">
        <f>IF(LEFT(B2467,1)="C","Credit","Factuur")</f>
        <v/>
      </c>
      <c r="H2467">
        <f>IF(AND(B2467=B2466,D2467=D2466,A2467=A2466,F2467=F2466),1,0)</f>
        <v/>
      </c>
      <c r="I2467">
        <f>IF(C2467="C99999",1,0)</f>
        <v/>
      </c>
      <c r="J2467" s="5">
        <f>IF(OR(H2467=1,I2467=1),0,IF(G2467="Credit",-F2467,F2467))</f>
        <v/>
      </c>
    </row>
    <row r="2468">
      <c r="A2468" t="inlineStr">
        <is>
          <t>2026-07-24</t>
        </is>
      </c>
      <c r="B2468" t="inlineStr">
        <is>
          <t>F275856</t>
        </is>
      </c>
      <c r="C2468" t="inlineStr">
        <is>
          <t>C10840</t>
        </is>
      </c>
      <c r="D2468" t="inlineStr">
        <is>
          <t>SKU-10012</t>
        </is>
      </c>
      <c r="E2468" t="inlineStr">
        <is>
          <t>AM05</t>
        </is>
      </c>
      <c r="F2468" s="5" t="n">
        <v>287.19</v>
      </c>
      <c r="G2468">
        <f>IF(LEFT(B2468,1)="C","Credit","Factuur")</f>
        <v/>
      </c>
      <c r="H2468">
        <f>IF(AND(B2468=B2467,D2468=D2467,A2468=A2467,F2468=F2467),1,0)</f>
        <v/>
      </c>
      <c r="I2468">
        <f>IF(C2468="C99999",1,0)</f>
        <v/>
      </c>
      <c r="J2468" s="5">
        <f>IF(OR(H2468=1,I2468=1),0,IF(G2468="Credit",-F2468,F2468))</f>
        <v/>
      </c>
    </row>
    <row r="2469">
      <c r="A2469" t="inlineStr">
        <is>
          <t>2026-07-24</t>
        </is>
      </c>
      <c r="B2469" t="inlineStr">
        <is>
          <t>F275856</t>
        </is>
      </c>
      <c r="C2469" t="inlineStr">
        <is>
          <t>C10840</t>
        </is>
      </c>
      <c r="D2469" t="inlineStr">
        <is>
          <t>SKU-10240</t>
        </is>
      </c>
      <c r="E2469" t="inlineStr">
        <is>
          <t>AM05</t>
        </is>
      </c>
      <c r="F2469" s="5" t="n">
        <v>283.86</v>
      </c>
      <c r="G2469">
        <f>IF(LEFT(B2469,1)="C","Credit","Factuur")</f>
        <v/>
      </c>
      <c r="H2469">
        <f>IF(AND(B2469=B2468,D2469=D2468,A2469=A2468,F2469=F2468),1,0)</f>
        <v/>
      </c>
      <c r="I2469">
        <f>IF(C2469="C99999",1,0)</f>
        <v/>
      </c>
      <c r="J2469" s="5">
        <f>IF(OR(H2469=1,I2469=1),0,IF(G2469="Credit",-F2469,F2469))</f>
        <v/>
      </c>
    </row>
    <row r="2470">
      <c r="A2470" t="inlineStr">
        <is>
          <t>2026-07-24</t>
        </is>
      </c>
      <c r="B2470" t="inlineStr">
        <is>
          <t>F276541</t>
        </is>
      </c>
      <c r="C2470" t="inlineStr">
        <is>
          <t>C10878</t>
        </is>
      </c>
      <c r="D2470" t="inlineStr">
        <is>
          <t>SKU-10191</t>
        </is>
      </c>
      <c r="E2470" t="inlineStr">
        <is>
          <t>AM11</t>
        </is>
      </c>
      <c r="F2470" s="5" t="n">
        <v>1119.15</v>
      </c>
      <c r="G2470">
        <f>IF(LEFT(B2470,1)="C","Credit","Factuur")</f>
        <v/>
      </c>
      <c r="H2470">
        <f>IF(AND(B2470=B2469,D2470=D2469,A2470=A2469,F2470=F2469),1,0)</f>
        <v/>
      </c>
      <c r="I2470">
        <f>IF(C2470="C99999",1,0)</f>
        <v/>
      </c>
      <c r="J2470" s="5">
        <f>IF(OR(H2470=1,I2470=1),0,IF(G2470="Credit",-F2470,F2470))</f>
        <v/>
      </c>
    </row>
    <row r="2471">
      <c r="A2471" t="inlineStr">
        <is>
          <t>2026-07-24</t>
        </is>
      </c>
      <c r="B2471" t="inlineStr">
        <is>
          <t>F276541</t>
        </is>
      </c>
      <c r="C2471" t="inlineStr">
        <is>
          <t>C10878</t>
        </is>
      </c>
      <c r="D2471" t="inlineStr">
        <is>
          <t>SKU-10289</t>
        </is>
      </c>
      <c r="E2471" t="inlineStr">
        <is>
          <t>AM11</t>
        </is>
      </c>
      <c r="F2471" s="5" t="n">
        <v>1113.31</v>
      </c>
      <c r="G2471">
        <f>IF(LEFT(B2471,1)="C","Credit","Factuur")</f>
        <v/>
      </c>
      <c r="H2471">
        <f>IF(AND(B2471=B2470,D2471=D2470,A2471=A2470,F2471=F2470),1,0)</f>
        <v/>
      </c>
      <c r="I2471">
        <f>IF(C2471="C99999",1,0)</f>
        <v/>
      </c>
      <c r="J2471" s="5">
        <f>IF(OR(H2471=1,I2471=1),0,IF(G2471="Credit",-F2471,F2471))</f>
        <v/>
      </c>
    </row>
    <row r="2472">
      <c r="A2472" t="inlineStr">
        <is>
          <t>2026-07-24</t>
        </is>
      </c>
      <c r="B2472" t="inlineStr">
        <is>
          <t>F276595</t>
        </is>
      </c>
      <c r="C2472" t="inlineStr">
        <is>
          <t>C10881</t>
        </is>
      </c>
      <c r="D2472" t="inlineStr">
        <is>
          <t>SKU-10049</t>
        </is>
      </c>
      <c r="E2472" t="inlineStr">
        <is>
          <t>AM06</t>
        </is>
      </c>
      <c r="F2472" s="5" t="n">
        <v>265.8</v>
      </c>
      <c r="G2472">
        <f>IF(LEFT(B2472,1)="C","Credit","Factuur")</f>
        <v/>
      </c>
      <c r="H2472">
        <f>IF(AND(B2472=B2471,D2472=D2471,A2472=A2471,F2472=F2471),1,0)</f>
        <v/>
      </c>
      <c r="I2472">
        <f>IF(C2472="C99999",1,0)</f>
        <v/>
      </c>
      <c r="J2472" s="5">
        <f>IF(OR(H2472=1,I2472=1),0,IF(G2472="Credit",-F2472,F2472))</f>
        <v/>
      </c>
    </row>
    <row r="2473">
      <c r="A2473" t="inlineStr">
        <is>
          <t>2026-07-24</t>
        </is>
      </c>
      <c r="B2473" t="inlineStr">
        <is>
          <t>F276595</t>
        </is>
      </c>
      <c r="C2473" t="inlineStr">
        <is>
          <t>C10881</t>
        </is>
      </c>
      <c r="D2473" t="inlineStr">
        <is>
          <t>SKU-10084</t>
        </is>
      </c>
      <c r="E2473" t="inlineStr">
        <is>
          <t>AM06</t>
        </is>
      </c>
      <c r="F2473" s="5" t="n">
        <v>275.13</v>
      </c>
      <c r="G2473">
        <f>IF(LEFT(B2473,1)="C","Credit","Factuur")</f>
        <v/>
      </c>
      <c r="H2473">
        <f>IF(AND(B2473=B2472,D2473=D2472,A2473=A2472,F2473=F2472),1,0)</f>
        <v/>
      </c>
      <c r="I2473">
        <f>IF(C2473="C99999",1,0)</f>
        <v/>
      </c>
      <c r="J2473" s="5">
        <f>IF(OR(H2473=1,I2473=1),0,IF(G2473="Credit",-F2473,F2473))</f>
        <v/>
      </c>
    </row>
    <row r="2474">
      <c r="A2474" t="inlineStr">
        <is>
          <t>2026-07-24</t>
        </is>
      </c>
      <c r="B2474" t="inlineStr">
        <is>
          <t>F276751</t>
        </is>
      </c>
      <c r="C2474" t="inlineStr">
        <is>
          <t>C10889</t>
        </is>
      </c>
      <c r="D2474" t="inlineStr">
        <is>
          <t>SKU-10060</t>
        </is>
      </c>
      <c r="E2474" t="inlineStr">
        <is>
          <t>AM11</t>
        </is>
      </c>
      <c r="F2474" s="5" t="n">
        <v>926.1</v>
      </c>
      <c r="G2474">
        <f>IF(LEFT(B2474,1)="C","Credit","Factuur")</f>
        <v/>
      </c>
      <c r="H2474">
        <f>IF(AND(B2474=B2473,D2474=D2473,A2474=A2473,F2474=F2473),1,0)</f>
        <v/>
      </c>
      <c r="I2474">
        <f>IF(C2474="C99999",1,0)</f>
        <v/>
      </c>
      <c r="J2474" s="5">
        <f>IF(OR(H2474=1,I2474=1),0,IF(G2474="Credit",-F2474,F2474))</f>
        <v/>
      </c>
    </row>
    <row r="2475">
      <c r="A2475" t="inlineStr">
        <is>
          <t>2026-07-24</t>
        </is>
      </c>
      <c r="B2475" t="inlineStr">
        <is>
          <t>F276751</t>
        </is>
      </c>
      <c r="C2475" t="inlineStr">
        <is>
          <t>C10889</t>
        </is>
      </c>
      <c r="D2475" t="inlineStr">
        <is>
          <t>SKU-10173</t>
        </is>
      </c>
      <c r="E2475" t="inlineStr">
        <is>
          <t>AM11</t>
        </is>
      </c>
      <c r="F2475" s="5" t="n">
        <v>924.5</v>
      </c>
      <c r="G2475">
        <f>IF(LEFT(B2475,1)="C","Credit","Factuur")</f>
        <v/>
      </c>
      <c r="H2475">
        <f>IF(AND(B2475=B2474,D2475=D2474,A2475=A2474,F2475=F2474),1,0)</f>
        <v/>
      </c>
      <c r="I2475">
        <f>IF(C2475="C99999",1,0)</f>
        <v/>
      </c>
      <c r="J2475" s="5">
        <f>IF(OR(H2475=1,I2475=1),0,IF(G2475="Credit",-F2475,F2475))</f>
        <v/>
      </c>
    </row>
    <row r="2476">
      <c r="A2476" t="inlineStr">
        <is>
          <t>2026-07-24</t>
        </is>
      </c>
      <c r="B2476" t="inlineStr">
        <is>
          <t>F277170</t>
        </is>
      </c>
      <c r="C2476" t="inlineStr">
        <is>
          <t>C10912</t>
        </is>
      </c>
      <c r="D2476" t="inlineStr">
        <is>
          <t>SKU-10051</t>
        </is>
      </c>
      <c r="E2476" t="inlineStr">
        <is>
          <t>AM08</t>
        </is>
      </c>
      <c r="F2476" s="5" t="n">
        <v>307.68</v>
      </c>
      <c r="G2476">
        <f>IF(LEFT(B2476,1)="C","Credit","Factuur")</f>
        <v/>
      </c>
      <c r="H2476">
        <f>IF(AND(B2476=B2475,D2476=D2475,A2476=A2475,F2476=F2475),1,0)</f>
        <v/>
      </c>
      <c r="I2476">
        <f>IF(C2476="C99999",1,0)</f>
        <v/>
      </c>
      <c r="J2476" s="5">
        <f>IF(OR(H2476=1,I2476=1),0,IF(G2476="Credit",-F2476,F2476))</f>
        <v/>
      </c>
    </row>
    <row r="2477">
      <c r="A2477" t="inlineStr">
        <is>
          <t>2026-07-24</t>
        </is>
      </c>
      <c r="B2477" t="inlineStr">
        <is>
          <t>F277170</t>
        </is>
      </c>
      <c r="C2477" t="inlineStr">
        <is>
          <t>C10912</t>
        </is>
      </c>
      <c r="D2477" t="inlineStr">
        <is>
          <t>SKU-10056</t>
        </is>
      </c>
      <c r="E2477" t="inlineStr">
        <is>
          <t>AM08</t>
        </is>
      </c>
      <c r="F2477" s="5" t="n">
        <v>304</v>
      </c>
      <c r="G2477">
        <f>IF(LEFT(B2477,1)="C","Credit","Factuur")</f>
        <v/>
      </c>
      <c r="H2477">
        <f>IF(AND(B2477=B2476,D2477=D2476,A2477=A2476,F2477=F2476),1,0)</f>
        <v/>
      </c>
      <c r="I2477">
        <f>IF(C2477="C99999",1,0)</f>
        <v/>
      </c>
      <c r="J2477" s="5">
        <f>IF(OR(H2477=1,I2477=1),0,IF(G2477="Credit",-F2477,F2477))</f>
        <v/>
      </c>
    </row>
    <row r="2478">
      <c r="A2478" t="inlineStr">
        <is>
          <t>2026-07-24</t>
        </is>
      </c>
      <c r="B2478" t="inlineStr">
        <is>
          <t>F277170</t>
        </is>
      </c>
      <c r="C2478" t="inlineStr">
        <is>
          <t>C10912</t>
        </is>
      </c>
      <c r="D2478" t="inlineStr">
        <is>
          <t>SKU-10261</t>
        </is>
      </c>
      <c r="E2478" t="inlineStr">
        <is>
          <t>AM08</t>
        </is>
      </c>
      <c r="F2478" s="5" t="n">
        <v>280.37</v>
      </c>
      <c r="G2478">
        <f>IF(LEFT(B2478,1)="C","Credit","Factuur")</f>
        <v/>
      </c>
      <c r="H2478">
        <f>IF(AND(B2478=B2477,D2478=D2477,A2478=A2477,F2478=F2477),1,0)</f>
        <v/>
      </c>
      <c r="I2478">
        <f>IF(C2478="C99999",1,0)</f>
        <v/>
      </c>
      <c r="J2478" s="5">
        <f>IF(OR(H2478=1,I2478=1),0,IF(G2478="Credit",-F2478,F2478))</f>
        <v/>
      </c>
    </row>
    <row r="2479">
      <c r="A2479" t="inlineStr">
        <is>
          <t>2026-07-24</t>
        </is>
      </c>
      <c r="B2479" t="inlineStr">
        <is>
          <t>F277170</t>
        </is>
      </c>
      <c r="C2479" t="inlineStr">
        <is>
          <t>C10912</t>
        </is>
      </c>
      <c r="D2479" t="inlineStr">
        <is>
          <t>SKU-10284</t>
        </is>
      </c>
      <c r="E2479" t="inlineStr">
        <is>
          <t>AM08</t>
        </is>
      </c>
      <c r="F2479" s="5" t="n">
        <v>306.54</v>
      </c>
      <c r="G2479">
        <f>IF(LEFT(B2479,1)="C","Credit","Factuur")</f>
        <v/>
      </c>
      <c r="H2479">
        <f>IF(AND(B2479=B2478,D2479=D2478,A2479=A2478,F2479=F2478),1,0)</f>
        <v/>
      </c>
      <c r="I2479">
        <f>IF(C2479="C99999",1,0)</f>
        <v/>
      </c>
      <c r="J2479" s="5">
        <f>IF(OR(H2479=1,I2479=1),0,IF(G2479="Credit",-F2479,F2479))</f>
        <v/>
      </c>
    </row>
    <row r="2480">
      <c r="A2480" t="inlineStr">
        <is>
          <t>2026-07-24</t>
        </is>
      </c>
      <c r="B2480" t="inlineStr">
        <is>
          <t>F277310</t>
        </is>
      </c>
      <c r="C2480" t="inlineStr">
        <is>
          <t>C10921</t>
        </is>
      </c>
      <c r="D2480" t="inlineStr">
        <is>
          <t>SKU-10122</t>
        </is>
      </c>
      <c r="E2480" t="inlineStr">
        <is>
          <t>AM07</t>
        </is>
      </c>
      <c r="F2480" s="5" t="n">
        <v>238.08</v>
      </c>
      <c r="G2480">
        <f>IF(LEFT(B2480,1)="C","Credit","Factuur")</f>
        <v/>
      </c>
      <c r="H2480">
        <f>IF(AND(B2480=B2479,D2480=D2479,A2480=A2479,F2480=F2479),1,0)</f>
        <v/>
      </c>
      <c r="I2480">
        <f>IF(C2480="C99999",1,0)</f>
        <v/>
      </c>
      <c r="J2480" s="5">
        <f>IF(OR(H2480=1,I2480=1),0,IF(G2480="Credit",-F2480,F2480))</f>
        <v/>
      </c>
    </row>
    <row r="2481">
      <c r="A2481" t="inlineStr">
        <is>
          <t>2026-07-24</t>
        </is>
      </c>
      <c r="B2481" t="inlineStr">
        <is>
          <t>F277310</t>
        </is>
      </c>
      <c r="C2481" t="inlineStr">
        <is>
          <t>C10921</t>
        </is>
      </c>
      <c r="D2481" t="inlineStr">
        <is>
          <t>SKU-10235</t>
        </is>
      </c>
      <c r="E2481" t="inlineStr">
        <is>
          <t>AM07</t>
        </is>
      </c>
      <c r="F2481" s="5" t="n">
        <v>187.87</v>
      </c>
      <c r="G2481">
        <f>IF(LEFT(B2481,1)="C","Credit","Factuur")</f>
        <v/>
      </c>
      <c r="H2481">
        <f>IF(AND(B2481=B2480,D2481=D2480,A2481=A2480,F2481=F2480),1,0)</f>
        <v/>
      </c>
      <c r="I2481">
        <f>IF(C2481="C99999",1,0)</f>
        <v/>
      </c>
      <c r="J2481" s="5">
        <f>IF(OR(H2481=1,I2481=1),0,IF(G2481="Credit",-F2481,F2481))</f>
        <v/>
      </c>
    </row>
    <row r="2482">
      <c r="A2482" t="inlineStr">
        <is>
          <t>2026-07-24</t>
        </is>
      </c>
      <c r="B2482" t="inlineStr">
        <is>
          <t>F277310</t>
        </is>
      </c>
      <c r="C2482" t="inlineStr">
        <is>
          <t>C10921</t>
        </is>
      </c>
      <c r="D2482" t="inlineStr">
        <is>
          <t>SKU-10377</t>
        </is>
      </c>
      <c r="E2482" t="inlineStr">
        <is>
          <t>AM07</t>
        </is>
      </c>
      <c r="F2482" s="5" t="n">
        <v>151.08</v>
      </c>
      <c r="G2482">
        <f>IF(LEFT(B2482,1)="C","Credit","Factuur")</f>
        <v/>
      </c>
      <c r="H2482">
        <f>IF(AND(B2482=B2481,D2482=D2481,A2482=A2481,F2482=F2481),1,0)</f>
        <v/>
      </c>
      <c r="I2482">
        <f>IF(C2482="C99999",1,0)</f>
        <v/>
      </c>
      <c r="J2482" s="5">
        <f>IF(OR(H2482=1,I2482=1),0,IF(G2482="Credit",-F2482,F2482))</f>
        <v/>
      </c>
    </row>
    <row r="2483">
      <c r="A2483" t="inlineStr">
        <is>
          <t>2026-07-24</t>
        </is>
      </c>
      <c r="B2483" t="inlineStr">
        <is>
          <t>F277520</t>
        </is>
      </c>
      <c r="C2483" t="inlineStr">
        <is>
          <t>C10931</t>
        </is>
      </c>
      <c r="D2483" t="inlineStr">
        <is>
          <t>SKU-10020</t>
        </is>
      </c>
      <c r="E2483" t="inlineStr">
        <is>
          <t>AM11</t>
        </is>
      </c>
      <c r="F2483" s="5" t="n">
        <v>1246.44</v>
      </c>
      <c r="G2483">
        <f>IF(LEFT(B2483,1)="C","Credit","Factuur")</f>
        <v/>
      </c>
      <c r="H2483">
        <f>IF(AND(B2483=B2482,D2483=D2482,A2483=A2482,F2483=F2482),1,0)</f>
        <v/>
      </c>
      <c r="I2483">
        <f>IF(C2483="C99999",1,0)</f>
        <v/>
      </c>
      <c r="J2483" s="5">
        <f>IF(OR(H2483=1,I2483=1),0,IF(G2483="Credit",-F2483,F2483))</f>
        <v/>
      </c>
    </row>
    <row r="2484">
      <c r="A2484" t="inlineStr">
        <is>
          <t>2026-07-24</t>
        </is>
      </c>
      <c r="B2484" t="inlineStr">
        <is>
          <t>F277520</t>
        </is>
      </c>
      <c r="C2484" t="inlineStr">
        <is>
          <t>C10931</t>
        </is>
      </c>
      <c r="D2484" t="inlineStr">
        <is>
          <t>SKU-10026</t>
        </is>
      </c>
      <c r="E2484" t="inlineStr">
        <is>
          <t>AM11</t>
        </is>
      </c>
      <c r="F2484" s="5" t="n">
        <v>1173.63</v>
      </c>
      <c r="G2484">
        <f>IF(LEFT(B2484,1)="C","Credit","Factuur")</f>
        <v/>
      </c>
      <c r="H2484">
        <f>IF(AND(B2484=B2483,D2484=D2483,A2484=A2483,F2484=F2483),1,0)</f>
        <v/>
      </c>
      <c r="I2484">
        <f>IF(C2484="C99999",1,0)</f>
        <v/>
      </c>
      <c r="J2484" s="5">
        <f>IF(OR(H2484=1,I2484=1),0,IF(G2484="Credit",-F2484,F2484))</f>
        <v/>
      </c>
    </row>
    <row r="2485">
      <c r="A2485" t="inlineStr">
        <is>
          <t>2026-07-24</t>
        </is>
      </c>
      <c r="B2485" t="inlineStr">
        <is>
          <t>F277520</t>
        </is>
      </c>
      <c r="C2485" t="inlineStr">
        <is>
          <t>C10931</t>
        </is>
      </c>
      <c r="D2485" t="inlineStr">
        <is>
          <t>SKU-10293</t>
        </is>
      </c>
      <c r="E2485" t="inlineStr">
        <is>
          <t>AM11</t>
        </is>
      </c>
      <c r="F2485" s="5" t="n">
        <v>1239.04</v>
      </c>
      <c r="G2485">
        <f>IF(LEFT(B2485,1)="C","Credit","Factuur")</f>
        <v/>
      </c>
      <c r="H2485">
        <f>IF(AND(B2485=B2484,D2485=D2484,A2485=A2484,F2485=F2484),1,0)</f>
        <v/>
      </c>
      <c r="I2485">
        <f>IF(C2485="C99999",1,0)</f>
        <v/>
      </c>
      <c r="J2485" s="5">
        <f>IF(OR(H2485=1,I2485=1),0,IF(G2485="Credit",-F2485,F2485))</f>
        <v/>
      </c>
    </row>
    <row r="2486">
      <c r="A2486" t="inlineStr">
        <is>
          <t>2026-07-24</t>
        </is>
      </c>
      <c r="B2486" t="inlineStr">
        <is>
          <t>F277574</t>
        </is>
      </c>
      <c r="C2486" t="inlineStr">
        <is>
          <t>C10933</t>
        </is>
      </c>
      <c r="D2486" t="inlineStr">
        <is>
          <t>SKU-10022</t>
        </is>
      </c>
      <c r="E2486" t="inlineStr">
        <is>
          <t>AM02</t>
        </is>
      </c>
      <c r="F2486" s="5" t="n">
        <v>583.6799999999999</v>
      </c>
      <c r="G2486">
        <f>IF(LEFT(B2486,1)="C","Credit","Factuur")</f>
        <v/>
      </c>
      <c r="H2486">
        <f>IF(AND(B2486=B2485,D2486=D2485,A2486=A2485,F2486=F2485),1,0)</f>
        <v/>
      </c>
      <c r="I2486">
        <f>IF(C2486="C99999",1,0)</f>
        <v/>
      </c>
      <c r="J2486" s="5">
        <f>IF(OR(H2486=1,I2486=1),0,IF(G2486="Credit",-F2486,F2486))</f>
        <v/>
      </c>
    </row>
    <row r="2487">
      <c r="A2487" t="inlineStr">
        <is>
          <t>2026-07-24</t>
        </is>
      </c>
      <c r="B2487" t="inlineStr">
        <is>
          <t>F277574</t>
        </is>
      </c>
      <c r="C2487" t="inlineStr">
        <is>
          <t>C10933</t>
        </is>
      </c>
      <c r="D2487" t="inlineStr">
        <is>
          <t>SKU-10071</t>
        </is>
      </c>
      <c r="E2487" t="inlineStr">
        <is>
          <t>AM02</t>
        </is>
      </c>
      <c r="F2487" s="5" t="n">
        <v>628.11</v>
      </c>
      <c r="G2487">
        <f>IF(LEFT(B2487,1)="C","Credit","Factuur")</f>
        <v/>
      </c>
      <c r="H2487">
        <f>IF(AND(B2487=B2486,D2487=D2486,A2487=A2486,F2487=F2486),1,0)</f>
        <v/>
      </c>
      <c r="I2487">
        <f>IF(C2487="C99999",1,0)</f>
        <v/>
      </c>
      <c r="J2487" s="5">
        <f>IF(OR(H2487=1,I2487=1),0,IF(G2487="Credit",-F2487,F2487))</f>
        <v/>
      </c>
    </row>
    <row r="2488">
      <c r="A2488" t="inlineStr">
        <is>
          <t>2026-07-24</t>
        </is>
      </c>
      <c r="B2488" t="inlineStr">
        <is>
          <t>F277574</t>
        </is>
      </c>
      <c r="C2488" t="inlineStr">
        <is>
          <t>C10933</t>
        </is>
      </c>
      <c r="D2488" t="inlineStr">
        <is>
          <t>SKU-10288</t>
        </is>
      </c>
      <c r="E2488" t="inlineStr">
        <is>
          <t>AM02</t>
        </is>
      </c>
      <c r="F2488" s="5" t="n">
        <v>580.67</v>
      </c>
      <c r="G2488">
        <f>IF(LEFT(B2488,1)="C","Credit","Factuur")</f>
        <v/>
      </c>
      <c r="H2488">
        <f>IF(AND(B2488=B2487,D2488=D2487,A2488=A2487,F2488=F2487),1,0)</f>
        <v/>
      </c>
      <c r="I2488">
        <f>IF(C2488="C99999",1,0)</f>
        <v/>
      </c>
      <c r="J2488" s="5">
        <f>IF(OR(H2488=1,I2488=1),0,IF(G2488="Credit",-F2488,F2488))</f>
        <v/>
      </c>
    </row>
    <row r="2489">
      <c r="A2489" t="inlineStr">
        <is>
          <t>2026-07-24</t>
        </is>
      </c>
      <c r="B2489" t="inlineStr">
        <is>
          <t>F277675</t>
        </is>
      </c>
      <c r="C2489" t="inlineStr">
        <is>
          <t>C10938</t>
        </is>
      </c>
      <c r="D2489" t="inlineStr">
        <is>
          <t>SKU-10326</t>
        </is>
      </c>
      <c r="E2489" t="inlineStr">
        <is>
          <t>AM06</t>
        </is>
      </c>
      <c r="F2489" s="5" t="n">
        <v>337.72</v>
      </c>
      <c r="G2489">
        <f>IF(LEFT(B2489,1)="C","Credit","Factuur")</f>
        <v/>
      </c>
      <c r="H2489">
        <f>IF(AND(B2489=B2488,D2489=D2488,A2489=A2488,F2489=F2488),1,0)</f>
        <v/>
      </c>
      <c r="I2489">
        <f>IF(C2489="C99999",1,0)</f>
        <v/>
      </c>
      <c r="J2489" s="5">
        <f>IF(OR(H2489=1,I2489=1),0,IF(G2489="Credit",-F2489,F2489))</f>
        <v/>
      </c>
    </row>
    <row r="2490">
      <c r="A2490" t="inlineStr">
        <is>
          <t>2026-07-24</t>
        </is>
      </c>
      <c r="B2490" t="inlineStr">
        <is>
          <t>F277772</t>
        </is>
      </c>
      <c r="C2490" t="inlineStr">
        <is>
          <t>C10944</t>
        </is>
      </c>
      <c r="D2490" t="inlineStr">
        <is>
          <t>SKU-10107</t>
        </is>
      </c>
      <c r="E2490" t="inlineStr">
        <is>
          <t>AM03</t>
        </is>
      </c>
      <c r="F2490" s="5" t="n">
        <v>711.36</v>
      </c>
      <c r="G2490">
        <f>IF(LEFT(B2490,1)="C","Credit","Factuur")</f>
        <v/>
      </c>
      <c r="H2490">
        <f>IF(AND(B2490=B2489,D2490=D2489,A2490=A2489,F2490=F2489),1,0)</f>
        <v/>
      </c>
      <c r="I2490">
        <f>IF(C2490="C99999",1,0)</f>
        <v/>
      </c>
      <c r="J2490" s="5">
        <f>IF(OR(H2490=1,I2490=1),0,IF(G2490="Credit",-F2490,F2490))</f>
        <v/>
      </c>
    </row>
    <row r="2491">
      <c r="A2491" t="inlineStr">
        <is>
          <t>2026-07-24</t>
        </is>
      </c>
      <c r="B2491" t="inlineStr">
        <is>
          <t>F277772</t>
        </is>
      </c>
      <c r="C2491" t="inlineStr">
        <is>
          <t>C10944</t>
        </is>
      </c>
      <c r="D2491" t="inlineStr">
        <is>
          <t>SKU-10196</t>
        </is>
      </c>
      <c r="E2491" t="inlineStr">
        <is>
          <t>AM03</t>
        </is>
      </c>
      <c r="F2491" s="5" t="n">
        <v>713.3099999999999</v>
      </c>
      <c r="G2491">
        <f>IF(LEFT(B2491,1)="C","Credit","Factuur")</f>
        <v/>
      </c>
      <c r="H2491">
        <f>IF(AND(B2491=B2490,D2491=D2490,A2491=A2490,F2491=F2490),1,0)</f>
        <v/>
      </c>
      <c r="I2491">
        <f>IF(C2491="C99999",1,0)</f>
        <v/>
      </c>
      <c r="J2491" s="5">
        <f>IF(OR(H2491=1,I2491=1),0,IF(G2491="Credit",-F2491,F2491))</f>
        <v/>
      </c>
    </row>
    <row r="2492">
      <c r="A2492" t="inlineStr">
        <is>
          <t>2026-07-24</t>
        </is>
      </c>
      <c r="B2492" t="inlineStr">
        <is>
          <t>F277772</t>
        </is>
      </c>
      <c r="C2492" t="inlineStr">
        <is>
          <t>C10944</t>
        </is>
      </c>
      <c r="D2492" t="inlineStr">
        <is>
          <t>SKU-10327</t>
        </is>
      </c>
      <c r="E2492" t="inlineStr">
        <is>
          <t>AM03</t>
        </is>
      </c>
      <c r="F2492" s="5" t="n">
        <v>717.65</v>
      </c>
      <c r="G2492">
        <f>IF(LEFT(B2492,1)="C","Credit","Factuur")</f>
        <v/>
      </c>
      <c r="H2492">
        <f>IF(AND(B2492=B2491,D2492=D2491,A2492=A2491,F2492=F2491),1,0)</f>
        <v/>
      </c>
      <c r="I2492">
        <f>IF(C2492="C99999",1,0)</f>
        <v/>
      </c>
      <c r="J2492" s="5">
        <f>IF(OR(H2492=1,I2492=1),0,IF(G2492="Credit",-F2492,F2492))</f>
        <v/>
      </c>
    </row>
    <row r="2493">
      <c r="A2493" t="inlineStr">
        <is>
          <t>2026-07-24</t>
        </is>
      </c>
      <c r="B2493" t="inlineStr">
        <is>
          <t>F277801</t>
        </is>
      </c>
      <c r="C2493" t="inlineStr">
        <is>
          <t>C10946</t>
        </is>
      </c>
      <c r="D2493" t="inlineStr">
        <is>
          <t>SKU-10024</t>
        </is>
      </c>
      <c r="E2493" t="inlineStr">
        <is>
          <t>AM03</t>
        </is>
      </c>
      <c r="F2493" s="5" t="n">
        <v>233.87</v>
      </c>
      <c r="G2493">
        <f>IF(LEFT(B2493,1)="C","Credit","Factuur")</f>
        <v/>
      </c>
      <c r="H2493">
        <f>IF(AND(B2493=B2492,D2493=D2492,A2493=A2492,F2493=F2492),1,0)</f>
        <v/>
      </c>
      <c r="I2493">
        <f>IF(C2493="C99999",1,0)</f>
        <v/>
      </c>
      <c r="J2493" s="5">
        <f>IF(OR(H2493=1,I2493=1),0,IF(G2493="Credit",-F2493,F2493))</f>
        <v/>
      </c>
    </row>
    <row r="2494">
      <c r="A2494" t="inlineStr">
        <is>
          <t>2026-07-24</t>
        </is>
      </c>
      <c r="B2494" t="inlineStr">
        <is>
          <t>F277801</t>
        </is>
      </c>
      <c r="C2494" t="inlineStr">
        <is>
          <t>C10946</t>
        </is>
      </c>
      <c r="D2494" t="inlineStr">
        <is>
          <t>SKU-10263</t>
        </is>
      </c>
      <c r="E2494" t="inlineStr">
        <is>
          <t>AM03</t>
        </is>
      </c>
      <c r="F2494" s="5" t="n">
        <v>268.84</v>
      </c>
      <c r="G2494">
        <f>IF(LEFT(B2494,1)="C","Credit","Factuur")</f>
        <v/>
      </c>
      <c r="H2494">
        <f>IF(AND(B2494=B2493,D2494=D2493,A2494=A2493,F2494=F2493),1,0)</f>
        <v/>
      </c>
      <c r="I2494">
        <f>IF(C2494="C99999",1,0)</f>
        <v/>
      </c>
      <c r="J2494" s="5">
        <f>IF(OR(H2494=1,I2494=1),0,IF(G2494="Credit",-F2494,F2494))</f>
        <v/>
      </c>
    </row>
    <row r="2495">
      <c r="A2495" t="inlineStr">
        <is>
          <t>2026-07-24</t>
        </is>
      </c>
      <c r="B2495" t="inlineStr">
        <is>
          <t>F278273</t>
        </is>
      </c>
      <c r="C2495" t="inlineStr">
        <is>
          <t>C10969</t>
        </is>
      </c>
      <c r="D2495" t="inlineStr">
        <is>
          <t>SKU-10271</t>
        </is>
      </c>
      <c r="E2495" t="inlineStr">
        <is>
          <t>AM03</t>
        </is>
      </c>
      <c r="F2495" s="5" t="n">
        <v>764.75</v>
      </c>
      <c r="G2495">
        <f>IF(LEFT(B2495,1)="C","Credit","Factuur")</f>
        <v/>
      </c>
      <c r="H2495">
        <f>IF(AND(B2495=B2494,D2495=D2494,A2495=A2494,F2495=F2494),1,0)</f>
        <v/>
      </c>
      <c r="I2495">
        <f>IF(C2495="C99999",1,0)</f>
        <v/>
      </c>
      <c r="J2495" s="5">
        <f>IF(OR(H2495=1,I2495=1),0,IF(G2495="Credit",-F2495,F2495))</f>
        <v/>
      </c>
    </row>
    <row r="2496">
      <c r="A2496" t="inlineStr">
        <is>
          <t>2026-07-24</t>
        </is>
      </c>
      <c r="B2496" t="inlineStr">
        <is>
          <t>F279110</t>
        </is>
      </c>
      <c r="C2496" t="inlineStr">
        <is>
          <t>C11011</t>
        </is>
      </c>
      <c r="D2496" t="inlineStr">
        <is>
          <t>SKU-10018</t>
        </is>
      </c>
      <c r="E2496" t="inlineStr">
        <is>
          <t>AM05</t>
        </is>
      </c>
      <c r="F2496" s="5" t="n">
        <v>152.79</v>
      </c>
      <c r="G2496">
        <f>IF(LEFT(B2496,1)="C","Credit","Factuur")</f>
        <v/>
      </c>
      <c r="H2496">
        <f>IF(AND(B2496=B2495,D2496=D2495,A2496=A2495,F2496=F2495),1,0)</f>
        <v/>
      </c>
      <c r="I2496">
        <f>IF(C2496="C99999",1,0)</f>
        <v/>
      </c>
      <c r="J2496" s="5">
        <f>IF(OR(H2496=1,I2496=1),0,IF(G2496="Credit",-F2496,F2496))</f>
        <v/>
      </c>
    </row>
    <row r="2497">
      <c r="A2497" t="inlineStr">
        <is>
          <t>2026-07-24</t>
        </is>
      </c>
      <c r="B2497" t="inlineStr">
        <is>
          <t>F279110</t>
        </is>
      </c>
      <c r="C2497" t="inlineStr">
        <is>
          <t>C11011</t>
        </is>
      </c>
      <c r="D2497" t="inlineStr">
        <is>
          <t>SKU-10070</t>
        </is>
      </c>
      <c r="E2497" t="inlineStr">
        <is>
          <t>AM05</t>
        </is>
      </c>
      <c r="F2497" s="5" t="n">
        <v>171.64</v>
      </c>
      <c r="G2497">
        <f>IF(LEFT(B2497,1)="C","Credit","Factuur")</f>
        <v/>
      </c>
      <c r="H2497">
        <f>IF(AND(B2497=B2496,D2497=D2496,A2497=A2496,F2497=F2496),1,0)</f>
        <v/>
      </c>
      <c r="I2497">
        <f>IF(C2497="C99999",1,0)</f>
        <v/>
      </c>
      <c r="J2497" s="5">
        <f>IF(OR(H2497=1,I2497=1),0,IF(G2497="Credit",-F2497,F2497))</f>
        <v/>
      </c>
    </row>
    <row r="2498">
      <c r="A2498" t="inlineStr">
        <is>
          <t>2026-07-24</t>
        </is>
      </c>
      <c r="B2498" t="inlineStr">
        <is>
          <t>F279110</t>
        </is>
      </c>
      <c r="C2498" t="inlineStr">
        <is>
          <t>C11011</t>
        </is>
      </c>
      <c r="D2498" t="inlineStr">
        <is>
          <t>SKU-10247</t>
        </is>
      </c>
      <c r="E2498" t="inlineStr">
        <is>
          <t>AM05</t>
        </is>
      </c>
      <c r="F2498" s="5" t="n">
        <v>169.96</v>
      </c>
      <c r="G2498">
        <f>IF(LEFT(B2498,1)="C","Credit","Factuur")</f>
        <v/>
      </c>
      <c r="H2498">
        <f>IF(AND(B2498=B2497,D2498=D2497,A2498=A2497,F2498=F2497),1,0)</f>
        <v/>
      </c>
      <c r="I2498">
        <f>IF(C2498="C99999",1,0)</f>
        <v/>
      </c>
      <c r="J2498" s="5">
        <f>IF(OR(H2498=1,I2498=1),0,IF(G2498="Credit",-F2498,F2498))</f>
        <v/>
      </c>
    </row>
    <row r="2499">
      <c r="A2499" t="inlineStr">
        <is>
          <t>2026-07-24</t>
        </is>
      </c>
      <c r="B2499" t="inlineStr">
        <is>
          <t>F279110</t>
        </is>
      </c>
      <c r="C2499" t="inlineStr">
        <is>
          <t>C11011</t>
        </is>
      </c>
      <c r="D2499" t="inlineStr">
        <is>
          <t>SKU-10288</t>
        </is>
      </c>
      <c r="E2499" t="inlineStr">
        <is>
          <t>AM05</t>
        </is>
      </c>
      <c r="F2499" s="5" t="n">
        <v>160.85</v>
      </c>
      <c r="G2499">
        <f>IF(LEFT(B2499,1)="C","Credit","Factuur")</f>
        <v/>
      </c>
      <c r="H2499">
        <f>IF(AND(B2499=B2498,D2499=D2498,A2499=A2498,F2499=F2498),1,0)</f>
        <v/>
      </c>
      <c r="I2499">
        <f>IF(C2499="C99999",1,0)</f>
        <v/>
      </c>
      <c r="J2499" s="5">
        <f>IF(OR(H2499=1,I2499=1),0,IF(G2499="Credit",-F2499,F2499))</f>
        <v/>
      </c>
    </row>
    <row r="2500">
      <c r="A2500" t="inlineStr">
        <is>
          <t>2026-07-24</t>
        </is>
      </c>
      <c r="B2500" t="inlineStr">
        <is>
          <t>F279354</t>
        </is>
      </c>
      <c r="C2500" t="inlineStr">
        <is>
          <t>C11027</t>
        </is>
      </c>
      <c r="D2500" t="inlineStr">
        <is>
          <t>SKU-10102</t>
        </is>
      </c>
      <c r="E2500" t="inlineStr">
        <is>
          <t>AM01</t>
        </is>
      </c>
      <c r="F2500" s="5" t="n">
        <v>344.96</v>
      </c>
      <c r="G2500">
        <f>IF(LEFT(B2500,1)="C","Credit","Factuur")</f>
        <v/>
      </c>
      <c r="H2500">
        <f>IF(AND(B2500=B2499,D2500=D2499,A2500=A2499,F2500=F2499),1,0)</f>
        <v/>
      </c>
      <c r="I2500">
        <f>IF(C2500="C99999",1,0)</f>
        <v/>
      </c>
      <c r="J2500" s="5">
        <f>IF(OR(H2500=1,I2500=1),0,IF(G2500="Credit",-F2500,F2500))</f>
        <v/>
      </c>
    </row>
    <row r="2501">
      <c r="A2501" t="inlineStr">
        <is>
          <t>2026-07-24</t>
        </is>
      </c>
      <c r="B2501" t="inlineStr">
        <is>
          <t>F279354</t>
        </is>
      </c>
      <c r="C2501" t="inlineStr">
        <is>
          <t>C11027</t>
        </is>
      </c>
      <c r="D2501" t="inlineStr">
        <is>
          <t>SKU-10268</t>
        </is>
      </c>
      <c r="E2501" t="inlineStr">
        <is>
          <t>AM01</t>
        </is>
      </c>
      <c r="F2501" s="5" t="n">
        <v>351.58</v>
      </c>
      <c r="G2501">
        <f>IF(LEFT(B2501,1)="C","Credit","Factuur")</f>
        <v/>
      </c>
      <c r="H2501">
        <f>IF(AND(B2501=B2500,D2501=D2500,A2501=A2500,F2501=F2500),1,0)</f>
        <v/>
      </c>
      <c r="I2501">
        <f>IF(C2501="C99999",1,0)</f>
        <v/>
      </c>
      <c r="J2501" s="5">
        <f>IF(OR(H2501=1,I2501=1),0,IF(G2501="Credit",-F2501,F2501))</f>
        <v/>
      </c>
    </row>
    <row r="2502">
      <c r="A2502" t="inlineStr">
        <is>
          <t>2026-07-24</t>
        </is>
      </c>
      <c r="B2502" t="inlineStr">
        <is>
          <t>F279354</t>
        </is>
      </c>
      <c r="C2502" t="inlineStr">
        <is>
          <t>C11027</t>
        </is>
      </c>
      <c r="D2502" t="inlineStr">
        <is>
          <t>SKU-10273</t>
        </is>
      </c>
      <c r="E2502" t="inlineStr">
        <is>
          <t>AM01</t>
        </is>
      </c>
      <c r="F2502" s="5" t="n">
        <v>385.44</v>
      </c>
      <c r="G2502">
        <f>IF(LEFT(B2502,1)="C","Credit","Factuur")</f>
        <v/>
      </c>
      <c r="H2502">
        <f>IF(AND(B2502=B2501,D2502=D2501,A2502=A2501,F2502=F2501),1,0)</f>
        <v/>
      </c>
      <c r="I2502">
        <f>IF(C2502="C99999",1,0)</f>
        <v/>
      </c>
      <c r="J2502" s="5">
        <f>IF(OR(H2502=1,I2502=1),0,IF(G2502="Credit",-F2502,F2502))</f>
        <v/>
      </c>
    </row>
    <row r="2503">
      <c r="A2503" t="inlineStr">
        <is>
          <t>2026-07-24</t>
        </is>
      </c>
      <c r="B2503" t="inlineStr">
        <is>
          <t>F279354</t>
        </is>
      </c>
      <c r="C2503" t="inlineStr">
        <is>
          <t>C11027</t>
        </is>
      </c>
      <c r="D2503" t="inlineStr">
        <is>
          <t>SKU-10304</t>
        </is>
      </c>
      <c r="E2503" t="inlineStr">
        <is>
          <t>AM01</t>
        </is>
      </c>
      <c r="F2503" s="5" t="n">
        <v>366.72</v>
      </c>
      <c r="G2503">
        <f>IF(LEFT(B2503,1)="C","Credit","Factuur")</f>
        <v/>
      </c>
      <c r="H2503">
        <f>IF(AND(B2503=B2502,D2503=D2502,A2503=A2502,F2503=F2502),1,0)</f>
        <v/>
      </c>
      <c r="I2503">
        <f>IF(C2503="C99999",1,0)</f>
        <v/>
      </c>
      <c r="J2503" s="5">
        <f>IF(OR(H2503=1,I2503=1),0,IF(G2503="Credit",-F2503,F2503))</f>
        <v/>
      </c>
    </row>
    <row r="2504">
      <c r="A2504" t="inlineStr">
        <is>
          <t>2026-07-24</t>
        </is>
      </c>
      <c r="B2504" t="inlineStr">
        <is>
          <t>F279354</t>
        </is>
      </c>
      <c r="C2504" t="inlineStr">
        <is>
          <t>C11027</t>
        </is>
      </c>
      <c r="D2504" t="inlineStr">
        <is>
          <t>SKU-10322</t>
        </is>
      </c>
      <c r="E2504" t="inlineStr">
        <is>
          <t>AM01</t>
        </is>
      </c>
      <c r="F2504" s="5" t="n">
        <v>360.56</v>
      </c>
      <c r="G2504">
        <f>IF(LEFT(B2504,1)="C","Credit","Factuur")</f>
        <v/>
      </c>
      <c r="H2504">
        <f>IF(AND(B2504=B2503,D2504=D2503,A2504=A2503,F2504=F2503),1,0)</f>
        <v/>
      </c>
      <c r="I2504">
        <f>IF(C2504="C99999",1,0)</f>
        <v/>
      </c>
      <c r="J2504" s="5">
        <f>IF(OR(H2504=1,I2504=1),0,IF(G2504="Credit",-F2504,F2504))</f>
        <v/>
      </c>
    </row>
    <row r="2505">
      <c r="A2505" t="inlineStr">
        <is>
          <t>2026-07-24</t>
        </is>
      </c>
      <c r="B2505" t="inlineStr">
        <is>
          <t>F279782</t>
        </is>
      </c>
      <c r="C2505" t="inlineStr">
        <is>
          <t>C11048</t>
        </is>
      </c>
      <c r="D2505" t="inlineStr">
        <is>
          <t>SKU-10093</t>
        </is>
      </c>
      <c r="E2505" t="inlineStr">
        <is>
          <t>AM08</t>
        </is>
      </c>
      <c r="F2505" s="5" t="n">
        <v>2422.25</v>
      </c>
      <c r="G2505">
        <f>IF(LEFT(B2505,1)="C","Credit","Factuur")</f>
        <v/>
      </c>
      <c r="H2505">
        <f>IF(AND(B2505=B2504,D2505=D2504,A2505=A2504,F2505=F2504),1,0)</f>
        <v/>
      </c>
      <c r="I2505">
        <f>IF(C2505="C99999",1,0)</f>
        <v/>
      </c>
      <c r="J2505" s="5">
        <f>IF(OR(H2505=1,I2505=1),0,IF(G2505="Credit",-F2505,F2505))</f>
        <v/>
      </c>
    </row>
    <row r="2506">
      <c r="A2506" t="inlineStr">
        <is>
          <t>2026-07-24</t>
        </is>
      </c>
      <c r="B2506" t="inlineStr">
        <is>
          <t>F279782</t>
        </is>
      </c>
      <c r="C2506" t="inlineStr">
        <is>
          <t>C11048</t>
        </is>
      </c>
      <c r="D2506" t="inlineStr">
        <is>
          <t>SKU-10287</t>
        </is>
      </c>
      <c r="E2506" t="inlineStr">
        <is>
          <t>AM08</t>
        </is>
      </c>
      <c r="F2506" s="5" t="n">
        <v>2378.69</v>
      </c>
      <c r="G2506">
        <f>IF(LEFT(B2506,1)="C","Credit","Factuur")</f>
        <v/>
      </c>
      <c r="H2506">
        <f>IF(AND(B2506=B2505,D2506=D2505,A2506=A2505,F2506=F2505),1,0)</f>
        <v/>
      </c>
      <c r="I2506">
        <f>IF(C2506="C99999",1,0)</f>
        <v/>
      </c>
      <c r="J2506" s="5">
        <f>IF(OR(H2506=1,I2506=1),0,IF(G2506="Credit",-F2506,F2506))</f>
        <v/>
      </c>
    </row>
    <row r="2507">
      <c r="A2507" t="inlineStr">
        <is>
          <t>2026-07-24</t>
        </is>
      </c>
      <c r="B2507" t="inlineStr">
        <is>
          <t>F280398</t>
        </is>
      </c>
      <c r="C2507" t="inlineStr">
        <is>
          <t>C11076</t>
        </is>
      </c>
      <c r="D2507" t="inlineStr">
        <is>
          <t>SKU-10026</t>
        </is>
      </c>
      <c r="E2507" t="inlineStr">
        <is>
          <t>AM12</t>
        </is>
      </c>
      <c r="F2507" s="5" t="n">
        <v>82.36</v>
      </c>
      <c r="G2507">
        <f>IF(LEFT(B2507,1)="C","Credit","Factuur")</f>
        <v/>
      </c>
      <c r="H2507">
        <f>IF(AND(B2507=B2506,D2507=D2506,A2507=A2506,F2507=F2506),1,0)</f>
        <v/>
      </c>
      <c r="I2507">
        <f>IF(C2507="C99999",1,0)</f>
        <v/>
      </c>
      <c r="J2507" s="5">
        <f>IF(OR(H2507=1,I2507=1),0,IF(G2507="Credit",-F2507,F2507))</f>
        <v/>
      </c>
    </row>
    <row r="2508">
      <c r="A2508" t="inlineStr">
        <is>
          <t>2026-07-24</t>
        </is>
      </c>
      <c r="B2508" t="inlineStr">
        <is>
          <t>F280398</t>
        </is>
      </c>
      <c r="C2508" t="inlineStr">
        <is>
          <t>C11076</t>
        </is>
      </c>
      <c r="D2508" t="inlineStr">
        <is>
          <t>SKU-10270</t>
        </is>
      </c>
      <c r="E2508" t="inlineStr">
        <is>
          <t>AM12</t>
        </is>
      </c>
      <c r="F2508" s="5" t="n">
        <v>82.23</v>
      </c>
      <c r="G2508">
        <f>IF(LEFT(B2508,1)="C","Credit","Factuur")</f>
        <v/>
      </c>
      <c r="H2508">
        <f>IF(AND(B2508=B2507,D2508=D2507,A2508=A2507,F2508=F2507),1,0)</f>
        <v/>
      </c>
      <c r="I2508">
        <f>IF(C2508="C99999",1,0)</f>
        <v/>
      </c>
      <c r="J2508" s="5">
        <f>IF(OR(H2508=1,I2508=1),0,IF(G2508="Credit",-F2508,F2508))</f>
        <v/>
      </c>
    </row>
    <row r="2509">
      <c r="A2509" t="inlineStr">
        <is>
          <t>2026-07-24</t>
        </is>
      </c>
      <c r="B2509" t="inlineStr">
        <is>
          <t>F280398</t>
        </is>
      </c>
      <c r="C2509" t="inlineStr">
        <is>
          <t>C11076</t>
        </is>
      </c>
      <c r="D2509" t="inlineStr">
        <is>
          <t>SKU-10333</t>
        </is>
      </c>
      <c r="E2509" t="inlineStr">
        <is>
          <t>AM12</t>
        </is>
      </c>
      <c r="F2509" s="5" t="n">
        <v>82.76000000000001</v>
      </c>
      <c r="G2509">
        <f>IF(LEFT(B2509,1)="C","Credit","Factuur")</f>
        <v/>
      </c>
      <c r="H2509">
        <f>IF(AND(B2509=B2508,D2509=D2508,A2509=A2508,F2509=F2508),1,0)</f>
        <v/>
      </c>
      <c r="I2509">
        <f>IF(C2509="C99999",1,0)</f>
        <v/>
      </c>
      <c r="J2509" s="5">
        <f>IF(OR(H2509=1,I2509=1),0,IF(G2509="Credit",-F2509,F2509))</f>
        <v/>
      </c>
    </row>
    <row r="2510">
      <c r="A2510" t="inlineStr">
        <is>
          <t>2026-07-24</t>
        </is>
      </c>
      <c r="B2510" t="inlineStr">
        <is>
          <t>F280537</t>
        </is>
      </c>
      <c r="C2510" t="inlineStr">
        <is>
          <t>C11082</t>
        </is>
      </c>
      <c r="D2510" t="inlineStr">
        <is>
          <t>SKU-10094</t>
        </is>
      </c>
      <c r="E2510" t="inlineStr">
        <is>
          <t>AM02</t>
        </is>
      </c>
      <c r="F2510" s="5" t="n">
        <v>241.97</v>
      </c>
      <c r="G2510">
        <f>IF(LEFT(B2510,1)="C","Credit","Factuur")</f>
        <v/>
      </c>
      <c r="H2510">
        <f>IF(AND(B2510=B2509,D2510=D2509,A2510=A2509,F2510=F2509),1,0)</f>
        <v/>
      </c>
      <c r="I2510">
        <f>IF(C2510="C99999",1,0)</f>
        <v/>
      </c>
      <c r="J2510" s="5">
        <f>IF(OR(H2510=1,I2510=1),0,IF(G2510="Credit",-F2510,F2510))</f>
        <v/>
      </c>
    </row>
    <row r="2511">
      <c r="A2511" t="inlineStr">
        <is>
          <t>2026-07-24</t>
        </is>
      </c>
      <c r="B2511" t="inlineStr">
        <is>
          <t>F280537</t>
        </is>
      </c>
      <c r="C2511" t="inlineStr">
        <is>
          <t>C11082</t>
        </is>
      </c>
      <c r="D2511" t="inlineStr">
        <is>
          <t>SKU-10274</t>
        </is>
      </c>
      <c r="E2511" t="inlineStr">
        <is>
          <t>AM02</t>
        </is>
      </c>
      <c r="F2511" s="5" t="n">
        <v>256.7</v>
      </c>
      <c r="G2511">
        <f>IF(LEFT(B2511,1)="C","Credit","Factuur")</f>
        <v/>
      </c>
      <c r="H2511">
        <f>IF(AND(B2511=B2510,D2511=D2510,A2511=A2510,F2511=F2510),1,0)</f>
        <v/>
      </c>
      <c r="I2511">
        <f>IF(C2511="C99999",1,0)</f>
        <v/>
      </c>
      <c r="J2511" s="5">
        <f>IF(OR(H2511=1,I2511=1),0,IF(G2511="Credit",-F2511,F2511))</f>
        <v/>
      </c>
    </row>
    <row r="2512">
      <c r="A2512" t="inlineStr">
        <is>
          <t>2026-07-24</t>
        </is>
      </c>
      <c r="B2512" t="inlineStr">
        <is>
          <t>F280537</t>
        </is>
      </c>
      <c r="C2512" t="inlineStr">
        <is>
          <t>C11082</t>
        </is>
      </c>
      <c r="D2512" t="inlineStr">
        <is>
          <t>SKU-10300</t>
        </is>
      </c>
      <c r="E2512" t="inlineStr">
        <is>
          <t>AM02</t>
        </is>
      </c>
      <c r="F2512" s="5" t="n">
        <v>260.44</v>
      </c>
      <c r="G2512">
        <f>IF(LEFT(B2512,1)="C","Credit","Factuur")</f>
        <v/>
      </c>
      <c r="H2512">
        <f>IF(AND(B2512=B2511,D2512=D2511,A2512=A2511,F2512=F2511),1,0)</f>
        <v/>
      </c>
      <c r="I2512">
        <f>IF(C2512="C99999",1,0)</f>
        <v/>
      </c>
      <c r="J2512" s="5">
        <f>IF(OR(H2512=1,I2512=1),0,IF(G2512="Credit",-F2512,F2512))</f>
        <v/>
      </c>
    </row>
    <row r="2513">
      <c r="A2513" t="inlineStr">
        <is>
          <t>2026-07-24</t>
        </is>
      </c>
      <c r="B2513" t="inlineStr">
        <is>
          <t>F280537</t>
        </is>
      </c>
      <c r="C2513" t="inlineStr">
        <is>
          <t>C11082</t>
        </is>
      </c>
      <c r="D2513" t="inlineStr">
        <is>
          <t>SKU-10323</t>
        </is>
      </c>
      <c r="E2513" t="inlineStr">
        <is>
          <t>AM02</t>
        </is>
      </c>
      <c r="F2513" s="5" t="n">
        <v>251.51</v>
      </c>
      <c r="G2513">
        <f>IF(LEFT(B2513,1)="C","Credit","Factuur")</f>
        <v/>
      </c>
      <c r="H2513">
        <f>IF(AND(B2513=B2512,D2513=D2512,A2513=A2512,F2513=F2512),1,0)</f>
        <v/>
      </c>
      <c r="I2513">
        <f>IF(C2513="C99999",1,0)</f>
        <v/>
      </c>
      <c r="J2513" s="5">
        <f>IF(OR(H2513=1,I2513=1),0,IF(G2513="Credit",-F2513,F2513))</f>
        <v/>
      </c>
    </row>
    <row r="2514">
      <c r="A2514" t="inlineStr">
        <is>
          <t>2026-07-24</t>
        </is>
      </c>
      <c r="B2514" t="inlineStr">
        <is>
          <t>F280537</t>
        </is>
      </c>
      <c r="C2514" t="inlineStr">
        <is>
          <t>C11082</t>
        </is>
      </c>
      <c r="D2514" t="inlineStr">
        <is>
          <t>SKU-10381</t>
        </is>
      </c>
      <c r="E2514" t="inlineStr">
        <is>
          <t>AM02</t>
        </is>
      </c>
      <c r="F2514" s="5" t="n">
        <v>488.64</v>
      </c>
      <c r="G2514">
        <f>IF(LEFT(B2514,1)="C","Credit","Factuur")</f>
        <v/>
      </c>
      <c r="H2514">
        <f>IF(AND(B2514=B2513,D2514=D2513,A2514=A2513,F2514=F2513),1,0)</f>
        <v/>
      </c>
      <c r="I2514">
        <f>IF(C2514="C99999",1,0)</f>
        <v/>
      </c>
      <c r="J2514" s="5">
        <f>IF(OR(H2514=1,I2514=1),0,IF(G2514="Credit",-F2514,F2514))</f>
        <v/>
      </c>
    </row>
    <row r="2515">
      <c r="A2515" t="inlineStr">
        <is>
          <t>2026-07-24</t>
        </is>
      </c>
      <c r="B2515" t="inlineStr">
        <is>
          <t>F280686</t>
        </is>
      </c>
      <c r="C2515" t="inlineStr">
        <is>
          <t>C11091</t>
        </is>
      </c>
      <c r="D2515" t="inlineStr">
        <is>
          <t>SKU-10253</t>
        </is>
      </c>
      <c r="E2515" t="inlineStr">
        <is>
          <t>AM01</t>
        </is>
      </c>
      <c r="F2515" s="5" t="n">
        <v>1639.59</v>
      </c>
      <c r="G2515">
        <f>IF(LEFT(B2515,1)="C","Credit","Factuur")</f>
        <v/>
      </c>
      <c r="H2515">
        <f>IF(AND(B2515=B2514,D2515=D2514,A2515=A2514,F2515=F2514),1,0)</f>
        <v/>
      </c>
      <c r="I2515">
        <f>IF(C2515="C99999",1,0)</f>
        <v/>
      </c>
      <c r="J2515" s="5">
        <f>IF(OR(H2515=1,I2515=1),0,IF(G2515="Credit",-F2515,F2515))</f>
        <v/>
      </c>
    </row>
    <row r="2516">
      <c r="A2516" t="inlineStr">
        <is>
          <t>2026-07-24</t>
        </is>
      </c>
      <c r="B2516" t="inlineStr">
        <is>
          <t>F280756</t>
        </is>
      </c>
      <c r="C2516" t="inlineStr">
        <is>
          <t>C11094</t>
        </is>
      </c>
      <c r="D2516" t="inlineStr">
        <is>
          <t>SKU-10031</t>
        </is>
      </c>
      <c r="E2516" t="inlineStr">
        <is>
          <t>AM12</t>
        </is>
      </c>
      <c r="F2516" s="5" t="n">
        <v>526.52</v>
      </c>
      <c r="G2516">
        <f>IF(LEFT(B2516,1)="C","Credit","Factuur")</f>
        <v/>
      </c>
      <c r="H2516">
        <f>IF(AND(B2516=B2515,D2516=D2515,A2516=A2515,F2516=F2515),1,0)</f>
        <v/>
      </c>
      <c r="I2516">
        <f>IF(C2516="C99999",1,0)</f>
        <v/>
      </c>
      <c r="J2516" s="5">
        <f>IF(OR(H2516=1,I2516=1),0,IF(G2516="Credit",-F2516,F2516))</f>
        <v/>
      </c>
    </row>
    <row r="2517">
      <c r="A2517" t="inlineStr">
        <is>
          <t>2026-07-24</t>
        </is>
      </c>
      <c r="B2517" t="inlineStr">
        <is>
          <t>F280756</t>
        </is>
      </c>
      <c r="C2517" t="inlineStr">
        <is>
          <t>C11094</t>
        </is>
      </c>
      <c r="D2517" t="inlineStr">
        <is>
          <t>SKU-10072</t>
        </is>
      </c>
      <c r="E2517" t="inlineStr">
        <is>
          <t>AM12</t>
        </is>
      </c>
      <c r="F2517" s="5" t="n">
        <v>488.35</v>
      </c>
      <c r="G2517">
        <f>IF(LEFT(B2517,1)="C","Credit","Factuur")</f>
        <v/>
      </c>
      <c r="H2517">
        <f>IF(AND(B2517=B2516,D2517=D2516,A2517=A2516,F2517=F2516),1,0)</f>
        <v/>
      </c>
      <c r="I2517">
        <f>IF(C2517="C99999",1,0)</f>
        <v/>
      </c>
      <c r="J2517" s="5">
        <f>IF(OR(H2517=1,I2517=1),0,IF(G2517="Credit",-F2517,F2517))</f>
        <v/>
      </c>
    </row>
    <row r="2518">
      <c r="A2518" t="inlineStr">
        <is>
          <t>2026-07-24</t>
        </is>
      </c>
      <c r="B2518" t="inlineStr">
        <is>
          <t>F280756</t>
        </is>
      </c>
      <c r="C2518" t="inlineStr">
        <is>
          <t>C11094</t>
        </is>
      </c>
      <c r="D2518" t="inlineStr">
        <is>
          <t>SKU-10303</t>
        </is>
      </c>
      <c r="E2518" t="inlineStr">
        <is>
          <t>AM12</t>
        </is>
      </c>
      <c r="F2518" s="5" t="n">
        <v>471.49</v>
      </c>
      <c r="G2518">
        <f>IF(LEFT(B2518,1)="C","Credit","Factuur")</f>
        <v/>
      </c>
      <c r="H2518">
        <f>IF(AND(B2518=B2517,D2518=D2517,A2518=A2517,F2518=F2517),1,0)</f>
        <v/>
      </c>
      <c r="I2518">
        <f>IF(C2518="C99999",1,0)</f>
        <v/>
      </c>
      <c r="J2518" s="5">
        <f>IF(OR(H2518=1,I2518=1),0,IF(G2518="Credit",-F2518,F2518))</f>
        <v/>
      </c>
    </row>
    <row r="2519">
      <c r="A2519" t="inlineStr">
        <is>
          <t>2026-07-24</t>
        </is>
      </c>
      <c r="B2519" t="inlineStr">
        <is>
          <t>F280764</t>
        </is>
      </c>
      <c r="C2519" t="inlineStr">
        <is>
          <t>C11094</t>
        </is>
      </c>
      <c r="D2519" t="inlineStr">
        <is>
          <t>SKU-10067</t>
        </is>
      </c>
      <c r="E2519" t="inlineStr">
        <is>
          <t>AM12</t>
        </is>
      </c>
      <c r="F2519" s="5" t="n">
        <v>459.84</v>
      </c>
      <c r="G2519">
        <f>IF(LEFT(B2519,1)="C","Credit","Factuur")</f>
        <v/>
      </c>
      <c r="H2519">
        <f>IF(AND(B2519=B2518,D2519=D2518,A2519=A2518,F2519=F2518),1,0)</f>
        <v/>
      </c>
      <c r="I2519">
        <f>IF(C2519="C99999",1,0)</f>
        <v/>
      </c>
      <c r="J2519" s="5">
        <f>IF(OR(H2519=1,I2519=1),0,IF(G2519="Credit",-F2519,F2519))</f>
        <v/>
      </c>
    </row>
    <row r="2520">
      <c r="A2520" t="inlineStr">
        <is>
          <t>2026-07-24</t>
        </is>
      </c>
      <c r="B2520" t="inlineStr">
        <is>
          <t>F280764</t>
        </is>
      </c>
      <c r="C2520" t="inlineStr">
        <is>
          <t>C11094</t>
        </is>
      </c>
      <c r="D2520" t="inlineStr">
        <is>
          <t>SKU-10250</t>
        </is>
      </c>
      <c r="E2520" t="inlineStr">
        <is>
          <t>AM12</t>
        </is>
      </c>
      <c r="F2520" s="5" t="n">
        <v>477.6</v>
      </c>
      <c r="G2520">
        <f>IF(LEFT(B2520,1)="C","Credit","Factuur")</f>
        <v/>
      </c>
      <c r="H2520">
        <f>IF(AND(B2520=B2519,D2520=D2519,A2520=A2519,F2520=F2519),1,0)</f>
        <v/>
      </c>
      <c r="I2520">
        <f>IF(C2520="C99999",1,0)</f>
        <v/>
      </c>
      <c r="J2520" s="5">
        <f>IF(OR(H2520=1,I2520=1),0,IF(G2520="Credit",-F2520,F2520))</f>
        <v/>
      </c>
    </row>
    <row r="2521">
      <c r="A2521" t="inlineStr">
        <is>
          <t>2026-07-24</t>
        </is>
      </c>
      <c r="B2521" t="inlineStr">
        <is>
          <t>F280764</t>
        </is>
      </c>
      <c r="C2521" t="inlineStr">
        <is>
          <t>C11094</t>
        </is>
      </c>
      <c r="D2521" t="inlineStr">
        <is>
          <t>SKU-10252</t>
        </is>
      </c>
      <c r="E2521" t="inlineStr">
        <is>
          <t>AM12</t>
        </is>
      </c>
      <c r="F2521" s="5" t="n">
        <v>443.61</v>
      </c>
      <c r="G2521">
        <f>IF(LEFT(B2521,1)="C","Credit","Factuur")</f>
        <v/>
      </c>
      <c r="H2521">
        <f>IF(AND(B2521=B2520,D2521=D2520,A2521=A2520,F2521=F2520),1,0)</f>
        <v/>
      </c>
      <c r="I2521">
        <f>IF(C2521="C99999",1,0)</f>
        <v/>
      </c>
      <c r="J2521" s="5">
        <f>IF(OR(H2521=1,I2521=1),0,IF(G2521="Credit",-F2521,F2521))</f>
        <v/>
      </c>
    </row>
    <row r="2522">
      <c r="A2522" t="inlineStr">
        <is>
          <t>2026-07-24</t>
        </is>
      </c>
      <c r="B2522" t="inlineStr">
        <is>
          <t>F280764</t>
        </is>
      </c>
      <c r="C2522" t="inlineStr">
        <is>
          <t>C11094</t>
        </is>
      </c>
      <c r="D2522" t="inlineStr">
        <is>
          <t>SKU-10337</t>
        </is>
      </c>
      <c r="E2522" t="inlineStr">
        <is>
          <t>AM12</t>
        </is>
      </c>
      <c r="F2522" s="5" t="n">
        <v>493.35</v>
      </c>
      <c r="G2522">
        <f>IF(LEFT(B2522,1)="C","Credit","Factuur")</f>
        <v/>
      </c>
      <c r="H2522">
        <f>IF(AND(B2522=B2521,D2522=D2521,A2522=A2521,F2522=F2521),1,0)</f>
        <v/>
      </c>
      <c r="I2522">
        <f>IF(C2522="C99999",1,0)</f>
        <v/>
      </c>
      <c r="J2522" s="5">
        <f>IF(OR(H2522=1,I2522=1),0,IF(G2522="Credit",-F2522,F2522))</f>
        <v/>
      </c>
    </row>
    <row r="2523">
      <c r="A2523" t="inlineStr">
        <is>
          <t>2026-07-24</t>
        </is>
      </c>
      <c r="B2523" t="inlineStr">
        <is>
          <t>F280793</t>
        </is>
      </c>
      <c r="C2523" t="inlineStr">
        <is>
          <t>C11096</t>
        </is>
      </c>
      <c r="D2523" t="inlineStr">
        <is>
          <t>SKU-10142</t>
        </is>
      </c>
      <c r="E2523" t="inlineStr">
        <is>
          <t>AM11</t>
        </is>
      </c>
      <c r="F2523" s="5" t="n">
        <v>289.84</v>
      </c>
      <c r="G2523">
        <f>IF(LEFT(B2523,1)="C","Credit","Factuur")</f>
        <v/>
      </c>
      <c r="H2523">
        <f>IF(AND(B2523=B2522,D2523=D2522,A2523=A2522,F2523=F2522),1,0)</f>
        <v/>
      </c>
      <c r="I2523">
        <f>IF(C2523="C99999",1,0)</f>
        <v/>
      </c>
      <c r="J2523" s="5">
        <f>IF(OR(H2523=1,I2523=1),0,IF(G2523="Credit",-F2523,F2523))</f>
        <v/>
      </c>
    </row>
    <row r="2524">
      <c r="A2524" t="inlineStr">
        <is>
          <t>2026-07-24</t>
        </is>
      </c>
      <c r="B2524" t="inlineStr">
        <is>
          <t>F280793</t>
        </is>
      </c>
      <c r="C2524" t="inlineStr">
        <is>
          <t>C11096</t>
        </is>
      </c>
      <c r="D2524" t="inlineStr">
        <is>
          <t>SKU-10163</t>
        </is>
      </c>
      <c r="E2524" t="inlineStr">
        <is>
          <t>AM11</t>
        </is>
      </c>
      <c r="F2524" s="5" t="n">
        <v>291.6</v>
      </c>
      <c r="G2524">
        <f>IF(LEFT(B2524,1)="C","Credit","Factuur")</f>
        <v/>
      </c>
      <c r="H2524">
        <f>IF(AND(B2524=B2523,D2524=D2523,A2524=A2523,F2524=F2523),1,0)</f>
        <v/>
      </c>
      <c r="I2524">
        <f>IF(C2524="C99999",1,0)</f>
        <v/>
      </c>
      <c r="J2524" s="5">
        <f>IF(OR(H2524=1,I2524=1),0,IF(G2524="Credit",-F2524,F2524))</f>
        <v/>
      </c>
    </row>
    <row r="2525">
      <c r="A2525" t="inlineStr">
        <is>
          <t>2026-07-24</t>
        </is>
      </c>
      <c r="B2525" t="inlineStr">
        <is>
          <t>F280793</t>
        </is>
      </c>
      <c r="C2525" t="inlineStr">
        <is>
          <t>C11096</t>
        </is>
      </c>
      <c r="D2525" t="inlineStr">
        <is>
          <t>SKU-10176</t>
        </is>
      </c>
      <c r="E2525" t="inlineStr">
        <is>
          <t>AM11</t>
        </is>
      </c>
      <c r="F2525" s="5" t="n">
        <v>290.08</v>
      </c>
      <c r="G2525">
        <f>IF(LEFT(B2525,1)="C","Credit","Factuur")</f>
        <v/>
      </c>
      <c r="H2525">
        <f>IF(AND(B2525=B2524,D2525=D2524,A2525=A2524,F2525=F2524),1,0)</f>
        <v/>
      </c>
      <c r="I2525">
        <f>IF(C2525="C99999",1,0)</f>
        <v/>
      </c>
      <c r="J2525" s="5">
        <f>IF(OR(H2525=1,I2525=1),0,IF(G2525="Credit",-F2525,F2525))</f>
        <v/>
      </c>
    </row>
    <row r="2526">
      <c r="A2526" t="inlineStr">
        <is>
          <t>2026-07-24</t>
        </is>
      </c>
      <c r="B2526" t="inlineStr">
        <is>
          <t>F280793</t>
        </is>
      </c>
      <c r="C2526" t="inlineStr">
        <is>
          <t>C11096</t>
        </is>
      </c>
      <c r="D2526" t="inlineStr">
        <is>
          <t>SKU-10302</t>
        </is>
      </c>
      <c r="E2526" t="inlineStr">
        <is>
          <t>AM11</t>
        </is>
      </c>
      <c r="F2526" s="5" t="n">
        <v>307.37</v>
      </c>
      <c r="G2526">
        <f>IF(LEFT(B2526,1)="C","Credit","Factuur")</f>
        <v/>
      </c>
      <c r="H2526">
        <f>IF(AND(B2526=B2525,D2526=D2525,A2526=A2525,F2526=F2525),1,0)</f>
        <v/>
      </c>
      <c r="I2526">
        <f>IF(C2526="C99999",1,0)</f>
        <v/>
      </c>
      <c r="J2526" s="5">
        <f>IF(OR(H2526=1,I2526=1),0,IF(G2526="Credit",-F2526,F2526))</f>
        <v/>
      </c>
    </row>
    <row r="2527">
      <c r="A2527" t="inlineStr">
        <is>
          <t>2026-07-24</t>
        </is>
      </c>
      <c r="B2527" t="inlineStr">
        <is>
          <t>F280793</t>
        </is>
      </c>
      <c r="C2527" t="inlineStr">
        <is>
          <t>C11096</t>
        </is>
      </c>
      <c r="D2527" t="inlineStr">
        <is>
          <t>SKU-10310</t>
        </is>
      </c>
      <c r="E2527" t="inlineStr">
        <is>
          <t>AM11</t>
        </is>
      </c>
      <c r="F2527" s="5" t="n">
        <v>291.07</v>
      </c>
      <c r="G2527">
        <f>IF(LEFT(B2527,1)="C","Credit","Factuur")</f>
        <v/>
      </c>
      <c r="H2527">
        <f>IF(AND(B2527=B2526,D2527=D2526,A2527=A2526,F2527=F2526),1,0)</f>
        <v/>
      </c>
      <c r="I2527">
        <f>IF(C2527="C99999",1,0)</f>
        <v/>
      </c>
      <c r="J2527" s="5">
        <f>IF(OR(H2527=1,I2527=1),0,IF(G2527="Credit",-F2527,F2527))</f>
        <v/>
      </c>
    </row>
    <row r="2528">
      <c r="A2528" t="inlineStr">
        <is>
          <t>2026-07-24</t>
        </is>
      </c>
      <c r="B2528" t="inlineStr">
        <is>
          <t>F280839</t>
        </is>
      </c>
      <c r="C2528" t="inlineStr">
        <is>
          <t>C11099</t>
        </is>
      </c>
      <c r="D2528" t="inlineStr">
        <is>
          <t>SKU-10104</t>
        </is>
      </c>
      <c r="E2528" t="inlineStr">
        <is>
          <t>AM02</t>
        </is>
      </c>
      <c r="F2528" s="5" t="n">
        <v>80.2</v>
      </c>
      <c r="G2528">
        <f>IF(LEFT(B2528,1)="C","Credit","Factuur")</f>
        <v/>
      </c>
      <c r="H2528">
        <f>IF(AND(B2528=B2527,D2528=D2527,A2528=A2527,F2528=F2527),1,0)</f>
        <v/>
      </c>
      <c r="I2528">
        <f>IF(C2528="C99999",1,0)</f>
        <v/>
      </c>
      <c r="J2528" s="5">
        <f>IF(OR(H2528=1,I2528=1),0,IF(G2528="Credit",-F2528,F2528))</f>
        <v/>
      </c>
    </row>
    <row r="2529">
      <c r="A2529" t="inlineStr">
        <is>
          <t>2026-07-24</t>
        </is>
      </c>
      <c r="B2529" t="inlineStr">
        <is>
          <t>F280839</t>
        </is>
      </c>
      <c r="C2529" t="inlineStr">
        <is>
          <t>C11099</t>
        </is>
      </c>
      <c r="D2529" t="inlineStr">
        <is>
          <t>SKU-10208</t>
        </is>
      </c>
      <c r="E2529" t="inlineStr">
        <is>
          <t>AM02</t>
        </is>
      </c>
      <c r="F2529" s="5" t="n">
        <v>132.32</v>
      </c>
      <c r="G2529">
        <f>IF(LEFT(B2529,1)="C","Credit","Factuur")</f>
        <v/>
      </c>
      <c r="H2529">
        <f>IF(AND(B2529=B2528,D2529=D2528,A2529=A2528,F2529=F2528),1,0)</f>
        <v/>
      </c>
      <c r="I2529">
        <f>IF(C2529="C99999",1,0)</f>
        <v/>
      </c>
      <c r="J2529" s="5">
        <f>IF(OR(H2529=1,I2529=1),0,IF(G2529="Credit",-F2529,F2529))</f>
        <v/>
      </c>
    </row>
    <row r="2530">
      <c r="A2530" t="inlineStr">
        <is>
          <t>2026-07-24</t>
        </is>
      </c>
      <c r="B2530" t="inlineStr">
        <is>
          <t>F280890</t>
        </is>
      </c>
      <c r="C2530" t="inlineStr">
        <is>
          <t>C11101</t>
        </is>
      </c>
      <c r="D2530" t="inlineStr">
        <is>
          <t>SKU-10327</t>
        </is>
      </c>
      <c r="E2530" t="inlineStr">
        <is>
          <t>AM08</t>
        </is>
      </c>
      <c r="F2530" s="5" t="n">
        <v>2026.78</v>
      </c>
      <c r="G2530">
        <f>IF(LEFT(B2530,1)="C","Credit","Factuur")</f>
        <v/>
      </c>
      <c r="H2530">
        <f>IF(AND(B2530=B2529,D2530=D2529,A2530=A2529,F2530=F2529),1,0)</f>
        <v/>
      </c>
      <c r="I2530">
        <f>IF(C2530="C99999",1,0)</f>
        <v/>
      </c>
      <c r="J2530" s="5">
        <f>IF(OR(H2530=1,I2530=1),0,IF(G2530="Credit",-F2530,F2530))</f>
        <v/>
      </c>
    </row>
    <row r="2531">
      <c r="A2531" t="inlineStr">
        <is>
          <t>2026-07-24</t>
        </is>
      </c>
      <c r="B2531" t="inlineStr">
        <is>
          <t>F281029</t>
        </is>
      </c>
      <c r="C2531" t="inlineStr">
        <is>
          <t>C11108</t>
        </is>
      </c>
      <c r="D2531" t="inlineStr">
        <is>
          <t>SKU-10014</t>
        </is>
      </c>
      <c r="E2531" t="inlineStr">
        <is>
          <t>AM01</t>
        </is>
      </c>
      <c r="F2531" s="5" t="n">
        <v>444.45</v>
      </c>
      <c r="G2531">
        <f>IF(LEFT(B2531,1)="C","Credit","Factuur")</f>
        <v/>
      </c>
      <c r="H2531">
        <f>IF(AND(B2531=B2530,D2531=D2530,A2531=A2530,F2531=F2530),1,0)</f>
        <v/>
      </c>
      <c r="I2531">
        <f>IF(C2531="C99999",1,0)</f>
        <v/>
      </c>
      <c r="J2531" s="5">
        <f>IF(OR(H2531=1,I2531=1),0,IF(G2531="Credit",-F2531,F2531))</f>
        <v/>
      </c>
    </row>
    <row r="2532">
      <c r="A2532" t="inlineStr">
        <is>
          <t>2026-07-24</t>
        </is>
      </c>
      <c r="B2532" t="inlineStr">
        <is>
          <t>F281029</t>
        </is>
      </c>
      <c r="C2532" t="inlineStr">
        <is>
          <t>C11108</t>
        </is>
      </c>
      <c r="D2532" t="inlineStr">
        <is>
          <t>SKU-10226</t>
        </is>
      </c>
      <c r="E2532" t="inlineStr">
        <is>
          <t>AM01</t>
        </is>
      </c>
      <c r="F2532" s="5" t="n">
        <v>461.51</v>
      </c>
      <c r="G2532">
        <f>IF(LEFT(B2532,1)="C","Credit","Factuur")</f>
        <v/>
      </c>
      <c r="H2532">
        <f>IF(AND(B2532=B2531,D2532=D2531,A2532=A2531,F2532=F2531),1,0)</f>
        <v/>
      </c>
      <c r="I2532">
        <f>IF(C2532="C99999",1,0)</f>
        <v/>
      </c>
      <c r="J2532" s="5">
        <f>IF(OR(H2532=1,I2532=1),0,IF(G2532="Credit",-F2532,F2532))</f>
        <v/>
      </c>
    </row>
    <row r="2533">
      <c r="A2533" t="inlineStr">
        <is>
          <t>2026-07-24</t>
        </is>
      </c>
      <c r="B2533" t="inlineStr">
        <is>
          <t>F281029</t>
        </is>
      </c>
      <c r="C2533" t="inlineStr">
        <is>
          <t>C11108</t>
        </is>
      </c>
      <c r="D2533" t="inlineStr">
        <is>
          <t>SKU-10254</t>
        </is>
      </c>
      <c r="E2533" t="inlineStr">
        <is>
          <t>AM01</t>
        </is>
      </c>
      <c r="F2533" s="5" t="n">
        <v>411.75</v>
      </c>
      <c r="G2533">
        <f>IF(LEFT(B2533,1)="C","Credit","Factuur")</f>
        <v/>
      </c>
      <c r="H2533">
        <f>IF(AND(B2533=B2532,D2533=D2532,A2533=A2532,F2533=F2532),1,0)</f>
        <v/>
      </c>
      <c r="I2533">
        <f>IF(C2533="C99999",1,0)</f>
        <v/>
      </c>
      <c r="J2533" s="5">
        <f>IF(OR(H2533=1,I2533=1),0,IF(G2533="Credit",-F2533,F2533))</f>
        <v/>
      </c>
    </row>
    <row r="2534">
      <c r="A2534" t="inlineStr">
        <is>
          <t>2026-07-24</t>
        </is>
      </c>
      <c r="B2534" t="inlineStr">
        <is>
          <t>F281029</t>
        </is>
      </c>
      <c r="C2534" t="inlineStr">
        <is>
          <t>C11108</t>
        </is>
      </c>
      <c r="D2534" t="inlineStr">
        <is>
          <t>SKU-10328</t>
        </is>
      </c>
      <c r="E2534" t="inlineStr">
        <is>
          <t>AM01</t>
        </is>
      </c>
      <c r="F2534" s="5" t="n">
        <v>468.6</v>
      </c>
      <c r="G2534">
        <f>IF(LEFT(B2534,1)="C","Credit","Factuur")</f>
        <v/>
      </c>
      <c r="H2534">
        <f>IF(AND(B2534=B2533,D2534=D2533,A2534=A2533,F2534=F2533),1,0)</f>
        <v/>
      </c>
      <c r="I2534">
        <f>IF(C2534="C99999",1,0)</f>
        <v/>
      </c>
      <c r="J2534" s="5">
        <f>IF(OR(H2534=1,I2534=1),0,IF(G2534="Credit",-F2534,F2534))</f>
        <v/>
      </c>
    </row>
    <row r="2535">
      <c r="A2535" t="inlineStr">
        <is>
          <t>2026-07-24</t>
        </is>
      </c>
      <c r="B2535" t="inlineStr">
        <is>
          <t>F281151</t>
        </is>
      </c>
      <c r="C2535" t="inlineStr">
        <is>
          <t>C11113</t>
        </is>
      </c>
      <c r="D2535" t="inlineStr">
        <is>
          <t>SKU-10258</t>
        </is>
      </c>
      <c r="E2535" t="inlineStr">
        <is>
          <t>AM01</t>
        </is>
      </c>
      <c r="F2535" s="5" t="n">
        <v>751.96</v>
      </c>
      <c r="G2535">
        <f>IF(LEFT(B2535,1)="C","Credit","Factuur")</f>
        <v/>
      </c>
      <c r="H2535">
        <f>IF(AND(B2535=B2534,D2535=D2534,A2535=A2534,F2535=F2534),1,0)</f>
        <v/>
      </c>
      <c r="I2535">
        <f>IF(C2535="C99999",1,0)</f>
        <v/>
      </c>
      <c r="J2535" s="5">
        <f>IF(OR(H2535=1,I2535=1),0,IF(G2535="Credit",-F2535,F2535))</f>
        <v/>
      </c>
    </row>
    <row r="2536">
      <c r="A2536" t="inlineStr">
        <is>
          <t>2026-07-24</t>
        </is>
      </c>
      <c r="B2536" t="inlineStr">
        <is>
          <t>F281563</t>
        </is>
      </c>
      <c r="C2536" t="inlineStr">
        <is>
          <t>C11137</t>
        </is>
      </c>
      <c r="D2536" t="inlineStr">
        <is>
          <t>SKU-10009</t>
        </is>
      </c>
      <c r="E2536" t="inlineStr">
        <is>
          <t>AM02</t>
        </is>
      </c>
      <c r="F2536" s="5" t="n">
        <v>238.91</v>
      </c>
      <c r="G2536">
        <f>IF(LEFT(B2536,1)="C","Credit","Factuur")</f>
        <v/>
      </c>
      <c r="H2536">
        <f>IF(AND(B2536=B2535,D2536=D2535,A2536=A2535,F2536=F2535),1,0)</f>
        <v/>
      </c>
      <c r="I2536">
        <f>IF(C2536="C99999",1,0)</f>
        <v/>
      </c>
      <c r="J2536" s="5">
        <f>IF(OR(H2536=1,I2536=1),0,IF(G2536="Credit",-F2536,F2536))</f>
        <v/>
      </c>
    </row>
    <row r="2537">
      <c r="A2537" t="inlineStr">
        <is>
          <t>2026-07-24</t>
        </is>
      </c>
      <c r="B2537" t="inlineStr">
        <is>
          <t>F281563</t>
        </is>
      </c>
      <c r="C2537" t="inlineStr">
        <is>
          <t>C11137</t>
        </is>
      </c>
      <c r="D2537" t="inlineStr">
        <is>
          <t>SKU-10142</t>
        </is>
      </c>
      <c r="E2537" t="inlineStr">
        <is>
          <t>AM02</t>
        </is>
      </c>
      <c r="F2537" s="5" t="n">
        <v>289.84</v>
      </c>
      <c r="G2537">
        <f>IF(LEFT(B2537,1)="C","Credit","Factuur")</f>
        <v/>
      </c>
      <c r="H2537">
        <f>IF(AND(B2537=B2536,D2537=D2536,A2537=A2536,F2537=F2536),1,0)</f>
        <v/>
      </c>
      <c r="I2537">
        <f>IF(C2537="C99999",1,0)</f>
        <v/>
      </c>
      <c r="J2537" s="5">
        <f>IF(OR(H2537=1,I2537=1),0,IF(G2537="Credit",-F2537,F2537))</f>
        <v/>
      </c>
    </row>
    <row r="2538">
      <c r="A2538" t="inlineStr">
        <is>
          <t>2026-07-24</t>
        </is>
      </c>
      <c r="B2538" t="inlineStr">
        <is>
          <t>F281563</t>
        </is>
      </c>
      <c r="C2538" t="inlineStr">
        <is>
          <t>C11137</t>
        </is>
      </c>
      <c r="D2538" t="inlineStr">
        <is>
          <t>SKU-10174</t>
        </is>
      </c>
      <c r="E2538" t="inlineStr">
        <is>
          <t>AM02</t>
        </is>
      </c>
      <c r="F2538" s="5" t="n">
        <v>227.49</v>
      </c>
      <c r="G2538">
        <f>IF(LEFT(B2538,1)="C","Credit","Factuur")</f>
        <v/>
      </c>
      <c r="H2538">
        <f>IF(AND(B2538=B2537,D2538=D2537,A2538=A2537,F2538=F2537),1,0)</f>
        <v/>
      </c>
      <c r="I2538">
        <f>IF(C2538="C99999",1,0)</f>
        <v/>
      </c>
      <c r="J2538" s="5">
        <f>IF(OR(H2538=1,I2538=1),0,IF(G2538="Credit",-F2538,F2538))</f>
        <v/>
      </c>
    </row>
    <row r="2539">
      <c r="A2539" t="inlineStr">
        <is>
          <t>2026-07-24</t>
        </is>
      </c>
      <c r="B2539" t="inlineStr">
        <is>
          <t>F281563</t>
        </is>
      </c>
      <c r="C2539" t="inlineStr">
        <is>
          <t>C11137</t>
        </is>
      </c>
      <c r="D2539" t="inlineStr">
        <is>
          <t>SKU-10286</t>
        </is>
      </c>
      <c r="E2539" t="inlineStr">
        <is>
          <t>AM02</t>
        </is>
      </c>
      <c r="F2539" s="5" t="n">
        <v>255.5</v>
      </c>
      <c r="G2539">
        <f>IF(LEFT(B2539,1)="C","Credit","Factuur")</f>
        <v/>
      </c>
      <c r="H2539">
        <f>IF(AND(B2539=B2538,D2539=D2538,A2539=A2538,F2539=F2538),1,0)</f>
        <v/>
      </c>
      <c r="I2539">
        <f>IF(C2539="C99999",1,0)</f>
        <v/>
      </c>
      <c r="J2539" s="5">
        <f>IF(OR(H2539=1,I2539=1),0,IF(G2539="Credit",-F2539,F2539))</f>
        <v/>
      </c>
    </row>
    <row r="2540">
      <c r="A2540" t="inlineStr">
        <is>
          <t>2026-07-24</t>
        </is>
      </c>
      <c r="B2540" t="inlineStr">
        <is>
          <t>F282066</t>
        </is>
      </c>
      <c r="C2540" t="inlineStr">
        <is>
          <t>C11159</t>
        </is>
      </c>
      <c r="D2540" t="inlineStr">
        <is>
          <t>SKU-10162</t>
        </is>
      </c>
      <c r="E2540" t="inlineStr">
        <is>
          <t>AM05</t>
        </is>
      </c>
      <c r="F2540" s="5" t="n">
        <v>262.5</v>
      </c>
      <c r="G2540">
        <f>IF(LEFT(B2540,1)="C","Credit","Factuur")</f>
        <v/>
      </c>
      <c r="H2540">
        <f>IF(AND(B2540=B2539,D2540=D2539,A2540=A2539,F2540=F2539),1,0)</f>
        <v/>
      </c>
      <c r="I2540">
        <f>IF(C2540="C99999",1,0)</f>
        <v/>
      </c>
      <c r="J2540" s="5">
        <f>IF(OR(H2540=1,I2540=1),0,IF(G2540="Credit",-F2540,F2540))</f>
        <v/>
      </c>
    </row>
    <row r="2541">
      <c r="A2541" t="inlineStr">
        <is>
          <t>2026-07-24</t>
        </is>
      </c>
      <c r="B2541" t="inlineStr">
        <is>
          <t>F282066</t>
        </is>
      </c>
      <c r="C2541" t="inlineStr">
        <is>
          <t>C11159</t>
        </is>
      </c>
      <c r="D2541" t="inlineStr">
        <is>
          <t>SKU-10271</t>
        </is>
      </c>
      <c r="E2541" t="inlineStr">
        <is>
          <t>AM05</t>
        </is>
      </c>
      <c r="F2541" s="5" t="n">
        <v>266</v>
      </c>
      <c r="G2541">
        <f>IF(LEFT(B2541,1)="C","Credit","Factuur")</f>
        <v/>
      </c>
      <c r="H2541">
        <f>IF(AND(B2541=B2540,D2541=D2540,A2541=A2540,F2541=F2540),1,0)</f>
        <v/>
      </c>
      <c r="I2541">
        <f>IF(C2541="C99999",1,0)</f>
        <v/>
      </c>
      <c r="J2541" s="5">
        <f>IF(OR(H2541=1,I2541=1),0,IF(G2541="Credit",-F2541,F2541))</f>
        <v/>
      </c>
    </row>
    <row r="2542">
      <c r="A2542" t="inlineStr">
        <is>
          <t>2026-07-24</t>
        </is>
      </c>
      <c r="B2542" t="inlineStr">
        <is>
          <t>F282066</t>
        </is>
      </c>
      <c r="C2542" t="inlineStr">
        <is>
          <t>C11159</t>
        </is>
      </c>
      <c r="D2542" t="inlineStr">
        <is>
          <t>SKU-10314</t>
        </is>
      </c>
      <c r="E2542" t="inlineStr">
        <is>
          <t>AM05</t>
        </is>
      </c>
      <c r="F2542" s="5" t="n">
        <v>270.48</v>
      </c>
      <c r="G2542">
        <f>IF(LEFT(B2542,1)="C","Credit","Factuur")</f>
        <v/>
      </c>
      <c r="H2542">
        <f>IF(AND(B2542=B2541,D2542=D2541,A2542=A2541,F2542=F2541),1,0)</f>
        <v/>
      </c>
      <c r="I2542">
        <f>IF(C2542="C99999",1,0)</f>
        <v/>
      </c>
      <c r="J2542" s="5">
        <f>IF(OR(H2542=1,I2542=1),0,IF(G2542="Credit",-F2542,F2542))</f>
        <v/>
      </c>
    </row>
    <row r="2543">
      <c r="A2543" t="inlineStr">
        <is>
          <t>2026-07-24</t>
        </is>
      </c>
      <c r="B2543" t="inlineStr">
        <is>
          <t>F282236</t>
        </is>
      </c>
      <c r="C2543" t="inlineStr">
        <is>
          <t>C11167</t>
        </is>
      </c>
      <c r="D2543" t="inlineStr">
        <is>
          <t>SKU-10035</t>
        </is>
      </c>
      <c r="E2543" t="inlineStr">
        <is>
          <t>AM01</t>
        </is>
      </c>
      <c r="F2543" s="5" t="n">
        <v>403.15</v>
      </c>
      <c r="G2543">
        <f>IF(LEFT(B2543,1)="C","Credit","Factuur")</f>
        <v/>
      </c>
      <c r="H2543">
        <f>IF(AND(B2543=B2542,D2543=D2542,A2543=A2542,F2543=F2542),1,0)</f>
        <v/>
      </c>
      <c r="I2543">
        <f>IF(C2543="C99999",1,0)</f>
        <v/>
      </c>
      <c r="J2543" s="5">
        <f>IF(OR(H2543=1,I2543=1),0,IF(G2543="Credit",-F2543,F2543))</f>
        <v/>
      </c>
    </row>
    <row r="2544">
      <c r="A2544" t="inlineStr">
        <is>
          <t>2026-07-24</t>
        </is>
      </c>
      <c r="B2544" t="inlineStr">
        <is>
          <t>F282236</t>
        </is>
      </c>
      <c r="C2544" t="inlineStr">
        <is>
          <t>C11167</t>
        </is>
      </c>
      <c r="D2544" t="inlineStr">
        <is>
          <t>SKU-10147</t>
        </is>
      </c>
      <c r="E2544" t="inlineStr">
        <is>
          <t>AM01</t>
        </is>
      </c>
      <c r="F2544" s="5" t="n">
        <v>362.03</v>
      </c>
      <c r="G2544">
        <f>IF(LEFT(B2544,1)="C","Credit","Factuur")</f>
        <v/>
      </c>
      <c r="H2544">
        <f>IF(AND(B2544=B2543,D2544=D2543,A2544=A2543,F2544=F2543),1,0)</f>
        <v/>
      </c>
      <c r="I2544">
        <f>IF(C2544="C99999",1,0)</f>
        <v/>
      </c>
      <c r="J2544" s="5">
        <f>IF(OR(H2544=1,I2544=1),0,IF(G2544="Credit",-F2544,F2544))</f>
        <v/>
      </c>
    </row>
    <row r="2545">
      <c r="A2545" t="inlineStr">
        <is>
          <t>2026-07-24</t>
        </is>
      </c>
      <c r="B2545" t="inlineStr">
        <is>
          <t>F282236</t>
        </is>
      </c>
      <c r="C2545" t="inlineStr">
        <is>
          <t>C11167</t>
        </is>
      </c>
      <c r="D2545" t="inlineStr">
        <is>
          <t>SKU-10358</t>
        </is>
      </c>
      <c r="E2545" t="inlineStr">
        <is>
          <t>AM01</t>
        </is>
      </c>
      <c r="F2545" s="5" t="n">
        <v>369.19</v>
      </c>
      <c r="G2545">
        <f>IF(LEFT(B2545,1)="C","Credit","Factuur")</f>
        <v/>
      </c>
      <c r="H2545">
        <f>IF(AND(B2545=B2544,D2545=D2544,A2545=A2544,F2545=F2544),1,0)</f>
        <v/>
      </c>
      <c r="I2545">
        <f>IF(C2545="C99999",1,0)</f>
        <v/>
      </c>
      <c r="J2545" s="5">
        <f>IF(OR(H2545=1,I2545=1),0,IF(G2545="Credit",-F2545,F2545))</f>
        <v/>
      </c>
    </row>
    <row r="2546">
      <c r="A2546" t="inlineStr">
        <is>
          <t>2026-07-24</t>
        </is>
      </c>
      <c r="B2546" t="inlineStr">
        <is>
          <t>F283007</t>
        </is>
      </c>
      <c r="C2546" t="inlineStr">
        <is>
          <t>C11210</t>
        </is>
      </c>
      <c r="D2546" t="inlineStr">
        <is>
          <t>SKU-10193</t>
        </is>
      </c>
      <c r="E2546" t="inlineStr">
        <is>
          <t>AM05</t>
        </is>
      </c>
      <c r="F2546" s="5" t="n">
        <v>243.96</v>
      </c>
      <c r="G2546">
        <f>IF(LEFT(B2546,1)="C","Credit","Factuur")</f>
        <v/>
      </c>
      <c r="H2546">
        <f>IF(AND(B2546=B2545,D2546=D2545,A2546=A2545,F2546=F2545),1,0)</f>
        <v/>
      </c>
      <c r="I2546">
        <f>IF(C2546="C99999",1,0)</f>
        <v/>
      </c>
      <c r="J2546" s="5">
        <f>IF(OR(H2546=1,I2546=1),0,IF(G2546="Credit",-F2546,F2546))</f>
        <v/>
      </c>
    </row>
    <row r="2547">
      <c r="A2547" t="inlineStr">
        <is>
          <t>2026-07-24</t>
        </is>
      </c>
      <c r="B2547" t="inlineStr">
        <is>
          <t>F283007</t>
        </is>
      </c>
      <c r="C2547" t="inlineStr">
        <is>
          <t>C11210</t>
        </is>
      </c>
      <c r="D2547" t="inlineStr">
        <is>
          <t>SKU-10307</t>
        </is>
      </c>
      <c r="E2547" t="inlineStr">
        <is>
          <t>AM05</t>
        </is>
      </c>
      <c r="F2547" s="5" t="n">
        <v>270.8</v>
      </c>
      <c r="G2547">
        <f>IF(LEFT(B2547,1)="C","Credit","Factuur")</f>
        <v/>
      </c>
      <c r="H2547">
        <f>IF(AND(B2547=B2546,D2547=D2546,A2547=A2546,F2547=F2546),1,0)</f>
        <v/>
      </c>
      <c r="I2547">
        <f>IF(C2547="C99999",1,0)</f>
        <v/>
      </c>
      <c r="J2547" s="5">
        <f>IF(OR(H2547=1,I2547=1),0,IF(G2547="Credit",-F2547,F2547))</f>
        <v/>
      </c>
    </row>
    <row r="2548">
      <c r="A2548" t="inlineStr">
        <is>
          <t>2026-07-24</t>
        </is>
      </c>
      <c r="B2548" t="inlineStr">
        <is>
          <t>F283129</t>
        </is>
      </c>
      <c r="C2548" t="inlineStr">
        <is>
          <t>C11217</t>
        </is>
      </c>
      <c r="D2548" t="inlineStr">
        <is>
          <t>SKU-10024</t>
        </is>
      </c>
      <c r="E2548" t="inlineStr">
        <is>
          <t>AM08</t>
        </is>
      </c>
      <c r="F2548" s="5" t="n">
        <v>869.76</v>
      </c>
      <c r="G2548">
        <f>IF(LEFT(B2548,1)="C","Credit","Factuur")</f>
        <v/>
      </c>
      <c r="H2548">
        <f>IF(AND(B2548=B2547,D2548=D2547,A2548=A2547,F2548=F2547),1,0)</f>
        <v/>
      </c>
      <c r="I2548">
        <f>IF(C2548="C99999",1,0)</f>
        <v/>
      </c>
      <c r="J2548" s="5">
        <f>IF(OR(H2548=1,I2548=1),0,IF(G2548="Credit",-F2548,F2548))</f>
        <v/>
      </c>
    </row>
    <row r="2549">
      <c r="A2549" t="inlineStr">
        <is>
          <t>2026-07-24</t>
        </is>
      </c>
      <c r="B2549" t="inlineStr">
        <is>
          <t>F283129</t>
        </is>
      </c>
      <c r="C2549" t="inlineStr">
        <is>
          <t>C11217</t>
        </is>
      </c>
      <c r="D2549" t="inlineStr">
        <is>
          <t>SKU-10166</t>
        </is>
      </c>
      <c r="E2549" t="inlineStr">
        <is>
          <t>AM08</t>
        </is>
      </c>
      <c r="F2549" s="5" t="n">
        <v>876.6</v>
      </c>
      <c r="G2549">
        <f>IF(LEFT(B2549,1)="C","Credit","Factuur")</f>
        <v/>
      </c>
      <c r="H2549">
        <f>IF(AND(B2549=B2548,D2549=D2548,A2549=A2548,F2549=F2548),1,0)</f>
        <v/>
      </c>
      <c r="I2549">
        <f>IF(C2549="C99999",1,0)</f>
        <v/>
      </c>
      <c r="J2549" s="5">
        <f>IF(OR(H2549=1,I2549=1),0,IF(G2549="Credit",-F2549,F2549))</f>
        <v/>
      </c>
    </row>
    <row r="2550">
      <c r="A2550" t="inlineStr">
        <is>
          <t>2026-07-24</t>
        </is>
      </c>
      <c r="B2550" t="inlineStr">
        <is>
          <t>F283171</t>
        </is>
      </c>
      <c r="C2550" t="inlineStr">
        <is>
          <t>C11219</t>
        </is>
      </c>
      <c r="D2550" t="inlineStr">
        <is>
          <t>SKU-10062</t>
        </is>
      </c>
      <c r="E2550" t="inlineStr">
        <is>
          <t>AM03</t>
        </is>
      </c>
      <c r="F2550" s="5" t="n">
        <v>82.76000000000001</v>
      </c>
      <c r="G2550">
        <f>IF(LEFT(B2550,1)="C","Credit","Factuur")</f>
        <v/>
      </c>
      <c r="H2550">
        <f>IF(AND(B2550=B2549,D2550=D2549,A2550=A2549,F2550=F2549),1,0)</f>
        <v/>
      </c>
      <c r="I2550">
        <f>IF(C2550="C99999",1,0)</f>
        <v/>
      </c>
      <c r="J2550" s="5">
        <f>IF(OR(H2550=1,I2550=1),0,IF(G2550="Credit",-F2550,F2550))</f>
        <v/>
      </c>
    </row>
    <row r="2551">
      <c r="A2551" t="inlineStr">
        <is>
          <t>2026-07-24</t>
        </is>
      </c>
      <c r="B2551" t="inlineStr">
        <is>
          <t>F283171</t>
        </is>
      </c>
      <c r="C2551" t="inlineStr">
        <is>
          <t>C11219</t>
        </is>
      </c>
      <c r="D2551" t="inlineStr">
        <is>
          <t>SKU-10073</t>
        </is>
      </c>
      <c r="E2551" t="inlineStr">
        <is>
          <t>AM03</t>
        </is>
      </c>
      <c r="F2551" s="5" t="n">
        <v>57.04</v>
      </c>
      <c r="G2551">
        <f>IF(LEFT(B2551,1)="C","Credit","Factuur")</f>
        <v/>
      </c>
      <c r="H2551">
        <f>IF(AND(B2551=B2550,D2551=D2550,A2551=A2550,F2551=F2550),1,0)</f>
        <v/>
      </c>
      <c r="I2551">
        <f>IF(C2551="C99999",1,0)</f>
        <v/>
      </c>
      <c r="J2551" s="5">
        <f>IF(OR(H2551=1,I2551=1),0,IF(G2551="Credit",-F2551,F2551))</f>
        <v/>
      </c>
    </row>
    <row r="2552">
      <c r="A2552" t="inlineStr">
        <is>
          <t>2026-07-24</t>
        </is>
      </c>
      <c r="B2552" t="inlineStr">
        <is>
          <t>F283171</t>
        </is>
      </c>
      <c r="C2552" t="inlineStr">
        <is>
          <t>C11219</t>
        </is>
      </c>
      <c r="D2552" t="inlineStr">
        <is>
          <t>SKU-10074</t>
        </is>
      </c>
      <c r="E2552" t="inlineStr">
        <is>
          <t>AM03</t>
        </is>
      </c>
      <c r="F2552" s="5" t="n">
        <v>106.38</v>
      </c>
      <c r="G2552">
        <f>IF(LEFT(B2552,1)="C","Credit","Factuur")</f>
        <v/>
      </c>
      <c r="H2552">
        <f>IF(AND(B2552=B2551,D2552=D2551,A2552=A2551,F2552=F2551),1,0)</f>
        <v/>
      </c>
      <c r="I2552">
        <f>IF(C2552="C99999",1,0)</f>
        <v/>
      </c>
      <c r="J2552" s="5">
        <f>IF(OR(H2552=1,I2552=1),0,IF(G2552="Credit",-F2552,F2552))</f>
        <v/>
      </c>
    </row>
    <row r="2553">
      <c r="A2553" t="inlineStr">
        <is>
          <t>2026-07-24</t>
        </is>
      </c>
      <c r="B2553" t="inlineStr">
        <is>
          <t>F283171</t>
        </is>
      </c>
      <c r="C2553" t="inlineStr">
        <is>
          <t>C11219</t>
        </is>
      </c>
      <c r="D2553" t="inlineStr">
        <is>
          <t>SKU-10151</t>
        </is>
      </c>
      <c r="E2553" t="inlineStr">
        <is>
          <t>AM03</t>
        </is>
      </c>
      <c r="F2553" s="5" t="n">
        <v>86.98</v>
      </c>
      <c r="G2553">
        <f>IF(LEFT(B2553,1)="C","Credit","Factuur")</f>
        <v/>
      </c>
      <c r="H2553">
        <f>IF(AND(B2553=B2552,D2553=D2552,A2553=A2552,F2553=F2552),1,0)</f>
        <v/>
      </c>
      <c r="I2553">
        <f>IF(C2553="C99999",1,0)</f>
        <v/>
      </c>
      <c r="J2553" s="5">
        <f>IF(OR(H2553=1,I2553=1),0,IF(G2553="Credit",-F2553,F2553))</f>
        <v/>
      </c>
    </row>
    <row r="2554">
      <c r="A2554" t="inlineStr">
        <is>
          <t>2026-07-24</t>
        </is>
      </c>
      <c r="B2554" t="inlineStr">
        <is>
          <t>F283171</t>
        </is>
      </c>
      <c r="C2554" t="inlineStr">
        <is>
          <t>C11219</t>
        </is>
      </c>
      <c r="D2554" t="inlineStr">
        <is>
          <t>SKU-10269</t>
        </is>
      </c>
      <c r="E2554" t="inlineStr">
        <is>
          <t>AM03</t>
        </is>
      </c>
      <c r="F2554" s="5" t="n">
        <v>82.25</v>
      </c>
      <c r="G2554">
        <f>IF(LEFT(B2554,1)="C","Credit","Factuur")</f>
        <v/>
      </c>
      <c r="H2554">
        <f>IF(AND(B2554=B2553,D2554=D2553,A2554=A2553,F2554=F2553),1,0)</f>
        <v/>
      </c>
      <c r="I2554">
        <f>IF(C2554="C99999",1,0)</f>
        <v/>
      </c>
      <c r="J2554" s="5">
        <f>IF(OR(H2554=1,I2554=1),0,IF(G2554="Credit",-F2554,F2554))</f>
        <v/>
      </c>
    </row>
    <row r="2555">
      <c r="A2555" t="inlineStr">
        <is>
          <t>2026-07-24</t>
        </is>
      </c>
      <c r="B2555" t="inlineStr">
        <is>
          <t>F283347</t>
        </is>
      </c>
      <c r="C2555" t="inlineStr">
        <is>
          <t>C11226</t>
        </is>
      </c>
      <c r="D2555" t="inlineStr">
        <is>
          <t>SKU-10152</t>
        </is>
      </c>
      <c r="E2555" t="inlineStr">
        <is>
          <t>AM07</t>
        </is>
      </c>
      <c r="F2555" s="5" t="n">
        <v>496.08</v>
      </c>
      <c r="G2555">
        <f>IF(LEFT(B2555,1)="C","Credit","Factuur")</f>
        <v/>
      </c>
      <c r="H2555">
        <f>IF(AND(B2555=B2554,D2555=D2554,A2555=A2554,F2555=F2554),1,0)</f>
        <v/>
      </c>
      <c r="I2555">
        <f>IF(C2555="C99999",1,0)</f>
        <v/>
      </c>
      <c r="J2555" s="5">
        <f>IF(OR(H2555=1,I2555=1),0,IF(G2555="Credit",-F2555,F2555))</f>
        <v/>
      </c>
    </row>
    <row r="2556">
      <c r="A2556" t="inlineStr">
        <is>
          <t>2026-07-24</t>
        </is>
      </c>
      <c r="B2556" t="inlineStr">
        <is>
          <t>F283347</t>
        </is>
      </c>
      <c r="C2556" t="inlineStr">
        <is>
          <t>C11226</t>
        </is>
      </c>
      <c r="D2556" t="inlineStr">
        <is>
          <t>SKU-10261</t>
        </is>
      </c>
      <c r="E2556" t="inlineStr">
        <is>
          <t>AM07</t>
        </is>
      </c>
      <c r="F2556" s="5" t="n">
        <v>496.32</v>
      </c>
      <c r="G2556">
        <f>IF(LEFT(B2556,1)="C","Credit","Factuur")</f>
        <v/>
      </c>
      <c r="H2556">
        <f>IF(AND(B2556=B2555,D2556=D2555,A2556=A2555,F2556=F2555),1,0)</f>
        <v/>
      </c>
      <c r="I2556">
        <f>IF(C2556="C99999",1,0)</f>
        <v/>
      </c>
      <c r="J2556" s="5">
        <f>IF(OR(H2556=1,I2556=1),0,IF(G2556="Credit",-F2556,F2556))</f>
        <v/>
      </c>
    </row>
    <row r="2557">
      <c r="A2557" t="inlineStr">
        <is>
          <t>2026-07-24</t>
        </is>
      </c>
      <c r="B2557" t="inlineStr">
        <is>
          <t>F283675</t>
        </is>
      </c>
      <c r="C2557" t="inlineStr">
        <is>
          <t>C11241</t>
        </is>
      </c>
      <c r="D2557" t="inlineStr">
        <is>
          <t>SKU-10073</t>
        </is>
      </c>
      <c r="E2557" t="inlineStr">
        <is>
          <t>AM07</t>
        </is>
      </c>
      <c r="F2557" s="5" t="n">
        <v>250.98</v>
      </c>
      <c r="G2557">
        <f>IF(LEFT(B2557,1)="C","Credit","Factuur")</f>
        <v/>
      </c>
      <c r="H2557">
        <f>IF(AND(B2557=B2556,D2557=D2556,A2557=A2556,F2557=F2556),1,0)</f>
        <v/>
      </c>
      <c r="I2557">
        <f>IF(C2557="C99999",1,0)</f>
        <v/>
      </c>
      <c r="J2557" s="5">
        <f>IF(OR(H2557=1,I2557=1),0,IF(G2557="Credit",-F2557,F2557))</f>
        <v/>
      </c>
    </row>
    <row r="2558">
      <c r="A2558" t="inlineStr">
        <is>
          <t>2026-07-24</t>
        </is>
      </c>
      <c r="B2558" t="inlineStr">
        <is>
          <t>F283675</t>
        </is>
      </c>
      <c r="C2558" t="inlineStr">
        <is>
          <t>C11241</t>
        </is>
      </c>
      <c r="D2558" t="inlineStr">
        <is>
          <t>SKU-10093</t>
        </is>
      </c>
      <c r="E2558" t="inlineStr">
        <is>
          <t>AM07</t>
        </is>
      </c>
      <c r="F2558" s="5" t="n">
        <v>290.67</v>
      </c>
      <c r="G2558">
        <f>IF(LEFT(B2558,1)="C","Credit","Factuur")</f>
        <v/>
      </c>
      <c r="H2558">
        <f>IF(AND(B2558=B2557,D2558=D2557,A2558=A2557,F2558=F2557),1,0)</f>
        <v/>
      </c>
      <c r="I2558">
        <f>IF(C2558="C99999",1,0)</f>
        <v/>
      </c>
      <c r="J2558" s="5">
        <f>IF(OR(H2558=1,I2558=1),0,IF(G2558="Credit",-F2558,F2558))</f>
        <v/>
      </c>
    </row>
    <row r="2559">
      <c r="A2559" t="inlineStr">
        <is>
          <t>2026-07-24</t>
        </is>
      </c>
      <c r="B2559" t="inlineStr">
        <is>
          <t>F283675</t>
        </is>
      </c>
      <c r="C2559" t="inlineStr">
        <is>
          <t>C11241</t>
        </is>
      </c>
      <c r="D2559" t="inlineStr">
        <is>
          <t>SKU-10150</t>
        </is>
      </c>
      <c r="E2559" t="inlineStr">
        <is>
          <t>AM07</t>
        </is>
      </c>
      <c r="F2559" s="5" t="n">
        <v>243.81</v>
      </c>
      <c r="G2559">
        <f>IF(LEFT(B2559,1)="C","Credit","Factuur")</f>
        <v/>
      </c>
      <c r="H2559">
        <f>IF(AND(B2559=B2558,D2559=D2558,A2559=A2558,F2559=F2558),1,0)</f>
        <v/>
      </c>
      <c r="I2559">
        <f>IF(C2559="C99999",1,0)</f>
        <v/>
      </c>
      <c r="J2559" s="5">
        <f>IF(OR(H2559=1,I2559=1),0,IF(G2559="Credit",-F2559,F2559))</f>
        <v/>
      </c>
    </row>
    <row r="2560">
      <c r="A2560" t="inlineStr">
        <is>
          <t>2026-07-24</t>
        </is>
      </c>
      <c r="B2560" t="inlineStr">
        <is>
          <t>F283675</t>
        </is>
      </c>
      <c r="C2560" t="inlineStr">
        <is>
          <t>C11241</t>
        </is>
      </c>
      <c r="D2560" t="inlineStr">
        <is>
          <t>SKU-10293</t>
        </is>
      </c>
      <c r="E2560" t="inlineStr">
        <is>
          <t>AM07</t>
        </is>
      </c>
      <c r="F2560" s="5" t="n">
        <v>238.61</v>
      </c>
      <c r="G2560">
        <f>IF(LEFT(B2560,1)="C","Credit","Factuur")</f>
        <v/>
      </c>
      <c r="H2560">
        <f>IF(AND(B2560=B2559,D2560=D2559,A2560=A2559,F2560=F2559),1,0)</f>
        <v/>
      </c>
      <c r="I2560">
        <f>IF(C2560="C99999",1,0)</f>
        <v/>
      </c>
      <c r="J2560" s="5">
        <f>IF(OR(H2560=1,I2560=1),0,IF(G2560="Credit",-F2560,F2560))</f>
        <v/>
      </c>
    </row>
    <row r="2561">
      <c r="A2561" t="inlineStr">
        <is>
          <t>2026-07-24</t>
        </is>
      </c>
      <c r="B2561" t="inlineStr">
        <is>
          <t>F283675</t>
        </is>
      </c>
      <c r="C2561" t="inlineStr">
        <is>
          <t>C11241</t>
        </is>
      </c>
      <c r="D2561" t="inlineStr">
        <is>
          <t>SKU-10314</t>
        </is>
      </c>
      <c r="E2561" t="inlineStr">
        <is>
          <t>AM07</t>
        </is>
      </c>
      <c r="F2561" s="5" t="n">
        <v>239.9</v>
      </c>
      <c r="G2561">
        <f>IF(LEFT(B2561,1)="C","Credit","Factuur")</f>
        <v/>
      </c>
      <c r="H2561">
        <f>IF(AND(B2561=B2560,D2561=D2560,A2561=A2560,F2561=F2560),1,0)</f>
        <v/>
      </c>
      <c r="I2561">
        <f>IF(C2561="C99999",1,0)</f>
        <v/>
      </c>
      <c r="J2561" s="5">
        <f>IF(OR(H2561=1,I2561=1),0,IF(G2561="Credit",-F2561,F2561))</f>
        <v/>
      </c>
    </row>
    <row r="2562">
      <c r="A2562" t="inlineStr">
        <is>
          <t>2026-07-24</t>
        </is>
      </c>
      <c r="B2562" t="inlineStr">
        <is>
          <t>F283793</t>
        </is>
      </c>
      <c r="C2562" t="inlineStr">
        <is>
          <t>C11246</t>
        </is>
      </c>
      <c r="D2562" t="inlineStr">
        <is>
          <t>SKU-10305</t>
        </is>
      </c>
      <c r="E2562" t="inlineStr">
        <is>
          <t>AM02</t>
        </is>
      </c>
      <c r="F2562" s="5" t="n">
        <v>976.9299999999999</v>
      </c>
      <c r="G2562">
        <f>IF(LEFT(B2562,1)="C","Credit","Factuur")</f>
        <v/>
      </c>
      <c r="H2562">
        <f>IF(AND(B2562=B2561,D2562=D2561,A2562=A2561,F2562=F2561),1,0)</f>
        <v/>
      </c>
      <c r="I2562">
        <f>IF(C2562="C99999",1,0)</f>
        <v/>
      </c>
      <c r="J2562" s="5">
        <f>IF(OR(H2562=1,I2562=1),0,IF(G2562="Credit",-F2562,F2562))</f>
        <v/>
      </c>
    </row>
    <row r="2563">
      <c r="A2563" t="inlineStr">
        <is>
          <t>2026-07-24</t>
        </is>
      </c>
      <c r="B2563" t="inlineStr">
        <is>
          <t>F283888</t>
        </is>
      </c>
      <c r="C2563" t="inlineStr">
        <is>
          <t>C11250</t>
        </is>
      </c>
      <c r="D2563" t="inlineStr">
        <is>
          <t>SKU-10133</t>
        </is>
      </c>
      <c r="E2563" t="inlineStr">
        <is>
          <t>AM05</t>
        </is>
      </c>
      <c r="F2563" s="5" t="n">
        <v>132.34</v>
      </c>
      <c r="G2563">
        <f>IF(LEFT(B2563,1)="C","Credit","Factuur")</f>
        <v/>
      </c>
      <c r="H2563">
        <f>IF(AND(B2563=B2562,D2563=D2562,A2563=A2562,F2563=F2562),1,0)</f>
        <v/>
      </c>
      <c r="I2563">
        <f>IF(C2563="C99999",1,0)</f>
        <v/>
      </c>
      <c r="J2563" s="5">
        <f>IF(OR(H2563=1,I2563=1),0,IF(G2563="Credit",-F2563,F2563))</f>
        <v/>
      </c>
    </row>
    <row r="2564">
      <c r="A2564" t="inlineStr">
        <is>
          <t>2026-07-24</t>
        </is>
      </c>
      <c r="B2564" t="inlineStr">
        <is>
          <t>F283888</t>
        </is>
      </c>
      <c r="C2564" t="inlineStr">
        <is>
          <t>C11250</t>
        </is>
      </c>
      <c r="D2564" t="inlineStr">
        <is>
          <t>SKU-10184</t>
        </is>
      </c>
      <c r="E2564" t="inlineStr">
        <is>
          <t>AM05</t>
        </is>
      </c>
      <c r="F2564" s="5" t="n">
        <v>77.81999999999999</v>
      </c>
      <c r="G2564">
        <f>IF(LEFT(B2564,1)="C","Credit","Factuur")</f>
        <v/>
      </c>
      <c r="H2564">
        <f>IF(AND(B2564=B2563,D2564=D2563,A2564=A2563,F2564=F2563),1,0)</f>
        <v/>
      </c>
      <c r="I2564">
        <f>IF(C2564="C99999",1,0)</f>
        <v/>
      </c>
      <c r="J2564" s="5">
        <f>IF(OR(H2564=1,I2564=1),0,IF(G2564="Credit",-F2564,F2564))</f>
        <v/>
      </c>
    </row>
    <row r="2565">
      <c r="A2565" t="inlineStr">
        <is>
          <t>2026-07-24</t>
        </is>
      </c>
      <c r="B2565" t="inlineStr">
        <is>
          <t>F283888</t>
        </is>
      </c>
      <c r="C2565" t="inlineStr">
        <is>
          <t>C11250</t>
        </is>
      </c>
      <c r="D2565" t="inlineStr">
        <is>
          <t>SKU-10198</t>
        </is>
      </c>
      <c r="E2565" t="inlineStr">
        <is>
          <t>AM05</t>
        </is>
      </c>
      <c r="F2565" s="5" t="n">
        <v>71.90000000000001</v>
      </c>
      <c r="G2565">
        <f>IF(LEFT(B2565,1)="C","Credit","Factuur")</f>
        <v/>
      </c>
      <c r="H2565">
        <f>IF(AND(B2565=B2564,D2565=D2564,A2565=A2564,F2565=F2564),1,0)</f>
        <v/>
      </c>
      <c r="I2565">
        <f>IF(C2565="C99999",1,0)</f>
        <v/>
      </c>
      <c r="J2565" s="5">
        <f>IF(OR(H2565=1,I2565=1),0,IF(G2565="Credit",-F2565,F2565))</f>
        <v/>
      </c>
    </row>
    <row r="2566">
      <c r="A2566" t="inlineStr">
        <is>
          <t>2026-07-24</t>
        </is>
      </c>
      <c r="B2566" t="inlineStr">
        <is>
          <t>F284215</t>
        </is>
      </c>
      <c r="C2566" t="inlineStr">
        <is>
          <t>C11266</t>
        </is>
      </c>
      <c r="D2566" t="inlineStr">
        <is>
          <t>SKU-10071</t>
        </is>
      </c>
      <c r="E2566" t="inlineStr">
        <is>
          <t>AM01</t>
        </is>
      </c>
      <c r="F2566" s="5" t="n">
        <v>717.84</v>
      </c>
      <c r="G2566">
        <f>IF(LEFT(B2566,1)="C","Credit","Factuur")</f>
        <v/>
      </c>
      <c r="H2566">
        <f>IF(AND(B2566=B2565,D2566=D2565,A2566=A2565,F2566=F2565),1,0)</f>
        <v/>
      </c>
      <c r="I2566">
        <f>IF(C2566="C99999",1,0)</f>
        <v/>
      </c>
      <c r="J2566" s="5">
        <f>IF(OR(H2566=1,I2566=1),0,IF(G2566="Credit",-F2566,F2566))</f>
        <v/>
      </c>
    </row>
    <row r="2567">
      <c r="A2567" t="inlineStr">
        <is>
          <t>2026-07-24</t>
        </is>
      </c>
      <c r="B2567" t="inlineStr">
        <is>
          <t>F284215</t>
        </is>
      </c>
      <c r="C2567" t="inlineStr">
        <is>
          <t>C11266</t>
        </is>
      </c>
      <c r="D2567" t="inlineStr">
        <is>
          <t>SKU-10223</t>
        </is>
      </c>
      <c r="E2567" t="inlineStr">
        <is>
          <t>AM01</t>
        </is>
      </c>
      <c r="F2567" s="5" t="n">
        <v>705.87</v>
      </c>
      <c r="G2567">
        <f>IF(LEFT(B2567,1)="C","Credit","Factuur")</f>
        <v/>
      </c>
      <c r="H2567">
        <f>IF(AND(B2567=B2566,D2567=D2566,A2567=A2566,F2567=F2566),1,0)</f>
        <v/>
      </c>
      <c r="I2567">
        <f>IF(C2567="C99999",1,0)</f>
        <v/>
      </c>
      <c r="J2567" s="5">
        <f>IF(OR(H2567=1,I2567=1),0,IF(G2567="Credit",-F2567,F2567))</f>
        <v/>
      </c>
    </row>
    <row r="2568">
      <c r="A2568" t="inlineStr">
        <is>
          <t>2026-07-24</t>
        </is>
      </c>
      <c r="B2568" t="inlineStr">
        <is>
          <t>F284243</t>
        </is>
      </c>
      <c r="C2568" t="inlineStr">
        <is>
          <t>C11268</t>
        </is>
      </c>
      <c r="D2568" t="inlineStr">
        <is>
          <t>SKU-10012</t>
        </is>
      </c>
      <c r="E2568" t="inlineStr">
        <is>
          <t>AM11</t>
        </is>
      </c>
      <c r="F2568" s="5" t="n">
        <v>127.64</v>
      </c>
      <c r="G2568">
        <f>IF(LEFT(B2568,1)="C","Credit","Factuur")</f>
        <v/>
      </c>
      <c r="H2568">
        <f>IF(AND(B2568=B2567,D2568=D2567,A2568=A2567,F2568=F2567),1,0)</f>
        <v/>
      </c>
      <c r="I2568">
        <f>IF(C2568="C99999",1,0)</f>
        <v/>
      </c>
      <c r="J2568" s="5">
        <f>IF(OR(H2568=1,I2568=1),0,IF(G2568="Credit",-F2568,F2568))</f>
        <v/>
      </c>
    </row>
    <row r="2569">
      <c r="A2569" t="inlineStr">
        <is>
          <t>2026-07-24</t>
        </is>
      </c>
      <c r="B2569" t="inlineStr">
        <is>
          <t>F284243</t>
        </is>
      </c>
      <c r="C2569" t="inlineStr">
        <is>
          <t>C11268</t>
        </is>
      </c>
      <c r="D2569" t="inlineStr">
        <is>
          <t>SKU-10142</t>
        </is>
      </c>
      <c r="E2569" t="inlineStr">
        <is>
          <t>AM11</t>
        </is>
      </c>
      <c r="F2569" s="5" t="n">
        <v>137.67</v>
      </c>
      <c r="G2569">
        <f>IF(LEFT(B2569,1)="C","Credit","Factuur")</f>
        <v/>
      </c>
      <c r="H2569">
        <f>IF(AND(B2569=B2568,D2569=D2568,A2569=A2568,F2569=F2568),1,0)</f>
        <v/>
      </c>
      <c r="I2569">
        <f>IF(C2569="C99999",1,0)</f>
        <v/>
      </c>
      <c r="J2569" s="5">
        <f>IF(OR(H2569=1,I2569=1),0,IF(G2569="Credit",-F2569,F2569))</f>
        <v/>
      </c>
    </row>
    <row r="2570">
      <c r="A2570" t="inlineStr">
        <is>
          <t>2026-07-24</t>
        </is>
      </c>
      <c r="B2570" t="inlineStr">
        <is>
          <t>F284243</t>
        </is>
      </c>
      <c r="C2570" t="inlineStr">
        <is>
          <t>C11268</t>
        </is>
      </c>
      <c r="D2570" t="inlineStr">
        <is>
          <t>SKU-10163</t>
        </is>
      </c>
      <c r="E2570" t="inlineStr">
        <is>
          <t>AM11</t>
        </is>
      </c>
      <c r="F2570" s="5" t="n">
        <v>116.64</v>
      </c>
      <c r="G2570">
        <f>IF(LEFT(B2570,1)="C","Credit","Factuur")</f>
        <v/>
      </c>
      <c r="H2570">
        <f>IF(AND(B2570=B2569,D2570=D2569,A2570=A2569,F2570=F2569),1,0)</f>
        <v/>
      </c>
      <c r="I2570">
        <f>IF(C2570="C99999",1,0)</f>
        <v/>
      </c>
      <c r="J2570" s="5">
        <f>IF(OR(H2570=1,I2570=1),0,IF(G2570="Credit",-F2570,F2570))</f>
        <v/>
      </c>
    </row>
    <row r="2571">
      <c r="A2571" t="inlineStr">
        <is>
          <t>2026-07-24</t>
        </is>
      </c>
      <c r="B2571" t="inlineStr">
        <is>
          <t>F284243</t>
        </is>
      </c>
      <c r="C2571" t="inlineStr">
        <is>
          <t>C11268</t>
        </is>
      </c>
      <c r="D2571" t="inlineStr">
        <is>
          <t>SKU-10233</t>
        </is>
      </c>
      <c r="E2571" t="inlineStr">
        <is>
          <t>AM11</t>
        </is>
      </c>
      <c r="F2571" s="5" t="n">
        <v>115.01</v>
      </c>
      <c r="G2571">
        <f>IF(LEFT(B2571,1)="C","Credit","Factuur")</f>
        <v/>
      </c>
      <c r="H2571">
        <f>IF(AND(B2571=B2570,D2571=D2570,A2571=A2570,F2571=F2570),1,0)</f>
        <v/>
      </c>
      <c r="I2571">
        <f>IF(C2571="C99999",1,0)</f>
        <v/>
      </c>
      <c r="J2571" s="5">
        <f>IF(OR(H2571=1,I2571=1),0,IF(G2571="Credit",-F2571,F2571))</f>
        <v/>
      </c>
    </row>
    <row r="2572">
      <c r="A2572" t="inlineStr">
        <is>
          <t>2026-07-24</t>
        </is>
      </c>
      <c r="B2572" t="inlineStr">
        <is>
          <t>F284317</t>
        </is>
      </c>
      <c r="C2572" t="inlineStr">
        <is>
          <t>C11272</t>
        </is>
      </c>
      <c r="D2572" t="inlineStr">
        <is>
          <t>SKU-10010</t>
        </is>
      </c>
      <c r="E2572" t="inlineStr">
        <is>
          <t>AM07</t>
        </is>
      </c>
      <c r="F2572" s="5" t="n">
        <v>116.48</v>
      </c>
      <c r="G2572">
        <f>IF(LEFT(B2572,1)="C","Credit","Factuur")</f>
        <v/>
      </c>
      <c r="H2572">
        <f>IF(AND(B2572=B2571,D2572=D2571,A2572=A2571,F2572=F2571),1,0)</f>
        <v/>
      </c>
      <c r="I2572">
        <f>IF(C2572="C99999",1,0)</f>
        <v/>
      </c>
      <c r="J2572" s="5">
        <f>IF(OR(H2572=1,I2572=1),0,IF(G2572="Credit",-F2572,F2572))</f>
        <v/>
      </c>
    </row>
    <row r="2573">
      <c r="A2573" t="inlineStr">
        <is>
          <t>2026-07-24</t>
        </is>
      </c>
      <c r="B2573" t="inlineStr">
        <is>
          <t>F284317</t>
        </is>
      </c>
      <c r="C2573" t="inlineStr">
        <is>
          <t>C11272</t>
        </is>
      </c>
      <c r="D2573" t="inlineStr">
        <is>
          <t>SKU-10208</t>
        </is>
      </c>
      <c r="E2573" t="inlineStr">
        <is>
          <t>AM07</t>
        </is>
      </c>
      <c r="F2573" s="5" t="n">
        <v>156.69</v>
      </c>
      <c r="G2573">
        <f>IF(LEFT(B2573,1)="C","Credit","Factuur")</f>
        <v/>
      </c>
      <c r="H2573">
        <f>IF(AND(B2573=B2572,D2573=D2572,A2573=A2572,F2573=F2572),1,0)</f>
        <v/>
      </c>
      <c r="I2573">
        <f>IF(C2573="C99999",1,0)</f>
        <v/>
      </c>
      <c r="J2573" s="5">
        <f>IF(OR(H2573=1,I2573=1),0,IF(G2573="Credit",-F2573,F2573))</f>
        <v/>
      </c>
    </row>
    <row r="2574">
      <c r="A2574" t="inlineStr">
        <is>
          <t>2026-07-24</t>
        </is>
      </c>
      <c r="B2574" t="inlineStr">
        <is>
          <t>F284317</t>
        </is>
      </c>
      <c r="C2574" t="inlineStr">
        <is>
          <t>C11272</t>
        </is>
      </c>
      <c r="D2574" t="inlineStr">
        <is>
          <t>SKU-10223</t>
        </is>
      </c>
      <c r="E2574" t="inlineStr">
        <is>
          <t>AM07</t>
        </is>
      </c>
      <c r="F2574" s="5" t="n">
        <v>151.42</v>
      </c>
      <c r="G2574">
        <f>IF(LEFT(B2574,1)="C","Credit","Factuur")</f>
        <v/>
      </c>
      <c r="H2574">
        <f>IF(AND(B2574=B2573,D2574=D2573,A2574=A2573,F2574=F2573),1,0)</f>
        <v/>
      </c>
      <c r="I2574">
        <f>IF(C2574="C99999",1,0)</f>
        <v/>
      </c>
      <c r="J2574" s="5">
        <f>IF(OR(H2574=1,I2574=1),0,IF(G2574="Credit",-F2574,F2574))</f>
        <v/>
      </c>
    </row>
    <row r="2575">
      <c r="A2575" t="inlineStr">
        <is>
          <t>2026-07-24</t>
        </is>
      </c>
      <c r="B2575" t="inlineStr">
        <is>
          <t>F284501</t>
        </is>
      </c>
      <c r="C2575" t="inlineStr">
        <is>
          <t>C11285</t>
        </is>
      </c>
      <c r="D2575" t="inlineStr">
        <is>
          <t>SKU-10083</t>
        </is>
      </c>
      <c r="E2575" t="inlineStr">
        <is>
          <t>AM01</t>
        </is>
      </c>
      <c r="F2575" s="5" t="n">
        <v>785.0700000000001</v>
      </c>
      <c r="G2575">
        <f>IF(LEFT(B2575,1)="C","Credit","Factuur")</f>
        <v/>
      </c>
      <c r="H2575">
        <f>IF(AND(B2575=B2574,D2575=D2574,A2575=A2574,F2575=F2574),1,0)</f>
        <v/>
      </c>
      <c r="I2575">
        <f>IF(C2575="C99999",1,0)</f>
        <v/>
      </c>
      <c r="J2575" s="5">
        <f>IF(OR(H2575=1,I2575=1),0,IF(G2575="Credit",-F2575,F2575))</f>
        <v/>
      </c>
    </row>
    <row r="2576">
      <c r="A2576" t="inlineStr">
        <is>
          <t>2026-07-24</t>
        </is>
      </c>
      <c r="B2576" t="inlineStr">
        <is>
          <t>F284501</t>
        </is>
      </c>
      <c r="C2576" t="inlineStr">
        <is>
          <t>C11285</t>
        </is>
      </c>
      <c r="D2576" t="inlineStr">
        <is>
          <t>SKU-10268</t>
        </is>
      </c>
      <c r="E2576" t="inlineStr">
        <is>
          <t>AM01</t>
        </is>
      </c>
      <c r="F2576" s="5" t="n">
        <v>801.84</v>
      </c>
      <c r="G2576">
        <f>IF(LEFT(B2576,1)="C","Credit","Factuur")</f>
        <v/>
      </c>
      <c r="H2576">
        <f>IF(AND(B2576=B2575,D2576=D2575,A2576=A2575,F2576=F2575),1,0)</f>
        <v/>
      </c>
      <c r="I2576">
        <f>IF(C2576="C99999",1,0)</f>
        <v/>
      </c>
      <c r="J2576" s="5">
        <f>IF(OR(H2576=1,I2576=1),0,IF(G2576="Credit",-F2576,F2576))</f>
        <v/>
      </c>
    </row>
    <row r="2577">
      <c r="A2577" t="inlineStr">
        <is>
          <t>2026-07-24</t>
        </is>
      </c>
      <c r="B2577" t="inlineStr">
        <is>
          <t>F284745</t>
        </is>
      </c>
      <c r="C2577" t="inlineStr">
        <is>
          <t>C11296</t>
        </is>
      </c>
      <c r="D2577" t="inlineStr">
        <is>
          <t>SKU-10338</t>
        </is>
      </c>
      <c r="E2577" t="inlineStr">
        <is>
          <t>AM11</t>
        </is>
      </c>
      <c r="F2577" s="5" t="n">
        <v>3504.61</v>
      </c>
      <c r="G2577">
        <f>IF(LEFT(B2577,1)="C","Credit","Factuur")</f>
        <v/>
      </c>
      <c r="H2577">
        <f>IF(AND(B2577=B2576,D2577=D2576,A2577=A2576,F2577=F2576),1,0)</f>
        <v/>
      </c>
      <c r="I2577">
        <f>IF(C2577="C99999",1,0)</f>
        <v/>
      </c>
      <c r="J2577" s="5">
        <f>IF(OR(H2577=1,I2577=1),0,IF(G2577="Credit",-F2577,F2577))</f>
        <v/>
      </c>
    </row>
    <row r="2578">
      <c r="A2578" t="inlineStr">
        <is>
          <t>2026-07-24</t>
        </is>
      </c>
      <c r="B2578" t="inlineStr">
        <is>
          <t>F284811</t>
        </is>
      </c>
      <c r="C2578" t="inlineStr">
        <is>
          <t>C11299</t>
        </is>
      </c>
      <c r="D2578" t="inlineStr">
        <is>
          <t>SKU-10030</t>
        </is>
      </c>
      <c r="E2578" t="inlineStr">
        <is>
          <t>AM07</t>
        </is>
      </c>
      <c r="F2578" s="5" t="n">
        <v>1013.93</v>
      </c>
      <c r="G2578">
        <f>IF(LEFT(B2578,1)="C","Credit","Factuur")</f>
        <v/>
      </c>
      <c r="H2578">
        <f>IF(AND(B2578=B2577,D2578=D2577,A2578=A2577,F2578=F2577),1,0)</f>
        <v/>
      </c>
      <c r="I2578">
        <f>IF(C2578="C99999",1,0)</f>
        <v/>
      </c>
      <c r="J2578" s="5">
        <f>IF(OR(H2578=1,I2578=1),0,IF(G2578="Credit",-F2578,F2578))</f>
        <v/>
      </c>
    </row>
    <row r="2579">
      <c r="A2579" t="inlineStr">
        <is>
          <t>2026-07-24</t>
        </is>
      </c>
      <c r="B2579" t="inlineStr">
        <is>
          <t>F284811</t>
        </is>
      </c>
      <c r="C2579" t="inlineStr">
        <is>
          <t>C11299</t>
        </is>
      </c>
      <c r="D2579" t="inlineStr">
        <is>
          <t>SKU-10192</t>
        </is>
      </c>
      <c r="E2579" t="inlineStr">
        <is>
          <t>AM07</t>
        </is>
      </c>
      <c r="F2579" s="5" t="n">
        <v>1010.08</v>
      </c>
      <c r="G2579">
        <f>IF(LEFT(B2579,1)="C","Credit","Factuur")</f>
        <v/>
      </c>
      <c r="H2579">
        <f>IF(AND(B2579=B2578,D2579=D2578,A2579=A2578,F2579=F2578),1,0)</f>
        <v/>
      </c>
      <c r="I2579">
        <f>IF(C2579="C99999",1,0)</f>
        <v/>
      </c>
      <c r="J2579" s="5">
        <f>IF(OR(H2579=1,I2579=1),0,IF(G2579="Credit",-F2579,F2579))</f>
        <v/>
      </c>
    </row>
    <row r="2580">
      <c r="A2580" t="inlineStr">
        <is>
          <t>2026-07-24</t>
        </is>
      </c>
      <c r="B2580" t="inlineStr">
        <is>
          <t>F284811</t>
        </is>
      </c>
      <c r="C2580" t="inlineStr">
        <is>
          <t>C11299</t>
        </is>
      </c>
      <c r="D2580" t="inlineStr">
        <is>
          <t>SKU-10336</t>
        </is>
      </c>
      <c r="E2580" t="inlineStr">
        <is>
          <t>AM07</t>
        </is>
      </c>
      <c r="F2580" s="5" t="n">
        <v>1012.29</v>
      </c>
      <c r="G2580">
        <f>IF(LEFT(B2580,1)="C","Credit","Factuur")</f>
        <v/>
      </c>
      <c r="H2580">
        <f>IF(AND(B2580=B2579,D2580=D2579,A2580=A2579,F2580=F2579),1,0)</f>
        <v/>
      </c>
      <c r="I2580">
        <f>IF(C2580="C99999",1,0)</f>
        <v/>
      </c>
      <c r="J2580" s="5">
        <f>IF(OR(H2580=1,I2580=1),0,IF(G2580="Credit",-F2580,F2580))</f>
        <v/>
      </c>
    </row>
    <row r="2581">
      <c r="A2581" t="inlineStr">
        <is>
          <t>2026-07-24</t>
        </is>
      </c>
      <c r="B2581" t="inlineStr">
        <is>
          <t>F285505</t>
        </is>
      </c>
      <c r="C2581" t="inlineStr">
        <is>
          <t>C11332</t>
        </is>
      </c>
      <c r="D2581" t="inlineStr">
        <is>
          <t>SKU-10119</t>
        </is>
      </c>
      <c r="E2581" t="inlineStr"/>
      <c r="F2581" s="5" t="n">
        <v>487.89</v>
      </c>
      <c r="G2581">
        <f>IF(LEFT(B2581,1)="C","Credit","Factuur")</f>
        <v/>
      </c>
      <c r="H2581">
        <f>IF(AND(B2581=B2580,D2581=D2580,A2581=A2580,F2581=F2580),1,0)</f>
        <v/>
      </c>
      <c r="I2581">
        <f>IF(C2581="C99999",1,0)</f>
        <v/>
      </c>
      <c r="J2581" s="5">
        <f>IF(OR(H2581=1,I2581=1),0,IF(G2581="Credit",-F2581,F2581))</f>
        <v/>
      </c>
    </row>
    <row r="2582">
      <c r="A2582" t="inlineStr">
        <is>
          <t>2026-07-24</t>
        </is>
      </c>
      <c r="B2582" t="inlineStr">
        <is>
          <t>F285505</t>
        </is>
      </c>
      <c r="C2582" t="inlineStr">
        <is>
          <t>C11332</t>
        </is>
      </c>
      <c r="D2582" t="inlineStr">
        <is>
          <t>SKU-10175</t>
        </is>
      </c>
      <c r="E2582" t="inlineStr">
        <is>
          <t>AM05</t>
        </is>
      </c>
      <c r="F2582" s="5" t="n">
        <v>460.63</v>
      </c>
      <c r="G2582">
        <f>IF(LEFT(B2582,1)="C","Credit","Factuur")</f>
        <v/>
      </c>
      <c r="H2582">
        <f>IF(AND(B2582=B2581,D2582=D2581,A2582=A2581,F2582=F2581),1,0)</f>
        <v/>
      </c>
      <c r="I2582">
        <f>IF(C2582="C99999",1,0)</f>
        <v/>
      </c>
      <c r="J2582" s="5">
        <f>IF(OR(H2582=1,I2582=1),0,IF(G2582="Credit",-F2582,F2582))</f>
        <v/>
      </c>
    </row>
    <row r="2583">
      <c r="A2583" t="inlineStr">
        <is>
          <t>2026-07-24</t>
        </is>
      </c>
      <c r="B2583" t="inlineStr">
        <is>
          <t>F285682</t>
        </is>
      </c>
      <c r="C2583" t="inlineStr">
        <is>
          <t>C11341</t>
        </is>
      </c>
      <c r="D2583" t="inlineStr">
        <is>
          <t>SKU-10077</t>
        </is>
      </c>
      <c r="E2583" t="inlineStr">
        <is>
          <t>AM02</t>
        </is>
      </c>
      <c r="F2583" s="5" t="n">
        <v>7379.4</v>
      </c>
      <c r="G2583">
        <f>IF(LEFT(B2583,1)="C","Credit","Factuur")</f>
        <v/>
      </c>
      <c r="H2583">
        <f>IF(AND(B2583=B2582,D2583=D2582,A2583=A2582,F2583=F2582),1,0)</f>
        <v/>
      </c>
      <c r="I2583">
        <f>IF(C2583="C99999",1,0)</f>
        <v/>
      </c>
      <c r="J2583" s="5">
        <f>IF(OR(H2583=1,I2583=1),0,IF(G2583="Credit",-F2583,F2583))</f>
        <v/>
      </c>
    </row>
    <row r="2584">
      <c r="A2584" t="inlineStr">
        <is>
          <t>2026-07-24</t>
        </is>
      </c>
      <c r="B2584" t="inlineStr">
        <is>
          <t>F285682</t>
        </is>
      </c>
      <c r="C2584" t="inlineStr">
        <is>
          <t>C11341</t>
        </is>
      </c>
      <c r="D2584" t="inlineStr">
        <is>
          <t>SKU-10280</t>
        </is>
      </c>
      <c r="E2584" t="inlineStr">
        <is>
          <t>AM02</t>
        </is>
      </c>
      <c r="F2584" s="5" t="n">
        <v>7373.97</v>
      </c>
      <c r="G2584">
        <f>IF(LEFT(B2584,1)="C","Credit","Factuur")</f>
        <v/>
      </c>
      <c r="H2584">
        <f>IF(AND(B2584=B2583,D2584=D2583,A2584=A2583,F2584=F2583),1,0)</f>
        <v/>
      </c>
      <c r="I2584">
        <f>IF(C2584="C99999",1,0)</f>
        <v/>
      </c>
      <c r="J2584" s="5">
        <f>IF(OR(H2584=1,I2584=1),0,IF(G2584="Credit",-F2584,F2584))</f>
        <v/>
      </c>
    </row>
    <row r="2585">
      <c r="A2585" t="inlineStr">
        <is>
          <t>2026-07-24</t>
        </is>
      </c>
      <c r="B2585" t="inlineStr">
        <is>
          <t>F285703</t>
        </is>
      </c>
      <c r="C2585" t="inlineStr">
        <is>
          <t>C11342</t>
        </is>
      </c>
      <c r="D2585" t="inlineStr">
        <is>
          <t>SKU-10250</t>
        </is>
      </c>
      <c r="E2585" t="inlineStr">
        <is>
          <t>AM01</t>
        </is>
      </c>
      <c r="F2585" s="5" t="n">
        <v>766.08</v>
      </c>
      <c r="G2585">
        <f>IF(LEFT(B2585,1)="C","Credit","Factuur")</f>
        <v/>
      </c>
      <c r="H2585">
        <f>IF(AND(B2585=B2584,D2585=D2584,A2585=A2584,F2585=F2584),1,0)</f>
        <v/>
      </c>
      <c r="I2585">
        <f>IF(C2585="C99999",1,0)</f>
        <v/>
      </c>
      <c r="J2585" s="5">
        <f>IF(OR(H2585=1,I2585=1),0,IF(G2585="Credit",-F2585,F2585))</f>
        <v/>
      </c>
    </row>
    <row r="2586">
      <c r="A2586" t="inlineStr">
        <is>
          <t>2026-07-24</t>
        </is>
      </c>
      <c r="B2586" t="inlineStr">
        <is>
          <t>F285703</t>
        </is>
      </c>
      <c r="C2586" t="inlineStr">
        <is>
          <t>C11342</t>
        </is>
      </c>
      <c r="D2586" t="inlineStr">
        <is>
          <t>SKU-10317</t>
        </is>
      </c>
      <c r="E2586" t="inlineStr">
        <is>
          <t>AM01</t>
        </is>
      </c>
      <c r="F2586" s="5" t="n">
        <v>775.88</v>
      </c>
      <c r="G2586">
        <f>IF(LEFT(B2586,1)="C","Credit","Factuur")</f>
        <v/>
      </c>
      <c r="H2586">
        <f>IF(AND(B2586=B2585,D2586=D2585,A2586=A2585,F2586=F2585),1,0)</f>
        <v/>
      </c>
      <c r="I2586">
        <f>IF(C2586="C99999",1,0)</f>
        <v/>
      </c>
      <c r="J2586" s="5">
        <f>IF(OR(H2586=1,I2586=1),0,IF(G2586="Credit",-F2586,F2586))</f>
        <v/>
      </c>
    </row>
    <row r="2587">
      <c r="A2587" t="inlineStr">
        <is>
          <t>2026-07-24</t>
        </is>
      </c>
      <c r="B2587" t="inlineStr">
        <is>
          <t>F285703</t>
        </is>
      </c>
      <c r="C2587" t="inlineStr">
        <is>
          <t>C11342</t>
        </is>
      </c>
      <c r="D2587" t="inlineStr">
        <is>
          <t>SKU-10318</t>
        </is>
      </c>
      <c r="E2587" t="inlineStr">
        <is>
          <t>AM01</t>
        </is>
      </c>
      <c r="F2587" s="5" t="n">
        <v>773.3</v>
      </c>
      <c r="G2587">
        <f>IF(LEFT(B2587,1)="C","Credit","Factuur")</f>
        <v/>
      </c>
      <c r="H2587">
        <f>IF(AND(B2587=B2586,D2587=D2586,A2587=A2586,F2587=F2586),1,0)</f>
        <v/>
      </c>
      <c r="I2587">
        <f>IF(C2587="C99999",1,0)</f>
        <v/>
      </c>
      <c r="J2587" s="5">
        <f>IF(OR(H2587=1,I2587=1),0,IF(G2587="Credit",-F2587,F2587))</f>
        <v/>
      </c>
    </row>
    <row r="2588">
      <c r="A2588" t="inlineStr">
        <is>
          <t>2026-07-24</t>
        </is>
      </c>
      <c r="B2588" t="inlineStr">
        <is>
          <t>F285803</t>
        </is>
      </c>
      <c r="C2588" t="inlineStr">
        <is>
          <t>C11348</t>
        </is>
      </c>
      <c r="D2588" t="inlineStr">
        <is>
          <t>SKU-10087</t>
        </is>
      </c>
      <c r="E2588" t="inlineStr">
        <is>
          <t>AM08</t>
        </is>
      </c>
      <c r="F2588" s="5" t="n">
        <v>430.1</v>
      </c>
      <c r="G2588">
        <f>IF(LEFT(B2588,1)="C","Credit","Factuur")</f>
        <v/>
      </c>
      <c r="H2588">
        <f>IF(AND(B2588=B2587,D2588=D2587,A2588=A2587,F2588=F2587),1,0)</f>
        <v/>
      </c>
      <c r="I2588">
        <f>IF(C2588="C99999",1,0)</f>
        <v/>
      </c>
      <c r="J2588" s="5">
        <f>IF(OR(H2588=1,I2588=1),0,IF(G2588="Credit",-F2588,F2588))</f>
        <v/>
      </c>
    </row>
    <row r="2589">
      <c r="A2589" t="inlineStr">
        <is>
          <t>2026-07-24</t>
        </is>
      </c>
      <c r="B2589" t="inlineStr">
        <is>
          <t>F285803</t>
        </is>
      </c>
      <c r="C2589" t="inlineStr">
        <is>
          <t>C11348</t>
        </is>
      </c>
      <c r="D2589" t="inlineStr">
        <is>
          <t>SKU-10157</t>
        </is>
      </c>
      <c r="E2589" t="inlineStr">
        <is>
          <t>AM08</t>
        </is>
      </c>
      <c r="F2589" s="5" t="n">
        <v>437.6</v>
      </c>
      <c r="G2589">
        <f>IF(LEFT(B2589,1)="C","Credit","Factuur")</f>
        <v/>
      </c>
      <c r="H2589">
        <f>IF(AND(B2589=B2588,D2589=D2588,A2589=A2588,F2589=F2588),1,0)</f>
        <v/>
      </c>
      <c r="I2589">
        <f>IF(C2589="C99999",1,0)</f>
        <v/>
      </c>
      <c r="J2589" s="5">
        <f>IF(OR(H2589=1,I2589=1),0,IF(G2589="Credit",-F2589,F2589))</f>
        <v/>
      </c>
    </row>
    <row r="2590">
      <c r="A2590" t="inlineStr">
        <is>
          <t>2026-07-24</t>
        </is>
      </c>
      <c r="B2590" t="inlineStr">
        <is>
          <t>F285803</t>
        </is>
      </c>
      <c r="C2590" t="inlineStr">
        <is>
          <t>C11348</t>
        </is>
      </c>
      <c r="D2590" t="inlineStr">
        <is>
          <t>SKU-10177</t>
        </is>
      </c>
      <c r="E2590" t="inlineStr">
        <is>
          <t>AM08</t>
        </is>
      </c>
      <c r="F2590" s="5" t="n">
        <v>440.84</v>
      </c>
      <c r="G2590">
        <f>IF(LEFT(B2590,1)="C","Credit","Factuur")</f>
        <v/>
      </c>
      <c r="H2590">
        <f>IF(AND(B2590=B2589,D2590=D2589,A2590=A2589,F2590=F2589),1,0)</f>
        <v/>
      </c>
      <c r="I2590">
        <f>IF(C2590="C99999",1,0)</f>
        <v/>
      </c>
      <c r="J2590" s="5">
        <f>IF(OR(H2590=1,I2590=1),0,IF(G2590="Credit",-F2590,F2590))</f>
        <v/>
      </c>
    </row>
    <row r="2591">
      <c r="A2591" t="inlineStr">
        <is>
          <t>2026-07-24</t>
        </is>
      </c>
      <c r="B2591" t="inlineStr">
        <is>
          <t>F286146</t>
        </is>
      </c>
      <c r="C2591" t="inlineStr">
        <is>
          <t>C11367</t>
        </is>
      </c>
      <c r="D2591" t="inlineStr">
        <is>
          <t>SKU-10114</t>
        </is>
      </c>
      <c r="E2591" t="inlineStr">
        <is>
          <t>AM09</t>
        </is>
      </c>
      <c r="F2591" s="5" t="n">
        <v>235.66</v>
      </c>
      <c r="G2591">
        <f>IF(LEFT(B2591,1)="C","Credit","Factuur")</f>
        <v/>
      </c>
      <c r="H2591">
        <f>IF(AND(B2591=B2590,D2591=D2590,A2591=A2590,F2591=F2590),1,0)</f>
        <v/>
      </c>
      <c r="I2591">
        <f>IF(C2591="C99999",1,0)</f>
        <v/>
      </c>
      <c r="J2591" s="5">
        <f>IF(OR(H2591=1,I2591=1),0,IF(G2591="Credit",-F2591,F2591))</f>
        <v/>
      </c>
    </row>
    <row r="2592">
      <c r="A2592" t="inlineStr">
        <is>
          <t>2026-07-24</t>
        </is>
      </c>
      <c r="B2592" t="inlineStr">
        <is>
          <t>F286241</t>
        </is>
      </c>
      <c r="C2592" t="inlineStr">
        <is>
          <t>C11372</t>
        </is>
      </c>
      <c r="D2592" t="inlineStr">
        <is>
          <t>SKU-10019</t>
        </is>
      </c>
      <c r="E2592" t="inlineStr">
        <is>
          <t>AM09</t>
        </is>
      </c>
      <c r="F2592" s="5" t="n">
        <v>822.99</v>
      </c>
      <c r="G2592">
        <f>IF(LEFT(B2592,1)="C","Credit","Factuur")</f>
        <v/>
      </c>
      <c r="H2592">
        <f>IF(AND(B2592=B2591,D2592=D2591,A2592=A2591,F2592=F2591),1,0)</f>
        <v/>
      </c>
      <c r="I2592">
        <f>IF(C2592="C99999",1,0)</f>
        <v/>
      </c>
      <c r="J2592" s="5">
        <f>IF(OR(H2592=1,I2592=1),0,IF(G2592="Credit",-F2592,F2592))</f>
        <v/>
      </c>
    </row>
    <row r="2593">
      <c r="A2593" t="inlineStr">
        <is>
          <t>2026-07-24</t>
        </is>
      </c>
      <c r="B2593" t="inlineStr">
        <is>
          <t>F286275</t>
        </is>
      </c>
      <c r="C2593" t="inlineStr">
        <is>
          <t>C11373</t>
        </is>
      </c>
      <c r="D2593" t="inlineStr">
        <is>
          <t>SKU-10034</t>
        </is>
      </c>
      <c r="E2593" t="inlineStr">
        <is>
          <t>AM09</t>
        </is>
      </c>
      <c r="F2593" s="5" t="n">
        <v>250.72</v>
      </c>
      <c r="G2593">
        <f>IF(LEFT(B2593,1)="C","Credit","Factuur")</f>
        <v/>
      </c>
      <c r="H2593">
        <f>IF(AND(B2593=B2592,D2593=D2592,A2593=A2592,F2593=F2592),1,0)</f>
        <v/>
      </c>
      <c r="I2593">
        <f>IF(C2593="C99999",1,0)</f>
        <v/>
      </c>
      <c r="J2593" s="5">
        <f>IF(OR(H2593=1,I2593=1),0,IF(G2593="Credit",-F2593,F2593))</f>
        <v/>
      </c>
    </row>
    <row r="2594">
      <c r="A2594" t="inlineStr">
        <is>
          <t>2026-07-24</t>
        </is>
      </c>
      <c r="B2594" t="inlineStr">
        <is>
          <t>F286275</t>
        </is>
      </c>
      <c r="C2594" t="inlineStr">
        <is>
          <t>C11373</t>
        </is>
      </c>
      <c r="D2594" t="inlineStr">
        <is>
          <t>SKU-10147</t>
        </is>
      </c>
      <c r="E2594" t="inlineStr">
        <is>
          <t>AM09</t>
        </is>
      </c>
      <c r="F2594" s="5" t="n">
        <v>271.52</v>
      </c>
      <c r="G2594">
        <f>IF(LEFT(B2594,1)="C","Credit","Factuur")</f>
        <v/>
      </c>
      <c r="H2594">
        <f>IF(AND(B2594=B2593,D2594=D2593,A2594=A2593,F2594=F2593),1,0)</f>
        <v/>
      </c>
      <c r="I2594">
        <f>IF(C2594="C99999",1,0)</f>
        <v/>
      </c>
      <c r="J2594" s="5">
        <f>IF(OR(H2594=1,I2594=1),0,IF(G2594="Credit",-F2594,F2594))</f>
        <v/>
      </c>
    </row>
    <row r="2595">
      <c r="A2595" t="inlineStr">
        <is>
          <t>2026-07-24</t>
        </is>
      </c>
      <c r="B2595" t="inlineStr">
        <is>
          <t>F286275</t>
        </is>
      </c>
      <c r="C2595" t="inlineStr">
        <is>
          <t>C11373</t>
        </is>
      </c>
      <c r="D2595" t="inlineStr">
        <is>
          <t>SKU-10333</t>
        </is>
      </c>
      <c r="E2595" t="inlineStr">
        <is>
          <t>AM09</t>
        </is>
      </c>
      <c r="F2595" s="5" t="n">
        <v>268.98</v>
      </c>
      <c r="G2595">
        <f>IF(LEFT(B2595,1)="C","Credit","Factuur")</f>
        <v/>
      </c>
      <c r="H2595">
        <f>IF(AND(B2595=B2594,D2595=D2594,A2595=A2594,F2595=F2594),1,0)</f>
        <v/>
      </c>
      <c r="I2595">
        <f>IF(C2595="C99999",1,0)</f>
        <v/>
      </c>
      <c r="J2595" s="5">
        <f>IF(OR(H2595=1,I2595=1),0,IF(G2595="Credit",-F2595,F2595))</f>
        <v/>
      </c>
    </row>
    <row r="2596">
      <c r="A2596" t="inlineStr">
        <is>
          <t>2026-07-25</t>
        </is>
      </c>
      <c r="B2596" t="inlineStr">
        <is>
          <t>C900844</t>
        </is>
      </c>
      <c r="C2596" t="inlineStr">
        <is>
          <t>C11057</t>
        </is>
      </c>
      <c r="D2596" t="inlineStr">
        <is>
          <t>SKU-10294</t>
        </is>
      </c>
      <c r="E2596" t="inlineStr">
        <is>
          <t>AM03</t>
        </is>
      </c>
      <c r="F2596" s="5" t="n">
        <v>626.79</v>
      </c>
      <c r="G2596">
        <f>IF(LEFT(B2596,1)="C","Credit","Factuur")</f>
        <v/>
      </c>
      <c r="H2596">
        <f>IF(AND(B2596=B2595,D2596=D2595,A2596=A2595,F2596=F2595),1,0)</f>
        <v/>
      </c>
      <c r="I2596">
        <f>IF(C2596="C99999",1,0)</f>
        <v/>
      </c>
      <c r="J2596" s="5">
        <f>IF(OR(H2596=1,I2596=1),0,IF(G2596="Credit",-F2596,F2596))</f>
        <v/>
      </c>
    </row>
    <row r="2597">
      <c r="A2597" t="inlineStr">
        <is>
          <t>2026-07-25</t>
        </is>
      </c>
      <c r="B2597" t="inlineStr">
        <is>
          <t>C902013</t>
        </is>
      </c>
      <c r="C2597" t="inlineStr">
        <is>
          <t>C11308</t>
        </is>
      </c>
      <c r="D2597" t="inlineStr">
        <is>
          <t>SKU-10117</t>
        </is>
      </c>
      <c r="E2597" t="inlineStr">
        <is>
          <t>AM02</t>
        </is>
      </c>
      <c r="F2597" s="5" t="n">
        <v>363.48</v>
      </c>
      <c r="G2597">
        <f>IF(LEFT(B2597,1)="C","Credit","Factuur")</f>
        <v/>
      </c>
      <c r="H2597">
        <f>IF(AND(B2597=B2596,D2597=D2596,A2597=A2596,F2597=F2596),1,0)</f>
        <v/>
      </c>
      <c r="I2597">
        <f>IF(C2597="C99999",1,0)</f>
        <v/>
      </c>
      <c r="J2597" s="5">
        <f>IF(OR(H2597=1,I2597=1),0,IF(G2597="Credit",-F2597,F2597))</f>
        <v/>
      </c>
    </row>
    <row r="2598">
      <c r="A2598" t="inlineStr">
        <is>
          <t>2026-07-26</t>
        </is>
      </c>
      <c r="B2598" t="inlineStr">
        <is>
          <t>C900065</t>
        </is>
      </c>
      <c r="C2598" t="inlineStr">
        <is>
          <t>C11363</t>
        </is>
      </c>
      <c r="D2598" t="inlineStr">
        <is>
          <t>SKU-10169</t>
        </is>
      </c>
      <c r="E2598" t="inlineStr">
        <is>
          <t>AM09</t>
        </is>
      </c>
      <c r="F2598" s="5" t="n">
        <v>52.46</v>
      </c>
      <c r="G2598">
        <f>IF(LEFT(B2598,1)="C","Credit","Factuur")</f>
        <v/>
      </c>
      <c r="H2598">
        <f>IF(AND(B2598=B2597,D2598=D2597,A2598=A2597,F2598=F2597),1,0)</f>
        <v/>
      </c>
      <c r="I2598">
        <f>IF(C2598="C99999",1,0)</f>
        <v/>
      </c>
      <c r="J2598" s="5">
        <f>IF(OR(H2598=1,I2598=1),0,IF(G2598="Credit",-F2598,F2598))</f>
        <v/>
      </c>
    </row>
    <row r="2599">
      <c r="A2599" t="inlineStr">
        <is>
          <t>2026-07-26</t>
        </is>
      </c>
      <c r="B2599" t="inlineStr">
        <is>
          <t>C900116</t>
        </is>
      </c>
      <c r="C2599" t="inlineStr">
        <is>
          <t>C11174</t>
        </is>
      </c>
      <c r="D2599" t="inlineStr">
        <is>
          <t>SKU-10081</t>
        </is>
      </c>
      <c r="E2599" t="inlineStr">
        <is>
          <t>AM01</t>
        </is>
      </c>
      <c r="F2599" s="5" t="n">
        <v>190.71</v>
      </c>
      <c r="G2599">
        <f>IF(LEFT(B2599,1)="C","Credit","Factuur")</f>
        <v/>
      </c>
      <c r="H2599">
        <f>IF(AND(B2599=B2598,D2599=D2598,A2599=A2598,F2599=F2598),1,0)</f>
        <v/>
      </c>
      <c r="I2599">
        <f>IF(C2599="C99999",1,0)</f>
        <v/>
      </c>
      <c r="J2599" s="5">
        <f>IF(OR(H2599=1,I2599=1),0,IF(G2599="Credit",-F2599,F2599))</f>
        <v/>
      </c>
    </row>
    <row r="2600">
      <c r="A2600" t="inlineStr">
        <is>
          <t>2026-07-26</t>
        </is>
      </c>
      <c r="B2600" t="inlineStr">
        <is>
          <t>C900832</t>
        </is>
      </c>
      <c r="C2600" t="inlineStr">
        <is>
          <t>C10144</t>
        </is>
      </c>
      <c r="D2600" t="inlineStr">
        <is>
          <t>SKU-10007</t>
        </is>
      </c>
      <c r="E2600" t="inlineStr">
        <is>
          <t>IS02</t>
        </is>
      </c>
      <c r="F2600" s="5" t="n">
        <v>47.31</v>
      </c>
      <c r="G2600">
        <f>IF(LEFT(B2600,1)="C","Credit","Factuur")</f>
        <v/>
      </c>
      <c r="H2600">
        <f>IF(AND(B2600=B2599,D2600=D2599,A2600=A2599,F2600=F2599),1,0)</f>
        <v/>
      </c>
      <c r="I2600">
        <f>IF(C2600="C99999",1,0)</f>
        <v/>
      </c>
      <c r="J2600" s="5">
        <f>IF(OR(H2600=1,I2600=1),0,IF(G2600="Credit",-F2600,F2600))</f>
        <v/>
      </c>
    </row>
    <row r="2601">
      <c r="A2601" t="inlineStr">
        <is>
          <t>2026-07-27</t>
        </is>
      </c>
      <c r="B2601" t="inlineStr">
        <is>
          <t>C900408</t>
        </is>
      </c>
      <c r="C2601" t="inlineStr">
        <is>
          <t>C11032</t>
        </is>
      </c>
      <c r="D2601" t="inlineStr">
        <is>
          <t>SKU-10076</t>
        </is>
      </c>
      <c r="E2601" t="inlineStr">
        <is>
          <t>AM11</t>
        </is>
      </c>
      <c r="F2601" s="5" t="n">
        <v>285.6</v>
      </c>
      <c r="G2601">
        <f>IF(LEFT(B2601,1)="C","Credit","Factuur")</f>
        <v/>
      </c>
      <c r="H2601">
        <f>IF(AND(B2601=B2600,D2601=D2600,A2601=A2600,F2601=F2600),1,0)</f>
        <v/>
      </c>
      <c r="I2601">
        <f>IF(C2601="C99999",1,0)</f>
        <v/>
      </c>
      <c r="J2601" s="5">
        <f>IF(OR(H2601=1,I2601=1),0,IF(G2601="Credit",-F2601,F2601))</f>
        <v/>
      </c>
    </row>
    <row r="2602">
      <c r="A2602" t="inlineStr">
        <is>
          <t>2026-07-27</t>
        </is>
      </c>
      <c r="B2602" t="inlineStr">
        <is>
          <t>C901922</t>
        </is>
      </c>
      <c r="C2602" t="inlineStr">
        <is>
          <t>C10397</t>
        </is>
      </c>
      <c r="D2602" t="inlineStr">
        <is>
          <t>SKU-10179</t>
        </is>
      </c>
      <c r="E2602" t="inlineStr">
        <is>
          <t>AM03</t>
        </is>
      </c>
      <c r="F2602" s="5" t="n">
        <v>273.68</v>
      </c>
      <c r="G2602">
        <f>IF(LEFT(B2602,1)="C","Credit","Factuur")</f>
        <v/>
      </c>
      <c r="H2602">
        <f>IF(AND(B2602=B2601,D2602=D2601,A2602=A2601,F2602=F2601),1,0)</f>
        <v/>
      </c>
      <c r="I2602">
        <f>IF(C2602="C99999",1,0)</f>
        <v/>
      </c>
      <c r="J2602" s="5">
        <f>IF(OR(H2602=1,I2602=1),0,IF(G2602="Credit",-F2602,F2602))</f>
        <v/>
      </c>
    </row>
    <row r="2603">
      <c r="A2603" t="inlineStr">
        <is>
          <t>2026-07-27</t>
        </is>
      </c>
      <c r="B2603" t="inlineStr">
        <is>
          <t>F260263</t>
        </is>
      </c>
      <c r="C2603" t="inlineStr">
        <is>
          <t>C10018</t>
        </is>
      </c>
      <c r="D2603" t="inlineStr">
        <is>
          <t>SKU-10332</t>
        </is>
      </c>
      <c r="E2603" t="inlineStr">
        <is>
          <t>AM02</t>
        </is>
      </c>
      <c r="F2603" s="5" t="n">
        <v>657.14</v>
      </c>
      <c r="G2603">
        <f>IF(LEFT(B2603,1)="C","Credit","Factuur")</f>
        <v/>
      </c>
      <c r="H2603">
        <f>IF(AND(B2603=B2602,D2603=D2602,A2603=A2602,F2603=F2602),1,0)</f>
        <v/>
      </c>
      <c r="I2603">
        <f>IF(C2603="C99999",1,0)</f>
        <v/>
      </c>
      <c r="J2603" s="5">
        <f>IF(OR(H2603=1,I2603=1),0,IF(G2603="Credit",-F2603,F2603))</f>
        <v/>
      </c>
    </row>
    <row r="2604">
      <c r="A2604" t="inlineStr">
        <is>
          <t>2026-07-27</t>
        </is>
      </c>
      <c r="B2604" t="inlineStr">
        <is>
          <t>F260359</t>
        </is>
      </c>
      <c r="C2604" t="inlineStr">
        <is>
          <t>C10021</t>
        </is>
      </c>
      <c r="D2604" t="inlineStr">
        <is>
          <t>SKU-10334</t>
        </is>
      </c>
      <c r="E2604" t="inlineStr">
        <is>
          <t>AM07</t>
        </is>
      </c>
      <c r="F2604" s="5" t="n">
        <v>2443.95</v>
      </c>
      <c r="G2604">
        <f>IF(LEFT(B2604,1)="C","Credit","Factuur")</f>
        <v/>
      </c>
      <c r="H2604">
        <f>IF(AND(B2604=B2603,D2604=D2603,A2604=A2603,F2604=F2603),1,0)</f>
        <v/>
      </c>
      <c r="I2604">
        <f>IF(C2604="C99999",1,0)</f>
        <v/>
      </c>
      <c r="J2604" s="5">
        <f>IF(OR(H2604=1,I2604=1),0,IF(G2604="Credit",-F2604,F2604))</f>
        <v/>
      </c>
    </row>
    <row r="2605">
      <c r="A2605" t="inlineStr">
        <is>
          <t>2026-07-27</t>
        </is>
      </c>
      <c r="B2605" t="inlineStr">
        <is>
          <t>F260677</t>
        </is>
      </c>
      <c r="C2605" t="inlineStr">
        <is>
          <t>C10039</t>
        </is>
      </c>
      <c r="D2605" t="inlineStr">
        <is>
          <t>SKU-10013</t>
        </is>
      </c>
      <c r="E2605" t="inlineStr">
        <is>
          <t>AM12</t>
        </is>
      </c>
      <c r="F2605" s="5" t="n">
        <v>188.05</v>
      </c>
      <c r="G2605">
        <f>IF(LEFT(B2605,1)="C","Credit","Factuur")</f>
        <v/>
      </c>
      <c r="H2605">
        <f>IF(AND(B2605=B2604,D2605=D2604,A2605=A2604,F2605=F2604),1,0)</f>
        <v/>
      </c>
      <c r="I2605">
        <f>IF(C2605="C99999",1,0)</f>
        <v/>
      </c>
      <c r="J2605" s="5">
        <f>IF(OR(H2605=1,I2605=1),0,IF(G2605="Credit",-F2605,F2605))</f>
        <v/>
      </c>
    </row>
    <row r="2606">
      <c r="A2606" t="inlineStr">
        <is>
          <t>2026-07-27</t>
        </is>
      </c>
      <c r="B2606" t="inlineStr">
        <is>
          <t>F260677</t>
        </is>
      </c>
      <c r="C2606" t="inlineStr">
        <is>
          <t>C10039</t>
        </is>
      </c>
      <c r="D2606" t="inlineStr">
        <is>
          <t>SKU-10162</t>
        </is>
      </c>
      <c r="E2606" t="inlineStr">
        <is>
          <t>AM12</t>
        </is>
      </c>
      <c r="F2606" s="5" t="n">
        <v>183.75</v>
      </c>
      <c r="G2606">
        <f>IF(LEFT(B2606,1)="C","Credit","Factuur")</f>
        <v/>
      </c>
      <c r="H2606">
        <f>IF(AND(B2606=B2605,D2606=D2605,A2606=A2605,F2606=F2605),1,0)</f>
        <v/>
      </c>
      <c r="I2606">
        <f>IF(C2606="C99999",1,0)</f>
        <v/>
      </c>
      <c r="J2606" s="5">
        <f>IF(OR(H2606=1,I2606=1),0,IF(G2606="Credit",-F2606,F2606))</f>
        <v/>
      </c>
    </row>
    <row r="2607">
      <c r="A2607" t="inlineStr">
        <is>
          <t>2026-07-27</t>
        </is>
      </c>
      <c r="B2607" t="inlineStr">
        <is>
          <t>F260677</t>
        </is>
      </c>
      <c r="C2607" t="inlineStr">
        <is>
          <t>C10039</t>
        </is>
      </c>
      <c r="D2607" t="inlineStr">
        <is>
          <t>SKU-10183</t>
        </is>
      </c>
      <c r="E2607" t="inlineStr">
        <is>
          <t>AM12</t>
        </is>
      </c>
      <c r="F2607" s="5" t="n">
        <v>178.1</v>
      </c>
      <c r="G2607">
        <f>IF(LEFT(B2607,1)="C","Credit","Factuur")</f>
        <v/>
      </c>
      <c r="H2607">
        <f>IF(AND(B2607=B2606,D2607=D2606,A2607=A2606,F2607=F2606),1,0)</f>
        <v/>
      </c>
      <c r="I2607">
        <f>IF(C2607="C99999",1,0)</f>
        <v/>
      </c>
      <c r="J2607" s="5">
        <f>IF(OR(H2607=1,I2607=1),0,IF(G2607="Credit",-F2607,F2607))</f>
        <v/>
      </c>
    </row>
    <row r="2608">
      <c r="A2608" t="inlineStr">
        <is>
          <t>2026-07-27</t>
        </is>
      </c>
      <c r="B2608" t="inlineStr">
        <is>
          <t>F260677</t>
        </is>
      </c>
      <c r="C2608" t="inlineStr">
        <is>
          <t>C10039</t>
        </is>
      </c>
      <c r="D2608" t="inlineStr">
        <is>
          <t>SKU-10204</t>
        </is>
      </c>
      <c r="E2608" t="inlineStr">
        <is>
          <t>AM12</t>
        </is>
      </c>
      <c r="F2608" s="5" t="n">
        <v>176.13</v>
      </c>
      <c r="G2608">
        <f>IF(LEFT(B2608,1)="C","Credit","Factuur")</f>
        <v/>
      </c>
      <c r="H2608">
        <f>IF(AND(B2608=B2607,D2608=D2607,A2608=A2607,F2608=F2607),1,0)</f>
        <v/>
      </c>
      <c r="I2608">
        <f>IF(C2608="C99999",1,0)</f>
        <v/>
      </c>
      <c r="J2608" s="5">
        <f>IF(OR(H2608=1,I2608=1),0,IF(G2608="Credit",-F2608,F2608))</f>
        <v/>
      </c>
    </row>
    <row r="2609">
      <c r="A2609" t="inlineStr">
        <is>
          <t>2026-07-27</t>
        </is>
      </c>
      <c r="B2609" t="inlineStr">
        <is>
          <t>F260677</t>
        </is>
      </c>
      <c r="C2609" t="inlineStr">
        <is>
          <t>C10039</t>
        </is>
      </c>
      <c r="D2609" t="inlineStr">
        <is>
          <t>SKU-10282</t>
        </is>
      </c>
      <c r="E2609" t="inlineStr">
        <is>
          <t>AM12</t>
        </is>
      </c>
      <c r="F2609" s="5" t="n">
        <v>173.6</v>
      </c>
      <c r="G2609">
        <f>IF(LEFT(B2609,1)="C","Credit","Factuur")</f>
        <v/>
      </c>
      <c r="H2609">
        <f>IF(AND(B2609=B2608,D2609=D2608,A2609=A2608,F2609=F2608),1,0)</f>
        <v/>
      </c>
      <c r="I2609">
        <f>IF(C2609="C99999",1,0)</f>
        <v/>
      </c>
      <c r="J2609" s="5">
        <f>IF(OR(H2609=1,I2609=1),0,IF(G2609="Credit",-F2609,F2609))</f>
        <v/>
      </c>
    </row>
    <row r="2610">
      <c r="A2610" t="inlineStr">
        <is>
          <t>2026-07-27</t>
        </is>
      </c>
      <c r="B2610" t="inlineStr">
        <is>
          <t>F260677</t>
        </is>
      </c>
      <c r="C2610" t="inlineStr">
        <is>
          <t>C10039</t>
        </is>
      </c>
      <c r="D2610" t="inlineStr">
        <is>
          <t>SKU-10296</t>
        </is>
      </c>
      <c r="E2610" t="inlineStr">
        <is>
          <t>AM12</t>
        </is>
      </c>
      <c r="F2610" s="5" t="n">
        <v>175.7</v>
      </c>
      <c r="G2610">
        <f>IF(LEFT(B2610,1)="C","Credit","Factuur")</f>
        <v/>
      </c>
      <c r="H2610">
        <f>IF(AND(B2610=B2609,D2610=D2609,A2610=A2609,F2610=F2609),1,0)</f>
        <v/>
      </c>
      <c r="I2610">
        <f>IF(C2610="C99999",1,0)</f>
        <v/>
      </c>
      <c r="J2610" s="5">
        <f>IF(OR(H2610=1,I2610=1),0,IF(G2610="Credit",-F2610,F2610))</f>
        <v/>
      </c>
    </row>
    <row r="2611">
      <c r="A2611" t="inlineStr">
        <is>
          <t>2026-07-27</t>
        </is>
      </c>
      <c r="B2611" t="inlineStr">
        <is>
          <t>F262456</t>
        </is>
      </c>
      <c r="C2611" t="inlineStr">
        <is>
          <t>C10130</t>
        </is>
      </c>
      <c r="D2611" t="inlineStr">
        <is>
          <t>SKU-10078</t>
        </is>
      </c>
      <c r="E2611" t="inlineStr">
        <is>
          <t>AM01</t>
        </is>
      </c>
      <c r="F2611" s="5" t="n">
        <v>119.57</v>
      </c>
      <c r="G2611">
        <f>IF(LEFT(B2611,1)="C","Credit","Factuur")</f>
        <v/>
      </c>
      <c r="H2611">
        <f>IF(AND(B2611=B2610,D2611=D2610,A2611=A2610,F2611=F2610),1,0)</f>
        <v/>
      </c>
      <c r="I2611">
        <f>IF(C2611="C99999",1,0)</f>
        <v/>
      </c>
      <c r="J2611" s="5">
        <f>IF(OR(H2611=1,I2611=1),0,IF(G2611="Credit",-F2611,F2611))</f>
        <v/>
      </c>
    </row>
    <row r="2612">
      <c r="A2612" t="inlineStr">
        <is>
          <t>2026-07-27</t>
        </is>
      </c>
      <c r="B2612" t="inlineStr">
        <is>
          <t>F262456</t>
        </is>
      </c>
      <c r="C2612" t="inlineStr">
        <is>
          <t>C10130</t>
        </is>
      </c>
      <c r="D2612" t="inlineStr">
        <is>
          <t>SKU-10127</t>
        </is>
      </c>
      <c r="E2612" t="inlineStr">
        <is>
          <t>AM01</t>
        </is>
      </c>
      <c r="F2612" s="5" t="n">
        <v>86.97</v>
      </c>
      <c r="G2612">
        <f>IF(LEFT(B2612,1)="C","Credit","Factuur")</f>
        <v/>
      </c>
      <c r="H2612">
        <f>IF(AND(B2612=B2611,D2612=D2611,A2612=A2611,F2612=F2611),1,0)</f>
        <v/>
      </c>
      <c r="I2612">
        <f>IF(C2612="C99999",1,0)</f>
        <v/>
      </c>
      <c r="J2612" s="5">
        <f>IF(OR(H2612=1,I2612=1),0,IF(G2612="Credit",-F2612,F2612))</f>
        <v/>
      </c>
    </row>
    <row r="2613">
      <c r="A2613" t="inlineStr">
        <is>
          <t>2026-07-27</t>
        </is>
      </c>
      <c r="B2613" t="inlineStr">
        <is>
          <t>F262456</t>
        </is>
      </c>
      <c r="C2613" t="inlineStr">
        <is>
          <t>C10130</t>
        </is>
      </c>
      <c r="D2613" t="inlineStr">
        <is>
          <t>SKU-10263</t>
        </is>
      </c>
      <c r="E2613" t="inlineStr">
        <is>
          <t>AM01</t>
        </is>
      </c>
      <c r="F2613" s="5" t="n">
        <v>122.2</v>
      </c>
      <c r="G2613">
        <f>IF(LEFT(B2613,1)="C","Credit","Factuur")</f>
        <v/>
      </c>
      <c r="H2613">
        <f>IF(AND(B2613=B2612,D2613=D2612,A2613=A2612,F2613=F2612),1,0)</f>
        <v/>
      </c>
      <c r="I2613">
        <f>IF(C2613="C99999",1,0)</f>
        <v/>
      </c>
      <c r="J2613" s="5">
        <f>IF(OR(H2613=1,I2613=1),0,IF(G2613="Credit",-F2613,F2613))</f>
        <v/>
      </c>
    </row>
    <row r="2614">
      <c r="A2614" t="inlineStr">
        <is>
          <t>2026-07-27</t>
        </is>
      </c>
      <c r="B2614" t="inlineStr">
        <is>
          <t>F262456</t>
        </is>
      </c>
      <c r="C2614" t="inlineStr">
        <is>
          <t>C10130</t>
        </is>
      </c>
      <c r="D2614" t="inlineStr">
        <is>
          <t>SKU-10322</t>
        </is>
      </c>
      <c r="E2614" t="inlineStr">
        <is>
          <t>AM01</t>
        </is>
      </c>
      <c r="F2614" s="5" t="n">
        <v>103.02</v>
      </c>
      <c r="G2614">
        <f>IF(LEFT(B2614,1)="C","Credit","Factuur")</f>
        <v/>
      </c>
      <c r="H2614">
        <f>IF(AND(B2614=B2613,D2614=D2613,A2614=A2613,F2614=F2613),1,0)</f>
        <v/>
      </c>
      <c r="I2614">
        <f>IF(C2614="C99999",1,0)</f>
        <v/>
      </c>
      <c r="J2614" s="5">
        <f>IF(OR(H2614=1,I2614=1),0,IF(G2614="Credit",-F2614,F2614))</f>
        <v/>
      </c>
    </row>
    <row r="2615">
      <c r="A2615" t="inlineStr">
        <is>
          <t>2026-07-27</t>
        </is>
      </c>
      <c r="B2615" t="inlineStr">
        <is>
          <t>F262456</t>
        </is>
      </c>
      <c r="C2615" t="inlineStr">
        <is>
          <t>C10130</t>
        </is>
      </c>
      <c r="D2615" t="inlineStr">
        <is>
          <t>SKU-10365</t>
        </is>
      </c>
      <c r="E2615" t="inlineStr">
        <is>
          <t>AM01</t>
        </is>
      </c>
      <c r="F2615" s="5" t="n">
        <v>302.12</v>
      </c>
      <c r="G2615">
        <f>IF(LEFT(B2615,1)="C","Credit","Factuur")</f>
        <v/>
      </c>
      <c r="H2615">
        <f>IF(AND(B2615=B2614,D2615=D2614,A2615=A2614,F2615=F2614),1,0)</f>
        <v/>
      </c>
      <c r="I2615">
        <f>IF(C2615="C99999",1,0)</f>
        <v/>
      </c>
      <c r="J2615" s="5">
        <f>IF(OR(H2615=1,I2615=1),0,IF(G2615="Credit",-F2615,F2615))</f>
        <v/>
      </c>
    </row>
    <row r="2616">
      <c r="A2616" t="inlineStr">
        <is>
          <t>2026-07-27</t>
        </is>
      </c>
      <c r="B2616" t="inlineStr">
        <is>
          <t>F262845</t>
        </is>
      </c>
      <c r="C2616" t="inlineStr">
        <is>
          <t>C10153</t>
        </is>
      </c>
      <c r="D2616" t="inlineStr">
        <is>
          <t>SKU-10101</t>
        </is>
      </c>
      <c r="E2616" t="inlineStr">
        <is>
          <t>AM02</t>
        </is>
      </c>
      <c r="F2616" s="5" t="n">
        <v>475.04</v>
      </c>
      <c r="G2616">
        <f>IF(LEFT(B2616,1)="C","Credit","Factuur")</f>
        <v/>
      </c>
      <c r="H2616">
        <f>IF(AND(B2616=B2615,D2616=D2615,A2616=A2615,F2616=F2615),1,0)</f>
        <v/>
      </c>
      <c r="I2616">
        <f>IF(C2616="C99999",1,0)</f>
        <v/>
      </c>
      <c r="J2616" s="5">
        <f>IF(OR(H2616=1,I2616=1),0,IF(G2616="Credit",-F2616,F2616))</f>
        <v/>
      </c>
    </row>
    <row r="2617">
      <c r="A2617" t="inlineStr">
        <is>
          <t>2026-07-27</t>
        </is>
      </c>
      <c r="B2617" t="inlineStr">
        <is>
          <t>F262845</t>
        </is>
      </c>
      <c r="C2617" t="inlineStr">
        <is>
          <t>C10153</t>
        </is>
      </c>
      <c r="D2617" t="inlineStr">
        <is>
          <t>SKU-10226</t>
        </is>
      </c>
      <c r="E2617" t="inlineStr">
        <is>
          <t>AM02</t>
        </is>
      </c>
      <c r="F2617" s="5" t="n">
        <v>461.51</v>
      </c>
      <c r="G2617">
        <f>IF(LEFT(B2617,1)="C","Credit","Factuur")</f>
        <v/>
      </c>
      <c r="H2617">
        <f>IF(AND(B2617=B2616,D2617=D2616,A2617=A2616,F2617=F2616),1,0)</f>
        <v/>
      </c>
      <c r="I2617">
        <f>IF(C2617="C99999",1,0)</f>
        <v/>
      </c>
      <c r="J2617" s="5">
        <f>IF(OR(H2617=1,I2617=1),0,IF(G2617="Credit",-F2617,F2617))</f>
        <v/>
      </c>
    </row>
    <row r="2618">
      <c r="A2618" t="inlineStr">
        <is>
          <t>2026-07-27</t>
        </is>
      </c>
      <c r="B2618" t="inlineStr">
        <is>
          <t>F262845</t>
        </is>
      </c>
      <c r="C2618" t="inlineStr">
        <is>
          <t>C10153</t>
        </is>
      </c>
      <c r="D2618" t="inlineStr">
        <is>
          <t>SKU-10311</t>
        </is>
      </c>
      <c r="E2618" t="inlineStr">
        <is>
          <t>AM02</t>
        </is>
      </c>
      <c r="F2618" s="5" t="n">
        <v>470.72</v>
      </c>
      <c r="G2618">
        <f>IF(LEFT(B2618,1)="C","Credit","Factuur")</f>
        <v/>
      </c>
      <c r="H2618">
        <f>IF(AND(B2618=B2617,D2618=D2617,A2618=A2617,F2618=F2617),1,0)</f>
        <v/>
      </c>
      <c r="I2618">
        <f>IF(C2618="C99999",1,0)</f>
        <v/>
      </c>
      <c r="J2618" s="5">
        <f>IF(OR(H2618=1,I2618=1),0,IF(G2618="Credit",-F2618,F2618))</f>
        <v/>
      </c>
    </row>
    <row r="2619">
      <c r="A2619" t="inlineStr">
        <is>
          <t>2026-07-27</t>
        </is>
      </c>
      <c r="B2619" t="inlineStr">
        <is>
          <t>F263421</t>
        </is>
      </c>
      <c r="C2619" t="inlineStr">
        <is>
          <t>C10182</t>
        </is>
      </c>
      <c r="D2619" t="inlineStr">
        <is>
          <t>SKU-10291</t>
        </is>
      </c>
      <c r="E2619" t="inlineStr">
        <is>
          <t>AM02</t>
        </is>
      </c>
      <c r="F2619" s="5" t="n">
        <v>3054.93</v>
      </c>
      <c r="G2619">
        <f>IF(LEFT(B2619,1)="C","Credit","Factuur")</f>
        <v/>
      </c>
      <c r="H2619">
        <f>IF(AND(B2619=B2618,D2619=D2618,A2619=A2618,F2619=F2618),1,0)</f>
        <v/>
      </c>
      <c r="I2619">
        <f>IF(C2619="C99999",1,0)</f>
        <v/>
      </c>
      <c r="J2619" s="5">
        <f>IF(OR(H2619=1,I2619=1),0,IF(G2619="Credit",-F2619,F2619))</f>
        <v/>
      </c>
    </row>
    <row r="2620">
      <c r="A2620" t="inlineStr">
        <is>
          <t>2026-07-27</t>
        </is>
      </c>
      <c r="B2620" t="inlineStr">
        <is>
          <t>F263499</t>
        </is>
      </c>
      <c r="C2620" t="inlineStr">
        <is>
          <t>C10187</t>
        </is>
      </c>
      <c r="D2620" t="inlineStr">
        <is>
          <t>SKU-10075</t>
        </is>
      </c>
      <c r="E2620" t="inlineStr">
        <is>
          <t>AM12</t>
        </is>
      </c>
      <c r="F2620" s="5" t="n">
        <v>345.96</v>
      </c>
      <c r="G2620">
        <f>IF(LEFT(B2620,1)="C","Credit","Factuur")</f>
        <v/>
      </c>
      <c r="H2620">
        <f>IF(AND(B2620=B2619,D2620=D2619,A2620=A2619,F2620=F2619),1,0)</f>
        <v/>
      </c>
      <c r="I2620">
        <f>IF(C2620="C99999",1,0)</f>
        <v/>
      </c>
      <c r="J2620" s="5">
        <f>IF(OR(H2620=1,I2620=1),0,IF(G2620="Credit",-F2620,F2620))</f>
        <v/>
      </c>
    </row>
    <row r="2621">
      <c r="A2621" t="inlineStr">
        <is>
          <t>2026-07-27</t>
        </is>
      </c>
      <c r="B2621" t="inlineStr">
        <is>
          <t>F263499</t>
        </is>
      </c>
      <c r="C2621" t="inlineStr">
        <is>
          <t>C10187</t>
        </is>
      </c>
      <c r="D2621" t="inlineStr">
        <is>
          <t>SKU-10122</t>
        </is>
      </c>
      <c r="E2621" t="inlineStr">
        <is>
          <t>AM12</t>
        </is>
      </c>
      <c r="F2621" s="5" t="n">
        <v>357.12</v>
      </c>
      <c r="G2621">
        <f>IF(LEFT(B2621,1)="C","Credit","Factuur")</f>
        <v/>
      </c>
      <c r="H2621">
        <f>IF(AND(B2621=B2620,D2621=D2620,A2621=A2620,F2621=F2620),1,0)</f>
        <v/>
      </c>
      <c r="I2621">
        <f>IF(C2621="C99999",1,0)</f>
        <v/>
      </c>
      <c r="J2621" s="5">
        <f>IF(OR(H2621=1,I2621=1),0,IF(G2621="Credit",-F2621,F2621))</f>
        <v/>
      </c>
    </row>
    <row r="2622">
      <c r="A2622" t="inlineStr">
        <is>
          <t>2026-07-27</t>
        </is>
      </c>
      <c r="B2622" t="inlineStr">
        <is>
          <t>F264140</t>
        </is>
      </c>
      <c r="C2622" t="inlineStr">
        <is>
          <t>C10220</t>
        </is>
      </c>
      <c r="D2622" t="inlineStr">
        <is>
          <t>SKU-10176</t>
        </is>
      </c>
      <c r="E2622" t="inlineStr">
        <is>
          <t>AM07</t>
        </is>
      </c>
      <c r="F2622" s="5" t="n">
        <v>769.1</v>
      </c>
      <c r="G2622">
        <f>IF(LEFT(B2622,1)="C","Credit","Factuur")</f>
        <v/>
      </c>
      <c r="H2622">
        <f>IF(AND(B2622=B2621,D2622=D2621,A2622=A2621,F2622=F2621),1,0)</f>
        <v/>
      </c>
      <c r="I2622">
        <f>IF(C2622="C99999",1,0)</f>
        <v/>
      </c>
      <c r="J2622" s="5">
        <f>IF(OR(H2622=1,I2622=1),0,IF(G2622="Credit",-F2622,F2622))</f>
        <v/>
      </c>
    </row>
    <row r="2623">
      <c r="A2623" t="inlineStr">
        <is>
          <t>2026-07-27</t>
        </is>
      </c>
      <c r="B2623" t="inlineStr">
        <is>
          <t>F264140</t>
        </is>
      </c>
      <c r="C2623" t="inlineStr">
        <is>
          <t>C10220</t>
        </is>
      </c>
      <c r="D2623" t="inlineStr">
        <is>
          <t>SKU-10266</t>
        </is>
      </c>
      <c r="E2623" t="inlineStr">
        <is>
          <t>AM07</t>
        </is>
      </c>
      <c r="F2623" s="5" t="n">
        <v>859.2</v>
      </c>
      <c r="G2623">
        <f>IF(LEFT(B2623,1)="C","Credit","Factuur")</f>
        <v/>
      </c>
      <c r="H2623">
        <f>IF(AND(B2623=B2622,D2623=D2622,A2623=A2622,F2623=F2622),1,0)</f>
        <v/>
      </c>
      <c r="I2623">
        <f>IF(C2623="C99999",1,0)</f>
        <v/>
      </c>
      <c r="J2623" s="5">
        <f>IF(OR(H2623=1,I2623=1),0,IF(G2623="Credit",-F2623,F2623))</f>
        <v/>
      </c>
    </row>
    <row r="2624">
      <c r="A2624" t="inlineStr">
        <is>
          <t>2026-07-27</t>
        </is>
      </c>
      <c r="B2624" t="inlineStr">
        <is>
          <t>F264140</t>
        </is>
      </c>
      <c r="C2624" t="inlineStr">
        <is>
          <t>C10220</t>
        </is>
      </c>
      <c r="D2624" t="inlineStr">
        <is>
          <t>SKU-10324</t>
        </is>
      </c>
      <c r="E2624" t="inlineStr">
        <is>
          <t>AM07</t>
        </is>
      </c>
      <c r="F2624" s="5" t="n">
        <v>764.54</v>
      </c>
      <c r="G2624">
        <f>IF(LEFT(B2624,1)="C","Credit","Factuur")</f>
        <v/>
      </c>
      <c r="H2624">
        <f>IF(AND(B2624=B2623,D2624=D2623,A2624=A2623,F2624=F2623),1,0)</f>
        <v/>
      </c>
      <c r="I2624">
        <f>IF(C2624="C99999",1,0)</f>
        <v/>
      </c>
      <c r="J2624" s="5">
        <f>IF(OR(H2624=1,I2624=1),0,IF(G2624="Credit",-F2624,F2624))</f>
        <v/>
      </c>
    </row>
    <row r="2625">
      <c r="A2625" t="inlineStr">
        <is>
          <t>2026-07-27</t>
        </is>
      </c>
      <c r="B2625" t="inlineStr">
        <is>
          <t>F264260</t>
        </is>
      </c>
      <c r="C2625" t="inlineStr">
        <is>
          <t>C10224</t>
        </is>
      </c>
      <c r="D2625" t="inlineStr">
        <is>
          <t>SKU-10038</t>
        </is>
      </c>
      <c r="E2625" t="inlineStr">
        <is>
          <t>AM12</t>
        </is>
      </c>
      <c r="F2625" s="5" t="n">
        <v>182.46</v>
      </c>
      <c r="G2625">
        <f>IF(LEFT(B2625,1)="C","Credit","Factuur")</f>
        <v/>
      </c>
      <c r="H2625">
        <f>IF(AND(B2625=B2624,D2625=D2624,A2625=A2624,F2625=F2624),1,0)</f>
        <v/>
      </c>
      <c r="I2625">
        <f>IF(C2625="C99999",1,0)</f>
        <v/>
      </c>
      <c r="J2625" s="5">
        <f>IF(OR(H2625=1,I2625=1),0,IF(G2625="Credit",-F2625,F2625))</f>
        <v/>
      </c>
    </row>
    <row r="2626">
      <c r="A2626" t="inlineStr">
        <is>
          <t>2026-07-27</t>
        </is>
      </c>
      <c r="B2626" t="inlineStr">
        <is>
          <t>F264260</t>
        </is>
      </c>
      <c r="C2626" t="inlineStr">
        <is>
          <t>C10224</t>
        </is>
      </c>
      <c r="D2626" t="inlineStr">
        <is>
          <t>SKU-10269</t>
        </is>
      </c>
      <c r="E2626" t="inlineStr">
        <is>
          <t>AM12</t>
        </is>
      </c>
      <c r="F2626" s="5" t="n">
        <v>178.21</v>
      </c>
      <c r="G2626">
        <f>IF(LEFT(B2626,1)="C","Credit","Factuur")</f>
        <v/>
      </c>
      <c r="H2626">
        <f>IF(AND(B2626=B2625,D2626=D2625,A2626=A2625,F2626=F2625),1,0)</f>
        <v/>
      </c>
      <c r="I2626">
        <f>IF(C2626="C99999",1,0)</f>
        <v/>
      </c>
      <c r="J2626" s="5">
        <f>IF(OR(H2626=1,I2626=1),0,IF(G2626="Credit",-F2626,F2626))</f>
        <v/>
      </c>
    </row>
    <row r="2627">
      <c r="A2627" t="inlineStr">
        <is>
          <t>2026-07-27</t>
        </is>
      </c>
      <c r="B2627" t="inlineStr">
        <is>
          <t>F264260</t>
        </is>
      </c>
      <c r="C2627" t="inlineStr">
        <is>
          <t>C10224</t>
        </is>
      </c>
      <c r="D2627" t="inlineStr">
        <is>
          <t>SKU-10284</t>
        </is>
      </c>
      <c r="E2627" t="inlineStr">
        <is>
          <t>AM12</t>
        </is>
      </c>
      <c r="F2627" s="5" t="n">
        <v>187.33</v>
      </c>
      <c r="G2627">
        <f>IF(LEFT(B2627,1)="C","Credit","Factuur")</f>
        <v/>
      </c>
      <c r="H2627">
        <f>IF(AND(B2627=B2626,D2627=D2626,A2627=A2626,F2627=F2626),1,0)</f>
        <v/>
      </c>
      <c r="I2627">
        <f>IF(C2627="C99999",1,0)</f>
        <v/>
      </c>
      <c r="J2627" s="5">
        <f>IF(OR(H2627=1,I2627=1),0,IF(G2627="Credit",-F2627,F2627))</f>
        <v/>
      </c>
    </row>
    <row r="2628">
      <c r="A2628" t="inlineStr">
        <is>
          <t>2026-07-27</t>
        </is>
      </c>
      <c r="B2628" t="inlineStr">
        <is>
          <t>F264260</t>
        </is>
      </c>
      <c r="C2628" t="inlineStr">
        <is>
          <t>C10224</t>
        </is>
      </c>
      <c r="D2628" t="inlineStr">
        <is>
          <t>SKU-10314</t>
        </is>
      </c>
      <c r="E2628" t="inlineStr">
        <is>
          <t>AM12</t>
        </is>
      </c>
      <c r="F2628" s="5" t="n">
        <v>188.16</v>
      </c>
      <c r="G2628">
        <f>IF(LEFT(B2628,1)="C","Credit","Factuur")</f>
        <v/>
      </c>
      <c r="H2628">
        <f>IF(AND(B2628=B2627,D2628=D2627,A2628=A2627,F2628=F2627),1,0)</f>
        <v/>
      </c>
      <c r="I2628">
        <f>IF(C2628="C99999",1,0)</f>
        <v/>
      </c>
      <c r="J2628" s="5">
        <f>IF(OR(H2628=1,I2628=1),0,IF(G2628="Credit",-F2628,F2628))</f>
        <v/>
      </c>
    </row>
    <row r="2629">
      <c r="A2629" t="inlineStr">
        <is>
          <t>2026-07-27</t>
        </is>
      </c>
      <c r="B2629" t="inlineStr">
        <is>
          <t>F266205</t>
        </is>
      </c>
      <c r="C2629" t="inlineStr">
        <is>
          <t>C10325</t>
        </is>
      </c>
      <c r="D2629" t="inlineStr">
        <is>
          <t>SKU-10240</t>
        </is>
      </c>
      <c r="E2629" t="inlineStr">
        <is>
          <t>AM01</t>
        </is>
      </c>
      <c r="F2629" s="5" t="n">
        <v>268.92</v>
      </c>
      <c r="G2629">
        <f>IF(LEFT(B2629,1)="C","Credit","Factuur")</f>
        <v/>
      </c>
      <c r="H2629">
        <f>IF(AND(B2629=B2628,D2629=D2628,A2629=A2628,F2629=F2628),1,0)</f>
        <v/>
      </c>
      <c r="I2629">
        <f>IF(C2629="C99999",1,0)</f>
        <v/>
      </c>
      <c r="J2629" s="5">
        <f>IF(OR(H2629=1,I2629=1),0,IF(G2629="Credit",-F2629,F2629))</f>
        <v/>
      </c>
    </row>
    <row r="2630">
      <c r="A2630" t="inlineStr">
        <is>
          <t>2026-07-27</t>
        </is>
      </c>
      <c r="B2630" t="inlineStr">
        <is>
          <t>F266205</t>
        </is>
      </c>
      <c r="C2630" t="inlineStr">
        <is>
          <t>C10325</t>
        </is>
      </c>
      <c r="D2630" t="inlineStr">
        <is>
          <t>SKU-10374</t>
        </is>
      </c>
      <c r="E2630" t="inlineStr">
        <is>
          <t>AM01</t>
        </is>
      </c>
      <c r="F2630" s="5" t="n">
        <v>247.74</v>
      </c>
      <c r="G2630">
        <f>IF(LEFT(B2630,1)="C","Credit","Factuur")</f>
        <v/>
      </c>
      <c r="H2630">
        <f>IF(AND(B2630=B2629,D2630=D2629,A2630=A2629,F2630=F2629),1,0)</f>
        <v/>
      </c>
      <c r="I2630">
        <f>IF(C2630="C99999",1,0)</f>
        <v/>
      </c>
      <c r="J2630" s="5">
        <f>IF(OR(H2630=1,I2630=1),0,IF(G2630="Credit",-F2630,F2630))</f>
        <v/>
      </c>
    </row>
    <row r="2631">
      <c r="A2631" t="inlineStr">
        <is>
          <t>2026-07-27</t>
        </is>
      </c>
      <c r="B2631" t="inlineStr">
        <is>
          <t>F267060</t>
        </is>
      </c>
      <c r="C2631" t="inlineStr">
        <is>
          <t>C10373</t>
        </is>
      </c>
      <c r="D2631" t="inlineStr">
        <is>
          <t>SKU-10060</t>
        </is>
      </c>
      <c r="E2631" t="inlineStr">
        <is>
          <t>AM08</t>
        </is>
      </c>
      <c r="F2631" s="5" t="n">
        <v>308.7</v>
      </c>
      <c r="G2631">
        <f>IF(LEFT(B2631,1)="C","Credit","Factuur")</f>
        <v/>
      </c>
      <c r="H2631">
        <f>IF(AND(B2631=B2630,D2631=D2630,A2631=A2630,F2631=F2630),1,0)</f>
        <v/>
      </c>
      <c r="I2631">
        <f>IF(C2631="C99999",1,0)</f>
        <v/>
      </c>
      <c r="J2631" s="5">
        <f>IF(OR(H2631=1,I2631=1),0,IF(G2631="Credit",-F2631,F2631))</f>
        <v/>
      </c>
    </row>
    <row r="2632">
      <c r="A2632" t="inlineStr">
        <is>
          <t>2026-07-27</t>
        </is>
      </c>
      <c r="B2632" t="inlineStr">
        <is>
          <t>F267060</t>
        </is>
      </c>
      <c r="C2632" t="inlineStr">
        <is>
          <t>C10373</t>
        </is>
      </c>
      <c r="D2632" t="inlineStr">
        <is>
          <t>SKU-10102</t>
        </is>
      </c>
      <c r="E2632" t="inlineStr">
        <is>
          <t>AM08</t>
        </is>
      </c>
      <c r="F2632" s="5" t="n">
        <v>219.91</v>
      </c>
      <c r="G2632">
        <f>IF(LEFT(B2632,1)="C","Credit","Factuur")</f>
        <v/>
      </c>
      <c r="H2632">
        <f>IF(AND(B2632=B2631,D2632=D2631,A2632=A2631,F2632=F2631),1,0)</f>
        <v/>
      </c>
      <c r="I2632">
        <f>IF(C2632="C99999",1,0)</f>
        <v/>
      </c>
      <c r="J2632" s="5">
        <f>IF(OR(H2632=1,I2632=1),0,IF(G2632="Credit",-F2632,F2632))</f>
        <v/>
      </c>
    </row>
    <row r="2633">
      <c r="A2633" t="inlineStr">
        <is>
          <t>2026-07-27</t>
        </is>
      </c>
      <c r="B2633" t="inlineStr">
        <is>
          <t>F267060</t>
        </is>
      </c>
      <c r="C2633" t="inlineStr">
        <is>
          <t>C10373</t>
        </is>
      </c>
      <c r="D2633" t="inlineStr">
        <is>
          <t>SKU-10267</t>
        </is>
      </c>
      <c r="E2633" t="inlineStr">
        <is>
          <t>AM08</t>
        </is>
      </c>
      <c r="F2633" s="5" t="n">
        <v>288.21</v>
      </c>
      <c r="G2633">
        <f>IF(LEFT(B2633,1)="C","Credit","Factuur")</f>
        <v/>
      </c>
      <c r="H2633">
        <f>IF(AND(B2633=B2632,D2633=D2632,A2633=A2632,F2633=F2632),1,0)</f>
        <v/>
      </c>
      <c r="I2633">
        <f>IF(C2633="C99999",1,0)</f>
        <v/>
      </c>
      <c r="J2633" s="5">
        <f>IF(OR(H2633=1,I2633=1),0,IF(G2633="Credit",-F2633,F2633))</f>
        <v/>
      </c>
    </row>
    <row r="2634">
      <c r="A2634" t="inlineStr">
        <is>
          <t>2026-07-27</t>
        </is>
      </c>
      <c r="B2634" t="inlineStr">
        <is>
          <t>F267060</t>
        </is>
      </c>
      <c r="C2634" t="inlineStr">
        <is>
          <t>C10373</t>
        </is>
      </c>
      <c r="D2634" t="inlineStr">
        <is>
          <t>SKU-10337</t>
        </is>
      </c>
      <c r="E2634" t="inlineStr">
        <is>
          <t>AM08</t>
        </is>
      </c>
      <c r="F2634" s="5" t="n">
        <v>255.65</v>
      </c>
      <c r="G2634">
        <f>IF(LEFT(B2634,1)="C","Credit","Factuur")</f>
        <v/>
      </c>
      <c r="H2634">
        <f>IF(AND(B2634=B2633,D2634=D2633,A2634=A2633,F2634=F2633),1,0)</f>
        <v/>
      </c>
      <c r="I2634">
        <f>IF(C2634="C99999",1,0)</f>
        <v/>
      </c>
      <c r="J2634" s="5">
        <f>IF(OR(H2634=1,I2634=1),0,IF(G2634="Credit",-F2634,F2634))</f>
        <v/>
      </c>
    </row>
    <row r="2635">
      <c r="A2635" t="inlineStr">
        <is>
          <t>2026-07-27</t>
        </is>
      </c>
      <c r="B2635" t="inlineStr">
        <is>
          <t>F267949</t>
        </is>
      </c>
      <c r="C2635" t="inlineStr">
        <is>
          <t>C10417</t>
        </is>
      </c>
      <c r="D2635" t="inlineStr">
        <is>
          <t>SKU-10310</t>
        </is>
      </c>
      <c r="E2635" t="inlineStr">
        <is>
          <t>AM02</t>
        </is>
      </c>
      <c r="F2635" s="5" t="n">
        <v>1063.52</v>
      </c>
      <c r="G2635">
        <f>IF(LEFT(B2635,1)="C","Credit","Factuur")</f>
        <v/>
      </c>
      <c r="H2635">
        <f>IF(AND(B2635=B2634,D2635=D2634,A2635=A2634,F2635=F2634),1,0)</f>
        <v/>
      </c>
      <c r="I2635">
        <f>IF(C2635="C99999",1,0)</f>
        <v/>
      </c>
      <c r="J2635" s="5">
        <f>IF(OR(H2635=1,I2635=1),0,IF(G2635="Credit",-F2635,F2635))</f>
        <v/>
      </c>
    </row>
    <row r="2636">
      <c r="A2636" t="inlineStr">
        <is>
          <t>2026-07-27</t>
        </is>
      </c>
      <c r="B2636" t="inlineStr">
        <is>
          <t>F267949</t>
        </is>
      </c>
      <c r="C2636" t="inlineStr">
        <is>
          <t>C10417</t>
        </is>
      </c>
      <c r="D2636" t="inlineStr">
        <is>
          <t>SKU-10314</t>
        </is>
      </c>
      <c r="E2636" t="inlineStr">
        <is>
          <t>AM02</t>
        </is>
      </c>
      <c r="F2636" s="5" t="n">
        <v>1117.2</v>
      </c>
      <c r="G2636">
        <f>IF(LEFT(B2636,1)="C","Credit","Factuur")</f>
        <v/>
      </c>
      <c r="H2636">
        <f>IF(AND(B2636=B2635,D2636=D2635,A2636=A2635,F2636=F2635),1,0)</f>
        <v/>
      </c>
      <c r="I2636">
        <f>IF(C2636="C99999",1,0)</f>
        <v/>
      </c>
      <c r="J2636" s="5">
        <f>IF(OR(H2636=1,I2636=1),0,IF(G2636="Credit",-F2636,F2636))</f>
        <v/>
      </c>
    </row>
    <row r="2637">
      <c r="A2637" t="inlineStr">
        <is>
          <t>2026-07-27</t>
        </is>
      </c>
      <c r="B2637" t="inlineStr">
        <is>
          <t>F267949</t>
        </is>
      </c>
      <c r="C2637" t="inlineStr">
        <is>
          <t>C10417</t>
        </is>
      </c>
      <c r="D2637" t="inlineStr">
        <is>
          <t>SKU-10340</t>
        </is>
      </c>
      <c r="E2637" t="inlineStr">
        <is>
          <t>AM02</t>
        </is>
      </c>
      <c r="F2637" s="5" t="n">
        <v>1118.96</v>
      </c>
      <c r="G2637">
        <f>IF(LEFT(B2637,1)="C","Credit","Factuur")</f>
        <v/>
      </c>
      <c r="H2637">
        <f>IF(AND(B2637=B2636,D2637=D2636,A2637=A2636,F2637=F2636),1,0)</f>
        <v/>
      </c>
      <c r="I2637">
        <f>IF(C2637="C99999",1,0)</f>
        <v/>
      </c>
      <c r="J2637" s="5">
        <f>IF(OR(H2637=1,I2637=1),0,IF(G2637="Credit",-F2637,F2637))</f>
        <v/>
      </c>
    </row>
    <row r="2638">
      <c r="A2638" t="inlineStr">
        <is>
          <t>2026-07-27</t>
        </is>
      </c>
      <c r="B2638" t="inlineStr">
        <is>
          <t>F268114</t>
        </is>
      </c>
      <c r="C2638" t="inlineStr">
        <is>
          <t>C10427</t>
        </is>
      </c>
      <c r="D2638" t="inlineStr">
        <is>
          <t>SKU-10256</t>
        </is>
      </c>
      <c r="E2638" t="inlineStr">
        <is>
          <t>AM01</t>
        </is>
      </c>
      <c r="F2638" s="5" t="n">
        <v>1010.91</v>
      </c>
      <c r="G2638">
        <f>IF(LEFT(B2638,1)="C","Credit","Factuur")</f>
        <v/>
      </c>
      <c r="H2638">
        <f>IF(AND(B2638=B2637,D2638=D2637,A2638=A2637,F2638=F2637),1,0)</f>
        <v/>
      </c>
      <c r="I2638">
        <f>IF(C2638="C99999",1,0)</f>
        <v/>
      </c>
      <c r="J2638" s="5">
        <f>IF(OR(H2638=1,I2638=1),0,IF(G2638="Credit",-F2638,F2638))</f>
        <v/>
      </c>
    </row>
    <row r="2639">
      <c r="A2639" t="inlineStr">
        <is>
          <t>2026-07-27</t>
        </is>
      </c>
      <c r="B2639" t="inlineStr">
        <is>
          <t>F268114</t>
        </is>
      </c>
      <c r="C2639" t="inlineStr">
        <is>
          <t>C10427</t>
        </is>
      </c>
      <c r="D2639" t="inlineStr">
        <is>
          <t>SKU-10317</t>
        </is>
      </c>
      <c r="E2639" t="inlineStr">
        <is>
          <t>AM01</t>
        </is>
      </c>
      <c r="F2639" s="5" t="n">
        <v>1052.98</v>
      </c>
      <c r="G2639">
        <f>IF(LEFT(B2639,1)="C","Credit","Factuur")</f>
        <v/>
      </c>
      <c r="H2639">
        <f>IF(AND(B2639=B2638,D2639=D2638,A2639=A2638,F2639=F2638),1,0)</f>
        <v/>
      </c>
      <c r="I2639">
        <f>IF(C2639="C99999",1,0)</f>
        <v/>
      </c>
      <c r="J2639" s="5">
        <f>IF(OR(H2639=1,I2639=1),0,IF(G2639="Credit",-F2639,F2639))</f>
        <v/>
      </c>
    </row>
    <row r="2640">
      <c r="A2640" t="inlineStr">
        <is>
          <t>2026-07-27</t>
        </is>
      </c>
      <c r="B2640" t="inlineStr">
        <is>
          <t>F268294</t>
        </is>
      </c>
      <c r="C2640" t="inlineStr">
        <is>
          <t>C10433</t>
        </is>
      </c>
      <c r="D2640" t="inlineStr">
        <is>
          <t>SKU-10122</t>
        </is>
      </c>
      <c r="E2640" t="inlineStr">
        <is>
          <t>AM02</t>
        </is>
      </c>
      <c r="F2640" s="5" t="n">
        <v>2499.84</v>
      </c>
      <c r="G2640">
        <f>IF(LEFT(B2640,1)="C","Credit","Factuur")</f>
        <v/>
      </c>
      <c r="H2640">
        <f>IF(AND(B2640=B2639,D2640=D2639,A2640=A2639,F2640=F2639),1,0)</f>
        <v/>
      </c>
      <c r="I2640">
        <f>IF(C2640="C99999",1,0)</f>
        <v/>
      </c>
      <c r="J2640" s="5">
        <f>IF(OR(H2640=1,I2640=1),0,IF(G2640="Credit",-F2640,F2640))</f>
        <v/>
      </c>
    </row>
    <row r="2641">
      <c r="A2641" t="inlineStr">
        <is>
          <t>2026-07-27</t>
        </is>
      </c>
      <c r="B2641" t="inlineStr">
        <is>
          <t>F268294</t>
        </is>
      </c>
      <c r="C2641" t="inlineStr">
        <is>
          <t>C10433</t>
        </is>
      </c>
      <c r="D2641" t="inlineStr">
        <is>
          <t>SKU-10160</t>
        </is>
      </c>
      <c r="E2641" t="inlineStr">
        <is>
          <t>AM02</t>
        </is>
      </c>
      <c r="F2641" s="5" t="n">
        <v>2553.48</v>
      </c>
      <c r="G2641">
        <f>IF(LEFT(B2641,1)="C","Credit","Factuur")</f>
        <v/>
      </c>
      <c r="H2641">
        <f>IF(AND(B2641=B2640,D2641=D2640,A2641=A2640,F2641=F2640),1,0)</f>
        <v/>
      </c>
      <c r="I2641">
        <f>IF(C2641="C99999",1,0)</f>
        <v/>
      </c>
      <c r="J2641" s="5">
        <f>IF(OR(H2641=1,I2641=1),0,IF(G2641="Credit",-F2641,F2641))</f>
        <v/>
      </c>
    </row>
    <row r="2642">
      <c r="A2642" t="inlineStr">
        <is>
          <t>2026-07-27</t>
        </is>
      </c>
      <c r="B2642" t="inlineStr">
        <is>
          <t>F268294</t>
        </is>
      </c>
      <c r="C2642" t="inlineStr">
        <is>
          <t>C10433</t>
        </is>
      </c>
      <c r="D2642" t="inlineStr">
        <is>
          <t>SKU-10317</t>
        </is>
      </c>
      <c r="E2642" t="inlineStr">
        <is>
          <t>AM02</t>
        </is>
      </c>
      <c r="F2642" s="5" t="n">
        <v>2549.32</v>
      </c>
      <c r="G2642">
        <f>IF(LEFT(B2642,1)="C","Credit","Factuur")</f>
        <v/>
      </c>
      <c r="H2642">
        <f>IF(AND(B2642=B2641,D2642=D2641,A2642=A2641,F2642=F2641),1,0)</f>
        <v/>
      </c>
      <c r="I2642">
        <f>IF(C2642="C99999",1,0)</f>
        <v/>
      </c>
      <c r="J2642" s="5">
        <f>IF(OR(H2642=1,I2642=1),0,IF(G2642="Credit",-F2642,F2642))</f>
        <v/>
      </c>
    </row>
    <row r="2643">
      <c r="A2643" t="inlineStr">
        <is>
          <t>2026-07-27</t>
        </is>
      </c>
      <c r="B2643" t="inlineStr">
        <is>
          <t>F271199</t>
        </is>
      </c>
      <c r="C2643" t="inlineStr">
        <is>
          <t>C10583</t>
        </is>
      </c>
      <c r="D2643" t="inlineStr">
        <is>
          <t>SKU-10055</t>
        </is>
      </c>
      <c r="E2643" t="inlineStr">
        <is>
          <t>AM01</t>
        </is>
      </c>
      <c r="F2643" s="5" t="n">
        <v>134.12</v>
      </c>
      <c r="G2643">
        <f>IF(LEFT(B2643,1)="C","Credit","Factuur")</f>
        <v/>
      </c>
      <c r="H2643">
        <f>IF(AND(B2643=B2642,D2643=D2642,A2643=A2642,F2643=F2642),1,0)</f>
        <v/>
      </c>
      <c r="I2643">
        <f>IF(C2643="C99999",1,0)</f>
        <v/>
      </c>
      <c r="J2643" s="5">
        <f>IF(OR(H2643=1,I2643=1),0,IF(G2643="Credit",-F2643,F2643))</f>
        <v/>
      </c>
    </row>
    <row r="2644">
      <c r="A2644" t="inlineStr">
        <is>
          <t>2026-07-27</t>
        </is>
      </c>
      <c r="B2644" t="inlineStr">
        <is>
          <t>F271199</t>
        </is>
      </c>
      <c r="C2644" t="inlineStr">
        <is>
          <t>C10583</t>
        </is>
      </c>
      <c r="D2644" t="inlineStr">
        <is>
          <t>SKU-10113</t>
        </is>
      </c>
      <c r="E2644" t="inlineStr">
        <is>
          <t>AM01</t>
        </is>
      </c>
      <c r="F2644" s="5" t="n">
        <v>153</v>
      </c>
      <c r="G2644">
        <f>IF(LEFT(B2644,1)="C","Credit","Factuur")</f>
        <v/>
      </c>
      <c r="H2644">
        <f>IF(AND(B2644=B2643,D2644=D2643,A2644=A2643,F2644=F2643),1,0)</f>
        <v/>
      </c>
      <c r="I2644">
        <f>IF(C2644="C99999",1,0)</f>
        <v/>
      </c>
      <c r="J2644" s="5">
        <f>IF(OR(H2644=1,I2644=1),0,IF(G2644="Credit",-F2644,F2644))</f>
        <v/>
      </c>
    </row>
    <row r="2645">
      <c r="A2645" t="inlineStr">
        <is>
          <t>2026-07-27</t>
        </is>
      </c>
      <c r="B2645" t="inlineStr">
        <is>
          <t>F271199</t>
        </is>
      </c>
      <c r="C2645" t="inlineStr">
        <is>
          <t>C10583</t>
        </is>
      </c>
      <c r="D2645" t="inlineStr">
        <is>
          <t>SKU-10174</t>
        </is>
      </c>
      <c r="E2645" t="inlineStr">
        <is>
          <t>AM01</t>
        </is>
      </c>
      <c r="F2645" s="5" t="n">
        <v>119.73</v>
      </c>
      <c r="G2645">
        <f>IF(LEFT(B2645,1)="C","Credit","Factuur")</f>
        <v/>
      </c>
      <c r="H2645">
        <f>IF(AND(B2645=B2644,D2645=D2644,A2645=A2644,F2645=F2644),1,0)</f>
        <v/>
      </c>
      <c r="I2645">
        <f>IF(C2645="C99999",1,0)</f>
        <v/>
      </c>
      <c r="J2645" s="5">
        <f>IF(OR(H2645=1,I2645=1),0,IF(G2645="Credit",-F2645,F2645))</f>
        <v/>
      </c>
    </row>
    <row r="2646">
      <c r="A2646" t="inlineStr">
        <is>
          <t>2026-07-27</t>
        </is>
      </c>
      <c r="B2646" t="inlineStr">
        <is>
          <t>F271199</t>
        </is>
      </c>
      <c r="C2646" t="inlineStr">
        <is>
          <t>C10583</t>
        </is>
      </c>
      <c r="D2646" t="inlineStr">
        <is>
          <t>SKU-10192</t>
        </is>
      </c>
      <c r="E2646" t="inlineStr">
        <is>
          <t>AM01</t>
        </is>
      </c>
      <c r="F2646" s="5" t="n">
        <v>125.55</v>
      </c>
      <c r="G2646">
        <f>IF(LEFT(B2646,1)="C","Credit","Factuur")</f>
        <v/>
      </c>
      <c r="H2646">
        <f>IF(AND(B2646=B2645,D2646=D2645,A2646=A2645,F2646=F2645),1,0)</f>
        <v/>
      </c>
      <c r="I2646">
        <f>IF(C2646="C99999",1,0)</f>
        <v/>
      </c>
      <c r="J2646" s="5">
        <f>IF(OR(H2646=1,I2646=1),0,IF(G2646="Credit",-F2646,F2646))</f>
        <v/>
      </c>
    </row>
    <row r="2647">
      <c r="A2647" t="inlineStr">
        <is>
          <t>2026-07-27</t>
        </is>
      </c>
      <c r="B2647" t="inlineStr">
        <is>
          <t>F271812</t>
        </is>
      </c>
      <c r="C2647" t="inlineStr">
        <is>
          <t>C10607</t>
        </is>
      </c>
      <c r="D2647" t="inlineStr">
        <is>
          <t>SKU-10162</t>
        </is>
      </c>
      <c r="E2647" t="inlineStr">
        <is>
          <t>AM08</t>
        </is>
      </c>
      <c r="F2647" s="5" t="n">
        <v>1449</v>
      </c>
      <c r="G2647">
        <f>IF(LEFT(B2647,1)="C","Credit","Factuur")</f>
        <v/>
      </c>
      <c r="H2647">
        <f>IF(AND(B2647=B2646,D2647=D2646,A2647=A2646,F2647=F2646),1,0)</f>
        <v/>
      </c>
      <c r="I2647">
        <f>IF(C2647="C99999",1,0)</f>
        <v/>
      </c>
      <c r="J2647" s="5">
        <f>IF(OR(H2647=1,I2647=1),0,IF(G2647="Credit",-F2647,F2647))</f>
        <v/>
      </c>
    </row>
    <row r="2648">
      <c r="A2648" t="inlineStr">
        <is>
          <t>2026-07-27</t>
        </is>
      </c>
      <c r="B2648" t="inlineStr">
        <is>
          <t>F271812</t>
        </is>
      </c>
      <c r="C2648" t="inlineStr">
        <is>
          <t>C10607</t>
        </is>
      </c>
      <c r="D2648" t="inlineStr">
        <is>
          <t>SKU-10203</t>
        </is>
      </c>
      <c r="E2648" t="inlineStr">
        <is>
          <t>AM08</t>
        </is>
      </c>
      <c r="F2648" s="5" t="n">
        <v>1426.56</v>
      </c>
      <c r="G2648">
        <f>IF(LEFT(B2648,1)="C","Credit","Factuur")</f>
        <v/>
      </c>
      <c r="H2648">
        <f>IF(AND(B2648=B2647,D2648=D2647,A2648=A2647,F2648=F2647),1,0)</f>
        <v/>
      </c>
      <c r="I2648">
        <f>IF(C2648="C99999",1,0)</f>
        <v/>
      </c>
      <c r="J2648" s="5">
        <f>IF(OR(H2648=1,I2648=1),0,IF(G2648="Credit",-F2648,F2648))</f>
        <v/>
      </c>
    </row>
    <row r="2649">
      <c r="A2649" t="inlineStr">
        <is>
          <t>2026-07-27</t>
        </is>
      </c>
      <c r="B2649" t="inlineStr">
        <is>
          <t>F273392</t>
        </is>
      </c>
      <c r="C2649" t="inlineStr">
        <is>
          <t>C10701</t>
        </is>
      </c>
      <c r="D2649" t="inlineStr">
        <is>
          <t>SKU-10154</t>
        </is>
      </c>
      <c r="E2649" t="inlineStr">
        <is>
          <t>AM11</t>
        </is>
      </c>
      <c r="F2649" s="5" t="n">
        <v>565.11</v>
      </c>
      <c r="G2649">
        <f>IF(LEFT(B2649,1)="C","Credit","Factuur")</f>
        <v/>
      </c>
      <c r="H2649">
        <f>IF(AND(B2649=B2648,D2649=D2648,A2649=A2648,F2649=F2648),1,0)</f>
        <v/>
      </c>
      <c r="I2649">
        <f>IF(C2649="C99999",1,0)</f>
        <v/>
      </c>
      <c r="J2649" s="5">
        <f>IF(OR(H2649=1,I2649=1),0,IF(G2649="Credit",-F2649,F2649))</f>
        <v/>
      </c>
    </row>
    <row r="2650">
      <c r="A2650" t="inlineStr">
        <is>
          <t>2026-07-27</t>
        </is>
      </c>
      <c r="B2650" t="inlineStr">
        <is>
          <t>F273392</t>
        </is>
      </c>
      <c r="C2650" t="inlineStr">
        <is>
          <t>C10701</t>
        </is>
      </c>
      <c r="D2650" t="inlineStr">
        <is>
          <t>SKU-10250</t>
        </is>
      </c>
      <c r="E2650" t="inlineStr">
        <is>
          <t>AM11</t>
        </is>
      </c>
      <c r="F2650" s="5" t="n">
        <v>517.1</v>
      </c>
      <c r="G2650">
        <f>IF(LEFT(B2650,1)="C","Credit","Factuur")</f>
        <v/>
      </c>
      <c r="H2650">
        <f>IF(AND(B2650=B2649,D2650=D2649,A2650=A2649,F2650=F2649),1,0)</f>
        <v/>
      </c>
      <c r="I2650">
        <f>IF(C2650="C99999",1,0)</f>
        <v/>
      </c>
      <c r="J2650" s="5">
        <f>IF(OR(H2650=1,I2650=1),0,IF(G2650="Credit",-F2650,F2650))</f>
        <v/>
      </c>
    </row>
    <row r="2651">
      <c r="A2651" t="inlineStr">
        <is>
          <t>2026-07-27</t>
        </is>
      </c>
      <c r="B2651" t="inlineStr">
        <is>
          <t>F273392</t>
        </is>
      </c>
      <c r="C2651" t="inlineStr">
        <is>
          <t>C10701</t>
        </is>
      </c>
      <c r="D2651" t="inlineStr">
        <is>
          <t>SKU-10367</t>
        </is>
      </c>
      <c r="E2651" t="inlineStr">
        <is>
          <t>AM11</t>
        </is>
      </c>
      <c r="F2651" s="5" t="n">
        <v>505.43</v>
      </c>
      <c r="G2651">
        <f>IF(LEFT(B2651,1)="C","Credit","Factuur")</f>
        <v/>
      </c>
      <c r="H2651">
        <f>IF(AND(B2651=B2650,D2651=D2650,A2651=A2650,F2651=F2650),1,0)</f>
        <v/>
      </c>
      <c r="I2651">
        <f>IF(C2651="C99999",1,0)</f>
        <v/>
      </c>
      <c r="J2651" s="5">
        <f>IF(OR(H2651=1,I2651=1),0,IF(G2651="Credit",-F2651,F2651))</f>
        <v/>
      </c>
    </row>
    <row r="2652">
      <c r="A2652" t="inlineStr">
        <is>
          <t>2026-07-27</t>
        </is>
      </c>
      <c r="B2652" t="inlineStr">
        <is>
          <t>F274960</t>
        </is>
      </c>
      <c r="C2652" t="inlineStr">
        <is>
          <t>C10789</t>
        </is>
      </c>
      <c r="D2652" t="inlineStr">
        <is>
          <t>SKU-10033</t>
        </is>
      </c>
      <c r="E2652" t="inlineStr">
        <is>
          <t>AM01</t>
        </is>
      </c>
      <c r="F2652" s="5" t="n">
        <v>107.7</v>
      </c>
      <c r="G2652">
        <f>IF(LEFT(B2652,1)="C","Credit","Factuur")</f>
        <v/>
      </c>
      <c r="H2652">
        <f>IF(AND(B2652=B2651,D2652=D2651,A2652=A2651,F2652=F2651),1,0)</f>
        <v/>
      </c>
      <c r="I2652">
        <f>IF(C2652="C99999",1,0)</f>
        <v/>
      </c>
      <c r="J2652" s="5">
        <f>IF(OR(H2652=1,I2652=1),0,IF(G2652="Credit",-F2652,F2652))</f>
        <v/>
      </c>
    </row>
    <row r="2653">
      <c r="A2653" t="inlineStr">
        <is>
          <t>2026-07-27</t>
        </is>
      </c>
      <c r="B2653" t="inlineStr">
        <is>
          <t>F274960</t>
        </is>
      </c>
      <c r="C2653" t="inlineStr">
        <is>
          <t>C10789</t>
        </is>
      </c>
      <c r="D2653" t="inlineStr">
        <is>
          <t>SKU-10313</t>
        </is>
      </c>
      <c r="E2653" t="inlineStr">
        <is>
          <t>AM01</t>
        </is>
      </c>
      <c r="F2653" s="5" t="n">
        <v>111.2</v>
      </c>
      <c r="G2653">
        <f>IF(LEFT(B2653,1)="C","Credit","Factuur")</f>
        <v/>
      </c>
      <c r="H2653">
        <f>IF(AND(B2653=B2652,D2653=D2652,A2653=A2652,F2653=F2652),1,0)</f>
        <v/>
      </c>
      <c r="I2653">
        <f>IF(C2653="C99999",1,0)</f>
        <v/>
      </c>
      <c r="J2653" s="5">
        <f>IF(OR(H2653=1,I2653=1),0,IF(G2653="Credit",-F2653,F2653))</f>
        <v/>
      </c>
    </row>
    <row r="2654">
      <c r="A2654" t="inlineStr">
        <is>
          <t>2026-07-27</t>
        </is>
      </c>
      <c r="B2654" t="inlineStr">
        <is>
          <t>F274960</t>
        </is>
      </c>
      <c r="C2654" t="inlineStr">
        <is>
          <t>C10789</t>
        </is>
      </c>
      <c r="D2654" t="inlineStr">
        <is>
          <t>SKU-10320</t>
        </is>
      </c>
      <c r="E2654" t="inlineStr">
        <is>
          <t>AM01</t>
        </is>
      </c>
      <c r="F2654" s="5" t="n">
        <v>110.55</v>
      </c>
      <c r="G2654">
        <f>IF(LEFT(B2654,1)="C","Credit","Factuur")</f>
        <v/>
      </c>
      <c r="H2654">
        <f>IF(AND(B2654=B2653,D2654=D2653,A2654=A2653,F2654=F2653),1,0)</f>
        <v/>
      </c>
      <c r="I2654">
        <f>IF(C2654="C99999",1,0)</f>
        <v/>
      </c>
      <c r="J2654" s="5">
        <f>IF(OR(H2654=1,I2654=1),0,IF(G2654="Credit",-F2654,F2654))</f>
        <v/>
      </c>
    </row>
    <row r="2655">
      <c r="A2655" t="inlineStr">
        <is>
          <t>2026-07-27</t>
        </is>
      </c>
      <c r="B2655" t="inlineStr">
        <is>
          <t>F274960</t>
        </is>
      </c>
      <c r="C2655" t="inlineStr">
        <is>
          <t>C10789</t>
        </is>
      </c>
      <c r="D2655" t="inlineStr">
        <is>
          <t>SKU-10325</t>
        </is>
      </c>
      <c r="E2655" t="inlineStr">
        <is>
          <t>AM01</t>
        </is>
      </c>
      <c r="F2655" s="5" t="n">
        <v>94.2</v>
      </c>
      <c r="G2655">
        <f>IF(LEFT(B2655,1)="C","Credit","Factuur")</f>
        <v/>
      </c>
      <c r="H2655">
        <f>IF(AND(B2655=B2654,D2655=D2654,A2655=A2654,F2655=F2654),1,0)</f>
        <v/>
      </c>
      <c r="I2655">
        <f>IF(C2655="C99999",1,0)</f>
        <v/>
      </c>
      <c r="J2655" s="5">
        <f>IF(OR(H2655=1,I2655=1),0,IF(G2655="Credit",-F2655,F2655))</f>
        <v/>
      </c>
    </row>
    <row r="2656">
      <c r="A2656" t="inlineStr">
        <is>
          <t>2026-07-27</t>
        </is>
      </c>
      <c r="B2656" t="inlineStr">
        <is>
          <t>F274960</t>
        </is>
      </c>
      <c r="C2656" t="inlineStr">
        <is>
          <t>C10789</t>
        </is>
      </c>
      <c r="D2656" t="inlineStr">
        <is>
          <t>SKU-10332</t>
        </is>
      </c>
      <c r="E2656" t="inlineStr">
        <is>
          <t>AM01</t>
        </is>
      </c>
      <c r="F2656" s="5" t="n">
        <v>122.07</v>
      </c>
      <c r="G2656">
        <f>IF(LEFT(B2656,1)="C","Credit","Factuur")</f>
        <v/>
      </c>
      <c r="H2656">
        <f>IF(AND(B2656=B2655,D2656=D2655,A2656=A2655,F2656=F2655),1,0)</f>
        <v/>
      </c>
      <c r="I2656">
        <f>IF(C2656="C99999",1,0)</f>
        <v/>
      </c>
      <c r="J2656" s="5">
        <f>IF(OR(H2656=1,I2656=1),0,IF(G2656="Credit",-F2656,F2656))</f>
        <v/>
      </c>
    </row>
    <row r="2657">
      <c r="A2657" t="inlineStr">
        <is>
          <t>2026-07-27</t>
        </is>
      </c>
      <c r="B2657" t="inlineStr">
        <is>
          <t>F275565</t>
        </is>
      </c>
      <c r="C2657" t="inlineStr">
        <is>
          <t>C10822</t>
        </is>
      </c>
      <c r="D2657" t="inlineStr">
        <is>
          <t>SKU-10116</t>
        </is>
      </c>
      <c r="E2657" t="inlineStr">
        <is>
          <t>AM11</t>
        </is>
      </c>
      <c r="F2657" s="5" t="n">
        <v>17967.6</v>
      </c>
      <c r="G2657">
        <f>IF(LEFT(B2657,1)="C","Credit","Factuur")</f>
        <v/>
      </c>
      <c r="H2657">
        <f>IF(AND(B2657=B2656,D2657=D2656,A2657=A2656,F2657=F2656),1,0)</f>
        <v/>
      </c>
      <c r="I2657">
        <f>IF(C2657="C99999",1,0)</f>
        <v/>
      </c>
      <c r="J2657" s="5">
        <f>IF(OR(H2657=1,I2657=1),0,IF(G2657="Credit",-F2657,F2657))</f>
        <v/>
      </c>
    </row>
    <row r="2658">
      <c r="A2658" t="inlineStr">
        <is>
          <t>2026-07-27</t>
        </is>
      </c>
      <c r="B2658" t="inlineStr">
        <is>
          <t>F276006</t>
        </is>
      </c>
      <c r="C2658" t="inlineStr">
        <is>
          <t>C10849</t>
        </is>
      </c>
      <c r="D2658" t="inlineStr">
        <is>
          <t>SKU-10226</t>
        </is>
      </c>
      <c r="E2658" t="inlineStr">
        <is>
          <t>AM02</t>
        </is>
      </c>
      <c r="F2658" s="5" t="n">
        <v>1068.76</v>
      </c>
      <c r="G2658">
        <f>IF(LEFT(B2658,1)="C","Credit","Factuur")</f>
        <v/>
      </c>
      <c r="H2658">
        <f>IF(AND(B2658=B2657,D2658=D2657,A2658=A2657,F2658=F2657),1,0)</f>
        <v/>
      </c>
      <c r="I2658">
        <f>IF(C2658="C99999",1,0)</f>
        <v/>
      </c>
      <c r="J2658" s="5">
        <f>IF(OR(H2658=1,I2658=1),0,IF(G2658="Credit",-F2658,F2658))</f>
        <v/>
      </c>
    </row>
    <row r="2659">
      <c r="A2659" t="inlineStr">
        <is>
          <t>2026-07-27</t>
        </is>
      </c>
      <c r="B2659" t="inlineStr">
        <is>
          <t>F276006</t>
        </is>
      </c>
      <c r="C2659" t="inlineStr">
        <is>
          <t>C10849</t>
        </is>
      </c>
      <c r="D2659" t="inlineStr">
        <is>
          <t>SKU-10245</t>
        </is>
      </c>
      <c r="E2659" t="inlineStr">
        <is>
          <t>AM02</t>
        </is>
      </c>
      <c r="F2659" s="5" t="n">
        <v>1216</v>
      </c>
      <c r="G2659">
        <f>IF(LEFT(B2659,1)="C","Credit","Factuur")</f>
        <v/>
      </c>
      <c r="H2659">
        <f>IF(AND(B2659=B2658,D2659=D2658,A2659=A2658,F2659=F2658),1,0)</f>
        <v/>
      </c>
      <c r="I2659">
        <f>IF(C2659="C99999",1,0)</f>
        <v/>
      </c>
      <c r="J2659" s="5">
        <f>IF(OR(H2659=1,I2659=1),0,IF(G2659="Credit",-F2659,F2659))</f>
        <v/>
      </c>
    </row>
    <row r="2660">
      <c r="A2660" t="inlineStr">
        <is>
          <t>2026-07-27</t>
        </is>
      </c>
      <c r="B2660" t="inlineStr">
        <is>
          <t>F276006</t>
        </is>
      </c>
      <c r="C2660" t="inlineStr">
        <is>
          <t>C10849</t>
        </is>
      </c>
      <c r="D2660" t="inlineStr">
        <is>
          <t>SKU-10343</t>
        </is>
      </c>
      <c r="E2660" t="inlineStr">
        <is>
          <t>AM02</t>
        </is>
      </c>
      <c r="F2660" s="5" t="n">
        <v>1095.98</v>
      </c>
      <c r="G2660">
        <f>IF(LEFT(B2660,1)="C","Credit","Factuur")</f>
        <v/>
      </c>
      <c r="H2660">
        <f>IF(AND(B2660=B2659,D2660=D2659,A2660=A2659,F2660=F2659),1,0)</f>
        <v/>
      </c>
      <c r="I2660">
        <f>IF(C2660="C99999",1,0)</f>
        <v/>
      </c>
      <c r="J2660" s="5">
        <f>IF(OR(H2660=1,I2660=1),0,IF(G2660="Credit",-F2660,F2660))</f>
        <v/>
      </c>
    </row>
    <row r="2661">
      <c r="A2661" t="inlineStr">
        <is>
          <t>2026-07-27</t>
        </is>
      </c>
      <c r="B2661" t="inlineStr">
        <is>
          <t>F277058</t>
        </is>
      </c>
      <c r="C2661" t="inlineStr">
        <is>
          <t>C10903</t>
        </is>
      </c>
      <c r="D2661" t="inlineStr">
        <is>
          <t>SKU-10031</t>
        </is>
      </c>
      <c r="E2661" t="inlineStr">
        <is>
          <t>AM11</t>
        </is>
      </c>
      <c r="F2661" s="5" t="n">
        <v>320.87</v>
      </c>
      <c r="G2661">
        <f>IF(LEFT(B2661,1)="C","Credit","Factuur")</f>
        <v/>
      </c>
      <c r="H2661">
        <f>IF(AND(B2661=B2660,D2661=D2660,A2661=A2660,F2661=F2660),1,0)</f>
        <v/>
      </c>
      <c r="I2661">
        <f>IF(C2661="C99999",1,0)</f>
        <v/>
      </c>
      <c r="J2661" s="5">
        <f>IF(OR(H2661=1,I2661=1),0,IF(G2661="Credit",-F2661,F2661))</f>
        <v/>
      </c>
    </row>
    <row r="2662">
      <c r="A2662" t="inlineStr">
        <is>
          <t>2026-07-27</t>
        </is>
      </c>
      <c r="B2662" t="inlineStr">
        <is>
          <t>F277058</t>
        </is>
      </c>
      <c r="C2662" t="inlineStr">
        <is>
          <t>C10903</t>
        </is>
      </c>
      <c r="D2662" t="inlineStr">
        <is>
          <t>SKU-10034</t>
        </is>
      </c>
      <c r="E2662" t="inlineStr">
        <is>
          <t>AM11</t>
        </is>
      </c>
      <c r="F2662" s="5" t="n">
        <v>325.01</v>
      </c>
      <c r="G2662">
        <f>IF(LEFT(B2662,1)="C","Credit","Factuur")</f>
        <v/>
      </c>
      <c r="H2662">
        <f>IF(AND(B2662=B2661,D2662=D2661,A2662=A2661,F2662=F2661),1,0)</f>
        <v/>
      </c>
      <c r="I2662">
        <f>IF(C2662="C99999",1,0)</f>
        <v/>
      </c>
      <c r="J2662" s="5">
        <f>IF(OR(H2662=1,I2662=1),0,IF(G2662="Credit",-F2662,F2662))</f>
        <v/>
      </c>
    </row>
    <row r="2663">
      <c r="A2663" t="inlineStr">
        <is>
          <t>2026-07-27</t>
        </is>
      </c>
      <c r="B2663" t="inlineStr">
        <is>
          <t>F277058</t>
        </is>
      </c>
      <c r="C2663" t="inlineStr">
        <is>
          <t>C10903</t>
        </is>
      </c>
      <c r="D2663" t="inlineStr">
        <is>
          <t>SKU-10311</t>
        </is>
      </c>
      <c r="E2663" t="inlineStr">
        <is>
          <t>AM11</t>
        </is>
      </c>
      <c r="F2663" s="5" t="n">
        <v>278.02</v>
      </c>
      <c r="G2663">
        <f>IF(LEFT(B2663,1)="C","Credit","Factuur")</f>
        <v/>
      </c>
      <c r="H2663">
        <f>IF(AND(B2663=B2662,D2663=D2662,A2663=A2662,F2663=F2662),1,0)</f>
        <v/>
      </c>
      <c r="I2663">
        <f>IF(C2663="C99999",1,0)</f>
        <v/>
      </c>
      <c r="J2663" s="5">
        <f>IF(OR(H2663=1,I2663=1),0,IF(G2663="Credit",-F2663,F2663))</f>
        <v/>
      </c>
    </row>
    <row r="2664">
      <c r="A2664" t="inlineStr">
        <is>
          <t>2026-07-27</t>
        </is>
      </c>
      <c r="B2664" t="inlineStr">
        <is>
          <t>F278224</t>
        </is>
      </c>
      <c r="C2664" t="inlineStr">
        <is>
          <t>C10968</t>
        </is>
      </c>
      <c r="D2664" t="inlineStr">
        <is>
          <t>SKU-10303</t>
        </is>
      </c>
      <c r="E2664" t="inlineStr">
        <is>
          <t>AM03</t>
        </is>
      </c>
      <c r="F2664" s="5" t="n">
        <v>2089.37</v>
      </c>
      <c r="G2664">
        <f>IF(LEFT(B2664,1)="C","Credit","Factuur")</f>
        <v/>
      </c>
      <c r="H2664">
        <f>IF(AND(B2664=B2663,D2664=D2663,A2664=A2663,F2664=F2663),1,0)</f>
        <v/>
      </c>
      <c r="I2664">
        <f>IF(C2664="C99999",1,0)</f>
        <v/>
      </c>
      <c r="J2664" s="5">
        <f>IF(OR(H2664=1,I2664=1),0,IF(G2664="Credit",-F2664,F2664))</f>
        <v/>
      </c>
    </row>
    <row r="2665">
      <c r="A2665" t="inlineStr">
        <is>
          <t>2026-07-27</t>
        </is>
      </c>
      <c r="B2665" t="inlineStr">
        <is>
          <t>F278262</t>
        </is>
      </c>
      <c r="C2665" t="inlineStr">
        <is>
          <t>C10969</t>
        </is>
      </c>
      <c r="D2665" t="inlineStr">
        <is>
          <t>SKU-10054</t>
        </is>
      </c>
      <c r="E2665" t="inlineStr">
        <is>
          <t>AM03</t>
        </is>
      </c>
      <c r="F2665" s="5" t="n">
        <v>172.08</v>
      </c>
      <c r="G2665">
        <f>IF(LEFT(B2665,1)="C","Credit","Factuur")</f>
        <v/>
      </c>
      <c r="H2665">
        <f>IF(AND(B2665=B2664,D2665=D2664,A2665=A2664,F2665=F2664),1,0)</f>
        <v/>
      </c>
      <c r="I2665">
        <f>IF(C2665="C99999",1,0)</f>
        <v/>
      </c>
      <c r="J2665" s="5">
        <f>IF(OR(H2665=1,I2665=1),0,IF(G2665="Credit",-F2665,F2665))</f>
        <v/>
      </c>
    </row>
    <row r="2666">
      <c r="A2666" t="inlineStr">
        <is>
          <t>2026-07-27</t>
        </is>
      </c>
      <c r="B2666" t="inlineStr">
        <is>
          <t>F278262</t>
        </is>
      </c>
      <c r="C2666" t="inlineStr">
        <is>
          <t>C10969</t>
        </is>
      </c>
      <c r="D2666" t="inlineStr">
        <is>
          <t>SKU-10173</t>
        </is>
      </c>
      <c r="E2666" t="inlineStr">
        <is>
          <t>AM03</t>
        </is>
      </c>
      <c r="F2666" s="5" t="n">
        <v>193.5</v>
      </c>
      <c r="G2666">
        <f>IF(LEFT(B2666,1)="C","Credit","Factuur")</f>
        <v/>
      </c>
      <c r="H2666">
        <f>IF(AND(B2666=B2665,D2666=D2665,A2666=A2665,F2666=F2665),1,0)</f>
        <v/>
      </c>
      <c r="I2666">
        <f>IF(C2666="C99999",1,0)</f>
        <v/>
      </c>
      <c r="J2666" s="5">
        <f>IF(OR(H2666=1,I2666=1),0,IF(G2666="Credit",-F2666,F2666))</f>
        <v/>
      </c>
    </row>
    <row r="2667">
      <c r="A2667" t="inlineStr">
        <is>
          <t>2026-07-27</t>
        </is>
      </c>
      <c r="B2667" t="inlineStr">
        <is>
          <t>F278262</t>
        </is>
      </c>
      <c r="C2667" t="inlineStr">
        <is>
          <t>C10969</t>
        </is>
      </c>
      <c r="D2667" t="inlineStr">
        <is>
          <t>SKU-10339</t>
        </is>
      </c>
      <c r="E2667" t="inlineStr">
        <is>
          <t>AM03</t>
        </is>
      </c>
      <c r="F2667" s="5" t="n">
        <v>195.65</v>
      </c>
      <c r="G2667">
        <f>IF(LEFT(B2667,1)="C","Credit","Factuur")</f>
        <v/>
      </c>
      <c r="H2667">
        <f>IF(AND(B2667=B2666,D2667=D2666,A2667=A2666,F2667=F2666),1,0)</f>
        <v/>
      </c>
      <c r="I2667">
        <f>IF(C2667="C99999",1,0)</f>
        <v/>
      </c>
      <c r="J2667" s="5">
        <f>IF(OR(H2667=1,I2667=1),0,IF(G2667="Credit",-F2667,F2667))</f>
        <v/>
      </c>
    </row>
    <row r="2668">
      <c r="A2668" t="inlineStr">
        <is>
          <t>2026-07-27</t>
        </is>
      </c>
      <c r="B2668" t="inlineStr">
        <is>
          <t>F278262</t>
        </is>
      </c>
      <c r="C2668" t="inlineStr">
        <is>
          <t>C10969</t>
        </is>
      </c>
      <c r="D2668" t="inlineStr">
        <is>
          <t>SKU-10344</t>
        </is>
      </c>
      <c r="E2668" t="inlineStr">
        <is>
          <t>AM03</t>
        </is>
      </c>
      <c r="F2668" s="5" t="n">
        <v>196</v>
      </c>
      <c r="G2668">
        <f>IF(LEFT(B2668,1)="C","Credit","Factuur")</f>
        <v/>
      </c>
      <c r="H2668">
        <f>IF(AND(B2668=B2667,D2668=D2667,A2668=A2667,F2668=F2667),1,0)</f>
        <v/>
      </c>
      <c r="I2668">
        <f>IF(C2668="C99999",1,0)</f>
        <v/>
      </c>
      <c r="J2668" s="5">
        <f>IF(OR(H2668=1,I2668=1),0,IF(G2668="Credit",-F2668,F2668))</f>
        <v/>
      </c>
    </row>
    <row r="2669">
      <c r="A2669" t="inlineStr">
        <is>
          <t>2026-07-27</t>
        </is>
      </c>
      <c r="B2669" t="inlineStr">
        <is>
          <t>F278921</t>
        </is>
      </c>
      <c r="C2669" t="inlineStr">
        <is>
          <t>C11002</t>
        </is>
      </c>
      <c r="D2669" t="inlineStr">
        <is>
          <t>SKU-10020</t>
        </is>
      </c>
      <c r="E2669" t="inlineStr">
        <is>
          <t>AM06</t>
        </is>
      </c>
      <c r="F2669" s="5" t="n">
        <v>132.6</v>
      </c>
      <c r="G2669">
        <f>IF(LEFT(B2669,1)="C","Credit","Factuur")</f>
        <v/>
      </c>
      <c r="H2669">
        <f>IF(AND(B2669=B2668,D2669=D2668,A2669=A2668,F2669=F2668),1,0)</f>
        <v/>
      </c>
      <c r="I2669">
        <f>IF(C2669="C99999",1,0)</f>
        <v/>
      </c>
      <c r="J2669" s="5">
        <f>IF(OR(H2669=1,I2669=1),0,IF(G2669="Credit",-F2669,F2669))</f>
        <v/>
      </c>
    </row>
    <row r="2670">
      <c r="A2670" t="inlineStr">
        <is>
          <t>2026-07-27</t>
        </is>
      </c>
      <c r="B2670" t="inlineStr">
        <is>
          <t>F278921</t>
        </is>
      </c>
      <c r="C2670" t="inlineStr">
        <is>
          <t>C11002</t>
        </is>
      </c>
      <c r="D2670" t="inlineStr">
        <is>
          <t>SKU-10271</t>
        </is>
      </c>
      <c r="E2670" t="inlineStr">
        <is>
          <t>AM06</t>
        </is>
      </c>
      <c r="F2670" s="5" t="n">
        <v>133</v>
      </c>
      <c r="G2670">
        <f>IF(LEFT(B2670,1)="C","Credit","Factuur")</f>
        <v/>
      </c>
      <c r="H2670">
        <f>IF(AND(B2670=B2669,D2670=D2669,A2670=A2669,F2670=F2669),1,0)</f>
        <v/>
      </c>
      <c r="I2670">
        <f>IF(C2670="C99999",1,0)</f>
        <v/>
      </c>
      <c r="J2670" s="5">
        <f>IF(OR(H2670=1,I2670=1),0,IF(G2670="Credit",-F2670,F2670))</f>
        <v/>
      </c>
    </row>
    <row r="2671">
      <c r="A2671" t="inlineStr">
        <is>
          <t>2026-07-27</t>
        </is>
      </c>
      <c r="B2671" t="inlineStr">
        <is>
          <t>F278921</t>
        </is>
      </c>
      <c r="C2671" t="inlineStr">
        <is>
          <t>C11002</t>
        </is>
      </c>
      <c r="D2671" t="inlineStr">
        <is>
          <t>SKU-10310</t>
        </is>
      </c>
      <c r="E2671" t="inlineStr">
        <is>
          <t>AM06</t>
        </is>
      </c>
      <c r="F2671" s="5" t="n">
        <v>134.34</v>
      </c>
      <c r="G2671">
        <f>IF(LEFT(B2671,1)="C","Credit","Factuur")</f>
        <v/>
      </c>
      <c r="H2671">
        <f>IF(AND(B2671=B2670,D2671=D2670,A2671=A2670,F2671=F2670),1,0)</f>
        <v/>
      </c>
      <c r="I2671">
        <f>IF(C2671="C99999",1,0)</f>
        <v/>
      </c>
      <c r="J2671" s="5">
        <f>IF(OR(H2671=1,I2671=1),0,IF(G2671="Credit",-F2671,F2671))</f>
        <v/>
      </c>
    </row>
    <row r="2672">
      <c r="A2672" t="inlineStr">
        <is>
          <t>2026-07-27</t>
        </is>
      </c>
      <c r="B2672" t="inlineStr">
        <is>
          <t>F278921</t>
        </is>
      </c>
      <c r="C2672" t="inlineStr">
        <is>
          <t>C11002</t>
        </is>
      </c>
      <c r="D2672" t="inlineStr">
        <is>
          <t>SKU-10339</t>
        </is>
      </c>
      <c r="E2672" t="inlineStr">
        <is>
          <t>AM06</t>
        </is>
      </c>
      <c r="F2672" s="5" t="n">
        <v>120.4</v>
      </c>
      <c r="G2672">
        <f>IF(LEFT(B2672,1)="C","Credit","Factuur")</f>
        <v/>
      </c>
      <c r="H2672">
        <f>IF(AND(B2672=B2671,D2672=D2671,A2672=A2671,F2672=F2671),1,0)</f>
        <v/>
      </c>
      <c r="I2672">
        <f>IF(C2672="C99999",1,0)</f>
        <v/>
      </c>
      <c r="J2672" s="5">
        <f>IF(OR(H2672=1,I2672=1),0,IF(G2672="Credit",-F2672,F2672))</f>
        <v/>
      </c>
    </row>
    <row r="2673">
      <c r="A2673" t="inlineStr">
        <is>
          <t>2026-07-27</t>
        </is>
      </c>
      <c r="B2673" t="inlineStr">
        <is>
          <t>F279706</t>
        </is>
      </c>
      <c r="C2673" t="inlineStr">
        <is>
          <t>C11045</t>
        </is>
      </c>
      <c r="D2673" t="inlineStr">
        <is>
          <t>SKU-10031</t>
        </is>
      </c>
      <c r="E2673" t="inlineStr"/>
      <c r="F2673" s="5" t="n">
        <v>1808.54</v>
      </c>
      <c r="G2673">
        <f>IF(LEFT(B2673,1)="C","Credit","Factuur")</f>
        <v/>
      </c>
      <c r="H2673">
        <f>IF(AND(B2673=B2672,D2673=D2672,A2673=A2672,F2673=F2672),1,0)</f>
        <v/>
      </c>
      <c r="I2673">
        <f>IF(C2673="C99999",1,0)</f>
        <v/>
      </c>
      <c r="J2673" s="5">
        <f>IF(OR(H2673=1,I2673=1),0,IF(G2673="Credit",-F2673,F2673))</f>
        <v/>
      </c>
    </row>
    <row r="2674">
      <c r="A2674" t="inlineStr">
        <is>
          <t>2026-07-27</t>
        </is>
      </c>
      <c r="B2674" t="inlineStr">
        <is>
          <t>F279706</t>
        </is>
      </c>
      <c r="C2674" t="inlineStr">
        <is>
          <t>C11045</t>
        </is>
      </c>
      <c r="D2674" t="inlineStr">
        <is>
          <t>SKU-10052</t>
        </is>
      </c>
      <c r="E2674" t="inlineStr">
        <is>
          <t>AM02</t>
        </is>
      </c>
      <c r="F2674" s="5" t="n">
        <v>1788.74</v>
      </c>
      <c r="G2674">
        <f>IF(LEFT(B2674,1)="C","Credit","Factuur")</f>
        <v/>
      </c>
      <c r="H2674">
        <f>IF(AND(B2674=B2673,D2674=D2673,A2674=A2673,F2674=F2673),1,0)</f>
        <v/>
      </c>
      <c r="I2674">
        <f>IF(C2674="C99999",1,0)</f>
        <v/>
      </c>
      <c r="J2674" s="5">
        <f>IF(OR(H2674=1,I2674=1),0,IF(G2674="Credit",-F2674,F2674))</f>
        <v/>
      </c>
    </row>
    <row r="2675">
      <c r="A2675" t="inlineStr">
        <is>
          <t>2026-07-27</t>
        </is>
      </c>
      <c r="B2675" t="inlineStr">
        <is>
          <t>F279706</t>
        </is>
      </c>
      <c r="C2675" t="inlineStr">
        <is>
          <t>C11045</t>
        </is>
      </c>
      <c r="D2675" t="inlineStr">
        <is>
          <t>SKU-10376</t>
        </is>
      </c>
      <c r="E2675" t="inlineStr">
        <is>
          <t>AM02</t>
        </is>
      </c>
      <c r="F2675" s="5" t="n">
        <v>1818.08</v>
      </c>
      <c r="G2675">
        <f>IF(LEFT(B2675,1)="C","Credit","Factuur")</f>
        <v/>
      </c>
      <c r="H2675">
        <f>IF(AND(B2675=B2674,D2675=D2674,A2675=A2674,F2675=F2674),1,0)</f>
        <v/>
      </c>
      <c r="I2675">
        <f>IF(C2675="C99999",1,0)</f>
        <v/>
      </c>
      <c r="J2675" s="5">
        <f>IF(OR(H2675=1,I2675=1),0,IF(G2675="Credit",-F2675,F2675))</f>
        <v/>
      </c>
    </row>
    <row r="2676">
      <c r="A2676" t="inlineStr">
        <is>
          <t>2026-07-27</t>
        </is>
      </c>
      <c r="B2676" t="inlineStr">
        <is>
          <t>F279825</t>
        </is>
      </c>
      <c r="C2676" t="inlineStr">
        <is>
          <t>C11050</t>
        </is>
      </c>
      <c r="D2676" t="inlineStr">
        <is>
          <t>SKU-10246</t>
        </is>
      </c>
      <c r="E2676" t="inlineStr">
        <is>
          <t>AM01</t>
        </is>
      </c>
      <c r="F2676" s="5" t="n">
        <v>623.8099999999999</v>
      </c>
      <c r="G2676">
        <f>IF(LEFT(B2676,1)="C","Credit","Factuur")</f>
        <v/>
      </c>
      <c r="H2676">
        <f>IF(AND(B2676=B2675,D2676=D2675,A2676=A2675,F2676=F2675),1,0)</f>
        <v/>
      </c>
      <c r="I2676">
        <f>IF(C2676="C99999",1,0)</f>
        <v/>
      </c>
      <c r="J2676" s="5">
        <f>IF(OR(H2676=1,I2676=1),0,IF(G2676="Credit",-F2676,F2676))</f>
        <v/>
      </c>
    </row>
    <row r="2677">
      <c r="A2677" t="inlineStr">
        <is>
          <t>2026-07-27</t>
        </is>
      </c>
      <c r="B2677" t="inlineStr">
        <is>
          <t>F280056</t>
        </is>
      </c>
      <c r="C2677" t="inlineStr">
        <is>
          <t>C11060</t>
        </is>
      </c>
      <c r="D2677" t="inlineStr">
        <is>
          <t>SKU-10044</t>
        </is>
      </c>
      <c r="E2677" t="inlineStr">
        <is>
          <t>AM08</t>
        </is>
      </c>
      <c r="F2677" s="5" t="n">
        <v>49.08</v>
      </c>
      <c r="G2677">
        <f>IF(LEFT(B2677,1)="C","Credit","Factuur")</f>
        <v/>
      </c>
      <c r="H2677">
        <f>IF(AND(B2677=B2676,D2677=D2676,A2677=A2676,F2677=F2676),1,0)</f>
        <v/>
      </c>
      <c r="I2677">
        <f>IF(C2677="C99999",1,0)</f>
        <v/>
      </c>
      <c r="J2677" s="5">
        <f>IF(OR(H2677=1,I2677=1),0,IF(G2677="Credit",-F2677,F2677))</f>
        <v/>
      </c>
    </row>
    <row r="2678">
      <c r="A2678" t="inlineStr">
        <is>
          <t>2026-07-27</t>
        </is>
      </c>
      <c r="B2678" t="inlineStr">
        <is>
          <t>F280056</t>
        </is>
      </c>
      <c r="C2678" t="inlineStr">
        <is>
          <t>C11060</t>
        </is>
      </c>
      <c r="D2678" t="inlineStr">
        <is>
          <t>SKU-10085</t>
        </is>
      </c>
      <c r="E2678" t="inlineStr">
        <is>
          <t>AM08</t>
        </is>
      </c>
      <c r="F2678" s="5" t="n">
        <v>49.97</v>
      </c>
      <c r="G2678">
        <f>IF(LEFT(B2678,1)="C","Credit","Factuur")</f>
        <v/>
      </c>
      <c r="H2678">
        <f>IF(AND(B2678=B2677,D2678=D2677,A2678=A2677,F2678=F2677),1,0)</f>
        <v/>
      </c>
      <c r="I2678">
        <f>IF(C2678="C99999",1,0)</f>
        <v/>
      </c>
      <c r="J2678" s="5">
        <f>IF(OR(H2678=1,I2678=1),0,IF(G2678="Credit",-F2678,F2678))</f>
        <v/>
      </c>
    </row>
    <row r="2679">
      <c r="A2679" t="inlineStr">
        <is>
          <t>2026-07-27</t>
        </is>
      </c>
      <c r="B2679" t="inlineStr">
        <is>
          <t>F280056</t>
        </is>
      </c>
      <c r="C2679" t="inlineStr">
        <is>
          <t>C11060</t>
        </is>
      </c>
      <c r="D2679" t="inlineStr">
        <is>
          <t>SKU-10117</t>
        </is>
      </c>
      <c r="E2679" t="inlineStr">
        <is>
          <t>AM08</t>
        </is>
      </c>
      <c r="F2679" s="5" t="n">
        <v>121.16</v>
      </c>
      <c r="G2679">
        <f>IF(LEFT(B2679,1)="C","Credit","Factuur")</f>
        <v/>
      </c>
      <c r="H2679">
        <f>IF(AND(B2679=B2678,D2679=D2678,A2679=A2678,F2679=F2678),1,0)</f>
        <v/>
      </c>
      <c r="I2679">
        <f>IF(C2679="C99999",1,0)</f>
        <v/>
      </c>
      <c r="J2679" s="5">
        <f>IF(OR(H2679=1,I2679=1),0,IF(G2679="Credit",-F2679,F2679))</f>
        <v/>
      </c>
    </row>
    <row r="2680">
      <c r="A2680" t="inlineStr">
        <is>
          <t>2026-07-27</t>
        </is>
      </c>
      <c r="B2680" t="inlineStr">
        <is>
          <t>F280056</t>
        </is>
      </c>
      <c r="C2680" t="inlineStr">
        <is>
          <t>C11060</t>
        </is>
      </c>
      <c r="D2680" t="inlineStr">
        <is>
          <t>SKU-10178</t>
        </is>
      </c>
      <c r="E2680" t="inlineStr">
        <is>
          <t>AM08</t>
        </is>
      </c>
      <c r="F2680" s="5" t="n">
        <v>40.73</v>
      </c>
      <c r="G2680">
        <f>IF(LEFT(B2680,1)="C","Credit","Factuur")</f>
        <v/>
      </c>
      <c r="H2680">
        <f>IF(AND(B2680=B2679,D2680=D2679,A2680=A2679,F2680=F2679),1,0)</f>
        <v/>
      </c>
      <c r="I2680">
        <f>IF(C2680="C99999",1,0)</f>
        <v/>
      </c>
      <c r="J2680" s="5">
        <f>IF(OR(H2680=1,I2680=1),0,IF(G2680="Credit",-F2680,F2680))</f>
        <v/>
      </c>
    </row>
    <row r="2681">
      <c r="A2681" t="inlineStr">
        <is>
          <t>2026-07-27</t>
        </is>
      </c>
      <c r="B2681" t="inlineStr">
        <is>
          <t>F280056</t>
        </is>
      </c>
      <c r="C2681" t="inlineStr">
        <is>
          <t>C11060</t>
        </is>
      </c>
      <c r="D2681" t="inlineStr">
        <is>
          <t>SKU-10281</t>
        </is>
      </c>
      <c r="E2681" t="inlineStr">
        <is>
          <t>AM08</t>
        </is>
      </c>
      <c r="F2681" s="5" t="n">
        <v>40.68</v>
      </c>
      <c r="G2681">
        <f>IF(LEFT(B2681,1)="C","Credit","Factuur")</f>
        <v/>
      </c>
      <c r="H2681">
        <f>IF(AND(B2681=B2680,D2681=D2680,A2681=A2680,F2681=F2680),1,0)</f>
        <v/>
      </c>
      <c r="I2681">
        <f>IF(C2681="C99999",1,0)</f>
        <v/>
      </c>
      <c r="J2681" s="5">
        <f>IF(OR(H2681=1,I2681=1),0,IF(G2681="Credit",-F2681,F2681))</f>
        <v/>
      </c>
    </row>
    <row r="2682">
      <c r="A2682" t="inlineStr">
        <is>
          <t>2026-07-27</t>
        </is>
      </c>
      <c r="B2682" t="inlineStr">
        <is>
          <t>F280056</t>
        </is>
      </c>
      <c r="C2682" t="inlineStr">
        <is>
          <t>C11060</t>
        </is>
      </c>
      <c r="D2682" t="inlineStr">
        <is>
          <t>SKU-10282</t>
        </is>
      </c>
      <c r="E2682" t="inlineStr">
        <is>
          <t>AM08</t>
        </is>
      </c>
      <c r="F2682" s="5" t="n">
        <v>43.4</v>
      </c>
      <c r="G2682">
        <f>IF(LEFT(B2682,1)="C","Credit","Factuur")</f>
        <v/>
      </c>
      <c r="H2682">
        <f>IF(AND(B2682=B2681,D2682=D2681,A2682=A2681,F2682=F2681),1,0)</f>
        <v/>
      </c>
      <c r="I2682">
        <f>IF(C2682="C99999",1,0)</f>
        <v/>
      </c>
      <c r="J2682" s="5">
        <f>IF(OR(H2682=1,I2682=1),0,IF(G2682="Credit",-F2682,F2682))</f>
        <v/>
      </c>
    </row>
    <row r="2683">
      <c r="A2683" t="inlineStr">
        <is>
          <t>2026-07-27</t>
        </is>
      </c>
      <c r="B2683" t="inlineStr">
        <is>
          <t>F280056</t>
        </is>
      </c>
      <c r="C2683" t="inlineStr">
        <is>
          <t>C11060</t>
        </is>
      </c>
      <c r="D2683" t="inlineStr">
        <is>
          <t>SKU-10344</t>
        </is>
      </c>
      <c r="E2683" t="inlineStr">
        <is>
          <t>AM08</t>
        </is>
      </c>
      <c r="F2683" s="5" t="n">
        <v>28</v>
      </c>
      <c r="G2683">
        <f>IF(LEFT(B2683,1)="C","Credit","Factuur")</f>
        <v/>
      </c>
      <c r="H2683">
        <f>IF(AND(B2683=B2682,D2683=D2682,A2683=A2682,F2683=F2682),1,0)</f>
        <v/>
      </c>
      <c r="I2683">
        <f>IF(C2683="C99999",1,0)</f>
        <v/>
      </c>
      <c r="J2683" s="5">
        <f>IF(OR(H2683=1,I2683=1),0,IF(G2683="Credit",-F2683,F2683))</f>
        <v/>
      </c>
    </row>
    <row r="2684">
      <c r="A2684" t="inlineStr">
        <is>
          <t>2026-07-27</t>
        </is>
      </c>
      <c r="B2684" t="inlineStr">
        <is>
          <t>F280056</t>
        </is>
      </c>
      <c r="C2684" t="inlineStr">
        <is>
          <t>C11060</t>
        </is>
      </c>
      <c r="D2684" t="inlineStr">
        <is>
          <t>SKU-10357</t>
        </is>
      </c>
      <c r="E2684" t="inlineStr">
        <is>
          <t>AM08</t>
        </is>
      </c>
      <c r="F2684" s="5" t="n">
        <v>60.74</v>
      </c>
      <c r="G2684">
        <f>IF(LEFT(B2684,1)="C","Credit","Factuur")</f>
        <v/>
      </c>
      <c r="H2684">
        <f>IF(AND(B2684=B2683,D2684=D2683,A2684=A2683,F2684=F2683),1,0)</f>
        <v/>
      </c>
      <c r="I2684">
        <f>IF(C2684="C99999",1,0)</f>
        <v/>
      </c>
      <c r="J2684" s="5">
        <f>IF(OR(H2684=1,I2684=1),0,IF(G2684="Credit",-F2684,F2684))</f>
        <v/>
      </c>
    </row>
    <row r="2685">
      <c r="A2685" t="inlineStr">
        <is>
          <t>2026-07-27</t>
        </is>
      </c>
      <c r="B2685" t="inlineStr">
        <is>
          <t>F280311</t>
        </is>
      </c>
      <c r="C2685" t="inlineStr">
        <is>
          <t>C11074</t>
        </is>
      </c>
      <c r="D2685" t="inlineStr">
        <is>
          <t>SKU-10173</t>
        </is>
      </c>
      <c r="E2685" t="inlineStr">
        <is>
          <t>AM12</t>
        </is>
      </c>
      <c r="F2685" s="5" t="n">
        <v>292.4</v>
      </c>
      <c r="G2685">
        <f>IF(LEFT(B2685,1)="C","Credit","Factuur")</f>
        <v/>
      </c>
      <c r="H2685">
        <f>IF(AND(B2685=B2684,D2685=D2684,A2685=A2684,F2685=F2684),1,0)</f>
        <v/>
      </c>
      <c r="I2685">
        <f>IF(C2685="C99999",1,0)</f>
        <v/>
      </c>
      <c r="J2685" s="5">
        <f>IF(OR(H2685=1,I2685=1),0,IF(G2685="Credit",-F2685,F2685))</f>
        <v/>
      </c>
    </row>
    <row r="2686">
      <c r="A2686" t="inlineStr">
        <is>
          <t>2026-07-27</t>
        </is>
      </c>
      <c r="B2686" t="inlineStr">
        <is>
          <t>F280311</t>
        </is>
      </c>
      <c r="C2686" t="inlineStr">
        <is>
          <t>C11074</t>
        </is>
      </c>
      <c r="D2686" t="inlineStr">
        <is>
          <t>SKU-10230</t>
        </is>
      </c>
      <c r="E2686" t="inlineStr">
        <is>
          <t>AM12</t>
        </is>
      </c>
      <c r="F2686" s="5" t="n">
        <v>320.04</v>
      </c>
      <c r="G2686">
        <f>IF(LEFT(B2686,1)="C","Credit","Factuur")</f>
        <v/>
      </c>
      <c r="H2686">
        <f>IF(AND(B2686=B2685,D2686=D2685,A2686=A2685,F2686=F2685),1,0)</f>
        <v/>
      </c>
      <c r="I2686">
        <f>IF(C2686="C99999",1,0)</f>
        <v/>
      </c>
      <c r="J2686" s="5">
        <f>IF(OR(H2686=1,I2686=1),0,IF(G2686="Credit",-F2686,F2686))</f>
        <v/>
      </c>
    </row>
    <row r="2687">
      <c r="A2687" t="inlineStr">
        <is>
          <t>2026-07-27</t>
        </is>
      </c>
      <c r="B2687" t="inlineStr">
        <is>
          <t>F281380</t>
        </is>
      </c>
      <c r="C2687" t="inlineStr">
        <is>
          <t>C11126</t>
        </is>
      </c>
      <c r="D2687" t="inlineStr">
        <is>
          <t>SKU-10015</t>
        </is>
      </c>
      <c r="E2687" t="inlineStr">
        <is>
          <t>AM05</t>
        </is>
      </c>
      <c r="F2687" s="5" t="n">
        <v>245.45</v>
      </c>
      <c r="G2687">
        <f>IF(LEFT(B2687,1)="C","Credit","Factuur")</f>
        <v/>
      </c>
      <c r="H2687">
        <f>IF(AND(B2687=B2686,D2687=D2686,A2687=A2686,F2687=F2686),1,0)</f>
        <v/>
      </c>
      <c r="I2687">
        <f>IF(C2687="C99999",1,0)</f>
        <v/>
      </c>
      <c r="J2687" s="5">
        <f>IF(OR(H2687=1,I2687=1),0,IF(G2687="Credit",-F2687,F2687))</f>
        <v/>
      </c>
    </row>
    <row r="2688">
      <c r="A2688" t="inlineStr">
        <is>
          <t>2026-07-27</t>
        </is>
      </c>
      <c r="B2688" t="inlineStr">
        <is>
          <t>F281380</t>
        </is>
      </c>
      <c r="C2688" t="inlineStr">
        <is>
          <t>C11126</t>
        </is>
      </c>
      <c r="D2688" t="inlineStr">
        <is>
          <t>SKU-10022</t>
        </is>
      </c>
      <c r="E2688" t="inlineStr">
        <is>
          <t>AM05</t>
        </is>
      </c>
      <c r="F2688" s="5" t="n">
        <v>266.24</v>
      </c>
      <c r="G2688">
        <f>IF(LEFT(B2688,1)="C","Credit","Factuur")</f>
        <v/>
      </c>
      <c r="H2688">
        <f>IF(AND(B2688=B2687,D2688=D2687,A2688=A2687,F2688=F2687),1,0)</f>
        <v/>
      </c>
      <c r="I2688">
        <f>IF(C2688="C99999",1,0)</f>
        <v/>
      </c>
      <c r="J2688" s="5">
        <f>IF(OR(H2688=1,I2688=1),0,IF(G2688="Credit",-F2688,F2688))</f>
        <v/>
      </c>
    </row>
    <row r="2689">
      <c r="A2689" t="inlineStr">
        <is>
          <t>2026-07-27</t>
        </is>
      </c>
      <c r="B2689" t="inlineStr">
        <is>
          <t>F281380</t>
        </is>
      </c>
      <c r="C2689" t="inlineStr">
        <is>
          <t>C11126</t>
        </is>
      </c>
      <c r="D2689" t="inlineStr">
        <is>
          <t>SKU-10155</t>
        </is>
      </c>
      <c r="E2689" t="inlineStr">
        <is>
          <t>AM05</t>
        </is>
      </c>
      <c r="F2689" s="5" t="n">
        <v>270.94</v>
      </c>
      <c r="G2689">
        <f>IF(LEFT(B2689,1)="C","Credit","Factuur")</f>
        <v/>
      </c>
      <c r="H2689">
        <f>IF(AND(B2689=B2688,D2689=D2688,A2689=A2688,F2689=F2688),1,0)</f>
        <v/>
      </c>
      <c r="I2689">
        <f>IF(C2689="C99999",1,0)</f>
        <v/>
      </c>
      <c r="J2689" s="5">
        <f>IF(OR(H2689=1,I2689=1),0,IF(G2689="Credit",-F2689,F2689))</f>
        <v/>
      </c>
    </row>
    <row r="2690">
      <c r="A2690" t="inlineStr">
        <is>
          <t>2026-07-27</t>
        </is>
      </c>
      <c r="B2690" t="inlineStr">
        <is>
          <t>F281380</t>
        </is>
      </c>
      <c r="C2690" t="inlineStr">
        <is>
          <t>C11126</t>
        </is>
      </c>
      <c r="D2690" t="inlineStr">
        <is>
          <t>SKU-10288</t>
        </is>
      </c>
      <c r="E2690" t="inlineStr">
        <is>
          <t>AM05</t>
        </is>
      </c>
      <c r="F2690" s="5" t="n">
        <v>244.49</v>
      </c>
      <c r="G2690">
        <f>IF(LEFT(B2690,1)="C","Credit","Factuur")</f>
        <v/>
      </c>
      <c r="H2690">
        <f>IF(AND(B2690=B2689,D2690=D2689,A2690=A2689,F2690=F2689),1,0)</f>
        <v/>
      </c>
      <c r="I2690">
        <f>IF(C2690="C99999",1,0)</f>
        <v/>
      </c>
      <c r="J2690" s="5">
        <f>IF(OR(H2690=1,I2690=1),0,IF(G2690="Credit",-F2690,F2690))</f>
        <v/>
      </c>
    </row>
    <row r="2691">
      <c r="A2691" t="inlineStr">
        <is>
          <t>2026-07-27</t>
        </is>
      </c>
      <c r="B2691" t="inlineStr">
        <is>
          <t>F281897</t>
        </is>
      </c>
      <c r="C2691" t="inlineStr">
        <is>
          <t>C11152</t>
        </is>
      </c>
      <c r="D2691" t="inlineStr">
        <is>
          <t>SKU-10071</t>
        </is>
      </c>
      <c r="E2691" t="inlineStr">
        <is>
          <t>AM06</t>
        </is>
      </c>
      <c r="F2691" s="5" t="n">
        <v>105.28</v>
      </c>
      <c r="G2691">
        <f>IF(LEFT(B2691,1)="C","Credit","Factuur")</f>
        <v/>
      </c>
      <c r="H2691">
        <f>IF(AND(B2691=B2690,D2691=D2690,A2691=A2690,F2691=F2690),1,0)</f>
        <v/>
      </c>
      <c r="I2691">
        <f>IF(C2691="C99999",1,0)</f>
        <v/>
      </c>
      <c r="J2691" s="5">
        <f>IF(OR(H2691=1,I2691=1),0,IF(G2691="Credit",-F2691,F2691))</f>
        <v/>
      </c>
    </row>
    <row r="2692">
      <c r="A2692" t="inlineStr">
        <is>
          <t>2026-07-27</t>
        </is>
      </c>
      <c r="B2692" t="inlineStr">
        <is>
          <t>F281897</t>
        </is>
      </c>
      <c r="C2692" t="inlineStr">
        <is>
          <t>C11152</t>
        </is>
      </c>
      <c r="D2692" t="inlineStr">
        <is>
          <t>SKU-10222</t>
        </is>
      </c>
      <c r="E2692" t="inlineStr">
        <is>
          <t>AM06</t>
        </is>
      </c>
      <c r="F2692" s="5" t="n">
        <v>125.02</v>
      </c>
      <c r="G2692">
        <f>IF(LEFT(B2692,1)="C","Credit","Factuur")</f>
        <v/>
      </c>
      <c r="H2692">
        <f>IF(AND(B2692=B2691,D2692=D2691,A2692=A2691,F2692=F2691),1,0)</f>
        <v/>
      </c>
      <c r="I2692">
        <f>IF(C2692="C99999",1,0)</f>
        <v/>
      </c>
      <c r="J2692" s="5">
        <f>IF(OR(H2692=1,I2692=1),0,IF(G2692="Credit",-F2692,F2692))</f>
        <v/>
      </c>
    </row>
    <row r="2693">
      <c r="A2693" t="inlineStr">
        <is>
          <t>2026-07-27</t>
        </is>
      </c>
      <c r="B2693" t="inlineStr">
        <is>
          <t>F281897</t>
        </is>
      </c>
      <c r="C2693" t="inlineStr">
        <is>
          <t>C11152</t>
        </is>
      </c>
      <c r="D2693" t="inlineStr">
        <is>
          <t>SKU-10249</t>
        </is>
      </c>
      <c r="E2693" t="inlineStr">
        <is>
          <t>AM06</t>
        </is>
      </c>
      <c r="F2693" s="5" t="n">
        <v>109.47</v>
      </c>
      <c r="G2693">
        <f>IF(LEFT(B2693,1)="C","Credit","Factuur")</f>
        <v/>
      </c>
      <c r="H2693">
        <f>IF(AND(B2693=B2692,D2693=D2692,A2693=A2692,F2693=F2692),1,0)</f>
        <v/>
      </c>
      <c r="I2693">
        <f>IF(C2693="C99999",1,0)</f>
        <v/>
      </c>
      <c r="J2693" s="5">
        <f>IF(OR(H2693=1,I2693=1),0,IF(G2693="Credit",-F2693,F2693))</f>
        <v/>
      </c>
    </row>
    <row r="2694">
      <c r="A2694" t="inlineStr">
        <is>
          <t>2026-07-27</t>
        </is>
      </c>
      <c r="B2694" t="inlineStr">
        <is>
          <t>F281897</t>
        </is>
      </c>
      <c r="C2694" t="inlineStr">
        <is>
          <t>C11152</t>
        </is>
      </c>
      <c r="D2694" t="inlineStr">
        <is>
          <t>SKU-10370</t>
        </is>
      </c>
      <c r="E2694" t="inlineStr">
        <is>
          <t>AM06</t>
        </is>
      </c>
      <c r="F2694" s="5" t="n">
        <v>125.87</v>
      </c>
      <c r="G2694">
        <f>IF(LEFT(B2694,1)="C","Credit","Factuur")</f>
        <v/>
      </c>
      <c r="H2694">
        <f>IF(AND(B2694=B2693,D2694=D2693,A2694=A2693,F2694=F2693),1,0)</f>
        <v/>
      </c>
      <c r="I2694">
        <f>IF(C2694="C99999",1,0)</f>
        <v/>
      </c>
      <c r="J2694" s="5">
        <f>IF(OR(H2694=1,I2694=1),0,IF(G2694="Credit",-F2694,F2694))</f>
        <v/>
      </c>
    </row>
    <row r="2695">
      <c r="A2695" t="inlineStr">
        <is>
          <t>2026-07-27</t>
        </is>
      </c>
      <c r="B2695" t="inlineStr">
        <is>
          <t>F282588</t>
        </is>
      </c>
      <c r="C2695" t="inlineStr">
        <is>
          <t>C11185</t>
        </is>
      </c>
      <c r="D2695" t="inlineStr">
        <is>
          <t>SKU-10242</t>
        </is>
      </c>
      <c r="E2695" t="inlineStr">
        <is>
          <t>AM08</t>
        </is>
      </c>
      <c r="F2695" s="5" t="n">
        <v>408</v>
      </c>
      <c r="G2695">
        <f>IF(LEFT(B2695,1)="C","Credit","Factuur")</f>
        <v/>
      </c>
      <c r="H2695">
        <f>IF(AND(B2695=B2694,D2695=D2694,A2695=A2694,F2695=F2694),1,0)</f>
        <v/>
      </c>
      <c r="I2695">
        <f>IF(C2695="C99999",1,0)</f>
        <v/>
      </c>
      <c r="J2695" s="5">
        <f>IF(OR(H2695=1,I2695=1),0,IF(G2695="Credit",-F2695,F2695))</f>
        <v/>
      </c>
    </row>
    <row r="2696">
      <c r="A2696" t="inlineStr">
        <is>
          <t>2026-07-27</t>
        </is>
      </c>
      <c r="B2696" t="inlineStr">
        <is>
          <t>F282588</t>
        </is>
      </c>
      <c r="C2696" t="inlineStr">
        <is>
          <t>C11185</t>
        </is>
      </c>
      <c r="D2696" t="inlineStr">
        <is>
          <t>SKU-10295</t>
        </is>
      </c>
      <c r="E2696" t="inlineStr">
        <is>
          <t>AM08</t>
        </is>
      </c>
      <c r="F2696" s="5" t="n">
        <v>421.46</v>
      </c>
      <c r="G2696">
        <f>IF(LEFT(B2696,1)="C","Credit","Factuur")</f>
        <v/>
      </c>
      <c r="H2696">
        <f>IF(AND(B2696=B2695,D2696=D2695,A2696=A2695,F2696=F2695),1,0)</f>
        <v/>
      </c>
      <c r="I2696">
        <f>IF(C2696="C99999",1,0)</f>
        <v/>
      </c>
      <c r="J2696" s="5">
        <f>IF(OR(H2696=1,I2696=1),0,IF(G2696="Credit",-F2696,F2696))</f>
        <v/>
      </c>
    </row>
    <row r="2697">
      <c r="A2697" t="inlineStr">
        <is>
          <t>2026-07-27</t>
        </is>
      </c>
      <c r="B2697" t="inlineStr">
        <is>
          <t>F283140</t>
        </is>
      </c>
      <c r="C2697" t="inlineStr">
        <is>
          <t>C11218</t>
        </is>
      </c>
      <c r="D2697" t="inlineStr">
        <is>
          <t>SKU-10149</t>
        </is>
      </c>
      <c r="E2697" t="inlineStr">
        <is>
          <t>AM03</t>
        </is>
      </c>
      <c r="F2697" s="5" t="n">
        <v>145.16</v>
      </c>
      <c r="G2697">
        <f>IF(LEFT(B2697,1)="C","Credit","Factuur")</f>
        <v/>
      </c>
      <c r="H2697">
        <f>IF(AND(B2697=B2696,D2697=D2696,A2697=A2696,F2697=F2696),1,0)</f>
        <v/>
      </c>
      <c r="I2697">
        <f>IF(C2697="C99999",1,0)</f>
        <v/>
      </c>
      <c r="J2697" s="5">
        <f>IF(OR(H2697=1,I2697=1),0,IF(G2697="Credit",-F2697,F2697))</f>
        <v/>
      </c>
    </row>
    <row r="2698">
      <c r="A2698" t="inlineStr">
        <is>
          <t>2026-07-27</t>
        </is>
      </c>
      <c r="B2698" t="inlineStr">
        <is>
          <t>F283140</t>
        </is>
      </c>
      <c r="C2698" t="inlineStr">
        <is>
          <t>C11218</t>
        </is>
      </c>
      <c r="D2698" t="inlineStr">
        <is>
          <t>SKU-10174</t>
        </is>
      </c>
      <c r="E2698" t="inlineStr">
        <is>
          <t>AM03</t>
        </is>
      </c>
      <c r="F2698" s="5" t="n">
        <v>119.73</v>
      </c>
      <c r="G2698">
        <f>IF(LEFT(B2698,1)="C","Credit","Factuur")</f>
        <v/>
      </c>
      <c r="H2698">
        <f>IF(AND(B2698=B2697,D2698=D2697,A2698=A2697,F2698=F2697),1,0)</f>
        <v/>
      </c>
      <c r="I2698">
        <f>IF(C2698="C99999",1,0)</f>
        <v/>
      </c>
      <c r="J2698" s="5">
        <f>IF(OR(H2698=1,I2698=1),0,IF(G2698="Credit",-F2698,F2698))</f>
        <v/>
      </c>
    </row>
    <row r="2699">
      <c r="A2699" t="inlineStr">
        <is>
          <t>2026-07-27</t>
        </is>
      </c>
      <c r="B2699" t="inlineStr">
        <is>
          <t>F283140</t>
        </is>
      </c>
      <c r="C2699" t="inlineStr">
        <is>
          <t>C11218</t>
        </is>
      </c>
      <c r="D2699" t="inlineStr">
        <is>
          <t>SKU-10304</t>
        </is>
      </c>
      <c r="E2699" t="inlineStr">
        <is>
          <t>AM03</t>
        </is>
      </c>
      <c r="F2699" s="5" t="n">
        <v>122.24</v>
      </c>
      <c r="G2699">
        <f>IF(LEFT(B2699,1)="C","Credit","Factuur")</f>
        <v/>
      </c>
      <c r="H2699">
        <f>IF(AND(B2699=B2698,D2699=D2698,A2699=A2698,F2699=F2698),1,0)</f>
        <v/>
      </c>
      <c r="I2699">
        <f>IF(C2699="C99999",1,0)</f>
        <v/>
      </c>
      <c r="J2699" s="5">
        <f>IF(OR(H2699=1,I2699=1),0,IF(G2699="Credit",-F2699,F2699))</f>
        <v/>
      </c>
    </row>
    <row r="2700">
      <c r="A2700" t="inlineStr">
        <is>
          <t>2026-07-27</t>
        </is>
      </c>
      <c r="B2700" t="inlineStr">
        <is>
          <t>F283580</t>
        </is>
      </c>
      <c r="C2700" t="inlineStr">
        <is>
          <t>C11238</t>
        </is>
      </c>
      <c r="D2700" t="inlineStr">
        <is>
          <t>SKU-10153</t>
        </is>
      </c>
      <c r="E2700" t="inlineStr">
        <is>
          <t>AM07</t>
        </is>
      </c>
      <c r="F2700" s="5" t="n">
        <v>2405.36</v>
      </c>
      <c r="G2700">
        <f>IF(LEFT(B2700,1)="C","Credit","Factuur")</f>
        <v/>
      </c>
      <c r="H2700">
        <f>IF(AND(B2700=B2699,D2700=D2699,A2700=A2699,F2700=F2699),1,0)</f>
        <v/>
      </c>
      <c r="I2700">
        <f>IF(C2700="C99999",1,0)</f>
        <v/>
      </c>
      <c r="J2700" s="5">
        <f>IF(OR(H2700=1,I2700=1),0,IF(G2700="Credit",-F2700,F2700))</f>
        <v/>
      </c>
    </row>
    <row r="2701">
      <c r="A2701" t="inlineStr">
        <is>
          <t>2026-07-27</t>
        </is>
      </c>
      <c r="B2701" t="inlineStr">
        <is>
          <t>F283690</t>
        </is>
      </c>
      <c r="C2701" t="inlineStr">
        <is>
          <t>C11241</t>
        </is>
      </c>
      <c r="D2701" t="inlineStr">
        <is>
          <t>SKU-10020</t>
        </is>
      </c>
      <c r="E2701" t="inlineStr">
        <is>
          <t>AM07</t>
        </is>
      </c>
      <c r="F2701" s="5" t="n">
        <v>453.49</v>
      </c>
      <c r="G2701">
        <f>IF(LEFT(B2701,1)="C","Credit","Factuur")</f>
        <v/>
      </c>
      <c r="H2701">
        <f>IF(AND(B2701=B2700,D2701=D2700,A2701=A2700,F2701=F2700),1,0)</f>
        <v/>
      </c>
      <c r="I2701">
        <f>IF(C2701="C99999",1,0)</f>
        <v/>
      </c>
      <c r="J2701" s="5">
        <f>IF(OR(H2701=1,I2701=1),0,IF(G2701="Credit",-F2701,F2701))</f>
        <v/>
      </c>
    </row>
    <row r="2702">
      <c r="A2702" t="inlineStr">
        <is>
          <t>2026-07-27</t>
        </is>
      </c>
      <c r="B2702" t="inlineStr">
        <is>
          <t>F283690</t>
        </is>
      </c>
      <c r="C2702" t="inlineStr">
        <is>
          <t>C11241</t>
        </is>
      </c>
      <c r="D2702" t="inlineStr">
        <is>
          <t>SKU-10023</t>
        </is>
      </c>
      <c r="E2702" t="inlineStr">
        <is>
          <t>AM07</t>
        </is>
      </c>
      <c r="F2702" s="5" t="n">
        <v>480.51</v>
      </c>
      <c r="G2702">
        <f>IF(LEFT(B2702,1)="C","Credit","Factuur")</f>
        <v/>
      </c>
      <c r="H2702">
        <f>IF(AND(B2702=B2701,D2702=D2701,A2702=A2701,F2702=F2701),1,0)</f>
        <v/>
      </c>
      <c r="I2702">
        <f>IF(C2702="C99999",1,0)</f>
        <v/>
      </c>
      <c r="J2702" s="5">
        <f>IF(OR(H2702=1,I2702=1),0,IF(G2702="Credit",-F2702,F2702))</f>
        <v/>
      </c>
    </row>
    <row r="2703">
      <c r="A2703" t="inlineStr">
        <is>
          <t>2026-07-27</t>
        </is>
      </c>
      <c r="B2703" t="inlineStr">
        <is>
          <t>F283690</t>
        </is>
      </c>
      <c r="C2703" t="inlineStr">
        <is>
          <t>C11241</t>
        </is>
      </c>
      <c r="D2703" t="inlineStr">
        <is>
          <t>SKU-10244</t>
        </is>
      </c>
      <c r="E2703" t="inlineStr">
        <is>
          <t>AM07</t>
        </is>
      </c>
      <c r="F2703" s="5" t="n">
        <v>430.92</v>
      </c>
      <c r="G2703">
        <f>IF(LEFT(B2703,1)="C","Credit","Factuur")</f>
        <v/>
      </c>
      <c r="H2703">
        <f>IF(AND(B2703=B2702,D2703=D2702,A2703=A2702,F2703=F2702),1,0)</f>
        <v/>
      </c>
      <c r="I2703">
        <f>IF(C2703="C99999",1,0)</f>
        <v/>
      </c>
      <c r="J2703" s="5">
        <f>IF(OR(H2703=1,I2703=1),0,IF(G2703="Credit",-F2703,F2703))</f>
        <v/>
      </c>
    </row>
    <row r="2704">
      <c r="A2704" t="inlineStr">
        <is>
          <t>2026-07-27</t>
        </is>
      </c>
      <c r="B2704" t="inlineStr">
        <is>
          <t>F283748</t>
        </is>
      </c>
      <c r="C2704" t="inlineStr">
        <is>
          <t>C11245</t>
        </is>
      </c>
      <c r="D2704" t="inlineStr">
        <is>
          <t>SKU-10072</t>
        </is>
      </c>
      <c r="E2704" t="inlineStr">
        <is>
          <t>AM05</t>
        </is>
      </c>
      <c r="F2704" s="5" t="n">
        <v>574.53</v>
      </c>
      <c r="G2704">
        <f>IF(LEFT(B2704,1)="C","Credit","Factuur")</f>
        <v/>
      </c>
      <c r="H2704">
        <f>IF(AND(B2704=B2703,D2704=D2703,A2704=A2703,F2704=F2703),1,0)</f>
        <v/>
      </c>
      <c r="I2704">
        <f>IF(C2704="C99999",1,0)</f>
        <v/>
      </c>
      <c r="J2704" s="5">
        <f>IF(OR(H2704=1,I2704=1),0,IF(G2704="Credit",-F2704,F2704))</f>
        <v/>
      </c>
    </row>
    <row r="2705">
      <c r="A2705" t="inlineStr">
        <is>
          <t>2026-07-27</t>
        </is>
      </c>
      <c r="B2705" t="inlineStr">
        <is>
          <t>F283748</t>
        </is>
      </c>
      <c r="C2705" t="inlineStr">
        <is>
          <t>C11245</t>
        </is>
      </c>
      <c r="D2705" t="inlineStr">
        <is>
          <t>SKU-10094</t>
        </is>
      </c>
      <c r="E2705" t="inlineStr">
        <is>
          <t>AM05</t>
        </is>
      </c>
      <c r="F2705" s="5" t="n">
        <v>594.3</v>
      </c>
      <c r="G2705">
        <f>IF(LEFT(B2705,1)="C","Credit","Factuur")</f>
        <v/>
      </c>
      <c r="H2705">
        <f>IF(AND(B2705=B2704,D2705=D2704,A2705=A2704,F2705=F2704),1,0)</f>
        <v/>
      </c>
      <c r="I2705">
        <f>IF(C2705="C99999",1,0)</f>
        <v/>
      </c>
      <c r="J2705" s="5">
        <f>IF(OR(H2705=1,I2705=1),0,IF(G2705="Credit",-F2705,F2705))</f>
        <v/>
      </c>
    </row>
    <row r="2706">
      <c r="A2706" t="inlineStr">
        <is>
          <t>2026-07-27</t>
        </is>
      </c>
      <c r="B2706" t="inlineStr">
        <is>
          <t>F283748</t>
        </is>
      </c>
      <c r="C2706" t="inlineStr">
        <is>
          <t>C11245</t>
        </is>
      </c>
      <c r="D2706" t="inlineStr">
        <is>
          <t>SKU-10122</t>
        </is>
      </c>
      <c r="E2706" t="inlineStr">
        <is>
          <t>AM05</t>
        </is>
      </c>
      <c r="F2706" s="5" t="n">
        <v>595.2</v>
      </c>
      <c r="G2706">
        <f>IF(LEFT(B2706,1)="C","Credit","Factuur")</f>
        <v/>
      </c>
      <c r="H2706">
        <f>IF(AND(B2706=B2705,D2706=D2705,A2706=A2705,F2706=F2705),1,0)</f>
        <v/>
      </c>
      <c r="I2706">
        <f>IF(C2706="C99999",1,0)</f>
        <v/>
      </c>
      <c r="J2706" s="5">
        <f>IF(OR(H2706=1,I2706=1),0,IF(G2706="Credit",-F2706,F2706))</f>
        <v/>
      </c>
    </row>
    <row r="2707">
      <c r="A2707" t="inlineStr">
        <is>
          <t>2026-07-27</t>
        </is>
      </c>
      <c r="B2707" t="inlineStr">
        <is>
          <t>F283748</t>
        </is>
      </c>
      <c r="C2707" t="inlineStr">
        <is>
          <t>C11245</t>
        </is>
      </c>
      <c r="D2707" t="inlineStr">
        <is>
          <t>SKU-10317</t>
        </is>
      </c>
      <c r="E2707" t="inlineStr">
        <is>
          <t>AM05</t>
        </is>
      </c>
      <c r="F2707" s="5" t="n">
        <v>552.8099999999999</v>
      </c>
      <c r="G2707">
        <f>IF(LEFT(B2707,1)="C","Credit","Factuur")</f>
        <v/>
      </c>
      <c r="H2707">
        <f>IF(AND(B2707=B2706,D2707=D2706,A2707=A2706,F2707=F2706),1,0)</f>
        <v/>
      </c>
      <c r="I2707">
        <f>IF(C2707="C99999",1,0)</f>
        <v/>
      </c>
      <c r="J2707" s="5">
        <f>IF(OR(H2707=1,I2707=1),0,IF(G2707="Credit",-F2707,F2707))</f>
        <v/>
      </c>
    </row>
    <row r="2708">
      <c r="A2708" t="inlineStr">
        <is>
          <t>2026-07-27</t>
        </is>
      </c>
      <c r="B2708" t="inlineStr">
        <is>
          <t>F283957</t>
        </is>
      </c>
      <c r="C2708" t="inlineStr">
        <is>
          <t>C11254</t>
        </is>
      </c>
      <c r="D2708" t="inlineStr">
        <is>
          <t>SKU-10015</t>
        </is>
      </c>
      <c r="E2708" t="inlineStr">
        <is>
          <t>AM11</t>
        </is>
      </c>
      <c r="F2708" s="5" t="n">
        <v>539.99</v>
      </c>
      <c r="G2708">
        <f>IF(LEFT(B2708,1)="C","Credit","Factuur")</f>
        <v/>
      </c>
      <c r="H2708">
        <f>IF(AND(B2708=B2707,D2708=D2707,A2708=A2707,F2708=F2707),1,0)</f>
        <v/>
      </c>
      <c r="I2708">
        <f>IF(C2708="C99999",1,0)</f>
        <v/>
      </c>
      <c r="J2708" s="5">
        <f>IF(OR(H2708=1,I2708=1),0,IF(G2708="Credit",-F2708,F2708))</f>
        <v/>
      </c>
    </row>
    <row r="2709">
      <c r="A2709" t="inlineStr">
        <is>
          <t>2026-07-27</t>
        </is>
      </c>
      <c r="B2709" t="inlineStr">
        <is>
          <t>F283957</t>
        </is>
      </c>
      <c r="C2709" t="inlineStr">
        <is>
          <t>C11254</t>
        </is>
      </c>
      <c r="D2709" t="inlineStr">
        <is>
          <t>SKU-10254</t>
        </is>
      </c>
      <c r="E2709" t="inlineStr">
        <is>
          <t>AM11</t>
        </is>
      </c>
      <c r="F2709" s="5" t="n">
        <v>492.57</v>
      </c>
      <c r="G2709">
        <f>IF(LEFT(B2709,1)="C","Credit","Factuur")</f>
        <v/>
      </c>
      <c r="H2709">
        <f>IF(AND(B2709=B2708,D2709=D2708,A2709=A2708,F2709=F2708),1,0)</f>
        <v/>
      </c>
      <c r="I2709">
        <f>IF(C2709="C99999",1,0)</f>
        <v/>
      </c>
      <c r="J2709" s="5">
        <f>IF(OR(H2709=1,I2709=1),0,IF(G2709="Credit",-F2709,F2709))</f>
        <v/>
      </c>
    </row>
    <row r="2710">
      <c r="A2710" t="inlineStr">
        <is>
          <t>2026-07-27</t>
        </is>
      </c>
      <c r="B2710" t="inlineStr">
        <is>
          <t>F284892</t>
        </is>
      </c>
      <c r="C2710" t="inlineStr">
        <is>
          <t>C11302</t>
        </is>
      </c>
      <c r="D2710" t="inlineStr">
        <is>
          <t>SKU-10093</t>
        </is>
      </c>
      <c r="E2710" t="inlineStr">
        <is>
          <t>AM01</t>
        </is>
      </c>
      <c r="F2710" s="5" t="n">
        <v>387.56</v>
      </c>
      <c r="G2710">
        <f>IF(LEFT(B2710,1)="C","Credit","Factuur")</f>
        <v/>
      </c>
      <c r="H2710">
        <f>IF(AND(B2710=B2709,D2710=D2709,A2710=A2709,F2710=F2709),1,0)</f>
        <v/>
      </c>
      <c r="I2710">
        <f>IF(C2710="C99999",1,0)</f>
        <v/>
      </c>
      <c r="J2710" s="5">
        <f>IF(OR(H2710=1,I2710=1),0,IF(G2710="Credit",-F2710,F2710))</f>
        <v/>
      </c>
    </row>
    <row r="2711">
      <c r="A2711" t="inlineStr">
        <is>
          <t>2026-07-27</t>
        </is>
      </c>
      <c r="B2711" t="inlineStr">
        <is>
          <t>F284892</t>
        </is>
      </c>
      <c r="C2711" t="inlineStr">
        <is>
          <t>C11302</t>
        </is>
      </c>
      <c r="D2711" t="inlineStr">
        <is>
          <t>SKU-10096</t>
        </is>
      </c>
      <c r="E2711" t="inlineStr">
        <is>
          <t>AM01</t>
        </is>
      </c>
      <c r="F2711" s="5" t="n">
        <v>343.26</v>
      </c>
      <c r="G2711">
        <f>IF(LEFT(B2711,1)="C","Credit","Factuur")</f>
        <v/>
      </c>
      <c r="H2711">
        <f>IF(AND(B2711=B2710,D2711=D2710,A2711=A2710,F2711=F2710),1,0)</f>
        <v/>
      </c>
      <c r="I2711">
        <f>IF(C2711="C99999",1,0)</f>
        <v/>
      </c>
      <c r="J2711" s="5">
        <f>IF(OR(H2711=1,I2711=1),0,IF(G2711="Credit",-F2711,F2711))</f>
        <v/>
      </c>
    </row>
    <row r="2712">
      <c r="A2712" t="inlineStr">
        <is>
          <t>2026-07-27</t>
        </is>
      </c>
      <c r="B2712" t="inlineStr">
        <is>
          <t>F284892</t>
        </is>
      </c>
      <c r="C2712" t="inlineStr">
        <is>
          <t>C11302</t>
        </is>
      </c>
      <c r="D2712" t="inlineStr">
        <is>
          <t>SKU-10155</t>
        </is>
      </c>
      <c r="E2712" t="inlineStr">
        <is>
          <t>AM01</t>
        </is>
      </c>
      <c r="F2712" s="5" t="n">
        <v>340.86</v>
      </c>
      <c r="G2712">
        <f>IF(LEFT(B2712,1)="C","Credit","Factuur")</f>
        <v/>
      </c>
      <c r="H2712">
        <f>IF(AND(B2712=B2711,D2712=D2711,A2712=A2711,F2712=F2711),1,0)</f>
        <v/>
      </c>
      <c r="I2712">
        <f>IF(C2712="C99999",1,0)</f>
        <v/>
      </c>
      <c r="J2712" s="5">
        <f>IF(OR(H2712=1,I2712=1),0,IF(G2712="Credit",-F2712,F2712))</f>
        <v/>
      </c>
    </row>
    <row r="2713">
      <c r="A2713" t="inlineStr">
        <is>
          <t>2026-07-27</t>
        </is>
      </c>
      <c r="B2713" t="inlineStr">
        <is>
          <t>F284892</t>
        </is>
      </c>
      <c r="C2713" t="inlineStr">
        <is>
          <t>C11302</t>
        </is>
      </c>
      <c r="D2713" t="inlineStr">
        <is>
          <t>SKU-10334</t>
        </is>
      </c>
      <c r="E2713" t="inlineStr">
        <is>
          <t>AM01</t>
        </is>
      </c>
      <c r="F2713" s="5" t="n">
        <v>325.86</v>
      </c>
      <c r="G2713">
        <f>IF(LEFT(B2713,1)="C","Credit","Factuur")</f>
        <v/>
      </c>
      <c r="H2713">
        <f>IF(AND(B2713=B2712,D2713=D2712,A2713=A2712,F2713=F2712),1,0)</f>
        <v/>
      </c>
      <c r="I2713">
        <f>IF(C2713="C99999",1,0)</f>
        <v/>
      </c>
      <c r="J2713" s="5">
        <f>IF(OR(H2713=1,I2713=1),0,IF(G2713="Credit",-F2713,F2713))</f>
        <v/>
      </c>
    </row>
    <row r="2714">
      <c r="A2714" t="inlineStr">
        <is>
          <t>2026-07-27</t>
        </is>
      </c>
      <c r="B2714" t="inlineStr">
        <is>
          <t>F284892</t>
        </is>
      </c>
      <c r="C2714" t="inlineStr">
        <is>
          <t>C11302</t>
        </is>
      </c>
      <c r="D2714" t="inlineStr">
        <is>
          <t>SKU-10336</t>
        </is>
      </c>
      <c r="E2714" t="inlineStr">
        <is>
          <t>AM01</t>
        </is>
      </c>
      <c r="F2714" s="5" t="n">
        <v>345.66</v>
      </c>
      <c r="G2714">
        <f>IF(LEFT(B2714,1)="C","Credit","Factuur")</f>
        <v/>
      </c>
      <c r="H2714">
        <f>IF(AND(B2714=B2713,D2714=D2713,A2714=A2713,F2714=F2713),1,0)</f>
        <v/>
      </c>
      <c r="I2714">
        <f>IF(C2714="C99999",1,0)</f>
        <v/>
      </c>
      <c r="J2714" s="5">
        <f>IF(OR(H2714=1,I2714=1),0,IF(G2714="Credit",-F2714,F2714))</f>
        <v/>
      </c>
    </row>
    <row r="2715">
      <c r="A2715" t="inlineStr">
        <is>
          <t>2026-07-28</t>
        </is>
      </c>
      <c r="B2715" t="inlineStr">
        <is>
          <t>F260370</t>
        </is>
      </c>
      <c r="C2715" t="inlineStr">
        <is>
          <t>C10021</t>
        </is>
      </c>
      <c r="D2715" t="inlineStr">
        <is>
          <t>SKU-10233</t>
        </is>
      </c>
      <c r="E2715" t="inlineStr">
        <is>
          <t>AM07</t>
        </is>
      </c>
      <c r="F2715" s="5" t="n">
        <v>564.2</v>
      </c>
      <c r="G2715">
        <f>IF(LEFT(B2715,1)="C","Credit","Factuur")</f>
        <v/>
      </c>
      <c r="H2715">
        <f>IF(AND(B2715=B2714,D2715=D2714,A2715=A2714,F2715=F2714),1,0)</f>
        <v/>
      </c>
      <c r="I2715">
        <f>IF(C2715="C99999",1,0)</f>
        <v/>
      </c>
      <c r="J2715" s="5">
        <f>IF(OR(H2715=1,I2715=1),0,IF(G2715="Credit",-F2715,F2715))</f>
        <v/>
      </c>
    </row>
    <row r="2716">
      <c r="A2716" t="inlineStr">
        <is>
          <t>2026-07-28</t>
        </is>
      </c>
      <c r="B2716" t="inlineStr">
        <is>
          <t>F260370</t>
        </is>
      </c>
      <c r="C2716" t="inlineStr">
        <is>
          <t>C10021</t>
        </is>
      </c>
      <c r="D2716" t="inlineStr">
        <is>
          <t>SKU-10328</t>
        </is>
      </c>
      <c r="E2716" t="inlineStr">
        <is>
          <t>AM07</t>
        </is>
      </c>
      <c r="F2716" s="5" t="n">
        <v>562.3200000000001</v>
      </c>
      <c r="G2716">
        <f>IF(LEFT(B2716,1)="C","Credit","Factuur")</f>
        <v/>
      </c>
      <c r="H2716">
        <f>IF(AND(B2716=B2715,D2716=D2715,A2716=A2715,F2716=F2715),1,0)</f>
        <v/>
      </c>
      <c r="I2716">
        <f>IF(C2716="C99999",1,0)</f>
        <v/>
      </c>
      <c r="J2716" s="5">
        <f>IF(OR(H2716=1,I2716=1),0,IF(G2716="Credit",-F2716,F2716))</f>
        <v/>
      </c>
    </row>
    <row r="2717">
      <c r="A2717" t="inlineStr">
        <is>
          <t>2026-07-28</t>
        </is>
      </c>
      <c r="B2717" t="inlineStr">
        <is>
          <t>F260370</t>
        </is>
      </c>
      <c r="C2717" t="inlineStr">
        <is>
          <t>C10021</t>
        </is>
      </c>
      <c r="D2717" t="inlineStr">
        <is>
          <t>SKU-10345</t>
        </is>
      </c>
      <c r="E2717" t="inlineStr">
        <is>
          <t>AM07</t>
        </is>
      </c>
      <c r="F2717" s="5" t="n">
        <v>577.76</v>
      </c>
      <c r="G2717">
        <f>IF(LEFT(B2717,1)="C","Credit","Factuur")</f>
        <v/>
      </c>
      <c r="H2717">
        <f>IF(AND(B2717=B2716,D2717=D2716,A2717=A2716,F2717=F2716),1,0)</f>
        <v/>
      </c>
      <c r="I2717">
        <f>IF(C2717="C99999",1,0)</f>
        <v/>
      </c>
      <c r="J2717" s="5">
        <f>IF(OR(H2717=1,I2717=1),0,IF(G2717="Credit",-F2717,F2717))</f>
        <v/>
      </c>
    </row>
    <row r="2718">
      <c r="A2718" t="inlineStr">
        <is>
          <t>2026-07-28</t>
        </is>
      </c>
      <c r="B2718" t="inlineStr">
        <is>
          <t>F260562</t>
        </is>
      </c>
      <c r="C2718" t="inlineStr">
        <is>
          <t>C10031</t>
        </is>
      </c>
      <c r="D2718" t="inlineStr">
        <is>
          <t>SKU-10057</t>
        </is>
      </c>
      <c r="E2718" t="inlineStr">
        <is>
          <t>AM07</t>
        </is>
      </c>
      <c r="F2718" s="5" t="n">
        <v>415.8</v>
      </c>
      <c r="G2718">
        <f>IF(LEFT(B2718,1)="C","Credit","Factuur")</f>
        <v/>
      </c>
      <c r="H2718">
        <f>IF(AND(B2718=B2717,D2718=D2717,A2718=A2717,F2718=F2717),1,0)</f>
        <v/>
      </c>
      <c r="I2718">
        <f>IF(C2718="C99999",1,0)</f>
        <v/>
      </c>
      <c r="J2718" s="5">
        <f>IF(OR(H2718=1,I2718=1),0,IF(G2718="Credit",-F2718,F2718))</f>
        <v/>
      </c>
    </row>
    <row r="2719">
      <c r="A2719" t="inlineStr">
        <is>
          <t>2026-07-28</t>
        </is>
      </c>
      <c r="B2719" t="inlineStr">
        <is>
          <t>F260562</t>
        </is>
      </c>
      <c r="C2719" t="inlineStr">
        <is>
          <t>C10031</t>
        </is>
      </c>
      <c r="D2719" t="inlineStr">
        <is>
          <t>SKU-10204</t>
        </is>
      </c>
      <c r="E2719" t="inlineStr">
        <is>
          <t>AM07</t>
        </is>
      </c>
      <c r="F2719" s="5" t="n">
        <v>463.5</v>
      </c>
      <c r="G2719">
        <f>IF(LEFT(B2719,1)="C","Credit","Factuur")</f>
        <v/>
      </c>
      <c r="H2719">
        <f>IF(AND(B2719=B2718,D2719=D2718,A2719=A2718,F2719=F2718),1,0)</f>
        <v/>
      </c>
      <c r="I2719">
        <f>IF(C2719="C99999",1,0)</f>
        <v/>
      </c>
      <c r="J2719" s="5">
        <f>IF(OR(H2719=1,I2719=1),0,IF(G2719="Credit",-F2719,F2719))</f>
        <v/>
      </c>
    </row>
    <row r="2720">
      <c r="A2720" t="inlineStr">
        <is>
          <t>2026-07-28</t>
        </is>
      </c>
      <c r="B2720" t="inlineStr">
        <is>
          <t>F260562</t>
        </is>
      </c>
      <c r="C2720" t="inlineStr">
        <is>
          <t>C10031</t>
        </is>
      </c>
      <c r="D2720" t="inlineStr">
        <is>
          <t>SKU-10216</t>
        </is>
      </c>
      <c r="E2720" t="inlineStr">
        <is>
          <t>AM07</t>
        </is>
      </c>
      <c r="F2720" s="5" t="n">
        <v>391.96</v>
      </c>
      <c r="G2720">
        <f>IF(LEFT(B2720,1)="C","Credit","Factuur")</f>
        <v/>
      </c>
      <c r="H2720">
        <f>IF(AND(B2720=B2719,D2720=D2719,A2720=A2719,F2720=F2719),1,0)</f>
        <v/>
      </c>
      <c r="I2720">
        <f>IF(C2720="C99999",1,0)</f>
        <v/>
      </c>
      <c r="J2720" s="5">
        <f>IF(OR(H2720=1,I2720=1),0,IF(G2720="Credit",-F2720,F2720))</f>
        <v/>
      </c>
    </row>
    <row r="2721">
      <c r="A2721" t="inlineStr">
        <is>
          <t>2026-07-28</t>
        </is>
      </c>
      <c r="B2721" t="inlineStr">
        <is>
          <t>F260562</t>
        </is>
      </c>
      <c r="C2721" t="inlineStr">
        <is>
          <t>C10031</t>
        </is>
      </c>
      <c r="D2721" t="inlineStr">
        <is>
          <t>SKU-10254</t>
        </is>
      </c>
      <c r="E2721" t="inlineStr">
        <is>
          <t>AM07</t>
        </is>
      </c>
      <c r="F2721" s="5" t="n">
        <v>457.5</v>
      </c>
      <c r="G2721">
        <f>IF(LEFT(B2721,1)="C","Credit","Factuur")</f>
        <v/>
      </c>
      <c r="H2721">
        <f>IF(AND(B2721=B2720,D2721=D2720,A2721=A2720,F2721=F2720),1,0)</f>
        <v/>
      </c>
      <c r="I2721">
        <f>IF(C2721="C99999",1,0)</f>
        <v/>
      </c>
      <c r="J2721" s="5">
        <f>IF(OR(H2721=1,I2721=1),0,IF(G2721="Credit",-F2721,F2721))</f>
        <v/>
      </c>
    </row>
    <row r="2722">
      <c r="A2722" t="inlineStr">
        <is>
          <t>2026-07-28</t>
        </is>
      </c>
      <c r="B2722" t="inlineStr">
        <is>
          <t>F260728</t>
        </is>
      </c>
      <c r="C2722" t="inlineStr">
        <is>
          <t>C10045</t>
        </is>
      </c>
      <c r="D2722" t="inlineStr">
        <is>
          <t>SKU-10069</t>
        </is>
      </c>
      <c r="E2722" t="inlineStr">
        <is>
          <t>AM12</t>
        </is>
      </c>
      <c r="F2722" s="5" t="n">
        <v>335.6</v>
      </c>
      <c r="G2722">
        <f>IF(LEFT(B2722,1)="C","Credit","Factuur")</f>
        <v/>
      </c>
      <c r="H2722">
        <f>IF(AND(B2722=B2721,D2722=D2721,A2722=A2721,F2722=F2721),1,0)</f>
        <v/>
      </c>
      <c r="I2722">
        <f>IF(C2722="C99999",1,0)</f>
        <v/>
      </c>
      <c r="J2722" s="5">
        <f>IF(OR(H2722=1,I2722=1),0,IF(G2722="Credit",-F2722,F2722))</f>
        <v/>
      </c>
    </row>
    <row r="2723">
      <c r="A2723" t="inlineStr">
        <is>
          <t>2026-07-28</t>
        </is>
      </c>
      <c r="B2723" t="inlineStr">
        <is>
          <t>F260728</t>
        </is>
      </c>
      <c r="C2723" t="inlineStr">
        <is>
          <t>C10045</t>
        </is>
      </c>
      <c r="D2723" t="inlineStr">
        <is>
          <t>SKU-10147</t>
        </is>
      </c>
      <c r="E2723" t="inlineStr">
        <is>
          <t>AM12</t>
        </is>
      </c>
      <c r="F2723" s="5" t="n">
        <v>335.35</v>
      </c>
      <c r="G2723">
        <f>IF(LEFT(B2723,1)="C","Credit","Factuur")</f>
        <v/>
      </c>
      <c r="H2723">
        <f>IF(AND(B2723=B2722,D2723=D2722,A2723=A2722,F2723=F2722),1,0)</f>
        <v/>
      </c>
      <c r="I2723">
        <f>IF(C2723="C99999",1,0)</f>
        <v/>
      </c>
      <c r="J2723" s="5">
        <f>IF(OR(H2723=1,I2723=1),0,IF(G2723="Credit",-F2723,F2723))</f>
        <v/>
      </c>
    </row>
    <row r="2724">
      <c r="A2724" t="inlineStr">
        <is>
          <t>2026-07-28</t>
        </is>
      </c>
      <c r="B2724" t="inlineStr">
        <is>
          <t>F260802</t>
        </is>
      </c>
      <c r="C2724" t="inlineStr">
        <is>
          <t>C10048</t>
        </is>
      </c>
      <c r="D2724" t="inlineStr">
        <is>
          <t>SKU-10159</t>
        </is>
      </c>
      <c r="E2724" t="inlineStr">
        <is>
          <t>AM07</t>
        </is>
      </c>
      <c r="F2724" s="5" t="n">
        <v>380.99</v>
      </c>
      <c r="G2724">
        <f>IF(LEFT(B2724,1)="C","Credit","Factuur")</f>
        <v/>
      </c>
      <c r="H2724">
        <f>IF(AND(B2724=B2723,D2724=D2723,A2724=A2723,F2724=F2723),1,0)</f>
        <v/>
      </c>
      <c r="I2724">
        <f>IF(C2724="C99999",1,0)</f>
        <v/>
      </c>
      <c r="J2724" s="5">
        <f>IF(OR(H2724=1,I2724=1),0,IF(G2724="Credit",-F2724,F2724))</f>
        <v/>
      </c>
    </row>
    <row r="2725">
      <c r="A2725" t="inlineStr">
        <is>
          <t>2026-07-28</t>
        </is>
      </c>
      <c r="B2725" t="inlineStr">
        <is>
          <t>F260804</t>
        </is>
      </c>
      <c r="C2725" t="inlineStr">
        <is>
          <t>C10048</t>
        </is>
      </c>
      <c r="D2725" t="inlineStr">
        <is>
          <t>SKU-10081</t>
        </is>
      </c>
      <c r="E2725" t="inlineStr">
        <is>
          <t>AM07</t>
        </is>
      </c>
      <c r="F2725" s="5" t="n">
        <v>190.71</v>
      </c>
      <c r="G2725">
        <f>IF(LEFT(B2725,1)="C","Credit","Factuur")</f>
        <v/>
      </c>
      <c r="H2725">
        <f>IF(AND(B2725=B2724,D2725=D2724,A2725=A2724,F2725=F2724),1,0)</f>
        <v/>
      </c>
      <c r="I2725">
        <f>IF(C2725="C99999",1,0)</f>
        <v/>
      </c>
      <c r="J2725" s="5">
        <f>IF(OR(H2725=1,I2725=1),0,IF(G2725="Credit",-F2725,F2725))</f>
        <v/>
      </c>
    </row>
    <row r="2726">
      <c r="A2726" t="inlineStr">
        <is>
          <t>2026-07-28</t>
        </is>
      </c>
      <c r="B2726" t="inlineStr">
        <is>
          <t>F260804</t>
        </is>
      </c>
      <c r="C2726" t="inlineStr">
        <is>
          <t>C10048</t>
        </is>
      </c>
      <c r="D2726" t="inlineStr">
        <is>
          <t>SKU-10128</t>
        </is>
      </c>
      <c r="E2726" t="inlineStr">
        <is>
          <t>AM07</t>
        </is>
      </c>
      <c r="F2726" s="5" t="n">
        <v>178.55</v>
      </c>
      <c r="G2726">
        <f>IF(LEFT(B2726,1)="C","Credit","Factuur")</f>
        <v/>
      </c>
      <c r="H2726">
        <f>IF(AND(B2726=B2725,D2726=D2725,A2726=A2725,F2726=F2725),1,0)</f>
        <v/>
      </c>
      <c r="I2726">
        <f>IF(C2726="C99999",1,0)</f>
        <v/>
      </c>
      <c r="J2726" s="5">
        <f>IF(OR(H2726=1,I2726=1),0,IF(G2726="Credit",-F2726,F2726))</f>
        <v/>
      </c>
    </row>
    <row r="2727">
      <c r="A2727" t="inlineStr">
        <is>
          <t>2026-07-28</t>
        </is>
      </c>
      <c r="B2727" t="inlineStr">
        <is>
          <t>F260804</t>
        </is>
      </c>
      <c r="C2727" t="inlineStr">
        <is>
          <t>C10048</t>
        </is>
      </c>
      <c r="D2727" t="inlineStr">
        <is>
          <t>SKU-10193</t>
        </is>
      </c>
      <c r="E2727" t="inlineStr">
        <is>
          <t>AM07</t>
        </is>
      </c>
      <c r="F2727" s="5" t="n">
        <v>203.3</v>
      </c>
      <c r="G2727">
        <f>IF(LEFT(B2727,1)="C","Credit","Factuur")</f>
        <v/>
      </c>
      <c r="H2727">
        <f>IF(AND(B2727=B2726,D2727=D2726,A2727=A2726,F2727=F2726),1,0)</f>
        <v/>
      </c>
      <c r="I2727">
        <f>IF(C2727="C99999",1,0)</f>
        <v/>
      </c>
      <c r="J2727" s="5">
        <f>IF(OR(H2727=1,I2727=1),0,IF(G2727="Credit",-F2727,F2727))</f>
        <v/>
      </c>
    </row>
    <row r="2728">
      <c r="A2728" t="inlineStr">
        <is>
          <t>2026-07-28</t>
        </is>
      </c>
      <c r="B2728" t="inlineStr">
        <is>
          <t>F260804</t>
        </is>
      </c>
      <c r="C2728" t="inlineStr">
        <is>
          <t>C10048</t>
        </is>
      </c>
      <c r="D2728" t="inlineStr">
        <is>
          <t>SKU-10280</t>
        </is>
      </c>
      <c r="E2728" t="inlineStr">
        <is>
          <t>AM07</t>
        </is>
      </c>
      <c r="F2728" s="5" t="n">
        <v>185.01</v>
      </c>
      <c r="G2728">
        <f>IF(LEFT(B2728,1)="C","Credit","Factuur")</f>
        <v/>
      </c>
      <c r="H2728">
        <f>IF(AND(B2728=B2727,D2728=D2727,A2728=A2727,F2728=F2727),1,0)</f>
        <v/>
      </c>
      <c r="I2728">
        <f>IF(C2728="C99999",1,0)</f>
        <v/>
      </c>
      <c r="J2728" s="5">
        <f>IF(OR(H2728=1,I2728=1),0,IF(G2728="Credit",-F2728,F2728))</f>
        <v/>
      </c>
    </row>
    <row r="2729">
      <c r="A2729" t="inlineStr">
        <is>
          <t>2026-07-28</t>
        </is>
      </c>
      <c r="B2729" t="inlineStr">
        <is>
          <t>F260955</t>
        </is>
      </c>
      <c r="C2729" t="inlineStr">
        <is>
          <t>C10054</t>
        </is>
      </c>
      <c r="D2729" t="inlineStr">
        <is>
          <t>SKU-10024</t>
        </is>
      </c>
      <c r="E2729" t="inlineStr">
        <is>
          <t>AM01</t>
        </is>
      </c>
      <c r="F2729" s="5" t="n">
        <v>123.22</v>
      </c>
      <c r="G2729">
        <f>IF(LEFT(B2729,1)="C","Credit","Factuur")</f>
        <v/>
      </c>
      <c r="H2729">
        <f>IF(AND(B2729=B2728,D2729=D2728,A2729=A2728,F2729=F2728),1,0)</f>
        <v/>
      </c>
      <c r="I2729">
        <f>IF(C2729="C99999",1,0)</f>
        <v/>
      </c>
      <c r="J2729" s="5">
        <f>IF(OR(H2729=1,I2729=1),0,IF(G2729="Credit",-F2729,F2729))</f>
        <v/>
      </c>
    </row>
    <row r="2730">
      <c r="A2730" t="inlineStr">
        <is>
          <t>2026-07-28</t>
        </is>
      </c>
      <c r="B2730" t="inlineStr">
        <is>
          <t>F260955</t>
        </is>
      </c>
      <c r="C2730" t="inlineStr">
        <is>
          <t>C10054</t>
        </is>
      </c>
      <c r="D2730" t="inlineStr">
        <is>
          <t>SKU-10062</t>
        </is>
      </c>
      <c r="E2730" t="inlineStr">
        <is>
          <t>AM01</t>
        </is>
      </c>
      <c r="F2730" s="5" t="n">
        <v>147.14</v>
      </c>
      <c r="G2730">
        <f>IF(LEFT(B2730,1)="C","Credit","Factuur")</f>
        <v/>
      </c>
      <c r="H2730">
        <f>IF(AND(B2730=B2729,D2730=D2729,A2730=A2729,F2730=F2729),1,0)</f>
        <v/>
      </c>
      <c r="I2730">
        <f>IF(C2730="C99999",1,0)</f>
        <v/>
      </c>
      <c r="J2730" s="5">
        <f>IF(OR(H2730=1,I2730=1),0,IF(G2730="Credit",-F2730,F2730))</f>
        <v/>
      </c>
    </row>
    <row r="2731">
      <c r="A2731" t="inlineStr">
        <is>
          <t>2026-07-28</t>
        </is>
      </c>
      <c r="B2731" t="inlineStr">
        <is>
          <t>F260955</t>
        </is>
      </c>
      <c r="C2731" t="inlineStr">
        <is>
          <t>C10054</t>
        </is>
      </c>
      <c r="D2731" t="inlineStr">
        <is>
          <t>SKU-10080</t>
        </is>
      </c>
      <c r="E2731" t="inlineStr">
        <is>
          <t>AM01</t>
        </is>
      </c>
      <c r="F2731" s="5" t="n">
        <v>131.73</v>
      </c>
      <c r="G2731">
        <f>IF(LEFT(B2731,1)="C","Credit","Factuur")</f>
        <v/>
      </c>
      <c r="H2731">
        <f>IF(AND(B2731=B2730,D2731=D2730,A2731=A2730,F2731=F2730),1,0)</f>
        <v/>
      </c>
      <c r="I2731">
        <f>IF(C2731="C99999",1,0)</f>
        <v/>
      </c>
      <c r="J2731" s="5">
        <f>IF(OR(H2731=1,I2731=1),0,IF(G2731="Credit",-F2731,F2731))</f>
        <v/>
      </c>
    </row>
    <row r="2732">
      <c r="A2732" t="inlineStr">
        <is>
          <t>2026-07-28</t>
        </is>
      </c>
      <c r="B2732" t="inlineStr">
        <is>
          <t>F261170</t>
        </is>
      </c>
      <c r="C2732" t="inlineStr">
        <is>
          <t>C10065</t>
        </is>
      </c>
      <c r="D2732" t="inlineStr">
        <is>
          <t>SKU-10004</t>
        </is>
      </c>
      <c r="E2732" t="inlineStr">
        <is>
          <t>AM01</t>
        </is>
      </c>
      <c r="F2732" s="5" t="n">
        <v>223.3</v>
      </c>
      <c r="G2732">
        <f>IF(LEFT(B2732,1)="C","Credit","Factuur")</f>
        <v/>
      </c>
      <c r="H2732">
        <f>IF(AND(B2732=B2731,D2732=D2731,A2732=A2731,F2732=F2731),1,0)</f>
        <v/>
      </c>
      <c r="I2732">
        <f>IF(C2732="C99999",1,0)</f>
        <v/>
      </c>
      <c r="J2732" s="5">
        <f>IF(OR(H2732=1,I2732=1),0,IF(G2732="Credit",-F2732,F2732))</f>
        <v/>
      </c>
    </row>
    <row r="2733">
      <c r="A2733" t="inlineStr">
        <is>
          <t>2026-07-28</t>
        </is>
      </c>
      <c r="B2733" t="inlineStr">
        <is>
          <t>F261170</t>
        </is>
      </c>
      <c r="C2733" t="inlineStr">
        <is>
          <t>C10065</t>
        </is>
      </c>
      <c r="D2733" t="inlineStr">
        <is>
          <t>SKU-10043</t>
        </is>
      </c>
      <c r="E2733" t="inlineStr">
        <is>
          <t>AM01</t>
        </is>
      </c>
      <c r="F2733" s="5" t="n">
        <v>222.6</v>
      </c>
      <c r="G2733">
        <f>IF(LEFT(B2733,1)="C","Credit","Factuur")</f>
        <v/>
      </c>
      <c r="H2733">
        <f>IF(AND(B2733=B2732,D2733=D2732,A2733=A2732,F2733=F2732),1,0)</f>
        <v/>
      </c>
      <c r="I2733">
        <f>IF(C2733="C99999",1,0)</f>
        <v/>
      </c>
      <c r="J2733" s="5">
        <f>IF(OR(H2733=1,I2733=1),0,IF(G2733="Credit",-F2733,F2733))</f>
        <v/>
      </c>
    </row>
    <row r="2734">
      <c r="A2734" t="inlineStr">
        <is>
          <t>2026-07-28</t>
        </is>
      </c>
      <c r="B2734" t="inlineStr">
        <is>
          <t>F261170</t>
        </is>
      </c>
      <c r="C2734" t="inlineStr">
        <is>
          <t>C10065</t>
        </is>
      </c>
      <c r="D2734" t="inlineStr">
        <is>
          <t>SKU-10334</t>
        </is>
      </c>
      <c r="E2734" t="inlineStr">
        <is>
          <t>AM01</t>
        </is>
      </c>
      <c r="F2734" s="5" t="n">
        <v>206.38</v>
      </c>
      <c r="G2734">
        <f>IF(LEFT(B2734,1)="C","Credit","Factuur")</f>
        <v/>
      </c>
      <c r="H2734">
        <f>IF(AND(B2734=B2733,D2734=D2733,A2734=A2733,F2734=F2733),1,0)</f>
        <v/>
      </c>
      <c r="I2734">
        <f>IF(C2734="C99999",1,0)</f>
        <v/>
      </c>
      <c r="J2734" s="5">
        <f>IF(OR(H2734=1,I2734=1),0,IF(G2734="Credit",-F2734,F2734))</f>
        <v/>
      </c>
    </row>
    <row r="2735">
      <c r="A2735" t="inlineStr">
        <is>
          <t>2026-07-28</t>
        </is>
      </c>
      <c r="B2735" t="inlineStr">
        <is>
          <t>F261170</t>
        </is>
      </c>
      <c r="C2735" t="inlineStr">
        <is>
          <t>C10065</t>
        </is>
      </c>
      <c r="D2735" t="inlineStr">
        <is>
          <t>SKU-10372</t>
        </is>
      </c>
      <c r="E2735" t="inlineStr">
        <is>
          <t>AM01</t>
        </is>
      </c>
      <c r="F2735" s="5" t="n">
        <v>271.56</v>
      </c>
      <c r="G2735">
        <f>IF(LEFT(B2735,1)="C","Credit","Factuur")</f>
        <v/>
      </c>
      <c r="H2735">
        <f>IF(AND(B2735=B2734,D2735=D2734,A2735=A2734,F2735=F2734),1,0)</f>
        <v/>
      </c>
      <c r="I2735">
        <f>IF(C2735="C99999",1,0)</f>
        <v/>
      </c>
      <c r="J2735" s="5">
        <f>IF(OR(H2735=1,I2735=1),0,IF(G2735="Credit",-F2735,F2735))</f>
        <v/>
      </c>
    </row>
    <row r="2736">
      <c r="A2736" t="inlineStr">
        <is>
          <t>2026-07-28</t>
        </is>
      </c>
      <c r="B2736" t="inlineStr">
        <is>
          <t>F261826</t>
        </is>
      </c>
      <c r="C2736" t="inlineStr">
        <is>
          <t>C10097</t>
        </is>
      </c>
      <c r="D2736" t="inlineStr">
        <is>
          <t>SKU-10336</t>
        </is>
      </c>
      <c r="E2736" t="inlineStr">
        <is>
          <t>AM03</t>
        </is>
      </c>
      <c r="F2736" s="5" t="n">
        <v>740.7</v>
      </c>
      <c r="G2736">
        <f>IF(LEFT(B2736,1)="C","Credit","Factuur")</f>
        <v/>
      </c>
      <c r="H2736">
        <f>IF(AND(B2736=B2735,D2736=D2735,A2736=A2735,F2736=F2735),1,0)</f>
        <v/>
      </c>
      <c r="I2736">
        <f>IF(C2736="C99999",1,0)</f>
        <v/>
      </c>
      <c r="J2736" s="5">
        <f>IF(OR(H2736=1,I2736=1),0,IF(G2736="Credit",-F2736,F2736))</f>
        <v/>
      </c>
    </row>
    <row r="2737">
      <c r="A2737" t="inlineStr">
        <is>
          <t>2026-07-28</t>
        </is>
      </c>
      <c r="B2737" t="inlineStr">
        <is>
          <t>F262023</t>
        </is>
      </c>
      <c r="C2737" t="inlineStr">
        <is>
          <t>C10108</t>
        </is>
      </c>
      <c r="D2737" t="inlineStr">
        <is>
          <t>SKU-10046</t>
        </is>
      </c>
      <c r="E2737" t="inlineStr">
        <is>
          <t>AM07</t>
        </is>
      </c>
      <c r="F2737" s="5" t="n">
        <v>444.36</v>
      </c>
      <c r="G2737">
        <f>IF(LEFT(B2737,1)="C","Credit","Factuur")</f>
        <v/>
      </c>
      <c r="H2737">
        <f>IF(AND(B2737=B2736,D2737=D2736,A2737=A2736,F2737=F2736),1,0)</f>
        <v/>
      </c>
      <c r="I2737">
        <f>IF(C2737="C99999",1,0)</f>
        <v/>
      </c>
      <c r="J2737" s="5">
        <f>IF(OR(H2737=1,I2737=1),0,IF(G2737="Credit",-F2737,F2737))</f>
        <v/>
      </c>
    </row>
    <row r="2738">
      <c r="A2738" t="inlineStr">
        <is>
          <t>2026-07-28</t>
        </is>
      </c>
      <c r="B2738" t="inlineStr">
        <is>
          <t>F262023</t>
        </is>
      </c>
      <c r="C2738" t="inlineStr">
        <is>
          <t>C10108</t>
        </is>
      </c>
      <c r="D2738" t="inlineStr">
        <is>
          <t>SKU-10296</t>
        </is>
      </c>
      <c r="E2738" t="inlineStr">
        <is>
          <t>AM07</t>
        </is>
      </c>
      <c r="F2738" s="5" t="n">
        <v>441.76</v>
      </c>
      <c r="G2738">
        <f>IF(LEFT(B2738,1)="C","Credit","Factuur")</f>
        <v/>
      </c>
      <c r="H2738">
        <f>IF(AND(B2738=B2737,D2738=D2737,A2738=A2737,F2738=F2737),1,0)</f>
        <v/>
      </c>
      <c r="I2738">
        <f>IF(C2738="C99999",1,0)</f>
        <v/>
      </c>
      <c r="J2738" s="5">
        <f>IF(OR(H2738=1,I2738=1),0,IF(G2738="Credit",-F2738,F2738))</f>
        <v/>
      </c>
    </row>
    <row r="2739">
      <c r="A2739" t="inlineStr">
        <is>
          <t>2026-07-28</t>
        </is>
      </c>
      <c r="B2739" t="inlineStr">
        <is>
          <t>F262696</t>
        </is>
      </c>
      <c r="C2739" t="inlineStr">
        <is>
          <t>C10146</t>
        </is>
      </c>
      <c r="D2739" t="inlineStr">
        <is>
          <t>SKU-10187</t>
        </is>
      </c>
      <c r="E2739" t="inlineStr">
        <is>
          <t>AM07</t>
        </is>
      </c>
      <c r="F2739" s="5" t="n">
        <v>731.2</v>
      </c>
      <c r="G2739">
        <f>IF(LEFT(B2739,1)="C","Credit","Factuur")</f>
        <v/>
      </c>
      <c r="H2739">
        <f>IF(AND(B2739=B2738,D2739=D2738,A2739=A2738,F2739=F2738),1,0)</f>
        <v/>
      </c>
      <c r="I2739">
        <f>IF(C2739="C99999",1,0)</f>
        <v/>
      </c>
      <c r="J2739" s="5">
        <f>IF(OR(H2739=1,I2739=1),0,IF(G2739="Credit",-F2739,F2739))</f>
        <v/>
      </c>
    </row>
    <row r="2740">
      <c r="A2740" t="inlineStr">
        <is>
          <t>2026-07-28</t>
        </is>
      </c>
      <c r="B2740" t="inlineStr">
        <is>
          <t>F262696</t>
        </is>
      </c>
      <c r="C2740" t="inlineStr">
        <is>
          <t>C10146</t>
        </is>
      </c>
      <c r="D2740" t="inlineStr">
        <is>
          <t>SKU-10226</t>
        </is>
      </c>
      <c r="E2740" t="inlineStr">
        <is>
          <t>AM07</t>
        </is>
      </c>
      <c r="F2740" s="5" t="n">
        <v>728.7</v>
      </c>
      <c r="G2740">
        <f>IF(LEFT(B2740,1)="C","Credit","Factuur")</f>
        <v/>
      </c>
      <c r="H2740">
        <f>IF(AND(B2740=B2739,D2740=D2739,A2740=A2739,F2740=F2739),1,0)</f>
        <v/>
      </c>
      <c r="I2740">
        <f>IF(C2740="C99999",1,0)</f>
        <v/>
      </c>
      <c r="J2740" s="5">
        <f>IF(OR(H2740=1,I2740=1),0,IF(G2740="Credit",-F2740,F2740))</f>
        <v/>
      </c>
    </row>
    <row r="2741">
      <c r="A2741" t="inlineStr">
        <is>
          <t>2026-07-28</t>
        </is>
      </c>
      <c r="B2741" t="inlineStr">
        <is>
          <t>F262696</t>
        </is>
      </c>
      <c r="C2741" t="inlineStr">
        <is>
          <t>C10146</t>
        </is>
      </c>
      <c r="D2741" t="inlineStr">
        <is>
          <t>SKU-10273</t>
        </is>
      </c>
      <c r="E2741" t="inlineStr">
        <is>
          <t>AM07</t>
        </is>
      </c>
      <c r="F2741" s="5" t="n">
        <v>701.8200000000001</v>
      </c>
      <c r="G2741">
        <f>IF(LEFT(B2741,1)="C","Credit","Factuur")</f>
        <v/>
      </c>
      <c r="H2741">
        <f>IF(AND(B2741=B2740,D2741=D2740,A2741=A2740,F2741=F2740),1,0)</f>
        <v/>
      </c>
      <c r="I2741">
        <f>IF(C2741="C99999",1,0)</f>
        <v/>
      </c>
      <c r="J2741" s="5">
        <f>IF(OR(H2741=1,I2741=1),0,IF(G2741="Credit",-F2741,F2741))</f>
        <v/>
      </c>
    </row>
    <row r="2742">
      <c r="A2742" t="inlineStr">
        <is>
          <t>2026-07-28</t>
        </is>
      </c>
      <c r="B2742" t="inlineStr">
        <is>
          <t>F264998</t>
        </is>
      </c>
      <c r="C2742" t="inlineStr">
        <is>
          <t>C10261</t>
        </is>
      </c>
      <c r="D2742" t="inlineStr">
        <is>
          <t>SKU-10111</t>
        </is>
      </c>
      <c r="E2742" t="inlineStr">
        <is>
          <t>AM03</t>
        </is>
      </c>
      <c r="F2742" s="5" t="n">
        <v>829.5700000000001</v>
      </c>
      <c r="G2742">
        <f>IF(LEFT(B2742,1)="C","Credit","Factuur")</f>
        <v/>
      </c>
      <c r="H2742">
        <f>IF(AND(B2742=B2741,D2742=D2741,A2742=A2741,F2742=F2741),1,0)</f>
        <v/>
      </c>
      <c r="I2742">
        <f>IF(C2742="C99999",1,0)</f>
        <v/>
      </c>
      <c r="J2742" s="5">
        <f>IF(OR(H2742=1,I2742=1),0,IF(G2742="Credit",-F2742,F2742))</f>
        <v/>
      </c>
    </row>
    <row r="2743">
      <c r="A2743" t="inlineStr">
        <is>
          <t>2026-07-28</t>
        </is>
      </c>
      <c r="B2743" t="inlineStr">
        <is>
          <t>F265117</t>
        </is>
      </c>
      <c r="C2743" t="inlineStr">
        <is>
          <t>C10270</t>
        </is>
      </c>
      <c r="D2743" t="inlineStr">
        <is>
          <t>SKU-10317</t>
        </is>
      </c>
      <c r="E2743" t="inlineStr">
        <is>
          <t>AM02</t>
        </is>
      </c>
      <c r="F2743" s="5" t="n">
        <v>221.68</v>
      </c>
      <c r="G2743">
        <f>IF(LEFT(B2743,1)="C","Credit","Factuur")</f>
        <v/>
      </c>
      <c r="H2743">
        <f>IF(AND(B2743=B2742,D2743=D2742,A2743=A2742,F2743=F2742),1,0)</f>
        <v/>
      </c>
      <c r="I2743">
        <f>IF(C2743="C99999",1,0)</f>
        <v/>
      </c>
      <c r="J2743" s="5">
        <f>IF(OR(H2743=1,I2743=1),0,IF(G2743="Credit",-F2743,F2743))</f>
        <v/>
      </c>
    </row>
    <row r="2744">
      <c r="A2744" t="inlineStr">
        <is>
          <t>2026-07-28</t>
        </is>
      </c>
      <c r="B2744" t="inlineStr">
        <is>
          <t>F265117</t>
        </is>
      </c>
      <c r="C2744" t="inlineStr">
        <is>
          <t>C10270</t>
        </is>
      </c>
      <c r="D2744" t="inlineStr">
        <is>
          <t>SKU-10326</t>
        </is>
      </c>
      <c r="E2744" t="inlineStr">
        <is>
          <t>AM02</t>
        </is>
      </c>
      <c r="F2744" s="5" t="n">
        <v>225.15</v>
      </c>
      <c r="G2744">
        <f>IF(LEFT(B2744,1)="C","Credit","Factuur")</f>
        <v/>
      </c>
      <c r="H2744">
        <f>IF(AND(B2744=B2743,D2744=D2743,A2744=A2743,F2744=F2743),1,0)</f>
        <v/>
      </c>
      <c r="I2744">
        <f>IF(C2744="C99999",1,0)</f>
        <v/>
      </c>
      <c r="J2744" s="5">
        <f>IF(OR(H2744=1,I2744=1),0,IF(G2744="Credit",-F2744,F2744))</f>
        <v/>
      </c>
    </row>
    <row r="2745">
      <c r="A2745" t="inlineStr">
        <is>
          <t>2026-07-28</t>
        </is>
      </c>
      <c r="B2745" t="inlineStr">
        <is>
          <t>F265631</t>
        </is>
      </c>
      <c r="C2745" t="inlineStr">
        <is>
          <t>C10295</t>
        </is>
      </c>
      <c r="D2745" t="inlineStr">
        <is>
          <t>SKU-10332</t>
        </is>
      </c>
      <c r="E2745" t="inlineStr">
        <is>
          <t>AM08</t>
        </is>
      </c>
      <c r="F2745" s="5" t="n">
        <v>1668.29</v>
      </c>
      <c r="G2745">
        <f>IF(LEFT(B2745,1)="C","Credit","Factuur")</f>
        <v/>
      </c>
      <c r="H2745">
        <f>IF(AND(B2745=B2744,D2745=D2744,A2745=A2744,F2745=F2744),1,0)</f>
        <v/>
      </c>
      <c r="I2745">
        <f>IF(C2745="C99999",1,0)</f>
        <v/>
      </c>
      <c r="J2745" s="5">
        <f>IF(OR(H2745=1,I2745=1),0,IF(G2745="Credit",-F2745,F2745))</f>
        <v/>
      </c>
    </row>
    <row r="2746">
      <c r="A2746" t="inlineStr">
        <is>
          <t>2026-07-28</t>
        </is>
      </c>
      <c r="B2746" t="inlineStr">
        <is>
          <t>F266630</t>
        </is>
      </c>
      <c r="C2746" t="inlineStr">
        <is>
          <t>C10349</t>
        </is>
      </c>
      <c r="D2746" t="inlineStr">
        <is>
          <t>SKU-10187</t>
        </is>
      </c>
      <c r="E2746" t="inlineStr">
        <is>
          <t>AM05</t>
        </is>
      </c>
      <c r="F2746" s="5" t="n">
        <v>584.96</v>
      </c>
      <c r="G2746">
        <f>IF(LEFT(B2746,1)="C","Credit","Factuur")</f>
        <v/>
      </c>
      <c r="H2746">
        <f>IF(AND(B2746=B2745,D2746=D2745,A2746=A2745,F2746=F2745),1,0)</f>
        <v/>
      </c>
      <c r="I2746">
        <f>IF(C2746="C99999",1,0)</f>
        <v/>
      </c>
      <c r="J2746" s="5">
        <f>IF(OR(H2746=1,I2746=1),0,IF(G2746="Credit",-F2746,F2746))</f>
        <v/>
      </c>
    </row>
    <row r="2747">
      <c r="A2747" t="inlineStr">
        <is>
          <t>2026-07-28</t>
        </is>
      </c>
      <c r="B2747" t="inlineStr">
        <is>
          <t>F266630</t>
        </is>
      </c>
      <c r="C2747" t="inlineStr">
        <is>
          <t>C10349</t>
        </is>
      </c>
      <c r="D2747" t="inlineStr">
        <is>
          <t>SKU-10281</t>
        </is>
      </c>
      <c r="E2747" t="inlineStr">
        <is>
          <t>AM05</t>
        </is>
      </c>
      <c r="F2747" s="5" t="n">
        <v>550.71</v>
      </c>
      <c r="G2747">
        <f>IF(LEFT(B2747,1)="C","Credit","Factuur")</f>
        <v/>
      </c>
      <c r="H2747">
        <f>IF(AND(B2747=B2746,D2747=D2746,A2747=A2746,F2747=F2746),1,0)</f>
        <v/>
      </c>
      <c r="I2747">
        <f>IF(C2747="C99999",1,0)</f>
        <v/>
      </c>
      <c r="J2747" s="5">
        <f>IF(OR(H2747=1,I2747=1),0,IF(G2747="Credit",-F2747,F2747))</f>
        <v/>
      </c>
    </row>
    <row r="2748">
      <c r="A2748" t="inlineStr">
        <is>
          <t>2026-07-28</t>
        </is>
      </c>
      <c r="B2748" t="inlineStr">
        <is>
          <t>F266630</t>
        </is>
      </c>
      <c r="C2748" t="inlineStr">
        <is>
          <t>C10349</t>
        </is>
      </c>
      <c r="D2748" t="inlineStr">
        <is>
          <t>SKU-10294</t>
        </is>
      </c>
      <c r="E2748" t="inlineStr">
        <is>
          <t>AM05</t>
        </is>
      </c>
      <c r="F2748" s="5" t="n">
        <v>560.42</v>
      </c>
      <c r="G2748">
        <f>IF(LEFT(B2748,1)="C","Credit","Factuur")</f>
        <v/>
      </c>
      <c r="H2748">
        <f>IF(AND(B2748=B2747,D2748=D2747,A2748=A2747,F2748=F2747),1,0)</f>
        <v/>
      </c>
      <c r="I2748">
        <f>IF(C2748="C99999",1,0)</f>
        <v/>
      </c>
      <c r="J2748" s="5">
        <f>IF(OR(H2748=1,I2748=1),0,IF(G2748="Credit",-F2748,F2748))</f>
        <v/>
      </c>
    </row>
    <row r="2749">
      <c r="A2749" t="inlineStr">
        <is>
          <t>2026-07-28</t>
        </is>
      </c>
      <c r="B2749" t="inlineStr">
        <is>
          <t>F267541</t>
        </is>
      </c>
      <c r="C2749" t="inlineStr">
        <is>
          <t>C10397</t>
        </is>
      </c>
      <c r="D2749" t="inlineStr">
        <is>
          <t>SKU-10008</t>
        </is>
      </c>
      <c r="E2749" t="inlineStr">
        <is>
          <t>AM03</t>
        </is>
      </c>
      <c r="F2749" s="5" t="n">
        <v>139.23</v>
      </c>
      <c r="G2749">
        <f>IF(LEFT(B2749,1)="C","Credit","Factuur")</f>
        <v/>
      </c>
      <c r="H2749">
        <f>IF(AND(B2749=B2748,D2749=D2748,A2749=A2748,F2749=F2748),1,0)</f>
        <v/>
      </c>
      <c r="I2749">
        <f>IF(C2749="C99999",1,0)</f>
        <v/>
      </c>
      <c r="J2749" s="5">
        <f>IF(OR(H2749=1,I2749=1),0,IF(G2749="Credit",-F2749,F2749))</f>
        <v/>
      </c>
    </row>
    <row r="2750">
      <c r="A2750" t="inlineStr">
        <is>
          <t>2026-07-28</t>
        </is>
      </c>
      <c r="B2750" t="inlineStr">
        <is>
          <t>F267541</t>
        </is>
      </c>
      <c r="C2750" t="inlineStr">
        <is>
          <t>C10397</t>
        </is>
      </c>
      <c r="D2750" t="inlineStr">
        <is>
          <t>SKU-10111</t>
        </is>
      </c>
      <c r="E2750" t="inlineStr">
        <is>
          <t>AM03</t>
        </is>
      </c>
      <c r="F2750" s="5" t="n">
        <v>100.73</v>
      </c>
      <c r="G2750">
        <f>IF(LEFT(B2750,1)="C","Credit","Factuur")</f>
        <v/>
      </c>
      <c r="H2750">
        <f>IF(AND(B2750=B2749,D2750=D2749,A2750=A2749,F2750=F2749),1,0)</f>
        <v/>
      </c>
      <c r="I2750">
        <f>IF(C2750="C99999",1,0)</f>
        <v/>
      </c>
      <c r="J2750" s="5">
        <f>IF(OR(H2750=1,I2750=1),0,IF(G2750="Credit",-F2750,F2750))</f>
        <v/>
      </c>
    </row>
    <row r="2751">
      <c r="A2751" t="inlineStr">
        <is>
          <t>2026-07-28</t>
        </is>
      </c>
      <c r="B2751" t="inlineStr">
        <is>
          <t>F267541</t>
        </is>
      </c>
      <c r="C2751" t="inlineStr">
        <is>
          <t>C10397</t>
        </is>
      </c>
      <c r="D2751" t="inlineStr">
        <is>
          <t>SKU-10287</t>
        </is>
      </c>
      <c r="E2751" t="inlineStr">
        <is>
          <t>AM03</t>
        </is>
      </c>
      <c r="F2751" s="5" t="n">
        <v>150.55</v>
      </c>
      <c r="G2751">
        <f>IF(LEFT(B2751,1)="C","Credit","Factuur")</f>
        <v/>
      </c>
      <c r="H2751">
        <f>IF(AND(B2751=B2750,D2751=D2750,A2751=A2750,F2751=F2750),1,0)</f>
        <v/>
      </c>
      <c r="I2751">
        <f>IF(C2751="C99999",1,0)</f>
        <v/>
      </c>
      <c r="J2751" s="5">
        <f>IF(OR(H2751=1,I2751=1),0,IF(G2751="Credit",-F2751,F2751))</f>
        <v/>
      </c>
    </row>
    <row r="2752">
      <c r="A2752" t="inlineStr">
        <is>
          <t>2026-07-28</t>
        </is>
      </c>
      <c r="B2752" t="inlineStr">
        <is>
          <t>F267541</t>
        </is>
      </c>
      <c r="C2752" t="inlineStr">
        <is>
          <t>C10397</t>
        </is>
      </c>
      <c r="D2752" t="inlineStr">
        <is>
          <t>SKU-10334</t>
        </is>
      </c>
      <c r="E2752" t="inlineStr">
        <is>
          <t>AM03</t>
        </is>
      </c>
      <c r="F2752" s="5" t="n">
        <v>154.78</v>
      </c>
      <c r="G2752">
        <f>IF(LEFT(B2752,1)="C","Credit","Factuur")</f>
        <v/>
      </c>
      <c r="H2752">
        <f>IF(AND(B2752=B2751,D2752=D2751,A2752=A2751,F2752=F2751),1,0)</f>
        <v/>
      </c>
      <c r="I2752">
        <f>IF(C2752="C99999",1,0)</f>
        <v/>
      </c>
      <c r="J2752" s="5">
        <f>IF(OR(H2752=1,I2752=1),0,IF(G2752="Credit",-F2752,F2752))</f>
        <v/>
      </c>
    </row>
    <row r="2753">
      <c r="A2753" t="inlineStr">
        <is>
          <t>2026-07-28</t>
        </is>
      </c>
      <c r="B2753" t="inlineStr">
        <is>
          <t>F270064</t>
        </is>
      </c>
      <c r="C2753" t="inlineStr">
        <is>
          <t>C10530</t>
        </is>
      </c>
      <c r="D2753" t="inlineStr">
        <is>
          <t>SKU-10127</t>
        </is>
      </c>
      <c r="E2753" t="inlineStr">
        <is>
          <t>AM03</t>
        </is>
      </c>
      <c r="F2753" s="5" t="n">
        <v>732.4</v>
      </c>
      <c r="G2753">
        <f>IF(LEFT(B2753,1)="C","Credit","Factuur")</f>
        <v/>
      </c>
      <c r="H2753">
        <f>IF(AND(B2753=B2752,D2753=D2752,A2753=A2752,F2753=F2752),1,0)</f>
        <v/>
      </c>
      <c r="I2753">
        <f>IF(C2753="C99999",1,0)</f>
        <v/>
      </c>
      <c r="J2753" s="5">
        <f>IF(OR(H2753=1,I2753=1),0,IF(G2753="Credit",-F2753,F2753))</f>
        <v/>
      </c>
    </row>
    <row r="2754">
      <c r="A2754" t="inlineStr">
        <is>
          <t>2026-07-28</t>
        </is>
      </c>
      <c r="B2754" t="inlineStr">
        <is>
          <t>F270437</t>
        </is>
      </c>
      <c r="C2754" t="inlineStr">
        <is>
          <t>C10549</t>
        </is>
      </c>
      <c r="D2754" t="inlineStr">
        <is>
          <t>SKU-10085</t>
        </is>
      </c>
      <c r="E2754" t="inlineStr">
        <is>
          <t>AM08</t>
        </is>
      </c>
      <c r="F2754" s="5" t="n">
        <v>762.7</v>
      </c>
      <c r="G2754">
        <f>IF(LEFT(B2754,1)="C","Credit","Factuur")</f>
        <v/>
      </c>
      <c r="H2754">
        <f>IF(AND(B2754=B2753,D2754=D2753,A2754=A2753,F2754=F2753),1,0)</f>
        <v/>
      </c>
      <c r="I2754">
        <f>IF(C2754="C99999",1,0)</f>
        <v/>
      </c>
      <c r="J2754" s="5">
        <f>IF(OR(H2754=1,I2754=1),0,IF(G2754="Credit",-F2754,F2754))</f>
        <v/>
      </c>
    </row>
    <row r="2755">
      <c r="A2755" t="inlineStr">
        <is>
          <t>2026-07-28</t>
        </is>
      </c>
      <c r="B2755" t="inlineStr">
        <is>
          <t>F270437</t>
        </is>
      </c>
      <c r="C2755" t="inlineStr">
        <is>
          <t>C10549</t>
        </is>
      </c>
      <c r="D2755" t="inlineStr">
        <is>
          <t>SKU-10260</t>
        </is>
      </c>
      <c r="E2755" t="inlineStr">
        <is>
          <t>AM08</t>
        </is>
      </c>
      <c r="F2755" s="5" t="n">
        <v>759.92</v>
      </c>
      <c r="G2755">
        <f>IF(LEFT(B2755,1)="C","Credit","Factuur")</f>
        <v/>
      </c>
      <c r="H2755">
        <f>IF(AND(B2755=B2754,D2755=D2754,A2755=A2754,F2755=F2754),1,0)</f>
        <v/>
      </c>
      <c r="I2755">
        <f>IF(C2755="C99999",1,0)</f>
        <v/>
      </c>
      <c r="J2755" s="5">
        <f>IF(OR(H2755=1,I2755=1),0,IF(G2755="Credit",-F2755,F2755))</f>
        <v/>
      </c>
    </row>
    <row r="2756">
      <c r="A2756" t="inlineStr">
        <is>
          <t>2026-07-28</t>
        </is>
      </c>
      <c r="B2756" t="inlineStr">
        <is>
          <t>F270437</t>
        </is>
      </c>
      <c r="C2756" t="inlineStr">
        <is>
          <t>C10549</t>
        </is>
      </c>
      <c r="D2756" t="inlineStr">
        <is>
          <t>SKU-10289</t>
        </is>
      </c>
      <c r="E2756" t="inlineStr">
        <is>
          <t>AM08</t>
        </is>
      </c>
      <c r="F2756" s="5" t="n">
        <v>767.8</v>
      </c>
      <c r="G2756">
        <f>IF(LEFT(B2756,1)="C","Credit","Factuur")</f>
        <v/>
      </c>
      <c r="H2756">
        <f>IF(AND(B2756=B2755,D2756=D2755,A2756=A2755,F2756=F2755),1,0)</f>
        <v/>
      </c>
      <c r="I2756">
        <f>IF(C2756="C99999",1,0)</f>
        <v/>
      </c>
      <c r="J2756" s="5">
        <f>IF(OR(H2756=1,I2756=1),0,IF(G2756="Credit",-F2756,F2756))</f>
        <v/>
      </c>
    </row>
    <row r="2757">
      <c r="A2757" t="inlineStr">
        <is>
          <t>2026-07-28</t>
        </is>
      </c>
      <c r="B2757" t="inlineStr">
        <is>
          <t>F270690</t>
        </is>
      </c>
      <c r="C2757" t="inlineStr">
        <is>
          <t>C10562</t>
        </is>
      </c>
      <c r="D2757" t="inlineStr">
        <is>
          <t>SKU-10013</t>
        </is>
      </c>
      <c r="E2757" t="inlineStr">
        <is>
          <t>AM03</t>
        </is>
      </c>
      <c r="F2757" s="5" t="n">
        <v>643.13</v>
      </c>
      <c r="G2757">
        <f>IF(LEFT(B2757,1)="C","Credit","Factuur")</f>
        <v/>
      </c>
      <c r="H2757">
        <f>IF(AND(B2757=B2756,D2757=D2756,A2757=A2756,F2757=F2756),1,0)</f>
        <v/>
      </c>
      <c r="I2757">
        <f>IF(C2757="C99999",1,0)</f>
        <v/>
      </c>
      <c r="J2757" s="5">
        <f>IF(OR(H2757=1,I2757=1),0,IF(G2757="Credit",-F2757,F2757))</f>
        <v/>
      </c>
    </row>
    <row r="2758">
      <c r="A2758" t="inlineStr">
        <is>
          <t>2026-07-28</t>
        </is>
      </c>
      <c r="B2758" t="inlineStr">
        <is>
          <t>F270690</t>
        </is>
      </c>
      <c r="C2758" t="inlineStr">
        <is>
          <t>C10562</t>
        </is>
      </c>
      <c r="D2758" t="inlineStr">
        <is>
          <t>SKU-10228</t>
        </is>
      </c>
      <c r="E2758" t="inlineStr">
        <is>
          <t>AM03</t>
        </is>
      </c>
      <c r="F2758" s="5" t="n">
        <v>708.89</v>
      </c>
      <c r="G2758">
        <f>IF(LEFT(B2758,1)="C","Credit","Factuur")</f>
        <v/>
      </c>
      <c r="H2758">
        <f>IF(AND(B2758=B2757,D2758=D2757,A2758=A2757,F2758=F2757),1,0)</f>
        <v/>
      </c>
      <c r="I2758">
        <f>IF(C2758="C99999",1,0)</f>
        <v/>
      </c>
      <c r="J2758" s="5">
        <f>IF(OR(H2758=1,I2758=1),0,IF(G2758="Credit",-F2758,F2758))</f>
        <v/>
      </c>
    </row>
    <row r="2759">
      <c r="A2759" t="inlineStr">
        <is>
          <t>2026-07-28</t>
        </is>
      </c>
      <c r="B2759" t="inlineStr">
        <is>
          <t>F270690</t>
        </is>
      </c>
      <c r="C2759" t="inlineStr">
        <is>
          <t>C10562</t>
        </is>
      </c>
      <c r="D2759" t="inlineStr">
        <is>
          <t>SKU-10318</t>
        </is>
      </c>
      <c r="E2759" t="inlineStr">
        <is>
          <t>AM03</t>
        </is>
      </c>
      <c r="F2759" s="5" t="n">
        <v>626.78</v>
      </c>
      <c r="G2759">
        <f>IF(LEFT(B2759,1)="C","Credit","Factuur")</f>
        <v/>
      </c>
      <c r="H2759">
        <f>IF(AND(B2759=B2758,D2759=D2758,A2759=A2758,F2759=F2758),1,0)</f>
        <v/>
      </c>
      <c r="I2759">
        <f>IF(C2759="C99999",1,0)</f>
        <v/>
      </c>
      <c r="J2759" s="5">
        <f>IF(OR(H2759=1,I2759=1),0,IF(G2759="Credit",-F2759,F2759))</f>
        <v/>
      </c>
    </row>
    <row r="2760">
      <c r="A2760" t="inlineStr">
        <is>
          <t>2026-07-28</t>
        </is>
      </c>
      <c r="B2760" t="inlineStr">
        <is>
          <t>F270690</t>
        </is>
      </c>
      <c r="C2760" t="inlineStr">
        <is>
          <t>C10562</t>
        </is>
      </c>
      <c r="D2760" t="inlineStr">
        <is>
          <t>SKU-10360</t>
        </is>
      </c>
      <c r="E2760" t="inlineStr">
        <is>
          <t>AM03</t>
        </is>
      </c>
      <c r="F2760" s="5" t="n">
        <v>668.58</v>
      </c>
      <c r="G2760">
        <f>IF(LEFT(B2760,1)="C","Credit","Factuur")</f>
        <v/>
      </c>
      <c r="H2760">
        <f>IF(AND(B2760=B2759,D2760=D2759,A2760=A2759,F2760=F2759),1,0)</f>
        <v/>
      </c>
      <c r="I2760">
        <f>IF(C2760="C99999",1,0)</f>
        <v/>
      </c>
      <c r="J2760" s="5">
        <f>IF(OR(H2760=1,I2760=1),0,IF(G2760="Credit",-F2760,F2760))</f>
        <v/>
      </c>
    </row>
    <row r="2761">
      <c r="A2761" t="inlineStr">
        <is>
          <t>2026-07-28</t>
        </is>
      </c>
      <c r="B2761" t="inlineStr">
        <is>
          <t>F270908</t>
        </is>
      </c>
      <c r="C2761" t="inlineStr">
        <is>
          <t>C10571</t>
        </is>
      </c>
      <c r="D2761" t="inlineStr">
        <is>
          <t>SKU-10002</t>
        </is>
      </c>
      <c r="E2761" t="inlineStr"/>
      <c r="F2761" s="5" t="n">
        <v>401.59</v>
      </c>
      <c r="G2761">
        <f>IF(LEFT(B2761,1)="C","Credit","Factuur")</f>
        <v/>
      </c>
      <c r="H2761">
        <f>IF(AND(B2761=B2760,D2761=D2760,A2761=A2760,F2761=F2760),1,0)</f>
        <v/>
      </c>
      <c r="I2761">
        <f>IF(C2761="C99999",1,0)</f>
        <v/>
      </c>
      <c r="J2761" s="5">
        <f>IF(OR(H2761=1,I2761=1),0,IF(G2761="Credit",-F2761,F2761))</f>
        <v/>
      </c>
    </row>
    <row r="2762">
      <c r="A2762" t="inlineStr">
        <is>
          <t>2026-07-28</t>
        </is>
      </c>
      <c r="B2762" t="inlineStr">
        <is>
          <t>F270908</t>
        </is>
      </c>
      <c r="C2762" t="inlineStr">
        <is>
          <t>C10571</t>
        </is>
      </c>
      <c r="D2762" t="inlineStr">
        <is>
          <t>SKU-10066</t>
        </is>
      </c>
      <c r="E2762" t="inlineStr">
        <is>
          <t>AM11</t>
        </is>
      </c>
      <c r="F2762" s="5" t="n">
        <v>398.56</v>
      </c>
      <c r="G2762">
        <f>IF(LEFT(B2762,1)="C","Credit","Factuur")</f>
        <v/>
      </c>
      <c r="H2762">
        <f>IF(AND(B2762=B2761,D2762=D2761,A2762=A2761,F2762=F2761),1,0)</f>
        <v/>
      </c>
      <c r="I2762">
        <f>IF(C2762="C99999",1,0)</f>
        <v/>
      </c>
      <c r="J2762" s="5">
        <f>IF(OR(H2762=1,I2762=1),0,IF(G2762="Credit",-F2762,F2762))</f>
        <v/>
      </c>
    </row>
    <row r="2763">
      <c r="A2763" t="inlineStr">
        <is>
          <t>2026-07-28</t>
        </is>
      </c>
      <c r="B2763" t="inlineStr">
        <is>
          <t>F270908</t>
        </is>
      </c>
      <c r="C2763" t="inlineStr">
        <is>
          <t>C10571</t>
        </is>
      </c>
      <c r="D2763" t="inlineStr">
        <is>
          <t>SKU-10120</t>
        </is>
      </c>
      <c r="E2763" t="inlineStr">
        <is>
          <t>AM11</t>
        </is>
      </c>
      <c r="F2763" s="5" t="n">
        <v>397.32</v>
      </c>
      <c r="G2763">
        <f>IF(LEFT(B2763,1)="C","Credit","Factuur")</f>
        <v/>
      </c>
      <c r="H2763">
        <f>IF(AND(B2763=B2762,D2763=D2762,A2763=A2762,F2763=F2762),1,0)</f>
        <v/>
      </c>
      <c r="I2763">
        <f>IF(C2763="C99999",1,0)</f>
        <v/>
      </c>
      <c r="J2763" s="5">
        <f>IF(OR(H2763=1,I2763=1),0,IF(G2763="Credit",-F2763,F2763))</f>
        <v/>
      </c>
    </row>
    <row r="2764">
      <c r="A2764" t="inlineStr">
        <is>
          <t>2026-07-28</t>
        </is>
      </c>
      <c r="B2764" t="inlineStr">
        <is>
          <t>F270908</t>
        </is>
      </c>
      <c r="C2764" t="inlineStr">
        <is>
          <t>C10571</t>
        </is>
      </c>
      <c r="D2764" t="inlineStr">
        <is>
          <t>SKU-10134</t>
        </is>
      </c>
      <c r="E2764" t="inlineStr">
        <is>
          <t>AM11</t>
        </is>
      </c>
      <c r="F2764" s="5" t="n">
        <v>410.04</v>
      </c>
      <c r="G2764">
        <f>IF(LEFT(B2764,1)="C","Credit","Factuur")</f>
        <v/>
      </c>
      <c r="H2764">
        <f>IF(AND(B2764=B2763,D2764=D2763,A2764=A2763,F2764=F2763),1,0)</f>
        <v/>
      </c>
      <c r="I2764">
        <f>IF(C2764="C99999",1,0)</f>
        <v/>
      </c>
      <c r="J2764" s="5">
        <f>IF(OR(H2764=1,I2764=1),0,IF(G2764="Credit",-F2764,F2764))</f>
        <v/>
      </c>
    </row>
    <row r="2765">
      <c r="A2765" t="inlineStr">
        <is>
          <t>2026-07-28</t>
        </is>
      </c>
      <c r="B2765" t="inlineStr">
        <is>
          <t>F271099</t>
        </is>
      </c>
      <c r="C2765" t="inlineStr">
        <is>
          <t>C10579</t>
        </is>
      </c>
      <c r="D2765" t="inlineStr">
        <is>
          <t>SKU-10020</t>
        </is>
      </c>
      <c r="E2765" t="inlineStr">
        <is>
          <t>AM06</t>
        </is>
      </c>
      <c r="F2765" s="5" t="n">
        <v>125.97</v>
      </c>
      <c r="G2765">
        <f>IF(LEFT(B2765,1)="C","Credit","Factuur")</f>
        <v/>
      </c>
      <c r="H2765">
        <f>IF(AND(B2765=B2764,D2765=D2764,A2765=A2764,F2765=F2764),1,0)</f>
        <v/>
      </c>
      <c r="I2765">
        <f>IF(C2765="C99999",1,0)</f>
        <v/>
      </c>
      <c r="J2765" s="5">
        <f>IF(OR(H2765=1,I2765=1),0,IF(G2765="Credit",-F2765,F2765))</f>
        <v/>
      </c>
    </row>
    <row r="2766">
      <c r="A2766" t="inlineStr">
        <is>
          <t>2026-07-28</t>
        </is>
      </c>
      <c r="B2766" t="inlineStr">
        <is>
          <t>F271099</t>
        </is>
      </c>
      <c r="C2766" t="inlineStr">
        <is>
          <t>C10579</t>
        </is>
      </c>
      <c r="D2766" t="inlineStr">
        <is>
          <t>SKU-10087</t>
        </is>
      </c>
      <c r="E2766" t="inlineStr">
        <is>
          <t>AM06</t>
        </is>
      </c>
      <c r="F2766" s="5" t="n">
        <v>129.03</v>
      </c>
      <c r="G2766">
        <f>IF(LEFT(B2766,1)="C","Credit","Factuur")</f>
        <v/>
      </c>
      <c r="H2766">
        <f>IF(AND(B2766=B2765,D2766=D2765,A2766=A2765,F2766=F2765),1,0)</f>
        <v/>
      </c>
      <c r="I2766">
        <f>IF(C2766="C99999",1,0)</f>
        <v/>
      </c>
      <c r="J2766" s="5">
        <f>IF(OR(H2766=1,I2766=1),0,IF(G2766="Credit",-F2766,F2766))</f>
        <v/>
      </c>
    </row>
    <row r="2767">
      <c r="A2767" t="inlineStr">
        <is>
          <t>2026-07-28</t>
        </is>
      </c>
      <c r="B2767" t="inlineStr">
        <is>
          <t>F271099</t>
        </is>
      </c>
      <c r="C2767" t="inlineStr">
        <is>
          <t>C10579</t>
        </is>
      </c>
      <c r="D2767" t="inlineStr">
        <is>
          <t>SKU-10176</t>
        </is>
      </c>
      <c r="E2767" t="inlineStr">
        <is>
          <t>AM06</t>
        </is>
      </c>
      <c r="F2767" s="5" t="n">
        <v>117.6</v>
      </c>
      <c r="G2767">
        <f>IF(LEFT(B2767,1)="C","Credit","Factuur")</f>
        <v/>
      </c>
      <c r="H2767">
        <f>IF(AND(B2767=B2766,D2767=D2766,A2767=A2766,F2767=F2766),1,0)</f>
        <v/>
      </c>
      <c r="I2767">
        <f>IF(C2767="C99999",1,0)</f>
        <v/>
      </c>
      <c r="J2767" s="5">
        <f>IF(OR(H2767=1,I2767=1),0,IF(G2767="Credit",-F2767,F2767))</f>
        <v/>
      </c>
    </row>
    <row r="2768">
      <c r="A2768" t="inlineStr">
        <is>
          <t>2026-07-28</t>
        </is>
      </c>
      <c r="B2768" t="inlineStr">
        <is>
          <t>F271099</t>
        </is>
      </c>
      <c r="C2768" t="inlineStr">
        <is>
          <t>C10579</t>
        </is>
      </c>
      <c r="D2768" t="inlineStr">
        <is>
          <t>SKU-10309</t>
        </is>
      </c>
      <c r="E2768" t="inlineStr">
        <is>
          <t>AM06</t>
        </is>
      </c>
      <c r="F2768" s="5" t="n">
        <v>138.63</v>
      </c>
      <c r="G2768">
        <f>IF(LEFT(B2768,1)="C","Credit","Factuur")</f>
        <v/>
      </c>
      <c r="H2768">
        <f>IF(AND(B2768=B2767,D2768=D2767,A2768=A2767,F2768=F2767),1,0)</f>
        <v/>
      </c>
      <c r="I2768">
        <f>IF(C2768="C99999",1,0)</f>
        <v/>
      </c>
      <c r="J2768" s="5">
        <f>IF(OR(H2768=1,I2768=1),0,IF(G2768="Credit",-F2768,F2768))</f>
        <v/>
      </c>
    </row>
    <row r="2769">
      <c r="A2769" t="inlineStr">
        <is>
          <t>2026-07-28</t>
        </is>
      </c>
      <c r="B2769" t="inlineStr">
        <is>
          <t>F271099</t>
        </is>
      </c>
      <c r="C2769" t="inlineStr">
        <is>
          <t>C10579</t>
        </is>
      </c>
      <c r="D2769" t="inlineStr">
        <is>
          <t>SKU-10313</t>
        </is>
      </c>
      <c r="E2769" t="inlineStr">
        <is>
          <t>AM06</t>
        </is>
      </c>
      <c r="F2769" s="5" t="n">
        <v>125.1</v>
      </c>
      <c r="G2769">
        <f>IF(LEFT(B2769,1)="C","Credit","Factuur")</f>
        <v/>
      </c>
      <c r="H2769">
        <f>IF(AND(B2769=B2768,D2769=D2768,A2769=A2768,F2769=F2768),1,0)</f>
        <v/>
      </c>
      <c r="I2769">
        <f>IF(C2769="C99999",1,0)</f>
        <v/>
      </c>
      <c r="J2769" s="5">
        <f>IF(OR(H2769=1,I2769=1),0,IF(G2769="Credit",-F2769,F2769))</f>
        <v/>
      </c>
    </row>
    <row r="2770">
      <c r="A2770" t="inlineStr">
        <is>
          <t>2026-07-28</t>
        </is>
      </c>
      <c r="B2770" t="inlineStr">
        <is>
          <t>F271099</t>
        </is>
      </c>
      <c r="C2770" t="inlineStr">
        <is>
          <t>C10579</t>
        </is>
      </c>
      <c r="D2770" t="inlineStr">
        <is>
          <t>SKU-10319</t>
        </is>
      </c>
      <c r="E2770" t="inlineStr">
        <is>
          <t>AM06</t>
        </is>
      </c>
      <c r="F2770" s="5" t="n">
        <v>115.76</v>
      </c>
      <c r="G2770">
        <f>IF(LEFT(B2770,1)="C","Credit","Factuur")</f>
        <v/>
      </c>
      <c r="H2770">
        <f>IF(AND(B2770=B2769,D2770=D2769,A2770=A2769,F2770=F2769),1,0)</f>
        <v/>
      </c>
      <c r="I2770">
        <f>IF(C2770="C99999",1,0)</f>
        <v/>
      </c>
      <c r="J2770" s="5">
        <f>IF(OR(H2770=1,I2770=1),0,IF(G2770="Credit",-F2770,F2770))</f>
        <v/>
      </c>
    </row>
    <row r="2771">
      <c r="A2771" t="inlineStr">
        <is>
          <t>2026-07-28</t>
        </is>
      </c>
      <c r="B2771" t="inlineStr">
        <is>
          <t>F271099</t>
        </is>
      </c>
      <c r="C2771" t="inlineStr">
        <is>
          <t>C10579</t>
        </is>
      </c>
      <c r="D2771" t="inlineStr">
        <is>
          <t>SKU-10334</t>
        </is>
      </c>
      <c r="E2771" t="inlineStr">
        <is>
          <t>AM06</t>
        </is>
      </c>
      <c r="F2771" s="5" t="n">
        <v>108.62</v>
      </c>
      <c r="G2771">
        <f>IF(LEFT(B2771,1)="C","Credit","Factuur")</f>
        <v/>
      </c>
      <c r="H2771">
        <f>IF(AND(B2771=B2770,D2771=D2770,A2771=A2770,F2771=F2770),1,0)</f>
        <v/>
      </c>
      <c r="I2771">
        <f>IF(C2771="C99999",1,0)</f>
        <v/>
      </c>
      <c r="J2771" s="5">
        <f>IF(OR(H2771=1,I2771=1),0,IF(G2771="Credit",-F2771,F2771))</f>
        <v/>
      </c>
    </row>
    <row r="2772">
      <c r="A2772" t="inlineStr">
        <is>
          <t>2026-07-28</t>
        </is>
      </c>
      <c r="B2772" t="inlineStr">
        <is>
          <t>F272852</t>
        </is>
      </c>
      <c r="C2772" t="inlineStr">
        <is>
          <t>C10670</t>
        </is>
      </c>
      <c r="D2772" t="inlineStr">
        <is>
          <t>SKU-10101</t>
        </is>
      </c>
      <c r="E2772" t="inlineStr">
        <is>
          <t>AM03</t>
        </is>
      </c>
      <c r="F2772" s="5" t="n">
        <v>169.23</v>
      </c>
      <c r="G2772">
        <f>IF(LEFT(B2772,1)="C","Credit","Factuur")</f>
        <v/>
      </c>
      <c r="H2772">
        <f>IF(AND(B2772=B2771,D2772=D2771,A2772=A2771,F2772=F2771),1,0)</f>
        <v/>
      </c>
      <c r="I2772">
        <f>IF(C2772="C99999",1,0)</f>
        <v/>
      </c>
      <c r="J2772" s="5">
        <f>IF(OR(H2772=1,I2772=1),0,IF(G2772="Credit",-F2772,F2772))</f>
        <v/>
      </c>
    </row>
    <row r="2773">
      <c r="A2773" t="inlineStr">
        <is>
          <t>2026-07-28</t>
        </is>
      </c>
      <c r="B2773" t="inlineStr">
        <is>
          <t>F272852</t>
        </is>
      </c>
      <c r="C2773" t="inlineStr">
        <is>
          <t>C10670</t>
        </is>
      </c>
      <c r="D2773" t="inlineStr">
        <is>
          <t>SKU-10158</t>
        </is>
      </c>
      <c r="E2773" t="inlineStr">
        <is>
          <t>AM03</t>
        </is>
      </c>
      <c r="F2773" s="5" t="n">
        <v>190.05</v>
      </c>
      <c r="G2773">
        <f>IF(LEFT(B2773,1)="C","Credit","Factuur")</f>
        <v/>
      </c>
      <c r="H2773">
        <f>IF(AND(B2773=B2772,D2773=D2772,A2773=A2772,F2773=F2772),1,0)</f>
        <v/>
      </c>
      <c r="I2773">
        <f>IF(C2773="C99999",1,0)</f>
        <v/>
      </c>
      <c r="J2773" s="5">
        <f>IF(OR(H2773=1,I2773=1),0,IF(G2773="Credit",-F2773,F2773))</f>
        <v/>
      </c>
    </row>
    <row r="2774">
      <c r="A2774" t="inlineStr">
        <is>
          <t>2026-07-28</t>
        </is>
      </c>
      <c r="B2774" t="inlineStr">
        <is>
          <t>F272852</t>
        </is>
      </c>
      <c r="C2774" t="inlineStr">
        <is>
          <t>C10670</t>
        </is>
      </c>
      <c r="D2774" t="inlineStr">
        <is>
          <t>SKU-10260</t>
        </is>
      </c>
      <c r="E2774" t="inlineStr">
        <is>
          <t>AM03</t>
        </is>
      </c>
      <c r="F2774" s="5" t="n">
        <v>167.18</v>
      </c>
      <c r="G2774">
        <f>IF(LEFT(B2774,1)="C","Credit","Factuur")</f>
        <v/>
      </c>
      <c r="H2774">
        <f>IF(AND(B2774=B2773,D2774=D2773,A2774=A2773,F2774=F2773),1,0)</f>
        <v/>
      </c>
      <c r="I2774">
        <f>IF(C2774="C99999",1,0)</f>
        <v/>
      </c>
      <c r="J2774" s="5">
        <f>IF(OR(H2774=1,I2774=1),0,IF(G2774="Credit",-F2774,F2774))</f>
        <v/>
      </c>
    </row>
    <row r="2775">
      <c r="A2775" t="inlineStr">
        <is>
          <t>2026-07-28</t>
        </is>
      </c>
      <c r="B2775" t="inlineStr">
        <is>
          <t>F273749</t>
        </is>
      </c>
      <c r="C2775" t="inlineStr">
        <is>
          <t>C10723</t>
        </is>
      </c>
      <c r="D2775" t="inlineStr">
        <is>
          <t>SKU-10020</t>
        </is>
      </c>
      <c r="E2775" t="inlineStr">
        <is>
          <t>AM09</t>
        </is>
      </c>
      <c r="F2775" s="5" t="n">
        <v>4375.8</v>
      </c>
      <c r="G2775">
        <f>IF(LEFT(B2775,1)="C","Credit","Factuur")</f>
        <v/>
      </c>
      <c r="H2775">
        <f>IF(AND(B2775=B2774,D2775=D2774,A2775=A2774,F2775=F2774),1,0)</f>
        <v/>
      </c>
      <c r="I2775">
        <f>IF(C2775="C99999",1,0)</f>
        <v/>
      </c>
      <c r="J2775" s="5">
        <f>IF(OR(H2775=1,I2775=1),0,IF(G2775="Credit",-F2775,F2775))</f>
        <v/>
      </c>
    </row>
    <row r="2776">
      <c r="A2776" t="inlineStr">
        <is>
          <t>2026-07-28</t>
        </is>
      </c>
      <c r="B2776" t="inlineStr">
        <is>
          <t>F273749</t>
        </is>
      </c>
      <c r="C2776" t="inlineStr">
        <is>
          <t>C10723</t>
        </is>
      </c>
      <c r="D2776" t="inlineStr">
        <is>
          <t>SKU-10030</t>
        </is>
      </c>
      <c r="E2776" t="inlineStr">
        <is>
          <t>AM09</t>
        </is>
      </c>
      <c r="F2776" s="5" t="n">
        <v>3720.63</v>
      </c>
      <c r="G2776">
        <f>IF(LEFT(B2776,1)="C","Credit","Factuur")</f>
        <v/>
      </c>
      <c r="H2776">
        <f>IF(AND(B2776=B2775,D2776=D2775,A2776=A2775,F2776=F2775),1,0)</f>
        <v/>
      </c>
      <c r="I2776">
        <f>IF(C2776="C99999",1,0)</f>
        <v/>
      </c>
      <c r="J2776" s="5">
        <f>IF(OR(H2776=1,I2776=1),0,IF(G2776="Credit",-F2776,F2776))</f>
        <v/>
      </c>
    </row>
    <row r="2777">
      <c r="A2777" t="inlineStr">
        <is>
          <t>2026-07-28</t>
        </is>
      </c>
      <c r="B2777" t="inlineStr">
        <is>
          <t>F273749</t>
        </is>
      </c>
      <c r="C2777" t="inlineStr">
        <is>
          <t>C10723</t>
        </is>
      </c>
      <c r="D2777" t="inlineStr">
        <is>
          <t>SKU-10251</t>
        </is>
      </c>
      <c r="E2777" t="inlineStr">
        <is>
          <t>AM09</t>
        </is>
      </c>
      <c r="F2777" s="5" t="n">
        <v>3844.21</v>
      </c>
      <c r="G2777">
        <f>IF(LEFT(B2777,1)="C","Credit","Factuur")</f>
        <v/>
      </c>
      <c r="H2777">
        <f>IF(AND(B2777=B2776,D2777=D2776,A2777=A2776,F2777=F2776),1,0)</f>
        <v/>
      </c>
      <c r="I2777">
        <f>IF(C2777="C99999",1,0)</f>
        <v/>
      </c>
      <c r="J2777" s="5">
        <f>IF(OR(H2777=1,I2777=1),0,IF(G2777="Credit",-F2777,F2777))</f>
        <v/>
      </c>
    </row>
    <row r="2778">
      <c r="A2778" t="inlineStr">
        <is>
          <t>2026-07-28</t>
        </is>
      </c>
      <c r="B2778" t="inlineStr">
        <is>
          <t>F273749</t>
        </is>
      </c>
      <c r="C2778" t="inlineStr">
        <is>
          <t>C10723</t>
        </is>
      </c>
      <c r="D2778" t="inlineStr">
        <is>
          <t>SKU-10296</t>
        </is>
      </c>
      <c r="E2778" t="inlineStr">
        <is>
          <t>AM09</t>
        </is>
      </c>
      <c r="F2778" s="5" t="n">
        <v>3843.31</v>
      </c>
      <c r="G2778">
        <f>IF(LEFT(B2778,1)="C","Credit","Factuur")</f>
        <v/>
      </c>
      <c r="H2778">
        <f>IF(AND(B2778=B2777,D2778=D2777,A2778=A2777,F2778=F2777),1,0)</f>
        <v/>
      </c>
      <c r="I2778">
        <f>IF(C2778="C99999",1,0)</f>
        <v/>
      </c>
      <c r="J2778" s="5">
        <f>IF(OR(H2778=1,I2778=1),0,IF(G2778="Credit",-F2778,F2778))</f>
        <v/>
      </c>
    </row>
    <row r="2779">
      <c r="A2779" t="inlineStr">
        <is>
          <t>2026-07-28</t>
        </is>
      </c>
      <c r="B2779" t="inlineStr">
        <is>
          <t>F274409</t>
        </is>
      </c>
      <c r="C2779" t="inlineStr">
        <is>
          <t>C10761</t>
        </is>
      </c>
      <c r="D2779" t="inlineStr">
        <is>
          <t>SKU-10011</t>
        </is>
      </c>
      <c r="E2779" t="inlineStr">
        <is>
          <t>AM02</t>
        </is>
      </c>
      <c r="F2779" s="5" t="n">
        <v>289.88</v>
      </c>
      <c r="G2779">
        <f>IF(LEFT(B2779,1)="C","Credit","Factuur")</f>
        <v/>
      </c>
      <c r="H2779">
        <f>IF(AND(B2779=B2778,D2779=D2778,A2779=A2778,F2779=F2778),1,0)</f>
        <v/>
      </c>
      <c r="I2779">
        <f>IF(C2779="C99999",1,0)</f>
        <v/>
      </c>
      <c r="J2779" s="5">
        <f>IF(OR(H2779=1,I2779=1),0,IF(G2779="Credit",-F2779,F2779))</f>
        <v/>
      </c>
    </row>
    <row r="2780">
      <c r="A2780" t="inlineStr">
        <is>
          <t>2026-07-28</t>
        </is>
      </c>
      <c r="B2780" t="inlineStr">
        <is>
          <t>F274409</t>
        </is>
      </c>
      <c r="C2780" t="inlineStr">
        <is>
          <t>C10761</t>
        </is>
      </c>
      <c r="D2780" t="inlineStr">
        <is>
          <t>SKU-10025</t>
        </is>
      </c>
      <c r="E2780" t="inlineStr">
        <is>
          <t>AM02</t>
        </is>
      </c>
      <c r="F2780" s="5" t="n">
        <v>358.93</v>
      </c>
      <c r="G2780">
        <f>IF(LEFT(B2780,1)="C","Credit","Factuur")</f>
        <v/>
      </c>
      <c r="H2780">
        <f>IF(AND(B2780=B2779,D2780=D2779,A2780=A2779,F2780=F2779),1,0)</f>
        <v/>
      </c>
      <c r="I2780">
        <f>IF(C2780="C99999",1,0)</f>
        <v/>
      </c>
      <c r="J2780" s="5">
        <f>IF(OR(H2780=1,I2780=1),0,IF(G2780="Credit",-F2780,F2780))</f>
        <v/>
      </c>
    </row>
    <row r="2781">
      <c r="A2781" t="inlineStr">
        <is>
          <t>2026-07-28</t>
        </is>
      </c>
      <c r="B2781" t="inlineStr">
        <is>
          <t>F275713</t>
        </is>
      </c>
      <c r="C2781" t="inlineStr">
        <is>
          <t>C10832</t>
        </is>
      </c>
      <c r="D2781" t="inlineStr">
        <is>
          <t>SKU-10378</t>
        </is>
      </c>
      <c r="E2781" t="inlineStr">
        <is>
          <t>AM05</t>
        </is>
      </c>
      <c r="F2781" s="5" t="n">
        <v>1121.65</v>
      </c>
      <c r="G2781">
        <f>IF(LEFT(B2781,1)="C","Credit","Factuur")</f>
        <v/>
      </c>
      <c r="H2781">
        <f>IF(AND(B2781=B2780,D2781=D2780,A2781=A2780,F2781=F2780),1,0)</f>
        <v/>
      </c>
      <c r="I2781">
        <f>IF(C2781="C99999",1,0)</f>
        <v/>
      </c>
      <c r="J2781" s="5">
        <f>IF(OR(H2781=1,I2781=1),0,IF(G2781="Credit",-F2781,F2781))</f>
        <v/>
      </c>
    </row>
    <row r="2782">
      <c r="A2782" t="inlineStr">
        <is>
          <t>2026-07-28</t>
        </is>
      </c>
      <c r="B2782" t="inlineStr">
        <is>
          <t>F276247</t>
        </is>
      </c>
      <c r="C2782" t="inlineStr">
        <is>
          <t>C10861</t>
        </is>
      </c>
      <c r="D2782" t="inlineStr">
        <is>
          <t>SKU-10336</t>
        </is>
      </c>
      <c r="E2782" t="inlineStr">
        <is>
          <t>AM03</t>
        </is>
      </c>
      <c r="F2782" s="5" t="n">
        <v>412.82</v>
      </c>
      <c r="G2782">
        <f>IF(LEFT(B2782,1)="C","Credit","Factuur")</f>
        <v/>
      </c>
      <c r="H2782">
        <f>IF(AND(B2782=B2781,D2782=D2781,A2782=A2781,F2782=F2781),1,0)</f>
        <v/>
      </c>
      <c r="I2782">
        <f>IF(C2782="C99999",1,0)</f>
        <v/>
      </c>
      <c r="J2782" s="5">
        <f>IF(OR(H2782=1,I2782=1),0,IF(G2782="Credit",-F2782,F2782))</f>
        <v/>
      </c>
    </row>
    <row r="2783">
      <c r="A2783" t="inlineStr">
        <is>
          <t>2026-07-28</t>
        </is>
      </c>
      <c r="B2783" t="inlineStr">
        <is>
          <t>F276247</t>
        </is>
      </c>
      <c r="C2783" t="inlineStr">
        <is>
          <t>C10861</t>
        </is>
      </c>
      <c r="D2783" t="inlineStr">
        <is>
          <t>SKU-10353</t>
        </is>
      </c>
      <c r="E2783" t="inlineStr"/>
      <c r="F2783" s="5" t="n">
        <v>390.58</v>
      </c>
      <c r="G2783">
        <f>IF(LEFT(B2783,1)="C","Credit","Factuur")</f>
        <v/>
      </c>
      <c r="H2783">
        <f>IF(AND(B2783=B2782,D2783=D2782,A2783=A2782,F2783=F2782),1,0)</f>
        <v/>
      </c>
      <c r="I2783">
        <f>IF(C2783="C99999",1,0)</f>
        <v/>
      </c>
      <c r="J2783" s="5">
        <f>IF(OR(H2783=1,I2783=1),0,IF(G2783="Credit",-F2783,F2783))</f>
        <v/>
      </c>
    </row>
    <row r="2784">
      <c r="A2784" t="inlineStr">
        <is>
          <t>2026-07-28</t>
        </is>
      </c>
      <c r="B2784" t="inlineStr">
        <is>
          <t>F276247</t>
        </is>
      </c>
      <c r="C2784" t="inlineStr">
        <is>
          <t>C10861</t>
        </is>
      </c>
      <c r="D2784" t="inlineStr">
        <is>
          <t>SKU-10355</t>
        </is>
      </c>
      <c r="E2784" t="inlineStr">
        <is>
          <t>AM03</t>
        </is>
      </c>
      <c r="F2784" s="5" t="n">
        <v>443.95</v>
      </c>
      <c r="G2784">
        <f>IF(LEFT(B2784,1)="C","Credit","Factuur")</f>
        <v/>
      </c>
      <c r="H2784">
        <f>IF(AND(B2784=B2783,D2784=D2783,A2784=A2783,F2784=F2783),1,0)</f>
        <v/>
      </c>
      <c r="I2784">
        <f>IF(C2784="C99999",1,0)</f>
        <v/>
      </c>
      <c r="J2784" s="5">
        <f>IF(OR(H2784=1,I2784=1),0,IF(G2784="Credit",-F2784,F2784))</f>
        <v/>
      </c>
    </row>
    <row r="2785">
      <c r="A2785" t="inlineStr">
        <is>
          <t>2026-07-28</t>
        </is>
      </c>
      <c r="B2785" t="inlineStr">
        <is>
          <t>F276348</t>
        </is>
      </c>
      <c r="C2785" t="inlineStr">
        <is>
          <t>C10866</t>
        </is>
      </c>
      <c r="D2785" t="inlineStr">
        <is>
          <t>SKU-10037</t>
        </is>
      </c>
      <c r="E2785" t="inlineStr">
        <is>
          <t>AM11</t>
        </is>
      </c>
      <c r="F2785" s="5" t="n">
        <v>2962.35</v>
      </c>
      <c r="G2785">
        <f>IF(LEFT(B2785,1)="C","Credit","Factuur")</f>
        <v/>
      </c>
      <c r="H2785">
        <f>IF(AND(B2785=B2784,D2785=D2784,A2785=A2784,F2785=F2784),1,0)</f>
        <v/>
      </c>
      <c r="I2785">
        <f>IF(C2785="C99999",1,0)</f>
        <v/>
      </c>
      <c r="J2785" s="5">
        <f>IF(OR(H2785=1,I2785=1),0,IF(G2785="Credit",-F2785,F2785))</f>
        <v/>
      </c>
    </row>
    <row r="2786">
      <c r="A2786" t="inlineStr">
        <is>
          <t>2026-07-28</t>
        </is>
      </c>
      <c r="B2786" t="inlineStr">
        <is>
          <t>F278139</t>
        </is>
      </c>
      <c r="C2786" t="inlineStr">
        <is>
          <t>C10964</t>
        </is>
      </c>
      <c r="D2786" t="inlineStr">
        <is>
          <t>SKU-10046</t>
        </is>
      </c>
      <c r="E2786" t="inlineStr">
        <is>
          <t>AM02</t>
        </is>
      </c>
      <c r="F2786" s="5" t="n">
        <v>583.86</v>
      </c>
      <c r="G2786">
        <f>IF(LEFT(B2786,1)="C","Credit","Factuur")</f>
        <v/>
      </c>
      <c r="H2786">
        <f>IF(AND(B2786=B2785,D2786=D2785,A2786=A2785,F2786=F2785),1,0)</f>
        <v/>
      </c>
      <c r="I2786">
        <f>IF(C2786="C99999",1,0)</f>
        <v/>
      </c>
      <c r="J2786" s="5">
        <f>IF(OR(H2786=1,I2786=1),0,IF(G2786="Credit",-F2786,F2786))</f>
        <v/>
      </c>
    </row>
    <row r="2787">
      <c r="A2787" t="inlineStr">
        <is>
          <t>2026-07-28</t>
        </is>
      </c>
      <c r="B2787" t="inlineStr">
        <is>
          <t>F278139</t>
        </is>
      </c>
      <c r="C2787" t="inlineStr">
        <is>
          <t>C10964</t>
        </is>
      </c>
      <c r="D2787" t="inlineStr">
        <is>
          <t>SKU-10050</t>
        </is>
      </c>
      <c r="E2787" t="inlineStr">
        <is>
          <t>AM02</t>
        </is>
      </c>
      <c r="F2787" s="5" t="n">
        <v>587.73</v>
      </c>
      <c r="G2787">
        <f>IF(LEFT(B2787,1)="C","Credit","Factuur")</f>
        <v/>
      </c>
      <c r="H2787">
        <f>IF(AND(B2787=B2786,D2787=D2786,A2787=A2786,F2787=F2786),1,0)</f>
        <v/>
      </c>
      <c r="I2787">
        <f>IF(C2787="C99999",1,0)</f>
        <v/>
      </c>
      <c r="J2787" s="5">
        <f>IF(OR(H2787=1,I2787=1),0,IF(G2787="Credit",-F2787,F2787))</f>
        <v/>
      </c>
    </row>
    <row r="2788">
      <c r="A2788" t="inlineStr">
        <is>
          <t>2026-07-28</t>
        </is>
      </c>
      <c r="B2788" t="inlineStr">
        <is>
          <t>F278139</t>
        </is>
      </c>
      <c r="C2788" t="inlineStr">
        <is>
          <t>C10964</t>
        </is>
      </c>
      <c r="D2788" t="inlineStr">
        <is>
          <t>SKU-10059</t>
        </is>
      </c>
      <c r="E2788" t="inlineStr">
        <is>
          <t>AM02</t>
        </is>
      </c>
      <c r="F2788" s="5" t="n">
        <v>564.98</v>
      </c>
      <c r="G2788">
        <f>IF(LEFT(B2788,1)="C","Credit","Factuur")</f>
        <v/>
      </c>
      <c r="H2788">
        <f>IF(AND(B2788=B2787,D2788=D2787,A2788=A2787,F2788=F2787),1,0)</f>
        <v/>
      </c>
      <c r="I2788">
        <f>IF(C2788="C99999",1,0)</f>
        <v/>
      </c>
      <c r="J2788" s="5">
        <f>IF(OR(H2788=1,I2788=1),0,IF(G2788="Credit",-F2788,F2788))</f>
        <v/>
      </c>
    </row>
    <row r="2789">
      <c r="A2789" t="inlineStr">
        <is>
          <t>2026-07-28</t>
        </is>
      </c>
      <c r="B2789" t="inlineStr">
        <is>
          <t>F278378</t>
        </is>
      </c>
      <c r="C2789" t="inlineStr">
        <is>
          <t>C10974</t>
        </is>
      </c>
      <c r="D2789" t="inlineStr">
        <is>
          <t>SKU-10088</t>
        </is>
      </c>
      <c r="E2789" t="inlineStr">
        <is>
          <t>AM02</t>
        </is>
      </c>
      <c r="F2789" s="5" t="n">
        <v>1033.81</v>
      </c>
      <c r="G2789">
        <f>IF(LEFT(B2789,1)="C","Credit","Factuur")</f>
        <v/>
      </c>
      <c r="H2789">
        <f>IF(AND(B2789=B2788,D2789=D2788,A2789=A2788,F2789=F2788),1,0)</f>
        <v/>
      </c>
      <c r="I2789">
        <f>IF(C2789="C99999",1,0)</f>
        <v/>
      </c>
      <c r="J2789" s="5">
        <f>IF(OR(H2789=1,I2789=1),0,IF(G2789="Credit",-F2789,F2789))</f>
        <v/>
      </c>
    </row>
    <row r="2790">
      <c r="A2790" t="inlineStr">
        <is>
          <t>2026-07-28</t>
        </is>
      </c>
      <c r="B2790" t="inlineStr">
        <is>
          <t>F278378</t>
        </is>
      </c>
      <c r="C2790" t="inlineStr">
        <is>
          <t>C10974</t>
        </is>
      </c>
      <c r="D2790" t="inlineStr">
        <is>
          <t>SKU-10176</t>
        </is>
      </c>
      <c r="E2790" t="inlineStr">
        <is>
          <t>AM02</t>
        </is>
      </c>
      <c r="F2790" s="5" t="n">
        <v>983.14</v>
      </c>
      <c r="G2790">
        <f>IF(LEFT(B2790,1)="C","Credit","Factuur")</f>
        <v/>
      </c>
      <c r="H2790">
        <f>IF(AND(B2790=B2789,D2790=D2789,A2790=A2789,F2790=F2789),1,0)</f>
        <v/>
      </c>
      <c r="I2790">
        <f>IF(C2790="C99999",1,0)</f>
        <v/>
      </c>
      <c r="J2790" s="5">
        <f>IF(OR(H2790=1,I2790=1),0,IF(G2790="Credit",-F2790,F2790))</f>
        <v/>
      </c>
    </row>
    <row r="2791">
      <c r="A2791" t="inlineStr">
        <is>
          <t>2026-07-28</t>
        </is>
      </c>
      <c r="B2791" t="inlineStr">
        <is>
          <t>F279093</t>
        </is>
      </c>
      <c r="C2791" t="inlineStr">
        <is>
          <t>C11010</t>
        </is>
      </c>
      <c r="D2791" t="inlineStr">
        <is>
          <t>SKU-10199</t>
        </is>
      </c>
      <c r="E2791" t="inlineStr">
        <is>
          <t>AM07</t>
        </is>
      </c>
      <c r="F2791" s="5" t="n">
        <v>614.74</v>
      </c>
      <c r="G2791">
        <f>IF(LEFT(B2791,1)="C","Credit","Factuur")</f>
        <v/>
      </c>
      <c r="H2791">
        <f>IF(AND(B2791=B2790,D2791=D2790,A2791=A2790,F2791=F2790),1,0)</f>
        <v/>
      </c>
      <c r="I2791">
        <f>IF(C2791="C99999",1,0)</f>
        <v/>
      </c>
      <c r="J2791" s="5">
        <f>IF(OR(H2791=1,I2791=1),0,IF(G2791="Credit",-F2791,F2791))</f>
        <v/>
      </c>
    </row>
    <row r="2792">
      <c r="A2792" t="inlineStr">
        <is>
          <t>2026-07-28</t>
        </is>
      </c>
      <c r="B2792" t="inlineStr">
        <is>
          <t>F279907</t>
        </is>
      </c>
      <c r="C2792" t="inlineStr">
        <is>
          <t>C11053</t>
        </is>
      </c>
      <c r="D2792" t="inlineStr">
        <is>
          <t>SKU-10218</t>
        </is>
      </c>
      <c r="E2792" t="inlineStr">
        <is>
          <t>AM09</t>
        </is>
      </c>
      <c r="F2792" s="5" t="n">
        <v>2626.47</v>
      </c>
      <c r="G2792">
        <f>IF(LEFT(B2792,1)="C","Credit","Factuur")</f>
        <v/>
      </c>
      <c r="H2792">
        <f>IF(AND(B2792=B2791,D2792=D2791,A2792=A2791,F2792=F2791),1,0)</f>
        <v/>
      </c>
      <c r="I2792">
        <f>IF(C2792="C99999",1,0)</f>
        <v/>
      </c>
      <c r="J2792" s="5">
        <f>IF(OR(H2792=1,I2792=1),0,IF(G2792="Credit",-F2792,F2792))</f>
        <v/>
      </c>
    </row>
    <row r="2793">
      <c r="A2793" t="inlineStr">
        <is>
          <t>2026-07-28</t>
        </is>
      </c>
      <c r="B2793" t="inlineStr">
        <is>
          <t>F279907</t>
        </is>
      </c>
      <c r="C2793" t="inlineStr">
        <is>
          <t>C11053</t>
        </is>
      </c>
      <c r="D2793" t="inlineStr">
        <is>
          <t>SKU-10253</t>
        </is>
      </c>
      <c r="E2793" t="inlineStr">
        <is>
          <t>AM09</t>
        </is>
      </c>
      <c r="F2793" s="5" t="n">
        <v>2453.4</v>
      </c>
      <c r="G2793">
        <f>IF(LEFT(B2793,1)="C","Credit","Factuur")</f>
        <v/>
      </c>
      <c r="H2793">
        <f>IF(AND(B2793=B2792,D2793=D2792,A2793=A2792,F2793=F2792),1,0)</f>
        <v/>
      </c>
      <c r="I2793">
        <f>IF(C2793="C99999",1,0)</f>
        <v/>
      </c>
      <c r="J2793" s="5">
        <f>IF(OR(H2793=1,I2793=1),0,IF(G2793="Credit",-F2793,F2793))</f>
        <v/>
      </c>
    </row>
    <row r="2794">
      <c r="A2794" t="inlineStr">
        <is>
          <t>2026-07-28</t>
        </is>
      </c>
      <c r="B2794" t="inlineStr">
        <is>
          <t>F279907</t>
        </is>
      </c>
      <c r="C2794" t="inlineStr">
        <is>
          <t>C11053</t>
        </is>
      </c>
      <c r="D2794" t="inlineStr">
        <is>
          <t>SKU-10304</t>
        </is>
      </c>
      <c r="E2794" t="inlineStr">
        <is>
          <t>AM09</t>
        </is>
      </c>
      <c r="F2794" s="5" t="n">
        <v>2489.11</v>
      </c>
      <c r="G2794">
        <f>IF(LEFT(B2794,1)="C","Credit","Factuur")</f>
        <v/>
      </c>
      <c r="H2794">
        <f>IF(AND(B2794=B2793,D2794=D2793,A2794=A2793,F2794=F2793),1,0)</f>
        <v/>
      </c>
      <c r="I2794">
        <f>IF(C2794="C99999",1,0)</f>
        <v/>
      </c>
      <c r="J2794" s="5">
        <f>IF(OR(H2794=1,I2794=1),0,IF(G2794="Credit",-F2794,F2794))</f>
        <v/>
      </c>
    </row>
    <row r="2795">
      <c r="A2795" t="inlineStr">
        <is>
          <t>2026-07-28</t>
        </is>
      </c>
      <c r="B2795" t="inlineStr">
        <is>
          <t>F280647</t>
        </is>
      </c>
      <c r="C2795" t="inlineStr">
        <is>
          <t>C11090</t>
        </is>
      </c>
      <c r="D2795" t="inlineStr">
        <is>
          <t>SKU-10002</t>
        </is>
      </c>
      <c r="E2795" t="inlineStr">
        <is>
          <t>AM02</t>
        </is>
      </c>
      <c r="F2795" s="5" t="n">
        <v>682.7</v>
      </c>
      <c r="G2795">
        <f>IF(LEFT(B2795,1)="C","Credit","Factuur")</f>
        <v/>
      </c>
      <c r="H2795">
        <f>IF(AND(B2795=B2794,D2795=D2794,A2795=A2794,F2795=F2794),1,0)</f>
        <v/>
      </c>
      <c r="I2795">
        <f>IF(C2795="C99999",1,0)</f>
        <v/>
      </c>
      <c r="J2795" s="5">
        <f>IF(OR(H2795=1,I2795=1),0,IF(G2795="Credit",-F2795,F2795))</f>
        <v/>
      </c>
    </row>
    <row r="2796">
      <c r="A2796" t="inlineStr">
        <is>
          <t>2026-07-28</t>
        </is>
      </c>
      <c r="B2796" t="inlineStr">
        <is>
          <t>F280647</t>
        </is>
      </c>
      <c r="C2796" t="inlineStr">
        <is>
          <t>C11090</t>
        </is>
      </c>
      <c r="D2796" t="inlineStr">
        <is>
          <t>SKU-10077</t>
        </is>
      </c>
      <c r="E2796" t="inlineStr">
        <is>
          <t>AM02</t>
        </is>
      </c>
      <c r="F2796" s="5" t="n">
        <v>743.96</v>
      </c>
      <c r="G2796">
        <f>IF(LEFT(B2796,1)="C","Credit","Factuur")</f>
        <v/>
      </c>
      <c r="H2796">
        <f>IF(AND(B2796=B2795,D2796=D2795,A2796=A2795,F2796=F2795),1,0)</f>
        <v/>
      </c>
      <c r="I2796">
        <f>IF(C2796="C99999",1,0)</f>
        <v/>
      </c>
      <c r="J2796" s="5">
        <f>IF(OR(H2796=1,I2796=1),0,IF(G2796="Credit",-F2796,F2796))</f>
        <v/>
      </c>
    </row>
    <row r="2797">
      <c r="A2797" t="inlineStr">
        <is>
          <t>2026-07-28</t>
        </is>
      </c>
      <c r="B2797" t="inlineStr">
        <is>
          <t>F280647</t>
        </is>
      </c>
      <c r="C2797" t="inlineStr">
        <is>
          <t>C11090</t>
        </is>
      </c>
      <c r="D2797" t="inlineStr">
        <is>
          <t>SKU-10079</t>
        </is>
      </c>
      <c r="E2797" t="inlineStr">
        <is>
          <t>AM02</t>
        </is>
      </c>
      <c r="F2797" s="5" t="n">
        <v>725.04</v>
      </c>
      <c r="G2797">
        <f>IF(LEFT(B2797,1)="C","Credit","Factuur")</f>
        <v/>
      </c>
      <c r="H2797">
        <f>IF(AND(B2797=B2796,D2797=D2796,A2797=A2796,F2797=F2796),1,0)</f>
        <v/>
      </c>
      <c r="I2797">
        <f>IF(C2797="C99999",1,0)</f>
        <v/>
      </c>
      <c r="J2797" s="5">
        <f>IF(OR(H2797=1,I2797=1),0,IF(G2797="Credit",-F2797,F2797))</f>
        <v/>
      </c>
    </row>
    <row r="2798">
      <c r="A2798" t="inlineStr">
        <is>
          <t>2026-07-28</t>
        </is>
      </c>
      <c r="B2798" t="inlineStr">
        <is>
          <t>F280647</t>
        </is>
      </c>
      <c r="C2798" t="inlineStr">
        <is>
          <t>C11090</t>
        </is>
      </c>
      <c r="D2798" t="inlineStr">
        <is>
          <t>SKU-10236</t>
        </is>
      </c>
      <c r="E2798" t="inlineStr">
        <is>
          <t>AM02</t>
        </is>
      </c>
      <c r="F2798" s="5" t="n">
        <v>785.84</v>
      </c>
      <c r="G2798">
        <f>IF(LEFT(B2798,1)="C","Credit","Factuur")</f>
        <v/>
      </c>
      <c r="H2798">
        <f>IF(AND(B2798=B2797,D2798=D2797,A2798=A2797,F2798=F2797),1,0)</f>
        <v/>
      </c>
      <c r="I2798">
        <f>IF(C2798="C99999",1,0)</f>
        <v/>
      </c>
      <c r="J2798" s="5">
        <f>IF(OR(H2798=1,I2798=1),0,IF(G2798="Credit",-F2798,F2798))</f>
        <v/>
      </c>
    </row>
    <row r="2799">
      <c r="A2799" t="inlineStr">
        <is>
          <t>2026-07-28</t>
        </is>
      </c>
      <c r="B2799" t="inlineStr">
        <is>
          <t>F280647</t>
        </is>
      </c>
      <c r="C2799" t="inlineStr">
        <is>
          <t>C11090</t>
        </is>
      </c>
      <c r="D2799" t="inlineStr">
        <is>
          <t>SKU-10301</t>
        </is>
      </c>
      <c r="E2799" t="inlineStr">
        <is>
          <t>AM02</t>
        </is>
      </c>
      <c r="F2799" s="5" t="n">
        <v>686.66</v>
      </c>
      <c r="G2799">
        <f>IF(LEFT(B2799,1)="C","Credit","Factuur")</f>
        <v/>
      </c>
      <c r="H2799">
        <f>IF(AND(B2799=B2798,D2799=D2798,A2799=A2798,F2799=F2798),1,0)</f>
        <v/>
      </c>
      <c r="I2799">
        <f>IF(C2799="C99999",1,0)</f>
        <v/>
      </c>
      <c r="J2799" s="5">
        <f>IF(OR(H2799=1,I2799=1),0,IF(G2799="Credit",-F2799,F2799))</f>
        <v/>
      </c>
    </row>
    <row r="2800">
      <c r="A2800" t="inlineStr">
        <is>
          <t>2026-07-28</t>
        </is>
      </c>
      <c r="B2800" t="inlineStr">
        <is>
          <t>F280647</t>
        </is>
      </c>
      <c r="C2800" t="inlineStr">
        <is>
          <t>C11090</t>
        </is>
      </c>
      <c r="D2800" t="inlineStr">
        <is>
          <t>SKU-10368</t>
        </is>
      </c>
      <c r="E2800" t="inlineStr">
        <is>
          <t>AM02</t>
        </is>
      </c>
      <c r="F2800" s="5" t="n">
        <v>576.3</v>
      </c>
      <c r="G2800">
        <f>IF(LEFT(B2800,1)="C","Credit","Factuur")</f>
        <v/>
      </c>
      <c r="H2800">
        <f>IF(AND(B2800=B2799,D2800=D2799,A2800=A2799,F2800=F2799),1,0)</f>
        <v/>
      </c>
      <c r="I2800">
        <f>IF(C2800="C99999",1,0)</f>
        <v/>
      </c>
      <c r="J2800" s="5">
        <f>IF(OR(H2800=1,I2800=1),0,IF(G2800="Credit",-F2800,F2800))</f>
        <v/>
      </c>
    </row>
    <row r="2801">
      <c r="A2801" t="inlineStr">
        <is>
          <t>2026-07-28</t>
        </is>
      </c>
      <c r="B2801" t="inlineStr">
        <is>
          <t>F280810</t>
        </is>
      </c>
      <c r="C2801" t="inlineStr">
        <is>
          <t>C11097</t>
        </is>
      </c>
      <c r="D2801" t="inlineStr">
        <is>
          <t>SKU-10153</t>
        </is>
      </c>
      <c r="E2801" t="inlineStr">
        <is>
          <t>AM05</t>
        </is>
      </c>
      <c r="F2801" s="5" t="n">
        <v>337.2</v>
      </c>
      <c r="G2801">
        <f>IF(LEFT(B2801,1)="C","Credit","Factuur")</f>
        <v/>
      </c>
      <c r="H2801">
        <f>IF(AND(B2801=B2800,D2801=D2800,A2801=A2800,F2801=F2800),1,0)</f>
        <v/>
      </c>
      <c r="I2801">
        <f>IF(C2801="C99999",1,0)</f>
        <v/>
      </c>
      <c r="J2801" s="5">
        <f>IF(OR(H2801=1,I2801=1),0,IF(G2801="Credit",-F2801,F2801))</f>
        <v/>
      </c>
    </row>
    <row r="2802">
      <c r="A2802" t="inlineStr">
        <is>
          <t>2026-07-28</t>
        </is>
      </c>
      <c r="B2802" t="inlineStr">
        <is>
          <t>F280810</t>
        </is>
      </c>
      <c r="C2802" t="inlineStr">
        <is>
          <t>C11097</t>
        </is>
      </c>
      <c r="D2802" t="inlineStr">
        <is>
          <t>SKU-10166</t>
        </is>
      </c>
      <c r="E2802" t="inlineStr">
        <is>
          <t>AM05</t>
        </is>
      </c>
      <c r="F2802" s="5" t="n">
        <v>340.9</v>
      </c>
      <c r="G2802">
        <f>IF(LEFT(B2802,1)="C","Credit","Factuur")</f>
        <v/>
      </c>
      <c r="H2802">
        <f>IF(AND(B2802=B2801,D2802=D2801,A2802=A2801,F2802=F2801),1,0)</f>
        <v/>
      </c>
      <c r="I2802">
        <f>IF(C2802="C99999",1,0)</f>
        <v/>
      </c>
      <c r="J2802" s="5">
        <f>IF(OR(H2802=1,I2802=1),0,IF(G2802="Credit",-F2802,F2802))</f>
        <v/>
      </c>
    </row>
    <row r="2803">
      <c r="A2803" t="inlineStr">
        <is>
          <t>2026-07-28</t>
        </is>
      </c>
      <c r="B2803" t="inlineStr">
        <is>
          <t>F280810</t>
        </is>
      </c>
      <c r="C2803" t="inlineStr">
        <is>
          <t>C11097</t>
        </is>
      </c>
      <c r="D2803" t="inlineStr">
        <is>
          <t>SKU-10217</t>
        </is>
      </c>
      <c r="E2803" t="inlineStr">
        <is>
          <t>AM05</t>
        </is>
      </c>
      <c r="F2803" s="5" t="n">
        <v>334.62</v>
      </c>
      <c r="G2803">
        <f>IF(LEFT(B2803,1)="C","Credit","Factuur")</f>
        <v/>
      </c>
      <c r="H2803">
        <f>IF(AND(B2803=B2802,D2803=D2802,A2803=A2802,F2803=F2802),1,0)</f>
        <v/>
      </c>
      <c r="I2803">
        <f>IF(C2803="C99999",1,0)</f>
        <v/>
      </c>
      <c r="J2803" s="5">
        <f>IF(OR(H2803=1,I2803=1),0,IF(G2803="Credit",-F2803,F2803))</f>
        <v/>
      </c>
    </row>
    <row r="2804">
      <c r="A2804" t="inlineStr">
        <is>
          <t>2026-07-28</t>
        </is>
      </c>
      <c r="B2804" t="inlineStr">
        <is>
          <t>F283685</t>
        </is>
      </c>
      <c r="C2804" t="inlineStr">
        <is>
          <t>C11241</t>
        </is>
      </c>
      <c r="D2804" t="inlineStr">
        <is>
          <t>SKU-10023</t>
        </is>
      </c>
      <c r="E2804" t="inlineStr">
        <is>
          <t>AM07</t>
        </is>
      </c>
      <c r="F2804" s="5" t="n">
        <v>272.29</v>
      </c>
      <c r="G2804">
        <f>IF(LEFT(B2804,1)="C","Credit","Factuur")</f>
        <v/>
      </c>
      <c r="H2804">
        <f>IF(AND(B2804=B2803,D2804=D2803,A2804=A2803,F2804=F2803),1,0)</f>
        <v/>
      </c>
      <c r="I2804">
        <f>IF(C2804="C99999",1,0)</f>
        <v/>
      </c>
      <c r="J2804" s="5">
        <f>IF(OR(H2804=1,I2804=1),0,IF(G2804="Credit",-F2804,F2804))</f>
        <v/>
      </c>
    </row>
    <row r="2805">
      <c r="A2805" t="inlineStr">
        <is>
          <t>2026-07-28</t>
        </is>
      </c>
      <c r="B2805" t="inlineStr">
        <is>
          <t>F283685</t>
        </is>
      </c>
      <c r="C2805" t="inlineStr">
        <is>
          <t>C11241</t>
        </is>
      </c>
      <c r="D2805" t="inlineStr">
        <is>
          <t>SKU-10035</t>
        </is>
      </c>
      <c r="E2805" t="inlineStr">
        <is>
          <t>AM07</t>
        </is>
      </c>
      <c r="F2805" s="5" t="n">
        <v>329.85</v>
      </c>
      <c r="G2805">
        <f>IF(LEFT(B2805,1)="C","Credit","Factuur")</f>
        <v/>
      </c>
      <c r="H2805">
        <f>IF(AND(B2805=B2804,D2805=D2804,A2805=A2804,F2805=F2804),1,0)</f>
        <v/>
      </c>
      <c r="I2805">
        <f>IF(C2805="C99999",1,0)</f>
        <v/>
      </c>
      <c r="J2805" s="5">
        <f>IF(OR(H2805=1,I2805=1),0,IF(G2805="Credit",-F2805,F2805))</f>
        <v/>
      </c>
    </row>
    <row r="2806">
      <c r="A2806" t="inlineStr">
        <is>
          <t>2026-07-28</t>
        </is>
      </c>
      <c r="B2806" t="inlineStr">
        <is>
          <t>F283685</t>
        </is>
      </c>
      <c r="C2806" t="inlineStr">
        <is>
          <t>C11241</t>
        </is>
      </c>
      <c r="D2806" t="inlineStr">
        <is>
          <t>SKU-10045</t>
        </is>
      </c>
      <c r="E2806" t="inlineStr">
        <is>
          <t>AM07</t>
        </is>
      </c>
      <c r="F2806" s="5" t="n">
        <v>332.68</v>
      </c>
      <c r="G2806">
        <f>IF(LEFT(B2806,1)="C","Credit","Factuur")</f>
        <v/>
      </c>
      <c r="H2806">
        <f>IF(AND(B2806=B2805,D2806=D2805,A2806=A2805,F2806=F2805),1,0)</f>
        <v/>
      </c>
      <c r="I2806">
        <f>IF(C2806="C99999",1,0)</f>
        <v/>
      </c>
      <c r="J2806" s="5">
        <f>IF(OR(H2806=1,I2806=1),0,IF(G2806="Credit",-F2806,F2806))</f>
        <v/>
      </c>
    </row>
    <row r="2807">
      <c r="A2807" t="inlineStr">
        <is>
          <t>2026-07-28</t>
        </is>
      </c>
      <c r="B2807" t="inlineStr">
        <is>
          <t>F283685</t>
        </is>
      </c>
      <c r="C2807" t="inlineStr">
        <is>
          <t>C11241</t>
        </is>
      </c>
      <c r="D2807" t="inlineStr">
        <is>
          <t>SKU-10131</t>
        </is>
      </c>
      <c r="E2807" t="inlineStr">
        <is>
          <t>AM07</t>
        </is>
      </c>
      <c r="F2807" s="5" t="n">
        <v>282.34</v>
      </c>
      <c r="G2807">
        <f>IF(LEFT(B2807,1)="C","Credit","Factuur")</f>
        <v/>
      </c>
      <c r="H2807">
        <f>IF(AND(B2807=B2806,D2807=D2806,A2807=A2806,F2807=F2806),1,0)</f>
        <v/>
      </c>
      <c r="I2807">
        <f>IF(C2807="C99999",1,0)</f>
        <v/>
      </c>
      <c r="J2807" s="5">
        <f>IF(OR(H2807=1,I2807=1),0,IF(G2807="Credit",-F2807,F2807))</f>
        <v/>
      </c>
    </row>
    <row r="2808">
      <c r="A2808" t="inlineStr">
        <is>
          <t>2026-07-28</t>
        </is>
      </c>
      <c r="B2808" t="inlineStr">
        <is>
          <t>F283685</t>
        </is>
      </c>
      <c r="C2808" t="inlineStr">
        <is>
          <t>C11241</t>
        </is>
      </c>
      <c r="D2808" t="inlineStr">
        <is>
          <t>SKU-10275</t>
        </is>
      </c>
      <c r="E2808" t="inlineStr">
        <is>
          <t>AM07</t>
        </is>
      </c>
      <c r="F2808" s="5" t="n">
        <v>340.48</v>
      </c>
      <c r="G2808">
        <f>IF(LEFT(B2808,1)="C","Credit","Factuur")</f>
        <v/>
      </c>
      <c r="H2808">
        <f>IF(AND(B2808=B2807,D2808=D2807,A2808=A2807,F2808=F2807),1,0)</f>
        <v/>
      </c>
      <c r="I2808">
        <f>IF(C2808="C99999",1,0)</f>
        <v/>
      </c>
      <c r="J2808" s="5">
        <f>IF(OR(H2808=1,I2808=1),0,IF(G2808="Credit",-F2808,F2808))</f>
        <v/>
      </c>
    </row>
    <row r="2809">
      <c r="A2809" t="inlineStr">
        <is>
          <t>2026-07-28</t>
        </is>
      </c>
      <c r="B2809" t="inlineStr">
        <is>
          <t>F283685</t>
        </is>
      </c>
      <c r="C2809" t="inlineStr">
        <is>
          <t>C11241</t>
        </is>
      </c>
      <c r="D2809" t="inlineStr">
        <is>
          <t>SKU-10371</t>
        </is>
      </c>
      <c r="E2809" t="inlineStr">
        <is>
          <t>AM07</t>
        </is>
      </c>
      <c r="F2809" s="5" t="n">
        <v>330.12</v>
      </c>
      <c r="G2809">
        <f>IF(LEFT(B2809,1)="C","Credit","Factuur")</f>
        <v/>
      </c>
      <c r="H2809">
        <f>IF(AND(B2809=B2808,D2809=D2808,A2809=A2808,F2809=F2808),1,0)</f>
        <v/>
      </c>
      <c r="I2809">
        <f>IF(C2809="C99999",1,0)</f>
        <v/>
      </c>
      <c r="J2809" s="5">
        <f>IF(OR(H2809=1,I2809=1),0,IF(G2809="Credit",-F2809,F2809))</f>
        <v/>
      </c>
    </row>
    <row r="2810">
      <c r="A2810" t="inlineStr">
        <is>
          <t>2026-07-28</t>
        </is>
      </c>
      <c r="B2810" t="inlineStr">
        <is>
          <t>F284222</t>
        </is>
      </c>
      <c r="C2810" t="inlineStr">
        <is>
          <t>C11267</t>
        </is>
      </c>
      <c r="D2810" t="inlineStr">
        <is>
          <t>SKU-10011</t>
        </is>
      </c>
      <c r="E2810" t="inlineStr">
        <is>
          <t>AM06</t>
        </is>
      </c>
      <c r="F2810" s="5" t="n">
        <v>341.04</v>
      </c>
      <c r="G2810">
        <f>IF(LEFT(B2810,1)="C","Credit","Factuur")</f>
        <v/>
      </c>
      <c r="H2810">
        <f>IF(AND(B2810=B2809,D2810=D2809,A2810=A2809,F2810=F2809),1,0)</f>
        <v/>
      </c>
      <c r="I2810">
        <f>IF(C2810="C99999",1,0)</f>
        <v/>
      </c>
      <c r="J2810" s="5">
        <f>IF(OR(H2810=1,I2810=1),0,IF(G2810="Credit",-F2810,F2810))</f>
        <v/>
      </c>
    </row>
    <row r="2811">
      <c r="A2811" t="inlineStr">
        <is>
          <t>2026-07-28</t>
        </is>
      </c>
      <c r="B2811" t="inlineStr">
        <is>
          <t>F284222</t>
        </is>
      </c>
      <c r="C2811" t="inlineStr">
        <is>
          <t>C11267</t>
        </is>
      </c>
      <c r="D2811" t="inlineStr">
        <is>
          <t>SKU-10054</t>
        </is>
      </c>
      <c r="E2811" t="inlineStr">
        <is>
          <t>AM06</t>
        </is>
      </c>
      <c r="F2811" s="5" t="n">
        <v>332.09</v>
      </c>
      <c r="G2811">
        <f>IF(LEFT(B2811,1)="C","Credit","Factuur")</f>
        <v/>
      </c>
      <c r="H2811">
        <f>IF(AND(B2811=B2810,D2811=D2810,A2811=A2810,F2811=F2810),1,0)</f>
        <v/>
      </c>
      <c r="I2811">
        <f>IF(C2811="C99999",1,0)</f>
        <v/>
      </c>
      <c r="J2811" s="5">
        <f>IF(OR(H2811=1,I2811=1),0,IF(G2811="Credit",-F2811,F2811))</f>
        <v/>
      </c>
    </row>
    <row r="2812">
      <c r="A2812" t="inlineStr">
        <is>
          <t>2026-07-28</t>
        </is>
      </c>
      <c r="B2812" t="inlineStr">
        <is>
          <t>F284222</t>
        </is>
      </c>
      <c r="C2812" t="inlineStr">
        <is>
          <t>C11267</t>
        </is>
      </c>
      <c r="D2812" t="inlineStr">
        <is>
          <t>SKU-10352</t>
        </is>
      </c>
      <c r="E2812" t="inlineStr">
        <is>
          <t>AM06</t>
        </is>
      </c>
      <c r="F2812" s="5" t="n">
        <v>315.98</v>
      </c>
      <c r="G2812">
        <f>IF(LEFT(B2812,1)="C","Credit","Factuur")</f>
        <v/>
      </c>
      <c r="H2812">
        <f>IF(AND(B2812=B2811,D2812=D2811,A2812=A2811,F2812=F2811),1,0)</f>
        <v/>
      </c>
      <c r="I2812">
        <f>IF(C2812="C99999",1,0)</f>
        <v/>
      </c>
      <c r="J2812" s="5">
        <f>IF(OR(H2812=1,I2812=1),0,IF(G2812="Credit",-F2812,F2812))</f>
        <v/>
      </c>
    </row>
    <row r="2813">
      <c r="A2813" t="inlineStr">
        <is>
          <t>2026-07-28</t>
        </is>
      </c>
      <c r="B2813" t="inlineStr">
        <is>
          <t>F284328</t>
        </is>
      </c>
      <c r="C2813" t="inlineStr">
        <is>
          <t>C11272</t>
        </is>
      </c>
      <c r="D2813" t="inlineStr">
        <is>
          <t>SKU-10121</t>
        </is>
      </c>
      <c r="E2813" t="inlineStr"/>
      <c r="F2813" s="5" t="n">
        <v>194.79</v>
      </c>
      <c r="G2813">
        <f>IF(LEFT(B2813,1)="C","Credit","Factuur")</f>
        <v/>
      </c>
      <c r="H2813">
        <f>IF(AND(B2813=B2812,D2813=D2812,A2813=A2812,F2813=F2812),1,0)</f>
        <v/>
      </c>
      <c r="I2813">
        <f>IF(C2813="C99999",1,0)</f>
        <v/>
      </c>
      <c r="J2813" s="5">
        <f>IF(OR(H2813=1,I2813=1),0,IF(G2813="Credit",-F2813,F2813))</f>
        <v/>
      </c>
    </row>
    <row r="2814">
      <c r="A2814" t="inlineStr">
        <is>
          <t>2026-07-28</t>
        </is>
      </c>
      <c r="B2814" t="inlineStr">
        <is>
          <t>F284328</t>
        </is>
      </c>
      <c r="C2814" t="inlineStr">
        <is>
          <t>C11272</t>
        </is>
      </c>
      <c r="D2814" t="inlineStr">
        <is>
          <t>SKU-10161</t>
        </is>
      </c>
      <c r="E2814" t="inlineStr">
        <is>
          <t>AM07</t>
        </is>
      </c>
      <c r="F2814" s="5" t="n">
        <v>182.97</v>
      </c>
      <c r="G2814">
        <f>IF(LEFT(B2814,1)="C","Credit","Factuur")</f>
        <v/>
      </c>
      <c r="H2814">
        <f>IF(AND(B2814=B2813,D2814=D2813,A2814=A2813,F2814=F2813),1,0)</f>
        <v/>
      </c>
      <c r="I2814">
        <f>IF(C2814="C99999",1,0)</f>
        <v/>
      </c>
      <c r="J2814" s="5">
        <f>IF(OR(H2814=1,I2814=1),0,IF(G2814="Credit",-F2814,F2814))</f>
        <v/>
      </c>
    </row>
    <row r="2815">
      <c r="A2815" t="inlineStr">
        <is>
          <t>2026-07-28</t>
        </is>
      </c>
      <c r="B2815" t="inlineStr">
        <is>
          <t>F284328</t>
        </is>
      </c>
      <c r="C2815" t="inlineStr">
        <is>
          <t>C11272</t>
        </is>
      </c>
      <c r="D2815" t="inlineStr">
        <is>
          <t>SKU-10286</t>
        </is>
      </c>
      <c r="E2815" t="inlineStr">
        <is>
          <t>AM07</t>
        </is>
      </c>
      <c r="F2815" s="5" t="n">
        <v>200.75</v>
      </c>
      <c r="G2815">
        <f>IF(LEFT(B2815,1)="C","Credit","Factuur")</f>
        <v/>
      </c>
      <c r="H2815">
        <f>IF(AND(B2815=B2814,D2815=D2814,A2815=A2814,F2815=F2814),1,0)</f>
        <v/>
      </c>
      <c r="I2815">
        <f>IF(C2815="C99999",1,0)</f>
        <v/>
      </c>
      <c r="J2815" s="5">
        <f>IF(OR(H2815=1,I2815=1),0,IF(G2815="Credit",-F2815,F2815))</f>
        <v/>
      </c>
    </row>
    <row r="2816">
      <c r="A2816" t="inlineStr">
        <is>
          <t>2026-07-28</t>
        </is>
      </c>
      <c r="B2816" t="inlineStr">
        <is>
          <t>F284517</t>
        </is>
      </c>
      <c r="C2816" t="inlineStr">
        <is>
          <t>C11285</t>
        </is>
      </c>
      <c r="D2816" t="inlineStr">
        <is>
          <t>SKU-10045</t>
        </is>
      </c>
      <c r="E2816" t="inlineStr">
        <is>
          <t>AM01</t>
        </is>
      </c>
      <c r="F2816" s="5" t="n">
        <v>175.09</v>
      </c>
      <c r="G2816">
        <f>IF(LEFT(B2816,1)="C","Credit","Factuur")</f>
        <v/>
      </c>
      <c r="H2816">
        <f>IF(AND(B2816=B2815,D2816=D2815,A2816=A2815,F2816=F2815),1,0)</f>
        <v/>
      </c>
      <c r="I2816">
        <f>IF(C2816="C99999",1,0)</f>
        <v/>
      </c>
      <c r="J2816" s="5">
        <f>IF(OR(H2816=1,I2816=1),0,IF(G2816="Credit",-F2816,F2816))</f>
        <v/>
      </c>
    </row>
    <row r="2817">
      <c r="A2817" t="inlineStr">
        <is>
          <t>2026-07-28</t>
        </is>
      </c>
      <c r="B2817" t="inlineStr">
        <is>
          <t>F284517</t>
        </is>
      </c>
      <c r="C2817" t="inlineStr">
        <is>
          <t>C11285</t>
        </is>
      </c>
      <c r="D2817" t="inlineStr">
        <is>
          <t>SKU-10106</t>
        </is>
      </c>
      <c r="E2817" t="inlineStr">
        <is>
          <t>AM01</t>
        </is>
      </c>
      <c r="F2817" s="5" t="n">
        <v>196.27</v>
      </c>
      <c r="G2817">
        <f>IF(LEFT(B2817,1)="C","Credit","Factuur")</f>
        <v/>
      </c>
      <c r="H2817">
        <f>IF(AND(B2817=B2816,D2817=D2816,A2817=A2816,F2817=F2816),1,0)</f>
        <v/>
      </c>
      <c r="I2817">
        <f>IF(C2817="C99999",1,0)</f>
        <v/>
      </c>
      <c r="J2817" s="5">
        <f>IF(OR(H2817=1,I2817=1),0,IF(G2817="Credit",-F2817,F2817))</f>
        <v/>
      </c>
    </row>
    <row r="2818">
      <c r="A2818" t="inlineStr">
        <is>
          <t>2026-07-28</t>
        </is>
      </c>
      <c r="B2818" t="inlineStr">
        <is>
          <t>F284517</t>
        </is>
      </c>
      <c r="C2818" t="inlineStr">
        <is>
          <t>C11285</t>
        </is>
      </c>
      <c r="D2818" t="inlineStr">
        <is>
          <t>SKU-10167</t>
        </is>
      </c>
      <c r="E2818" t="inlineStr">
        <is>
          <t>AM01</t>
        </is>
      </c>
      <c r="F2818" s="5" t="n">
        <v>194.37</v>
      </c>
      <c r="G2818">
        <f>IF(LEFT(B2818,1)="C","Credit","Factuur")</f>
        <v/>
      </c>
      <c r="H2818">
        <f>IF(AND(B2818=B2817,D2818=D2817,A2818=A2817,F2818=F2817),1,0)</f>
        <v/>
      </c>
      <c r="I2818">
        <f>IF(C2818="C99999",1,0)</f>
        <v/>
      </c>
      <c r="J2818" s="5">
        <f>IF(OR(H2818=1,I2818=1),0,IF(G2818="Credit",-F2818,F2818))</f>
        <v/>
      </c>
    </row>
    <row r="2819">
      <c r="A2819" t="inlineStr">
        <is>
          <t>2026-07-28</t>
        </is>
      </c>
      <c r="B2819" t="inlineStr">
        <is>
          <t>F284517</t>
        </is>
      </c>
      <c r="C2819" t="inlineStr">
        <is>
          <t>C11285</t>
        </is>
      </c>
      <c r="D2819" t="inlineStr">
        <is>
          <t>SKU-10289</t>
        </is>
      </c>
      <c r="E2819" t="inlineStr">
        <is>
          <t>AM01</t>
        </is>
      </c>
      <c r="F2819" s="5" t="n">
        <v>191.95</v>
      </c>
      <c r="G2819">
        <f>IF(LEFT(B2819,1)="C","Credit","Factuur")</f>
        <v/>
      </c>
      <c r="H2819">
        <f>IF(AND(B2819=B2818,D2819=D2818,A2819=A2818,F2819=F2818),1,0)</f>
        <v/>
      </c>
      <c r="I2819">
        <f>IF(C2819="C99999",1,0)</f>
        <v/>
      </c>
      <c r="J2819" s="5">
        <f>IF(OR(H2819=1,I2819=1),0,IF(G2819="Credit",-F2819,F2819))</f>
        <v/>
      </c>
    </row>
    <row r="2820">
      <c r="A2820" t="inlineStr">
        <is>
          <t>2026-07-28</t>
        </is>
      </c>
      <c r="B2820" t="inlineStr">
        <is>
          <t>F284517</t>
        </is>
      </c>
      <c r="C2820" t="inlineStr">
        <is>
          <t>C11285</t>
        </is>
      </c>
      <c r="D2820" t="inlineStr">
        <is>
          <t>SKU-10302</t>
        </is>
      </c>
      <c r="E2820" t="inlineStr">
        <is>
          <t>AM01</t>
        </is>
      </c>
      <c r="F2820" s="5" t="n">
        <v>197.59</v>
      </c>
      <c r="G2820">
        <f>IF(LEFT(B2820,1)="C","Credit","Factuur")</f>
        <v/>
      </c>
      <c r="H2820">
        <f>IF(AND(B2820=B2819,D2820=D2819,A2820=A2819,F2820=F2819),1,0)</f>
        <v/>
      </c>
      <c r="I2820">
        <f>IF(C2820="C99999",1,0)</f>
        <v/>
      </c>
      <c r="J2820" s="5">
        <f>IF(OR(H2820=1,I2820=1),0,IF(G2820="Credit",-F2820,F2820))</f>
        <v/>
      </c>
    </row>
    <row r="2821">
      <c r="A2821" t="inlineStr">
        <is>
          <t>2026-07-28</t>
        </is>
      </c>
      <c r="B2821" t="inlineStr">
        <is>
          <t>F284517</t>
        </is>
      </c>
      <c r="C2821" t="inlineStr">
        <is>
          <t>C11285</t>
        </is>
      </c>
      <c r="D2821" t="inlineStr">
        <is>
          <t>SKU-10367</t>
        </is>
      </c>
      <c r="E2821" t="inlineStr">
        <is>
          <t>AM01</t>
        </is>
      </c>
      <c r="F2821" s="5" t="n">
        <v>181.88</v>
      </c>
      <c r="G2821">
        <f>IF(LEFT(B2821,1)="C","Credit","Factuur")</f>
        <v/>
      </c>
      <c r="H2821">
        <f>IF(AND(B2821=B2820,D2821=D2820,A2821=A2820,F2821=F2820),1,0)</f>
        <v/>
      </c>
      <c r="I2821">
        <f>IF(C2821="C99999",1,0)</f>
        <v/>
      </c>
      <c r="J2821" s="5">
        <f>IF(OR(H2821=1,I2821=1),0,IF(G2821="Credit",-F2821,F2821))</f>
        <v/>
      </c>
    </row>
    <row r="2822">
      <c r="A2822" t="inlineStr">
        <is>
          <t>2026-07-28</t>
        </is>
      </c>
      <c r="B2822" t="inlineStr">
        <is>
          <t>F285915</t>
        </is>
      </c>
      <c r="C2822" t="inlineStr">
        <is>
          <t>C11357</t>
        </is>
      </c>
      <c r="D2822" t="inlineStr">
        <is>
          <t>SKU-10240</t>
        </is>
      </c>
      <c r="E2822" t="inlineStr">
        <is>
          <t>AM02</t>
        </is>
      </c>
      <c r="F2822" s="5" t="n">
        <v>1809.61</v>
      </c>
      <c r="G2822">
        <f>IF(LEFT(B2822,1)="C","Credit","Factuur")</f>
        <v/>
      </c>
      <c r="H2822">
        <f>IF(AND(B2822=B2821,D2822=D2821,A2822=A2821,F2822=F2821),1,0)</f>
        <v/>
      </c>
      <c r="I2822">
        <f>IF(C2822="C99999",1,0)</f>
        <v/>
      </c>
      <c r="J2822" s="5">
        <f>IF(OR(H2822=1,I2822=1),0,IF(G2822="Credit",-F2822,F2822))</f>
        <v/>
      </c>
    </row>
    <row r="2823">
      <c r="A2823" t="inlineStr">
        <is>
          <t>2026-07-28</t>
        </is>
      </c>
      <c r="B2823" t="inlineStr">
        <is>
          <t>F285915</t>
        </is>
      </c>
      <c r="C2823" t="inlineStr">
        <is>
          <t>C11357</t>
        </is>
      </c>
      <c r="D2823" t="inlineStr">
        <is>
          <t>SKU-10385</t>
        </is>
      </c>
      <c r="E2823" t="inlineStr">
        <is>
          <t>AM02</t>
        </is>
      </c>
      <c r="F2823" s="5" t="n">
        <v>1814.25</v>
      </c>
      <c r="G2823">
        <f>IF(LEFT(B2823,1)="C","Credit","Factuur")</f>
        <v/>
      </c>
      <c r="H2823">
        <f>IF(AND(B2823=B2822,D2823=D2822,A2823=A2822,F2823=F2822),1,0)</f>
        <v/>
      </c>
      <c r="I2823">
        <f>IF(C2823="C99999",1,0)</f>
        <v/>
      </c>
      <c r="J2823" s="5">
        <f>IF(OR(H2823=1,I2823=1),0,IF(G2823="Credit",-F2823,F2823))</f>
        <v/>
      </c>
    </row>
    <row r="2824">
      <c r="A2824" t="inlineStr">
        <is>
          <t>2026-07-28</t>
        </is>
      </c>
      <c r="B2824" t="inlineStr">
        <is>
          <t>F286090</t>
        </is>
      </c>
      <c r="C2824" t="inlineStr">
        <is>
          <t>C11364</t>
        </is>
      </c>
      <c r="D2824" t="inlineStr">
        <is>
          <t>SKU-10109</t>
        </is>
      </c>
      <c r="E2824" t="inlineStr">
        <is>
          <t>AM09</t>
        </is>
      </c>
      <c r="F2824" s="5" t="n">
        <v>143.85</v>
      </c>
      <c r="G2824">
        <f>IF(LEFT(B2824,1)="C","Credit","Factuur")</f>
        <v/>
      </c>
      <c r="H2824">
        <f>IF(AND(B2824=B2823,D2824=D2823,A2824=A2823,F2824=F2823),1,0)</f>
        <v/>
      </c>
      <c r="I2824">
        <f>IF(C2824="C99999",1,0)</f>
        <v/>
      </c>
      <c r="J2824" s="5">
        <f>IF(OR(H2824=1,I2824=1),0,IF(G2824="Credit",-F2824,F2824))</f>
        <v/>
      </c>
    </row>
    <row r="2825">
      <c r="A2825" t="inlineStr">
        <is>
          <t>2026-07-28</t>
        </is>
      </c>
      <c r="B2825" t="inlineStr">
        <is>
          <t>F286090</t>
        </is>
      </c>
      <c r="C2825" t="inlineStr">
        <is>
          <t>C11364</t>
        </is>
      </c>
      <c r="D2825" t="inlineStr">
        <is>
          <t>SKU-10133</t>
        </is>
      </c>
      <c r="E2825" t="inlineStr">
        <is>
          <t>AM09</t>
        </is>
      </c>
      <c r="F2825" s="5" t="n">
        <v>132.34</v>
      </c>
      <c r="G2825">
        <f>IF(LEFT(B2825,1)="C","Credit","Factuur")</f>
        <v/>
      </c>
      <c r="H2825">
        <f>IF(AND(B2825=B2824,D2825=D2824,A2825=A2824,F2825=F2824),1,0)</f>
        <v/>
      </c>
      <c r="I2825">
        <f>IF(C2825="C99999",1,0)</f>
        <v/>
      </c>
      <c r="J2825" s="5">
        <f>IF(OR(H2825=1,I2825=1),0,IF(G2825="Credit",-F2825,F2825))</f>
        <v/>
      </c>
    </row>
    <row r="2826">
      <c r="A2826" t="inlineStr">
        <is>
          <t>2026-07-28</t>
        </is>
      </c>
      <c r="B2826" t="inlineStr">
        <is>
          <t>F286090</t>
        </is>
      </c>
      <c r="C2826" t="inlineStr">
        <is>
          <t>C11364</t>
        </is>
      </c>
      <c r="D2826" t="inlineStr">
        <is>
          <t>SKU-10311</t>
        </is>
      </c>
      <c r="E2826" t="inlineStr"/>
      <c r="F2826" s="5" t="n">
        <v>137.54</v>
      </c>
      <c r="G2826">
        <f>IF(LEFT(B2826,1)="C","Credit","Factuur")</f>
        <v/>
      </c>
      <c r="H2826">
        <f>IF(AND(B2826=B2825,D2826=D2825,A2826=A2825,F2826=F2825),1,0)</f>
        <v/>
      </c>
      <c r="I2826">
        <f>IF(C2826="C99999",1,0)</f>
        <v/>
      </c>
      <c r="J2826" s="5">
        <f>IF(OR(H2826=1,I2826=1),0,IF(G2826="Credit",-F2826,F2826))</f>
        <v/>
      </c>
    </row>
    <row r="2827">
      <c r="A2827" t="inlineStr">
        <is>
          <t>2026-07-28</t>
        </is>
      </c>
      <c r="B2827" t="inlineStr">
        <is>
          <t>F286090</t>
        </is>
      </c>
      <c r="C2827" t="inlineStr">
        <is>
          <t>C11364</t>
        </is>
      </c>
      <c r="D2827" t="inlineStr">
        <is>
          <t>SKU-10321</t>
        </is>
      </c>
      <c r="E2827" t="inlineStr">
        <is>
          <t>AM09</t>
        </is>
      </c>
      <c r="F2827" s="5" t="n">
        <v>139.11</v>
      </c>
      <c r="G2827">
        <f>IF(LEFT(B2827,1)="C","Credit","Factuur")</f>
        <v/>
      </c>
      <c r="H2827">
        <f>IF(AND(B2827=B2826,D2827=D2826,A2827=A2826,F2827=F2826),1,0)</f>
        <v/>
      </c>
      <c r="I2827">
        <f>IF(C2827="C99999",1,0)</f>
        <v/>
      </c>
      <c r="J2827" s="5">
        <f>IF(OR(H2827=1,I2827=1),0,IF(G2827="Credit",-F2827,F2827))</f>
        <v/>
      </c>
    </row>
    <row r="2828">
      <c r="A2828" t="inlineStr">
        <is>
          <t>2026-07-28</t>
        </is>
      </c>
      <c r="B2828" t="inlineStr">
        <is>
          <t>F286090</t>
        </is>
      </c>
      <c r="C2828" t="inlineStr">
        <is>
          <t>C11364</t>
        </is>
      </c>
      <c r="D2828" t="inlineStr">
        <is>
          <t>SKU-10333</t>
        </is>
      </c>
      <c r="E2828" t="inlineStr">
        <is>
          <t>AM09</t>
        </is>
      </c>
      <c r="F2828" s="5" t="n">
        <v>143.75</v>
      </c>
      <c r="G2828">
        <f>IF(LEFT(B2828,1)="C","Credit","Factuur")</f>
        <v/>
      </c>
      <c r="H2828">
        <f>IF(AND(B2828=B2827,D2828=D2827,A2828=A2827,F2828=F2827),1,0)</f>
        <v/>
      </c>
      <c r="I2828">
        <f>IF(C2828="C99999",1,0)</f>
        <v/>
      </c>
      <c r="J2828" s="5">
        <f>IF(OR(H2828=1,I2828=1),0,IF(G2828="Credit",-F2828,F2828))</f>
        <v/>
      </c>
    </row>
    <row r="2829">
      <c r="A2829" t="inlineStr">
        <is>
          <t>2026-07-29</t>
        </is>
      </c>
      <c r="B2829" t="inlineStr">
        <is>
          <t>C900156</t>
        </is>
      </c>
      <c r="C2829" t="inlineStr">
        <is>
          <t>C10713</t>
        </is>
      </c>
      <c r="D2829" t="inlineStr">
        <is>
          <t>SKU-10295</t>
        </is>
      </c>
      <c r="E2829" t="inlineStr">
        <is>
          <t>AM08</t>
        </is>
      </c>
      <c r="F2829" s="5" t="n">
        <v>245.44</v>
      </c>
      <c r="G2829">
        <f>IF(LEFT(B2829,1)="C","Credit","Factuur")</f>
        <v/>
      </c>
      <c r="H2829">
        <f>IF(AND(B2829=B2828,D2829=D2828,A2829=A2828,F2829=F2828),1,0)</f>
        <v/>
      </c>
      <c r="I2829">
        <f>IF(C2829="C99999",1,0)</f>
        <v/>
      </c>
      <c r="J2829" s="5">
        <f>IF(OR(H2829=1,I2829=1),0,IF(G2829="Credit",-F2829,F2829))</f>
        <v/>
      </c>
    </row>
    <row r="2830">
      <c r="A2830" t="inlineStr">
        <is>
          <t>2026-07-29</t>
        </is>
      </c>
      <c r="B2830" t="inlineStr">
        <is>
          <t>C900326</t>
        </is>
      </c>
      <c r="C2830" t="inlineStr">
        <is>
          <t>C11209</t>
        </is>
      </c>
      <c r="D2830" t="inlineStr">
        <is>
          <t>SKU-10130</t>
        </is>
      </c>
      <c r="E2830" t="inlineStr">
        <is>
          <t>AM08</t>
        </is>
      </c>
      <c r="F2830" s="5" t="n">
        <v>2158.02</v>
      </c>
      <c r="G2830">
        <f>IF(LEFT(B2830,1)="C","Credit","Factuur")</f>
        <v/>
      </c>
      <c r="H2830">
        <f>IF(AND(B2830=B2829,D2830=D2829,A2830=A2829,F2830=F2829),1,0)</f>
        <v/>
      </c>
      <c r="I2830">
        <f>IF(C2830="C99999",1,0)</f>
        <v/>
      </c>
      <c r="J2830" s="5">
        <f>IF(OR(H2830=1,I2830=1),0,IF(G2830="Credit",-F2830,F2830))</f>
        <v/>
      </c>
    </row>
    <row r="2831">
      <c r="A2831" t="inlineStr">
        <is>
          <t>2026-07-29</t>
        </is>
      </c>
      <c r="B2831" t="inlineStr">
        <is>
          <t>C900864</t>
        </is>
      </c>
      <c r="C2831" t="inlineStr">
        <is>
          <t>C10016</t>
        </is>
      </c>
      <c r="D2831" t="inlineStr">
        <is>
          <t>SKU-10360</t>
        </is>
      </c>
      <c r="E2831" t="inlineStr">
        <is>
          <t>AM05</t>
        </is>
      </c>
      <c r="F2831" s="5" t="n">
        <v>186.81</v>
      </c>
      <c r="G2831">
        <f>IF(LEFT(B2831,1)="C","Credit","Factuur")</f>
        <v/>
      </c>
      <c r="H2831">
        <f>IF(AND(B2831=B2830,D2831=D2830,A2831=A2830,F2831=F2830),1,0)</f>
        <v/>
      </c>
      <c r="I2831">
        <f>IF(C2831="C99999",1,0)</f>
        <v/>
      </c>
      <c r="J2831" s="5">
        <f>IF(OR(H2831=1,I2831=1),0,IF(G2831="Credit",-F2831,F2831))</f>
        <v/>
      </c>
    </row>
    <row r="2832">
      <c r="A2832" t="inlineStr">
        <is>
          <t>2026-07-29</t>
        </is>
      </c>
      <c r="B2832" t="inlineStr">
        <is>
          <t>C900964</t>
        </is>
      </c>
      <c r="C2832" t="inlineStr">
        <is>
          <t>C10740</t>
        </is>
      </c>
      <c r="D2832" t="inlineStr">
        <is>
          <t>SKU-10288</t>
        </is>
      </c>
      <c r="E2832" t="inlineStr">
        <is>
          <t>AM11</t>
        </is>
      </c>
      <c r="F2832" s="5" t="n">
        <v>450.38</v>
      </c>
      <c r="G2832">
        <f>IF(LEFT(B2832,1)="C","Credit","Factuur")</f>
        <v/>
      </c>
      <c r="H2832">
        <f>IF(AND(B2832=B2831,D2832=D2831,A2832=A2831,F2832=F2831),1,0)</f>
        <v/>
      </c>
      <c r="I2832">
        <f>IF(C2832="C99999",1,0)</f>
        <v/>
      </c>
      <c r="J2832" s="5">
        <f>IF(OR(H2832=1,I2832=1),0,IF(G2832="Credit",-F2832,F2832))</f>
        <v/>
      </c>
    </row>
    <row r="2833">
      <c r="A2833" t="inlineStr">
        <is>
          <t>2026-07-29</t>
        </is>
      </c>
      <c r="B2833" t="inlineStr">
        <is>
          <t>F260172</t>
        </is>
      </c>
      <c r="C2833" t="inlineStr">
        <is>
          <t>C10011</t>
        </is>
      </c>
      <c r="D2833" t="inlineStr">
        <is>
          <t>SKU-10304</t>
        </is>
      </c>
      <c r="E2833" t="inlineStr">
        <is>
          <t>AM03</t>
        </is>
      </c>
      <c r="F2833" s="5" t="n">
        <v>183.36</v>
      </c>
      <c r="G2833">
        <f>IF(LEFT(B2833,1)="C","Credit","Factuur")</f>
        <v/>
      </c>
      <c r="H2833">
        <f>IF(AND(B2833=B2832,D2833=D2832,A2833=A2832,F2833=F2832),1,0)</f>
        <v/>
      </c>
      <c r="I2833">
        <f>IF(C2833="C99999",1,0)</f>
        <v/>
      </c>
      <c r="J2833" s="5">
        <f>IF(OR(H2833=1,I2833=1),0,IF(G2833="Credit",-F2833,F2833))</f>
        <v/>
      </c>
    </row>
    <row r="2834">
      <c r="A2834" t="inlineStr">
        <is>
          <t>2026-07-29</t>
        </is>
      </c>
      <c r="B2834" t="inlineStr">
        <is>
          <t>F260172</t>
        </is>
      </c>
      <c r="C2834" t="inlineStr">
        <is>
          <t>C10011</t>
        </is>
      </c>
      <c r="D2834" t="inlineStr">
        <is>
          <t>SKU-10315</t>
        </is>
      </c>
      <c r="E2834" t="inlineStr">
        <is>
          <t>AM03</t>
        </is>
      </c>
      <c r="F2834" s="5" t="n">
        <v>138.85</v>
      </c>
      <c r="G2834">
        <f>IF(LEFT(B2834,1)="C","Credit","Factuur")</f>
        <v/>
      </c>
      <c r="H2834">
        <f>IF(AND(B2834=B2833,D2834=D2833,A2834=A2833,F2834=F2833),1,0)</f>
        <v/>
      </c>
      <c r="I2834">
        <f>IF(C2834="C99999",1,0)</f>
        <v/>
      </c>
      <c r="J2834" s="5">
        <f>IF(OR(H2834=1,I2834=1),0,IF(G2834="Credit",-F2834,F2834))</f>
        <v/>
      </c>
    </row>
    <row r="2835">
      <c r="A2835" t="inlineStr">
        <is>
          <t>2026-07-29</t>
        </is>
      </c>
      <c r="B2835" t="inlineStr">
        <is>
          <t>F262906</t>
        </is>
      </c>
      <c r="C2835" t="inlineStr">
        <is>
          <t>C10156</t>
        </is>
      </c>
      <c r="D2835" t="inlineStr">
        <is>
          <t>SKU-10315</t>
        </is>
      </c>
      <c r="E2835" t="inlineStr">
        <is>
          <t>AM03</t>
        </is>
      </c>
      <c r="F2835" s="5" t="n">
        <v>1274.13</v>
      </c>
      <c r="G2835">
        <f>IF(LEFT(B2835,1)="C","Credit","Factuur")</f>
        <v/>
      </c>
      <c r="H2835">
        <f>IF(AND(B2835=B2834,D2835=D2834,A2835=A2834,F2835=F2834),1,0)</f>
        <v/>
      </c>
      <c r="I2835">
        <f>IF(C2835="C99999",1,0)</f>
        <v/>
      </c>
      <c r="J2835" s="5">
        <f>IF(OR(H2835=1,I2835=1),0,IF(G2835="Credit",-F2835,F2835))</f>
        <v/>
      </c>
    </row>
    <row r="2836">
      <c r="A2836" t="inlineStr">
        <is>
          <t>2026-07-29</t>
        </is>
      </c>
      <c r="B2836" t="inlineStr">
        <is>
          <t>F262906</t>
        </is>
      </c>
      <c r="C2836" t="inlineStr">
        <is>
          <t>C10156</t>
        </is>
      </c>
      <c r="D2836" t="inlineStr">
        <is>
          <t>SKU-10353</t>
        </is>
      </c>
      <c r="E2836" t="inlineStr">
        <is>
          <t>AM03</t>
        </is>
      </c>
      <c r="F2836" s="5" t="n">
        <v>1269.38</v>
      </c>
      <c r="G2836">
        <f>IF(LEFT(B2836,1)="C","Credit","Factuur")</f>
        <v/>
      </c>
      <c r="H2836">
        <f>IF(AND(B2836=B2835,D2836=D2835,A2836=A2835,F2836=F2835),1,0)</f>
        <v/>
      </c>
      <c r="I2836">
        <f>IF(C2836="C99999",1,0)</f>
        <v/>
      </c>
      <c r="J2836" s="5">
        <f>IF(OR(H2836=1,I2836=1),0,IF(G2836="Credit",-F2836,F2836))</f>
        <v/>
      </c>
    </row>
    <row r="2837">
      <c r="A2837" t="inlineStr">
        <is>
          <t>2026-07-29</t>
        </is>
      </c>
      <c r="B2837" t="inlineStr">
        <is>
          <t>F264168</t>
        </is>
      </c>
      <c r="C2837" t="inlineStr">
        <is>
          <t>C10220</t>
        </is>
      </c>
      <c r="D2837" t="inlineStr">
        <is>
          <t>SKU-10003</t>
        </is>
      </c>
      <c r="E2837" t="inlineStr">
        <is>
          <t>AM07</t>
        </is>
      </c>
      <c r="F2837" s="5" t="n">
        <v>446.31</v>
      </c>
      <c r="G2837">
        <f>IF(LEFT(B2837,1)="C","Credit","Factuur")</f>
        <v/>
      </c>
      <c r="H2837">
        <f>IF(AND(B2837=B2836,D2837=D2836,A2837=A2836,F2837=F2836),1,0)</f>
        <v/>
      </c>
      <c r="I2837">
        <f>IF(C2837="C99999",1,0)</f>
        <v/>
      </c>
      <c r="J2837" s="5">
        <f>IF(OR(H2837=1,I2837=1),0,IF(G2837="Credit",-F2837,F2837))</f>
        <v/>
      </c>
    </row>
    <row r="2838">
      <c r="A2838" t="inlineStr">
        <is>
          <t>2026-07-29</t>
        </is>
      </c>
      <c r="B2838" t="inlineStr">
        <is>
          <t>F264168</t>
        </is>
      </c>
      <c r="C2838" t="inlineStr">
        <is>
          <t>C10220</t>
        </is>
      </c>
      <c r="D2838" t="inlineStr">
        <is>
          <t>SKU-10030</t>
        </is>
      </c>
      <c r="E2838" t="inlineStr">
        <is>
          <t>AM07</t>
        </is>
      </c>
      <c r="F2838" s="5" t="n">
        <v>469.87</v>
      </c>
      <c r="G2838">
        <f>IF(LEFT(B2838,1)="C","Credit","Factuur")</f>
        <v/>
      </c>
      <c r="H2838">
        <f>IF(AND(B2838=B2837,D2838=D2837,A2838=A2837,F2838=F2837),1,0)</f>
        <v/>
      </c>
      <c r="I2838">
        <f>IF(C2838="C99999",1,0)</f>
        <v/>
      </c>
      <c r="J2838" s="5">
        <f>IF(OR(H2838=1,I2838=1),0,IF(G2838="Credit",-F2838,F2838))</f>
        <v/>
      </c>
    </row>
    <row r="2839">
      <c r="A2839" t="inlineStr">
        <is>
          <t>2026-07-29</t>
        </is>
      </c>
      <c r="B2839" t="inlineStr">
        <is>
          <t>F264168</t>
        </is>
      </c>
      <c r="C2839" t="inlineStr">
        <is>
          <t>C10220</t>
        </is>
      </c>
      <c r="D2839" t="inlineStr">
        <is>
          <t>SKU-10088</t>
        </is>
      </c>
      <c r="E2839" t="inlineStr">
        <is>
          <t>AM07</t>
        </is>
      </c>
      <c r="F2839" s="5" t="n">
        <v>469.07</v>
      </c>
      <c r="G2839">
        <f>IF(LEFT(B2839,1)="C","Credit","Factuur")</f>
        <v/>
      </c>
      <c r="H2839">
        <f>IF(AND(B2839=B2838,D2839=D2838,A2839=A2838,F2839=F2838),1,0)</f>
        <v/>
      </c>
      <c r="I2839">
        <f>IF(C2839="C99999",1,0)</f>
        <v/>
      </c>
      <c r="J2839" s="5">
        <f>IF(OR(H2839=1,I2839=1),0,IF(G2839="Credit",-F2839,F2839))</f>
        <v/>
      </c>
    </row>
    <row r="2840">
      <c r="A2840" t="inlineStr">
        <is>
          <t>2026-07-29</t>
        </is>
      </c>
      <c r="B2840" t="inlineStr">
        <is>
          <t>F264168</t>
        </is>
      </c>
      <c r="C2840" t="inlineStr">
        <is>
          <t>C10220</t>
        </is>
      </c>
      <c r="D2840" t="inlineStr">
        <is>
          <t>SKU-10146</t>
        </is>
      </c>
      <c r="E2840" t="inlineStr">
        <is>
          <t>AM07</t>
        </is>
      </c>
      <c r="F2840" s="5" t="n">
        <v>406.81</v>
      </c>
      <c r="G2840">
        <f>IF(LEFT(B2840,1)="C","Credit","Factuur")</f>
        <v/>
      </c>
      <c r="H2840">
        <f>IF(AND(B2840=B2839,D2840=D2839,A2840=A2839,F2840=F2839),1,0)</f>
        <v/>
      </c>
      <c r="I2840">
        <f>IF(C2840="C99999",1,0)</f>
        <v/>
      </c>
      <c r="J2840" s="5">
        <f>IF(OR(H2840=1,I2840=1),0,IF(G2840="Credit",-F2840,F2840))</f>
        <v/>
      </c>
    </row>
    <row r="2841">
      <c r="A2841" t="inlineStr">
        <is>
          <t>2026-07-29</t>
        </is>
      </c>
      <c r="B2841" t="inlineStr">
        <is>
          <t>F264301</t>
        </is>
      </c>
      <c r="C2841" t="inlineStr">
        <is>
          <t>C10225</t>
        </is>
      </c>
      <c r="D2841" t="inlineStr">
        <is>
          <t>SKU-10241</t>
        </is>
      </c>
      <c r="E2841" t="inlineStr">
        <is>
          <t>AM02</t>
        </is>
      </c>
      <c r="F2841" s="5" t="n">
        <v>494.19</v>
      </c>
      <c r="G2841">
        <f>IF(LEFT(B2841,1)="C","Credit","Factuur")</f>
        <v/>
      </c>
      <c r="H2841">
        <f>IF(AND(B2841=B2840,D2841=D2840,A2841=A2840,F2841=F2840),1,0)</f>
        <v/>
      </c>
      <c r="I2841">
        <f>IF(C2841="C99999",1,0)</f>
        <v/>
      </c>
      <c r="J2841" s="5">
        <f>IF(OR(H2841=1,I2841=1),0,IF(G2841="Credit",-F2841,F2841))</f>
        <v/>
      </c>
    </row>
    <row r="2842">
      <c r="A2842" t="inlineStr">
        <is>
          <t>2026-07-29</t>
        </is>
      </c>
      <c r="B2842" t="inlineStr">
        <is>
          <t>F264301</t>
        </is>
      </c>
      <c r="C2842" t="inlineStr">
        <is>
          <t>C10225</t>
        </is>
      </c>
      <c r="D2842" t="inlineStr">
        <is>
          <t>SKU-10276</t>
        </is>
      </c>
      <c r="E2842" t="inlineStr">
        <is>
          <t>AM02</t>
        </is>
      </c>
      <c r="F2842" s="5" t="n">
        <v>511.06</v>
      </c>
      <c r="G2842">
        <f>IF(LEFT(B2842,1)="C","Credit","Factuur")</f>
        <v/>
      </c>
      <c r="H2842">
        <f>IF(AND(B2842=B2841,D2842=D2841,A2842=A2841,F2842=F2841),1,0)</f>
        <v/>
      </c>
      <c r="I2842">
        <f>IF(C2842="C99999",1,0)</f>
        <v/>
      </c>
      <c r="J2842" s="5">
        <f>IF(OR(H2842=1,I2842=1),0,IF(G2842="Credit",-F2842,F2842))</f>
        <v/>
      </c>
    </row>
    <row r="2843">
      <c r="A2843" t="inlineStr">
        <is>
          <t>2026-07-29</t>
        </is>
      </c>
      <c r="B2843" t="inlineStr">
        <is>
          <t>F264612</t>
        </is>
      </c>
      <c r="C2843" t="inlineStr">
        <is>
          <t>C10239</t>
        </is>
      </c>
      <c r="D2843" t="inlineStr">
        <is>
          <t>SKU-10051</t>
        </is>
      </c>
      <c r="E2843" t="inlineStr">
        <is>
          <t>AM02</t>
        </is>
      </c>
      <c r="F2843" s="5" t="n">
        <v>102.56</v>
      </c>
      <c r="G2843">
        <f>IF(LEFT(B2843,1)="C","Credit","Factuur")</f>
        <v/>
      </c>
      <c r="H2843">
        <f>IF(AND(B2843=B2842,D2843=D2842,A2843=A2842,F2843=F2842),1,0)</f>
        <v/>
      </c>
      <c r="I2843">
        <f>IF(C2843="C99999",1,0)</f>
        <v/>
      </c>
      <c r="J2843" s="5">
        <f>IF(OR(H2843=1,I2843=1),0,IF(G2843="Credit",-F2843,F2843))</f>
        <v/>
      </c>
    </row>
    <row r="2844">
      <c r="A2844" t="inlineStr">
        <is>
          <t>2026-07-29</t>
        </is>
      </c>
      <c r="B2844" t="inlineStr">
        <is>
          <t>F264612</t>
        </is>
      </c>
      <c r="C2844" t="inlineStr">
        <is>
          <t>C10239</t>
        </is>
      </c>
      <c r="D2844" t="inlineStr">
        <is>
          <t>SKU-10055</t>
        </is>
      </c>
      <c r="E2844" t="inlineStr">
        <is>
          <t>AM02</t>
        </is>
      </c>
      <c r="F2844" s="5" t="n">
        <v>100.59</v>
      </c>
      <c r="G2844">
        <f>IF(LEFT(B2844,1)="C","Credit","Factuur")</f>
        <v/>
      </c>
      <c r="H2844">
        <f>IF(AND(B2844=B2843,D2844=D2843,A2844=A2843,F2844=F2843),1,0)</f>
        <v/>
      </c>
      <c r="I2844">
        <f>IF(C2844="C99999",1,0)</f>
        <v/>
      </c>
      <c r="J2844" s="5">
        <f>IF(OR(H2844=1,I2844=1),0,IF(G2844="Credit",-F2844,F2844))</f>
        <v/>
      </c>
    </row>
    <row r="2845">
      <c r="A2845" t="inlineStr">
        <is>
          <t>2026-07-29</t>
        </is>
      </c>
      <c r="B2845" t="inlineStr">
        <is>
          <t>F264612</t>
        </is>
      </c>
      <c r="C2845" t="inlineStr">
        <is>
          <t>C10239</t>
        </is>
      </c>
      <c r="D2845" t="inlineStr">
        <is>
          <t>SKU-10156</t>
        </is>
      </c>
      <c r="E2845" t="inlineStr">
        <is>
          <t>AM02</t>
        </is>
      </c>
      <c r="F2845" s="5" t="n">
        <v>85.27</v>
      </c>
      <c r="G2845">
        <f>IF(LEFT(B2845,1)="C","Credit","Factuur")</f>
        <v/>
      </c>
      <c r="H2845">
        <f>IF(AND(B2845=B2844,D2845=D2844,A2845=A2844,F2845=F2844),1,0)</f>
        <v/>
      </c>
      <c r="I2845">
        <f>IF(C2845="C99999",1,0)</f>
        <v/>
      </c>
      <c r="J2845" s="5">
        <f>IF(OR(H2845=1,I2845=1),0,IF(G2845="Credit",-F2845,F2845))</f>
        <v/>
      </c>
    </row>
    <row r="2846">
      <c r="A2846" t="inlineStr">
        <is>
          <t>2026-07-29</t>
        </is>
      </c>
      <c r="B2846" t="inlineStr">
        <is>
          <t>F264612</t>
        </is>
      </c>
      <c r="C2846" t="inlineStr">
        <is>
          <t>C10239</t>
        </is>
      </c>
      <c r="D2846" t="inlineStr">
        <is>
          <t>SKU-10345</t>
        </is>
      </c>
      <c r="E2846" t="inlineStr">
        <is>
          <t>AM02</t>
        </is>
      </c>
      <c r="F2846" s="5" t="n">
        <v>72.22</v>
      </c>
      <c r="G2846">
        <f>IF(LEFT(B2846,1)="C","Credit","Factuur")</f>
        <v/>
      </c>
      <c r="H2846">
        <f>IF(AND(B2846=B2845,D2846=D2845,A2846=A2845,F2846=F2845),1,0)</f>
        <v/>
      </c>
      <c r="I2846">
        <f>IF(C2846="C99999",1,0)</f>
        <v/>
      </c>
      <c r="J2846" s="5">
        <f>IF(OR(H2846=1,I2846=1),0,IF(G2846="Credit",-F2846,F2846))</f>
        <v/>
      </c>
    </row>
    <row r="2847">
      <c r="A2847" t="inlineStr">
        <is>
          <t>2026-07-29</t>
        </is>
      </c>
      <c r="B2847" t="inlineStr">
        <is>
          <t>F264635</t>
        </is>
      </c>
      <c r="C2847" t="inlineStr">
        <is>
          <t>C10241</t>
        </is>
      </c>
      <c r="D2847" t="inlineStr">
        <is>
          <t>SKU-10143</t>
        </is>
      </c>
      <c r="E2847" t="inlineStr">
        <is>
          <t>AM02</t>
        </is>
      </c>
      <c r="F2847" s="5" t="n">
        <v>1017.52</v>
      </c>
      <c r="G2847">
        <f>IF(LEFT(B2847,1)="C","Credit","Factuur")</f>
        <v/>
      </c>
      <c r="H2847">
        <f>IF(AND(B2847=B2846,D2847=D2846,A2847=A2846,F2847=F2846),1,0)</f>
        <v/>
      </c>
      <c r="I2847">
        <f>IF(C2847="C99999",1,0)</f>
        <v/>
      </c>
      <c r="J2847" s="5">
        <f>IF(OR(H2847=1,I2847=1),0,IF(G2847="Credit",-F2847,F2847))</f>
        <v/>
      </c>
    </row>
    <row r="2848">
      <c r="A2848" t="inlineStr">
        <is>
          <t>2026-07-29</t>
        </is>
      </c>
      <c r="B2848" t="inlineStr">
        <is>
          <t>F264635</t>
        </is>
      </c>
      <c r="C2848" t="inlineStr">
        <is>
          <t>C10241</t>
        </is>
      </c>
      <c r="D2848" t="inlineStr">
        <is>
          <t>SKU-10227</t>
        </is>
      </c>
      <c r="E2848" t="inlineStr">
        <is>
          <t>AM02</t>
        </is>
      </c>
      <c r="F2848" s="5" t="n">
        <v>1038.96</v>
      </c>
      <c r="G2848">
        <f>IF(LEFT(B2848,1)="C","Credit","Factuur")</f>
        <v/>
      </c>
      <c r="H2848">
        <f>IF(AND(B2848=B2847,D2848=D2847,A2848=A2847,F2848=F2847),1,0)</f>
        <v/>
      </c>
      <c r="I2848">
        <f>IF(C2848="C99999",1,0)</f>
        <v/>
      </c>
      <c r="J2848" s="5">
        <f>IF(OR(H2848=1,I2848=1),0,IF(G2848="Credit",-F2848,F2848))</f>
        <v/>
      </c>
    </row>
    <row r="2849">
      <c r="A2849" t="inlineStr">
        <is>
          <t>2026-07-29</t>
        </is>
      </c>
      <c r="B2849" t="inlineStr">
        <is>
          <t>F264635</t>
        </is>
      </c>
      <c r="C2849" t="inlineStr">
        <is>
          <t>C10241</t>
        </is>
      </c>
      <c r="D2849" t="inlineStr">
        <is>
          <t>SKU-10351</t>
        </is>
      </c>
      <c r="E2849" t="inlineStr">
        <is>
          <t>AM02</t>
        </is>
      </c>
      <c r="F2849" s="5" t="n">
        <v>1273.78</v>
      </c>
      <c r="G2849">
        <f>IF(LEFT(B2849,1)="C","Credit","Factuur")</f>
        <v/>
      </c>
      <c r="H2849">
        <f>IF(AND(B2849=B2848,D2849=D2848,A2849=A2848,F2849=F2848),1,0)</f>
        <v/>
      </c>
      <c r="I2849">
        <f>IF(C2849="C99999",1,0)</f>
        <v/>
      </c>
      <c r="J2849" s="5">
        <f>IF(OR(H2849=1,I2849=1),0,IF(G2849="Credit",-F2849,F2849))</f>
        <v/>
      </c>
    </row>
    <row r="2850">
      <c r="A2850" t="inlineStr">
        <is>
          <t>2026-07-29</t>
        </is>
      </c>
      <c r="B2850" t="inlineStr">
        <is>
          <t>F265004</t>
        </is>
      </c>
      <c r="C2850" t="inlineStr">
        <is>
          <t>C10262</t>
        </is>
      </c>
      <c r="D2850" t="inlineStr">
        <is>
          <t>SKU-10204</t>
        </is>
      </c>
      <c r="E2850" t="inlineStr">
        <is>
          <t>AM06</t>
        </is>
      </c>
      <c r="F2850" s="5" t="n">
        <v>523.5</v>
      </c>
      <c r="G2850">
        <f>IF(LEFT(B2850,1)="C","Credit","Factuur")</f>
        <v/>
      </c>
      <c r="H2850">
        <f>IF(AND(B2850=B2849,D2850=D2849,A2850=A2849,F2850=F2849),1,0)</f>
        <v/>
      </c>
      <c r="I2850">
        <f>IF(C2850="C99999",1,0)</f>
        <v/>
      </c>
      <c r="J2850" s="5">
        <f>IF(OR(H2850=1,I2850=1),0,IF(G2850="Credit",-F2850,F2850))</f>
        <v/>
      </c>
    </row>
    <row r="2851">
      <c r="A2851" t="inlineStr">
        <is>
          <t>2026-07-29</t>
        </is>
      </c>
      <c r="B2851" t="inlineStr">
        <is>
          <t>F265004</t>
        </is>
      </c>
      <c r="C2851" t="inlineStr">
        <is>
          <t>C10262</t>
        </is>
      </c>
      <c r="D2851" t="inlineStr">
        <is>
          <t>SKU-10283</t>
        </is>
      </c>
      <c r="E2851" t="inlineStr">
        <is>
          <t>AM06</t>
        </is>
      </c>
      <c r="F2851" s="5" t="n">
        <v>544.16</v>
      </c>
      <c r="G2851">
        <f>IF(LEFT(B2851,1)="C","Credit","Factuur")</f>
        <v/>
      </c>
      <c r="H2851">
        <f>IF(AND(B2851=B2850,D2851=D2850,A2851=A2850,F2851=F2850),1,0)</f>
        <v/>
      </c>
      <c r="I2851">
        <f>IF(C2851="C99999",1,0)</f>
        <v/>
      </c>
      <c r="J2851" s="5">
        <f>IF(OR(H2851=1,I2851=1),0,IF(G2851="Credit",-F2851,F2851))</f>
        <v/>
      </c>
    </row>
    <row r="2852">
      <c r="A2852" t="inlineStr">
        <is>
          <t>2026-07-29</t>
        </is>
      </c>
      <c r="B2852" t="inlineStr">
        <is>
          <t>F265004</t>
        </is>
      </c>
      <c r="C2852" t="inlineStr">
        <is>
          <t>C10262</t>
        </is>
      </c>
      <c r="D2852" t="inlineStr">
        <is>
          <t>SKU-10343</t>
        </is>
      </c>
      <c r="E2852" t="inlineStr">
        <is>
          <t>AM06</t>
        </is>
      </c>
      <c r="F2852" s="5" t="n">
        <v>547.52</v>
      </c>
      <c r="G2852">
        <f>IF(LEFT(B2852,1)="C","Credit","Factuur")</f>
        <v/>
      </c>
      <c r="H2852">
        <f>IF(AND(B2852=B2851,D2852=D2851,A2852=A2851,F2852=F2851),1,0)</f>
        <v/>
      </c>
      <c r="I2852">
        <f>IF(C2852="C99999",1,0)</f>
        <v/>
      </c>
      <c r="J2852" s="5">
        <f>IF(OR(H2852=1,I2852=1),0,IF(G2852="Credit",-F2852,F2852))</f>
        <v/>
      </c>
    </row>
    <row r="2853">
      <c r="A2853" t="inlineStr">
        <is>
          <t>2026-07-29</t>
        </is>
      </c>
      <c r="B2853" t="inlineStr">
        <is>
          <t>F266370</t>
        </is>
      </c>
      <c r="C2853" t="inlineStr">
        <is>
          <t>C10335</t>
        </is>
      </c>
      <c r="D2853" t="inlineStr">
        <is>
          <t>SKU-10117</t>
        </is>
      </c>
      <c r="E2853" t="inlineStr">
        <is>
          <t>AM02</t>
        </is>
      </c>
      <c r="F2853" s="5" t="n">
        <v>2302.04</v>
      </c>
      <c r="G2853">
        <f>IF(LEFT(B2853,1)="C","Credit","Factuur")</f>
        <v/>
      </c>
      <c r="H2853">
        <f>IF(AND(B2853=B2852,D2853=D2852,A2853=A2852,F2853=F2852),1,0)</f>
        <v/>
      </c>
      <c r="I2853">
        <f>IF(C2853="C99999",1,0)</f>
        <v/>
      </c>
      <c r="J2853" s="5">
        <f>IF(OR(H2853=1,I2853=1),0,IF(G2853="Credit",-F2853,F2853))</f>
        <v/>
      </c>
    </row>
    <row r="2854">
      <c r="A2854" t="inlineStr">
        <is>
          <t>2026-07-29</t>
        </is>
      </c>
      <c r="B2854" t="inlineStr">
        <is>
          <t>F267263</t>
        </is>
      </c>
      <c r="C2854" t="inlineStr">
        <is>
          <t>C10385</t>
        </is>
      </c>
      <c r="D2854" t="inlineStr">
        <is>
          <t>SKU-10216</t>
        </is>
      </c>
      <c r="E2854" t="inlineStr">
        <is>
          <t>AM08</t>
        </is>
      </c>
      <c r="F2854" s="5" t="n">
        <v>737.8099999999999</v>
      </c>
      <c r="G2854">
        <f>IF(LEFT(B2854,1)="C","Credit","Factuur")</f>
        <v/>
      </c>
      <c r="H2854">
        <f>IF(AND(B2854=B2853,D2854=D2853,A2854=A2853,F2854=F2853),1,0)</f>
        <v/>
      </c>
      <c r="I2854">
        <f>IF(C2854="C99999",1,0)</f>
        <v/>
      </c>
      <c r="J2854" s="5">
        <f>IF(OR(H2854=1,I2854=1),0,IF(G2854="Credit",-F2854,F2854))</f>
        <v/>
      </c>
    </row>
    <row r="2855">
      <c r="A2855" t="inlineStr">
        <is>
          <t>2026-07-29</t>
        </is>
      </c>
      <c r="B2855" t="inlineStr">
        <is>
          <t>F267263</t>
        </is>
      </c>
      <c r="C2855" t="inlineStr">
        <is>
          <t>C10385</t>
        </is>
      </c>
      <c r="D2855" t="inlineStr">
        <is>
          <t>SKU-10243</t>
        </is>
      </c>
      <c r="E2855" t="inlineStr">
        <is>
          <t>AM08</t>
        </is>
      </c>
      <c r="F2855" s="5" t="n">
        <v>742.2</v>
      </c>
      <c r="G2855">
        <f>IF(LEFT(B2855,1)="C","Credit","Factuur")</f>
        <v/>
      </c>
      <c r="H2855">
        <f>IF(AND(B2855=B2854,D2855=D2854,A2855=A2854,F2855=F2854),1,0)</f>
        <v/>
      </c>
      <c r="I2855">
        <f>IF(C2855="C99999",1,0)</f>
        <v/>
      </c>
      <c r="J2855" s="5">
        <f>IF(OR(H2855=1,I2855=1),0,IF(G2855="Credit",-F2855,F2855))</f>
        <v/>
      </c>
    </row>
    <row r="2856">
      <c r="A2856" t="inlineStr">
        <is>
          <t>2026-07-29</t>
        </is>
      </c>
      <c r="B2856" t="inlineStr">
        <is>
          <t>F267263</t>
        </is>
      </c>
      <c r="C2856" t="inlineStr">
        <is>
          <t>C10385</t>
        </is>
      </c>
      <c r="D2856" t="inlineStr">
        <is>
          <t>SKU-10337</t>
        </is>
      </c>
      <c r="E2856" t="inlineStr">
        <is>
          <t>AM08</t>
        </is>
      </c>
      <c r="F2856" s="5" t="n">
        <v>777.4</v>
      </c>
      <c r="G2856">
        <f>IF(LEFT(B2856,1)="C","Credit","Factuur")</f>
        <v/>
      </c>
      <c r="H2856">
        <f>IF(AND(B2856=B2855,D2856=D2855,A2856=A2855,F2856=F2855),1,0)</f>
        <v/>
      </c>
      <c r="I2856">
        <f>IF(C2856="C99999",1,0)</f>
        <v/>
      </c>
      <c r="J2856" s="5">
        <f>IF(OR(H2856=1,I2856=1),0,IF(G2856="Credit",-F2856,F2856))</f>
        <v/>
      </c>
    </row>
    <row r="2857">
      <c r="A2857" t="inlineStr">
        <is>
          <t>2026-07-29</t>
        </is>
      </c>
      <c r="B2857" t="inlineStr">
        <is>
          <t>F268037</t>
        </is>
      </c>
      <c r="C2857" t="inlineStr">
        <is>
          <t>C10423</t>
        </is>
      </c>
      <c r="D2857" t="inlineStr">
        <is>
          <t>SKU-10053</t>
        </is>
      </c>
      <c r="E2857" t="inlineStr">
        <is>
          <t>AM05</t>
        </is>
      </c>
      <c r="F2857" s="5" t="n">
        <v>3206.25</v>
      </c>
      <c r="G2857">
        <f>IF(LEFT(B2857,1)="C","Credit","Factuur")</f>
        <v/>
      </c>
      <c r="H2857">
        <f>IF(AND(B2857=B2856,D2857=D2856,A2857=A2856,F2857=F2856),1,0)</f>
        <v/>
      </c>
      <c r="I2857">
        <f>IF(C2857="C99999",1,0)</f>
        <v/>
      </c>
      <c r="J2857" s="5">
        <f>IF(OR(H2857=1,I2857=1),0,IF(G2857="Credit",-F2857,F2857))</f>
        <v/>
      </c>
    </row>
    <row r="2858">
      <c r="A2858" t="inlineStr">
        <is>
          <t>2026-07-29</t>
        </is>
      </c>
      <c r="B2858" t="inlineStr">
        <is>
          <t>F268037</t>
        </is>
      </c>
      <c r="C2858" t="inlineStr">
        <is>
          <t>C10423</t>
        </is>
      </c>
      <c r="D2858" t="inlineStr">
        <is>
          <t>SKU-10177</t>
        </is>
      </c>
      <c r="E2858" t="inlineStr">
        <is>
          <t>AM05</t>
        </is>
      </c>
      <c r="F2858" s="5" t="n">
        <v>3201.44</v>
      </c>
      <c r="G2858">
        <f>IF(LEFT(B2858,1)="C","Credit","Factuur")</f>
        <v/>
      </c>
      <c r="H2858">
        <f>IF(AND(B2858=B2857,D2858=D2857,A2858=A2857,F2858=F2857),1,0)</f>
        <v/>
      </c>
      <c r="I2858">
        <f>IF(C2858="C99999",1,0)</f>
        <v/>
      </c>
      <c r="J2858" s="5">
        <f>IF(OR(H2858=1,I2858=1),0,IF(G2858="Credit",-F2858,F2858))</f>
        <v/>
      </c>
    </row>
    <row r="2859">
      <c r="A2859" t="inlineStr">
        <is>
          <t>2026-07-29</t>
        </is>
      </c>
      <c r="B2859" t="inlineStr">
        <is>
          <t>F268209</t>
        </is>
      </c>
      <c r="C2859" t="inlineStr">
        <is>
          <t>C10429</t>
        </is>
      </c>
      <c r="D2859" t="inlineStr">
        <is>
          <t>SKU-10115</t>
        </is>
      </c>
      <c r="E2859" t="inlineStr">
        <is>
          <t>AM05</t>
        </is>
      </c>
      <c r="F2859" s="5" t="n">
        <v>373.84</v>
      </c>
      <c r="G2859">
        <f>IF(LEFT(B2859,1)="C","Credit","Factuur")</f>
        <v/>
      </c>
      <c r="H2859">
        <f>IF(AND(B2859=B2858,D2859=D2858,A2859=A2858,F2859=F2858),1,0)</f>
        <v/>
      </c>
      <c r="I2859">
        <f>IF(C2859="C99999",1,0)</f>
        <v/>
      </c>
      <c r="J2859" s="5">
        <f>IF(OR(H2859=1,I2859=1),0,IF(G2859="Credit",-F2859,F2859))</f>
        <v/>
      </c>
    </row>
    <row r="2860">
      <c r="A2860" t="inlineStr">
        <is>
          <t>2026-07-29</t>
        </is>
      </c>
      <c r="B2860" t="inlineStr">
        <is>
          <t>F269949</t>
        </is>
      </c>
      <c r="C2860" t="inlineStr">
        <is>
          <t>C10523</t>
        </is>
      </c>
      <c r="D2860" t="inlineStr">
        <is>
          <t>SKU-10074</t>
        </is>
      </c>
      <c r="E2860" t="inlineStr">
        <is>
          <t>AM02</t>
        </is>
      </c>
      <c r="F2860" s="5" t="n">
        <v>1116.99</v>
      </c>
      <c r="G2860">
        <f>IF(LEFT(B2860,1)="C","Credit","Factuur")</f>
        <v/>
      </c>
      <c r="H2860">
        <f>IF(AND(B2860=B2859,D2860=D2859,A2860=A2859,F2860=F2859),1,0)</f>
        <v/>
      </c>
      <c r="I2860">
        <f>IF(C2860="C99999",1,0)</f>
        <v/>
      </c>
      <c r="J2860" s="5">
        <f>IF(OR(H2860=1,I2860=1),0,IF(G2860="Credit",-F2860,F2860))</f>
        <v/>
      </c>
    </row>
    <row r="2861">
      <c r="A2861" t="inlineStr">
        <is>
          <t>2026-07-29</t>
        </is>
      </c>
      <c r="B2861" t="inlineStr">
        <is>
          <t>F270167</t>
        </is>
      </c>
      <c r="C2861" t="inlineStr">
        <is>
          <t>C10537</t>
        </is>
      </c>
      <c r="D2861" t="inlineStr">
        <is>
          <t>SKU-10110</t>
        </is>
      </c>
      <c r="E2861" t="inlineStr">
        <is>
          <t>AM03</t>
        </is>
      </c>
      <c r="F2861" s="5" t="n">
        <v>117.32</v>
      </c>
      <c r="G2861">
        <f>IF(LEFT(B2861,1)="C","Credit","Factuur")</f>
        <v/>
      </c>
      <c r="H2861">
        <f>IF(AND(B2861=B2860,D2861=D2860,A2861=A2860,F2861=F2860),1,0)</f>
        <v/>
      </c>
      <c r="I2861">
        <f>IF(C2861="C99999",1,0)</f>
        <v/>
      </c>
      <c r="J2861" s="5">
        <f>IF(OR(H2861=1,I2861=1),0,IF(G2861="Credit",-F2861,F2861))</f>
        <v/>
      </c>
    </row>
    <row r="2862">
      <c r="A2862" t="inlineStr">
        <is>
          <t>2026-07-29</t>
        </is>
      </c>
      <c r="B2862" t="inlineStr">
        <is>
          <t>F270167</t>
        </is>
      </c>
      <c r="C2862" t="inlineStr">
        <is>
          <t>C10537</t>
        </is>
      </c>
      <c r="D2862" t="inlineStr">
        <is>
          <t>SKU-10211</t>
        </is>
      </c>
      <c r="E2862" t="inlineStr">
        <is>
          <t>AM03</t>
        </is>
      </c>
      <c r="F2862" s="5" t="n">
        <v>119.86</v>
      </c>
      <c r="G2862">
        <f>IF(LEFT(B2862,1)="C","Credit","Factuur")</f>
        <v/>
      </c>
      <c r="H2862">
        <f>IF(AND(B2862=B2861,D2862=D2861,A2862=A2861,F2862=F2861),1,0)</f>
        <v/>
      </c>
      <c r="I2862">
        <f>IF(C2862="C99999",1,0)</f>
        <v/>
      </c>
      <c r="J2862" s="5">
        <f>IF(OR(H2862=1,I2862=1),0,IF(G2862="Credit",-F2862,F2862))</f>
        <v/>
      </c>
    </row>
    <row r="2863">
      <c r="A2863" t="inlineStr">
        <is>
          <t>2026-07-29</t>
        </is>
      </c>
      <c r="B2863" t="inlineStr">
        <is>
          <t>F270710</t>
        </is>
      </c>
      <c r="C2863" t="inlineStr">
        <is>
          <t>C10563</t>
        </is>
      </c>
      <c r="D2863" t="inlineStr">
        <is>
          <t>SKU-10036</t>
        </is>
      </c>
      <c r="E2863" t="inlineStr">
        <is>
          <t>AM06</t>
        </is>
      </c>
      <c r="F2863" s="5" t="n">
        <v>709.6</v>
      </c>
      <c r="G2863">
        <f>IF(LEFT(B2863,1)="C","Credit","Factuur")</f>
        <v/>
      </c>
      <c r="H2863">
        <f>IF(AND(B2863=B2862,D2863=D2862,A2863=A2862,F2863=F2862),1,0)</f>
        <v/>
      </c>
      <c r="I2863">
        <f>IF(C2863="C99999",1,0)</f>
        <v/>
      </c>
      <c r="J2863" s="5">
        <f>IF(OR(H2863=1,I2863=1),0,IF(G2863="Credit",-F2863,F2863))</f>
        <v/>
      </c>
    </row>
    <row r="2864">
      <c r="A2864" t="inlineStr">
        <is>
          <t>2026-07-29</t>
        </is>
      </c>
      <c r="B2864" t="inlineStr">
        <is>
          <t>F270710</t>
        </is>
      </c>
      <c r="C2864" t="inlineStr">
        <is>
          <t>C10563</t>
        </is>
      </c>
      <c r="D2864" t="inlineStr">
        <is>
          <t>SKU-10232</t>
        </is>
      </c>
      <c r="E2864" t="inlineStr">
        <is>
          <t>AM06</t>
        </is>
      </c>
      <c r="F2864" s="5" t="n">
        <v>728.64</v>
      </c>
      <c r="G2864">
        <f>IF(LEFT(B2864,1)="C","Credit","Factuur")</f>
        <v/>
      </c>
      <c r="H2864">
        <f>IF(AND(B2864=B2863,D2864=D2863,A2864=A2863,F2864=F2863),1,0)</f>
        <v/>
      </c>
      <c r="I2864">
        <f>IF(C2864="C99999",1,0)</f>
        <v/>
      </c>
      <c r="J2864" s="5">
        <f>IF(OR(H2864=1,I2864=1),0,IF(G2864="Credit",-F2864,F2864))</f>
        <v/>
      </c>
    </row>
    <row r="2865">
      <c r="A2865" t="inlineStr">
        <is>
          <t>2026-07-29</t>
        </is>
      </c>
      <c r="B2865" t="inlineStr">
        <is>
          <t>F271086</t>
        </is>
      </c>
      <c r="C2865" t="inlineStr">
        <is>
          <t>C10578</t>
        </is>
      </c>
      <c r="D2865" t="inlineStr">
        <is>
          <t>SKU-10274</t>
        </is>
      </c>
      <c r="E2865" t="inlineStr"/>
      <c r="F2865" s="5" t="n">
        <v>3542.46</v>
      </c>
      <c r="G2865">
        <f>IF(LEFT(B2865,1)="C","Credit","Factuur")</f>
        <v/>
      </c>
      <c r="H2865">
        <f>IF(AND(B2865=B2864,D2865=D2864,A2865=A2864,F2865=F2864),1,0)</f>
        <v/>
      </c>
      <c r="I2865">
        <f>IF(C2865="C99999",1,0)</f>
        <v/>
      </c>
      <c r="J2865" s="5">
        <f>IF(OR(H2865=1,I2865=1),0,IF(G2865="Credit",-F2865,F2865))</f>
        <v/>
      </c>
    </row>
    <row r="2866">
      <c r="A2866" t="inlineStr">
        <is>
          <t>2026-07-29</t>
        </is>
      </c>
      <c r="B2866" t="inlineStr">
        <is>
          <t>F271138</t>
        </is>
      </c>
      <c r="C2866" t="inlineStr">
        <is>
          <t>C10580</t>
        </is>
      </c>
      <c r="D2866" t="inlineStr">
        <is>
          <t>SKU-10109</t>
        </is>
      </c>
      <c r="E2866" t="inlineStr">
        <is>
          <t>AM01</t>
        </is>
      </c>
      <c r="F2866" s="5" t="n">
        <v>143.85</v>
      </c>
      <c r="G2866">
        <f>IF(LEFT(B2866,1)="C","Credit","Factuur")</f>
        <v/>
      </c>
      <c r="H2866">
        <f>IF(AND(B2866=B2865,D2866=D2865,A2866=A2865,F2866=F2865),1,0)</f>
        <v/>
      </c>
      <c r="I2866">
        <f>IF(C2866="C99999",1,0)</f>
        <v/>
      </c>
      <c r="J2866" s="5">
        <f>IF(OR(H2866=1,I2866=1),0,IF(G2866="Credit",-F2866,F2866))</f>
        <v/>
      </c>
    </row>
    <row r="2867">
      <c r="A2867" t="inlineStr">
        <is>
          <t>2026-07-29</t>
        </is>
      </c>
      <c r="B2867" t="inlineStr">
        <is>
          <t>F271138</t>
        </is>
      </c>
      <c r="C2867" t="inlineStr">
        <is>
          <t>C10580</t>
        </is>
      </c>
      <c r="D2867" t="inlineStr">
        <is>
          <t>SKU-10189</t>
        </is>
      </c>
      <c r="E2867" t="inlineStr">
        <is>
          <t>AM01</t>
        </is>
      </c>
      <c r="F2867" s="5" t="n">
        <v>163.24</v>
      </c>
      <c r="G2867">
        <f>IF(LEFT(B2867,1)="C","Credit","Factuur")</f>
        <v/>
      </c>
      <c r="H2867">
        <f>IF(AND(B2867=B2866,D2867=D2866,A2867=A2866,F2867=F2866),1,0)</f>
        <v/>
      </c>
      <c r="I2867">
        <f>IF(C2867="C99999",1,0)</f>
        <v/>
      </c>
      <c r="J2867" s="5">
        <f>IF(OR(H2867=1,I2867=1),0,IF(G2867="Credit",-F2867,F2867))</f>
        <v/>
      </c>
    </row>
    <row r="2868">
      <c r="A2868" t="inlineStr">
        <is>
          <t>2026-07-29</t>
        </is>
      </c>
      <c r="B2868" t="inlineStr">
        <is>
          <t>F271803</t>
        </is>
      </c>
      <c r="C2868" t="inlineStr">
        <is>
          <t>C10606</t>
        </is>
      </c>
      <c r="D2868" t="inlineStr">
        <is>
          <t>SKU-10142</t>
        </is>
      </c>
      <c r="E2868" t="inlineStr">
        <is>
          <t>AM03</t>
        </is>
      </c>
      <c r="F2868" s="5" t="n">
        <v>2173.8</v>
      </c>
      <c r="G2868">
        <f>IF(LEFT(B2868,1)="C","Credit","Factuur")</f>
        <v/>
      </c>
      <c r="H2868">
        <f>IF(AND(B2868=B2867,D2868=D2867,A2868=A2867,F2868=F2867),1,0)</f>
        <v/>
      </c>
      <c r="I2868">
        <f>IF(C2868="C99999",1,0)</f>
        <v/>
      </c>
      <c r="J2868" s="5">
        <f>IF(OR(H2868=1,I2868=1),0,IF(G2868="Credit",-F2868,F2868))</f>
        <v/>
      </c>
    </row>
    <row r="2869">
      <c r="A2869" t="inlineStr">
        <is>
          <t>2026-07-29</t>
        </is>
      </c>
      <c r="B2869" t="inlineStr">
        <is>
          <t>F271992</t>
        </is>
      </c>
      <c r="C2869" t="inlineStr">
        <is>
          <t>C10618</t>
        </is>
      </c>
      <c r="D2869" t="inlineStr">
        <is>
          <t>SKU-10131</t>
        </is>
      </c>
      <c r="E2869" t="inlineStr">
        <is>
          <t>AM02</t>
        </is>
      </c>
      <c r="F2869" s="5" t="n">
        <v>332.16</v>
      </c>
      <c r="G2869">
        <f>IF(LEFT(B2869,1)="C","Credit","Factuur")</f>
        <v/>
      </c>
      <c r="H2869">
        <f>IF(AND(B2869=B2868,D2869=D2868,A2869=A2868,F2869=F2868),1,0)</f>
        <v/>
      </c>
      <c r="I2869">
        <f>IF(C2869="C99999",1,0)</f>
        <v/>
      </c>
      <c r="J2869" s="5">
        <f>IF(OR(H2869=1,I2869=1),0,IF(G2869="Credit",-F2869,F2869))</f>
        <v/>
      </c>
    </row>
    <row r="2870">
      <c r="A2870" t="inlineStr">
        <is>
          <t>2026-07-29</t>
        </is>
      </c>
      <c r="B2870" t="inlineStr">
        <is>
          <t>F271992</t>
        </is>
      </c>
      <c r="C2870" t="inlineStr">
        <is>
          <t>C10618</t>
        </is>
      </c>
      <c r="D2870" t="inlineStr">
        <is>
          <t>SKU-10337</t>
        </is>
      </c>
      <c r="E2870" t="inlineStr">
        <is>
          <t>AM02</t>
        </is>
      </c>
      <c r="F2870" s="5" t="n">
        <v>388.7</v>
      </c>
      <c r="G2870">
        <f>IF(LEFT(B2870,1)="C","Credit","Factuur")</f>
        <v/>
      </c>
      <c r="H2870">
        <f>IF(AND(B2870=B2869,D2870=D2869,A2870=A2869,F2870=F2869),1,0)</f>
        <v/>
      </c>
      <c r="I2870">
        <f>IF(C2870="C99999",1,0)</f>
        <v/>
      </c>
      <c r="J2870" s="5">
        <f>IF(OR(H2870=1,I2870=1),0,IF(G2870="Credit",-F2870,F2870))</f>
        <v/>
      </c>
    </row>
    <row r="2871">
      <c r="A2871" t="inlineStr">
        <is>
          <t>2026-07-29</t>
        </is>
      </c>
      <c r="B2871" t="inlineStr">
        <is>
          <t>F272701</t>
        </is>
      </c>
      <c r="C2871" t="inlineStr">
        <is>
          <t>C10662</t>
        </is>
      </c>
      <c r="D2871" t="inlineStr">
        <is>
          <t>SKU-10009</t>
        </is>
      </c>
      <c r="E2871" t="inlineStr">
        <is>
          <t>AM02</t>
        </is>
      </c>
      <c r="F2871" s="5" t="n">
        <v>64.84999999999999</v>
      </c>
      <c r="G2871">
        <f>IF(LEFT(B2871,1)="C","Credit","Factuur")</f>
        <v/>
      </c>
      <c r="H2871">
        <f>IF(AND(B2871=B2870,D2871=D2870,A2871=A2870,F2871=F2870),1,0)</f>
        <v/>
      </c>
      <c r="I2871">
        <f>IF(C2871="C99999",1,0)</f>
        <v/>
      </c>
      <c r="J2871" s="5">
        <f>IF(OR(H2871=1,I2871=1),0,IF(G2871="Credit",-F2871,F2871))</f>
        <v/>
      </c>
    </row>
    <row r="2872">
      <c r="A2872" t="inlineStr">
        <is>
          <t>2026-07-29</t>
        </is>
      </c>
      <c r="B2872" t="inlineStr">
        <is>
          <t>F272701</t>
        </is>
      </c>
      <c r="C2872" t="inlineStr">
        <is>
          <t>C10662</t>
        </is>
      </c>
      <c r="D2872" t="inlineStr">
        <is>
          <t>SKU-10012</t>
        </is>
      </c>
      <c r="E2872" t="inlineStr">
        <is>
          <t>AM02</t>
        </is>
      </c>
      <c r="F2872" s="5" t="n">
        <v>63.82</v>
      </c>
      <c r="G2872">
        <f>IF(LEFT(B2872,1)="C","Credit","Factuur")</f>
        <v/>
      </c>
      <c r="H2872">
        <f>IF(AND(B2872=B2871,D2872=D2871,A2872=A2871,F2872=F2871),1,0)</f>
        <v/>
      </c>
      <c r="I2872">
        <f>IF(C2872="C99999",1,0)</f>
        <v/>
      </c>
      <c r="J2872" s="5">
        <f>IF(OR(H2872=1,I2872=1),0,IF(G2872="Credit",-F2872,F2872))</f>
        <v/>
      </c>
    </row>
    <row r="2873">
      <c r="A2873" t="inlineStr">
        <is>
          <t>2026-07-29</t>
        </is>
      </c>
      <c r="B2873" t="inlineStr">
        <is>
          <t>F272701</t>
        </is>
      </c>
      <c r="C2873" t="inlineStr">
        <is>
          <t>C10662</t>
        </is>
      </c>
      <c r="D2873" t="inlineStr">
        <is>
          <t>SKU-10068</t>
        </is>
      </c>
      <c r="E2873" t="inlineStr">
        <is>
          <t>AM02</t>
        </is>
      </c>
      <c r="F2873" s="5" t="n">
        <v>51.73</v>
      </c>
      <c r="G2873">
        <f>IF(LEFT(B2873,1)="C","Credit","Factuur")</f>
        <v/>
      </c>
      <c r="H2873">
        <f>IF(AND(B2873=B2872,D2873=D2872,A2873=A2872,F2873=F2872),1,0)</f>
        <v/>
      </c>
      <c r="I2873">
        <f>IF(C2873="C99999",1,0)</f>
        <v/>
      </c>
      <c r="J2873" s="5">
        <f>IF(OR(H2873=1,I2873=1),0,IF(G2873="Credit",-F2873,F2873))</f>
        <v/>
      </c>
    </row>
    <row r="2874">
      <c r="A2874" t="inlineStr">
        <is>
          <t>2026-07-29</t>
        </is>
      </c>
      <c r="B2874" t="inlineStr">
        <is>
          <t>F272701</t>
        </is>
      </c>
      <c r="C2874" t="inlineStr">
        <is>
          <t>C10662</t>
        </is>
      </c>
      <c r="D2874" t="inlineStr">
        <is>
          <t>SKU-10162</t>
        </is>
      </c>
      <c r="E2874" t="inlineStr">
        <is>
          <t>AM02</t>
        </is>
      </c>
      <c r="F2874" s="5" t="n">
        <v>52.5</v>
      </c>
      <c r="G2874">
        <f>IF(LEFT(B2874,1)="C","Credit","Factuur")</f>
        <v/>
      </c>
      <c r="H2874">
        <f>IF(AND(B2874=B2873,D2874=D2873,A2874=A2873,F2874=F2873),1,0)</f>
        <v/>
      </c>
      <c r="I2874">
        <f>IF(C2874="C99999",1,0)</f>
        <v/>
      </c>
      <c r="J2874" s="5">
        <f>IF(OR(H2874=1,I2874=1),0,IF(G2874="Credit",-F2874,F2874))</f>
        <v/>
      </c>
    </row>
    <row r="2875">
      <c r="A2875" t="inlineStr">
        <is>
          <t>2026-07-29</t>
        </is>
      </c>
      <c r="B2875" t="inlineStr">
        <is>
          <t>F272701</t>
        </is>
      </c>
      <c r="C2875" t="inlineStr">
        <is>
          <t>C10662</t>
        </is>
      </c>
      <c r="D2875" t="inlineStr">
        <is>
          <t>SKU-10269</t>
        </is>
      </c>
      <c r="E2875" t="inlineStr">
        <is>
          <t>AM02</t>
        </is>
      </c>
      <c r="F2875" s="5" t="n">
        <v>57.72</v>
      </c>
      <c r="G2875">
        <f>IF(LEFT(B2875,1)="C","Credit","Factuur")</f>
        <v/>
      </c>
      <c r="H2875">
        <f>IF(AND(B2875=B2874,D2875=D2874,A2875=A2874,F2875=F2874),1,0)</f>
        <v/>
      </c>
      <c r="I2875">
        <f>IF(C2875="C99999",1,0)</f>
        <v/>
      </c>
      <c r="J2875" s="5">
        <f>IF(OR(H2875=1,I2875=1),0,IF(G2875="Credit",-F2875,F2875))</f>
        <v/>
      </c>
    </row>
    <row r="2876">
      <c r="A2876" t="inlineStr">
        <is>
          <t>2026-07-29</t>
        </is>
      </c>
      <c r="B2876" t="inlineStr">
        <is>
          <t>F272701</t>
        </is>
      </c>
      <c r="C2876" t="inlineStr">
        <is>
          <t>C10662</t>
        </is>
      </c>
      <c r="D2876" t="inlineStr">
        <is>
          <t>SKU-10344</t>
        </is>
      </c>
      <c r="E2876" t="inlineStr">
        <is>
          <t>AM02</t>
        </is>
      </c>
      <c r="F2876" s="5" t="n">
        <v>56</v>
      </c>
      <c r="G2876">
        <f>IF(LEFT(B2876,1)="C","Credit","Factuur")</f>
        <v/>
      </c>
      <c r="H2876">
        <f>IF(AND(B2876=B2875,D2876=D2875,A2876=A2875,F2876=F2875),1,0)</f>
        <v/>
      </c>
      <c r="I2876">
        <f>IF(C2876="C99999",1,0)</f>
        <v/>
      </c>
      <c r="J2876" s="5">
        <f>IF(OR(H2876=1,I2876=1),0,IF(G2876="Credit",-F2876,F2876))</f>
        <v/>
      </c>
    </row>
    <row r="2877">
      <c r="A2877" t="inlineStr">
        <is>
          <t>2026-07-29</t>
        </is>
      </c>
      <c r="B2877" t="inlineStr">
        <is>
          <t>F273606</t>
        </is>
      </c>
      <c r="C2877" t="inlineStr">
        <is>
          <t>C10714</t>
        </is>
      </c>
      <c r="D2877" t="inlineStr">
        <is>
          <t>SKU-10235</t>
        </is>
      </c>
      <c r="E2877" t="inlineStr">
        <is>
          <t>AM05</t>
        </is>
      </c>
      <c r="F2877" s="5" t="n">
        <v>422.71</v>
      </c>
      <c r="G2877">
        <f>IF(LEFT(B2877,1)="C","Credit","Factuur")</f>
        <v/>
      </c>
      <c r="H2877">
        <f>IF(AND(B2877=B2876,D2877=D2876,A2877=A2876,F2877=F2876),1,0)</f>
        <v/>
      </c>
      <c r="I2877">
        <f>IF(C2877="C99999",1,0)</f>
        <v/>
      </c>
      <c r="J2877" s="5">
        <f>IF(OR(H2877=1,I2877=1),0,IF(G2877="Credit",-F2877,F2877))</f>
        <v/>
      </c>
    </row>
    <row r="2878">
      <c r="A2878" t="inlineStr">
        <is>
          <t>2026-07-29</t>
        </is>
      </c>
      <c r="B2878" t="inlineStr">
        <is>
          <t>F273606</t>
        </is>
      </c>
      <c r="C2878" t="inlineStr">
        <is>
          <t>C10714</t>
        </is>
      </c>
      <c r="D2878" t="inlineStr">
        <is>
          <t>SKU-10309</t>
        </is>
      </c>
      <c r="E2878" t="inlineStr">
        <is>
          <t>AM05</t>
        </is>
      </c>
      <c r="F2878" s="5" t="n">
        <v>415.89</v>
      </c>
      <c r="G2878">
        <f>IF(LEFT(B2878,1)="C","Credit","Factuur")</f>
        <v/>
      </c>
      <c r="H2878">
        <f>IF(AND(B2878=B2877,D2878=D2877,A2878=A2877,F2878=F2877),1,0)</f>
        <v/>
      </c>
      <c r="I2878">
        <f>IF(C2878="C99999",1,0)</f>
        <v/>
      </c>
      <c r="J2878" s="5">
        <f>IF(OR(H2878=1,I2878=1),0,IF(G2878="Credit",-F2878,F2878))</f>
        <v/>
      </c>
    </row>
    <row r="2879">
      <c r="A2879" t="inlineStr">
        <is>
          <t>2026-07-29</t>
        </is>
      </c>
      <c r="B2879" t="inlineStr">
        <is>
          <t>F274331</t>
        </is>
      </c>
      <c r="C2879" t="inlineStr">
        <is>
          <t>C10757</t>
        </is>
      </c>
      <c r="D2879" t="inlineStr">
        <is>
          <t>SKU-10220</t>
        </is>
      </c>
      <c r="E2879" t="inlineStr">
        <is>
          <t>AM06</t>
        </is>
      </c>
      <c r="F2879" s="5" t="n">
        <v>358.07</v>
      </c>
      <c r="G2879">
        <f>IF(LEFT(B2879,1)="C","Credit","Factuur")</f>
        <v/>
      </c>
      <c r="H2879">
        <f>IF(AND(B2879=B2878,D2879=D2878,A2879=A2878,F2879=F2878),1,0)</f>
        <v/>
      </c>
      <c r="I2879">
        <f>IF(C2879="C99999",1,0)</f>
        <v/>
      </c>
      <c r="J2879" s="5">
        <f>IF(OR(H2879=1,I2879=1),0,IF(G2879="Credit",-F2879,F2879))</f>
        <v/>
      </c>
    </row>
    <row r="2880">
      <c r="A2880" t="inlineStr">
        <is>
          <t>2026-07-29</t>
        </is>
      </c>
      <c r="B2880" t="inlineStr">
        <is>
          <t>F274665</t>
        </is>
      </c>
      <c r="C2880" t="inlineStr">
        <is>
          <t>C10777</t>
        </is>
      </c>
      <c r="D2880" t="inlineStr">
        <is>
          <t>SKU-10220</t>
        </is>
      </c>
      <c r="E2880" t="inlineStr">
        <is>
          <t>AM07</t>
        </is>
      </c>
      <c r="F2880" s="5" t="n">
        <v>547.24</v>
      </c>
      <c r="G2880">
        <f>IF(LEFT(B2880,1)="C","Credit","Factuur")</f>
        <v/>
      </c>
      <c r="H2880">
        <f>IF(AND(B2880=B2879,D2880=D2879,A2880=A2879,F2880=F2879),1,0)</f>
        <v/>
      </c>
      <c r="I2880">
        <f>IF(C2880="C99999",1,0)</f>
        <v/>
      </c>
      <c r="J2880" s="5">
        <f>IF(OR(H2880=1,I2880=1),0,IF(G2880="Credit",-F2880,F2880))</f>
        <v/>
      </c>
    </row>
    <row r="2881">
      <c r="A2881" t="inlineStr">
        <is>
          <t>2026-07-29</t>
        </is>
      </c>
      <c r="B2881" t="inlineStr">
        <is>
          <t>F274665</t>
        </is>
      </c>
      <c r="C2881" t="inlineStr">
        <is>
          <t>C10777</t>
        </is>
      </c>
      <c r="D2881" t="inlineStr">
        <is>
          <t>SKU-10313</t>
        </is>
      </c>
      <c r="E2881" t="inlineStr">
        <is>
          <t>AM07</t>
        </is>
      </c>
      <c r="F2881" s="5" t="n">
        <v>625.5</v>
      </c>
      <c r="G2881">
        <f>IF(LEFT(B2881,1)="C","Credit","Factuur")</f>
        <v/>
      </c>
      <c r="H2881">
        <f>IF(AND(B2881=B2880,D2881=D2880,A2881=A2880,F2881=F2880),1,0)</f>
        <v/>
      </c>
      <c r="I2881">
        <f>IF(C2881="C99999",1,0)</f>
        <v/>
      </c>
      <c r="J2881" s="5">
        <f>IF(OR(H2881=1,I2881=1),0,IF(G2881="Credit",-F2881,F2881))</f>
        <v/>
      </c>
    </row>
    <row r="2882">
      <c r="A2882" t="inlineStr">
        <is>
          <t>2026-07-29</t>
        </is>
      </c>
      <c r="B2882" t="inlineStr">
        <is>
          <t>F276512</t>
        </is>
      </c>
      <c r="C2882" t="inlineStr">
        <is>
          <t>C10873</t>
        </is>
      </c>
      <c r="D2882" t="inlineStr">
        <is>
          <t>SKU-10285</t>
        </is>
      </c>
      <c r="E2882" t="inlineStr">
        <is>
          <t>AM08</t>
        </is>
      </c>
      <c r="F2882" s="5" t="n">
        <v>650.76</v>
      </c>
      <c r="G2882">
        <f>IF(LEFT(B2882,1)="C","Credit","Factuur")</f>
        <v/>
      </c>
      <c r="H2882">
        <f>IF(AND(B2882=B2881,D2882=D2881,A2882=A2881,F2882=F2881),1,0)</f>
        <v/>
      </c>
      <c r="I2882">
        <f>IF(C2882="C99999",1,0)</f>
        <v/>
      </c>
      <c r="J2882" s="5">
        <f>IF(OR(H2882=1,I2882=1),0,IF(G2882="Credit",-F2882,F2882))</f>
        <v/>
      </c>
    </row>
    <row r="2883">
      <c r="A2883" t="inlineStr">
        <is>
          <t>2026-07-29</t>
        </is>
      </c>
      <c r="B2883" t="inlineStr">
        <is>
          <t>F276512</t>
        </is>
      </c>
      <c r="C2883" t="inlineStr">
        <is>
          <t>C10873</t>
        </is>
      </c>
      <c r="D2883" t="inlineStr">
        <is>
          <t>SKU-10309</t>
        </is>
      </c>
      <c r="E2883" t="inlineStr">
        <is>
          <t>AM08</t>
        </is>
      </c>
      <c r="F2883" s="5" t="n">
        <v>646.9400000000001</v>
      </c>
      <c r="G2883">
        <f>IF(LEFT(B2883,1)="C","Credit","Factuur")</f>
        <v/>
      </c>
      <c r="H2883">
        <f>IF(AND(B2883=B2882,D2883=D2882,A2883=A2882,F2883=F2882),1,0)</f>
        <v/>
      </c>
      <c r="I2883">
        <f>IF(C2883="C99999",1,0)</f>
        <v/>
      </c>
      <c r="J2883" s="5">
        <f>IF(OR(H2883=1,I2883=1),0,IF(G2883="Credit",-F2883,F2883))</f>
        <v/>
      </c>
    </row>
    <row r="2884">
      <c r="A2884" t="inlineStr">
        <is>
          <t>2026-07-29</t>
        </is>
      </c>
      <c r="B2884" t="inlineStr">
        <is>
          <t>F276512</t>
        </is>
      </c>
      <c r="C2884" t="inlineStr">
        <is>
          <t>C10873</t>
        </is>
      </c>
      <c r="D2884" t="inlineStr">
        <is>
          <t>SKU-10332</t>
        </is>
      </c>
      <c r="E2884" t="inlineStr">
        <is>
          <t>AM08</t>
        </is>
      </c>
      <c r="F2884" s="5" t="n">
        <v>651.04</v>
      </c>
      <c r="G2884">
        <f>IF(LEFT(B2884,1)="C","Credit","Factuur")</f>
        <v/>
      </c>
      <c r="H2884">
        <f>IF(AND(B2884=B2883,D2884=D2883,A2884=A2883,F2884=F2883),1,0)</f>
        <v/>
      </c>
      <c r="I2884">
        <f>IF(C2884="C99999",1,0)</f>
        <v/>
      </c>
      <c r="J2884" s="5">
        <f>IF(OR(H2884=1,I2884=1),0,IF(G2884="Credit",-F2884,F2884))</f>
        <v/>
      </c>
    </row>
    <row r="2885">
      <c r="A2885" t="inlineStr">
        <is>
          <t>2026-07-29</t>
        </is>
      </c>
      <c r="B2885" t="inlineStr">
        <is>
          <t>F277354</t>
        </is>
      </c>
      <c r="C2885" t="inlineStr">
        <is>
          <t>C10922</t>
        </is>
      </c>
      <c r="D2885" t="inlineStr">
        <is>
          <t>SKU-10018</t>
        </is>
      </c>
      <c r="E2885" t="inlineStr">
        <is>
          <t>AM02</t>
        </is>
      </c>
      <c r="F2885" s="5" t="n">
        <v>321.66</v>
      </c>
      <c r="G2885">
        <f>IF(LEFT(B2885,1)="C","Credit","Factuur")</f>
        <v/>
      </c>
      <c r="H2885">
        <f>IF(AND(B2885=B2884,D2885=D2884,A2885=A2884,F2885=F2884),1,0)</f>
        <v/>
      </c>
      <c r="I2885">
        <f>IF(C2885="C99999",1,0)</f>
        <v/>
      </c>
      <c r="J2885" s="5">
        <f>IF(OR(H2885=1,I2885=1),0,IF(G2885="Credit",-F2885,F2885))</f>
        <v/>
      </c>
    </row>
    <row r="2886">
      <c r="A2886" t="inlineStr">
        <is>
          <t>2026-07-29</t>
        </is>
      </c>
      <c r="B2886" t="inlineStr">
        <is>
          <t>F277354</t>
        </is>
      </c>
      <c r="C2886" t="inlineStr">
        <is>
          <t>C10922</t>
        </is>
      </c>
      <c r="D2886" t="inlineStr">
        <is>
          <t>SKU-10096</t>
        </is>
      </c>
      <c r="E2886" t="inlineStr">
        <is>
          <t>AM02</t>
        </is>
      </c>
      <c r="F2886" s="5" t="n">
        <v>343.26</v>
      </c>
      <c r="G2886">
        <f>IF(LEFT(B2886,1)="C","Credit","Factuur")</f>
        <v/>
      </c>
      <c r="H2886">
        <f>IF(AND(B2886=B2885,D2886=D2885,A2886=A2885,F2886=F2885),1,0)</f>
        <v/>
      </c>
      <c r="I2886">
        <f>IF(C2886="C99999",1,0)</f>
        <v/>
      </c>
      <c r="J2886" s="5">
        <f>IF(OR(H2886=1,I2886=1),0,IF(G2886="Credit",-F2886,F2886))</f>
        <v/>
      </c>
    </row>
    <row r="2887">
      <c r="A2887" t="inlineStr">
        <is>
          <t>2026-07-29</t>
        </is>
      </c>
      <c r="B2887" t="inlineStr">
        <is>
          <t>F277354</t>
        </is>
      </c>
      <c r="C2887" t="inlineStr">
        <is>
          <t>C10922</t>
        </is>
      </c>
      <c r="D2887" t="inlineStr">
        <is>
          <t>SKU-10279</t>
        </is>
      </c>
      <c r="E2887" t="inlineStr">
        <is>
          <t>AM02</t>
        </is>
      </c>
      <c r="F2887" s="5" t="n">
        <v>331.6</v>
      </c>
      <c r="G2887">
        <f>IF(LEFT(B2887,1)="C","Credit","Factuur")</f>
        <v/>
      </c>
      <c r="H2887">
        <f>IF(AND(B2887=B2886,D2887=D2886,A2887=A2886,F2887=F2886),1,0)</f>
        <v/>
      </c>
      <c r="I2887">
        <f>IF(C2887="C99999",1,0)</f>
        <v/>
      </c>
      <c r="J2887" s="5">
        <f>IF(OR(H2887=1,I2887=1),0,IF(G2887="Credit",-F2887,F2887))</f>
        <v/>
      </c>
    </row>
    <row r="2888">
      <c r="A2888" t="inlineStr">
        <is>
          <t>2026-07-29</t>
        </is>
      </c>
      <c r="B2888" t="inlineStr">
        <is>
          <t>F277354</t>
        </is>
      </c>
      <c r="C2888" t="inlineStr">
        <is>
          <t>C10922</t>
        </is>
      </c>
      <c r="D2888" t="inlineStr">
        <is>
          <t>SKU-10344</t>
        </is>
      </c>
      <c r="E2888" t="inlineStr">
        <is>
          <t>AM02</t>
        </is>
      </c>
      <c r="F2888" s="5" t="n">
        <v>336</v>
      </c>
      <c r="G2888">
        <f>IF(LEFT(B2888,1)="C","Credit","Factuur")</f>
        <v/>
      </c>
      <c r="H2888">
        <f>IF(AND(B2888=B2887,D2888=D2887,A2888=A2887,F2888=F2887),1,0)</f>
        <v/>
      </c>
      <c r="I2888">
        <f>IF(C2888="C99999",1,0)</f>
        <v/>
      </c>
      <c r="J2888" s="5">
        <f>IF(OR(H2888=1,I2888=1),0,IF(G2888="Credit",-F2888,F2888))</f>
        <v/>
      </c>
    </row>
    <row r="2889">
      <c r="A2889" t="inlineStr">
        <is>
          <t>2026-07-29</t>
        </is>
      </c>
      <c r="B2889" t="inlineStr">
        <is>
          <t>F277354</t>
        </is>
      </c>
      <c r="C2889" t="inlineStr">
        <is>
          <t>C10922</t>
        </is>
      </c>
      <c r="D2889" t="inlineStr">
        <is>
          <t>SKU-10352</t>
        </is>
      </c>
      <c r="E2889" t="inlineStr">
        <is>
          <t>AM02</t>
        </is>
      </c>
      <c r="F2889" s="5" t="n">
        <v>315.98</v>
      </c>
      <c r="G2889">
        <f>IF(LEFT(B2889,1)="C","Credit","Factuur")</f>
        <v/>
      </c>
      <c r="H2889">
        <f>IF(AND(B2889=B2888,D2889=D2888,A2889=A2888,F2889=F2888),1,0)</f>
        <v/>
      </c>
      <c r="I2889">
        <f>IF(C2889="C99999",1,0)</f>
        <v/>
      </c>
      <c r="J2889" s="5">
        <f>IF(OR(H2889=1,I2889=1),0,IF(G2889="Credit",-F2889,F2889))</f>
        <v/>
      </c>
    </row>
    <row r="2890">
      <c r="A2890" t="inlineStr">
        <is>
          <t>2026-07-29</t>
        </is>
      </c>
      <c r="B2890" t="inlineStr">
        <is>
          <t>F277565</t>
        </is>
      </c>
      <c r="C2890" t="inlineStr">
        <is>
          <t>C10933</t>
        </is>
      </c>
      <c r="D2890" t="inlineStr">
        <is>
          <t>SKU-10209</t>
        </is>
      </c>
      <c r="E2890" t="inlineStr">
        <is>
          <t>AM02</t>
        </is>
      </c>
      <c r="F2890" s="5" t="n">
        <v>542.72</v>
      </c>
      <c r="G2890">
        <f>IF(LEFT(B2890,1)="C","Credit","Factuur")</f>
        <v/>
      </c>
      <c r="H2890">
        <f>IF(AND(B2890=B2889,D2890=D2889,A2890=A2889,F2890=F2889),1,0)</f>
        <v/>
      </c>
      <c r="I2890">
        <f>IF(C2890="C99999",1,0)</f>
        <v/>
      </c>
      <c r="J2890" s="5">
        <f>IF(OR(H2890=1,I2890=1),0,IF(G2890="Credit",-F2890,F2890))</f>
        <v/>
      </c>
    </row>
    <row r="2891">
      <c r="A2891" t="inlineStr">
        <is>
          <t>2026-07-29</t>
        </is>
      </c>
      <c r="B2891" t="inlineStr">
        <is>
          <t>F277565</t>
        </is>
      </c>
      <c r="C2891" t="inlineStr">
        <is>
          <t>C10933</t>
        </is>
      </c>
      <c r="D2891" t="inlineStr">
        <is>
          <t>SKU-10267</t>
        </is>
      </c>
      <c r="E2891" t="inlineStr">
        <is>
          <t>AM02</t>
        </is>
      </c>
      <c r="F2891" s="5" t="n">
        <v>526.54</v>
      </c>
      <c r="G2891">
        <f>IF(LEFT(B2891,1)="C","Credit","Factuur")</f>
        <v/>
      </c>
      <c r="H2891">
        <f>IF(AND(B2891=B2890,D2891=D2890,A2891=A2890,F2891=F2890),1,0)</f>
        <v/>
      </c>
      <c r="I2891">
        <f>IF(C2891="C99999",1,0)</f>
        <v/>
      </c>
      <c r="J2891" s="5">
        <f>IF(OR(H2891=1,I2891=1),0,IF(G2891="Credit",-F2891,F2891))</f>
        <v/>
      </c>
    </row>
    <row r="2892">
      <c r="A2892" t="inlineStr">
        <is>
          <t>2026-07-29</t>
        </is>
      </c>
      <c r="B2892" t="inlineStr">
        <is>
          <t>F277622</t>
        </is>
      </c>
      <c r="C2892" t="inlineStr">
        <is>
          <t>C10935</t>
        </is>
      </c>
      <c r="D2892" t="inlineStr">
        <is>
          <t>SKU-10032</t>
        </is>
      </c>
      <c r="E2892" t="inlineStr">
        <is>
          <t>IS01</t>
        </is>
      </c>
      <c r="F2892" s="5" t="n">
        <v>34.61</v>
      </c>
      <c r="G2892">
        <f>IF(LEFT(B2892,1)="C","Credit","Factuur")</f>
        <v/>
      </c>
      <c r="H2892">
        <f>IF(AND(B2892=B2891,D2892=D2891,A2892=A2891,F2892=F2891),1,0)</f>
        <v/>
      </c>
      <c r="I2892">
        <f>IF(C2892="C99999",1,0)</f>
        <v/>
      </c>
      <c r="J2892" s="5">
        <f>IF(OR(H2892=1,I2892=1),0,IF(G2892="Credit",-F2892,F2892))</f>
        <v/>
      </c>
    </row>
    <row r="2893">
      <c r="A2893" t="inlineStr">
        <is>
          <t>2026-07-29</t>
        </is>
      </c>
      <c r="B2893" t="inlineStr">
        <is>
          <t>F277622</t>
        </is>
      </c>
      <c r="C2893" t="inlineStr">
        <is>
          <t>C10935</t>
        </is>
      </c>
      <c r="D2893" t="inlineStr">
        <is>
          <t>SKU-10266</t>
        </is>
      </c>
      <c r="E2893" t="inlineStr">
        <is>
          <t>IS01</t>
        </is>
      </c>
      <c r="F2893" s="5" t="n">
        <v>35.8</v>
      </c>
      <c r="G2893">
        <f>IF(LEFT(B2893,1)="C","Credit","Factuur")</f>
        <v/>
      </c>
      <c r="H2893">
        <f>IF(AND(B2893=B2892,D2893=D2892,A2893=A2892,F2893=F2892),1,0)</f>
        <v/>
      </c>
      <c r="I2893">
        <f>IF(C2893="C99999",1,0)</f>
        <v/>
      </c>
      <c r="J2893" s="5">
        <f>IF(OR(H2893=1,I2893=1),0,IF(G2893="Credit",-F2893,F2893))</f>
        <v/>
      </c>
    </row>
    <row r="2894">
      <c r="A2894" t="inlineStr">
        <is>
          <t>2026-07-29</t>
        </is>
      </c>
      <c r="B2894" t="inlineStr">
        <is>
          <t>F277622</t>
        </is>
      </c>
      <c r="C2894" t="inlineStr">
        <is>
          <t>C10935</t>
        </is>
      </c>
      <c r="D2894" t="inlineStr">
        <is>
          <t>SKU-10327</t>
        </is>
      </c>
      <c r="E2894" t="inlineStr">
        <is>
          <t>IS01</t>
        </is>
      </c>
      <c r="F2894" s="5" t="n">
        <v>23.15</v>
      </c>
      <c r="G2894">
        <f>IF(LEFT(B2894,1)="C","Credit","Factuur")</f>
        <v/>
      </c>
      <c r="H2894">
        <f>IF(AND(B2894=B2893,D2894=D2893,A2894=A2893,F2894=F2893),1,0)</f>
        <v/>
      </c>
      <c r="I2894">
        <f>IF(C2894="C99999",1,0)</f>
        <v/>
      </c>
      <c r="J2894" s="5">
        <f>IF(OR(H2894=1,I2894=1),0,IF(G2894="Credit",-F2894,F2894))</f>
        <v/>
      </c>
    </row>
    <row r="2895">
      <c r="A2895" t="inlineStr">
        <is>
          <t>2026-07-29</t>
        </is>
      </c>
      <c r="B2895" t="inlineStr">
        <is>
          <t>F277755</t>
        </is>
      </c>
      <c r="C2895" t="inlineStr">
        <is>
          <t>C10943</t>
        </is>
      </c>
      <c r="D2895" t="inlineStr">
        <is>
          <t>SKU-10001</t>
        </is>
      </c>
      <c r="E2895" t="inlineStr">
        <is>
          <t>AM01</t>
        </is>
      </c>
      <c r="F2895" s="5" t="n">
        <v>288.09</v>
      </c>
      <c r="G2895">
        <f>IF(LEFT(B2895,1)="C","Credit","Factuur")</f>
        <v/>
      </c>
      <c r="H2895">
        <f>IF(AND(B2895=B2894,D2895=D2894,A2895=A2894,F2895=F2894),1,0)</f>
        <v/>
      </c>
      <c r="I2895">
        <f>IF(C2895="C99999",1,0)</f>
        <v/>
      </c>
      <c r="J2895" s="5">
        <f>IF(OR(H2895=1,I2895=1),0,IF(G2895="Credit",-F2895,F2895))</f>
        <v/>
      </c>
    </row>
    <row r="2896">
      <c r="A2896" t="inlineStr">
        <is>
          <t>2026-07-29</t>
        </is>
      </c>
      <c r="B2896" t="inlineStr">
        <is>
          <t>F277755</t>
        </is>
      </c>
      <c r="C2896" t="inlineStr">
        <is>
          <t>C10943</t>
        </is>
      </c>
      <c r="D2896" t="inlineStr">
        <is>
          <t>SKU-10027</t>
        </is>
      </c>
      <c r="E2896" t="inlineStr">
        <is>
          <t>AM01</t>
        </is>
      </c>
      <c r="F2896" s="5" t="n">
        <v>276.7</v>
      </c>
      <c r="G2896">
        <f>IF(LEFT(B2896,1)="C","Credit","Factuur")</f>
        <v/>
      </c>
      <c r="H2896">
        <f>IF(AND(B2896=B2895,D2896=D2895,A2896=A2895,F2896=F2895),1,0)</f>
        <v/>
      </c>
      <c r="I2896">
        <f>IF(C2896="C99999",1,0)</f>
        <v/>
      </c>
      <c r="J2896" s="5">
        <f>IF(OR(H2896=1,I2896=1),0,IF(G2896="Credit",-F2896,F2896))</f>
        <v/>
      </c>
    </row>
    <row r="2897">
      <c r="A2897" t="inlineStr">
        <is>
          <t>2026-07-29</t>
        </is>
      </c>
      <c r="B2897" t="inlineStr">
        <is>
          <t>F277755</t>
        </is>
      </c>
      <c r="C2897" t="inlineStr">
        <is>
          <t>C10943</t>
        </is>
      </c>
      <c r="D2897" t="inlineStr">
        <is>
          <t>SKU-10119</t>
        </is>
      </c>
      <c r="E2897" t="inlineStr">
        <is>
          <t>AM01</t>
        </is>
      </c>
      <c r="F2897" s="5" t="n">
        <v>271.05</v>
      </c>
      <c r="G2897">
        <f>IF(LEFT(B2897,1)="C","Credit","Factuur")</f>
        <v/>
      </c>
      <c r="H2897">
        <f>IF(AND(B2897=B2896,D2897=D2896,A2897=A2896,F2897=F2896),1,0)</f>
        <v/>
      </c>
      <c r="I2897">
        <f>IF(C2897="C99999",1,0)</f>
        <v/>
      </c>
      <c r="J2897" s="5">
        <f>IF(OR(H2897=1,I2897=1),0,IF(G2897="Credit",-F2897,F2897))</f>
        <v/>
      </c>
    </row>
    <row r="2898">
      <c r="A2898" t="inlineStr">
        <is>
          <t>2026-07-29</t>
        </is>
      </c>
      <c r="B2898" t="inlineStr">
        <is>
          <t>F277755</t>
        </is>
      </c>
      <c r="C2898" t="inlineStr">
        <is>
          <t>C10943</t>
        </is>
      </c>
      <c r="D2898" t="inlineStr">
        <is>
          <t>SKU-10135</t>
        </is>
      </c>
      <c r="E2898" t="inlineStr">
        <is>
          <t>AM01</t>
        </is>
      </c>
      <c r="F2898" s="5" t="n">
        <v>244.08</v>
      </c>
      <c r="G2898">
        <f>IF(LEFT(B2898,1)="C","Credit","Factuur")</f>
        <v/>
      </c>
      <c r="H2898">
        <f>IF(AND(B2898=B2897,D2898=D2897,A2898=A2897,F2898=F2897),1,0)</f>
        <v/>
      </c>
      <c r="I2898">
        <f>IF(C2898="C99999",1,0)</f>
        <v/>
      </c>
      <c r="J2898" s="5">
        <f>IF(OR(H2898=1,I2898=1),0,IF(G2898="Credit",-F2898,F2898))</f>
        <v/>
      </c>
    </row>
    <row r="2899">
      <c r="A2899" t="inlineStr">
        <is>
          <t>2026-07-29</t>
        </is>
      </c>
      <c r="B2899" t="inlineStr">
        <is>
          <t>F277755</t>
        </is>
      </c>
      <c r="C2899" t="inlineStr">
        <is>
          <t>C10943</t>
        </is>
      </c>
      <c r="D2899" t="inlineStr">
        <is>
          <t>SKU-10184</t>
        </is>
      </c>
      <c r="E2899" t="inlineStr">
        <is>
          <t>AM01</t>
        </is>
      </c>
      <c r="F2899" s="5" t="n">
        <v>271.07</v>
      </c>
      <c r="G2899">
        <f>IF(LEFT(B2899,1)="C","Credit","Factuur")</f>
        <v/>
      </c>
      <c r="H2899">
        <f>IF(AND(B2899=B2898,D2899=D2898,A2899=A2898,F2899=F2898),1,0)</f>
        <v/>
      </c>
      <c r="I2899">
        <f>IF(C2899="C99999",1,0)</f>
        <v/>
      </c>
      <c r="J2899" s="5">
        <f>IF(OR(H2899=1,I2899=1),0,IF(G2899="Credit",-F2899,F2899))</f>
        <v/>
      </c>
    </row>
    <row r="2900">
      <c r="A2900" t="inlineStr">
        <is>
          <t>2026-07-29</t>
        </is>
      </c>
      <c r="B2900" t="inlineStr">
        <is>
          <t>F277755</t>
        </is>
      </c>
      <c r="C2900" t="inlineStr">
        <is>
          <t>C10943</t>
        </is>
      </c>
      <c r="D2900" t="inlineStr">
        <is>
          <t>SKU-10328</t>
        </is>
      </c>
      <c r="E2900" t="inlineStr">
        <is>
          <t>AM01</t>
        </is>
      </c>
      <c r="F2900" s="5" t="n">
        <v>281.16</v>
      </c>
      <c r="G2900">
        <f>IF(LEFT(B2900,1)="C","Credit","Factuur")</f>
        <v/>
      </c>
      <c r="H2900">
        <f>IF(AND(B2900=B2899,D2900=D2899,A2900=A2899,F2900=F2899),1,0)</f>
        <v/>
      </c>
      <c r="I2900">
        <f>IF(C2900="C99999",1,0)</f>
        <v/>
      </c>
      <c r="J2900" s="5">
        <f>IF(OR(H2900=1,I2900=1),0,IF(G2900="Credit",-F2900,F2900))</f>
        <v/>
      </c>
    </row>
    <row r="2901">
      <c r="A2901" t="inlineStr">
        <is>
          <t>2026-07-29</t>
        </is>
      </c>
      <c r="B2901" t="inlineStr">
        <is>
          <t>F277755</t>
        </is>
      </c>
      <c r="C2901" t="inlineStr">
        <is>
          <t>C10943</t>
        </is>
      </c>
      <c r="D2901" t="inlineStr">
        <is>
          <t>SKU-10335</t>
        </is>
      </c>
      <c r="E2901" t="inlineStr">
        <is>
          <t>AM01</t>
        </is>
      </c>
      <c r="F2901" s="5" t="n">
        <v>283.72</v>
      </c>
      <c r="G2901">
        <f>IF(LEFT(B2901,1)="C","Credit","Factuur")</f>
        <v/>
      </c>
      <c r="H2901">
        <f>IF(AND(B2901=B2900,D2901=D2900,A2901=A2900,F2901=F2900),1,0)</f>
        <v/>
      </c>
      <c r="I2901">
        <f>IF(C2901="C99999",1,0)</f>
        <v/>
      </c>
      <c r="J2901" s="5">
        <f>IF(OR(H2901=1,I2901=1),0,IF(G2901="Credit",-F2901,F2901))</f>
        <v/>
      </c>
    </row>
    <row r="2902">
      <c r="A2902" t="inlineStr">
        <is>
          <t>2026-07-29</t>
        </is>
      </c>
      <c r="B2902" t="inlineStr">
        <is>
          <t>F277755</t>
        </is>
      </c>
      <c r="C2902" t="inlineStr">
        <is>
          <t>C10943</t>
        </is>
      </c>
      <c r="D2902" t="inlineStr">
        <is>
          <t>SKU-10359</t>
        </is>
      </c>
      <c r="E2902" t="inlineStr">
        <is>
          <t>AM01</t>
        </is>
      </c>
      <c r="F2902" s="5" t="n">
        <v>238.78</v>
      </c>
      <c r="G2902">
        <f>IF(LEFT(B2902,1)="C","Credit","Factuur")</f>
        <v/>
      </c>
      <c r="H2902">
        <f>IF(AND(B2902=B2901,D2902=D2901,A2902=A2901,F2902=F2901),1,0)</f>
        <v/>
      </c>
      <c r="I2902">
        <f>IF(C2902="C99999",1,0)</f>
        <v/>
      </c>
      <c r="J2902" s="5">
        <f>IF(OR(H2902=1,I2902=1),0,IF(G2902="Credit",-F2902,F2902))</f>
        <v/>
      </c>
    </row>
    <row r="2903">
      <c r="A2903" t="inlineStr">
        <is>
          <t>2026-07-29</t>
        </is>
      </c>
      <c r="B2903" t="inlineStr">
        <is>
          <t>F278108</t>
        </is>
      </c>
      <c r="C2903" t="inlineStr">
        <is>
          <t>C10962</t>
        </is>
      </c>
      <c r="D2903" t="inlineStr">
        <is>
          <t>SKU-10010</t>
        </is>
      </c>
      <c r="E2903" t="inlineStr">
        <is>
          <t>AM03</t>
        </is>
      </c>
      <c r="F2903" s="5" t="n">
        <v>397.08</v>
      </c>
      <c r="G2903">
        <f>IF(LEFT(B2903,1)="C","Credit","Factuur")</f>
        <v/>
      </c>
      <c r="H2903">
        <f>IF(AND(B2903=B2902,D2903=D2902,A2903=A2902,F2903=F2902),1,0)</f>
        <v/>
      </c>
      <c r="I2903">
        <f>IF(C2903="C99999",1,0)</f>
        <v/>
      </c>
      <c r="J2903" s="5">
        <f>IF(OR(H2903=1,I2903=1),0,IF(G2903="Credit",-F2903,F2903))</f>
        <v/>
      </c>
    </row>
    <row r="2904">
      <c r="A2904" t="inlineStr">
        <is>
          <t>2026-07-29</t>
        </is>
      </c>
      <c r="B2904" t="inlineStr">
        <is>
          <t>F278108</t>
        </is>
      </c>
      <c r="C2904" t="inlineStr">
        <is>
          <t>C10962</t>
        </is>
      </c>
      <c r="D2904" t="inlineStr">
        <is>
          <t>SKU-10115</t>
        </is>
      </c>
      <c r="E2904" t="inlineStr">
        <is>
          <t>AM03</t>
        </is>
      </c>
      <c r="F2904" s="5" t="n">
        <v>393.52</v>
      </c>
      <c r="G2904">
        <f>IF(LEFT(B2904,1)="C","Credit","Factuur")</f>
        <v/>
      </c>
      <c r="H2904">
        <f>IF(AND(B2904=B2903,D2904=D2903,A2904=A2903,F2904=F2903),1,0)</f>
        <v/>
      </c>
      <c r="I2904">
        <f>IF(C2904="C99999",1,0)</f>
        <v/>
      </c>
      <c r="J2904" s="5">
        <f>IF(OR(H2904=1,I2904=1),0,IF(G2904="Credit",-F2904,F2904))</f>
        <v/>
      </c>
    </row>
    <row r="2905">
      <c r="A2905" t="inlineStr">
        <is>
          <t>2026-07-29</t>
        </is>
      </c>
      <c r="B2905" t="inlineStr">
        <is>
          <t>F278108</t>
        </is>
      </c>
      <c r="C2905" t="inlineStr">
        <is>
          <t>C10962</t>
        </is>
      </c>
      <c r="D2905" t="inlineStr">
        <is>
          <t>SKU-10175</t>
        </is>
      </c>
      <c r="E2905" t="inlineStr">
        <is>
          <t>AM03</t>
        </is>
      </c>
      <c r="F2905" s="5" t="n">
        <v>378.6</v>
      </c>
      <c r="G2905">
        <f>IF(LEFT(B2905,1)="C","Credit","Factuur")</f>
        <v/>
      </c>
      <c r="H2905">
        <f>IF(AND(B2905=B2904,D2905=D2904,A2905=A2904,F2905=F2904),1,0)</f>
        <v/>
      </c>
      <c r="I2905">
        <f>IF(C2905="C99999",1,0)</f>
        <v/>
      </c>
      <c r="J2905" s="5">
        <f>IF(OR(H2905=1,I2905=1),0,IF(G2905="Credit",-F2905,F2905))</f>
        <v/>
      </c>
    </row>
    <row r="2906">
      <c r="A2906" t="inlineStr">
        <is>
          <t>2026-07-29</t>
        </is>
      </c>
      <c r="B2906" t="inlineStr">
        <is>
          <t>F278108</t>
        </is>
      </c>
      <c r="C2906" t="inlineStr">
        <is>
          <t>C10962</t>
        </is>
      </c>
      <c r="D2906" t="inlineStr">
        <is>
          <t>SKU-10194</t>
        </is>
      </c>
      <c r="E2906" t="inlineStr">
        <is>
          <t>AM03</t>
        </is>
      </c>
      <c r="F2906" s="5" t="n">
        <v>391.7</v>
      </c>
      <c r="G2906">
        <f>IF(LEFT(B2906,1)="C","Credit","Factuur")</f>
        <v/>
      </c>
      <c r="H2906">
        <f>IF(AND(B2906=B2905,D2906=D2905,A2906=A2905,F2906=F2905),1,0)</f>
        <v/>
      </c>
      <c r="I2906">
        <f>IF(C2906="C99999",1,0)</f>
        <v/>
      </c>
      <c r="J2906" s="5">
        <f>IF(OR(H2906=1,I2906=1),0,IF(G2906="Credit",-F2906,F2906))</f>
        <v/>
      </c>
    </row>
    <row r="2907">
      <c r="A2907" t="inlineStr">
        <is>
          <t>2026-07-29</t>
        </is>
      </c>
      <c r="B2907" t="inlineStr">
        <is>
          <t>F278108</t>
        </is>
      </c>
      <c r="C2907" t="inlineStr">
        <is>
          <t>C10962</t>
        </is>
      </c>
      <c r="D2907" t="inlineStr">
        <is>
          <t>SKU-10217</t>
        </is>
      </c>
      <c r="E2907" t="inlineStr">
        <is>
          <t>AM03</t>
        </is>
      </c>
      <c r="F2907" s="5" t="n">
        <v>377.52</v>
      </c>
      <c r="G2907">
        <f>IF(LEFT(B2907,1)="C","Credit","Factuur")</f>
        <v/>
      </c>
      <c r="H2907">
        <f>IF(AND(B2907=B2906,D2907=D2906,A2907=A2906,F2907=F2906),1,0)</f>
        <v/>
      </c>
      <c r="I2907">
        <f>IF(C2907="C99999",1,0)</f>
        <v/>
      </c>
      <c r="J2907" s="5">
        <f>IF(OR(H2907=1,I2907=1),0,IF(G2907="Credit",-F2907,F2907))</f>
        <v/>
      </c>
    </row>
    <row r="2908">
      <c r="A2908" t="inlineStr">
        <is>
          <t>2026-07-29</t>
        </is>
      </c>
      <c r="B2908" t="inlineStr">
        <is>
          <t>F278108</t>
        </is>
      </c>
      <c r="C2908" t="inlineStr">
        <is>
          <t>C10962</t>
        </is>
      </c>
      <c r="D2908" t="inlineStr">
        <is>
          <t>SKU-10341</t>
        </is>
      </c>
      <c r="E2908" t="inlineStr">
        <is>
          <t>AM03</t>
        </is>
      </c>
      <c r="F2908" s="5" t="n">
        <v>362.16</v>
      </c>
      <c r="G2908">
        <f>IF(LEFT(B2908,1)="C","Credit","Factuur")</f>
        <v/>
      </c>
      <c r="H2908">
        <f>IF(AND(B2908=B2907,D2908=D2907,A2908=A2907,F2908=F2907),1,0)</f>
        <v/>
      </c>
      <c r="I2908">
        <f>IF(C2908="C99999",1,0)</f>
        <v/>
      </c>
      <c r="J2908" s="5">
        <f>IF(OR(H2908=1,I2908=1),0,IF(G2908="Credit",-F2908,F2908))</f>
        <v/>
      </c>
    </row>
    <row r="2909">
      <c r="A2909" t="inlineStr">
        <is>
          <t>2026-07-29</t>
        </is>
      </c>
      <c r="B2909" t="inlineStr">
        <is>
          <t>F278871</t>
        </is>
      </c>
      <c r="C2909" t="inlineStr">
        <is>
          <t>C10999</t>
        </is>
      </c>
      <c r="D2909" t="inlineStr">
        <is>
          <t>SKU-10102</t>
        </is>
      </c>
      <c r="E2909" t="inlineStr"/>
      <c r="F2909" s="5" t="n">
        <v>948.64</v>
      </c>
      <c r="G2909">
        <f>IF(LEFT(B2909,1)="C","Credit","Factuur")</f>
        <v/>
      </c>
      <c r="H2909">
        <f>IF(AND(B2909=B2908,D2909=D2908,A2909=A2908,F2909=F2908),1,0)</f>
        <v/>
      </c>
      <c r="I2909">
        <f>IF(C2909="C99999",1,0)</f>
        <v/>
      </c>
      <c r="J2909" s="5">
        <f>IF(OR(H2909=1,I2909=1),0,IF(G2909="Credit",-F2909,F2909))</f>
        <v/>
      </c>
    </row>
    <row r="2910">
      <c r="A2910" t="inlineStr">
        <is>
          <t>2026-07-29</t>
        </is>
      </c>
      <c r="B2910" t="inlineStr">
        <is>
          <t>F279856</t>
        </is>
      </c>
      <c r="C2910" t="inlineStr">
        <is>
          <t>C11051</t>
        </is>
      </c>
      <c r="D2910" t="inlineStr">
        <is>
          <t>SKU-10047</t>
        </is>
      </c>
      <c r="E2910" t="inlineStr">
        <is>
          <t>AM03</t>
        </is>
      </c>
      <c r="F2910" s="5" t="n">
        <v>274.26</v>
      </c>
      <c r="G2910">
        <f>IF(LEFT(B2910,1)="C","Credit","Factuur")</f>
        <v/>
      </c>
      <c r="H2910">
        <f>IF(AND(B2910=B2909,D2910=D2909,A2910=A2909,F2910=F2909),1,0)</f>
        <v/>
      </c>
      <c r="I2910">
        <f>IF(C2910="C99999",1,0)</f>
        <v/>
      </c>
      <c r="J2910" s="5">
        <f>IF(OR(H2910=1,I2910=1),0,IF(G2910="Credit",-F2910,F2910))</f>
        <v/>
      </c>
    </row>
    <row r="2911">
      <c r="A2911" t="inlineStr">
        <is>
          <t>2026-07-29</t>
        </is>
      </c>
      <c r="B2911" t="inlineStr">
        <is>
          <t>F279856</t>
        </is>
      </c>
      <c r="C2911" t="inlineStr">
        <is>
          <t>C11051</t>
        </is>
      </c>
      <c r="D2911" t="inlineStr">
        <is>
          <t>SKU-10066</t>
        </is>
      </c>
      <c r="E2911" t="inlineStr">
        <is>
          <t>AM03</t>
        </is>
      </c>
      <c r="F2911" s="5" t="n">
        <v>270.72</v>
      </c>
      <c r="G2911">
        <f>IF(LEFT(B2911,1)="C","Credit","Factuur")</f>
        <v/>
      </c>
      <c r="H2911">
        <f>IF(AND(B2911=B2910,D2911=D2910,A2911=A2910,F2911=F2910),1,0)</f>
        <v/>
      </c>
      <c r="I2911">
        <f>IF(C2911="C99999",1,0)</f>
        <v/>
      </c>
      <c r="J2911" s="5">
        <f>IF(OR(H2911=1,I2911=1),0,IF(G2911="Credit",-F2911,F2911))</f>
        <v/>
      </c>
    </row>
    <row r="2912">
      <c r="A2912" t="inlineStr">
        <is>
          <t>2026-07-29</t>
        </is>
      </c>
      <c r="B2912" t="inlineStr">
        <is>
          <t>F279856</t>
        </is>
      </c>
      <c r="C2912" t="inlineStr">
        <is>
          <t>C11051</t>
        </is>
      </c>
      <c r="D2912" t="inlineStr">
        <is>
          <t>SKU-10104</t>
        </is>
      </c>
      <c r="E2912" t="inlineStr">
        <is>
          <t>AM03</t>
        </is>
      </c>
      <c r="F2912" s="5" t="n">
        <v>259.75</v>
      </c>
      <c r="G2912">
        <f>IF(LEFT(B2912,1)="C","Credit","Factuur")</f>
        <v/>
      </c>
      <c r="H2912">
        <f>IF(AND(B2912=B2911,D2912=D2911,A2912=A2911,F2912=F2911),1,0)</f>
        <v/>
      </c>
      <c r="I2912">
        <f>IF(C2912="C99999",1,0)</f>
        <v/>
      </c>
      <c r="J2912" s="5">
        <f>IF(OR(H2912=1,I2912=1),0,IF(G2912="Credit",-F2912,F2912))</f>
        <v/>
      </c>
    </row>
    <row r="2913">
      <c r="A2913" t="inlineStr">
        <is>
          <t>2026-07-29</t>
        </is>
      </c>
      <c r="B2913" t="inlineStr">
        <is>
          <t>F279856</t>
        </is>
      </c>
      <c r="C2913" t="inlineStr">
        <is>
          <t>C11051</t>
        </is>
      </c>
      <c r="D2913" t="inlineStr">
        <is>
          <t>SKU-10253</t>
        </is>
      </c>
      <c r="E2913" t="inlineStr">
        <is>
          <t>AM03</t>
        </is>
      </c>
      <c r="F2913" s="5" t="n">
        <v>265.52</v>
      </c>
      <c r="G2913">
        <f>IF(LEFT(B2913,1)="C","Credit","Factuur")</f>
        <v/>
      </c>
      <c r="H2913">
        <f>IF(AND(B2913=B2912,D2913=D2912,A2913=A2912,F2913=F2912),1,0)</f>
        <v/>
      </c>
      <c r="I2913">
        <f>IF(C2913="C99999",1,0)</f>
        <v/>
      </c>
      <c r="J2913" s="5">
        <f>IF(OR(H2913=1,I2913=1),0,IF(G2913="Credit",-F2913,F2913))</f>
        <v/>
      </c>
    </row>
    <row r="2914">
      <c r="A2914" t="inlineStr">
        <is>
          <t>2026-07-29</t>
        </is>
      </c>
      <c r="B2914" t="inlineStr">
        <is>
          <t>F279957</t>
        </is>
      </c>
      <c r="C2914" t="inlineStr">
        <is>
          <t>C11055</t>
        </is>
      </c>
      <c r="D2914" t="inlineStr">
        <is>
          <t>SKU-10043</t>
        </is>
      </c>
      <c r="E2914" t="inlineStr">
        <is>
          <t>AM03</t>
        </is>
      </c>
      <c r="F2914" s="5" t="n">
        <v>861.91</v>
      </c>
      <c r="G2914">
        <f>IF(LEFT(B2914,1)="C","Credit","Factuur")</f>
        <v/>
      </c>
      <c r="H2914">
        <f>IF(AND(B2914=B2913,D2914=D2913,A2914=A2913,F2914=F2913),1,0)</f>
        <v/>
      </c>
      <c r="I2914">
        <f>IF(C2914="C99999",1,0)</f>
        <v/>
      </c>
      <c r="J2914" s="5">
        <f>IF(OR(H2914=1,I2914=1),0,IF(G2914="Credit",-F2914,F2914))</f>
        <v/>
      </c>
    </row>
    <row r="2915">
      <c r="A2915" t="inlineStr">
        <is>
          <t>2026-07-29</t>
        </is>
      </c>
      <c r="B2915" t="inlineStr">
        <is>
          <t>F279957</t>
        </is>
      </c>
      <c r="C2915" t="inlineStr">
        <is>
          <t>C11055</t>
        </is>
      </c>
      <c r="D2915" t="inlineStr">
        <is>
          <t>SKU-10334</t>
        </is>
      </c>
      <c r="E2915" t="inlineStr">
        <is>
          <t>AM03</t>
        </is>
      </c>
      <c r="F2915" s="5" t="n">
        <v>879.8200000000001</v>
      </c>
      <c r="G2915">
        <f>IF(LEFT(B2915,1)="C","Credit","Factuur")</f>
        <v/>
      </c>
      <c r="H2915">
        <f>IF(AND(B2915=B2914,D2915=D2914,A2915=A2914,F2915=F2914),1,0)</f>
        <v/>
      </c>
      <c r="I2915">
        <f>IF(C2915="C99999",1,0)</f>
        <v/>
      </c>
      <c r="J2915" s="5">
        <f>IF(OR(H2915=1,I2915=1),0,IF(G2915="Credit",-F2915,F2915))</f>
        <v/>
      </c>
    </row>
    <row r="2916">
      <c r="A2916" t="inlineStr">
        <is>
          <t>2026-07-29</t>
        </is>
      </c>
      <c r="B2916" t="inlineStr">
        <is>
          <t>F280743</t>
        </is>
      </c>
      <c r="C2916" t="inlineStr">
        <is>
          <t>C11094</t>
        </is>
      </c>
      <c r="D2916" t="inlineStr">
        <is>
          <t>SKU-10064</t>
        </is>
      </c>
      <c r="E2916" t="inlineStr">
        <is>
          <t>AM12</t>
        </is>
      </c>
      <c r="F2916" s="5" t="n">
        <v>549.92</v>
      </c>
      <c r="G2916">
        <f>IF(LEFT(B2916,1)="C","Credit","Factuur")</f>
        <v/>
      </c>
      <c r="H2916">
        <f>IF(AND(B2916=B2915,D2916=D2915,A2916=A2915,F2916=F2915),1,0)</f>
        <v/>
      </c>
      <c r="I2916">
        <f>IF(C2916="C99999",1,0)</f>
        <v/>
      </c>
      <c r="J2916" s="5">
        <f>IF(OR(H2916=1,I2916=1),0,IF(G2916="Credit",-F2916,F2916))</f>
        <v/>
      </c>
    </row>
    <row r="2917">
      <c r="A2917" t="inlineStr">
        <is>
          <t>2026-07-29</t>
        </is>
      </c>
      <c r="B2917" t="inlineStr">
        <is>
          <t>F280743</t>
        </is>
      </c>
      <c r="C2917" t="inlineStr">
        <is>
          <t>C11094</t>
        </is>
      </c>
      <c r="D2917" t="inlineStr">
        <is>
          <t>SKU-10217</t>
        </is>
      </c>
      <c r="E2917" t="inlineStr">
        <is>
          <t>AM12</t>
        </is>
      </c>
      <c r="F2917" s="5" t="n">
        <v>566.28</v>
      </c>
      <c r="G2917">
        <f>IF(LEFT(B2917,1)="C","Credit","Factuur")</f>
        <v/>
      </c>
      <c r="H2917">
        <f>IF(AND(B2917=B2916,D2917=D2916,A2917=A2916,F2917=F2916),1,0)</f>
        <v/>
      </c>
      <c r="I2917">
        <f>IF(C2917="C99999",1,0)</f>
        <v/>
      </c>
      <c r="J2917" s="5">
        <f>IF(OR(H2917=1,I2917=1),0,IF(G2917="Credit",-F2917,F2917))</f>
        <v/>
      </c>
    </row>
    <row r="2918">
      <c r="A2918" t="inlineStr">
        <is>
          <t>2026-07-29</t>
        </is>
      </c>
      <c r="B2918" t="inlineStr">
        <is>
          <t>F280743</t>
        </is>
      </c>
      <c r="C2918" t="inlineStr">
        <is>
          <t>C11094</t>
        </is>
      </c>
      <c r="D2918" t="inlineStr">
        <is>
          <t>SKU-10223</t>
        </is>
      </c>
      <c r="E2918" t="inlineStr">
        <is>
          <t>AM12</t>
        </is>
      </c>
      <c r="F2918" s="5" t="n">
        <v>540.79</v>
      </c>
      <c r="G2918">
        <f>IF(LEFT(B2918,1)="C","Credit","Factuur")</f>
        <v/>
      </c>
      <c r="H2918">
        <f>IF(AND(B2918=B2917,D2918=D2917,A2918=A2917,F2918=F2917),1,0)</f>
        <v/>
      </c>
      <c r="I2918">
        <f>IF(C2918="C99999",1,0)</f>
        <v/>
      </c>
      <c r="J2918" s="5">
        <f>IF(OR(H2918=1,I2918=1),0,IF(G2918="Credit",-F2918,F2918))</f>
        <v/>
      </c>
    </row>
    <row r="2919">
      <c r="A2919" t="inlineStr">
        <is>
          <t>2026-07-29</t>
        </is>
      </c>
      <c r="B2919" t="inlineStr">
        <is>
          <t>F280971</t>
        </is>
      </c>
      <c r="C2919" t="inlineStr">
        <is>
          <t>C11105</t>
        </is>
      </c>
      <c r="D2919" t="inlineStr">
        <is>
          <t>SKU-10129</t>
        </is>
      </c>
      <c r="E2919" t="inlineStr">
        <is>
          <t>AM12</t>
        </is>
      </c>
      <c r="F2919" s="5" t="n">
        <v>103.63</v>
      </c>
      <c r="G2919">
        <f>IF(LEFT(B2919,1)="C","Credit","Factuur")</f>
        <v/>
      </c>
      <c r="H2919">
        <f>IF(AND(B2919=B2918,D2919=D2918,A2919=A2918,F2919=F2918),1,0)</f>
        <v/>
      </c>
      <c r="I2919">
        <f>IF(C2919="C99999",1,0)</f>
        <v/>
      </c>
      <c r="J2919" s="5">
        <f>IF(OR(H2919=1,I2919=1),0,IF(G2919="Credit",-F2919,F2919))</f>
        <v/>
      </c>
    </row>
    <row r="2920">
      <c r="A2920" t="inlineStr">
        <is>
          <t>2026-07-29</t>
        </is>
      </c>
      <c r="B2920" t="inlineStr">
        <is>
          <t>F280971</t>
        </is>
      </c>
      <c r="C2920" t="inlineStr">
        <is>
          <t>C11105</t>
        </is>
      </c>
      <c r="D2920" t="inlineStr">
        <is>
          <t>SKU-10254</t>
        </is>
      </c>
      <c r="E2920" t="inlineStr">
        <is>
          <t>AM12</t>
        </is>
      </c>
      <c r="F2920" s="5" t="n">
        <v>91.5</v>
      </c>
      <c r="G2920">
        <f>IF(LEFT(B2920,1)="C","Credit","Factuur")</f>
        <v/>
      </c>
      <c r="H2920">
        <f>IF(AND(B2920=B2919,D2920=D2919,A2920=A2919,F2920=F2919),1,0)</f>
        <v/>
      </c>
      <c r="I2920">
        <f>IF(C2920="C99999",1,0)</f>
        <v/>
      </c>
      <c r="J2920" s="5">
        <f>IF(OR(H2920=1,I2920=1),0,IF(G2920="Credit",-F2920,F2920))</f>
        <v/>
      </c>
    </row>
    <row r="2921">
      <c r="A2921" t="inlineStr">
        <is>
          <t>2026-07-29</t>
        </is>
      </c>
      <c r="B2921" t="inlineStr">
        <is>
          <t>F280971</t>
        </is>
      </c>
      <c r="C2921" t="inlineStr">
        <is>
          <t>C11105</t>
        </is>
      </c>
      <c r="D2921" t="inlineStr">
        <is>
          <t>SKU-10264</t>
        </is>
      </c>
      <c r="E2921" t="inlineStr">
        <is>
          <t>AM12</t>
        </is>
      </c>
      <c r="F2921" s="5" t="n">
        <v>63.4</v>
      </c>
      <c r="G2921">
        <f>IF(LEFT(B2921,1)="C","Credit","Factuur")</f>
        <v/>
      </c>
      <c r="H2921">
        <f>IF(AND(B2921=B2920,D2921=D2920,A2921=A2920,F2921=F2920),1,0)</f>
        <v/>
      </c>
      <c r="I2921">
        <f>IF(C2921="C99999",1,0)</f>
        <v/>
      </c>
      <c r="J2921" s="5">
        <f>IF(OR(H2921=1,I2921=1),0,IF(G2921="Credit",-F2921,F2921))</f>
        <v/>
      </c>
    </row>
    <row r="2922">
      <c r="A2922" t="inlineStr">
        <is>
          <t>2026-07-29</t>
        </is>
      </c>
      <c r="B2922" t="inlineStr">
        <is>
          <t>F280971</t>
        </is>
      </c>
      <c r="C2922" t="inlineStr">
        <is>
          <t>C11105</t>
        </is>
      </c>
      <c r="D2922" t="inlineStr">
        <is>
          <t>SKU-10367</t>
        </is>
      </c>
      <c r="E2922" t="inlineStr">
        <is>
          <t>AM12</t>
        </is>
      </c>
      <c r="F2922" s="5" t="n">
        <v>181.88</v>
      </c>
      <c r="G2922">
        <f>IF(LEFT(B2922,1)="C","Credit","Factuur")</f>
        <v/>
      </c>
      <c r="H2922">
        <f>IF(AND(B2922=B2921,D2922=D2921,A2922=A2921,F2922=F2921),1,0)</f>
        <v/>
      </c>
      <c r="I2922">
        <f>IF(C2922="C99999",1,0)</f>
        <v/>
      </c>
      <c r="J2922" s="5">
        <f>IF(OR(H2922=1,I2922=1),0,IF(G2922="Credit",-F2922,F2922))</f>
        <v/>
      </c>
    </row>
    <row r="2923">
      <c r="A2923" t="inlineStr">
        <is>
          <t>2026-07-29</t>
        </is>
      </c>
      <c r="B2923" t="inlineStr">
        <is>
          <t>F281875</t>
        </is>
      </c>
      <c r="C2923" t="inlineStr">
        <is>
          <t>C11152</t>
        </is>
      </c>
      <c r="D2923" t="inlineStr">
        <is>
          <t>SKU-10022</t>
        </is>
      </c>
      <c r="E2923" t="inlineStr">
        <is>
          <t>AM06</t>
        </is>
      </c>
      <c r="F2923" s="5" t="n">
        <v>327.68</v>
      </c>
      <c r="G2923">
        <f>IF(LEFT(B2923,1)="C","Credit","Factuur")</f>
        <v/>
      </c>
      <c r="H2923">
        <f>IF(AND(B2923=B2922,D2923=D2922,A2923=A2922,F2923=F2922),1,0)</f>
        <v/>
      </c>
      <c r="I2923">
        <f>IF(C2923="C99999",1,0)</f>
        <v/>
      </c>
      <c r="J2923" s="5">
        <f>IF(OR(H2923=1,I2923=1),0,IF(G2923="Credit",-F2923,F2923))</f>
        <v/>
      </c>
    </row>
    <row r="2924">
      <c r="A2924" t="inlineStr">
        <is>
          <t>2026-07-29</t>
        </is>
      </c>
      <c r="B2924" t="inlineStr">
        <is>
          <t>F281875</t>
        </is>
      </c>
      <c r="C2924" t="inlineStr">
        <is>
          <t>C11152</t>
        </is>
      </c>
      <c r="D2924" t="inlineStr">
        <is>
          <t>SKU-10281</t>
        </is>
      </c>
      <c r="E2924" t="inlineStr">
        <is>
          <t>AM06</t>
        </is>
      </c>
      <c r="F2924" s="5" t="n">
        <v>318.83</v>
      </c>
      <c r="G2924">
        <f>IF(LEFT(B2924,1)="C","Credit","Factuur")</f>
        <v/>
      </c>
      <c r="H2924">
        <f>IF(AND(B2924=B2923,D2924=D2923,A2924=A2923,F2924=F2923),1,0)</f>
        <v/>
      </c>
      <c r="I2924">
        <f>IF(C2924="C99999",1,0)</f>
        <v/>
      </c>
      <c r="J2924" s="5">
        <f>IF(OR(H2924=1,I2924=1),0,IF(G2924="Credit",-F2924,F2924))</f>
        <v/>
      </c>
    </row>
    <row r="2925">
      <c r="A2925" t="inlineStr">
        <is>
          <t>2026-07-29</t>
        </is>
      </c>
      <c r="B2925" t="inlineStr">
        <is>
          <t>F282597</t>
        </is>
      </c>
      <c r="C2925" t="inlineStr">
        <is>
          <t>C11185</t>
        </is>
      </c>
      <c r="D2925" t="inlineStr">
        <is>
          <t>SKU-10370</t>
        </is>
      </c>
      <c r="E2925" t="inlineStr">
        <is>
          <t>AM08</t>
        </is>
      </c>
      <c r="F2925" s="5" t="n">
        <v>923.08</v>
      </c>
      <c r="G2925">
        <f>IF(LEFT(B2925,1)="C","Credit","Factuur")</f>
        <v/>
      </c>
      <c r="H2925">
        <f>IF(AND(B2925=B2924,D2925=D2924,A2925=A2924,F2925=F2924),1,0)</f>
        <v/>
      </c>
      <c r="I2925">
        <f>IF(C2925="C99999",1,0)</f>
        <v/>
      </c>
      <c r="J2925" s="5">
        <f>IF(OR(H2925=1,I2925=1),0,IF(G2925="Credit",-F2925,F2925))</f>
        <v/>
      </c>
    </row>
    <row r="2926">
      <c r="A2926" t="inlineStr">
        <is>
          <t>2026-07-29</t>
        </is>
      </c>
      <c r="B2926" t="inlineStr">
        <is>
          <t>F283704</t>
        </is>
      </c>
      <c r="C2926" t="inlineStr">
        <is>
          <t>C11242</t>
        </is>
      </c>
      <c r="D2926" t="inlineStr">
        <is>
          <t>SKU-10312</t>
        </is>
      </c>
      <c r="E2926" t="inlineStr">
        <is>
          <t>AM02</t>
        </is>
      </c>
      <c r="F2926" s="5" t="n">
        <v>4609.6</v>
      </c>
      <c r="G2926">
        <f>IF(LEFT(B2926,1)="C","Credit","Factuur")</f>
        <v/>
      </c>
      <c r="H2926">
        <f>IF(AND(B2926=B2925,D2926=D2925,A2926=A2925,F2926=F2925),1,0)</f>
        <v/>
      </c>
      <c r="I2926">
        <f>IF(C2926="C99999",1,0)</f>
        <v/>
      </c>
      <c r="J2926" s="5">
        <f>IF(OR(H2926=1,I2926=1),0,IF(G2926="Credit",-F2926,F2926))</f>
        <v/>
      </c>
    </row>
    <row r="2927">
      <c r="A2927" t="inlineStr">
        <is>
          <t>2026-07-29</t>
        </is>
      </c>
      <c r="B2927" t="inlineStr">
        <is>
          <t>F284250</t>
        </is>
      </c>
      <c r="C2927" t="inlineStr">
        <is>
          <t>C11269</t>
        </is>
      </c>
      <c r="D2927" t="inlineStr">
        <is>
          <t>SKU-10089</t>
        </is>
      </c>
      <c r="E2927" t="inlineStr">
        <is>
          <t>AM06</t>
        </is>
      </c>
      <c r="F2927" s="5" t="n">
        <v>376.8</v>
      </c>
      <c r="G2927">
        <f>IF(LEFT(B2927,1)="C","Credit","Factuur")</f>
        <v/>
      </c>
      <c r="H2927">
        <f>IF(AND(B2927=B2926,D2927=D2926,A2927=A2926,F2927=F2926),1,0)</f>
        <v/>
      </c>
      <c r="I2927">
        <f>IF(C2927="C99999",1,0)</f>
        <v/>
      </c>
      <c r="J2927" s="5">
        <f>IF(OR(H2927=1,I2927=1),0,IF(G2927="Credit",-F2927,F2927))</f>
        <v/>
      </c>
    </row>
    <row r="2928">
      <c r="A2928" t="inlineStr">
        <is>
          <t>2026-07-29</t>
        </is>
      </c>
      <c r="B2928" t="inlineStr">
        <is>
          <t>F284250</t>
        </is>
      </c>
      <c r="C2928" t="inlineStr">
        <is>
          <t>C11269</t>
        </is>
      </c>
      <c r="D2928" t="inlineStr">
        <is>
          <t>SKU-10129</t>
        </is>
      </c>
      <c r="E2928" t="inlineStr">
        <is>
          <t>AM06</t>
        </is>
      </c>
      <c r="F2928" s="5" t="n">
        <v>414.52</v>
      </c>
      <c r="G2928">
        <f>IF(LEFT(B2928,1)="C","Credit","Factuur")</f>
        <v/>
      </c>
      <c r="H2928">
        <f>IF(AND(B2928=B2927,D2928=D2927,A2928=A2927,F2928=F2927),1,0)</f>
        <v/>
      </c>
      <c r="I2928">
        <f>IF(C2928="C99999",1,0)</f>
        <v/>
      </c>
      <c r="J2928" s="5">
        <f>IF(OR(H2928=1,I2928=1),0,IF(G2928="Credit",-F2928,F2928))</f>
        <v/>
      </c>
    </row>
    <row r="2929">
      <c r="A2929" t="inlineStr">
        <is>
          <t>2026-07-29</t>
        </is>
      </c>
      <c r="B2929" t="inlineStr">
        <is>
          <t>F284250</t>
        </is>
      </c>
      <c r="C2929" t="inlineStr">
        <is>
          <t>C11269</t>
        </is>
      </c>
      <c r="D2929" t="inlineStr">
        <is>
          <t>SKU-10158</t>
        </is>
      </c>
      <c r="E2929" t="inlineStr">
        <is>
          <t>AM06</t>
        </is>
      </c>
      <c r="F2929" s="5" t="n">
        <v>380.1</v>
      </c>
      <c r="G2929">
        <f>IF(LEFT(B2929,1)="C","Credit","Factuur")</f>
        <v/>
      </c>
      <c r="H2929">
        <f>IF(AND(B2929=B2928,D2929=D2928,A2929=A2928,F2929=F2928),1,0)</f>
        <v/>
      </c>
      <c r="I2929">
        <f>IF(C2929="C99999",1,0)</f>
        <v/>
      </c>
      <c r="J2929" s="5">
        <f>IF(OR(H2929=1,I2929=1),0,IF(G2929="Credit",-F2929,F2929))</f>
        <v/>
      </c>
    </row>
    <row r="2930">
      <c r="A2930" t="inlineStr">
        <is>
          <t>2026-07-29</t>
        </is>
      </c>
      <c r="B2930" t="inlineStr">
        <is>
          <t>F284419</t>
        </is>
      </c>
      <c r="C2930" t="inlineStr">
        <is>
          <t>C11279</t>
        </is>
      </c>
      <c r="D2930" t="inlineStr">
        <is>
          <t>SKU-10092</t>
        </is>
      </c>
      <c r="E2930" t="inlineStr">
        <is>
          <t>AM05</t>
        </is>
      </c>
      <c r="F2930" s="5" t="n">
        <v>137.24</v>
      </c>
      <c r="G2930">
        <f>IF(LEFT(B2930,1)="C","Credit","Factuur")</f>
        <v/>
      </c>
      <c r="H2930">
        <f>IF(AND(B2930=B2929,D2930=D2929,A2930=A2929,F2930=F2929),1,0)</f>
        <v/>
      </c>
      <c r="I2930">
        <f>IF(C2930="C99999",1,0)</f>
        <v/>
      </c>
      <c r="J2930" s="5">
        <f>IF(OR(H2930=1,I2930=1),0,IF(G2930="Credit",-F2930,F2930))</f>
        <v/>
      </c>
    </row>
    <row r="2931">
      <c r="A2931" t="inlineStr">
        <is>
          <t>2026-07-29</t>
        </is>
      </c>
      <c r="B2931" t="inlineStr">
        <is>
          <t>F284419</t>
        </is>
      </c>
      <c r="C2931" t="inlineStr">
        <is>
          <t>C11279</t>
        </is>
      </c>
      <c r="D2931" t="inlineStr">
        <is>
          <t>SKU-10109</t>
        </is>
      </c>
      <c r="E2931" t="inlineStr">
        <is>
          <t>AM05</t>
        </is>
      </c>
      <c r="F2931" s="5" t="n">
        <v>95.90000000000001</v>
      </c>
      <c r="G2931">
        <f>IF(LEFT(B2931,1)="C","Credit","Factuur")</f>
        <v/>
      </c>
      <c r="H2931">
        <f>IF(AND(B2931=B2930,D2931=D2930,A2931=A2930,F2931=F2930),1,0)</f>
        <v/>
      </c>
      <c r="I2931">
        <f>IF(C2931="C99999",1,0)</f>
        <v/>
      </c>
      <c r="J2931" s="5">
        <f>IF(OR(H2931=1,I2931=1),0,IF(G2931="Credit",-F2931,F2931))</f>
        <v/>
      </c>
    </row>
    <row r="2932">
      <c r="A2932" t="inlineStr">
        <is>
          <t>2026-07-29</t>
        </is>
      </c>
      <c r="B2932" t="inlineStr">
        <is>
          <t>F284419</t>
        </is>
      </c>
      <c r="C2932" t="inlineStr">
        <is>
          <t>C11279</t>
        </is>
      </c>
      <c r="D2932" t="inlineStr">
        <is>
          <t>SKU-10205</t>
        </is>
      </c>
      <c r="E2932" t="inlineStr">
        <is>
          <t>AM05</t>
        </is>
      </c>
      <c r="F2932" s="5" t="n">
        <v>117.73</v>
      </c>
      <c r="G2932">
        <f>IF(LEFT(B2932,1)="C","Credit","Factuur")</f>
        <v/>
      </c>
      <c r="H2932">
        <f>IF(AND(B2932=B2931,D2932=D2931,A2932=A2931,F2932=F2931),1,0)</f>
        <v/>
      </c>
      <c r="I2932">
        <f>IF(C2932="C99999",1,0)</f>
        <v/>
      </c>
      <c r="J2932" s="5">
        <f>IF(OR(H2932=1,I2932=1),0,IF(G2932="Credit",-F2932,F2932))</f>
        <v/>
      </c>
    </row>
    <row r="2933">
      <c r="A2933" t="inlineStr">
        <is>
          <t>2026-07-29</t>
        </is>
      </c>
      <c r="B2933" t="inlineStr">
        <is>
          <t>F284723</t>
        </is>
      </c>
      <c r="C2933" t="inlineStr">
        <is>
          <t>C11294</t>
        </is>
      </c>
      <c r="D2933" t="inlineStr">
        <is>
          <t>SKU-10072</t>
        </is>
      </c>
      <c r="E2933" t="inlineStr">
        <is>
          <t>AM01</t>
        </is>
      </c>
      <c r="F2933" s="5" t="n">
        <v>496.18</v>
      </c>
      <c r="G2933">
        <f>IF(LEFT(B2933,1)="C","Credit","Factuur")</f>
        <v/>
      </c>
      <c r="H2933">
        <f>IF(AND(B2933=B2932,D2933=D2932,A2933=A2932,F2933=F2932),1,0)</f>
        <v/>
      </c>
      <c r="I2933">
        <f>IF(C2933="C99999",1,0)</f>
        <v/>
      </c>
      <c r="J2933" s="5">
        <f>IF(OR(H2933=1,I2933=1),0,IF(G2933="Credit",-F2933,F2933))</f>
        <v/>
      </c>
    </row>
    <row r="2934">
      <c r="A2934" t="inlineStr">
        <is>
          <t>2026-07-29</t>
        </is>
      </c>
      <c r="B2934" t="inlineStr">
        <is>
          <t>F284723</t>
        </is>
      </c>
      <c r="C2934" t="inlineStr">
        <is>
          <t>C11294</t>
        </is>
      </c>
      <c r="D2934" t="inlineStr">
        <is>
          <t>SKU-10320</t>
        </is>
      </c>
      <c r="E2934" t="inlineStr">
        <is>
          <t>AM01</t>
        </is>
      </c>
      <c r="F2934" s="5" t="n">
        <v>515.9</v>
      </c>
      <c r="G2934">
        <f>IF(LEFT(B2934,1)="C","Credit","Factuur")</f>
        <v/>
      </c>
      <c r="H2934">
        <f>IF(AND(B2934=B2933,D2934=D2933,A2934=A2933,F2934=F2933),1,0)</f>
        <v/>
      </c>
      <c r="I2934">
        <f>IF(C2934="C99999",1,0)</f>
        <v/>
      </c>
      <c r="J2934" s="5">
        <f>IF(OR(H2934=1,I2934=1),0,IF(G2934="Credit",-F2934,F2934))</f>
        <v/>
      </c>
    </row>
    <row r="2935">
      <c r="A2935" t="inlineStr">
        <is>
          <t>2026-07-29</t>
        </is>
      </c>
      <c r="B2935" t="inlineStr">
        <is>
          <t>F284723</t>
        </is>
      </c>
      <c r="C2935" t="inlineStr">
        <is>
          <t>C11294</t>
        </is>
      </c>
      <c r="D2935" t="inlineStr">
        <is>
          <t>SKU-10349</t>
        </is>
      </c>
      <c r="E2935" t="inlineStr">
        <is>
          <t>AM01</t>
        </is>
      </c>
      <c r="F2935" s="5" t="n">
        <v>460.78</v>
      </c>
      <c r="G2935">
        <f>IF(LEFT(B2935,1)="C","Credit","Factuur")</f>
        <v/>
      </c>
      <c r="H2935">
        <f>IF(AND(B2935=B2934,D2935=D2934,A2935=A2934,F2935=F2934),1,0)</f>
        <v/>
      </c>
      <c r="I2935">
        <f>IF(C2935="C99999",1,0)</f>
        <v/>
      </c>
      <c r="J2935" s="5">
        <f>IF(OR(H2935=1,I2935=1),0,IF(G2935="Credit",-F2935,F2935))</f>
        <v/>
      </c>
    </row>
    <row r="2936">
      <c r="A2936" t="inlineStr">
        <is>
          <t>2026-07-29</t>
        </is>
      </c>
      <c r="B2936" t="inlineStr">
        <is>
          <t>F284723</t>
        </is>
      </c>
      <c r="C2936" t="inlineStr">
        <is>
          <t>C11294</t>
        </is>
      </c>
      <c r="D2936" t="inlineStr">
        <is>
          <t>SKU-10350</t>
        </is>
      </c>
      <c r="E2936" t="inlineStr">
        <is>
          <t>AM01</t>
        </is>
      </c>
      <c r="F2936" s="5" t="n">
        <v>342.32</v>
      </c>
      <c r="G2936">
        <f>IF(LEFT(B2936,1)="C","Credit","Factuur")</f>
        <v/>
      </c>
      <c r="H2936">
        <f>IF(AND(B2936=B2935,D2936=D2935,A2936=A2935,F2936=F2935),1,0)</f>
        <v/>
      </c>
      <c r="I2936">
        <f>IF(C2936="C99999",1,0)</f>
        <v/>
      </c>
      <c r="J2936" s="5">
        <f>IF(OR(H2936=1,I2936=1),0,IF(G2936="Credit",-F2936,F2936))</f>
        <v/>
      </c>
    </row>
    <row r="2937">
      <c r="A2937" t="inlineStr">
        <is>
          <t>2026-07-29</t>
        </is>
      </c>
      <c r="B2937" t="inlineStr">
        <is>
          <t>F284723</t>
        </is>
      </c>
      <c r="C2937" t="inlineStr">
        <is>
          <t>C11294</t>
        </is>
      </c>
      <c r="D2937" t="inlineStr">
        <is>
          <t>SKU-10353</t>
        </is>
      </c>
      <c r="E2937" t="inlineStr">
        <is>
          <t>AM01</t>
        </is>
      </c>
      <c r="F2937" s="5" t="n">
        <v>554.8</v>
      </c>
      <c r="G2937">
        <f>IF(LEFT(B2937,1)="C","Credit","Factuur")</f>
        <v/>
      </c>
      <c r="H2937">
        <f>IF(AND(B2937=B2936,D2937=D2936,A2937=A2936,F2937=F2936),1,0)</f>
        <v/>
      </c>
      <c r="I2937">
        <f>IF(C2937="C99999",1,0)</f>
        <v/>
      </c>
      <c r="J2937" s="5">
        <f>IF(OR(H2937=1,I2937=1),0,IF(G2937="Credit",-F2937,F2937))</f>
        <v/>
      </c>
    </row>
    <row r="2938">
      <c r="A2938" t="inlineStr">
        <is>
          <t>2026-07-30</t>
        </is>
      </c>
      <c r="B2938" t="inlineStr">
        <is>
          <t>F260012</t>
        </is>
      </c>
      <c r="C2938" t="inlineStr">
        <is>
          <t>C10002</t>
        </is>
      </c>
      <c r="D2938" t="inlineStr">
        <is>
          <t>SKU-10016</t>
        </is>
      </c>
      <c r="E2938" t="inlineStr">
        <is>
          <t>AM11</t>
        </is>
      </c>
      <c r="F2938" s="5" t="n">
        <v>337</v>
      </c>
      <c r="G2938">
        <f>IF(LEFT(B2938,1)="C","Credit","Factuur")</f>
        <v/>
      </c>
      <c r="H2938">
        <f>IF(AND(B2938=B2937,D2938=D2937,A2938=A2937,F2938=F2937),1,0)</f>
        <v/>
      </c>
      <c r="I2938">
        <f>IF(C2938="C99999",1,0)</f>
        <v/>
      </c>
      <c r="J2938" s="5">
        <f>IF(OR(H2938=1,I2938=1),0,IF(G2938="Credit",-F2938,F2938))</f>
        <v/>
      </c>
    </row>
    <row r="2939">
      <c r="A2939" t="inlineStr">
        <is>
          <t>2026-07-30</t>
        </is>
      </c>
      <c r="B2939" t="inlineStr">
        <is>
          <t>F260012</t>
        </is>
      </c>
      <c r="C2939" t="inlineStr">
        <is>
          <t>C10002</t>
        </is>
      </c>
      <c r="D2939" t="inlineStr">
        <is>
          <t>SKU-10113</t>
        </is>
      </c>
      <c r="E2939" t="inlineStr">
        <is>
          <t>AM11</t>
        </is>
      </c>
      <c r="F2939" s="5" t="n">
        <v>290.7</v>
      </c>
      <c r="G2939">
        <f>IF(LEFT(B2939,1)="C","Credit","Factuur")</f>
        <v/>
      </c>
      <c r="H2939">
        <f>IF(AND(B2939=B2938,D2939=D2938,A2939=A2938,F2939=F2938),1,0)</f>
        <v/>
      </c>
      <c r="I2939">
        <f>IF(C2939="C99999",1,0)</f>
        <v/>
      </c>
      <c r="J2939" s="5">
        <f>IF(OR(H2939=1,I2939=1),0,IF(G2939="Credit",-F2939,F2939))</f>
        <v/>
      </c>
    </row>
    <row r="2940">
      <c r="A2940" t="inlineStr">
        <is>
          <t>2026-07-30</t>
        </is>
      </c>
      <c r="B2940" t="inlineStr">
        <is>
          <t>F260012</t>
        </is>
      </c>
      <c r="C2940" t="inlineStr">
        <is>
          <t>C10002</t>
        </is>
      </c>
      <c r="D2940" t="inlineStr">
        <is>
          <t>SKU-10123</t>
        </is>
      </c>
      <c r="E2940" t="inlineStr">
        <is>
          <t>AM11</t>
        </is>
      </c>
      <c r="F2940" s="5" t="n">
        <v>329.84</v>
      </c>
      <c r="G2940">
        <f>IF(LEFT(B2940,1)="C","Credit","Factuur")</f>
        <v/>
      </c>
      <c r="H2940">
        <f>IF(AND(B2940=B2939,D2940=D2939,A2940=A2939,F2940=F2939),1,0)</f>
        <v/>
      </c>
      <c r="I2940">
        <f>IF(C2940="C99999",1,0)</f>
        <v/>
      </c>
      <c r="J2940" s="5">
        <f>IF(OR(H2940=1,I2940=1),0,IF(G2940="Credit",-F2940,F2940))</f>
        <v/>
      </c>
    </row>
    <row r="2941">
      <c r="A2941" t="inlineStr">
        <is>
          <t>2026-07-30</t>
        </is>
      </c>
      <c r="B2941" t="inlineStr">
        <is>
          <t>F260012</t>
        </is>
      </c>
      <c r="C2941" t="inlineStr">
        <is>
          <t>C10002</t>
        </is>
      </c>
      <c r="D2941" t="inlineStr">
        <is>
          <t>SKU-10200</t>
        </is>
      </c>
      <c r="E2941" t="inlineStr">
        <is>
          <t>AM11</t>
        </is>
      </c>
      <c r="F2941" s="5" t="n">
        <v>339.15</v>
      </c>
      <c r="G2941">
        <f>IF(LEFT(B2941,1)="C","Credit","Factuur")</f>
        <v/>
      </c>
      <c r="H2941">
        <f>IF(AND(B2941=B2940,D2941=D2940,A2941=A2940,F2941=F2940),1,0)</f>
        <v/>
      </c>
      <c r="I2941">
        <f>IF(C2941="C99999",1,0)</f>
        <v/>
      </c>
      <c r="J2941" s="5">
        <f>IF(OR(H2941=1,I2941=1),0,IF(G2941="Credit",-F2941,F2941))</f>
        <v/>
      </c>
    </row>
    <row r="2942">
      <c r="A2942" t="inlineStr">
        <is>
          <t>2026-07-30</t>
        </is>
      </c>
      <c r="B2942" t="inlineStr">
        <is>
          <t>F260012</t>
        </is>
      </c>
      <c r="C2942" t="inlineStr">
        <is>
          <t>C10002</t>
        </is>
      </c>
      <c r="D2942" t="inlineStr">
        <is>
          <t>SKU-10371</t>
        </is>
      </c>
      <c r="E2942" t="inlineStr">
        <is>
          <t>AM11</t>
        </is>
      </c>
      <c r="F2942" s="5" t="n">
        <v>347.49</v>
      </c>
      <c r="G2942">
        <f>IF(LEFT(B2942,1)="C","Credit","Factuur")</f>
        <v/>
      </c>
      <c r="H2942">
        <f>IF(AND(B2942=B2941,D2942=D2941,A2942=A2941,F2942=F2941),1,0)</f>
        <v/>
      </c>
      <c r="I2942">
        <f>IF(C2942="C99999",1,0)</f>
        <v/>
      </c>
      <c r="J2942" s="5">
        <f>IF(OR(H2942=1,I2942=1),0,IF(G2942="Credit",-F2942,F2942))</f>
        <v/>
      </c>
    </row>
    <row r="2943">
      <c r="A2943" t="inlineStr">
        <is>
          <t>2026-07-30</t>
        </is>
      </c>
      <c r="B2943" t="inlineStr">
        <is>
          <t>F260264</t>
        </is>
      </c>
      <c r="C2943" t="inlineStr">
        <is>
          <t>C10018</t>
        </is>
      </c>
      <c r="D2943" t="inlineStr">
        <is>
          <t>SKU-10115</t>
        </is>
      </c>
      <c r="E2943" t="inlineStr">
        <is>
          <t>AM02</t>
        </is>
      </c>
      <c r="F2943" s="5" t="n">
        <v>186.92</v>
      </c>
      <c r="G2943">
        <f>IF(LEFT(B2943,1)="C","Credit","Factuur")</f>
        <v/>
      </c>
      <c r="H2943">
        <f>IF(AND(B2943=B2942,D2943=D2942,A2943=A2942,F2943=F2942),1,0)</f>
        <v/>
      </c>
      <c r="I2943">
        <f>IF(C2943="C99999",1,0)</f>
        <v/>
      </c>
      <c r="J2943" s="5">
        <f>IF(OR(H2943=1,I2943=1),0,IF(G2943="Credit",-F2943,F2943))</f>
        <v/>
      </c>
    </row>
    <row r="2944">
      <c r="A2944" t="inlineStr">
        <is>
          <t>2026-07-30</t>
        </is>
      </c>
      <c r="B2944" t="inlineStr">
        <is>
          <t>F260264</t>
        </is>
      </c>
      <c r="C2944" t="inlineStr">
        <is>
          <t>C10018</t>
        </is>
      </c>
      <c r="D2944" t="inlineStr">
        <is>
          <t>SKU-10274</t>
        </is>
      </c>
      <c r="E2944" t="inlineStr">
        <is>
          <t>AM02</t>
        </is>
      </c>
      <c r="F2944" s="5" t="n">
        <v>205.36</v>
      </c>
      <c r="G2944">
        <f>IF(LEFT(B2944,1)="C","Credit","Factuur")</f>
        <v/>
      </c>
      <c r="H2944">
        <f>IF(AND(B2944=B2943,D2944=D2943,A2944=A2943,F2944=F2943),1,0)</f>
        <v/>
      </c>
      <c r="I2944">
        <f>IF(C2944="C99999",1,0)</f>
        <v/>
      </c>
      <c r="J2944" s="5">
        <f>IF(OR(H2944=1,I2944=1),0,IF(G2944="Credit",-F2944,F2944))</f>
        <v/>
      </c>
    </row>
    <row r="2945">
      <c r="A2945" t="inlineStr">
        <is>
          <t>2026-07-30</t>
        </is>
      </c>
      <c r="B2945" t="inlineStr">
        <is>
          <t>F260264</t>
        </is>
      </c>
      <c r="C2945" t="inlineStr">
        <is>
          <t>C10018</t>
        </is>
      </c>
      <c r="D2945" t="inlineStr">
        <is>
          <t>SKU-10332</t>
        </is>
      </c>
      <c r="E2945" t="inlineStr">
        <is>
          <t>AM02</t>
        </is>
      </c>
      <c r="F2945" s="5" t="n">
        <v>203.45</v>
      </c>
      <c r="G2945">
        <f>IF(LEFT(B2945,1)="C","Credit","Factuur")</f>
        <v/>
      </c>
      <c r="H2945">
        <f>IF(AND(B2945=B2944,D2945=D2944,A2945=A2944,F2945=F2944),1,0)</f>
        <v/>
      </c>
      <c r="I2945">
        <f>IF(C2945="C99999",1,0)</f>
        <v/>
      </c>
      <c r="J2945" s="5">
        <f>IF(OR(H2945=1,I2945=1),0,IF(G2945="Credit",-F2945,F2945))</f>
        <v/>
      </c>
    </row>
    <row r="2946">
      <c r="A2946" t="inlineStr">
        <is>
          <t>2026-07-30</t>
        </is>
      </c>
      <c r="B2946" t="inlineStr">
        <is>
          <t>F261516</t>
        </is>
      </c>
      <c r="C2946" t="inlineStr">
        <is>
          <t>C10081</t>
        </is>
      </c>
      <c r="D2946" t="inlineStr">
        <is>
          <t>SKU-10174</t>
        </is>
      </c>
      <c r="E2946" t="inlineStr">
        <is>
          <t>AM08</t>
        </is>
      </c>
      <c r="F2946" s="5" t="n">
        <v>1175.35</v>
      </c>
      <c r="G2946">
        <f>IF(LEFT(B2946,1)="C","Credit","Factuur")</f>
        <v/>
      </c>
      <c r="H2946">
        <f>IF(AND(B2946=B2945,D2946=D2945,A2946=A2945,F2946=F2945),1,0)</f>
        <v/>
      </c>
      <c r="I2946">
        <f>IF(C2946="C99999",1,0)</f>
        <v/>
      </c>
      <c r="J2946" s="5">
        <f>IF(OR(H2946=1,I2946=1),0,IF(G2946="Credit",-F2946,F2946))</f>
        <v/>
      </c>
    </row>
    <row r="2947">
      <c r="A2947" t="inlineStr">
        <is>
          <t>2026-07-30</t>
        </is>
      </c>
      <c r="B2947" t="inlineStr">
        <is>
          <t>F261516</t>
        </is>
      </c>
      <c r="C2947" t="inlineStr">
        <is>
          <t>C10081</t>
        </is>
      </c>
      <c r="D2947" t="inlineStr">
        <is>
          <t>SKU-10358</t>
        </is>
      </c>
      <c r="E2947" t="inlineStr">
        <is>
          <t>AM08</t>
        </is>
      </c>
      <c r="F2947" s="5" t="n">
        <v>1165.86</v>
      </c>
      <c r="G2947">
        <f>IF(LEFT(B2947,1)="C","Credit","Factuur")</f>
        <v/>
      </c>
      <c r="H2947">
        <f>IF(AND(B2947=B2946,D2947=D2946,A2947=A2946,F2947=F2946),1,0)</f>
        <v/>
      </c>
      <c r="I2947">
        <f>IF(C2947="C99999",1,0)</f>
        <v/>
      </c>
      <c r="J2947" s="5">
        <f>IF(OR(H2947=1,I2947=1),0,IF(G2947="Credit",-F2947,F2947))</f>
        <v/>
      </c>
    </row>
    <row r="2948">
      <c r="A2948" t="inlineStr">
        <is>
          <t>2026-07-30</t>
        </is>
      </c>
      <c r="B2948" t="inlineStr">
        <is>
          <t>F262124</t>
        </is>
      </c>
      <c r="C2948" t="inlineStr">
        <is>
          <t>C10112</t>
        </is>
      </c>
      <c r="D2948" t="inlineStr">
        <is>
          <t>SKU-10045</t>
        </is>
      </c>
      <c r="E2948" t="inlineStr">
        <is>
          <t>AM06</t>
        </is>
      </c>
      <c r="F2948" s="5" t="n">
        <v>140.08</v>
      </c>
      <c r="G2948">
        <f>IF(LEFT(B2948,1)="C","Credit","Factuur")</f>
        <v/>
      </c>
      <c r="H2948">
        <f>IF(AND(B2948=B2947,D2948=D2947,A2948=A2947,F2948=F2947),1,0)</f>
        <v/>
      </c>
      <c r="I2948">
        <f>IF(C2948="C99999",1,0)</f>
        <v/>
      </c>
      <c r="J2948" s="5">
        <f>IF(OR(H2948=1,I2948=1),0,IF(G2948="Credit",-F2948,F2948))</f>
        <v/>
      </c>
    </row>
    <row r="2949">
      <c r="A2949" t="inlineStr">
        <is>
          <t>2026-07-30</t>
        </is>
      </c>
      <c r="B2949" t="inlineStr">
        <is>
          <t>F262124</t>
        </is>
      </c>
      <c r="C2949" t="inlineStr">
        <is>
          <t>C10112</t>
        </is>
      </c>
      <c r="D2949" t="inlineStr">
        <is>
          <t>SKU-10334</t>
        </is>
      </c>
      <c r="E2949" t="inlineStr"/>
      <c r="F2949" s="5" t="n">
        <v>154.78</v>
      </c>
      <c r="G2949">
        <f>IF(LEFT(B2949,1)="C","Credit","Factuur")</f>
        <v/>
      </c>
      <c r="H2949">
        <f>IF(AND(B2949=B2948,D2949=D2948,A2949=A2948,F2949=F2948),1,0)</f>
        <v/>
      </c>
      <c r="I2949">
        <f>IF(C2949="C99999",1,0)</f>
        <v/>
      </c>
      <c r="J2949" s="5">
        <f>IF(OR(H2949=1,I2949=1),0,IF(G2949="Credit",-F2949,F2949))</f>
        <v/>
      </c>
    </row>
    <row r="2950">
      <c r="A2950" t="inlineStr">
        <is>
          <t>2026-07-30</t>
        </is>
      </c>
      <c r="B2950" t="inlineStr">
        <is>
          <t>F262406</t>
        </is>
      </c>
      <c r="C2950" t="inlineStr">
        <is>
          <t>C10128</t>
        </is>
      </c>
      <c r="D2950" t="inlineStr">
        <is>
          <t>SKU-10085</t>
        </is>
      </c>
      <c r="E2950" t="inlineStr">
        <is>
          <t>AM11</t>
        </is>
      </c>
      <c r="F2950" s="5" t="n">
        <v>552.3</v>
      </c>
      <c r="G2950">
        <f>IF(LEFT(B2950,1)="C","Credit","Factuur")</f>
        <v/>
      </c>
      <c r="H2950">
        <f>IF(AND(B2950=B2949,D2950=D2949,A2950=A2949,F2950=F2949),1,0)</f>
        <v/>
      </c>
      <c r="I2950">
        <f>IF(C2950="C99999",1,0)</f>
        <v/>
      </c>
      <c r="J2950" s="5">
        <f>IF(OR(H2950=1,I2950=1),0,IF(G2950="Credit",-F2950,F2950))</f>
        <v/>
      </c>
    </row>
    <row r="2951">
      <c r="A2951" t="inlineStr">
        <is>
          <t>2026-07-30</t>
        </is>
      </c>
      <c r="B2951" t="inlineStr">
        <is>
          <t>F262406</t>
        </is>
      </c>
      <c r="C2951" t="inlineStr">
        <is>
          <t>C10128</t>
        </is>
      </c>
      <c r="D2951" t="inlineStr">
        <is>
          <t>SKU-10195</t>
        </is>
      </c>
      <c r="E2951" t="inlineStr">
        <is>
          <t>AM11</t>
        </is>
      </c>
      <c r="F2951" s="5" t="n">
        <v>560.4</v>
      </c>
      <c r="G2951">
        <f>IF(LEFT(B2951,1)="C","Credit","Factuur")</f>
        <v/>
      </c>
      <c r="H2951">
        <f>IF(AND(B2951=B2950,D2951=D2950,A2951=A2950,F2951=F2950),1,0)</f>
        <v/>
      </c>
      <c r="I2951">
        <f>IF(C2951="C99999",1,0)</f>
        <v/>
      </c>
      <c r="J2951" s="5">
        <f>IF(OR(H2951=1,I2951=1),0,IF(G2951="Credit",-F2951,F2951))</f>
        <v/>
      </c>
    </row>
    <row r="2952">
      <c r="A2952" t="inlineStr">
        <is>
          <t>2026-07-30</t>
        </is>
      </c>
      <c r="B2952" t="inlineStr">
        <is>
          <t>F262406</t>
        </is>
      </c>
      <c r="C2952" t="inlineStr">
        <is>
          <t>C10128</t>
        </is>
      </c>
      <c r="D2952" t="inlineStr">
        <is>
          <t>SKU-10278</t>
        </is>
      </c>
      <c r="E2952" t="inlineStr">
        <is>
          <t>AM11</t>
        </is>
      </c>
      <c r="F2952" s="5" t="n">
        <v>546.52</v>
      </c>
      <c r="G2952">
        <f>IF(LEFT(B2952,1)="C","Credit","Factuur")</f>
        <v/>
      </c>
      <c r="H2952">
        <f>IF(AND(B2952=B2951,D2952=D2951,A2952=A2951,F2952=F2951),1,0)</f>
        <v/>
      </c>
      <c r="I2952">
        <f>IF(C2952="C99999",1,0)</f>
        <v/>
      </c>
      <c r="J2952" s="5">
        <f>IF(OR(H2952=1,I2952=1),0,IF(G2952="Credit",-F2952,F2952))</f>
        <v/>
      </c>
    </row>
    <row r="2953">
      <c r="A2953" t="inlineStr">
        <is>
          <t>2026-07-30</t>
        </is>
      </c>
      <c r="B2953" t="inlineStr">
        <is>
          <t>F262406</t>
        </is>
      </c>
      <c r="C2953" t="inlineStr">
        <is>
          <t>C10128</t>
        </is>
      </c>
      <c r="D2953" t="inlineStr">
        <is>
          <t>SKU-10332</t>
        </is>
      </c>
      <c r="E2953" t="inlineStr">
        <is>
          <t>AM11</t>
        </is>
      </c>
      <c r="F2953" s="5" t="n">
        <v>528.97</v>
      </c>
      <c r="G2953">
        <f>IF(LEFT(B2953,1)="C","Credit","Factuur")</f>
        <v/>
      </c>
      <c r="H2953">
        <f>IF(AND(B2953=B2952,D2953=D2952,A2953=A2952,F2953=F2952),1,0)</f>
        <v/>
      </c>
      <c r="I2953">
        <f>IF(C2953="C99999",1,0)</f>
        <v/>
      </c>
      <c r="J2953" s="5">
        <f>IF(OR(H2953=1,I2953=1),0,IF(G2953="Credit",-F2953,F2953))</f>
        <v/>
      </c>
    </row>
    <row r="2954">
      <c r="A2954" t="inlineStr">
        <is>
          <t>2026-07-30</t>
        </is>
      </c>
      <c r="B2954" t="inlineStr">
        <is>
          <t>F263097</t>
        </is>
      </c>
      <c r="C2954" t="inlineStr">
        <is>
          <t>C10165</t>
        </is>
      </c>
      <c r="D2954" t="inlineStr">
        <is>
          <t>SKU-10229</t>
        </is>
      </c>
      <c r="E2954" t="inlineStr">
        <is>
          <t>AM05</t>
        </is>
      </c>
      <c r="F2954" s="5" t="n">
        <v>403.88</v>
      </c>
      <c r="G2954">
        <f>IF(LEFT(B2954,1)="C","Credit","Factuur")</f>
        <v/>
      </c>
      <c r="H2954">
        <f>IF(AND(B2954=B2953,D2954=D2953,A2954=A2953,F2954=F2953),1,0)</f>
        <v/>
      </c>
      <c r="I2954">
        <f>IF(C2954="C99999",1,0)</f>
        <v/>
      </c>
      <c r="J2954" s="5">
        <f>IF(OR(H2954=1,I2954=1),0,IF(G2954="Credit",-F2954,F2954))</f>
        <v/>
      </c>
    </row>
    <row r="2955">
      <c r="A2955" t="inlineStr">
        <is>
          <t>2026-07-30</t>
        </is>
      </c>
      <c r="B2955" t="inlineStr">
        <is>
          <t>F263169</t>
        </is>
      </c>
      <c r="C2955" t="inlineStr">
        <is>
          <t>C10169</t>
        </is>
      </c>
      <c r="D2955" t="inlineStr">
        <is>
          <t>SKU-10066</t>
        </is>
      </c>
      <c r="E2955" t="inlineStr">
        <is>
          <t>AM11</t>
        </is>
      </c>
      <c r="F2955" s="5" t="n">
        <v>812.16</v>
      </c>
      <c r="G2955">
        <f>IF(LEFT(B2955,1)="C","Credit","Factuur")</f>
        <v/>
      </c>
      <c r="H2955">
        <f>IF(AND(B2955=B2954,D2955=D2954,A2955=A2954,F2955=F2954),1,0)</f>
        <v/>
      </c>
      <c r="I2955">
        <f>IF(C2955="C99999",1,0)</f>
        <v/>
      </c>
      <c r="J2955" s="5">
        <f>IF(OR(H2955=1,I2955=1),0,IF(G2955="Credit",-F2955,F2955))</f>
        <v/>
      </c>
    </row>
    <row r="2956">
      <c r="A2956" t="inlineStr">
        <is>
          <t>2026-07-30</t>
        </is>
      </c>
      <c r="B2956" t="inlineStr">
        <is>
          <t>F263169</t>
        </is>
      </c>
      <c r="C2956" t="inlineStr">
        <is>
          <t>C10169</t>
        </is>
      </c>
      <c r="D2956" t="inlineStr">
        <is>
          <t>SKU-10193</t>
        </is>
      </c>
      <c r="E2956" t="inlineStr">
        <is>
          <t>AM11</t>
        </is>
      </c>
      <c r="F2956" s="5" t="n">
        <v>813.2</v>
      </c>
      <c r="G2956">
        <f>IF(LEFT(B2956,1)="C","Credit","Factuur")</f>
        <v/>
      </c>
      <c r="H2956">
        <f>IF(AND(B2956=B2955,D2956=D2955,A2956=A2955,F2956=F2955),1,0)</f>
        <v/>
      </c>
      <c r="I2956">
        <f>IF(C2956="C99999",1,0)</f>
        <v/>
      </c>
      <c r="J2956" s="5">
        <f>IF(OR(H2956=1,I2956=1),0,IF(G2956="Credit",-F2956,F2956))</f>
        <v/>
      </c>
    </row>
    <row r="2957">
      <c r="A2957" t="inlineStr">
        <is>
          <t>2026-07-30</t>
        </is>
      </c>
      <c r="B2957" t="inlineStr">
        <is>
          <t>F263169</t>
        </is>
      </c>
      <c r="C2957" t="inlineStr">
        <is>
          <t>C10169</t>
        </is>
      </c>
      <c r="D2957" t="inlineStr">
        <is>
          <t>SKU-10285</t>
        </is>
      </c>
      <c r="E2957" t="inlineStr">
        <is>
          <t>AM11</t>
        </is>
      </c>
      <c r="F2957" s="5" t="n">
        <v>803.88</v>
      </c>
      <c r="G2957">
        <f>IF(LEFT(B2957,1)="C","Credit","Factuur")</f>
        <v/>
      </c>
      <c r="H2957">
        <f>IF(AND(B2957=B2956,D2957=D2956,A2957=A2956,F2957=F2956),1,0)</f>
        <v/>
      </c>
      <c r="I2957">
        <f>IF(C2957="C99999",1,0)</f>
        <v/>
      </c>
      <c r="J2957" s="5">
        <f>IF(OR(H2957=1,I2957=1),0,IF(G2957="Credit",-F2957,F2957))</f>
        <v/>
      </c>
    </row>
    <row r="2958">
      <c r="A2958" t="inlineStr">
        <is>
          <t>2026-07-30</t>
        </is>
      </c>
      <c r="B2958" t="inlineStr">
        <is>
          <t>F263738</t>
        </is>
      </c>
      <c r="C2958" t="inlineStr">
        <is>
          <t>C10199</t>
        </is>
      </c>
      <c r="D2958" t="inlineStr">
        <is>
          <t>SKU-10257</t>
        </is>
      </c>
      <c r="E2958" t="inlineStr">
        <is>
          <t>AM03</t>
        </is>
      </c>
      <c r="F2958" s="5" t="n">
        <v>737.1799999999999</v>
      </c>
      <c r="G2958">
        <f>IF(LEFT(B2958,1)="C","Credit","Factuur")</f>
        <v/>
      </c>
      <c r="H2958">
        <f>IF(AND(B2958=B2957,D2958=D2957,A2958=A2957,F2958=F2957),1,0)</f>
        <v/>
      </c>
      <c r="I2958">
        <f>IF(C2958="C99999",1,0)</f>
        <v/>
      </c>
      <c r="J2958" s="5">
        <f>IF(OR(H2958=1,I2958=1),0,IF(G2958="Credit",-F2958,F2958))</f>
        <v/>
      </c>
    </row>
    <row r="2959">
      <c r="A2959" t="inlineStr">
        <is>
          <t>2026-07-30</t>
        </is>
      </c>
      <c r="B2959" t="inlineStr">
        <is>
          <t>F265140</t>
        </is>
      </c>
      <c r="C2959" t="inlineStr">
        <is>
          <t>C10271</t>
        </is>
      </c>
      <c r="D2959" t="inlineStr">
        <is>
          <t>SKU-10244</t>
        </is>
      </c>
      <c r="E2959" t="inlineStr">
        <is>
          <t>AM02</t>
        </is>
      </c>
      <c r="F2959" s="5" t="n">
        <v>420.75</v>
      </c>
      <c r="G2959">
        <f>IF(LEFT(B2959,1)="C","Credit","Factuur")</f>
        <v/>
      </c>
      <c r="H2959">
        <f>IF(AND(B2959=B2958,D2959=D2958,A2959=A2958,F2959=F2958),1,0)</f>
        <v/>
      </c>
      <c r="I2959">
        <f>IF(C2959="C99999",1,0)</f>
        <v/>
      </c>
      <c r="J2959" s="5">
        <f>IF(OR(H2959=1,I2959=1),0,IF(G2959="Credit",-F2959,F2959))</f>
        <v/>
      </c>
    </row>
    <row r="2960">
      <c r="A2960" t="inlineStr">
        <is>
          <t>2026-07-30</t>
        </is>
      </c>
      <c r="B2960" t="inlineStr">
        <is>
          <t>F265140</t>
        </is>
      </c>
      <c r="C2960" t="inlineStr">
        <is>
          <t>C10271</t>
        </is>
      </c>
      <c r="D2960" t="inlineStr">
        <is>
          <t>SKU-10347</t>
        </is>
      </c>
      <c r="E2960" t="inlineStr">
        <is>
          <t>AM02</t>
        </is>
      </c>
      <c r="F2960" s="5" t="n">
        <v>464.92</v>
      </c>
      <c r="G2960">
        <f>IF(LEFT(B2960,1)="C","Credit","Factuur")</f>
        <v/>
      </c>
      <c r="H2960">
        <f>IF(AND(B2960=B2959,D2960=D2959,A2960=A2959,F2960=F2959),1,0)</f>
        <v/>
      </c>
      <c r="I2960">
        <f>IF(C2960="C99999",1,0)</f>
        <v/>
      </c>
      <c r="J2960" s="5">
        <f>IF(OR(H2960=1,I2960=1),0,IF(G2960="Credit",-F2960,F2960))</f>
        <v/>
      </c>
    </row>
    <row r="2961">
      <c r="A2961" t="inlineStr">
        <is>
          <t>2026-07-30</t>
        </is>
      </c>
      <c r="B2961" t="inlineStr">
        <is>
          <t>F265140</t>
        </is>
      </c>
      <c r="C2961" t="inlineStr">
        <is>
          <t>C10271</t>
        </is>
      </c>
      <c r="D2961" t="inlineStr">
        <is>
          <t>SKU-10374</t>
        </is>
      </c>
      <c r="E2961" t="inlineStr">
        <is>
          <t>AM02</t>
        </is>
      </c>
      <c r="F2961" s="5" t="n">
        <v>495.48</v>
      </c>
      <c r="G2961">
        <f>IF(LEFT(B2961,1)="C","Credit","Factuur")</f>
        <v/>
      </c>
      <c r="H2961">
        <f>IF(AND(B2961=B2960,D2961=D2960,A2961=A2960,F2961=F2960),1,0)</f>
        <v/>
      </c>
      <c r="I2961">
        <f>IF(C2961="C99999",1,0)</f>
        <v/>
      </c>
      <c r="J2961" s="5">
        <f>IF(OR(H2961=1,I2961=1),0,IF(G2961="Credit",-F2961,F2961))</f>
        <v/>
      </c>
    </row>
    <row r="2962">
      <c r="A2962" t="inlineStr">
        <is>
          <t>2026-07-30</t>
        </is>
      </c>
      <c r="B2962" t="inlineStr">
        <is>
          <t>F265538</t>
        </is>
      </c>
      <c r="C2962" t="inlineStr">
        <is>
          <t>C10291</t>
        </is>
      </c>
      <c r="D2962" t="inlineStr">
        <is>
          <t>SKU-10175</t>
        </is>
      </c>
      <c r="E2962" t="inlineStr">
        <is>
          <t>AM02</t>
        </is>
      </c>
      <c r="F2962" s="5" t="n">
        <v>107.27</v>
      </c>
      <c r="G2962">
        <f>IF(LEFT(B2962,1)="C","Credit","Factuur")</f>
        <v/>
      </c>
      <c r="H2962">
        <f>IF(AND(B2962=B2961,D2962=D2961,A2962=A2961,F2962=F2961),1,0)</f>
        <v/>
      </c>
      <c r="I2962">
        <f>IF(C2962="C99999",1,0)</f>
        <v/>
      </c>
      <c r="J2962" s="5">
        <f>IF(OR(H2962=1,I2962=1),0,IF(G2962="Credit",-F2962,F2962))</f>
        <v/>
      </c>
    </row>
    <row r="2963">
      <c r="A2963" t="inlineStr">
        <is>
          <t>2026-07-30</t>
        </is>
      </c>
      <c r="B2963" t="inlineStr">
        <is>
          <t>F265538</t>
        </is>
      </c>
      <c r="C2963" t="inlineStr">
        <is>
          <t>C10291</t>
        </is>
      </c>
      <c r="D2963" t="inlineStr">
        <is>
          <t>SKU-10177</t>
        </is>
      </c>
      <c r="E2963" t="inlineStr">
        <is>
          <t>AM02</t>
        </is>
      </c>
      <c r="F2963" s="5" t="n">
        <v>101.65</v>
      </c>
      <c r="G2963">
        <f>IF(LEFT(B2963,1)="C","Credit","Factuur")</f>
        <v/>
      </c>
      <c r="H2963">
        <f>IF(AND(B2963=B2962,D2963=D2962,A2963=A2962,F2963=F2962),1,0)</f>
        <v/>
      </c>
      <c r="I2963">
        <f>IF(C2963="C99999",1,0)</f>
        <v/>
      </c>
      <c r="J2963" s="5">
        <f>IF(OR(H2963=1,I2963=1),0,IF(G2963="Credit",-F2963,F2963))</f>
        <v/>
      </c>
    </row>
    <row r="2964">
      <c r="A2964" t="inlineStr">
        <is>
          <t>2026-07-30</t>
        </is>
      </c>
      <c r="B2964" t="inlineStr">
        <is>
          <t>F266590</t>
        </is>
      </c>
      <c r="C2964" t="inlineStr">
        <is>
          <t>C10346</t>
        </is>
      </c>
      <c r="D2964" t="inlineStr">
        <is>
          <t>SKU-10013</t>
        </is>
      </c>
      <c r="E2964" t="inlineStr">
        <is>
          <t>AM12</t>
        </is>
      </c>
      <c r="F2964" s="5" t="n">
        <v>150.44</v>
      </c>
      <c r="G2964">
        <f>IF(LEFT(B2964,1)="C","Credit","Factuur")</f>
        <v/>
      </c>
      <c r="H2964">
        <f>IF(AND(B2964=B2963,D2964=D2963,A2964=A2963,F2964=F2963),1,0)</f>
        <v/>
      </c>
      <c r="I2964">
        <f>IF(C2964="C99999",1,0)</f>
        <v/>
      </c>
      <c r="J2964" s="5">
        <f>IF(OR(H2964=1,I2964=1),0,IF(G2964="Credit",-F2964,F2964))</f>
        <v/>
      </c>
    </row>
    <row r="2965">
      <c r="A2965" t="inlineStr">
        <is>
          <t>2026-07-30</t>
        </is>
      </c>
      <c r="B2965" t="inlineStr">
        <is>
          <t>F266590</t>
        </is>
      </c>
      <c r="C2965" t="inlineStr">
        <is>
          <t>C10346</t>
        </is>
      </c>
      <c r="D2965" t="inlineStr">
        <is>
          <t>SKU-10087</t>
        </is>
      </c>
      <c r="E2965" t="inlineStr">
        <is>
          <t>AM12</t>
        </is>
      </c>
      <c r="F2965" s="5" t="n">
        <v>129.03</v>
      </c>
      <c r="G2965">
        <f>IF(LEFT(B2965,1)="C","Credit","Factuur")</f>
        <v/>
      </c>
      <c r="H2965">
        <f>IF(AND(B2965=B2964,D2965=D2964,A2965=A2964,F2965=F2964),1,0)</f>
        <v/>
      </c>
      <c r="I2965">
        <f>IF(C2965="C99999",1,0)</f>
        <v/>
      </c>
      <c r="J2965" s="5">
        <f>IF(OR(H2965=1,I2965=1),0,IF(G2965="Credit",-F2965,F2965))</f>
        <v/>
      </c>
    </row>
    <row r="2966">
      <c r="A2966" t="inlineStr">
        <is>
          <t>2026-07-30</t>
        </is>
      </c>
      <c r="B2966" t="inlineStr">
        <is>
          <t>F266590</t>
        </is>
      </c>
      <c r="C2966" t="inlineStr">
        <is>
          <t>C10346</t>
        </is>
      </c>
      <c r="D2966" t="inlineStr">
        <is>
          <t>SKU-10171</t>
        </is>
      </c>
      <c r="E2966" t="inlineStr">
        <is>
          <t>AM12</t>
        </is>
      </c>
      <c r="F2966" s="5" t="n">
        <v>127.55</v>
      </c>
      <c r="G2966">
        <f>IF(LEFT(B2966,1)="C","Credit","Factuur")</f>
        <v/>
      </c>
      <c r="H2966">
        <f>IF(AND(B2966=B2965,D2966=D2965,A2966=A2965,F2966=F2965),1,0)</f>
        <v/>
      </c>
      <c r="I2966">
        <f>IF(C2966="C99999",1,0)</f>
        <v/>
      </c>
      <c r="J2966" s="5">
        <f>IF(OR(H2966=1,I2966=1),0,IF(G2966="Credit",-F2966,F2966))</f>
        <v/>
      </c>
    </row>
    <row r="2967">
      <c r="A2967" t="inlineStr">
        <is>
          <t>2026-07-30</t>
        </is>
      </c>
      <c r="B2967" t="inlineStr">
        <is>
          <t>F266590</t>
        </is>
      </c>
      <c r="C2967" t="inlineStr">
        <is>
          <t>C10346</t>
        </is>
      </c>
      <c r="D2967" t="inlineStr">
        <is>
          <t>SKU-10363</t>
        </is>
      </c>
      <c r="E2967" t="inlineStr"/>
      <c r="F2967" s="5" t="n">
        <v>117.84</v>
      </c>
      <c r="G2967">
        <f>IF(LEFT(B2967,1)="C","Credit","Factuur")</f>
        <v/>
      </c>
      <c r="H2967">
        <f>IF(AND(B2967=B2966,D2967=D2966,A2967=A2966,F2967=F2966),1,0)</f>
        <v/>
      </c>
      <c r="I2967">
        <f>IF(C2967="C99999",1,0)</f>
        <v/>
      </c>
      <c r="J2967" s="5">
        <f>IF(OR(H2967=1,I2967=1),0,IF(G2967="Credit",-F2967,F2967))</f>
        <v/>
      </c>
    </row>
    <row r="2968">
      <c r="A2968" t="inlineStr">
        <is>
          <t>2026-07-30</t>
        </is>
      </c>
      <c r="B2968" t="inlineStr">
        <is>
          <t>F267375</t>
        </is>
      </c>
      <c r="C2968" t="inlineStr">
        <is>
          <t>C10389</t>
        </is>
      </c>
      <c r="D2968" t="inlineStr">
        <is>
          <t>SKU-10016</t>
        </is>
      </c>
      <c r="E2968" t="inlineStr">
        <is>
          <t>AM01</t>
        </is>
      </c>
      <c r="F2968" s="5" t="n">
        <v>761.62</v>
      </c>
      <c r="G2968">
        <f>IF(LEFT(B2968,1)="C","Credit","Factuur")</f>
        <v/>
      </c>
      <c r="H2968">
        <f>IF(AND(B2968=B2967,D2968=D2967,A2968=A2967,F2968=F2967),1,0)</f>
        <v/>
      </c>
      <c r="I2968">
        <f>IF(C2968="C99999",1,0)</f>
        <v/>
      </c>
      <c r="J2968" s="5">
        <f>IF(OR(H2968=1,I2968=1),0,IF(G2968="Credit",-F2968,F2968))</f>
        <v/>
      </c>
    </row>
    <row r="2969">
      <c r="A2969" t="inlineStr">
        <is>
          <t>2026-07-30</t>
        </is>
      </c>
      <c r="B2969" t="inlineStr">
        <is>
          <t>F267375</t>
        </is>
      </c>
      <c r="C2969" t="inlineStr">
        <is>
          <t>C10389</t>
        </is>
      </c>
      <c r="D2969" t="inlineStr">
        <is>
          <t>SKU-10086</t>
        </is>
      </c>
      <c r="E2969" t="inlineStr">
        <is>
          <t>AM01</t>
        </is>
      </c>
      <c r="F2969" s="5" t="n">
        <v>768.1799999999999</v>
      </c>
      <c r="G2969">
        <f>IF(LEFT(B2969,1)="C","Credit","Factuur")</f>
        <v/>
      </c>
      <c r="H2969">
        <f>IF(AND(B2969=B2968,D2969=D2968,A2969=A2968,F2969=F2968),1,0)</f>
        <v/>
      </c>
      <c r="I2969">
        <f>IF(C2969="C99999",1,0)</f>
        <v/>
      </c>
      <c r="J2969" s="5">
        <f>IF(OR(H2969=1,I2969=1),0,IF(G2969="Credit",-F2969,F2969))</f>
        <v/>
      </c>
    </row>
    <row r="2970">
      <c r="A2970" t="inlineStr">
        <is>
          <t>2026-07-30</t>
        </is>
      </c>
      <c r="B2970" t="inlineStr">
        <is>
          <t>F267400</t>
        </is>
      </c>
      <c r="C2970" t="inlineStr">
        <is>
          <t>C10390</t>
        </is>
      </c>
      <c r="D2970" t="inlineStr">
        <is>
          <t>SKU-10049</t>
        </is>
      </c>
      <c r="E2970" t="inlineStr">
        <is>
          <t>AM05</t>
        </is>
      </c>
      <c r="F2970" s="5" t="n">
        <v>159.48</v>
      </c>
      <c r="G2970">
        <f>IF(LEFT(B2970,1)="C","Credit","Factuur")</f>
        <v/>
      </c>
      <c r="H2970">
        <f>IF(AND(B2970=B2969,D2970=D2969,A2970=A2969,F2970=F2969),1,0)</f>
        <v/>
      </c>
      <c r="I2970">
        <f>IF(C2970="C99999",1,0)</f>
        <v/>
      </c>
      <c r="J2970" s="5">
        <f>IF(OR(H2970=1,I2970=1),0,IF(G2970="Credit",-F2970,F2970))</f>
        <v/>
      </c>
    </row>
    <row r="2971">
      <c r="A2971" t="inlineStr">
        <is>
          <t>2026-07-30</t>
        </is>
      </c>
      <c r="B2971" t="inlineStr">
        <is>
          <t>F267400</t>
        </is>
      </c>
      <c r="C2971" t="inlineStr">
        <is>
          <t>C10390</t>
        </is>
      </c>
      <c r="D2971" t="inlineStr">
        <is>
          <t>SKU-10300</t>
        </is>
      </c>
      <c r="E2971" t="inlineStr">
        <is>
          <t>AM05</t>
        </is>
      </c>
      <c r="F2971" s="5" t="n">
        <v>137.88</v>
      </c>
      <c r="G2971">
        <f>IF(LEFT(B2971,1)="C","Credit","Factuur")</f>
        <v/>
      </c>
      <c r="H2971">
        <f>IF(AND(B2971=B2970,D2971=D2970,A2971=A2970,F2971=F2970),1,0)</f>
        <v/>
      </c>
      <c r="I2971">
        <f>IF(C2971="C99999",1,0)</f>
        <v/>
      </c>
      <c r="J2971" s="5">
        <f>IF(OR(H2971=1,I2971=1),0,IF(G2971="Credit",-F2971,F2971))</f>
        <v/>
      </c>
    </row>
    <row r="2972">
      <c r="A2972" t="inlineStr">
        <is>
          <t>2026-07-30</t>
        </is>
      </c>
      <c r="B2972" t="inlineStr">
        <is>
          <t>F267400</t>
        </is>
      </c>
      <c r="C2972" t="inlineStr">
        <is>
          <t>C10390</t>
        </is>
      </c>
      <c r="D2972" t="inlineStr">
        <is>
          <t>SKU-10370</t>
        </is>
      </c>
      <c r="E2972" t="inlineStr">
        <is>
          <t>AM05</t>
        </is>
      </c>
      <c r="F2972" s="5" t="n">
        <v>139.86</v>
      </c>
      <c r="G2972">
        <f>IF(LEFT(B2972,1)="C","Credit","Factuur")</f>
        <v/>
      </c>
      <c r="H2972">
        <f>IF(AND(B2972=B2971,D2972=D2971,A2972=A2971,F2972=F2971),1,0)</f>
        <v/>
      </c>
      <c r="I2972">
        <f>IF(C2972="C99999",1,0)</f>
        <v/>
      </c>
      <c r="J2972" s="5">
        <f>IF(OR(H2972=1,I2972=1),0,IF(G2972="Credit",-F2972,F2972))</f>
        <v/>
      </c>
    </row>
    <row r="2973">
      <c r="A2973" t="inlineStr">
        <is>
          <t>2026-07-30</t>
        </is>
      </c>
      <c r="B2973" t="inlineStr">
        <is>
          <t>F269225</t>
        </is>
      </c>
      <c r="C2973" t="inlineStr">
        <is>
          <t>C10485</t>
        </is>
      </c>
      <c r="D2973" t="inlineStr">
        <is>
          <t>SKU-10293</t>
        </is>
      </c>
      <c r="E2973" t="inlineStr">
        <is>
          <t>AM01</t>
        </is>
      </c>
      <c r="F2973" s="5" t="n">
        <v>542.5599999999999</v>
      </c>
      <c r="G2973">
        <f>IF(LEFT(B2973,1)="C","Credit","Factuur")</f>
        <v/>
      </c>
      <c r="H2973">
        <f>IF(AND(B2973=B2972,D2973=D2972,A2973=A2972,F2973=F2972),1,0)</f>
        <v/>
      </c>
      <c r="I2973">
        <f>IF(C2973="C99999",1,0)</f>
        <v/>
      </c>
      <c r="J2973" s="5">
        <f>IF(OR(H2973=1,I2973=1),0,IF(G2973="Credit",-F2973,F2973))</f>
        <v/>
      </c>
    </row>
    <row r="2974">
      <c r="A2974" t="inlineStr">
        <is>
          <t>2026-07-30</t>
        </is>
      </c>
      <c r="B2974" t="inlineStr">
        <is>
          <t>F269237</t>
        </is>
      </c>
      <c r="C2974" t="inlineStr">
        <is>
          <t>C10485</t>
        </is>
      </c>
      <c r="D2974" t="inlineStr">
        <is>
          <t>SKU-10197</t>
        </is>
      </c>
      <c r="E2974" t="inlineStr">
        <is>
          <t>AM01</t>
        </is>
      </c>
      <c r="F2974" s="5" t="n">
        <v>170.84</v>
      </c>
      <c r="G2974">
        <f>IF(LEFT(B2974,1)="C","Credit","Factuur")</f>
        <v/>
      </c>
      <c r="H2974">
        <f>IF(AND(B2974=B2973,D2974=D2973,A2974=A2973,F2974=F2973),1,0)</f>
        <v/>
      </c>
      <c r="I2974">
        <f>IF(C2974="C99999",1,0)</f>
        <v/>
      </c>
      <c r="J2974" s="5">
        <f>IF(OR(H2974=1,I2974=1),0,IF(G2974="Credit",-F2974,F2974))</f>
        <v/>
      </c>
    </row>
    <row r="2975">
      <c r="A2975" t="inlineStr">
        <is>
          <t>2026-07-30</t>
        </is>
      </c>
      <c r="B2975" t="inlineStr">
        <is>
          <t>F269237</t>
        </is>
      </c>
      <c r="C2975" t="inlineStr">
        <is>
          <t>C10485</t>
        </is>
      </c>
      <c r="D2975" t="inlineStr">
        <is>
          <t>SKU-10201</t>
        </is>
      </c>
      <c r="E2975" t="inlineStr">
        <is>
          <t>AM01</t>
        </is>
      </c>
      <c r="F2975" s="5" t="n">
        <v>159.84</v>
      </c>
      <c r="G2975">
        <f>IF(LEFT(B2975,1)="C","Credit","Factuur")</f>
        <v/>
      </c>
      <c r="H2975">
        <f>IF(AND(B2975=B2974,D2975=D2974,A2975=A2974,F2975=F2974),1,0)</f>
        <v/>
      </c>
      <c r="I2975">
        <f>IF(C2975="C99999",1,0)</f>
        <v/>
      </c>
      <c r="J2975" s="5">
        <f>IF(OR(H2975=1,I2975=1),0,IF(G2975="Credit",-F2975,F2975))</f>
        <v/>
      </c>
    </row>
    <row r="2976">
      <c r="A2976" t="inlineStr">
        <is>
          <t>2026-07-30</t>
        </is>
      </c>
      <c r="B2976" t="inlineStr">
        <is>
          <t>F269409</t>
        </is>
      </c>
      <c r="C2976" t="inlineStr">
        <is>
          <t>C10493</t>
        </is>
      </c>
      <c r="D2976" t="inlineStr">
        <is>
          <t>SKU-10089</t>
        </is>
      </c>
      <c r="E2976" t="inlineStr">
        <is>
          <t>AM08</t>
        </is>
      </c>
      <c r="F2976" s="5" t="n">
        <v>310.86</v>
      </c>
      <c r="G2976">
        <f>IF(LEFT(B2976,1)="C","Credit","Factuur")</f>
        <v/>
      </c>
      <c r="H2976">
        <f>IF(AND(B2976=B2975,D2976=D2975,A2976=A2975,F2976=F2975),1,0)</f>
        <v/>
      </c>
      <c r="I2976">
        <f>IF(C2976="C99999",1,0)</f>
        <v/>
      </c>
      <c r="J2976" s="5">
        <f>IF(OR(H2976=1,I2976=1),0,IF(G2976="Credit",-F2976,F2976))</f>
        <v/>
      </c>
    </row>
    <row r="2977">
      <c r="A2977" t="inlineStr">
        <is>
          <t>2026-07-30</t>
        </is>
      </c>
      <c r="B2977" t="inlineStr">
        <is>
          <t>F269409</t>
        </is>
      </c>
      <c r="C2977" t="inlineStr">
        <is>
          <t>C10493</t>
        </is>
      </c>
      <c r="D2977" t="inlineStr">
        <is>
          <t>SKU-10100</t>
        </is>
      </c>
      <c r="E2977" t="inlineStr">
        <is>
          <t>AM08</t>
        </is>
      </c>
      <c r="F2977" s="5" t="n">
        <v>346.32</v>
      </c>
      <c r="G2977">
        <f>IF(LEFT(B2977,1)="C","Credit","Factuur")</f>
        <v/>
      </c>
      <c r="H2977">
        <f>IF(AND(B2977=B2976,D2977=D2976,A2977=A2976,F2977=F2976),1,0)</f>
        <v/>
      </c>
      <c r="I2977">
        <f>IF(C2977="C99999",1,0)</f>
        <v/>
      </c>
      <c r="J2977" s="5">
        <f>IF(OR(H2977=1,I2977=1),0,IF(G2977="Credit",-F2977,F2977))</f>
        <v/>
      </c>
    </row>
    <row r="2978">
      <c r="A2978" t="inlineStr">
        <is>
          <t>2026-07-30</t>
        </is>
      </c>
      <c r="B2978" t="inlineStr">
        <is>
          <t>F269409</t>
        </is>
      </c>
      <c r="C2978" t="inlineStr">
        <is>
          <t>C10493</t>
        </is>
      </c>
      <c r="D2978" t="inlineStr">
        <is>
          <t>SKU-10117</t>
        </is>
      </c>
      <c r="E2978" t="inlineStr">
        <is>
          <t>AM08</t>
        </is>
      </c>
      <c r="F2978" s="5" t="n">
        <v>363.48</v>
      </c>
      <c r="G2978">
        <f>IF(LEFT(B2978,1)="C","Credit","Factuur")</f>
        <v/>
      </c>
      <c r="H2978">
        <f>IF(AND(B2978=B2977,D2978=D2977,A2978=A2977,F2978=F2977),1,0)</f>
        <v/>
      </c>
      <c r="I2978">
        <f>IF(C2978="C99999",1,0)</f>
        <v/>
      </c>
      <c r="J2978" s="5">
        <f>IF(OR(H2978=1,I2978=1),0,IF(G2978="Credit",-F2978,F2978))</f>
        <v/>
      </c>
    </row>
    <row r="2979">
      <c r="A2979" t="inlineStr">
        <is>
          <t>2026-07-30</t>
        </is>
      </c>
      <c r="B2979" t="inlineStr">
        <is>
          <t>F270859</t>
        </is>
      </c>
      <c r="C2979" t="inlineStr">
        <is>
          <t>C10568</t>
        </is>
      </c>
      <c r="D2979" t="inlineStr">
        <is>
          <t>SKU-10040</t>
        </is>
      </c>
      <c r="E2979" t="inlineStr">
        <is>
          <t>AM06</t>
        </is>
      </c>
      <c r="F2979" s="5" t="n">
        <v>345.46</v>
      </c>
      <c r="G2979">
        <f>IF(LEFT(B2979,1)="C","Credit","Factuur")</f>
        <v/>
      </c>
      <c r="H2979">
        <f>IF(AND(B2979=B2978,D2979=D2978,A2979=A2978,F2979=F2978),1,0)</f>
        <v/>
      </c>
      <c r="I2979">
        <f>IF(C2979="C99999",1,0)</f>
        <v/>
      </c>
      <c r="J2979" s="5">
        <f>IF(OR(H2979=1,I2979=1),0,IF(G2979="Credit",-F2979,F2979))</f>
        <v/>
      </c>
    </row>
    <row r="2980">
      <c r="A2980" t="inlineStr">
        <is>
          <t>2026-07-30</t>
        </is>
      </c>
      <c r="B2980" t="inlineStr">
        <is>
          <t>F270859</t>
        </is>
      </c>
      <c r="C2980" t="inlineStr">
        <is>
          <t>C10568</t>
        </is>
      </c>
      <c r="D2980" t="inlineStr">
        <is>
          <t>SKU-10080</t>
        </is>
      </c>
      <c r="E2980" t="inlineStr">
        <is>
          <t>AM06</t>
        </is>
      </c>
      <c r="F2980" s="5" t="n">
        <v>343.17</v>
      </c>
      <c r="G2980">
        <f>IF(LEFT(B2980,1)="C","Credit","Factuur")</f>
        <v/>
      </c>
      <c r="H2980">
        <f>IF(AND(B2980=B2979,D2980=D2979,A2980=A2979,F2980=F2979),1,0)</f>
        <v/>
      </c>
      <c r="I2980">
        <f>IF(C2980="C99999",1,0)</f>
        <v/>
      </c>
      <c r="J2980" s="5">
        <f>IF(OR(H2980=1,I2980=1),0,IF(G2980="Credit",-F2980,F2980))</f>
        <v/>
      </c>
    </row>
    <row r="2981">
      <c r="A2981" t="inlineStr">
        <is>
          <t>2026-07-30</t>
        </is>
      </c>
      <c r="B2981" t="inlineStr">
        <is>
          <t>F270859</t>
        </is>
      </c>
      <c r="C2981" t="inlineStr">
        <is>
          <t>C10568</t>
        </is>
      </c>
      <c r="D2981" t="inlineStr">
        <is>
          <t>SKU-10118</t>
        </is>
      </c>
      <c r="E2981" t="inlineStr">
        <is>
          <t>AM06</t>
        </is>
      </c>
      <c r="F2981" s="5" t="n">
        <v>345.6</v>
      </c>
      <c r="G2981">
        <f>IF(LEFT(B2981,1)="C","Credit","Factuur")</f>
        <v/>
      </c>
      <c r="H2981">
        <f>IF(AND(B2981=B2980,D2981=D2980,A2981=A2980,F2981=F2980),1,0)</f>
        <v/>
      </c>
      <c r="I2981">
        <f>IF(C2981="C99999",1,0)</f>
        <v/>
      </c>
      <c r="J2981" s="5">
        <f>IF(OR(H2981=1,I2981=1),0,IF(G2981="Credit",-F2981,F2981))</f>
        <v/>
      </c>
    </row>
    <row r="2982">
      <c r="A2982" t="inlineStr">
        <is>
          <t>2026-07-30</t>
        </is>
      </c>
      <c r="B2982" t="inlineStr">
        <is>
          <t>F270859</t>
        </is>
      </c>
      <c r="C2982" t="inlineStr">
        <is>
          <t>C10568</t>
        </is>
      </c>
      <c r="D2982" t="inlineStr">
        <is>
          <t>SKU-10151</t>
        </is>
      </c>
      <c r="E2982" t="inlineStr">
        <is>
          <t>AM06</t>
        </is>
      </c>
      <c r="F2982" s="5" t="n">
        <v>330.52</v>
      </c>
      <c r="G2982">
        <f>IF(LEFT(B2982,1)="C","Credit","Factuur")</f>
        <v/>
      </c>
      <c r="H2982">
        <f>IF(AND(B2982=B2981,D2982=D2981,A2982=A2981,F2982=F2981),1,0)</f>
        <v/>
      </c>
      <c r="I2982">
        <f>IF(C2982="C99999",1,0)</f>
        <v/>
      </c>
      <c r="J2982" s="5">
        <f>IF(OR(H2982=1,I2982=1),0,IF(G2982="Credit",-F2982,F2982))</f>
        <v/>
      </c>
    </row>
    <row r="2983">
      <c r="A2983" t="inlineStr">
        <is>
          <t>2026-07-30</t>
        </is>
      </c>
      <c r="B2983" t="inlineStr">
        <is>
          <t>F271074</t>
        </is>
      </c>
      <c r="C2983" t="inlineStr">
        <is>
          <t>C10577</t>
        </is>
      </c>
      <c r="D2983" t="inlineStr">
        <is>
          <t>SKU-10007</t>
        </is>
      </c>
      <c r="E2983" t="inlineStr">
        <is>
          <t>AM05</t>
        </is>
      </c>
      <c r="F2983" s="5" t="n">
        <v>269.67</v>
      </c>
      <c r="G2983">
        <f>IF(LEFT(B2983,1)="C","Credit","Factuur")</f>
        <v/>
      </c>
      <c r="H2983">
        <f>IF(AND(B2983=B2982,D2983=D2982,A2983=A2982,F2983=F2982),1,0)</f>
        <v/>
      </c>
      <c r="I2983">
        <f>IF(C2983="C99999",1,0)</f>
        <v/>
      </c>
      <c r="J2983" s="5">
        <f>IF(OR(H2983=1,I2983=1),0,IF(G2983="Credit",-F2983,F2983))</f>
        <v/>
      </c>
    </row>
    <row r="2984">
      <c r="A2984" t="inlineStr">
        <is>
          <t>2026-07-30</t>
        </is>
      </c>
      <c r="B2984" t="inlineStr">
        <is>
          <t>F271074</t>
        </is>
      </c>
      <c r="C2984" t="inlineStr">
        <is>
          <t>C10577</t>
        </is>
      </c>
      <c r="D2984" t="inlineStr">
        <is>
          <t>SKU-10143</t>
        </is>
      </c>
      <c r="E2984" t="inlineStr">
        <is>
          <t>AM05</t>
        </is>
      </c>
      <c r="F2984" s="5" t="n">
        <v>290.72</v>
      </c>
      <c r="G2984">
        <f>IF(LEFT(B2984,1)="C","Credit","Factuur")</f>
        <v/>
      </c>
      <c r="H2984">
        <f>IF(AND(B2984=B2983,D2984=D2983,A2984=A2983,F2984=F2983),1,0)</f>
        <v/>
      </c>
      <c r="I2984">
        <f>IF(C2984="C99999",1,0)</f>
        <v/>
      </c>
      <c r="J2984" s="5">
        <f>IF(OR(H2984=1,I2984=1),0,IF(G2984="Credit",-F2984,F2984))</f>
        <v/>
      </c>
    </row>
    <row r="2985">
      <c r="A2985" t="inlineStr">
        <is>
          <t>2026-07-30</t>
        </is>
      </c>
      <c r="B2985" t="inlineStr">
        <is>
          <t>F271505</t>
        </is>
      </c>
      <c r="C2985" t="inlineStr">
        <is>
          <t>C10594</t>
        </is>
      </c>
      <c r="D2985" t="inlineStr">
        <is>
          <t>SKU-10033</t>
        </is>
      </c>
      <c r="E2985" t="inlineStr">
        <is>
          <t>AM05</t>
        </is>
      </c>
      <c r="F2985" s="5" t="n">
        <v>430.8</v>
      </c>
      <c r="G2985">
        <f>IF(LEFT(B2985,1)="C","Credit","Factuur")</f>
        <v/>
      </c>
      <c r="H2985">
        <f>IF(AND(B2985=B2984,D2985=D2984,A2985=A2984,F2985=F2984),1,0)</f>
        <v/>
      </c>
      <c r="I2985">
        <f>IF(C2985="C99999",1,0)</f>
        <v/>
      </c>
      <c r="J2985" s="5">
        <f>IF(OR(H2985=1,I2985=1),0,IF(G2985="Credit",-F2985,F2985))</f>
        <v/>
      </c>
    </row>
    <row r="2986">
      <c r="A2986" t="inlineStr">
        <is>
          <t>2026-07-30</t>
        </is>
      </c>
      <c r="B2986" t="inlineStr">
        <is>
          <t>F271505</t>
        </is>
      </c>
      <c r="C2986" t="inlineStr">
        <is>
          <t>C10594</t>
        </is>
      </c>
      <c r="D2986" t="inlineStr">
        <is>
          <t>SKU-10092</t>
        </is>
      </c>
      <c r="E2986" t="inlineStr">
        <is>
          <t>AM05</t>
        </is>
      </c>
      <c r="F2986" s="5" t="n">
        <v>411.72</v>
      </c>
      <c r="G2986">
        <f>IF(LEFT(B2986,1)="C","Credit","Factuur")</f>
        <v/>
      </c>
      <c r="H2986">
        <f>IF(AND(B2986=B2985,D2986=D2985,A2986=A2985,F2986=F2985),1,0)</f>
        <v/>
      </c>
      <c r="I2986">
        <f>IF(C2986="C99999",1,0)</f>
        <v/>
      </c>
      <c r="J2986" s="5">
        <f>IF(OR(H2986=1,I2986=1),0,IF(G2986="Credit",-F2986,F2986))</f>
        <v/>
      </c>
    </row>
    <row r="2987">
      <c r="A2987" t="inlineStr">
        <is>
          <t>2026-07-30</t>
        </is>
      </c>
      <c r="B2987" t="inlineStr">
        <is>
          <t>F271505</t>
        </is>
      </c>
      <c r="C2987" t="inlineStr">
        <is>
          <t>C10594</t>
        </is>
      </c>
      <c r="D2987" t="inlineStr">
        <is>
          <t>SKU-10143</t>
        </is>
      </c>
      <c r="E2987" t="inlineStr">
        <is>
          <t>AM05</t>
        </is>
      </c>
      <c r="F2987" s="5" t="n">
        <v>436.08</v>
      </c>
      <c r="G2987">
        <f>IF(LEFT(B2987,1)="C","Credit","Factuur")</f>
        <v/>
      </c>
      <c r="H2987">
        <f>IF(AND(B2987=B2986,D2987=D2986,A2987=A2986,F2987=F2986),1,0)</f>
        <v/>
      </c>
      <c r="I2987">
        <f>IF(C2987="C99999",1,0)</f>
        <v/>
      </c>
      <c r="J2987" s="5">
        <f>IF(OR(H2987=1,I2987=1),0,IF(G2987="Credit",-F2987,F2987))</f>
        <v/>
      </c>
    </row>
    <row r="2988">
      <c r="A2988" t="inlineStr">
        <is>
          <t>2026-07-30</t>
        </is>
      </c>
      <c r="B2988" t="inlineStr">
        <is>
          <t>F271505</t>
        </is>
      </c>
      <c r="C2988" t="inlineStr">
        <is>
          <t>C10594</t>
        </is>
      </c>
      <c r="D2988" t="inlineStr">
        <is>
          <t>SKU-10168</t>
        </is>
      </c>
      <c r="E2988" t="inlineStr">
        <is>
          <t>AM05</t>
        </is>
      </c>
      <c r="F2988" s="5" t="n">
        <v>417.36</v>
      </c>
      <c r="G2988">
        <f>IF(LEFT(B2988,1)="C","Credit","Factuur")</f>
        <v/>
      </c>
      <c r="H2988">
        <f>IF(AND(B2988=B2987,D2988=D2987,A2988=A2987,F2988=F2987),1,0)</f>
        <v/>
      </c>
      <c r="I2988">
        <f>IF(C2988="C99999",1,0)</f>
        <v/>
      </c>
      <c r="J2988" s="5">
        <f>IF(OR(H2988=1,I2988=1),0,IF(G2988="Credit",-F2988,F2988))</f>
        <v/>
      </c>
    </row>
    <row r="2989">
      <c r="A2989" t="inlineStr">
        <is>
          <t>2026-07-30</t>
        </is>
      </c>
      <c r="B2989" t="inlineStr">
        <is>
          <t>F271505</t>
        </is>
      </c>
      <c r="C2989" t="inlineStr">
        <is>
          <t>C10594</t>
        </is>
      </c>
      <c r="D2989" t="inlineStr">
        <is>
          <t>SKU-10338</t>
        </is>
      </c>
      <c r="E2989" t="inlineStr">
        <is>
          <t>AM05</t>
        </is>
      </c>
      <c r="F2989" s="5" t="n">
        <v>403.41</v>
      </c>
      <c r="G2989">
        <f>IF(LEFT(B2989,1)="C","Credit","Factuur")</f>
        <v/>
      </c>
      <c r="H2989">
        <f>IF(AND(B2989=B2988,D2989=D2988,A2989=A2988,F2989=F2988),1,0)</f>
        <v/>
      </c>
      <c r="I2989">
        <f>IF(C2989="C99999",1,0)</f>
        <v/>
      </c>
      <c r="J2989" s="5">
        <f>IF(OR(H2989=1,I2989=1),0,IF(G2989="Credit",-F2989,F2989))</f>
        <v/>
      </c>
    </row>
    <row r="2990">
      <c r="A2990" t="inlineStr">
        <is>
          <t>2026-07-30</t>
        </is>
      </c>
      <c r="B2990" t="inlineStr">
        <is>
          <t>F273298</t>
        </is>
      </c>
      <c r="C2990" t="inlineStr">
        <is>
          <t>C10695</t>
        </is>
      </c>
      <c r="D2990" t="inlineStr">
        <is>
          <t>SKU-10100</t>
        </is>
      </c>
      <c r="E2990" t="inlineStr">
        <is>
          <t>AM07</t>
        </is>
      </c>
      <c r="F2990" s="5" t="n">
        <v>259.74</v>
      </c>
      <c r="G2990">
        <f>IF(LEFT(B2990,1)="C","Credit","Factuur")</f>
        <v/>
      </c>
      <c r="H2990">
        <f>IF(AND(B2990=B2989,D2990=D2989,A2990=A2989,F2990=F2989),1,0)</f>
        <v/>
      </c>
      <c r="I2990">
        <f>IF(C2990="C99999",1,0)</f>
        <v/>
      </c>
      <c r="J2990" s="5">
        <f>IF(OR(H2990=1,I2990=1),0,IF(G2990="Credit",-F2990,F2990))</f>
        <v/>
      </c>
    </row>
    <row r="2991">
      <c r="A2991" t="inlineStr">
        <is>
          <t>2026-07-30</t>
        </is>
      </c>
      <c r="B2991" t="inlineStr">
        <is>
          <t>F273298</t>
        </is>
      </c>
      <c r="C2991" t="inlineStr">
        <is>
          <t>C10695</t>
        </is>
      </c>
      <c r="D2991" t="inlineStr">
        <is>
          <t>SKU-10119</t>
        </is>
      </c>
      <c r="E2991" t="inlineStr">
        <is>
          <t>AM07</t>
        </is>
      </c>
      <c r="F2991" s="5" t="n">
        <v>271.05</v>
      </c>
      <c r="G2991">
        <f>IF(LEFT(B2991,1)="C","Credit","Factuur")</f>
        <v/>
      </c>
      <c r="H2991">
        <f>IF(AND(B2991=B2990,D2991=D2990,A2991=A2990,F2991=F2990),1,0)</f>
        <v/>
      </c>
      <c r="I2991">
        <f>IF(C2991="C99999",1,0)</f>
        <v/>
      </c>
      <c r="J2991" s="5">
        <f>IF(OR(H2991=1,I2991=1),0,IF(G2991="Credit",-F2991,F2991))</f>
        <v/>
      </c>
    </row>
    <row r="2992">
      <c r="A2992" t="inlineStr">
        <is>
          <t>2026-07-30</t>
        </is>
      </c>
      <c r="B2992" t="inlineStr">
        <is>
          <t>F273298</t>
        </is>
      </c>
      <c r="C2992" t="inlineStr">
        <is>
          <t>C10695</t>
        </is>
      </c>
      <c r="D2992" t="inlineStr">
        <is>
          <t>SKU-10121</t>
        </is>
      </c>
      <c r="E2992" t="inlineStr">
        <is>
          <t>AM07</t>
        </is>
      </c>
      <c r="F2992" s="5" t="n">
        <v>246.73</v>
      </c>
      <c r="G2992">
        <f>IF(LEFT(B2992,1)="C","Credit","Factuur")</f>
        <v/>
      </c>
      <c r="H2992">
        <f>IF(AND(B2992=B2991,D2992=D2991,A2992=A2991,F2992=F2991),1,0)</f>
        <v/>
      </c>
      <c r="I2992">
        <f>IF(C2992="C99999",1,0)</f>
        <v/>
      </c>
      <c r="J2992" s="5">
        <f>IF(OR(H2992=1,I2992=1),0,IF(G2992="Credit",-F2992,F2992))</f>
        <v/>
      </c>
    </row>
    <row r="2993">
      <c r="A2993" t="inlineStr">
        <is>
          <t>2026-07-30</t>
        </is>
      </c>
      <c r="B2993" t="inlineStr">
        <is>
          <t>F273298</t>
        </is>
      </c>
      <c r="C2993" t="inlineStr">
        <is>
          <t>C10695</t>
        </is>
      </c>
      <c r="D2993" t="inlineStr">
        <is>
          <t>SKU-10151</t>
        </is>
      </c>
      <c r="E2993" t="inlineStr">
        <is>
          <t>AM07</t>
        </is>
      </c>
      <c r="F2993" s="5" t="n">
        <v>260.94</v>
      </c>
      <c r="G2993">
        <f>IF(LEFT(B2993,1)="C","Credit","Factuur")</f>
        <v/>
      </c>
      <c r="H2993">
        <f>IF(AND(B2993=B2992,D2993=D2992,A2993=A2992,F2993=F2992),1,0)</f>
        <v/>
      </c>
      <c r="I2993">
        <f>IF(C2993="C99999",1,0)</f>
        <v/>
      </c>
      <c r="J2993" s="5">
        <f>IF(OR(H2993=1,I2993=1),0,IF(G2993="Credit",-F2993,F2993))</f>
        <v/>
      </c>
    </row>
    <row r="2994">
      <c r="A2994" t="inlineStr">
        <is>
          <t>2026-07-30</t>
        </is>
      </c>
      <c r="B2994" t="inlineStr">
        <is>
          <t>F273298</t>
        </is>
      </c>
      <c r="C2994" t="inlineStr">
        <is>
          <t>C10695</t>
        </is>
      </c>
      <c r="D2994" t="inlineStr">
        <is>
          <t>SKU-10242</t>
        </is>
      </c>
      <c r="E2994" t="inlineStr">
        <is>
          <t>AM07</t>
        </is>
      </c>
      <c r="F2994" s="5" t="n">
        <v>276</v>
      </c>
      <c r="G2994">
        <f>IF(LEFT(B2994,1)="C","Credit","Factuur")</f>
        <v/>
      </c>
      <c r="H2994">
        <f>IF(AND(B2994=B2993,D2994=D2993,A2994=A2993,F2994=F2993),1,0)</f>
        <v/>
      </c>
      <c r="I2994">
        <f>IF(C2994="C99999",1,0)</f>
        <v/>
      </c>
      <c r="J2994" s="5">
        <f>IF(OR(H2994=1,I2994=1),0,IF(G2994="Credit",-F2994,F2994))</f>
        <v/>
      </c>
    </row>
    <row r="2995">
      <c r="A2995" t="inlineStr">
        <is>
          <t>2026-07-30</t>
        </is>
      </c>
      <c r="B2995" t="inlineStr">
        <is>
          <t>F273377</t>
        </is>
      </c>
      <c r="C2995" t="inlineStr">
        <is>
          <t>C10701</t>
        </is>
      </c>
      <c r="D2995" t="inlineStr">
        <is>
          <t>SKU-10027</t>
        </is>
      </c>
      <c r="E2995" t="inlineStr">
        <is>
          <t>AM11</t>
        </is>
      </c>
      <c r="F2995" s="5" t="n">
        <v>315.44</v>
      </c>
      <c r="G2995">
        <f>IF(LEFT(B2995,1)="C","Credit","Factuur")</f>
        <v/>
      </c>
      <c r="H2995">
        <f>IF(AND(B2995=B2994,D2995=D2994,A2995=A2994,F2995=F2994),1,0)</f>
        <v/>
      </c>
      <c r="I2995">
        <f>IF(C2995="C99999",1,0)</f>
        <v/>
      </c>
      <c r="J2995" s="5">
        <f>IF(OR(H2995=1,I2995=1),0,IF(G2995="Credit",-F2995,F2995))</f>
        <v/>
      </c>
    </row>
    <row r="2996">
      <c r="A2996" t="inlineStr">
        <is>
          <t>2026-07-30</t>
        </is>
      </c>
      <c r="B2996" t="inlineStr">
        <is>
          <t>F273377</t>
        </is>
      </c>
      <c r="C2996" t="inlineStr">
        <is>
          <t>C10701</t>
        </is>
      </c>
      <c r="D2996" t="inlineStr">
        <is>
          <t>SKU-10084</t>
        </is>
      </c>
      <c r="E2996" t="inlineStr">
        <is>
          <t>AM11</t>
        </is>
      </c>
      <c r="F2996" s="5" t="n">
        <v>338.82</v>
      </c>
      <c r="G2996">
        <f>IF(LEFT(B2996,1)="C","Credit","Factuur")</f>
        <v/>
      </c>
      <c r="H2996">
        <f>IF(AND(B2996=B2995,D2996=D2995,A2996=A2995,F2996=F2995),1,0)</f>
        <v/>
      </c>
      <c r="I2996">
        <f>IF(C2996="C99999",1,0)</f>
        <v/>
      </c>
      <c r="J2996" s="5">
        <f>IF(OR(H2996=1,I2996=1),0,IF(G2996="Credit",-F2996,F2996))</f>
        <v/>
      </c>
    </row>
    <row r="2997">
      <c r="A2997" t="inlineStr">
        <is>
          <t>2026-07-30</t>
        </is>
      </c>
      <c r="B2997" t="inlineStr">
        <is>
          <t>F273377</t>
        </is>
      </c>
      <c r="C2997" t="inlineStr">
        <is>
          <t>C10701</t>
        </is>
      </c>
      <c r="D2997" t="inlineStr">
        <is>
          <t>SKU-10089</t>
        </is>
      </c>
      <c r="E2997" t="inlineStr">
        <is>
          <t>AM11</t>
        </is>
      </c>
      <c r="F2997" s="5" t="n">
        <v>343.04</v>
      </c>
      <c r="G2997">
        <f>IF(LEFT(B2997,1)="C","Credit","Factuur")</f>
        <v/>
      </c>
      <c r="H2997">
        <f>IF(AND(B2997=B2996,D2997=D2996,A2997=A2996,F2997=F2996),1,0)</f>
        <v/>
      </c>
      <c r="I2997">
        <f>IF(C2997="C99999",1,0)</f>
        <v/>
      </c>
      <c r="J2997" s="5">
        <f>IF(OR(H2997=1,I2997=1),0,IF(G2997="Credit",-F2997,F2997))</f>
        <v/>
      </c>
    </row>
    <row r="2998">
      <c r="A2998" t="inlineStr">
        <is>
          <t>2026-07-30</t>
        </is>
      </c>
      <c r="B2998" t="inlineStr">
        <is>
          <t>F273377</t>
        </is>
      </c>
      <c r="C2998" t="inlineStr">
        <is>
          <t>C10701</t>
        </is>
      </c>
      <c r="D2998" t="inlineStr">
        <is>
          <t>SKU-10281</t>
        </is>
      </c>
      <c r="E2998" t="inlineStr">
        <is>
          <t>AM11</t>
        </is>
      </c>
      <c r="F2998" s="5" t="n">
        <v>355.95</v>
      </c>
      <c r="G2998">
        <f>IF(LEFT(B2998,1)="C","Credit","Factuur")</f>
        <v/>
      </c>
      <c r="H2998">
        <f>IF(AND(B2998=B2997,D2998=D2997,A2998=A2997,F2998=F2997),1,0)</f>
        <v/>
      </c>
      <c r="I2998">
        <f>IF(C2998="C99999",1,0)</f>
        <v/>
      </c>
      <c r="J2998" s="5">
        <f>IF(OR(H2998=1,I2998=1),0,IF(G2998="Credit",-F2998,F2998))</f>
        <v/>
      </c>
    </row>
    <row r="2999">
      <c r="A2999" t="inlineStr">
        <is>
          <t>2026-07-30</t>
        </is>
      </c>
      <c r="B2999" t="inlineStr">
        <is>
          <t>F273555</t>
        </is>
      </c>
      <c r="C2999" t="inlineStr">
        <is>
          <t>C10711</t>
        </is>
      </c>
      <c r="D2999" t="inlineStr">
        <is>
          <t>SKU-10379</t>
        </is>
      </c>
      <c r="E2999" t="inlineStr">
        <is>
          <t>AM09</t>
        </is>
      </c>
      <c r="F2999" s="5" t="n">
        <v>10405.12</v>
      </c>
      <c r="G2999">
        <f>IF(LEFT(B2999,1)="C","Credit","Factuur")</f>
        <v/>
      </c>
      <c r="H2999">
        <f>IF(AND(B2999=B2998,D2999=D2998,A2999=A2998,F2999=F2998),1,0)</f>
        <v/>
      </c>
      <c r="I2999">
        <f>IF(C2999="C99999",1,0)</f>
        <v/>
      </c>
      <c r="J2999" s="5">
        <f>IF(OR(H2999=1,I2999=1),0,IF(G2999="Credit",-F2999,F2999))</f>
        <v/>
      </c>
    </row>
    <row r="3000">
      <c r="A3000" t="inlineStr">
        <is>
          <t>2026-07-30</t>
        </is>
      </c>
      <c r="B3000" t="inlineStr">
        <is>
          <t>F273665</t>
        </is>
      </c>
      <c r="C3000" t="inlineStr">
        <is>
          <t>C10716</t>
        </is>
      </c>
      <c r="D3000" t="inlineStr">
        <is>
          <t>SKU-10144</t>
        </is>
      </c>
      <c r="E3000" t="inlineStr">
        <is>
          <t>AM02</t>
        </is>
      </c>
      <c r="F3000" s="5" t="n">
        <v>473.68</v>
      </c>
      <c r="G3000">
        <f>IF(LEFT(B3000,1)="C","Credit","Factuur")</f>
        <v/>
      </c>
      <c r="H3000">
        <f>IF(AND(B3000=B2999,D3000=D2999,A3000=A2999,F3000=F2999),1,0)</f>
        <v/>
      </c>
      <c r="I3000">
        <f>IF(C3000="C99999",1,0)</f>
        <v/>
      </c>
      <c r="J3000" s="5">
        <f>IF(OR(H3000=1,I3000=1),0,IF(G3000="Credit",-F3000,F3000))</f>
        <v/>
      </c>
    </row>
    <row r="3001">
      <c r="A3001" t="inlineStr">
        <is>
          <t>2026-07-30</t>
        </is>
      </c>
      <c r="B3001" t="inlineStr">
        <is>
          <t>F273665</t>
        </is>
      </c>
      <c r="C3001" t="inlineStr">
        <is>
          <t>C10716</t>
        </is>
      </c>
      <c r="D3001" t="inlineStr">
        <is>
          <t>SKU-10157</t>
        </is>
      </c>
      <c r="E3001" t="inlineStr">
        <is>
          <t>AM02</t>
        </is>
      </c>
      <c r="F3001" s="5" t="n">
        <v>503.24</v>
      </c>
      <c r="G3001">
        <f>IF(LEFT(B3001,1)="C","Credit","Factuur")</f>
        <v/>
      </c>
      <c r="H3001">
        <f>IF(AND(B3001=B3000,D3001=D3000,A3001=A3000,F3001=F3000),1,0)</f>
        <v/>
      </c>
      <c r="I3001">
        <f>IF(C3001="C99999",1,0)</f>
        <v/>
      </c>
      <c r="J3001" s="5">
        <f>IF(OR(H3001=1,I3001=1),0,IF(G3001="Credit",-F3001,F3001))</f>
        <v/>
      </c>
    </row>
    <row r="3002">
      <c r="A3002" t="inlineStr">
        <is>
          <t>2026-07-30</t>
        </is>
      </c>
      <c r="B3002" t="inlineStr">
        <is>
          <t>F273665</t>
        </is>
      </c>
      <c r="C3002" t="inlineStr">
        <is>
          <t>C10716</t>
        </is>
      </c>
      <c r="D3002" t="inlineStr">
        <is>
          <t>SKU-10173</t>
        </is>
      </c>
      <c r="E3002" t="inlineStr">
        <is>
          <t>AM02</t>
        </is>
      </c>
      <c r="F3002" s="5" t="n">
        <v>494.5</v>
      </c>
      <c r="G3002">
        <f>IF(LEFT(B3002,1)="C","Credit","Factuur")</f>
        <v/>
      </c>
      <c r="H3002">
        <f>IF(AND(B3002=B3001,D3002=D3001,A3002=A3001,F3002=F3001),1,0)</f>
        <v/>
      </c>
      <c r="I3002">
        <f>IF(C3002="C99999",1,0)</f>
        <v/>
      </c>
      <c r="J3002" s="5">
        <f>IF(OR(H3002=1,I3002=1),0,IF(G3002="Credit",-F3002,F3002))</f>
        <v/>
      </c>
    </row>
    <row r="3003">
      <c r="A3003" t="inlineStr">
        <is>
          <t>2026-07-30</t>
        </is>
      </c>
      <c r="B3003" t="inlineStr">
        <is>
          <t>F273665</t>
        </is>
      </c>
      <c r="C3003" t="inlineStr">
        <is>
          <t>C10716</t>
        </is>
      </c>
      <c r="D3003" t="inlineStr">
        <is>
          <t>SKU-10339</t>
        </is>
      </c>
      <c r="E3003" t="inlineStr">
        <is>
          <t>AM02</t>
        </is>
      </c>
      <c r="F3003" s="5" t="n">
        <v>496.65</v>
      </c>
      <c r="G3003">
        <f>IF(LEFT(B3003,1)="C","Credit","Factuur")</f>
        <v/>
      </c>
      <c r="H3003">
        <f>IF(AND(B3003=B3002,D3003=D3002,A3003=A3002,F3003=F3002),1,0)</f>
        <v/>
      </c>
      <c r="I3003">
        <f>IF(C3003="C99999",1,0)</f>
        <v/>
      </c>
      <c r="J3003" s="5">
        <f>IF(OR(H3003=1,I3003=1),0,IF(G3003="Credit",-F3003,F3003))</f>
        <v/>
      </c>
    </row>
    <row r="3004">
      <c r="A3004" t="inlineStr">
        <is>
          <t>2026-07-30</t>
        </is>
      </c>
      <c r="B3004" t="inlineStr">
        <is>
          <t>F273865</t>
        </is>
      </c>
      <c r="C3004" t="inlineStr">
        <is>
          <t>C10729</t>
        </is>
      </c>
      <c r="D3004" t="inlineStr">
        <is>
          <t>SKU-10084</t>
        </is>
      </c>
      <c r="E3004" t="inlineStr">
        <is>
          <t>AM02</t>
        </is>
      </c>
      <c r="F3004" s="5" t="n">
        <v>529.88</v>
      </c>
      <c r="G3004">
        <f>IF(LEFT(B3004,1)="C","Credit","Factuur")</f>
        <v/>
      </c>
      <c r="H3004">
        <f>IF(AND(B3004=B3003,D3004=D3003,A3004=A3003,F3004=F3003),1,0)</f>
        <v/>
      </c>
      <c r="I3004">
        <f>IF(C3004="C99999",1,0)</f>
        <v/>
      </c>
      <c r="J3004" s="5">
        <f>IF(OR(H3004=1,I3004=1),0,IF(G3004="Credit",-F3004,F3004))</f>
        <v/>
      </c>
    </row>
    <row r="3005">
      <c r="A3005" t="inlineStr">
        <is>
          <t>2026-07-30</t>
        </is>
      </c>
      <c r="B3005" t="inlineStr">
        <is>
          <t>F273865</t>
        </is>
      </c>
      <c r="C3005" t="inlineStr">
        <is>
          <t>C10729</t>
        </is>
      </c>
      <c r="D3005" t="inlineStr">
        <is>
          <t>SKU-10289</t>
        </is>
      </c>
      <c r="E3005" t="inlineStr">
        <is>
          <t>AM02</t>
        </is>
      </c>
      <c r="F3005" s="5" t="n">
        <v>537.46</v>
      </c>
      <c r="G3005">
        <f>IF(LEFT(B3005,1)="C","Credit","Factuur")</f>
        <v/>
      </c>
      <c r="H3005">
        <f>IF(AND(B3005=B3004,D3005=D3004,A3005=A3004,F3005=F3004),1,0)</f>
        <v/>
      </c>
      <c r="I3005">
        <f>IF(C3005="C99999",1,0)</f>
        <v/>
      </c>
      <c r="J3005" s="5">
        <f>IF(OR(H3005=1,I3005=1),0,IF(G3005="Credit",-F3005,F3005))</f>
        <v/>
      </c>
    </row>
    <row r="3006">
      <c r="A3006" t="inlineStr">
        <is>
          <t>2026-07-30</t>
        </is>
      </c>
      <c r="B3006" t="inlineStr">
        <is>
          <t>F274636</t>
        </is>
      </c>
      <c r="C3006" t="inlineStr">
        <is>
          <t>C10775</t>
        </is>
      </c>
      <c r="D3006" t="inlineStr">
        <is>
          <t>SKU-10065</t>
        </is>
      </c>
      <c r="E3006" t="inlineStr">
        <is>
          <t>AM01</t>
        </is>
      </c>
      <c r="F3006" s="5" t="n">
        <v>129.62</v>
      </c>
      <c r="G3006">
        <f>IF(LEFT(B3006,1)="C","Credit","Factuur")</f>
        <v/>
      </c>
      <c r="H3006">
        <f>IF(AND(B3006=B3005,D3006=D3005,A3006=A3005,F3006=F3005),1,0)</f>
        <v/>
      </c>
      <c r="I3006">
        <f>IF(C3006="C99999",1,0)</f>
        <v/>
      </c>
      <c r="J3006" s="5">
        <f>IF(OR(H3006=1,I3006=1),0,IF(G3006="Credit",-F3006,F3006))</f>
        <v/>
      </c>
    </row>
    <row r="3007">
      <c r="A3007" t="inlineStr">
        <is>
          <t>2026-07-30</t>
        </is>
      </c>
      <c r="B3007" t="inlineStr">
        <is>
          <t>F274636</t>
        </is>
      </c>
      <c r="C3007" t="inlineStr">
        <is>
          <t>C10775</t>
        </is>
      </c>
      <c r="D3007" t="inlineStr">
        <is>
          <t>SKU-10081</t>
        </is>
      </c>
      <c r="E3007" t="inlineStr">
        <is>
          <t>AM01</t>
        </is>
      </c>
      <c r="F3007" s="5" t="n">
        <v>120.78</v>
      </c>
      <c r="G3007">
        <f>IF(LEFT(B3007,1)="C","Credit","Factuur")</f>
        <v/>
      </c>
      <c r="H3007">
        <f>IF(AND(B3007=B3006,D3007=D3006,A3007=A3006,F3007=F3006),1,0)</f>
        <v/>
      </c>
      <c r="I3007">
        <f>IF(C3007="C99999",1,0)</f>
        <v/>
      </c>
      <c r="J3007" s="5">
        <f>IF(OR(H3007=1,I3007=1),0,IF(G3007="Credit",-F3007,F3007))</f>
        <v/>
      </c>
    </row>
    <row r="3008">
      <c r="A3008" t="inlineStr">
        <is>
          <t>2026-07-30</t>
        </is>
      </c>
      <c r="B3008" t="inlineStr">
        <is>
          <t>F275405</t>
        </is>
      </c>
      <c r="C3008" t="inlineStr">
        <is>
          <t>C10814</t>
        </is>
      </c>
      <c r="D3008" t="inlineStr">
        <is>
          <t>SKU-10026</t>
        </is>
      </c>
      <c r="E3008" t="inlineStr">
        <is>
          <t>AM08</t>
        </is>
      </c>
      <c r="F3008" s="5" t="n">
        <v>164.72</v>
      </c>
      <c r="G3008">
        <f>IF(LEFT(B3008,1)="C","Credit","Factuur")</f>
        <v/>
      </c>
      <c r="H3008">
        <f>IF(AND(B3008=B3007,D3008=D3007,A3008=A3007,F3008=F3007),1,0)</f>
        <v/>
      </c>
      <c r="I3008">
        <f>IF(C3008="C99999",1,0)</f>
        <v/>
      </c>
      <c r="J3008" s="5">
        <f>IF(OR(H3008=1,I3008=1),0,IF(G3008="Credit",-F3008,F3008))</f>
        <v/>
      </c>
    </row>
    <row r="3009">
      <c r="A3009" t="inlineStr">
        <is>
          <t>2026-07-30</t>
        </is>
      </c>
      <c r="B3009" t="inlineStr">
        <is>
          <t>F275405</t>
        </is>
      </c>
      <c r="C3009" t="inlineStr">
        <is>
          <t>C10814</t>
        </is>
      </c>
      <c r="D3009" t="inlineStr">
        <is>
          <t>SKU-10184</t>
        </is>
      </c>
      <c r="E3009" t="inlineStr">
        <is>
          <t>AM08</t>
        </is>
      </c>
      <c r="F3009" s="5" t="n">
        <v>181.58</v>
      </c>
      <c r="G3009">
        <f>IF(LEFT(B3009,1)="C","Credit","Factuur")</f>
        <v/>
      </c>
      <c r="H3009">
        <f>IF(AND(B3009=B3008,D3009=D3008,A3009=A3008,F3009=F3008),1,0)</f>
        <v/>
      </c>
      <c r="I3009">
        <f>IF(C3009="C99999",1,0)</f>
        <v/>
      </c>
      <c r="J3009" s="5">
        <f>IF(OR(H3009=1,I3009=1),0,IF(G3009="Credit",-F3009,F3009))</f>
        <v/>
      </c>
    </row>
    <row r="3010">
      <c r="A3010" t="inlineStr">
        <is>
          <t>2026-07-30</t>
        </is>
      </c>
      <c r="B3010" t="inlineStr">
        <is>
          <t>F275405</t>
        </is>
      </c>
      <c r="C3010" t="inlineStr">
        <is>
          <t>C10814</t>
        </is>
      </c>
      <c r="D3010" t="inlineStr">
        <is>
          <t>SKU-10360</t>
        </is>
      </c>
      <c r="E3010" t="inlineStr">
        <is>
          <t>AM08</t>
        </is>
      </c>
      <c r="F3010" s="5" t="n">
        <v>196.64</v>
      </c>
      <c r="G3010">
        <f>IF(LEFT(B3010,1)="C","Credit","Factuur")</f>
        <v/>
      </c>
      <c r="H3010">
        <f>IF(AND(B3010=B3009,D3010=D3009,A3010=A3009,F3010=F3009),1,0)</f>
        <v/>
      </c>
      <c r="I3010">
        <f>IF(C3010="C99999",1,0)</f>
        <v/>
      </c>
      <c r="J3010" s="5">
        <f>IF(OR(H3010=1,I3010=1),0,IF(G3010="Credit",-F3010,F3010))</f>
        <v/>
      </c>
    </row>
    <row r="3011">
      <c r="A3011" t="inlineStr">
        <is>
          <t>2026-07-30</t>
        </is>
      </c>
      <c r="B3011" t="inlineStr">
        <is>
          <t>F276277</t>
        </is>
      </c>
      <c r="C3011" t="inlineStr">
        <is>
          <t>C10863</t>
        </is>
      </c>
      <c r="D3011" t="inlineStr">
        <is>
          <t>SKU-10164</t>
        </is>
      </c>
      <c r="E3011" t="inlineStr">
        <is>
          <t>AM02</t>
        </is>
      </c>
      <c r="F3011" s="5" t="n">
        <v>2190.29</v>
      </c>
      <c r="G3011">
        <f>IF(LEFT(B3011,1)="C","Credit","Factuur")</f>
        <v/>
      </c>
      <c r="H3011">
        <f>IF(AND(B3011=B3010,D3011=D3010,A3011=A3010,F3011=F3010),1,0)</f>
        <v/>
      </c>
      <c r="I3011">
        <f>IF(C3011="C99999",1,0)</f>
        <v/>
      </c>
      <c r="J3011" s="5">
        <f>IF(OR(H3011=1,I3011=1),0,IF(G3011="Credit",-F3011,F3011))</f>
        <v/>
      </c>
    </row>
    <row r="3012">
      <c r="A3012" t="inlineStr">
        <is>
          <t>2026-07-30</t>
        </is>
      </c>
      <c r="B3012" t="inlineStr">
        <is>
          <t>F276277</t>
        </is>
      </c>
      <c r="C3012" t="inlineStr">
        <is>
          <t>C10863</t>
        </is>
      </c>
      <c r="D3012" t="inlineStr">
        <is>
          <t>SKU-10184</t>
        </is>
      </c>
      <c r="E3012" t="inlineStr">
        <is>
          <t>AM02</t>
        </is>
      </c>
      <c r="F3012" s="5" t="n">
        <v>2094.66</v>
      </c>
      <c r="G3012">
        <f>IF(LEFT(B3012,1)="C","Credit","Factuur")</f>
        <v/>
      </c>
      <c r="H3012">
        <f>IF(AND(B3012=B3011,D3012=D3011,A3012=A3011,F3012=F3011),1,0)</f>
        <v/>
      </c>
      <c r="I3012">
        <f>IF(C3012="C99999",1,0)</f>
        <v/>
      </c>
      <c r="J3012" s="5">
        <f>IF(OR(H3012=1,I3012=1),0,IF(G3012="Credit",-F3012,F3012))</f>
        <v/>
      </c>
    </row>
    <row r="3013">
      <c r="A3013" t="inlineStr">
        <is>
          <t>2026-07-30</t>
        </is>
      </c>
      <c r="B3013" t="inlineStr">
        <is>
          <t>F277270</t>
        </is>
      </c>
      <c r="C3013" t="inlineStr">
        <is>
          <t>C10918</t>
        </is>
      </c>
      <c r="D3013" t="inlineStr">
        <is>
          <t>SKU-10188</t>
        </is>
      </c>
      <c r="E3013" t="inlineStr">
        <is>
          <t>AM01</t>
        </is>
      </c>
      <c r="F3013" s="5" t="n">
        <v>1563.17</v>
      </c>
      <c r="G3013">
        <f>IF(LEFT(B3013,1)="C","Credit","Factuur")</f>
        <v/>
      </c>
      <c r="H3013">
        <f>IF(AND(B3013=B3012,D3013=D3012,A3013=A3012,F3013=F3012),1,0)</f>
        <v/>
      </c>
      <c r="I3013">
        <f>IF(C3013="C99999",1,0)</f>
        <v/>
      </c>
      <c r="J3013" s="5">
        <f>IF(OR(H3013=1,I3013=1),0,IF(G3013="Credit",-F3013,F3013))</f>
        <v/>
      </c>
    </row>
    <row r="3014">
      <c r="A3014" t="inlineStr">
        <is>
          <t>2026-07-30</t>
        </is>
      </c>
      <c r="B3014" t="inlineStr">
        <is>
          <t>F277270</t>
        </is>
      </c>
      <c r="C3014" t="inlineStr">
        <is>
          <t>C10918</t>
        </is>
      </c>
      <c r="D3014" t="inlineStr">
        <is>
          <t>SKU-10329</t>
        </is>
      </c>
      <c r="E3014" t="inlineStr">
        <is>
          <t>AM01</t>
        </is>
      </c>
      <c r="F3014" s="5" t="n">
        <v>1656.9</v>
      </c>
      <c r="G3014">
        <f>IF(LEFT(B3014,1)="C","Credit","Factuur")</f>
        <v/>
      </c>
      <c r="H3014">
        <f>IF(AND(B3014=B3013,D3014=D3013,A3014=A3013,F3014=F3013),1,0)</f>
        <v/>
      </c>
      <c r="I3014">
        <f>IF(C3014="C99999",1,0)</f>
        <v/>
      </c>
      <c r="J3014" s="5">
        <f>IF(OR(H3014=1,I3014=1),0,IF(G3014="Credit",-F3014,F3014))</f>
        <v/>
      </c>
    </row>
    <row r="3015">
      <c r="A3015" t="inlineStr">
        <is>
          <t>2026-07-30</t>
        </is>
      </c>
      <c r="B3015" t="inlineStr">
        <is>
          <t>F277391</t>
        </is>
      </c>
      <c r="C3015" t="inlineStr">
        <is>
          <t>C10925</t>
        </is>
      </c>
      <c r="D3015" t="inlineStr">
        <is>
          <t>SKU-10116</t>
        </is>
      </c>
      <c r="E3015" t="inlineStr">
        <is>
          <t>AM05</t>
        </is>
      </c>
      <c r="F3015" s="5" t="n">
        <v>556.6</v>
      </c>
      <c r="G3015">
        <f>IF(LEFT(B3015,1)="C","Credit","Factuur")</f>
        <v/>
      </c>
      <c r="H3015">
        <f>IF(AND(B3015=B3014,D3015=D3014,A3015=A3014,F3015=F3014),1,0)</f>
        <v/>
      </c>
      <c r="I3015">
        <f>IF(C3015="C99999",1,0)</f>
        <v/>
      </c>
      <c r="J3015" s="5">
        <f>IF(OR(H3015=1,I3015=1),0,IF(G3015="Credit",-F3015,F3015))</f>
        <v/>
      </c>
    </row>
    <row r="3016">
      <c r="A3016" t="inlineStr">
        <is>
          <t>2026-07-30</t>
        </is>
      </c>
      <c r="B3016" t="inlineStr">
        <is>
          <t>F277785</t>
        </is>
      </c>
      <c r="C3016" t="inlineStr">
        <is>
          <t>C10945</t>
        </is>
      </c>
      <c r="D3016" t="inlineStr">
        <is>
          <t>SKU-10018</t>
        </is>
      </c>
      <c r="E3016" t="inlineStr"/>
      <c r="F3016" s="5" t="n">
        <v>356.51</v>
      </c>
      <c r="G3016">
        <f>IF(LEFT(B3016,1)="C","Credit","Factuur")</f>
        <v/>
      </c>
      <c r="H3016">
        <f>IF(AND(B3016=B3015,D3016=D3015,A3016=A3015,F3016=F3015),1,0)</f>
        <v/>
      </c>
      <c r="I3016">
        <f>IF(C3016="C99999",1,0)</f>
        <v/>
      </c>
      <c r="J3016" s="5">
        <f>IF(OR(H3016=1,I3016=1),0,IF(G3016="Credit",-F3016,F3016))</f>
        <v/>
      </c>
    </row>
    <row r="3017">
      <c r="A3017" t="inlineStr">
        <is>
          <t>2026-07-30</t>
        </is>
      </c>
      <c r="B3017" t="inlineStr">
        <is>
          <t>F277785</t>
        </is>
      </c>
      <c r="C3017" t="inlineStr">
        <is>
          <t>C10945</t>
        </is>
      </c>
      <c r="D3017" t="inlineStr">
        <is>
          <t>SKU-10102</t>
        </is>
      </c>
      <c r="E3017" t="inlineStr">
        <is>
          <t>AM03</t>
        </is>
      </c>
      <c r="F3017" s="5" t="n">
        <v>344.96</v>
      </c>
      <c r="G3017">
        <f>IF(LEFT(B3017,1)="C","Credit","Factuur")</f>
        <v/>
      </c>
      <c r="H3017">
        <f>IF(AND(B3017=B3016,D3017=D3016,A3017=A3016,F3017=F3016),1,0)</f>
        <v/>
      </c>
      <c r="I3017">
        <f>IF(C3017="C99999",1,0)</f>
        <v/>
      </c>
      <c r="J3017" s="5">
        <f>IF(OR(H3017=1,I3017=1),0,IF(G3017="Credit",-F3017,F3017))</f>
        <v/>
      </c>
    </row>
    <row r="3018">
      <c r="A3018" t="inlineStr">
        <is>
          <t>2026-07-30</t>
        </is>
      </c>
      <c r="B3018" t="inlineStr">
        <is>
          <t>F278863</t>
        </is>
      </c>
      <c r="C3018" t="inlineStr">
        <is>
          <t>C10999</t>
        </is>
      </c>
      <c r="D3018" t="inlineStr">
        <is>
          <t>SKU-10264</t>
        </is>
      </c>
      <c r="E3018" t="inlineStr">
        <is>
          <t>AM03</t>
        </is>
      </c>
      <c r="F3018" s="5" t="n">
        <v>333.7</v>
      </c>
      <c r="G3018">
        <f>IF(LEFT(B3018,1)="C","Credit","Factuur")</f>
        <v/>
      </c>
      <c r="H3018">
        <f>IF(AND(B3018=B3017,D3018=D3017,A3018=A3017,F3018=F3017),1,0)</f>
        <v/>
      </c>
      <c r="I3018">
        <f>IF(C3018="C99999",1,0)</f>
        <v/>
      </c>
      <c r="J3018" s="5">
        <f>IF(OR(H3018=1,I3018=1),0,IF(G3018="Credit",-F3018,F3018))</f>
        <v/>
      </c>
    </row>
    <row r="3019">
      <c r="A3019" t="inlineStr">
        <is>
          <t>2026-07-30</t>
        </is>
      </c>
      <c r="B3019" t="inlineStr">
        <is>
          <t>F278863</t>
        </is>
      </c>
      <c r="C3019" t="inlineStr">
        <is>
          <t>C10999</t>
        </is>
      </c>
      <c r="D3019" t="inlineStr">
        <is>
          <t>SKU-10330</t>
        </is>
      </c>
      <c r="E3019" t="inlineStr">
        <is>
          <t>AM03</t>
        </is>
      </c>
      <c r="F3019" s="5" t="n">
        <v>339.48</v>
      </c>
      <c r="G3019">
        <f>IF(LEFT(B3019,1)="C","Credit","Factuur")</f>
        <v/>
      </c>
      <c r="H3019">
        <f>IF(AND(B3019=B3018,D3019=D3018,A3019=A3018,F3019=F3018),1,0)</f>
        <v/>
      </c>
      <c r="I3019">
        <f>IF(C3019="C99999",1,0)</f>
        <v/>
      </c>
      <c r="J3019" s="5">
        <f>IF(OR(H3019=1,I3019=1),0,IF(G3019="Credit",-F3019,F3019))</f>
        <v/>
      </c>
    </row>
    <row r="3020">
      <c r="A3020" t="inlineStr">
        <is>
          <t>2026-07-30</t>
        </is>
      </c>
      <c r="B3020" t="inlineStr">
        <is>
          <t>F278863</t>
        </is>
      </c>
      <c r="C3020" t="inlineStr">
        <is>
          <t>C10999</t>
        </is>
      </c>
      <c r="D3020" t="inlineStr">
        <is>
          <t>SKU-10340</t>
        </is>
      </c>
      <c r="E3020" t="inlineStr">
        <is>
          <t>AM03</t>
        </is>
      </c>
      <c r="F3020" s="5" t="n">
        <v>329.38</v>
      </c>
      <c r="G3020">
        <f>IF(LEFT(B3020,1)="C","Credit","Factuur")</f>
        <v/>
      </c>
      <c r="H3020">
        <f>IF(AND(B3020=B3019,D3020=D3019,A3020=A3019,F3020=F3019),1,0)</f>
        <v/>
      </c>
      <c r="I3020">
        <f>IF(C3020="C99999",1,0)</f>
        <v/>
      </c>
      <c r="J3020" s="5">
        <f>IF(OR(H3020=1,I3020=1),0,IF(G3020="Credit",-F3020,F3020))</f>
        <v/>
      </c>
    </row>
    <row r="3021">
      <c r="A3021" t="inlineStr">
        <is>
          <t>2026-07-30</t>
        </is>
      </c>
      <c r="B3021" t="inlineStr">
        <is>
          <t>F280402</t>
        </is>
      </c>
      <c r="C3021" t="inlineStr">
        <is>
          <t>C11077</t>
        </is>
      </c>
      <c r="D3021" t="inlineStr">
        <is>
          <t>SKU-10102</t>
        </is>
      </c>
      <c r="E3021" t="inlineStr">
        <is>
          <t>AM12</t>
        </is>
      </c>
      <c r="F3021" s="5" t="n">
        <v>862.4</v>
      </c>
      <c r="G3021">
        <f>IF(LEFT(B3021,1)="C","Credit","Factuur")</f>
        <v/>
      </c>
      <c r="H3021">
        <f>IF(AND(B3021=B3020,D3021=D3020,A3021=A3020,F3021=F3020),1,0)</f>
        <v/>
      </c>
      <c r="I3021">
        <f>IF(C3021="C99999",1,0)</f>
        <v/>
      </c>
      <c r="J3021" s="5">
        <f>IF(OR(H3021=1,I3021=1),0,IF(G3021="Credit",-F3021,F3021))</f>
        <v/>
      </c>
    </row>
    <row r="3022">
      <c r="A3022" t="inlineStr">
        <is>
          <t>2026-07-30</t>
        </is>
      </c>
      <c r="B3022" t="inlineStr">
        <is>
          <t>F281620</t>
        </is>
      </c>
      <c r="C3022" t="inlineStr">
        <is>
          <t>C11140</t>
        </is>
      </c>
      <c r="D3022" t="inlineStr">
        <is>
          <t>SKU-10276</t>
        </is>
      </c>
      <c r="E3022" t="inlineStr">
        <is>
          <t>AM11</t>
        </is>
      </c>
      <c r="F3022" s="5" t="n">
        <v>436.8</v>
      </c>
      <c r="G3022">
        <f>IF(LEFT(B3022,1)="C","Credit","Factuur")</f>
        <v/>
      </c>
      <c r="H3022">
        <f>IF(AND(B3022=B3021,D3022=D3021,A3022=A3021,F3022=F3021),1,0)</f>
        <v/>
      </c>
      <c r="I3022">
        <f>IF(C3022="C99999",1,0)</f>
        <v/>
      </c>
      <c r="J3022" s="5">
        <f>IF(OR(H3022=1,I3022=1),0,IF(G3022="Credit",-F3022,F3022))</f>
        <v/>
      </c>
    </row>
    <row r="3023">
      <c r="A3023" t="inlineStr">
        <is>
          <t>2026-07-30</t>
        </is>
      </c>
      <c r="B3023" t="inlineStr">
        <is>
          <t>F283260</t>
        </is>
      </c>
      <c r="C3023" t="inlineStr">
        <is>
          <t>C11223</t>
        </is>
      </c>
      <c r="D3023" t="inlineStr">
        <is>
          <t>SKU-10214</t>
        </is>
      </c>
      <c r="E3023" t="inlineStr">
        <is>
          <t>AM03</t>
        </is>
      </c>
      <c r="F3023" s="5" t="n">
        <v>416.77</v>
      </c>
      <c r="G3023">
        <f>IF(LEFT(B3023,1)="C","Credit","Factuur")</f>
        <v/>
      </c>
      <c r="H3023">
        <f>IF(AND(B3023=B3022,D3023=D3022,A3023=A3022,F3023=F3022),1,0)</f>
        <v/>
      </c>
      <c r="I3023">
        <f>IF(C3023="C99999",1,0)</f>
        <v/>
      </c>
      <c r="J3023" s="5">
        <f>IF(OR(H3023=1,I3023=1),0,IF(G3023="Credit",-F3023,F3023))</f>
        <v/>
      </c>
    </row>
    <row r="3024">
      <c r="A3024" t="inlineStr">
        <is>
          <t>2026-07-30</t>
        </is>
      </c>
      <c r="B3024" t="inlineStr">
        <is>
          <t>F283521</t>
        </is>
      </c>
      <c r="C3024" t="inlineStr">
        <is>
          <t>C11235</t>
        </is>
      </c>
      <c r="D3024" t="inlineStr">
        <is>
          <t>SKU-10034</t>
        </is>
      </c>
      <c r="E3024" t="inlineStr">
        <is>
          <t>AM12</t>
        </is>
      </c>
      <c r="F3024" s="5" t="n">
        <v>835.74</v>
      </c>
      <c r="G3024">
        <f>IF(LEFT(B3024,1)="C","Credit","Factuur")</f>
        <v/>
      </c>
      <c r="H3024">
        <f>IF(AND(B3024=B3023,D3024=D3023,A3024=A3023,F3024=F3023),1,0)</f>
        <v/>
      </c>
      <c r="I3024">
        <f>IF(C3024="C99999",1,0)</f>
        <v/>
      </c>
      <c r="J3024" s="5">
        <f>IF(OR(H3024=1,I3024=1),0,IF(G3024="Credit",-F3024,F3024))</f>
        <v/>
      </c>
    </row>
    <row r="3025">
      <c r="A3025" t="inlineStr">
        <is>
          <t>2026-07-30</t>
        </is>
      </c>
      <c r="B3025" t="inlineStr">
        <is>
          <t>F283521</t>
        </is>
      </c>
      <c r="C3025" t="inlineStr">
        <is>
          <t>C11235</t>
        </is>
      </c>
      <c r="D3025" t="inlineStr">
        <is>
          <t>SKU-10277</t>
        </is>
      </c>
      <c r="E3025" t="inlineStr">
        <is>
          <t>AM12</t>
        </is>
      </c>
      <c r="F3025" s="5" t="n">
        <v>853.2</v>
      </c>
      <c r="G3025">
        <f>IF(LEFT(B3025,1)="C","Credit","Factuur")</f>
        <v/>
      </c>
      <c r="H3025">
        <f>IF(AND(B3025=B3024,D3025=D3024,A3025=A3024,F3025=F3024),1,0)</f>
        <v/>
      </c>
      <c r="I3025">
        <f>IF(C3025="C99999",1,0)</f>
        <v/>
      </c>
      <c r="J3025" s="5">
        <f>IF(OR(H3025=1,I3025=1),0,IF(G3025="Credit",-F3025,F3025))</f>
        <v/>
      </c>
    </row>
    <row r="3026">
      <c r="A3026" t="inlineStr">
        <is>
          <t>2026-07-30</t>
        </is>
      </c>
      <c r="B3026" t="inlineStr">
        <is>
          <t>F283640</t>
        </is>
      </c>
      <c r="C3026" t="inlineStr">
        <is>
          <t>C11240</t>
        </is>
      </c>
      <c r="D3026" t="inlineStr">
        <is>
          <t>SKU-10211</t>
        </is>
      </c>
      <c r="E3026" t="inlineStr"/>
      <c r="F3026" s="5" t="n">
        <v>676.73</v>
      </c>
      <c r="G3026">
        <f>IF(LEFT(B3026,1)="C","Credit","Factuur")</f>
        <v/>
      </c>
      <c r="H3026">
        <f>IF(AND(B3026=B3025,D3026=D3025,A3026=A3025,F3026=F3025),1,0)</f>
        <v/>
      </c>
      <c r="I3026">
        <f>IF(C3026="C99999",1,0)</f>
        <v/>
      </c>
      <c r="J3026" s="5">
        <f>IF(OR(H3026=1,I3026=1),0,IF(G3026="Credit",-F3026,F3026))</f>
        <v/>
      </c>
    </row>
    <row r="3027">
      <c r="A3027" t="inlineStr">
        <is>
          <t>2026-07-30</t>
        </is>
      </c>
      <c r="B3027" t="inlineStr">
        <is>
          <t>F283667</t>
        </is>
      </c>
      <c r="C3027" t="inlineStr">
        <is>
          <t>C11241</t>
        </is>
      </c>
      <c r="D3027" t="inlineStr">
        <is>
          <t>SKU-10331</t>
        </is>
      </c>
      <c r="E3027" t="inlineStr">
        <is>
          <t>AM07</t>
        </is>
      </c>
      <c r="F3027" s="5" t="n">
        <v>1259.28</v>
      </c>
      <c r="G3027">
        <f>IF(LEFT(B3027,1)="C","Credit","Factuur")</f>
        <v/>
      </c>
      <c r="H3027">
        <f>IF(AND(B3027=B3026,D3027=D3026,A3027=A3026,F3027=F3026),1,0)</f>
        <v/>
      </c>
      <c r="I3027">
        <f>IF(C3027="C99999",1,0)</f>
        <v/>
      </c>
      <c r="J3027" s="5">
        <f>IF(OR(H3027=1,I3027=1),0,IF(G3027="Credit",-F3027,F3027))</f>
        <v/>
      </c>
    </row>
    <row r="3028">
      <c r="A3028" t="inlineStr">
        <is>
          <t>2026-07-30</t>
        </is>
      </c>
      <c r="B3028" t="inlineStr">
        <is>
          <t>F284023</t>
        </is>
      </c>
      <c r="C3028" t="inlineStr">
        <is>
          <t>C11256</t>
        </is>
      </c>
      <c r="D3028" t="inlineStr">
        <is>
          <t>SKU-10302</t>
        </is>
      </c>
      <c r="E3028" t="inlineStr">
        <is>
          <t>AM08</t>
        </is>
      </c>
      <c r="F3028" s="5" t="n">
        <v>1361.21</v>
      </c>
      <c r="G3028">
        <f>IF(LEFT(B3028,1)="C","Credit","Factuur")</f>
        <v/>
      </c>
      <c r="H3028">
        <f>IF(AND(B3028=B3027,D3028=D3027,A3028=A3027,F3028=F3027),1,0)</f>
        <v/>
      </c>
      <c r="I3028">
        <f>IF(C3028="C99999",1,0)</f>
        <v/>
      </c>
      <c r="J3028" s="5">
        <f>IF(OR(H3028=1,I3028=1),0,IF(G3028="Credit",-F3028,F3028))</f>
        <v/>
      </c>
    </row>
    <row r="3029">
      <c r="A3029" t="inlineStr">
        <is>
          <t>2026-07-30</t>
        </is>
      </c>
      <c r="B3029" t="inlineStr">
        <is>
          <t>F284023</t>
        </is>
      </c>
      <c r="C3029" t="inlineStr">
        <is>
          <t>C11256</t>
        </is>
      </c>
      <c r="D3029" t="inlineStr">
        <is>
          <t>SKU-10322</t>
        </is>
      </c>
      <c r="E3029" t="inlineStr">
        <is>
          <t>AM08</t>
        </is>
      </c>
      <c r="F3029" s="5" t="n">
        <v>1152.17</v>
      </c>
      <c r="G3029">
        <f>IF(LEFT(B3029,1)="C","Credit","Factuur")</f>
        <v/>
      </c>
      <c r="H3029">
        <f>IF(AND(B3029=B3028,D3029=D3028,A3029=A3028,F3029=F3028),1,0)</f>
        <v/>
      </c>
      <c r="I3029">
        <f>IF(C3029="C99999",1,0)</f>
        <v/>
      </c>
      <c r="J3029" s="5">
        <f>IF(OR(H3029=1,I3029=1),0,IF(G3029="Credit",-F3029,F3029))</f>
        <v/>
      </c>
    </row>
    <row r="3030">
      <c r="A3030" t="inlineStr">
        <is>
          <t>2026-07-30</t>
        </is>
      </c>
      <c r="B3030" t="inlineStr">
        <is>
          <t>F284623</t>
        </is>
      </c>
      <c r="C3030" t="inlineStr">
        <is>
          <t>C11292</t>
        </is>
      </c>
      <c r="D3030" t="inlineStr">
        <is>
          <t>SKU-10161</t>
        </is>
      </c>
      <c r="E3030" t="inlineStr">
        <is>
          <t>AM07</t>
        </is>
      </c>
      <c r="F3030" s="5" t="n">
        <v>417.3</v>
      </c>
      <c r="G3030">
        <f>IF(LEFT(B3030,1)="C","Credit","Factuur")</f>
        <v/>
      </c>
      <c r="H3030">
        <f>IF(AND(B3030=B3029,D3030=D3029,A3030=A3029,F3030=F3029),1,0)</f>
        <v/>
      </c>
      <c r="I3030">
        <f>IF(C3030="C99999",1,0)</f>
        <v/>
      </c>
      <c r="J3030" s="5">
        <f>IF(OR(H3030=1,I3030=1),0,IF(G3030="Credit",-F3030,F3030))</f>
        <v/>
      </c>
    </row>
    <row r="3031">
      <c r="A3031" t="inlineStr">
        <is>
          <t>2026-07-30</t>
        </is>
      </c>
      <c r="B3031" t="inlineStr">
        <is>
          <t>F284623</t>
        </is>
      </c>
      <c r="C3031" t="inlineStr">
        <is>
          <t>C11292</t>
        </is>
      </c>
      <c r="D3031" t="inlineStr">
        <is>
          <t>SKU-10168</t>
        </is>
      </c>
      <c r="E3031" t="inlineStr">
        <is>
          <t>AM07</t>
        </is>
      </c>
      <c r="F3031" s="5" t="n">
        <v>417.36</v>
      </c>
      <c r="G3031">
        <f>IF(LEFT(B3031,1)="C","Credit","Factuur")</f>
        <v/>
      </c>
      <c r="H3031">
        <f>IF(AND(B3031=B3030,D3031=D3030,A3031=A3030,F3031=F3030),1,0)</f>
        <v/>
      </c>
      <c r="I3031">
        <f>IF(C3031="C99999",1,0)</f>
        <v/>
      </c>
      <c r="J3031" s="5">
        <f>IF(OR(H3031=1,I3031=1),0,IF(G3031="Credit",-F3031,F3031))</f>
        <v/>
      </c>
    </row>
    <row r="3032">
      <c r="A3032" t="inlineStr">
        <is>
          <t>2026-07-30</t>
        </is>
      </c>
      <c r="B3032" t="inlineStr">
        <is>
          <t>F284623</t>
        </is>
      </c>
      <c r="C3032" t="inlineStr">
        <is>
          <t>C11292</t>
        </is>
      </c>
      <c r="D3032" t="inlineStr">
        <is>
          <t>SKU-10340</t>
        </is>
      </c>
      <c r="E3032" t="inlineStr">
        <is>
          <t>AM07</t>
        </is>
      </c>
      <c r="F3032" s="5" t="n">
        <v>394</v>
      </c>
      <c r="G3032">
        <f>IF(LEFT(B3032,1)="C","Credit","Factuur")</f>
        <v/>
      </c>
      <c r="H3032">
        <f>IF(AND(B3032=B3031,D3032=D3031,A3032=A3031,F3032=F3031),1,0)</f>
        <v/>
      </c>
      <c r="I3032">
        <f>IF(C3032="C99999",1,0)</f>
        <v/>
      </c>
      <c r="J3032" s="5">
        <f>IF(OR(H3032=1,I3032=1),0,IF(G3032="Credit",-F3032,F3032))</f>
        <v/>
      </c>
    </row>
    <row r="3033">
      <c r="A3033" t="inlineStr">
        <is>
          <t>2026-07-30</t>
        </is>
      </c>
      <c r="B3033" t="inlineStr">
        <is>
          <t>F286026</t>
        </is>
      </c>
      <c r="C3033" t="inlineStr">
        <is>
          <t>C11362</t>
        </is>
      </c>
      <c r="D3033" t="inlineStr">
        <is>
          <t>SKU-10017</t>
        </is>
      </c>
      <c r="E3033" t="inlineStr">
        <is>
          <t>AM09</t>
        </is>
      </c>
      <c r="F3033" s="5" t="n">
        <v>811.97</v>
      </c>
      <c r="G3033">
        <f>IF(LEFT(B3033,1)="C","Credit","Factuur")</f>
        <v/>
      </c>
      <c r="H3033">
        <f>IF(AND(B3033=B3032,D3033=D3032,A3033=A3032,F3033=F3032),1,0)</f>
        <v/>
      </c>
      <c r="I3033">
        <f>IF(C3033="C99999",1,0)</f>
        <v/>
      </c>
      <c r="J3033" s="5">
        <f>IF(OR(H3033=1,I3033=1),0,IF(G3033="Credit",-F3033,F3033))</f>
        <v/>
      </c>
    </row>
    <row r="3034">
      <c r="A3034" t="inlineStr">
        <is>
          <t>2026-07-31</t>
        </is>
      </c>
      <c r="B3034" t="inlineStr">
        <is>
          <t>F260413</t>
        </is>
      </c>
      <c r="C3034" t="inlineStr">
        <is>
          <t>C10022</t>
        </is>
      </c>
      <c r="D3034" t="inlineStr">
        <is>
          <t>SKU-10052</t>
        </is>
      </c>
      <c r="E3034" t="inlineStr">
        <is>
          <t>AM08</t>
        </is>
      </c>
      <c r="F3034" s="5" t="n">
        <v>299.88</v>
      </c>
      <c r="G3034">
        <f>IF(LEFT(B3034,1)="C","Credit","Factuur")</f>
        <v/>
      </c>
      <c r="H3034">
        <f>IF(AND(B3034=B3033,D3034=D3033,A3034=A3033,F3034=F3033),1,0)</f>
        <v/>
      </c>
      <c r="I3034">
        <f>IF(C3034="C99999",1,0)</f>
        <v/>
      </c>
      <c r="J3034" s="5">
        <f>IF(OR(H3034=1,I3034=1),0,IF(G3034="Credit",-F3034,F3034))</f>
        <v/>
      </c>
    </row>
    <row r="3035">
      <c r="A3035" t="inlineStr">
        <is>
          <t>2026-07-31</t>
        </is>
      </c>
      <c r="B3035" t="inlineStr">
        <is>
          <t>F260413</t>
        </is>
      </c>
      <c r="C3035" t="inlineStr">
        <is>
          <t>C10022</t>
        </is>
      </c>
      <c r="D3035" t="inlineStr">
        <is>
          <t>SKU-10165</t>
        </is>
      </c>
      <c r="E3035" t="inlineStr">
        <is>
          <t>AM08</t>
        </is>
      </c>
      <c r="F3035" s="5" t="n">
        <v>272.29</v>
      </c>
      <c r="G3035">
        <f>IF(LEFT(B3035,1)="C","Credit","Factuur")</f>
        <v/>
      </c>
      <c r="H3035">
        <f>IF(AND(B3035=B3034,D3035=D3034,A3035=A3034,F3035=F3034),1,0)</f>
        <v/>
      </c>
      <c r="I3035">
        <f>IF(C3035="C99999",1,0)</f>
        <v/>
      </c>
      <c r="J3035" s="5">
        <f>IF(OR(H3035=1,I3035=1),0,IF(G3035="Credit",-F3035,F3035))</f>
        <v/>
      </c>
    </row>
    <row r="3036">
      <c r="A3036" t="inlineStr">
        <is>
          <t>2026-07-31</t>
        </is>
      </c>
      <c r="B3036" t="inlineStr">
        <is>
          <t>F260413</t>
        </is>
      </c>
      <c r="C3036" t="inlineStr">
        <is>
          <t>C10022</t>
        </is>
      </c>
      <c r="D3036" t="inlineStr">
        <is>
          <t>SKU-10235</t>
        </is>
      </c>
      <c r="E3036" t="inlineStr">
        <is>
          <t>AM08</t>
        </is>
      </c>
      <c r="F3036" s="5" t="n">
        <v>252.14</v>
      </c>
      <c r="G3036">
        <f>IF(LEFT(B3036,1)="C","Credit","Factuur")</f>
        <v/>
      </c>
      <c r="H3036">
        <f>IF(AND(B3036=B3035,D3036=D3035,A3036=A3035,F3036=F3035),1,0)</f>
        <v/>
      </c>
      <c r="I3036">
        <f>IF(C3036="C99999",1,0)</f>
        <v/>
      </c>
      <c r="J3036" s="5">
        <f>IF(OR(H3036=1,I3036=1),0,IF(G3036="Credit",-F3036,F3036))</f>
        <v/>
      </c>
    </row>
    <row r="3037">
      <c r="A3037" t="inlineStr">
        <is>
          <t>2026-07-31</t>
        </is>
      </c>
      <c r="B3037" t="inlineStr">
        <is>
          <t>F260413</t>
        </is>
      </c>
      <c r="C3037" t="inlineStr">
        <is>
          <t>C10022</t>
        </is>
      </c>
      <c r="D3037" t="inlineStr">
        <is>
          <t>SKU-10243</t>
        </is>
      </c>
      <c r="E3037" t="inlineStr">
        <is>
          <t>AM08</t>
        </is>
      </c>
      <c r="F3037" s="5" t="n">
        <v>296.34</v>
      </c>
      <c r="G3037">
        <f>IF(LEFT(B3037,1)="C","Credit","Factuur")</f>
        <v/>
      </c>
      <c r="H3037">
        <f>IF(AND(B3037=B3036,D3037=D3036,A3037=A3036,F3037=F3036),1,0)</f>
        <v/>
      </c>
      <c r="I3037">
        <f>IF(C3037="C99999",1,0)</f>
        <v/>
      </c>
      <c r="J3037" s="5">
        <f>IF(OR(H3037=1,I3037=1),0,IF(G3037="Credit",-F3037,F3037))</f>
        <v/>
      </c>
    </row>
    <row r="3038">
      <c r="A3038" t="inlineStr">
        <is>
          <t>2026-07-31</t>
        </is>
      </c>
      <c r="B3038" t="inlineStr">
        <is>
          <t>F260413</t>
        </is>
      </c>
      <c r="C3038" t="inlineStr">
        <is>
          <t>C10022</t>
        </is>
      </c>
      <c r="D3038" t="inlineStr">
        <is>
          <t>SKU-10339</t>
        </is>
      </c>
      <c r="E3038" t="inlineStr">
        <is>
          <t>AM08</t>
        </is>
      </c>
      <c r="F3038" s="5" t="n">
        <v>285.95</v>
      </c>
      <c r="G3038">
        <f>IF(LEFT(B3038,1)="C","Credit","Factuur")</f>
        <v/>
      </c>
      <c r="H3038">
        <f>IF(AND(B3038=B3037,D3038=D3037,A3038=A3037,F3038=F3037),1,0)</f>
        <v/>
      </c>
      <c r="I3038">
        <f>IF(C3038="C99999",1,0)</f>
        <v/>
      </c>
      <c r="J3038" s="5">
        <f>IF(OR(H3038=1,I3038=1),0,IF(G3038="Credit",-F3038,F3038))</f>
        <v/>
      </c>
    </row>
    <row r="3039">
      <c r="A3039" t="inlineStr">
        <is>
          <t>2026-07-31</t>
        </is>
      </c>
      <c r="B3039" t="inlineStr">
        <is>
          <t>F260684</t>
        </is>
      </c>
      <c r="C3039" t="inlineStr">
        <is>
          <t>C10040</t>
        </is>
      </c>
      <c r="D3039" t="inlineStr">
        <is>
          <t>SKU-10179</t>
        </is>
      </c>
      <c r="E3039" t="inlineStr">
        <is>
          <t>AM11</t>
        </is>
      </c>
      <c r="F3039" s="5" t="n">
        <v>622</v>
      </c>
      <c r="G3039">
        <f>IF(LEFT(B3039,1)="C","Credit","Factuur")</f>
        <v/>
      </c>
      <c r="H3039">
        <f>IF(AND(B3039=B3038,D3039=D3038,A3039=A3038,F3039=F3038),1,0)</f>
        <v/>
      </c>
      <c r="I3039">
        <f>IF(C3039="C99999",1,0)</f>
        <v/>
      </c>
      <c r="J3039" s="5">
        <f>IF(OR(H3039=1,I3039=1),0,IF(G3039="Credit",-F3039,F3039))</f>
        <v/>
      </c>
    </row>
    <row r="3040">
      <c r="A3040" t="inlineStr">
        <is>
          <t>2026-07-31</t>
        </is>
      </c>
      <c r="B3040" t="inlineStr">
        <is>
          <t>F260768</t>
        </is>
      </c>
      <c r="C3040" t="inlineStr">
        <is>
          <t>C10046</t>
        </is>
      </c>
      <c r="D3040" t="inlineStr">
        <is>
          <t>SKU-10298</t>
        </is>
      </c>
      <c r="E3040" t="inlineStr">
        <is>
          <t>AM07</t>
        </is>
      </c>
      <c r="F3040" s="5" t="n">
        <v>188.25</v>
      </c>
      <c r="G3040">
        <f>IF(LEFT(B3040,1)="C","Credit","Factuur")</f>
        <v/>
      </c>
      <c r="H3040">
        <f>IF(AND(B3040=B3039,D3040=D3039,A3040=A3039,F3040=F3039),1,0)</f>
        <v/>
      </c>
      <c r="I3040">
        <f>IF(C3040="C99999",1,0)</f>
        <v/>
      </c>
      <c r="J3040" s="5">
        <f>IF(OR(H3040=1,I3040=1),0,IF(G3040="Credit",-F3040,F3040))</f>
        <v/>
      </c>
    </row>
    <row r="3041">
      <c r="A3041" t="inlineStr">
        <is>
          <t>2026-07-31</t>
        </is>
      </c>
      <c r="B3041" t="inlineStr">
        <is>
          <t>F260864</t>
        </is>
      </c>
      <c r="C3041" t="inlineStr">
        <is>
          <t>C10050</t>
        </is>
      </c>
      <c r="D3041" t="inlineStr">
        <is>
          <t>SKU-10264</t>
        </is>
      </c>
      <c r="E3041" t="inlineStr">
        <is>
          <t>AM03</t>
        </is>
      </c>
      <c r="F3041" s="5" t="n">
        <v>1902.09</v>
      </c>
      <c r="G3041">
        <f>IF(LEFT(B3041,1)="C","Credit","Factuur")</f>
        <v/>
      </c>
      <c r="H3041">
        <f>IF(AND(B3041=B3040,D3041=D3040,A3041=A3040,F3041=F3040),1,0)</f>
        <v/>
      </c>
      <c r="I3041">
        <f>IF(C3041="C99999",1,0)</f>
        <v/>
      </c>
      <c r="J3041" s="5">
        <f>IF(OR(H3041=1,I3041=1),0,IF(G3041="Credit",-F3041,F3041))</f>
        <v/>
      </c>
    </row>
    <row r="3042">
      <c r="A3042" t="inlineStr">
        <is>
          <t>2026-07-31</t>
        </is>
      </c>
      <c r="B3042" t="inlineStr">
        <is>
          <t>F260902</t>
        </is>
      </c>
      <c r="C3042" t="inlineStr">
        <is>
          <t>C10052</t>
        </is>
      </c>
      <c r="D3042" t="inlineStr">
        <is>
          <t>SKU-10185</t>
        </is>
      </c>
      <c r="E3042" t="inlineStr">
        <is>
          <t>AM12</t>
        </is>
      </c>
      <c r="F3042" s="5" t="n">
        <v>594.72</v>
      </c>
      <c r="G3042">
        <f>IF(LEFT(B3042,1)="C","Credit","Factuur")</f>
        <v/>
      </c>
      <c r="H3042">
        <f>IF(AND(B3042=B3041,D3042=D3041,A3042=A3041,F3042=F3041),1,0)</f>
        <v/>
      </c>
      <c r="I3042">
        <f>IF(C3042="C99999",1,0)</f>
        <v/>
      </c>
      <c r="J3042" s="5">
        <f>IF(OR(H3042=1,I3042=1),0,IF(G3042="Credit",-F3042,F3042))</f>
        <v/>
      </c>
    </row>
    <row r="3043">
      <c r="A3043" t="inlineStr">
        <is>
          <t>2026-07-31</t>
        </is>
      </c>
      <c r="B3043" t="inlineStr">
        <is>
          <t>F260902</t>
        </is>
      </c>
      <c r="C3043" t="inlineStr">
        <is>
          <t>C10052</t>
        </is>
      </c>
      <c r="D3043" t="inlineStr">
        <is>
          <t>SKU-10240</t>
        </is>
      </c>
      <c r="E3043" t="inlineStr">
        <is>
          <t>AM12</t>
        </is>
      </c>
      <c r="F3043" s="5" t="n">
        <v>597.6</v>
      </c>
      <c r="G3043">
        <f>IF(LEFT(B3043,1)="C","Credit","Factuur")</f>
        <v/>
      </c>
      <c r="H3043">
        <f>IF(AND(B3043=B3042,D3043=D3042,A3043=A3042,F3043=F3042),1,0)</f>
        <v/>
      </c>
      <c r="I3043">
        <f>IF(C3043="C99999",1,0)</f>
        <v/>
      </c>
      <c r="J3043" s="5">
        <f>IF(OR(H3043=1,I3043=1),0,IF(G3043="Credit",-F3043,F3043))</f>
        <v/>
      </c>
    </row>
    <row r="3044">
      <c r="A3044" t="inlineStr">
        <is>
          <t>2026-07-31</t>
        </is>
      </c>
      <c r="B3044" t="inlineStr">
        <is>
          <t>F260902</t>
        </is>
      </c>
      <c r="C3044" t="inlineStr">
        <is>
          <t>C10052</t>
        </is>
      </c>
      <c r="D3044" t="inlineStr">
        <is>
          <t>SKU-10320</t>
        </is>
      </c>
      <c r="E3044" t="inlineStr">
        <is>
          <t>AM12</t>
        </is>
      </c>
      <c r="F3044" s="5" t="n">
        <v>596.97</v>
      </c>
      <c r="G3044">
        <f>IF(LEFT(B3044,1)="C","Credit","Factuur")</f>
        <v/>
      </c>
      <c r="H3044">
        <f>IF(AND(B3044=B3043,D3044=D3043,A3044=A3043,F3044=F3043),1,0)</f>
        <v/>
      </c>
      <c r="I3044">
        <f>IF(C3044="C99999",1,0)</f>
        <v/>
      </c>
      <c r="J3044" s="5">
        <f>IF(OR(H3044=1,I3044=1),0,IF(G3044="Credit",-F3044,F3044))</f>
        <v/>
      </c>
    </row>
    <row r="3045">
      <c r="A3045" t="inlineStr">
        <is>
          <t>2026-07-31</t>
        </is>
      </c>
      <c r="B3045" t="inlineStr">
        <is>
          <t>F260937</t>
        </is>
      </c>
      <c r="C3045" t="inlineStr">
        <is>
          <t>C10053</t>
        </is>
      </c>
      <c r="D3045" t="inlineStr">
        <is>
          <t>SKU-10089</t>
        </is>
      </c>
      <c r="E3045" t="inlineStr">
        <is>
          <t>AM11</t>
        </is>
      </c>
      <c r="F3045" s="5" t="n">
        <v>522.02</v>
      </c>
      <c r="G3045">
        <f>IF(LEFT(B3045,1)="C","Credit","Factuur")</f>
        <v/>
      </c>
      <c r="H3045">
        <f>IF(AND(B3045=B3044,D3045=D3044,A3045=A3044,F3045=F3044),1,0)</f>
        <v/>
      </c>
      <c r="I3045">
        <f>IF(C3045="C99999",1,0)</f>
        <v/>
      </c>
      <c r="J3045" s="5">
        <f>IF(OR(H3045=1,I3045=1),0,IF(G3045="Credit",-F3045,F3045))</f>
        <v/>
      </c>
    </row>
    <row r="3046">
      <c r="A3046" t="inlineStr">
        <is>
          <t>2026-07-31</t>
        </is>
      </c>
      <c r="B3046" t="inlineStr">
        <is>
          <t>F260937</t>
        </is>
      </c>
      <c r="C3046" t="inlineStr">
        <is>
          <t>C10053</t>
        </is>
      </c>
      <c r="D3046" t="inlineStr">
        <is>
          <t>SKU-10157</t>
        </is>
      </c>
      <c r="E3046" t="inlineStr">
        <is>
          <t>AM11</t>
        </is>
      </c>
      <c r="F3046" s="5" t="n">
        <v>519.65</v>
      </c>
      <c r="G3046">
        <f>IF(LEFT(B3046,1)="C","Credit","Factuur")</f>
        <v/>
      </c>
      <c r="H3046">
        <f>IF(AND(B3046=B3045,D3046=D3045,A3046=A3045,F3046=F3045),1,0)</f>
        <v/>
      </c>
      <c r="I3046">
        <f>IF(C3046="C99999",1,0)</f>
        <v/>
      </c>
      <c r="J3046" s="5">
        <f>IF(OR(H3046=1,I3046=1),0,IF(G3046="Credit",-F3046,F3046))</f>
        <v/>
      </c>
    </row>
    <row r="3047">
      <c r="A3047" t="inlineStr">
        <is>
          <t>2026-07-31</t>
        </is>
      </c>
      <c r="B3047" t="inlineStr">
        <is>
          <t>F261109</t>
        </is>
      </c>
      <c r="C3047" t="inlineStr">
        <is>
          <t>C10062</t>
        </is>
      </c>
      <c r="D3047" t="inlineStr">
        <is>
          <t>SKU-10221</t>
        </is>
      </c>
      <c r="E3047" t="inlineStr">
        <is>
          <t>AM05</t>
        </is>
      </c>
      <c r="F3047" s="5" t="n">
        <v>271.26</v>
      </c>
      <c r="G3047">
        <f>IF(LEFT(B3047,1)="C","Credit","Factuur")</f>
        <v/>
      </c>
      <c r="H3047">
        <f>IF(AND(B3047=B3046,D3047=D3046,A3047=A3046,F3047=F3046),1,0)</f>
        <v/>
      </c>
      <c r="I3047">
        <f>IF(C3047="C99999",1,0)</f>
        <v/>
      </c>
      <c r="J3047" s="5">
        <f>IF(OR(H3047=1,I3047=1),0,IF(G3047="Credit",-F3047,F3047))</f>
        <v/>
      </c>
    </row>
    <row r="3048">
      <c r="A3048" t="inlineStr">
        <is>
          <t>2026-07-31</t>
        </is>
      </c>
      <c r="B3048" t="inlineStr">
        <is>
          <t>F261109</t>
        </is>
      </c>
      <c r="C3048" t="inlineStr">
        <is>
          <t>C10062</t>
        </is>
      </c>
      <c r="D3048" t="inlineStr">
        <is>
          <t>SKU-10244</t>
        </is>
      </c>
      <c r="E3048" t="inlineStr">
        <is>
          <t>AM05</t>
        </is>
      </c>
      <c r="F3048" s="5" t="n">
        <v>261.54</v>
      </c>
      <c r="G3048">
        <f>IF(LEFT(B3048,1)="C","Credit","Factuur")</f>
        <v/>
      </c>
      <c r="H3048">
        <f>IF(AND(B3048=B3047,D3048=D3047,A3048=A3047,F3048=F3047),1,0)</f>
        <v/>
      </c>
      <c r="I3048">
        <f>IF(C3048="C99999",1,0)</f>
        <v/>
      </c>
      <c r="J3048" s="5">
        <f>IF(OR(H3048=1,I3048=1),0,IF(G3048="Credit",-F3048,F3048))</f>
        <v/>
      </c>
    </row>
    <row r="3049">
      <c r="A3049" t="inlineStr">
        <is>
          <t>2026-07-31</t>
        </is>
      </c>
      <c r="B3049" t="inlineStr">
        <is>
          <t>F261109</t>
        </is>
      </c>
      <c r="C3049" t="inlineStr">
        <is>
          <t>C10062</t>
        </is>
      </c>
      <c r="D3049" t="inlineStr">
        <is>
          <t>SKU-10377</t>
        </is>
      </c>
      <c r="E3049" t="inlineStr"/>
      <c r="F3049" s="5" t="n">
        <v>253.28</v>
      </c>
      <c r="G3049">
        <f>IF(LEFT(B3049,1)="C","Credit","Factuur")</f>
        <v/>
      </c>
      <c r="H3049">
        <f>IF(AND(B3049=B3048,D3049=D3048,A3049=A3048,F3049=F3048),1,0)</f>
        <v/>
      </c>
      <c r="I3049">
        <f>IF(C3049="C99999",1,0)</f>
        <v/>
      </c>
      <c r="J3049" s="5">
        <f>IF(OR(H3049=1,I3049=1),0,IF(G3049="Credit",-F3049,F3049))</f>
        <v/>
      </c>
    </row>
    <row r="3050">
      <c r="A3050" t="inlineStr">
        <is>
          <t>2026-07-31</t>
        </is>
      </c>
      <c r="B3050" t="inlineStr">
        <is>
          <t>F261497</t>
        </is>
      </c>
      <c r="C3050" t="inlineStr">
        <is>
          <t>C10081</t>
        </is>
      </c>
      <c r="D3050" t="inlineStr">
        <is>
          <t>SKU-10218</t>
        </is>
      </c>
      <c r="E3050" t="inlineStr">
        <is>
          <t>AM08</t>
        </is>
      </c>
      <c r="F3050" s="5" t="n">
        <v>5033.19</v>
      </c>
      <c r="G3050">
        <f>IF(LEFT(B3050,1)="C","Credit","Factuur")</f>
        <v/>
      </c>
      <c r="H3050">
        <f>IF(AND(B3050=B3049,D3050=D3049,A3050=A3049,F3050=F3049),1,0)</f>
        <v/>
      </c>
      <c r="I3050">
        <f>IF(C3050="C99999",1,0)</f>
        <v/>
      </c>
      <c r="J3050" s="5">
        <f>IF(OR(H3050=1,I3050=1),0,IF(G3050="Credit",-F3050,F3050))</f>
        <v/>
      </c>
    </row>
    <row r="3051">
      <c r="A3051" t="inlineStr">
        <is>
          <t>2026-07-31</t>
        </is>
      </c>
      <c r="B3051" t="inlineStr">
        <is>
          <t>F261558</t>
        </is>
      </c>
      <c r="C3051" t="inlineStr">
        <is>
          <t>C10082</t>
        </is>
      </c>
      <c r="D3051" t="inlineStr">
        <is>
          <t>SKU-10025</t>
        </is>
      </c>
      <c r="E3051" t="inlineStr">
        <is>
          <t>AM09</t>
        </is>
      </c>
      <c r="F3051" s="5" t="n">
        <v>6689.15</v>
      </c>
      <c r="G3051">
        <f>IF(LEFT(B3051,1)="C","Credit","Factuur")</f>
        <v/>
      </c>
      <c r="H3051">
        <f>IF(AND(B3051=B3050,D3051=D3050,A3051=A3050,F3051=F3050),1,0)</f>
        <v/>
      </c>
      <c r="I3051">
        <f>IF(C3051="C99999",1,0)</f>
        <v/>
      </c>
      <c r="J3051" s="5">
        <f>IF(OR(H3051=1,I3051=1),0,IF(G3051="Credit",-F3051,F3051))</f>
        <v/>
      </c>
    </row>
    <row r="3052">
      <c r="A3052" t="inlineStr">
        <is>
          <t>2026-07-31</t>
        </is>
      </c>
      <c r="B3052" t="inlineStr">
        <is>
          <t>F261558</t>
        </is>
      </c>
      <c r="C3052" t="inlineStr">
        <is>
          <t>C10082</t>
        </is>
      </c>
      <c r="D3052" t="inlineStr">
        <is>
          <t>SKU-10026</t>
        </is>
      </c>
      <c r="E3052" t="inlineStr">
        <is>
          <t>AM09</t>
        </is>
      </c>
      <c r="F3052" s="5" t="n">
        <v>6712.34</v>
      </c>
      <c r="G3052">
        <f>IF(LEFT(B3052,1)="C","Credit","Factuur")</f>
        <v/>
      </c>
      <c r="H3052">
        <f>IF(AND(B3052=B3051,D3052=D3051,A3052=A3051,F3052=F3051),1,0)</f>
        <v/>
      </c>
      <c r="I3052">
        <f>IF(C3052="C99999",1,0)</f>
        <v/>
      </c>
      <c r="J3052" s="5">
        <f>IF(OR(H3052=1,I3052=1),0,IF(G3052="Credit",-F3052,F3052))</f>
        <v/>
      </c>
    </row>
    <row r="3053">
      <c r="A3053" t="inlineStr">
        <is>
          <t>2026-07-31</t>
        </is>
      </c>
      <c r="B3053" t="inlineStr">
        <is>
          <t>F261558</t>
        </is>
      </c>
      <c r="C3053" t="inlineStr">
        <is>
          <t>C10082</t>
        </is>
      </c>
      <c r="D3053" t="inlineStr">
        <is>
          <t>SKU-10325</t>
        </is>
      </c>
      <c r="E3053" t="inlineStr">
        <is>
          <t>AM09</t>
        </is>
      </c>
      <c r="F3053" s="5" t="n">
        <v>6019.38</v>
      </c>
      <c r="G3053">
        <f>IF(LEFT(B3053,1)="C","Credit","Factuur")</f>
        <v/>
      </c>
      <c r="H3053">
        <f>IF(AND(B3053=B3052,D3053=D3052,A3053=A3052,F3053=F3052),1,0)</f>
        <v/>
      </c>
      <c r="I3053">
        <f>IF(C3053="C99999",1,0)</f>
        <v/>
      </c>
      <c r="J3053" s="5">
        <f>IF(OR(H3053=1,I3053=1),0,IF(G3053="Credit",-F3053,F3053))</f>
        <v/>
      </c>
    </row>
    <row r="3054">
      <c r="A3054" t="inlineStr">
        <is>
          <t>2026-07-31</t>
        </is>
      </c>
      <c r="B3054" t="inlineStr">
        <is>
          <t>F261558</t>
        </is>
      </c>
      <c r="C3054" t="inlineStr">
        <is>
          <t>C10082</t>
        </is>
      </c>
      <c r="D3054" t="inlineStr">
        <is>
          <t>SKU-10360</t>
        </is>
      </c>
      <c r="E3054" t="inlineStr">
        <is>
          <t>AM09</t>
        </is>
      </c>
      <c r="F3054" s="5" t="n">
        <v>5883.47</v>
      </c>
      <c r="G3054">
        <f>IF(LEFT(B3054,1)="C","Credit","Factuur")</f>
        <v/>
      </c>
      <c r="H3054">
        <f>IF(AND(B3054=B3053,D3054=D3053,A3054=A3053,F3054=F3053),1,0)</f>
        <v/>
      </c>
      <c r="I3054">
        <f>IF(C3054="C99999",1,0)</f>
        <v/>
      </c>
      <c r="J3054" s="5">
        <f>IF(OR(H3054=1,I3054=1),0,IF(G3054="Credit",-F3054,F3054))</f>
        <v/>
      </c>
    </row>
    <row r="3055">
      <c r="A3055" t="inlineStr">
        <is>
          <t>2026-07-31</t>
        </is>
      </c>
      <c r="B3055" t="inlineStr">
        <is>
          <t>F261985</t>
        </is>
      </c>
      <c r="C3055" t="inlineStr">
        <is>
          <t>C10107</t>
        </is>
      </c>
      <c r="D3055" t="inlineStr">
        <is>
          <t>SKU-10027</t>
        </is>
      </c>
      <c r="E3055" t="inlineStr">
        <is>
          <t>AM11</t>
        </is>
      </c>
      <c r="F3055" s="5" t="n">
        <v>348.64</v>
      </c>
      <c r="G3055">
        <f>IF(LEFT(B3055,1)="C","Credit","Factuur")</f>
        <v/>
      </c>
      <c r="H3055">
        <f>IF(AND(B3055=B3054,D3055=D3054,A3055=A3054,F3055=F3054),1,0)</f>
        <v/>
      </c>
      <c r="I3055">
        <f>IF(C3055="C99999",1,0)</f>
        <v/>
      </c>
      <c r="J3055" s="5">
        <f>IF(OR(H3055=1,I3055=1),0,IF(G3055="Credit",-F3055,F3055))</f>
        <v/>
      </c>
    </row>
    <row r="3056">
      <c r="A3056" t="inlineStr">
        <is>
          <t>2026-07-31</t>
        </is>
      </c>
      <c r="B3056" t="inlineStr">
        <is>
          <t>F261985</t>
        </is>
      </c>
      <c r="C3056" t="inlineStr">
        <is>
          <t>C10107</t>
        </is>
      </c>
      <c r="D3056" t="inlineStr">
        <is>
          <t>SKU-10214</t>
        </is>
      </c>
      <c r="E3056" t="inlineStr">
        <is>
          <t>AM11</t>
        </is>
      </c>
      <c r="F3056" s="5" t="n">
        <v>355.48</v>
      </c>
      <c r="G3056">
        <f>IF(LEFT(B3056,1)="C","Credit","Factuur")</f>
        <v/>
      </c>
      <c r="H3056">
        <f>IF(AND(B3056=B3055,D3056=D3055,A3056=A3055,F3056=F3055),1,0)</f>
        <v/>
      </c>
      <c r="I3056">
        <f>IF(C3056="C99999",1,0)</f>
        <v/>
      </c>
      <c r="J3056" s="5">
        <f>IF(OR(H3056=1,I3056=1),0,IF(G3056="Credit",-F3056,F3056))</f>
        <v/>
      </c>
    </row>
    <row r="3057">
      <c r="A3057" t="inlineStr">
        <is>
          <t>2026-07-31</t>
        </is>
      </c>
      <c r="B3057" t="inlineStr">
        <is>
          <t>F261985</t>
        </is>
      </c>
      <c r="C3057" t="inlineStr">
        <is>
          <t>C10107</t>
        </is>
      </c>
      <c r="D3057" t="inlineStr">
        <is>
          <t>SKU-10288</t>
        </is>
      </c>
      <c r="E3057" t="inlineStr">
        <is>
          <t>AM11</t>
        </is>
      </c>
      <c r="F3057" s="5" t="n">
        <v>366.74</v>
      </c>
      <c r="G3057">
        <f>IF(LEFT(B3057,1)="C","Credit","Factuur")</f>
        <v/>
      </c>
      <c r="H3057">
        <f>IF(AND(B3057=B3056,D3057=D3056,A3057=A3056,F3057=F3056),1,0)</f>
        <v/>
      </c>
      <c r="I3057">
        <f>IF(C3057="C99999",1,0)</f>
        <v/>
      </c>
      <c r="J3057" s="5">
        <f>IF(OR(H3057=1,I3057=1),0,IF(G3057="Credit",-F3057,F3057))</f>
        <v/>
      </c>
    </row>
    <row r="3058">
      <c r="A3058" t="inlineStr">
        <is>
          <t>2026-07-31</t>
        </is>
      </c>
      <c r="B3058" t="inlineStr">
        <is>
          <t>F263579</t>
        </is>
      </c>
      <c r="C3058" t="inlineStr">
        <is>
          <t>C10193</t>
        </is>
      </c>
      <c r="D3058" t="inlineStr">
        <is>
          <t>SKU-10076</t>
        </is>
      </c>
      <c r="E3058" t="inlineStr">
        <is>
          <t>AM02</t>
        </is>
      </c>
      <c r="F3058" s="5" t="n">
        <v>1721.79</v>
      </c>
      <c r="G3058">
        <f>IF(LEFT(B3058,1)="C","Credit","Factuur")</f>
        <v/>
      </c>
      <c r="H3058">
        <f>IF(AND(B3058=B3057,D3058=D3057,A3058=A3057,F3058=F3057),1,0)</f>
        <v/>
      </c>
      <c r="I3058">
        <f>IF(C3058="C99999",1,0)</f>
        <v/>
      </c>
      <c r="J3058" s="5">
        <f>IF(OR(H3058=1,I3058=1),0,IF(G3058="Credit",-F3058,F3058))</f>
        <v/>
      </c>
    </row>
    <row r="3059">
      <c r="A3059" t="inlineStr">
        <is>
          <t>2026-07-31</t>
        </is>
      </c>
      <c r="B3059" t="inlineStr">
        <is>
          <t>F263579</t>
        </is>
      </c>
      <c r="C3059" t="inlineStr">
        <is>
          <t>C10193</t>
        </is>
      </c>
      <c r="D3059" t="inlineStr">
        <is>
          <t>SKU-10187</t>
        </is>
      </c>
      <c r="E3059" t="inlineStr">
        <is>
          <t>AM02</t>
        </is>
      </c>
      <c r="F3059" s="5" t="n">
        <v>1718.32</v>
      </c>
      <c r="G3059">
        <f>IF(LEFT(B3059,1)="C","Credit","Factuur")</f>
        <v/>
      </c>
      <c r="H3059">
        <f>IF(AND(B3059=B3058,D3059=D3058,A3059=A3058,F3059=F3058),1,0)</f>
        <v/>
      </c>
      <c r="I3059">
        <f>IF(C3059="C99999",1,0)</f>
        <v/>
      </c>
      <c r="J3059" s="5">
        <f>IF(OR(H3059=1,I3059=1),0,IF(G3059="Credit",-F3059,F3059))</f>
        <v/>
      </c>
    </row>
    <row r="3060">
      <c r="A3060" t="inlineStr">
        <is>
          <t>2026-07-31</t>
        </is>
      </c>
      <c r="B3060" t="inlineStr">
        <is>
          <t>F263809</t>
        </is>
      </c>
      <c r="C3060" t="inlineStr">
        <is>
          <t>C10203</t>
        </is>
      </c>
      <c r="D3060" t="inlineStr">
        <is>
          <t>SKU-10010</t>
        </is>
      </c>
      <c r="E3060" t="inlineStr">
        <is>
          <t>AM01</t>
        </is>
      </c>
      <c r="F3060" s="5" t="n">
        <v>132.36</v>
      </c>
      <c r="G3060">
        <f>IF(LEFT(B3060,1)="C","Credit","Factuur")</f>
        <v/>
      </c>
      <c r="H3060">
        <f>IF(AND(B3060=B3059,D3060=D3059,A3060=A3059,F3060=F3059),1,0)</f>
        <v/>
      </c>
      <c r="I3060">
        <f>IF(C3060="C99999",1,0)</f>
        <v/>
      </c>
      <c r="J3060" s="5">
        <f>IF(OR(H3060=1,I3060=1),0,IF(G3060="Credit",-F3060,F3060))</f>
        <v/>
      </c>
    </row>
    <row r="3061">
      <c r="A3061" t="inlineStr">
        <is>
          <t>2026-07-31</t>
        </is>
      </c>
      <c r="B3061" t="inlineStr">
        <is>
          <t>F263809</t>
        </is>
      </c>
      <c r="C3061" t="inlineStr">
        <is>
          <t>C10203</t>
        </is>
      </c>
      <c r="D3061" t="inlineStr">
        <is>
          <t>SKU-10110</t>
        </is>
      </c>
      <c r="E3061" t="inlineStr">
        <is>
          <t>AM01</t>
        </is>
      </c>
      <c r="F3061" s="5" t="n">
        <v>123.5</v>
      </c>
      <c r="G3061">
        <f>IF(LEFT(B3061,1)="C","Credit","Factuur")</f>
        <v/>
      </c>
      <c r="H3061">
        <f>IF(AND(B3061=B3060,D3061=D3060,A3061=A3060,F3061=F3060),1,0)</f>
        <v/>
      </c>
      <c r="I3061">
        <f>IF(C3061="C99999",1,0)</f>
        <v/>
      </c>
      <c r="J3061" s="5">
        <f>IF(OR(H3061=1,I3061=1),0,IF(G3061="Credit",-F3061,F3061))</f>
        <v/>
      </c>
    </row>
    <row r="3062">
      <c r="A3062" t="inlineStr">
        <is>
          <t>2026-07-31</t>
        </is>
      </c>
      <c r="B3062" t="inlineStr">
        <is>
          <t>F263809</t>
        </is>
      </c>
      <c r="C3062" t="inlineStr">
        <is>
          <t>C10203</t>
        </is>
      </c>
      <c r="D3062" t="inlineStr">
        <is>
          <t>SKU-10132</t>
        </is>
      </c>
      <c r="E3062" t="inlineStr">
        <is>
          <t>AM01</t>
        </is>
      </c>
      <c r="F3062" s="5" t="n">
        <v>116.55</v>
      </c>
      <c r="G3062">
        <f>IF(LEFT(B3062,1)="C","Credit","Factuur")</f>
        <v/>
      </c>
      <c r="H3062">
        <f>IF(AND(B3062=B3061,D3062=D3061,A3062=A3061,F3062=F3061),1,0)</f>
        <v/>
      </c>
      <c r="I3062">
        <f>IF(C3062="C99999",1,0)</f>
        <v/>
      </c>
      <c r="J3062" s="5">
        <f>IF(OR(H3062=1,I3062=1),0,IF(G3062="Credit",-F3062,F3062))</f>
        <v/>
      </c>
    </row>
    <row r="3063">
      <c r="A3063" t="inlineStr">
        <is>
          <t>2026-07-31</t>
        </is>
      </c>
      <c r="B3063" t="inlineStr">
        <is>
          <t>F263809</t>
        </is>
      </c>
      <c r="C3063" t="inlineStr">
        <is>
          <t>C10203</t>
        </is>
      </c>
      <c r="D3063" t="inlineStr">
        <is>
          <t>SKU-10156</t>
        </is>
      </c>
      <c r="E3063" t="inlineStr">
        <is>
          <t>AM01</t>
        </is>
      </c>
      <c r="F3063" s="5" t="n">
        <v>127.91</v>
      </c>
      <c r="G3063">
        <f>IF(LEFT(B3063,1)="C","Credit","Factuur")</f>
        <v/>
      </c>
      <c r="H3063">
        <f>IF(AND(B3063=B3062,D3063=D3062,A3063=A3062,F3063=F3062),1,0)</f>
        <v/>
      </c>
      <c r="I3063">
        <f>IF(C3063="C99999",1,0)</f>
        <v/>
      </c>
      <c r="J3063" s="5">
        <f>IF(OR(H3063=1,I3063=1),0,IF(G3063="Credit",-F3063,F3063))</f>
        <v/>
      </c>
    </row>
    <row r="3064">
      <c r="A3064" t="inlineStr">
        <is>
          <t>2026-07-31</t>
        </is>
      </c>
      <c r="B3064" t="inlineStr">
        <is>
          <t>F263809</t>
        </is>
      </c>
      <c r="C3064" t="inlineStr">
        <is>
          <t>C10203</t>
        </is>
      </c>
      <c r="D3064" t="inlineStr">
        <is>
          <t>SKU-10164</t>
        </is>
      </c>
      <c r="E3064" t="inlineStr">
        <is>
          <t>AM01</t>
        </is>
      </c>
      <c r="F3064" s="5" t="n">
        <v>123.05</v>
      </c>
      <c r="G3064">
        <f>IF(LEFT(B3064,1)="C","Credit","Factuur")</f>
        <v/>
      </c>
      <c r="H3064">
        <f>IF(AND(B3064=B3063,D3064=D3063,A3064=A3063,F3064=F3063),1,0)</f>
        <v/>
      </c>
      <c r="I3064">
        <f>IF(C3064="C99999",1,0)</f>
        <v/>
      </c>
      <c r="J3064" s="5">
        <f>IF(OR(H3064=1,I3064=1),0,IF(G3064="Credit",-F3064,F3064))</f>
        <v/>
      </c>
    </row>
    <row r="3065">
      <c r="A3065" t="inlineStr">
        <is>
          <t>2026-07-31</t>
        </is>
      </c>
      <c r="B3065" t="inlineStr">
        <is>
          <t>F263823</t>
        </is>
      </c>
      <c r="C3065" t="inlineStr">
        <is>
          <t>C10203</t>
        </is>
      </c>
      <c r="D3065" t="inlineStr">
        <is>
          <t>SKU-10109</t>
        </is>
      </c>
      <c r="E3065" t="inlineStr">
        <is>
          <t>AM01</t>
        </is>
      </c>
      <c r="F3065" s="5" t="n">
        <v>287.7</v>
      </c>
      <c r="G3065">
        <f>IF(LEFT(B3065,1)="C","Credit","Factuur")</f>
        <v/>
      </c>
      <c r="H3065">
        <f>IF(AND(B3065=B3064,D3065=D3064,A3065=A3064,F3065=F3064),1,0)</f>
        <v/>
      </c>
      <c r="I3065">
        <f>IF(C3065="C99999",1,0)</f>
        <v/>
      </c>
      <c r="J3065" s="5">
        <f>IF(OR(H3065=1,I3065=1),0,IF(G3065="Credit",-F3065,F3065))</f>
        <v/>
      </c>
    </row>
    <row r="3066">
      <c r="A3066" t="inlineStr">
        <is>
          <t>2026-07-31</t>
        </is>
      </c>
      <c r="B3066" t="inlineStr">
        <is>
          <t>F263823</t>
        </is>
      </c>
      <c r="C3066" t="inlineStr">
        <is>
          <t>C10203</t>
        </is>
      </c>
      <c r="D3066" t="inlineStr">
        <is>
          <t>SKU-10290</t>
        </is>
      </c>
      <c r="E3066" t="inlineStr">
        <is>
          <t>AM01</t>
        </is>
      </c>
      <c r="F3066" s="5" t="n">
        <v>276.8</v>
      </c>
      <c r="G3066">
        <f>IF(LEFT(B3066,1)="C","Credit","Factuur")</f>
        <v/>
      </c>
      <c r="H3066">
        <f>IF(AND(B3066=B3065,D3066=D3065,A3066=A3065,F3066=F3065),1,0)</f>
        <v/>
      </c>
      <c r="I3066">
        <f>IF(C3066="C99999",1,0)</f>
        <v/>
      </c>
      <c r="J3066" s="5">
        <f>IF(OR(H3066=1,I3066=1),0,IF(G3066="Credit",-F3066,F3066))</f>
        <v/>
      </c>
    </row>
    <row r="3067">
      <c r="A3067" t="inlineStr">
        <is>
          <t>2026-07-31</t>
        </is>
      </c>
      <c r="B3067" t="inlineStr">
        <is>
          <t>F263865</t>
        </is>
      </c>
      <c r="C3067" t="inlineStr">
        <is>
          <t>C10205</t>
        </is>
      </c>
      <c r="D3067" t="inlineStr">
        <is>
          <t>SKU-10162</t>
        </is>
      </c>
      <c r="E3067" t="inlineStr">
        <is>
          <t>AM12</t>
        </is>
      </c>
      <c r="F3067" s="5" t="n">
        <v>472.5</v>
      </c>
      <c r="G3067">
        <f>IF(LEFT(B3067,1)="C","Credit","Factuur")</f>
        <v/>
      </c>
      <c r="H3067">
        <f>IF(AND(B3067=B3066,D3067=D3066,A3067=A3066,F3067=F3066),1,0)</f>
        <v/>
      </c>
      <c r="I3067">
        <f>IF(C3067="C99999",1,0)</f>
        <v/>
      </c>
      <c r="J3067" s="5">
        <f>IF(OR(H3067=1,I3067=1),0,IF(G3067="Credit",-F3067,F3067))</f>
        <v/>
      </c>
    </row>
    <row r="3068">
      <c r="A3068" t="inlineStr">
        <is>
          <t>2026-07-31</t>
        </is>
      </c>
      <c r="B3068" t="inlineStr">
        <is>
          <t>F263865</t>
        </is>
      </c>
      <c r="C3068" t="inlineStr">
        <is>
          <t>C10205</t>
        </is>
      </c>
      <c r="D3068" t="inlineStr">
        <is>
          <t>SKU-10238</t>
        </is>
      </c>
      <c r="E3068" t="inlineStr">
        <is>
          <t>AM12</t>
        </is>
      </c>
      <c r="F3068" s="5" t="n">
        <v>472.5</v>
      </c>
      <c r="G3068">
        <f>IF(LEFT(B3068,1)="C","Credit","Factuur")</f>
        <v/>
      </c>
      <c r="H3068">
        <f>IF(AND(B3068=B3067,D3068=D3067,A3068=A3067,F3068=F3067),1,0)</f>
        <v/>
      </c>
      <c r="I3068">
        <f>IF(C3068="C99999",1,0)</f>
        <v/>
      </c>
      <c r="J3068" s="5">
        <f>IF(OR(H3068=1,I3068=1),0,IF(G3068="Credit",-F3068,F3068))</f>
        <v/>
      </c>
    </row>
    <row r="3069">
      <c r="A3069" t="inlineStr">
        <is>
          <t>2026-07-31</t>
        </is>
      </c>
      <c r="B3069" t="inlineStr">
        <is>
          <t>F263973</t>
        </is>
      </c>
      <c r="C3069" t="inlineStr">
        <is>
          <t>C10208</t>
        </is>
      </c>
      <c r="D3069" t="inlineStr">
        <is>
          <t>SKU-10070</t>
        </is>
      </c>
      <c r="E3069" t="inlineStr">
        <is>
          <t>AM01</t>
        </is>
      </c>
      <c r="F3069" s="5" t="n">
        <v>674.3</v>
      </c>
      <c r="G3069">
        <f>IF(LEFT(B3069,1)="C","Credit","Factuur")</f>
        <v/>
      </c>
      <c r="H3069">
        <f>IF(AND(B3069=B3068,D3069=D3068,A3069=A3068,F3069=F3068),1,0)</f>
        <v/>
      </c>
      <c r="I3069">
        <f>IF(C3069="C99999",1,0)</f>
        <v/>
      </c>
      <c r="J3069" s="5">
        <f>IF(OR(H3069=1,I3069=1),0,IF(G3069="Credit",-F3069,F3069))</f>
        <v/>
      </c>
    </row>
    <row r="3070">
      <c r="A3070" t="inlineStr">
        <is>
          <t>2026-07-31</t>
        </is>
      </c>
      <c r="B3070" t="inlineStr">
        <is>
          <t>F263973</t>
        </is>
      </c>
      <c r="C3070" t="inlineStr">
        <is>
          <t>C10208</t>
        </is>
      </c>
      <c r="D3070" t="inlineStr">
        <is>
          <t>SKU-10236</t>
        </is>
      </c>
      <c r="E3070" t="inlineStr">
        <is>
          <t>AM01</t>
        </is>
      </c>
      <c r="F3070" s="5" t="n">
        <v>668.8</v>
      </c>
      <c r="G3070">
        <f>IF(LEFT(B3070,1)="C","Credit","Factuur")</f>
        <v/>
      </c>
      <c r="H3070">
        <f>IF(AND(B3070=B3069,D3070=D3069,A3070=A3069,F3070=F3069),1,0)</f>
        <v/>
      </c>
      <c r="I3070">
        <f>IF(C3070="C99999",1,0)</f>
        <v/>
      </c>
      <c r="J3070" s="5">
        <f>IF(OR(H3070=1,I3070=1),0,IF(G3070="Credit",-F3070,F3070))</f>
        <v/>
      </c>
    </row>
    <row r="3071">
      <c r="A3071" t="inlineStr">
        <is>
          <t>2026-07-31</t>
        </is>
      </c>
      <c r="B3071" t="inlineStr">
        <is>
          <t>F263973</t>
        </is>
      </c>
      <c r="C3071" t="inlineStr">
        <is>
          <t>C10208</t>
        </is>
      </c>
      <c r="D3071" t="inlineStr">
        <is>
          <t>SKU-10313</t>
        </is>
      </c>
      <c r="E3071" t="inlineStr">
        <is>
          <t>AM01</t>
        </is>
      </c>
      <c r="F3071" s="5" t="n">
        <v>667.2</v>
      </c>
      <c r="G3071">
        <f>IF(LEFT(B3071,1)="C","Credit","Factuur")</f>
        <v/>
      </c>
      <c r="H3071">
        <f>IF(AND(B3071=B3070,D3071=D3070,A3071=A3070,F3071=F3070),1,0)</f>
        <v/>
      </c>
      <c r="I3071">
        <f>IF(C3071="C99999",1,0)</f>
        <v/>
      </c>
      <c r="J3071" s="5">
        <f>IF(OR(H3071=1,I3071=1),0,IF(G3071="Credit",-F3071,F3071))</f>
        <v/>
      </c>
    </row>
    <row r="3072">
      <c r="A3072" t="inlineStr">
        <is>
          <t>2026-07-31</t>
        </is>
      </c>
      <c r="B3072" t="inlineStr">
        <is>
          <t>F264045</t>
        </is>
      </c>
      <c r="C3072" t="inlineStr">
        <is>
          <t>C10212</t>
        </is>
      </c>
      <c r="D3072" t="inlineStr">
        <is>
          <t>SKU-10002</t>
        </is>
      </c>
      <c r="E3072" t="inlineStr">
        <is>
          <t>AM11</t>
        </is>
      </c>
      <c r="F3072" s="5" t="n">
        <v>436.01</v>
      </c>
      <c r="G3072">
        <f>IF(LEFT(B3072,1)="C","Credit","Factuur")</f>
        <v/>
      </c>
      <c r="H3072">
        <f>IF(AND(B3072=B3071,D3072=D3071,A3072=A3071,F3072=F3071),1,0)</f>
        <v/>
      </c>
      <c r="I3072">
        <f>IF(C3072="C99999",1,0)</f>
        <v/>
      </c>
      <c r="J3072" s="5">
        <f>IF(OR(H3072=1,I3072=1),0,IF(G3072="Credit",-F3072,F3072))</f>
        <v/>
      </c>
    </row>
    <row r="3073">
      <c r="A3073" t="inlineStr">
        <is>
          <t>2026-07-31</t>
        </is>
      </c>
      <c r="B3073" t="inlineStr">
        <is>
          <t>F264045</t>
        </is>
      </c>
      <c r="C3073" t="inlineStr">
        <is>
          <t>C10212</t>
        </is>
      </c>
      <c r="D3073" t="inlineStr">
        <is>
          <t>SKU-10115</t>
        </is>
      </c>
      <c r="E3073" t="inlineStr">
        <is>
          <t>AM11</t>
        </is>
      </c>
      <c r="F3073" s="5" t="n">
        <v>420.57</v>
      </c>
      <c r="G3073">
        <f>IF(LEFT(B3073,1)="C","Credit","Factuur")</f>
        <v/>
      </c>
      <c r="H3073">
        <f>IF(AND(B3073=B3072,D3073=D3072,A3073=A3072,F3073=F3072),1,0)</f>
        <v/>
      </c>
      <c r="I3073">
        <f>IF(C3073="C99999",1,0)</f>
        <v/>
      </c>
      <c r="J3073" s="5">
        <f>IF(OR(H3073=1,I3073=1),0,IF(G3073="Credit",-F3073,F3073))</f>
        <v/>
      </c>
    </row>
    <row r="3074">
      <c r="A3074" t="inlineStr">
        <is>
          <t>2026-07-31</t>
        </is>
      </c>
      <c r="B3074" t="inlineStr">
        <is>
          <t>F264045</t>
        </is>
      </c>
      <c r="C3074" t="inlineStr">
        <is>
          <t>C10212</t>
        </is>
      </c>
      <c r="D3074" t="inlineStr">
        <is>
          <t>SKU-10134</t>
        </is>
      </c>
      <c r="E3074" t="inlineStr">
        <is>
          <t>AM11</t>
        </is>
      </c>
      <c r="F3074" s="5" t="n">
        <v>478.38</v>
      </c>
      <c r="G3074">
        <f>IF(LEFT(B3074,1)="C","Credit","Factuur")</f>
        <v/>
      </c>
      <c r="H3074">
        <f>IF(AND(B3074=B3073,D3074=D3073,A3074=A3073,F3074=F3073),1,0)</f>
        <v/>
      </c>
      <c r="I3074">
        <f>IF(C3074="C99999",1,0)</f>
        <v/>
      </c>
      <c r="J3074" s="5">
        <f>IF(OR(H3074=1,I3074=1),0,IF(G3074="Credit",-F3074,F3074))</f>
        <v/>
      </c>
    </row>
    <row r="3075">
      <c r="A3075" t="inlineStr">
        <is>
          <t>2026-07-31</t>
        </is>
      </c>
      <c r="B3075" t="inlineStr">
        <is>
          <t>F264045</t>
        </is>
      </c>
      <c r="C3075" t="inlineStr">
        <is>
          <t>C10212</t>
        </is>
      </c>
      <c r="D3075" t="inlineStr">
        <is>
          <t>SKU-10322</t>
        </is>
      </c>
      <c r="E3075" t="inlineStr">
        <is>
          <t>AM11</t>
        </is>
      </c>
      <c r="F3075" s="5" t="n">
        <v>433.76</v>
      </c>
      <c r="G3075">
        <f>IF(LEFT(B3075,1)="C","Credit","Factuur")</f>
        <v/>
      </c>
      <c r="H3075">
        <f>IF(AND(B3075=B3074,D3075=D3074,A3075=A3074,F3075=F3074),1,0)</f>
        <v/>
      </c>
      <c r="I3075">
        <f>IF(C3075="C99999",1,0)</f>
        <v/>
      </c>
      <c r="J3075" s="5">
        <f>IF(OR(H3075=1,I3075=1),0,IF(G3075="Credit",-F3075,F3075))</f>
        <v/>
      </c>
    </row>
    <row r="3076">
      <c r="A3076" t="inlineStr">
        <is>
          <t>2026-07-31</t>
        </is>
      </c>
      <c r="B3076" t="inlineStr">
        <is>
          <t>F264045</t>
        </is>
      </c>
      <c r="C3076" t="inlineStr">
        <is>
          <t>C10212</t>
        </is>
      </c>
      <c r="D3076" t="inlineStr">
        <is>
          <t>SKU-10330</t>
        </is>
      </c>
      <c r="E3076" t="inlineStr">
        <is>
          <t>AM11</t>
        </is>
      </c>
      <c r="F3076" s="5" t="n">
        <v>430.01</v>
      </c>
      <c r="G3076">
        <f>IF(LEFT(B3076,1)="C","Credit","Factuur")</f>
        <v/>
      </c>
      <c r="H3076">
        <f>IF(AND(B3076=B3075,D3076=D3075,A3076=A3075,F3076=F3075),1,0)</f>
        <v/>
      </c>
      <c r="I3076">
        <f>IF(C3076="C99999",1,0)</f>
        <v/>
      </c>
      <c r="J3076" s="5">
        <f>IF(OR(H3076=1,I3076=1),0,IF(G3076="Credit",-F3076,F3076))</f>
        <v/>
      </c>
    </row>
    <row r="3077">
      <c r="A3077" t="inlineStr">
        <is>
          <t>2026-07-31</t>
        </is>
      </c>
      <c r="B3077" t="inlineStr">
        <is>
          <t>F264537</t>
        </is>
      </c>
      <c r="C3077" t="inlineStr">
        <is>
          <t>C10234</t>
        </is>
      </c>
      <c r="D3077" t="inlineStr">
        <is>
          <t>SKU-10257</t>
        </is>
      </c>
      <c r="E3077" t="inlineStr">
        <is>
          <t>AM08</t>
        </is>
      </c>
      <c r="F3077" s="5" t="n">
        <v>277.58</v>
      </c>
      <c r="G3077">
        <f>IF(LEFT(B3077,1)="C","Credit","Factuur")</f>
        <v/>
      </c>
      <c r="H3077">
        <f>IF(AND(B3077=B3076,D3077=D3076,A3077=A3076,F3077=F3076),1,0)</f>
        <v/>
      </c>
      <c r="I3077">
        <f>IF(C3077="C99999",1,0)</f>
        <v/>
      </c>
      <c r="J3077" s="5">
        <f>IF(OR(H3077=1,I3077=1),0,IF(G3077="Credit",-F3077,F3077))</f>
        <v/>
      </c>
    </row>
    <row r="3078">
      <c r="A3078" t="inlineStr">
        <is>
          <t>2026-07-31</t>
        </is>
      </c>
      <c r="B3078" t="inlineStr">
        <is>
          <t>F264537</t>
        </is>
      </c>
      <c r="C3078" t="inlineStr">
        <is>
          <t>C10234</t>
        </is>
      </c>
      <c r="D3078" t="inlineStr">
        <is>
          <t>SKU-10298</t>
        </is>
      </c>
      <c r="E3078" t="inlineStr">
        <is>
          <t>AM08</t>
        </is>
      </c>
      <c r="F3078" s="5" t="n">
        <v>286.14</v>
      </c>
      <c r="G3078">
        <f>IF(LEFT(B3078,1)="C","Credit","Factuur")</f>
        <v/>
      </c>
      <c r="H3078">
        <f>IF(AND(B3078=B3077,D3078=D3077,A3078=A3077,F3078=F3077),1,0)</f>
        <v/>
      </c>
      <c r="I3078">
        <f>IF(C3078="C99999",1,0)</f>
        <v/>
      </c>
      <c r="J3078" s="5">
        <f>IF(OR(H3078=1,I3078=1),0,IF(G3078="Credit",-F3078,F3078))</f>
        <v/>
      </c>
    </row>
    <row r="3079">
      <c r="A3079" t="inlineStr">
        <is>
          <t>2026-07-31</t>
        </is>
      </c>
      <c r="B3079" t="inlineStr">
        <is>
          <t>F264537</t>
        </is>
      </c>
      <c r="C3079" t="inlineStr">
        <is>
          <t>C10234</t>
        </is>
      </c>
      <c r="D3079" t="inlineStr">
        <is>
          <t>SKU-10338</t>
        </is>
      </c>
      <c r="E3079" t="inlineStr">
        <is>
          <t>AM08</t>
        </is>
      </c>
      <c r="F3079" s="5" t="n">
        <v>262.75</v>
      </c>
      <c r="G3079">
        <f>IF(LEFT(B3079,1)="C","Credit","Factuur")</f>
        <v/>
      </c>
      <c r="H3079">
        <f>IF(AND(B3079=B3078,D3079=D3078,A3079=A3078,F3079=F3078),1,0)</f>
        <v/>
      </c>
      <c r="I3079">
        <f>IF(C3079="C99999",1,0)</f>
        <v/>
      </c>
      <c r="J3079" s="5">
        <f>IF(OR(H3079=1,I3079=1),0,IF(G3079="Credit",-F3079,F3079))</f>
        <v/>
      </c>
    </row>
    <row r="3080">
      <c r="A3080" t="inlineStr">
        <is>
          <t>2026-07-31</t>
        </is>
      </c>
      <c r="B3080" t="inlineStr">
        <is>
          <t>F264537</t>
        </is>
      </c>
      <c r="C3080" t="inlineStr">
        <is>
          <t>C10234</t>
        </is>
      </c>
      <c r="D3080" t="inlineStr">
        <is>
          <t>SKU-10373</t>
        </is>
      </c>
      <c r="E3080" t="inlineStr">
        <is>
          <t>AM08</t>
        </is>
      </c>
      <c r="F3080" s="5" t="n">
        <v>299.36</v>
      </c>
      <c r="G3080">
        <f>IF(LEFT(B3080,1)="C","Credit","Factuur")</f>
        <v/>
      </c>
      <c r="H3080">
        <f>IF(AND(B3080=B3079,D3080=D3079,A3080=A3079,F3080=F3079),1,0)</f>
        <v/>
      </c>
      <c r="I3080">
        <f>IF(C3080="C99999",1,0)</f>
        <v/>
      </c>
      <c r="J3080" s="5">
        <f>IF(OR(H3080=1,I3080=1),0,IF(G3080="Credit",-F3080,F3080))</f>
        <v/>
      </c>
    </row>
    <row r="3081">
      <c r="A3081" t="inlineStr">
        <is>
          <t>2026-07-31</t>
        </is>
      </c>
      <c r="B3081" t="inlineStr">
        <is>
          <t>F264561</t>
        </is>
      </c>
      <c r="C3081" t="inlineStr">
        <is>
          <t>C10237</t>
        </is>
      </c>
      <c r="D3081" t="inlineStr">
        <is>
          <t>SKU-10012</t>
        </is>
      </c>
      <c r="E3081" t="inlineStr">
        <is>
          <t>AM07</t>
        </is>
      </c>
      <c r="F3081" s="5" t="n">
        <v>60.63</v>
      </c>
      <c r="G3081">
        <f>IF(LEFT(B3081,1)="C","Credit","Factuur")</f>
        <v/>
      </c>
      <c r="H3081">
        <f>IF(AND(B3081=B3080,D3081=D3080,A3081=A3080,F3081=F3080),1,0)</f>
        <v/>
      </c>
      <c r="I3081">
        <f>IF(C3081="C99999",1,0)</f>
        <v/>
      </c>
      <c r="J3081" s="5">
        <f>IF(OR(H3081=1,I3081=1),0,IF(G3081="Credit",-F3081,F3081))</f>
        <v/>
      </c>
    </row>
    <row r="3082">
      <c r="A3082" t="inlineStr">
        <is>
          <t>2026-07-31</t>
        </is>
      </c>
      <c r="B3082" t="inlineStr">
        <is>
          <t>F264561</t>
        </is>
      </c>
      <c r="C3082" t="inlineStr">
        <is>
          <t>C10237</t>
        </is>
      </c>
      <c r="D3082" t="inlineStr">
        <is>
          <t>SKU-10031</t>
        </is>
      </c>
      <c r="E3082" t="inlineStr">
        <is>
          <t>AM07</t>
        </is>
      </c>
      <c r="F3082" s="5" t="n">
        <v>87.51000000000001</v>
      </c>
      <c r="G3082">
        <f>IF(LEFT(B3082,1)="C","Credit","Factuur")</f>
        <v/>
      </c>
      <c r="H3082">
        <f>IF(AND(B3082=B3081,D3082=D3081,A3082=A3081,F3082=F3081),1,0)</f>
        <v/>
      </c>
      <c r="I3082">
        <f>IF(C3082="C99999",1,0)</f>
        <v/>
      </c>
      <c r="J3082" s="5">
        <f>IF(OR(H3082=1,I3082=1),0,IF(G3082="Credit",-F3082,F3082))</f>
        <v/>
      </c>
    </row>
    <row r="3083">
      <c r="A3083" t="inlineStr">
        <is>
          <t>2026-07-31</t>
        </is>
      </c>
      <c r="B3083" t="inlineStr">
        <is>
          <t>F264561</t>
        </is>
      </c>
      <c r="C3083" t="inlineStr">
        <is>
          <t>C10237</t>
        </is>
      </c>
      <c r="D3083" t="inlineStr">
        <is>
          <t>SKU-10040</t>
        </is>
      </c>
      <c r="E3083" t="inlineStr">
        <is>
          <t>AM07</t>
        </is>
      </c>
      <c r="F3083" s="5" t="n">
        <v>75.09999999999999</v>
      </c>
      <c r="G3083">
        <f>IF(LEFT(B3083,1)="C","Credit","Factuur")</f>
        <v/>
      </c>
      <c r="H3083">
        <f>IF(AND(B3083=B3082,D3083=D3082,A3083=A3082,F3083=F3082),1,0)</f>
        <v/>
      </c>
      <c r="I3083">
        <f>IF(C3083="C99999",1,0)</f>
        <v/>
      </c>
      <c r="J3083" s="5">
        <f>IF(OR(H3083=1,I3083=1),0,IF(G3083="Credit",-F3083,F3083))</f>
        <v/>
      </c>
    </row>
    <row r="3084">
      <c r="A3084" t="inlineStr">
        <is>
          <t>2026-07-31</t>
        </is>
      </c>
      <c r="B3084" t="inlineStr">
        <is>
          <t>F264561</t>
        </is>
      </c>
      <c r="C3084" t="inlineStr">
        <is>
          <t>C10237</t>
        </is>
      </c>
      <c r="D3084" t="inlineStr">
        <is>
          <t>SKU-10121</t>
        </is>
      </c>
      <c r="E3084" t="inlineStr">
        <is>
          <t>AM07</t>
        </is>
      </c>
      <c r="F3084" s="5" t="n">
        <v>64.93000000000001</v>
      </c>
      <c r="G3084">
        <f>IF(LEFT(B3084,1)="C","Credit","Factuur")</f>
        <v/>
      </c>
      <c r="H3084">
        <f>IF(AND(B3084=B3083,D3084=D3083,A3084=A3083,F3084=F3083),1,0)</f>
        <v/>
      </c>
      <c r="I3084">
        <f>IF(C3084="C99999",1,0)</f>
        <v/>
      </c>
      <c r="J3084" s="5">
        <f>IF(OR(H3084=1,I3084=1),0,IF(G3084="Credit",-F3084,F3084))</f>
        <v/>
      </c>
    </row>
    <row r="3085">
      <c r="A3085" t="inlineStr">
        <is>
          <t>2026-07-31</t>
        </is>
      </c>
      <c r="B3085" t="inlineStr">
        <is>
          <t>F264561</t>
        </is>
      </c>
      <c r="C3085" t="inlineStr">
        <is>
          <t>C10237</t>
        </is>
      </c>
      <c r="D3085" t="inlineStr">
        <is>
          <t>SKU-10170</t>
        </is>
      </c>
      <c r="E3085" t="inlineStr">
        <is>
          <t>AM07</t>
        </is>
      </c>
      <c r="F3085" s="5" t="n">
        <v>74.64</v>
      </c>
      <c r="G3085">
        <f>IF(LEFT(B3085,1)="C","Credit","Factuur")</f>
        <v/>
      </c>
      <c r="H3085">
        <f>IF(AND(B3085=B3084,D3085=D3084,A3085=A3084,F3085=F3084),1,0)</f>
        <v/>
      </c>
      <c r="I3085">
        <f>IF(C3085="C99999",1,0)</f>
        <v/>
      </c>
      <c r="J3085" s="5">
        <f>IF(OR(H3085=1,I3085=1),0,IF(G3085="Credit",-F3085,F3085))</f>
        <v/>
      </c>
    </row>
    <row r="3086">
      <c r="A3086" t="inlineStr">
        <is>
          <t>2026-07-31</t>
        </is>
      </c>
      <c r="B3086" t="inlineStr">
        <is>
          <t>F264571</t>
        </is>
      </c>
      <c r="C3086" t="inlineStr">
        <is>
          <t>C10237</t>
        </is>
      </c>
      <c r="D3086" t="inlineStr">
        <is>
          <t>SKU-10062</t>
        </is>
      </c>
      <c r="E3086" t="inlineStr">
        <is>
          <t>AM07</t>
        </is>
      </c>
      <c r="F3086" s="5" t="n">
        <v>165.53</v>
      </c>
      <c r="G3086">
        <f>IF(LEFT(B3086,1)="C","Credit","Factuur")</f>
        <v/>
      </c>
      <c r="H3086">
        <f>IF(AND(B3086=B3085,D3086=D3085,A3086=A3085,F3086=F3085),1,0)</f>
        <v/>
      </c>
      <c r="I3086">
        <f>IF(C3086="C99999",1,0)</f>
        <v/>
      </c>
      <c r="J3086" s="5">
        <f>IF(OR(H3086=1,I3086=1),0,IF(G3086="Credit",-F3086,F3086))</f>
        <v/>
      </c>
    </row>
    <row r="3087">
      <c r="A3087" t="inlineStr">
        <is>
          <t>2026-07-31</t>
        </is>
      </c>
      <c r="B3087" t="inlineStr">
        <is>
          <t>F264571</t>
        </is>
      </c>
      <c r="C3087" t="inlineStr">
        <is>
          <t>C10237</t>
        </is>
      </c>
      <c r="D3087" t="inlineStr">
        <is>
          <t>SKU-10086</t>
        </is>
      </c>
      <c r="E3087" t="inlineStr">
        <is>
          <t>AM07</t>
        </is>
      </c>
      <c r="F3087" s="5" t="n">
        <v>182.28</v>
      </c>
      <c r="G3087">
        <f>IF(LEFT(B3087,1)="C","Credit","Factuur")</f>
        <v/>
      </c>
      <c r="H3087">
        <f>IF(AND(B3087=B3086,D3087=D3086,A3087=A3086,F3087=F3086),1,0)</f>
        <v/>
      </c>
      <c r="I3087">
        <f>IF(C3087="C99999",1,0)</f>
        <v/>
      </c>
      <c r="J3087" s="5">
        <f>IF(OR(H3087=1,I3087=1),0,IF(G3087="Credit",-F3087,F3087))</f>
        <v/>
      </c>
    </row>
    <row r="3088">
      <c r="A3088" t="inlineStr">
        <is>
          <t>2026-07-31</t>
        </is>
      </c>
      <c r="B3088" t="inlineStr">
        <is>
          <t>F264571</t>
        </is>
      </c>
      <c r="C3088" t="inlineStr">
        <is>
          <t>C10237</t>
        </is>
      </c>
      <c r="D3088" t="inlineStr">
        <is>
          <t>SKU-10293</t>
        </is>
      </c>
      <c r="E3088" t="inlineStr">
        <is>
          <t>AM07</t>
        </is>
      </c>
      <c r="F3088" s="5" t="n">
        <v>174.24</v>
      </c>
      <c r="G3088">
        <f>IF(LEFT(B3088,1)="C","Credit","Factuur")</f>
        <v/>
      </c>
      <c r="H3088">
        <f>IF(AND(B3088=B3087,D3088=D3087,A3088=A3087,F3088=F3087),1,0)</f>
        <v/>
      </c>
      <c r="I3088">
        <f>IF(C3088="C99999",1,0)</f>
        <v/>
      </c>
      <c r="J3088" s="5">
        <f>IF(OR(H3088=1,I3088=1),0,IF(G3088="Credit",-F3088,F3088))</f>
        <v/>
      </c>
    </row>
    <row r="3089">
      <c r="A3089" t="inlineStr">
        <is>
          <t>2026-07-31</t>
        </is>
      </c>
      <c r="B3089" t="inlineStr">
        <is>
          <t>F264651</t>
        </is>
      </c>
      <c r="C3089" t="inlineStr">
        <is>
          <t>C10242</t>
        </is>
      </c>
      <c r="D3089" t="inlineStr">
        <is>
          <t>SKU-10033</t>
        </is>
      </c>
      <c r="E3089" t="inlineStr">
        <is>
          <t>AM02</t>
        </is>
      </c>
      <c r="F3089" s="5" t="n">
        <v>634.35</v>
      </c>
      <c r="G3089">
        <f>IF(LEFT(B3089,1)="C","Credit","Factuur")</f>
        <v/>
      </c>
      <c r="H3089">
        <f>IF(AND(B3089=B3088,D3089=D3088,A3089=A3088,F3089=F3088),1,0)</f>
        <v/>
      </c>
      <c r="I3089">
        <f>IF(C3089="C99999",1,0)</f>
        <v/>
      </c>
      <c r="J3089" s="5">
        <f>IF(OR(H3089=1,I3089=1),0,IF(G3089="Credit",-F3089,F3089))</f>
        <v/>
      </c>
    </row>
    <row r="3090">
      <c r="A3090" t="inlineStr">
        <is>
          <t>2026-07-31</t>
        </is>
      </c>
      <c r="B3090" t="inlineStr">
        <is>
          <t>F264651</t>
        </is>
      </c>
      <c r="C3090" t="inlineStr">
        <is>
          <t>C10242</t>
        </is>
      </c>
      <c r="D3090" t="inlineStr">
        <is>
          <t>SKU-10256</t>
        </is>
      </c>
      <c r="E3090" t="inlineStr">
        <is>
          <t>AM02</t>
        </is>
      </c>
      <c r="F3090" s="5" t="n">
        <v>661.48</v>
      </c>
      <c r="G3090">
        <f>IF(LEFT(B3090,1)="C","Credit","Factuur")</f>
        <v/>
      </c>
      <c r="H3090">
        <f>IF(AND(B3090=B3089,D3090=D3089,A3090=A3089,F3090=F3089),1,0)</f>
        <v/>
      </c>
      <c r="I3090">
        <f>IF(C3090="C99999",1,0)</f>
        <v/>
      </c>
      <c r="J3090" s="5">
        <f>IF(OR(H3090=1,I3090=1),0,IF(G3090="Credit",-F3090,F3090))</f>
        <v/>
      </c>
    </row>
    <row r="3091">
      <c r="A3091" t="inlineStr">
        <is>
          <t>2026-07-31</t>
        </is>
      </c>
      <c r="B3091" t="inlineStr">
        <is>
          <t>F265295</t>
        </is>
      </c>
      <c r="C3091" t="inlineStr">
        <is>
          <t>C10280</t>
        </is>
      </c>
      <c r="D3091" t="inlineStr">
        <is>
          <t>SKU-10021</t>
        </is>
      </c>
      <c r="E3091" t="inlineStr">
        <is>
          <t>AM09</t>
        </is>
      </c>
      <c r="F3091" s="5" t="n">
        <v>1883.91</v>
      </c>
      <c r="G3091">
        <f>IF(LEFT(B3091,1)="C","Credit","Factuur")</f>
        <v/>
      </c>
      <c r="H3091">
        <f>IF(AND(B3091=B3090,D3091=D3090,A3091=A3090,F3091=F3090),1,0)</f>
        <v/>
      </c>
      <c r="I3091">
        <f>IF(C3091="C99999",1,0)</f>
        <v/>
      </c>
      <c r="J3091" s="5">
        <f>IF(OR(H3091=1,I3091=1),0,IF(G3091="Credit",-F3091,F3091))</f>
        <v/>
      </c>
    </row>
    <row r="3092">
      <c r="A3092" t="inlineStr">
        <is>
          <t>2026-07-31</t>
        </is>
      </c>
      <c r="B3092" t="inlineStr">
        <is>
          <t>F265295</t>
        </is>
      </c>
      <c r="C3092" t="inlineStr">
        <is>
          <t>C10280</t>
        </is>
      </c>
      <c r="D3092" t="inlineStr">
        <is>
          <t>SKU-10050</t>
        </is>
      </c>
      <c r="E3092" t="inlineStr">
        <is>
          <t>AM09</t>
        </is>
      </c>
      <c r="F3092" s="5" t="n">
        <v>1680.37</v>
      </c>
      <c r="G3092">
        <f>IF(LEFT(B3092,1)="C","Credit","Factuur")</f>
        <v/>
      </c>
      <c r="H3092">
        <f>IF(AND(B3092=B3091,D3092=D3091,A3092=A3091,F3092=F3091),1,0)</f>
        <v/>
      </c>
      <c r="I3092">
        <f>IF(C3092="C99999",1,0)</f>
        <v/>
      </c>
      <c r="J3092" s="5">
        <f>IF(OR(H3092=1,I3092=1),0,IF(G3092="Credit",-F3092,F3092))</f>
        <v/>
      </c>
    </row>
    <row r="3093">
      <c r="A3093" t="inlineStr">
        <is>
          <t>2026-07-31</t>
        </is>
      </c>
      <c r="B3093" t="inlineStr">
        <is>
          <t>F265295</t>
        </is>
      </c>
      <c r="C3093" t="inlineStr">
        <is>
          <t>C10280</t>
        </is>
      </c>
      <c r="D3093" t="inlineStr">
        <is>
          <t>SKU-10143</t>
        </is>
      </c>
      <c r="E3093" t="inlineStr">
        <is>
          <t>AM09</t>
        </is>
      </c>
      <c r="F3093" s="5" t="n">
        <v>1864.24</v>
      </c>
      <c r="G3093">
        <f>IF(LEFT(B3093,1)="C","Credit","Factuur")</f>
        <v/>
      </c>
      <c r="H3093">
        <f>IF(AND(B3093=B3092,D3093=D3092,A3093=A3092,F3093=F3092),1,0)</f>
        <v/>
      </c>
      <c r="I3093">
        <f>IF(C3093="C99999",1,0)</f>
        <v/>
      </c>
      <c r="J3093" s="5">
        <f>IF(OR(H3093=1,I3093=1),0,IF(G3093="Credit",-F3093,F3093))</f>
        <v/>
      </c>
    </row>
    <row r="3094">
      <c r="A3094" t="inlineStr">
        <is>
          <t>2026-07-31</t>
        </is>
      </c>
      <c r="B3094" t="inlineStr">
        <is>
          <t>F265295</t>
        </is>
      </c>
      <c r="C3094" t="inlineStr">
        <is>
          <t>C10280</t>
        </is>
      </c>
      <c r="D3094" t="inlineStr">
        <is>
          <t>SKU-10272</t>
        </is>
      </c>
      <c r="E3094" t="inlineStr">
        <is>
          <t>AM09</t>
        </is>
      </c>
      <c r="F3094" s="5" t="n">
        <v>1998.63</v>
      </c>
      <c r="G3094">
        <f>IF(LEFT(B3094,1)="C","Credit","Factuur")</f>
        <v/>
      </c>
      <c r="H3094">
        <f>IF(AND(B3094=B3093,D3094=D3093,A3094=A3093,F3094=F3093),1,0)</f>
        <v/>
      </c>
      <c r="I3094">
        <f>IF(C3094="C99999",1,0)</f>
        <v/>
      </c>
      <c r="J3094" s="5">
        <f>IF(OR(H3094=1,I3094=1),0,IF(G3094="Credit",-F3094,F3094))</f>
        <v/>
      </c>
    </row>
    <row r="3095">
      <c r="A3095" t="inlineStr">
        <is>
          <t>2026-07-31</t>
        </is>
      </c>
      <c r="B3095" t="inlineStr">
        <is>
          <t>F265295</t>
        </is>
      </c>
      <c r="C3095" t="inlineStr">
        <is>
          <t>C10280</t>
        </is>
      </c>
      <c r="D3095" t="inlineStr">
        <is>
          <t>SKU-10298</t>
        </is>
      </c>
      <c r="E3095" t="inlineStr">
        <is>
          <t>AM09</t>
        </is>
      </c>
      <c r="F3095" s="5" t="n">
        <v>1895.68</v>
      </c>
      <c r="G3095">
        <f>IF(LEFT(B3095,1)="C","Credit","Factuur")</f>
        <v/>
      </c>
      <c r="H3095">
        <f>IF(AND(B3095=B3094,D3095=D3094,A3095=A3094,F3095=F3094),1,0)</f>
        <v/>
      </c>
      <c r="I3095">
        <f>IF(C3095="C99999",1,0)</f>
        <v/>
      </c>
      <c r="J3095" s="5">
        <f>IF(OR(H3095=1,I3095=1),0,IF(G3095="Credit",-F3095,F3095))</f>
        <v/>
      </c>
    </row>
    <row r="3096">
      <c r="A3096" t="inlineStr">
        <is>
          <t>2026-07-31</t>
        </is>
      </c>
      <c r="B3096" t="inlineStr">
        <is>
          <t>F265332</t>
        </is>
      </c>
      <c r="C3096" t="inlineStr">
        <is>
          <t>C10282</t>
        </is>
      </c>
      <c r="D3096" t="inlineStr">
        <is>
          <t>SKU-10192</t>
        </is>
      </c>
      <c r="E3096" t="inlineStr">
        <is>
          <t>AM03</t>
        </is>
      </c>
      <c r="F3096" s="5" t="n">
        <v>179.36</v>
      </c>
      <c r="G3096">
        <f>IF(LEFT(B3096,1)="C","Credit","Factuur")</f>
        <v/>
      </c>
      <c r="H3096">
        <f>IF(AND(B3096=B3095,D3096=D3095,A3096=A3095,F3096=F3095),1,0)</f>
        <v/>
      </c>
      <c r="I3096">
        <f>IF(C3096="C99999",1,0)</f>
        <v/>
      </c>
      <c r="J3096" s="5">
        <f>IF(OR(H3096=1,I3096=1),0,IF(G3096="Credit",-F3096,F3096))</f>
        <v/>
      </c>
    </row>
    <row r="3097">
      <c r="A3097" t="inlineStr">
        <is>
          <t>2026-07-31</t>
        </is>
      </c>
      <c r="B3097" t="inlineStr">
        <is>
          <t>F265332</t>
        </is>
      </c>
      <c r="C3097" t="inlineStr">
        <is>
          <t>C10282</t>
        </is>
      </c>
      <c r="D3097" t="inlineStr">
        <is>
          <t>SKU-10293</t>
        </is>
      </c>
      <c r="E3097" t="inlineStr">
        <is>
          <t>AM03</t>
        </is>
      </c>
      <c r="F3097" s="5" t="n">
        <v>174.24</v>
      </c>
      <c r="G3097">
        <f>IF(LEFT(B3097,1)="C","Credit","Factuur")</f>
        <v/>
      </c>
      <c r="H3097">
        <f>IF(AND(B3097=B3096,D3097=D3096,A3097=A3096,F3097=F3096),1,0)</f>
        <v/>
      </c>
      <c r="I3097">
        <f>IF(C3097="C99999",1,0)</f>
        <v/>
      </c>
      <c r="J3097" s="5">
        <f>IF(OR(H3097=1,I3097=1),0,IF(G3097="Credit",-F3097,F3097))</f>
        <v/>
      </c>
    </row>
    <row r="3098">
      <c r="A3098" t="inlineStr">
        <is>
          <t>2026-07-31</t>
        </is>
      </c>
      <c r="B3098" t="inlineStr">
        <is>
          <t>F265365</t>
        </is>
      </c>
      <c r="C3098" t="inlineStr">
        <is>
          <t>C10284</t>
        </is>
      </c>
      <c r="D3098" t="inlineStr">
        <is>
          <t>SKU-10010</t>
        </is>
      </c>
      <c r="E3098" t="inlineStr">
        <is>
          <t>AM12</t>
        </is>
      </c>
      <c r="F3098" s="5" t="n">
        <v>132.36</v>
      </c>
      <c r="G3098">
        <f>IF(LEFT(B3098,1)="C","Credit","Factuur")</f>
        <v/>
      </c>
      <c r="H3098">
        <f>IF(AND(B3098=B3097,D3098=D3097,A3098=A3097,F3098=F3097),1,0)</f>
        <v/>
      </c>
      <c r="I3098">
        <f>IF(C3098="C99999",1,0)</f>
        <v/>
      </c>
      <c r="J3098" s="5">
        <f>IF(OR(H3098=1,I3098=1),0,IF(G3098="Credit",-F3098,F3098))</f>
        <v/>
      </c>
    </row>
    <row r="3099">
      <c r="A3099" t="inlineStr">
        <is>
          <t>2026-07-31</t>
        </is>
      </c>
      <c r="B3099" t="inlineStr">
        <is>
          <t>F265365</t>
        </is>
      </c>
      <c r="C3099" t="inlineStr">
        <is>
          <t>C10284</t>
        </is>
      </c>
      <c r="D3099" t="inlineStr">
        <is>
          <t>SKU-10022</t>
        </is>
      </c>
      <c r="E3099" t="inlineStr">
        <is>
          <t>AM12</t>
        </is>
      </c>
      <c r="F3099" s="5" t="n">
        <v>102.4</v>
      </c>
      <c r="G3099">
        <f>IF(LEFT(B3099,1)="C","Credit","Factuur")</f>
        <v/>
      </c>
      <c r="H3099">
        <f>IF(AND(B3099=B3098,D3099=D3098,A3099=A3098,F3099=F3098),1,0)</f>
        <v/>
      </c>
      <c r="I3099">
        <f>IF(C3099="C99999",1,0)</f>
        <v/>
      </c>
      <c r="J3099" s="5">
        <f>IF(OR(H3099=1,I3099=1),0,IF(G3099="Credit",-F3099,F3099))</f>
        <v/>
      </c>
    </row>
    <row r="3100">
      <c r="A3100" t="inlineStr">
        <is>
          <t>2026-07-31</t>
        </is>
      </c>
      <c r="B3100" t="inlineStr">
        <is>
          <t>F265365</t>
        </is>
      </c>
      <c r="C3100" t="inlineStr">
        <is>
          <t>C10284</t>
        </is>
      </c>
      <c r="D3100" t="inlineStr">
        <is>
          <t>SKU-10116</t>
        </is>
      </c>
      <c r="E3100" t="inlineStr">
        <is>
          <t>AM12</t>
        </is>
      </c>
      <c r="F3100" s="5" t="n">
        <v>130.2</v>
      </c>
      <c r="G3100">
        <f>IF(LEFT(B3100,1)="C","Credit","Factuur")</f>
        <v/>
      </c>
      <c r="H3100">
        <f>IF(AND(B3100=B3099,D3100=D3099,A3100=A3099,F3100=F3099),1,0)</f>
        <v/>
      </c>
      <c r="I3100">
        <f>IF(C3100="C99999",1,0)</f>
        <v/>
      </c>
      <c r="J3100" s="5">
        <f>IF(OR(H3100=1,I3100=1),0,IF(G3100="Credit",-F3100,F3100))</f>
        <v/>
      </c>
    </row>
    <row r="3101">
      <c r="A3101" t="inlineStr">
        <is>
          <t>2026-07-31</t>
        </is>
      </c>
      <c r="B3101" t="inlineStr">
        <is>
          <t>F265365</t>
        </is>
      </c>
      <c r="C3101" t="inlineStr">
        <is>
          <t>C10284</t>
        </is>
      </c>
      <c r="D3101" t="inlineStr">
        <is>
          <t>SKU-10165</t>
        </is>
      </c>
      <c r="E3101" t="inlineStr">
        <is>
          <t>AM12</t>
        </is>
      </c>
      <c r="F3101" s="5" t="n">
        <v>103.14</v>
      </c>
      <c r="G3101">
        <f>IF(LEFT(B3101,1)="C","Credit","Factuur")</f>
        <v/>
      </c>
      <c r="H3101">
        <f>IF(AND(B3101=B3100,D3101=D3100,A3101=A3100,F3101=F3100),1,0)</f>
        <v/>
      </c>
      <c r="I3101">
        <f>IF(C3101="C99999",1,0)</f>
        <v/>
      </c>
      <c r="J3101" s="5">
        <f>IF(OR(H3101=1,I3101=1),0,IF(G3101="Credit",-F3101,F3101))</f>
        <v/>
      </c>
    </row>
    <row r="3102">
      <c r="A3102" t="inlineStr">
        <is>
          <t>2026-07-31</t>
        </is>
      </c>
      <c r="B3102" t="inlineStr">
        <is>
          <t>F266197</t>
        </is>
      </c>
      <c r="C3102" t="inlineStr">
        <is>
          <t>C10324</t>
        </is>
      </c>
      <c r="D3102" t="inlineStr">
        <is>
          <t>SKU-10032</t>
        </is>
      </c>
      <c r="E3102" t="inlineStr">
        <is>
          <t>AM08</t>
        </is>
      </c>
      <c r="F3102" s="5" t="n">
        <v>854.87</v>
      </c>
      <c r="G3102">
        <f>IF(LEFT(B3102,1)="C","Credit","Factuur")</f>
        <v/>
      </c>
      <c r="H3102">
        <f>IF(AND(B3102=B3101,D3102=D3101,A3102=A3101,F3102=F3101),1,0)</f>
        <v/>
      </c>
      <c r="I3102">
        <f>IF(C3102="C99999",1,0)</f>
        <v/>
      </c>
      <c r="J3102" s="5">
        <f>IF(OR(H3102=1,I3102=1),0,IF(G3102="Credit",-F3102,F3102))</f>
        <v/>
      </c>
    </row>
    <row r="3103">
      <c r="A3103" t="inlineStr">
        <is>
          <t>2026-07-31</t>
        </is>
      </c>
      <c r="B3103" t="inlineStr">
        <is>
          <t>F266197</t>
        </is>
      </c>
      <c r="C3103" t="inlineStr">
        <is>
          <t>C10324</t>
        </is>
      </c>
      <c r="D3103" t="inlineStr">
        <is>
          <t>SKU-10046</t>
        </is>
      </c>
      <c r="E3103" t="inlineStr">
        <is>
          <t>AM08</t>
        </is>
      </c>
      <c r="F3103" s="5" t="n">
        <v>777.95</v>
      </c>
      <c r="G3103">
        <f>IF(LEFT(B3103,1)="C","Credit","Factuur")</f>
        <v/>
      </c>
      <c r="H3103">
        <f>IF(AND(B3103=B3102,D3103=D3102,A3103=A3102,F3103=F3102),1,0)</f>
        <v/>
      </c>
      <c r="I3103">
        <f>IF(C3103="C99999",1,0)</f>
        <v/>
      </c>
      <c r="J3103" s="5">
        <f>IF(OR(H3103=1,I3103=1),0,IF(G3103="Credit",-F3103,F3103))</f>
        <v/>
      </c>
    </row>
    <row r="3104">
      <c r="A3104" t="inlineStr">
        <is>
          <t>2026-07-31</t>
        </is>
      </c>
      <c r="B3104" t="inlineStr">
        <is>
          <t>F266197</t>
        </is>
      </c>
      <c r="C3104" t="inlineStr">
        <is>
          <t>C10324</t>
        </is>
      </c>
      <c r="D3104" t="inlineStr">
        <is>
          <t>SKU-10062</t>
        </is>
      </c>
      <c r="E3104" t="inlineStr">
        <is>
          <t>AM08</t>
        </is>
      </c>
      <c r="F3104" s="5" t="n">
        <v>909.92</v>
      </c>
      <c r="G3104">
        <f>IF(LEFT(B3104,1)="C","Credit","Factuur")</f>
        <v/>
      </c>
      <c r="H3104">
        <f>IF(AND(B3104=B3103,D3104=D3103,A3104=A3103,F3104=F3103),1,0)</f>
        <v/>
      </c>
      <c r="I3104">
        <f>IF(C3104="C99999",1,0)</f>
        <v/>
      </c>
      <c r="J3104" s="5">
        <f>IF(OR(H3104=1,I3104=1),0,IF(G3104="Credit",-F3104,F3104))</f>
        <v/>
      </c>
    </row>
    <row r="3105">
      <c r="A3105" t="inlineStr">
        <is>
          <t>2026-07-31</t>
        </is>
      </c>
      <c r="B3105" t="inlineStr">
        <is>
          <t>F266197</t>
        </is>
      </c>
      <c r="C3105" t="inlineStr">
        <is>
          <t>C10324</t>
        </is>
      </c>
      <c r="D3105" t="inlineStr">
        <is>
          <t>SKU-10110</t>
        </is>
      </c>
      <c r="E3105" t="inlineStr">
        <is>
          <t>AM08</t>
        </is>
      </c>
      <c r="F3105" s="5" t="n">
        <v>804.23</v>
      </c>
      <c r="G3105">
        <f>IF(LEFT(B3105,1)="C","Credit","Factuur")</f>
        <v/>
      </c>
      <c r="H3105">
        <f>IF(AND(B3105=B3104,D3105=D3104,A3105=A3104,F3105=F3104),1,0)</f>
        <v/>
      </c>
      <c r="I3105">
        <f>IF(C3105="C99999",1,0)</f>
        <v/>
      </c>
      <c r="J3105" s="5">
        <f>IF(OR(H3105=1,I3105=1),0,IF(G3105="Credit",-F3105,F3105))</f>
        <v/>
      </c>
    </row>
    <row r="3106">
      <c r="A3106" t="inlineStr">
        <is>
          <t>2026-07-31</t>
        </is>
      </c>
      <c r="B3106" t="inlineStr">
        <is>
          <t>F266197</t>
        </is>
      </c>
      <c r="C3106" t="inlineStr">
        <is>
          <t>C10324</t>
        </is>
      </c>
      <c r="D3106" t="inlineStr">
        <is>
          <t>SKU-10145</t>
        </is>
      </c>
      <c r="E3106" t="inlineStr">
        <is>
          <t>AM08</t>
        </is>
      </c>
      <c r="F3106" s="5" t="n">
        <v>858.1</v>
      </c>
      <c r="G3106">
        <f>IF(LEFT(B3106,1)="C","Credit","Factuur")</f>
        <v/>
      </c>
      <c r="H3106">
        <f>IF(AND(B3106=B3105,D3106=D3105,A3106=A3105,F3106=F3105),1,0)</f>
        <v/>
      </c>
      <c r="I3106">
        <f>IF(C3106="C99999",1,0)</f>
        <v/>
      </c>
      <c r="J3106" s="5">
        <f>IF(OR(H3106=1,I3106=1),0,IF(G3106="Credit",-F3106,F3106))</f>
        <v/>
      </c>
    </row>
    <row r="3107">
      <c r="A3107" t="inlineStr">
        <is>
          <t>2026-07-31</t>
        </is>
      </c>
      <c r="B3107" t="inlineStr">
        <is>
          <t>F266197</t>
        </is>
      </c>
      <c r="C3107" t="inlineStr">
        <is>
          <t>C10324</t>
        </is>
      </c>
      <c r="D3107" t="inlineStr">
        <is>
          <t>SKU-10261</t>
        </is>
      </c>
      <c r="E3107" t="inlineStr">
        <is>
          <t>AM08</t>
        </is>
      </c>
      <c r="F3107" s="5" t="n">
        <v>913.4400000000001</v>
      </c>
      <c r="G3107">
        <f>IF(LEFT(B3107,1)="C","Credit","Factuur")</f>
        <v/>
      </c>
      <c r="H3107">
        <f>IF(AND(B3107=B3106,D3107=D3106,A3107=A3106,F3107=F3106),1,0)</f>
        <v/>
      </c>
      <c r="I3107">
        <f>IF(C3107="C99999",1,0)</f>
        <v/>
      </c>
      <c r="J3107" s="5">
        <f>IF(OR(H3107=1,I3107=1),0,IF(G3107="Credit",-F3107,F3107))</f>
        <v/>
      </c>
    </row>
    <row r="3108">
      <c r="A3108" t="inlineStr">
        <is>
          <t>2026-07-31</t>
        </is>
      </c>
      <c r="B3108" t="inlineStr">
        <is>
          <t>F266197</t>
        </is>
      </c>
      <c r="C3108" t="inlineStr">
        <is>
          <t>C10324</t>
        </is>
      </c>
      <c r="D3108" t="inlineStr">
        <is>
          <t>SKU-10311</t>
        </is>
      </c>
      <c r="E3108" t="inlineStr">
        <is>
          <t>AM08</t>
        </is>
      </c>
      <c r="F3108" s="5" t="n">
        <v>775.22</v>
      </c>
      <c r="G3108">
        <f>IF(LEFT(B3108,1)="C","Credit","Factuur")</f>
        <v/>
      </c>
      <c r="H3108">
        <f>IF(AND(B3108=B3107,D3108=D3107,A3108=A3107,F3108=F3107),1,0)</f>
        <v/>
      </c>
      <c r="I3108">
        <f>IF(C3108="C99999",1,0)</f>
        <v/>
      </c>
      <c r="J3108" s="5">
        <f>IF(OR(H3108=1,I3108=1),0,IF(G3108="Credit",-F3108,F3108))</f>
        <v/>
      </c>
    </row>
    <row r="3109">
      <c r="A3109" t="inlineStr">
        <is>
          <t>2026-07-31</t>
        </is>
      </c>
      <c r="B3109" t="inlineStr">
        <is>
          <t>F266546</t>
        </is>
      </c>
      <c r="C3109" t="inlineStr">
        <is>
          <t>C10344</t>
        </is>
      </c>
      <c r="D3109" t="inlineStr">
        <is>
          <t>SKU-10002</t>
        </is>
      </c>
      <c r="E3109" t="inlineStr">
        <is>
          <t>AM02</t>
        </is>
      </c>
      <c r="F3109" s="5" t="n">
        <v>1778.47</v>
      </c>
      <c r="G3109">
        <f>IF(LEFT(B3109,1)="C","Credit","Factuur")</f>
        <v/>
      </c>
      <c r="H3109">
        <f>IF(AND(B3109=B3108,D3109=D3108,A3109=A3108,F3109=F3108),1,0)</f>
        <v/>
      </c>
      <c r="I3109">
        <f>IF(C3109="C99999",1,0)</f>
        <v/>
      </c>
      <c r="J3109" s="5">
        <f>IF(OR(H3109=1,I3109=1),0,IF(G3109="Credit",-F3109,F3109))</f>
        <v/>
      </c>
    </row>
    <row r="3110">
      <c r="A3110" t="inlineStr">
        <is>
          <t>2026-07-31</t>
        </is>
      </c>
      <c r="B3110" t="inlineStr">
        <is>
          <t>F266546</t>
        </is>
      </c>
      <c r="C3110" t="inlineStr">
        <is>
          <t>C10344</t>
        </is>
      </c>
      <c r="D3110" t="inlineStr">
        <is>
          <t>SKU-10192</t>
        </is>
      </c>
      <c r="E3110" t="inlineStr">
        <is>
          <t>AM02</t>
        </is>
      </c>
      <c r="F3110" s="5" t="n">
        <v>1694.95</v>
      </c>
      <c r="G3110">
        <f>IF(LEFT(B3110,1)="C","Credit","Factuur")</f>
        <v/>
      </c>
      <c r="H3110">
        <f>IF(AND(B3110=B3109,D3110=D3109,A3110=A3109,F3110=F3109),1,0)</f>
        <v/>
      </c>
      <c r="I3110">
        <f>IF(C3110="C99999",1,0)</f>
        <v/>
      </c>
      <c r="J3110" s="5">
        <f>IF(OR(H3110=1,I3110=1),0,IF(G3110="Credit",-F3110,F3110))</f>
        <v/>
      </c>
    </row>
    <row r="3111">
      <c r="A3111" t="inlineStr">
        <is>
          <t>2026-07-31</t>
        </is>
      </c>
      <c r="B3111" t="inlineStr">
        <is>
          <t>F266546</t>
        </is>
      </c>
      <c r="C3111" t="inlineStr">
        <is>
          <t>C10344</t>
        </is>
      </c>
      <c r="D3111" t="inlineStr">
        <is>
          <t>SKU-10318</t>
        </is>
      </c>
      <c r="E3111" t="inlineStr">
        <is>
          <t>AM02</t>
        </is>
      </c>
      <c r="F3111" s="5" t="n">
        <v>1790.8</v>
      </c>
      <c r="G3111">
        <f>IF(LEFT(B3111,1)="C","Credit","Factuur")</f>
        <v/>
      </c>
      <c r="H3111">
        <f>IF(AND(B3111=B3110,D3111=D3110,A3111=A3110,F3111=F3110),1,0)</f>
        <v/>
      </c>
      <c r="I3111">
        <f>IF(C3111="C99999",1,0)</f>
        <v/>
      </c>
      <c r="J3111" s="5">
        <f>IF(OR(H3111=1,I3111=1),0,IF(G3111="Credit",-F3111,F3111))</f>
        <v/>
      </c>
    </row>
    <row r="3112">
      <c r="A3112" t="inlineStr">
        <is>
          <t>2026-07-31</t>
        </is>
      </c>
      <c r="B3112" t="inlineStr">
        <is>
          <t>F266563</t>
        </is>
      </c>
      <c r="C3112" t="inlineStr">
        <is>
          <t>C10345</t>
        </is>
      </c>
      <c r="D3112" t="inlineStr">
        <is>
          <t>SKU-10038</t>
        </is>
      </c>
      <c r="E3112" t="inlineStr">
        <is>
          <t>AM11</t>
        </is>
      </c>
      <c r="F3112" s="5" t="n">
        <v>942.84</v>
      </c>
      <c r="G3112">
        <f>IF(LEFT(B3112,1)="C","Credit","Factuur")</f>
        <v/>
      </c>
      <c r="H3112">
        <f>IF(AND(B3112=B3111,D3112=D3111,A3112=A3111,F3112=F3111),1,0)</f>
        <v/>
      </c>
      <c r="I3112">
        <f>IF(C3112="C99999",1,0)</f>
        <v/>
      </c>
      <c r="J3112" s="5">
        <f>IF(OR(H3112=1,I3112=1),0,IF(G3112="Credit",-F3112,F3112))</f>
        <v/>
      </c>
    </row>
    <row r="3113">
      <c r="A3113" t="inlineStr">
        <is>
          <t>2026-07-31</t>
        </is>
      </c>
      <c r="B3113" t="inlineStr">
        <is>
          <t>F266563</t>
        </is>
      </c>
      <c r="C3113" t="inlineStr">
        <is>
          <t>C10345</t>
        </is>
      </c>
      <c r="D3113" t="inlineStr">
        <is>
          <t>SKU-10121</t>
        </is>
      </c>
      <c r="E3113" t="inlineStr">
        <is>
          <t>AM11</t>
        </is>
      </c>
      <c r="F3113" s="5" t="n">
        <v>925.25</v>
      </c>
      <c r="G3113">
        <f>IF(LEFT(B3113,1)="C","Credit","Factuur")</f>
        <v/>
      </c>
      <c r="H3113">
        <f>IF(AND(B3113=B3112,D3113=D3112,A3113=A3112,F3113=F3112),1,0)</f>
        <v/>
      </c>
      <c r="I3113">
        <f>IF(C3113="C99999",1,0)</f>
        <v/>
      </c>
      <c r="J3113" s="5">
        <f>IF(OR(H3113=1,I3113=1),0,IF(G3113="Credit",-F3113,F3113))</f>
        <v/>
      </c>
    </row>
    <row r="3114">
      <c r="A3114" t="inlineStr">
        <is>
          <t>2026-07-31</t>
        </is>
      </c>
      <c r="B3114" t="inlineStr">
        <is>
          <t>F266563</t>
        </is>
      </c>
      <c r="C3114" t="inlineStr">
        <is>
          <t>C10345</t>
        </is>
      </c>
      <c r="D3114" t="inlineStr">
        <is>
          <t>SKU-10137</t>
        </is>
      </c>
      <c r="E3114" t="inlineStr">
        <is>
          <t>AM11</t>
        </is>
      </c>
      <c r="F3114" s="5" t="n">
        <v>968.5</v>
      </c>
      <c r="G3114">
        <f>IF(LEFT(B3114,1)="C","Credit","Factuur")</f>
        <v/>
      </c>
      <c r="H3114">
        <f>IF(AND(B3114=B3113,D3114=D3113,A3114=A3113,F3114=F3113),1,0)</f>
        <v/>
      </c>
      <c r="I3114">
        <f>IF(C3114="C99999",1,0)</f>
        <v/>
      </c>
      <c r="J3114" s="5">
        <f>IF(OR(H3114=1,I3114=1),0,IF(G3114="Credit",-F3114,F3114))</f>
        <v/>
      </c>
    </row>
    <row r="3115">
      <c r="A3115" t="inlineStr">
        <is>
          <t>2026-07-31</t>
        </is>
      </c>
      <c r="B3115" t="inlineStr">
        <is>
          <t>F266563</t>
        </is>
      </c>
      <c r="C3115" t="inlineStr">
        <is>
          <t>C10345</t>
        </is>
      </c>
      <c r="D3115" t="inlineStr">
        <is>
          <t>SKU-10213</t>
        </is>
      </c>
      <c r="E3115" t="inlineStr">
        <is>
          <t>AM11</t>
        </is>
      </c>
      <c r="F3115" s="5" t="n">
        <v>933.45</v>
      </c>
      <c r="G3115">
        <f>IF(LEFT(B3115,1)="C","Credit","Factuur")</f>
        <v/>
      </c>
      <c r="H3115">
        <f>IF(AND(B3115=B3114,D3115=D3114,A3115=A3114,F3115=F3114),1,0)</f>
        <v/>
      </c>
      <c r="I3115">
        <f>IF(C3115="C99999",1,0)</f>
        <v/>
      </c>
      <c r="J3115" s="5">
        <f>IF(OR(H3115=1,I3115=1),0,IF(G3115="Credit",-F3115,F3115))</f>
        <v/>
      </c>
    </row>
    <row r="3116">
      <c r="A3116" t="inlineStr">
        <is>
          <t>2026-07-31</t>
        </is>
      </c>
      <c r="B3116" t="inlineStr">
        <is>
          <t>F266563</t>
        </is>
      </c>
      <c r="C3116" t="inlineStr">
        <is>
          <t>C10345</t>
        </is>
      </c>
      <c r="D3116" t="inlineStr">
        <is>
          <t>SKU-10317</t>
        </is>
      </c>
      <c r="E3116" t="inlineStr">
        <is>
          <t>AM11</t>
        </is>
      </c>
      <c r="F3116" s="5" t="n">
        <v>847.9299999999999</v>
      </c>
      <c r="G3116">
        <f>IF(LEFT(B3116,1)="C","Credit","Factuur")</f>
        <v/>
      </c>
      <c r="H3116">
        <f>IF(AND(B3116=B3115,D3116=D3115,A3116=A3115,F3116=F3115),1,0)</f>
        <v/>
      </c>
      <c r="I3116">
        <f>IF(C3116="C99999",1,0)</f>
        <v/>
      </c>
      <c r="J3116" s="5">
        <f>IF(OR(H3116=1,I3116=1),0,IF(G3116="Credit",-F3116,F3116))</f>
        <v/>
      </c>
    </row>
    <row r="3117">
      <c r="A3117" t="inlineStr">
        <is>
          <t>2026-07-31</t>
        </is>
      </c>
      <c r="B3117" t="inlineStr">
        <is>
          <t>F266663</t>
        </is>
      </c>
      <c r="C3117" t="inlineStr">
        <is>
          <t>C10352</t>
        </is>
      </c>
      <c r="D3117" t="inlineStr">
        <is>
          <t>SKU-10045</t>
        </is>
      </c>
      <c r="E3117" t="inlineStr">
        <is>
          <t>IS01</t>
        </is>
      </c>
      <c r="F3117" s="5" t="n">
        <v>36.96</v>
      </c>
      <c r="G3117">
        <f>IF(LEFT(B3117,1)="C","Credit","Factuur")</f>
        <v/>
      </c>
      <c r="H3117">
        <f>IF(AND(B3117=B3116,D3117=D3116,A3117=A3116,F3117=F3116),1,0)</f>
        <v/>
      </c>
      <c r="I3117">
        <f>IF(C3117="C99999",1,0)</f>
        <v/>
      </c>
      <c r="J3117" s="5">
        <f>IF(OR(H3117=1,I3117=1),0,IF(G3117="Credit",-F3117,F3117))</f>
        <v/>
      </c>
    </row>
    <row r="3118">
      <c r="A3118" t="inlineStr">
        <is>
          <t>2026-07-31</t>
        </is>
      </c>
      <c r="B3118" t="inlineStr">
        <is>
          <t>F266663</t>
        </is>
      </c>
      <c r="C3118" t="inlineStr">
        <is>
          <t>C10352</t>
        </is>
      </c>
      <c r="D3118" t="inlineStr">
        <is>
          <t>SKU-10072</t>
        </is>
      </c>
      <c r="E3118" t="inlineStr">
        <is>
          <t>IS01</t>
        </is>
      </c>
      <c r="F3118" s="5" t="n">
        <v>52.23</v>
      </c>
      <c r="G3118">
        <f>IF(LEFT(B3118,1)="C","Credit","Factuur")</f>
        <v/>
      </c>
      <c r="H3118">
        <f>IF(AND(B3118=B3117,D3118=D3117,A3118=A3117,F3118=F3117),1,0)</f>
        <v/>
      </c>
      <c r="I3118">
        <f>IF(C3118="C99999",1,0)</f>
        <v/>
      </c>
      <c r="J3118" s="5">
        <f>IF(OR(H3118=1,I3118=1),0,IF(G3118="Credit",-F3118,F3118))</f>
        <v/>
      </c>
    </row>
    <row r="3119">
      <c r="A3119" t="inlineStr">
        <is>
          <t>2026-07-31</t>
        </is>
      </c>
      <c r="B3119" t="inlineStr">
        <is>
          <t>F266663</t>
        </is>
      </c>
      <c r="C3119" t="inlineStr">
        <is>
          <t>C10352</t>
        </is>
      </c>
      <c r="D3119" t="inlineStr">
        <is>
          <t>SKU-10117</t>
        </is>
      </c>
      <c r="E3119" t="inlineStr">
        <is>
          <t>IS01</t>
        </is>
      </c>
      <c r="F3119" s="5" t="n">
        <v>121.16</v>
      </c>
      <c r="G3119">
        <f>IF(LEFT(B3119,1)="C","Credit","Factuur")</f>
        <v/>
      </c>
      <c r="H3119">
        <f>IF(AND(B3119=B3118,D3119=D3118,A3119=A3118,F3119=F3118),1,0)</f>
        <v/>
      </c>
      <c r="I3119">
        <f>IF(C3119="C99999",1,0)</f>
        <v/>
      </c>
      <c r="J3119" s="5">
        <f>IF(OR(H3119=1,I3119=1),0,IF(G3119="Credit",-F3119,F3119))</f>
        <v/>
      </c>
    </row>
    <row r="3120">
      <c r="A3120" t="inlineStr">
        <is>
          <t>2026-07-31</t>
        </is>
      </c>
      <c r="B3120" t="inlineStr">
        <is>
          <t>F266663</t>
        </is>
      </c>
      <c r="C3120" t="inlineStr">
        <is>
          <t>C10352</t>
        </is>
      </c>
      <c r="D3120" t="inlineStr">
        <is>
          <t>SKU-10184</t>
        </is>
      </c>
      <c r="E3120" t="inlineStr">
        <is>
          <t>IS01</t>
        </is>
      </c>
      <c r="F3120" s="5" t="n">
        <v>25.94</v>
      </c>
      <c r="G3120">
        <f>IF(LEFT(B3120,1)="C","Credit","Factuur")</f>
        <v/>
      </c>
      <c r="H3120">
        <f>IF(AND(B3120=B3119,D3120=D3119,A3120=A3119,F3120=F3119),1,0)</f>
        <v/>
      </c>
      <c r="I3120">
        <f>IF(C3120="C99999",1,0)</f>
        <v/>
      </c>
      <c r="J3120" s="5">
        <f>IF(OR(H3120=1,I3120=1),0,IF(G3120="Credit",-F3120,F3120))</f>
        <v/>
      </c>
    </row>
    <row r="3121">
      <c r="A3121" t="inlineStr">
        <is>
          <t>2026-07-31</t>
        </is>
      </c>
      <c r="B3121" t="inlineStr">
        <is>
          <t>F266663</t>
        </is>
      </c>
      <c r="C3121" t="inlineStr">
        <is>
          <t>C10352</t>
        </is>
      </c>
      <c r="D3121" t="inlineStr">
        <is>
          <t>SKU-10280</t>
        </is>
      </c>
      <c r="E3121" t="inlineStr">
        <is>
          <t>IS01</t>
        </is>
      </c>
      <c r="F3121" s="5" t="n">
        <v>26.43</v>
      </c>
      <c r="G3121">
        <f>IF(LEFT(B3121,1)="C","Credit","Factuur")</f>
        <v/>
      </c>
      <c r="H3121">
        <f>IF(AND(B3121=B3120,D3121=D3120,A3121=A3120,F3121=F3120),1,0)</f>
        <v/>
      </c>
      <c r="I3121">
        <f>IF(C3121="C99999",1,0)</f>
        <v/>
      </c>
      <c r="J3121" s="5">
        <f>IF(OR(H3121=1,I3121=1),0,IF(G3121="Credit",-F3121,F3121))</f>
        <v/>
      </c>
    </row>
    <row r="3122">
      <c r="A3122" t="inlineStr">
        <is>
          <t>2026-07-31</t>
        </is>
      </c>
      <c r="B3122" t="inlineStr">
        <is>
          <t>F267185</t>
        </is>
      </c>
      <c r="C3122" t="inlineStr">
        <is>
          <t>C10381</t>
        </is>
      </c>
      <c r="D3122" t="inlineStr">
        <is>
          <t>SKU-10283</t>
        </is>
      </c>
      <c r="E3122" t="inlineStr"/>
      <c r="F3122" s="5" t="n">
        <v>3537.04</v>
      </c>
      <c r="G3122">
        <f>IF(LEFT(B3122,1)="C","Credit","Factuur")</f>
        <v/>
      </c>
      <c r="H3122">
        <f>IF(AND(B3122=B3121,D3122=D3121,A3122=A3121,F3122=F3121),1,0)</f>
        <v/>
      </c>
      <c r="I3122">
        <f>IF(C3122="C99999",1,0)</f>
        <v/>
      </c>
      <c r="J3122" s="5">
        <f>IF(OR(H3122=1,I3122=1),0,IF(G3122="Credit",-F3122,F3122))</f>
        <v/>
      </c>
    </row>
    <row r="3123">
      <c r="A3123" t="inlineStr">
        <is>
          <t>2026-07-31</t>
        </is>
      </c>
      <c r="B3123" t="inlineStr">
        <is>
          <t>F267769</t>
        </is>
      </c>
      <c r="C3123" t="inlineStr">
        <is>
          <t>C10408</t>
        </is>
      </c>
      <c r="D3123" t="inlineStr">
        <is>
          <t>SKU-10211</t>
        </is>
      </c>
      <c r="E3123" t="inlineStr">
        <is>
          <t>AM12</t>
        </is>
      </c>
      <c r="F3123" s="5" t="n">
        <v>527.62</v>
      </c>
      <c r="G3123">
        <f>IF(LEFT(B3123,1)="C","Credit","Factuur")</f>
        <v/>
      </c>
      <c r="H3123">
        <f>IF(AND(B3123=B3122,D3123=D3122,A3123=A3122,F3123=F3122),1,0)</f>
        <v/>
      </c>
      <c r="I3123">
        <f>IF(C3123="C99999",1,0)</f>
        <v/>
      </c>
      <c r="J3123" s="5">
        <f>IF(OR(H3123=1,I3123=1),0,IF(G3123="Credit",-F3123,F3123))</f>
        <v/>
      </c>
    </row>
    <row r="3124">
      <c r="A3124" t="inlineStr">
        <is>
          <t>2026-07-31</t>
        </is>
      </c>
      <c r="B3124" t="inlineStr">
        <is>
          <t>F268153</t>
        </is>
      </c>
      <c r="C3124" t="inlineStr">
        <is>
          <t>C10428</t>
        </is>
      </c>
      <c r="D3124" t="inlineStr">
        <is>
          <t>SKU-10289</t>
        </is>
      </c>
      <c r="E3124" t="inlineStr">
        <is>
          <t>AM05</t>
        </is>
      </c>
      <c r="F3124" s="5" t="n">
        <v>191.95</v>
      </c>
      <c r="G3124">
        <f>IF(LEFT(B3124,1)="C","Credit","Factuur")</f>
        <v/>
      </c>
      <c r="H3124">
        <f>IF(AND(B3124=B3123,D3124=D3123,A3124=A3123,F3124=F3123),1,0)</f>
        <v/>
      </c>
      <c r="I3124">
        <f>IF(C3124="C99999",1,0)</f>
        <v/>
      </c>
      <c r="J3124" s="5">
        <f>IF(OR(H3124=1,I3124=1),0,IF(G3124="Credit",-F3124,F3124))</f>
        <v/>
      </c>
    </row>
    <row r="3125">
      <c r="A3125" t="inlineStr">
        <is>
          <t>2026-07-31</t>
        </is>
      </c>
      <c r="B3125" t="inlineStr">
        <is>
          <t>F268153</t>
        </is>
      </c>
      <c r="C3125" t="inlineStr">
        <is>
          <t>C10428</t>
        </is>
      </c>
      <c r="D3125" t="inlineStr">
        <is>
          <t>SKU-10303</t>
        </is>
      </c>
      <c r="E3125" t="inlineStr">
        <is>
          <t>AM05</t>
        </is>
      </c>
      <c r="F3125" s="5" t="n">
        <v>184.9</v>
      </c>
      <c r="G3125">
        <f>IF(LEFT(B3125,1)="C","Credit","Factuur")</f>
        <v/>
      </c>
      <c r="H3125">
        <f>IF(AND(B3125=B3124,D3125=D3124,A3125=A3124,F3125=F3124),1,0)</f>
        <v/>
      </c>
      <c r="I3125">
        <f>IF(C3125="C99999",1,0)</f>
        <v/>
      </c>
      <c r="J3125" s="5">
        <f>IF(OR(H3125=1,I3125=1),0,IF(G3125="Credit",-F3125,F3125))</f>
        <v/>
      </c>
    </row>
    <row r="3126">
      <c r="A3126" t="inlineStr">
        <is>
          <t>2026-07-31</t>
        </is>
      </c>
      <c r="B3126" t="inlineStr">
        <is>
          <t>F268153</t>
        </is>
      </c>
      <c r="C3126" t="inlineStr">
        <is>
          <t>C10428</t>
        </is>
      </c>
      <c r="D3126" t="inlineStr">
        <is>
          <t>SKU-10317</t>
        </is>
      </c>
      <c r="E3126" t="inlineStr">
        <is>
          <t>AM05</t>
        </is>
      </c>
      <c r="F3126" s="5" t="n">
        <v>193.97</v>
      </c>
      <c r="G3126">
        <f>IF(LEFT(B3126,1)="C","Credit","Factuur")</f>
        <v/>
      </c>
      <c r="H3126">
        <f>IF(AND(B3126=B3125,D3126=D3125,A3126=A3125,F3126=F3125),1,0)</f>
        <v/>
      </c>
      <c r="I3126">
        <f>IF(C3126="C99999",1,0)</f>
        <v/>
      </c>
      <c r="J3126" s="5">
        <f>IF(OR(H3126=1,I3126=1),0,IF(G3126="Credit",-F3126,F3126))</f>
        <v/>
      </c>
    </row>
    <row r="3127">
      <c r="A3127" t="inlineStr">
        <is>
          <t>2026-07-31</t>
        </is>
      </c>
      <c r="B3127" t="inlineStr">
        <is>
          <t>F268195</t>
        </is>
      </c>
      <c r="C3127" t="inlineStr">
        <is>
          <t>C10429</t>
        </is>
      </c>
      <c r="D3127" t="inlineStr">
        <is>
          <t>SKU-10141</t>
        </is>
      </c>
      <c r="E3127" t="inlineStr"/>
      <c r="F3127" s="5" t="n">
        <v>50.4</v>
      </c>
      <c r="G3127">
        <f>IF(LEFT(B3127,1)="C","Credit","Factuur")</f>
        <v/>
      </c>
      <c r="H3127">
        <f>IF(AND(B3127=B3126,D3127=D3126,A3127=A3126,F3127=F3126),1,0)</f>
        <v/>
      </c>
      <c r="I3127">
        <f>IF(C3127="C99999",1,0)</f>
        <v/>
      </c>
      <c r="J3127" s="5">
        <f>IF(OR(H3127=1,I3127=1),0,IF(G3127="Credit",-F3127,F3127))</f>
        <v/>
      </c>
    </row>
    <row r="3128">
      <c r="A3128" t="inlineStr">
        <is>
          <t>2026-07-31</t>
        </is>
      </c>
      <c r="B3128" t="inlineStr">
        <is>
          <t>F268195</t>
        </is>
      </c>
      <c r="C3128" t="inlineStr">
        <is>
          <t>C10429</t>
        </is>
      </c>
      <c r="D3128" t="inlineStr">
        <is>
          <t>SKU-10224</t>
        </is>
      </c>
      <c r="E3128" t="inlineStr">
        <is>
          <t>AM05</t>
        </is>
      </c>
      <c r="F3128" s="5" t="n">
        <v>76</v>
      </c>
      <c r="G3128">
        <f>IF(LEFT(B3128,1)="C","Credit","Factuur")</f>
        <v/>
      </c>
      <c r="H3128">
        <f>IF(AND(B3128=B3127,D3128=D3127,A3128=A3127,F3128=F3127),1,0)</f>
        <v/>
      </c>
      <c r="I3128">
        <f>IF(C3128="C99999",1,0)</f>
        <v/>
      </c>
      <c r="J3128" s="5">
        <f>IF(OR(H3128=1,I3128=1),0,IF(G3128="Credit",-F3128,F3128))</f>
        <v/>
      </c>
    </row>
    <row r="3129">
      <c r="A3129" t="inlineStr">
        <is>
          <t>2026-07-31</t>
        </is>
      </c>
      <c r="B3129" t="inlineStr">
        <is>
          <t>F268195</t>
        </is>
      </c>
      <c r="C3129" t="inlineStr">
        <is>
          <t>C10429</t>
        </is>
      </c>
      <c r="D3129" t="inlineStr">
        <is>
          <t>SKU-10290</t>
        </is>
      </c>
      <c r="E3129" t="inlineStr">
        <is>
          <t>AM05</t>
        </is>
      </c>
      <c r="F3129" s="5" t="n">
        <v>73.95999999999999</v>
      </c>
      <c r="G3129">
        <f>IF(LEFT(B3129,1)="C","Credit","Factuur")</f>
        <v/>
      </c>
      <c r="H3129">
        <f>IF(AND(B3129=B3128,D3129=D3128,A3129=A3128,F3129=F3128),1,0)</f>
        <v/>
      </c>
      <c r="I3129">
        <f>IF(C3129="C99999",1,0)</f>
        <v/>
      </c>
      <c r="J3129" s="5">
        <f>IF(OR(H3129=1,I3129=1),0,IF(G3129="Credit",-F3129,F3129))</f>
        <v/>
      </c>
    </row>
    <row r="3130">
      <c r="A3130" t="inlineStr">
        <is>
          <t>2026-07-31</t>
        </is>
      </c>
      <c r="B3130" t="inlineStr">
        <is>
          <t>F268894</t>
        </is>
      </c>
      <c r="C3130" t="inlineStr">
        <is>
          <t>C10463</t>
        </is>
      </c>
      <c r="D3130" t="inlineStr">
        <is>
          <t>SKU-10252</t>
        </is>
      </c>
      <c r="E3130" t="inlineStr">
        <is>
          <t>AM01</t>
        </is>
      </c>
      <c r="F3130" s="5" t="n">
        <v>162.18</v>
      </c>
      <c r="G3130">
        <f>IF(LEFT(B3130,1)="C","Credit","Factuur")</f>
        <v/>
      </c>
      <c r="H3130">
        <f>IF(AND(B3130=B3129,D3130=D3129,A3130=A3129,F3130=F3129),1,0)</f>
        <v/>
      </c>
      <c r="I3130">
        <f>IF(C3130="C99999",1,0)</f>
        <v/>
      </c>
      <c r="J3130" s="5">
        <f>IF(OR(H3130=1,I3130=1),0,IF(G3130="Credit",-F3130,F3130))</f>
        <v/>
      </c>
    </row>
    <row r="3131">
      <c r="A3131" t="inlineStr">
        <is>
          <t>2026-07-31</t>
        </is>
      </c>
      <c r="B3131" t="inlineStr">
        <is>
          <t>F268894</t>
        </is>
      </c>
      <c r="C3131" t="inlineStr">
        <is>
          <t>C10463</t>
        </is>
      </c>
      <c r="D3131" t="inlineStr">
        <is>
          <t>SKU-10259</t>
        </is>
      </c>
      <c r="E3131" t="inlineStr">
        <is>
          <t>AM01</t>
        </is>
      </c>
      <c r="F3131" s="5" t="n">
        <v>169.99</v>
      </c>
      <c r="G3131">
        <f>IF(LEFT(B3131,1)="C","Credit","Factuur")</f>
        <v/>
      </c>
      <c r="H3131">
        <f>IF(AND(B3131=B3130,D3131=D3130,A3131=A3130,F3131=F3130),1,0)</f>
        <v/>
      </c>
      <c r="I3131">
        <f>IF(C3131="C99999",1,0)</f>
        <v/>
      </c>
      <c r="J3131" s="5">
        <f>IF(OR(H3131=1,I3131=1),0,IF(G3131="Credit",-F3131,F3131))</f>
        <v/>
      </c>
    </row>
    <row r="3132">
      <c r="A3132" t="inlineStr">
        <is>
          <t>2026-07-31</t>
        </is>
      </c>
      <c r="B3132" t="inlineStr">
        <is>
          <t>F268894</t>
        </is>
      </c>
      <c r="C3132" t="inlineStr">
        <is>
          <t>C10463</t>
        </is>
      </c>
      <c r="D3132" t="inlineStr">
        <is>
          <t>SKU-10368</t>
        </is>
      </c>
      <c r="E3132" t="inlineStr">
        <is>
          <t>AM01</t>
        </is>
      </c>
      <c r="F3132" s="5" t="n">
        <v>576.3</v>
      </c>
      <c r="G3132">
        <f>IF(LEFT(B3132,1)="C","Credit","Factuur")</f>
        <v/>
      </c>
      <c r="H3132">
        <f>IF(AND(B3132=B3131,D3132=D3131,A3132=A3131,F3132=F3131),1,0)</f>
        <v/>
      </c>
      <c r="I3132">
        <f>IF(C3132="C99999",1,0)</f>
        <v/>
      </c>
      <c r="J3132" s="5">
        <f>IF(OR(H3132=1,I3132=1),0,IF(G3132="Credit",-F3132,F3132))</f>
        <v/>
      </c>
    </row>
    <row r="3133">
      <c r="A3133" t="inlineStr">
        <is>
          <t>2026-07-31</t>
        </is>
      </c>
      <c r="B3133" t="inlineStr">
        <is>
          <t>F268910</t>
        </is>
      </c>
      <c r="C3133" t="inlineStr">
        <is>
          <t>C10464</t>
        </is>
      </c>
      <c r="D3133" t="inlineStr">
        <is>
          <t>SKU-10225</t>
        </is>
      </c>
      <c r="E3133" t="inlineStr">
        <is>
          <t>AM07</t>
        </is>
      </c>
      <c r="F3133" s="5" t="n">
        <v>1300.2</v>
      </c>
      <c r="G3133">
        <f>IF(LEFT(B3133,1)="C","Credit","Factuur")</f>
        <v/>
      </c>
      <c r="H3133">
        <f>IF(AND(B3133=B3132,D3133=D3132,A3133=A3132,F3133=F3132),1,0)</f>
        <v/>
      </c>
      <c r="I3133">
        <f>IF(C3133="C99999",1,0)</f>
        <v/>
      </c>
      <c r="J3133" s="5">
        <f>IF(OR(H3133=1,I3133=1),0,IF(G3133="Credit",-F3133,F3133))</f>
        <v/>
      </c>
    </row>
    <row r="3134">
      <c r="A3134" t="inlineStr">
        <is>
          <t>2026-07-31</t>
        </is>
      </c>
      <c r="B3134" t="inlineStr">
        <is>
          <t>F268910</t>
        </is>
      </c>
      <c r="C3134" t="inlineStr">
        <is>
          <t>C10464</t>
        </is>
      </c>
      <c r="D3134" t="inlineStr">
        <is>
          <t>SKU-10304</t>
        </is>
      </c>
      <c r="E3134" t="inlineStr">
        <is>
          <t>AM07</t>
        </is>
      </c>
      <c r="F3134" s="5" t="n">
        <v>1298.8</v>
      </c>
      <c r="G3134">
        <f>IF(LEFT(B3134,1)="C","Credit","Factuur")</f>
        <v/>
      </c>
      <c r="H3134">
        <f>IF(AND(B3134=B3133,D3134=D3133,A3134=A3133,F3134=F3133),1,0)</f>
        <v/>
      </c>
      <c r="I3134">
        <f>IF(C3134="C99999",1,0)</f>
        <v/>
      </c>
      <c r="J3134" s="5">
        <f>IF(OR(H3134=1,I3134=1),0,IF(G3134="Credit",-F3134,F3134))</f>
        <v/>
      </c>
    </row>
    <row r="3135">
      <c r="A3135" t="inlineStr">
        <is>
          <t>2026-07-31</t>
        </is>
      </c>
      <c r="B3135" t="inlineStr">
        <is>
          <t>F268963</t>
        </is>
      </c>
      <c r="C3135" t="inlineStr">
        <is>
          <t>C10466</t>
        </is>
      </c>
      <c r="D3135" t="inlineStr">
        <is>
          <t>SKU-10064</t>
        </is>
      </c>
      <c r="E3135" t="inlineStr">
        <is>
          <t>AM05</t>
        </is>
      </c>
      <c r="F3135" s="5" t="n">
        <v>117.84</v>
      </c>
      <c r="G3135">
        <f>IF(LEFT(B3135,1)="C","Credit","Factuur")</f>
        <v/>
      </c>
      <c r="H3135">
        <f>IF(AND(B3135=B3134,D3135=D3134,A3135=A3134,F3135=F3134),1,0)</f>
        <v/>
      </c>
      <c r="I3135">
        <f>IF(C3135="C99999",1,0)</f>
        <v/>
      </c>
      <c r="J3135" s="5">
        <f>IF(OR(H3135=1,I3135=1),0,IF(G3135="Credit",-F3135,F3135))</f>
        <v/>
      </c>
    </row>
    <row r="3136">
      <c r="A3136" t="inlineStr">
        <is>
          <t>2026-07-31</t>
        </is>
      </c>
      <c r="B3136" t="inlineStr">
        <is>
          <t>F268963</t>
        </is>
      </c>
      <c r="C3136" t="inlineStr">
        <is>
          <t>C10466</t>
        </is>
      </c>
      <c r="D3136" t="inlineStr">
        <is>
          <t>SKU-10070</t>
        </is>
      </c>
      <c r="E3136" t="inlineStr">
        <is>
          <t>AM05</t>
        </is>
      </c>
      <c r="F3136" s="5" t="n">
        <v>104.21</v>
      </c>
      <c r="G3136">
        <f>IF(LEFT(B3136,1)="C","Credit","Factuur")</f>
        <v/>
      </c>
      <c r="H3136">
        <f>IF(AND(B3136=B3135,D3136=D3135,A3136=A3135,F3136=F3135),1,0)</f>
        <v/>
      </c>
      <c r="I3136">
        <f>IF(C3136="C99999",1,0)</f>
        <v/>
      </c>
      <c r="J3136" s="5">
        <f>IF(OR(H3136=1,I3136=1),0,IF(G3136="Credit",-F3136,F3136))</f>
        <v/>
      </c>
    </row>
    <row r="3137">
      <c r="A3137" t="inlineStr">
        <is>
          <t>2026-07-31</t>
        </is>
      </c>
      <c r="B3137" t="inlineStr">
        <is>
          <t>F268963</t>
        </is>
      </c>
      <c r="C3137" t="inlineStr">
        <is>
          <t>C10466</t>
        </is>
      </c>
      <c r="D3137" t="inlineStr">
        <is>
          <t>SKU-10127</t>
        </is>
      </c>
      <c r="E3137" t="inlineStr">
        <is>
          <t>AM05</t>
        </is>
      </c>
      <c r="F3137" s="5" t="n">
        <v>91.55</v>
      </c>
      <c r="G3137">
        <f>IF(LEFT(B3137,1)="C","Credit","Factuur")</f>
        <v/>
      </c>
      <c r="H3137">
        <f>IF(AND(B3137=B3136,D3137=D3136,A3137=A3136,F3137=F3136),1,0)</f>
        <v/>
      </c>
      <c r="I3137">
        <f>IF(C3137="C99999",1,0)</f>
        <v/>
      </c>
      <c r="J3137" s="5">
        <f>IF(OR(H3137=1,I3137=1),0,IF(G3137="Credit",-F3137,F3137))</f>
        <v/>
      </c>
    </row>
    <row r="3138">
      <c r="A3138" t="inlineStr">
        <is>
          <t>2026-07-31</t>
        </is>
      </c>
      <c r="B3138" t="inlineStr">
        <is>
          <t>F268963</t>
        </is>
      </c>
      <c r="C3138" t="inlineStr">
        <is>
          <t>C10466</t>
        </is>
      </c>
      <c r="D3138" t="inlineStr">
        <is>
          <t>SKU-10174</t>
        </is>
      </c>
      <c r="E3138" t="inlineStr">
        <is>
          <t>AM05</t>
        </is>
      </c>
      <c r="F3138" s="5" t="n">
        <v>119.73</v>
      </c>
      <c r="G3138">
        <f>IF(LEFT(B3138,1)="C","Credit","Factuur")</f>
        <v/>
      </c>
      <c r="H3138">
        <f>IF(AND(B3138=B3137,D3138=D3137,A3138=A3137,F3138=F3137),1,0)</f>
        <v/>
      </c>
      <c r="I3138">
        <f>IF(C3138="C99999",1,0)</f>
        <v/>
      </c>
      <c r="J3138" s="5">
        <f>IF(OR(H3138=1,I3138=1),0,IF(G3138="Credit",-F3138,F3138))</f>
        <v/>
      </c>
    </row>
    <row r="3139">
      <c r="A3139" t="inlineStr">
        <is>
          <t>2026-07-31</t>
        </is>
      </c>
      <c r="B3139" t="inlineStr">
        <is>
          <t>F268963</t>
        </is>
      </c>
      <c r="C3139" t="inlineStr">
        <is>
          <t>C10466</t>
        </is>
      </c>
      <c r="D3139" t="inlineStr">
        <is>
          <t>SKU-10302</t>
        </is>
      </c>
      <c r="E3139" t="inlineStr">
        <is>
          <t>AM05</t>
        </is>
      </c>
      <c r="F3139" s="5" t="n">
        <v>87.81999999999999</v>
      </c>
      <c r="G3139">
        <f>IF(LEFT(B3139,1)="C","Credit","Factuur")</f>
        <v/>
      </c>
      <c r="H3139">
        <f>IF(AND(B3139=B3138,D3139=D3138,A3139=A3138,F3139=F3138),1,0)</f>
        <v/>
      </c>
      <c r="I3139">
        <f>IF(C3139="C99999",1,0)</f>
        <v/>
      </c>
      <c r="J3139" s="5">
        <f>IF(OR(H3139=1,I3139=1),0,IF(G3139="Credit",-F3139,F3139))</f>
        <v/>
      </c>
    </row>
    <row r="3140">
      <c r="A3140" t="inlineStr">
        <is>
          <t>2026-07-31</t>
        </is>
      </c>
      <c r="B3140" t="inlineStr">
        <is>
          <t>F268963</t>
        </is>
      </c>
      <c r="C3140" t="inlineStr">
        <is>
          <t>C10466</t>
        </is>
      </c>
      <c r="D3140" t="inlineStr">
        <is>
          <t>SKU-10304</t>
        </is>
      </c>
      <c r="E3140" t="inlineStr">
        <is>
          <t>AM05</t>
        </is>
      </c>
      <c r="F3140" s="5" t="n">
        <v>101.61</v>
      </c>
      <c r="G3140">
        <f>IF(LEFT(B3140,1)="C","Credit","Factuur")</f>
        <v/>
      </c>
      <c r="H3140">
        <f>IF(AND(B3140=B3139,D3140=D3139,A3140=A3139,F3140=F3139),1,0)</f>
        <v/>
      </c>
      <c r="I3140">
        <f>IF(C3140="C99999",1,0)</f>
        <v/>
      </c>
      <c r="J3140" s="5">
        <f>IF(OR(H3140=1,I3140=1),0,IF(G3140="Credit",-F3140,F3140))</f>
        <v/>
      </c>
    </row>
    <row r="3141">
      <c r="A3141" t="inlineStr">
        <is>
          <t>2026-07-31</t>
        </is>
      </c>
      <c r="B3141" t="inlineStr">
        <is>
          <t>F269303</t>
        </is>
      </c>
      <c r="C3141" t="inlineStr">
        <is>
          <t>C10490</t>
        </is>
      </c>
      <c r="D3141" t="inlineStr">
        <is>
          <t>SKU-10075</t>
        </is>
      </c>
      <c r="E3141" t="inlineStr">
        <is>
          <t>AM02</t>
        </is>
      </c>
      <c r="F3141" s="5" t="n">
        <v>2364.06</v>
      </c>
      <c r="G3141">
        <f>IF(LEFT(B3141,1)="C","Credit","Factuur")</f>
        <v/>
      </c>
      <c r="H3141">
        <f>IF(AND(B3141=B3140,D3141=D3140,A3141=A3140,F3141=F3140),1,0)</f>
        <v/>
      </c>
      <c r="I3141">
        <f>IF(C3141="C99999",1,0)</f>
        <v/>
      </c>
      <c r="J3141" s="5">
        <f>IF(OR(H3141=1,I3141=1),0,IF(G3141="Credit",-F3141,F3141))</f>
        <v/>
      </c>
    </row>
    <row r="3142">
      <c r="A3142" t="inlineStr">
        <is>
          <t>2026-07-31</t>
        </is>
      </c>
      <c r="B3142" t="inlineStr">
        <is>
          <t>F269400</t>
        </is>
      </c>
      <c r="C3142" t="inlineStr">
        <is>
          <t>C10492</t>
        </is>
      </c>
      <c r="D3142" t="inlineStr">
        <is>
          <t>SKU-10085</t>
        </is>
      </c>
      <c r="E3142" t="inlineStr">
        <is>
          <t>AM08</t>
        </is>
      </c>
      <c r="F3142" s="5" t="n">
        <v>174.89</v>
      </c>
      <c r="G3142">
        <f>IF(LEFT(B3142,1)="C","Credit","Factuur")</f>
        <v/>
      </c>
      <c r="H3142">
        <f>IF(AND(B3142=B3141,D3142=D3141,A3142=A3141,F3142=F3141),1,0)</f>
        <v/>
      </c>
      <c r="I3142">
        <f>IF(C3142="C99999",1,0)</f>
        <v/>
      </c>
      <c r="J3142" s="5">
        <f>IF(OR(H3142=1,I3142=1),0,IF(G3142="Credit",-F3142,F3142))</f>
        <v/>
      </c>
    </row>
    <row r="3143">
      <c r="A3143" t="inlineStr">
        <is>
          <t>2026-07-31</t>
        </is>
      </c>
      <c r="B3143" t="inlineStr">
        <is>
          <t>F269400</t>
        </is>
      </c>
      <c r="C3143" t="inlineStr">
        <is>
          <t>C10492</t>
        </is>
      </c>
      <c r="D3143" t="inlineStr">
        <is>
          <t>SKU-10304</t>
        </is>
      </c>
      <c r="E3143" t="inlineStr">
        <is>
          <t>AM08</t>
        </is>
      </c>
      <c r="F3143" s="5" t="n">
        <v>183.36</v>
      </c>
      <c r="G3143">
        <f>IF(LEFT(B3143,1)="C","Credit","Factuur")</f>
        <v/>
      </c>
      <c r="H3143">
        <f>IF(AND(B3143=B3142,D3143=D3142,A3143=A3142,F3143=F3142),1,0)</f>
        <v/>
      </c>
      <c r="I3143">
        <f>IF(C3143="C99999",1,0)</f>
        <v/>
      </c>
      <c r="J3143" s="5">
        <f>IF(OR(H3143=1,I3143=1),0,IF(G3143="Credit",-F3143,F3143))</f>
        <v/>
      </c>
    </row>
    <row r="3144">
      <c r="A3144" t="inlineStr">
        <is>
          <t>2026-07-31</t>
        </is>
      </c>
      <c r="B3144" t="inlineStr">
        <is>
          <t>F269400</t>
        </is>
      </c>
      <c r="C3144" t="inlineStr">
        <is>
          <t>C10492</t>
        </is>
      </c>
      <c r="D3144" t="inlineStr">
        <is>
          <t>SKU-10310</t>
        </is>
      </c>
      <c r="E3144" t="inlineStr">
        <is>
          <t>AM08</t>
        </is>
      </c>
      <c r="F3144" s="5" t="n">
        <v>170.16</v>
      </c>
      <c r="G3144">
        <f>IF(LEFT(B3144,1)="C","Credit","Factuur")</f>
        <v/>
      </c>
      <c r="H3144">
        <f>IF(AND(B3144=B3143,D3144=D3143,A3144=A3143,F3144=F3143),1,0)</f>
        <v/>
      </c>
      <c r="I3144">
        <f>IF(C3144="C99999",1,0)</f>
        <v/>
      </c>
      <c r="J3144" s="5">
        <f>IF(OR(H3144=1,I3144=1),0,IF(G3144="Credit",-F3144,F3144))</f>
        <v/>
      </c>
    </row>
    <row r="3145">
      <c r="A3145" t="inlineStr">
        <is>
          <t>2026-07-31</t>
        </is>
      </c>
      <c r="B3145" t="inlineStr">
        <is>
          <t>F269400</t>
        </is>
      </c>
      <c r="C3145" t="inlineStr">
        <is>
          <t>C10492</t>
        </is>
      </c>
      <c r="D3145" t="inlineStr">
        <is>
          <t>SKU-10362</t>
        </is>
      </c>
      <c r="E3145" t="inlineStr">
        <is>
          <t>AM08</t>
        </is>
      </c>
      <c r="F3145" s="5" t="n">
        <v>172.12</v>
      </c>
      <c r="G3145">
        <f>IF(LEFT(B3145,1)="C","Credit","Factuur")</f>
        <v/>
      </c>
      <c r="H3145">
        <f>IF(AND(B3145=B3144,D3145=D3144,A3145=A3144,F3145=F3144),1,0)</f>
        <v/>
      </c>
      <c r="I3145">
        <f>IF(C3145="C99999",1,0)</f>
        <v/>
      </c>
      <c r="J3145" s="5">
        <f>IF(OR(H3145=1,I3145=1),0,IF(G3145="Credit",-F3145,F3145))</f>
        <v/>
      </c>
    </row>
    <row r="3146">
      <c r="A3146" t="inlineStr">
        <is>
          <t>2026-07-31</t>
        </is>
      </c>
      <c r="B3146" t="inlineStr">
        <is>
          <t>F269425</t>
        </is>
      </c>
      <c r="C3146" t="inlineStr">
        <is>
          <t>C10494</t>
        </is>
      </c>
      <c r="D3146" t="inlineStr">
        <is>
          <t>SKU-10277</t>
        </is>
      </c>
      <c r="E3146" t="inlineStr">
        <is>
          <t>AM12</t>
        </is>
      </c>
      <c r="F3146" s="5" t="n">
        <v>439.04</v>
      </c>
      <c r="G3146">
        <f>IF(LEFT(B3146,1)="C","Credit","Factuur")</f>
        <v/>
      </c>
      <c r="H3146">
        <f>IF(AND(B3146=B3145,D3146=D3145,A3146=A3145,F3146=F3145),1,0)</f>
        <v/>
      </c>
      <c r="I3146">
        <f>IF(C3146="C99999",1,0)</f>
        <v/>
      </c>
      <c r="J3146" s="5">
        <f>IF(OR(H3146=1,I3146=1),0,IF(G3146="Credit",-F3146,F3146))</f>
        <v/>
      </c>
    </row>
    <row r="3147">
      <c r="A3147" t="inlineStr">
        <is>
          <t>2026-07-31</t>
        </is>
      </c>
      <c r="B3147" t="inlineStr">
        <is>
          <t>F269425</t>
        </is>
      </c>
      <c r="C3147" t="inlineStr">
        <is>
          <t>C10494</t>
        </is>
      </c>
      <c r="D3147" t="inlineStr">
        <is>
          <t>SKU-10329</t>
        </is>
      </c>
      <c r="E3147" t="inlineStr">
        <is>
          <t>AM12</t>
        </is>
      </c>
      <c r="F3147" s="5" t="n">
        <v>454.73</v>
      </c>
      <c r="G3147">
        <f>IF(LEFT(B3147,1)="C","Credit","Factuur")</f>
        <v/>
      </c>
      <c r="H3147">
        <f>IF(AND(B3147=B3146,D3147=D3146,A3147=A3146,F3147=F3146),1,0)</f>
        <v/>
      </c>
      <c r="I3147">
        <f>IF(C3147="C99999",1,0)</f>
        <v/>
      </c>
      <c r="J3147" s="5">
        <f>IF(OR(H3147=1,I3147=1),0,IF(G3147="Credit",-F3147,F3147))</f>
        <v/>
      </c>
    </row>
    <row r="3148">
      <c r="A3148" t="inlineStr">
        <is>
          <t>2026-07-31</t>
        </is>
      </c>
      <c r="B3148" t="inlineStr">
        <is>
          <t>F269519</t>
        </is>
      </c>
      <c r="C3148" t="inlineStr">
        <is>
          <t>C10499</t>
        </is>
      </c>
      <c r="D3148" t="inlineStr">
        <is>
          <t>SKU-10065</t>
        </is>
      </c>
      <c r="E3148" t="inlineStr">
        <is>
          <t>AM09</t>
        </is>
      </c>
      <c r="F3148" s="5" t="n">
        <v>2735.62</v>
      </c>
      <c r="G3148">
        <f>IF(LEFT(B3148,1)="C","Credit","Factuur")</f>
        <v/>
      </c>
      <c r="H3148">
        <f>IF(AND(B3148=B3147,D3148=D3147,A3148=A3147,F3148=F3147),1,0)</f>
        <v/>
      </c>
      <c r="I3148">
        <f>IF(C3148="C99999",1,0)</f>
        <v/>
      </c>
      <c r="J3148" s="5">
        <f>IF(OR(H3148=1,I3148=1),0,IF(G3148="Credit",-F3148,F3148))</f>
        <v/>
      </c>
    </row>
    <row r="3149">
      <c r="A3149" t="inlineStr">
        <is>
          <t>2026-07-31</t>
        </is>
      </c>
      <c r="B3149" t="inlineStr">
        <is>
          <t>F269519</t>
        </is>
      </c>
      <c r="C3149" t="inlineStr">
        <is>
          <t>C10499</t>
        </is>
      </c>
      <c r="D3149" t="inlineStr">
        <is>
          <t>SKU-10261</t>
        </is>
      </c>
      <c r="E3149" t="inlineStr">
        <is>
          <t>AM09</t>
        </is>
      </c>
      <c r="F3149" s="5" t="n">
        <v>2732.4</v>
      </c>
      <c r="G3149">
        <f>IF(LEFT(B3149,1)="C","Credit","Factuur")</f>
        <v/>
      </c>
      <c r="H3149">
        <f>IF(AND(B3149=B3148,D3149=D3148,A3149=A3148,F3149=F3148),1,0)</f>
        <v/>
      </c>
      <c r="I3149">
        <f>IF(C3149="C99999",1,0)</f>
        <v/>
      </c>
      <c r="J3149" s="5">
        <f>IF(OR(H3149=1,I3149=1),0,IF(G3149="Credit",-F3149,F3149))</f>
        <v/>
      </c>
    </row>
    <row r="3150">
      <c r="A3150" t="inlineStr">
        <is>
          <t>2026-07-31</t>
        </is>
      </c>
      <c r="B3150" t="inlineStr">
        <is>
          <t>F269567</t>
        </is>
      </c>
      <c r="C3150" t="inlineStr">
        <is>
          <t>C10503</t>
        </is>
      </c>
      <c r="D3150" t="inlineStr">
        <is>
          <t>SKU-10038</t>
        </is>
      </c>
      <c r="E3150" t="inlineStr">
        <is>
          <t>AM06</t>
        </is>
      </c>
      <c r="F3150" s="5" t="n">
        <v>375.39</v>
      </c>
      <c r="G3150">
        <f>IF(LEFT(B3150,1)="C","Credit","Factuur")</f>
        <v/>
      </c>
      <c r="H3150">
        <f>IF(AND(B3150=B3149,D3150=D3149,A3150=A3149,F3150=F3149),1,0)</f>
        <v/>
      </c>
      <c r="I3150">
        <f>IF(C3150="C99999",1,0)</f>
        <v/>
      </c>
      <c r="J3150" s="5">
        <f>IF(OR(H3150=1,I3150=1),0,IF(G3150="Credit",-F3150,F3150))</f>
        <v/>
      </c>
    </row>
    <row r="3151">
      <c r="A3151" t="inlineStr">
        <is>
          <t>2026-07-31</t>
        </is>
      </c>
      <c r="B3151" t="inlineStr">
        <is>
          <t>F269567</t>
        </is>
      </c>
      <c r="C3151" t="inlineStr">
        <is>
          <t>C10503</t>
        </is>
      </c>
      <c r="D3151" t="inlineStr">
        <is>
          <t>SKU-10096</t>
        </is>
      </c>
      <c r="E3151" t="inlineStr">
        <is>
          <t>AM06</t>
        </is>
      </c>
      <c r="F3151" s="5" t="n">
        <v>380.45</v>
      </c>
      <c r="G3151">
        <f>IF(LEFT(B3151,1)="C","Credit","Factuur")</f>
        <v/>
      </c>
      <c r="H3151">
        <f>IF(AND(B3151=B3150,D3151=D3150,A3151=A3150,F3151=F3150),1,0)</f>
        <v/>
      </c>
      <c r="I3151">
        <f>IF(C3151="C99999",1,0)</f>
        <v/>
      </c>
      <c r="J3151" s="5">
        <f>IF(OR(H3151=1,I3151=1),0,IF(G3151="Credit",-F3151,F3151))</f>
        <v/>
      </c>
    </row>
    <row r="3152">
      <c r="A3152" t="inlineStr">
        <is>
          <t>2026-07-31</t>
        </is>
      </c>
      <c r="B3152" t="inlineStr">
        <is>
          <t>F269567</t>
        </is>
      </c>
      <c r="C3152" t="inlineStr">
        <is>
          <t>C10503</t>
        </is>
      </c>
      <c r="D3152" t="inlineStr">
        <is>
          <t>SKU-10238</t>
        </is>
      </c>
      <c r="E3152" t="inlineStr">
        <is>
          <t>AM06</t>
        </is>
      </c>
      <c r="F3152" s="5" t="n">
        <v>376.25</v>
      </c>
      <c r="G3152">
        <f>IF(LEFT(B3152,1)="C","Credit","Factuur")</f>
        <v/>
      </c>
      <c r="H3152">
        <f>IF(AND(B3152=B3151,D3152=D3151,A3152=A3151,F3152=F3151),1,0)</f>
        <v/>
      </c>
      <c r="I3152">
        <f>IF(C3152="C99999",1,0)</f>
        <v/>
      </c>
      <c r="J3152" s="5">
        <f>IF(OR(H3152=1,I3152=1),0,IF(G3152="Credit",-F3152,F3152))</f>
        <v/>
      </c>
    </row>
    <row r="3153">
      <c r="A3153" t="inlineStr">
        <is>
          <t>2026-07-31</t>
        </is>
      </c>
      <c r="B3153" t="inlineStr">
        <is>
          <t>F269567</t>
        </is>
      </c>
      <c r="C3153" t="inlineStr">
        <is>
          <t>C10503</t>
        </is>
      </c>
      <c r="D3153" t="inlineStr">
        <is>
          <t>SKU-10274</t>
        </is>
      </c>
      <c r="E3153" t="inlineStr">
        <is>
          <t>AM06</t>
        </is>
      </c>
      <c r="F3153" s="5" t="n">
        <v>385.05</v>
      </c>
      <c r="G3153">
        <f>IF(LEFT(B3153,1)="C","Credit","Factuur")</f>
        <v/>
      </c>
      <c r="H3153">
        <f>IF(AND(B3153=B3152,D3153=D3152,A3153=A3152,F3153=F3152),1,0)</f>
        <v/>
      </c>
      <c r="I3153">
        <f>IF(C3153="C99999",1,0)</f>
        <v/>
      </c>
      <c r="J3153" s="5">
        <f>IF(OR(H3153=1,I3153=1),0,IF(G3153="Credit",-F3153,F3153))</f>
        <v/>
      </c>
    </row>
    <row r="3154">
      <c r="A3154" t="inlineStr">
        <is>
          <t>2026-07-31</t>
        </is>
      </c>
      <c r="B3154" t="inlineStr">
        <is>
          <t>F269604</t>
        </is>
      </c>
      <c r="C3154" t="inlineStr">
        <is>
          <t>C10504</t>
        </is>
      </c>
      <c r="D3154" t="inlineStr">
        <is>
          <t>SKU-10115</t>
        </is>
      </c>
      <c r="E3154" t="inlineStr">
        <is>
          <t>AM03</t>
        </is>
      </c>
      <c r="F3154" s="5" t="n">
        <v>196.76</v>
      </c>
      <c r="G3154">
        <f>IF(LEFT(B3154,1)="C","Credit","Factuur")</f>
        <v/>
      </c>
      <c r="H3154">
        <f>IF(AND(B3154=B3153,D3154=D3153,A3154=A3153,F3154=F3153),1,0)</f>
        <v/>
      </c>
      <c r="I3154">
        <f>IF(C3154="C99999",1,0)</f>
        <v/>
      </c>
      <c r="J3154" s="5">
        <f>IF(OR(H3154=1,I3154=1),0,IF(G3154="Credit",-F3154,F3154))</f>
        <v/>
      </c>
    </row>
    <row r="3155">
      <c r="A3155" t="inlineStr">
        <is>
          <t>2026-07-31</t>
        </is>
      </c>
      <c r="B3155" t="inlineStr">
        <is>
          <t>F269604</t>
        </is>
      </c>
      <c r="C3155" t="inlineStr">
        <is>
          <t>C10504</t>
        </is>
      </c>
      <c r="D3155" t="inlineStr">
        <is>
          <t>SKU-10173</t>
        </is>
      </c>
      <c r="E3155" t="inlineStr">
        <is>
          <t>AM03</t>
        </is>
      </c>
      <c r="F3155" s="5" t="n">
        <v>172</v>
      </c>
      <c r="G3155">
        <f>IF(LEFT(B3155,1)="C","Credit","Factuur")</f>
        <v/>
      </c>
      <c r="H3155">
        <f>IF(AND(B3155=B3154,D3155=D3154,A3155=A3154,F3155=F3154),1,0)</f>
        <v/>
      </c>
      <c r="I3155">
        <f>IF(C3155="C99999",1,0)</f>
        <v/>
      </c>
      <c r="J3155" s="5">
        <f>IF(OR(H3155=1,I3155=1),0,IF(G3155="Credit",-F3155,F3155))</f>
        <v/>
      </c>
    </row>
    <row r="3156">
      <c r="A3156" t="inlineStr">
        <is>
          <t>2026-07-31</t>
        </is>
      </c>
      <c r="B3156" t="inlineStr">
        <is>
          <t>F269663</t>
        </is>
      </c>
      <c r="C3156" t="inlineStr">
        <is>
          <t>C10508</t>
        </is>
      </c>
      <c r="D3156" t="inlineStr">
        <is>
          <t>SKU-10073</t>
        </is>
      </c>
      <c r="E3156" t="inlineStr">
        <is>
          <t>AM01</t>
        </is>
      </c>
      <c r="F3156" s="5" t="n">
        <v>379.32</v>
      </c>
      <c r="G3156">
        <f>IF(LEFT(B3156,1)="C","Credit","Factuur")</f>
        <v/>
      </c>
      <c r="H3156">
        <f>IF(AND(B3156=B3155,D3156=D3155,A3156=A3155,F3156=F3155),1,0)</f>
        <v/>
      </c>
      <c r="I3156">
        <f>IF(C3156="C99999",1,0)</f>
        <v/>
      </c>
      <c r="J3156" s="5">
        <f>IF(OR(H3156=1,I3156=1),0,IF(G3156="Credit",-F3156,F3156))</f>
        <v/>
      </c>
    </row>
    <row r="3157">
      <c r="A3157" t="inlineStr">
        <is>
          <t>2026-07-31</t>
        </is>
      </c>
      <c r="B3157" t="inlineStr">
        <is>
          <t>F269663</t>
        </is>
      </c>
      <c r="C3157" t="inlineStr">
        <is>
          <t>C10508</t>
        </is>
      </c>
      <c r="D3157" t="inlineStr">
        <is>
          <t>SKU-10288</t>
        </is>
      </c>
      <c r="E3157" t="inlineStr">
        <is>
          <t>AM01</t>
        </is>
      </c>
      <c r="F3157" s="5" t="n">
        <v>328.13</v>
      </c>
      <c r="G3157">
        <f>IF(LEFT(B3157,1)="C","Credit","Factuur")</f>
        <v/>
      </c>
      <c r="H3157">
        <f>IF(AND(B3157=B3156,D3157=D3156,A3157=A3156,F3157=F3156),1,0)</f>
        <v/>
      </c>
      <c r="I3157">
        <f>IF(C3157="C99999",1,0)</f>
        <v/>
      </c>
      <c r="J3157" s="5">
        <f>IF(OR(H3157=1,I3157=1),0,IF(G3157="Credit",-F3157,F3157))</f>
        <v/>
      </c>
    </row>
    <row r="3158">
      <c r="A3158" t="inlineStr">
        <is>
          <t>2026-07-31</t>
        </is>
      </c>
      <c r="B3158" t="inlineStr">
        <is>
          <t>F269663</t>
        </is>
      </c>
      <c r="C3158" t="inlineStr">
        <is>
          <t>C10508</t>
        </is>
      </c>
      <c r="D3158" t="inlineStr">
        <is>
          <t>SKU-10374</t>
        </is>
      </c>
      <c r="E3158" t="inlineStr">
        <is>
          <t>AM01</t>
        </is>
      </c>
      <c r="F3158" s="5" t="n">
        <v>353.03</v>
      </c>
      <c r="G3158">
        <f>IF(LEFT(B3158,1)="C","Credit","Factuur")</f>
        <v/>
      </c>
      <c r="H3158">
        <f>IF(AND(B3158=B3157,D3158=D3157,A3158=A3157,F3158=F3157),1,0)</f>
        <v/>
      </c>
      <c r="I3158">
        <f>IF(C3158="C99999",1,0)</f>
        <v/>
      </c>
      <c r="J3158" s="5">
        <f>IF(OR(H3158=1,I3158=1),0,IF(G3158="Credit",-F3158,F3158))</f>
        <v/>
      </c>
    </row>
    <row r="3159">
      <c r="A3159" t="inlineStr">
        <is>
          <t>2026-07-31</t>
        </is>
      </c>
      <c r="B3159" t="inlineStr">
        <is>
          <t>F269779</t>
        </is>
      </c>
      <c r="C3159" t="inlineStr">
        <is>
          <t>C10516</t>
        </is>
      </c>
      <c r="D3159" t="inlineStr">
        <is>
          <t>SKU-10040</t>
        </is>
      </c>
      <c r="E3159" t="inlineStr">
        <is>
          <t>AM06</t>
        </is>
      </c>
      <c r="F3159" s="5" t="n">
        <v>60.08</v>
      </c>
      <c r="G3159">
        <f>IF(LEFT(B3159,1)="C","Credit","Factuur")</f>
        <v/>
      </c>
      <c r="H3159">
        <f>IF(AND(B3159=B3158,D3159=D3158,A3159=A3158,F3159=F3158),1,0)</f>
        <v/>
      </c>
      <c r="I3159">
        <f>IF(C3159="C99999",1,0)</f>
        <v/>
      </c>
      <c r="J3159" s="5">
        <f>IF(OR(H3159=1,I3159=1),0,IF(G3159="Credit",-F3159,F3159))</f>
        <v/>
      </c>
    </row>
    <row r="3160">
      <c r="A3160" t="inlineStr">
        <is>
          <t>2026-07-31</t>
        </is>
      </c>
      <c r="B3160" t="inlineStr">
        <is>
          <t>F269779</t>
        </is>
      </c>
      <c r="C3160" t="inlineStr">
        <is>
          <t>C10516</t>
        </is>
      </c>
      <c r="D3160" t="inlineStr">
        <is>
          <t>SKU-10057</t>
        </is>
      </c>
      <c r="E3160" t="inlineStr">
        <is>
          <t>AM06</t>
        </is>
      </c>
      <c r="F3160" s="5" t="n">
        <v>64.12</v>
      </c>
      <c r="G3160">
        <f>IF(LEFT(B3160,1)="C","Credit","Factuur")</f>
        <v/>
      </c>
      <c r="H3160">
        <f>IF(AND(B3160=B3159,D3160=D3159,A3160=A3159,F3160=F3159),1,0)</f>
        <v/>
      </c>
      <c r="I3160">
        <f>IF(C3160="C99999",1,0)</f>
        <v/>
      </c>
      <c r="J3160" s="5">
        <f>IF(OR(H3160=1,I3160=1),0,IF(G3160="Credit",-F3160,F3160))</f>
        <v/>
      </c>
    </row>
    <row r="3161">
      <c r="A3161" t="inlineStr">
        <is>
          <t>2026-07-31</t>
        </is>
      </c>
      <c r="B3161" t="inlineStr">
        <is>
          <t>F269779</t>
        </is>
      </c>
      <c r="C3161" t="inlineStr">
        <is>
          <t>C10516</t>
        </is>
      </c>
      <c r="D3161" t="inlineStr">
        <is>
          <t>SKU-10097</t>
        </is>
      </c>
      <c r="E3161" t="inlineStr">
        <is>
          <t>AM06</t>
        </is>
      </c>
      <c r="F3161" s="5" t="n">
        <v>60.71</v>
      </c>
      <c r="G3161">
        <f>IF(LEFT(B3161,1)="C","Credit","Factuur")</f>
        <v/>
      </c>
      <c r="H3161">
        <f>IF(AND(B3161=B3160,D3161=D3160,A3161=A3160,F3161=F3160),1,0)</f>
        <v/>
      </c>
      <c r="I3161">
        <f>IF(C3161="C99999",1,0)</f>
        <v/>
      </c>
      <c r="J3161" s="5">
        <f>IF(OR(H3161=1,I3161=1),0,IF(G3161="Credit",-F3161,F3161))</f>
        <v/>
      </c>
    </row>
    <row r="3162">
      <c r="A3162" t="inlineStr">
        <is>
          <t>2026-07-31</t>
        </is>
      </c>
      <c r="B3162" t="inlineStr">
        <is>
          <t>F269779</t>
        </is>
      </c>
      <c r="C3162" t="inlineStr">
        <is>
          <t>C10516</t>
        </is>
      </c>
      <c r="D3162" t="inlineStr">
        <is>
          <t>SKU-10281</t>
        </is>
      </c>
      <c r="E3162" t="inlineStr">
        <is>
          <t>AM06</t>
        </is>
      </c>
      <c r="F3162" s="5" t="n">
        <v>61.02</v>
      </c>
      <c r="G3162">
        <f>IF(LEFT(B3162,1)="C","Credit","Factuur")</f>
        <v/>
      </c>
      <c r="H3162">
        <f>IF(AND(B3162=B3161,D3162=D3161,A3162=A3161,F3162=F3161),1,0)</f>
        <v/>
      </c>
      <c r="I3162">
        <f>IF(C3162="C99999",1,0)</f>
        <v/>
      </c>
      <c r="J3162" s="5">
        <f>IF(OR(H3162=1,I3162=1),0,IF(G3162="Credit",-F3162,F3162))</f>
        <v/>
      </c>
    </row>
    <row r="3163">
      <c r="A3163" t="inlineStr">
        <is>
          <t>2026-07-31</t>
        </is>
      </c>
      <c r="B3163" t="inlineStr">
        <is>
          <t>F269779</t>
        </is>
      </c>
      <c r="C3163" t="inlineStr">
        <is>
          <t>C10516</t>
        </is>
      </c>
      <c r="D3163" t="inlineStr">
        <is>
          <t>SKU-10294</t>
        </is>
      </c>
      <c r="E3163" t="inlineStr">
        <is>
          <t>AM06</t>
        </is>
      </c>
      <c r="F3163" s="5" t="n">
        <v>73.73999999999999</v>
      </c>
      <c r="G3163">
        <f>IF(LEFT(B3163,1)="C","Credit","Factuur")</f>
        <v/>
      </c>
      <c r="H3163">
        <f>IF(AND(B3163=B3162,D3163=D3162,A3163=A3162,F3163=F3162),1,0)</f>
        <v/>
      </c>
      <c r="I3163">
        <f>IF(C3163="C99999",1,0)</f>
        <v/>
      </c>
      <c r="J3163" s="5">
        <f>IF(OR(H3163=1,I3163=1),0,IF(G3163="Credit",-F3163,F3163))</f>
        <v/>
      </c>
    </row>
    <row r="3164">
      <c r="A3164" t="inlineStr">
        <is>
          <t>2026-07-31</t>
        </is>
      </c>
      <c r="B3164" t="inlineStr">
        <is>
          <t>F269833</t>
        </is>
      </c>
      <c r="C3164" t="inlineStr">
        <is>
          <t>C10519</t>
        </is>
      </c>
      <c r="D3164" t="inlineStr">
        <is>
          <t>SKU-10076</t>
        </is>
      </c>
      <c r="E3164" t="inlineStr">
        <is>
          <t>AM01</t>
        </is>
      </c>
      <c r="F3164" s="5" t="n">
        <v>737.91</v>
      </c>
      <c r="G3164">
        <f>IF(LEFT(B3164,1)="C","Credit","Factuur")</f>
        <v/>
      </c>
      <c r="H3164">
        <f>IF(AND(B3164=B3163,D3164=D3163,A3164=A3163,F3164=F3163),1,0)</f>
        <v/>
      </c>
      <c r="I3164">
        <f>IF(C3164="C99999",1,0)</f>
        <v/>
      </c>
      <c r="J3164" s="5">
        <f>IF(OR(H3164=1,I3164=1),0,IF(G3164="Credit",-F3164,F3164))</f>
        <v/>
      </c>
    </row>
    <row r="3165">
      <c r="A3165" t="inlineStr">
        <is>
          <t>2026-07-31</t>
        </is>
      </c>
      <c r="B3165" t="inlineStr">
        <is>
          <t>F269833</t>
        </is>
      </c>
      <c r="C3165" t="inlineStr">
        <is>
          <t>C10519</t>
        </is>
      </c>
      <c r="D3165" t="inlineStr">
        <is>
          <t>SKU-10254</t>
        </is>
      </c>
      <c r="E3165" t="inlineStr">
        <is>
          <t>AM01</t>
        </is>
      </c>
      <c r="F3165" s="5" t="n">
        <v>732</v>
      </c>
      <c r="G3165">
        <f>IF(LEFT(B3165,1)="C","Credit","Factuur")</f>
        <v/>
      </c>
      <c r="H3165">
        <f>IF(AND(B3165=B3164,D3165=D3164,A3165=A3164,F3165=F3164),1,0)</f>
        <v/>
      </c>
      <c r="I3165">
        <f>IF(C3165="C99999",1,0)</f>
        <v/>
      </c>
      <c r="J3165" s="5">
        <f>IF(OR(H3165=1,I3165=1),0,IF(G3165="Credit",-F3165,F3165))</f>
        <v/>
      </c>
    </row>
    <row r="3166">
      <c r="A3166" t="inlineStr">
        <is>
          <t>2026-07-31</t>
        </is>
      </c>
      <c r="B3166" t="inlineStr">
        <is>
          <t>F269833</t>
        </is>
      </c>
      <c r="C3166" t="inlineStr">
        <is>
          <t>C10519</t>
        </is>
      </c>
      <c r="D3166" t="inlineStr">
        <is>
          <t>SKU-10277</t>
        </is>
      </c>
      <c r="E3166" t="inlineStr">
        <is>
          <t>AM01</t>
        </is>
      </c>
      <c r="F3166" s="5" t="n">
        <v>746.55</v>
      </c>
      <c r="G3166">
        <f>IF(LEFT(B3166,1)="C","Credit","Factuur")</f>
        <v/>
      </c>
      <c r="H3166">
        <f>IF(AND(B3166=B3165,D3166=D3165,A3166=A3165,F3166=F3165),1,0)</f>
        <v/>
      </c>
      <c r="I3166">
        <f>IF(C3166="C99999",1,0)</f>
        <v/>
      </c>
      <c r="J3166" s="5">
        <f>IF(OR(H3166=1,I3166=1),0,IF(G3166="Credit",-F3166,F3166))</f>
        <v/>
      </c>
    </row>
    <row r="3167">
      <c r="A3167" t="inlineStr">
        <is>
          <t>2026-07-31</t>
        </is>
      </c>
      <c r="B3167" t="inlineStr">
        <is>
          <t>F269833</t>
        </is>
      </c>
      <c r="C3167" t="inlineStr">
        <is>
          <t>C10519</t>
        </is>
      </c>
      <c r="D3167" t="inlineStr">
        <is>
          <t>SKU-10351</t>
        </is>
      </c>
      <c r="E3167" t="inlineStr">
        <is>
          <t>AM01</t>
        </is>
      </c>
      <c r="F3167" s="5" t="n">
        <v>605.05</v>
      </c>
      <c r="G3167">
        <f>IF(LEFT(B3167,1)="C","Credit","Factuur")</f>
        <v/>
      </c>
      <c r="H3167">
        <f>IF(AND(B3167=B3166,D3167=D3166,A3167=A3166,F3167=F3166),1,0)</f>
        <v/>
      </c>
      <c r="I3167">
        <f>IF(C3167="C99999",1,0)</f>
        <v/>
      </c>
      <c r="J3167" s="5">
        <f>IF(OR(H3167=1,I3167=1),0,IF(G3167="Credit",-F3167,F3167))</f>
        <v/>
      </c>
    </row>
    <row r="3168">
      <c r="A3168" t="inlineStr">
        <is>
          <t>2026-07-31</t>
        </is>
      </c>
      <c r="B3168" t="inlineStr">
        <is>
          <t>F269926</t>
        </is>
      </c>
      <c r="C3168" t="inlineStr">
        <is>
          <t>C10523</t>
        </is>
      </c>
      <c r="D3168" t="inlineStr">
        <is>
          <t>SKU-10009</t>
        </is>
      </c>
      <c r="E3168" t="inlineStr">
        <is>
          <t>AM02</t>
        </is>
      </c>
      <c r="F3168" s="5" t="n">
        <v>2139.95</v>
      </c>
      <c r="G3168">
        <f>IF(LEFT(B3168,1)="C","Credit","Factuur")</f>
        <v/>
      </c>
      <c r="H3168">
        <f>IF(AND(B3168=B3167,D3168=D3167,A3168=A3167,F3168=F3167),1,0)</f>
        <v/>
      </c>
      <c r="I3168">
        <f>IF(C3168="C99999",1,0)</f>
        <v/>
      </c>
      <c r="J3168" s="5">
        <f>IF(OR(H3168=1,I3168=1),0,IF(G3168="Credit",-F3168,F3168))</f>
        <v/>
      </c>
    </row>
    <row r="3169">
      <c r="A3169" t="inlineStr">
        <is>
          <t>2026-07-31</t>
        </is>
      </c>
      <c r="B3169" t="inlineStr">
        <is>
          <t>F270297</t>
        </is>
      </c>
      <c r="C3169" t="inlineStr">
        <is>
          <t>C10542</t>
        </is>
      </c>
      <c r="D3169" t="inlineStr">
        <is>
          <t>SKU-10047</t>
        </is>
      </c>
      <c r="E3169" t="inlineStr">
        <is>
          <t>AM08</t>
        </is>
      </c>
      <c r="F3169" s="5" t="n">
        <v>450.57</v>
      </c>
      <c r="G3169">
        <f>IF(LEFT(B3169,1)="C","Credit","Factuur")</f>
        <v/>
      </c>
      <c r="H3169">
        <f>IF(AND(B3169=B3168,D3169=D3168,A3169=A3168,F3169=F3168),1,0)</f>
        <v/>
      </c>
      <c r="I3169">
        <f>IF(C3169="C99999",1,0)</f>
        <v/>
      </c>
      <c r="J3169" s="5">
        <f>IF(OR(H3169=1,I3169=1),0,IF(G3169="Credit",-F3169,F3169))</f>
        <v/>
      </c>
    </row>
    <row r="3170">
      <c r="A3170" t="inlineStr">
        <is>
          <t>2026-07-31</t>
        </is>
      </c>
      <c r="B3170" t="inlineStr">
        <is>
          <t>F270297</t>
        </is>
      </c>
      <c r="C3170" t="inlineStr">
        <is>
          <t>C10542</t>
        </is>
      </c>
      <c r="D3170" t="inlineStr">
        <is>
          <t>SKU-10060</t>
        </is>
      </c>
      <c r="E3170" t="inlineStr">
        <is>
          <t>AM08</t>
        </is>
      </c>
      <c r="F3170" s="5" t="n">
        <v>388.08</v>
      </c>
      <c r="G3170">
        <f>IF(LEFT(B3170,1)="C","Credit","Factuur")</f>
        <v/>
      </c>
      <c r="H3170">
        <f>IF(AND(B3170=B3169,D3170=D3169,A3170=A3169,F3170=F3169),1,0)</f>
        <v/>
      </c>
      <c r="I3170">
        <f>IF(C3170="C99999",1,0)</f>
        <v/>
      </c>
      <c r="J3170" s="5">
        <f>IF(OR(H3170=1,I3170=1),0,IF(G3170="Credit",-F3170,F3170))</f>
        <v/>
      </c>
    </row>
    <row r="3171">
      <c r="A3171" t="inlineStr">
        <is>
          <t>2026-07-31</t>
        </is>
      </c>
      <c r="B3171" t="inlineStr">
        <is>
          <t>F270297</t>
        </is>
      </c>
      <c r="C3171" t="inlineStr">
        <is>
          <t>C10542</t>
        </is>
      </c>
      <c r="D3171" t="inlineStr">
        <is>
          <t>SKU-10138</t>
        </is>
      </c>
      <c r="E3171" t="inlineStr">
        <is>
          <t>AM08</t>
        </is>
      </c>
      <c r="F3171" s="5" t="n">
        <v>358.9</v>
      </c>
      <c r="G3171">
        <f>IF(LEFT(B3171,1)="C","Credit","Factuur")</f>
        <v/>
      </c>
      <c r="H3171">
        <f>IF(AND(B3171=B3170,D3171=D3170,A3171=A3170,F3171=F3170),1,0)</f>
        <v/>
      </c>
      <c r="I3171">
        <f>IF(C3171="C99999",1,0)</f>
        <v/>
      </c>
      <c r="J3171" s="5">
        <f>IF(OR(H3171=1,I3171=1),0,IF(G3171="Credit",-F3171,F3171))</f>
        <v/>
      </c>
    </row>
    <row r="3172">
      <c r="A3172" t="inlineStr">
        <is>
          <t>2026-07-31</t>
        </is>
      </c>
      <c r="B3172" t="inlineStr">
        <is>
          <t>F270297</t>
        </is>
      </c>
      <c r="C3172" t="inlineStr">
        <is>
          <t>C10542</t>
        </is>
      </c>
      <c r="D3172" t="inlineStr">
        <is>
          <t>SKU-10199</t>
        </is>
      </c>
      <c r="E3172" t="inlineStr">
        <is>
          <t>AM08</t>
        </is>
      </c>
      <c r="F3172" s="5" t="n">
        <v>387.06</v>
      </c>
      <c r="G3172">
        <f>IF(LEFT(B3172,1)="C","Credit","Factuur")</f>
        <v/>
      </c>
      <c r="H3172">
        <f>IF(AND(B3172=B3171,D3172=D3171,A3172=A3171,F3172=F3171),1,0)</f>
        <v/>
      </c>
      <c r="I3172">
        <f>IF(C3172="C99999",1,0)</f>
        <v/>
      </c>
      <c r="J3172" s="5">
        <f>IF(OR(H3172=1,I3172=1),0,IF(G3172="Credit",-F3172,F3172))</f>
        <v/>
      </c>
    </row>
    <row r="3173">
      <c r="A3173" t="inlineStr">
        <is>
          <t>2026-07-31</t>
        </is>
      </c>
      <c r="B3173" t="inlineStr">
        <is>
          <t>F270297</t>
        </is>
      </c>
      <c r="C3173" t="inlineStr">
        <is>
          <t>C10542</t>
        </is>
      </c>
      <c r="D3173" t="inlineStr">
        <is>
          <t>SKU-10214</t>
        </is>
      </c>
      <c r="E3173" t="inlineStr">
        <is>
          <t>AM08</t>
        </is>
      </c>
      <c r="F3173" s="5" t="n">
        <v>449.46</v>
      </c>
      <c r="G3173">
        <f>IF(LEFT(B3173,1)="C","Credit","Factuur")</f>
        <v/>
      </c>
      <c r="H3173">
        <f>IF(AND(B3173=B3172,D3173=D3172,A3173=A3172,F3173=F3172),1,0)</f>
        <v/>
      </c>
      <c r="I3173">
        <f>IF(C3173="C99999",1,0)</f>
        <v/>
      </c>
      <c r="J3173" s="5">
        <f>IF(OR(H3173=1,I3173=1),0,IF(G3173="Credit",-F3173,F3173))</f>
        <v/>
      </c>
    </row>
    <row r="3174">
      <c r="A3174" t="inlineStr">
        <is>
          <t>2026-07-31</t>
        </is>
      </c>
      <c r="B3174" t="inlineStr">
        <is>
          <t>F270499</t>
        </is>
      </c>
      <c r="C3174" t="inlineStr">
        <is>
          <t>C10552</t>
        </is>
      </c>
      <c r="D3174" t="inlineStr">
        <is>
          <t>SKU-10104</t>
        </is>
      </c>
      <c r="E3174" t="inlineStr">
        <is>
          <t>AM03</t>
        </is>
      </c>
      <c r="F3174" s="5" t="n">
        <v>1239.5</v>
      </c>
      <c r="G3174">
        <f>IF(LEFT(B3174,1)="C","Credit","Factuur")</f>
        <v/>
      </c>
      <c r="H3174">
        <f>IF(AND(B3174=B3173,D3174=D3173,A3174=A3173,F3174=F3173),1,0)</f>
        <v/>
      </c>
      <c r="I3174">
        <f>IF(C3174="C99999",1,0)</f>
        <v/>
      </c>
      <c r="J3174" s="5">
        <f>IF(OR(H3174=1,I3174=1),0,IF(G3174="Credit",-F3174,F3174))</f>
        <v/>
      </c>
    </row>
    <row r="3175">
      <c r="A3175" t="inlineStr">
        <is>
          <t>2026-07-31</t>
        </is>
      </c>
      <c r="B3175" t="inlineStr">
        <is>
          <t>F270798</t>
        </is>
      </c>
      <c r="C3175" t="inlineStr">
        <is>
          <t>C10566</t>
        </is>
      </c>
      <c r="D3175" t="inlineStr">
        <is>
          <t>SKU-10071</t>
        </is>
      </c>
      <c r="E3175" t="inlineStr">
        <is>
          <t>AM03</t>
        </is>
      </c>
      <c r="F3175" s="5" t="n">
        <v>284.14</v>
      </c>
      <c r="G3175">
        <f>IF(LEFT(B3175,1)="C","Credit","Factuur")</f>
        <v/>
      </c>
      <c r="H3175">
        <f>IF(AND(B3175=B3174,D3175=D3174,A3175=A3174,F3175=F3174),1,0)</f>
        <v/>
      </c>
      <c r="I3175">
        <f>IF(C3175="C99999",1,0)</f>
        <v/>
      </c>
      <c r="J3175" s="5">
        <f>IF(OR(H3175=1,I3175=1),0,IF(G3175="Credit",-F3175,F3175))</f>
        <v/>
      </c>
    </row>
    <row r="3176">
      <c r="A3176" t="inlineStr">
        <is>
          <t>2026-07-31</t>
        </is>
      </c>
      <c r="B3176" t="inlineStr">
        <is>
          <t>F270798</t>
        </is>
      </c>
      <c r="C3176" t="inlineStr">
        <is>
          <t>C10566</t>
        </is>
      </c>
      <c r="D3176" t="inlineStr">
        <is>
          <t>SKU-10292</t>
        </is>
      </c>
      <c r="E3176" t="inlineStr">
        <is>
          <t>AM03</t>
        </is>
      </c>
      <c r="F3176" s="5" t="n">
        <v>315.12</v>
      </c>
      <c r="G3176">
        <f>IF(LEFT(B3176,1)="C","Credit","Factuur")</f>
        <v/>
      </c>
      <c r="H3176">
        <f>IF(AND(B3176=B3175,D3176=D3175,A3176=A3175,F3176=F3175),1,0)</f>
        <v/>
      </c>
      <c r="I3176">
        <f>IF(C3176="C99999",1,0)</f>
        <v/>
      </c>
      <c r="J3176" s="5">
        <f>IF(OR(H3176=1,I3176=1),0,IF(G3176="Credit",-F3176,F3176))</f>
        <v/>
      </c>
    </row>
    <row r="3177">
      <c r="A3177" t="inlineStr">
        <is>
          <t>2026-07-31</t>
        </is>
      </c>
      <c r="B3177" t="inlineStr">
        <is>
          <t>F270806</t>
        </is>
      </c>
      <c r="C3177" t="inlineStr">
        <is>
          <t>C10567</t>
        </is>
      </c>
      <c r="D3177" t="inlineStr">
        <is>
          <t>SKU-10260</t>
        </is>
      </c>
      <c r="E3177" t="inlineStr">
        <is>
          <t>AM08</t>
        </is>
      </c>
      <c r="F3177" s="5" t="n">
        <v>392.17</v>
      </c>
      <c r="G3177">
        <f>IF(LEFT(B3177,1)="C","Credit","Factuur")</f>
        <v/>
      </c>
      <c r="H3177">
        <f>IF(AND(B3177=B3176,D3177=D3176,A3177=A3176,F3177=F3176),1,0)</f>
        <v/>
      </c>
      <c r="I3177">
        <f>IF(C3177="C99999",1,0)</f>
        <v/>
      </c>
      <c r="J3177" s="5">
        <f>IF(OR(H3177=1,I3177=1),0,IF(G3177="Credit",-F3177,F3177))</f>
        <v/>
      </c>
    </row>
    <row r="3178">
      <c r="A3178" t="inlineStr">
        <is>
          <t>2026-07-31</t>
        </is>
      </c>
      <c r="B3178" t="inlineStr">
        <is>
          <t>F270839</t>
        </is>
      </c>
      <c r="C3178" t="inlineStr">
        <is>
          <t>C10567</t>
        </is>
      </c>
      <c r="D3178" t="inlineStr">
        <is>
          <t>SKU-10040</t>
        </is>
      </c>
      <c r="E3178" t="inlineStr">
        <is>
          <t>AM08</t>
        </is>
      </c>
      <c r="F3178" s="5" t="n">
        <v>185.5</v>
      </c>
      <c r="G3178">
        <f>IF(LEFT(B3178,1)="C","Credit","Factuur")</f>
        <v/>
      </c>
      <c r="H3178">
        <f>IF(AND(B3178=B3177,D3178=D3177,A3178=A3177,F3178=F3177),1,0)</f>
        <v/>
      </c>
      <c r="I3178">
        <f>IF(C3178="C99999",1,0)</f>
        <v/>
      </c>
      <c r="J3178" s="5">
        <f>IF(OR(H3178=1,I3178=1),0,IF(G3178="Credit",-F3178,F3178))</f>
        <v/>
      </c>
    </row>
    <row r="3179">
      <c r="A3179" t="inlineStr">
        <is>
          <t>2026-07-31</t>
        </is>
      </c>
      <c r="B3179" t="inlineStr">
        <is>
          <t>F270839</t>
        </is>
      </c>
      <c r="C3179" t="inlineStr">
        <is>
          <t>C10567</t>
        </is>
      </c>
      <c r="D3179" t="inlineStr">
        <is>
          <t>SKU-10256</t>
        </is>
      </c>
      <c r="E3179" t="inlineStr">
        <is>
          <t>AM08</t>
        </is>
      </c>
      <c r="F3179" s="5" t="n">
        <v>170.83</v>
      </c>
      <c r="G3179">
        <f>IF(LEFT(B3179,1)="C","Credit","Factuur")</f>
        <v/>
      </c>
      <c r="H3179">
        <f>IF(AND(B3179=B3178,D3179=D3178,A3179=A3178,F3179=F3178),1,0)</f>
        <v/>
      </c>
      <c r="I3179">
        <f>IF(C3179="C99999",1,0)</f>
        <v/>
      </c>
      <c r="J3179" s="5">
        <f>IF(OR(H3179=1,I3179=1),0,IF(G3179="Credit",-F3179,F3179))</f>
        <v/>
      </c>
    </row>
    <row r="3180">
      <c r="A3180" t="inlineStr">
        <is>
          <t>2026-07-31</t>
        </is>
      </c>
      <c r="B3180" t="inlineStr">
        <is>
          <t>F270978</t>
        </is>
      </c>
      <c r="C3180" t="inlineStr">
        <is>
          <t>C10572</t>
        </is>
      </c>
      <c r="D3180" t="inlineStr">
        <is>
          <t>SKU-10014</t>
        </is>
      </c>
      <c r="E3180" t="inlineStr">
        <is>
          <t>AM05</t>
        </is>
      </c>
      <c r="F3180" s="5" t="n">
        <v>27.52</v>
      </c>
      <c r="G3180">
        <f>IF(LEFT(B3180,1)="C","Credit","Factuur")</f>
        <v/>
      </c>
      <c r="H3180">
        <f>IF(AND(B3180=B3179,D3180=D3179,A3180=A3179,F3180=F3179),1,0)</f>
        <v/>
      </c>
      <c r="I3180">
        <f>IF(C3180="C99999",1,0)</f>
        <v/>
      </c>
      <c r="J3180" s="5">
        <f>IF(OR(H3180=1,I3180=1),0,IF(G3180="Credit",-F3180,F3180))</f>
        <v/>
      </c>
    </row>
    <row r="3181">
      <c r="A3181" t="inlineStr">
        <is>
          <t>2026-07-31</t>
        </is>
      </c>
      <c r="B3181" t="inlineStr">
        <is>
          <t>F270978</t>
        </is>
      </c>
      <c r="C3181" t="inlineStr">
        <is>
          <t>C10572</t>
        </is>
      </c>
      <c r="D3181" t="inlineStr">
        <is>
          <t>SKU-10022</t>
        </is>
      </c>
      <c r="E3181" t="inlineStr">
        <is>
          <t>AM05</t>
        </is>
      </c>
      <c r="F3181" s="5" t="n">
        <v>19.46</v>
      </c>
      <c r="G3181">
        <f>IF(LEFT(B3181,1)="C","Credit","Factuur")</f>
        <v/>
      </c>
      <c r="H3181">
        <f>IF(AND(B3181=B3180,D3181=D3180,A3181=A3180,F3181=F3180),1,0)</f>
        <v/>
      </c>
      <c r="I3181">
        <f>IF(C3181="C99999",1,0)</f>
        <v/>
      </c>
      <c r="J3181" s="5">
        <f>IF(OR(H3181=1,I3181=1),0,IF(G3181="Credit",-F3181,F3181))</f>
        <v/>
      </c>
    </row>
    <row r="3182">
      <c r="A3182" t="inlineStr">
        <is>
          <t>2026-07-31</t>
        </is>
      </c>
      <c r="B3182" t="inlineStr">
        <is>
          <t>F270978</t>
        </is>
      </c>
      <c r="C3182" t="inlineStr">
        <is>
          <t>C10572</t>
        </is>
      </c>
      <c r="D3182" t="inlineStr">
        <is>
          <t>SKU-10048</t>
        </is>
      </c>
      <c r="E3182" t="inlineStr">
        <is>
          <t>AM05</t>
        </is>
      </c>
      <c r="F3182" s="5" t="n">
        <v>46.3</v>
      </c>
      <c r="G3182">
        <f>IF(LEFT(B3182,1)="C","Credit","Factuur")</f>
        <v/>
      </c>
      <c r="H3182">
        <f>IF(AND(B3182=B3181,D3182=D3181,A3182=A3181,F3182=F3181),1,0)</f>
        <v/>
      </c>
      <c r="I3182">
        <f>IF(C3182="C99999",1,0)</f>
        <v/>
      </c>
      <c r="J3182" s="5">
        <f>IF(OR(H3182=1,I3182=1),0,IF(G3182="Credit",-F3182,F3182))</f>
        <v/>
      </c>
    </row>
    <row r="3183">
      <c r="A3183" t="inlineStr">
        <is>
          <t>2026-07-31</t>
        </is>
      </c>
      <c r="B3183" t="inlineStr">
        <is>
          <t>F270978</t>
        </is>
      </c>
      <c r="C3183" t="inlineStr">
        <is>
          <t>C10572</t>
        </is>
      </c>
      <c r="D3183" t="inlineStr">
        <is>
          <t>SKU-10295</t>
        </is>
      </c>
      <c r="E3183" t="inlineStr">
        <is>
          <t>AM05</t>
        </is>
      </c>
      <c r="F3183" s="5" t="n">
        <v>29.44</v>
      </c>
      <c r="G3183">
        <f>IF(LEFT(B3183,1)="C","Credit","Factuur")</f>
        <v/>
      </c>
      <c r="H3183">
        <f>IF(AND(B3183=B3182,D3183=D3182,A3183=A3182,F3183=F3182),1,0)</f>
        <v/>
      </c>
      <c r="I3183">
        <f>IF(C3183="C99999",1,0)</f>
        <v/>
      </c>
      <c r="J3183" s="5">
        <f>IF(OR(H3183=1,I3183=1),0,IF(G3183="Credit",-F3183,F3183))</f>
        <v/>
      </c>
    </row>
    <row r="3184">
      <c r="A3184" t="inlineStr">
        <is>
          <t>2026-07-31</t>
        </is>
      </c>
      <c r="B3184" t="inlineStr">
        <is>
          <t>F271118</t>
        </is>
      </c>
      <c r="C3184" t="inlineStr">
        <is>
          <t>C10579</t>
        </is>
      </c>
      <c r="D3184" t="inlineStr">
        <is>
          <t>SKU-10121</t>
        </is>
      </c>
      <c r="E3184" t="inlineStr">
        <is>
          <t>AM06</t>
        </is>
      </c>
      <c r="F3184" s="5" t="n">
        <v>801.89</v>
      </c>
      <c r="G3184">
        <f>IF(LEFT(B3184,1)="C","Credit","Factuur")</f>
        <v/>
      </c>
      <c r="H3184">
        <f>IF(AND(B3184=B3183,D3184=D3183,A3184=A3183,F3184=F3183),1,0)</f>
        <v/>
      </c>
      <c r="I3184">
        <f>IF(C3184="C99999",1,0)</f>
        <v/>
      </c>
      <c r="J3184" s="5">
        <f>IF(OR(H3184=1,I3184=1),0,IF(G3184="Credit",-F3184,F3184))</f>
        <v/>
      </c>
    </row>
    <row r="3185">
      <c r="A3185" t="inlineStr">
        <is>
          <t>2026-07-31</t>
        </is>
      </c>
      <c r="B3185" t="inlineStr">
        <is>
          <t>F271732</t>
        </is>
      </c>
      <c r="C3185" t="inlineStr">
        <is>
          <t>C10602</t>
        </is>
      </c>
      <c r="D3185" t="inlineStr">
        <is>
          <t>SKU-10010</t>
        </is>
      </c>
      <c r="E3185" t="inlineStr">
        <is>
          <t>AM05</t>
        </is>
      </c>
      <c r="F3185" s="5" t="n">
        <v>543.5599999999999</v>
      </c>
      <c r="G3185">
        <f>IF(LEFT(B3185,1)="C","Credit","Factuur")</f>
        <v/>
      </c>
      <c r="H3185">
        <f>IF(AND(B3185=B3184,D3185=D3184,A3185=A3184,F3185=F3184),1,0)</f>
        <v/>
      </c>
      <c r="I3185">
        <f>IF(C3185="C99999",1,0)</f>
        <v/>
      </c>
      <c r="J3185" s="5">
        <f>IF(OR(H3185=1,I3185=1),0,IF(G3185="Credit",-F3185,F3185))</f>
        <v/>
      </c>
    </row>
    <row r="3186">
      <c r="A3186" t="inlineStr">
        <is>
          <t>2026-07-31</t>
        </is>
      </c>
      <c r="B3186" t="inlineStr">
        <is>
          <t>F271732</t>
        </is>
      </c>
      <c r="C3186" t="inlineStr">
        <is>
          <t>C10602</t>
        </is>
      </c>
      <c r="D3186" t="inlineStr">
        <is>
          <t>SKU-10246</t>
        </is>
      </c>
      <c r="E3186" t="inlineStr">
        <is>
          <t>AM05</t>
        </is>
      </c>
      <c r="F3186" s="5" t="n">
        <v>547.4299999999999</v>
      </c>
      <c r="G3186">
        <f>IF(LEFT(B3186,1)="C","Credit","Factuur")</f>
        <v/>
      </c>
      <c r="H3186">
        <f>IF(AND(B3186=B3185,D3186=D3185,A3186=A3185,F3186=F3185),1,0)</f>
        <v/>
      </c>
      <c r="I3186">
        <f>IF(C3186="C99999",1,0)</f>
        <v/>
      </c>
      <c r="J3186" s="5">
        <f>IF(OR(H3186=1,I3186=1),0,IF(G3186="Credit",-F3186,F3186))</f>
        <v/>
      </c>
    </row>
    <row r="3187">
      <c r="A3187" t="inlineStr">
        <is>
          <t>2026-07-31</t>
        </is>
      </c>
      <c r="B3187" t="inlineStr">
        <is>
          <t>F271732</t>
        </is>
      </c>
      <c r="C3187" t="inlineStr">
        <is>
          <t>C10602</t>
        </is>
      </c>
      <c r="D3187" t="inlineStr">
        <is>
          <t>SKU-10307</t>
        </is>
      </c>
      <c r="E3187" t="inlineStr">
        <is>
          <t>AM05</t>
        </is>
      </c>
      <c r="F3187" s="5" t="n">
        <v>517.91</v>
      </c>
      <c r="G3187">
        <f>IF(LEFT(B3187,1)="C","Credit","Factuur")</f>
        <v/>
      </c>
      <c r="H3187">
        <f>IF(AND(B3187=B3186,D3187=D3186,A3187=A3186,F3187=F3186),1,0)</f>
        <v/>
      </c>
      <c r="I3187">
        <f>IF(C3187="C99999",1,0)</f>
        <v/>
      </c>
      <c r="J3187" s="5">
        <f>IF(OR(H3187=1,I3187=1),0,IF(G3187="Credit",-F3187,F3187))</f>
        <v/>
      </c>
    </row>
    <row r="3188">
      <c r="A3188" t="inlineStr">
        <is>
          <t>2026-07-31</t>
        </is>
      </c>
      <c r="B3188" t="inlineStr">
        <is>
          <t>F272039</t>
        </is>
      </c>
      <c r="C3188" t="inlineStr">
        <is>
          <t>C10621</t>
        </is>
      </c>
      <c r="D3188" t="inlineStr">
        <is>
          <t>SKU-10019</t>
        </is>
      </c>
      <c r="E3188" t="inlineStr">
        <is>
          <t>AM09</t>
        </is>
      </c>
      <c r="F3188" s="5" t="n">
        <v>2614.19</v>
      </c>
      <c r="G3188">
        <f>IF(LEFT(B3188,1)="C","Credit","Factuur")</f>
        <v/>
      </c>
      <c r="H3188">
        <f>IF(AND(B3188=B3187,D3188=D3187,A3188=A3187,F3188=F3187),1,0)</f>
        <v/>
      </c>
      <c r="I3188">
        <f>IF(C3188="C99999",1,0)</f>
        <v/>
      </c>
      <c r="J3188" s="5">
        <f>IF(OR(H3188=1,I3188=1),0,IF(G3188="Credit",-F3188,F3188))</f>
        <v/>
      </c>
    </row>
    <row r="3189">
      <c r="A3189" t="inlineStr">
        <is>
          <t>2026-07-31</t>
        </is>
      </c>
      <c r="B3189" t="inlineStr">
        <is>
          <t>F272039</t>
        </is>
      </c>
      <c r="C3189" t="inlineStr">
        <is>
          <t>C10621</t>
        </is>
      </c>
      <c r="D3189" t="inlineStr">
        <is>
          <t>SKU-10227</t>
        </is>
      </c>
      <c r="E3189" t="inlineStr">
        <is>
          <t>AM09</t>
        </is>
      </c>
      <c r="F3189" s="5" t="n">
        <v>2555.31</v>
      </c>
      <c r="G3189">
        <f>IF(LEFT(B3189,1)="C","Credit","Factuur")</f>
        <v/>
      </c>
      <c r="H3189">
        <f>IF(AND(B3189=B3188,D3189=D3188,A3189=A3188,F3189=F3188),1,0)</f>
        <v/>
      </c>
      <c r="I3189">
        <f>IF(C3189="C99999",1,0)</f>
        <v/>
      </c>
      <c r="J3189" s="5">
        <f>IF(OR(H3189=1,I3189=1),0,IF(G3189="Credit",-F3189,F3189))</f>
        <v/>
      </c>
    </row>
    <row r="3190">
      <c r="A3190" t="inlineStr">
        <is>
          <t>2026-07-31</t>
        </is>
      </c>
      <c r="B3190" t="inlineStr">
        <is>
          <t>F272117</t>
        </is>
      </c>
      <c r="C3190" t="inlineStr">
        <is>
          <t>C10627</t>
        </is>
      </c>
      <c r="D3190" t="inlineStr">
        <is>
          <t>SKU-10043</t>
        </is>
      </c>
      <c r="E3190" t="inlineStr"/>
      <c r="F3190" s="5" t="n">
        <v>4518.78</v>
      </c>
      <c r="G3190">
        <f>IF(LEFT(B3190,1)="C","Credit","Factuur")</f>
        <v/>
      </c>
      <c r="H3190">
        <f>IF(AND(B3190=B3189,D3190=D3189,A3190=A3189,F3190=F3189),1,0)</f>
        <v/>
      </c>
      <c r="I3190">
        <f>IF(C3190="C99999",1,0)</f>
        <v/>
      </c>
      <c r="J3190" s="5">
        <f>IF(OR(H3190=1,I3190=1),0,IF(G3190="Credit",-F3190,F3190))</f>
        <v/>
      </c>
    </row>
    <row r="3191">
      <c r="A3191" t="inlineStr">
        <is>
          <t>2026-07-31</t>
        </is>
      </c>
      <c r="B3191" t="inlineStr">
        <is>
          <t>F272447</t>
        </is>
      </c>
      <c r="C3191" t="inlineStr">
        <is>
          <t>C10644</t>
        </is>
      </c>
      <c r="D3191" t="inlineStr">
        <is>
          <t>SKU-10010</t>
        </is>
      </c>
      <c r="E3191" t="inlineStr">
        <is>
          <t>AM08</t>
        </is>
      </c>
      <c r="F3191" s="5" t="n">
        <v>1111.82</v>
      </c>
      <c r="G3191">
        <f>IF(LEFT(B3191,1)="C","Credit","Factuur")</f>
        <v/>
      </c>
      <c r="H3191">
        <f>IF(AND(B3191=B3190,D3191=D3190,A3191=A3190,F3191=F3190),1,0)</f>
        <v/>
      </c>
      <c r="I3191">
        <f>IF(C3191="C99999",1,0)</f>
        <v/>
      </c>
      <c r="J3191" s="5">
        <f>IF(OR(H3191=1,I3191=1),0,IF(G3191="Credit",-F3191,F3191))</f>
        <v/>
      </c>
    </row>
    <row r="3192">
      <c r="A3192" t="inlineStr">
        <is>
          <t>2026-07-31</t>
        </is>
      </c>
      <c r="B3192" t="inlineStr">
        <is>
          <t>F272462</t>
        </is>
      </c>
      <c r="C3192" t="inlineStr">
        <is>
          <t>C10645</t>
        </is>
      </c>
      <c r="D3192" t="inlineStr">
        <is>
          <t>SKU-10107</t>
        </is>
      </c>
      <c r="E3192" t="inlineStr">
        <is>
          <t>AM11</t>
        </is>
      </c>
      <c r="F3192" s="5" t="n">
        <v>599.91</v>
      </c>
      <c r="G3192">
        <f>IF(LEFT(B3192,1)="C","Credit","Factuur")</f>
        <v/>
      </c>
      <c r="H3192">
        <f>IF(AND(B3192=B3191,D3192=D3191,A3192=A3191,F3192=F3191),1,0)</f>
        <v/>
      </c>
      <c r="I3192">
        <f>IF(C3192="C99999",1,0)</f>
        <v/>
      </c>
      <c r="J3192" s="5">
        <f>IF(OR(H3192=1,I3192=1),0,IF(G3192="Credit",-F3192,F3192))</f>
        <v/>
      </c>
    </row>
    <row r="3193">
      <c r="A3193" t="inlineStr">
        <is>
          <t>2026-07-31</t>
        </is>
      </c>
      <c r="B3193" t="inlineStr">
        <is>
          <t>F272462</t>
        </is>
      </c>
      <c r="C3193" t="inlineStr">
        <is>
          <t>C10645</t>
        </is>
      </c>
      <c r="D3193" t="inlineStr">
        <is>
          <t>SKU-10149</t>
        </is>
      </c>
      <c r="E3193" t="inlineStr">
        <is>
          <t>AM11</t>
        </is>
      </c>
      <c r="F3193" s="5" t="n">
        <v>555.24</v>
      </c>
      <c r="G3193">
        <f>IF(LEFT(B3193,1)="C","Credit","Factuur")</f>
        <v/>
      </c>
      <c r="H3193">
        <f>IF(AND(B3193=B3192,D3193=D3192,A3193=A3192,F3193=F3192),1,0)</f>
        <v/>
      </c>
      <c r="I3193">
        <f>IF(C3193="C99999",1,0)</f>
        <v/>
      </c>
      <c r="J3193" s="5">
        <f>IF(OR(H3193=1,I3193=1),0,IF(G3193="Credit",-F3193,F3193))</f>
        <v/>
      </c>
    </row>
    <row r="3194">
      <c r="A3194" t="inlineStr">
        <is>
          <t>2026-07-31</t>
        </is>
      </c>
      <c r="B3194" t="inlineStr">
        <is>
          <t>F272462</t>
        </is>
      </c>
      <c r="C3194" t="inlineStr">
        <is>
          <t>C10645</t>
        </is>
      </c>
      <c r="D3194" t="inlineStr">
        <is>
          <t>SKU-10343</t>
        </is>
      </c>
      <c r="E3194" t="inlineStr">
        <is>
          <t>AM11</t>
        </is>
      </c>
      <c r="F3194" s="5" t="n">
        <v>620.21</v>
      </c>
      <c r="G3194">
        <f>IF(LEFT(B3194,1)="C","Credit","Factuur")</f>
        <v/>
      </c>
      <c r="H3194">
        <f>IF(AND(B3194=B3193,D3194=D3193,A3194=A3193,F3194=F3193),1,0)</f>
        <v/>
      </c>
      <c r="I3194">
        <f>IF(C3194="C99999",1,0)</f>
        <v/>
      </c>
      <c r="J3194" s="5">
        <f>IF(OR(H3194=1,I3194=1),0,IF(G3194="Credit",-F3194,F3194))</f>
        <v/>
      </c>
    </row>
    <row r="3195">
      <c r="A3195" t="inlineStr">
        <is>
          <t>2026-07-31</t>
        </is>
      </c>
      <c r="B3195" t="inlineStr">
        <is>
          <t>F272810</t>
        </is>
      </c>
      <c r="C3195" t="inlineStr">
        <is>
          <t>C10668</t>
        </is>
      </c>
      <c r="D3195" t="inlineStr">
        <is>
          <t>SKU-10026</t>
        </is>
      </c>
      <c r="E3195" t="inlineStr">
        <is>
          <t>AM02</t>
        </is>
      </c>
      <c r="F3195" s="5" t="n">
        <v>576.52</v>
      </c>
      <c r="G3195">
        <f>IF(LEFT(B3195,1)="C","Credit","Factuur")</f>
        <v/>
      </c>
      <c r="H3195">
        <f>IF(AND(B3195=B3194,D3195=D3194,A3195=A3194,F3195=F3194),1,0)</f>
        <v/>
      </c>
      <c r="I3195">
        <f>IF(C3195="C99999",1,0)</f>
        <v/>
      </c>
      <c r="J3195" s="5">
        <f>IF(OR(H3195=1,I3195=1),0,IF(G3195="Credit",-F3195,F3195))</f>
        <v/>
      </c>
    </row>
    <row r="3196">
      <c r="A3196" t="inlineStr">
        <is>
          <t>2026-07-31</t>
        </is>
      </c>
      <c r="B3196" t="inlineStr">
        <is>
          <t>F273362</t>
        </is>
      </c>
      <c r="C3196" t="inlineStr">
        <is>
          <t>C10700</t>
        </is>
      </c>
      <c r="D3196" t="inlineStr">
        <is>
          <t>SKU-10003</t>
        </is>
      </c>
      <c r="E3196" t="inlineStr">
        <is>
          <t>AM11</t>
        </is>
      </c>
      <c r="F3196" s="5" t="n">
        <v>157.03</v>
      </c>
      <c r="G3196">
        <f>IF(LEFT(B3196,1)="C","Credit","Factuur")</f>
        <v/>
      </c>
      <c r="H3196">
        <f>IF(AND(B3196=B3195,D3196=D3195,A3196=A3195,F3196=F3195),1,0)</f>
        <v/>
      </c>
      <c r="I3196">
        <f>IF(C3196="C99999",1,0)</f>
        <v/>
      </c>
      <c r="J3196" s="5">
        <f>IF(OR(H3196=1,I3196=1),0,IF(G3196="Credit",-F3196,F3196))</f>
        <v/>
      </c>
    </row>
    <row r="3197">
      <c r="A3197" t="inlineStr">
        <is>
          <t>2026-07-31</t>
        </is>
      </c>
      <c r="B3197" t="inlineStr">
        <is>
          <t>F273362</t>
        </is>
      </c>
      <c r="C3197" t="inlineStr">
        <is>
          <t>C10700</t>
        </is>
      </c>
      <c r="D3197" t="inlineStr">
        <is>
          <t>SKU-10070</t>
        </is>
      </c>
      <c r="E3197" t="inlineStr">
        <is>
          <t>AM11</t>
        </is>
      </c>
      <c r="F3197" s="5" t="n">
        <v>145.59</v>
      </c>
      <c r="G3197">
        <f>IF(LEFT(B3197,1)="C","Credit","Factuur")</f>
        <v/>
      </c>
      <c r="H3197">
        <f>IF(AND(B3197=B3196,D3197=D3196,A3197=A3196,F3197=F3196),1,0)</f>
        <v/>
      </c>
      <c r="I3197">
        <f>IF(C3197="C99999",1,0)</f>
        <v/>
      </c>
      <c r="J3197" s="5">
        <f>IF(OR(H3197=1,I3197=1),0,IF(G3197="Credit",-F3197,F3197))</f>
        <v/>
      </c>
    </row>
    <row r="3198">
      <c r="A3198" t="inlineStr">
        <is>
          <t>2026-07-31</t>
        </is>
      </c>
      <c r="B3198" t="inlineStr">
        <is>
          <t>F273362</t>
        </is>
      </c>
      <c r="C3198" t="inlineStr">
        <is>
          <t>C10700</t>
        </is>
      </c>
      <c r="D3198" t="inlineStr">
        <is>
          <t>SKU-10072</t>
        </is>
      </c>
      <c r="E3198" t="inlineStr">
        <is>
          <t>AM11</t>
        </is>
      </c>
      <c r="F3198" s="5" t="n">
        <v>148.86</v>
      </c>
      <c r="G3198">
        <f>IF(LEFT(B3198,1)="C","Credit","Factuur")</f>
        <v/>
      </c>
      <c r="H3198">
        <f>IF(AND(B3198=B3197,D3198=D3197,A3198=A3197,F3198=F3197),1,0)</f>
        <v/>
      </c>
      <c r="I3198">
        <f>IF(C3198="C99999",1,0)</f>
        <v/>
      </c>
      <c r="J3198" s="5">
        <f>IF(OR(H3198=1,I3198=1),0,IF(G3198="Credit",-F3198,F3198))</f>
        <v/>
      </c>
    </row>
    <row r="3199">
      <c r="A3199" t="inlineStr">
        <is>
          <t>2026-07-31</t>
        </is>
      </c>
      <c r="B3199" t="inlineStr">
        <is>
          <t>F273652</t>
        </is>
      </c>
      <c r="C3199" t="inlineStr">
        <is>
          <t>C10716</t>
        </is>
      </c>
      <c r="D3199" t="inlineStr">
        <is>
          <t>SKU-10060</t>
        </is>
      </c>
      <c r="E3199" t="inlineStr">
        <is>
          <t>AM02</t>
        </is>
      </c>
      <c r="F3199" s="5" t="n">
        <v>661.5</v>
      </c>
      <c r="G3199">
        <f>IF(LEFT(B3199,1)="C","Credit","Factuur")</f>
        <v/>
      </c>
      <c r="H3199">
        <f>IF(AND(B3199=B3198,D3199=D3198,A3199=A3198,F3199=F3198),1,0)</f>
        <v/>
      </c>
      <c r="I3199">
        <f>IF(C3199="C99999",1,0)</f>
        <v/>
      </c>
      <c r="J3199" s="5">
        <f>IF(OR(H3199=1,I3199=1),0,IF(G3199="Credit",-F3199,F3199))</f>
        <v/>
      </c>
    </row>
    <row r="3200">
      <c r="A3200" t="inlineStr">
        <is>
          <t>2026-07-31</t>
        </is>
      </c>
      <c r="B3200" t="inlineStr">
        <is>
          <t>F273652</t>
        </is>
      </c>
      <c r="C3200" t="inlineStr">
        <is>
          <t>C10716</t>
        </is>
      </c>
      <c r="D3200" t="inlineStr">
        <is>
          <t>SKU-10135</t>
        </is>
      </c>
      <c r="E3200" t="inlineStr">
        <is>
          <t>AM02</t>
        </is>
      </c>
      <c r="F3200" s="5" t="n">
        <v>650.88</v>
      </c>
      <c r="G3200">
        <f>IF(LEFT(B3200,1)="C","Credit","Factuur")</f>
        <v/>
      </c>
      <c r="H3200">
        <f>IF(AND(B3200=B3199,D3200=D3199,A3200=A3199,F3200=F3199),1,0)</f>
        <v/>
      </c>
      <c r="I3200">
        <f>IF(C3200="C99999",1,0)</f>
        <v/>
      </c>
      <c r="J3200" s="5">
        <f>IF(OR(H3200=1,I3200=1),0,IF(G3200="Credit",-F3200,F3200))</f>
        <v/>
      </c>
    </row>
    <row r="3201">
      <c r="A3201" t="inlineStr">
        <is>
          <t>2026-07-31</t>
        </is>
      </c>
      <c r="B3201" t="inlineStr">
        <is>
          <t>F273652</t>
        </is>
      </c>
      <c r="C3201" t="inlineStr">
        <is>
          <t>C10716</t>
        </is>
      </c>
      <c r="D3201" t="inlineStr">
        <is>
          <t>SKU-10197</t>
        </is>
      </c>
      <c r="E3201" t="inlineStr">
        <is>
          <t>AM02</t>
        </is>
      </c>
      <c r="F3201" s="5" t="n">
        <v>640.65</v>
      </c>
      <c r="G3201">
        <f>IF(LEFT(B3201,1)="C","Credit","Factuur")</f>
        <v/>
      </c>
      <c r="H3201">
        <f>IF(AND(B3201=B3200,D3201=D3200,A3201=A3200,F3201=F3200),1,0)</f>
        <v/>
      </c>
      <c r="I3201">
        <f>IF(C3201="C99999",1,0)</f>
        <v/>
      </c>
      <c r="J3201" s="5">
        <f>IF(OR(H3201=1,I3201=1),0,IF(G3201="Credit",-F3201,F3201))</f>
        <v/>
      </c>
    </row>
    <row r="3202">
      <c r="A3202" t="inlineStr">
        <is>
          <t>2026-07-31</t>
        </is>
      </c>
      <c r="B3202" t="inlineStr">
        <is>
          <t>F274255</t>
        </is>
      </c>
      <c r="C3202" t="inlineStr">
        <is>
          <t>C10753</t>
        </is>
      </c>
      <c r="D3202" t="inlineStr">
        <is>
          <t>SKU-10033</t>
        </is>
      </c>
      <c r="E3202" t="inlineStr">
        <is>
          <t>AM05</t>
        </is>
      </c>
      <c r="F3202" s="5" t="n">
        <v>388.8</v>
      </c>
      <c r="G3202">
        <f>IF(LEFT(B3202,1)="C","Credit","Factuur")</f>
        <v/>
      </c>
      <c r="H3202">
        <f>IF(AND(B3202=B3201,D3202=D3201,A3202=A3201,F3202=F3201),1,0)</f>
        <v/>
      </c>
      <c r="I3202">
        <f>IF(C3202="C99999",1,0)</f>
        <v/>
      </c>
      <c r="J3202" s="5">
        <f>IF(OR(H3202=1,I3202=1),0,IF(G3202="Credit",-F3202,F3202))</f>
        <v/>
      </c>
    </row>
    <row r="3203">
      <c r="A3203" t="inlineStr">
        <is>
          <t>2026-07-31</t>
        </is>
      </c>
      <c r="B3203" t="inlineStr">
        <is>
          <t>F274255</t>
        </is>
      </c>
      <c r="C3203" t="inlineStr">
        <is>
          <t>C10753</t>
        </is>
      </c>
      <c r="D3203" t="inlineStr">
        <is>
          <t>SKU-10056</t>
        </is>
      </c>
      <c r="E3203" t="inlineStr">
        <is>
          <t>AM05</t>
        </is>
      </c>
      <c r="F3203" s="5" t="n">
        <v>416</v>
      </c>
      <c r="G3203">
        <f>IF(LEFT(B3203,1)="C","Credit","Factuur")</f>
        <v/>
      </c>
      <c r="H3203">
        <f>IF(AND(B3203=B3202,D3203=D3202,A3203=A3202,F3203=F3202),1,0)</f>
        <v/>
      </c>
      <c r="I3203">
        <f>IF(C3203="C99999",1,0)</f>
        <v/>
      </c>
      <c r="J3203" s="5">
        <f>IF(OR(H3203=1,I3203=1),0,IF(G3203="Credit",-F3203,F3203))</f>
        <v/>
      </c>
    </row>
    <row r="3204">
      <c r="A3204" t="inlineStr">
        <is>
          <t>2026-07-31</t>
        </is>
      </c>
      <c r="B3204" t="inlineStr">
        <is>
          <t>F274273</t>
        </is>
      </c>
      <c r="C3204" t="inlineStr">
        <is>
          <t>C10755</t>
        </is>
      </c>
      <c r="D3204" t="inlineStr">
        <is>
          <t>SKU-10081</t>
        </is>
      </c>
      <c r="E3204" t="inlineStr">
        <is>
          <t>IS01</t>
        </is>
      </c>
      <c r="F3204" s="5" t="n">
        <v>120.78</v>
      </c>
      <c r="G3204">
        <f>IF(LEFT(B3204,1)="C","Credit","Factuur")</f>
        <v/>
      </c>
      <c r="H3204">
        <f>IF(AND(B3204=B3203,D3204=D3203,A3204=A3203,F3204=F3203),1,0)</f>
        <v/>
      </c>
      <c r="I3204">
        <f>IF(C3204="C99999",1,0)</f>
        <v/>
      </c>
      <c r="J3204" s="5">
        <f>IF(OR(H3204=1,I3204=1),0,IF(G3204="Credit",-F3204,F3204))</f>
        <v/>
      </c>
    </row>
    <row r="3205">
      <c r="A3205" t="inlineStr">
        <is>
          <t>2026-07-31</t>
        </is>
      </c>
      <c r="B3205" t="inlineStr">
        <is>
          <t>F274453</t>
        </is>
      </c>
      <c r="C3205" t="inlineStr">
        <is>
          <t>C10762</t>
        </is>
      </c>
      <c r="D3205" t="inlineStr">
        <is>
          <t>SKU-10074</t>
        </is>
      </c>
      <c r="E3205" t="inlineStr">
        <is>
          <t>AM03</t>
        </is>
      </c>
      <c r="F3205" s="5" t="n">
        <v>50.53</v>
      </c>
      <c r="G3205">
        <f>IF(LEFT(B3205,1)="C","Credit","Factuur")</f>
        <v/>
      </c>
      <c r="H3205">
        <f>IF(AND(B3205=B3204,D3205=D3204,A3205=A3204,F3205=F3204),1,0)</f>
        <v/>
      </c>
      <c r="I3205">
        <f>IF(C3205="C99999",1,0)</f>
        <v/>
      </c>
      <c r="J3205" s="5">
        <f>IF(OR(H3205=1,I3205=1),0,IF(G3205="Credit",-F3205,F3205))</f>
        <v/>
      </c>
    </row>
    <row r="3206">
      <c r="A3206" t="inlineStr">
        <is>
          <t>2026-07-31</t>
        </is>
      </c>
      <c r="B3206" t="inlineStr">
        <is>
          <t>F274453</t>
        </is>
      </c>
      <c r="C3206" t="inlineStr">
        <is>
          <t>C10762</t>
        </is>
      </c>
      <c r="D3206" t="inlineStr">
        <is>
          <t>SKU-10109</t>
        </is>
      </c>
      <c r="E3206" t="inlineStr">
        <is>
          <t>AM03</t>
        </is>
      </c>
      <c r="F3206" s="5" t="n">
        <v>45.55</v>
      </c>
      <c r="G3206">
        <f>IF(LEFT(B3206,1)="C","Credit","Factuur")</f>
        <v/>
      </c>
      <c r="H3206">
        <f>IF(AND(B3206=B3205,D3206=D3205,A3206=A3205,F3206=F3205),1,0)</f>
        <v/>
      </c>
      <c r="I3206">
        <f>IF(C3206="C99999",1,0)</f>
        <v/>
      </c>
      <c r="J3206" s="5">
        <f>IF(OR(H3206=1,I3206=1),0,IF(G3206="Credit",-F3206,F3206))</f>
        <v/>
      </c>
    </row>
    <row r="3207">
      <c r="A3207" t="inlineStr">
        <is>
          <t>2026-07-31</t>
        </is>
      </c>
      <c r="B3207" t="inlineStr">
        <is>
          <t>F274453</t>
        </is>
      </c>
      <c r="C3207" t="inlineStr">
        <is>
          <t>C10762</t>
        </is>
      </c>
      <c r="D3207" t="inlineStr">
        <is>
          <t>SKU-10250</t>
        </is>
      </c>
      <c r="E3207" t="inlineStr">
        <is>
          <t>AM03</t>
        </is>
      </c>
      <c r="F3207" s="5" t="n">
        <v>64.64</v>
      </c>
      <c r="G3207">
        <f>IF(LEFT(B3207,1)="C","Credit","Factuur")</f>
        <v/>
      </c>
      <c r="H3207">
        <f>IF(AND(B3207=B3206,D3207=D3206,A3207=A3206,F3207=F3206),1,0)</f>
        <v/>
      </c>
      <c r="I3207">
        <f>IF(C3207="C99999",1,0)</f>
        <v/>
      </c>
      <c r="J3207" s="5">
        <f>IF(OR(H3207=1,I3207=1),0,IF(G3207="Credit",-F3207,F3207))</f>
        <v/>
      </c>
    </row>
    <row r="3208">
      <c r="A3208" t="inlineStr">
        <is>
          <t>2026-07-31</t>
        </is>
      </c>
      <c r="B3208" t="inlineStr">
        <is>
          <t>F274453</t>
        </is>
      </c>
      <c r="C3208" t="inlineStr">
        <is>
          <t>C10762</t>
        </is>
      </c>
      <c r="D3208" t="inlineStr">
        <is>
          <t>SKU-10256</t>
        </is>
      </c>
      <c r="E3208" t="inlineStr">
        <is>
          <t>AM03</t>
        </is>
      </c>
      <c r="F3208" s="5" t="n">
        <v>58.24</v>
      </c>
      <c r="G3208">
        <f>IF(LEFT(B3208,1)="C","Credit","Factuur")</f>
        <v/>
      </c>
      <c r="H3208">
        <f>IF(AND(B3208=B3207,D3208=D3207,A3208=A3207,F3208=F3207),1,0)</f>
        <v/>
      </c>
      <c r="I3208">
        <f>IF(C3208="C99999",1,0)</f>
        <v/>
      </c>
      <c r="J3208" s="5">
        <f>IF(OR(H3208=1,I3208=1),0,IF(G3208="Credit",-F3208,F3208))</f>
        <v/>
      </c>
    </row>
    <row r="3209">
      <c r="A3209" t="inlineStr">
        <is>
          <t>2026-07-31</t>
        </is>
      </c>
      <c r="B3209" t="inlineStr">
        <is>
          <t>F274580</t>
        </is>
      </c>
      <c r="C3209" t="inlineStr">
        <is>
          <t>C10771</t>
        </is>
      </c>
      <c r="D3209" t="inlineStr">
        <is>
          <t>SKU-10029</t>
        </is>
      </c>
      <c r="E3209" t="inlineStr">
        <is>
          <t>AM02</t>
        </is>
      </c>
      <c r="F3209" s="5" t="n">
        <v>402.93</v>
      </c>
      <c r="G3209">
        <f>IF(LEFT(B3209,1)="C","Credit","Factuur")</f>
        <v/>
      </c>
      <c r="H3209">
        <f>IF(AND(B3209=B3208,D3209=D3208,A3209=A3208,F3209=F3208),1,0)</f>
        <v/>
      </c>
      <c r="I3209">
        <f>IF(C3209="C99999",1,0)</f>
        <v/>
      </c>
      <c r="J3209" s="5">
        <f>IF(OR(H3209=1,I3209=1),0,IF(G3209="Credit",-F3209,F3209))</f>
        <v/>
      </c>
    </row>
    <row r="3210">
      <c r="A3210" t="inlineStr">
        <is>
          <t>2026-07-31</t>
        </is>
      </c>
      <c r="B3210" t="inlineStr">
        <is>
          <t>F274580</t>
        </is>
      </c>
      <c r="C3210" t="inlineStr">
        <is>
          <t>C10771</t>
        </is>
      </c>
      <c r="D3210" t="inlineStr">
        <is>
          <t>SKU-10047</t>
        </is>
      </c>
      <c r="E3210" t="inlineStr">
        <is>
          <t>AM02</t>
        </is>
      </c>
      <c r="F3210" s="5" t="n">
        <v>411.39</v>
      </c>
      <c r="G3210">
        <f>IF(LEFT(B3210,1)="C","Credit","Factuur")</f>
        <v/>
      </c>
      <c r="H3210">
        <f>IF(AND(B3210=B3209,D3210=D3209,A3210=A3209,F3210=F3209),1,0)</f>
        <v/>
      </c>
      <c r="I3210">
        <f>IF(C3210="C99999",1,0)</f>
        <v/>
      </c>
      <c r="J3210" s="5">
        <f>IF(OR(H3210=1,I3210=1),0,IF(G3210="Credit",-F3210,F3210))</f>
        <v/>
      </c>
    </row>
    <row r="3211">
      <c r="A3211" t="inlineStr">
        <is>
          <t>2026-07-31</t>
        </is>
      </c>
      <c r="B3211" t="inlineStr">
        <is>
          <t>F274580</t>
        </is>
      </c>
      <c r="C3211" t="inlineStr">
        <is>
          <t>C10771</t>
        </is>
      </c>
      <c r="D3211" t="inlineStr">
        <is>
          <t>SKU-10061</t>
        </is>
      </c>
      <c r="E3211" t="inlineStr">
        <is>
          <t>AM02</t>
        </is>
      </c>
      <c r="F3211" s="5" t="n">
        <v>395.01</v>
      </c>
      <c r="G3211">
        <f>IF(LEFT(B3211,1)="C","Credit","Factuur")</f>
        <v/>
      </c>
      <c r="H3211">
        <f>IF(AND(B3211=B3210,D3211=D3210,A3211=A3210,F3211=F3210),1,0)</f>
        <v/>
      </c>
      <c r="I3211">
        <f>IF(C3211="C99999",1,0)</f>
        <v/>
      </c>
      <c r="J3211" s="5">
        <f>IF(OR(H3211=1,I3211=1),0,IF(G3211="Credit",-F3211,F3211))</f>
        <v/>
      </c>
    </row>
    <row r="3212">
      <c r="A3212" t="inlineStr">
        <is>
          <t>2026-07-31</t>
        </is>
      </c>
      <c r="B3212" t="inlineStr">
        <is>
          <t>F274580</t>
        </is>
      </c>
      <c r="C3212" t="inlineStr">
        <is>
          <t>C10771</t>
        </is>
      </c>
      <c r="D3212" t="inlineStr">
        <is>
          <t>SKU-10311</t>
        </is>
      </c>
      <c r="E3212" t="inlineStr">
        <is>
          <t>AM02</t>
        </is>
      </c>
      <c r="F3212" s="5" t="n">
        <v>411.88</v>
      </c>
      <c r="G3212">
        <f>IF(LEFT(B3212,1)="C","Credit","Factuur")</f>
        <v/>
      </c>
      <c r="H3212">
        <f>IF(AND(B3212=B3211,D3212=D3211,A3212=A3211,F3212=F3211),1,0)</f>
        <v/>
      </c>
      <c r="I3212">
        <f>IF(C3212="C99999",1,0)</f>
        <v/>
      </c>
      <c r="J3212" s="5">
        <f>IF(OR(H3212=1,I3212=1),0,IF(G3212="Credit",-F3212,F3212))</f>
        <v/>
      </c>
    </row>
    <row r="3213">
      <c r="A3213" t="inlineStr">
        <is>
          <t>2026-07-31</t>
        </is>
      </c>
      <c r="B3213" t="inlineStr">
        <is>
          <t>F274580</t>
        </is>
      </c>
      <c r="C3213" t="inlineStr">
        <is>
          <t>C10771</t>
        </is>
      </c>
      <c r="D3213" t="inlineStr">
        <is>
          <t>SKU-10339</t>
        </is>
      </c>
      <c r="E3213" t="inlineStr"/>
      <c r="F3213" s="5" t="n">
        <v>406.35</v>
      </c>
      <c r="G3213">
        <f>IF(LEFT(B3213,1)="C","Credit","Factuur")</f>
        <v/>
      </c>
      <c r="H3213">
        <f>IF(AND(B3213=B3212,D3213=D3212,A3213=A3212,F3213=F3212),1,0)</f>
        <v/>
      </c>
      <c r="I3213">
        <f>IF(C3213="C99999",1,0)</f>
        <v/>
      </c>
      <c r="J3213" s="5">
        <f>IF(OR(H3213=1,I3213=1),0,IF(G3213="Credit",-F3213,F3213))</f>
        <v/>
      </c>
    </row>
    <row r="3214">
      <c r="A3214" t="inlineStr">
        <is>
          <t>2026-07-31</t>
        </is>
      </c>
      <c r="B3214" t="inlineStr">
        <is>
          <t>F274580</t>
        </is>
      </c>
      <c r="C3214" t="inlineStr">
        <is>
          <t>C10771</t>
        </is>
      </c>
      <c r="D3214" t="inlineStr">
        <is>
          <t>SKU-10356</t>
        </is>
      </c>
      <c r="E3214" t="inlineStr">
        <is>
          <t>AM02</t>
        </is>
      </c>
      <c r="F3214" s="5" t="n">
        <v>430.2</v>
      </c>
      <c r="G3214">
        <f>IF(LEFT(B3214,1)="C","Credit","Factuur")</f>
        <v/>
      </c>
      <c r="H3214">
        <f>IF(AND(B3214=B3213,D3214=D3213,A3214=A3213,F3214=F3213),1,0)</f>
        <v/>
      </c>
      <c r="I3214">
        <f>IF(C3214="C99999",1,0)</f>
        <v/>
      </c>
      <c r="J3214" s="5">
        <f>IF(OR(H3214=1,I3214=1),0,IF(G3214="Credit",-F3214,F3214))</f>
        <v/>
      </c>
    </row>
    <row r="3215">
      <c r="A3215" t="inlineStr">
        <is>
          <t>2026-07-31</t>
        </is>
      </c>
      <c r="B3215" t="inlineStr">
        <is>
          <t>F274950</t>
        </is>
      </c>
      <c r="C3215" t="inlineStr">
        <is>
          <t>C10789</t>
        </is>
      </c>
      <c r="D3215" t="inlineStr">
        <is>
          <t>SKU-10128</t>
        </is>
      </c>
      <c r="E3215" t="inlineStr">
        <is>
          <t>AM01</t>
        </is>
      </c>
      <c r="F3215" s="5" t="n">
        <v>214.26</v>
      </c>
      <c r="G3215">
        <f>IF(LEFT(B3215,1)="C","Credit","Factuur")</f>
        <v/>
      </c>
      <c r="H3215">
        <f>IF(AND(B3215=B3214,D3215=D3214,A3215=A3214,F3215=F3214),1,0)</f>
        <v/>
      </c>
      <c r="I3215">
        <f>IF(C3215="C99999",1,0)</f>
        <v/>
      </c>
      <c r="J3215" s="5">
        <f>IF(OR(H3215=1,I3215=1),0,IF(G3215="Credit",-F3215,F3215))</f>
        <v/>
      </c>
    </row>
    <row r="3216">
      <c r="A3216" t="inlineStr">
        <is>
          <t>2026-07-31</t>
        </is>
      </c>
      <c r="B3216" t="inlineStr">
        <is>
          <t>F274950</t>
        </is>
      </c>
      <c r="C3216" t="inlineStr">
        <is>
          <t>C10789</t>
        </is>
      </c>
      <c r="D3216" t="inlineStr">
        <is>
          <t>SKU-10305</t>
        </is>
      </c>
      <c r="E3216" t="inlineStr">
        <is>
          <t>AM01</t>
        </is>
      </c>
      <c r="F3216" s="5" t="n">
        <v>229.25</v>
      </c>
      <c r="G3216">
        <f>IF(LEFT(B3216,1)="C","Credit","Factuur")</f>
        <v/>
      </c>
      <c r="H3216">
        <f>IF(AND(B3216=B3215,D3216=D3215,A3216=A3215,F3216=F3215),1,0)</f>
        <v/>
      </c>
      <c r="I3216">
        <f>IF(C3216="C99999",1,0)</f>
        <v/>
      </c>
      <c r="J3216" s="5">
        <f>IF(OR(H3216=1,I3216=1),0,IF(G3216="Credit",-F3216,F3216))</f>
        <v/>
      </c>
    </row>
    <row r="3217">
      <c r="A3217" t="inlineStr">
        <is>
          <t>2026-07-31</t>
        </is>
      </c>
      <c r="B3217" t="inlineStr">
        <is>
          <t>F274950</t>
        </is>
      </c>
      <c r="C3217" t="inlineStr">
        <is>
          <t>C10789</t>
        </is>
      </c>
      <c r="D3217" t="inlineStr">
        <is>
          <t>SKU-10338</t>
        </is>
      </c>
      <c r="E3217" t="inlineStr">
        <is>
          <t>AM01</t>
        </is>
      </c>
      <c r="F3217" s="5" t="n">
        <v>226.92</v>
      </c>
      <c r="G3217">
        <f>IF(LEFT(B3217,1)="C","Credit","Factuur")</f>
        <v/>
      </c>
      <c r="H3217">
        <f>IF(AND(B3217=B3216,D3217=D3216,A3217=A3216,F3217=F3216),1,0)</f>
        <v/>
      </c>
      <c r="I3217">
        <f>IF(C3217="C99999",1,0)</f>
        <v/>
      </c>
      <c r="J3217" s="5">
        <f>IF(OR(H3217=1,I3217=1),0,IF(G3217="Credit",-F3217,F3217))</f>
        <v/>
      </c>
    </row>
    <row r="3218">
      <c r="A3218" t="inlineStr">
        <is>
          <t>2026-07-31</t>
        </is>
      </c>
      <c r="B3218" t="inlineStr">
        <is>
          <t>F275262</t>
        </is>
      </c>
      <c r="C3218" t="inlineStr">
        <is>
          <t>C10803</t>
        </is>
      </c>
      <c r="D3218" t="inlineStr">
        <is>
          <t>SKU-10087</t>
        </is>
      </c>
      <c r="E3218" t="inlineStr">
        <is>
          <t>AM11</t>
        </is>
      </c>
      <c r="F3218" s="5" t="n">
        <v>163.44</v>
      </c>
      <c r="G3218">
        <f>IF(LEFT(B3218,1)="C","Credit","Factuur")</f>
        <v/>
      </c>
      <c r="H3218">
        <f>IF(AND(B3218=B3217,D3218=D3217,A3218=A3217,F3218=F3217),1,0)</f>
        <v/>
      </c>
      <c r="I3218">
        <f>IF(C3218="C99999",1,0)</f>
        <v/>
      </c>
      <c r="J3218" s="5">
        <f>IF(OR(H3218=1,I3218=1),0,IF(G3218="Credit",-F3218,F3218))</f>
        <v/>
      </c>
    </row>
    <row r="3219">
      <c r="A3219" t="inlineStr">
        <is>
          <t>2026-07-31</t>
        </is>
      </c>
      <c r="B3219" t="inlineStr">
        <is>
          <t>F275262</t>
        </is>
      </c>
      <c r="C3219" t="inlineStr">
        <is>
          <t>C10803</t>
        </is>
      </c>
      <c r="D3219" t="inlineStr">
        <is>
          <t>SKU-10284</t>
        </is>
      </c>
      <c r="E3219" t="inlineStr">
        <is>
          <t>AM11</t>
        </is>
      </c>
      <c r="F3219" s="5" t="n">
        <v>187.33</v>
      </c>
      <c r="G3219">
        <f>IF(LEFT(B3219,1)="C","Credit","Factuur")</f>
        <v/>
      </c>
      <c r="H3219">
        <f>IF(AND(B3219=B3218,D3219=D3218,A3219=A3218,F3219=F3218),1,0)</f>
        <v/>
      </c>
      <c r="I3219">
        <f>IF(C3219="C99999",1,0)</f>
        <v/>
      </c>
      <c r="J3219" s="5">
        <f>IF(OR(H3219=1,I3219=1),0,IF(G3219="Credit",-F3219,F3219))</f>
        <v/>
      </c>
    </row>
    <row r="3220">
      <c r="A3220" t="inlineStr">
        <is>
          <t>2026-07-31</t>
        </is>
      </c>
      <c r="B3220" t="inlineStr">
        <is>
          <t>F275262</t>
        </is>
      </c>
      <c r="C3220" t="inlineStr">
        <is>
          <t>C10803</t>
        </is>
      </c>
      <c r="D3220" t="inlineStr">
        <is>
          <t>SKU-10327</t>
        </is>
      </c>
      <c r="E3220" t="inlineStr">
        <is>
          <t>AM11</t>
        </is>
      </c>
      <c r="F3220" s="5" t="n">
        <v>175.94</v>
      </c>
      <c r="G3220">
        <f>IF(LEFT(B3220,1)="C","Credit","Factuur")</f>
        <v/>
      </c>
      <c r="H3220">
        <f>IF(AND(B3220=B3219,D3220=D3219,A3220=A3219,F3220=F3219),1,0)</f>
        <v/>
      </c>
      <c r="I3220">
        <f>IF(C3220="C99999",1,0)</f>
        <v/>
      </c>
      <c r="J3220" s="5">
        <f>IF(OR(H3220=1,I3220=1),0,IF(G3220="Credit",-F3220,F3220))</f>
        <v/>
      </c>
    </row>
    <row r="3221">
      <c r="A3221" t="inlineStr">
        <is>
          <t>2026-07-31</t>
        </is>
      </c>
      <c r="B3221" t="inlineStr">
        <is>
          <t>F275262</t>
        </is>
      </c>
      <c r="C3221" t="inlineStr">
        <is>
          <t>C10803</t>
        </is>
      </c>
      <c r="D3221" t="inlineStr">
        <is>
          <t>SKU-10336</t>
        </is>
      </c>
      <c r="E3221" t="inlineStr">
        <is>
          <t>AM11</t>
        </is>
      </c>
      <c r="F3221" s="5" t="n">
        <v>172.83</v>
      </c>
      <c r="G3221">
        <f>IF(LEFT(B3221,1)="C","Credit","Factuur")</f>
        <v/>
      </c>
      <c r="H3221">
        <f>IF(AND(B3221=B3220,D3221=D3220,A3221=A3220,F3221=F3220),1,0)</f>
        <v/>
      </c>
      <c r="I3221">
        <f>IF(C3221="C99999",1,0)</f>
        <v/>
      </c>
      <c r="J3221" s="5">
        <f>IF(OR(H3221=1,I3221=1),0,IF(G3221="Credit",-F3221,F3221))</f>
        <v/>
      </c>
    </row>
    <row r="3222">
      <c r="A3222" t="inlineStr">
        <is>
          <t>2026-07-31</t>
        </is>
      </c>
      <c r="B3222" t="inlineStr">
        <is>
          <t>F275297</t>
        </is>
      </c>
      <c r="C3222" t="inlineStr">
        <is>
          <t>C10806</t>
        </is>
      </c>
      <c r="D3222" t="inlineStr">
        <is>
          <t>SKU-10130</t>
        </is>
      </c>
      <c r="E3222" t="inlineStr">
        <is>
          <t>AM12</t>
        </is>
      </c>
      <c r="F3222" s="5" t="n">
        <v>167.85</v>
      </c>
      <c r="G3222">
        <f>IF(LEFT(B3222,1)="C","Credit","Factuur")</f>
        <v/>
      </c>
      <c r="H3222">
        <f>IF(AND(B3222=B3221,D3222=D3221,A3222=A3221,F3222=F3221),1,0)</f>
        <v/>
      </c>
      <c r="I3222">
        <f>IF(C3222="C99999",1,0)</f>
        <v/>
      </c>
      <c r="J3222" s="5">
        <f>IF(OR(H3222=1,I3222=1),0,IF(G3222="Credit",-F3222,F3222))</f>
        <v/>
      </c>
    </row>
    <row r="3223">
      <c r="A3223" t="inlineStr">
        <is>
          <t>2026-07-31</t>
        </is>
      </c>
      <c r="B3223" t="inlineStr">
        <is>
          <t>F275297</t>
        </is>
      </c>
      <c r="C3223" t="inlineStr">
        <is>
          <t>C10806</t>
        </is>
      </c>
      <c r="D3223" t="inlineStr">
        <is>
          <t>SKU-10183</t>
        </is>
      </c>
      <c r="E3223" t="inlineStr">
        <is>
          <t>AM12</t>
        </is>
      </c>
      <c r="F3223" s="5" t="n">
        <v>178.1</v>
      </c>
      <c r="G3223">
        <f>IF(LEFT(B3223,1)="C","Credit","Factuur")</f>
        <v/>
      </c>
      <c r="H3223">
        <f>IF(AND(B3223=B3222,D3223=D3222,A3223=A3222,F3223=F3222),1,0)</f>
        <v/>
      </c>
      <c r="I3223">
        <f>IF(C3223="C99999",1,0)</f>
        <v/>
      </c>
      <c r="J3223" s="5">
        <f>IF(OR(H3223=1,I3223=1),0,IF(G3223="Credit",-F3223,F3223))</f>
        <v/>
      </c>
    </row>
    <row r="3224">
      <c r="A3224" t="inlineStr">
        <is>
          <t>2026-07-31</t>
        </is>
      </c>
      <c r="B3224" t="inlineStr">
        <is>
          <t>F275297</t>
        </is>
      </c>
      <c r="C3224" t="inlineStr">
        <is>
          <t>C10806</t>
        </is>
      </c>
      <c r="D3224" t="inlineStr">
        <is>
          <t>SKU-10187</t>
        </is>
      </c>
      <c r="E3224" t="inlineStr">
        <is>
          <t>AM12</t>
        </is>
      </c>
      <c r="F3224" s="5" t="n">
        <v>182.8</v>
      </c>
      <c r="G3224">
        <f>IF(LEFT(B3224,1)="C","Credit","Factuur")</f>
        <v/>
      </c>
      <c r="H3224">
        <f>IF(AND(B3224=B3223,D3224=D3223,A3224=A3223,F3224=F3223),1,0)</f>
        <v/>
      </c>
      <c r="I3224">
        <f>IF(C3224="C99999",1,0)</f>
        <v/>
      </c>
      <c r="J3224" s="5">
        <f>IF(OR(H3224=1,I3224=1),0,IF(G3224="Credit",-F3224,F3224))</f>
        <v/>
      </c>
    </row>
    <row r="3225">
      <c r="A3225" t="inlineStr">
        <is>
          <t>2026-07-31</t>
        </is>
      </c>
      <c r="B3225" t="inlineStr">
        <is>
          <t>F275297</t>
        </is>
      </c>
      <c r="C3225" t="inlineStr">
        <is>
          <t>C10806</t>
        </is>
      </c>
      <c r="D3225" t="inlineStr">
        <is>
          <t>SKU-10284</t>
        </is>
      </c>
      <c r="E3225" t="inlineStr">
        <is>
          <t>AM12</t>
        </is>
      </c>
      <c r="F3225" s="5" t="n">
        <v>170.3</v>
      </c>
      <c r="G3225">
        <f>IF(LEFT(B3225,1)="C","Credit","Factuur")</f>
        <v/>
      </c>
      <c r="H3225">
        <f>IF(AND(B3225=B3224,D3225=D3224,A3225=A3224,F3225=F3224),1,0)</f>
        <v/>
      </c>
      <c r="I3225">
        <f>IF(C3225="C99999",1,0)</f>
        <v/>
      </c>
      <c r="J3225" s="5">
        <f>IF(OR(H3225=1,I3225=1),0,IF(G3225="Credit",-F3225,F3225))</f>
        <v/>
      </c>
    </row>
    <row r="3226">
      <c r="A3226" t="inlineStr">
        <is>
          <t>2026-07-31</t>
        </is>
      </c>
      <c r="B3226" t="inlineStr">
        <is>
          <t>F275297</t>
        </is>
      </c>
      <c r="C3226" t="inlineStr">
        <is>
          <t>C10806</t>
        </is>
      </c>
      <c r="D3226" t="inlineStr">
        <is>
          <t>SKU-10331</t>
        </is>
      </c>
      <c r="E3226" t="inlineStr">
        <is>
          <t>AM12</t>
        </is>
      </c>
      <c r="F3226" s="5" t="n">
        <v>171.72</v>
      </c>
      <c r="G3226">
        <f>IF(LEFT(B3226,1)="C","Credit","Factuur")</f>
        <v/>
      </c>
      <c r="H3226">
        <f>IF(AND(B3226=B3225,D3226=D3225,A3226=A3225,F3226=F3225),1,0)</f>
        <v/>
      </c>
      <c r="I3226">
        <f>IF(C3226="C99999",1,0)</f>
        <v/>
      </c>
      <c r="J3226" s="5">
        <f>IF(OR(H3226=1,I3226=1),0,IF(G3226="Credit",-F3226,F3226))</f>
        <v/>
      </c>
    </row>
    <row r="3227">
      <c r="A3227" t="inlineStr">
        <is>
          <t>2026-07-31</t>
        </is>
      </c>
      <c r="B3227" t="inlineStr">
        <is>
          <t>F275300</t>
        </is>
      </c>
      <c r="C3227" t="inlineStr">
        <is>
          <t>C10806</t>
        </is>
      </c>
      <c r="D3227" t="inlineStr">
        <is>
          <t>SKU-10155</t>
        </is>
      </c>
      <c r="E3227" t="inlineStr">
        <is>
          <t>AM12</t>
        </is>
      </c>
      <c r="F3227" s="5" t="n">
        <v>393.3</v>
      </c>
      <c r="G3227">
        <f>IF(LEFT(B3227,1)="C","Credit","Factuur")</f>
        <v/>
      </c>
      <c r="H3227">
        <f>IF(AND(B3227=B3226,D3227=D3226,A3227=A3226,F3227=F3226),1,0)</f>
        <v/>
      </c>
      <c r="I3227">
        <f>IF(C3227="C99999",1,0)</f>
        <v/>
      </c>
      <c r="J3227" s="5">
        <f>IF(OR(H3227=1,I3227=1),0,IF(G3227="Credit",-F3227,F3227))</f>
        <v/>
      </c>
    </row>
    <row r="3228">
      <c r="A3228" t="inlineStr">
        <is>
          <t>2026-07-31</t>
        </is>
      </c>
      <c r="B3228" t="inlineStr">
        <is>
          <t>F275300</t>
        </is>
      </c>
      <c r="C3228" t="inlineStr">
        <is>
          <t>C10806</t>
        </is>
      </c>
      <c r="D3228" t="inlineStr">
        <is>
          <t>SKU-10324</t>
        </is>
      </c>
      <c r="E3228" t="inlineStr">
        <is>
          <t>AM12</t>
        </is>
      </c>
      <c r="F3228" s="5" t="n">
        <v>390.96</v>
      </c>
      <c r="G3228">
        <f>IF(LEFT(B3228,1)="C","Credit","Factuur")</f>
        <v/>
      </c>
      <c r="H3228">
        <f>IF(AND(B3228=B3227,D3228=D3227,A3228=A3227,F3228=F3227),1,0)</f>
        <v/>
      </c>
      <c r="I3228">
        <f>IF(C3228="C99999",1,0)</f>
        <v/>
      </c>
      <c r="J3228" s="5">
        <f>IF(OR(H3228=1,I3228=1),0,IF(G3228="Credit",-F3228,F3228))</f>
        <v/>
      </c>
    </row>
    <row r="3229">
      <c r="A3229" t="inlineStr">
        <is>
          <t>2026-07-31</t>
        </is>
      </c>
      <c r="B3229" t="inlineStr">
        <is>
          <t>F275445</t>
        </is>
      </c>
      <c r="C3229" t="inlineStr">
        <is>
          <t>C10817</t>
        </is>
      </c>
      <c r="D3229" t="inlineStr">
        <is>
          <t>SKU-10205</t>
        </is>
      </c>
      <c r="E3229" t="inlineStr">
        <is>
          <t>IS01</t>
        </is>
      </c>
      <c r="F3229" s="5" t="n">
        <v>156.98</v>
      </c>
      <c r="G3229">
        <f>IF(LEFT(B3229,1)="C","Credit","Factuur")</f>
        <v/>
      </c>
      <c r="H3229">
        <f>IF(AND(B3229=B3228,D3229=D3228,A3229=A3228,F3229=F3228),1,0)</f>
        <v/>
      </c>
      <c r="I3229">
        <f>IF(C3229="C99999",1,0)</f>
        <v/>
      </c>
      <c r="J3229" s="5">
        <f>IF(OR(H3229=1,I3229=1),0,IF(G3229="Credit",-F3229,F3229))</f>
        <v/>
      </c>
    </row>
    <row r="3230">
      <c r="A3230" t="inlineStr">
        <is>
          <t>2026-07-31</t>
        </is>
      </c>
      <c r="B3230" t="inlineStr">
        <is>
          <t>F275445</t>
        </is>
      </c>
      <c r="C3230" t="inlineStr">
        <is>
          <t>C10817</t>
        </is>
      </c>
      <c r="D3230" t="inlineStr">
        <is>
          <t>SKU-10295</t>
        </is>
      </c>
      <c r="E3230" t="inlineStr">
        <is>
          <t>IS01</t>
        </is>
      </c>
      <c r="F3230" s="5" t="n">
        <v>154.95</v>
      </c>
      <c r="G3230">
        <f>IF(LEFT(B3230,1)="C","Credit","Factuur")</f>
        <v/>
      </c>
      <c r="H3230">
        <f>IF(AND(B3230=B3229,D3230=D3229,A3230=A3229,F3230=F3229),1,0)</f>
        <v/>
      </c>
      <c r="I3230">
        <f>IF(C3230="C99999",1,0)</f>
        <v/>
      </c>
      <c r="J3230" s="5">
        <f>IF(OR(H3230=1,I3230=1),0,IF(G3230="Credit",-F3230,F3230))</f>
        <v/>
      </c>
    </row>
    <row r="3231">
      <c r="A3231" t="inlineStr">
        <is>
          <t>2026-07-31</t>
        </is>
      </c>
      <c r="B3231" t="inlineStr">
        <is>
          <t>F275578</t>
        </is>
      </c>
      <c r="C3231" t="inlineStr">
        <is>
          <t>C10823</t>
        </is>
      </c>
      <c r="D3231" t="inlineStr">
        <is>
          <t>SKU-10312</t>
        </is>
      </c>
      <c r="E3231" t="inlineStr">
        <is>
          <t>AM08</t>
        </is>
      </c>
      <c r="F3231" s="5" t="n">
        <v>228.76</v>
      </c>
      <c r="G3231">
        <f>IF(LEFT(B3231,1)="C","Credit","Factuur")</f>
        <v/>
      </c>
      <c r="H3231">
        <f>IF(AND(B3231=B3230,D3231=D3230,A3231=A3230,F3231=F3230),1,0)</f>
        <v/>
      </c>
      <c r="I3231">
        <f>IF(C3231="C99999",1,0)</f>
        <v/>
      </c>
      <c r="J3231" s="5">
        <f>IF(OR(H3231=1,I3231=1),0,IF(G3231="Credit",-F3231,F3231))</f>
        <v/>
      </c>
    </row>
    <row r="3232">
      <c r="A3232" t="inlineStr">
        <is>
          <t>2026-07-31</t>
        </is>
      </c>
      <c r="B3232" t="inlineStr">
        <is>
          <t>F275578</t>
        </is>
      </c>
      <c r="C3232" t="inlineStr">
        <is>
          <t>C10823</t>
        </is>
      </c>
      <c r="D3232" t="inlineStr">
        <is>
          <t>SKU-10318</t>
        </is>
      </c>
      <c r="E3232" t="inlineStr">
        <is>
          <t>AM08</t>
        </is>
      </c>
      <c r="F3232" s="5" t="n">
        <v>223.85</v>
      </c>
      <c r="G3232">
        <f>IF(LEFT(B3232,1)="C","Credit","Factuur")</f>
        <v/>
      </c>
      <c r="H3232">
        <f>IF(AND(B3232=B3231,D3232=D3231,A3232=A3231,F3232=F3231),1,0)</f>
        <v/>
      </c>
      <c r="I3232">
        <f>IF(C3232="C99999",1,0)</f>
        <v/>
      </c>
      <c r="J3232" s="5">
        <f>IF(OR(H3232=1,I3232=1),0,IF(G3232="Credit",-F3232,F3232))</f>
        <v/>
      </c>
    </row>
    <row r="3233">
      <c r="A3233" t="inlineStr">
        <is>
          <t>2026-07-31</t>
        </is>
      </c>
      <c r="B3233" t="inlineStr">
        <is>
          <t>F275578</t>
        </is>
      </c>
      <c r="C3233" t="inlineStr">
        <is>
          <t>C10823</t>
        </is>
      </c>
      <c r="D3233" t="inlineStr">
        <is>
          <t>SKU-10376</t>
        </is>
      </c>
      <c r="E3233" t="inlineStr">
        <is>
          <t>AM08</t>
        </is>
      </c>
      <c r="F3233" s="5" t="n">
        <v>235.52</v>
      </c>
      <c r="G3233">
        <f>IF(LEFT(B3233,1)="C","Credit","Factuur")</f>
        <v/>
      </c>
      <c r="H3233">
        <f>IF(AND(B3233=B3232,D3233=D3232,A3233=A3232,F3233=F3232),1,0)</f>
        <v/>
      </c>
      <c r="I3233">
        <f>IF(C3233="C99999",1,0)</f>
        <v/>
      </c>
      <c r="J3233" s="5">
        <f>IF(OR(H3233=1,I3233=1),0,IF(G3233="Credit",-F3233,F3233))</f>
        <v/>
      </c>
    </row>
    <row r="3234">
      <c r="A3234" t="inlineStr">
        <is>
          <t>2026-07-31</t>
        </is>
      </c>
      <c r="B3234" t="inlineStr">
        <is>
          <t>F275587</t>
        </is>
      </c>
      <c r="C3234" t="inlineStr">
        <is>
          <t>C10824</t>
        </is>
      </c>
      <c r="D3234" t="inlineStr">
        <is>
          <t>SKU-10055</t>
        </is>
      </c>
      <c r="E3234" t="inlineStr">
        <is>
          <t>IS02</t>
        </is>
      </c>
      <c r="F3234" s="5" t="n">
        <v>167.65</v>
      </c>
      <c r="G3234">
        <f>IF(LEFT(B3234,1)="C","Credit","Factuur")</f>
        <v/>
      </c>
      <c r="H3234">
        <f>IF(AND(B3234=B3233,D3234=D3233,A3234=A3233,F3234=F3233),1,0)</f>
        <v/>
      </c>
      <c r="I3234">
        <f>IF(C3234="C99999",1,0)</f>
        <v/>
      </c>
      <c r="J3234" s="5">
        <f>IF(OR(H3234=1,I3234=1),0,IF(G3234="Credit",-F3234,F3234))</f>
        <v/>
      </c>
    </row>
    <row r="3235">
      <c r="A3235" t="inlineStr">
        <is>
          <t>2026-07-31</t>
        </is>
      </c>
      <c r="B3235" t="inlineStr">
        <is>
          <t>F275587</t>
        </is>
      </c>
      <c r="C3235" t="inlineStr">
        <is>
          <t>C10824</t>
        </is>
      </c>
      <c r="D3235" t="inlineStr">
        <is>
          <t>SKU-10116</t>
        </is>
      </c>
      <c r="E3235" t="inlineStr">
        <is>
          <t>IS02</t>
        </is>
      </c>
      <c r="F3235" s="5" t="n">
        <v>130.2</v>
      </c>
      <c r="G3235">
        <f>IF(LEFT(B3235,1)="C","Credit","Factuur")</f>
        <v/>
      </c>
      <c r="H3235">
        <f>IF(AND(B3235=B3234,D3235=D3234,A3235=A3234,F3235=F3234),1,0)</f>
        <v/>
      </c>
      <c r="I3235">
        <f>IF(C3235="C99999",1,0)</f>
        <v/>
      </c>
      <c r="J3235" s="5">
        <f>IF(OR(H3235=1,I3235=1),0,IF(G3235="Credit",-F3235,F3235))</f>
        <v/>
      </c>
    </row>
    <row r="3236">
      <c r="A3236" t="inlineStr">
        <is>
          <t>2026-07-31</t>
        </is>
      </c>
      <c r="B3236" t="inlineStr">
        <is>
          <t>F275593</t>
        </is>
      </c>
      <c r="C3236" t="inlineStr">
        <is>
          <t>C10825</t>
        </is>
      </c>
      <c r="D3236" t="inlineStr">
        <is>
          <t>SKU-10335</t>
        </is>
      </c>
      <c r="E3236" t="inlineStr">
        <is>
          <t>AM05</t>
        </is>
      </c>
      <c r="F3236" s="5" t="n">
        <v>332.16</v>
      </c>
      <c r="G3236">
        <f>IF(LEFT(B3236,1)="C","Credit","Factuur")</f>
        <v/>
      </c>
      <c r="H3236">
        <f>IF(AND(B3236=B3235,D3236=D3235,A3236=A3235,F3236=F3235),1,0)</f>
        <v/>
      </c>
      <c r="I3236">
        <f>IF(C3236="C99999",1,0)</f>
        <v/>
      </c>
      <c r="J3236" s="5">
        <f>IF(OR(H3236=1,I3236=1),0,IF(G3236="Credit",-F3236,F3236))</f>
        <v/>
      </c>
    </row>
    <row r="3237">
      <c r="A3237" t="inlineStr">
        <is>
          <t>2026-07-31</t>
        </is>
      </c>
      <c r="B3237" t="inlineStr">
        <is>
          <t>F275828</t>
        </is>
      </c>
      <c r="C3237" t="inlineStr">
        <is>
          <t>C10839</t>
        </is>
      </c>
      <c r="D3237" t="inlineStr">
        <is>
          <t>SKU-10108</t>
        </is>
      </c>
      <c r="E3237" t="inlineStr">
        <is>
          <t>AM06</t>
        </is>
      </c>
      <c r="F3237" s="5" t="n">
        <v>929.3</v>
      </c>
      <c r="G3237">
        <f>IF(LEFT(B3237,1)="C","Credit","Factuur")</f>
        <v/>
      </c>
      <c r="H3237">
        <f>IF(AND(B3237=B3236,D3237=D3236,A3237=A3236,F3237=F3236),1,0)</f>
        <v/>
      </c>
      <c r="I3237">
        <f>IF(C3237="C99999",1,0)</f>
        <v/>
      </c>
      <c r="J3237" s="5">
        <f>IF(OR(H3237=1,I3237=1),0,IF(G3237="Credit",-F3237,F3237))</f>
        <v/>
      </c>
    </row>
    <row r="3238">
      <c r="A3238" t="inlineStr">
        <is>
          <t>2026-07-31</t>
        </is>
      </c>
      <c r="B3238" t="inlineStr">
        <is>
          <t>F275828</t>
        </is>
      </c>
      <c r="C3238" t="inlineStr">
        <is>
          <t>C10839</t>
        </is>
      </c>
      <c r="D3238" t="inlineStr">
        <is>
          <t>SKU-10129</t>
        </is>
      </c>
      <c r="E3238" t="inlineStr">
        <is>
          <t>AM06</t>
        </is>
      </c>
      <c r="F3238" s="5" t="n">
        <v>886.04</v>
      </c>
      <c r="G3238">
        <f>IF(LEFT(B3238,1)="C","Credit","Factuur")</f>
        <v/>
      </c>
      <c r="H3238">
        <f>IF(AND(B3238=B3237,D3238=D3237,A3238=A3237,F3238=F3237),1,0)</f>
        <v/>
      </c>
      <c r="I3238">
        <f>IF(C3238="C99999",1,0)</f>
        <v/>
      </c>
      <c r="J3238" s="5">
        <f>IF(OR(H3238=1,I3238=1),0,IF(G3238="Credit",-F3238,F3238))</f>
        <v/>
      </c>
    </row>
    <row r="3239">
      <c r="A3239" t="inlineStr">
        <is>
          <t>2026-07-31</t>
        </is>
      </c>
      <c r="B3239" t="inlineStr">
        <is>
          <t>F275895</t>
        </is>
      </c>
      <c r="C3239" t="inlineStr">
        <is>
          <t>C10843</t>
        </is>
      </c>
      <c r="D3239" t="inlineStr">
        <is>
          <t>SKU-10007</t>
        </is>
      </c>
      <c r="E3239" t="inlineStr">
        <is>
          <t>AM07</t>
        </is>
      </c>
      <c r="F3239" s="5" t="n">
        <v>119.85</v>
      </c>
      <c r="G3239">
        <f>IF(LEFT(B3239,1)="C","Credit","Factuur")</f>
        <v/>
      </c>
      <c r="H3239">
        <f>IF(AND(B3239=B3238,D3239=D3238,A3239=A3238,F3239=F3238),1,0)</f>
        <v/>
      </c>
      <c r="I3239">
        <f>IF(C3239="C99999",1,0)</f>
        <v/>
      </c>
      <c r="J3239" s="5">
        <f>IF(OR(H3239=1,I3239=1),0,IF(G3239="Credit",-F3239,F3239))</f>
        <v/>
      </c>
    </row>
    <row r="3240">
      <c r="A3240" t="inlineStr">
        <is>
          <t>2026-07-31</t>
        </is>
      </c>
      <c r="B3240" t="inlineStr">
        <is>
          <t>F275895</t>
        </is>
      </c>
      <c r="C3240" t="inlineStr">
        <is>
          <t>C10843</t>
        </is>
      </c>
      <c r="D3240" t="inlineStr">
        <is>
          <t>SKU-10101</t>
        </is>
      </c>
      <c r="E3240" t="inlineStr">
        <is>
          <t>AM07</t>
        </is>
      </c>
      <c r="F3240" s="5" t="n">
        <v>118.76</v>
      </c>
      <c r="G3240">
        <f>IF(LEFT(B3240,1)="C","Credit","Factuur")</f>
        <v/>
      </c>
      <c r="H3240">
        <f>IF(AND(B3240=B3239,D3240=D3239,A3240=A3239,F3240=F3239),1,0)</f>
        <v/>
      </c>
      <c r="I3240">
        <f>IF(C3240="C99999",1,0)</f>
        <v/>
      </c>
      <c r="J3240" s="5">
        <f>IF(OR(H3240=1,I3240=1),0,IF(G3240="Credit",-F3240,F3240))</f>
        <v/>
      </c>
    </row>
    <row r="3241">
      <c r="A3241" t="inlineStr">
        <is>
          <t>2026-07-31</t>
        </is>
      </c>
      <c r="B3241" t="inlineStr">
        <is>
          <t>F275895</t>
        </is>
      </c>
      <c r="C3241" t="inlineStr">
        <is>
          <t>C10843</t>
        </is>
      </c>
      <c r="D3241" t="inlineStr">
        <is>
          <t>SKU-10135</t>
        </is>
      </c>
      <c r="E3241" t="inlineStr">
        <is>
          <t>AM07</t>
        </is>
      </c>
      <c r="F3241" s="5" t="n">
        <v>162.72</v>
      </c>
      <c r="G3241">
        <f>IF(LEFT(B3241,1)="C","Credit","Factuur")</f>
        <v/>
      </c>
      <c r="H3241">
        <f>IF(AND(B3241=B3240,D3241=D3240,A3241=A3240,F3241=F3240),1,0)</f>
        <v/>
      </c>
      <c r="I3241">
        <f>IF(C3241="C99999",1,0)</f>
        <v/>
      </c>
      <c r="J3241" s="5">
        <f>IF(OR(H3241=1,I3241=1),0,IF(G3241="Credit",-F3241,F3241))</f>
        <v/>
      </c>
    </row>
    <row r="3242">
      <c r="A3242" t="inlineStr">
        <is>
          <t>2026-07-31</t>
        </is>
      </c>
      <c r="B3242" t="inlineStr">
        <is>
          <t>F275895</t>
        </is>
      </c>
      <c r="C3242" t="inlineStr">
        <is>
          <t>C10843</t>
        </is>
      </c>
      <c r="D3242" t="inlineStr">
        <is>
          <t>SKU-10216</t>
        </is>
      </c>
      <c r="E3242" t="inlineStr">
        <is>
          <t>AM07</t>
        </is>
      </c>
      <c r="F3242" s="5" t="n">
        <v>121.35</v>
      </c>
      <c r="G3242">
        <f>IF(LEFT(B3242,1)="C","Credit","Factuur")</f>
        <v/>
      </c>
      <c r="H3242">
        <f>IF(AND(B3242=B3241,D3242=D3241,A3242=A3241,F3242=F3241),1,0)</f>
        <v/>
      </c>
      <c r="I3242">
        <f>IF(C3242="C99999",1,0)</f>
        <v/>
      </c>
      <c r="J3242" s="5">
        <f>IF(OR(H3242=1,I3242=1),0,IF(G3242="Credit",-F3242,F3242))</f>
        <v/>
      </c>
    </row>
    <row r="3243">
      <c r="A3243" t="inlineStr">
        <is>
          <t>2026-07-31</t>
        </is>
      </c>
      <c r="B3243" t="inlineStr">
        <is>
          <t>F275895</t>
        </is>
      </c>
      <c r="C3243" t="inlineStr">
        <is>
          <t>C10843</t>
        </is>
      </c>
      <c r="D3243" t="inlineStr">
        <is>
          <t>SKU-10327</t>
        </is>
      </c>
      <c r="E3243" t="inlineStr">
        <is>
          <t>AM07</t>
        </is>
      </c>
      <c r="F3243" s="5" t="n">
        <v>109.96</v>
      </c>
      <c r="G3243">
        <f>IF(LEFT(B3243,1)="C","Credit","Factuur")</f>
        <v/>
      </c>
      <c r="H3243">
        <f>IF(AND(B3243=B3242,D3243=D3242,A3243=A3242,F3243=F3242),1,0)</f>
        <v/>
      </c>
      <c r="I3243">
        <f>IF(C3243="C99999",1,0)</f>
        <v/>
      </c>
      <c r="J3243" s="5">
        <f>IF(OR(H3243=1,I3243=1),0,IF(G3243="Credit",-F3243,F3243))</f>
        <v/>
      </c>
    </row>
    <row r="3244">
      <c r="A3244" t="inlineStr">
        <is>
          <t>2026-07-31</t>
        </is>
      </c>
      <c r="B3244" t="inlineStr">
        <is>
          <t>F275895</t>
        </is>
      </c>
      <c r="C3244" t="inlineStr">
        <is>
          <t>C10843</t>
        </is>
      </c>
      <c r="D3244" t="inlineStr">
        <is>
          <t>SKU-10329</t>
        </is>
      </c>
      <c r="E3244" t="inlineStr">
        <is>
          <t>AM07</t>
        </is>
      </c>
      <c r="F3244" s="5" t="n">
        <v>110.46</v>
      </c>
      <c r="G3244">
        <f>IF(LEFT(B3244,1)="C","Credit","Factuur")</f>
        <v/>
      </c>
      <c r="H3244">
        <f>IF(AND(B3244=B3243,D3244=D3243,A3244=A3243,F3244=F3243),1,0)</f>
        <v/>
      </c>
      <c r="I3244">
        <f>IF(C3244="C99999",1,0)</f>
        <v/>
      </c>
      <c r="J3244" s="5">
        <f>IF(OR(H3244=1,I3244=1),0,IF(G3244="Credit",-F3244,F3244))</f>
        <v/>
      </c>
    </row>
    <row r="3245">
      <c r="A3245" t="inlineStr">
        <is>
          <t>2026-07-31</t>
        </is>
      </c>
      <c r="B3245" t="inlineStr">
        <is>
          <t>F275895</t>
        </is>
      </c>
      <c r="C3245" t="inlineStr">
        <is>
          <t>C10843</t>
        </is>
      </c>
      <c r="D3245" t="inlineStr">
        <is>
          <t>SKU-10334</t>
        </is>
      </c>
      <c r="E3245" t="inlineStr">
        <is>
          <t>AM07</t>
        </is>
      </c>
      <c r="F3245" s="5" t="n">
        <v>108.62</v>
      </c>
      <c r="G3245">
        <f>IF(LEFT(B3245,1)="C","Credit","Factuur")</f>
        <v/>
      </c>
      <c r="H3245">
        <f>IF(AND(B3245=B3244,D3245=D3244,A3245=A3244,F3245=F3244),1,0)</f>
        <v/>
      </c>
      <c r="I3245">
        <f>IF(C3245="C99999",1,0)</f>
        <v/>
      </c>
      <c r="J3245" s="5">
        <f>IF(OR(H3245=1,I3245=1),0,IF(G3245="Credit",-F3245,F3245))</f>
        <v/>
      </c>
    </row>
    <row r="3246">
      <c r="A3246" t="inlineStr">
        <is>
          <t>2026-07-31</t>
        </is>
      </c>
      <c r="B3246" t="inlineStr">
        <is>
          <t>F276550</t>
        </is>
      </c>
      <c r="C3246" t="inlineStr">
        <is>
          <t>C10879</t>
        </is>
      </c>
      <c r="D3246" t="inlineStr">
        <is>
          <t>SKU-10034</t>
        </is>
      </c>
      <c r="E3246" t="inlineStr">
        <is>
          <t>AM12</t>
        </is>
      </c>
      <c r="F3246" s="5" t="n">
        <v>185.72</v>
      </c>
      <c r="G3246">
        <f>IF(LEFT(B3246,1)="C","Credit","Factuur")</f>
        <v/>
      </c>
      <c r="H3246">
        <f>IF(AND(B3246=B3245,D3246=D3245,A3246=A3245,F3246=F3245),1,0)</f>
        <v/>
      </c>
      <c r="I3246">
        <f>IF(C3246="C99999",1,0)</f>
        <v/>
      </c>
      <c r="J3246" s="5">
        <f>IF(OR(H3246=1,I3246=1),0,IF(G3246="Credit",-F3246,F3246))</f>
        <v/>
      </c>
    </row>
    <row r="3247">
      <c r="A3247" t="inlineStr">
        <is>
          <t>2026-07-31</t>
        </is>
      </c>
      <c r="B3247" t="inlineStr">
        <is>
          <t>F276550</t>
        </is>
      </c>
      <c r="C3247" t="inlineStr">
        <is>
          <t>C10879</t>
        </is>
      </c>
      <c r="D3247" t="inlineStr">
        <is>
          <t>SKU-10041</t>
        </is>
      </c>
      <c r="E3247" t="inlineStr">
        <is>
          <t>AM12</t>
        </is>
      </c>
      <c r="F3247" s="5" t="n">
        <v>192.64</v>
      </c>
      <c r="G3247">
        <f>IF(LEFT(B3247,1)="C","Credit","Factuur")</f>
        <v/>
      </c>
      <c r="H3247">
        <f>IF(AND(B3247=B3246,D3247=D3246,A3247=A3246,F3247=F3246),1,0)</f>
        <v/>
      </c>
      <c r="I3247">
        <f>IF(C3247="C99999",1,0)</f>
        <v/>
      </c>
      <c r="J3247" s="5">
        <f>IF(OR(H3247=1,I3247=1),0,IF(G3247="Credit",-F3247,F3247))</f>
        <v/>
      </c>
    </row>
    <row r="3248">
      <c r="A3248" t="inlineStr">
        <is>
          <t>2026-07-31</t>
        </is>
      </c>
      <c r="B3248" t="inlineStr">
        <is>
          <t>F276550</t>
        </is>
      </c>
      <c r="C3248" t="inlineStr">
        <is>
          <t>C10879</t>
        </is>
      </c>
      <c r="D3248" t="inlineStr">
        <is>
          <t>SKU-10132</t>
        </is>
      </c>
      <c r="E3248" t="inlineStr">
        <is>
          <t>AM12</t>
        </is>
      </c>
      <c r="F3248" s="5" t="n">
        <v>184.54</v>
      </c>
      <c r="G3248">
        <f>IF(LEFT(B3248,1)="C","Credit","Factuur")</f>
        <v/>
      </c>
      <c r="H3248">
        <f>IF(AND(B3248=B3247,D3248=D3247,A3248=A3247,F3248=F3247),1,0)</f>
        <v/>
      </c>
      <c r="I3248">
        <f>IF(C3248="C99999",1,0)</f>
        <v/>
      </c>
      <c r="J3248" s="5">
        <f>IF(OR(H3248=1,I3248=1),0,IF(G3248="Credit",-F3248,F3248))</f>
        <v/>
      </c>
    </row>
    <row r="3249">
      <c r="A3249" t="inlineStr">
        <is>
          <t>2026-07-31</t>
        </is>
      </c>
      <c r="B3249" t="inlineStr">
        <is>
          <t>F277495</t>
        </is>
      </c>
      <c r="C3249" t="inlineStr">
        <is>
          <t>C10929</t>
        </is>
      </c>
      <c r="D3249" t="inlineStr">
        <is>
          <t>SKU-10056</t>
        </is>
      </c>
      <c r="E3249" t="inlineStr">
        <is>
          <t>AM08</t>
        </is>
      </c>
      <c r="F3249" s="5" t="n">
        <v>368</v>
      </c>
      <c r="G3249">
        <f>IF(LEFT(B3249,1)="C","Credit","Factuur")</f>
        <v/>
      </c>
      <c r="H3249">
        <f>IF(AND(B3249=B3248,D3249=D3248,A3249=A3248,F3249=F3248),1,0)</f>
        <v/>
      </c>
      <c r="I3249">
        <f>IF(C3249="C99999",1,0)</f>
        <v/>
      </c>
      <c r="J3249" s="5">
        <f>IF(OR(H3249=1,I3249=1),0,IF(G3249="Credit",-F3249,F3249))</f>
        <v/>
      </c>
    </row>
    <row r="3250">
      <c r="A3250" t="inlineStr">
        <is>
          <t>2026-07-31</t>
        </is>
      </c>
      <c r="B3250" t="inlineStr">
        <is>
          <t>F277495</t>
        </is>
      </c>
      <c r="C3250" t="inlineStr">
        <is>
          <t>C10929</t>
        </is>
      </c>
      <c r="D3250" t="inlineStr">
        <is>
          <t>SKU-10154</t>
        </is>
      </c>
      <c r="E3250" t="inlineStr">
        <is>
          <t>AM08</t>
        </is>
      </c>
      <c r="F3250" s="5" t="n">
        <v>368.55</v>
      </c>
      <c r="G3250">
        <f>IF(LEFT(B3250,1)="C","Credit","Factuur")</f>
        <v/>
      </c>
      <c r="H3250">
        <f>IF(AND(B3250=B3249,D3250=D3249,A3250=A3249,F3250=F3249),1,0)</f>
        <v/>
      </c>
      <c r="I3250">
        <f>IF(C3250="C99999",1,0)</f>
        <v/>
      </c>
      <c r="J3250" s="5">
        <f>IF(OR(H3250=1,I3250=1),0,IF(G3250="Credit",-F3250,F3250))</f>
        <v/>
      </c>
    </row>
    <row r="3251">
      <c r="A3251" t="inlineStr">
        <is>
          <t>2026-07-31</t>
        </is>
      </c>
      <c r="B3251" t="inlineStr">
        <is>
          <t>F277495</t>
        </is>
      </c>
      <c r="C3251" t="inlineStr">
        <is>
          <t>C10929</t>
        </is>
      </c>
      <c r="D3251" t="inlineStr">
        <is>
          <t>SKU-10281</t>
        </is>
      </c>
      <c r="E3251" t="inlineStr">
        <is>
          <t>AM08</t>
        </is>
      </c>
      <c r="F3251" s="5" t="n">
        <v>366.12</v>
      </c>
      <c r="G3251">
        <f>IF(LEFT(B3251,1)="C","Credit","Factuur")</f>
        <v/>
      </c>
      <c r="H3251">
        <f>IF(AND(B3251=B3250,D3251=D3250,A3251=A3250,F3251=F3250),1,0)</f>
        <v/>
      </c>
      <c r="I3251">
        <f>IF(C3251="C99999",1,0)</f>
        <v/>
      </c>
      <c r="J3251" s="5">
        <f>IF(OR(H3251=1,I3251=1),0,IF(G3251="Credit",-F3251,F3251))</f>
        <v/>
      </c>
    </row>
    <row r="3252">
      <c r="A3252" t="inlineStr">
        <is>
          <t>2026-07-31</t>
        </is>
      </c>
      <c r="B3252" t="inlineStr">
        <is>
          <t>F277631</t>
        </is>
      </c>
      <c r="C3252" t="inlineStr">
        <is>
          <t>C10936</t>
        </is>
      </c>
      <c r="D3252" t="inlineStr">
        <is>
          <t>SKU-10028</t>
        </is>
      </c>
      <c r="E3252" t="inlineStr">
        <is>
          <t>AM03</t>
        </is>
      </c>
      <c r="F3252" s="5" t="n">
        <v>347.28</v>
      </c>
      <c r="G3252">
        <f>IF(LEFT(B3252,1)="C","Credit","Factuur")</f>
        <v/>
      </c>
      <c r="H3252">
        <f>IF(AND(B3252=B3251,D3252=D3251,A3252=A3251,F3252=F3251),1,0)</f>
        <v/>
      </c>
      <c r="I3252">
        <f>IF(C3252="C99999",1,0)</f>
        <v/>
      </c>
      <c r="J3252" s="5">
        <f>IF(OR(H3252=1,I3252=1),0,IF(G3252="Credit",-F3252,F3252))</f>
        <v/>
      </c>
    </row>
    <row r="3253">
      <c r="A3253" t="inlineStr">
        <is>
          <t>2026-07-31</t>
        </is>
      </c>
      <c r="B3253" t="inlineStr">
        <is>
          <t>F277631</t>
        </is>
      </c>
      <c r="C3253" t="inlineStr">
        <is>
          <t>C10936</t>
        </is>
      </c>
      <c r="D3253" t="inlineStr">
        <is>
          <t>SKU-10233</t>
        </is>
      </c>
      <c r="E3253" t="inlineStr">
        <is>
          <t>AM03</t>
        </is>
      </c>
      <c r="F3253" s="5" t="n">
        <v>336.35</v>
      </c>
      <c r="G3253">
        <f>IF(LEFT(B3253,1)="C","Credit","Factuur")</f>
        <v/>
      </c>
      <c r="H3253">
        <f>IF(AND(B3253=B3252,D3253=D3252,A3253=A3252,F3253=F3252),1,0)</f>
        <v/>
      </c>
      <c r="I3253">
        <f>IF(C3253="C99999",1,0)</f>
        <v/>
      </c>
      <c r="J3253" s="5">
        <f>IF(OR(H3253=1,I3253=1),0,IF(G3253="Credit",-F3253,F3253))</f>
        <v/>
      </c>
    </row>
    <row r="3254">
      <c r="A3254" t="inlineStr">
        <is>
          <t>2026-07-31</t>
        </is>
      </c>
      <c r="B3254" t="inlineStr">
        <is>
          <t>F277631</t>
        </is>
      </c>
      <c r="C3254" t="inlineStr">
        <is>
          <t>C10936</t>
        </is>
      </c>
      <c r="D3254" t="inlineStr">
        <is>
          <t>SKU-10251</t>
        </is>
      </c>
      <c r="E3254" t="inlineStr">
        <is>
          <t>AM03</t>
        </is>
      </c>
      <c r="F3254" s="5" t="n">
        <v>305.1</v>
      </c>
      <c r="G3254">
        <f>IF(LEFT(B3254,1)="C","Credit","Factuur")</f>
        <v/>
      </c>
      <c r="H3254">
        <f>IF(AND(B3254=B3253,D3254=D3253,A3254=A3253,F3254=F3253),1,0)</f>
        <v/>
      </c>
      <c r="I3254">
        <f>IF(C3254="C99999",1,0)</f>
        <v/>
      </c>
      <c r="J3254" s="5">
        <f>IF(OR(H3254=1,I3254=1),0,IF(G3254="Credit",-F3254,F3254))</f>
        <v/>
      </c>
    </row>
    <row r="3255">
      <c r="A3255" t="inlineStr">
        <is>
          <t>2026-07-31</t>
        </is>
      </c>
      <c r="B3255" t="inlineStr">
        <is>
          <t>F277631</t>
        </is>
      </c>
      <c r="C3255" t="inlineStr">
        <is>
          <t>C10936</t>
        </is>
      </c>
      <c r="D3255" t="inlineStr">
        <is>
          <t>SKU-10325</t>
        </is>
      </c>
      <c r="E3255" t="inlineStr">
        <is>
          <t>AM03</t>
        </is>
      </c>
      <c r="F3255" s="5" t="n">
        <v>290.14</v>
      </c>
      <c r="G3255">
        <f>IF(LEFT(B3255,1)="C","Credit","Factuur")</f>
        <v/>
      </c>
      <c r="H3255">
        <f>IF(AND(B3255=B3254,D3255=D3254,A3255=A3254,F3255=F3254),1,0)</f>
        <v/>
      </c>
      <c r="I3255">
        <f>IF(C3255="C99999",1,0)</f>
        <v/>
      </c>
      <c r="J3255" s="5">
        <f>IF(OR(H3255=1,I3255=1),0,IF(G3255="Credit",-F3255,F3255))</f>
        <v/>
      </c>
    </row>
    <row r="3256">
      <c r="A3256" t="inlineStr">
        <is>
          <t>2026-07-31</t>
        </is>
      </c>
      <c r="B3256" t="inlineStr">
        <is>
          <t>F277752</t>
        </is>
      </c>
      <c r="C3256" t="inlineStr">
        <is>
          <t>C10943</t>
        </is>
      </c>
      <c r="D3256" t="inlineStr">
        <is>
          <t>SKU-10149</t>
        </is>
      </c>
      <c r="E3256" t="inlineStr">
        <is>
          <t>AM01</t>
        </is>
      </c>
      <c r="F3256" s="5" t="n">
        <v>725.8</v>
      </c>
      <c r="G3256">
        <f>IF(LEFT(B3256,1)="C","Credit","Factuur")</f>
        <v/>
      </c>
      <c r="H3256">
        <f>IF(AND(B3256=B3255,D3256=D3255,A3256=A3255,F3256=F3255),1,0)</f>
        <v/>
      </c>
      <c r="I3256">
        <f>IF(C3256="C99999",1,0)</f>
        <v/>
      </c>
      <c r="J3256" s="5">
        <f>IF(OR(H3256=1,I3256=1),0,IF(G3256="Credit",-F3256,F3256))</f>
        <v/>
      </c>
    </row>
    <row r="3257">
      <c r="A3257" t="inlineStr">
        <is>
          <t>2026-07-31</t>
        </is>
      </c>
      <c r="B3257" t="inlineStr">
        <is>
          <t>F277752</t>
        </is>
      </c>
      <c r="C3257" t="inlineStr">
        <is>
          <t>C10943</t>
        </is>
      </c>
      <c r="D3257" t="inlineStr">
        <is>
          <t>SKU-10157</t>
        </is>
      </c>
      <c r="E3257" t="inlineStr">
        <is>
          <t>AM01</t>
        </is>
      </c>
      <c r="F3257" s="5" t="n">
        <v>700.16</v>
      </c>
      <c r="G3257">
        <f>IF(LEFT(B3257,1)="C","Credit","Factuur")</f>
        <v/>
      </c>
      <c r="H3257">
        <f>IF(AND(B3257=B3256,D3257=D3256,A3257=A3256,F3257=F3256),1,0)</f>
        <v/>
      </c>
      <c r="I3257">
        <f>IF(C3257="C99999",1,0)</f>
        <v/>
      </c>
      <c r="J3257" s="5">
        <f>IF(OR(H3257=1,I3257=1),0,IF(G3257="Credit",-F3257,F3257))</f>
        <v/>
      </c>
    </row>
    <row r="3258">
      <c r="A3258" t="inlineStr">
        <is>
          <t>2026-07-31</t>
        </is>
      </c>
      <c r="B3258" t="inlineStr">
        <is>
          <t>F277752</t>
        </is>
      </c>
      <c r="C3258" t="inlineStr">
        <is>
          <t>C10943</t>
        </is>
      </c>
      <c r="D3258" t="inlineStr">
        <is>
          <t>SKU-10219</t>
        </is>
      </c>
      <c r="E3258" t="inlineStr">
        <is>
          <t>AM01</t>
        </is>
      </c>
      <c r="F3258" s="5" t="n">
        <v>693.6799999999999</v>
      </c>
      <c r="G3258">
        <f>IF(LEFT(B3258,1)="C","Credit","Factuur")</f>
        <v/>
      </c>
      <c r="H3258">
        <f>IF(AND(B3258=B3257,D3258=D3257,A3258=A3257,F3258=F3257),1,0)</f>
        <v/>
      </c>
      <c r="I3258">
        <f>IF(C3258="C99999",1,0)</f>
        <v/>
      </c>
      <c r="J3258" s="5">
        <f>IF(OR(H3258=1,I3258=1),0,IF(G3258="Credit",-F3258,F3258))</f>
        <v/>
      </c>
    </row>
    <row r="3259">
      <c r="A3259" t="inlineStr">
        <is>
          <t>2026-07-31</t>
        </is>
      </c>
      <c r="B3259" t="inlineStr">
        <is>
          <t>F277752</t>
        </is>
      </c>
      <c r="C3259" t="inlineStr">
        <is>
          <t>C10943</t>
        </is>
      </c>
      <c r="D3259" t="inlineStr">
        <is>
          <t>SKU-10235</t>
        </is>
      </c>
      <c r="E3259" t="inlineStr">
        <is>
          <t>AM01</t>
        </is>
      </c>
      <c r="F3259" s="5" t="n">
        <v>708.64</v>
      </c>
      <c r="G3259">
        <f>IF(LEFT(B3259,1)="C","Credit","Factuur")</f>
        <v/>
      </c>
      <c r="H3259">
        <f>IF(AND(B3259=B3258,D3259=D3258,A3259=A3258,F3259=F3258),1,0)</f>
        <v/>
      </c>
      <c r="I3259">
        <f>IF(C3259="C99999",1,0)</f>
        <v/>
      </c>
      <c r="J3259" s="5">
        <f>IF(OR(H3259=1,I3259=1),0,IF(G3259="Credit",-F3259,F3259))</f>
        <v/>
      </c>
    </row>
    <row r="3260">
      <c r="A3260" t="inlineStr">
        <is>
          <t>2026-07-31</t>
        </is>
      </c>
      <c r="B3260" t="inlineStr">
        <is>
          <t>F278043</t>
        </is>
      </c>
      <c r="C3260" t="inlineStr">
        <is>
          <t>C10957</t>
        </is>
      </c>
      <c r="D3260" t="inlineStr">
        <is>
          <t>SKU-10165</t>
        </is>
      </c>
      <c r="E3260" t="inlineStr">
        <is>
          <t>AM06</t>
        </is>
      </c>
      <c r="F3260" s="5" t="n">
        <v>687.6</v>
      </c>
      <c r="G3260">
        <f>IF(LEFT(B3260,1)="C","Credit","Factuur")</f>
        <v/>
      </c>
      <c r="H3260">
        <f>IF(AND(B3260=B3259,D3260=D3259,A3260=A3259,F3260=F3259),1,0)</f>
        <v/>
      </c>
      <c r="I3260">
        <f>IF(C3260="C99999",1,0)</f>
        <v/>
      </c>
      <c r="J3260" s="5">
        <f>IF(OR(H3260=1,I3260=1),0,IF(G3260="Credit",-F3260,F3260))</f>
        <v/>
      </c>
    </row>
    <row r="3261">
      <c r="A3261" t="inlineStr">
        <is>
          <t>2026-07-31</t>
        </is>
      </c>
      <c r="B3261" t="inlineStr">
        <is>
          <t>F278214</t>
        </is>
      </c>
      <c r="C3261" t="inlineStr">
        <is>
          <t>C10967</t>
        </is>
      </c>
      <c r="D3261" t="inlineStr">
        <is>
          <t>SKU-10092</t>
        </is>
      </c>
      <c r="E3261" t="inlineStr">
        <is>
          <t>AM03</t>
        </is>
      </c>
      <c r="F3261" s="5" t="n">
        <v>480.34</v>
      </c>
      <c r="G3261">
        <f>IF(LEFT(B3261,1)="C","Credit","Factuur")</f>
        <v/>
      </c>
      <c r="H3261">
        <f>IF(AND(B3261=B3260,D3261=D3260,A3261=A3260,F3261=F3260),1,0)</f>
        <v/>
      </c>
      <c r="I3261">
        <f>IF(C3261="C99999",1,0)</f>
        <v/>
      </c>
      <c r="J3261" s="5">
        <f>IF(OR(H3261=1,I3261=1),0,IF(G3261="Credit",-F3261,F3261))</f>
        <v/>
      </c>
    </row>
    <row r="3262">
      <c r="A3262" t="inlineStr">
        <is>
          <t>2026-07-31</t>
        </is>
      </c>
      <c r="B3262" t="inlineStr">
        <is>
          <t>F278214</t>
        </is>
      </c>
      <c r="C3262" t="inlineStr">
        <is>
          <t>C10967</t>
        </is>
      </c>
      <c r="D3262" t="inlineStr">
        <is>
          <t>SKU-10313</t>
        </is>
      </c>
      <c r="E3262" t="inlineStr">
        <is>
          <t>AM03</t>
        </is>
      </c>
      <c r="F3262" s="5" t="n">
        <v>435.76</v>
      </c>
      <c r="G3262">
        <f>IF(LEFT(B3262,1)="C","Credit","Factuur")</f>
        <v/>
      </c>
      <c r="H3262">
        <f>IF(AND(B3262=B3261,D3262=D3261,A3262=A3261,F3262=F3261),1,0)</f>
        <v/>
      </c>
      <c r="I3262">
        <f>IF(C3262="C99999",1,0)</f>
        <v/>
      </c>
      <c r="J3262" s="5">
        <f>IF(OR(H3262=1,I3262=1),0,IF(G3262="Credit",-F3262,F3262))</f>
        <v/>
      </c>
    </row>
    <row r="3263">
      <c r="A3263" t="inlineStr">
        <is>
          <t>2026-07-31</t>
        </is>
      </c>
      <c r="B3263" t="inlineStr">
        <is>
          <t>F278296</t>
        </is>
      </c>
      <c r="C3263" t="inlineStr">
        <is>
          <t>C10970</t>
        </is>
      </c>
      <c r="D3263" t="inlineStr">
        <is>
          <t>SKU-10017</t>
        </is>
      </c>
      <c r="E3263" t="inlineStr">
        <is>
          <t>AM02</t>
        </is>
      </c>
      <c r="F3263" s="5" t="n">
        <v>233.1</v>
      </c>
      <c r="G3263">
        <f>IF(LEFT(B3263,1)="C","Credit","Factuur")</f>
        <v/>
      </c>
      <c r="H3263">
        <f>IF(AND(B3263=B3262,D3263=D3262,A3263=A3262,F3263=F3262),1,0)</f>
        <v/>
      </c>
      <c r="I3263">
        <f>IF(C3263="C99999",1,0)</f>
        <v/>
      </c>
      <c r="J3263" s="5">
        <f>IF(OR(H3263=1,I3263=1),0,IF(G3263="Credit",-F3263,F3263))</f>
        <v/>
      </c>
    </row>
    <row r="3264">
      <c r="A3264" t="inlineStr">
        <is>
          <t>2026-07-31</t>
        </is>
      </c>
      <c r="B3264" t="inlineStr">
        <is>
          <t>F278296</t>
        </is>
      </c>
      <c r="C3264" t="inlineStr">
        <is>
          <t>C10970</t>
        </is>
      </c>
      <c r="D3264" t="inlineStr">
        <is>
          <t>SKU-10113</t>
        </is>
      </c>
      <c r="E3264" t="inlineStr">
        <is>
          <t>AM02</t>
        </is>
      </c>
      <c r="F3264" s="5" t="n">
        <v>218.02</v>
      </c>
      <c r="G3264">
        <f>IF(LEFT(B3264,1)="C","Credit","Factuur")</f>
        <v/>
      </c>
      <c r="H3264">
        <f>IF(AND(B3264=B3263,D3264=D3263,A3264=A3263,F3264=F3263),1,0)</f>
        <v/>
      </c>
      <c r="I3264">
        <f>IF(C3264="C99999",1,0)</f>
        <v/>
      </c>
      <c r="J3264" s="5">
        <f>IF(OR(H3264=1,I3264=1),0,IF(G3264="Credit",-F3264,F3264))</f>
        <v/>
      </c>
    </row>
    <row r="3265">
      <c r="A3265" t="inlineStr">
        <is>
          <t>2026-07-31</t>
        </is>
      </c>
      <c r="B3265" t="inlineStr">
        <is>
          <t>F278296</t>
        </is>
      </c>
      <c r="C3265" t="inlineStr">
        <is>
          <t>C10970</t>
        </is>
      </c>
      <c r="D3265" t="inlineStr">
        <is>
          <t>SKU-10153</t>
        </is>
      </c>
      <c r="E3265" t="inlineStr">
        <is>
          <t>AM02</t>
        </is>
      </c>
      <c r="F3265" s="5" t="n">
        <v>224.8</v>
      </c>
      <c r="G3265">
        <f>IF(LEFT(B3265,1)="C","Credit","Factuur")</f>
        <v/>
      </c>
      <c r="H3265">
        <f>IF(AND(B3265=B3264,D3265=D3264,A3265=A3264,F3265=F3264),1,0)</f>
        <v/>
      </c>
      <c r="I3265">
        <f>IF(C3265="C99999",1,0)</f>
        <v/>
      </c>
      <c r="J3265" s="5">
        <f>IF(OR(H3265=1,I3265=1),0,IF(G3265="Credit",-F3265,F3265))</f>
        <v/>
      </c>
    </row>
    <row r="3266">
      <c r="A3266" t="inlineStr">
        <is>
          <t>2026-07-31</t>
        </is>
      </c>
      <c r="B3266" t="inlineStr">
        <is>
          <t>F278296</t>
        </is>
      </c>
      <c r="C3266" t="inlineStr">
        <is>
          <t>C10970</t>
        </is>
      </c>
      <c r="D3266" t="inlineStr">
        <is>
          <t>SKU-10179</t>
        </is>
      </c>
      <c r="E3266" t="inlineStr">
        <is>
          <t>AM02</t>
        </is>
      </c>
      <c r="F3266" s="5" t="n">
        <v>212.72</v>
      </c>
      <c r="G3266">
        <f>IF(LEFT(B3266,1)="C","Credit","Factuur")</f>
        <v/>
      </c>
      <c r="H3266">
        <f>IF(AND(B3266=B3265,D3266=D3265,A3266=A3265,F3266=F3265),1,0)</f>
        <v/>
      </c>
      <c r="I3266">
        <f>IF(C3266="C99999",1,0)</f>
        <v/>
      </c>
      <c r="J3266" s="5">
        <f>IF(OR(H3266=1,I3266=1),0,IF(G3266="Credit",-F3266,F3266))</f>
        <v/>
      </c>
    </row>
    <row r="3267">
      <c r="A3267" t="inlineStr">
        <is>
          <t>2026-07-31</t>
        </is>
      </c>
      <c r="B3267" t="inlineStr">
        <is>
          <t>F278296</t>
        </is>
      </c>
      <c r="C3267" t="inlineStr">
        <is>
          <t>C10970</t>
        </is>
      </c>
      <c r="D3267" t="inlineStr">
        <is>
          <t>SKU-10333</t>
        </is>
      </c>
      <c r="E3267" t="inlineStr">
        <is>
          <t>AM02</t>
        </is>
      </c>
      <c r="F3267" s="5" t="n">
        <v>228.69</v>
      </c>
      <c r="G3267">
        <f>IF(LEFT(B3267,1)="C","Credit","Factuur")</f>
        <v/>
      </c>
      <c r="H3267">
        <f>IF(AND(B3267=B3266,D3267=D3266,A3267=A3266,F3267=F3266),1,0)</f>
        <v/>
      </c>
      <c r="I3267">
        <f>IF(C3267="C99999",1,0)</f>
        <v/>
      </c>
      <c r="J3267" s="5">
        <f>IF(OR(H3267=1,I3267=1),0,IF(G3267="Credit",-F3267,F3267))</f>
        <v/>
      </c>
    </row>
    <row r="3268">
      <c r="A3268" t="inlineStr">
        <is>
          <t>2026-07-31</t>
        </is>
      </c>
      <c r="B3268" t="inlineStr">
        <is>
          <t>F278327</t>
        </is>
      </c>
      <c r="C3268" t="inlineStr">
        <is>
          <t>C10971</t>
        </is>
      </c>
      <c r="D3268" t="inlineStr">
        <is>
          <t>SKU-10001</t>
        </is>
      </c>
      <c r="E3268" t="inlineStr">
        <is>
          <t>AM07</t>
        </is>
      </c>
      <c r="F3268" s="5" t="n">
        <v>470.55</v>
      </c>
      <c r="G3268">
        <f>IF(LEFT(B3268,1)="C","Credit","Factuur")</f>
        <v/>
      </c>
      <c r="H3268">
        <f>IF(AND(B3268=B3267,D3268=D3267,A3268=A3267,F3268=F3267),1,0)</f>
        <v/>
      </c>
      <c r="I3268">
        <f>IF(C3268="C99999",1,0)</f>
        <v/>
      </c>
      <c r="J3268" s="5">
        <f>IF(OR(H3268=1,I3268=1),0,IF(G3268="Credit",-F3268,F3268))</f>
        <v/>
      </c>
    </row>
    <row r="3269">
      <c r="A3269" t="inlineStr">
        <is>
          <t>2026-07-31</t>
        </is>
      </c>
      <c r="B3269" t="inlineStr">
        <is>
          <t>F278327</t>
        </is>
      </c>
      <c r="C3269" t="inlineStr">
        <is>
          <t>C10971</t>
        </is>
      </c>
      <c r="D3269" t="inlineStr">
        <is>
          <t>SKU-10264</t>
        </is>
      </c>
      <c r="E3269" t="inlineStr">
        <is>
          <t>AM07</t>
        </is>
      </c>
      <c r="F3269" s="5" t="n">
        <v>480.53</v>
      </c>
      <c r="G3269">
        <f>IF(LEFT(B3269,1)="C","Credit","Factuur")</f>
        <v/>
      </c>
      <c r="H3269">
        <f>IF(AND(B3269=B3268,D3269=D3268,A3269=A3268,F3269=F3268),1,0)</f>
        <v/>
      </c>
      <c r="I3269">
        <f>IF(C3269="C99999",1,0)</f>
        <v/>
      </c>
      <c r="J3269" s="5">
        <f>IF(OR(H3269=1,I3269=1),0,IF(G3269="Credit",-F3269,F3269))</f>
        <v/>
      </c>
    </row>
    <row r="3270">
      <c r="A3270" t="inlineStr">
        <is>
          <t>2026-07-31</t>
        </is>
      </c>
      <c r="B3270" t="inlineStr">
        <is>
          <t>F278327</t>
        </is>
      </c>
      <c r="C3270" t="inlineStr">
        <is>
          <t>C10971</t>
        </is>
      </c>
      <c r="D3270" t="inlineStr">
        <is>
          <t>SKU-10305</t>
        </is>
      </c>
      <c r="E3270" t="inlineStr">
        <is>
          <t>AM07</t>
        </is>
      </c>
      <c r="F3270" s="5" t="n">
        <v>497.8</v>
      </c>
      <c r="G3270">
        <f>IF(LEFT(B3270,1)="C","Credit","Factuur")</f>
        <v/>
      </c>
      <c r="H3270">
        <f>IF(AND(B3270=B3269,D3270=D3269,A3270=A3269,F3270=F3269),1,0)</f>
        <v/>
      </c>
      <c r="I3270">
        <f>IF(C3270="C99999",1,0)</f>
        <v/>
      </c>
      <c r="J3270" s="5">
        <f>IF(OR(H3270=1,I3270=1),0,IF(G3270="Credit",-F3270,F3270))</f>
        <v/>
      </c>
    </row>
    <row r="3271">
      <c r="A3271" t="inlineStr">
        <is>
          <t>2026-07-31</t>
        </is>
      </c>
      <c r="B3271" t="inlineStr">
        <is>
          <t>F278578</t>
        </is>
      </c>
      <c r="C3271" t="inlineStr">
        <is>
          <t>C10986</t>
        </is>
      </c>
      <c r="D3271" t="inlineStr">
        <is>
          <t>SKU-10281</t>
        </is>
      </c>
      <c r="E3271" t="inlineStr">
        <is>
          <t>AM08</t>
        </is>
      </c>
      <c r="F3271" s="5" t="n">
        <v>1088.19</v>
      </c>
      <c r="G3271">
        <f>IF(LEFT(B3271,1)="C","Credit","Factuur")</f>
        <v/>
      </c>
      <c r="H3271">
        <f>IF(AND(B3271=B3270,D3271=D3270,A3271=A3270,F3271=F3270),1,0)</f>
        <v/>
      </c>
      <c r="I3271">
        <f>IF(C3271="C99999",1,0)</f>
        <v/>
      </c>
      <c r="J3271" s="5">
        <f>IF(OR(H3271=1,I3271=1),0,IF(G3271="Credit",-F3271,F3271))</f>
        <v/>
      </c>
    </row>
    <row r="3272">
      <c r="A3272" t="inlineStr">
        <is>
          <t>2026-07-31</t>
        </is>
      </c>
      <c r="B3272" t="inlineStr">
        <is>
          <t>F278772</t>
        </is>
      </c>
      <c r="C3272" t="inlineStr">
        <is>
          <t>C10996</t>
        </is>
      </c>
      <c r="D3272" t="inlineStr">
        <is>
          <t>SKU-10035</t>
        </is>
      </c>
      <c r="E3272" t="inlineStr"/>
      <c r="F3272" s="5" t="n">
        <v>36.65</v>
      </c>
      <c r="G3272">
        <f>IF(LEFT(B3272,1)="C","Credit","Factuur")</f>
        <v/>
      </c>
      <c r="H3272">
        <f>IF(AND(B3272=B3271,D3272=D3271,A3272=A3271,F3272=F3271),1,0)</f>
        <v/>
      </c>
      <c r="I3272">
        <f>IF(C3272="C99999",1,0)</f>
        <v/>
      </c>
      <c r="J3272" s="5">
        <f>IF(OR(H3272=1,I3272=1),0,IF(G3272="Credit",-F3272,F3272))</f>
        <v/>
      </c>
    </row>
    <row r="3273">
      <c r="A3273" t="inlineStr">
        <is>
          <t>2026-07-31</t>
        </is>
      </c>
      <c r="B3273" t="inlineStr">
        <is>
          <t>F278772</t>
        </is>
      </c>
      <c r="C3273" t="inlineStr">
        <is>
          <t>C10996</t>
        </is>
      </c>
      <c r="D3273" t="inlineStr">
        <is>
          <t>SKU-10040</t>
        </is>
      </c>
      <c r="E3273" t="inlineStr">
        <is>
          <t>AM02</t>
        </is>
      </c>
      <c r="F3273" s="5" t="n">
        <v>42.81</v>
      </c>
      <c r="G3273">
        <f>IF(LEFT(B3273,1)="C","Credit","Factuur")</f>
        <v/>
      </c>
      <c r="H3273">
        <f>IF(AND(B3273=B3272,D3273=D3272,A3273=A3272,F3273=F3272),1,0)</f>
        <v/>
      </c>
      <c r="I3273">
        <f>IF(C3273="C99999",1,0)</f>
        <v/>
      </c>
      <c r="J3273" s="5">
        <f>IF(OR(H3273=1,I3273=1),0,IF(G3273="Credit",-F3273,F3273))</f>
        <v/>
      </c>
    </row>
    <row r="3274">
      <c r="A3274" t="inlineStr">
        <is>
          <t>2026-07-31</t>
        </is>
      </c>
      <c r="B3274" t="inlineStr">
        <is>
          <t>F278772</t>
        </is>
      </c>
      <c r="C3274" t="inlineStr">
        <is>
          <t>C10996</t>
        </is>
      </c>
      <c r="D3274" t="inlineStr">
        <is>
          <t>SKU-10101</t>
        </is>
      </c>
      <c r="E3274" t="inlineStr">
        <is>
          <t>AM02</t>
        </is>
      </c>
      <c r="F3274" s="5" t="n">
        <v>56.41</v>
      </c>
      <c r="G3274">
        <f>IF(LEFT(B3274,1)="C","Credit","Factuur")</f>
        <v/>
      </c>
      <c r="H3274">
        <f>IF(AND(B3274=B3273,D3274=D3273,A3274=A3273,F3274=F3273),1,0)</f>
        <v/>
      </c>
      <c r="I3274">
        <f>IF(C3274="C99999",1,0)</f>
        <v/>
      </c>
      <c r="J3274" s="5">
        <f>IF(OR(H3274=1,I3274=1),0,IF(G3274="Credit",-F3274,F3274))</f>
        <v/>
      </c>
    </row>
    <row r="3275">
      <c r="A3275" t="inlineStr">
        <is>
          <t>2026-07-31</t>
        </is>
      </c>
      <c r="B3275" t="inlineStr">
        <is>
          <t>F278772</t>
        </is>
      </c>
      <c r="C3275" t="inlineStr">
        <is>
          <t>C10996</t>
        </is>
      </c>
      <c r="D3275" t="inlineStr">
        <is>
          <t>SKU-10286</t>
        </is>
      </c>
      <c r="E3275" t="inlineStr">
        <is>
          <t>AM02</t>
        </is>
      </c>
      <c r="F3275" s="5" t="n">
        <v>54.75</v>
      </c>
      <c r="G3275">
        <f>IF(LEFT(B3275,1)="C","Credit","Factuur")</f>
        <v/>
      </c>
      <c r="H3275">
        <f>IF(AND(B3275=B3274,D3275=D3274,A3275=A3274,F3275=F3274),1,0)</f>
        <v/>
      </c>
      <c r="I3275">
        <f>IF(C3275="C99999",1,0)</f>
        <v/>
      </c>
      <c r="J3275" s="5">
        <f>IF(OR(H3275=1,I3275=1),0,IF(G3275="Credit",-F3275,F3275))</f>
        <v/>
      </c>
    </row>
    <row r="3276">
      <c r="A3276" t="inlineStr">
        <is>
          <t>2026-07-31</t>
        </is>
      </c>
      <c r="B3276" t="inlineStr">
        <is>
          <t>F278772</t>
        </is>
      </c>
      <c r="C3276" t="inlineStr">
        <is>
          <t>C10996</t>
        </is>
      </c>
      <c r="D3276" t="inlineStr">
        <is>
          <t>SKU-10328</t>
        </is>
      </c>
      <c r="E3276" t="inlineStr">
        <is>
          <t>AM02</t>
        </is>
      </c>
      <c r="F3276" s="5" t="n">
        <v>31.24</v>
      </c>
      <c r="G3276">
        <f>IF(LEFT(B3276,1)="C","Credit","Factuur")</f>
        <v/>
      </c>
      <c r="H3276">
        <f>IF(AND(B3276=B3275,D3276=D3275,A3276=A3275,F3276=F3275),1,0)</f>
        <v/>
      </c>
      <c r="I3276">
        <f>IF(C3276="C99999",1,0)</f>
        <v/>
      </c>
      <c r="J3276" s="5">
        <f>IF(OR(H3276=1,I3276=1),0,IF(G3276="Credit",-F3276,F3276))</f>
        <v/>
      </c>
    </row>
    <row r="3277">
      <c r="A3277" t="inlineStr">
        <is>
          <t>2026-07-31</t>
        </is>
      </c>
      <c r="B3277" t="inlineStr">
        <is>
          <t>F278805</t>
        </is>
      </c>
      <c r="C3277" t="inlineStr">
        <is>
          <t>C10997</t>
        </is>
      </c>
      <c r="D3277" t="inlineStr">
        <is>
          <t>SKU-10022</t>
        </is>
      </c>
      <c r="E3277" t="inlineStr">
        <is>
          <t>AM07</t>
        </is>
      </c>
      <c r="F3277" s="5" t="n">
        <v>307.2</v>
      </c>
      <c r="G3277">
        <f>IF(LEFT(B3277,1)="C","Credit","Factuur")</f>
        <v/>
      </c>
      <c r="H3277">
        <f>IF(AND(B3277=B3276,D3277=D3276,A3277=A3276,F3277=F3276),1,0)</f>
        <v/>
      </c>
      <c r="I3277">
        <f>IF(C3277="C99999",1,0)</f>
        <v/>
      </c>
      <c r="J3277" s="5">
        <f>IF(OR(H3277=1,I3277=1),0,IF(G3277="Credit",-F3277,F3277))</f>
        <v/>
      </c>
    </row>
    <row r="3278">
      <c r="A3278" t="inlineStr">
        <is>
          <t>2026-07-31</t>
        </is>
      </c>
      <c r="B3278" t="inlineStr">
        <is>
          <t>F278805</t>
        </is>
      </c>
      <c r="C3278" t="inlineStr">
        <is>
          <t>C10997</t>
        </is>
      </c>
      <c r="D3278" t="inlineStr">
        <is>
          <t>SKU-10120</t>
        </is>
      </c>
      <c r="E3278" t="inlineStr">
        <is>
          <t>AM07</t>
        </is>
      </c>
      <c r="F3278" s="5" t="n">
        <v>312.18</v>
      </c>
      <c r="G3278">
        <f>IF(LEFT(B3278,1)="C","Credit","Factuur")</f>
        <v/>
      </c>
      <c r="H3278">
        <f>IF(AND(B3278=B3277,D3278=D3277,A3278=A3277,F3278=F3277),1,0)</f>
        <v/>
      </c>
      <c r="I3278">
        <f>IF(C3278="C99999",1,0)</f>
        <v/>
      </c>
      <c r="J3278" s="5">
        <f>IF(OR(H3278=1,I3278=1),0,IF(G3278="Credit",-F3278,F3278))</f>
        <v/>
      </c>
    </row>
    <row r="3279">
      <c r="A3279" t="inlineStr">
        <is>
          <t>2026-07-31</t>
        </is>
      </c>
      <c r="B3279" t="inlineStr">
        <is>
          <t>F278805</t>
        </is>
      </c>
      <c r="C3279" t="inlineStr">
        <is>
          <t>C10997</t>
        </is>
      </c>
      <c r="D3279" t="inlineStr">
        <is>
          <t>SKU-10190</t>
        </is>
      </c>
      <c r="E3279" t="inlineStr">
        <is>
          <t>AM07</t>
        </is>
      </c>
      <c r="F3279" s="5" t="n">
        <v>306.74</v>
      </c>
      <c r="G3279">
        <f>IF(LEFT(B3279,1)="C","Credit","Factuur")</f>
        <v/>
      </c>
      <c r="H3279">
        <f>IF(AND(B3279=B3278,D3279=D3278,A3279=A3278,F3279=F3278),1,0)</f>
        <v/>
      </c>
      <c r="I3279">
        <f>IF(C3279="C99999",1,0)</f>
        <v/>
      </c>
      <c r="J3279" s="5">
        <f>IF(OR(H3279=1,I3279=1),0,IF(G3279="Credit",-F3279,F3279))</f>
        <v/>
      </c>
    </row>
    <row r="3280">
      <c r="A3280" t="inlineStr">
        <is>
          <t>2026-07-31</t>
        </is>
      </c>
      <c r="B3280" t="inlineStr">
        <is>
          <t>F278805</t>
        </is>
      </c>
      <c r="C3280" t="inlineStr">
        <is>
          <t>C10997</t>
        </is>
      </c>
      <c r="D3280" t="inlineStr">
        <is>
          <t>SKU-10343</t>
        </is>
      </c>
      <c r="E3280" t="inlineStr">
        <is>
          <t>AM07</t>
        </is>
      </c>
      <c r="F3280" s="5" t="n">
        <v>302.08</v>
      </c>
      <c r="G3280">
        <f>IF(LEFT(B3280,1)="C","Credit","Factuur")</f>
        <v/>
      </c>
      <c r="H3280">
        <f>IF(AND(B3280=B3279,D3280=D3279,A3280=A3279,F3280=F3279),1,0)</f>
        <v/>
      </c>
      <c r="I3280">
        <f>IF(C3280="C99999",1,0)</f>
        <v/>
      </c>
      <c r="J3280" s="5">
        <f>IF(OR(H3280=1,I3280=1),0,IF(G3280="Credit",-F3280,F3280))</f>
        <v/>
      </c>
    </row>
    <row r="3281">
      <c r="A3281" t="inlineStr">
        <is>
          <t>2026-07-31</t>
        </is>
      </c>
      <c r="B3281" t="inlineStr">
        <is>
          <t>F278874</t>
        </is>
      </c>
      <c r="C3281" t="inlineStr">
        <is>
          <t>C10999</t>
        </is>
      </c>
      <c r="D3281" t="inlineStr">
        <is>
          <t>SKU-10218</t>
        </is>
      </c>
      <c r="E3281" t="inlineStr">
        <is>
          <t>AM03</t>
        </is>
      </c>
      <c r="F3281" s="5" t="n">
        <v>381.62</v>
      </c>
      <c r="G3281">
        <f>IF(LEFT(B3281,1)="C","Credit","Factuur")</f>
        <v/>
      </c>
      <c r="H3281">
        <f>IF(AND(B3281=B3280,D3281=D3280,A3281=A3280,F3281=F3280),1,0)</f>
        <v/>
      </c>
      <c r="I3281">
        <f>IF(C3281="C99999",1,0)</f>
        <v/>
      </c>
      <c r="J3281" s="5">
        <f>IF(OR(H3281=1,I3281=1),0,IF(G3281="Credit",-F3281,F3281))</f>
        <v/>
      </c>
    </row>
    <row r="3282">
      <c r="A3282" t="inlineStr">
        <is>
          <t>2026-07-31</t>
        </is>
      </c>
      <c r="B3282" t="inlineStr">
        <is>
          <t>F278874</t>
        </is>
      </c>
      <c r="C3282" t="inlineStr">
        <is>
          <t>C10999</t>
        </is>
      </c>
      <c r="D3282" t="inlineStr">
        <is>
          <t>SKU-10330</t>
        </is>
      </c>
      <c r="E3282" t="inlineStr">
        <is>
          <t>AM03</t>
        </is>
      </c>
      <c r="F3282" s="5" t="n">
        <v>396.06</v>
      </c>
      <c r="G3282">
        <f>IF(LEFT(B3282,1)="C","Credit","Factuur")</f>
        <v/>
      </c>
      <c r="H3282">
        <f>IF(AND(B3282=B3281,D3282=D3281,A3282=A3281,F3282=F3281),1,0)</f>
        <v/>
      </c>
      <c r="I3282">
        <f>IF(C3282="C99999",1,0)</f>
        <v/>
      </c>
      <c r="J3282" s="5">
        <f>IF(OR(H3282=1,I3282=1),0,IF(G3282="Credit",-F3282,F3282))</f>
        <v/>
      </c>
    </row>
    <row r="3283">
      <c r="A3283" t="inlineStr">
        <is>
          <t>2026-07-31</t>
        </is>
      </c>
      <c r="B3283" t="inlineStr">
        <is>
          <t>F279331</t>
        </is>
      </c>
      <c r="C3283" t="inlineStr">
        <is>
          <t>C11026</t>
        </is>
      </c>
      <c r="D3283" t="inlineStr">
        <is>
          <t>SKU-10069</t>
        </is>
      </c>
      <c r="E3283" t="inlineStr">
        <is>
          <t>AM11</t>
        </is>
      </c>
      <c r="F3283" s="5" t="n">
        <v>226.43</v>
      </c>
      <c r="G3283">
        <f>IF(LEFT(B3283,1)="C","Credit","Factuur")</f>
        <v/>
      </c>
      <c r="H3283">
        <f>IF(AND(B3283=B3282,D3283=D3282,A3283=A3282,F3283=F3282),1,0)</f>
        <v/>
      </c>
      <c r="I3283">
        <f>IF(C3283="C99999",1,0)</f>
        <v/>
      </c>
      <c r="J3283" s="5">
        <f>IF(OR(H3283=1,I3283=1),0,IF(G3283="Credit",-F3283,F3283))</f>
        <v/>
      </c>
    </row>
    <row r="3284">
      <c r="A3284" t="inlineStr">
        <is>
          <t>2026-07-31</t>
        </is>
      </c>
      <c r="B3284" t="inlineStr">
        <is>
          <t>F279331</t>
        </is>
      </c>
      <c r="C3284" t="inlineStr">
        <is>
          <t>C11026</t>
        </is>
      </c>
      <c r="D3284" t="inlineStr">
        <is>
          <t>SKU-10309</t>
        </is>
      </c>
      <c r="E3284" t="inlineStr">
        <is>
          <t>AM11</t>
        </is>
      </c>
      <c r="F3284" s="5" t="n">
        <v>231.05</v>
      </c>
      <c r="G3284">
        <f>IF(LEFT(B3284,1)="C","Credit","Factuur")</f>
        <v/>
      </c>
      <c r="H3284">
        <f>IF(AND(B3284=B3283,D3284=D3283,A3284=A3283,F3284=F3283),1,0)</f>
        <v/>
      </c>
      <c r="I3284">
        <f>IF(C3284="C99999",1,0)</f>
        <v/>
      </c>
      <c r="J3284" s="5">
        <f>IF(OR(H3284=1,I3284=1),0,IF(G3284="Credit",-F3284,F3284))</f>
        <v/>
      </c>
    </row>
    <row r="3285">
      <c r="A3285" t="inlineStr">
        <is>
          <t>2026-07-31</t>
        </is>
      </c>
      <c r="B3285" t="inlineStr">
        <is>
          <t>F279389</t>
        </is>
      </c>
      <c r="C3285" t="inlineStr">
        <is>
          <t>C11028</t>
        </is>
      </c>
      <c r="D3285" t="inlineStr">
        <is>
          <t>SKU-10038</t>
        </is>
      </c>
      <c r="E3285" t="inlineStr">
        <is>
          <t>AM06</t>
        </is>
      </c>
      <c r="F3285" s="5" t="n">
        <v>298.57</v>
      </c>
      <c r="G3285">
        <f>IF(LEFT(B3285,1)="C","Credit","Factuur")</f>
        <v/>
      </c>
      <c r="H3285">
        <f>IF(AND(B3285=B3284,D3285=D3284,A3285=A3284,F3285=F3284),1,0)</f>
        <v/>
      </c>
      <c r="I3285">
        <f>IF(C3285="C99999",1,0)</f>
        <v/>
      </c>
      <c r="J3285" s="5">
        <f>IF(OR(H3285=1,I3285=1),0,IF(G3285="Credit",-F3285,F3285))</f>
        <v/>
      </c>
    </row>
    <row r="3286">
      <c r="A3286" t="inlineStr">
        <is>
          <t>2026-07-31</t>
        </is>
      </c>
      <c r="B3286" t="inlineStr">
        <is>
          <t>F279389</t>
        </is>
      </c>
      <c r="C3286" t="inlineStr">
        <is>
          <t>C11028</t>
        </is>
      </c>
      <c r="D3286" t="inlineStr">
        <is>
          <t>SKU-10065</t>
        </is>
      </c>
      <c r="E3286" t="inlineStr">
        <is>
          <t>AM06</t>
        </is>
      </c>
      <c r="F3286" s="5" t="n">
        <v>302.44</v>
      </c>
      <c r="G3286">
        <f>IF(LEFT(B3286,1)="C","Credit","Factuur")</f>
        <v/>
      </c>
      <c r="H3286">
        <f>IF(AND(B3286=B3285,D3286=D3285,A3286=A3285,F3286=F3285),1,0)</f>
        <v/>
      </c>
      <c r="I3286">
        <f>IF(C3286="C99999",1,0)</f>
        <v/>
      </c>
      <c r="J3286" s="5">
        <f>IF(OR(H3286=1,I3286=1),0,IF(G3286="Credit",-F3286,F3286))</f>
        <v/>
      </c>
    </row>
    <row r="3287">
      <c r="A3287" t="inlineStr">
        <is>
          <t>2026-07-31</t>
        </is>
      </c>
      <c r="B3287" t="inlineStr">
        <is>
          <t>F279389</t>
        </is>
      </c>
      <c r="C3287" t="inlineStr">
        <is>
          <t>C11028</t>
        </is>
      </c>
      <c r="D3287" t="inlineStr">
        <is>
          <t>SKU-10277</t>
        </is>
      </c>
      <c r="E3287" t="inlineStr">
        <is>
          <t>AM06</t>
        </is>
      </c>
      <c r="F3287" s="5" t="n">
        <v>319.95</v>
      </c>
      <c r="G3287">
        <f>IF(LEFT(B3287,1)="C","Credit","Factuur")</f>
        <v/>
      </c>
      <c r="H3287">
        <f>IF(AND(B3287=B3286,D3287=D3286,A3287=A3286,F3287=F3286),1,0)</f>
        <v/>
      </c>
      <c r="I3287">
        <f>IF(C3287="C99999",1,0)</f>
        <v/>
      </c>
      <c r="J3287" s="5">
        <f>IF(OR(H3287=1,I3287=1),0,IF(G3287="Credit",-F3287,F3287))</f>
        <v/>
      </c>
    </row>
    <row r="3288">
      <c r="A3288" t="inlineStr">
        <is>
          <t>2026-07-31</t>
        </is>
      </c>
      <c r="B3288" t="inlineStr">
        <is>
          <t>F279389</t>
        </is>
      </c>
      <c r="C3288" t="inlineStr">
        <is>
          <t>C11028</t>
        </is>
      </c>
      <c r="D3288" t="inlineStr">
        <is>
          <t>SKU-10282</t>
        </is>
      </c>
      <c r="E3288" t="inlineStr">
        <is>
          <t>AM06</t>
        </is>
      </c>
      <c r="F3288" s="5" t="n">
        <v>325.5</v>
      </c>
      <c r="G3288">
        <f>IF(LEFT(B3288,1)="C","Credit","Factuur")</f>
        <v/>
      </c>
      <c r="H3288">
        <f>IF(AND(B3288=B3287,D3288=D3287,A3288=A3287,F3288=F3287),1,0)</f>
        <v/>
      </c>
      <c r="I3288">
        <f>IF(C3288="C99999",1,0)</f>
        <v/>
      </c>
      <c r="J3288" s="5">
        <f>IF(OR(H3288=1,I3288=1),0,IF(G3288="Credit",-F3288,F3288))</f>
        <v/>
      </c>
    </row>
    <row r="3289">
      <c r="A3289" t="inlineStr">
        <is>
          <t>2026-07-31</t>
        </is>
      </c>
      <c r="B3289" t="inlineStr">
        <is>
          <t>F279775</t>
        </is>
      </c>
      <c r="C3289" t="inlineStr">
        <is>
          <t>C11047</t>
        </is>
      </c>
      <c r="D3289" t="inlineStr">
        <is>
          <t>SKU-10135</t>
        </is>
      </c>
      <c r="E3289" t="inlineStr">
        <is>
          <t>AM02</t>
        </is>
      </c>
      <c r="F3289" s="5" t="n">
        <v>484.09</v>
      </c>
      <c r="G3289">
        <f>IF(LEFT(B3289,1)="C","Credit","Factuur")</f>
        <v/>
      </c>
      <c r="H3289">
        <f>IF(AND(B3289=B3288,D3289=D3288,A3289=A3288,F3289=F3288),1,0)</f>
        <v/>
      </c>
      <c r="I3289">
        <f>IF(C3289="C99999",1,0)</f>
        <v/>
      </c>
      <c r="J3289" s="5">
        <f>IF(OR(H3289=1,I3289=1),0,IF(G3289="Credit",-F3289,F3289))</f>
        <v/>
      </c>
    </row>
    <row r="3290">
      <c r="A3290" t="inlineStr">
        <is>
          <t>2026-07-31</t>
        </is>
      </c>
      <c r="B3290" t="inlineStr">
        <is>
          <t>F279775</t>
        </is>
      </c>
      <c r="C3290" t="inlineStr">
        <is>
          <t>C11047</t>
        </is>
      </c>
      <c r="D3290" t="inlineStr">
        <is>
          <t>SKU-10231</t>
        </is>
      </c>
      <c r="E3290" t="inlineStr">
        <is>
          <t>AM02</t>
        </is>
      </c>
      <c r="F3290" s="5" t="n">
        <v>576.6900000000001</v>
      </c>
      <c r="G3290">
        <f>IF(LEFT(B3290,1)="C","Credit","Factuur")</f>
        <v/>
      </c>
      <c r="H3290">
        <f>IF(AND(B3290=B3289,D3290=D3289,A3290=A3289,F3290=F3289),1,0)</f>
        <v/>
      </c>
      <c r="I3290">
        <f>IF(C3290="C99999",1,0)</f>
        <v/>
      </c>
      <c r="J3290" s="5">
        <f>IF(OR(H3290=1,I3290=1),0,IF(G3290="Credit",-F3290,F3290))</f>
        <v/>
      </c>
    </row>
    <row r="3291">
      <c r="A3291" t="inlineStr">
        <is>
          <t>2026-07-31</t>
        </is>
      </c>
      <c r="B3291" t="inlineStr">
        <is>
          <t>F279775</t>
        </is>
      </c>
      <c r="C3291" t="inlineStr">
        <is>
          <t>C11047</t>
        </is>
      </c>
      <c r="D3291" t="inlineStr">
        <is>
          <t>SKU-10281</t>
        </is>
      </c>
      <c r="E3291" t="inlineStr">
        <is>
          <t>AM02</t>
        </is>
      </c>
      <c r="F3291" s="5" t="n">
        <v>569.52</v>
      </c>
      <c r="G3291">
        <f>IF(LEFT(B3291,1)="C","Credit","Factuur")</f>
        <v/>
      </c>
      <c r="H3291">
        <f>IF(AND(B3291=B3290,D3291=D3290,A3291=A3290,F3291=F3290),1,0)</f>
        <v/>
      </c>
      <c r="I3291">
        <f>IF(C3291="C99999",1,0)</f>
        <v/>
      </c>
      <c r="J3291" s="5">
        <f>IF(OR(H3291=1,I3291=1),0,IF(G3291="Credit",-F3291,F3291))</f>
        <v/>
      </c>
    </row>
    <row r="3292">
      <c r="A3292" t="inlineStr">
        <is>
          <t>2026-07-31</t>
        </is>
      </c>
      <c r="B3292" t="inlineStr">
        <is>
          <t>F280619</t>
        </is>
      </c>
      <c r="C3292" t="inlineStr">
        <is>
          <t>C11088</t>
        </is>
      </c>
      <c r="D3292" t="inlineStr">
        <is>
          <t>SKU-10001</t>
        </is>
      </c>
      <c r="E3292" t="inlineStr">
        <is>
          <t>AM11</t>
        </is>
      </c>
      <c r="F3292" s="5" t="n">
        <v>309.86</v>
      </c>
      <c r="G3292">
        <f>IF(LEFT(B3292,1)="C","Credit","Factuur")</f>
        <v/>
      </c>
      <c r="H3292">
        <f>IF(AND(B3292=B3291,D3292=D3291,A3292=A3291,F3292=F3291),1,0)</f>
        <v/>
      </c>
      <c r="I3292">
        <f>IF(C3292="C99999",1,0)</f>
        <v/>
      </c>
      <c r="J3292" s="5">
        <f>IF(OR(H3292=1,I3292=1),0,IF(G3292="Credit",-F3292,F3292))</f>
        <v/>
      </c>
    </row>
    <row r="3293">
      <c r="A3293" t="inlineStr">
        <is>
          <t>2026-07-31</t>
        </is>
      </c>
      <c r="B3293" t="inlineStr">
        <is>
          <t>F280619</t>
        </is>
      </c>
      <c r="C3293" t="inlineStr">
        <is>
          <t>C11088</t>
        </is>
      </c>
      <c r="D3293" t="inlineStr">
        <is>
          <t>SKU-10081</t>
        </is>
      </c>
      <c r="E3293" t="inlineStr">
        <is>
          <t>AM11</t>
        </is>
      </c>
      <c r="F3293" s="5" t="n">
        <v>317.85</v>
      </c>
      <c r="G3293">
        <f>IF(LEFT(B3293,1)="C","Credit","Factuur")</f>
        <v/>
      </c>
      <c r="H3293">
        <f>IF(AND(B3293=B3292,D3293=D3292,A3293=A3292,F3293=F3292),1,0)</f>
        <v/>
      </c>
      <c r="I3293">
        <f>IF(C3293="C99999",1,0)</f>
        <v/>
      </c>
      <c r="J3293" s="5">
        <f>IF(OR(H3293=1,I3293=1),0,IF(G3293="Credit",-F3293,F3293))</f>
        <v/>
      </c>
    </row>
    <row r="3294">
      <c r="A3294" t="inlineStr">
        <is>
          <t>2026-07-31</t>
        </is>
      </c>
      <c r="B3294" t="inlineStr">
        <is>
          <t>F280619</t>
        </is>
      </c>
      <c r="C3294" t="inlineStr">
        <is>
          <t>C11088</t>
        </is>
      </c>
      <c r="D3294" t="inlineStr">
        <is>
          <t>SKU-10211</t>
        </is>
      </c>
      <c r="E3294" t="inlineStr">
        <is>
          <t>AM11</t>
        </is>
      </c>
      <c r="F3294" s="5" t="n">
        <v>326.89</v>
      </c>
      <c r="G3294">
        <f>IF(LEFT(B3294,1)="C","Credit","Factuur")</f>
        <v/>
      </c>
      <c r="H3294">
        <f>IF(AND(B3294=B3293,D3294=D3293,A3294=A3293,F3294=F3293),1,0)</f>
        <v/>
      </c>
      <c r="I3294">
        <f>IF(C3294="C99999",1,0)</f>
        <v/>
      </c>
      <c r="J3294" s="5">
        <f>IF(OR(H3294=1,I3294=1),0,IF(G3294="Credit",-F3294,F3294))</f>
        <v/>
      </c>
    </row>
    <row r="3295">
      <c r="A3295" t="inlineStr">
        <is>
          <t>2026-07-31</t>
        </is>
      </c>
      <c r="B3295" t="inlineStr">
        <is>
          <t>F280619</t>
        </is>
      </c>
      <c r="C3295" t="inlineStr">
        <is>
          <t>C11088</t>
        </is>
      </c>
      <c r="D3295" t="inlineStr">
        <is>
          <t>SKU-10236</t>
        </is>
      </c>
      <c r="E3295" t="inlineStr">
        <is>
          <t>AM11</t>
        </is>
      </c>
      <c r="F3295" s="5" t="n">
        <v>316.01</v>
      </c>
      <c r="G3295">
        <f>IF(LEFT(B3295,1)="C","Credit","Factuur")</f>
        <v/>
      </c>
      <c r="H3295">
        <f>IF(AND(B3295=B3294,D3295=D3294,A3295=A3294,F3295=F3294),1,0)</f>
        <v/>
      </c>
      <c r="I3295">
        <f>IF(C3295="C99999",1,0)</f>
        <v/>
      </c>
      <c r="J3295" s="5">
        <f>IF(OR(H3295=1,I3295=1),0,IF(G3295="Credit",-F3295,F3295))</f>
        <v/>
      </c>
    </row>
    <row r="3296">
      <c r="A3296" t="inlineStr">
        <is>
          <t>2026-07-31</t>
        </is>
      </c>
      <c r="B3296" t="inlineStr">
        <is>
          <t>F280619</t>
        </is>
      </c>
      <c r="C3296" t="inlineStr">
        <is>
          <t>C11088</t>
        </is>
      </c>
      <c r="D3296" t="inlineStr">
        <is>
          <t>SKU-10241</t>
        </is>
      </c>
      <c r="E3296" t="inlineStr">
        <is>
          <t>AM11</t>
        </is>
      </c>
      <c r="F3296" s="5" t="n">
        <v>352.62</v>
      </c>
      <c r="G3296">
        <f>IF(LEFT(B3296,1)="C","Credit","Factuur")</f>
        <v/>
      </c>
      <c r="H3296">
        <f>IF(AND(B3296=B3295,D3296=D3295,A3296=A3295,F3296=F3295),1,0)</f>
        <v/>
      </c>
      <c r="I3296">
        <f>IF(C3296="C99999",1,0)</f>
        <v/>
      </c>
      <c r="J3296" s="5">
        <f>IF(OR(H3296=1,I3296=1),0,IF(G3296="Credit",-F3296,F3296))</f>
        <v/>
      </c>
    </row>
    <row r="3297">
      <c r="A3297" t="inlineStr">
        <is>
          <t>2026-07-31</t>
        </is>
      </c>
      <c r="B3297" t="inlineStr">
        <is>
          <t>F280619</t>
        </is>
      </c>
      <c r="C3297" t="inlineStr">
        <is>
          <t>C11088</t>
        </is>
      </c>
      <c r="D3297" t="inlineStr">
        <is>
          <t>SKU-10321</t>
        </is>
      </c>
      <c r="E3297" t="inlineStr">
        <is>
          <t>AM11</t>
        </is>
      </c>
      <c r="F3297" s="5" t="n">
        <v>307.5</v>
      </c>
      <c r="G3297">
        <f>IF(LEFT(B3297,1)="C","Credit","Factuur")</f>
        <v/>
      </c>
      <c r="H3297">
        <f>IF(AND(B3297=B3296,D3297=D3296,A3297=A3296,F3297=F3296),1,0)</f>
        <v/>
      </c>
      <c r="I3297">
        <f>IF(C3297="C99999",1,0)</f>
        <v/>
      </c>
      <c r="J3297" s="5">
        <f>IF(OR(H3297=1,I3297=1),0,IF(G3297="Credit",-F3297,F3297))</f>
        <v/>
      </c>
    </row>
    <row r="3298">
      <c r="A3298" t="inlineStr">
        <is>
          <t>2026-07-31</t>
        </is>
      </c>
      <c r="B3298" t="inlineStr">
        <is>
          <t>F280672</t>
        </is>
      </c>
      <c r="C3298" t="inlineStr">
        <is>
          <t>C11091</t>
        </is>
      </c>
      <c r="D3298" t="inlineStr">
        <is>
          <t>SKU-10282</t>
        </is>
      </c>
      <c r="E3298" t="inlineStr">
        <is>
          <t>AM01</t>
        </is>
      </c>
      <c r="F3298" s="5" t="n">
        <v>1816.29</v>
      </c>
      <c r="G3298">
        <f>IF(LEFT(B3298,1)="C","Credit","Factuur")</f>
        <v/>
      </c>
      <c r="H3298">
        <f>IF(AND(B3298=B3297,D3298=D3297,A3298=A3297,F3298=F3297),1,0)</f>
        <v/>
      </c>
      <c r="I3298">
        <f>IF(C3298="C99999",1,0)</f>
        <v/>
      </c>
      <c r="J3298" s="5">
        <f>IF(OR(H3298=1,I3298=1),0,IF(G3298="Credit",-F3298,F3298))</f>
        <v/>
      </c>
    </row>
    <row r="3299">
      <c r="A3299" t="inlineStr">
        <is>
          <t>2026-07-31</t>
        </is>
      </c>
      <c r="B3299" t="inlineStr">
        <is>
          <t>F280785</t>
        </is>
      </c>
      <c r="C3299" t="inlineStr">
        <is>
          <t>C11096</t>
        </is>
      </c>
      <c r="D3299" t="inlineStr">
        <is>
          <t>SKU-10048</t>
        </is>
      </c>
      <c r="E3299" t="inlineStr">
        <is>
          <t>AM11</t>
        </is>
      </c>
      <c r="F3299" s="5" t="n">
        <v>736.54</v>
      </c>
      <c r="G3299">
        <f>IF(LEFT(B3299,1)="C","Credit","Factuur")</f>
        <v/>
      </c>
      <c r="H3299">
        <f>IF(AND(B3299=B3298,D3299=D3298,A3299=A3298,F3299=F3298),1,0)</f>
        <v/>
      </c>
      <c r="I3299">
        <f>IF(C3299="C99999",1,0)</f>
        <v/>
      </c>
      <c r="J3299" s="5">
        <f>IF(OR(H3299=1,I3299=1),0,IF(G3299="Credit",-F3299,F3299))</f>
        <v/>
      </c>
    </row>
    <row r="3300">
      <c r="A3300" t="inlineStr">
        <is>
          <t>2026-07-31</t>
        </is>
      </c>
      <c r="B3300" t="inlineStr">
        <is>
          <t>F280785</t>
        </is>
      </c>
      <c r="C3300" t="inlineStr">
        <is>
          <t>C11096</t>
        </is>
      </c>
      <c r="D3300" t="inlineStr">
        <is>
          <t>SKU-10355</t>
        </is>
      </c>
      <c r="E3300" t="inlineStr">
        <is>
          <t>AM11</t>
        </is>
      </c>
      <c r="F3300" s="5" t="n">
        <v>468.62</v>
      </c>
      <c r="G3300">
        <f>IF(LEFT(B3300,1)="C","Credit","Factuur")</f>
        <v/>
      </c>
      <c r="H3300">
        <f>IF(AND(B3300=B3299,D3300=D3299,A3300=A3299,F3300=F3299),1,0)</f>
        <v/>
      </c>
      <c r="I3300">
        <f>IF(C3300="C99999",1,0)</f>
        <v/>
      </c>
      <c r="J3300" s="5">
        <f>IF(OR(H3300=1,I3300=1),0,IF(G3300="Credit",-F3300,F3300))</f>
        <v/>
      </c>
    </row>
    <row r="3301">
      <c r="A3301" t="inlineStr">
        <is>
          <t>2026-07-31</t>
        </is>
      </c>
      <c r="B3301" t="inlineStr">
        <is>
          <t>F280796</t>
        </is>
      </c>
      <c r="C3301" t="inlineStr">
        <is>
          <t>C11096</t>
        </is>
      </c>
      <c r="D3301" t="inlineStr">
        <is>
          <t>SKU-10195</t>
        </is>
      </c>
      <c r="E3301" t="inlineStr">
        <is>
          <t>AM11</t>
        </is>
      </c>
      <c r="F3301" s="5" t="n">
        <v>952.6799999999999</v>
      </c>
      <c r="G3301">
        <f>IF(LEFT(B3301,1)="C","Credit","Factuur")</f>
        <v/>
      </c>
      <c r="H3301">
        <f>IF(AND(B3301=B3300,D3301=D3300,A3301=A3300,F3301=F3300),1,0)</f>
        <v/>
      </c>
      <c r="I3301">
        <f>IF(C3301="C99999",1,0)</f>
        <v/>
      </c>
      <c r="J3301" s="5">
        <f>IF(OR(H3301=1,I3301=1),0,IF(G3301="Credit",-F3301,F3301))</f>
        <v/>
      </c>
    </row>
    <row r="3302">
      <c r="A3302" t="inlineStr">
        <is>
          <t>2026-07-31</t>
        </is>
      </c>
      <c r="B3302" t="inlineStr">
        <is>
          <t>F280884</t>
        </is>
      </c>
      <c r="C3302" t="inlineStr">
        <is>
          <t>C11100</t>
        </is>
      </c>
      <c r="D3302" t="inlineStr">
        <is>
          <t>SKU-10009</t>
        </is>
      </c>
      <c r="E3302" t="inlineStr">
        <is>
          <t>AM12</t>
        </is>
      </c>
      <c r="F3302" s="5" t="n">
        <v>1638.24</v>
      </c>
      <c r="G3302">
        <f>IF(LEFT(B3302,1)="C","Credit","Factuur")</f>
        <v/>
      </c>
      <c r="H3302">
        <f>IF(AND(B3302=B3301,D3302=D3301,A3302=A3301,F3302=F3301),1,0)</f>
        <v/>
      </c>
      <c r="I3302">
        <f>IF(C3302="C99999",1,0)</f>
        <v/>
      </c>
      <c r="J3302" s="5">
        <f>IF(OR(H3302=1,I3302=1),0,IF(G3302="Credit",-F3302,F3302))</f>
        <v/>
      </c>
    </row>
    <row r="3303">
      <c r="A3303" t="inlineStr">
        <is>
          <t>2026-07-31</t>
        </is>
      </c>
      <c r="B3303" t="inlineStr">
        <is>
          <t>F280884</t>
        </is>
      </c>
      <c r="C3303" t="inlineStr">
        <is>
          <t>C11100</t>
        </is>
      </c>
      <c r="D3303" t="inlineStr">
        <is>
          <t>SKU-10313</t>
        </is>
      </c>
      <c r="E3303" t="inlineStr">
        <is>
          <t>AM12</t>
        </is>
      </c>
      <c r="F3303" s="5" t="n">
        <v>1626.3</v>
      </c>
      <c r="G3303">
        <f>IF(LEFT(B3303,1)="C","Credit","Factuur")</f>
        <v/>
      </c>
      <c r="H3303">
        <f>IF(AND(B3303=B3302,D3303=D3302,A3303=A3302,F3303=F3302),1,0)</f>
        <v/>
      </c>
      <c r="I3303">
        <f>IF(C3303="C99999",1,0)</f>
        <v/>
      </c>
      <c r="J3303" s="5">
        <f>IF(OR(H3303=1,I3303=1),0,IF(G3303="Credit",-F3303,F3303))</f>
        <v/>
      </c>
    </row>
    <row r="3304">
      <c r="A3304" t="inlineStr">
        <is>
          <t>2026-07-31</t>
        </is>
      </c>
      <c r="B3304" t="inlineStr">
        <is>
          <t>F281120</t>
        </is>
      </c>
      <c r="C3304" t="inlineStr">
        <is>
          <t>C11112</t>
        </is>
      </c>
      <c r="D3304" t="inlineStr">
        <is>
          <t>SKU-10298</t>
        </is>
      </c>
      <c r="E3304" t="inlineStr">
        <is>
          <t>AM01</t>
        </is>
      </c>
      <c r="F3304" s="5" t="n">
        <v>1393.05</v>
      </c>
      <c r="G3304">
        <f>IF(LEFT(B3304,1)="C","Credit","Factuur")</f>
        <v/>
      </c>
      <c r="H3304">
        <f>IF(AND(B3304=B3303,D3304=D3303,A3304=A3303,F3304=F3303),1,0)</f>
        <v/>
      </c>
      <c r="I3304">
        <f>IF(C3304="C99999",1,0)</f>
        <v/>
      </c>
      <c r="J3304" s="5">
        <f>IF(OR(H3304=1,I3304=1),0,IF(G3304="Credit",-F3304,F3304))</f>
        <v/>
      </c>
    </row>
    <row r="3305">
      <c r="A3305" t="inlineStr">
        <is>
          <t>2026-07-31</t>
        </is>
      </c>
      <c r="B3305" t="inlineStr">
        <is>
          <t>F281120</t>
        </is>
      </c>
      <c r="C3305" t="inlineStr">
        <is>
          <t>C11112</t>
        </is>
      </c>
      <c r="D3305" t="inlineStr">
        <is>
          <t>SKU-10341</t>
        </is>
      </c>
      <c r="E3305" t="inlineStr">
        <is>
          <t>AM01</t>
        </is>
      </c>
      <c r="F3305" s="5" t="n">
        <v>1408.4</v>
      </c>
      <c r="G3305">
        <f>IF(LEFT(B3305,1)="C","Credit","Factuur")</f>
        <v/>
      </c>
      <c r="H3305">
        <f>IF(AND(B3305=B3304,D3305=D3304,A3305=A3304,F3305=F3304),1,0)</f>
        <v/>
      </c>
      <c r="I3305">
        <f>IF(C3305="C99999",1,0)</f>
        <v/>
      </c>
      <c r="J3305" s="5">
        <f>IF(OR(H3305=1,I3305=1),0,IF(G3305="Credit",-F3305,F3305))</f>
        <v/>
      </c>
    </row>
    <row r="3306">
      <c r="A3306" t="inlineStr">
        <is>
          <t>2026-07-31</t>
        </is>
      </c>
      <c r="B3306" t="inlineStr">
        <is>
          <t>F281442</t>
        </is>
      </c>
      <c r="C3306" t="inlineStr">
        <is>
          <t>C11131</t>
        </is>
      </c>
      <c r="D3306" t="inlineStr">
        <is>
          <t>SKU-10084</t>
        </is>
      </c>
      <c r="E3306" t="inlineStr">
        <is>
          <t>AM05</t>
        </is>
      </c>
      <c r="F3306" s="5" t="n">
        <v>132.47</v>
      </c>
      <c r="G3306">
        <f>IF(LEFT(B3306,1)="C","Credit","Factuur")</f>
        <v/>
      </c>
      <c r="H3306">
        <f>IF(AND(B3306=B3305,D3306=D3305,A3306=A3305,F3306=F3305),1,0)</f>
        <v/>
      </c>
      <c r="I3306">
        <f>IF(C3306="C99999",1,0)</f>
        <v/>
      </c>
      <c r="J3306" s="5">
        <f>IF(OR(H3306=1,I3306=1),0,IF(G3306="Credit",-F3306,F3306))</f>
        <v/>
      </c>
    </row>
    <row r="3307">
      <c r="A3307" t="inlineStr">
        <is>
          <t>2026-07-31</t>
        </is>
      </c>
      <c r="B3307" t="inlineStr">
        <is>
          <t>F281442</t>
        </is>
      </c>
      <c r="C3307" t="inlineStr">
        <is>
          <t>C11131</t>
        </is>
      </c>
      <c r="D3307" t="inlineStr">
        <is>
          <t>SKU-10119</t>
        </is>
      </c>
      <c r="E3307" t="inlineStr">
        <is>
          <t>AM05</t>
        </is>
      </c>
      <c r="F3307" s="5" t="n">
        <v>108.42</v>
      </c>
      <c r="G3307">
        <f>IF(LEFT(B3307,1)="C","Credit","Factuur")</f>
        <v/>
      </c>
      <c r="H3307">
        <f>IF(AND(B3307=B3306,D3307=D3306,A3307=A3306,F3307=F3306),1,0)</f>
        <v/>
      </c>
      <c r="I3307">
        <f>IF(C3307="C99999",1,0)</f>
        <v/>
      </c>
      <c r="J3307" s="5">
        <f>IF(OR(H3307=1,I3307=1),0,IF(G3307="Credit",-F3307,F3307))</f>
        <v/>
      </c>
    </row>
    <row r="3308">
      <c r="A3308" t="inlineStr">
        <is>
          <t>2026-07-31</t>
        </is>
      </c>
      <c r="B3308" t="inlineStr">
        <is>
          <t>F281442</t>
        </is>
      </c>
      <c r="C3308" t="inlineStr">
        <is>
          <t>C11131</t>
        </is>
      </c>
      <c r="D3308" t="inlineStr">
        <is>
          <t>SKU-10135</t>
        </is>
      </c>
      <c r="E3308" t="inlineStr">
        <is>
          <t>AM05</t>
        </is>
      </c>
      <c r="F3308" s="5" t="n">
        <v>162.72</v>
      </c>
      <c r="G3308">
        <f>IF(LEFT(B3308,1)="C","Credit","Factuur")</f>
        <v/>
      </c>
      <c r="H3308">
        <f>IF(AND(B3308=B3307,D3308=D3307,A3308=A3307,F3308=F3307),1,0)</f>
        <v/>
      </c>
      <c r="I3308">
        <f>IF(C3308="C99999",1,0)</f>
        <v/>
      </c>
      <c r="J3308" s="5">
        <f>IF(OR(H3308=1,I3308=1),0,IF(G3308="Credit",-F3308,F3308))</f>
        <v/>
      </c>
    </row>
    <row r="3309">
      <c r="A3309" t="inlineStr">
        <is>
          <t>2026-07-31</t>
        </is>
      </c>
      <c r="B3309" t="inlineStr">
        <is>
          <t>F281442</t>
        </is>
      </c>
      <c r="C3309" t="inlineStr">
        <is>
          <t>C11131</t>
        </is>
      </c>
      <c r="D3309" t="inlineStr">
        <is>
          <t>SKU-10338</t>
        </is>
      </c>
      <c r="E3309" t="inlineStr">
        <is>
          <t>AM05</t>
        </is>
      </c>
      <c r="F3309" s="5" t="n">
        <v>132.7</v>
      </c>
      <c r="G3309">
        <f>IF(LEFT(B3309,1)="C","Credit","Factuur")</f>
        <v/>
      </c>
      <c r="H3309">
        <f>IF(AND(B3309=B3308,D3309=D3308,A3309=A3308,F3309=F3308),1,0)</f>
        <v/>
      </c>
      <c r="I3309">
        <f>IF(C3309="C99999",1,0)</f>
        <v/>
      </c>
      <c r="J3309" s="5">
        <f>IF(OR(H3309=1,I3309=1),0,IF(G3309="Credit",-F3309,F3309))</f>
        <v/>
      </c>
    </row>
    <row r="3310">
      <c r="A3310" t="inlineStr">
        <is>
          <t>2026-07-31</t>
        </is>
      </c>
      <c r="B3310" t="inlineStr">
        <is>
          <t>F281684</t>
        </is>
      </c>
      <c r="C3310" t="inlineStr">
        <is>
          <t>C11144</t>
        </is>
      </c>
      <c r="D3310" t="inlineStr">
        <is>
          <t>SKU-10003</t>
        </is>
      </c>
      <c r="E3310" t="inlineStr"/>
      <c r="F3310" s="5" t="n">
        <v>247.95</v>
      </c>
      <c r="G3310">
        <f>IF(LEFT(B3310,1)="C","Credit","Factuur")</f>
        <v/>
      </c>
      <c r="H3310">
        <f>IF(AND(B3310=B3309,D3310=D3309,A3310=A3309,F3310=F3309),1,0)</f>
        <v/>
      </c>
      <c r="I3310">
        <f>IF(C3310="C99999",1,0)</f>
        <v/>
      </c>
      <c r="J3310" s="5">
        <f>IF(OR(H3310=1,I3310=1),0,IF(G3310="Credit",-F3310,F3310))</f>
        <v/>
      </c>
    </row>
    <row r="3311">
      <c r="A3311" t="inlineStr">
        <is>
          <t>2026-07-31</t>
        </is>
      </c>
      <c r="B3311" t="inlineStr">
        <is>
          <t>F281684</t>
        </is>
      </c>
      <c r="C3311" t="inlineStr">
        <is>
          <t>C11144</t>
        </is>
      </c>
      <c r="D3311" t="inlineStr">
        <is>
          <t>SKU-10031</t>
        </is>
      </c>
      <c r="E3311" t="inlineStr">
        <is>
          <t>AM02</t>
        </is>
      </c>
      <c r="F3311" s="5" t="n">
        <v>233.36</v>
      </c>
      <c r="G3311">
        <f>IF(LEFT(B3311,1)="C","Credit","Factuur")</f>
        <v/>
      </c>
      <c r="H3311">
        <f>IF(AND(B3311=B3310,D3311=D3310,A3311=A3310,F3311=F3310),1,0)</f>
        <v/>
      </c>
      <c r="I3311">
        <f>IF(C3311="C99999",1,0)</f>
        <v/>
      </c>
      <c r="J3311" s="5">
        <f>IF(OR(H3311=1,I3311=1),0,IF(G3311="Credit",-F3311,F3311))</f>
        <v/>
      </c>
    </row>
    <row r="3312">
      <c r="A3312" t="inlineStr">
        <is>
          <t>2026-07-31</t>
        </is>
      </c>
      <c r="B3312" t="inlineStr">
        <is>
          <t>F281684</t>
        </is>
      </c>
      <c r="C3312" t="inlineStr">
        <is>
          <t>C11144</t>
        </is>
      </c>
      <c r="D3312" t="inlineStr">
        <is>
          <t>SKU-10045</t>
        </is>
      </c>
      <c r="E3312" t="inlineStr">
        <is>
          <t>AM02</t>
        </is>
      </c>
      <c r="F3312" s="5" t="n">
        <v>221.79</v>
      </c>
      <c r="G3312">
        <f>IF(LEFT(B3312,1)="C","Credit","Factuur")</f>
        <v/>
      </c>
      <c r="H3312">
        <f>IF(AND(B3312=B3311,D3312=D3311,A3312=A3311,F3312=F3311),1,0)</f>
        <v/>
      </c>
      <c r="I3312">
        <f>IF(C3312="C99999",1,0)</f>
        <v/>
      </c>
      <c r="J3312" s="5">
        <f>IF(OR(H3312=1,I3312=1),0,IF(G3312="Credit",-F3312,F3312))</f>
        <v/>
      </c>
    </row>
    <row r="3313">
      <c r="A3313" t="inlineStr">
        <is>
          <t>2026-07-31</t>
        </is>
      </c>
      <c r="B3313" t="inlineStr">
        <is>
          <t>F281684</t>
        </is>
      </c>
      <c r="C3313" t="inlineStr">
        <is>
          <t>C11144</t>
        </is>
      </c>
      <c r="D3313" t="inlineStr">
        <is>
          <t>SKU-10072</t>
        </is>
      </c>
      <c r="E3313" t="inlineStr">
        <is>
          <t>AM02</t>
        </is>
      </c>
      <c r="F3313" s="5" t="n">
        <v>261.15</v>
      </c>
      <c r="G3313">
        <f>IF(LEFT(B3313,1)="C","Credit","Factuur")</f>
        <v/>
      </c>
      <c r="H3313">
        <f>IF(AND(B3313=B3312,D3313=D3312,A3313=A3312,F3313=F3312),1,0)</f>
        <v/>
      </c>
      <c r="I3313">
        <f>IF(C3313="C99999",1,0)</f>
        <v/>
      </c>
      <c r="J3313" s="5">
        <f>IF(OR(H3313=1,I3313=1),0,IF(G3313="Credit",-F3313,F3313))</f>
        <v/>
      </c>
    </row>
    <row r="3314">
      <c r="A3314" t="inlineStr">
        <is>
          <t>2026-07-31</t>
        </is>
      </c>
      <c r="B3314" t="inlineStr">
        <is>
          <t>F281684</t>
        </is>
      </c>
      <c r="C3314" t="inlineStr">
        <is>
          <t>C11144</t>
        </is>
      </c>
      <c r="D3314" t="inlineStr">
        <is>
          <t>SKU-10143</t>
        </is>
      </c>
      <c r="E3314" t="inlineStr">
        <is>
          <t>AM02</t>
        </is>
      </c>
      <c r="F3314" s="5" t="n">
        <v>207.14</v>
      </c>
      <c r="G3314">
        <f>IF(LEFT(B3314,1)="C","Credit","Factuur")</f>
        <v/>
      </c>
      <c r="H3314">
        <f>IF(AND(B3314=B3313,D3314=D3313,A3314=A3313,F3314=F3313),1,0)</f>
        <v/>
      </c>
      <c r="I3314">
        <f>IF(C3314="C99999",1,0)</f>
        <v/>
      </c>
      <c r="J3314" s="5">
        <f>IF(OR(H3314=1,I3314=1),0,IF(G3314="Credit",-F3314,F3314))</f>
        <v/>
      </c>
    </row>
    <row r="3315">
      <c r="A3315" t="inlineStr">
        <is>
          <t>2026-07-31</t>
        </is>
      </c>
      <c r="B3315" t="inlineStr">
        <is>
          <t>F281684</t>
        </is>
      </c>
      <c r="C3315" t="inlineStr">
        <is>
          <t>C11144</t>
        </is>
      </c>
      <c r="D3315" t="inlineStr">
        <is>
          <t>SKU-10147</t>
        </is>
      </c>
      <c r="E3315" t="inlineStr">
        <is>
          <t>AM02</t>
        </is>
      </c>
      <c r="F3315" s="5" t="n">
        <v>271.52</v>
      </c>
      <c r="G3315">
        <f>IF(LEFT(B3315,1)="C","Credit","Factuur")</f>
        <v/>
      </c>
      <c r="H3315">
        <f>IF(AND(B3315=B3314,D3315=D3314,A3315=A3314,F3315=F3314),1,0)</f>
        <v/>
      </c>
      <c r="I3315">
        <f>IF(C3315="C99999",1,0)</f>
        <v/>
      </c>
      <c r="J3315" s="5">
        <f>IF(OR(H3315=1,I3315=1),0,IF(G3315="Credit",-F3315,F3315))</f>
        <v/>
      </c>
    </row>
    <row r="3316">
      <c r="A3316" t="inlineStr">
        <is>
          <t>2026-07-31</t>
        </is>
      </c>
      <c r="B3316" t="inlineStr">
        <is>
          <t>F281738</t>
        </is>
      </c>
      <c r="C3316" t="inlineStr">
        <is>
          <t>C11146</t>
        </is>
      </c>
      <c r="D3316" t="inlineStr">
        <is>
          <t>SKU-10001</t>
        </is>
      </c>
      <c r="E3316" t="inlineStr">
        <is>
          <t>AM01</t>
        </is>
      </c>
      <c r="F3316" s="5" t="n">
        <v>224.07</v>
      </c>
      <c r="G3316">
        <f>IF(LEFT(B3316,1)="C","Credit","Factuur")</f>
        <v/>
      </c>
      <c r="H3316">
        <f>IF(AND(B3316=B3315,D3316=D3315,A3316=A3315,F3316=F3315),1,0)</f>
        <v/>
      </c>
      <c r="I3316">
        <f>IF(C3316="C99999",1,0)</f>
        <v/>
      </c>
      <c r="J3316" s="5">
        <f>IF(OR(H3316=1,I3316=1),0,IF(G3316="Credit",-F3316,F3316))</f>
        <v/>
      </c>
    </row>
    <row r="3317">
      <c r="A3317" t="inlineStr">
        <is>
          <t>2026-07-31</t>
        </is>
      </c>
      <c r="B3317" t="inlineStr">
        <is>
          <t>F281738</t>
        </is>
      </c>
      <c r="C3317" t="inlineStr">
        <is>
          <t>C11146</t>
        </is>
      </c>
      <c r="D3317" t="inlineStr">
        <is>
          <t>SKU-10002</t>
        </is>
      </c>
      <c r="E3317" t="inlineStr">
        <is>
          <t>AM01</t>
        </is>
      </c>
      <c r="F3317" s="5" t="n">
        <v>218.01</v>
      </c>
      <c r="G3317">
        <f>IF(LEFT(B3317,1)="C","Credit","Factuur")</f>
        <v/>
      </c>
      <c r="H3317">
        <f>IF(AND(B3317=B3316,D3317=D3316,A3317=A3316,F3317=F3316),1,0)</f>
        <v/>
      </c>
      <c r="I3317">
        <f>IF(C3317="C99999",1,0)</f>
        <v/>
      </c>
      <c r="J3317" s="5">
        <f>IF(OR(H3317=1,I3317=1),0,IF(G3317="Credit",-F3317,F3317))</f>
        <v/>
      </c>
    </row>
    <row r="3318">
      <c r="A3318" t="inlineStr">
        <is>
          <t>2026-07-31</t>
        </is>
      </c>
      <c r="B3318" t="inlineStr">
        <is>
          <t>F281738</t>
        </is>
      </c>
      <c r="C3318" t="inlineStr">
        <is>
          <t>C11146</t>
        </is>
      </c>
      <c r="D3318" t="inlineStr">
        <is>
          <t>SKU-10006</t>
        </is>
      </c>
      <c r="E3318" t="inlineStr">
        <is>
          <t>AM01</t>
        </is>
      </c>
      <c r="F3318" s="5" t="n">
        <v>218.08</v>
      </c>
      <c r="G3318">
        <f>IF(LEFT(B3318,1)="C","Credit","Factuur")</f>
        <v/>
      </c>
      <c r="H3318">
        <f>IF(AND(B3318=B3317,D3318=D3317,A3318=A3317,F3318=F3317),1,0)</f>
        <v/>
      </c>
      <c r="I3318">
        <f>IF(C3318="C99999",1,0)</f>
        <v/>
      </c>
      <c r="J3318" s="5">
        <f>IF(OR(H3318=1,I3318=1),0,IF(G3318="Credit",-F3318,F3318))</f>
        <v/>
      </c>
    </row>
    <row r="3319">
      <c r="A3319" t="inlineStr">
        <is>
          <t>2026-07-31</t>
        </is>
      </c>
      <c r="B3319" t="inlineStr">
        <is>
          <t>F281738</t>
        </is>
      </c>
      <c r="C3319" t="inlineStr">
        <is>
          <t>C11146</t>
        </is>
      </c>
      <c r="D3319" t="inlineStr">
        <is>
          <t>SKU-10124</t>
        </is>
      </c>
      <c r="E3319" t="inlineStr">
        <is>
          <t>AM01</t>
        </is>
      </c>
      <c r="F3319" s="5" t="n">
        <v>218.43</v>
      </c>
      <c r="G3319">
        <f>IF(LEFT(B3319,1)="C","Credit","Factuur")</f>
        <v/>
      </c>
      <c r="H3319">
        <f>IF(AND(B3319=B3318,D3319=D3318,A3319=A3318,F3319=F3318),1,0)</f>
        <v/>
      </c>
      <c r="I3319">
        <f>IF(C3319="C99999",1,0)</f>
        <v/>
      </c>
      <c r="J3319" s="5">
        <f>IF(OR(H3319=1,I3319=1),0,IF(G3319="Credit",-F3319,F3319))</f>
        <v/>
      </c>
    </row>
    <row r="3320">
      <c r="A3320" t="inlineStr">
        <is>
          <t>2026-07-31</t>
        </is>
      </c>
      <c r="B3320" t="inlineStr">
        <is>
          <t>F281738</t>
        </is>
      </c>
      <c r="C3320" t="inlineStr">
        <is>
          <t>C11146</t>
        </is>
      </c>
      <c r="D3320" t="inlineStr">
        <is>
          <t>SKU-10221</t>
        </is>
      </c>
      <c r="E3320" t="inlineStr">
        <is>
          <t>AM01</t>
        </is>
      </c>
      <c r="F3320" s="5" t="n">
        <v>221.94</v>
      </c>
      <c r="G3320">
        <f>IF(LEFT(B3320,1)="C","Credit","Factuur")</f>
        <v/>
      </c>
      <c r="H3320">
        <f>IF(AND(B3320=B3319,D3320=D3319,A3320=A3319,F3320=F3319),1,0)</f>
        <v/>
      </c>
      <c r="I3320">
        <f>IF(C3320="C99999",1,0)</f>
        <v/>
      </c>
      <c r="J3320" s="5">
        <f>IF(OR(H3320=1,I3320=1),0,IF(G3320="Credit",-F3320,F3320))</f>
        <v/>
      </c>
    </row>
    <row r="3321">
      <c r="A3321" t="inlineStr">
        <is>
          <t>2026-07-31</t>
        </is>
      </c>
      <c r="B3321" t="inlineStr">
        <is>
          <t>F281738</t>
        </is>
      </c>
      <c r="C3321" t="inlineStr">
        <is>
          <t>C11146</t>
        </is>
      </c>
      <c r="D3321" t="inlineStr">
        <is>
          <t>SKU-10240</t>
        </is>
      </c>
      <c r="E3321" t="inlineStr">
        <is>
          <t>AM01</t>
        </is>
      </c>
      <c r="F3321" s="5" t="n">
        <v>194.97</v>
      </c>
      <c r="G3321">
        <f>IF(LEFT(B3321,1)="C","Credit","Factuur")</f>
        <v/>
      </c>
      <c r="H3321">
        <f>IF(AND(B3321=B3320,D3321=D3320,A3321=A3320,F3321=F3320),1,0)</f>
        <v/>
      </c>
      <c r="I3321">
        <f>IF(C3321="C99999",1,0)</f>
        <v/>
      </c>
      <c r="J3321" s="5">
        <f>IF(OR(H3321=1,I3321=1),0,IF(G3321="Credit",-F3321,F3321))</f>
        <v/>
      </c>
    </row>
    <row r="3322">
      <c r="A3322" t="inlineStr">
        <is>
          <t>2026-07-31</t>
        </is>
      </c>
      <c r="B3322" t="inlineStr">
        <is>
          <t>F281893</t>
        </is>
      </c>
      <c r="C3322" t="inlineStr">
        <is>
          <t>C11152</t>
        </is>
      </c>
      <c r="D3322" t="inlineStr">
        <is>
          <t>SKU-10042</t>
        </is>
      </c>
      <c r="E3322" t="inlineStr">
        <is>
          <t>AM06</t>
        </is>
      </c>
      <c r="F3322" s="5" t="n">
        <v>159.91</v>
      </c>
      <c r="G3322">
        <f>IF(LEFT(B3322,1)="C","Credit","Factuur")</f>
        <v/>
      </c>
      <c r="H3322">
        <f>IF(AND(B3322=B3321,D3322=D3321,A3322=A3321,F3322=F3321),1,0)</f>
        <v/>
      </c>
      <c r="I3322">
        <f>IF(C3322="C99999",1,0)</f>
        <v/>
      </c>
      <c r="J3322" s="5">
        <f>IF(OR(H3322=1,I3322=1),0,IF(G3322="Credit",-F3322,F3322))</f>
        <v/>
      </c>
    </row>
    <row r="3323">
      <c r="A3323" t="inlineStr">
        <is>
          <t>2026-07-31</t>
        </is>
      </c>
      <c r="B3323" t="inlineStr">
        <is>
          <t>F281893</t>
        </is>
      </c>
      <c r="C3323" t="inlineStr">
        <is>
          <t>C11152</t>
        </is>
      </c>
      <c r="D3323" t="inlineStr">
        <is>
          <t>SKU-10293</t>
        </is>
      </c>
      <c r="E3323" t="inlineStr">
        <is>
          <t>AM06</t>
        </is>
      </c>
      <c r="F3323" s="5" t="n">
        <v>174.24</v>
      </c>
      <c r="G3323">
        <f>IF(LEFT(B3323,1)="C","Credit","Factuur")</f>
        <v/>
      </c>
      <c r="H3323">
        <f>IF(AND(B3323=B3322,D3323=D3322,A3323=A3322,F3323=F3322),1,0)</f>
        <v/>
      </c>
      <c r="I3323">
        <f>IF(C3323="C99999",1,0)</f>
        <v/>
      </c>
      <c r="J3323" s="5">
        <f>IF(OR(H3323=1,I3323=1),0,IF(G3323="Credit",-F3323,F3323))</f>
        <v/>
      </c>
    </row>
    <row r="3324">
      <c r="A3324" t="inlineStr">
        <is>
          <t>2026-07-31</t>
        </is>
      </c>
      <c r="B3324" t="inlineStr">
        <is>
          <t>F282090</t>
        </is>
      </c>
      <c r="C3324" t="inlineStr">
        <is>
          <t>C11161</t>
        </is>
      </c>
      <c r="D3324" t="inlineStr">
        <is>
          <t>SKU-10070</t>
        </is>
      </c>
      <c r="E3324" t="inlineStr">
        <is>
          <t>AM01</t>
        </is>
      </c>
      <c r="F3324" s="5" t="n">
        <v>110.34</v>
      </c>
      <c r="G3324">
        <f>IF(LEFT(B3324,1)="C","Credit","Factuur")</f>
        <v/>
      </c>
      <c r="H3324">
        <f>IF(AND(B3324=B3323,D3324=D3323,A3324=A3323,F3324=F3323),1,0)</f>
        <v/>
      </c>
      <c r="I3324">
        <f>IF(C3324="C99999",1,0)</f>
        <v/>
      </c>
      <c r="J3324" s="5">
        <f>IF(OR(H3324=1,I3324=1),0,IF(G3324="Credit",-F3324,F3324))</f>
        <v/>
      </c>
    </row>
    <row r="3325">
      <c r="A3325" t="inlineStr">
        <is>
          <t>2026-07-31</t>
        </is>
      </c>
      <c r="B3325" t="inlineStr">
        <is>
          <t>F282090</t>
        </is>
      </c>
      <c r="C3325" t="inlineStr">
        <is>
          <t>C11161</t>
        </is>
      </c>
      <c r="D3325" t="inlineStr">
        <is>
          <t>SKU-10088</t>
        </is>
      </c>
      <c r="E3325" t="inlineStr">
        <is>
          <t>AM01</t>
        </is>
      </c>
      <c r="F3325" s="5" t="n">
        <v>108.01</v>
      </c>
      <c r="G3325">
        <f>IF(LEFT(B3325,1)="C","Credit","Factuur")</f>
        <v/>
      </c>
      <c r="H3325">
        <f>IF(AND(B3325=B3324,D3325=D3324,A3325=A3324,F3325=F3324),1,0)</f>
        <v/>
      </c>
      <c r="I3325">
        <f>IF(C3325="C99999",1,0)</f>
        <v/>
      </c>
      <c r="J3325" s="5">
        <f>IF(OR(H3325=1,I3325=1),0,IF(G3325="Credit",-F3325,F3325))</f>
        <v/>
      </c>
    </row>
    <row r="3326">
      <c r="A3326" t="inlineStr">
        <is>
          <t>2026-07-31</t>
        </is>
      </c>
      <c r="B3326" t="inlineStr">
        <is>
          <t>F282090</t>
        </is>
      </c>
      <c r="C3326" t="inlineStr">
        <is>
          <t>C11161</t>
        </is>
      </c>
      <c r="D3326" t="inlineStr">
        <is>
          <t>SKU-10111</t>
        </is>
      </c>
      <c r="E3326" t="inlineStr">
        <is>
          <t>AM01</t>
        </is>
      </c>
      <c r="F3326" s="5" t="n">
        <v>118.51</v>
      </c>
      <c r="G3326">
        <f>IF(LEFT(B3326,1)="C","Credit","Factuur")</f>
        <v/>
      </c>
      <c r="H3326">
        <f>IF(AND(B3326=B3325,D3326=D3325,A3326=A3325,F3326=F3325),1,0)</f>
        <v/>
      </c>
      <c r="I3326">
        <f>IF(C3326="C99999",1,0)</f>
        <v/>
      </c>
      <c r="J3326" s="5">
        <f>IF(OR(H3326=1,I3326=1),0,IF(G3326="Credit",-F3326,F3326))</f>
        <v/>
      </c>
    </row>
    <row r="3327">
      <c r="A3327" t="inlineStr">
        <is>
          <t>2026-07-31</t>
        </is>
      </c>
      <c r="B3327" t="inlineStr">
        <is>
          <t>F282090</t>
        </is>
      </c>
      <c r="C3327" t="inlineStr">
        <is>
          <t>C11161</t>
        </is>
      </c>
      <c r="D3327" t="inlineStr">
        <is>
          <t>SKU-10205</t>
        </is>
      </c>
      <c r="E3327" t="inlineStr">
        <is>
          <t>AM01</t>
        </is>
      </c>
      <c r="F3327" s="5" t="n">
        <v>123.93</v>
      </c>
      <c r="G3327">
        <f>IF(LEFT(B3327,1)="C","Credit","Factuur")</f>
        <v/>
      </c>
      <c r="H3327">
        <f>IF(AND(B3327=B3326,D3327=D3326,A3327=A3326,F3327=F3326),1,0)</f>
        <v/>
      </c>
      <c r="I3327">
        <f>IF(C3327="C99999",1,0)</f>
        <v/>
      </c>
      <c r="J3327" s="5">
        <f>IF(OR(H3327=1,I3327=1),0,IF(G3327="Credit",-F3327,F3327))</f>
        <v/>
      </c>
    </row>
    <row r="3328">
      <c r="A3328" t="inlineStr">
        <is>
          <t>2026-07-31</t>
        </is>
      </c>
      <c r="B3328" t="inlineStr">
        <is>
          <t>F282090</t>
        </is>
      </c>
      <c r="C3328" t="inlineStr">
        <is>
          <t>C11161</t>
        </is>
      </c>
      <c r="D3328" t="inlineStr">
        <is>
          <t>SKU-10321</t>
        </is>
      </c>
      <c r="E3328" t="inlineStr">
        <is>
          <t>AM01</t>
        </is>
      </c>
      <c r="F3328" s="5" t="n">
        <v>97.62</v>
      </c>
      <c r="G3328">
        <f>IF(LEFT(B3328,1)="C","Credit","Factuur")</f>
        <v/>
      </c>
      <c r="H3328">
        <f>IF(AND(B3328=B3327,D3328=D3327,A3328=A3327,F3328=F3327),1,0)</f>
        <v/>
      </c>
      <c r="I3328">
        <f>IF(C3328="C99999",1,0)</f>
        <v/>
      </c>
      <c r="J3328" s="5">
        <f>IF(OR(H3328=1,I3328=1),0,IF(G3328="Credit",-F3328,F3328))</f>
        <v/>
      </c>
    </row>
    <row r="3329">
      <c r="A3329" t="inlineStr">
        <is>
          <t>2026-07-31</t>
        </is>
      </c>
      <c r="B3329" t="inlineStr">
        <is>
          <t>F282258</t>
        </is>
      </c>
      <c r="C3329" t="inlineStr">
        <is>
          <t>C11167</t>
        </is>
      </c>
      <c r="D3329" t="inlineStr">
        <is>
          <t>SKU-10233</t>
        </is>
      </c>
      <c r="E3329" t="inlineStr">
        <is>
          <t>AM01</t>
        </is>
      </c>
      <c r="F3329" s="5" t="n">
        <v>624.96</v>
      </c>
      <c r="G3329">
        <f>IF(LEFT(B3329,1)="C","Credit","Factuur")</f>
        <v/>
      </c>
      <c r="H3329">
        <f>IF(AND(B3329=B3328,D3329=D3328,A3329=A3328,F3329=F3328),1,0)</f>
        <v/>
      </c>
      <c r="I3329">
        <f>IF(C3329="C99999",1,0)</f>
        <v/>
      </c>
      <c r="J3329" s="5">
        <f>IF(OR(H3329=1,I3329=1),0,IF(G3329="Credit",-F3329,F3329))</f>
        <v/>
      </c>
    </row>
    <row r="3330">
      <c r="A3330" t="inlineStr">
        <is>
          <t>2026-07-31</t>
        </is>
      </c>
      <c r="B3330" t="inlineStr">
        <is>
          <t>F282258</t>
        </is>
      </c>
      <c r="C3330" t="inlineStr">
        <is>
          <t>C11167</t>
        </is>
      </c>
      <c r="D3330" t="inlineStr">
        <is>
          <t>SKU-10276</t>
        </is>
      </c>
      <c r="E3330" t="inlineStr">
        <is>
          <t>AM01</t>
        </is>
      </c>
      <c r="F3330" s="5" t="n">
        <v>626.08</v>
      </c>
      <c r="G3330">
        <f>IF(LEFT(B3330,1)="C","Credit","Factuur")</f>
        <v/>
      </c>
      <c r="H3330">
        <f>IF(AND(B3330=B3329,D3330=D3329,A3330=A3329,F3330=F3329),1,0)</f>
        <v/>
      </c>
      <c r="I3330">
        <f>IF(C3330="C99999",1,0)</f>
        <v/>
      </c>
      <c r="J3330" s="5">
        <f>IF(OR(H3330=1,I3330=1),0,IF(G3330="Credit",-F3330,F3330))</f>
        <v/>
      </c>
    </row>
    <row r="3331">
      <c r="A3331" t="inlineStr">
        <is>
          <t>2026-07-31</t>
        </is>
      </c>
      <c r="B3331" t="inlineStr">
        <is>
          <t>F282280</t>
        </is>
      </c>
      <c r="C3331" t="inlineStr">
        <is>
          <t>C11168</t>
        </is>
      </c>
      <c r="D3331" t="inlineStr">
        <is>
          <t>SKU-10050</t>
        </is>
      </c>
      <c r="E3331" t="inlineStr">
        <is>
          <t>AM07</t>
        </is>
      </c>
      <c r="F3331" s="5" t="n">
        <v>152.28</v>
      </c>
      <c r="G3331">
        <f>IF(LEFT(B3331,1)="C","Credit","Factuur")</f>
        <v/>
      </c>
      <c r="H3331">
        <f>IF(AND(B3331=B3330,D3331=D3330,A3331=A3330,F3331=F3330),1,0)</f>
        <v/>
      </c>
      <c r="I3331">
        <f>IF(C3331="C99999",1,0)</f>
        <v/>
      </c>
      <c r="J3331" s="5">
        <f>IF(OR(H3331=1,I3331=1),0,IF(G3331="Credit",-F3331,F3331))</f>
        <v/>
      </c>
    </row>
    <row r="3332">
      <c r="A3332" t="inlineStr">
        <is>
          <t>2026-07-31</t>
        </is>
      </c>
      <c r="B3332" t="inlineStr">
        <is>
          <t>F282280</t>
        </is>
      </c>
      <c r="C3332" t="inlineStr">
        <is>
          <t>C11168</t>
        </is>
      </c>
      <c r="D3332" t="inlineStr">
        <is>
          <t>SKU-10101</t>
        </is>
      </c>
      <c r="E3332" t="inlineStr">
        <is>
          <t>AM07</t>
        </is>
      </c>
      <c r="F3332" s="5" t="n">
        <v>118.76</v>
      </c>
      <c r="G3332">
        <f>IF(LEFT(B3332,1)="C","Credit","Factuur")</f>
        <v/>
      </c>
      <c r="H3332">
        <f>IF(AND(B3332=B3331,D3332=D3331,A3332=A3331,F3332=F3331),1,0)</f>
        <v/>
      </c>
      <c r="I3332">
        <f>IF(C3332="C99999",1,0)</f>
        <v/>
      </c>
      <c r="J3332" s="5">
        <f>IF(OR(H3332=1,I3332=1),0,IF(G3332="Credit",-F3332,F3332))</f>
        <v/>
      </c>
    </row>
    <row r="3333">
      <c r="A3333" t="inlineStr">
        <is>
          <t>2026-07-31</t>
        </is>
      </c>
      <c r="B3333" t="inlineStr">
        <is>
          <t>F282280</t>
        </is>
      </c>
      <c r="C3333" t="inlineStr">
        <is>
          <t>C11168</t>
        </is>
      </c>
      <c r="D3333" t="inlineStr">
        <is>
          <t>SKU-10115</t>
        </is>
      </c>
      <c r="E3333" t="inlineStr">
        <is>
          <t>AM07</t>
        </is>
      </c>
      <c r="F3333" s="5" t="n">
        <v>140.19</v>
      </c>
      <c r="G3333">
        <f>IF(LEFT(B3333,1)="C","Credit","Factuur")</f>
        <v/>
      </c>
      <c r="H3333">
        <f>IF(AND(B3333=B3332,D3333=D3332,A3333=A3332,F3333=F3332),1,0)</f>
        <v/>
      </c>
      <c r="I3333">
        <f>IF(C3333="C99999",1,0)</f>
        <v/>
      </c>
      <c r="J3333" s="5">
        <f>IF(OR(H3333=1,I3333=1),0,IF(G3333="Credit",-F3333,F3333))</f>
        <v/>
      </c>
    </row>
    <row r="3334">
      <c r="A3334" t="inlineStr">
        <is>
          <t>2026-07-31</t>
        </is>
      </c>
      <c r="B3334" t="inlineStr">
        <is>
          <t>F282280</t>
        </is>
      </c>
      <c r="C3334" t="inlineStr">
        <is>
          <t>C11168</t>
        </is>
      </c>
      <c r="D3334" t="inlineStr">
        <is>
          <t>SKU-10142</t>
        </is>
      </c>
      <c r="E3334" t="inlineStr">
        <is>
          <t>AM07</t>
        </is>
      </c>
      <c r="F3334" s="5" t="n">
        <v>144.92</v>
      </c>
      <c r="G3334">
        <f>IF(LEFT(B3334,1)="C","Credit","Factuur")</f>
        <v/>
      </c>
      <c r="H3334">
        <f>IF(AND(B3334=B3333,D3334=D3333,A3334=A3333,F3334=F3333),1,0)</f>
        <v/>
      </c>
      <c r="I3334">
        <f>IF(C3334="C99999",1,0)</f>
        <v/>
      </c>
      <c r="J3334" s="5">
        <f>IF(OR(H3334=1,I3334=1),0,IF(G3334="Credit",-F3334,F3334))</f>
        <v/>
      </c>
    </row>
    <row r="3335">
      <c r="A3335" t="inlineStr">
        <is>
          <t>2026-07-31</t>
        </is>
      </c>
      <c r="B3335" t="inlineStr">
        <is>
          <t>F282280</t>
        </is>
      </c>
      <c r="C3335" t="inlineStr">
        <is>
          <t>C11168</t>
        </is>
      </c>
      <c r="D3335" t="inlineStr">
        <is>
          <t>SKU-10144</t>
        </is>
      </c>
      <c r="E3335" t="inlineStr">
        <is>
          <t>AM07</t>
        </is>
      </c>
      <c r="F3335" s="5" t="n">
        <v>118.42</v>
      </c>
      <c r="G3335">
        <f>IF(LEFT(B3335,1)="C","Credit","Factuur")</f>
        <v/>
      </c>
      <c r="H3335">
        <f>IF(AND(B3335=B3334,D3335=D3334,A3335=A3334,F3335=F3334),1,0)</f>
        <v/>
      </c>
      <c r="I3335">
        <f>IF(C3335="C99999",1,0)</f>
        <v/>
      </c>
      <c r="J3335" s="5">
        <f>IF(OR(H3335=1,I3335=1),0,IF(G3335="Credit",-F3335,F3335))</f>
        <v/>
      </c>
    </row>
    <row r="3336">
      <c r="A3336" t="inlineStr">
        <is>
          <t>2026-07-31</t>
        </is>
      </c>
      <c r="B3336" t="inlineStr">
        <is>
          <t>F282280</t>
        </is>
      </c>
      <c r="C3336" t="inlineStr">
        <is>
          <t>C11168</t>
        </is>
      </c>
      <c r="D3336" t="inlineStr">
        <is>
          <t>SKU-10250</t>
        </is>
      </c>
      <c r="E3336" t="inlineStr">
        <is>
          <t>AM07</t>
        </is>
      </c>
      <c r="F3336" s="5" t="n">
        <v>143.64</v>
      </c>
      <c r="G3336">
        <f>IF(LEFT(B3336,1)="C","Credit","Factuur")</f>
        <v/>
      </c>
      <c r="H3336">
        <f>IF(AND(B3336=B3335,D3336=D3335,A3336=A3335,F3336=F3335),1,0)</f>
        <v/>
      </c>
      <c r="I3336">
        <f>IF(C3336="C99999",1,0)</f>
        <v/>
      </c>
      <c r="J3336" s="5">
        <f>IF(OR(H3336=1,I3336=1),0,IF(G3336="Credit",-F3336,F3336))</f>
        <v/>
      </c>
    </row>
    <row r="3337">
      <c r="A3337" t="inlineStr">
        <is>
          <t>2026-07-31</t>
        </is>
      </c>
      <c r="B3337" t="inlineStr">
        <is>
          <t>F282892</t>
        </is>
      </c>
      <c r="C3337" t="inlineStr">
        <is>
          <t>C11203</t>
        </is>
      </c>
      <c r="D3337" t="inlineStr">
        <is>
          <t>SKU-10007</t>
        </is>
      </c>
      <c r="E3337" t="inlineStr">
        <is>
          <t>AM07</t>
        </is>
      </c>
      <c r="F3337" s="5" t="n">
        <v>174.26</v>
      </c>
      <c r="G3337">
        <f>IF(LEFT(B3337,1)="C","Credit","Factuur")</f>
        <v/>
      </c>
      <c r="H3337">
        <f>IF(AND(B3337=B3336,D3337=D3336,A3337=A3336,F3337=F3336),1,0)</f>
        <v/>
      </c>
      <c r="I3337">
        <f>IF(C3337="C99999",1,0)</f>
        <v/>
      </c>
      <c r="J3337" s="5">
        <f>IF(OR(H3337=1,I3337=1),0,IF(G3337="Credit",-F3337,F3337))</f>
        <v/>
      </c>
    </row>
    <row r="3338">
      <c r="A3338" t="inlineStr">
        <is>
          <t>2026-07-31</t>
        </is>
      </c>
      <c r="B3338" t="inlineStr">
        <is>
          <t>F282892</t>
        </is>
      </c>
      <c r="C3338" t="inlineStr">
        <is>
          <t>C11203</t>
        </is>
      </c>
      <c r="D3338" t="inlineStr">
        <is>
          <t>SKU-10273</t>
        </is>
      </c>
      <c r="E3338" t="inlineStr">
        <is>
          <t>AM07</t>
        </is>
      </c>
      <c r="F3338" s="5" t="n">
        <v>192.72</v>
      </c>
      <c r="G3338">
        <f>IF(LEFT(B3338,1)="C","Credit","Factuur")</f>
        <v/>
      </c>
      <c r="H3338">
        <f>IF(AND(B3338=B3337,D3338=D3337,A3338=A3337,F3338=F3337),1,0)</f>
        <v/>
      </c>
      <c r="I3338">
        <f>IF(C3338="C99999",1,0)</f>
        <v/>
      </c>
      <c r="J3338" s="5">
        <f>IF(OR(H3338=1,I3338=1),0,IF(G3338="Credit",-F3338,F3338))</f>
        <v/>
      </c>
    </row>
    <row r="3339">
      <c r="A3339" t="inlineStr">
        <is>
          <t>2026-07-31</t>
        </is>
      </c>
      <c r="B3339" t="inlineStr">
        <is>
          <t>F282892</t>
        </is>
      </c>
      <c r="C3339" t="inlineStr">
        <is>
          <t>C11203</t>
        </is>
      </c>
      <c r="D3339" t="inlineStr">
        <is>
          <t>SKU-10342</t>
        </is>
      </c>
      <c r="E3339" t="inlineStr">
        <is>
          <t>AM07</t>
        </is>
      </c>
      <c r="F3339" s="5" t="n">
        <v>203.28</v>
      </c>
      <c r="G3339">
        <f>IF(LEFT(B3339,1)="C","Credit","Factuur")</f>
        <v/>
      </c>
      <c r="H3339">
        <f>IF(AND(B3339=B3338,D3339=D3338,A3339=A3338,F3339=F3338),1,0)</f>
        <v/>
      </c>
      <c r="I3339">
        <f>IF(C3339="C99999",1,0)</f>
        <v/>
      </c>
      <c r="J3339" s="5">
        <f>IF(OR(H3339=1,I3339=1),0,IF(G3339="Credit",-F3339,F3339))</f>
        <v/>
      </c>
    </row>
    <row r="3340">
      <c r="A3340" t="inlineStr">
        <is>
          <t>2026-07-31</t>
        </is>
      </c>
      <c r="B3340" t="inlineStr">
        <is>
          <t>F283106</t>
        </is>
      </c>
      <c r="C3340" t="inlineStr">
        <is>
          <t>C11216</t>
        </is>
      </c>
      <c r="D3340" t="inlineStr">
        <is>
          <t>SKU-10058</t>
        </is>
      </c>
      <c r="E3340" t="inlineStr">
        <is>
          <t>AM05</t>
        </is>
      </c>
      <c r="F3340" s="5" t="n">
        <v>109.88</v>
      </c>
      <c r="G3340">
        <f>IF(LEFT(B3340,1)="C","Credit","Factuur")</f>
        <v/>
      </c>
      <c r="H3340">
        <f>IF(AND(B3340=B3339,D3340=D3339,A3340=A3339,F3340=F3339),1,0)</f>
        <v/>
      </c>
      <c r="I3340">
        <f>IF(C3340="C99999",1,0)</f>
        <v/>
      </c>
      <c r="J3340" s="5">
        <f>IF(OR(H3340=1,I3340=1),0,IF(G3340="Credit",-F3340,F3340))</f>
        <v/>
      </c>
    </row>
    <row r="3341">
      <c r="A3341" t="inlineStr">
        <is>
          <t>2026-07-31</t>
        </is>
      </c>
      <c r="B3341" t="inlineStr">
        <is>
          <t>F283106</t>
        </is>
      </c>
      <c r="C3341" t="inlineStr">
        <is>
          <t>C11216</t>
        </is>
      </c>
      <c r="D3341" t="inlineStr">
        <is>
          <t>SKU-10060</t>
        </is>
      </c>
      <c r="E3341" t="inlineStr">
        <is>
          <t>AM05</t>
        </is>
      </c>
      <c r="F3341" s="5" t="n">
        <v>132.3</v>
      </c>
      <c r="G3341">
        <f>IF(LEFT(B3341,1)="C","Credit","Factuur")</f>
        <v/>
      </c>
      <c r="H3341">
        <f>IF(AND(B3341=B3340,D3341=D3340,A3341=A3340,F3341=F3340),1,0)</f>
        <v/>
      </c>
      <c r="I3341">
        <f>IF(C3341="C99999",1,0)</f>
        <v/>
      </c>
      <c r="J3341" s="5">
        <f>IF(OR(H3341=1,I3341=1),0,IF(G3341="Credit",-F3341,F3341))</f>
        <v/>
      </c>
    </row>
    <row r="3342">
      <c r="A3342" t="inlineStr">
        <is>
          <t>2026-07-31</t>
        </is>
      </c>
      <c r="B3342" t="inlineStr">
        <is>
          <t>F283106</t>
        </is>
      </c>
      <c r="C3342" t="inlineStr">
        <is>
          <t>C11216</t>
        </is>
      </c>
      <c r="D3342" t="inlineStr">
        <is>
          <t>SKU-10062</t>
        </is>
      </c>
      <c r="E3342" t="inlineStr">
        <is>
          <t>AM05</t>
        </is>
      </c>
      <c r="F3342" s="5" t="n">
        <v>116.16</v>
      </c>
      <c r="G3342">
        <f>IF(LEFT(B3342,1)="C","Credit","Factuur")</f>
        <v/>
      </c>
      <c r="H3342">
        <f>IF(AND(B3342=B3341,D3342=D3341,A3342=A3341,F3342=F3341),1,0)</f>
        <v/>
      </c>
      <c r="I3342">
        <f>IF(C3342="C99999",1,0)</f>
        <v/>
      </c>
      <c r="J3342" s="5">
        <f>IF(OR(H3342=1,I3342=1),0,IF(G3342="Credit",-F3342,F3342))</f>
        <v/>
      </c>
    </row>
    <row r="3343">
      <c r="A3343" t="inlineStr">
        <is>
          <t>2026-07-31</t>
        </is>
      </c>
      <c r="B3343" t="inlineStr">
        <is>
          <t>F283106</t>
        </is>
      </c>
      <c r="C3343" t="inlineStr">
        <is>
          <t>C11216</t>
        </is>
      </c>
      <c r="D3343" t="inlineStr">
        <is>
          <t>SKU-10127</t>
        </is>
      </c>
      <c r="E3343" t="inlineStr">
        <is>
          <t>AM05</t>
        </is>
      </c>
      <c r="F3343" s="5" t="n">
        <v>91.55</v>
      </c>
      <c r="G3343">
        <f>IF(LEFT(B3343,1)="C","Credit","Factuur")</f>
        <v/>
      </c>
      <c r="H3343">
        <f>IF(AND(B3343=B3342,D3343=D3342,A3343=A3342,F3343=F3342),1,0)</f>
        <v/>
      </c>
      <c r="I3343">
        <f>IF(C3343="C99999",1,0)</f>
        <v/>
      </c>
      <c r="J3343" s="5">
        <f>IF(OR(H3343=1,I3343=1),0,IF(G3343="Credit",-F3343,F3343))</f>
        <v/>
      </c>
    </row>
    <row r="3344">
      <c r="A3344" t="inlineStr">
        <is>
          <t>2026-07-31</t>
        </is>
      </c>
      <c r="B3344" t="inlineStr">
        <is>
          <t>F283106</t>
        </is>
      </c>
      <c r="C3344" t="inlineStr">
        <is>
          <t>C11216</t>
        </is>
      </c>
      <c r="D3344" t="inlineStr">
        <is>
          <t>SKU-10275</t>
        </is>
      </c>
      <c r="E3344" t="inlineStr">
        <is>
          <t>AM05</t>
        </is>
      </c>
      <c r="F3344" s="5" t="n">
        <v>109.44</v>
      </c>
      <c r="G3344">
        <f>IF(LEFT(B3344,1)="C","Credit","Factuur")</f>
        <v/>
      </c>
      <c r="H3344">
        <f>IF(AND(B3344=B3343,D3344=D3343,A3344=A3343,F3344=F3343),1,0)</f>
        <v/>
      </c>
      <c r="I3344">
        <f>IF(C3344="C99999",1,0)</f>
        <v/>
      </c>
      <c r="J3344" s="5">
        <f>IF(OR(H3344=1,I3344=1),0,IF(G3344="Credit",-F3344,F3344))</f>
        <v/>
      </c>
    </row>
    <row r="3345">
      <c r="A3345" t="inlineStr">
        <is>
          <t>2026-07-31</t>
        </is>
      </c>
      <c r="B3345" t="inlineStr">
        <is>
          <t>F283106</t>
        </is>
      </c>
      <c r="C3345" t="inlineStr">
        <is>
          <t>C11216</t>
        </is>
      </c>
      <c r="D3345" t="inlineStr">
        <is>
          <t>SKU-10290</t>
        </is>
      </c>
      <c r="E3345" t="inlineStr">
        <is>
          <t>AM05</t>
        </is>
      </c>
      <c r="F3345" s="5" t="n">
        <v>106.83</v>
      </c>
      <c r="G3345">
        <f>IF(LEFT(B3345,1)="C","Credit","Factuur")</f>
        <v/>
      </c>
      <c r="H3345">
        <f>IF(AND(B3345=B3344,D3345=D3344,A3345=A3344,F3345=F3344),1,0)</f>
        <v/>
      </c>
      <c r="I3345">
        <f>IF(C3345="C99999",1,0)</f>
        <v/>
      </c>
      <c r="J3345" s="5">
        <f>IF(OR(H3345=1,I3345=1),0,IF(G3345="Credit",-F3345,F3345))</f>
        <v/>
      </c>
    </row>
    <row r="3346">
      <c r="A3346" t="inlineStr">
        <is>
          <t>2026-07-31</t>
        </is>
      </c>
      <c r="B3346" t="inlineStr">
        <is>
          <t>F283145</t>
        </is>
      </c>
      <c r="C3346" t="inlineStr">
        <is>
          <t>C11218</t>
        </is>
      </c>
      <c r="D3346" t="inlineStr">
        <is>
          <t>SKU-10102</t>
        </is>
      </c>
      <c r="E3346" t="inlineStr"/>
      <c r="F3346" s="5" t="n">
        <v>258.72</v>
      </c>
      <c r="G3346">
        <f>IF(LEFT(B3346,1)="C","Credit","Factuur")</f>
        <v/>
      </c>
      <c r="H3346">
        <f>IF(AND(B3346=B3345,D3346=D3345,A3346=A3345,F3346=F3345),1,0)</f>
        <v/>
      </c>
      <c r="I3346">
        <f>IF(C3346="C99999",1,0)</f>
        <v/>
      </c>
      <c r="J3346" s="5">
        <f>IF(OR(H3346=1,I3346=1),0,IF(G3346="Credit",-F3346,F3346))</f>
        <v/>
      </c>
    </row>
    <row r="3347">
      <c r="A3347" t="inlineStr">
        <is>
          <t>2026-07-31</t>
        </is>
      </c>
      <c r="B3347" t="inlineStr">
        <is>
          <t>F283145</t>
        </is>
      </c>
      <c r="C3347" t="inlineStr">
        <is>
          <t>C11218</t>
        </is>
      </c>
      <c r="D3347" t="inlineStr">
        <is>
          <t>SKU-10129</t>
        </is>
      </c>
      <c r="E3347" t="inlineStr">
        <is>
          <t>AM03</t>
        </is>
      </c>
      <c r="F3347" s="5" t="n">
        <v>196.9</v>
      </c>
      <c r="G3347">
        <f>IF(LEFT(B3347,1)="C","Credit","Factuur")</f>
        <v/>
      </c>
      <c r="H3347">
        <f>IF(AND(B3347=B3346,D3347=D3346,A3347=A3346,F3347=F3346),1,0)</f>
        <v/>
      </c>
      <c r="I3347">
        <f>IF(C3347="C99999",1,0)</f>
        <v/>
      </c>
      <c r="J3347" s="5">
        <f>IF(OR(H3347=1,I3347=1),0,IF(G3347="Credit",-F3347,F3347))</f>
        <v/>
      </c>
    </row>
    <row r="3348">
      <c r="A3348" t="inlineStr">
        <is>
          <t>2026-07-31</t>
        </is>
      </c>
      <c r="B3348" t="inlineStr">
        <is>
          <t>F283145</t>
        </is>
      </c>
      <c r="C3348" t="inlineStr">
        <is>
          <t>C11218</t>
        </is>
      </c>
      <c r="D3348" t="inlineStr">
        <is>
          <t>SKU-10283</t>
        </is>
      </c>
      <c r="E3348" t="inlineStr">
        <is>
          <t>AM03</t>
        </is>
      </c>
      <c r="F3348" s="5" t="n">
        <v>238.07</v>
      </c>
      <c r="G3348">
        <f>IF(LEFT(B3348,1)="C","Credit","Factuur")</f>
        <v/>
      </c>
      <c r="H3348">
        <f>IF(AND(B3348=B3347,D3348=D3347,A3348=A3347,F3348=F3347),1,0)</f>
        <v/>
      </c>
      <c r="I3348">
        <f>IF(C3348="C99999",1,0)</f>
        <v/>
      </c>
      <c r="J3348" s="5">
        <f>IF(OR(H3348=1,I3348=1),0,IF(G3348="Credit",-F3348,F3348))</f>
        <v/>
      </c>
    </row>
    <row r="3349">
      <c r="A3349" t="inlineStr">
        <is>
          <t>2026-07-31</t>
        </is>
      </c>
      <c r="B3349" t="inlineStr">
        <is>
          <t>F283480</t>
        </is>
      </c>
      <c r="C3349" t="inlineStr">
        <is>
          <t>C11233</t>
        </is>
      </c>
      <c r="D3349" t="inlineStr">
        <is>
          <t>SKU-10287</t>
        </is>
      </c>
      <c r="E3349" t="inlineStr">
        <is>
          <t>AM11</t>
        </is>
      </c>
      <c r="F3349" s="5" t="n">
        <v>57.21</v>
      </c>
      <c r="G3349">
        <f>IF(LEFT(B3349,1)="C","Credit","Factuur")</f>
        <v/>
      </c>
      <c r="H3349">
        <f>IF(AND(B3349=B3348,D3349=D3348,A3349=A3348,F3349=F3348),1,0)</f>
        <v/>
      </c>
      <c r="I3349">
        <f>IF(C3349="C99999",1,0)</f>
        <v/>
      </c>
      <c r="J3349" s="5">
        <f>IF(OR(H3349=1,I3349=1),0,IF(G3349="Credit",-F3349,F3349))</f>
        <v/>
      </c>
    </row>
    <row r="3350">
      <c r="A3350" t="inlineStr">
        <is>
          <t>2026-07-31</t>
        </is>
      </c>
      <c r="B3350" t="inlineStr">
        <is>
          <t>F283480</t>
        </is>
      </c>
      <c r="C3350" t="inlineStr">
        <is>
          <t>C11233</t>
        </is>
      </c>
      <c r="D3350" t="inlineStr">
        <is>
          <t>SKU-10327</t>
        </is>
      </c>
      <c r="E3350" t="inlineStr">
        <is>
          <t>AM11</t>
        </is>
      </c>
      <c r="F3350" s="5" t="n">
        <v>69.45</v>
      </c>
      <c r="G3350">
        <f>IF(LEFT(B3350,1)="C","Credit","Factuur")</f>
        <v/>
      </c>
      <c r="H3350">
        <f>IF(AND(B3350=B3349,D3350=D3349,A3350=A3349,F3350=F3349),1,0)</f>
        <v/>
      </c>
      <c r="I3350">
        <f>IF(C3350="C99999",1,0)</f>
        <v/>
      </c>
      <c r="J3350" s="5">
        <f>IF(OR(H3350=1,I3350=1),0,IF(G3350="Credit",-F3350,F3350))</f>
        <v/>
      </c>
    </row>
    <row r="3351">
      <c r="A3351" t="inlineStr">
        <is>
          <t>2026-07-31</t>
        </is>
      </c>
      <c r="B3351" t="inlineStr">
        <is>
          <t>F283480</t>
        </is>
      </c>
      <c r="C3351" t="inlineStr">
        <is>
          <t>C11233</t>
        </is>
      </c>
      <c r="D3351" t="inlineStr">
        <is>
          <t>SKU-10329</t>
        </is>
      </c>
      <c r="E3351" t="inlineStr">
        <is>
          <t>AM11</t>
        </is>
      </c>
      <c r="F3351" s="5" t="n">
        <v>69.95999999999999</v>
      </c>
      <c r="G3351">
        <f>IF(LEFT(B3351,1)="C","Credit","Factuur")</f>
        <v/>
      </c>
      <c r="H3351">
        <f>IF(AND(B3351=B3350,D3351=D3350,A3351=A3350,F3351=F3350),1,0)</f>
        <v/>
      </c>
      <c r="I3351">
        <f>IF(C3351="C99999",1,0)</f>
        <v/>
      </c>
      <c r="J3351" s="5">
        <f>IF(OR(H3351=1,I3351=1),0,IF(G3351="Credit",-F3351,F3351))</f>
        <v/>
      </c>
    </row>
    <row r="3352">
      <c r="A3352" t="inlineStr">
        <is>
          <t>2026-07-31</t>
        </is>
      </c>
      <c r="B3352" t="inlineStr">
        <is>
          <t>F283480</t>
        </is>
      </c>
      <c r="C3352" t="inlineStr">
        <is>
          <t>C11233</t>
        </is>
      </c>
      <c r="D3352" t="inlineStr">
        <is>
          <t>SKU-10333</t>
        </is>
      </c>
      <c r="E3352" t="inlineStr">
        <is>
          <t>AM11</t>
        </is>
      </c>
      <c r="F3352" s="5" t="n">
        <v>65.34</v>
      </c>
      <c r="G3352">
        <f>IF(LEFT(B3352,1)="C","Credit","Factuur")</f>
        <v/>
      </c>
      <c r="H3352">
        <f>IF(AND(B3352=B3351,D3352=D3351,A3352=A3351,F3352=F3351),1,0)</f>
        <v/>
      </c>
      <c r="I3352">
        <f>IF(C3352="C99999",1,0)</f>
        <v/>
      </c>
      <c r="J3352" s="5">
        <f>IF(OR(H3352=1,I3352=1),0,IF(G3352="Credit",-F3352,F3352))</f>
        <v/>
      </c>
    </row>
    <row r="3353">
      <c r="A3353" t="inlineStr">
        <is>
          <t>2026-07-31</t>
        </is>
      </c>
      <c r="B3353" t="inlineStr">
        <is>
          <t>F283560</t>
        </is>
      </c>
      <c r="C3353" t="inlineStr">
        <is>
          <t>C11236</t>
        </is>
      </c>
      <c r="D3353" t="inlineStr">
        <is>
          <t>SKU-10136</t>
        </is>
      </c>
      <c r="E3353" t="inlineStr"/>
      <c r="F3353" s="5" t="n">
        <v>85.70999999999999</v>
      </c>
      <c r="G3353">
        <f>IF(LEFT(B3353,1)="C","Credit","Factuur")</f>
        <v/>
      </c>
      <c r="H3353">
        <f>IF(AND(B3353=B3352,D3353=D3352,A3353=A3352,F3353=F3352),1,0)</f>
        <v/>
      </c>
      <c r="I3353">
        <f>IF(C3353="C99999",1,0)</f>
        <v/>
      </c>
      <c r="J3353" s="5">
        <f>IF(OR(H3353=1,I3353=1),0,IF(G3353="Credit",-F3353,F3353))</f>
        <v/>
      </c>
    </row>
    <row r="3354">
      <c r="A3354" t="inlineStr">
        <is>
          <t>2026-07-31</t>
        </is>
      </c>
      <c r="B3354" t="inlineStr">
        <is>
          <t>F283560</t>
        </is>
      </c>
      <c r="C3354" t="inlineStr">
        <is>
          <t>C11236</t>
        </is>
      </c>
      <c r="D3354" t="inlineStr">
        <is>
          <t>SKU-10151</t>
        </is>
      </c>
      <c r="E3354" t="inlineStr">
        <is>
          <t>AM01</t>
        </is>
      </c>
      <c r="F3354" s="5" t="n">
        <v>86.98</v>
      </c>
      <c r="G3354">
        <f>IF(LEFT(B3354,1)="C","Credit","Factuur")</f>
        <v/>
      </c>
      <c r="H3354">
        <f>IF(AND(B3354=B3353,D3354=D3353,A3354=A3353,F3354=F3353),1,0)</f>
        <v/>
      </c>
      <c r="I3354">
        <f>IF(C3354="C99999",1,0)</f>
        <v/>
      </c>
      <c r="J3354" s="5">
        <f>IF(OR(H3354=1,I3354=1),0,IF(G3354="Credit",-F3354,F3354))</f>
        <v/>
      </c>
    </row>
    <row r="3355">
      <c r="A3355" t="inlineStr">
        <is>
          <t>2026-07-31</t>
        </is>
      </c>
      <c r="B3355" t="inlineStr">
        <is>
          <t>F283560</t>
        </is>
      </c>
      <c r="C3355" t="inlineStr">
        <is>
          <t>C11236</t>
        </is>
      </c>
      <c r="D3355" t="inlineStr">
        <is>
          <t>SKU-10178</t>
        </is>
      </c>
      <c r="E3355" t="inlineStr">
        <is>
          <t>AM01</t>
        </is>
      </c>
      <c r="F3355" s="5" t="n">
        <v>85.73999999999999</v>
      </c>
      <c r="G3355">
        <f>IF(LEFT(B3355,1)="C","Credit","Factuur")</f>
        <v/>
      </c>
      <c r="H3355">
        <f>IF(AND(B3355=B3354,D3355=D3354,A3355=A3354,F3355=F3354),1,0)</f>
        <v/>
      </c>
      <c r="I3355">
        <f>IF(C3355="C99999",1,0)</f>
        <v/>
      </c>
      <c r="J3355" s="5">
        <f>IF(OR(H3355=1,I3355=1),0,IF(G3355="Credit",-F3355,F3355))</f>
        <v/>
      </c>
    </row>
    <row r="3356">
      <c r="A3356" t="inlineStr">
        <is>
          <t>2026-07-31</t>
        </is>
      </c>
      <c r="B3356" t="inlineStr">
        <is>
          <t>F283650</t>
        </is>
      </c>
      <c r="C3356" t="inlineStr">
        <is>
          <t>C11240</t>
        </is>
      </c>
      <c r="D3356" t="inlineStr">
        <is>
          <t>SKU-10078</t>
        </is>
      </c>
      <c r="E3356" t="inlineStr">
        <is>
          <t>AM02</t>
        </is>
      </c>
      <c r="F3356" s="5" t="n">
        <v>175.55</v>
      </c>
      <c r="G3356">
        <f>IF(LEFT(B3356,1)="C","Credit","Factuur")</f>
        <v/>
      </c>
      <c r="H3356">
        <f>IF(AND(B3356=B3355,D3356=D3355,A3356=A3355,F3356=F3355),1,0)</f>
        <v/>
      </c>
      <c r="I3356">
        <f>IF(C3356="C99999",1,0)</f>
        <v/>
      </c>
      <c r="J3356" s="5">
        <f>IF(OR(H3356=1,I3356=1),0,IF(G3356="Credit",-F3356,F3356))</f>
        <v/>
      </c>
    </row>
    <row r="3357">
      <c r="A3357" t="inlineStr">
        <is>
          <t>2026-07-31</t>
        </is>
      </c>
      <c r="B3357" t="inlineStr">
        <is>
          <t>F283650</t>
        </is>
      </c>
      <c r="C3357" t="inlineStr">
        <is>
          <t>C11240</t>
        </is>
      </c>
      <c r="D3357" t="inlineStr">
        <is>
          <t>SKU-10081</t>
        </is>
      </c>
      <c r="E3357" t="inlineStr">
        <is>
          <t>AM02</t>
        </is>
      </c>
      <c r="F3357" s="5" t="n">
        <v>190.71</v>
      </c>
      <c r="G3357">
        <f>IF(LEFT(B3357,1)="C","Credit","Factuur")</f>
        <v/>
      </c>
      <c r="H3357">
        <f>IF(AND(B3357=B3356,D3357=D3356,A3357=A3356,F3357=F3356),1,0)</f>
        <v/>
      </c>
      <c r="I3357">
        <f>IF(C3357="C99999",1,0)</f>
        <v/>
      </c>
      <c r="J3357" s="5">
        <f>IF(OR(H3357=1,I3357=1),0,IF(G3357="Credit",-F3357,F3357))</f>
        <v/>
      </c>
    </row>
    <row r="3358">
      <c r="A3358" t="inlineStr">
        <is>
          <t>2026-07-31</t>
        </is>
      </c>
      <c r="B3358" t="inlineStr">
        <is>
          <t>F283650</t>
        </is>
      </c>
      <c r="C3358" t="inlineStr">
        <is>
          <t>C11240</t>
        </is>
      </c>
      <c r="D3358" t="inlineStr">
        <is>
          <t>SKU-10247</t>
        </is>
      </c>
      <c r="E3358" t="inlineStr">
        <is>
          <t>AM02</t>
        </is>
      </c>
      <c r="F3358" s="5" t="n">
        <v>196.06</v>
      </c>
      <c r="G3358">
        <f>IF(LEFT(B3358,1)="C","Credit","Factuur")</f>
        <v/>
      </c>
      <c r="H3358">
        <f>IF(AND(B3358=B3357,D3358=D3357,A3358=A3357,F3358=F3357),1,0)</f>
        <v/>
      </c>
      <c r="I3358">
        <f>IF(C3358="C99999",1,0)</f>
        <v/>
      </c>
      <c r="J3358" s="5">
        <f>IF(OR(H3358=1,I3358=1),0,IF(G3358="Credit",-F3358,F3358))</f>
        <v/>
      </c>
    </row>
    <row r="3359">
      <c r="A3359" t="inlineStr">
        <is>
          <t>2026-07-31</t>
        </is>
      </c>
      <c r="B3359" t="inlineStr">
        <is>
          <t>F283661</t>
        </is>
      </c>
      <c r="C3359" t="inlineStr">
        <is>
          <t>C11240</t>
        </is>
      </c>
      <c r="D3359" t="inlineStr">
        <is>
          <t>SKU-10021</t>
        </is>
      </c>
      <c r="E3359" t="inlineStr">
        <is>
          <t>AM02</t>
        </is>
      </c>
      <c r="F3359" s="5" t="n">
        <v>81.91</v>
      </c>
      <c r="G3359">
        <f>IF(LEFT(B3359,1)="C","Credit","Factuur")</f>
        <v/>
      </c>
      <c r="H3359">
        <f>IF(AND(B3359=B3358,D3359=D3358,A3359=A3358,F3359=F3358),1,0)</f>
        <v/>
      </c>
      <c r="I3359">
        <f>IF(C3359="C99999",1,0)</f>
        <v/>
      </c>
      <c r="J3359" s="5">
        <f>IF(OR(H3359=1,I3359=1),0,IF(G3359="Credit",-F3359,F3359))</f>
        <v/>
      </c>
    </row>
    <row r="3360">
      <c r="A3360" t="inlineStr">
        <is>
          <t>2026-07-31</t>
        </is>
      </c>
      <c r="B3360" t="inlineStr">
        <is>
          <t>F283661</t>
        </is>
      </c>
      <c r="C3360" t="inlineStr">
        <is>
          <t>C11240</t>
        </is>
      </c>
      <c r="D3360" t="inlineStr">
        <is>
          <t>SKU-10157</t>
        </is>
      </c>
      <c r="E3360" t="inlineStr">
        <is>
          <t>AM02</t>
        </is>
      </c>
      <c r="F3360" s="5" t="n">
        <v>103.93</v>
      </c>
      <c r="G3360">
        <f>IF(LEFT(B3360,1)="C","Credit","Factuur")</f>
        <v/>
      </c>
      <c r="H3360">
        <f>IF(AND(B3360=B3359,D3360=D3359,A3360=A3359,F3360=F3359),1,0)</f>
        <v/>
      </c>
      <c r="I3360">
        <f>IF(C3360="C99999",1,0)</f>
        <v/>
      </c>
      <c r="J3360" s="5">
        <f>IF(OR(H3360=1,I3360=1),0,IF(G3360="Credit",-F3360,F3360))</f>
        <v/>
      </c>
    </row>
    <row r="3361">
      <c r="A3361" t="inlineStr">
        <is>
          <t>2026-07-31</t>
        </is>
      </c>
      <c r="B3361" t="inlineStr">
        <is>
          <t>F283661</t>
        </is>
      </c>
      <c r="C3361" t="inlineStr">
        <is>
          <t>C11240</t>
        </is>
      </c>
      <c r="D3361" t="inlineStr">
        <is>
          <t>SKU-10218</t>
        </is>
      </c>
      <c r="E3361" t="inlineStr">
        <is>
          <t>AM02</t>
        </is>
      </c>
      <c r="F3361" s="5" t="n">
        <v>94.52</v>
      </c>
      <c r="G3361">
        <f>IF(LEFT(B3361,1)="C","Credit","Factuur")</f>
        <v/>
      </c>
      <c r="H3361">
        <f>IF(AND(B3361=B3360,D3361=D3360,A3361=A3360,F3361=F3360),1,0)</f>
        <v/>
      </c>
      <c r="I3361">
        <f>IF(C3361="C99999",1,0)</f>
        <v/>
      </c>
      <c r="J3361" s="5">
        <f>IF(OR(H3361=1,I3361=1),0,IF(G3361="Credit",-F3361,F3361))</f>
        <v/>
      </c>
    </row>
    <row r="3362">
      <c r="A3362" t="inlineStr">
        <is>
          <t>2026-07-31</t>
        </is>
      </c>
      <c r="B3362" t="inlineStr">
        <is>
          <t>F283661</t>
        </is>
      </c>
      <c r="C3362" t="inlineStr">
        <is>
          <t>C11240</t>
        </is>
      </c>
      <c r="D3362" t="inlineStr">
        <is>
          <t>SKU-10253</t>
        </is>
      </c>
      <c r="E3362" t="inlineStr">
        <is>
          <t>AM02</t>
        </is>
      </c>
      <c r="F3362" s="5" t="n">
        <v>94.59</v>
      </c>
      <c r="G3362">
        <f>IF(LEFT(B3362,1)="C","Credit","Factuur")</f>
        <v/>
      </c>
      <c r="H3362">
        <f>IF(AND(B3362=B3361,D3362=D3361,A3362=A3361,F3362=F3361),1,0)</f>
        <v/>
      </c>
      <c r="I3362">
        <f>IF(C3362="C99999",1,0)</f>
        <v/>
      </c>
      <c r="J3362" s="5">
        <f>IF(OR(H3362=1,I3362=1),0,IF(G3362="Credit",-F3362,F3362))</f>
        <v/>
      </c>
    </row>
    <row r="3363">
      <c r="A3363" t="inlineStr">
        <is>
          <t>2026-07-31</t>
        </is>
      </c>
      <c r="B3363" t="inlineStr">
        <is>
          <t>F283661</t>
        </is>
      </c>
      <c r="C3363" t="inlineStr">
        <is>
          <t>C11240</t>
        </is>
      </c>
      <c r="D3363" t="inlineStr">
        <is>
          <t>SKU-10333</t>
        </is>
      </c>
      <c r="E3363" t="inlineStr">
        <is>
          <t>AM02</t>
        </is>
      </c>
      <c r="F3363" s="5" t="n">
        <v>108.9</v>
      </c>
      <c r="G3363">
        <f>IF(LEFT(B3363,1)="C","Credit","Factuur")</f>
        <v/>
      </c>
      <c r="H3363">
        <f>IF(AND(B3363=B3362,D3363=D3362,A3363=A3362,F3363=F3362),1,0)</f>
        <v/>
      </c>
      <c r="I3363">
        <f>IF(C3363="C99999",1,0)</f>
        <v/>
      </c>
      <c r="J3363" s="5">
        <f>IF(OR(H3363=1,I3363=1),0,IF(G3363="Credit",-F3363,F3363))</f>
        <v/>
      </c>
    </row>
    <row r="3364">
      <c r="A3364" t="inlineStr">
        <is>
          <t>2026-07-31</t>
        </is>
      </c>
      <c r="B3364" t="inlineStr">
        <is>
          <t>F283661</t>
        </is>
      </c>
      <c r="C3364" t="inlineStr">
        <is>
          <t>C11240</t>
        </is>
      </c>
      <c r="D3364" t="inlineStr">
        <is>
          <t>SKU-10345</t>
        </is>
      </c>
      <c r="E3364" t="inlineStr">
        <is>
          <t>AM02</t>
        </is>
      </c>
      <c r="F3364" s="5" t="n">
        <v>108.33</v>
      </c>
      <c r="G3364">
        <f>IF(LEFT(B3364,1)="C","Credit","Factuur")</f>
        <v/>
      </c>
      <c r="H3364">
        <f>IF(AND(B3364=B3363,D3364=D3363,A3364=A3363,F3364=F3363),1,0)</f>
        <v/>
      </c>
      <c r="I3364">
        <f>IF(C3364="C99999",1,0)</f>
        <v/>
      </c>
      <c r="J3364" s="5">
        <f>IF(OR(H3364=1,I3364=1),0,IF(G3364="Credit",-F3364,F3364))</f>
        <v/>
      </c>
    </row>
    <row r="3365">
      <c r="A3365" t="inlineStr">
        <is>
          <t>2026-07-31</t>
        </is>
      </c>
      <c r="B3365" t="inlineStr">
        <is>
          <t>F283874</t>
        </is>
      </c>
      <c r="C3365" t="inlineStr">
        <is>
          <t>C11249</t>
        </is>
      </c>
      <c r="D3365" t="inlineStr">
        <is>
          <t>SKU-10005</t>
        </is>
      </c>
      <c r="E3365" t="inlineStr">
        <is>
          <t>AM11</t>
        </is>
      </c>
      <c r="F3365" s="5" t="n">
        <v>480.24</v>
      </c>
      <c r="G3365">
        <f>IF(LEFT(B3365,1)="C","Credit","Factuur")</f>
        <v/>
      </c>
      <c r="H3365">
        <f>IF(AND(B3365=B3364,D3365=D3364,A3365=A3364,F3365=F3364),1,0)</f>
        <v/>
      </c>
      <c r="I3365">
        <f>IF(C3365="C99999",1,0)</f>
        <v/>
      </c>
      <c r="J3365" s="5">
        <f>IF(OR(H3365=1,I3365=1),0,IF(G3365="Credit",-F3365,F3365))</f>
        <v/>
      </c>
    </row>
    <row r="3366">
      <c r="A3366" t="inlineStr">
        <is>
          <t>2026-07-31</t>
        </is>
      </c>
      <c r="B3366" t="inlineStr">
        <is>
          <t>F283874</t>
        </is>
      </c>
      <c r="C3366" t="inlineStr">
        <is>
          <t>C11249</t>
        </is>
      </c>
      <c r="D3366" t="inlineStr">
        <is>
          <t>SKU-10025</t>
        </is>
      </c>
      <c r="E3366" t="inlineStr">
        <is>
          <t>AM11</t>
        </is>
      </c>
      <c r="F3366" s="5" t="n">
        <v>440.51</v>
      </c>
      <c r="G3366">
        <f>IF(LEFT(B3366,1)="C","Credit","Factuur")</f>
        <v/>
      </c>
      <c r="H3366">
        <f>IF(AND(B3366=B3365,D3366=D3365,A3366=A3365,F3366=F3365),1,0)</f>
        <v/>
      </c>
      <c r="I3366">
        <f>IF(C3366="C99999",1,0)</f>
        <v/>
      </c>
      <c r="J3366" s="5">
        <f>IF(OR(H3366=1,I3366=1),0,IF(G3366="Credit",-F3366,F3366))</f>
        <v/>
      </c>
    </row>
    <row r="3367">
      <c r="A3367" t="inlineStr">
        <is>
          <t>2026-07-31</t>
        </is>
      </c>
      <c r="B3367" t="inlineStr">
        <is>
          <t>F283874</t>
        </is>
      </c>
      <c r="C3367" t="inlineStr">
        <is>
          <t>C11249</t>
        </is>
      </c>
      <c r="D3367" t="inlineStr">
        <is>
          <t>SKU-10078</t>
        </is>
      </c>
      <c r="E3367" t="inlineStr">
        <is>
          <t>AM11</t>
        </is>
      </c>
      <c r="F3367" s="5" t="n">
        <v>430.45</v>
      </c>
      <c r="G3367">
        <f>IF(LEFT(B3367,1)="C","Credit","Factuur")</f>
        <v/>
      </c>
      <c r="H3367">
        <f>IF(AND(B3367=B3366,D3367=D3366,A3367=A3366,F3367=F3366),1,0)</f>
        <v/>
      </c>
      <c r="I3367">
        <f>IF(C3367="C99999",1,0)</f>
        <v/>
      </c>
      <c r="J3367" s="5">
        <f>IF(OR(H3367=1,I3367=1),0,IF(G3367="Credit",-F3367,F3367))</f>
        <v/>
      </c>
    </row>
    <row r="3368">
      <c r="A3368" t="inlineStr">
        <is>
          <t>2026-07-31</t>
        </is>
      </c>
      <c r="B3368" t="inlineStr">
        <is>
          <t>F283874</t>
        </is>
      </c>
      <c r="C3368" t="inlineStr">
        <is>
          <t>C11249</t>
        </is>
      </c>
      <c r="D3368" t="inlineStr">
        <is>
          <t>SKU-10147</t>
        </is>
      </c>
      <c r="E3368" t="inlineStr">
        <is>
          <t>AM11</t>
        </is>
      </c>
      <c r="F3368" s="5" t="n">
        <v>428.71</v>
      </c>
      <c r="G3368">
        <f>IF(LEFT(B3368,1)="C","Credit","Factuur")</f>
        <v/>
      </c>
      <c r="H3368">
        <f>IF(AND(B3368=B3367,D3368=D3367,A3368=A3367,F3368=F3367),1,0)</f>
        <v/>
      </c>
      <c r="I3368">
        <f>IF(C3368="C99999",1,0)</f>
        <v/>
      </c>
      <c r="J3368" s="5">
        <f>IF(OR(H3368=1,I3368=1),0,IF(G3368="Credit",-F3368,F3368))</f>
        <v/>
      </c>
    </row>
    <row r="3369">
      <c r="A3369" t="inlineStr">
        <is>
          <t>2026-07-31</t>
        </is>
      </c>
      <c r="B3369" t="inlineStr">
        <is>
          <t>F284074</t>
        </is>
      </c>
      <c r="C3369" t="inlineStr">
        <is>
          <t>C11257</t>
        </is>
      </c>
      <c r="D3369" t="inlineStr">
        <is>
          <t>SKU-10119</t>
        </is>
      </c>
      <c r="E3369" t="inlineStr">
        <is>
          <t>AM06</t>
        </is>
      </c>
      <c r="F3369" s="5" t="n">
        <v>216.84</v>
      </c>
      <c r="G3369">
        <f>IF(LEFT(B3369,1)="C","Credit","Factuur")</f>
        <v/>
      </c>
      <c r="H3369">
        <f>IF(AND(B3369=B3368,D3369=D3368,A3369=A3368,F3369=F3368),1,0)</f>
        <v/>
      </c>
      <c r="I3369">
        <f>IF(C3369="C99999",1,0)</f>
        <v/>
      </c>
      <c r="J3369" s="5">
        <f>IF(OR(H3369=1,I3369=1),0,IF(G3369="Credit",-F3369,F3369))</f>
        <v/>
      </c>
    </row>
    <row r="3370">
      <c r="A3370" t="inlineStr">
        <is>
          <t>2026-07-31</t>
        </is>
      </c>
      <c r="B3370" t="inlineStr">
        <is>
          <t>F284074</t>
        </is>
      </c>
      <c r="C3370" t="inlineStr">
        <is>
          <t>C11257</t>
        </is>
      </c>
      <c r="D3370" t="inlineStr">
        <is>
          <t>SKU-10161</t>
        </is>
      </c>
      <c r="E3370" t="inlineStr">
        <is>
          <t>AM06</t>
        </is>
      </c>
      <c r="F3370" s="5" t="n">
        <v>224.7</v>
      </c>
      <c r="G3370">
        <f>IF(LEFT(B3370,1)="C","Credit","Factuur")</f>
        <v/>
      </c>
      <c r="H3370">
        <f>IF(AND(B3370=B3369,D3370=D3369,A3370=A3369,F3370=F3369),1,0)</f>
        <v/>
      </c>
      <c r="I3370">
        <f>IF(C3370="C99999",1,0)</f>
        <v/>
      </c>
      <c r="J3370" s="5">
        <f>IF(OR(H3370=1,I3370=1),0,IF(G3370="Credit",-F3370,F3370))</f>
        <v/>
      </c>
    </row>
    <row r="3371">
      <c r="A3371" t="inlineStr">
        <is>
          <t>2026-07-31</t>
        </is>
      </c>
      <c r="B3371" t="inlineStr">
        <is>
          <t>F284074</t>
        </is>
      </c>
      <c r="C3371" t="inlineStr">
        <is>
          <t>C11257</t>
        </is>
      </c>
      <c r="D3371" t="inlineStr">
        <is>
          <t>SKU-10336</t>
        </is>
      </c>
      <c r="E3371" t="inlineStr">
        <is>
          <t>AM06</t>
        </is>
      </c>
      <c r="F3371" s="5" t="n">
        <v>222.21</v>
      </c>
      <c r="G3371">
        <f>IF(LEFT(B3371,1)="C","Credit","Factuur")</f>
        <v/>
      </c>
      <c r="H3371">
        <f>IF(AND(B3371=B3370,D3371=D3370,A3371=A3370,F3371=F3370),1,0)</f>
        <v/>
      </c>
      <c r="I3371">
        <f>IF(C3371="C99999",1,0)</f>
        <v/>
      </c>
      <c r="J3371" s="5">
        <f>IF(OR(H3371=1,I3371=1),0,IF(G3371="Credit",-F3371,F3371))</f>
        <v/>
      </c>
    </row>
    <row r="3372">
      <c r="A3372" t="inlineStr">
        <is>
          <t>2026-07-31</t>
        </is>
      </c>
      <c r="B3372" t="inlineStr">
        <is>
          <t>F284074</t>
        </is>
      </c>
      <c r="C3372" t="inlineStr">
        <is>
          <t>C11257</t>
        </is>
      </c>
      <c r="D3372" t="inlineStr">
        <is>
          <t>SKU-10339</t>
        </is>
      </c>
      <c r="E3372" t="inlineStr">
        <is>
          <t>AM06</t>
        </is>
      </c>
      <c r="F3372" s="5" t="n">
        <v>214.46</v>
      </c>
      <c r="G3372">
        <f>IF(LEFT(B3372,1)="C","Credit","Factuur")</f>
        <v/>
      </c>
      <c r="H3372">
        <f>IF(AND(B3372=B3371,D3372=D3371,A3372=A3371,F3372=F3371),1,0)</f>
        <v/>
      </c>
      <c r="I3372">
        <f>IF(C3372="C99999",1,0)</f>
        <v/>
      </c>
      <c r="J3372" s="5">
        <f>IF(OR(H3372=1,I3372=1),0,IF(G3372="Credit",-F3372,F3372))</f>
        <v/>
      </c>
    </row>
    <row r="3373">
      <c r="A3373" t="inlineStr">
        <is>
          <t>2026-07-31</t>
        </is>
      </c>
      <c r="B3373" t="inlineStr">
        <is>
          <t>F284522</t>
        </is>
      </c>
      <c r="C3373" t="inlineStr">
        <is>
          <t>C11286</t>
        </is>
      </c>
      <c r="D3373" t="inlineStr">
        <is>
          <t>SKU-10095</t>
        </is>
      </c>
      <c r="E3373" t="inlineStr">
        <is>
          <t>AM11</t>
        </is>
      </c>
      <c r="F3373" s="5" t="n">
        <v>495.2</v>
      </c>
      <c r="G3373">
        <f>IF(LEFT(B3373,1)="C","Credit","Factuur")</f>
        <v/>
      </c>
      <c r="H3373">
        <f>IF(AND(B3373=B3372,D3373=D3372,A3373=A3372,F3373=F3372),1,0)</f>
        <v/>
      </c>
      <c r="I3373">
        <f>IF(C3373="C99999",1,0)</f>
        <v/>
      </c>
      <c r="J3373" s="5">
        <f>IF(OR(H3373=1,I3373=1),0,IF(G3373="Credit",-F3373,F3373))</f>
        <v/>
      </c>
    </row>
    <row r="3374">
      <c r="A3374" t="inlineStr">
        <is>
          <t>2026-07-31</t>
        </is>
      </c>
      <c r="B3374" t="inlineStr">
        <is>
          <t>F284522</t>
        </is>
      </c>
      <c r="C3374" t="inlineStr">
        <is>
          <t>C11286</t>
        </is>
      </c>
      <c r="D3374" t="inlineStr">
        <is>
          <t>SKU-10300</t>
        </is>
      </c>
      <c r="E3374" t="inlineStr">
        <is>
          <t>AM11</t>
        </is>
      </c>
      <c r="F3374" s="5" t="n">
        <v>513.22</v>
      </c>
      <c r="G3374">
        <f>IF(LEFT(B3374,1)="C","Credit","Factuur")</f>
        <v/>
      </c>
      <c r="H3374">
        <f>IF(AND(B3374=B3373,D3374=D3373,A3374=A3373,F3374=F3373),1,0)</f>
        <v/>
      </c>
      <c r="I3374">
        <f>IF(C3374="C99999",1,0)</f>
        <v/>
      </c>
      <c r="J3374" s="5">
        <f>IF(OR(H3374=1,I3374=1),0,IF(G3374="Credit",-F3374,F3374))</f>
        <v/>
      </c>
    </row>
    <row r="3375">
      <c r="A3375" t="inlineStr">
        <is>
          <t>2026-07-31</t>
        </is>
      </c>
      <c r="B3375" t="inlineStr">
        <is>
          <t>F285383</t>
        </is>
      </c>
      <c r="C3375" t="inlineStr">
        <is>
          <t>C11327</t>
        </is>
      </c>
      <c r="D3375" t="inlineStr">
        <is>
          <t>SKU-10266</t>
        </is>
      </c>
      <c r="E3375" t="inlineStr">
        <is>
          <t>AM11</t>
        </is>
      </c>
      <c r="F3375" s="5" t="n">
        <v>2822.83</v>
      </c>
      <c r="G3375">
        <f>IF(LEFT(B3375,1)="C","Credit","Factuur")</f>
        <v/>
      </c>
      <c r="H3375">
        <f>IF(AND(B3375=B3374,D3375=D3374,A3375=A3374,F3375=F3374),1,0)</f>
        <v/>
      </c>
      <c r="I3375">
        <f>IF(C3375="C99999",1,0)</f>
        <v/>
      </c>
      <c r="J3375" s="5">
        <f>IF(OR(H3375=1,I3375=1),0,IF(G3375="Credit",-F3375,F3375))</f>
        <v/>
      </c>
    </row>
    <row r="3376">
      <c r="A3376" t="inlineStr">
        <is>
          <t>2026-07-31</t>
        </is>
      </c>
      <c r="B3376" t="inlineStr">
        <is>
          <t>F285442</t>
        </is>
      </c>
      <c r="C3376" t="inlineStr">
        <is>
          <t>C11330</t>
        </is>
      </c>
      <c r="D3376" t="inlineStr">
        <is>
          <t>SKU-10248</t>
        </is>
      </c>
      <c r="E3376" t="inlineStr">
        <is>
          <t>AM12</t>
        </is>
      </c>
      <c r="F3376" s="5" t="n">
        <v>1252.94</v>
      </c>
      <c r="G3376">
        <f>IF(LEFT(B3376,1)="C","Credit","Factuur")</f>
        <v/>
      </c>
      <c r="H3376">
        <f>IF(AND(B3376=B3375,D3376=D3375,A3376=A3375,F3376=F3375),1,0)</f>
        <v/>
      </c>
      <c r="I3376">
        <f>IF(C3376="C99999",1,0)</f>
        <v/>
      </c>
      <c r="J3376" s="5">
        <f>IF(OR(H3376=1,I3376=1),0,IF(G3376="Credit",-F3376,F3376))</f>
        <v/>
      </c>
    </row>
    <row r="3377">
      <c r="A3377" t="inlineStr">
        <is>
          <t>2026-07-31</t>
        </is>
      </c>
      <c r="B3377" t="inlineStr">
        <is>
          <t>F285442</t>
        </is>
      </c>
      <c r="C3377" t="inlineStr">
        <is>
          <t>C11330</t>
        </is>
      </c>
      <c r="D3377" t="inlineStr">
        <is>
          <t>SKU-10328</t>
        </is>
      </c>
      <c r="E3377" t="inlineStr">
        <is>
          <t>AM12</t>
        </is>
      </c>
      <c r="F3377" s="5" t="n">
        <v>1099.65</v>
      </c>
      <c r="G3377">
        <f>IF(LEFT(B3377,1)="C","Credit","Factuur")</f>
        <v/>
      </c>
      <c r="H3377">
        <f>IF(AND(B3377=B3376,D3377=D3376,A3377=A3376,F3377=F3376),1,0)</f>
        <v/>
      </c>
      <c r="I3377">
        <f>IF(C3377="C99999",1,0)</f>
        <v/>
      </c>
      <c r="J3377" s="5">
        <f>IF(OR(H3377=1,I3377=1),0,IF(G3377="Credit",-F3377,F3377))</f>
        <v/>
      </c>
    </row>
    <row r="3378">
      <c r="A3378" t="inlineStr">
        <is>
          <t>2026-07-31</t>
        </is>
      </c>
      <c r="B3378" t="inlineStr">
        <is>
          <t>F285882</t>
        </is>
      </c>
      <c r="C3378" t="inlineStr">
        <is>
          <t>C11354</t>
        </is>
      </c>
      <c r="D3378" t="inlineStr">
        <is>
          <t>SKU-10175</t>
        </is>
      </c>
      <c r="E3378" t="inlineStr">
        <is>
          <t>AM08</t>
        </is>
      </c>
      <c r="F3378" s="5" t="n">
        <v>750.89</v>
      </c>
      <c r="G3378">
        <f>IF(LEFT(B3378,1)="C","Credit","Factuur")</f>
        <v/>
      </c>
      <c r="H3378">
        <f>IF(AND(B3378=B3377,D3378=D3377,A3378=A3377,F3378=F3377),1,0)</f>
        <v/>
      </c>
      <c r="I3378">
        <f>IF(C3378="C99999",1,0)</f>
        <v/>
      </c>
      <c r="J3378" s="5">
        <f>IF(OR(H3378=1,I3378=1),0,IF(G3378="Credit",-F3378,F3378))</f>
        <v/>
      </c>
    </row>
    <row r="3379">
      <c r="A3379" t="inlineStr">
        <is>
          <t>2026-07-31</t>
        </is>
      </c>
      <c r="B3379" t="inlineStr">
        <is>
          <t>F285882</t>
        </is>
      </c>
      <c r="C3379" t="inlineStr">
        <is>
          <t>C11354</t>
        </is>
      </c>
      <c r="D3379" t="inlineStr">
        <is>
          <t>SKU-10203</t>
        </is>
      </c>
      <c r="E3379" t="inlineStr">
        <is>
          <t>AM08</t>
        </is>
      </c>
      <c r="F3379" s="5" t="n">
        <v>757.86</v>
      </c>
      <c r="G3379">
        <f>IF(LEFT(B3379,1)="C","Credit","Factuur")</f>
        <v/>
      </c>
      <c r="H3379">
        <f>IF(AND(B3379=B3378,D3379=D3378,A3379=A3378,F3379=F3378),1,0)</f>
        <v/>
      </c>
      <c r="I3379">
        <f>IF(C3379="C99999",1,0)</f>
        <v/>
      </c>
      <c r="J3379" s="5">
        <f>IF(OR(H3379=1,I3379=1),0,IF(G3379="Credit",-F3379,F3379))</f>
        <v/>
      </c>
    </row>
    <row r="3380">
      <c r="A3380" t="inlineStr">
        <is>
          <t>2026-07-31</t>
        </is>
      </c>
      <c r="B3380" t="inlineStr">
        <is>
          <t>F285882</t>
        </is>
      </c>
      <c r="C3380" t="inlineStr">
        <is>
          <t>C11354</t>
        </is>
      </c>
      <c r="D3380" t="inlineStr">
        <is>
          <t>SKU-10320</t>
        </is>
      </c>
      <c r="E3380" t="inlineStr">
        <is>
          <t>AM08</t>
        </is>
      </c>
      <c r="F3380" s="5" t="n">
        <v>751.74</v>
      </c>
      <c r="G3380">
        <f>IF(LEFT(B3380,1)="C","Credit","Factuur")</f>
        <v/>
      </c>
      <c r="H3380">
        <f>IF(AND(B3380=B3379,D3380=D3379,A3380=A3379,F3380=F3379),1,0)</f>
        <v/>
      </c>
      <c r="I3380">
        <f>IF(C3380="C99999",1,0)</f>
        <v/>
      </c>
      <c r="J3380" s="5">
        <f>IF(OR(H3380=1,I3380=1),0,IF(G3380="Credit",-F3380,F3380))</f>
        <v/>
      </c>
    </row>
    <row r="3381">
      <c r="A3381" t="inlineStr">
        <is>
          <t>2026-07-31</t>
        </is>
      </c>
      <c r="B3381" t="inlineStr">
        <is>
          <t>F286239</t>
        </is>
      </c>
      <c r="C3381" t="inlineStr">
        <is>
          <t>C11372</t>
        </is>
      </c>
      <c r="D3381" t="inlineStr">
        <is>
          <t>SKU-10086</t>
        </is>
      </c>
      <c r="E3381" t="inlineStr">
        <is>
          <t>AM09</t>
        </is>
      </c>
      <c r="F3381" s="5" t="n">
        <v>299.46</v>
      </c>
      <c r="G3381">
        <f>IF(LEFT(B3381,1)="C","Credit","Factuur")</f>
        <v/>
      </c>
      <c r="H3381">
        <f>IF(AND(B3381=B3380,D3381=D3380,A3381=A3380,F3381=F3380),1,0)</f>
        <v/>
      </c>
      <c r="I3381">
        <f>IF(C3381="C99999",1,0)</f>
        <v/>
      </c>
      <c r="J3381" s="5">
        <f>IF(OR(H3381=1,I3381=1),0,IF(G3381="Credit",-F3381,F3381))</f>
        <v/>
      </c>
    </row>
    <row r="3382">
      <c r="A3382" t="inlineStr">
        <is>
          <t>2026-07-31</t>
        </is>
      </c>
      <c r="B3382" t="inlineStr">
        <is>
          <t>F286239</t>
        </is>
      </c>
      <c r="C3382" t="inlineStr">
        <is>
          <t>C11372</t>
        </is>
      </c>
      <c r="D3382" t="inlineStr">
        <is>
          <t>SKU-10180</t>
        </is>
      </c>
      <c r="E3382" t="inlineStr">
        <is>
          <t>AM09</t>
        </is>
      </c>
      <c r="F3382" s="5" t="n">
        <v>294.99</v>
      </c>
      <c r="G3382">
        <f>IF(LEFT(B3382,1)="C","Credit","Factuur")</f>
        <v/>
      </c>
      <c r="H3382">
        <f>IF(AND(B3382=B3381,D3382=D3381,A3382=A3381,F3382=F3381),1,0)</f>
        <v/>
      </c>
      <c r="I3382">
        <f>IF(C3382="C99999",1,0)</f>
        <v/>
      </c>
      <c r="J3382" s="5">
        <f>IF(OR(H3382=1,I3382=1),0,IF(G3382="Credit",-F3382,F3382))</f>
        <v/>
      </c>
    </row>
    <row r="3383">
      <c r="A3383" t="inlineStr">
        <is>
          <t>2026-07-31</t>
        </is>
      </c>
      <c r="B3383" t="inlineStr">
        <is>
          <t>F286239</t>
        </is>
      </c>
      <c r="C3383" t="inlineStr">
        <is>
          <t>C11372</t>
        </is>
      </c>
      <c r="D3383" t="inlineStr">
        <is>
          <t>SKU-10199</t>
        </is>
      </c>
      <c r="E3383" t="inlineStr">
        <is>
          <t>AM09</t>
        </is>
      </c>
      <c r="F3383" s="5" t="n">
        <v>298.83</v>
      </c>
      <c r="G3383">
        <f>IF(LEFT(B3383,1)="C","Credit","Factuur")</f>
        <v/>
      </c>
      <c r="H3383">
        <f>IF(AND(B3383=B3382,D3383=D3382,A3383=A3382,F3383=F3382),1,0)</f>
        <v/>
      </c>
      <c r="I3383">
        <f>IF(C3383="C99999",1,0)</f>
        <v/>
      </c>
      <c r="J3383" s="5">
        <f>IF(OR(H3383=1,I3383=1),0,IF(G3383="Credit",-F3383,F3383))</f>
        <v/>
      </c>
    </row>
    <row r="3384">
      <c r="A3384" t="inlineStr">
        <is>
          <t>2026-07-31</t>
        </is>
      </c>
      <c r="B3384" t="inlineStr">
        <is>
          <t>F286437</t>
        </is>
      </c>
      <c r="C3384" t="inlineStr">
        <is>
          <t>C99999</t>
        </is>
      </c>
      <c r="D3384" t="inlineStr">
        <is>
          <t>SKU-10072</t>
        </is>
      </c>
      <c r="E3384" t="inlineStr">
        <is>
          <t>IS01</t>
        </is>
      </c>
      <c r="F3384" s="5" t="n">
        <v>261.15</v>
      </c>
      <c r="G3384">
        <f>IF(LEFT(B3384,1)="C","Credit","Factuur")</f>
        <v/>
      </c>
      <c r="H3384">
        <f>IF(AND(B3384=B3383,D3384=D3383,A3384=A3383,F3384=F3383),1,0)</f>
        <v/>
      </c>
      <c r="I3384">
        <f>IF(C3384="C99999",1,0)</f>
        <v/>
      </c>
      <c r="J3384" s="5">
        <f>IF(OR(H3384=1,I3384=1),0,IF(G3384="Credit",-F3384,F3384))</f>
        <v/>
      </c>
    </row>
    <row r="3385">
      <c r="A3385" t="inlineStr">
        <is>
          <t>2026-08-01</t>
        </is>
      </c>
      <c r="B3385" t="inlineStr">
        <is>
          <t>C901309</t>
        </is>
      </c>
      <c r="C3385" t="inlineStr">
        <is>
          <t>C10228</t>
        </is>
      </c>
      <c r="D3385" t="inlineStr">
        <is>
          <t>SKU-10228</t>
        </is>
      </c>
      <c r="E3385" t="inlineStr">
        <is>
          <t>AM02</t>
        </is>
      </c>
      <c r="F3385" s="5" t="n">
        <v>70.11</v>
      </c>
      <c r="G3385">
        <f>IF(LEFT(B3385,1)="C","Credit","Factuur")</f>
        <v/>
      </c>
      <c r="H3385">
        <f>IF(AND(B3385=B3384,D3385=D3384,A3385=A3384,F3385=F3384),1,0)</f>
        <v/>
      </c>
      <c r="I3385">
        <f>IF(C3385="C99999",1,0)</f>
        <v/>
      </c>
      <c r="J3385" s="5">
        <f>IF(OR(H3385=1,I3385=1),0,IF(G3385="Credit",-F3385,F3385))</f>
        <v/>
      </c>
    </row>
    <row r="3386">
      <c r="A3386" t="inlineStr">
        <is>
          <t>2026-08-02</t>
        </is>
      </c>
      <c r="B3386" t="inlineStr">
        <is>
          <t>C900007</t>
        </is>
      </c>
      <c r="C3386" t="inlineStr">
        <is>
          <t>C10945</t>
        </is>
      </c>
      <c r="D3386" t="inlineStr">
        <is>
          <t>SKU-10102</t>
        </is>
      </c>
      <c r="E3386" t="inlineStr">
        <is>
          <t>AM03</t>
        </is>
      </c>
      <c r="F3386" s="5" t="n">
        <v>86.23999999999999</v>
      </c>
      <c r="G3386">
        <f>IF(LEFT(B3386,1)="C","Credit","Factuur")</f>
        <v/>
      </c>
      <c r="H3386">
        <f>IF(AND(B3386=B3385,D3386=D3385,A3386=A3385,F3386=F3385),1,0)</f>
        <v/>
      </c>
      <c r="I3386">
        <f>IF(C3386="C99999",1,0)</f>
        <v/>
      </c>
      <c r="J3386" s="5">
        <f>IF(OR(H3386=1,I3386=1),0,IF(G3386="Credit",-F3386,F3386))</f>
        <v/>
      </c>
    </row>
    <row r="3387">
      <c r="A3387" t="inlineStr">
        <is>
          <t>2026-08-02</t>
        </is>
      </c>
      <c r="B3387" t="inlineStr">
        <is>
          <t>C900624</t>
        </is>
      </c>
      <c r="C3387" t="inlineStr">
        <is>
          <t>C11250</t>
        </is>
      </c>
      <c r="D3387" t="inlineStr">
        <is>
          <t>SKU-10133</t>
        </is>
      </c>
      <c r="E3387" t="inlineStr">
        <is>
          <t>AM05</t>
        </is>
      </c>
      <c r="F3387" s="5" t="n">
        <v>132.34</v>
      </c>
      <c r="G3387">
        <f>IF(LEFT(B3387,1)="C","Credit","Factuur")</f>
        <v/>
      </c>
      <c r="H3387">
        <f>IF(AND(B3387=B3386,D3387=D3386,A3387=A3386,F3387=F3386),1,0)</f>
        <v/>
      </c>
      <c r="I3387">
        <f>IF(C3387="C99999",1,0)</f>
        <v/>
      </c>
      <c r="J3387" s="5">
        <f>IF(OR(H3387=1,I3387=1),0,IF(G3387="Credit",-F3387,F3387))</f>
        <v/>
      </c>
    </row>
    <row r="3388">
      <c r="A3388" t="inlineStr">
        <is>
          <t>2026-08-02</t>
        </is>
      </c>
      <c r="B3388" t="inlineStr">
        <is>
          <t>C901123</t>
        </is>
      </c>
      <c r="C3388" t="inlineStr">
        <is>
          <t>C11044</t>
        </is>
      </c>
      <c r="D3388" t="inlineStr">
        <is>
          <t>SKU-10337</t>
        </is>
      </c>
      <c r="E3388" t="inlineStr">
        <is>
          <t>AM11</t>
        </is>
      </c>
      <c r="F3388" s="5" t="n">
        <v>170.43</v>
      </c>
      <c r="G3388">
        <f>IF(LEFT(B3388,1)="C","Credit","Factuur")</f>
        <v/>
      </c>
      <c r="H3388">
        <f>IF(AND(B3388=B3387,D3388=D3387,A3388=A3387,F3388=F3387),1,0)</f>
        <v/>
      </c>
      <c r="I3388">
        <f>IF(C3388="C99999",1,0)</f>
        <v/>
      </c>
      <c r="J3388" s="5">
        <f>IF(OR(H3388=1,I3388=1),0,IF(G3388="Credit",-F3388,F3388))</f>
        <v/>
      </c>
    </row>
    <row r="3389">
      <c r="A3389" t="inlineStr">
        <is>
          <t>2026-08-03</t>
        </is>
      </c>
      <c r="B3389" t="inlineStr">
        <is>
          <t>C900468</t>
        </is>
      </c>
      <c r="C3389" t="inlineStr">
        <is>
          <t>C10397</t>
        </is>
      </c>
      <c r="D3389" t="inlineStr">
        <is>
          <t>SKU-10111</t>
        </is>
      </c>
      <c r="E3389" t="inlineStr">
        <is>
          <t>AM03</t>
        </is>
      </c>
      <c r="F3389" s="5" t="n">
        <v>100.73</v>
      </c>
      <c r="G3389">
        <f>IF(LEFT(B3389,1)="C","Credit","Factuur")</f>
        <v/>
      </c>
      <c r="H3389">
        <f>IF(AND(B3389=B3388,D3389=D3388,A3389=A3388,F3389=F3388),1,0)</f>
        <v/>
      </c>
      <c r="I3389">
        <f>IF(C3389="C99999",1,0)</f>
        <v/>
      </c>
      <c r="J3389" s="5">
        <f>IF(OR(H3389=1,I3389=1),0,IF(G3389="Credit",-F3389,F3389))</f>
        <v/>
      </c>
    </row>
    <row r="3390">
      <c r="A3390" t="inlineStr">
        <is>
          <t>2026-08-03</t>
        </is>
      </c>
      <c r="B3390" t="inlineStr">
        <is>
          <t>C900985</t>
        </is>
      </c>
      <c r="C3390" t="inlineStr">
        <is>
          <t>C11216</t>
        </is>
      </c>
      <c r="D3390" t="inlineStr">
        <is>
          <t>SKU-10266</t>
        </is>
      </c>
      <c r="E3390" t="inlineStr">
        <is>
          <t>AM05</t>
        </is>
      </c>
      <c r="F3390" s="5" t="n">
        <v>71.59999999999999</v>
      </c>
      <c r="G3390">
        <f>IF(LEFT(B3390,1)="C","Credit","Factuur")</f>
        <v/>
      </c>
      <c r="H3390">
        <f>IF(AND(B3390=B3389,D3390=D3389,A3390=A3389,F3390=F3389),1,0)</f>
        <v/>
      </c>
      <c r="I3390">
        <f>IF(C3390="C99999",1,0)</f>
        <v/>
      </c>
      <c r="J3390" s="5">
        <f>IF(OR(H3390=1,I3390=1),0,IF(G3390="Credit",-F3390,F3390))</f>
        <v/>
      </c>
    </row>
    <row r="3391">
      <c r="A3391" t="inlineStr">
        <is>
          <t>2026-08-03</t>
        </is>
      </c>
      <c r="B3391" t="inlineStr">
        <is>
          <t>C901735</t>
        </is>
      </c>
      <c r="C3391" t="inlineStr">
        <is>
          <t>C10818</t>
        </is>
      </c>
      <c r="D3391" t="inlineStr">
        <is>
          <t>SKU-10344</t>
        </is>
      </c>
      <c r="E3391" t="inlineStr">
        <is>
          <t>AM07</t>
        </is>
      </c>
      <c r="F3391" s="5" t="n">
        <v>372.4</v>
      </c>
      <c r="G3391">
        <f>IF(LEFT(B3391,1)="C","Credit","Factuur")</f>
        <v/>
      </c>
      <c r="H3391">
        <f>IF(AND(B3391=B3390,D3391=D3390,A3391=A3390,F3391=F3390),1,0)</f>
        <v/>
      </c>
      <c r="I3391">
        <f>IF(C3391="C99999",1,0)</f>
        <v/>
      </c>
      <c r="J3391" s="5">
        <f>IF(OR(H3391=1,I3391=1),0,IF(G3391="Credit",-F3391,F3391))</f>
        <v/>
      </c>
    </row>
    <row r="3392">
      <c r="A3392" t="inlineStr">
        <is>
          <t>2026-08-03</t>
        </is>
      </c>
      <c r="B3392" t="inlineStr">
        <is>
          <t>F260412</t>
        </is>
      </c>
      <c r="C3392" t="inlineStr">
        <is>
          <t>C10022</t>
        </is>
      </c>
      <c r="D3392" t="inlineStr">
        <is>
          <t>SKU-10275</t>
        </is>
      </c>
      <c r="E3392" t="inlineStr">
        <is>
          <t>AM08</t>
        </is>
      </c>
      <c r="F3392" s="5" t="n">
        <v>2010.05</v>
      </c>
      <c r="G3392">
        <f>IF(LEFT(B3392,1)="C","Credit","Factuur")</f>
        <v/>
      </c>
      <c r="H3392">
        <f>IF(AND(B3392=B3391,D3392=D3391,A3392=A3391,F3392=F3391),1,0)</f>
        <v/>
      </c>
      <c r="I3392">
        <f>IF(C3392="C99999",1,0)</f>
        <v/>
      </c>
      <c r="J3392" s="5">
        <f>IF(OR(H3392=1,I3392=1),0,IF(G3392="Credit",-F3392,F3392))</f>
        <v/>
      </c>
    </row>
    <row r="3393">
      <c r="A3393" t="inlineStr">
        <is>
          <t>2026-08-03</t>
        </is>
      </c>
      <c r="B3393" t="inlineStr">
        <is>
          <t>F260466</t>
        </is>
      </c>
      <c r="C3393" t="inlineStr">
        <is>
          <t>C10024</t>
        </is>
      </c>
      <c r="D3393" t="inlineStr">
        <is>
          <t>SKU-10254</t>
        </is>
      </c>
      <c r="E3393" t="inlineStr">
        <is>
          <t>AM03</t>
        </is>
      </c>
      <c r="F3393" s="5" t="n">
        <v>631.35</v>
      </c>
      <c r="G3393">
        <f>IF(LEFT(B3393,1)="C","Credit","Factuur")</f>
        <v/>
      </c>
      <c r="H3393">
        <f>IF(AND(B3393=B3392,D3393=D3392,A3393=A3392,F3393=F3392),1,0)</f>
        <v/>
      </c>
      <c r="I3393">
        <f>IF(C3393="C99999",1,0)</f>
        <v/>
      </c>
      <c r="J3393" s="5">
        <f>IF(OR(H3393=1,I3393=1),0,IF(G3393="Credit",-F3393,F3393))</f>
        <v/>
      </c>
    </row>
    <row r="3394">
      <c r="A3394" t="inlineStr">
        <is>
          <t>2026-08-03</t>
        </is>
      </c>
      <c r="B3394" t="inlineStr">
        <is>
          <t>F262244</t>
        </is>
      </c>
      <c r="C3394" t="inlineStr">
        <is>
          <t>C10120</t>
        </is>
      </c>
      <c r="D3394" t="inlineStr">
        <is>
          <t>SKU-10064</t>
        </is>
      </c>
      <c r="E3394" t="inlineStr">
        <is>
          <t>AM02</t>
        </is>
      </c>
      <c r="F3394" s="5" t="n">
        <v>138.27</v>
      </c>
      <c r="G3394">
        <f>IF(LEFT(B3394,1)="C","Credit","Factuur")</f>
        <v/>
      </c>
      <c r="H3394">
        <f>IF(AND(B3394=B3393,D3394=D3393,A3394=A3393,F3394=F3393),1,0)</f>
        <v/>
      </c>
      <c r="I3394">
        <f>IF(C3394="C99999",1,0)</f>
        <v/>
      </c>
      <c r="J3394" s="5">
        <f>IF(OR(H3394=1,I3394=1),0,IF(G3394="Credit",-F3394,F3394))</f>
        <v/>
      </c>
    </row>
    <row r="3395">
      <c r="A3395" t="inlineStr">
        <is>
          <t>2026-08-03</t>
        </is>
      </c>
      <c r="B3395" t="inlineStr">
        <is>
          <t>F262244</t>
        </is>
      </c>
      <c r="C3395" t="inlineStr">
        <is>
          <t>C10120</t>
        </is>
      </c>
      <c r="D3395" t="inlineStr">
        <is>
          <t>SKU-10070</t>
        </is>
      </c>
      <c r="E3395" t="inlineStr">
        <is>
          <t>AM02</t>
        </is>
      </c>
      <c r="F3395" s="5" t="n">
        <v>145.59</v>
      </c>
      <c r="G3395">
        <f>IF(LEFT(B3395,1)="C","Credit","Factuur")</f>
        <v/>
      </c>
      <c r="H3395">
        <f>IF(AND(B3395=B3394,D3395=D3394,A3395=A3394,F3395=F3394),1,0)</f>
        <v/>
      </c>
      <c r="I3395">
        <f>IF(C3395="C99999",1,0)</f>
        <v/>
      </c>
      <c r="J3395" s="5">
        <f>IF(OR(H3395=1,I3395=1),0,IF(G3395="Credit",-F3395,F3395))</f>
        <v/>
      </c>
    </row>
    <row r="3396">
      <c r="A3396" t="inlineStr">
        <is>
          <t>2026-08-03</t>
        </is>
      </c>
      <c r="B3396" t="inlineStr">
        <is>
          <t>F262244</t>
        </is>
      </c>
      <c r="C3396" t="inlineStr">
        <is>
          <t>C10120</t>
        </is>
      </c>
      <c r="D3396" t="inlineStr">
        <is>
          <t>SKU-10268</t>
        </is>
      </c>
      <c r="E3396" t="inlineStr">
        <is>
          <t>AM02</t>
        </is>
      </c>
      <c r="F3396" s="5" t="n">
        <v>143.92</v>
      </c>
      <c r="G3396">
        <f>IF(LEFT(B3396,1)="C","Credit","Factuur")</f>
        <v/>
      </c>
      <c r="H3396">
        <f>IF(AND(B3396=B3395,D3396=D3395,A3396=A3395,F3396=F3395),1,0)</f>
        <v/>
      </c>
      <c r="I3396">
        <f>IF(C3396="C99999",1,0)</f>
        <v/>
      </c>
      <c r="J3396" s="5">
        <f>IF(OR(H3396=1,I3396=1),0,IF(G3396="Credit",-F3396,F3396))</f>
        <v/>
      </c>
    </row>
    <row r="3397">
      <c r="A3397" t="inlineStr">
        <is>
          <t>2026-08-03</t>
        </is>
      </c>
      <c r="B3397" t="inlineStr">
        <is>
          <t>F263020</t>
        </is>
      </c>
      <c r="C3397" t="inlineStr">
        <is>
          <t>C10162</t>
        </is>
      </c>
      <c r="D3397" t="inlineStr">
        <is>
          <t>SKU-10117</t>
        </is>
      </c>
      <c r="E3397" t="inlineStr">
        <is>
          <t>AM03</t>
        </is>
      </c>
      <c r="F3397" s="5" t="n">
        <v>242.32</v>
      </c>
      <c r="G3397">
        <f>IF(LEFT(B3397,1)="C","Credit","Factuur")</f>
        <v/>
      </c>
      <c r="H3397">
        <f>IF(AND(B3397=B3396,D3397=D3396,A3397=A3396,F3397=F3396),1,0)</f>
        <v/>
      </c>
      <c r="I3397">
        <f>IF(C3397="C99999",1,0)</f>
        <v/>
      </c>
      <c r="J3397" s="5">
        <f>IF(OR(H3397=1,I3397=1),0,IF(G3397="Credit",-F3397,F3397))</f>
        <v/>
      </c>
    </row>
    <row r="3398">
      <c r="A3398" t="inlineStr">
        <is>
          <t>2026-08-03</t>
        </is>
      </c>
      <c r="B3398" t="inlineStr">
        <is>
          <t>F263110</t>
        </is>
      </c>
      <c r="C3398" t="inlineStr">
        <is>
          <t>C10166</t>
        </is>
      </c>
      <c r="D3398" t="inlineStr">
        <is>
          <t>SKU-10074</t>
        </is>
      </c>
      <c r="E3398" t="inlineStr">
        <is>
          <t>AM01</t>
        </is>
      </c>
      <c r="F3398" s="5" t="n">
        <v>159.57</v>
      </c>
      <c r="G3398">
        <f>IF(LEFT(B3398,1)="C","Credit","Factuur")</f>
        <v/>
      </c>
      <c r="H3398">
        <f>IF(AND(B3398=B3397,D3398=D3397,A3398=A3397,F3398=F3397),1,0)</f>
        <v/>
      </c>
      <c r="I3398">
        <f>IF(C3398="C99999",1,0)</f>
        <v/>
      </c>
      <c r="J3398" s="5">
        <f>IF(OR(H3398=1,I3398=1),0,IF(G3398="Credit",-F3398,F3398))</f>
        <v/>
      </c>
    </row>
    <row r="3399">
      <c r="A3399" t="inlineStr">
        <is>
          <t>2026-08-03</t>
        </is>
      </c>
      <c r="B3399" t="inlineStr">
        <is>
          <t>F263110</t>
        </is>
      </c>
      <c r="C3399" t="inlineStr">
        <is>
          <t>C10166</t>
        </is>
      </c>
      <c r="D3399" t="inlineStr">
        <is>
          <t>SKU-10140</t>
        </is>
      </c>
      <c r="E3399" t="inlineStr">
        <is>
          <t>AM01</t>
        </is>
      </c>
      <c r="F3399" s="5" t="n">
        <v>104.92</v>
      </c>
      <c r="G3399">
        <f>IF(LEFT(B3399,1)="C","Credit","Factuur")</f>
        <v/>
      </c>
      <c r="H3399">
        <f>IF(AND(B3399=B3398,D3399=D3398,A3399=A3398,F3399=F3398),1,0)</f>
        <v/>
      </c>
      <c r="I3399">
        <f>IF(C3399="C99999",1,0)</f>
        <v/>
      </c>
      <c r="J3399" s="5">
        <f>IF(OR(H3399=1,I3399=1),0,IF(G3399="Credit",-F3399,F3399))</f>
        <v/>
      </c>
    </row>
    <row r="3400">
      <c r="A3400" t="inlineStr">
        <is>
          <t>2026-08-03</t>
        </is>
      </c>
      <c r="B3400" t="inlineStr">
        <is>
          <t>F263110</t>
        </is>
      </c>
      <c r="C3400" t="inlineStr">
        <is>
          <t>C10166</t>
        </is>
      </c>
      <c r="D3400" t="inlineStr">
        <is>
          <t>SKU-10149</t>
        </is>
      </c>
      <c r="E3400" t="inlineStr">
        <is>
          <t>AM01</t>
        </is>
      </c>
      <c r="F3400" s="5" t="n">
        <v>145.16</v>
      </c>
      <c r="G3400">
        <f>IF(LEFT(B3400,1)="C","Credit","Factuur")</f>
        <v/>
      </c>
      <c r="H3400">
        <f>IF(AND(B3400=B3399,D3400=D3399,A3400=A3399,F3400=F3399),1,0)</f>
        <v/>
      </c>
      <c r="I3400">
        <f>IF(C3400="C99999",1,0)</f>
        <v/>
      </c>
      <c r="J3400" s="5">
        <f>IF(OR(H3400=1,I3400=1),0,IF(G3400="Credit",-F3400,F3400))</f>
        <v/>
      </c>
    </row>
    <row r="3401">
      <c r="A3401" t="inlineStr">
        <is>
          <t>2026-08-03</t>
        </is>
      </c>
      <c r="B3401" t="inlineStr">
        <is>
          <t>F263110</t>
        </is>
      </c>
      <c r="C3401" t="inlineStr">
        <is>
          <t>C10166</t>
        </is>
      </c>
      <c r="D3401" t="inlineStr">
        <is>
          <t>SKU-10289</t>
        </is>
      </c>
      <c r="E3401" t="inlineStr">
        <is>
          <t>AM01</t>
        </is>
      </c>
      <c r="F3401" s="5" t="n">
        <v>153.56</v>
      </c>
      <c r="G3401">
        <f>IF(LEFT(B3401,1)="C","Credit","Factuur")</f>
        <v/>
      </c>
      <c r="H3401">
        <f>IF(AND(B3401=B3400,D3401=D3400,A3401=A3400,F3401=F3400),1,0)</f>
        <v/>
      </c>
      <c r="I3401">
        <f>IF(C3401="C99999",1,0)</f>
        <v/>
      </c>
      <c r="J3401" s="5">
        <f>IF(OR(H3401=1,I3401=1),0,IF(G3401="Credit",-F3401,F3401))</f>
        <v/>
      </c>
    </row>
    <row r="3402">
      <c r="A3402" t="inlineStr">
        <is>
          <t>2026-08-03</t>
        </is>
      </c>
      <c r="B3402" t="inlineStr">
        <is>
          <t>F263110</t>
        </is>
      </c>
      <c r="C3402" t="inlineStr">
        <is>
          <t>C10166</t>
        </is>
      </c>
      <c r="D3402" t="inlineStr">
        <is>
          <t>SKU-10317</t>
        </is>
      </c>
      <c r="E3402" t="inlineStr">
        <is>
          <t>AM01</t>
        </is>
      </c>
      <c r="F3402" s="5" t="n">
        <v>138.55</v>
      </c>
      <c r="G3402">
        <f>IF(LEFT(B3402,1)="C","Credit","Factuur")</f>
        <v/>
      </c>
      <c r="H3402">
        <f>IF(AND(B3402=B3401,D3402=D3401,A3402=A3401,F3402=F3401),1,0)</f>
        <v/>
      </c>
      <c r="I3402">
        <f>IF(C3402="C99999",1,0)</f>
        <v/>
      </c>
      <c r="J3402" s="5">
        <f>IF(OR(H3402=1,I3402=1),0,IF(G3402="Credit",-F3402,F3402))</f>
        <v/>
      </c>
    </row>
    <row r="3403">
      <c r="A3403" t="inlineStr">
        <is>
          <t>2026-08-03</t>
        </is>
      </c>
      <c r="B3403" t="inlineStr">
        <is>
          <t>F263589</t>
        </is>
      </c>
      <c r="C3403" t="inlineStr">
        <is>
          <t>C10193</t>
        </is>
      </c>
      <c r="D3403" t="inlineStr">
        <is>
          <t>SKU-10075</t>
        </is>
      </c>
      <c r="E3403" t="inlineStr">
        <is>
          <t>AM02</t>
        </is>
      </c>
      <c r="F3403" s="5" t="n">
        <v>492.99</v>
      </c>
      <c r="G3403">
        <f>IF(LEFT(B3403,1)="C","Credit","Factuur")</f>
        <v/>
      </c>
      <c r="H3403">
        <f>IF(AND(B3403=B3402,D3403=D3402,A3403=A3402,F3403=F3402),1,0)</f>
        <v/>
      </c>
      <c r="I3403">
        <f>IF(C3403="C99999",1,0)</f>
        <v/>
      </c>
      <c r="J3403" s="5">
        <f>IF(OR(H3403=1,I3403=1),0,IF(G3403="Credit",-F3403,F3403))</f>
        <v/>
      </c>
    </row>
    <row r="3404">
      <c r="A3404" t="inlineStr">
        <is>
          <t>2026-08-03</t>
        </is>
      </c>
      <c r="B3404" t="inlineStr">
        <is>
          <t>F263589</t>
        </is>
      </c>
      <c r="C3404" t="inlineStr">
        <is>
          <t>C10193</t>
        </is>
      </c>
      <c r="D3404" t="inlineStr">
        <is>
          <t>SKU-10116</t>
        </is>
      </c>
      <c r="E3404" t="inlineStr">
        <is>
          <t>AM02</t>
        </is>
      </c>
      <c r="F3404" s="5" t="n">
        <v>520.8</v>
      </c>
      <c r="G3404">
        <f>IF(LEFT(B3404,1)="C","Credit","Factuur")</f>
        <v/>
      </c>
      <c r="H3404">
        <f>IF(AND(B3404=B3403,D3404=D3403,A3404=A3403,F3404=F3403),1,0)</f>
        <v/>
      </c>
      <c r="I3404">
        <f>IF(C3404="C99999",1,0)</f>
        <v/>
      </c>
      <c r="J3404" s="5">
        <f>IF(OR(H3404=1,I3404=1),0,IF(G3404="Credit",-F3404,F3404))</f>
        <v/>
      </c>
    </row>
    <row r="3405">
      <c r="A3405" t="inlineStr">
        <is>
          <t>2026-08-03</t>
        </is>
      </c>
      <c r="B3405" t="inlineStr">
        <is>
          <t>F263589</t>
        </is>
      </c>
      <c r="C3405" t="inlineStr">
        <is>
          <t>C10193</t>
        </is>
      </c>
      <c r="D3405" t="inlineStr">
        <is>
          <t>SKU-10282</t>
        </is>
      </c>
      <c r="E3405" t="inlineStr">
        <is>
          <t>AM02</t>
        </is>
      </c>
      <c r="F3405" s="5" t="n">
        <v>520.8</v>
      </c>
      <c r="G3405">
        <f>IF(LEFT(B3405,1)="C","Credit","Factuur")</f>
        <v/>
      </c>
      <c r="H3405">
        <f>IF(AND(B3405=B3404,D3405=D3404,A3405=A3404,F3405=F3404),1,0)</f>
        <v/>
      </c>
      <c r="I3405">
        <f>IF(C3405="C99999",1,0)</f>
        <v/>
      </c>
      <c r="J3405" s="5">
        <f>IF(OR(H3405=1,I3405=1),0,IF(G3405="Credit",-F3405,F3405))</f>
        <v/>
      </c>
    </row>
    <row r="3406">
      <c r="A3406" t="inlineStr">
        <is>
          <t>2026-08-03</t>
        </is>
      </c>
      <c r="B3406" t="inlineStr">
        <is>
          <t>F263589</t>
        </is>
      </c>
      <c r="C3406" t="inlineStr">
        <is>
          <t>C10193</t>
        </is>
      </c>
      <c r="D3406" t="inlineStr">
        <is>
          <t>SKU-10299</t>
        </is>
      </c>
      <c r="E3406" t="inlineStr">
        <is>
          <t>AM02</t>
        </is>
      </c>
      <c r="F3406" s="5" t="n">
        <v>526.96</v>
      </c>
      <c r="G3406">
        <f>IF(LEFT(B3406,1)="C","Credit","Factuur")</f>
        <v/>
      </c>
      <c r="H3406">
        <f>IF(AND(B3406=B3405,D3406=D3405,A3406=A3405,F3406=F3405),1,0)</f>
        <v/>
      </c>
      <c r="I3406">
        <f>IF(C3406="C99999",1,0)</f>
        <v/>
      </c>
      <c r="J3406" s="5">
        <f>IF(OR(H3406=1,I3406=1),0,IF(G3406="Credit",-F3406,F3406))</f>
        <v/>
      </c>
    </row>
    <row r="3407">
      <c r="A3407" t="inlineStr">
        <is>
          <t>2026-08-03</t>
        </is>
      </c>
      <c r="B3407" t="inlineStr">
        <is>
          <t>F265028</t>
        </is>
      </c>
      <c r="C3407" t="inlineStr">
        <is>
          <t>C10263</t>
        </is>
      </c>
      <c r="D3407" t="inlineStr">
        <is>
          <t>SKU-10115</t>
        </is>
      </c>
      <c r="E3407" t="inlineStr">
        <is>
          <t>AM03</t>
        </is>
      </c>
      <c r="F3407" s="5" t="n">
        <v>98.38</v>
      </c>
      <c r="G3407">
        <f>IF(LEFT(B3407,1)="C","Credit","Factuur")</f>
        <v/>
      </c>
      <c r="H3407">
        <f>IF(AND(B3407=B3406,D3407=D3406,A3407=A3406,F3407=F3406),1,0)</f>
        <v/>
      </c>
      <c r="I3407">
        <f>IF(C3407="C99999",1,0)</f>
        <v/>
      </c>
      <c r="J3407" s="5">
        <f>IF(OR(H3407=1,I3407=1),0,IF(G3407="Credit",-F3407,F3407))</f>
        <v/>
      </c>
    </row>
    <row r="3408">
      <c r="A3408" t="inlineStr">
        <is>
          <t>2026-08-03</t>
        </is>
      </c>
      <c r="B3408" t="inlineStr">
        <is>
          <t>F265028</t>
        </is>
      </c>
      <c r="C3408" t="inlineStr">
        <is>
          <t>C10263</t>
        </is>
      </c>
      <c r="D3408" t="inlineStr">
        <is>
          <t>SKU-10286</t>
        </is>
      </c>
      <c r="E3408" t="inlineStr">
        <is>
          <t>AM03</t>
        </is>
      </c>
      <c r="F3408" s="5" t="n">
        <v>91.25</v>
      </c>
      <c r="G3408">
        <f>IF(LEFT(B3408,1)="C","Credit","Factuur")</f>
        <v/>
      </c>
      <c r="H3408">
        <f>IF(AND(B3408=B3407,D3408=D3407,A3408=A3407,F3408=F3407),1,0)</f>
        <v/>
      </c>
      <c r="I3408">
        <f>IF(C3408="C99999",1,0)</f>
        <v/>
      </c>
      <c r="J3408" s="5">
        <f>IF(OR(H3408=1,I3408=1),0,IF(G3408="Credit",-F3408,F3408))</f>
        <v/>
      </c>
    </row>
    <row r="3409">
      <c r="A3409" t="inlineStr">
        <is>
          <t>2026-08-03</t>
        </is>
      </c>
      <c r="B3409" t="inlineStr">
        <is>
          <t>F265028</t>
        </is>
      </c>
      <c r="C3409" t="inlineStr">
        <is>
          <t>C10263</t>
        </is>
      </c>
      <c r="D3409" t="inlineStr">
        <is>
          <t>SKU-10292</t>
        </is>
      </c>
      <c r="E3409" t="inlineStr">
        <is>
          <t>AM03</t>
        </is>
      </c>
      <c r="F3409" s="5" t="n">
        <v>96.95999999999999</v>
      </c>
      <c r="G3409">
        <f>IF(LEFT(B3409,1)="C","Credit","Factuur")</f>
        <v/>
      </c>
      <c r="H3409">
        <f>IF(AND(B3409=B3408,D3409=D3408,A3409=A3408,F3409=F3408),1,0)</f>
        <v/>
      </c>
      <c r="I3409">
        <f>IF(C3409="C99999",1,0)</f>
        <v/>
      </c>
      <c r="J3409" s="5">
        <f>IF(OR(H3409=1,I3409=1),0,IF(G3409="Credit",-F3409,F3409))</f>
        <v/>
      </c>
    </row>
    <row r="3410">
      <c r="A3410" t="inlineStr">
        <is>
          <t>2026-08-03</t>
        </is>
      </c>
      <c r="B3410" t="inlineStr">
        <is>
          <t>F265310</t>
        </is>
      </c>
      <c r="C3410" t="inlineStr">
        <is>
          <t>C10281</t>
        </is>
      </c>
      <c r="D3410" t="inlineStr">
        <is>
          <t>SKU-10312</t>
        </is>
      </c>
      <c r="E3410" t="inlineStr">
        <is>
          <t>AM06</t>
        </is>
      </c>
      <c r="F3410" s="5" t="n">
        <v>894.4</v>
      </c>
      <c r="G3410">
        <f>IF(LEFT(B3410,1)="C","Credit","Factuur")</f>
        <v/>
      </c>
      <c r="H3410">
        <f>IF(AND(B3410=B3409,D3410=D3409,A3410=A3409,F3410=F3409),1,0)</f>
        <v/>
      </c>
      <c r="I3410">
        <f>IF(C3410="C99999",1,0)</f>
        <v/>
      </c>
      <c r="J3410" s="5">
        <f>IF(OR(H3410=1,I3410=1),0,IF(G3410="Credit",-F3410,F3410))</f>
        <v/>
      </c>
    </row>
    <row r="3411">
      <c r="A3411" t="inlineStr">
        <is>
          <t>2026-08-03</t>
        </is>
      </c>
      <c r="B3411" t="inlineStr">
        <is>
          <t>F266173</t>
        </is>
      </c>
      <c r="C3411" t="inlineStr">
        <is>
          <t>C10322</t>
        </is>
      </c>
      <c r="D3411" t="inlineStr">
        <is>
          <t>SKU-10102</t>
        </is>
      </c>
      <c r="E3411" t="inlineStr">
        <is>
          <t>AM02</t>
        </is>
      </c>
      <c r="F3411" s="5" t="n">
        <v>227.67</v>
      </c>
      <c r="G3411">
        <f>IF(LEFT(B3411,1)="C","Credit","Factuur")</f>
        <v/>
      </c>
      <c r="H3411">
        <f>IF(AND(B3411=B3410,D3411=D3410,A3411=A3410,F3411=F3410),1,0)</f>
        <v/>
      </c>
      <c r="I3411">
        <f>IF(C3411="C99999",1,0)</f>
        <v/>
      </c>
      <c r="J3411" s="5">
        <f>IF(OR(H3411=1,I3411=1),0,IF(G3411="Credit",-F3411,F3411))</f>
        <v/>
      </c>
    </row>
    <row r="3412">
      <c r="A3412" t="inlineStr">
        <is>
          <t>2026-08-03</t>
        </is>
      </c>
      <c r="B3412" t="inlineStr">
        <is>
          <t>F266173</t>
        </is>
      </c>
      <c r="C3412" t="inlineStr">
        <is>
          <t>C10322</t>
        </is>
      </c>
      <c r="D3412" t="inlineStr">
        <is>
          <t>SKU-10188</t>
        </is>
      </c>
      <c r="E3412" t="inlineStr">
        <is>
          <t>AM02</t>
        </is>
      </c>
      <c r="F3412" s="5" t="n">
        <v>308.52</v>
      </c>
      <c r="G3412">
        <f>IF(LEFT(B3412,1)="C","Credit","Factuur")</f>
        <v/>
      </c>
      <c r="H3412">
        <f>IF(AND(B3412=B3411,D3412=D3411,A3412=A3411,F3412=F3411),1,0)</f>
        <v/>
      </c>
      <c r="I3412">
        <f>IF(C3412="C99999",1,0)</f>
        <v/>
      </c>
      <c r="J3412" s="5">
        <f>IF(OR(H3412=1,I3412=1),0,IF(G3412="Credit",-F3412,F3412))</f>
        <v/>
      </c>
    </row>
    <row r="3413">
      <c r="A3413" t="inlineStr">
        <is>
          <t>2026-08-03</t>
        </is>
      </c>
      <c r="B3413" t="inlineStr">
        <is>
          <t>F266173</t>
        </is>
      </c>
      <c r="C3413" t="inlineStr">
        <is>
          <t>C10322</t>
        </is>
      </c>
      <c r="D3413" t="inlineStr">
        <is>
          <t>SKU-10293</t>
        </is>
      </c>
      <c r="E3413" t="inlineStr">
        <is>
          <t>AM02</t>
        </is>
      </c>
      <c r="F3413" s="5" t="n">
        <v>270.07</v>
      </c>
      <c r="G3413">
        <f>IF(LEFT(B3413,1)="C","Credit","Factuur")</f>
        <v/>
      </c>
      <c r="H3413">
        <f>IF(AND(B3413=B3412,D3413=D3412,A3413=A3412,F3413=F3412),1,0)</f>
        <v/>
      </c>
      <c r="I3413">
        <f>IF(C3413="C99999",1,0)</f>
        <v/>
      </c>
      <c r="J3413" s="5">
        <f>IF(OR(H3413=1,I3413=1),0,IF(G3413="Credit",-F3413,F3413))</f>
        <v/>
      </c>
    </row>
    <row r="3414">
      <c r="A3414" t="inlineStr">
        <is>
          <t>2026-08-03</t>
        </is>
      </c>
      <c r="B3414" t="inlineStr">
        <is>
          <t>F266173</t>
        </is>
      </c>
      <c r="C3414" t="inlineStr">
        <is>
          <t>C10322</t>
        </is>
      </c>
      <c r="D3414" t="inlineStr">
        <is>
          <t>SKU-10314</t>
        </is>
      </c>
      <c r="E3414" t="inlineStr">
        <is>
          <t>AM02</t>
        </is>
      </c>
      <c r="F3414" s="5" t="n">
        <v>279.3</v>
      </c>
      <c r="G3414">
        <f>IF(LEFT(B3414,1)="C","Credit","Factuur")</f>
        <v/>
      </c>
      <c r="H3414">
        <f>IF(AND(B3414=B3413,D3414=D3413,A3414=A3413,F3414=F3413),1,0)</f>
        <v/>
      </c>
      <c r="I3414">
        <f>IF(C3414="C99999",1,0)</f>
        <v/>
      </c>
      <c r="J3414" s="5">
        <f>IF(OR(H3414=1,I3414=1),0,IF(G3414="Credit",-F3414,F3414))</f>
        <v/>
      </c>
    </row>
    <row r="3415">
      <c r="A3415" t="inlineStr">
        <is>
          <t>2026-08-03</t>
        </is>
      </c>
      <c r="B3415" t="inlineStr">
        <is>
          <t>F266173</t>
        </is>
      </c>
      <c r="C3415" t="inlineStr">
        <is>
          <t>C10322</t>
        </is>
      </c>
      <c r="D3415" t="inlineStr">
        <is>
          <t>SKU-10365</t>
        </is>
      </c>
      <c r="E3415" t="inlineStr">
        <is>
          <t>AM02</t>
        </is>
      </c>
      <c r="F3415" s="5" t="n">
        <v>279.86</v>
      </c>
      <c r="G3415">
        <f>IF(LEFT(B3415,1)="C","Credit","Factuur")</f>
        <v/>
      </c>
      <c r="H3415">
        <f>IF(AND(B3415=B3414,D3415=D3414,A3415=A3414,F3415=F3414),1,0)</f>
        <v/>
      </c>
      <c r="I3415">
        <f>IF(C3415="C99999",1,0)</f>
        <v/>
      </c>
      <c r="J3415" s="5">
        <f>IF(OR(H3415=1,I3415=1),0,IF(G3415="Credit",-F3415,F3415))</f>
        <v/>
      </c>
    </row>
    <row r="3416">
      <c r="A3416" t="inlineStr">
        <is>
          <t>2026-08-03</t>
        </is>
      </c>
      <c r="B3416" t="inlineStr">
        <is>
          <t>F266497</t>
        </is>
      </c>
      <c r="C3416" t="inlineStr">
        <is>
          <t>C10342</t>
        </is>
      </c>
      <c r="D3416" t="inlineStr">
        <is>
          <t>SKU-10292</t>
        </is>
      </c>
      <c r="E3416" t="inlineStr">
        <is>
          <t>AM03</t>
        </is>
      </c>
      <c r="F3416" s="5" t="n">
        <v>1430.16</v>
      </c>
      <c r="G3416">
        <f>IF(LEFT(B3416,1)="C","Credit","Factuur")</f>
        <v/>
      </c>
      <c r="H3416">
        <f>IF(AND(B3416=B3415,D3416=D3415,A3416=A3415,F3416=F3415),1,0)</f>
        <v/>
      </c>
      <c r="I3416">
        <f>IF(C3416="C99999",1,0)</f>
        <v/>
      </c>
      <c r="J3416" s="5">
        <f>IF(OR(H3416=1,I3416=1),0,IF(G3416="Credit",-F3416,F3416))</f>
        <v/>
      </c>
    </row>
    <row r="3417">
      <c r="A3417" t="inlineStr">
        <is>
          <t>2026-08-03</t>
        </is>
      </c>
      <c r="B3417" t="inlineStr">
        <is>
          <t>F266497</t>
        </is>
      </c>
      <c r="C3417" t="inlineStr">
        <is>
          <t>C10342</t>
        </is>
      </c>
      <c r="D3417" t="inlineStr">
        <is>
          <t>SKU-10348</t>
        </is>
      </c>
      <c r="E3417" t="inlineStr">
        <is>
          <t>AM03</t>
        </is>
      </c>
      <c r="F3417" s="5" t="n">
        <v>1308.06</v>
      </c>
      <c r="G3417">
        <f>IF(LEFT(B3417,1)="C","Credit","Factuur")</f>
        <v/>
      </c>
      <c r="H3417">
        <f>IF(AND(B3417=B3416,D3417=D3416,A3417=A3416,F3417=F3416),1,0)</f>
        <v/>
      </c>
      <c r="I3417">
        <f>IF(C3417="C99999",1,0)</f>
        <v/>
      </c>
      <c r="J3417" s="5">
        <f>IF(OR(H3417=1,I3417=1),0,IF(G3417="Credit",-F3417,F3417))</f>
        <v/>
      </c>
    </row>
    <row r="3418">
      <c r="A3418" t="inlineStr">
        <is>
          <t>2026-08-03</t>
        </is>
      </c>
      <c r="B3418" t="inlineStr">
        <is>
          <t>F266497</t>
        </is>
      </c>
      <c r="C3418" t="inlineStr">
        <is>
          <t>C10342</t>
        </is>
      </c>
      <c r="D3418" t="inlineStr">
        <is>
          <t>SKU-10366</t>
        </is>
      </c>
      <c r="E3418" t="inlineStr"/>
      <c r="F3418" s="5" t="n">
        <v>1430.41</v>
      </c>
      <c r="G3418">
        <f>IF(LEFT(B3418,1)="C","Credit","Factuur")</f>
        <v/>
      </c>
      <c r="H3418">
        <f>IF(AND(B3418=B3417,D3418=D3417,A3418=A3417,F3418=F3417),1,0)</f>
        <v/>
      </c>
      <c r="I3418">
        <f>IF(C3418="C99999",1,0)</f>
        <v/>
      </c>
      <c r="J3418" s="5">
        <f>IF(OR(H3418=1,I3418=1),0,IF(G3418="Credit",-F3418,F3418))</f>
        <v/>
      </c>
    </row>
    <row r="3419">
      <c r="A3419" t="inlineStr">
        <is>
          <t>2026-08-03</t>
        </is>
      </c>
      <c r="B3419" t="inlineStr">
        <is>
          <t>F267396</t>
        </is>
      </c>
      <c r="C3419" t="inlineStr">
        <is>
          <t>C10390</t>
        </is>
      </c>
      <c r="D3419" t="inlineStr">
        <is>
          <t>SKU-10004</t>
        </is>
      </c>
      <c r="E3419" t="inlineStr"/>
      <c r="F3419" s="5" t="n">
        <v>312.62</v>
      </c>
      <c r="G3419">
        <f>IF(LEFT(B3419,1)="C","Credit","Factuur")</f>
        <v/>
      </c>
      <c r="H3419">
        <f>IF(AND(B3419=B3418,D3419=D3418,A3419=A3418,F3419=F3418),1,0)</f>
        <v/>
      </c>
      <c r="I3419">
        <f>IF(C3419="C99999",1,0)</f>
        <v/>
      </c>
      <c r="J3419" s="5">
        <f>IF(OR(H3419=1,I3419=1),0,IF(G3419="Credit",-F3419,F3419))</f>
        <v/>
      </c>
    </row>
    <row r="3420">
      <c r="A3420" t="inlineStr">
        <is>
          <t>2026-08-03</t>
        </is>
      </c>
      <c r="B3420" t="inlineStr">
        <is>
          <t>F267396</t>
        </is>
      </c>
      <c r="C3420" t="inlineStr">
        <is>
          <t>C10390</t>
        </is>
      </c>
      <c r="D3420" t="inlineStr">
        <is>
          <t>SKU-10321</t>
        </is>
      </c>
      <c r="E3420" t="inlineStr">
        <is>
          <t>AM05</t>
        </is>
      </c>
      <c r="F3420" s="5" t="n">
        <v>341.67</v>
      </c>
      <c r="G3420">
        <f>IF(LEFT(B3420,1)="C","Credit","Factuur")</f>
        <v/>
      </c>
      <c r="H3420">
        <f>IF(AND(B3420=B3419,D3420=D3419,A3420=A3419,F3420=F3419),1,0)</f>
        <v/>
      </c>
      <c r="I3420">
        <f>IF(C3420="C99999",1,0)</f>
        <v/>
      </c>
      <c r="J3420" s="5">
        <f>IF(OR(H3420=1,I3420=1),0,IF(G3420="Credit",-F3420,F3420))</f>
        <v/>
      </c>
    </row>
    <row r="3421">
      <c r="A3421" t="inlineStr">
        <is>
          <t>2026-08-03</t>
        </is>
      </c>
      <c r="B3421" t="inlineStr">
        <is>
          <t>F268803</t>
        </is>
      </c>
      <c r="C3421" t="inlineStr">
        <is>
          <t>C10458</t>
        </is>
      </c>
      <c r="D3421" t="inlineStr">
        <is>
          <t>SKU-10020</t>
        </is>
      </c>
      <c r="E3421" t="inlineStr">
        <is>
          <t>AM06</t>
        </is>
      </c>
      <c r="F3421" s="5" t="n">
        <v>1193.4</v>
      </c>
      <c r="G3421">
        <f>IF(LEFT(B3421,1)="C","Credit","Factuur")</f>
        <v/>
      </c>
      <c r="H3421">
        <f>IF(AND(B3421=B3420,D3421=D3420,A3421=A3420,F3421=F3420),1,0)</f>
        <v/>
      </c>
      <c r="I3421">
        <f>IF(C3421="C99999",1,0)</f>
        <v/>
      </c>
      <c r="J3421" s="5">
        <f>IF(OR(H3421=1,I3421=1),0,IF(G3421="Credit",-F3421,F3421))</f>
        <v/>
      </c>
    </row>
    <row r="3422">
      <c r="A3422" t="inlineStr">
        <is>
          <t>2026-08-03</t>
        </is>
      </c>
      <c r="B3422" t="inlineStr">
        <is>
          <t>F268803</t>
        </is>
      </c>
      <c r="C3422" t="inlineStr">
        <is>
          <t>C10458</t>
        </is>
      </c>
      <c r="D3422" t="inlineStr">
        <is>
          <t>SKU-10187</t>
        </is>
      </c>
      <c r="E3422" t="inlineStr">
        <is>
          <t>AM06</t>
        </is>
      </c>
      <c r="F3422" s="5" t="n">
        <v>1169.92</v>
      </c>
      <c r="G3422">
        <f>IF(LEFT(B3422,1)="C","Credit","Factuur")</f>
        <v/>
      </c>
      <c r="H3422">
        <f>IF(AND(B3422=B3421,D3422=D3421,A3422=A3421,F3422=F3421),1,0)</f>
        <v/>
      </c>
      <c r="I3422">
        <f>IF(C3422="C99999",1,0)</f>
        <v/>
      </c>
      <c r="J3422" s="5">
        <f>IF(OR(H3422=1,I3422=1),0,IF(G3422="Credit",-F3422,F3422))</f>
        <v/>
      </c>
    </row>
    <row r="3423">
      <c r="A3423" t="inlineStr">
        <is>
          <t>2026-08-03</t>
        </is>
      </c>
      <c r="B3423" t="inlineStr">
        <is>
          <t>F268803</t>
        </is>
      </c>
      <c r="C3423" t="inlineStr">
        <is>
          <t>C10458</t>
        </is>
      </c>
      <c r="D3423" t="inlineStr">
        <is>
          <t>SKU-10319</t>
        </is>
      </c>
      <c r="E3423" t="inlineStr">
        <is>
          <t>AM06</t>
        </is>
      </c>
      <c r="F3423" s="5" t="n">
        <v>1186.54</v>
      </c>
      <c r="G3423">
        <f>IF(LEFT(B3423,1)="C","Credit","Factuur")</f>
        <v/>
      </c>
      <c r="H3423">
        <f>IF(AND(B3423=B3422,D3423=D3422,A3423=A3422,F3423=F3422),1,0)</f>
        <v/>
      </c>
      <c r="I3423">
        <f>IF(C3423="C99999",1,0)</f>
        <v/>
      </c>
      <c r="J3423" s="5">
        <f>IF(OR(H3423=1,I3423=1),0,IF(G3423="Credit",-F3423,F3423))</f>
        <v/>
      </c>
    </row>
    <row r="3424">
      <c r="A3424" t="inlineStr">
        <is>
          <t>2026-08-03</t>
        </is>
      </c>
      <c r="B3424" t="inlineStr">
        <is>
          <t>F270065</t>
        </is>
      </c>
      <c r="C3424" t="inlineStr">
        <is>
          <t>C10530</t>
        </is>
      </c>
      <c r="D3424" t="inlineStr">
        <is>
          <t>SKU-10182</t>
        </is>
      </c>
      <c r="E3424" t="inlineStr">
        <is>
          <t>AM03</t>
        </is>
      </c>
      <c r="F3424" s="5" t="n">
        <v>286.71</v>
      </c>
      <c r="G3424">
        <f>IF(LEFT(B3424,1)="C","Credit","Factuur")</f>
        <v/>
      </c>
      <c r="H3424">
        <f>IF(AND(B3424=B3423,D3424=D3423,A3424=A3423,F3424=F3423),1,0)</f>
        <v/>
      </c>
      <c r="I3424">
        <f>IF(C3424="C99999",1,0)</f>
        <v/>
      </c>
      <c r="J3424" s="5">
        <f>IF(OR(H3424=1,I3424=1),0,IF(G3424="Credit",-F3424,F3424))</f>
        <v/>
      </c>
    </row>
    <row r="3425">
      <c r="A3425" t="inlineStr">
        <is>
          <t>2026-08-03</t>
        </is>
      </c>
      <c r="B3425" t="inlineStr">
        <is>
          <t>F270065</t>
        </is>
      </c>
      <c r="C3425" t="inlineStr">
        <is>
          <t>C10530</t>
        </is>
      </c>
      <c r="D3425" t="inlineStr">
        <is>
          <t>SKU-10199</t>
        </is>
      </c>
      <c r="E3425" t="inlineStr">
        <is>
          <t>AM03</t>
        </is>
      </c>
      <c r="F3425" s="5" t="n">
        <v>284.6</v>
      </c>
      <c r="G3425">
        <f>IF(LEFT(B3425,1)="C","Credit","Factuur")</f>
        <v/>
      </c>
      <c r="H3425">
        <f>IF(AND(B3425=B3424,D3425=D3424,A3425=A3424,F3425=F3424),1,0)</f>
        <v/>
      </c>
      <c r="I3425">
        <f>IF(C3425="C99999",1,0)</f>
        <v/>
      </c>
      <c r="J3425" s="5">
        <f>IF(OR(H3425=1,I3425=1),0,IF(G3425="Credit",-F3425,F3425))</f>
        <v/>
      </c>
    </row>
    <row r="3426">
      <c r="A3426" t="inlineStr">
        <is>
          <t>2026-08-03</t>
        </is>
      </c>
      <c r="B3426" t="inlineStr">
        <is>
          <t>F270065</t>
        </is>
      </c>
      <c r="C3426" t="inlineStr">
        <is>
          <t>C10530</t>
        </is>
      </c>
      <c r="D3426" t="inlineStr">
        <is>
          <t>SKU-10269</t>
        </is>
      </c>
      <c r="E3426" t="inlineStr">
        <is>
          <t>AM03</t>
        </is>
      </c>
      <c r="F3426" s="5" t="n">
        <v>288.6</v>
      </c>
      <c r="G3426">
        <f>IF(LEFT(B3426,1)="C","Credit","Factuur")</f>
        <v/>
      </c>
      <c r="H3426">
        <f>IF(AND(B3426=B3425,D3426=D3425,A3426=A3425,F3426=F3425),1,0)</f>
        <v/>
      </c>
      <c r="I3426">
        <f>IF(C3426="C99999",1,0)</f>
        <v/>
      </c>
      <c r="J3426" s="5">
        <f>IF(OR(H3426=1,I3426=1),0,IF(G3426="Credit",-F3426,F3426))</f>
        <v/>
      </c>
    </row>
    <row r="3427">
      <c r="A3427" t="inlineStr">
        <is>
          <t>2026-08-03</t>
        </is>
      </c>
      <c r="B3427" t="inlineStr">
        <is>
          <t>F270909</t>
        </is>
      </c>
      <c r="C3427" t="inlineStr">
        <is>
          <t>C10571</t>
        </is>
      </c>
      <c r="D3427" t="inlineStr">
        <is>
          <t>SKU-10047</t>
        </is>
      </c>
      <c r="E3427" t="inlineStr">
        <is>
          <t>AM11</t>
        </is>
      </c>
      <c r="F3427" s="5" t="n">
        <v>502.81</v>
      </c>
      <c r="G3427">
        <f>IF(LEFT(B3427,1)="C","Credit","Factuur")</f>
        <v/>
      </c>
      <c r="H3427">
        <f>IF(AND(B3427=B3426,D3427=D3426,A3427=A3426,F3427=F3426),1,0)</f>
        <v/>
      </c>
      <c r="I3427">
        <f>IF(C3427="C99999",1,0)</f>
        <v/>
      </c>
      <c r="J3427" s="5">
        <f>IF(OR(H3427=1,I3427=1),0,IF(G3427="Credit",-F3427,F3427))</f>
        <v/>
      </c>
    </row>
    <row r="3428">
      <c r="A3428" t="inlineStr">
        <is>
          <t>2026-08-03</t>
        </is>
      </c>
      <c r="B3428" t="inlineStr">
        <is>
          <t>F270909</t>
        </is>
      </c>
      <c r="C3428" t="inlineStr">
        <is>
          <t>C10571</t>
        </is>
      </c>
      <c r="D3428" t="inlineStr">
        <is>
          <t>SKU-10061</t>
        </is>
      </c>
      <c r="E3428" t="inlineStr">
        <is>
          <t>AM11</t>
        </is>
      </c>
      <c r="F3428" s="5" t="n">
        <v>502.74</v>
      </c>
      <c r="G3428">
        <f>IF(LEFT(B3428,1)="C","Credit","Factuur")</f>
        <v/>
      </c>
      <c r="H3428">
        <f>IF(AND(B3428=B3427,D3428=D3427,A3428=A3427,F3428=F3427),1,0)</f>
        <v/>
      </c>
      <c r="I3428">
        <f>IF(C3428="C99999",1,0)</f>
        <v/>
      </c>
      <c r="J3428" s="5">
        <f>IF(OR(H3428=1,I3428=1),0,IF(G3428="Credit",-F3428,F3428))</f>
        <v/>
      </c>
    </row>
    <row r="3429">
      <c r="A3429" t="inlineStr">
        <is>
          <t>2026-08-03</t>
        </is>
      </c>
      <c r="B3429" t="inlineStr">
        <is>
          <t>F270909</t>
        </is>
      </c>
      <c r="C3429" t="inlineStr">
        <is>
          <t>C10571</t>
        </is>
      </c>
      <c r="D3429" t="inlineStr">
        <is>
          <t>SKU-10285</t>
        </is>
      </c>
      <c r="E3429" t="inlineStr">
        <is>
          <t>AM11</t>
        </is>
      </c>
      <c r="F3429" s="5" t="n">
        <v>497.64</v>
      </c>
      <c r="G3429">
        <f>IF(LEFT(B3429,1)="C","Credit","Factuur")</f>
        <v/>
      </c>
      <c r="H3429">
        <f>IF(AND(B3429=B3428,D3429=D3428,A3429=A3428,F3429=F3428),1,0)</f>
        <v/>
      </c>
      <c r="I3429">
        <f>IF(C3429="C99999",1,0)</f>
        <v/>
      </c>
      <c r="J3429" s="5">
        <f>IF(OR(H3429=1,I3429=1),0,IF(G3429="Credit",-F3429,F3429))</f>
        <v/>
      </c>
    </row>
    <row r="3430">
      <c r="A3430" t="inlineStr">
        <is>
          <t>2026-08-03</t>
        </is>
      </c>
      <c r="B3430" t="inlineStr">
        <is>
          <t>F271133</t>
        </is>
      </c>
      <c r="C3430" t="inlineStr">
        <is>
          <t>C10580</t>
        </is>
      </c>
      <c r="D3430" t="inlineStr">
        <is>
          <t>SKU-10196</t>
        </is>
      </c>
      <c r="E3430" t="inlineStr">
        <is>
          <t>AM01</t>
        </is>
      </c>
      <c r="F3430" s="5" t="n">
        <v>196.74</v>
      </c>
      <c r="G3430">
        <f>IF(LEFT(B3430,1)="C","Credit","Factuur")</f>
        <v/>
      </c>
      <c r="H3430">
        <f>IF(AND(B3430=B3429,D3430=D3429,A3430=A3429,F3430=F3429),1,0)</f>
        <v/>
      </c>
      <c r="I3430">
        <f>IF(C3430="C99999",1,0)</f>
        <v/>
      </c>
      <c r="J3430" s="5">
        <f>IF(OR(H3430=1,I3430=1),0,IF(G3430="Credit",-F3430,F3430))</f>
        <v/>
      </c>
    </row>
    <row r="3431">
      <c r="A3431" t="inlineStr">
        <is>
          <t>2026-08-03</t>
        </is>
      </c>
      <c r="B3431" t="inlineStr">
        <is>
          <t>F271133</t>
        </is>
      </c>
      <c r="C3431" t="inlineStr">
        <is>
          <t>C10580</t>
        </is>
      </c>
      <c r="D3431" t="inlineStr">
        <is>
          <t>SKU-10305</t>
        </is>
      </c>
      <c r="E3431" t="inlineStr">
        <is>
          <t>AM01</t>
        </is>
      </c>
      <c r="F3431" s="5" t="n">
        <v>209.6</v>
      </c>
      <c r="G3431">
        <f>IF(LEFT(B3431,1)="C","Credit","Factuur")</f>
        <v/>
      </c>
      <c r="H3431">
        <f>IF(AND(B3431=B3430,D3431=D3430,A3431=A3430,F3431=F3430),1,0)</f>
        <v/>
      </c>
      <c r="I3431">
        <f>IF(C3431="C99999",1,0)</f>
        <v/>
      </c>
      <c r="J3431" s="5">
        <f>IF(OR(H3431=1,I3431=1),0,IF(G3431="Credit",-F3431,F3431))</f>
        <v/>
      </c>
    </row>
    <row r="3432">
      <c r="A3432" t="inlineStr">
        <is>
          <t>2026-08-03</t>
        </is>
      </c>
      <c r="B3432" t="inlineStr">
        <is>
          <t>F271191</t>
        </is>
      </c>
      <c r="C3432" t="inlineStr">
        <is>
          <t>C10583</t>
        </is>
      </c>
      <c r="D3432" t="inlineStr">
        <is>
          <t>SKU-10061</t>
        </is>
      </c>
      <c r="E3432" t="inlineStr">
        <is>
          <t>AM01</t>
        </is>
      </c>
      <c r="F3432" s="5" t="n">
        <v>107.73</v>
      </c>
      <c r="G3432">
        <f>IF(LEFT(B3432,1)="C","Credit","Factuur")</f>
        <v/>
      </c>
      <c r="H3432">
        <f>IF(AND(B3432=B3431,D3432=D3431,A3432=A3431,F3432=F3431),1,0)</f>
        <v/>
      </c>
      <c r="I3432">
        <f>IF(C3432="C99999",1,0)</f>
        <v/>
      </c>
      <c r="J3432" s="5">
        <f>IF(OR(H3432=1,I3432=1),0,IF(G3432="Credit",-F3432,F3432))</f>
        <v/>
      </c>
    </row>
    <row r="3433">
      <c r="A3433" t="inlineStr">
        <is>
          <t>2026-08-03</t>
        </is>
      </c>
      <c r="B3433" t="inlineStr">
        <is>
          <t>F271191</t>
        </is>
      </c>
      <c r="C3433" t="inlineStr">
        <is>
          <t>C10583</t>
        </is>
      </c>
      <c r="D3433" t="inlineStr">
        <is>
          <t>SKU-10171</t>
        </is>
      </c>
      <c r="E3433" t="inlineStr">
        <is>
          <t>AM01</t>
        </is>
      </c>
      <c r="F3433" s="5" t="n">
        <v>96.94</v>
      </c>
      <c r="G3433">
        <f>IF(LEFT(B3433,1)="C","Credit","Factuur")</f>
        <v/>
      </c>
      <c r="H3433">
        <f>IF(AND(B3433=B3432,D3433=D3432,A3433=A3432,F3433=F3432),1,0)</f>
        <v/>
      </c>
      <c r="I3433">
        <f>IF(C3433="C99999",1,0)</f>
        <v/>
      </c>
      <c r="J3433" s="5">
        <f>IF(OR(H3433=1,I3433=1),0,IF(G3433="Credit",-F3433,F3433))</f>
        <v/>
      </c>
    </row>
    <row r="3434">
      <c r="A3434" t="inlineStr">
        <is>
          <t>2026-08-03</t>
        </is>
      </c>
      <c r="B3434" t="inlineStr">
        <is>
          <t>F271191</t>
        </is>
      </c>
      <c r="C3434" t="inlineStr">
        <is>
          <t>C10583</t>
        </is>
      </c>
      <c r="D3434" t="inlineStr">
        <is>
          <t>SKU-10197</t>
        </is>
      </c>
      <c r="E3434" t="inlineStr">
        <is>
          <t>AM01</t>
        </is>
      </c>
      <c r="F3434" s="5" t="n">
        <v>85.42</v>
      </c>
      <c r="G3434">
        <f>IF(LEFT(B3434,1)="C","Credit","Factuur")</f>
        <v/>
      </c>
      <c r="H3434">
        <f>IF(AND(B3434=B3433,D3434=D3433,A3434=A3433,F3434=F3433),1,0)</f>
        <v/>
      </c>
      <c r="I3434">
        <f>IF(C3434="C99999",1,0)</f>
        <v/>
      </c>
      <c r="J3434" s="5">
        <f>IF(OR(H3434=1,I3434=1),0,IF(G3434="Credit",-F3434,F3434))</f>
        <v/>
      </c>
    </row>
    <row r="3435">
      <c r="A3435" t="inlineStr">
        <is>
          <t>2026-08-03</t>
        </is>
      </c>
      <c r="B3435" t="inlineStr">
        <is>
          <t>F271191</t>
        </is>
      </c>
      <c r="C3435" t="inlineStr">
        <is>
          <t>C10583</t>
        </is>
      </c>
      <c r="D3435" t="inlineStr">
        <is>
          <t>SKU-10206</t>
        </is>
      </c>
      <c r="E3435" t="inlineStr">
        <is>
          <t>AM01</t>
        </is>
      </c>
      <c r="F3435" s="5" t="n">
        <v>101.28</v>
      </c>
      <c r="G3435">
        <f>IF(LEFT(B3435,1)="C","Credit","Factuur")</f>
        <v/>
      </c>
      <c r="H3435">
        <f>IF(AND(B3435=B3434,D3435=D3434,A3435=A3434,F3435=F3434),1,0)</f>
        <v/>
      </c>
      <c r="I3435">
        <f>IF(C3435="C99999",1,0)</f>
        <v/>
      </c>
      <c r="J3435" s="5">
        <f>IF(OR(H3435=1,I3435=1),0,IF(G3435="Credit",-F3435,F3435))</f>
        <v/>
      </c>
    </row>
    <row r="3436">
      <c r="A3436" t="inlineStr">
        <is>
          <t>2026-08-03</t>
        </is>
      </c>
      <c r="B3436" t="inlineStr">
        <is>
          <t>F271191</t>
        </is>
      </c>
      <c r="C3436" t="inlineStr">
        <is>
          <t>C10583</t>
        </is>
      </c>
      <c r="D3436" t="inlineStr">
        <is>
          <t>SKU-10310</t>
        </is>
      </c>
      <c r="E3436" t="inlineStr">
        <is>
          <t>AM01</t>
        </is>
      </c>
      <c r="F3436" s="5" t="n">
        <v>89.56</v>
      </c>
      <c r="G3436">
        <f>IF(LEFT(B3436,1)="C","Credit","Factuur")</f>
        <v/>
      </c>
      <c r="H3436">
        <f>IF(AND(B3436=B3435,D3436=D3435,A3436=A3435,F3436=F3435),1,0)</f>
        <v/>
      </c>
      <c r="I3436">
        <f>IF(C3436="C99999",1,0)</f>
        <v/>
      </c>
      <c r="J3436" s="5">
        <f>IF(OR(H3436=1,I3436=1),0,IF(G3436="Credit",-F3436,F3436))</f>
        <v/>
      </c>
    </row>
    <row r="3437">
      <c r="A3437" t="inlineStr">
        <is>
          <t>2026-08-03</t>
        </is>
      </c>
      <c r="B3437" t="inlineStr">
        <is>
          <t>F271801</t>
        </is>
      </c>
      <c r="C3437" t="inlineStr">
        <is>
          <t>C10606</t>
        </is>
      </c>
      <c r="D3437" t="inlineStr">
        <is>
          <t>SKU-10088</t>
        </is>
      </c>
      <c r="E3437" t="inlineStr">
        <is>
          <t>AM03</t>
        </is>
      </c>
      <c r="F3437" s="5" t="n">
        <v>416.61</v>
      </c>
      <c r="G3437">
        <f>IF(LEFT(B3437,1)="C","Credit","Factuur")</f>
        <v/>
      </c>
      <c r="H3437">
        <f>IF(AND(B3437=B3436,D3437=D3436,A3437=A3436,F3437=F3436),1,0)</f>
        <v/>
      </c>
      <c r="I3437">
        <f>IF(C3437="C99999",1,0)</f>
        <v/>
      </c>
      <c r="J3437" s="5">
        <f>IF(OR(H3437=1,I3437=1),0,IF(G3437="Credit",-F3437,F3437))</f>
        <v/>
      </c>
    </row>
    <row r="3438">
      <c r="A3438" t="inlineStr">
        <is>
          <t>2026-08-03</t>
        </is>
      </c>
      <c r="B3438" t="inlineStr">
        <is>
          <t>F271801</t>
        </is>
      </c>
      <c r="C3438" t="inlineStr">
        <is>
          <t>C10606</t>
        </is>
      </c>
      <c r="D3438" t="inlineStr">
        <is>
          <t>SKU-10107</t>
        </is>
      </c>
      <c r="E3438" t="inlineStr">
        <is>
          <t>AM03</t>
        </is>
      </c>
      <c r="F3438" s="5" t="n">
        <v>414.96</v>
      </c>
      <c r="G3438">
        <f>IF(LEFT(B3438,1)="C","Credit","Factuur")</f>
        <v/>
      </c>
      <c r="H3438">
        <f>IF(AND(B3438=B3437,D3438=D3437,A3438=A3437,F3438=F3437),1,0)</f>
        <v/>
      </c>
      <c r="I3438">
        <f>IF(C3438="C99999",1,0)</f>
        <v/>
      </c>
      <c r="J3438" s="5">
        <f>IF(OR(H3438=1,I3438=1),0,IF(G3438="Credit",-F3438,F3438))</f>
        <v/>
      </c>
    </row>
    <row r="3439">
      <c r="A3439" t="inlineStr">
        <is>
          <t>2026-08-03</t>
        </is>
      </c>
      <c r="B3439" t="inlineStr">
        <is>
          <t>F271801</t>
        </is>
      </c>
      <c r="C3439" t="inlineStr">
        <is>
          <t>C10606</t>
        </is>
      </c>
      <c r="D3439" t="inlineStr">
        <is>
          <t>SKU-10124</t>
        </is>
      </c>
      <c r="E3439" t="inlineStr">
        <is>
          <t>AM03</t>
        </is>
      </c>
      <c r="F3439" s="5" t="n">
        <v>412.59</v>
      </c>
      <c r="G3439">
        <f>IF(LEFT(B3439,1)="C","Credit","Factuur")</f>
        <v/>
      </c>
      <c r="H3439">
        <f>IF(AND(B3439=B3438,D3439=D3438,A3439=A3438,F3439=F3438),1,0)</f>
        <v/>
      </c>
      <c r="I3439">
        <f>IF(C3439="C99999",1,0)</f>
        <v/>
      </c>
      <c r="J3439" s="5">
        <f>IF(OR(H3439=1,I3439=1),0,IF(G3439="Credit",-F3439,F3439))</f>
        <v/>
      </c>
    </row>
    <row r="3440">
      <c r="A3440" t="inlineStr">
        <is>
          <t>2026-08-03</t>
        </is>
      </c>
      <c r="B3440" t="inlineStr">
        <is>
          <t>F271801</t>
        </is>
      </c>
      <c r="C3440" t="inlineStr">
        <is>
          <t>C10606</t>
        </is>
      </c>
      <c r="D3440" t="inlineStr">
        <is>
          <t>SKU-10178</t>
        </is>
      </c>
      <c r="E3440" t="inlineStr">
        <is>
          <t>AM03</t>
        </is>
      </c>
      <c r="F3440" s="5" t="n">
        <v>414.41</v>
      </c>
      <c r="G3440">
        <f>IF(LEFT(B3440,1)="C","Credit","Factuur")</f>
        <v/>
      </c>
      <c r="H3440">
        <f>IF(AND(B3440=B3439,D3440=D3439,A3440=A3439,F3440=F3439),1,0)</f>
        <v/>
      </c>
      <c r="I3440">
        <f>IF(C3440="C99999",1,0)</f>
        <v/>
      </c>
      <c r="J3440" s="5">
        <f>IF(OR(H3440=1,I3440=1),0,IF(G3440="Credit",-F3440,F3440))</f>
        <v/>
      </c>
    </row>
    <row r="3441">
      <c r="A3441" t="inlineStr">
        <is>
          <t>2026-08-03</t>
        </is>
      </c>
      <c r="B3441" t="inlineStr">
        <is>
          <t>F271953</t>
        </is>
      </c>
      <c r="C3441" t="inlineStr">
        <is>
          <t>C10616</t>
        </is>
      </c>
      <c r="D3441" t="inlineStr">
        <is>
          <t>SKU-10107</t>
        </is>
      </c>
      <c r="E3441" t="inlineStr">
        <is>
          <t>AM07</t>
        </is>
      </c>
      <c r="F3441" s="5" t="n">
        <v>859.5599999999999</v>
      </c>
      <c r="G3441">
        <f>IF(LEFT(B3441,1)="C","Credit","Factuur")</f>
        <v/>
      </c>
      <c r="H3441">
        <f>IF(AND(B3441=B3440,D3441=D3440,A3441=A3440,F3441=F3440),1,0)</f>
        <v/>
      </c>
      <c r="I3441">
        <f>IF(C3441="C99999",1,0)</f>
        <v/>
      </c>
      <c r="J3441" s="5">
        <f>IF(OR(H3441=1,I3441=1),0,IF(G3441="Credit",-F3441,F3441))</f>
        <v/>
      </c>
    </row>
    <row r="3442">
      <c r="A3442" t="inlineStr">
        <is>
          <t>2026-08-03</t>
        </is>
      </c>
      <c r="B3442" t="inlineStr">
        <is>
          <t>F271953</t>
        </is>
      </c>
      <c r="C3442" t="inlineStr">
        <is>
          <t>C10616</t>
        </is>
      </c>
      <c r="D3442" t="inlineStr">
        <is>
          <t>SKU-10164</t>
        </is>
      </c>
      <c r="E3442" t="inlineStr">
        <is>
          <t>AM07</t>
        </is>
      </c>
      <c r="F3442" s="5" t="n">
        <v>861.35</v>
      </c>
      <c r="G3442">
        <f>IF(LEFT(B3442,1)="C","Credit","Factuur")</f>
        <v/>
      </c>
      <c r="H3442">
        <f>IF(AND(B3442=B3441,D3442=D3441,A3442=A3441,F3442=F3441),1,0)</f>
        <v/>
      </c>
      <c r="I3442">
        <f>IF(C3442="C99999",1,0)</f>
        <v/>
      </c>
      <c r="J3442" s="5">
        <f>IF(OR(H3442=1,I3442=1),0,IF(G3442="Credit",-F3442,F3442))</f>
        <v/>
      </c>
    </row>
    <row r="3443">
      <c r="A3443" t="inlineStr">
        <is>
          <t>2026-08-03</t>
        </is>
      </c>
      <c r="B3443" t="inlineStr">
        <is>
          <t>F271953</t>
        </is>
      </c>
      <c r="C3443" t="inlineStr">
        <is>
          <t>C10616</t>
        </is>
      </c>
      <c r="D3443" t="inlineStr">
        <is>
          <t>SKU-10292</t>
        </is>
      </c>
      <c r="E3443" t="inlineStr">
        <is>
          <t>AM07</t>
        </is>
      </c>
      <c r="F3443" s="5" t="n">
        <v>805.98</v>
      </c>
      <c r="G3443">
        <f>IF(LEFT(B3443,1)="C","Credit","Factuur")</f>
        <v/>
      </c>
      <c r="H3443">
        <f>IF(AND(B3443=B3442,D3443=D3442,A3443=A3442,F3443=F3442),1,0)</f>
        <v/>
      </c>
      <c r="I3443">
        <f>IF(C3443="C99999",1,0)</f>
        <v/>
      </c>
      <c r="J3443" s="5">
        <f>IF(OR(H3443=1,I3443=1),0,IF(G3443="Credit",-F3443,F3443))</f>
        <v/>
      </c>
    </row>
    <row r="3444">
      <c r="A3444" t="inlineStr">
        <is>
          <t>2026-08-03</t>
        </is>
      </c>
      <c r="B3444" t="inlineStr">
        <is>
          <t>F271953</t>
        </is>
      </c>
      <c r="C3444" t="inlineStr">
        <is>
          <t>C10616</t>
        </is>
      </c>
      <c r="D3444" t="inlineStr">
        <is>
          <t>SKU-10311</t>
        </is>
      </c>
      <c r="E3444" t="inlineStr">
        <is>
          <t>AM07</t>
        </is>
      </c>
      <c r="F3444" s="5" t="n">
        <v>853.1799999999999</v>
      </c>
      <c r="G3444">
        <f>IF(LEFT(B3444,1)="C","Credit","Factuur")</f>
        <v/>
      </c>
      <c r="H3444">
        <f>IF(AND(B3444=B3443,D3444=D3443,A3444=A3443,F3444=F3443),1,0)</f>
        <v/>
      </c>
      <c r="I3444">
        <f>IF(C3444="C99999",1,0)</f>
        <v/>
      </c>
      <c r="J3444" s="5">
        <f>IF(OR(H3444=1,I3444=1),0,IF(G3444="Credit",-F3444,F3444))</f>
        <v/>
      </c>
    </row>
    <row r="3445">
      <c r="A3445" t="inlineStr">
        <is>
          <t>2026-08-03</t>
        </is>
      </c>
      <c r="B3445" t="inlineStr">
        <is>
          <t>F272562</t>
        </is>
      </c>
      <c r="C3445" t="inlineStr">
        <is>
          <t>C10651</t>
        </is>
      </c>
      <c r="D3445" t="inlineStr">
        <is>
          <t>SKU-10009</t>
        </is>
      </c>
      <c r="E3445" t="inlineStr">
        <is>
          <t>AM02</t>
        </is>
      </c>
      <c r="F3445" s="5" t="n">
        <v>64.84999999999999</v>
      </c>
      <c r="G3445">
        <f>IF(LEFT(B3445,1)="C","Credit","Factuur")</f>
        <v/>
      </c>
      <c r="H3445">
        <f>IF(AND(B3445=B3444,D3445=D3444,A3445=A3444,F3445=F3444),1,0)</f>
        <v/>
      </c>
      <c r="I3445">
        <f>IF(C3445="C99999",1,0)</f>
        <v/>
      </c>
      <c r="J3445" s="5">
        <f>IF(OR(H3445=1,I3445=1),0,IF(G3445="Credit",-F3445,F3445))</f>
        <v/>
      </c>
    </row>
    <row r="3446">
      <c r="A3446" t="inlineStr">
        <is>
          <t>2026-08-03</t>
        </is>
      </c>
      <c r="B3446" t="inlineStr">
        <is>
          <t>F272562</t>
        </is>
      </c>
      <c r="C3446" t="inlineStr">
        <is>
          <t>C10651</t>
        </is>
      </c>
      <c r="D3446" t="inlineStr">
        <is>
          <t>SKU-10047</t>
        </is>
      </c>
      <c r="E3446" t="inlineStr">
        <is>
          <t>AM02</t>
        </is>
      </c>
      <c r="F3446" s="5" t="n">
        <v>55.83</v>
      </c>
      <c r="G3446">
        <f>IF(LEFT(B3446,1)="C","Credit","Factuur")</f>
        <v/>
      </c>
      <c r="H3446">
        <f>IF(AND(B3446=B3445,D3446=D3445,A3446=A3445,F3446=F3445),1,0)</f>
        <v/>
      </c>
      <c r="I3446">
        <f>IF(C3446="C99999",1,0)</f>
        <v/>
      </c>
      <c r="J3446" s="5">
        <f>IF(OR(H3446=1,I3446=1),0,IF(G3446="Credit",-F3446,F3446))</f>
        <v/>
      </c>
    </row>
    <row r="3447">
      <c r="A3447" t="inlineStr">
        <is>
          <t>2026-08-03</t>
        </is>
      </c>
      <c r="B3447" t="inlineStr">
        <is>
          <t>F272562</t>
        </is>
      </c>
      <c r="C3447" t="inlineStr">
        <is>
          <t>C10651</t>
        </is>
      </c>
      <c r="D3447" t="inlineStr">
        <is>
          <t>SKU-10048</t>
        </is>
      </c>
      <c r="E3447" t="inlineStr">
        <is>
          <t>AM02</t>
        </is>
      </c>
      <c r="F3447" s="5" t="n">
        <v>52.61</v>
      </c>
      <c r="G3447">
        <f>IF(LEFT(B3447,1)="C","Credit","Factuur")</f>
        <v/>
      </c>
      <c r="H3447">
        <f>IF(AND(B3447=B3446,D3447=D3446,A3447=A3446,F3447=F3446),1,0)</f>
        <v/>
      </c>
      <c r="I3447">
        <f>IF(C3447="C99999",1,0)</f>
        <v/>
      </c>
      <c r="J3447" s="5">
        <f>IF(OR(H3447=1,I3447=1),0,IF(G3447="Credit",-F3447,F3447))</f>
        <v/>
      </c>
    </row>
    <row r="3448">
      <c r="A3448" t="inlineStr">
        <is>
          <t>2026-08-03</t>
        </is>
      </c>
      <c r="B3448" t="inlineStr">
        <is>
          <t>F272562</t>
        </is>
      </c>
      <c r="C3448" t="inlineStr">
        <is>
          <t>C10651</t>
        </is>
      </c>
      <c r="D3448" t="inlineStr">
        <is>
          <t>SKU-10276</t>
        </is>
      </c>
      <c r="E3448" t="inlineStr">
        <is>
          <t>AM02</t>
        </is>
      </c>
      <c r="F3448" s="5" t="n">
        <v>55.33</v>
      </c>
      <c r="G3448">
        <f>IF(LEFT(B3448,1)="C","Credit","Factuur")</f>
        <v/>
      </c>
      <c r="H3448">
        <f>IF(AND(B3448=B3447,D3448=D3447,A3448=A3447,F3448=F3447),1,0)</f>
        <v/>
      </c>
      <c r="I3448">
        <f>IF(C3448="C99999",1,0)</f>
        <v/>
      </c>
      <c r="J3448" s="5">
        <f>IF(OR(H3448=1,I3448=1),0,IF(G3448="Credit",-F3448,F3448))</f>
        <v/>
      </c>
    </row>
    <row r="3449">
      <c r="A3449" t="inlineStr">
        <is>
          <t>2026-08-03</t>
        </is>
      </c>
      <c r="B3449" t="inlineStr">
        <is>
          <t>F275619</t>
        </is>
      </c>
      <c r="C3449" t="inlineStr">
        <is>
          <t>C10827</t>
        </is>
      </c>
      <c r="D3449" t="inlineStr">
        <is>
          <t>SKU-10138</t>
        </is>
      </c>
      <c r="E3449" t="inlineStr">
        <is>
          <t>AM02</t>
        </is>
      </c>
      <c r="F3449" s="5" t="n">
        <v>193.72</v>
      </c>
      <c r="G3449">
        <f>IF(LEFT(B3449,1)="C","Credit","Factuur")</f>
        <v/>
      </c>
      <c r="H3449">
        <f>IF(AND(B3449=B3448,D3449=D3448,A3449=A3448,F3449=F3448),1,0)</f>
        <v/>
      </c>
      <c r="I3449">
        <f>IF(C3449="C99999",1,0)</f>
        <v/>
      </c>
      <c r="J3449" s="5">
        <f>IF(OR(H3449=1,I3449=1),0,IF(G3449="Credit",-F3449,F3449))</f>
        <v/>
      </c>
    </row>
    <row r="3450">
      <c r="A3450" t="inlineStr">
        <is>
          <t>2026-08-03</t>
        </is>
      </c>
      <c r="B3450" t="inlineStr">
        <is>
          <t>F275619</t>
        </is>
      </c>
      <c r="C3450" t="inlineStr">
        <is>
          <t>C10827</t>
        </is>
      </c>
      <c r="D3450" t="inlineStr">
        <is>
          <t>SKU-10237</t>
        </is>
      </c>
      <c r="E3450" t="inlineStr">
        <is>
          <t>AM02</t>
        </is>
      </c>
      <c r="F3450" s="5" t="n">
        <v>210.84</v>
      </c>
      <c r="G3450">
        <f>IF(LEFT(B3450,1)="C","Credit","Factuur")</f>
        <v/>
      </c>
      <c r="H3450">
        <f>IF(AND(B3450=B3449,D3450=D3449,A3450=A3449,F3450=F3449),1,0)</f>
        <v/>
      </c>
      <c r="I3450">
        <f>IF(C3450="C99999",1,0)</f>
        <v/>
      </c>
      <c r="J3450" s="5">
        <f>IF(OR(H3450=1,I3450=1),0,IF(G3450="Credit",-F3450,F3450))</f>
        <v/>
      </c>
    </row>
    <row r="3451">
      <c r="A3451" t="inlineStr">
        <is>
          <t>2026-08-03</t>
        </is>
      </c>
      <c r="B3451" t="inlineStr">
        <is>
          <t>F276605</t>
        </is>
      </c>
      <c r="C3451" t="inlineStr">
        <is>
          <t>C10882</t>
        </is>
      </c>
      <c r="D3451" t="inlineStr">
        <is>
          <t>SKU-10126</t>
        </is>
      </c>
      <c r="E3451" t="inlineStr">
        <is>
          <t>AM07</t>
        </is>
      </c>
      <c r="F3451" s="5" t="n">
        <v>262.3</v>
      </c>
      <c r="G3451">
        <f>IF(LEFT(B3451,1)="C","Credit","Factuur")</f>
        <v/>
      </c>
      <c r="H3451">
        <f>IF(AND(B3451=B3450,D3451=D3450,A3451=A3450,F3451=F3450),1,0)</f>
        <v/>
      </c>
      <c r="I3451">
        <f>IF(C3451="C99999",1,0)</f>
        <v/>
      </c>
      <c r="J3451" s="5">
        <f>IF(OR(H3451=1,I3451=1),0,IF(G3451="Credit",-F3451,F3451))</f>
        <v/>
      </c>
    </row>
    <row r="3452">
      <c r="A3452" t="inlineStr">
        <is>
          <t>2026-08-03</t>
        </is>
      </c>
      <c r="B3452" t="inlineStr">
        <is>
          <t>F276605</t>
        </is>
      </c>
      <c r="C3452" t="inlineStr">
        <is>
          <t>C10882</t>
        </is>
      </c>
      <c r="D3452" t="inlineStr">
        <is>
          <t>SKU-10145</t>
        </is>
      </c>
      <c r="E3452" t="inlineStr">
        <is>
          <t>AM07</t>
        </is>
      </c>
      <c r="F3452" s="5" t="n">
        <v>238.36</v>
      </c>
      <c r="G3452">
        <f>IF(LEFT(B3452,1)="C","Credit","Factuur")</f>
        <v/>
      </c>
      <c r="H3452">
        <f>IF(AND(B3452=B3451,D3452=D3451,A3452=A3451,F3452=F3451),1,0)</f>
        <v/>
      </c>
      <c r="I3452">
        <f>IF(C3452="C99999",1,0)</f>
        <v/>
      </c>
      <c r="J3452" s="5">
        <f>IF(OR(H3452=1,I3452=1),0,IF(G3452="Credit",-F3452,F3452))</f>
        <v/>
      </c>
    </row>
    <row r="3453">
      <c r="A3453" t="inlineStr">
        <is>
          <t>2026-08-03</t>
        </is>
      </c>
      <c r="B3453" t="inlineStr">
        <is>
          <t>F276605</t>
        </is>
      </c>
      <c r="C3453" t="inlineStr">
        <is>
          <t>C10882</t>
        </is>
      </c>
      <c r="D3453" t="inlineStr">
        <is>
          <t>SKU-10202</t>
        </is>
      </c>
      <c r="E3453" t="inlineStr">
        <is>
          <t>AM07</t>
        </is>
      </c>
      <c r="F3453" s="5" t="n">
        <v>249.85</v>
      </c>
      <c r="G3453">
        <f>IF(LEFT(B3453,1)="C","Credit","Factuur")</f>
        <v/>
      </c>
      <c r="H3453">
        <f>IF(AND(B3453=B3452,D3453=D3452,A3453=A3452,F3453=F3452),1,0)</f>
        <v/>
      </c>
      <c r="I3453">
        <f>IF(C3453="C99999",1,0)</f>
        <v/>
      </c>
      <c r="J3453" s="5">
        <f>IF(OR(H3453=1,I3453=1),0,IF(G3453="Credit",-F3453,F3453))</f>
        <v/>
      </c>
    </row>
    <row r="3454">
      <c r="A3454" t="inlineStr">
        <is>
          <t>2026-08-03</t>
        </is>
      </c>
      <c r="B3454" t="inlineStr">
        <is>
          <t>F276605</t>
        </is>
      </c>
      <c r="C3454" t="inlineStr">
        <is>
          <t>C10882</t>
        </is>
      </c>
      <c r="D3454" t="inlineStr">
        <is>
          <t>SKU-10253</t>
        </is>
      </c>
      <c r="E3454" t="inlineStr">
        <is>
          <t>AM07</t>
        </is>
      </c>
      <c r="F3454" s="5" t="n">
        <v>298.71</v>
      </c>
      <c r="G3454">
        <f>IF(LEFT(B3454,1)="C","Credit","Factuur")</f>
        <v/>
      </c>
      <c r="H3454">
        <f>IF(AND(B3454=B3453,D3454=D3453,A3454=A3453,F3454=F3453),1,0)</f>
        <v/>
      </c>
      <c r="I3454">
        <f>IF(C3454="C99999",1,0)</f>
        <v/>
      </c>
      <c r="J3454" s="5">
        <f>IF(OR(H3454=1,I3454=1),0,IF(G3454="Credit",-F3454,F3454))</f>
        <v/>
      </c>
    </row>
    <row r="3455">
      <c r="A3455" t="inlineStr">
        <is>
          <t>2026-08-03</t>
        </is>
      </c>
      <c r="B3455" t="inlineStr">
        <is>
          <t>F276605</t>
        </is>
      </c>
      <c r="C3455" t="inlineStr">
        <is>
          <t>C10882</t>
        </is>
      </c>
      <c r="D3455" t="inlineStr">
        <is>
          <t>SKU-10314</t>
        </is>
      </c>
      <c r="E3455" t="inlineStr">
        <is>
          <t>AM07</t>
        </is>
      </c>
      <c r="F3455" s="5" t="n">
        <v>248.37</v>
      </c>
      <c r="G3455">
        <f>IF(LEFT(B3455,1)="C","Credit","Factuur")</f>
        <v/>
      </c>
      <c r="H3455">
        <f>IF(AND(B3455=B3454,D3455=D3454,A3455=A3454,F3455=F3454),1,0)</f>
        <v/>
      </c>
      <c r="I3455">
        <f>IF(C3455="C99999",1,0)</f>
        <v/>
      </c>
      <c r="J3455" s="5">
        <f>IF(OR(H3455=1,I3455=1),0,IF(G3455="Credit",-F3455,F3455))</f>
        <v/>
      </c>
    </row>
    <row r="3456">
      <c r="A3456" t="inlineStr">
        <is>
          <t>2026-08-03</t>
        </is>
      </c>
      <c r="B3456" t="inlineStr">
        <is>
          <t>F276789</t>
        </is>
      </c>
      <c r="C3456" t="inlineStr">
        <is>
          <t>C10890</t>
        </is>
      </c>
      <c r="D3456" t="inlineStr">
        <is>
          <t>SKU-10075</t>
        </is>
      </c>
      <c r="E3456" t="inlineStr">
        <is>
          <t>AM11</t>
        </is>
      </c>
      <c r="F3456" s="5" t="n">
        <v>345.96</v>
      </c>
      <c r="G3456">
        <f>IF(LEFT(B3456,1)="C","Credit","Factuur")</f>
        <v/>
      </c>
      <c r="H3456">
        <f>IF(AND(B3456=B3455,D3456=D3455,A3456=A3455,F3456=F3455),1,0)</f>
        <v/>
      </c>
      <c r="I3456">
        <f>IF(C3456="C99999",1,0)</f>
        <v/>
      </c>
      <c r="J3456" s="5">
        <f>IF(OR(H3456=1,I3456=1),0,IF(G3456="Credit",-F3456,F3456))</f>
        <v/>
      </c>
    </row>
    <row r="3457">
      <c r="A3457" t="inlineStr">
        <is>
          <t>2026-08-03</t>
        </is>
      </c>
      <c r="B3457" t="inlineStr">
        <is>
          <t>F276789</t>
        </is>
      </c>
      <c r="C3457" t="inlineStr">
        <is>
          <t>C10890</t>
        </is>
      </c>
      <c r="D3457" t="inlineStr">
        <is>
          <t>SKU-10330</t>
        </is>
      </c>
      <c r="E3457" t="inlineStr"/>
      <c r="F3457" s="5" t="n">
        <v>367.77</v>
      </c>
      <c r="G3457">
        <f>IF(LEFT(B3457,1)="C","Credit","Factuur")</f>
        <v/>
      </c>
      <c r="H3457">
        <f>IF(AND(B3457=B3456,D3457=D3456,A3457=A3456,F3457=F3456),1,0)</f>
        <v/>
      </c>
      <c r="I3457">
        <f>IF(C3457="C99999",1,0)</f>
        <v/>
      </c>
      <c r="J3457" s="5">
        <f>IF(OR(H3457=1,I3457=1),0,IF(G3457="Credit",-F3457,F3457))</f>
        <v/>
      </c>
    </row>
    <row r="3458">
      <c r="A3458" t="inlineStr">
        <is>
          <t>2026-08-03</t>
        </is>
      </c>
      <c r="B3458" t="inlineStr">
        <is>
          <t>F276834</t>
        </is>
      </c>
      <c r="C3458" t="inlineStr">
        <is>
          <t>C10892</t>
        </is>
      </c>
      <c r="D3458" t="inlineStr">
        <is>
          <t>SKU-10046</t>
        </is>
      </c>
      <c r="E3458" t="inlineStr">
        <is>
          <t>AM06</t>
        </is>
      </c>
      <c r="F3458" s="5" t="n">
        <v>127.42</v>
      </c>
      <c r="G3458">
        <f>IF(LEFT(B3458,1)="C","Credit","Factuur")</f>
        <v/>
      </c>
      <c r="H3458">
        <f>IF(AND(B3458=B3457,D3458=D3457,A3458=A3457,F3458=F3457),1,0)</f>
        <v/>
      </c>
      <c r="I3458">
        <f>IF(C3458="C99999",1,0)</f>
        <v/>
      </c>
      <c r="J3458" s="5">
        <f>IF(OR(H3458=1,I3458=1),0,IF(G3458="Credit",-F3458,F3458))</f>
        <v/>
      </c>
    </row>
    <row r="3459">
      <c r="A3459" t="inlineStr">
        <is>
          <t>2026-08-03</t>
        </is>
      </c>
      <c r="B3459" t="inlineStr">
        <is>
          <t>F276834</t>
        </is>
      </c>
      <c r="C3459" t="inlineStr">
        <is>
          <t>C10892</t>
        </is>
      </c>
      <c r="D3459" t="inlineStr">
        <is>
          <t>SKU-10079</t>
        </is>
      </c>
      <c r="E3459" t="inlineStr">
        <is>
          <t>AM06</t>
        </is>
      </c>
      <c r="F3459" s="5" t="n">
        <v>114.8</v>
      </c>
      <c r="G3459">
        <f>IF(LEFT(B3459,1)="C","Credit","Factuur")</f>
        <v/>
      </c>
      <c r="H3459">
        <f>IF(AND(B3459=B3458,D3459=D3458,A3459=A3458,F3459=F3458),1,0)</f>
        <v/>
      </c>
      <c r="I3459">
        <f>IF(C3459="C99999",1,0)</f>
        <v/>
      </c>
      <c r="J3459" s="5">
        <f>IF(OR(H3459=1,I3459=1),0,IF(G3459="Credit",-F3459,F3459))</f>
        <v/>
      </c>
    </row>
    <row r="3460">
      <c r="A3460" t="inlineStr">
        <is>
          <t>2026-08-03</t>
        </is>
      </c>
      <c r="B3460" t="inlineStr">
        <is>
          <t>F276834</t>
        </is>
      </c>
      <c r="C3460" t="inlineStr">
        <is>
          <t>C10892</t>
        </is>
      </c>
      <c r="D3460" t="inlineStr">
        <is>
          <t>SKU-10155</t>
        </is>
      </c>
      <c r="E3460" t="inlineStr">
        <is>
          <t>AM06</t>
        </is>
      </c>
      <c r="F3460" s="5" t="n">
        <v>139.84</v>
      </c>
      <c r="G3460">
        <f>IF(LEFT(B3460,1)="C","Credit","Factuur")</f>
        <v/>
      </c>
      <c r="H3460">
        <f>IF(AND(B3460=B3459,D3460=D3459,A3460=A3459,F3460=F3459),1,0)</f>
        <v/>
      </c>
      <c r="I3460">
        <f>IF(C3460="C99999",1,0)</f>
        <v/>
      </c>
      <c r="J3460" s="5">
        <f>IF(OR(H3460=1,I3460=1),0,IF(G3460="Credit",-F3460,F3460))</f>
        <v/>
      </c>
    </row>
    <row r="3461">
      <c r="A3461" t="inlineStr">
        <is>
          <t>2026-08-03</t>
        </is>
      </c>
      <c r="B3461" t="inlineStr">
        <is>
          <t>F276834</t>
        </is>
      </c>
      <c r="C3461" t="inlineStr">
        <is>
          <t>C10892</t>
        </is>
      </c>
      <c r="D3461" t="inlineStr">
        <is>
          <t>SKU-10248</t>
        </is>
      </c>
      <c r="E3461" t="inlineStr">
        <is>
          <t>AM06</t>
        </is>
      </c>
      <c r="F3461" s="5" t="n">
        <v>136.59</v>
      </c>
      <c r="G3461">
        <f>IF(LEFT(B3461,1)="C","Credit","Factuur")</f>
        <v/>
      </c>
      <c r="H3461">
        <f>IF(AND(B3461=B3460,D3461=D3460,A3461=A3460,F3461=F3460),1,0)</f>
        <v/>
      </c>
      <c r="I3461">
        <f>IF(C3461="C99999",1,0)</f>
        <v/>
      </c>
      <c r="J3461" s="5">
        <f>IF(OR(H3461=1,I3461=1),0,IF(G3461="Credit",-F3461,F3461))</f>
        <v/>
      </c>
    </row>
    <row r="3462">
      <c r="A3462" t="inlineStr">
        <is>
          <t>2026-08-03</t>
        </is>
      </c>
      <c r="B3462" t="inlineStr">
        <is>
          <t>F277717</t>
        </is>
      </c>
      <c r="C3462" t="inlineStr">
        <is>
          <t>C10940</t>
        </is>
      </c>
      <c r="D3462" t="inlineStr">
        <is>
          <t>SKU-10234</t>
        </is>
      </c>
      <c r="E3462" t="inlineStr">
        <is>
          <t>AM06</t>
        </is>
      </c>
      <c r="F3462" s="5" t="n">
        <v>314.18</v>
      </c>
      <c r="G3462">
        <f>IF(LEFT(B3462,1)="C","Credit","Factuur")</f>
        <v/>
      </c>
      <c r="H3462">
        <f>IF(AND(B3462=B3461,D3462=D3461,A3462=A3461,F3462=F3461),1,0)</f>
        <v/>
      </c>
      <c r="I3462">
        <f>IF(C3462="C99999",1,0)</f>
        <v/>
      </c>
      <c r="J3462" s="5">
        <f>IF(OR(H3462=1,I3462=1),0,IF(G3462="Credit",-F3462,F3462))</f>
        <v/>
      </c>
    </row>
    <row r="3463">
      <c r="A3463" t="inlineStr">
        <is>
          <t>2026-08-03</t>
        </is>
      </c>
      <c r="B3463" t="inlineStr">
        <is>
          <t>F277717</t>
        </is>
      </c>
      <c r="C3463" t="inlineStr">
        <is>
          <t>C10940</t>
        </is>
      </c>
      <c r="D3463" t="inlineStr">
        <is>
          <t>SKU-10333</t>
        </is>
      </c>
      <c r="E3463" t="inlineStr">
        <is>
          <t>AM06</t>
        </is>
      </c>
      <c r="F3463" s="5" t="n">
        <v>286.95</v>
      </c>
      <c r="G3463">
        <f>IF(LEFT(B3463,1)="C","Credit","Factuur")</f>
        <v/>
      </c>
      <c r="H3463">
        <f>IF(AND(B3463=B3462,D3463=D3462,A3463=A3462,F3463=F3462),1,0)</f>
        <v/>
      </c>
      <c r="I3463">
        <f>IF(C3463="C99999",1,0)</f>
        <v/>
      </c>
      <c r="J3463" s="5">
        <f>IF(OR(H3463=1,I3463=1),0,IF(G3463="Credit",-F3463,F3463))</f>
        <v/>
      </c>
    </row>
    <row r="3464">
      <c r="A3464" t="inlineStr">
        <is>
          <t>2026-08-03</t>
        </is>
      </c>
      <c r="B3464" t="inlineStr">
        <is>
          <t>F277717</t>
        </is>
      </c>
      <c r="C3464" t="inlineStr">
        <is>
          <t>C10940</t>
        </is>
      </c>
      <c r="D3464" t="inlineStr">
        <is>
          <t>SKU-10340</t>
        </is>
      </c>
      <c r="E3464" t="inlineStr">
        <is>
          <t>AM06</t>
        </is>
      </c>
      <c r="F3464" s="5" t="n">
        <v>330.96</v>
      </c>
      <c r="G3464">
        <f>IF(LEFT(B3464,1)="C","Credit","Factuur")</f>
        <v/>
      </c>
      <c r="H3464">
        <f>IF(AND(B3464=B3463,D3464=D3463,A3464=A3463,F3464=F3463),1,0)</f>
        <v/>
      </c>
      <c r="I3464">
        <f>IF(C3464="C99999",1,0)</f>
        <v/>
      </c>
      <c r="J3464" s="5">
        <f>IF(OR(H3464=1,I3464=1),0,IF(G3464="Credit",-F3464,F3464))</f>
        <v/>
      </c>
    </row>
    <row r="3465">
      <c r="A3465" t="inlineStr">
        <is>
          <t>2026-08-03</t>
        </is>
      </c>
      <c r="B3465" t="inlineStr">
        <is>
          <t>F277717</t>
        </is>
      </c>
      <c r="C3465" t="inlineStr">
        <is>
          <t>C10940</t>
        </is>
      </c>
      <c r="D3465" t="inlineStr">
        <is>
          <t>SKU-10357</t>
        </is>
      </c>
      <c r="E3465" t="inlineStr">
        <is>
          <t>AM06</t>
        </is>
      </c>
      <c r="F3465" s="5" t="n">
        <v>288.51</v>
      </c>
      <c r="G3465">
        <f>IF(LEFT(B3465,1)="C","Credit","Factuur")</f>
        <v/>
      </c>
      <c r="H3465">
        <f>IF(AND(B3465=B3464,D3465=D3464,A3465=A3464,F3465=F3464),1,0)</f>
        <v/>
      </c>
      <c r="I3465">
        <f>IF(C3465="C99999",1,0)</f>
        <v/>
      </c>
      <c r="J3465" s="5">
        <f>IF(OR(H3465=1,I3465=1),0,IF(G3465="Credit",-F3465,F3465))</f>
        <v/>
      </c>
    </row>
    <row r="3466">
      <c r="A3466" t="inlineStr">
        <is>
          <t>2026-08-03</t>
        </is>
      </c>
      <c r="B3466" t="inlineStr">
        <is>
          <t>F277743</t>
        </is>
      </c>
      <c r="C3466" t="inlineStr">
        <is>
          <t>C10942</t>
        </is>
      </c>
      <c r="D3466" t="inlineStr">
        <is>
          <t>SKU-10037</t>
        </is>
      </c>
      <c r="E3466" t="inlineStr">
        <is>
          <t>AM08</t>
        </is>
      </c>
      <c r="F3466" s="5" t="n">
        <v>192.95</v>
      </c>
      <c r="G3466">
        <f>IF(LEFT(B3466,1)="C","Credit","Factuur")</f>
        <v/>
      </c>
      <c r="H3466">
        <f>IF(AND(B3466=B3465,D3466=D3465,A3466=A3465,F3466=F3465),1,0)</f>
        <v/>
      </c>
      <c r="I3466">
        <f>IF(C3466="C99999",1,0)</f>
        <v/>
      </c>
      <c r="J3466" s="5">
        <f>IF(OR(H3466=1,I3466=1),0,IF(G3466="Credit",-F3466,F3466))</f>
        <v/>
      </c>
    </row>
    <row r="3467">
      <c r="A3467" t="inlineStr">
        <is>
          <t>2026-08-03</t>
        </is>
      </c>
      <c r="B3467" t="inlineStr">
        <is>
          <t>F277743</t>
        </is>
      </c>
      <c r="C3467" t="inlineStr">
        <is>
          <t>C10942</t>
        </is>
      </c>
      <c r="D3467" t="inlineStr">
        <is>
          <t>SKU-10157</t>
        </is>
      </c>
      <c r="E3467" t="inlineStr">
        <is>
          <t>AM08</t>
        </is>
      </c>
      <c r="F3467" s="5" t="n">
        <v>185.98</v>
      </c>
      <c r="G3467">
        <f>IF(LEFT(B3467,1)="C","Credit","Factuur")</f>
        <v/>
      </c>
      <c r="H3467">
        <f>IF(AND(B3467=B3466,D3467=D3466,A3467=A3466,F3467=F3466),1,0)</f>
        <v/>
      </c>
      <c r="I3467">
        <f>IF(C3467="C99999",1,0)</f>
        <v/>
      </c>
      <c r="J3467" s="5">
        <f>IF(OR(H3467=1,I3467=1),0,IF(G3467="Credit",-F3467,F3467))</f>
        <v/>
      </c>
    </row>
    <row r="3468">
      <c r="A3468" t="inlineStr">
        <is>
          <t>2026-08-03</t>
        </is>
      </c>
      <c r="B3468" t="inlineStr">
        <is>
          <t>F277965</t>
        </is>
      </c>
      <c r="C3468" t="inlineStr">
        <is>
          <t>C10952</t>
        </is>
      </c>
      <c r="D3468" t="inlineStr">
        <is>
          <t>SKU-10332</t>
        </is>
      </c>
      <c r="E3468" t="inlineStr">
        <is>
          <t>AM01</t>
        </is>
      </c>
      <c r="F3468" s="5" t="n">
        <v>512.6900000000001</v>
      </c>
      <c r="G3468">
        <f>IF(LEFT(B3468,1)="C","Credit","Factuur")</f>
        <v/>
      </c>
      <c r="H3468">
        <f>IF(AND(B3468=B3467,D3468=D3467,A3468=A3467,F3468=F3467),1,0)</f>
        <v/>
      </c>
      <c r="I3468">
        <f>IF(C3468="C99999",1,0)</f>
        <v/>
      </c>
      <c r="J3468" s="5">
        <f>IF(OR(H3468=1,I3468=1),0,IF(G3468="Credit",-F3468,F3468))</f>
        <v/>
      </c>
    </row>
    <row r="3469">
      <c r="A3469" t="inlineStr">
        <is>
          <t>2026-08-03</t>
        </is>
      </c>
      <c r="B3469" t="inlineStr">
        <is>
          <t>F278058</t>
        </is>
      </c>
      <c r="C3469" t="inlineStr">
        <is>
          <t>C10959</t>
        </is>
      </c>
      <c r="D3469" t="inlineStr">
        <is>
          <t>SKU-10230</t>
        </is>
      </c>
      <c r="E3469" t="inlineStr">
        <is>
          <t>AM08</t>
        </is>
      </c>
      <c r="F3469" s="5" t="n">
        <v>1526.41</v>
      </c>
      <c r="G3469">
        <f>IF(LEFT(B3469,1)="C","Credit","Factuur")</f>
        <v/>
      </c>
      <c r="H3469">
        <f>IF(AND(B3469=B3468,D3469=D3468,A3469=A3468,F3469=F3468),1,0)</f>
        <v/>
      </c>
      <c r="I3469">
        <f>IF(C3469="C99999",1,0)</f>
        <v/>
      </c>
      <c r="J3469" s="5">
        <f>IF(OR(H3469=1,I3469=1),0,IF(G3469="Credit",-F3469,F3469))</f>
        <v/>
      </c>
    </row>
    <row r="3470">
      <c r="A3470" t="inlineStr">
        <is>
          <t>2026-08-03</t>
        </is>
      </c>
      <c r="B3470" t="inlineStr">
        <is>
          <t>F278058</t>
        </is>
      </c>
      <c r="C3470" t="inlineStr">
        <is>
          <t>C10959</t>
        </is>
      </c>
      <c r="D3470" t="inlineStr">
        <is>
          <t>SKU-10385</t>
        </is>
      </c>
      <c r="E3470" t="inlineStr">
        <is>
          <t>AM08</t>
        </is>
      </c>
      <c r="F3470" s="5" t="n">
        <v>1773.33</v>
      </c>
      <c r="G3470">
        <f>IF(LEFT(B3470,1)="C","Credit","Factuur")</f>
        <v/>
      </c>
      <c r="H3470">
        <f>IF(AND(B3470=B3469,D3470=D3469,A3470=A3469,F3470=F3469),1,0)</f>
        <v/>
      </c>
      <c r="I3470">
        <f>IF(C3470="C99999",1,0)</f>
        <v/>
      </c>
      <c r="J3470" s="5">
        <f>IF(OR(H3470=1,I3470=1),0,IF(G3470="Credit",-F3470,F3470))</f>
        <v/>
      </c>
    </row>
    <row r="3471">
      <c r="A3471" t="inlineStr">
        <is>
          <t>2026-08-03</t>
        </is>
      </c>
      <c r="B3471" t="inlineStr">
        <is>
          <t>F278439</t>
        </is>
      </c>
      <c r="C3471" t="inlineStr">
        <is>
          <t>C10978</t>
        </is>
      </c>
      <c r="D3471" t="inlineStr">
        <is>
          <t>SKU-10267</t>
        </is>
      </c>
      <c r="E3471" t="inlineStr">
        <is>
          <t>AM06</t>
        </is>
      </c>
      <c r="F3471" s="5" t="n">
        <v>864.63</v>
      </c>
      <c r="G3471">
        <f>IF(LEFT(B3471,1)="C","Credit","Factuur")</f>
        <v/>
      </c>
      <c r="H3471">
        <f>IF(AND(B3471=B3470,D3471=D3470,A3471=A3470,F3471=F3470),1,0)</f>
        <v/>
      </c>
      <c r="I3471">
        <f>IF(C3471="C99999",1,0)</f>
        <v/>
      </c>
      <c r="J3471" s="5">
        <f>IF(OR(H3471=1,I3471=1),0,IF(G3471="Credit",-F3471,F3471))</f>
        <v/>
      </c>
    </row>
    <row r="3472">
      <c r="A3472" t="inlineStr">
        <is>
          <t>2026-08-03</t>
        </is>
      </c>
      <c r="B3472" t="inlineStr">
        <is>
          <t>F278866</t>
        </is>
      </c>
      <c r="C3472" t="inlineStr">
        <is>
          <t>C10999</t>
        </is>
      </c>
      <c r="D3472" t="inlineStr">
        <is>
          <t>SKU-10228</t>
        </is>
      </c>
      <c r="E3472" t="inlineStr">
        <is>
          <t>AM03</t>
        </is>
      </c>
      <c r="F3472" s="5" t="n">
        <v>1079.69</v>
      </c>
      <c r="G3472">
        <f>IF(LEFT(B3472,1)="C","Credit","Factuur")</f>
        <v/>
      </c>
      <c r="H3472">
        <f>IF(AND(B3472=B3471,D3472=D3471,A3472=A3471,F3472=F3471),1,0)</f>
        <v/>
      </c>
      <c r="I3472">
        <f>IF(C3472="C99999",1,0)</f>
        <v/>
      </c>
      <c r="J3472" s="5">
        <f>IF(OR(H3472=1,I3472=1),0,IF(G3472="Credit",-F3472,F3472))</f>
        <v/>
      </c>
    </row>
    <row r="3473">
      <c r="A3473" t="inlineStr">
        <is>
          <t>2026-08-03</t>
        </is>
      </c>
      <c r="B3473" t="inlineStr">
        <is>
          <t>F278897</t>
        </is>
      </c>
      <c r="C3473" t="inlineStr">
        <is>
          <t>C11001</t>
        </is>
      </c>
      <c r="D3473" t="inlineStr">
        <is>
          <t>SKU-10156</t>
        </is>
      </c>
      <c r="E3473" t="inlineStr">
        <is>
          <t>AM05</t>
        </is>
      </c>
      <c r="F3473" s="5" t="n">
        <v>359.04</v>
      </c>
      <c r="G3473">
        <f>IF(LEFT(B3473,1)="C","Credit","Factuur")</f>
        <v/>
      </c>
      <c r="H3473">
        <f>IF(AND(B3473=B3472,D3473=D3472,A3473=A3472,F3473=F3472),1,0)</f>
        <v/>
      </c>
      <c r="I3473">
        <f>IF(C3473="C99999",1,0)</f>
        <v/>
      </c>
      <c r="J3473" s="5">
        <f>IF(OR(H3473=1,I3473=1),0,IF(G3473="Credit",-F3473,F3473))</f>
        <v/>
      </c>
    </row>
    <row r="3474">
      <c r="A3474" t="inlineStr">
        <is>
          <t>2026-08-03</t>
        </is>
      </c>
      <c r="B3474" t="inlineStr">
        <is>
          <t>F278897</t>
        </is>
      </c>
      <c r="C3474" t="inlineStr">
        <is>
          <t>C11001</t>
        </is>
      </c>
      <c r="D3474" t="inlineStr">
        <is>
          <t>SKU-10233</t>
        </is>
      </c>
      <c r="E3474" t="inlineStr">
        <is>
          <t>AM05</t>
        </is>
      </c>
      <c r="F3474" s="5" t="n">
        <v>342.86</v>
      </c>
      <c r="G3474">
        <f>IF(LEFT(B3474,1)="C","Credit","Factuur")</f>
        <v/>
      </c>
      <c r="H3474">
        <f>IF(AND(B3474=B3473,D3474=D3473,A3474=A3473,F3474=F3473),1,0)</f>
        <v/>
      </c>
      <c r="I3474">
        <f>IF(C3474="C99999",1,0)</f>
        <v/>
      </c>
      <c r="J3474" s="5">
        <f>IF(OR(H3474=1,I3474=1),0,IF(G3474="Credit",-F3474,F3474))</f>
        <v/>
      </c>
    </row>
    <row r="3475">
      <c r="A3475" t="inlineStr">
        <is>
          <t>2026-08-03</t>
        </is>
      </c>
      <c r="B3475" t="inlineStr">
        <is>
          <t>F280352</t>
        </is>
      </c>
      <c r="C3475" t="inlineStr">
        <is>
          <t>C11074</t>
        </is>
      </c>
      <c r="D3475" t="inlineStr">
        <is>
          <t>SKU-10008</t>
        </is>
      </c>
      <c r="E3475" t="inlineStr">
        <is>
          <t>AM12</t>
        </is>
      </c>
      <c r="F3475" s="5" t="n">
        <v>294.84</v>
      </c>
      <c r="G3475">
        <f>IF(LEFT(B3475,1)="C","Credit","Factuur")</f>
        <v/>
      </c>
      <c r="H3475">
        <f>IF(AND(B3475=B3474,D3475=D3474,A3475=A3474,F3475=F3474),1,0)</f>
        <v/>
      </c>
      <c r="I3475">
        <f>IF(C3475="C99999",1,0)</f>
        <v/>
      </c>
      <c r="J3475" s="5">
        <f>IF(OR(H3475=1,I3475=1),0,IF(G3475="Credit",-F3475,F3475))</f>
        <v/>
      </c>
    </row>
    <row r="3476">
      <c r="A3476" t="inlineStr">
        <is>
          <t>2026-08-03</t>
        </is>
      </c>
      <c r="B3476" t="inlineStr">
        <is>
          <t>F280352</t>
        </is>
      </c>
      <c r="C3476" t="inlineStr">
        <is>
          <t>C11074</t>
        </is>
      </c>
      <c r="D3476" t="inlineStr">
        <is>
          <t>SKU-10271</t>
        </is>
      </c>
      <c r="E3476" t="inlineStr">
        <is>
          <t>AM12</t>
        </is>
      </c>
      <c r="F3476" s="5" t="n">
        <v>299.25</v>
      </c>
      <c r="G3476">
        <f>IF(LEFT(B3476,1)="C","Credit","Factuur")</f>
        <v/>
      </c>
      <c r="H3476">
        <f>IF(AND(B3476=B3475,D3476=D3475,A3476=A3475,F3476=F3475),1,0)</f>
        <v/>
      </c>
      <c r="I3476">
        <f>IF(C3476="C99999",1,0)</f>
        <v/>
      </c>
      <c r="J3476" s="5">
        <f>IF(OR(H3476=1,I3476=1),0,IF(G3476="Credit",-F3476,F3476))</f>
        <v/>
      </c>
    </row>
    <row r="3477">
      <c r="A3477" t="inlineStr">
        <is>
          <t>2026-08-03</t>
        </is>
      </c>
      <c r="B3477" t="inlineStr">
        <is>
          <t>F280352</t>
        </is>
      </c>
      <c r="C3477" t="inlineStr">
        <is>
          <t>C11074</t>
        </is>
      </c>
      <c r="D3477" t="inlineStr">
        <is>
          <t>SKU-10305</t>
        </is>
      </c>
      <c r="E3477" t="inlineStr">
        <is>
          <t>AM12</t>
        </is>
      </c>
      <c r="F3477" s="5" t="n">
        <v>307.85</v>
      </c>
      <c r="G3477">
        <f>IF(LEFT(B3477,1)="C","Credit","Factuur")</f>
        <v/>
      </c>
      <c r="H3477">
        <f>IF(AND(B3477=B3476,D3477=D3476,A3477=A3476,F3477=F3476),1,0)</f>
        <v/>
      </c>
      <c r="I3477">
        <f>IF(C3477="C99999",1,0)</f>
        <v/>
      </c>
      <c r="J3477" s="5">
        <f>IF(OR(H3477=1,I3477=1),0,IF(G3477="Credit",-F3477,F3477))</f>
        <v/>
      </c>
    </row>
    <row r="3478">
      <c r="A3478" t="inlineStr">
        <is>
          <t>2026-08-03</t>
        </is>
      </c>
      <c r="B3478" t="inlineStr">
        <is>
          <t>F281788</t>
        </is>
      </c>
      <c r="C3478" t="inlineStr">
        <is>
          <t>C11147</t>
        </is>
      </c>
      <c r="D3478" t="inlineStr">
        <is>
          <t>SKU-10242</t>
        </is>
      </c>
      <c r="E3478" t="inlineStr">
        <is>
          <t>AM08</t>
        </is>
      </c>
      <c r="F3478" s="5" t="n">
        <v>633.6</v>
      </c>
      <c r="G3478">
        <f>IF(LEFT(B3478,1)="C","Credit","Factuur")</f>
        <v/>
      </c>
      <c r="H3478">
        <f>IF(AND(B3478=B3477,D3478=D3477,A3478=A3477,F3478=F3477),1,0)</f>
        <v/>
      </c>
      <c r="I3478">
        <f>IF(C3478="C99999",1,0)</f>
        <v/>
      </c>
      <c r="J3478" s="5">
        <f>IF(OR(H3478=1,I3478=1),0,IF(G3478="Credit",-F3478,F3478))</f>
        <v/>
      </c>
    </row>
    <row r="3479">
      <c r="A3479" t="inlineStr">
        <is>
          <t>2026-08-03</t>
        </is>
      </c>
      <c r="B3479" t="inlineStr">
        <is>
          <t>F281883</t>
        </is>
      </c>
      <c r="C3479" t="inlineStr">
        <is>
          <t>C11152</t>
        </is>
      </c>
      <c r="D3479" t="inlineStr">
        <is>
          <t>SKU-10214</t>
        </is>
      </c>
      <c r="E3479" t="inlineStr">
        <is>
          <t>AM06</t>
        </is>
      </c>
      <c r="F3479" s="5" t="n">
        <v>509.39</v>
      </c>
      <c r="G3479">
        <f>IF(LEFT(B3479,1)="C","Credit","Factuur")</f>
        <v/>
      </c>
      <c r="H3479">
        <f>IF(AND(B3479=B3478,D3479=D3478,A3479=A3478,F3479=F3478),1,0)</f>
        <v/>
      </c>
      <c r="I3479">
        <f>IF(C3479="C99999",1,0)</f>
        <v/>
      </c>
      <c r="J3479" s="5">
        <f>IF(OR(H3479=1,I3479=1),0,IF(G3479="Credit",-F3479,F3479))</f>
        <v/>
      </c>
    </row>
    <row r="3480">
      <c r="A3480" t="inlineStr">
        <is>
          <t>2026-08-03</t>
        </is>
      </c>
      <c r="B3480" t="inlineStr">
        <is>
          <t>F282127</t>
        </is>
      </c>
      <c r="C3480" t="inlineStr">
        <is>
          <t>C11162</t>
        </is>
      </c>
      <c r="D3480" t="inlineStr">
        <is>
          <t>SKU-10034</t>
        </is>
      </c>
      <c r="E3480" t="inlineStr">
        <is>
          <t>AM01</t>
        </is>
      </c>
      <c r="F3480" s="5" t="n">
        <v>92.86</v>
      </c>
      <c r="G3480">
        <f>IF(LEFT(B3480,1)="C","Credit","Factuur")</f>
        <v/>
      </c>
      <c r="H3480">
        <f>IF(AND(B3480=B3479,D3480=D3479,A3480=A3479,F3480=F3479),1,0)</f>
        <v/>
      </c>
      <c r="I3480">
        <f>IF(C3480="C99999",1,0)</f>
        <v/>
      </c>
      <c r="J3480" s="5">
        <f>IF(OR(H3480=1,I3480=1),0,IF(G3480="Credit",-F3480,F3480))</f>
        <v/>
      </c>
    </row>
    <row r="3481">
      <c r="A3481" t="inlineStr">
        <is>
          <t>2026-08-03</t>
        </is>
      </c>
      <c r="B3481" t="inlineStr">
        <is>
          <t>F282127</t>
        </is>
      </c>
      <c r="C3481" t="inlineStr">
        <is>
          <t>C11162</t>
        </is>
      </c>
      <c r="D3481" t="inlineStr">
        <is>
          <t>SKU-10097</t>
        </is>
      </c>
      <c r="E3481" t="inlineStr">
        <is>
          <t>AM01</t>
        </is>
      </c>
      <c r="F3481" s="5" t="n">
        <v>101.17</v>
      </c>
      <c r="G3481">
        <f>IF(LEFT(B3481,1)="C","Credit","Factuur")</f>
        <v/>
      </c>
      <c r="H3481">
        <f>IF(AND(B3481=B3480,D3481=D3480,A3481=A3480,F3481=F3480),1,0)</f>
        <v/>
      </c>
      <c r="I3481">
        <f>IF(C3481="C99999",1,0)</f>
        <v/>
      </c>
      <c r="J3481" s="5">
        <f>IF(OR(H3481=1,I3481=1),0,IF(G3481="Credit",-F3481,F3481))</f>
        <v/>
      </c>
    </row>
    <row r="3482">
      <c r="A3482" t="inlineStr">
        <is>
          <t>2026-08-03</t>
        </is>
      </c>
      <c r="B3482" t="inlineStr">
        <is>
          <t>F282127</t>
        </is>
      </c>
      <c r="C3482" t="inlineStr">
        <is>
          <t>C11162</t>
        </is>
      </c>
      <c r="D3482" t="inlineStr">
        <is>
          <t>SKU-10101</t>
        </is>
      </c>
      <c r="E3482" t="inlineStr">
        <is>
          <t>AM01</t>
        </is>
      </c>
      <c r="F3482" s="5" t="n">
        <v>118.76</v>
      </c>
      <c r="G3482">
        <f>IF(LEFT(B3482,1)="C","Credit","Factuur")</f>
        <v/>
      </c>
      <c r="H3482">
        <f>IF(AND(B3482=B3481,D3482=D3481,A3482=A3481,F3482=F3481),1,0)</f>
        <v/>
      </c>
      <c r="I3482">
        <f>IF(C3482="C99999",1,0)</f>
        <v/>
      </c>
      <c r="J3482" s="5">
        <f>IF(OR(H3482=1,I3482=1),0,IF(G3482="Credit",-F3482,F3482))</f>
        <v/>
      </c>
    </row>
    <row r="3483">
      <c r="A3483" t="inlineStr">
        <is>
          <t>2026-08-03</t>
        </is>
      </c>
      <c r="B3483" t="inlineStr">
        <is>
          <t>F282127</t>
        </is>
      </c>
      <c r="C3483" t="inlineStr">
        <is>
          <t>C11162</t>
        </is>
      </c>
      <c r="D3483" t="inlineStr">
        <is>
          <t>SKU-10280</t>
        </is>
      </c>
      <c r="E3483" t="inlineStr">
        <is>
          <t>AM01</t>
        </is>
      </c>
      <c r="F3483" s="5" t="n">
        <v>105.72</v>
      </c>
      <c r="G3483">
        <f>IF(LEFT(B3483,1)="C","Credit","Factuur")</f>
        <v/>
      </c>
      <c r="H3483">
        <f>IF(AND(B3483=B3482,D3483=D3482,A3483=A3482,F3483=F3482),1,0)</f>
        <v/>
      </c>
      <c r="I3483">
        <f>IF(C3483="C99999",1,0)</f>
        <v/>
      </c>
      <c r="J3483" s="5">
        <f>IF(OR(H3483=1,I3483=1),0,IF(G3483="Credit",-F3483,F3483))</f>
        <v/>
      </c>
    </row>
    <row r="3484">
      <c r="A3484" t="inlineStr">
        <is>
          <t>2026-08-03</t>
        </is>
      </c>
      <c r="B3484" t="inlineStr">
        <is>
          <t>F282127</t>
        </is>
      </c>
      <c r="C3484" t="inlineStr">
        <is>
          <t>C11162</t>
        </is>
      </c>
      <c r="D3484" t="inlineStr">
        <is>
          <t>SKU-10291</t>
        </is>
      </c>
      <c r="E3484" t="inlineStr">
        <is>
          <t>AM01</t>
        </is>
      </c>
      <c r="F3484" s="5" t="n">
        <v>110.21</v>
      </c>
      <c r="G3484">
        <f>IF(LEFT(B3484,1)="C","Credit","Factuur")</f>
        <v/>
      </c>
      <c r="H3484">
        <f>IF(AND(B3484=B3483,D3484=D3483,A3484=A3483,F3484=F3483),1,0)</f>
        <v/>
      </c>
      <c r="I3484">
        <f>IF(C3484="C99999",1,0)</f>
        <v/>
      </c>
      <c r="J3484" s="5">
        <f>IF(OR(H3484=1,I3484=1),0,IF(G3484="Credit",-F3484,F3484))</f>
        <v/>
      </c>
    </row>
    <row r="3485">
      <c r="A3485" t="inlineStr">
        <is>
          <t>2026-08-03</t>
        </is>
      </c>
      <c r="B3485" t="inlineStr">
        <is>
          <t>F282267</t>
        </is>
      </c>
      <c r="C3485" t="inlineStr">
        <is>
          <t>C11168</t>
        </is>
      </c>
      <c r="D3485" t="inlineStr">
        <is>
          <t>SKU-10015</t>
        </is>
      </c>
      <c r="E3485" t="inlineStr">
        <is>
          <t>AM07</t>
        </is>
      </c>
      <c r="F3485" s="5" t="n">
        <v>687.26</v>
      </c>
      <c r="G3485">
        <f>IF(LEFT(B3485,1)="C","Credit","Factuur")</f>
        <v/>
      </c>
      <c r="H3485">
        <f>IF(AND(B3485=B3484,D3485=D3484,A3485=A3484,F3485=F3484),1,0)</f>
        <v/>
      </c>
      <c r="I3485">
        <f>IF(C3485="C99999",1,0)</f>
        <v/>
      </c>
      <c r="J3485" s="5">
        <f>IF(OR(H3485=1,I3485=1),0,IF(G3485="Credit",-F3485,F3485))</f>
        <v/>
      </c>
    </row>
    <row r="3486">
      <c r="A3486" t="inlineStr">
        <is>
          <t>2026-08-03</t>
        </is>
      </c>
      <c r="B3486" t="inlineStr">
        <is>
          <t>F282685</t>
        </is>
      </c>
      <c r="C3486" t="inlineStr">
        <is>
          <t>C11191</t>
        </is>
      </c>
      <c r="D3486" t="inlineStr">
        <is>
          <t>SKU-10017</t>
        </is>
      </c>
      <c r="E3486" t="inlineStr">
        <is>
          <t>AM06</t>
        </is>
      </c>
      <c r="F3486" s="5" t="n">
        <v>258.35</v>
      </c>
      <c r="G3486">
        <f>IF(LEFT(B3486,1)="C","Credit","Factuur")</f>
        <v/>
      </c>
      <c r="H3486">
        <f>IF(AND(B3486=B3485,D3486=D3485,A3486=A3485,F3486=F3485),1,0)</f>
        <v/>
      </c>
      <c r="I3486">
        <f>IF(C3486="C99999",1,0)</f>
        <v/>
      </c>
      <c r="J3486" s="5">
        <f>IF(OR(H3486=1,I3486=1),0,IF(G3486="Credit",-F3486,F3486))</f>
        <v/>
      </c>
    </row>
    <row r="3487">
      <c r="A3487" t="inlineStr">
        <is>
          <t>2026-08-03</t>
        </is>
      </c>
      <c r="B3487" t="inlineStr">
        <is>
          <t>F282685</t>
        </is>
      </c>
      <c r="C3487" t="inlineStr">
        <is>
          <t>C11191</t>
        </is>
      </c>
      <c r="D3487" t="inlineStr">
        <is>
          <t>SKU-10029</t>
        </is>
      </c>
      <c r="E3487" t="inlineStr">
        <is>
          <t>AM06</t>
        </is>
      </c>
      <c r="F3487" s="5" t="n">
        <v>236.39</v>
      </c>
      <c r="G3487">
        <f>IF(LEFT(B3487,1)="C","Credit","Factuur")</f>
        <v/>
      </c>
      <c r="H3487">
        <f>IF(AND(B3487=B3486,D3487=D3486,A3487=A3486,F3487=F3486),1,0)</f>
        <v/>
      </c>
      <c r="I3487">
        <f>IF(C3487="C99999",1,0)</f>
        <v/>
      </c>
      <c r="J3487" s="5">
        <f>IF(OR(H3487=1,I3487=1),0,IF(G3487="Credit",-F3487,F3487))</f>
        <v/>
      </c>
    </row>
    <row r="3488">
      <c r="A3488" t="inlineStr">
        <is>
          <t>2026-08-03</t>
        </is>
      </c>
      <c r="B3488" t="inlineStr">
        <is>
          <t>F282685</t>
        </is>
      </c>
      <c r="C3488" t="inlineStr">
        <is>
          <t>C11191</t>
        </is>
      </c>
      <c r="D3488" t="inlineStr">
        <is>
          <t>SKU-10235</t>
        </is>
      </c>
      <c r="E3488" t="inlineStr">
        <is>
          <t>AM06</t>
        </is>
      </c>
      <c r="F3488" s="5" t="n">
        <v>224.13</v>
      </c>
      <c r="G3488">
        <f>IF(LEFT(B3488,1)="C","Credit","Factuur")</f>
        <v/>
      </c>
      <c r="H3488">
        <f>IF(AND(B3488=B3487,D3488=D3487,A3488=A3487,F3488=F3487),1,0)</f>
        <v/>
      </c>
      <c r="I3488">
        <f>IF(C3488="C99999",1,0)</f>
        <v/>
      </c>
      <c r="J3488" s="5">
        <f>IF(OR(H3488=1,I3488=1),0,IF(G3488="Credit",-F3488,F3488))</f>
        <v/>
      </c>
    </row>
    <row r="3489">
      <c r="A3489" t="inlineStr">
        <is>
          <t>2026-08-03</t>
        </is>
      </c>
      <c r="B3489" t="inlineStr">
        <is>
          <t>F282685</t>
        </is>
      </c>
      <c r="C3489" t="inlineStr">
        <is>
          <t>C11191</t>
        </is>
      </c>
      <c r="D3489" t="inlineStr">
        <is>
          <t>SKU-10328</t>
        </is>
      </c>
      <c r="E3489" t="inlineStr">
        <is>
          <t>AM06</t>
        </is>
      </c>
      <c r="F3489" s="5" t="n">
        <v>267.1</v>
      </c>
      <c r="G3489">
        <f>IF(LEFT(B3489,1)="C","Credit","Factuur")</f>
        <v/>
      </c>
      <c r="H3489">
        <f>IF(AND(B3489=B3488,D3489=D3488,A3489=A3488,F3489=F3488),1,0)</f>
        <v/>
      </c>
      <c r="I3489">
        <f>IF(C3489="C99999",1,0)</f>
        <v/>
      </c>
      <c r="J3489" s="5">
        <f>IF(OR(H3489=1,I3489=1),0,IF(G3489="Credit",-F3489,F3489))</f>
        <v/>
      </c>
    </row>
    <row r="3490">
      <c r="A3490" t="inlineStr">
        <is>
          <t>2026-08-03</t>
        </is>
      </c>
      <c r="B3490" t="inlineStr">
        <is>
          <t>F285078</t>
        </is>
      </c>
      <c r="C3490" t="inlineStr">
        <is>
          <t>C11312</t>
        </is>
      </c>
      <c r="D3490" t="inlineStr">
        <is>
          <t>SKU-10119</t>
        </is>
      </c>
      <c r="E3490" t="inlineStr">
        <is>
          <t>AM02</t>
        </is>
      </c>
      <c r="F3490" s="5" t="n">
        <v>325.26</v>
      </c>
      <c r="G3490">
        <f>IF(LEFT(B3490,1)="C","Credit","Factuur")</f>
        <v/>
      </c>
      <c r="H3490">
        <f>IF(AND(B3490=B3489,D3490=D3489,A3490=A3489,F3490=F3489),1,0)</f>
        <v/>
      </c>
      <c r="I3490">
        <f>IF(C3490="C99999",1,0)</f>
        <v/>
      </c>
      <c r="J3490" s="5">
        <f>IF(OR(H3490=1,I3490=1),0,IF(G3490="Credit",-F3490,F3490))</f>
        <v/>
      </c>
    </row>
    <row r="3491">
      <c r="A3491" t="inlineStr">
        <is>
          <t>2026-08-03</t>
        </is>
      </c>
      <c r="B3491" t="inlineStr">
        <is>
          <t>F285078</t>
        </is>
      </c>
      <c r="C3491" t="inlineStr">
        <is>
          <t>C11312</t>
        </is>
      </c>
      <c r="D3491" t="inlineStr">
        <is>
          <t>SKU-10148</t>
        </is>
      </c>
      <c r="E3491" t="inlineStr">
        <is>
          <t>AM02</t>
        </is>
      </c>
      <c r="F3491" s="5" t="n">
        <v>357.48</v>
      </c>
      <c r="G3491">
        <f>IF(LEFT(B3491,1)="C","Credit","Factuur")</f>
        <v/>
      </c>
      <c r="H3491">
        <f>IF(AND(B3491=B3490,D3491=D3490,A3491=A3490,F3491=F3490),1,0)</f>
        <v/>
      </c>
      <c r="I3491">
        <f>IF(C3491="C99999",1,0)</f>
        <v/>
      </c>
      <c r="J3491" s="5">
        <f>IF(OR(H3491=1,I3491=1),0,IF(G3491="Credit",-F3491,F3491))</f>
        <v/>
      </c>
    </row>
    <row r="3492">
      <c r="A3492" t="inlineStr">
        <is>
          <t>2026-08-04</t>
        </is>
      </c>
      <c r="B3492" t="inlineStr">
        <is>
          <t>C900759</t>
        </is>
      </c>
      <c r="C3492" t="inlineStr">
        <is>
          <t>C11028</t>
        </is>
      </c>
      <c r="D3492" t="inlineStr">
        <is>
          <t>SKU-10065</t>
        </is>
      </c>
      <c r="E3492" t="inlineStr">
        <is>
          <t>AM06</t>
        </is>
      </c>
      <c r="F3492" s="5" t="n">
        <v>151.22</v>
      </c>
      <c r="G3492">
        <f>IF(LEFT(B3492,1)="C","Credit","Factuur")</f>
        <v/>
      </c>
      <c r="H3492">
        <f>IF(AND(B3492=B3491,D3492=D3491,A3492=A3491,F3492=F3491),1,0)</f>
        <v/>
      </c>
      <c r="I3492">
        <f>IF(C3492="C99999",1,0)</f>
        <v/>
      </c>
      <c r="J3492" s="5">
        <f>IF(OR(H3492=1,I3492=1),0,IF(G3492="Credit",-F3492,F3492))</f>
        <v/>
      </c>
    </row>
    <row r="3493">
      <c r="A3493" t="inlineStr">
        <is>
          <t>2026-08-04</t>
        </is>
      </c>
      <c r="B3493" t="inlineStr">
        <is>
          <t>C901307</t>
        </is>
      </c>
      <c r="C3493" t="inlineStr">
        <is>
          <t>C11077</t>
        </is>
      </c>
      <c r="D3493" t="inlineStr">
        <is>
          <t>SKU-10102</t>
        </is>
      </c>
      <c r="E3493" t="inlineStr">
        <is>
          <t>AM12</t>
        </is>
      </c>
      <c r="F3493" s="5" t="n">
        <v>862.4</v>
      </c>
      <c r="G3493">
        <f>IF(LEFT(B3493,1)="C","Credit","Factuur")</f>
        <v/>
      </c>
      <c r="H3493">
        <f>IF(AND(B3493=B3492,D3493=D3492,A3493=A3492,F3493=F3492),1,0)</f>
        <v/>
      </c>
      <c r="I3493">
        <f>IF(C3493="C99999",1,0)</f>
        <v/>
      </c>
      <c r="J3493" s="5">
        <f>IF(OR(H3493=1,I3493=1),0,IF(G3493="Credit",-F3493,F3493))</f>
        <v/>
      </c>
    </row>
    <row r="3494">
      <c r="A3494" t="inlineStr">
        <is>
          <t>2026-08-04</t>
        </is>
      </c>
      <c r="B3494" t="inlineStr">
        <is>
          <t>C901530</t>
        </is>
      </c>
      <c r="C3494" t="inlineStr">
        <is>
          <t>C10866</t>
        </is>
      </c>
      <c r="D3494" t="inlineStr">
        <is>
          <t>SKU-10037</t>
        </is>
      </c>
      <c r="E3494" t="inlineStr">
        <is>
          <t>AM11</t>
        </is>
      </c>
      <c r="F3494" s="5" t="n">
        <v>2962.35</v>
      </c>
      <c r="G3494">
        <f>IF(LEFT(B3494,1)="C","Credit","Factuur")</f>
        <v/>
      </c>
      <c r="H3494">
        <f>IF(AND(B3494=B3493,D3494=D3493,A3494=A3493,F3494=F3493),1,0)</f>
        <v/>
      </c>
      <c r="I3494">
        <f>IF(C3494="C99999",1,0)</f>
        <v/>
      </c>
      <c r="J3494" s="5">
        <f>IF(OR(H3494=1,I3494=1),0,IF(G3494="Credit",-F3494,F3494))</f>
        <v/>
      </c>
    </row>
    <row r="3495">
      <c r="A3495" t="inlineStr">
        <is>
          <t>2026-08-04</t>
        </is>
      </c>
      <c r="B3495" t="inlineStr">
        <is>
          <t>F260761</t>
        </is>
      </c>
      <c r="C3495" t="inlineStr">
        <is>
          <t>C10046</t>
        </is>
      </c>
      <c r="D3495" t="inlineStr">
        <is>
          <t>SKU-10187</t>
        </is>
      </c>
      <c r="E3495" t="inlineStr">
        <is>
          <t>AM07</t>
        </is>
      </c>
      <c r="F3495" s="5" t="n">
        <v>36.56</v>
      </c>
      <c r="G3495">
        <f>IF(LEFT(B3495,1)="C","Credit","Factuur")</f>
        <v/>
      </c>
      <c r="H3495">
        <f>IF(AND(B3495=B3494,D3495=D3494,A3495=A3494,F3495=F3494),1,0)</f>
        <v/>
      </c>
      <c r="I3495">
        <f>IF(C3495="C99999",1,0)</f>
        <v/>
      </c>
      <c r="J3495" s="5">
        <f>IF(OR(H3495=1,I3495=1),0,IF(G3495="Credit",-F3495,F3495))</f>
        <v/>
      </c>
    </row>
    <row r="3496">
      <c r="A3496" t="inlineStr">
        <is>
          <t>2026-08-04</t>
        </is>
      </c>
      <c r="B3496" t="inlineStr">
        <is>
          <t>F260761</t>
        </is>
      </c>
      <c r="C3496" t="inlineStr">
        <is>
          <t>C10046</t>
        </is>
      </c>
      <c r="D3496" t="inlineStr">
        <is>
          <t>SKU-10204</t>
        </is>
      </c>
      <c r="E3496" t="inlineStr">
        <is>
          <t>AM07</t>
        </is>
      </c>
      <c r="F3496" s="5" t="n">
        <v>44.03</v>
      </c>
      <c r="G3496">
        <f>IF(LEFT(B3496,1)="C","Credit","Factuur")</f>
        <v/>
      </c>
      <c r="H3496">
        <f>IF(AND(B3496=B3495,D3496=D3495,A3496=A3495,F3496=F3495),1,0)</f>
        <v/>
      </c>
      <c r="I3496">
        <f>IF(C3496="C99999",1,0)</f>
        <v/>
      </c>
      <c r="J3496" s="5">
        <f>IF(OR(H3496=1,I3496=1),0,IF(G3496="Credit",-F3496,F3496))</f>
        <v/>
      </c>
    </row>
    <row r="3497">
      <c r="A3497" t="inlineStr">
        <is>
          <t>2026-08-04</t>
        </is>
      </c>
      <c r="B3497" t="inlineStr">
        <is>
          <t>F260761</t>
        </is>
      </c>
      <c r="C3497" t="inlineStr">
        <is>
          <t>C10046</t>
        </is>
      </c>
      <c r="D3497" t="inlineStr">
        <is>
          <t>SKU-10269</t>
        </is>
      </c>
      <c r="E3497" t="inlineStr">
        <is>
          <t>AM07</t>
        </is>
      </c>
      <c r="F3497" s="5" t="n">
        <v>41.13</v>
      </c>
      <c r="G3497">
        <f>IF(LEFT(B3497,1)="C","Credit","Factuur")</f>
        <v/>
      </c>
      <c r="H3497">
        <f>IF(AND(B3497=B3496,D3497=D3496,A3497=A3496,F3497=F3496),1,0)</f>
        <v/>
      </c>
      <c r="I3497">
        <f>IF(C3497="C99999",1,0)</f>
        <v/>
      </c>
      <c r="J3497" s="5">
        <f>IF(OR(H3497=1,I3497=1),0,IF(G3497="Credit",-F3497,F3497))</f>
        <v/>
      </c>
    </row>
    <row r="3498">
      <c r="A3498" t="inlineStr">
        <is>
          <t>2026-08-04</t>
        </is>
      </c>
      <c r="B3498" t="inlineStr">
        <is>
          <t>F263429</t>
        </is>
      </c>
      <c r="C3498" t="inlineStr">
        <is>
          <t>C10183</t>
        </is>
      </c>
      <c r="D3498" t="inlineStr">
        <is>
          <t>SKU-10041</t>
        </is>
      </c>
      <c r="E3498" t="inlineStr">
        <is>
          <t>AM11</t>
        </is>
      </c>
      <c r="F3498" s="5" t="n">
        <v>997.6</v>
      </c>
      <c r="G3498">
        <f>IF(LEFT(B3498,1)="C","Credit","Factuur")</f>
        <v/>
      </c>
      <c r="H3498">
        <f>IF(AND(B3498=B3497,D3498=D3497,A3498=A3497,F3498=F3497),1,0)</f>
        <v/>
      </c>
      <c r="I3498">
        <f>IF(C3498="C99999",1,0)</f>
        <v/>
      </c>
      <c r="J3498" s="5">
        <f>IF(OR(H3498=1,I3498=1),0,IF(G3498="Credit",-F3498,F3498))</f>
        <v/>
      </c>
    </row>
    <row r="3499">
      <c r="A3499" t="inlineStr">
        <is>
          <t>2026-08-04</t>
        </is>
      </c>
      <c r="B3499" t="inlineStr">
        <is>
          <t>F263429</t>
        </is>
      </c>
      <c r="C3499" t="inlineStr">
        <is>
          <t>C10183</t>
        </is>
      </c>
      <c r="D3499" t="inlineStr">
        <is>
          <t>SKU-10095</t>
        </is>
      </c>
      <c r="E3499" t="inlineStr">
        <is>
          <t>AM11</t>
        </is>
      </c>
      <c r="F3499" s="5" t="n">
        <v>990.4</v>
      </c>
      <c r="G3499">
        <f>IF(LEFT(B3499,1)="C","Credit","Factuur")</f>
        <v/>
      </c>
      <c r="H3499">
        <f>IF(AND(B3499=B3498,D3499=D3498,A3499=A3498,F3499=F3498),1,0)</f>
        <v/>
      </c>
      <c r="I3499">
        <f>IF(C3499="C99999",1,0)</f>
        <v/>
      </c>
      <c r="J3499" s="5">
        <f>IF(OR(H3499=1,I3499=1),0,IF(G3499="Credit",-F3499,F3499))</f>
        <v/>
      </c>
    </row>
    <row r="3500">
      <c r="A3500" t="inlineStr">
        <is>
          <t>2026-08-04</t>
        </is>
      </c>
      <c r="B3500" t="inlineStr">
        <is>
          <t>F263429</t>
        </is>
      </c>
      <c r="C3500" t="inlineStr">
        <is>
          <t>C10183</t>
        </is>
      </c>
      <c r="D3500" t="inlineStr">
        <is>
          <t>SKU-10154</t>
        </is>
      </c>
      <c r="E3500" t="inlineStr">
        <is>
          <t>AM11</t>
        </is>
      </c>
      <c r="F3500" s="5" t="n">
        <v>957</v>
      </c>
      <c r="G3500">
        <f>IF(LEFT(B3500,1)="C","Credit","Factuur")</f>
        <v/>
      </c>
      <c r="H3500">
        <f>IF(AND(B3500=B3499,D3500=D3499,A3500=A3499,F3500=F3499),1,0)</f>
        <v/>
      </c>
      <c r="I3500">
        <f>IF(C3500="C99999",1,0)</f>
        <v/>
      </c>
      <c r="J3500" s="5">
        <f>IF(OR(H3500=1,I3500=1),0,IF(G3500="Credit",-F3500,F3500))</f>
        <v/>
      </c>
    </row>
    <row r="3501">
      <c r="A3501" t="inlineStr">
        <is>
          <t>2026-08-04</t>
        </is>
      </c>
      <c r="B3501" t="inlineStr">
        <is>
          <t>F263429</t>
        </is>
      </c>
      <c r="C3501" t="inlineStr">
        <is>
          <t>C10183</t>
        </is>
      </c>
      <c r="D3501" t="inlineStr">
        <is>
          <t>SKU-10280</t>
        </is>
      </c>
      <c r="E3501" t="inlineStr">
        <is>
          <t>AM11</t>
        </is>
      </c>
      <c r="F3501" s="5" t="n">
        <v>954.12</v>
      </c>
      <c r="G3501">
        <f>IF(LEFT(B3501,1)="C","Credit","Factuur")</f>
        <v/>
      </c>
      <c r="H3501">
        <f>IF(AND(B3501=B3500,D3501=D3500,A3501=A3500,F3501=F3500),1,0)</f>
        <v/>
      </c>
      <c r="I3501">
        <f>IF(C3501="C99999",1,0)</f>
        <v/>
      </c>
      <c r="J3501" s="5">
        <f>IF(OR(H3501=1,I3501=1),0,IF(G3501="Credit",-F3501,F3501))</f>
        <v/>
      </c>
    </row>
    <row r="3502">
      <c r="A3502" t="inlineStr">
        <is>
          <t>2026-08-04</t>
        </is>
      </c>
      <c r="B3502" t="inlineStr">
        <is>
          <t>F263429</t>
        </is>
      </c>
      <c r="C3502" t="inlineStr">
        <is>
          <t>C10183</t>
        </is>
      </c>
      <c r="D3502" t="inlineStr">
        <is>
          <t>SKU-10287</t>
        </is>
      </c>
      <c r="E3502" t="inlineStr">
        <is>
          <t>AM11</t>
        </is>
      </c>
      <c r="F3502" s="5" t="n">
        <v>993.63</v>
      </c>
      <c r="G3502">
        <f>IF(LEFT(B3502,1)="C","Credit","Factuur")</f>
        <v/>
      </c>
      <c r="H3502">
        <f>IF(AND(B3502=B3501,D3502=D3501,A3502=A3501,F3502=F3501),1,0)</f>
        <v/>
      </c>
      <c r="I3502">
        <f>IF(C3502="C99999",1,0)</f>
        <v/>
      </c>
      <c r="J3502" s="5">
        <f>IF(OR(H3502=1,I3502=1),0,IF(G3502="Credit",-F3502,F3502))</f>
        <v/>
      </c>
    </row>
    <row r="3503">
      <c r="A3503" t="inlineStr">
        <is>
          <t>2026-08-04</t>
        </is>
      </c>
      <c r="B3503" t="inlineStr">
        <is>
          <t>F263429</t>
        </is>
      </c>
      <c r="C3503" t="inlineStr">
        <is>
          <t>C10183</t>
        </is>
      </c>
      <c r="D3503" t="inlineStr">
        <is>
          <t>SKU-10324</t>
        </is>
      </c>
      <c r="E3503" t="inlineStr">
        <is>
          <t>AM11</t>
        </is>
      </c>
      <c r="F3503" s="5" t="n">
        <v>999.12</v>
      </c>
      <c r="G3503">
        <f>IF(LEFT(B3503,1)="C","Credit","Factuur")</f>
        <v/>
      </c>
      <c r="H3503">
        <f>IF(AND(B3503=B3502,D3503=D3502,A3503=A3502,F3503=F3502),1,0)</f>
        <v/>
      </c>
      <c r="I3503">
        <f>IF(C3503="C99999",1,0)</f>
        <v/>
      </c>
      <c r="J3503" s="5">
        <f>IF(OR(H3503=1,I3503=1),0,IF(G3503="Credit",-F3503,F3503))</f>
        <v/>
      </c>
    </row>
    <row r="3504">
      <c r="A3504" t="inlineStr">
        <is>
          <t>2026-08-04</t>
        </is>
      </c>
      <c r="B3504" t="inlineStr">
        <is>
          <t>F263429</t>
        </is>
      </c>
      <c r="C3504" t="inlineStr">
        <is>
          <t>C10183</t>
        </is>
      </c>
      <c r="D3504" t="inlineStr">
        <is>
          <t>SKU-10339</t>
        </is>
      </c>
      <c r="E3504" t="inlineStr">
        <is>
          <t>AM11</t>
        </is>
      </c>
      <c r="F3504" s="5" t="n">
        <v>993.3</v>
      </c>
      <c r="G3504">
        <f>IF(LEFT(B3504,1)="C","Credit","Factuur")</f>
        <v/>
      </c>
      <c r="H3504">
        <f>IF(AND(B3504=B3503,D3504=D3503,A3504=A3503,F3504=F3503),1,0)</f>
        <v/>
      </c>
      <c r="I3504">
        <f>IF(C3504="C99999",1,0)</f>
        <v/>
      </c>
      <c r="J3504" s="5">
        <f>IF(OR(H3504=1,I3504=1),0,IF(G3504="Credit",-F3504,F3504))</f>
        <v/>
      </c>
    </row>
    <row r="3505">
      <c r="A3505" t="inlineStr">
        <is>
          <t>2026-08-04</t>
        </is>
      </c>
      <c r="B3505" t="inlineStr">
        <is>
          <t>F264541</t>
        </is>
      </c>
      <c r="C3505" t="inlineStr">
        <is>
          <t>C10235</t>
        </is>
      </c>
      <c r="D3505" t="inlineStr">
        <is>
          <t>SKU-10056</t>
        </is>
      </c>
      <c r="E3505" t="inlineStr">
        <is>
          <t>AM02</t>
        </is>
      </c>
      <c r="F3505" s="5" t="n">
        <v>288</v>
      </c>
      <c r="G3505">
        <f>IF(LEFT(B3505,1)="C","Credit","Factuur")</f>
        <v/>
      </c>
      <c r="H3505">
        <f>IF(AND(B3505=B3504,D3505=D3504,A3505=A3504,F3505=F3504),1,0)</f>
        <v/>
      </c>
      <c r="I3505">
        <f>IF(C3505="C99999",1,0)</f>
        <v/>
      </c>
      <c r="J3505" s="5">
        <f>IF(OR(H3505=1,I3505=1),0,IF(G3505="Credit",-F3505,F3505))</f>
        <v/>
      </c>
    </row>
    <row r="3506">
      <c r="A3506" t="inlineStr">
        <is>
          <t>2026-08-04</t>
        </is>
      </c>
      <c r="B3506" t="inlineStr">
        <is>
          <t>F264541</t>
        </is>
      </c>
      <c r="C3506" t="inlineStr">
        <is>
          <t>C10235</t>
        </is>
      </c>
      <c r="D3506" t="inlineStr">
        <is>
          <t>SKU-10087</t>
        </is>
      </c>
      <c r="E3506" t="inlineStr">
        <is>
          <t>AM02</t>
        </is>
      </c>
      <c r="F3506" s="5" t="n">
        <v>301.07</v>
      </c>
      <c r="G3506">
        <f>IF(LEFT(B3506,1)="C","Credit","Factuur")</f>
        <v/>
      </c>
      <c r="H3506">
        <f>IF(AND(B3506=B3505,D3506=D3505,A3506=A3505,F3506=F3505),1,0)</f>
        <v/>
      </c>
      <c r="I3506">
        <f>IF(C3506="C99999",1,0)</f>
        <v/>
      </c>
      <c r="J3506" s="5">
        <f>IF(OR(H3506=1,I3506=1),0,IF(G3506="Credit",-F3506,F3506))</f>
        <v/>
      </c>
    </row>
    <row r="3507">
      <c r="A3507" t="inlineStr">
        <is>
          <t>2026-08-04</t>
        </is>
      </c>
      <c r="B3507" t="inlineStr">
        <is>
          <t>F264541</t>
        </is>
      </c>
      <c r="C3507" t="inlineStr">
        <is>
          <t>C10235</t>
        </is>
      </c>
      <c r="D3507" t="inlineStr">
        <is>
          <t>SKU-10116</t>
        </is>
      </c>
      <c r="E3507" t="inlineStr">
        <is>
          <t>AM02</t>
        </is>
      </c>
      <c r="F3507" s="5" t="n">
        <v>260.4</v>
      </c>
      <c r="G3507">
        <f>IF(LEFT(B3507,1)="C","Credit","Factuur")</f>
        <v/>
      </c>
      <c r="H3507">
        <f>IF(AND(B3507=B3506,D3507=D3506,A3507=A3506,F3507=F3506),1,0)</f>
        <v/>
      </c>
      <c r="I3507">
        <f>IF(C3507="C99999",1,0)</f>
        <v/>
      </c>
      <c r="J3507" s="5">
        <f>IF(OR(H3507=1,I3507=1),0,IF(G3507="Credit",-F3507,F3507))</f>
        <v/>
      </c>
    </row>
    <row r="3508">
      <c r="A3508" t="inlineStr">
        <is>
          <t>2026-08-04</t>
        </is>
      </c>
      <c r="B3508" t="inlineStr">
        <is>
          <t>F264541</t>
        </is>
      </c>
      <c r="C3508" t="inlineStr">
        <is>
          <t>C10235</t>
        </is>
      </c>
      <c r="D3508" t="inlineStr">
        <is>
          <t>SKU-10207</t>
        </is>
      </c>
      <c r="E3508" t="inlineStr">
        <is>
          <t>AM02</t>
        </is>
      </c>
      <c r="F3508" s="5" t="n">
        <v>285.12</v>
      </c>
      <c r="G3508">
        <f>IF(LEFT(B3508,1)="C","Credit","Factuur")</f>
        <v/>
      </c>
      <c r="H3508">
        <f>IF(AND(B3508=B3507,D3508=D3507,A3508=A3507,F3508=F3507),1,0)</f>
        <v/>
      </c>
      <c r="I3508">
        <f>IF(C3508="C99999",1,0)</f>
        <v/>
      </c>
      <c r="J3508" s="5">
        <f>IF(OR(H3508=1,I3508=1),0,IF(G3508="Credit",-F3508,F3508))</f>
        <v/>
      </c>
    </row>
    <row r="3509">
      <c r="A3509" t="inlineStr">
        <is>
          <t>2026-08-04</t>
        </is>
      </c>
      <c r="B3509" t="inlineStr">
        <is>
          <t>F264879</t>
        </is>
      </c>
      <c r="C3509" t="inlineStr">
        <is>
          <t>C10254</t>
        </is>
      </c>
      <c r="D3509" t="inlineStr">
        <is>
          <t>SKU-10040</t>
        </is>
      </c>
      <c r="E3509" t="inlineStr">
        <is>
          <t>AM01</t>
        </is>
      </c>
      <c r="F3509" s="5" t="n">
        <v>121.66</v>
      </c>
      <c r="G3509">
        <f>IF(LEFT(B3509,1)="C","Credit","Factuur")</f>
        <v/>
      </c>
      <c r="H3509">
        <f>IF(AND(B3509=B3508,D3509=D3508,A3509=A3508,F3509=F3508),1,0)</f>
        <v/>
      </c>
      <c r="I3509">
        <f>IF(C3509="C99999",1,0)</f>
        <v/>
      </c>
      <c r="J3509" s="5">
        <f>IF(OR(H3509=1,I3509=1),0,IF(G3509="Credit",-F3509,F3509))</f>
        <v/>
      </c>
    </row>
    <row r="3510">
      <c r="A3510" t="inlineStr">
        <is>
          <t>2026-08-04</t>
        </is>
      </c>
      <c r="B3510" t="inlineStr">
        <is>
          <t>F264879</t>
        </is>
      </c>
      <c r="C3510" t="inlineStr">
        <is>
          <t>C10254</t>
        </is>
      </c>
      <c r="D3510" t="inlineStr">
        <is>
          <t>SKU-10140</t>
        </is>
      </c>
      <c r="E3510" t="inlineStr">
        <is>
          <t>AM01</t>
        </is>
      </c>
      <c r="F3510" s="5" t="n">
        <v>99.67</v>
      </c>
      <c r="G3510">
        <f>IF(LEFT(B3510,1)="C","Credit","Factuur")</f>
        <v/>
      </c>
      <c r="H3510">
        <f>IF(AND(B3510=B3509,D3510=D3509,A3510=A3509,F3510=F3509),1,0)</f>
        <v/>
      </c>
      <c r="I3510">
        <f>IF(C3510="C99999",1,0)</f>
        <v/>
      </c>
      <c r="J3510" s="5">
        <f>IF(OR(H3510=1,I3510=1),0,IF(G3510="Credit",-F3510,F3510))</f>
        <v/>
      </c>
    </row>
    <row r="3511">
      <c r="A3511" t="inlineStr">
        <is>
          <t>2026-08-04</t>
        </is>
      </c>
      <c r="B3511" t="inlineStr">
        <is>
          <t>F264879</t>
        </is>
      </c>
      <c r="C3511" t="inlineStr">
        <is>
          <t>C10254</t>
        </is>
      </c>
      <c r="D3511" t="inlineStr">
        <is>
          <t>SKU-10209</t>
        </is>
      </c>
      <c r="E3511" t="inlineStr">
        <is>
          <t>AM01</t>
        </is>
      </c>
      <c r="F3511" s="5" t="n">
        <v>128.9</v>
      </c>
      <c r="G3511">
        <f>IF(LEFT(B3511,1)="C","Credit","Factuur")</f>
        <v/>
      </c>
      <c r="H3511">
        <f>IF(AND(B3511=B3510,D3511=D3510,A3511=A3510,F3511=F3510),1,0)</f>
        <v/>
      </c>
      <c r="I3511">
        <f>IF(C3511="C99999",1,0)</f>
        <v/>
      </c>
      <c r="J3511" s="5">
        <f>IF(OR(H3511=1,I3511=1),0,IF(G3511="Credit",-F3511,F3511))</f>
        <v/>
      </c>
    </row>
    <row r="3512">
      <c r="A3512" t="inlineStr">
        <is>
          <t>2026-08-04</t>
        </is>
      </c>
      <c r="B3512" t="inlineStr">
        <is>
          <t>F265443</t>
        </is>
      </c>
      <c r="C3512" t="inlineStr">
        <is>
          <t>C10287</t>
        </is>
      </c>
      <c r="D3512" t="inlineStr">
        <is>
          <t>SKU-10006</t>
        </is>
      </c>
      <c r="E3512" t="inlineStr">
        <is>
          <t>AM08</t>
        </is>
      </c>
      <c r="F3512" s="5" t="n">
        <v>394.4</v>
      </c>
      <c r="G3512">
        <f>IF(LEFT(B3512,1)="C","Credit","Factuur")</f>
        <v/>
      </c>
      <c r="H3512">
        <f>IF(AND(B3512=B3511,D3512=D3511,A3512=A3511,F3512=F3511),1,0)</f>
        <v/>
      </c>
      <c r="I3512">
        <f>IF(C3512="C99999",1,0)</f>
        <v/>
      </c>
      <c r="J3512" s="5">
        <f>IF(OR(H3512=1,I3512=1),0,IF(G3512="Credit",-F3512,F3512))</f>
        <v/>
      </c>
    </row>
    <row r="3513">
      <c r="A3513" t="inlineStr">
        <is>
          <t>2026-08-04</t>
        </is>
      </c>
      <c r="B3513" t="inlineStr">
        <is>
          <t>F265443</t>
        </is>
      </c>
      <c r="C3513" t="inlineStr">
        <is>
          <t>C10287</t>
        </is>
      </c>
      <c r="D3513" t="inlineStr">
        <is>
          <t>SKU-10083</t>
        </is>
      </c>
      <c r="E3513" t="inlineStr">
        <is>
          <t>AM08</t>
        </is>
      </c>
      <c r="F3513" s="5" t="n">
        <v>422.73</v>
      </c>
      <c r="G3513">
        <f>IF(LEFT(B3513,1)="C","Credit","Factuur")</f>
        <v/>
      </c>
      <c r="H3513">
        <f>IF(AND(B3513=B3512,D3513=D3512,A3513=A3512,F3513=F3512),1,0)</f>
        <v/>
      </c>
      <c r="I3513">
        <f>IF(C3513="C99999",1,0)</f>
        <v/>
      </c>
      <c r="J3513" s="5">
        <f>IF(OR(H3513=1,I3513=1),0,IF(G3513="Credit",-F3513,F3513))</f>
        <v/>
      </c>
    </row>
    <row r="3514">
      <c r="A3514" t="inlineStr">
        <is>
          <t>2026-08-04</t>
        </is>
      </c>
      <c r="B3514" t="inlineStr">
        <is>
          <t>F265443</t>
        </is>
      </c>
      <c r="C3514" t="inlineStr">
        <is>
          <t>C10287</t>
        </is>
      </c>
      <c r="D3514" t="inlineStr">
        <is>
          <t>SKU-10153</t>
        </is>
      </c>
      <c r="E3514" t="inlineStr">
        <is>
          <t>AM08</t>
        </is>
      </c>
      <c r="F3514" s="5" t="n">
        <v>404.64</v>
      </c>
      <c r="G3514">
        <f>IF(LEFT(B3514,1)="C","Credit","Factuur")</f>
        <v/>
      </c>
      <c r="H3514">
        <f>IF(AND(B3514=B3513,D3514=D3513,A3514=A3513,F3514=F3513),1,0)</f>
        <v/>
      </c>
      <c r="I3514">
        <f>IF(C3514="C99999",1,0)</f>
        <v/>
      </c>
      <c r="J3514" s="5">
        <f>IF(OR(H3514=1,I3514=1),0,IF(G3514="Credit",-F3514,F3514))</f>
        <v/>
      </c>
    </row>
    <row r="3515">
      <c r="A3515" t="inlineStr">
        <is>
          <t>2026-08-04</t>
        </is>
      </c>
      <c r="B3515" t="inlineStr">
        <is>
          <t>F265443</t>
        </is>
      </c>
      <c r="C3515" t="inlineStr">
        <is>
          <t>C10287</t>
        </is>
      </c>
      <c r="D3515" t="inlineStr">
        <is>
          <t>SKU-10295</t>
        </is>
      </c>
      <c r="E3515" t="inlineStr">
        <is>
          <t>AM08</t>
        </is>
      </c>
      <c r="F3515" s="5" t="n">
        <v>382.73</v>
      </c>
      <c r="G3515">
        <f>IF(LEFT(B3515,1)="C","Credit","Factuur")</f>
        <v/>
      </c>
      <c r="H3515">
        <f>IF(AND(B3515=B3514,D3515=D3514,A3515=A3514,F3515=F3514),1,0)</f>
        <v/>
      </c>
      <c r="I3515">
        <f>IF(C3515="C99999",1,0)</f>
        <v/>
      </c>
      <c r="J3515" s="5">
        <f>IF(OR(H3515=1,I3515=1),0,IF(G3515="Credit",-F3515,F3515))</f>
        <v/>
      </c>
    </row>
    <row r="3516">
      <c r="A3516" t="inlineStr">
        <is>
          <t>2026-08-04</t>
        </is>
      </c>
      <c r="B3516" t="inlineStr">
        <is>
          <t>F265443</t>
        </is>
      </c>
      <c r="C3516" t="inlineStr">
        <is>
          <t>C10287</t>
        </is>
      </c>
      <c r="D3516" t="inlineStr">
        <is>
          <t>SKU-10328</t>
        </is>
      </c>
      <c r="E3516" t="inlineStr">
        <is>
          <t>AM08</t>
        </is>
      </c>
      <c r="F3516" s="5" t="n">
        <v>406.12</v>
      </c>
      <c r="G3516">
        <f>IF(LEFT(B3516,1)="C","Credit","Factuur")</f>
        <v/>
      </c>
      <c r="H3516">
        <f>IF(AND(B3516=B3515,D3516=D3515,A3516=A3515,F3516=F3515),1,0)</f>
        <v/>
      </c>
      <c r="I3516">
        <f>IF(C3516="C99999",1,0)</f>
        <v/>
      </c>
      <c r="J3516" s="5">
        <f>IF(OR(H3516=1,I3516=1),0,IF(G3516="Credit",-F3516,F3516))</f>
        <v/>
      </c>
    </row>
    <row r="3517">
      <c r="A3517" t="inlineStr">
        <is>
          <t>2026-08-04</t>
        </is>
      </c>
      <c r="B3517" t="inlineStr">
        <is>
          <t>F266794</t>
        </is>
      </c>
      <c r="C3517" t="inlineStr">
        <is>
          <t>C10358</t>
        </is>
      </c>
      <c r="D3517" t="inlineStr">
        <is>
          <t>SKU-10067</t>
        </is>
      </c>
      <c r="E3517" t="inlineStr">
        <is>
          <t>AM03</t>
        </is>
      </c>
      <c r="F3517" s="5" t="n">
        <v>2090.16</v>
      </c>
      <c r="G3517">
        <f>IF(LEFT(B3517,1)="C","Credit","Factuur")</f>
        <v/>
      </c>
      <c r="H3517">
        <f>IF(AND(B3517=B3516,D3517=D3516,A3517=A3516,F3517=F3516),1,0)</f>
        <v/>
      </c>
      <c r="I3517">
        <f>IF(C3517="C99999",1,0)</f>
        <v/>
      </c>
      <c r="J3517" s="5">
        <f>IF(OR(H3517=1,I3517=1),0,IF(G3517="Credit",-F3517,F3517))</f>
        <v/>
      </c>
    </row>
    <row r="3518">
      <c r="A3518" t="inlineStr">
        <is>
          <t>2026-08-04</t>
        </is>
      </c>
      <c r="B3518" t="inlineStr">
        <is>
          <t>F266794</t>
        </is>
      </c>
      <c r="C3518" t="inlineStr">
        <is>
          <t>C10358</t>
        </is>
      </c>
      <c r="D3518" t="inlineStr">
        <is>
          <t>SKU-10078</t>
        </is>
      </c>
      <c r="E3518" t="inlineStr">
        <is>
          <t>AM03</t>
        </is>
      </c>
      <c r="F3518" s="5" t="n">
        <v>2076.17</v>
      </c>
      <c r="G3518">
        <f>IF(LEFT(B3518,1)="C","Credit","Factuur")</f>
        <v/>
      </c>
      <c r="H3518">
        <f>IF(AND(B3518=B3517,D3518=D3517,A3518=A3517,F3518=F3517),1,0)</f>
        <v/>
      </c>
      <c r="I3518">
        <f>IF(C3518="C99999",1,0)</f>
        <v/>
      </c>
      <c r="J3518" s="5">
        <f>IF(OR(H3518=1,I3518=1),0,IF(G3518="Credit",-F3518,F3518))</f>
        <v/>
      </c>
    </row>
    <row r="3519">
      <c r="A3519" t="inlineStr">
        <is>
          <t>2026-08-04</t>
        </is>
      </c>
      <c r="B3519" t="inlineStr">
        <is>
          <t>F266794</t>
        </is>
      </c>
      <c r="C3519" t="inlineStr">
        <is>
          <t>C10358</t>
        </is>
      </c>
      <c r="D3519" t="inlineStr">
        <is>
          <t>SKU-10160</t>
        </is>
      </c>
      <c r="E3519" t="inlineStr">
        <is>
          <t>AM03</t>
        </is>
      </c>
      <c r="F3519" s="5" t="n">
        <v>1967.27</v>
      </c>
      <c r="G3519">
        <f>IF(LEFT(B3519,1)="C","Credit","Factuur")</f>
        <v/>
      </c>
      <c r="H3519">
        <f>IF(AND(B3519=B3518,D3519=D3518,A3519=A3518,F3519=F3518),1,0)</f>
        <v/>
      </c>
      <c r="I3519">
        <f>IF(C3519="C99999",1,0)</f>
        <v/>
      </c>
      <c r="J3519" s="5">
        <f>IF(OR(H3519=1,I3519=1),0,IF(G3519="Credit",-F3519,F3519))</f>
        <v/>
      </c>
    </row>
    <row r="3520">
      <c r="A3520" t="inlineStr">
        <is>
          <t>2026-08-04</t>
        </is>
      </c>
      <c r="B3520" t="inlineStr">
        <is>
          <t>F266794</t>
        </is>
      </c>
      <c r="C3520" t="inlineStr">
        <is>
          <t>C10358</t>
        </is>
      </c>
      <c r="D3520" t="inlineStr">
        <is>
          <t>SKU-10324</t>
        </is>
      </c>
      <c r="E3520" t="inlineStr">
        <is>
          <t>AM03</t>
        </is>
      </c>
      <c r="F3520" s="5" t="n">
        <v>1980.86</v>
      </c>
      <c r="G3520">
        <f>IF(LEFT(B3520,1)="C","Credit","Factuur")</f>
        <v/>
      </c>
      <c r="H3520">
        <f>IF(AND(B3520=B3519,D3520=D3519,A3520=A3519,F3520=F3519),1,0)</f>
        <v/>
      </c>
      <c r="I3520">
        <f>IF(C3520="C99999",1,0)</f>
        <v/>
      </c>
      <c r="J3520" s="5">
        <f>IF(OR(H3520=1,I3520=1),0,IF(G3520="Credit",-F3520,F3520))</f>
        <v/>
      </c>
    </row>
    <row r="3521">
      <c r="A3521" t="inlineStr">
        <is>
          <t>2026-08-04</t>
        </is>
      </c>
      <c r="B3521" t="inlineStr">
        <is>
          <t>F268712</t>
        </is>
      </c>
      <c r="C3521" t="inlineStr">
        <is>
          <t>C10456</t>
        </is>
      </c>
      <c r="D3521" t="inlineStr">
        <is>
          <t>SKU-10018</t>
        </is>
      </c>
      <c r="E3521" t="inlineStr">
        <is>
          <t>AM07</t>
        </is>
      </c>
      <c r="F3521" s="5" t="n">
        <v>560.22</v>
      </c>
      <c r="G3521">
        <f>IF(LEFT(B3521,1)="C","Credit","Factuur")</f>
        <v/>
      </c>
      <c r="H3521">
        <f>IF(AND(B3521=B3520,D3521=D3520,A3521=A3520,F3521=F3520),1,0)</f>
        <v/>
      </c>
      <c r="I3521">
        <f>IF(C3521="C99999",1,0)</f>
        <v/>
      </c>
      <c r="J3521" s="5">
        <f>IF(OR(H3521=1,I3521=1),0,IF(G3521="Credit",-F3521,F3521))</f>
        <v/>
      </c>
    </row>
    <row r="3522">
      <c r="A3522" t="inlineStr">
        <is>
          <t>2026-08-04</t>
        </is>
      </c>
      <c r="B3522" t="inlineStr">
        <is>
          <t>F268824</t>
        </is>
      </c>
      <c r="C3522" t="inlineStr">
        <is>
          <t>C10460</t>
        </is>
      </c>
      <c r="D3522" t="inlineStr">
        <is>
          <t>SKU-10003</t>
        </is>
      </c>
      <c r="E3522" t="inlineStr">
        <is>
          <t>AM08</t>
        </is>
      </c>
      <c r="F3522" s="5" t="n">
        <v>1597.9</v>
      </c>
      <c r="G3522">
        <f>IF(LEFT(B3522,1)="C","Credit","Factuur")</f>
        <v/>
      </c>
      <c r="H3522">
        <f>IF(AND(B3522=B3521,D3522=D3521,A3522=A3521,F3522=F3521),1,0)</f>
        <v/>
      </c>
      <c r="I3522">
        <f>IF(C3522="C99999",1,0)</f>
        <v/>
      </c>
      <c r="J3522" s="5">
        <f>IF(OR(H3522=1,I3522=1),0,IF(G3522="Credit",-F3522,F3522))</f>
        <v/>
      </c>
    </row>
    <row r="3523">
      <c r="A3523" t="inlineStr">
        <is>
          <t>2026-08-04</t>
        </is>
      </c>
      <c r="B3523" t="inlineStr">
        <is>
          <t>F268824</t>
        </is>
      </c>
      <c r="C3523" t="inlineStr">
        <is>
          <t>C10460</t>
        </is>
      </c>
      <c r="D3523" t="inlineStr">
        <is>
          <t>SKU-10004</t>
        </is>
      </c>
      <c r="E3523" t="inlineStr">
        <is>
          <t>AM08</t>
        </is>
      </c>
      <c r="F3523" s="5" t="n">
        <v>1598.34</v>
      </c>
      <c r="G3523">
        <f>IF(LEFT(B3523,1)="C","Credit","Factuur")</f>
        <v/>
      </c>
      <c r="H3523">
        <f>IF(AND(B3523=B3522,D3523=D3522,A3523=A3522,F3523=F3522),1,0)</f>
        <v/>
      </c>
      <c r="I3523">
        <f>IF(C3523="C99999",1,0)</f>
        <v/>
      </c>
      <c r="J3523" s="5">
        <f>IF(OR(H3523=1,I3523=1),0,IF(G3523="Credit",-F3523,F3523))</f>
        <v/>
      </c>
    </row>
    <row r="3524">
      <c r="A3524" t="inlineStr">
        <is>
          <t>2026-08-04</t>
        </is>
      </c>
      <c r="B3524" t="inlineStr">
        <is>
          <t>F268824</t>
        </is>
      </c>
      <c r="C3524" t="inlineStr">
        <is>
          <t>C10460</t>
        </is>
      </c>
      <c r="D3524" t="inlineStr">
        <is>
          <t>SKU-10198</t>
        </is>
      </c>
      <c r="E3524" t="inlineStr">
        <is>
          <t>AM08</t>
        </is>
      </c>
      <c r="F3524" s="5" t="n">
        <v>1536.86</v>
      </c>
      <c r="G3524">
        <f>IF(LEFT(B3524,1)="C","Credit","Factuur")</f>
        <v/>
      </c>
      <c r="H3524">
        <f>IF(AND(B3524=B3523,D3524=D3523,A3524=A3523,F3524=F3523),1,0)</f>
        <v/>
      </c>
      <c r="I3524">
        <f>IF(C3524="C99999",1,0)</f>
        <v/>
      </c>
      <c r="J3524" s="5">
        <f>IF(OR(H3524=1,I3524=1),0,IF(G3524="Credit",-F3524,F3524))</f>
        <v/>
      </c>
    </row>
    <row r="3525">
      <c r="A3525" t="inlineStr">
        <is>
          <t>2026-08-04</t>
        </is>
      </c>
      <c r="B3525" t="inlineStr">
        <is>
          <t>F268905</t>
        </is>
      </c>
      <c r="C3525" t="inlineStr">
        <is>
          <t>C10464</t>
        </is>
      </c>
      <c r="D3525" t="inlineStr">
        <is>
          <t>SKU-10116</t>
        </is>
      </c>
      <c r="E3525" t="inlineStr">
        <is>
          <t>AM07</t>
        </is>
      </c>
      <c r="F3525" s="5" t="n">
        <v>846.3</v>
      </c>
      <c r="G3525">
        <f>IF(LEFT(B3525,1)="C","Credit","Factuur")</f>
        <v/>
      </c>
      <c r="H3525">
        <f>IF(AND(B3525=B3524,D3525=D3524,A3525=A3524,F3525=F3524),1,0)</f>
        <v/>
      </c>
      <c r="I3525">
        <f>IF(C3525="C99999",1,0)</f>
        <v/>
      </c>
      <c r="J3525" s="5">
        <f>IF(OR(H3525=1,I3525=1),0,IF(G3525="Credit",-F3525,F3525))</f>
        <v/>
      </c>
    </row>
    <row r="3526">
      <c r="A3526" t="inlineStr">
        <is>
          <t>2026-08-04</t>
        </is>
      </c>
      <c r="B3526" t="inlineStr">
        <is>
          <t>F268905</t>
        </is>
      </c>
      <c r="C3526" t="inlineStr">
        <is>
          <t>C10464</t>
        </is>
      </c>
      <c r="D3526" t="inlineStr">
        <is>
          <t>SKU-10352</t>
        </is>
      </c>
      <c r="E3526" t="inlineStr">
        <is>
          <t>AM07</t>
        </is>
      </c>
      <c r="F3526" s="5" t="n">
        <v>789.95</v>
      </c>
      <c r="G3526">
        <f>IF(LEFT(B3526,1)="C","Credit","Factuur")</f>
        <v/>
      </c>
      <c r="H3526">
        <f>IF(AND(B3526=B3525,D3526=D3525,A3526=A3525,F3526=F3525),1,0)</f>
        <v/>
      </c>
      <c r="I3526">
        <f>IF(C3526="C99999",1,0)</f>
        <v/>
      </c>
      <c r="J3526" s="5">
        <f>IF(OR(H3526=1,I3526=1),0,IF(G3526="Credit",-F3526,F3526))</f>
        <v/>
      </c>
    </row>
    <row r="3527">
      <c r="A3527" t="inlineStr">
        <is>
          <t>2026-08-04</t>
        </is>
      </c>
      <c r="B3527" t="inlineStr">
        <is>
          <t>F270208</t>
        </is>
      </c>
      <c r="C3527" t="inlineStr">
        <is>
          <t>C10540</t>
        </is>
      </c>
      <c r="D3527" t="inlineStr">
        <is>
          <t>SKU-10020</t>
        </is>
      </c>
      <c r="E3527" t="inlineStr">
        <is>
          <t>AM08</t>
        </is>
      </c>
      <c r="F3527" s="5" t="n">
        <v>151.16</v>
      </c>
      <c r="G3527">
        <f>IF(LEFT(B3527,1)="C","Credit","Factuur")</f>
        <v/>
      </c>
      <c r="H3527">
        <f>IF(AND(B3527=B3526,D3527=D3526,A3527=A3526,F3527=F3526),1,0)</f>
        <v/>
      </c>
      <c r="I3527">
        <f>IF(C3527="C99999",1,0)</f>
        <v/>
      </c>
      <c r="J3527" s="5">
        <f>IF(OR(H3527=1,I3527=1),0,IF(G3527="Credit",-F3527,F3527))</f>
        <v/>
      </c>
    </row>
    <row r="3528">
      <c r="A3528" t="inlineStr">
        <is>
          <t>2026-08-04</t>
        </is>
      </c>
      <c r="B3528" t="inlineStr">
        <is>
          <t>F270208</t>
        </is>
      </c>
      <c r="C3528" t="inlineStr">
        <is>
          <t>C10540</t>
        </is>
      </c>
      <c r="D3528" t="inlineStr">
        <is>
          <t>SKU-10041</t>
        </is>
      </c>
      <c r="E3528" t="inlineStr">
        <is>
          <t>AM08</t>
        </is>
      </c>
      <c r="F3528" s="5" t="n">
        <v>145.31</v>
      </c>
      <c r="G3528">
        <f>IF(LEFT(B3528,1)="C","Credit","Factuur")</f>
        <v/>
      </c>
      <c r="H3528">
        <f>IF(AND(B3528=B3527,D3528=D3527,A3528=A3527,F3528=F3527),1,0)</f>
        <v/>
      </c>
      <c r="I3528">
        <f>IF(C3528="C99999",1,0)</f>
        <v/>
      </c>
      <c r="J3528" s="5">
        <f>IF(OR(H3528=1,I3528=1),0,IF(G3528="Credit",-F3528,F3528))</f>
        <v/>
      </c>
    </row>
    <row r="3529">
      <c r="A3529" t="inlineStr">
        <is>
          <t>2026-08-04</t>
        </is>
      </c>
      <c r="B3529" t="inlineStr">
        <is>
          <t>F270208</t>
        </is>
      </c>
      <c r="C3529" t="inlineStr">
        <is>
          <t>C10540</t>
        </is>
      </c>
      <c r="D3529" t="inlineStr">
        <is>
          <t>SKU-10188</t>
        </is>
      </c>
      <c r="E3529" t="inlineStr">
        <is>
          <t>AM08</t>
        </is>
      </c>
      <c r="F3529" s="5" t="n">
        <v>154.26</v>
      </c>
      <c r="G3529">
        <f>IF(LEFT(B3529,1)="C","Credit","Factuur")</f>
        <v/>
      </c>
      <c r="H3529">
        <f>IF(AND(B3529=B3528,D3529=D3528,A3529=A3528,F3529=F3528),1,0)</f>
        <v/>
      </c>
      <c r="I3529">
        <f>IF(C3529="C99999",1,0)</f>
        <v/>
      </c>
      <c r="J3529" s="5">
        <f>IF(OR(H3529=1,I3529=1),0,IF(G3529="Credit",-F3529,F3529))</f>
        <v/>
      </c>
    </row>
    <row r="3530">
      <c r="A3530" t="inlineStr">
        <is>
          <t>2026-08-04</t>
        </is>
      </c>
      <c r="B3530" t="inlineStr">
        <is>
          <t>F270208</t>
        </is>
      </c>
      <c r="C3530" t="inlineStr">
        <is>
          <t>C10540</t>
        </is>
      </c>
      <c r="D3530" t="inlineStr">
        <is>
          <t>SKU-10250</t>
        </is>
      </c>
      <c r="E3530" t="inlineStr">
        <is>
          <t>AM08</t>
        </is>
      </c>
      <c r="F3530" s="5" t="n">
        <v>167.58</v>
      </c>
      <c r="G3530">
        <f>IF(LEFT(B3530,1)="C","Credit","Factuur")</f>
        <v/>
      </c>
      <c r="H3530">
        <f>IF(AND(B3530=B3529,D3530=D3529,A3530=A3529,F3530=F3529),1,0)</f>
        <v/>
      </c>
      <c r="I3530">
        <f>IF(C3530="C99999",1,0)</f>
        <v/>
      </c>
      <c r="J3530" s="5">
        <f>IF(OR(H3530=1,I3530=1),0,IF(G3530="Credit",-F3530,F3530))</f>
        <v/>
      </c>
    </row>
    <row r="3531">
      <c r="A3531" t="inlineStr">
        <is>
          <t>2026-08-04</t>
        </is>
      </c>
      <c r="B3531" t="inlineStr">
        <is>
          <t>F270208</t>
        </is>
      </c>
      <c r="C3531" t="inlineStr">
        <is>
          <t>C10540</t>
        </is>
      </c>
      <c r="D3531" t="inlineStr">
        <is>
          <t>SKU-10299</t>
        </is>
      </c>
      <c r="E3531" t="inlineStr">
        <is>
          <t>AM08</t>
        </is>
      </c>
      <c r="F3531" s="5" t="n">
        <v>150.56</v>
      </c>
      <c r="G3531">
        <f>IF(LEFT(B3531,1)="C","Credit","Factuur")</f>
        <v/>
      </c>
      <c r="H3531">
        <f>IF(AND(B3531=B3530,D3531=D3530,A3531=A3530,F3531=F3530),1,0)</f>
        <v/>
      </c>
      <c r="I3531">
        <f>IF(C3531="C99999",1,0)</f>
        <v/>
      </c>
      <c r="J3531" s="5">
        <f>IF(OR(H3531=1,I3531=1),0,IF(G3531="Credit",-F3531,F3531))</f>
        <v/>
      </c>
    </row>
    <row r="3532">
      <c r="A3532" t="inlineStr">
        <is>
          <t>2026-08-04</t>
        </is>
      </c>
      <c r="B3532" t="inlineStr">
        <is>
          <t>F270208</t>
        </is>
      </c>
      <c r="C3532" t="inlineStr">
        <is>
          <t>C10540</t>
        </is>
      </c>
      <c r="D3532" t="inlineStr">
        <is>
          <t>SKU-10303</t>
        </is>
      </c>
      <c r="E3532" t="inlineStr">
        <is>
          <t>AM08</t>
        </is>
      </c>
      <c r="F3532" s="5" t="n">
        <v>158.09</v>
      </c>
      <c r="G3532">
        <f>IF(LEFT(B3532,1)="C","Credit","Factuur")</f>
        <v/>
      </c>
      <c r="H3532">
        <f>IF(AND(B3532=B3531,D3532=D3531,A3532=A3531,F3532=F3531),1,0)</f>
        <v/>
      </c>
      <c r="I3532">
        <f>IF(C3532="C99999",1,0)</f>
        <v/>
      </c>
      <c r="J3532" s="5">
        <f>IF(OR(H3532=1,I3532=1),0,IF(G3532="Credit",-F3532,F3532))</f>
        <v/>
      </c>
    </row>
    <row r="3533">
      <c r="A3533" t="inlineStr">
        <is>
          <t>2026-08-04</t>
        </is>
      </c>
      <c r="B3533" t="inlineStr">
        <is>
          <t>F272632</t>
        </is>
      </c>
      <c r="C3533" t="inlineStr">
        <is>
          <t>C10657</t>
        </is>
      </c>
      <c r="D3533" t="inlineStr">
        <is>
          <t>SKU-10125</t>
        </is>
      </c>
      <c r="E3533" t="inlineStr">
        <is>
          <t>AM11</t>
        </is>
      </c>
      <c r="F3533" s="5" t="n">
        <v>3947.45</v>
      </c>
      <c r="G3533">
        <f>IF(LEFT(B3533,1)="C","Credit","Factuur")</f>
        <v/>
      </c>
      <c r="H3533">
        <f>IF(AND(B3533=B3532,D3533=D3532,A3533=A3532,F3533=F3532),1,0)</f>
        <v/>
      </c>
      <c r="I3533">
        <f>IF(C3533="C99999",1,0)</f>
        <v/>
      </c>
      <c r="J3533" s="5">
        <f>IF(OR(H3533=1,I3533=1),0,IF(G3533="Credit",-F3533,F3533))</f>
        <v/>
      </c>
    </row>
    <row r="3534">
      <c r="A3534" t="inlineStr">
        <is>
          <t>2026-08-04</t>
        </is>
      </c>
      <c r="B3534" t="inlineStr">
        <is>
          <t>F272632</t>
        </is>
      </c>
      <c r="C3534" t="inlineStr">
        <is>
          <t>C10657</t>
        </is>
      </c>
      <c r="D3534" t="inlineStr">
        <is>
          <t>SKU-10140</t>
        </is>
      </c>
      <c r="E3534" t="inlineStr">
        <is>
          <t>AM11</t>
        </is>
      </c>
      <c r="F3534" s="5" t="n">
        <v>3986.96</v>
      </c>
      <c r="G3534">
        <f>IF(LEFT(B3534,1)="C","Credit","Factuur")</f>
        <v/>
      </c>
      <c r="H3534">
        <f>IF(AND(B3534=B3533,D3534=D3533,A3534=A3533,F3534=F3533),1,0)</f>
        <v/>
      </c>
      <c r="I3534">
        <f>IF(C3534="C99999",1,0)</f>
        <v/>
      </c>
      <c r="J3534" s="5">
        <f>IF(OR(H3534=1,I3534=1),0,IF(G3534="Credit",-F3534,F3534))</f>
        <v/>
      </c>
    </row>
    <row r="3535">
      <c r="A3535" t="inlineStr">
        <is>
          <t>2026-08-04</t>
        </is>
      </c>
      <c r="B3535" t="inlineStr">
        <is>
          <t>F273817</t>
        </is>
      </c>
      <c r="C3535" t="inlineStr">
        <is>
          <t>C10727</t>
        </is>
      </c>
      <c r="D3535" t="inlineStr">
        <is>
          <t>SKU-10109</t>
        </is>
      </c>
      <c r="E3535" t="inlineStr">
        <is>
          <t>AM11</t>
        </is>
      </c>
      <c r="F3535" s="5" t="n">
        <v>479.5</v>
      </c>
      <c r="G3535">
        <f>IF(LEFT(B3535,1)="C","Credit","Factuur")</f>
        <v/>
      </c>
      <c r="H3535">
        <f>IF(AND(B3535=B3534,D3535=D3534,A3535=A3534,F3535=F3534),1,0)</f>
        <v/>
      </c>
      <c r="I3535">
        <f>IF(C3535="C99999",1,0)</f>
        <v/>
      </c>
      <c r="J3535" s="5">
        <f>IF(OR(H3535=1,I3535=1),0,IF(G3535="Credit",-F3535,F3535))</f>
        <v/>
      </c>
    </row>
    <row r="3536">
      <c r="A3536" t="inlineStr">
        <is>
          <t>2026-08-04</t>
        </is>
      </c>
      <c r="B3536" t="inlineStr">
        <is>
          <t>F273817</t>
        </is>
      </c>
      <c r="C3536" t="inlineStr">
        <is>
          <t>C10727</t>
        </is>
      </c>
      <c r="D3536" t="inlineStr">
        <is>
          <t>SKU-10280</t>
        </is>
      </c>
      <c r="E3536" t="inlineStr">
        <is>
          <t>AM11</t>
        </is>
      </c>
      <c r="F3536" s="5" t="n">
        <v>475.74</v>
      </c>
      <c r="G3536">
        <f>IF(LEFT(B3536,1)="C","Credit","Factuur")</f>
        <v/>
      </c>
      <c r="H3536">
        <f>IF(AND(B3536=B3535,D3536=D3535,A3536=A3535,F3536=F3535),1,0)</f>
        <v/>
      </c>
      <c r="I3536">
        <f>IF(C3536="C99999",1,0)</f>
        <v/>
      </c>
      <c r="J3536" s="5">
        <f>IF(OR(H3536=1,I3536=1),0,IF(G3536="Credit",-F3536,F3536))</f>
        <v/>
      </c>
    </row>
    <row r="3537">
      <c r="A3537" t="inlineStr">
        <is>
          <t>2026-08-04</t>
        </is>
      </c>
      <c r="B3537" t="inlineStr">
        <is>
          <t>F273817</t>
        </is>
      </c>
      <c r="C3537" t="inlineStr">
        <is>
          <t>C10727</t>
        </is>
      </c>
      <c r="D3537" t="inlineStr">
        <is>
          <t>SKU-10318</t>
        </is>
      </c>
      <c r="E3537" t="inlineStr">
        <is>
          <t>AM11</t>
        </is>
      </c>
      <c r="F3537" s="5" t="n">
        <v>444.65</v>
      </c>
      <c r="G3537">
        <f>IF(LEFT(B3537,1)="C","Credit","Factuur")</f>
        <v/>
      </c>
      <c r="H3537">
        <f>IF(AND(B3537=B3536,D3537=D3536,A3537=A3536,F3537=F3536),1,0)</f>
        <v/>
      </c>
      <c r="I3537">
        <f>IF(C3537="C99999",1,0)</f>
        <v/>
      </c>
      <c r="J3537" s="5">
        <f>IF(OR(H3537=1,I3537=1),0,IF(G3537="Credit",-F3537,F3537))</f>
        <v/>
      </c>
    </row>
    <row r="3538">
      <c r="A3538" t="inlineStr">
        <is>
          <t>2026-08-04</t>
        </is>
      </c>
      <c r="B3538" t="inlineStr">
        <is>
          <t>F273817</t>
        </is>
      </c>
      <c r="C3538" t="inlineStr">
        <is>
          <t>C10727</t>
        </is>
      </c>
      <c r="D3538" t="inlineStr">
        <is>
          <t>SKU-10337</t>
        </is>
      </c>
      <c r="E3538" t="inlineStr">
        <is>
          <t>AM11</t>
        </is>
      </c>
      <c r="F3538" s="5" t="n">
        <v>478.4</v>
      </c>
      <c r="G3538">
        <f>IF(LEFT(B3538,1)="C","Credit","Factuur")</f>
        <v/>
      </c>
      <c r="H3538">
        <f>IF(AND(B3538=B3537,D3538=D3537,A3538=A3537,F3538=F3537),1,0)</f>
        <v/>
      </c>
      <c r="I3538">
        <f>IF(C3538="C99999",1,0)</f>
        <v/>
      </c>
      <c r="J3538" s="5">
        <f>IF(OR(H3538=1,I3538=1),0,IF(G3538="Credit",-F3538,F3538))</f>
        <v/>
      </c>
    </row>
    <row r="3539">
      <c r="A3539" t="inlineStr">
        <is>
          <t>2026-08-04</t>
        </is>
      </c>
      <c r="B3539" t="inlineStr">
        <is>
          <t>F273817</t>
        </is>
      </c>
      <c r="C3539" t="inlineStr">
        <is>
          <t>C10727</t>
        </is>
      </c>
      <c r="D3539" t="inlineStr">
        <is>
          <t>SKU-10341</t>
        </is>
      </c>
      <c r="E3539" t="inlineStr">
        <is>
          <t>AM11</t>
        </is>
      </c>
      <c r="F3539" s="5" t="n">
        <v>458.74</v>
      </c>
      <c r="G3539">
        <f>IF(LEFT(B3539,1)="C","Credit","Factuur")</f>
        <v/>
      </c>
      <c r="H3539">
        <f>IF(AND(B3539=B3538,D3539=D3538,A3539=A3538,F3539=F3538),1,0)</f>
        <v/>
      </c>
      <c r="I3539">
        <f>IF(C3539="C99999",1,0)</f>
        <v/>
      </c>
      <c r="J3539" s="5">
        <f>IF(OR(H3539=1,I3539=1),0,IF(G3539="Credit",-F3539,F3539))</f>
        <v/>
      </c>
    </row>
    <row r="3540">
      <c r="A3540" t="inlineStr">
        <is>
          <t>2026-08-04</t>
        </is>
      </c>
      <c r="B3540" t="inlineStr">
        <is>
          <t>F274015</t>
        </is>
      </c>
      <c r="C3540" t="inlineStr">
        <is>
          <t>C10740</t>
        </is>
      </c>
      <c r="D3540" t="inlineStr">
        <is>
          <t>SKU-10043</t>
        </is>
      </c>
      <c r="E3540" t="inlineStr">
        <is>
          <t>AM11</t>
        </is>
      </c>
      <c r="F3540" s="5" t="n">
        <v>685.61</v>
      </c>
      <c r="G3540">
        <f>IF(LEFT(B3540,1)="C","Credit","Factuur")</f>
        <v/>
      </c>
      <c r="H3540">
        <f>IF(AND(B3540=B3539,D3540=D3539,A3540=A3539,F3540=F3539),1,0)</f>
        <v/>
      </c>
      <c r="I3540">
        <f>IF(C3540="C99999",1,0)</f>
        <v/>
      </c>
      <c r="J3540" s="5">
        <f>IF(OR(H3540=1,I3540=1),0,IF(G3540="Credit",-F3540,F3540))</f>
        <v/>
      </c>
    </row>
    <row r="3541">
      <c r="A3541" t="inlineStr">
        <is>
          <t>2026-08-04</t>
        </is>
      </c>
      <c r="B3541" t="inlineStr">
        <is>
          <t>F274015</t>
        </is>
      </c>
      <c r="C3541" t="inlineStr">
        <is>
          <t>C10740</t>
        </is>
      </c>
      <c r="D3541" t="inlineStr">
        <is>
          <t>SKU-10246</t>
        </is>
      </c>
      <c r="E3541" t="inlineStr"/>
      <c r="F3541" s="5" t="n">
        <v>755.14</v>
      </c>
      <c r="G3541">
        <f>IF(LEFT(B3541,1)="C","Credit","Factuur")</f>
        <v/>
      </c>
      <c r="H3541">
        <f>IF(AND(B3541=B3540,D3541=D3540,A3541=A3540,F3541=F3540),1,0)</f>
        <v/>
      </c>
      <c r="I3541">
        <f>IF(C3541="C99999",1,0)</f>
        <v/>
      </c>
      <c r="J3541" s="5">
        <f>IF(OR(H3541=1,I3541=1),0,IF(G3541="Credit",-F3541,F3541))</f>
        <v/>
      </c>
    </row>
    <row r="3542">
      <c r="A3542" t="inlineStr">
        <is>
          <t>2026-08-04</t>
        </is>
      </c>
      <c r="B3542" t="inlineStr">
        <is>
          <t>F274015</t>
        </is>
      </c>
      <c r="C3542" t="inlineStr">
        <is>
          <t>C10740</t>
        </is>
      </c>
      <c r="D3542" t="inlineStr">
        <is>
          <t>SKU-10337</t>
        </is>
      </c>
      <c r="E3542" t="inlineStr">
        <is>
          <t>AM11</t>
        </is>
      </c>
      <c r="F3542" s="5" t="n">
        <v>792.35</v>
      </c>
      <c r="G3542">
        <f>IF(LEFT(B3542,1)="C","Credit","Factuur")</f>
        <v/>
      </c>
      <c r="H3542">
        <f>IF(AND(B3542=B3541,D3542=D3541,A3542=A3541,F3542=F3541),1,0)</f>
        <v/>
      </c>
      <c r="I3542">
        <f>IF(C3542="C99999",1,0)</f>
        <v/>
      </c>
      <c r="J3542" s="5">
        <f>IF(OR(H3542=1,I3542=1),0,IF(G3542="Credit",-F3542,F3542))</f>
        <v/>
      </c>
    </row>
    <row r="3543">
      <c r="A3543" t="inlineStr">
        <is>
          <t>2026-08-04</t>
        </is>
      </c>
      <c r="B3543" t="inlineStr">
        <is>
          <t>F274015</t>
        </is>
      </c>
      <c r="C3543" t="inlineStr">
        <is>
          <t>C10740</t>
        </is>
      </c>
      <c r="D3543" t="inlineStr">
        <is>
          <t>SKU-10384</t>
        </is>
      </c>
      <c r="E3543" t="inlineStr">
        <is>
          <t>AM11</t>
        </is>
      </c>
      <c r="F3543" s="5" t="n">
        <v>714.12</v>
      </c>
      <c r="G3543">
        <f>IF(LEFT(B3543,1)="C","Credit","Factuur")</f>
        <v/>
      </c>
      <c r="H3543">
        <f>IF(AND(B3543=B3542,D3543=D3542,A3543=A3542,F3543=F3542),1,0)</f>
        <v/>
      </c>
      <c r="I3543">
        <f>IF(C3543="C99999",1,0)</f>
        <v/>
      </c>
      <c r="J3543" s="5">
        <f>IF(OR(H3543=1,I3543=1),0,IF(G3543="Credit",-F3543,F3543))</f>
        <v/>
      </c>
    </row>
    <row r="3544">
      <c r="A3544" t="inlineStr">
        <is>
          <t>2026-08-04</t>
        </is>
      </c>
      <c r="B3544" t="inlineStr">
        <is>
          <t>F274909</t>
        </is>
      </c>
      <c r="C3544" t="inlineStr">
        <is>
          <t>C10787</t>
        </is>
      </c>
      <c r="D3544" t="inlineStr">
        <is>
          <t>SKU-10034</t>
        </is>
      </c>
      <c r="E3544" t="inlineStr">
        <is>
          <t>AM11</t>
        </is>
      </c>
      <c r="F3544" s="5" t="n">
        <v>232.15</v>
      </c>
      <c r="G3544">
        <f>IF(LEFT(B3544,1)="C","Credit","Factuur")</f>
        <v/>
      </c>
      <c r="H3544">
        <f>IF(AND(B3544=B3543,D3544=D3543,A3544=A3543,F3544=F3543),1,0)</f>
        <v/>
      </c>
      <c r="I3544">
        <f>IF(C3544="C99999",1,0)</f>
        <v/>
      </c>
      <c r="J3544" s="5">
        <f>IF(OR(H3544=1,I3544=1),0,IF(G3544="Credit",-F3544,F3544))</f>
        <v/>
      </c>
    </row>
    <row r="3545">
      <c r="A3545" t="inlineStr">
        <is>
          <t>2026-08-04</t>
        </is>
      </c>
      <c r="B3545" t="inlineStr">
        <is>
          <t>F274909</t>
        </is>
      </c>
      <c r="C3545" t="inlineStr">
        <is>
          <t>C10787</t>
        </is>
      </c>
      <c r="D3545" t="inlineStr">
        <is>
          <t>SKU-10286</t>
        </is>
      </c>
      <c r="E3545" t="inlineStr">
        <is>
          <t>AM11</t>
        </is>
      </c>
      <c r="F3545" s="5" t="n">
        <v>255.5</v>
      </c>
      <c r="G3545">
        <f>IF(LEFT(B3545,1)="C","Credit","Factuur")</f>
        <v/>
      </c>
      <c r="H3545">
        <f>IF(AND(B3545=B3544,D3545=D3544,A3545=A3544,F3545=F3544),1,0)</f>
        <v/>
      </c>
      <c r="I3545">
        <f>IF(C3545="C99999",1,0)</f>
        <v/>
      </c>
      <c r="J3545" s="5">
        <f>IF(OR(H3545=1,I3545=1),0,IF(G3545="Credit",-F3545,F3545))</f>
        <v/>
      </c>
    </row>
    <row r="3546">
      <c r="A3546" t="inlineStr">
        <is>
          <t>2026-08-04</t>
        </is>
      </c>
      <c r="B3546" t="inlineStr">
        <is>
          <t>F278528</t>
        </is>
      </c>
      <c r="C3546" t="inlineStr">
        <is>
          <t>C10983</t>
        </is>
      </c>
      <c r="D3546" t="inlineStr">
        <is>
          <t>SKU-10210</t>
        </is>
      </c>
      <c r="E3546" t="inlineStr">
        <is>
          <t>AM05</t>
        </is>
      </c>
      <c r="F3546" s="5" t="n">
        <v>220.44</v>
      </c>
      <c r="G3546">
        <f>IF(LEFT(B3546,1)="C","Credit","Factuur")</f>
        <v/>
      </c>
      <c r="H3546">
        <f>IF(AND(B3546=B3545,D3546=D3545,A3546=A3545,F3546=F3545),1,0)</f>
        <v/>
      </c>
      <c r="I3546">
        <f>IF(C3546="C99999",1,0)</f>
        <v/>
      </c>
      <c r="J3546" s="5">
        <f>IF(OR(H3546=1,I3546=1),0,IF(G3546="Credit",-F3546,F3546))</f>
        <v/>
      </c>
    </row>
    <row r="3547">
      <c r="A3547" t="inlineStr">
        <is>
          <t>2026-08-04</t>
        </is>
      </c>
      <c r="B3547" t="inlineStr">
        <is>
          <t>F278528</t>
        </is>
      </c>
      <c r="C3547" t="inlineStr">
        <is>
          <t>C10983</t>
        </is>
      </c>
      <c r="D3547" t="inlineStr">
        <is>
          <t>SKU-10344</t>
        </is>
      </c>
      <c r="E3547" t="inlineStr">
        <is>
          <t>AM05</t>
        </is>
      </c>
      <c r="F3547" s="5" t="n">
        <v>224</v>
      </c>
      <c r="G3547">
        <f>IF(LEFT(B3547,1)="C","Credit","Factuur")</f>
        <v/>
      </c>
      <c r="H3547">
        <f>IF(AND(B3547=B3546,D3547=D3546,A3547=A3546,F3547=F3546),1,0)</f>
        <v/>
      </c>
      <c r="I3547">
        <f>IF(C3547="C99999",1,0)</f>
        <v/>
      </c>
      <c r="J3547" s="5">
        <f>IF(OR(H3547=1,I3547=1),0,IF(G3547="Credit",-F3547,F3547))</f>
        <v/>
      </c>
    </row>
    <row r="3548">
      <c r="A3548" t="inlineStr">
        <is>
          <t>2026-08-04</t>
        </is>
      </c>
      <c r="B3548" t="inlineStr">
        <is>
          <t>F280333</t>
        </is>
      </c>
      <c r="C3548" t="inlineStr">
        <is>
          <t>C11074</t>
        </is>
      </c>
      <c r="D3548" t="inlineStr">
        <is>
          <t>SKU-10100</t>
        </is>
      </c>
      <c r="E3548" t="inlineStr">
        <is>
          <t>AM12</t>
        </is>
      </c>
      <c r="F3548" s="5" t="n">
        <v>101.59</v>
      </c>
      <c r="G3548">
        <f>IF(LEFT(B3548,1)="C","Credit","Factuur")</f>
        <v/>
      </c>
      <c r="H3548">
        <f>IF(AND(B3548=B3547,D3548=D3547,A3548=A3547,F3548=F3547),1,0)</f>
        <v/>
      </c>
      <c r="I3548">
        <f>IF(C3548="C99999",1,0)</f>
        <v/>
      </c>
      <c r="J3548" s="5">
        <f>IF(OR(H3548=1,I3548=1),0,IF(G3548="Credit",-F3548,F3548))</f>
        <v/>
      </c>
    </row>
    <row r="3549">
      <c r="A3549" t="inlineStr">
        <is>
          <t>2026-08-04</t>
        </is>
      </c>
      <c r="B3549" t="inlineStr">
        <is>
          <t>F280333</t>
        </is>
      </c>
      <c r="C3549" t="inlineStr">
        <is>
          <t>C11074</t>
        </is>
      </c>
      <c r="D3549" t="inlineStr">
        <is>
          <t>SKU-10187</t>
        </is>
      </c>
      <c r="E3549" t="inlineStr">
        <is>
          <t>AM12</t>
        </is>
      </c>
      <c r="F3549" s="5" t="n">
        <v>96.52</v>
      </c>
      <c r="G3549">
        <f>IF(LEFT(B3549,1)="C","Credit","Factuur")</f>
        <v/>
      </c>
      <c r="H3549">
        <f>IF(AND(B3549=B3548,D3549=D3548,A3549=A3548,F3549=F3548),1,0)</f>
        <v/>
      </c>
      <c r="I3549">
        <f>IF(C3549="C99999",1,0)</f>
        <v/>
      </c>
      <c r="J3549" s="5">
        <f>IF(OR(H3549=1,I3549=1),0,IF(G3549="Credit",-F3549,F3549))</f>
        <v/>
      </c>
    </row>
    <row r="3550">
      <c r="A3550" t="inlineStr">
        <is>
          <t>2026-08-04</t>
        </is>
      </c>
      <c r="B3550" t="inlineStr">
        <is>
          <t>F280333</t>
        </is>
      </c>
      <c r="C3550" t="inlineStr">
        <is>
          <t>C11074</t>
        </is>
      </c>
      <c r="D3550" t="inlineStr">
        <is>
          <t>SKU-10218</t>
        </is>
      </c>
      <c r="E3550" t="inlineStr">
        <is>
          <t>AM12</t>
        </is>
      </c>
      <c r="F3550" s="5" t="n">
        <v>89.79000000000001</v>
      </c>
      <c r="G3550">
        <f>IF(LEFT(B3550,1)="C","Credit","Factuur")</f>
        <v/>
      </c>
      <c r="H3550">
        <f>IF(AND(B3550=B3549,D3550=D3549,A3550=A3549,F3550=F3549),1,0)</f>
        <v/>
      </c>
      <c r="I3550">
        <f>IF(C3550="C99999",1,0)</f>
        <v/>
      </c>
      <c r="J3550" s="5">
        <f>IF(OR(H3550=1,I3550=1),0,IF(G3550="Credit",-F3550,F3550))</f>
        <v/>
      </c>
    </row>
    <row r="3551">
      <c r="A3551" t="inlineStr">
        <is>
          <t>2026-08-04</t>
        </is>
      </c>
      <c r="B3551" t="inlineStr">
        <is>
          <t>F280333</t>
        </is>
      </c>
      <c r="C3551" t="inlineStr">
        <is>
          <t>C11074</t>
        </is>
      </c>
      <c r="D3551" t="inlineStr">
        <is>
          <t>SKU-10232</t>
        </is>
      </c>
      <c r="E3551" t="inlineStr">
        <is>
          <t>AM12</t>
        </is>
      </c>
      <c r="F3551" s="5" t="n">
        <v>110.4</v>
      </c>
      <c r="G3551">
        <f>IF(LEFT(B3551,1)="C","Credit","Factuur")</f>
        <v/>
      </c>
      <c r="H3551">
        <f>IF(AND(B3551=B3550,D3551=D3550,A3551=A3550,F3551=F3550),1,0)</f>
        <v/>
      </c>
      <c r="I3551">
        <f>IF(C3551="C99999",1,0)</f>
        <v/>
      </c>
      <c r="J3551" s="5">
        <f>IF(OR(H3551=1,I3551=1),0,IF(G3551="Credit",-F3551,F3551))</f>
        <v/>
      </c>
    </row>
    <row r="3552">
      <c r="A3552" t="inlineStr">
        <is>
          <t>2026-08-04</t>
        </is>
      </c>
      <c r="B3552" t="inlineStr">
        <is>
          <t>F280333</t>
        </is>
      </c>
      <c r="C3552" t="inlineStr">
        <is>
          <t>C11074</t>
        </is>
      </c>
      <c r="D3552" t="inlineStr">
        <is>
          <t>SKU-10310</t>
        </is>
      </c>
      <c r="E3552" t="inlineStr">
        <is>
          <t>AM12</t>
        </is>
      </c>
      <c r="F3552" s="5" t="n">
        <v>100.76</v>
      </c>
      <c r="G3552">
        <f>IF(LEFT(B3552,1)="C","Credit","Factuur")</f>
        <v/>
      </c>
      <c r="H3552">
        <f>IF(AND(B3552=B3551,D3552=D3551,A3552=A3551,F3552=F3551),1,0)</f>
        <v/>
      </c>
      <c r="I3552">
        <f>IF(C3552="C99999",1,0)</f>
        <v/>
      </c>
      <c r="J3552" s="5">
        <f>IF(OR(H3552=1,I3552=1),0,IF(G3552="Credit",-F3552,F3552))</f>
        <v/>
      </c>
    </row>
    <row r="3553">
      <c r="A3553" t="inlineStr">
        <is>
          <t>2026-08-04</t>
        </is>
      </c>
      <c r="B3553" t="inlineStr">
        <is>
          <t>F280333</t>
        </is>
      </c>
      <c r="C3553" t="inlineStr">
        <is>
          <t>C11074</t>
        </is>
      </c>
      <c r="D3553" t="inlineStr">
        <is>
          <t>SKU-10331</t>
        </is>
      </c>
      <c r="E3553" t="inlineStr">
        <is>
          <t>AM12</t>
        </is>
      </c>
      <c r="F3553" s="5" t="n">
        <v>114.48</v>
      </c>
      <c r="G3553">
        <f>IF(LEFT(B3553,1)="C","Credit","Factuur")</f>
        <v/>
      </c>
      <c r="H3553">
        <f>IF(AND(B3553=B3552,D3553=D3552,A3553=A3552,F3553=F3552),1,0)</f>
        <v/>
      </c>
      <c r="I3553">
        <f>IF(C3553="C99999",1,0)</f>
        <v/>
      </c>
      <c r="J3553" s="5">
        <f>IF(OR(H3553=1,I3553=1),0,IF(G3553="Credit",-F3553,F3553))</f>
        <v/>
      </c>
    </row>
    <row r="3554">
      <c r="A3554" t="inlineStr">
        <is>
          <t>2026-08-04</t>
        </is>
      </c>
      <c r="B3554" t="inlineStr">
        <is>
          <t>F280446</t>
        </is>
      </c>
      <c r="C3554" t="inlineStr">
        <is>
          <t>C11078</t>
        </is>
      </c>
      <c r="D3554" t="inlineStr">
        <is>
          <t>SKU-10316</t>
        </is>
      </c>
      <c r="E3554" t="inlineStr">
        <is>
          <t>AM08</t>
        </is>
      </c>
      <c r="F3554" s="5" t="n">
        <v>631.1799999999999</v>
      </c>
      <c r="G3554">
        <f>IF(LEFT(B3554,1)="C","Credit","Factuur")</f>
        <v/>
      </c>
      <c r="H3554">
        <f>IF(AND(B3554=B3553,D3554=D3553,A3554=A3553,F3554=F3553),1,0)</f>
        <v/>
      </c>
      <c r="I3554">
        <f>IF(C3554="C99999",1,0)</f>
        <v/>
      </c>
      <c r="J3554" s="5">
        <f>IF(OR(H3554=1,I3554=1),0,IF(G3554="Credit",-F3554,F3554))</f>
        <v/>
      </c>
    </row>
    <row r="3555">
      <c r="A3555" t="inlineStr">
        <is>
          <t>2026-08-04</t>
        </is>
      </c>
      <c r="B3555" t="inlineStr">
        <is>
          <t>F280446</t>
        </is>
      </c>
      <c r="C3555" t="inlineStr">
        <is>
          <t>C11078</t>
        </is>
      </c>
      <c r="D3555" t="inlineStr">
        <is>
          <t>SKU-10342</t>
        </is>
      </c>
      <c r="E3555" t="inlineStr">
        <is>
          <t>AM08</t>
        </is>
      </c>
      <c r="F3555" s="5" t="n">
        <v>611.53</v>
      </c>
      <c r="G3555">
        <f>IF(LEFT(B3555,1)="C","Credit","Factuur")</f>
        <v/>
      </c>
      <c r="H3555">
        <f>IF(AND(B3555=B3554,D3555=D3554,A3555=A3554,F3555=F3554),1,0)</f>
        <v/>
      </c>
      <c r="I3555">
        <f>IF(C3555="C99999",1,0)</f>
        <v/>
      </c>
      <c r="J3555" s="5">
        <f>IF(OR(H3555=1,I3555=1),0,IF(G3555="Credit",-F3555,F3555))</f>
        <v/>
      </c>
    </row>
    <row r="3556">
      <c r="A3556" t="inlineStr">
        <is>
          <t>2026-08-04</t>
        </is>
      </c>
      <c r="B3556" t="inlineStr">
        <is>
          <t>F281219</t>
        </is>
      </c>
      <c r="C3556" t="inlineStr">
        <is>
          <t>C11119</t>
        </is>
      </c>
      <c r="D3556" t="inlineStr">
        <is>
          <t>SKU-10039</t>
        </is>
      </c>
      <c r="E3556" t="inlineStr">
        <is>
          <t>AM01</t>
        </is>
      </c>
      <c r="F3556" s="5" t="n">
        <v>486.45</v>
      </c>
      <c r="G3556">
        <f>IF(LEFT(B3556,1)="C","Credit","Factuur")</f>
        <v/>
      </c>
      <c r="H3556">
        <f>IF(AND(B3556=B3555,D3556=D3555,A3556=A3555,F3556=F3555),1,0)</f>
        <v/>
      </c>
      <c r="I3556">
        <f>IF(C3556="C99999",1,0)</f>
        <v/>
      </c>
      <c r="J3556" s="5">
        <f>IF(OR(H3556=1,I3556=1),0,IF(G3556="Credit",-F3556,F3556))</f>
        <v/>
      </c>
    </row>
    <row r="3557">
      <c r="A3557" t="inlineStr">
        <is>
          <t>2026-08-04</t>
        </is>
      </c>
      <c r="B3557" t="inlineStr">
        <is>
          <t>F281219</t>
        </is>
      </c>
      <c r="C3557" t="inlineStr">
        <is>
          <t>C11119</t>
        </is>
      </c>
      <c r="D3557" t="inlineStr">
        <is>
          <t>SKU-10137</t>
        </is>
      </c>
      <c r="E3557" t="inlineStr">
        <is>
          <t>AM01</t>
        </is>
      </c>
      <c r="F3557" s="5" t="n">
        <v>484.25</v>
      </c>
      <c r="G3557">
        <f>IF(LEFT(B3557,1)="C","Credit","Factuur")</f>
        <v/>
      </c>
      <c r="H3557">
        <f>IF(AND(B3557=B3556,D3557=D3556,A3557=A3556,F3557=F3556),1,0)</f>
        <v/>
      </c>
      <c r="I3557">
        <f>IF(C3557="C99999",1,0)</f>
        <v/>
      </c>
      <c r="J3557" s="5">
        <f>IF(OR(H3557=1,I3557=1),0,IF(G3557="Credit",-F3557,F3557))</f>
        <v/>
      </c>
    </row>
    <row r="3558">
      <c r="A3558" t="inlineStr">
        <is>
          <t>2026-08-04</t>
        </is>
      </c>
      <c r="B3558" t="inlineStr">
        <is>
          <t>F281219</t>
        </is>
      </c>
      <c r="C3558" t="inlineStr">
        <is>
          <t>C11119</t>
        </is>
      </c>
      <c r="D3558" t="inlineStr">
        <is>
          <t>SKU-10326</t>
        </is>
      </c>
      <c r="E3558" t="inlineStr">
        <is>
          <t>AM01</t>
        </is>
      </c>
      <c r="F3558" s="5" t="n">
        <v>474</v>
      </c>
      <c r="G3558">
        <f>IF(LEFT(B3558,1)="C","Credit","Factuur")</f>
        <v/>
      </c>
      <c r="H3558">
        <f>IF(AND(B3558=B3557,D3558=D3557,A3558=A3557,F3558=F3557),1,0)</f>
        <v/>
      </c>
      <c r="I3558">
        <f>IF(C3558="C99999",1,0)</f>
        <v/>
      </c>
      <c r="J3558" s="5">
        <f>IF(OR(H3558=1,I3558=1),0,IF(G3558="Credit",-F3558,F3558))</f>
        <v/>
      </c>
    </row>
    <row r="3559">
      <c r="A3559" t="inlineStr">
        <is>
          <t>2026-08-04</t>
        </is>
      </c>
      <c r="B3559" t="inlineStr">
        <is>
          <t>F281668</t>
        </is>
      </c>
      <c r="C3559" t="inlineStr">
        <is>
          <t>C11142</t>
        </is>
      </c>
      <c r="D3559" t="inlineStr">
        <is>
          <t>SKU-10075</t>
        </is>
      </c>
      <c r="E3559" t="inlineStr">
        <is>
          <t>AM03</t>
        </is>
      </c>
      <c r="F3559" s="5" t="n">
        <v>1672.14</v>
      </c>
      <c r="G3559">
        <f>IF(LEFT(B3559,1)="C","Credit","Factuur")</f>
        <v/>
      </c>
      <c r="H3559">
        <f>IF(AND(B3559=B3558,D3559=D3558,A3559=A3558,F3559=F3558),1,0)</f>
        <v/>
      </c>
      <c r="I3559">
        <f>IF(C3559="C99999",1,0)</f>
        <v/>
      </c>
      <c r="J3559" s="5">
        <f>IF(OR(H3559=1,I3559=1),0,IF(G3559="Credit",-F3559,F3559))</f>
        <v/>
      </c>
    </row>
    <row r="3560">
      <c r="A3560" t="inlineStr">
        <is>
          <t>2026-08-04</t>
        </is>
      </c>
      <c r="B3560" t="inlineStr">
        <is>
          <t>F281668</t>
        </is>
      </c>
      <c r="C3560" t="inlineStr">
        <is>
          <t>C11142</t>
        </is>
      </c>
      <c r="D3560" t="inlineStr">
        <is>
          <t>SKU-10140</t>
        </is>
      </c>
      <c r="E3560" t="inlineStr">
        <is>
          <t>AM03</t>
        </is>
      </c>
      <c r="F3560" s="5" t="n">
        <v>1678.72</v>
      </c>
      <c r="G3560">
        <f>IF(LEFT(B3560,1)="C","Credit","Factuur")</f>
        <v/>
      </c>
      <c r="H3560">
        <f>IF(AND(B3560=B3559,D3560=D3559,A3560=A3559,F3560=F3559),1,0)</f>
        <v/>
      </c>
      <c r="I3560">
        <f>IF(C3560="C99999",1,0)</f>
        <v/>
      </c>
      <c r="J3560" s="5">
        <f>IF(OR(H3560=1,I3560=1),0,IF(G3560="Credit",-F3560,F3560))</f>
        <v/>
      </c>
    </row>
    <row r="3561">
      <c r="A3561" t="inlineStr">
        <is>
          <t>2026-08-04</t>
        </is>
      </c>
      <c r="B3561" t="inlineStr">
        <is>
          <t>F282159</t>
        </is>
      </c>
      <c r="C3561" t="inlineStr">
        <is>
          <t>C11164</t>
        </is>
      </c>
      <c r="D3561" t="inlineStr">
        <is>
          <t>SKU-10130</t>
        </is>
      </c>
      <c r="E3561" t="inlineStr">
        <is>
          <t>IS02</t>
        </is>
      </c>
      <c r="F3561" s="5" t="n">
        <v>50.48</v>
      </c>
      <c r="G3561">
        <f>IF(LEFT(B3561,1)="C","Credit","Factuur")</f>
        <v/>
      </c>
      <c r="H3561">
        <f>IF(AND(B3561=B3560,D3561=D3560,A3561=A3560,F3561=F3560),1,0)</f>
        <v/>
      </c>
      <c r="I3561">
        <f>IF(C3561="C99999",1,0)</f>
        <v/>
      </c>
      <c r="J3561" s="5">
        <f>IF(OR(H3561=1,I3561=1),0,IF(G3561="Credit",-F3561,F3561))</f>
        <v/>
      </c>
    </row>
    <row r="3562">
      <c r="A3562" t="inlineStr">
        <is>
          <t>2026-08-04</t>
        </is>
      </c>
      <c r="B3562" t="inlineStr">
        <is>
          <t>F282159</t>
        </is>
      </c>
      <c r="C3562" t="inlineStr">
        <is>
          <t>C11164</t>
        </is>
      </c>
      <c r="D3562" t="inlineStr">
        <is>
          <t>SKU-10205</t>
        </is>
      </c>
      <c r="E3562" t="inlineStr">
        <is>
          <t>IS02</t>
        </is>
      </c>
      <c r="F3562" s="5" t="n">
        <v>41.31</v>
      </c>
      <c r="G3562">
        <f>IF(LEFT(B3562,1)="C","Credit","Factuur")</f>
        <v/>
      </c>
      <c r="H3562">
        <f>IF(AND(B3562=B3561,D3562=D3561,A3562=A3561,F3562=F3561),1,0)</f>
        <v/>
      </c>
      <c r="I3562">
        <f>IF(C3562="C99999",1,0)</f>
        <v/>
      </c>
      <c r="J3562" s="5">
        <f>IF(OR(H3562=1,I3562=1),0,IF(G3562="Credit",-F3562,F3562))</f>
        <v/>
      </c>
    </row>
    <row r="3563">
      <c r="A3563" t="inlineStr">
        <is>
          <t>2026-08-04</t>
        </is>
      </c>
      <c r="B3563" t="inlineStr">
        <is>
          <t>F282159</t>
        </is>
      </c>
      <c r="C3563" t="inlineStr">
        <is>
          <t>C11164</t>
        </is>
      </c>
      <c r="D3563" t="inlineStr">
        <is>
          <t>SKU-10229</t>
        </is>
      </c>
      <c r="E3563" t="inlineStr">
        <is>
          <t>IS02</t>
        </is>
      </c>
      <c r="F3563" s="5" t="n">
        <v>52.68</v>
      </c>
      <c r="G3563">
        <f>IF(LEFT(B3563,1)="C","Credit","Factuur")</f>
        <v/>
      </c>
      <c r="H3563">
        <f>IF(AND(B3563=B3562,D3563=D3562,A3563=A3562,F3563=F3562),1,0)</f>
        <v/>
      </c>
      <c r="I3563">
        <f>IF(C3563="C99999",1,0)</f>
        <v/>
      </c>
      <c r="J3563" s="5">
        <f>IF(OR(H3563=1,I3563=1),0,IF(G3563="Credit",-F3563,F3563))</f>
        <v/>
      </c>
    </row>
    <row r="3564">
      <c r="A3564" t="inlineStr">
        <is>
          <t>2026-08-04</t>
        </is>
      </c>
      <c r="B3564" t="inlineStr">
        <is>
          <t>F282159</t>
        </is>
      </c>
      <c r="C3564" t="inlineStr">
        <is>
          <t>C11164</t>
        </is>
      </c>
      <c r="D3564" t="inlineStr">
        <is>
          <t>SKU-10268</t>
        </is>
      </c>
      <c r="E3564" t="inlineStr"/>
      <c r="F3564" s="5" t="n">
        <v>41.12</v>
      </c>
      <c r="G3564">
        <f>IF(LEFT(B3564,1)="C","Credit","Factuur")</f>
        <v/>
      </c>
      <c r="H3564">
        <f>IF(AND(B3564=B3563,D3564=D3563,A3564=A3563,F3564=F3563),1,0)</f>
        <v/>
      </c>
      <c r="I3564">
        <f>IF(C3564="C99999",1,0)</f>
        <v/>
      </c>
      <c r="J3564" s="5">
        <f>IF(OR(H3564=1,I3564=1),0,IF(G3564="Credit",-F3564,F3564))</f>
        <v/>
      </c>
    </row>
    <row r="3565">
      <c r="A3565" t="inlineStr">
        <is>
          <t>2026-08-04</t>
        </is>
      </c>
      <c r="B3565" t="inlineStr">
        <is>
          <t>F284105</t>
        </is>
      </c>
      <c r="C3565" t="inlineStr">
        <is>
          <t>C11258</t>
        </is>
      </c>
      <c r="D3565" t="inlineStr">
        <is>
          <t>SKU-10065</t>
        </is>
      </c>
      <c r="E3565" t="inlineStr">
        <is>
          <t>AM12</t>
        </is>
      </c>
      <c r="F3565" s="5" t="n">
        <v>607.01</v>
      </c>
      <c r="G3565">
        <f>IF(LEFT(B3565,1)="C","Credit","Factuur")</f>
        <v/>
      </c>
      <c r="H3565">
        <f>IF(AND(B3565=B3564,D3565=D3564,A3565=A3564,F3565=F3564),1,0)</f>
        <v/>
      </c>
      <c r="I3565">
        <f>IF(C3565="C99999",1,0)</f>
        <v/>
      </c>
      <c r="J3565" s="5">
        <f>IF(OR(H3565=1,I3565=1),0,IF(G3565="Credit",-F3565,F3565))</f>
        <v/>
      </c>
    </row>
    <row r="3566">
      <c r="A3566" t="inlineStr">
        <is>
          <t>2026-08-04</t>
        </is>
      </c>
      <c r="B3566" t="inlineStr">
        <is>
          <t>F284105</t>
        </is>
      </c>
      <c r="C3566" t="inlineStr">
        <is>
          <t>C11258</t>
        </is>
      </c>
      <c r="D3566" t="inlineStr">
        <is>
          <t>SKU-10310</t>
        </is>
      </c>
      <c r="E3566" t="inlineStr">
        <is>
          <t>AM12</t>
        </is>
      </c>
      <c r="F3566" s="5" t="n">
        <v>659.39</v>
      </c>
      <c r="G3566">
        <f>IF(LEFT(B3566,1)="C","Credit","Factuur")</f>
        <v/>
      </c>
      <c r="H3566">
        <f>IF(AND(B3566=B3565,D3566=D3565,A3566=A3565,F3566=F3565),1,0)</f>
        <v/>
      </c>
      <c r="I3566">
        <f>IF(C3566="C99999",1,0)</f>
        <v/>
      </c>
      <c r="J3566" s="5">
        <f>IF(OR(H3566=1,I3566=1),0,IF(G3566="Credit",-F3566,F3566))</f>
        <v/>
      </c>
    </row>
    <row r="3567">
      <c r="A3567" t="inlineStr">
        <is>
          <t>2026-08-04</t>
        </is>
      </c>
      <c r="B3567" t="inlineStr">
        <is>
          <t>F284105</t>
        </is>
      </c>
      <c r="C3567" t="inlineStr">
        <is>
          <t>C11258</t>
        </is>
      </c>
      <c r="D3567" t="inlineStr">
        <is>
          <t>SKU-10327</t>
        </is>
      </c>
      <c r="E3567" t="inlineStr">
        <is>
          <t>AM12</t>
        </is>
      </c>
      <c r="F3567" s="5" t="n">
        <v>611.16</v>
      </c>
      <c r="G3567">
        <f>IF(LEFT(B3567,1)="C","Credit","Factuur")</f>
        <v/>
      </c>
      <c r="H3567">
        <f>IF(AND(B3567=B3566,D3567=D3566,A3567=A3566,F3567=F3566),1,0)</f>
        <v/>
      </c>
      <c r="I3567">
        <f>IF(C3567="C99999",1,0)</f>
        <v/>
      </c>
      <c r="J3567" s="5">
        <f>IF(OR(H3567=1,I3567=1),0,IF(G3567="Credit",-F3567,F3567))</f>
        <v/>
      </c>
    </row>
    <row r="3568">
      <c r="A3568" t="inlineStr">
        <is>
          <t>2026-08-04</t>
        </is>
      </c>
      <c r="B3568" t="inlineStr">
        <is>
          <t>F284105</t>
        </is>
      </c>
      <c r="C3568" t="inlineStr">
        <is>
          <t>C11258</t>
        </is>
      </c>
      <c r="D3568" t="inlineStr">
        <is>
          <t>SKU-10345</t>
        </is>
      </c>
      <c r="E3568" t="inlineStr">
        <is>
          <t>AM12</t>
        </is>
      </c>
      <c r="F3568" s="5" t="n">
        <v>686.09</v>
      </c>
      <c r="G3568">
        <f>IF(LEFT(B3568,1)="C","Credit","Factuur")</f>
        <v/>
      </c>
      <c r="H3568">
        <f>IF(AND(B3568=B3567,D3568=D3567,A3568=A3567,F3568=F3567),1,0)</f>
        <v/>
      </c>
      <c r="I3568">
        <f>IF(C3568="C99999",1,0)</f>
        <v/>
      </c>
      <c r="J3568" s="5">
        <f>IF(OR(H3568=1,I3568=1),0,IF(G3568="Credit",-F3568,F3568))</f>
        <v/>
      </c>
    </row>
    <row r="3569">
      <c r="A3569" t="inlineStr">
        <is>
          <t>2026-08-04</t>
        </is>
      </c>
      <c r="B3569" t="inlineStr">
        <is>
          <t>F284105</t>
        </is>
      </c>
      <c r="C3569" t="inlineStr">
        <is>
          <t>C11258</t>
        </is>
      </c>
      <c r="D3569" t="inlineStr">
        <is>
          <t>SKU-10349</t>
        </is>
      </c>
      <c r="E3569" t="inlineStr">
        <is>
          <t>AM12</t>
        </is>
      </c>
      <c r="F3569" s="5" t="n">
        <v>588.97</v>
      </c>
      <c r="G3569">
        <f>IF(LEFT(B3569,1)="C","Credit","Factuur")</f>
        <v/>
      </c>
      <c r="H3569">
        <f>IF(AND(B3569=B3568,D3569=D3568,A3569=A3568,F3569=F3568),1,0)</f>
        <v/>
      </c>
      <c r="I3569">
        <f>IF(C3569="C99999",1,0)</f>
        <v/>
      </c>
      <c r="J3569" s="5">
        <f>IF(OR(H3569=1,I3569=1),0,IF(G3569="Credit",-F3569,F3569))</f>
        <v/>
      </c>
    </row>
    <row r="3570">
      <c r="A3570" t="inlineStr">
        <is>
          <t>2026-08-04</t>
        </is>
      </c>
      <c r="B3570" t="inlineStr">
        <is>
          <t>F284744</t>
        </is>
      </c>
      <c r="C3570" t="inlineStr">
        <is>
          <t>C11296</t>
        </is>
      </c>
      <c r="D3570" t="inlineStr">
        <is>
          <t>SKU-10341</t>
        </is>
      </c>
      <c r="E3570" t="inlineStr">
        <is>
          <t>AM11</t>
        </is>
      </c>
      <c r="F3570" s="5" t="n">
        <v>4225.2</v>
      </c>
      <c r="G3570">
        <f>IF(LEFT(B3570,1)="C","Credit","Factuur")</f>
        <v/>
      </c>
      <c r="H3570">
        <f>IF(AND(B3570=B3569,D3570=D3569,A3570=A3569,F3570=F3569),1,0)</f>
        <v/>
      </c>
      <c r="I3570">
        <f>IF(C3570="C99999",1,0)</f>
        <v/>
      </c>
      <c r="J3570" s="5">
        <f>IF(OR(H3570=1,I3570=1),0,IF(G3570="Credit",-F3570,F3570))</f>
        <v/>
      </c>
    </row>
    <row r="3571">
      <c r="A3571" t="inlineStr">
        <is>
          <t>2026-08-04</t>
        </is>
      </c>
      <c r="B3571" t="inlineStr">
        <is>
          <t>F286414</t>
        </is>
      </c>
      <c r="C3571" t="inlineStr">
        <is>
          <t>C99999</t>
        </is>
      </c>
      <c r="D3571" t="inlineStr">
        <is>
          <t>SKU-10044</t>
        </is>
      </c>
      <c r="E3571" t="inlineStr">
        <is>
          <t>IS01</t>
        </is>
      </c>
      <c r="F3571" s="5" t="n">
        <v>147.24</v>
      </c>
      <c r="G3571">
        <f>IF(LEFT(B3571,1)="C","Credit","Factuur")</f>
        <v/>
      </c>
      <c r="H3571">
        <f>IF(AND(B3571=B3570,D3571=D3570,A3571=A3570,F3571=F3570),1,0)</f>
        <v/>
      </c>
      <c r="I3571">
        <f>IF(C3571="C99999",1,0)</f>
        <v/>
      </c>
      <c r="J3571" s="5">
        <f>IF(OR(H3571=1,I3571=1),0,IF(G3571="Credit",-F3571,F3571))</f>
        <v/>
      </c>
    </row>
    <row r="3572">
      <c r="A3572" t="inlineStr">
        <is>
          <t>2026-08-04</t>
        </is>
      </c>
      <c r="B3572" t="inlineStr">
        <is>
          <t>F286414</t>
        </is>
      </c>
      <c r="C3572" t="inlineStr">
        <is>
          <t>C99999</t>
        </is>
      </c>
      <c r="D3572" t="inlineStr">
        <is>
          <t>SKU-10164</t>
        </is>
      </c>
      <c r="E3572" t="inlineStr">
        <is>
          <t>IS01</t>
        </is>
      </c>
      <c r="F3572" s="5" t="n">
        <v>147.66</v>
      </c>
      <c r="G3572">
        <f>IF(LEFT(B3572,1)="C","Credit","Factuur")</f>
        <v/>
      </c>
      <c r="H3572">
        <f>IF(AND(B3572=B3571,D3572=D3571,A3572=A3571,F3572=F3571),1,0)</f>
        <v/>
      </c>
      <c r="I3572">
        <f>IF(C3572="C99999",1,0)</f>
        <v/>
      </c>
      <c r="J3572" s="5">
        <f>IF(OR(H3572=1,I3572=1),0,IF(G3572="Credit",-F3572,F3572))</f>
        <v/>
      </c>
    </row>
    <row r="3573">
      <c r="A3573" t="inlineStr">
        <is>
          <t>2026-08-05</t>
        </is>
      </c>
      <c r="B3573" t="inlineStr">
        <is>
          <t>C900425</t>
        </is>
      </c>
      <c r="C3573" t="inlineStr">
        <is>
          <t>C10798</t>
        </is>
      </c>
      <c r="D3573" t="inlineStr">
        <is>
          <t>SKU-10089</t>
        </is>
      </c>
      <c r="E3573" t="inlineStr">
        <is>
          <t>AM08</t>
        </is>
      </c>
      <c r="F3573" s="5" t="n">
        <v>78.5</v>
      </c>
      <c r="G3573">
        <f>IF(LEFT(B3573,1)="C","Credit","Factuur")</f>
        <v/>
      </c>
      <c r="H3573">
        <f>IF(AND(B3573=B3572,D3573=D3572,A3573=A3572,F3573=F3572),1,0)</f>
        <v/>
      </c>
      <c r="I3573">
        <f>IF(C3573="C99999",1,0)</f>
        <v/>
      </c>
      <c r="J3573" s="5">
        <f>IF(OR(H3573=1,I3573=1),0,IF(G3573="Credit",-F3573,F3573))</f>
        <v/>
      </c>
    </row>
    <row r="3574">
      <c r="A3574" t="inlineStr">
        <is>
          <t>2026-08-05</t>
        </is>
      </c>
      <c r="B3574" t="inlineStr">
        <is>
          <t>F260606</t>
        </is>
      </c>
      <c r="C3574" t="inlineStr">
        <is>
          <t>C10033</t>
        </is>
      </c>
      <c r="D3574" t="inlineStr">
        <is>
          <t>SKU-10037</t>
        </is>
      </c>
      <c r="E3574" t="inlineStr">
        <is>
          <t>AM07</t>
        </is>
      </c>
      <c r="F3574" s="5" t="n">
        <v>272.4</v>
      </c>
      <c r="G3574">
        <f>IF(LEFT(B3574,1)="C","Credit","Factuur")</f>
        <v/>
      </c>
      <c r="H3574">
        <f>IF(AND(B3574=B3573,D3574=D3573,A3574=A3573,F3574=F3573),1,0)</f>
        <v/>
      </c>
      <c r="I3574">
        <f>IF(C3574="C99999",1,0)</f>
        <v/>
      </c>
      <c r="J3574" s="5">
        <f>IF(OR(H3574=1,I3574=1),0,IF(G3574="Credit",-F3574,F3574))</f>
        <v/>
      </c>
    </row>
    <row r="3575">
      <c r="A3575" t="inlineStr">
        <is>
          <t>2026-08-05</t>
        </is>
      </c>
      <c r="B3575" t="inlineStr">
        <is>
          <t>F260606</t>
        </is>
      </c>
      <c r="C3575" t="inlineStr">
        <is>
          <t>C10033</t>
        </is>
      </c>
      <c r="D3575" t="inlineStr">
        <is>
          <t>SKU-10168</t>
        </is>
      </c>
      <c r="E3575" t="inlineStr">
        <is>
          <t>AM07</t>
        </is>
      </c>
      <c r="F3575" s="5" t="n">
        <v>278.24</v>
      </c>
      <c r="G3575">
        <f>IF(LEFT(B3575,1)="C","Credit","Factuur")</f>
        <v/>
      </c>
      <c r="H3575">
        <f>IF(AND(B3575=B3574,D3575=D3574,A3575=A3574,F3575=F3574),1,0)</f>
        <v/>
      </c>
      <c r="I3575">
        <f>IF(C3575="C99999",1,0)</f>
        <v/>
      </c>
      <c r="J3575" s="5">
        <f>IF(OR(H3575=1,I3575=1),0,IF(G3575="Credit",-F3575,F3575))</f>
        <v/>
      </c>
    </row>
    <row r="3576">
      <c r="A3576" t="inlineStr">
        <is>
          <t>2026-08-05</t>
        </is>
      </c>
      <c r="B3576" t="inlineStr">
        <is>
          <t>F261032</t>
        </is>
      </c>
      <c r="C3576" t="inlineStr">
        <is>
          <t>C10060</t>
        </is>
      </c>
      <c r="D3576" t="inlineStr">
        <is>
          <t>SKU-10056</t>
        </is>
      </c>
      <c r="E3576" t="inlineStr">
        <is>
          <t>AM05</t>
        </is>
      </c>
      <c r="F3576" s="5" t="n">
        <v>1104</v>
      </c>
      <c r="G3576">
        <f>IF(LEFT(B3576,1)="C","Credit","Factuur")</f>
        <v/>
      </c>
      <c r="H3576">
        <f>IF(AND(B3576=B3575,D3576=D3575,A3576=A3575,F3576=F3575),1,0)</f>
        <v/>
      </c>
      <c r="I3576">
        <f>IF(C3576="C99999",1,0)</f>
        <v/>
      </c>
      <c r="J3576" s="5">
        <f>IF(OR(H3576=1,I3576=1),0,IF(G3576="Credit",-F3576,F3576))</f>
        <v/>
      </c>
    </row>
    <row r="3577">
      <c r="A3577" t="inlineStr">
        <is>
          <t>2026-08-05</t>
        </is>
      </c>
      <c r="B3577" t="inlineStr">
        <is>
          <t>F261032</t>
        </is>
      </c>
      <c r="C3577" t="inlineStr">
        <is>
          <t>C10060</t>
        </is>
      </c>
      <c r="D3577" t="inlineStr">
        <is>
          <t>SKU-10288</t>
        </is>
      </c>
      <c r="E3577" t="inlineStr">
        <is>
          <t>AM05</t>
        </is>
      </c>
      <c r="F3577" s="5" t="n">
        <v>929.71</v>
      </c>
      <c r="G3577">
        <f>IF(LEFT(B3577,1)="C","Credit","Factuur")</f>
        <v/>
      </c>
      <c r="H3577">
        <f>IF(AND(B3577=B3576,D3577=D3576,A3577=A3576,F3577=F3576),1,0)</f>
        <v/>
      </c>
      <c r="I3577">
        <f>IF(C3577="C99999",1,0)</f>
        <v/>
      </c>
      <c r="J3577" s="5">
        <f>IF(OR(H3577=1,I3577=1),0,IF(G3577="Credit",-F3577,F3577))</f>
        <v/>
      </c>
    </row>
    <row r="3578">
      <c r="A3578" t="inlineStr">
        <is>
          <t>2026-08-05</t>
        </is>
      </c>
      <c r="B3578" t="inlineStr">
        <is>
          <t>F261032</t>
        </is>
      </c>
      <c r="C3578" t="inlineStr">
        <is>
          <t>C10060</t>
        </is>
      </c>
      <c r="D3578" t="inlineStr">
        <is>
          <t>SKU-10341</t>
        </is>
      </c>
      <c r="E3578" t="inlineStr">
        <is>
          <t>AM05</t>
        </is>
      </c>
      <c r="F3578" s="5" t="n">
        <v>1032.16</v>
      </c>
      <c r="G3578">
        <f>IF(LEFT(B3578,1)="C","Credit","Factuur")</f>
        <v/>
      </c>
      <c r="H3578">
        <f>IF(AND(B3578=B3577,D3578=D3577,A3578=A3577,F3578=F3577),1,0)</f>
        <v/>
      </c>
      <c r="I3578">
        <f>IF(C3578="C99999",1,0)</f>
        <v/>
      </c>
      <c r="J3578" s="5">
        <f>IF(OR(H3578=1,I3578=1),0,IF(G3578="Credit",-F3578,F3578))</f>
        <v/>
      </c>
    </row>
    <row r="3579">
      <c r="A3579" t="inlineStr">
        <is>
          <t>2026-08-05</t>
        </is>
      </c>
      <c r="B3579" t="inlineStr">
        <is>
          <t>F263622</t>
        </is>
      </c>
      <c r="C3579" t="inlineStr">
        <is>
          <t>C10194</t>
        </is>
      </c>
      <c r="D3579" t="inlineStr">
        <is>
          <t>SKU-10036</t>
        </is>
      </c>
      <c r="E3579" t="inlineStr">
        <is>
          <t>AM02</t>
        </is>
      </c>
      <c r="F3579" s="5" t="n">
        <v>399.15</v>
      </c>
      <c r="G3579">
        <f>IF(LEFT(B3579,1)="C","Credit","Factuur")</f>
        <v/>
      </c>
      <c r="H3579">
        <f>IF(AND(B3579=B3578,D3579=D3578,A3579=A3578,F3579=F3578),1,0)</f>
        <v/>
      </c>
      <c r="I3579">
        <f>IF(C3579="C99999",1,0)</f>
        <v/>
      </c>
      <c r="J3579" s="5">
        <f>IF(OR(H3579=1,I3579=1),0,IF(G3579="Credit",-F3579,F3579))</f>
        <v/>
      </c>
    </row>
    <row r="3580">
      <c r="A3580" t="inlineStr">
        <is>
          <t>2026-08-05</t>
        </is>
      </c>
      <c r="B3580" t="inlineStr">
        <is>
          <t>F263622</t>
        </is>
      </c>
      <c r="C3580" t="inlineStr">
        <is>
          <t>C10194</t>
        </is>
      </c>
      <c r="D3580" t="inlineStr">
        <is>
          <t>SKU-10135</t>
        </is>
      </c>
      <c r="E3580" t="inlineStr">
        <is>
          <t>AM02</t>
        </is>
      </c>
      <c r="F3580" s="5" t="n">
        <v>406.8</v>
      </c>
      <c r="G3580">
        <f>IF(LEFT(B3580,1)="C","Credit","Factuur")</f>
        <v/>
      </c>
      <c r="H3580">
        <f>IF(AND(B3580=B3579,D3580=D3579,A3580=A3579,F3580=F3579),1,0)</f>
        <v/>
      </c>
      <c r="I3580">
        <f>IF(C3580="C99999",1,0)</f>
        <v/>
      </c>
      <c r="J3580" s="5">
        <f>IF(OR(H3580=1,I3580=1),0,IF(G3580="Credit",-F3580,F3580))</f>
        <v/>
      </c>
    </row>
    <row r="3581">
      <c r="A3581" t="inlineStr">
        <is>
          <t>2026-08-05</t>
        </is>
      </c>
      <c r="B3581" t="inlineStr">
        <is>
          <t>F263622</t>
        </is>
      </c>
      <c r="C3581" t="inlineStr">
        <is>
          <t>C10194</t>
        </is>
      </c>
      <c r="D3581" t="inlineStr">
        <is>
          <t>SKU-10329</t>
        </is>
      </c>
      <c r="E3581" t="inlineStr">
        <is>
          <t>AM02</t>
        </is>
      </c>
      <c r="F3581" s="5" t="n">
        <v>384.77</v>
      </c>
      <c r="G3581">
        <f>IF(LEFT(B3581,1)="C","Credit","Factuur")</f>
        <v/>
      </c>
      <c r="H3581">
        <f>IF(AND(B3581=B3580,D3581=D3580,A3581=A3580,F3581=F3580),1,0)</f>
        <v/>
      </c>
      <c r="I3581">
        <f>IF(C3581="C99999",1,0)</f>
        <v/>
      </c>
      <c r="J3581" s="5">
        <f>IF(OR(H3581=1,I3581=1),0,IF(G3581="Credit",-F3581,F3581))</f>
        <v/>
      </c>
    </row>
    <row r="3582">
      <c r="A3582" t="inlineStr">
        <is>
          <t>2026-08-05</t>
        </is>
      </c>
      <c r="B3582" t="inlineStr">
        <is>
          <t>F264381</t>
        </is>
      </c>
      <c r="C3582" t="inlineStr">
        <is>
          <t>C10228</t>
        </is>
      </c>
      <c r="D3582" t="inlineStr">
        <is>
          <t>SKU-10273</t>
        </is>
      </c>
      <c r="E3582" t="inlineStr">
        <is>
          <t>AM02</t>
        </is>
      </c>
      <c r="F3582" s="5" t="n">
        <v>1159.53</v>
      </c>
      <c r="G3582">
        <f>IF(LEFT(B3582,1)="C","Credit","Factuur")</f>
        <v/>
      </c>
      <c r="H3582">
        <f>IF(AND(B3582=B3581,D3582=D3581,A3582=A3581,F3582=F3581),1,0)</f>
        <v/>
      </c>
      <c r="I3582">
        <f>IF(C3582="C99999",1,0)</f>
        <v/>
      </c>
      <c r="J3582" s="5">
        <f>IF(OR(H3582=1,I3582=1),0,IF(G3582="Credit",-F3582,F3582))</f>
        <v/>
      </c>
    </row>
    <row r="3583">
      <c r="A3583" t="inlineStr">
        <is>
          <t>2026-08-05</t>
        </is>
      </c>
      <c r="B3583" t="inlineStr">
        <is>
          <t>F264581</t>
        </is>
      </c>
      <c r="C3583" t="inlineStr">
        <is>
          <t>C10239</t>
        </is>
      </c>
      <c r="D3583" t="inlineStr">
        <is>
          <t>SKU-10019</t>
        </is>
      </c>
      <c r="E3583" t="inlineStr">
        <is>
          <t>AM02</t>
        </is>
      </c>
      <c r="F3583" s="5" t="n">
        <v>88.02</v>
      </c>
      <c r="G3583">
        <f>IF(LEFT(B3583,1)="C","Credit","Factuur")</f>
        <v/>
      </c>
      <c r="H3583">
        <f>IF(AND(B3583=B3582,D3583=D3582,A3583=A3582,F3583=F3582),1,0)</f>
        <v/>
      </c>
      <c r="I3583">
        <f>IF(C3583="C99999",1,0)</f>
        <v/>
      </c>
      <c r="J3583" s="5">
        <f>IF(OR(H3583=1,I3583=1),0,IF(G3583="Credit",-F3583,F3583))</f>
        <v/>
      </c>
    </row>
    <row r="3584">
      <c r="A3584" t="inlineStr">
        <is>
          <t>2026-08-05</t>
        </is>
      </c>
      <c r="B3584" t="inlineStr">
        <is>
          <t>F264581</t>
        </is>
      </c>
      <c r="C3584" t="inlineStr">
        <is>
          <t>C10239</t>
        </is>
      </c>
      <c r="D3584" t="inlineStr">
        <is>
          <t>SKU-10164</t>
        </is>
      </c>
      <c r="E3584" t="inlineStr">
        <is>
          <t>AM02</t>
        </is>
      </c>
      <c r="F3584" s="5" t="n">
        <v>73.83</v>
      </c>
      <c r="G3584">
        <f>IF(LEFT(B3584,1)="C","Credit","Factuur")</f>
        <v/>
      </c>
      <c r="H3584">
        <f>IF(AND(B3584=B3583,D3584=D3583,A3584=A3583,F3584=F3583),1,0)</f>
        <v/>
      </c>
      <c r="I3584">
        <f>IF(C3584="C99999",1,0)</f>
        <v/>
      </c>
      <c r="J3584" s="5">
        <f>IF(OR(H3584=1,I3584=1),0,IF(G3584="Credit",-F3584,F3584))</f>
        <v/>
      </c>
    </row>
    <row r="3585">
      <c r="A3585" t="inlineStr">
        <is>
          <t>2026-08-05</t>
        </is>
      </c>
      <c r="B3585" t="inlineStr">
        <is>
          <t>F264581</t>
        </is>
      </c>
      <c r="C3585" t="inlineStr">
        <is>
          <t>C10239</t>
        </is>
      </c>
      <c r="D3585" t="inlineStr">
        <is>
          <t>SKU-10315</t>
        </is>
      </c>
      <c r="E3585" t="inlineStr">
        <is>
          <t>AM02</t>
        </is>
      </c>
      <c r="F3585" s="5" t="n">
        <v>108.9</v>
      </c>
      <c r="G3585">
        <f>IF(LEFT(B3585,1)="C","Credit","Factuur")</f>
        <v/>
      </c>
      <c r="H3585">
        <f>IF(AND(B3585=B3584,D3585=D3584,A3585=A3584,F3585=F3584),1,0)</f>
        <v/>
      </c>
      <c r="I3585">
        <f>IF(C3585="C99999",1,0)</f>
        <v/>
      </c>
      <c r="J3585" s="5">
        <f>IF(OR(H3585=1,I3585=1),0,IF(G3585="Credit",-F3585,F3585))</f>
        <v/>
      </c>
    </row>
    <row r="3586">
      <c r="A3586" t="inlineStr">
        <is>
          <t>2026-08-05</t>
        </is>
      </c>
      <c r="B3586" t="inlineStr">
        <is>
          <t>F264581</t>
        </is>
      </c>
      <c r="C3586" t="inlineStr">
        <is>
          <t>C10239</t>
        </is>
      </c>
      <c r="D3586" t="inlineStr">
        <is>
          <t>SKU-10332</t>
        </is>
      </c>
      <c r="E3586" t="inlineStr">
        <is>
          <t>AM02</t>
        </is>
      </c>
      <c r="F3586" s="5" t="n">
        <v>81.38</v>
      </c>
      <c r="G3586">
        <f>IF(LEFT(B3586,1)="C","Credit","Factuur")</f>
        <v/>
      </c>
      <c r="H3586">
        <f>IF(AND(B3586=B3585,D3586=D3585,A3586=A3585,F3586=F3585),1,0)</f>
        <v/>
      </c>
      <c r="I3586">
        <f>IF(C3586="C99999",1,0)</f>
        <v/>
      </c>
      <c r="J3586" s="5">
        <f>IF(OR(H3586=1,I3586=1),0,IF(G3586="Credit",-F3586,F3586))</f>
        <v/>
      </c>
    </row>
    <row r="3587">
      <c r="A3587" t="inlineStr">
        <is>
          <t>2026-08-05</t>
        </is>
      </c>
      <c r="B3587" t="inlineStr">
        <is>
          <t>F265593</t>
        </is>
      </c>
      <c r="C3587" t="inlineStr">
        <is>
          <t>C10294</t>
        </is>
      </c>
      <c r="D3587" t="inlineStr">
        <is>
          <t>SKU-10055</t>
        </is>
      </c>
      <c r="E3587" t="inlineStr">
        <is>
          <t>AM11</t>
        </is>
      </c>
      <c r="F3587" s="5" t="n">
        <v>100.59</v>
      </c>
      <c r="G3587">
        <f>IF(LEFT(B3587,1)="C","Credit","Factuur")</f>
        <v/>
      </c>
      <c r="H3587">
        <f>IF(AND(B3587=B3586,D3587=D3586,A3587=A3586,F3587=F3586),1,0)</f>
        <v/>
      </c>
      <c r="I3587">
        <f>IF(C3587="C99999",1,0)</f>
        <v/>
      </c>
      <c r="J3587" s="5">
        <f>IF(OR(H3587=1,I3587=1),0,IF(G3587="Credit",-F3587,F3587))</f>
        <v/>
      </c>
    </row>
    <row r="3588">
      <c r="A3588" t="inlineStr">
        <is>
          <t>2026-08-05</t>
        </is>
      </c>
      <c r="B3588" t="inlineStr">
        <is>
          <t>F265593</t>
        </is>
      </c>
      <c r="C3588" t="inlineStr">
        <is>
          <t>C10294</t>
        </is>
      </c>
      <c r="D3588" t="inlineStr">
        <is>
          <t>SKU-10237</t>
        </is>
      </c>
      <c r="E3588" t="inlineStr">
        <is>
          <t>AM11</t>
        </is>
      </c>
      <c r="F3588" s="5" t="n">
        <v>86.31</v>
      </c>
      <c r="G3588">
        <f>IF(LEFT(B3588,1)="C","Credit","Factuur")</f>
        <v/>
      </c>
      <c r="H3588">
        <f>IF(AND(B3588=B3587,D3588=D3587,A3588=A3587,F3588=F3587),1,0)</f>
        <v/>
      </c>
      <c r="I3588">
        <f>IF(C3588="C99999",1,0)</f>
        <v/>
      </c>
      <c r="J3588" s="5">
        <f>IF(OR(H3588=1,I3588=1),0,IF(G3588="Credit",-F3588,F3588))</f>
        <v/>
      </c>
    </row>
    <row r="3589">
      <c r="A3589" t="inlineStr">
        <is>
          <t>2026-08-05</t>
        </is>
      </c>
      <c r="B3589" t="inlineStr">
        <is>
          <t>F265593</t>
        </is>
      </c>
      <c r="C3589" t="inlineStr">
        <is>
          <t>C10294</t>
        </is>
      </c>
      <c r="D3589" t="inlineStr">
        <is>
          <t>SKU-10374</t>
        </is>
      </c>
      <c r="E3589" t="inlineStr">
        <is>
          <t>AM11</t>
        </is>
      </c>
      <c r="F3589" s="5" t="n">
        <v>123.87</v>
      </c>
      <c r="G3589">
        <f>IF(LEFT(B3589,1)="C","Credit","Factuur")</f>
        <v/>
      </c>
      <c r="H3589">
        <f>IF(AND(B3589=B3588,D3589=D3588,A3589=A3588,F3589=F3588),1,0)</f>
        <v/>
      </c>
      <c r="I3589">
        <f>IF(C3589="C99999",1,0)</f>
        <v/>
      </c>
      <c r="J3589" s="5">
        <f>IF(OR(H3589=1,I3589=1),0,IF(G3589="Credit",-F3589,F3589))</f>
        <v/>
      </c>
    </row>
    <row r="3590">
      <c r="A3590" t="inlineStr">
        <is>
          <t>2026-08-05</t>
        </is>
      </c>
      <c r="B3590" t="inlineStr">
        <is>
          <t>F267661</t>
        </is>
      </c>
      <c r="C3590" t="inlineStr">
        <is>
          <t>C10401</t>
        </is>
      </c>
      <c r="D3590" t="inlineStr">
        <is>
          <t>SKU-10040</t>
        </is>
      </c>
      <c r="E3590" t="inlineStr">
        <is>
          <t>AM02</t>
        </is>
      </c>
      <c r="F3590" s="5" t="n">
        <v>313.92</v>
      </c>
      <c r="G3590">
        <f>IF(LEFT(B3590,1)="C","Credit","Factuur")</f>
        <v/>
      </c>
      <c r="H3590">
        <f>IF(AND(B3590=B3589,D3590=D3589,A3590=A3589,F3590=F3589),1,0)</f>
        <v/>
      </c>
      <c r="I3590">
        <f>IF(C3590="C99999",1,0)</f>
        <v/>
      </c>
      <c r="J3590" s="5">
        <f>IF(OR(H3590=1,I3590=1),0,IF(G3590="Credit",-F3590,F3590))</f>
        <v/>
      </c>
    </row>
    <row r="3591">
      <c r="A3591" t="inlineStr">
        <is>
          <t>2026-08-05</t>
        </is>
      </c>
      <c r="B3591" t="inlineStr">
        <is>
          <t>F267661</t>
        </is>
      </c>
      <c r="C3591" t="inlineStr">
        <is>
          <t>C10401</t>
        </is>
      </c>
      <c r="D3591" t="inlineStr">
        <is>
          <t>SKU-10042</t>
        </is>
      </c>
      <c r="E3591" t="inlineStr">
        <is>
          <t>AM02</t>
        </is>
      </c>
      <c r="F3591" s="5" t="n">
        <v>325.8</v>
      </c>
      <c r="G3591">
        <f>IF(LEFT(B3591,1)="C","Credit","Factuur")</f>
        <v/>
      </c>
      <c r="H3591">
        <f>IF(AND(B3591=B3590,D3591=D3590,A3591=A3590,F3591=F3590),1,0)</f>
        <v/>
      </c>
      <c r="I3591">
        <f>IF(C3591="C99999",1,0)</f>
        <v/>
      </c>
      <c r="J3591" s="5">
        <f>IF(OR(H3591=1,I3591=1),0,IF(G3591="Credit",-F3591,F3591))</f>
        <v/>
      </c>
    </row>
    <row r="3592">
      <c r="A3592" t="inlineStr">
        <is>
          <t>2026-08-05</t>
        </is>
      </c>
      <c r="B3592" t="inlineStr">
        <is>
          <t>F267661</t>
        </is>
      </c>
      <c r="C3592" t="inlineStr">
        <is>
          <t>C10401</t>
        </is>
      </c>
      <c r="D3592" t="inlineStr">
        <is>
          <t>SKU-10244</t>
        </is>
      </c>
      <c r="E3592" t="inlineStr">
        <is>
          <t>AM02</t>
        </is>
      </c>
      <c r="F3592" s="5" t="n">
        <v>323.19</v>
      </c>
      <c r="G3592">
        <f>IF(LEFT(B3592,1)="C","Credit","Factuur")</f>
        <v/>
      </c>
      <c r="H3592">
        <f>IF(AND(B3592=B3591,D3592=D3591,A3592=A3591,F3592=F3591),1,0)</f>
        <v/>
      </c>
      <c r="I3592">
        <f>IF(C3592="C99999",1,0)</f>
        <v/>
      </c>
      <c r="J3592" s="5">
        <f>IF(OR(H3592=1,I3592=1),0,IF(G3592="Credit",-F3592,F3592))</f>
        <v/>
      </c>
    </row>
    <row r="3593">
      <c r="A3593" t="inlineStr">
        <is>
          <t>2026-08-05</t>
        </is>
      </c>
      <c r="B3593" t="inlineStr">
        <is>
          <t>F267661</t>
        </is>
      </c>
      <c r="C3593" t="inlineStr">
        <is>
          <t>C10401</t>
        </is>
      </c>
      <c r="D3593" t="inlineStr">
        <is>
          <t>SKU-10280</t>
        </is>
      </c>
      <c r="E3593" t="inlineStr">
        <is>
          <t>AM02</t>
        </is>
      </c>
      <c r="F3593" s="5" t="n">
        <v>269.59</v>
      </c>
      <c r="G3593">
        <f>IF(LEFT(B3593,1)="C","Credit","Factuur")</f>
        <v/>
      </c>
      <c r="H3593">
        <f>IF(AND(B3593=B3592,D3593=D3592,A3593=A3592,F3593=F3592),1,0)</f>
        <v/>
      </c>
      <c r="I3593">
        <f>IF(C3593="C99999",1,0)</f>
        <v/>
      </c>
      <c r="J3593" s="5">
        <f>IF(OR(H3593=1,I3593=1),0,IF(G3593="Credit",-F3593,F3593))</f>
        <v/>
      </c>
    </row>
    <row r="3594">
      <c r="A3594" t="inlineStr">
        <is>
          <t>2026-08-05</t>
        </is>
      </c>
      <c r="B3594" t="inlineStr">
        <is>
          <t>F268043</t>
        </is>
      </c>
      <c r="C3594" t="inlineStr">
        <is>
          <t>C10423</t>
        </is>
      </c>
      <c r="D3594" t="inlineStr">
        <is>
          <t>SKU-10295</t>
        </is>
      </c>
      <c r="E3594" t="inlineStr">
        <is>
          <t>AM05</t>
        </is>
      </c>
      <c r="F3594" s="5" t="n">
        <v>6817.8</v>
      </c>
      <c r="G3594">
        <f>IF(LEFT(B3594,1)="C","Credit","Factuur")</f>
        <v/>
      </c>
      <c r="H3594">
        <f>IF(AND(B3594=B3593,D3594=D3593,A3594=A3593,F3594=F3593),1,0)</f>
        <v/>
      </c>
      <c r="I3594">
        <f>IF(C3594="C99999",1,0)</f>
        <v/>
      </c>
      <c r="J3594" s="5">
        <f>IF(OR(H3594=1,I3594=1),0,IF(G3594="Credit",-F3594,F3594))</f>
        <v/>
      </c>
    </row>
    <row r="3595">
      <c r="A3595" t="inlineStr">
        <is>
          <t>2026-08-05</t>
        </is>
      </c>
      <c r="B3595" t="inlineStr">
        <is>
          <t>F268324</t>
        </is>
      </c>
      <c r="C3595" t="inlineStr">
        <is>
          <t>C10436</t>
        </is>
      </c>
      <c r="D3595" t="inlineStr">
        <is>
          <t>SKU-10003</t>
        </is>
      </c>
      <c r="E3595" t="inlineStr">
        <is>
          <t>AM06</t>
        </is>
      </c>
      <c r="F3595" s="5" t="n">
        <v>192.85</v>
      </c>
      <c r="G3595">
        <f>IF(LEFT(B3595,1)="C","Credit","Factuur")</f>
        <v/>
      </c>
      <c r="H3595">
        <f>IF(AND(B3595=B3594,D3595=D3594,A3595=A3594,F3595=F3594),1,0)</f>
        <v/>
      </c>
      <c r="I3595">
        <f>IF(C3595="C99999",1,0)</f>
        <v/>
      </c>
      <c r="J3595" s="5">
        <f>IF(OR(H3595=1,I3595=1),0,IF(G3595="Credit",-F3595,F3595))</f>
        <v/>
      </c>
    </row>
    <row r="3596">
      <c r="A3596" t="inlineStr">
        <is>
          <t>2026-08-05</t>
        </is>
      </c>
      <c r="B3596" t="inlineStr">
        <is>
          <t>F268324</t>
        </is>
      </c>
      <c r="C3596" t="inlineStr">
        <is>
          <t>C10436</t>
        </is>
      </c>
      <c r="D3596" t="inlineStr">
        <is>
          <t>SKU-10104</t>
        </is>
      </c>
      <c r="E3596" t="inlineStr">
        <is>
          <t>AM06</t>
        </is>
      </c>
      <c r="F3596" s="5" t="n">
        <v>182.28</v>
      </c>
      <c r="G3596">
        <f>IF(LEFT(B3596,1)="C","Credit","Factuur")</f>
        <v/>
      </c>
      <c r="H3596">
        <f>IF(AND(B3596=B3595,D3596=D3595,A3596=A3595,F3596=F3595),1,0)</f>
        <v/>
      </c>
      <c r="I3596">
        <f>IF(C3596="C99999",1,0)</f>
        <v/>
      </c>
      <c r="J3596" s="5">
        <f>IF(OR(H3596=1,I3596=1),0,IF(G3596="Credit",-F3596,F3596))</f>
        <v/>
      </c>
    </row>
    <row r="3597">
      <c r="A3597" t="inlineStr">
        <is>
          <t>2026-08-05</t>
        </is>
      </c>
      <c r="B3597" t="inlineStr">
        <is>
          <t>F268324</t>
        </is>
      </c>
      <c r="C3597" t="inlineStr">
        <is>
          <t>C10436</t>
        </is>
      </c>
      <c r="D3597" t="inlineStr">
        <is>
          <t>SKU-10213</t>
        </is>
      </c>
      <c r="E3597" t="inlineStr"/>
      <c r="F3597" s="5" t="n">
        <v>167.64</v>
      </c>
      <c r="G3597">
        <f>IF(LEFT(B3597,1)="C","Credit","Factuur")</f>
        <v/>
      </c>
      <c r="H3597">
        <f>IF(AND(B3597=B3596,D3597=D3596,A3597=A3596,F3597=F3596),1,0)</f>
        <v/>
      </c>
      <c r="I3597">
        <f>IF(C3597="C99999",1,0)</f>
        <v/>
      </c>
      <c r="J3597" s="5">
        <f>IF(OR(H3597=1,I3597=1),0,IF(G3597="Credit",-F3597,F3597))</f>
        <v/>
      </c>
    </row>
    <row r="3598">
      <c r="A3598" t="inlineStr">
        <is>
          <t>2026-08-05</t>
        </is>
      </c>
      <c r="B3598" t="inlineStr">
        <is>
          <t>F268324</t>
        </is>
      </c>
      <c r="C3598" t="inlineStr">
        <is>
          <t>C10436</t>
        </is>
      </c>
      <c r="D3598" t="inlineStr">
        <is>
          <t>SKU-10321</t>
        </is>
      </c>
      <c r="E3598" t="inlineStr">
        <is>
          <t>AM06</t>
        </is>
      </c>
      <c r="F3598" s="5" t="n">
        <v>185.48</v>
      </c>
      <c r="G3598">
        <f>IF(LEFT(B3598,1)="C","Credit","Factuur")</f>
        <v/>
      </c>
      <c r="H3598">
        <f>IF(AND(B3598=B3597,D3598=D3597,A3598=A3597,F3598=F3597),1,0)</f>
        <v/>
      </c>
      <c r="I3598">
        <f>IF(C3598="C99999",1,0)</f>
        <v/>
      </c>
      <c r="J3598" s="5">
        <f>IF(OR(H3598=1,I3598=1),0,IF(G3598="Credit",-F3598,F3598))</f>
        <v/>
      </c>
    </row>
    <row r="3599">
      <c r="A3599" t="inlineStr">
        <is>
          <t>2026-08-05</t>
        </is>
      </c>
      <c r="B3599" t="inlineStr">
        <is>
          <t>F268324</t>
        </is>
      </c>
      <c r="C3599" t="inlineStr">
        <is>
          <t>C10436</t>
        </is>
      </c>
      <c r="D3599" t="inlineStr">
        <is>
          <t>SKU-10332</t>
        </is>
      </c>
      <c r="E3599" t="inlineStr">
        <is>
          <t>AM06</t>
        </is>
      </c>
      <c r="F3599" s="5" t="n">
        <v>179.04</v>
      </c>
      <c r="G3599">
        <f>IF(LEFT(B3599,1)="C","Credit","Factuur")</f>
        <v/>
      </c>
      <c r="H3599">
        <f>IF(AND(B3599=B3598,D3599=D3598,A3599=A3598,F3599=F3598),1,0)</f>
        <v/>
      </c>
      <c r="I3599">
        <f>IF(C3599="C99999",1,0)</f>
        <v/>
      </c>
      <c r="J3599" s="5">
        <f>IF(OR(H3599=1,I3599=1),0,IF(G3599="Credit",-F3599,F3599))</f>
        <v/>
      </c>
    </row>
    <row r="3600">
      <c r="A3600" t="inlineStr">
        <is>
          <t>2026-08-05</t>
        </is>
      </c>
      <c r="B3600" t="inlineStr">
        <is>
          <t>F269354</t>
        </is>
      </c>
      <c r="C3600" t="inlineStr">
        <is>
          <t>C10491</t>
        </is>
      </c>
      <c r="D3600" t="inlineStr">
        <is>
          <t>SKU-10149</t>
        </is>
      </c>
      <c r="E3600" t="inlineStr">
        <is>
          <t>AM05</t>
        </is>
      </c>
      <c r="F3600" s="5" t="n">
        <v>620.5599999999999</v>
      </c>
      <c r="G3600">
        <f>IF(LEFT(B3600,1)="C","Credit","Factuur")</f>
        <v/>
      </c>
      <c r="H3600">
        <f>IF(AND(B3600=B3599,D3600=D3599,A3600=A3599,F3600=F3599),1,0)</f>
        <v/>
      </c>
      <c r="I3600">
        <f>IF(C3600="C99999",1,0)</f>
        <v/>
      </c>
      <c r="J3600" s="5">
        <f>IF(OR(H3600=1,I3600=1),0,IF(G3600="Credit",-F3600,F3600))</f>
        <v/>
      </c>
    </row>
    <row r="3601">
      <c r="A3601" t="inlineStr">
        <is>
          <t>2026-08-05</t>
        </is>
      </c>
      <c r="B3601" t="inlineStr">
        <is>
          <t>F269354</t>
        </is>
      </c>
      <c r="C3601" t="inlineStr">
        <is>
          <t>C10491</t>
        </is>
      </c>
      <c r="D3601" t="inlineStr">
        <is>
          <t>SKU-10151</t>
        </is>
      </c>
      <c r="E3601" t="inlineStr">
        <is>
          <t>AM05</t>
        </is>
      </c>
      <c r="F3601" s="5" t="n">
        <v>626.26</v>
      </c>
      <c r="G3601">
        <f>IF(LEFT(B3601,1)="C","Credit","Factuur")</f>
        <v/>
      </c>
      <c r="H3601">
        <f>IF(AND(B3601=B3600,D3601=D3600,A3601=A3600,F3601=F3600),1,0)</f>
        <v/>
      </c>
      <c r="I3601">
        <f>IF(C3601="C99999",1,0)</f>
        <v/>
      </c>
      <c r="J3601" s="5">
        <f>IF(OR(H3601=1,I3601=1),0,IF(G3601="Credit",-F3601,F3601))</f>
        <v/>
      </c>
    </row>
    <row r="3602">
      <c r="A3602" t="inlineStr">
        <is>
          <t>2026-08-05</t>
        </is>
      </c>
      <c r="B3602" t="inlineStr">
        <is>
          <t>F269354</t>
        </is>
      </c>
      <c r="C3602" t="inlineStr">
        <is>
          <t>C10491</t>
        </is>
      </c>
      <c r="D3602" t="inlineStr">
        <is>
          <t>SKU-10166</t>
        </is>
      </c>
      <c r="E3602" t="inlineStr">
        <is>
          <t>AM05</t>
        </is>
      </c>
      <c r="F3602" s="5" t="n">
        <v>599.98</v>
      </c>
      <c r="G3602">
        <f>IF(LEFT(B3602,1)="C","Credit","Factuur")</f>
        <v/>
      </c>
      <c r="H3602">
        <f>IF(AND(B3602=B3601,D3602=D3601,A3602=A3601,F3602=F3601),1,0)</f>
        <v/>
      </c>
      <c r="I3602">
        <f>IF(C3602="C99999",1,0)</f>
        <v/>
      </c>
      <c r="J3602" s="5">
        <f>IF(OR(H3602=1,I3602=1),0,IF(G3602="Credit",-F3602,F3602))</f>
        <v/>
      </c>
    </row>
    <row r="3603">
      <c r="A3603" t="inlineStr">
        <is>
          <t>2026-08-05</t>
        </is>
      </c>
      <c r="B3603" t="inlineStr">
        <is>
          <t>F269354</t>
        </is>
      </c>
      <c r="C3603" t="inlineStr">
        <is>
          <t>C10491</t>
        </is>
      </c>
      <c r="D3603" t="inlineStr">
        <is>
          <t>SKU-10325</t>
        </is>
      </c>
      <c r="E3603" t="inlineStr">
        <is>
          <t>AM05</t>
        </is>
      </c>
      <c r="F3603" s="5" t="n">
        <v>671.17</v>
      </c>
      <c r="G3603">
        <f>IF(LEFT(B3603,1)="C","Credit","Factuur")</f>
        <v/>
      </c>
      <c r="H3603">
        <f>IF(AND(B3603=B3602,D3603=D3602,A3603=A3602,F3603=F3602),1,0)</f>
        <v/>
      </c>
      <c r="I3603">
        <f>IF(C3603="C99999",1,0)</f>
        <v/>
      </c>
      <c r="J3603" s="5">
        <f>IF(OR(H3603=1,I3603=1),0,IF(G3603="Credit",-F3603,F3603))</f>
        <v/>
      </c>
    </row>
    <row r="3604">
      <c r="A3604" t="inlineStr">
        <is>
          <t>2026-08-05</t>
        </is>
      </c>
      <c r="B3604" t="inlineStr">
        <is>
          <t>F271927</t>
        </is>
      </c>
      <c r="C3604" t="inlineStr">
        <is>
          <t>C10615</t>
        </is>
      </c>
      <c r="D3604" t="inlineStr">
        <is>
          <t>SKU-10068</t>
        </is>
      </c>
      <c r="E3604" t="inlineStr">
        <is>
          <t>AM03</t>
        </is>
      </c>
      <c r="F3604" s="5" t="n">
        <v>441.05</v>
      </c>
      <c r="G3604">
        <f>IF(LEFT(B3604,1)="C","Credit","Factuur")</f>
        <v/>
      </c>
      <c r="H3604">
        <f>IF(AND(B3604=B3603,D3604=D3603,A3604=A3603,F3604=F3603),1,0)</f>
        <v/>
      </c>
      <c r="I3604">
        <f>IF(C3604="C99999",1,0)</f>
        <v/>
      </c>
      <c r="J3604" s="5">
        <f>IF(OR(H3604=1,I3604=1),0,IF(G3604="Credit",-F3604,F3604))</f>
        <v/>
      </c>
    </row>
    <row r="3605">
      <c r="A3605" t="inlineStr">
        <is>
          <t>2026-08-05</t>
        </is>
      </c>
      <c r="B3605" t="inlineStr">
        <is>
          <t>F271927</t>
        </is>
      </c>
      <c r="C3605" t="inlineStr">
        <is>
          <t>C10615</t>
        </is>
      </c>
      <c r="D3605" t="inlineStr">
        <is>
          <t>SKU-10073</t>
        </is>
      </c>
      <c r="E3605" t="inlineStr">
        <is>
          <t>AM03</t>
        </is>
      </c>
      <c r="F3605" s="5" t="n">
        <v>451.76</v>
      </c>
      <c r="G3605">
        <f>IF(LEFT(B3605,1)="C","Credit","Factuur")</f>
        <v/>
      </c>
      <c r="H3605">
        <f>IF(AND(B3605=B3604,D3605=D3604,A3605=A3604,F3605=F3604),1,0)</f>
        <v/>
      </c>
      <c r="I3605">
        <f>IF(C3605="C99999",1,0)</f>
        <v/>
      </c>
      <c r="J3605" s="5">
        <f>IF(OR(H3605=1,I3605=1),0,IF(G3605="Credit",-F3605,F3605))</f>
        <v/>
      </c>
    </row>
    <row r="3606">
      <c r="A3606" t="inlineStr">
        <is>
          <t>2026-08-05</t>
        </is>
      </c>
      <c r="B3606" t="inlineStr">
        <is>
          <t>F271927</t>
        </is>
      </c>
      <c r="C3606" t="inlineStr">
        <is>
          <t>C10615</t>
        </is>
      </c>
      <c r="D3606" t="inlineStr">
        <is>
          <t>SKU-10306</t>
        </is>
      </c>
      <c r="E3606" t="inlineStr">
        <is>
          <t>AM03</t>
        </is>
      </c>
      <c r="F3606" s="5" t="n">
        <v>458.25</v>
      </c>
      <c r="G3606">
        <f>IF(LEFT(B3606,1)="C","Credit","Factuur")</f>
        <v/>
      </c>
      <c r="H3606">
        <f>IF(AND(B3606=B3605,D3606=D3605,A3606=A3605,F3606=F3605),1,0)</f>
        <v/>
      </c>
      <c r="I3606">
        <f>IF(C3606="C99999",1,0)</f>
        <v/>
      </c>
      <c r="J3606" s="5">
        <f>IF(OR(H3606=1,I3606=1),0,IF(G3606="Credit",-F3606,F3606))</f>
        <v/>
      </c>
    </row>
    <row r="3607">
      <c r="A3607" t="inlineStr">
        <is>
          <t>2026-08-05</t>
        </is>
      </c>
      <c r="B3607" t="inlineStr">
        <is>
          <t>F272046</t>
        </is>
      </c>
      <c r="C3607" t="inlineStr">
        <is>
          <t>C10621</t>
        </is>
      </c>
      <c r="D3607" t="inlineStr">
        <is>
          <t>SKU-10285</t>
        </is>
      </c>
      <c r="E3607" t="inlineStr">
        <is>
          <t>AM09</t>
        </is>
      </c>
      <c r="F3607" s="5" t="n">
        <v>10546.14</v>
      </c>
      <c r="G3607">
        <f>IF(LEFT(B3607,1)="C","Credit","Factuur")</f>
        <v/>
      </c>
      <c r="H3607">
        <f>IF(AND(B3607=B3606,D3607=D3606,A3607=A3606,F3607=F3606),1,0)</f>
        <v/>
      </c>
      <c r="I3607">
        <f>IF(C3607="C99999",1,0)</f>
        <v/>
      </c>
      <c r="J3607" s="5">
        <f>IF(OR(H3607=1,I3607=1),0,IF(G3607="Credit",-F3607,F3607))</f>
        <v/>
      </c>
    </row>
    <row r="3608">
      <c r="A3608" t="inlineStr">
        <is>
          <t>2026-08-05</t>
        </is>
      </c>
      <c r="B3608" t="inlineStr">
        <is>
          <t>F272492</t>
        </is>
      </c>
      <c r="C3608" t="inlineStr">
        <is>
          <t>C10647</t>
        </is>
      </c>
      <c r="D3608" t="inlineStr">
        <is>
          <t>SKU-10079</t>
        </is>
      </c>
      <c r="E3608" t="inlineStr">
        <is>
          <t>AM07</t>
        </is>
      </c>
      <c r="F3608" s="5" t="n">
        <v>217.51</v>
      </c>
      <c r="G3608">
        <f>IF(LEFT(B3608,1)="C","Credit","Factuur")</f>
        <v/>
      </c>
      <c r="H3608">
        <f>IF(AND(B3608=B3607,D3608=D3607,A3608=A3607,F3608=F3607),1,0)</f>
        <v/>
      </c>
      <c r="I3608">
        <f>IF(C3608="C99999",1,0)</f>
        <v/>
      </c>
      <c r="J3608" s="5">
        <f>IF(OR(H3608=1,I3608=1),0,IF(G3608="Credit",-F3608,F3608))</f>
        <v/>
      </c>
    </row>
    <row r="3609">
      <c r="A3609" t="inlineStr">
        <is>
          <t>2026-08-05</t>
        </is>
      </c>
      <c r="B3609" t="inlineStr">
        <is>
          <t>F272492</t>
        </is>
      </c>
      <c r="C3609" t="inlineStr">
        <is>
          <t>C10647</t>
        </is>
      </c>
      <c r="D3609" t="inlineStr">
        <is>
          <t>SKU-10159</t>
        </is>
      </c>
      <c r="E3609" t="inlineStr">
        <is>
          <t>AM07</t>
        </is>
      </c>
      <c r="F3609" s="5" t="n">
        <v>230.6</v>
      </c>
      <c r="G3609">
        <f>IF(LEFT(B3609,1)="C","Credit","Factuur")</f>
        <v/>
      </c>
      <c r="H3609">
        <f>IF(AND(B3609=B3608,D3609=D3608,A3609=A3608,F3609=F3608),1,0)</f>
        <v/>
      </c>
      <c r="I3609">
        <f>IF(C3609="C99999",1,0)</f>
        <v/>
      </c>
      <c r="J3609" s="5">
        <f>IF(OR(H3609=1,I3609=1),0,IF(G3609="Credit",-F3609,F3609))</f>
        <v/>
      </c>
    </row>
    <row r="3610">
      <c r="A3610" t="inlineStr">
        <is>
          <t>2026-08-05</t>
        </is>
      </c>
      <c r="B3610" t="inlineStr">
        <is>
          <t>F272719</t>
        </is>
      </c>
      <c r="C3610" t="inlineStr">
        <is>
          <t>C10663</t>
        </is>
      </c>
      <c r="D3610" t="inlineStr">
        <is>
          <t>SKU-10139</t>
        </is>
      </c>
      <c r="E3610" t="inlineStr">
        <is>
          <t>AM02</t>
        </is>
      </c>
      <c r="F3610" s="5" t="n">
        <v>434.97</v>
      </c>
      <c r="G3610">
        <f>IF(LEFT(B3610,1)="C","Credit","Factuur")</f>
        <v/>
      </c>
      <c r="H3610">
        <f>IF(AND(B3610=B3609,D3610=D3609,A3610=A3609,F3610=F3609),1,0)</f>
        <v/>
      </c>
      <c r="I3610">
        <f>IF(C3610="C99999",1,0)</f>
        <v/>
      </c>
      <c r="J3610" s="5">
        <f>IF(OR(H3610=1,I3610=1),0,IF(G3610="Credit",-F3610,F3610))</f>
        <v/>
      </c>
    </row>
    <row r="3611">
      <c r="A3611" t="inlineStr">
        <is>
          <t>2026-08-05</t>
        </is>
      </c>
      <c r="B3611" t="inlineStr">
        <is>
          <t>F272719</t>
        </is>
      </c>
      <c r="C3611" t="inlineStr">
        <is>
          <t>C10663</t>
        </is>
      </c>
      <c r="D3611" t="inlineStr">
        <is>
          <t>SKU-10181</t>
        </is>
      </c>
      <c r="E3611" t="inlineStr">
        <is>
          <t>AM02</t>
        </is>
      </c>
      <c r="F3611" s="5" t="n">
        <v>437.3</v>
      </c>
      <c r="G3611">
        <f>IF(LEFT(B3611,1)="C","Credit","Factuur")</f>
        <v/>
      </c>
      <c r="H3611">
        <f>IF(AND(B3611=B3610,D3611=D3610,A3611=A3610,F3611=F3610),1,0)</f>
        <v/>
      </c>
      <c r="I3611">
        <f>IF(C3611="C99999",1,0)</f>
        <v/>
      </c>
      <c r="J3611" s="5">
        <f>IF(OR(H3611=1,I3611=1),0,IF(G3611="Credit",-F3611,F3611))</f>
        <v/>
      </c>
    </row>
    <row r="3612">
      <c r="A3612" t="inlineStr">
        <is>
          <t>2026-08-05</t>
        </is>
      </c>
      <c r="B3612" t="inlineStr">
        <is>
          <t>F272719</t>
        </is>
      </c>
      <c r="C3612" t="inlineStr">
        <is>
          <t>C10663</t>
        </is>
      </c>
      <c r="D3612" t="inlineStr">
        <is>
          <t>SKU-10190</t>
        </is>
      </c>
      <c r="E3612" t="inlineStr">
        <is>
          <t>AM02</t>
        </is>
      </c>
      <c r="F3612" s="5" t="n">
        <v>438.2</v>
      </c>
      <c r="G3612">
        <f>IF(LEFT(B3612,1)="C","Credit","Factuur")</f>
        <v/>
      </c>
      <c r="H3612">
        <f>IF(AND(B3612=B3611,D3612=D3611,A3612=A3611,F3612=F3611),1,0)</f>
        <v/>
      </c>
      <c r="I3612">
        <f>IF(C3612="C99999",1,0)</f>
        <v/>
      </c>
      <c r="J3612" s="5">
        <f>IF(OR(H3612=1,I3612=1),0,IF(G3612="Credit",-F3612,F3612))</f>
        <v/>
      </c>
    </row>
    <row r="3613">
      <c r="A3613" t="inlineStr">
        <is>
          <t>2026-08-05</t>
        </is>
      </c>
      <c r="B3613" t="inlineStr">
        <is>
          <t>F273914</t>
        </is>
      </c>
      <c r="C3613" t="inlineStr">
        <is>
          <t>C10732</t>
        </is>
      </c>
      <c r="D3613" t="inlineStr">
        <is>
          <t>SKU-10094</t>
        </is>
      </c>
      <c r="E3613" t="inlineStr">
        <is>
          <t>AM01</t>
        </is>
      </c>
      <c r="F3613" s="5" t="n">
        <v>396.2</v>
      </c>
      <c r="G3613">
        <f>IF(LEFT(B3613,1)="C","Credit","Factuur")</f>
        <v/>
      </c>
      <c r="H3613">
        <f>IF(AND(B3613=B3612,D3613=D3612,A3613=A3612,F3613=F3612),1,0)</f>
        <v/>
      </c>
      <c r="I3613">
        <f>IF(C3613="C99999",1,0)</f>
        <v/>
      </c>
      <c r="J3613" s="5">
        <f>IF(OR(H3613=1,I3613=1),0,IF(G3613="Credit",-F3613,F3613))</f>
        <v/>
      </c>
    </row>
    <row r="3614">
      <c r="A3614" t="inlineStr">
        <is>
          <t>2026-08-05</t>
        </is>
      </c>
      <c r="B3614" t="inlineStr">
        <is>
          <t>F273914</t>
        </is>
      </c>
      <c r="C3614" t="inlineStr">
        <is>
          <t>C10732</t>
        </is>
      </c>
      <c r="D3614" t="inlineStr">
        <is>
          <t>SKU-10141</t>
        </is>
      </c>
      <c r="E3614" t="inlineStr">
        <is>
          <t>AM01</t>
        </is>
      </c>
      <c r="F3614" s="5" t="n">
        <v>424.4</v>
      </c>
      <c r="G3614">
        <f>IF(LEFT(B3614,1)="C","Credit","Factuur")</f>
        <v/>
      </c>
      <c r="H3614">
        <f>IF(AND(B3614=B3613,D3614=D3613,A3614=A3613,F3614=F3613),1,0)</f>
        <v/>
      </c>
      <c r="I3614">
        <f>IF(C3614="C99999",1,0)</f>
        <v/>
      </c>
      <c r="J3614" s="5">
        <f>IF(OR(H3614=1,I3614=1),0,IF(G3614="Credit",-F3614,F3614))</f>
        <v/>
      </c>
    </row>
    <row r="3615">
      <c r="A3615" t="inlineStr">
        <is>
          <t>2026-08-05</t>
        </is>
      </c>
      <c r="B3615" t="inlineStr">
        <is>
          <t>F273914</t>
        </is>
      </c>
      <c r="C3615" t="inlineStr">
        <is>
          <t>C10732</t>
        </is>
      </c>
      <c r="D3615" t="inlineStr">
        <is>
          <t>SKU-10203</t>
        </is>
      </c>
      <c r="E3615" t="inlineStr">
        <is>
          <t>AM01</t>
        </is>
      </c>
      <c r="F3615" s="5" t="n">
        <v>401.22</v>
      </c>
      <c r="G3615">
        <f>IF(LEFT(B3615,1)="C","Credit","Factuur")</f>
        <v/>
      </c>
      <c r="H3615">
        <f>IF(AND(B3615=B3614,D3615=D3614,A3615=A3614,F3615=F3614),1,0)</f>
        <v/>
      </c>
      <c r="I3615">
        <f>IF(C3615="C99999",1,0)</f>
        <v/>
      </c>
      <c r="J3615" s="5">
        <f>IF(OR(H3615=1,I3615=1),0,IF(G3615="Credit",-F3615,F3615))</f>
        <v/>
      </c>
    </row>
    <row r="3616">
      <c r="A3616" t="inlineStr">
        <is>
          <t>2026-08-05</t>
        </is>
      </c>
      <c r="B3616" t="inlineStr">
        <is>
          <t>F273914</t>
        </is>
      </c>
      <c r="C3616" t="inlineStr">
        <is>
          <t>C10732</t>
        </is>
      </c>
      <c r="D3616" t="inlineStr">
        <is>
          <t>SKU-10293</t>
        </is>
      </c>
      <c r="E3616" t="inlineStr">
        <is>
          <t>AM01</t>
        </is>
      </c>
      <c r="F3616" s="5" t="n">
        <v>386.23</v>
      </c>
      <c r="G3616">
        <f>IF(LEFT(B3616,1)="C","Credit","Factuur")</f>
        <v/>
      </c>
      <c r="H3616">
        <f>IF(AND(B3616=B3615,D3616=D3615,A3616=A3615,F3616=F3615),1,0)</f>
        <v/>
      </c>
      <c r="I3616">
        <f>IF(C3616="C99999",1,0)</f>
        <v/>
      </c>
      <c r="J3616" s="5">
        <f>IF(OR(H3616=1,I3616=1),0,IF(G3616="Credit",-F3616,F3616))</f>
        <v/>
      </c>
    </row>
    <row r="3617">
      <c r="A3617" t="inlineStr">
        <is>
          <t>2026-08-05</t>
        </is>
      </c>
      <c r="B3617" t="inlineStr">
        <is>
          <t>F274410</t>
        </is>
      </c>
      <c r="C3617" t="inlineStr">
        <is>
          <t>C10761</t>
        </is>
      </c>
      <c r="D3617" t="inlineStr">
        <is>
          <t>SKU-10055</t>
        </is>
      </c>
      <c r="E3617" t="inlineStr">
        <is>
          <t>AM02</t>
        </is>
      </c>
      <c r="F3617" s="5" t="n">
        <v>201.18</v>
      </c>
      <c r="G3617">
        <f>IF(LEFT(B3617,1)="C","Credit","Factuur")</f>
        <v/>
      </c>
      <c r="H3617">
        <f>IF(AND(B3617=B3616,D3617=D3616,A3617=A3616,F3617=F3616),1,0)</f>
        <v/>
      </c>
      <c r="I3617">
        <f>IF(C3617="C99999",1,0)</f>
        <v/>
      </c>
      <c r="J3617" s="5">
        <f>IF(OR(H3617=1,I3617=1),0,IF(G3617="Credit",-F3617,F3617))</f>
        <v/>
      </c>
    </row>
    <row r="3618">
      <c r="A3618" t="inlineStr">
        <is>
          <t>2026-08-05</t>
        </is>
      </c>
      <c r="B3618" t="inlineStr">
        <is>
          <t>F274410</t>
        </is>
      </c>
      <c r="C3618" t="inlineStr">
        <is>
          <t>C10761</t>
        </is>
      </c>
      <c r="D3618" t="inlineStr">
        <is>
          <t>SKU-10254</t>
        </is>
      </c>
      <c r="E3618" t="inlineStr">
        <is>
          <t>AM02</t>
        </is>
      </c>
      <c r="F3618" s="5" t="n">
        <v>164.7</v>
      </c>
      <c r="G3618">
        <f>IF(LEFT(B3618,1)="C","Credit","Factuur")</f>
        <v/>
      </c>
      <c r="H3618">
        <f>IF(AND(B3618=B3617,D3618=D3617,A3618=A3617,F3618=F3617),1,0)</f>
        <v/>
      </c>
      <c r="I3618">
        <f>IF(C3618="C99999",1,0)</f>
        <v/>
      </c>
      <c r="J3618" s="5">
        <f>IF(OR(H3618=1,I3618=1),0,IF(G3618="Credit",-F3618,F3618))</f>
        <v/>
      </c>
    </row>
    <row r="3619">
      <c r="A3619" t="inlineStr">
        <is>
          <t>2026-08-05</t>
        </is>
      </c>
      <c r="B3619" t="inlineStr">
        <is>
          <t>F274653</t>
        </is>
      </c>
      <c r="C3619" t="inlineStr">
        <is>
          <t>C10776</t>
        </is>
      </c>
      <c r="D3619" t="inlineStr">
        <is>
          <t>SKU-10013</t>
        </is>
      </c>
      <c r="E3619" t="inlineStr">
        <is>
          <t>IS02</t>
        </is>
      </c>
      <c r="F3619" s="5" t="n">
        <v>75.22</v>
      </c>
      <c r="G3619">
        <f>IF(LEFT(B3619,1)="C","Credit","Factuur")</f>
        <v/>
      </c>
      <c r="H3619">
        <f>IF(AND(B3619=B3618,D3619=D3618,A3619=A3618,F3619=F3618),1,0)</f>
        <v/>
      </c>
      <c r="I3619">
        <f>IF(C3619="C99999",1,0)</f>
        <v/>
      </c>
      <c r="J3619" s="5">
        <f>IF(OR(H3619=1,I3619=1),0,IF(G3619="Credit",-F3619,F3619))</f>
        <v/>
      </c>
    </row>
    <row r="3620">
      <c r="A3620" t="inlineStr">
        <is>
          <t>2026-08-05</t>
        </is>
      </c>
      <c r="B3620" t="inlineStr">
        <is>
          <t>F274653</t>
        </is>
      </c>
      <c r="C3620" t="inlineStr">
        <is>
          <t>C10776</t>
        </is>
      </c>
      <c r="D3620" t="inlineStr">
        <is>
          <t>SKU-10061</t>
        </is>
      </c>
      <c r="E3620" t="inlineStr">
        <is>
          <t>IS02</t>
        </is>
      </c>
      <c r="F3620" s="5" t="n">
        <v>71.81999999999999</v>
      </c>
      <c r="G3620">
        <f>IF(LEFT(B3620,1)="C","Credit","Factuur")</f>
        <v/>
      </c>
      <c r="H3620">
        <f>IF(AND(B3620=B3619,D3620=D3619,A3620=A3619,F3620=F3619),1,0)</f>
        <v/>
      </c>
      <c r="I3620">
        <f>IF(C3620="C99999",1,0)</f>
        <v/>
      </c>
      <c r="J3620" s="5">
        <f>IF(OR(H3620=1,I3620=1),0,IF(G3620="Credit",-F3620,F3620))</f>
        <v/>
      </c>
    </row>
    <row r="3621">
      <c r="A3621" t="inlineStr">
        <is>
          <t>2026-08-05</t>
        </is>
      </c>
      <c r="B3621" t="inlineStr">
        <is>
          <t>F274653</t>
        </is>
      </c>
      <c r="C3621" t="inlineStr">
        <is>
          <t>C10776</t>
        </is>
      </c>
      <c r="D3621" t="inlineStr">
        <is>
          <t>SKU-10317</t>
        </is>
      </c>
      <c r="E3621" t="inlineStr">
        <is>
          <t>IS02</t>
        </is>
      </c>
      <c r="F3621" s="5" t="n">
        <v>83.13</v>
      </c>
      <c r="G3621">
        <f>IF(LEFT(B3621,1)="C","Credit","Factuur")</f>
        <v/>
      </c>
      <c r="H3621">
        <f>IF(AND(B3621=B3620,D3621=D3620,A3621=A3620,F3621=F3620),1,0)</f>
        <v/>
      </c>
      <c r="I3621">
        <f>IF(C3621="C99999",1,0)</f>
        <v/>
      </c>
      <c r="J3621" s="5">
        <f>IF(OR(H3621=1,I3621=1),0,IF(G3621="Credit",-F3621,F3621))</f>
        <v/>
      </c>
    </row>
    <row r="3622">
      <c r="A3622" t="inlineStr">
        <is>
          <t>2026-08-05</t>
        </is>
      </c>
      <c r="B3622" t="inlineStr">
        <is>
          <t>F274653</t>
        </is>
      </c>
      <c r="C3622" t="inlineStr">
        <is>
          <t>C10776</t>
        </is>
      </c>
      <c r="D3622" t="inlineStr">
        <is>
          <t>SKU-10331</t>
        </is>
      </c>
      <c r="E3622" t="inlineStr">
        <is>
          <t>IS02</t>
        </is>
      </c>
      <c r="F3622" s="5" t="n">
        <v>85.86</v>
      </c>
      <c r="G3622">
        <f>IF(LEFT(B3622,1)="C","Credit","Factuur")</f>
        <v/>
      </c>
      <c r="H3622">
        <f>IF(AND(B3622=B3621,D3622=D3621,A3622=A3621,F3622=F3621),1,0)</f>
        <v/>
      </c>
      <c r="I3622">
        <f>IF(C3622="C99999",1,0)</f>
        <v/>
      </c>
      <c r="J3622" s="5">
        <f>IF(OR(H3622=1,I3622=1),0,IF(G3622="Credit",-F3622,F3622))</f>
        <v/>
      </c>
    </row>
    <row r="3623">
      <c r="A3623" t="inlineStr">
        <is>
          <t>2026-08-05</t>
        </is>
      </c>
      <c r="B3623" t="inlineStr">
        <is>
          <t>F275096</t>
        </is>
      </c>
      <c r="C3623" t="inlineStr">
        <is>
          <t>C10796</t>
        </is>
      </c>
      <c r="D3623" t="inlineStr">
        <is>
          <t>SKU-10070</t>
        </is>
      </c>
      <c r="E3623" t="inlineStr">
        <is>
          <t>AM09</t>
        </is>
      </c>
      <c r="F3623" s="5" t="n">
        <v>3365.37</v>
      </c>
      <c r="G3623">
        <f>IF(LEFT(B3623,1)="C","Credit","Factuur")</f>
        <v/>
      </c>
      <c r="H3623">
        <f>IF(AND(B3623=B3622,D3623=D3622,A3623=A3622,F3623=F3622),1,0)</f>
        <v/>
      </c>
      <c r="I3623">
        <f>IF(C3623="C99999",1,0)</f>
        <v/>
      </c>
      <c r="J3623" s="5">
        <f>IF(OR(H3623=1,I3623=1),0,IF(G3623="Credit",-F3623,F3623))</f>
        <v/>
      </c>
    </row>
    <row r="3624">
      <c r="A3624" t="inlineStr">
        <is>
          <t>2026-08-05</t>
        </is>
      </c>
      <c r="B3624" t="inlineStr">
        <is>
          <t>F275096</t>
        </is>
      </c>
      <c r="C3624" t="inlineStr">
        <is>
          <t>C10796</t>
        </is>
      </c>
      <c r="D3624" t="inlineStr">
        <is>
          <t>SKU-10218</t>
        </is>
      </c>
      <c r="E3624" t="inlineStr">
        <is>
          <t>AM09</t>
        </is>
      </c>
      <c r="F3624" s="5" t="n">
        <v>2852.14</v>
      </c>
      <c r="G3624">
        <f>IF(LEFT(B3624,1)="C","Credit","Factuur")</f>
        <v/>
      </c>
      <c r="H3624">
        <f>IF(AND(B3624=B3623,D3624=D3623,A3624=A3623,F3624=F3623),1,0)</f>
        <v/>
      </c>
      <c r="I3624">
        <f>IF(C3624="C99999",1,0)</f>
        <v/>
      </c>
      <c r="J3624" s="5">
        <f>IF(OR(H3624=1,I3624=1),0,IF(G3624="Credit",-F3624,F3624))</f>
        <v/>
      </c>
    </row>
    <row r="3625">
      <c r="A3625" t="inlineStr">
        <is>
          <t>2026-08-05</t>
        </is>
      </c>
      <c r="B3625" t="inlineStr">
        <is>
          <t>F275096</t>
        </is>
      </c>
      <c r="C3625" t="inlineStr">
        <is>
          <t>C10796</t>
        </is>
      </c>
      <c r="D3625" t="inlineStr">
        <is>
          <t>SKU-10283</t>
        </is>
      </c>
      <c r="E3625" t="inlineStr">
        <is>
          <t>AM09</t>
        </is>
      </c>
      <c r="F3625" s="5" t="n">
        <v>2861.94</v>
      </c>
      <c r="G3625">
        <f>IF(LEFT(B3625,1)="C","Credit","Factuur")</f>
        <v/>
      </c>
      <c r="H3625">
        <f>IF(AND(B3625=B3624,D3625=D3624,A3625=A3624,F3625=F3624),1,0)</f>
        <v/>
      </c>
      <c r="I3625">
        <f>IF(C3625="C99999",1,0)</f>
        <v/>
      </c>
      <c r="J3625" s="5">
        <f>IF(OR(H3625=1,I3625=1),0,IF(G3625="Credit",-F3625,F3625))</f>
        <v/>
      </c>
    </row>
    <row r="3626">
      <c r="A3626" t="inlineStr">
        <is>
          <t>2026-08-05</t>
        </is>
      </c>
      <c r="B3626" t="inlineStr">
        <is>
          <t>F275305</t>
        </is>
      </c>
      <c r="C3626" t="inlineStr">
        <is>
          <t>C10806</t>
        </is>
      </c>
      <c r="D3626" t="inlineStr">
        <is>
          <t>SKU-10168</t>
        </is>
      </c>
      <c r="E3626" t="inlineStr">
        <is>
          <t>AM12</t>
        </is>
      </c>
      <c r="F3626" s="5" t="n">
        <v>208.68</v>
      </c>
      <c r="G3626">
        <f>IF(LEFT(B3626,1)="C","Credit","Factuur")</f>
        <v/>
      </c>
      <c r="H3626">
        <f>IF(AND(B3626=B3625,D3626=D3625,A3626=A3625,F3626=F3625),1,0)</f>
        <v/>
      </c>
      <c r="I3626">
        <f>IF(C3626="C99999",1,0)</f>
        <v/>
      </c>
      <c r="J3626" s="5">
        <f>IF(OR(H3626=1,I3626=1),0,IF(G3626="Credit",-F3626,F3626))</f>
        <v/>
      </c>
    </row>
    <row r="3627">
      <c r="A3627" t="inlineStr">
        <is>
          <t>2026-08-05</t>
        </is>
      </c>
      <c r="B3627" t="inlineStr">
        <is>
          <t>F275305</t>
        </is>
      </c>
      <c r="C3627" t="inlineStr">
        <is>
          <t>C10806</t>
        </is>
      </c>
      <c r="D3627" t="inlineStr">
        <is>
          <t>SKU-10323</t>
        </is>
      </c>
      <c r="E3627" t="inlineStr">
        <is>
          <t>AM12</t>
        </is>
      </c>
      <c r="F3627" s="5" t="n">
        <v>184.44</v>
      </c>
      <c r="G3627">
        <f>IF(LEFT(B3627,1)="C","Credit","Factuur")</f>
        <v/>
      </c>
      <c r="H3627">
        <f>IF(AND(B3627=B3626,D3627=D3626,A3627=A3626,F3627=F3626),1,0)</f>
        <v/>
      </c>
      <c r="I3627">
        <f>IF(C3627="C99999",1,0)</f>
        <v/>
      </c>
      <c r="J3627" s="5">
        <f>IF(OR(H3627=1,I3627=1),0,IF(G3627="Credit",-F3627,F3627))</f>
        <v/>
      </c>
    </row>
    <row r="3628">
      <c r="A3628" t="inlineStr">
        <is>
          <t>2026-08-05</t>
        </is>
      </c>
      <c r="B3628" t="inlineStr">
        <is>
          <t>F275305</t>
        </is>
      </c>
      <c r="C3628" t="inlineStr">
        <is>
          <t>C10806</t>
        </is>
      </c>
      <c r="D3628" t="inlineStr">
        <is>
          <t>SKU-10326</t>
        </is>
      </c>
      <c r="E3628" t="inlineStr">
        <is>
          <t>AM12</t>
        </is>
      </c>
      <c r="F3628" s="5" t="n">
        <v>197.5</v>
      </c>
      <c r="G3628">
        <f>IF(LEFT(B3628,1)="C","Credit","Factuur")</f>
        <v/>
      </c>
      <c r="H3628">
        <f>IF(AND(B3628=B3627,D3628=D3627,A3628=A3627,F3628=F3627),1,0)</f>
        <v/>
      </c>
      <c r="I3628">
        <f>IF(C3628="C99999",1,0)</f>
        <v/>
      </c>
      <c r="J3628" s="5">
        <f>IF(OR(H3628=1,I3628=1),0,IF(G3628="Credit",-F3628,F3628))</f>
        <v/>
      </c>
    </row>
    <row r="3629">
      <c r="A3629" t="inlineStr">
        <is>
          <t>2026-08-05</t>
        </is>
      </c>
      <c r="B3629" t="inlineStr">
        <is>
          <t>F277183</t>
        </is>
      </c>
      <c r="C3629" t="inlineStr">
        <is>
          <t>C10912</t>
        </is>
      </c>
      <c r="D3629" t="inlineStr">
        <is>
          <t>SKU-10039</t>
        </is>
      </c>
      <c r="E3629" t="inlineStr">
        <is>
          <t>AM08</t>
        </is>
      </c>
      <c r="F3629" s="5" t="n">
        <v>277.28</v>
      </c>
      <c r="G3629">
        <f>IF(LEFT(B3629,1)="C","Credit","Factuur")</f>
        <v/>
      </c>
      <c r="H3629">
        <f>IF(AND(B3629=B3628,D3629=D3628,A3629=A3628,F3629=F3628),1,0)</f>
        <v/>
      </c>
      <c r="I3629">
        <f>IF(C3629="C99999",1,0)</f>
        <v/>
      </c>
      <c r="J3629" s="5">
        <f>IF(OR(H3629=1,I3629=1),0,IF(G3629="Credit",-F3629,F3629))</f>
        <v/>
      </c>
    </row>
    <row r="3630">
      <c r="A3630" t="inlineStr">
        <is>
          <t>2026-08-05</t>
        </is>
      </c>
      <c r="B3630" t="inlineStr">
        <is>
          <t>F277183</t>
        </is>
      </c>
      <c r="C3630" t="inlineStr">
        <is>
          <t>C10912</t>
        </is>
      </c>
      <c r="D3630" t="inlineStr">
        <is>
          <t>SKU-10111</t>
        </is>
      </c>
      <c r="E3630" t="inlineStr">
        <is>
          <t>AM08</t>
        </is>
      </c>
      <c r="F3630" s="5" t="n">
        <v>319.98</v>
      </c>
      <c r="G3630">
        <f>IF(LEFT(B3630,1)="C","Credit","Factuur")</f>
        <v/>
      </c>
      <c r="H3630">
        <f>IF(AND(B3630=B3629,D3630=D3629,A3630=A3629,F3630=F3629),1,0)</f>
        <v/>
      </c>
      <c r="I3630">
        <f>IF(C3630="C99999",1,0)</f>
        <v/>
      </c>
      <c r="J3630" s="5">
        <f>IF(OR(H3630=1,I3630=1),0,IF(G3630="Credit",-F3630,F3630))</f>
        <v/>
      </c>
    </row>
    <row r="3631">
      <c r="A3631" t="inlineStr">
        <is>
          <t>2026-08-05</t>
        </is>
      </c>
      <c r="B3631" t="inlineStr">
        <is>
          <t>F277183</t>
        </is>
      </c>
      <c r="C3631" t="inlineStr">
        <is>
          <t>C10912</t>
        </is>
      </c>
      <c r="D3631" t="inlineStr">
        <is>
          <t>SKU-10273</t>
        </is>
      </c>
      <c r="E3631" t="inlineStr">
        <is>
          <t>AM08</t>
        </is>
      </c>
      <c r="F3631" s="5" t="n">
        <v>273.02</v>
      </c>
      <c r="G3631">
        <f>IF(LEFT(B3631,1)="C","Credit","Factuur")</f>
        <v/>
      </c>
      <c r="H3631">
        <f>IF(AND(B3631=B3630,D3631=D3630,A3631=A3630,F3631=F3630),1,0)</f>
        <v/>
      </c>
      <c r="I3631">
        <f>IF(C3631="C99999",1,0)</f>
        <v/>
      </c>
      <c r="J3631" s="5">
        <f>IF(OR(H3631=1,I3631=1),0,IF(G3631="Credit",-F3631,F3631))</f>
        <v/>
      </c>
    </row>
    <row r="3632">
      <c r="A3632" t="inlineStr">
        <is>
          <t>2026-08-05</t>
        </is>
      </c>
      <c r="B3632" t="inlineStr">
        <is>
          <t>F277183</t>
        </is>
      </c>
      <c r="C3632" t="inlineStr">
        <is>
          <t>C10912</t>
        </is>
      </c>
      <c r="D3632" t="inlineStr">
        <is>
          <t>SKU-10308</t>
        </is>
      </c>
      <c r="E3632" t="inlineStr">
        <is>
          <t>AM08</t>
        </is>
      </c>
      <c r="F3632" s="5" t="n">
        <v>308.14</v>
      </c>
      <c r="G3632">
        <f>IF(LEFT(B3632,1)="C","Credit","Factuur")</f>
        <v/>
      </c>
      <c r="H3632">
        <f>IF(AND(B3632=B3631,D3632=D3631,A3632=A3631,F3632=F3631),1,0)</f>
        <v/>
      </c>
      <c r="I3632">
        <f>IF(C3632="C99999",1,0)</f>
        <v/>
      </c>
      <c r="J3632" s="5">
        <f>IF(OR(H3632=1,I3632=1),0,IF(G3632="Credit",-F3632,F3632))</f>
        <v/>
      </c>
    </row>
    <row r="3633">
      <c r="A3633" t="inlineStr">
        <is>
          <t>2026-08-05</t>
        </is>
      </c>
      <c r="B3633" t="inlineStr">
        <is>
          <t>F277416</t>
        </is>
      </c>
      <c r="C3633" t="inlineStr">
        <is>
          <t>C10926</t>
        </is>
      </c>
      <c r="D3633" t="inlineStr">
        <is>
          <t>SKU-10243</t>
        </is>
      </c>
      <c r="E3633" t="inlineStr">
        <is>
          <t>AM02</t>
        </is>
      </c>
      <c r="F3633" s="5" t="n">
        <v>927.41</v>
      </c>
      <c r="G3633">
        <f>IF(LEFT(B3633,1)="C","Credit","Factuur")</f>
        <v/>
      </c>
      <c r="H3633">
        <f>IF(AND(B3633=B3632,D3633=D3632,A3633=A3632,F3633=F3632),1,0)</f>
        <v/>
      </c>
      <c r="I3633">
        <f>IF(C3633="C99999",1,0)</f>
        <v/>
      </c>
      <c r="J3633" s="5">
        <f>IF(OR(H3633=1,I3633=1),0,IF(G3633="Credit",-F3633,F3633))</f>
        <v/>
      </c>
    </row>
    <row r="3634">
      <c r="A3634" t="inlineStr">
        <is>
          <t>2026-08-05</t>
        </is>
      </c>
      <c r="B3634" t="inlineStr">
        <is>
          <t>F278384</t>
        </is>
      </c>
      <c r="C3634" t="inlineStr">
        <is>
          <t>C10974</t>
        </is>
      </c>
      <c r="D3634" t="inlineStr">
        <is>
          <t>SKU-10026</t>
        </is>
      </c>
      <c r="E3634" t="inlineStr">
        <is>
          <t>AM02</t>
        </is>
      </c>
      <c r="F3634" s="5" t="n">
        <v>905.96</v>
      </c>
      <c r="G3634">
        <f>IF(LEFT(B3634,1)="C","Credit","Factuur")</f>
        <v/>
      </c>
      <c r="H3634">
        <f>IF(AND(B3634=B3633,D3634=D3633,A3634=A3633,F3634=F3633),1,0)</f>
        <v/>
      </c>
      <c r="I3634">
        <f>IF(C3634="C99999",1,0)</f>
        <v/>
      </c>
      <c r="J3634" s="5">
        <f>IF(OR(H3634=1,I3634=1),0,IF(G3634="Credit",-F3634,F3634))</f>
        <v/>
      </c>
    </row>
    <row r="3635">
      <c r="A3635" t="inlineStr">
        <is>
          <t>2026-08-05</t>
        </is>
      </c>
      <c r="B3635" t="inlineStr">
        <is>
          <t>F278384</t>
        </is>
      </c>
      <c r="C3635" t="inlineStr">
        <is>
          <t>C10974</t>
        </is>
      </c>
      <c r="D3635" t="inlineStr">
        <is>
          <t>SKU-10150</t>
        </is>
      </c>
      <c r="E3635" t="inlineStr">
        <is>
          <t>AM02</t>
        </is>
      </c>
      <c r="F3635" s="5" t="n">
        <v>969.71</v>
      </c>
      <c r="G3635">
        <f>IF(LEFT(B3635,1)="C","Credit","Factuur")</f>
        <v/>
      </c>
      <c r="H3635">
        <f>IF(AND(B3635=B3634,D3635=D3634,A3635=A3634,F3635=F3634),1,0)</f>
        <v/>
      </c>
      <c r="I3635">
        <f>IF(C3635="C99999",1,0)</f>
        <v/>
      </c>
      <c r="J3635" s="5">
        <f>IF(OR(H3635=1,I3635=1),0,IF(G3635="Credit",-F3635,F3635))</f>
        <v/>
      </c>
    </row>
    <row r="3636">
      <c r="A3636" t="inlineStr">
        <is>
          <t>2026-08-05</t>
        </is>
      </c>
      <c r="B3636" t="inlineStr">
        <is>
          <t>F278916</t>
        </is>
      </c>
      <c r="C3636" t="inlineStr">
        <is>
          <t>C11002</t>
        </is>
      </c>
      <c r="D3636" t="inlineStr">
        <is>
          <t>SKU-10031</t>
        </is>
      </c>
      <c r="E3636" t="inlineStr">
        <is>
          <t>AM06</t>
        </is>
      </c>
      <c r="F3636" s="5" t="n">
        <v>175.02</v>
      </c>
      <c r="G3636">
        <f>IF(LEFT(B3636,1)="C","Credit","Factuur")</f>
        <v/>
      </c>
      <c r="H3636">
        <f>IF(AND(B3636=B3635,D3636=D3635,A3636=A3635,F3636=F3635),1,0)</f>
        <v/>
      </c>
      <c r="I3636">
        <f>IF(C3636="C99999",1,0)</f>
        <v/>
      </c>
      <c r="J3636" s="5">
        <f>IF(OR(H3636=1,I3636=1),0,IF(G3636="Credit",-F3636,F3636))</f>
        <v/>
      </c>
    </row>
    <row r="3637">
      <c r="A3637" t="inlineStr">
        <is>
          <t>2026-08-05</t>
        </is>
      </c>
      <c r="B3637" t="inlineStr">
        <is>
          <t>F278916</t>
        </is>
      </c>
      <c r="C3637" t="inlineStr">
        <is>
          <t>C11002</t>
        </is>
      </c>
      <c r="D3637" t="inlineStr">
        <is>
          <t>SKU-10283</t>
        </is>
      </c>
      <c r="E3637" t="inlineStr">
        <is>
          <t>AM06</t>
        </is>
      </c>
      <c r="F3637" s="5" t="n">
        <v>170.05</v>
      </c>
      <c r="G3637">
        <f>IF(LEFT(B3637,1)="C","Credit","Factuur")</f>
        <v/>
      </c>
      <c r="H3637">
        <f>IF(AND(B3637=B3636,D3637=D3636,A3637=A3636,F3637=F3636),1,0)</f>
        <v/>
      </c>
      <c r="I3637">
        <f>IF(C3637="C99999",1,0)</f>
        <v/>
      </c>
      <c r="J3637" s="5">
        <f>IF(OR(H3637=1,I3637=1),0,IF(G3637="Credit",-F3637,F3637))</f>
        <v/>
      </c>
    </row>
    <row r="3638">
      <c r="A3638" t="inlineStr">
        <is>
          <t>2026-08-05</t>
        </is>
      </c>
      <c r="B3638" t="inlineStr">
        <is>
          <t>F278916</t>
        </is>
      </c>
      <c r="C3638" t="inlineStr">
        <is>
          <t>C11002</t>
        </is>
      </c>
      <c r="D3638" t="inlineStr">
        <is>
          <t>SKU-10321</t>
        </is>
      </c>
      <c r="E3638" t="inlineStr">
        <is>
          <t>AM06</t>
        </is>
      </c>
      <c r="F3638" s="5" t="n">
        <v>195.24</v>
      </c>
      <c r="G3638">
        <f>IF(LEFT(B3638,1)="C","Credit","Factuur")</f>
        <v/>
      </c>
      <c r="H3638">
        <f>IF(AND(B3638=B3637,D3638=D3637,A3638=A3637,F3638=F3637),1,0)</f>
        <v/>
      </c>
      <c r="I3638">
        <f>IF(C3638="C99999",1,0)</f>
        <v/>
      </c>
      <c r="J3638" s="5">
        <f>IF(OR(H3638=1,I3638=1),0,IF(G3638="Credit",-F3638,F3638))</f>
        <v/>
      </c>
    </row>
    <row r="3639">
      <c r="A3639" t="inlineStr">
        <is>
          <t>2026-08-05</t>
        </is>
      </c>
      <c r="B3639" t="inlineStr">
        <is>
          <t>F279525</t>
        </is>
      </c>
      <c r="C3639" t="inlineStr">
        <is>
          <t>C11034</t>
        </is>
      </c>
      <c r="D3639" t="inlineStr">
        <is>
          <t>SKU-10164</t>
        </is>
      </c>
      <c r="E3639" t="inlineStr">
        <is>
          <t>AM03</t>
        </is>
      </c>
      <c r="F3639" s="5" t="n">
        <v>467.59</v>
      </c>
      <c r="G3639">
        <f>IF(LEFT(B3639,1)="C","Credit","Factuur")</f>
        <v/>
      </c>
      <c r="H3639">
        <f>IF(AND(B3639=B3638,D3639=D3638,A3639=A3638,F3639=F3638),1,0)</f>
        <v/>
      </c>
      <c r="I3639">
        <f>IF(C3639="C99999",1,0)</f>
        <v/>
      </c>
      <c r="J3639" s="5">
        <f>IF(OR(H3639=1,I3639=1),0,IF(G3639="Credit",-F3639,F3639))</f>
        <v/>
      </c>
    </row>
    <row r="3640">
      <c r="A3640" t="inlineStr">
        <is>
          <t>2026-08-05</t>
        </is>
      </c>
      <c r="B3640" t="inlineStr">
        <is>
          <t>F279525</t>
        </is>
      </c>
      <c r="C3640" t="inlineStr">
        <is>
          <t>C11034</t>
        </is>
      </c>
      <c r="D3640" t="inlineStr">
        <is>
          <t>SKU-10176</t>
        </is>
      </c>
      <c r="E3640" t="inlineStr">
        <is>
          <t>AM03</t>
        </is>
      </c>
      <c r="F3640" s="5" t="n">
        <v>476.67</v>
      </c>
      <c r="G3640">
        <f>IF(LEFT(B3640,1)="C","Credit","Factuur")</f>
        <v/>
      </c>
      <c r="H3640">
        <f>IF(AND(B3640=B3639,D3640=D3639,A3640=A3639,F3640=F3639),1,0)</f>
        <v/>
      </c>
      <c r="I3640">
        <f>IF(C3640="C99999",1,0)</f>
        <v/>
      </c>
      <c r="J3640" s="5">
        <f>IF(OR(H3640=1,I3640=1),0,IF(G3640="Credit",-F3640,F3640))</f>
        <v/>
      </c>
    </row>
    <row r="3641">
      <c r="A3641" t="inlineStr">
        <is>
          <t>2026-08-05</t>
        </is>
      </c>
      <c r="B3641" t="inlineStr">
        <is>
          <t>F281010</t>
        </is>
      </c>
      <c r="C3641" t="inlineStr">
        <is>
          <t>C11106</t>
        </is>
      </c>
      <c r="D3641" t="inlineStr">
        <is>
          <t>SKU-10018</t>
        </is>
      </c>
      <c r="E3641" t="inlineStr">
        <is>
          <t>AM07</t>
        </is>
      </c>
      <c r="F3641" s="5" t="n">
        <v>214.44</v>
      </c>
      <c r="G3641">
        <f>IF(LEFT(B3641,1)="C","Credit","Factuur")</f>
        <v/>
      </c>
      <c r="H3641">
        <f>IF(AND(B3641=B3640,D3641=D3640,A3641=A3640,F3641=F3640),1,0)</f>
        <v/>
      </c>
      <c r="I3641">
        <f>IF(C3641="C99999",1,0)</f>
        <v/>
      </c>
      <c r="J3641" s="5">
        <f>IF(OR(H3641=1,I3641=1),0,IF(G3641="Credit",-F3641,F3641))</f>
        <v/>
      </c>
    </row>
    <row r="3642">
      <c r="A3642" t="inlineStr">
        <is>
          <t>2026-08-05</t>
        </is>
      </c>
      <c r="B3642" t="inlineStr">
        <is>
          <t>F281022</t>
        </is>
      </c>
      <c r="C3642" t="inlineStr">
        <is>
          <t>C11107</t>
        </is>
      </c>
      <c r="D3642" t="inlineStr">
        <is>
          <t>SKU-10046</t>
        </is>
      </c>
      <c r="E3642" t="inlineStr">
        <is>
          <t>AM07</t>
        </is>
      </c>
      <c r="F3642" s="5" t="n">
        <v>102.57</v>
      </c>
      <c r="G3642">
        <f>IF(LEFT(B3642,1)="C","Credit","Factuur")</f>
        <v/>
      </c>
      <c r="H3642">
        <f>IF(AND(B3642=B3641,D3642=D3641,A3642=A3641,F3642=F3641),1,0)</f>
        <v/>
      </c>
      <c r="I3642">
        <f>IF(C3642="C99999",1,0)</f>
        <v/>
      </c>
      <c r="J3642" s="5">
        <f>IF(OR(H3642=1,I3642=1),0,IF(G3642="Credit",-F3642,F3642))</f>
        <v/>
      </c>
    </row>
    <row r="3643">
      <c r="A3643" t="inlineStr">
        <is>
          <t>2026-08-05</t>
        </is>
      </c>
      <c r="B3643" t="inlineStr">
        <is>
          <t>F281022</t>
        </is>
      </c>
      <c r="C3643" t="inlineStr">
        <is>
          <t>C11107</t>
        </is>
      </c>
      <c r="D3643" t="inlineStr">
        <is>
          <t>SKU-10068</t>
        </is>
      </c>
      <c r="E3643" t="inlineStr"/>
      <c r="F3643" s="5" t="n">
        <v>93.11</v>
      </c>
      <c r="G3643">
        <f>IF(LEFT(B3643,1)="C","Credit","Factuur")</f>
        <v/>
      </c>
      <c r="H3643">
        <f>IF(AND(B3643=B3642,D3643=D3642,A3643=A3642,F3643=F3642),1,0)</f>
        <v/>
      </c>
      <c r="I3643">
        <f>IF(C3643="C99999",1,0)</f>
        <v/>
      </c>
      <c r="J3643" s="5">
        <f>IF(OR(H3643=1,I3643=1),0,IF(G3643="Credit",-F3643,F3643))</f>
        <v/>
      </c>
    </row>
    <row r="3644">
      <c r="A3644" t="inlineStr">
        <is>
          <t>2026-08-05</t>
        </is>
      </c>
      <c r="B3644" t="inlineStr">
        <is>
          <t>F281022</t>
        </is>
      </c>
      <c r="C3644" t="inlineStr">
        <is>
          <t>C11107</t>
        </is>
      </c>
      <c r="D3644" t="inlineStr">
        <is>
          <t>SKU-10106</t>
        </is>
      </c>
      <c r="E3644" t="inlineStr">
        <is>
          <t>AM07</t>
        </is>
      </c>
      <c r="F3644" s="5" t="n">
        <v>98.13</v>
      </c>
      <c r="G3644">
        <f>IF(LEFT(B3644,1)="C","Credit","Factuur")</f>
        <v/>
      </c>
      <c r="H3644">
        <f>IF(AND(B3644=B3643,D3644=D3643,A3644=A3643,F3644=F3643),1,0)</f>
        <v/>
      </c>
      <c r="I3644">
        <f>IF(C3644="C99999",1,0)</f>
        <v/>
      </c>
      <c r="J3644" s="5">
        <f>IF(OR(H3644=1,I3644=1),0,IF(G3644="Credit",-F3644,F3644))</f>
        <v/>
      </c>
    </row>
    <row r="3645">
      <c r="A3645" t="inlineStr">
        <is>
          <t>2026-08-05</t>
        </is>
      </c>
      <c r="B3645" t="inlineStr">
        <is>
          <t>F281022</t>
        </is>
      </c>
      <c r="C3645" t="inlineStr">
        <is>
          <t>C11107</t>
        </is>
      </c>
      <c r="D3645" t="inlineStr">
        <is>
          <t>SKU-10120</t>
        </is>
      </c>
      <c r="E3645" t="inlineStr">
        <is>
          <t>AM07</t>
        </is>
      </c>
      <c r="F3645" s="5" t="n">
        <v>113.52</v>
      </c>
      <c r="G3645">
        <f>IF(LEFT(B3645,1)="C","Credit","Factuur")</f>
        <v/>
      </c>
      <c r="H3645">
        <f>IF(AND(B3645=B3644,D3645=D3644,A3645=A3644,F3645=F3644),1,0)</f>
        <v/>
      </c>
      <c r="I3645">
        <f>IF(C3645="C99999",1,0)</f>
        <v/>
      </c>
      <c r="J3645" s="5">
        <f>IF(OR(H3645=1,I3645=1),0,IF(G3645="Credit",-F3645,F3645))</f>
        <v/>
      </c>
    </row>
    <row r="3646">
      <c r="A3646" t="inlineStr">
        <is>
          <t>2026-08-05</t>
        </is>
      </c>
      <c r="B3646" t="inlineStr">
        <is>
          <t>F282681</t>
        </is>
      </c>
      <c r="C3646" t="inlineStr">
        <is>
          <t>C11191</t>
        </is>
      </c>
      <c r="D3646" t="inlineStr">
        <is>
          <t>SKU-10012</t>
        </is>
      </c>
      <c r="E3646" t="inlineStr">
        <is>
          <t>AM06</t>
        </is>
      </c>
      <c r="F3646" s="5" t="n">
        <v>191.46</v>
      </c>
      <c r="G3646">
        <f>IF(LEFT(B3646,1)="C","Credit","Factuur")</f>
        <v/>
      </c>
      <c r="H3646">
        <f>IF(AND(B3646=B3645,D3646=D3645,A3646=A3645,F3646=F3645),1,0)</f>
        <v/>
      </c>
      <c r="I3646">
        <f>IF(C3646="C99999",1,0)</f>
        <v/>
      </c>
      <c r="J3646" s="5">
        <f>IF(OR(H3646=1,I3646=1),0,IF(G3646="Credit",-F3646,F3646))</f>
        <v/>
      </c>
    </row>
    <row r="3647">
      <c r="A3647" t="inlineStr">
        <is>
          <t>2026-08-05</t>
        </is>
      </c>
      <c r="B3647" t="inlineStr">
        <is>
          <t>F282681</t>
        </is>
      </c>
      <c r="C3647" t="inlineStr">
        <is>
          <t>C11191</t>
        </is>
      </c>
      <c r="D3647" t="inlineStr">
        <is>
          <t>SKU-10124</t>
        </is>
      </c>
      <c r="E3647" t="inlineStr">
        <is>
          <t>AM06</t>
        </is>
      </c>
      <c r="F3647" s="5" t="n">
        <v>169.89</v>
      </c>
      <c r="G3647">
        <f>IF(LEFT(B3647,1)="C","Credit","Factuur")</f>
        <v/>
      </c>
      <c r="H3647">
        <f>IF(AND(B3647=B3646,D3647=D3646,A3647=A3646,F3647=F3646),1,0)</f>
        <v/>
      </c>
      <c r="I3647">
        <f>IF(C3647="C99999",1,0)</f>
        <v/>
      </c>
      <c r="J3647" s="5">
        <f>IF(OR(H3647=1,I3647=1),0,IF(G3647="Credit",-F3647,F3647))</f>
        <v/>
      </c>
    </row>
    <row r="3648">
      <c r="A3648" t="inlineStr">
        <is>
          <t>2026-08-05</t>
        </is>
      </c>
      <c r="B3648" t="inlineStr">
        <is>
          <t>F282681</t>
        </is>
      </c>
      <c r="C3648" t="inlineStr">
        <is>
          <t>C11191</t>
        </is>
      </c>
      <c r="D3648" t="inlineStr">
        <is>
          <t>SKU-10207</t>
        </is>
      </c>
      <c r="E3648" t="inlineStr">
        <is>
          <t>AM06</t>
        </is>
      </c>
      <c r="F3648" s="5" t="n">
        <v>190.08</v>
      </c>
      <c r="G3648">
        <f>IF(LEFT(B3648,1)="C","Credit","Factuur")</f>
        <v/>
      </c>
      <c r="H3648">
        <f>IF(AND(B3648=B3647,D3648=D3647,A3648=A3647,F3648=F3647),1,0)</f>
        <v/>
      </c>
      <c r="I3648">
        <f>IF(C3648="C99999",1,0)</f>
        <v/>
      </c>
      <c r="J3648" s="5">
        <f>IF(OR(H3648=1,I3648=1),0,IF(G3648="Credit",-F3648,F3648))</f>
        <v/>
      </c>
    </row>
    <row r="3649">
      <c r="A3649" t="inlineStr">
        <is>
          <t>2026-08-05</t>
        </is>
      </c>
      <c r="B3649" t="inlineStr">
        <is>
          <t>F282681</t>
        </is>
      </c>
      <c r="C3649" t="inlineStr">
        <is>
          <t>C11191</t>
        </is>
      </c>
      <c r="D3649" t="inlineStr">
        <is>
          <t>SKU-10286</t>
        </is>
      </c>
      <c r="E3649" t="inlineStr">
        <is>
          <t>AM06</t>
        </is>
      </c>
      <c r="F3649" s="5" t="n">
        <v>173.38</v>
      </c>
      <c r="G3649">
        <f>IF(LEFT(B3649,1)="C","Credit","Factuur")</f>
        <v/>
      </c>
      <c r="H3649">
        <f>IF(AND(B3649=B3648,D3649=D3648,A3649=A3648,F3649=F3648),1,0)</f>
        <v/>
      </c>
      <c r="I3649">
        <f>IF(C3649="C99999",1,0)</f>
        <v/>
      </c>
      <c r="J3649" s="5">
        <f>IF(OR(H3649=1,I3649=1),0,IF(G3649="Credit",-F3649,F3649))</f>
        <v/>
      </c>
    </row>
    <row r="3650">
      <c r="A3650" t="inlineStr">
        <is>
          <t>2026-08-05</t>
        </is>
      </c>
      <c r="B3650" t="inlineStr">
        <is>
          <t>F282681</t>
        </is>
      </c>
      <c r="C3650" t="inlineStr">
        <is>
          <t>C11191</t>
        </is>
      </c>
      <c r="D3650" t="inlineStr">
        <is>
          <t>SKU-10313</t>
        </is>
      </c>
      <c r="E3650" t="inlineStr">
        <is>
          <t>AM06</t>
        </is>
      </c>
      <c r="F3650" s="5" t="n">
        <v>180.7</v>
      </c>
      <c r="G3650">
        <f>IF(LEFT(B3650,1)="C","Credit","Factuur")</f>
        <v/>
      </c>
      <c r="H3650">
        <f>IF(AND(B3650=B3649,D3650=D3649,A3650=A3649,F3650=F3649),1,0)</f>
        <v/>
      </c>
      <c r="I3650">
        <f>IF(C3650="C99999",1,0)</f>
        <v/>
      </c>
      <c r="J3650" s="5">
        <f>IF(OR(H3650=1,I3650=1),0,IF(G3650="Credit",-F3650,F3650))</f>
        <v/>
      </c>
    </row>
    <row r="3651">
      <c r="A3651" t="inlineStr">
        <is>
          <t>2026-08-05</t>
        </is>
      </c>
      <c r="B3651" t="inlineStr">
        <is>
          <t>F282761</t>
        </is>
      </c>
      <c r="C3651" t="inlineStr">
        <is>
          <t>C11194</t>
        </is>
      </c>
      <c r="D3651" t="inlineStr">
        <is>
          <t>SKU-10108</t>
        </is>
      </c>
      <c r="E3651" t="inlineStr">
        <is>
          <t>AM06</t>
        </is>
      </c>
      <c r="F3651" s="5" t="n">
        <v>4646.5</v>
      </c>
      <c r="G3651">
        <f>IF(LEFT(B3651,1)="C","Credit","Factuur")</f>
        <v/>
      </c>
      <c r="H3651">
        <f>IF(AND(B3651=B3650,D3651=D3650,A3651=A3650,F3651=F3650),1,0)</f>
        <v/>
      </c>
      <c r="I3651">
        <f>IF(C3651="C99999",1,0)</f>
        <v/>
      </c>
      <c r="J3651" s="5">
        <f>IF(OR(H3651=1,I3651=1),0,IF(G3651="Credit",-F3651,F3651))</f>
        <v/>
      </c>
    </row>
    <row r="3652">
      <c r="A3652" t="inlineStr">
        <is>
          <t>2026-08-05</t>
        </is>
      </c>
      <c r="B3652" t="inlineStr">
        <is>
          <t>F283103</t>
        </is>
      </c>
      <c r="C3652" t="inlineStr">
        <is>
          <t>C11216</t>
        </is>
      </c>
      <c r="D3652" t="inlineStr">
        <is>
          <t>SKU-10171</t>
        </is>
      </c>
      <c r="E3652" t="inlineStr">
        <is>
          <t>AM05</t>
        </is>
      </c>
      <c r="F3652" s="5" t="n">
        <v>218.11</v>
      </c>
      <c r="G3652">
        <f>IF(LEFT(B3652,1)="C","Credit","Factuur")</f>
        <v/>
      </c>
      <c r="H3652">
        <f>IF(AND(B3652=B3651,D3652=D3651,A3652=A3651,F3652=F3651),1,0)</f>
        <v/>
      </c>
      <c r="I3652">
        <f>IF(C3652="C99999",1,0)</f>
        <v/>
      </c>
      <c r="J3652" s="5">
        <f>IF(OR(H3652=1,I3652=1),0,IF(G3652="Credit",-F3652,F3652))</f>
        <v/>
      </c>
    </row>
    <row r="3653">
      <c r="A3653" t="inlineStr">
        <is>
          <t>2026-08-05</t>
        </is>
      </c>
      <c r="B3653" t="inlineStr">
        <is>
          <t>F283103</t>
        </is>
      </c>
      <c r="C3653" t="inlineStr">
        <is>
          <t>C11216</t>
        </is>
      </c>
      <c r="D3653" t="inlineStr">
        <is>
          <t>SKU-10273</t>
        </is>
      </c>
      <c r="E3653" t="inlineStr">
        <is>
          <t>AM05</t>
        </is>
      </c>
      <c r="F3653" s="5" t="n">
        <v>224.84</v>
      </c>
      <c r="G3653">
        <f>IF(LEFT(B3653,1)="C","Credit","Factuur")</f>
        <v/>
      </c>
      <c r="H3653">
        <f>IF(AND(B3653=B3652,D3653=D3652,A3653=A3652,F3653=F3652),1,0)</f>
        <v/>
      </c>
      <c r="I3653">
        <f>IF(C3653="C99999",1,0)</f>
        <v/>
      </c>
      <c r="J3653" s="5">
        <f>IF(OR(H3653=1,I3653=1),0,IF(G3653="Credit",-F3653,F3653))</f>
        <v/>
      </c>
    </row>
    <row r="3654">
      <c r="A3654" t="inlineStr">
        <is>
          <t>2026-08-05</t>
        </is>
      </c>
      <c r="B3654" t="inlineStr">
        <is>
          <t>F283125</t>
        </is>
      </c>
      <c r="C3654" t="inlineStr">
        <is>
          <t>C11217</t>
        </is>
      </c>
      <c r="D3654" t="inlineStr">
        <is>
          <t>SKU-10160</t>
        </is>
      </c>
      <c r="E3654" t="inlineStr">
        <is>
          <t>AM08</t>
        </is>
      </c>
      <c r="F3654" s="5" t="n">
        <v>794.0700000000001</v>
      </c>
      <c r="G3654">
        <f>IF(LEFT(B3654,1)="C","Credit","Factuur")</f>
        <v/>
      </c>
      <c r="H3654">
        <f>IF(AND(B3654=B3653,D3654=D3653,A3654=A3653,F3654=F3653),1,0)</f>
        <v/>
      </c>
      <c r="I3654">
        <f>IF(C3654="C99999",1,0)</f>
        <v/>
      </c>
      <c r="J3654" s="5">
        <f>IF(OR(H3654=1,I3654=1),0,IF(G3654="Credit",-F3654,F3654))</f>
        <v/>
      </c>
    </row>
    <row r="3655">
      <c r="A3655" t="inlineStr">
        <is>
          <t>2026-08-05</t>
        </is>
      </c>
      <c r="B3655" t="inlineStr">
        <is>
          <t>F283125</t>
        </is>
      </c>
      <c r="C3655" t="inlineStr">
        <is>
          <t>C11217</t>
        </is>
      </c>
      <c r="D3655" t="inlineStr">
        <is>
          <t>SKU-10200</t>
        </is>
      </c>
      <c r="E3655" t="inlineStr">
        <is>
          <t>AM08</t>
        </is>
      </c>
      <c r="F3655" s="5" t="n">
        <v>785.4</v>
      </c>
      <c r="G3655">
        <f>IF(LEFT(B3655,1)="C","Credit","Factuur")</f>
        <v/>
      </c>
      <c r="H3655">
        <f>IF(AND(B3655=B3654,D3655=D3654,A3655=A3654,F3655=F3654),1,0)</f>
        <v/>
      </c>
      <c r="I3655">
        <f>IF(C3655="C99999",1,0)</f>
        <v/>
      </c>
      <c r="J3655" s="5">
        <f>IF(OR(H3655=1,I3655=1),0,IF(G3655="Credit",-F3655,F3655))</f>
        <v/>
      </c>
    </row>
    <row r="3656">
      <c r="A3656" t="inlineStr">
        <is>
          <t>2026-08-05</t>
        </is>
      </c>
      <c r="B3656" t="inlineStr">
        <is>
          <t>F283659</t>
        </is>
      </c>
      <c r="C3656" t="inlineStr">
        <is>
          <t>C11240</t>
        </is>
      </c>
      <c r="D3656" t="inlineStr">
        <is>
          <t>SKU-10060</t>
        </is>
      </c>
      <c r="E3656" t="inlineStr">
        <is>
          <t>AM02</t>
        </is>
      </c>
      <c r="F3656" s="5" t="n">
        <v>271.66</v>
      </c>
      <c r="G3656">
        <f>IF(LEFT(B3656,1)="C","Credit","Factuur")</f>
        <v/>
      </c>
      <c r="H3656">
        <f>IF(AND(B3656=B3655,D3656=D3655,A3656=A3655,F3656=F3655),1,0)</f>
        <v/>
      </c>
      <c r="I3656">
        <f>IF(C3656="C99999",1,0)</f>
        <v/>
      </c>
      <c r="J3656" s="5">
        <f>IF(OR(H3656=1,I3656=1),0,IF(G3656="Credit",-F3656,F3656))</f>
        <v/>
      </c>
    </row>
    <row r="3657">
      <c r="A3657" t="inlineStr">
        <is>
          <t>2026-08-05</t>
        </is>
      </c>
      <c r="B3657" t="inlineStr">
        <is>
          <t>F283659</t>
        </is>
      </c>
      <c r="C3657" t="inlineStr">
        <is>
          <t>C11240</t>
        </is>
      </c>
      <c r="D3657" t="inlineStr">
        <is>
          <t>SKU-10313</t>
        </is>
      </c>
      <c r="E3657" t="inlineStr">
        <is>
          <t>AM02</t>
        </is>
      </c>
      <c r="F3657" s="5" t="n">
        <v>291.9</v>
      </c>
      <c r="G3657">
        <f>IF(LEFT(B3657,1)="C","Credit","Factuur")</f>
        <v/>
      </c>
      <c r="H3657">
        <f>IF(AND(B3657=B3656,D3657=D3656,A3657=A3656,F3657=F3656),1,0)</f>
        <v/>
      </c>
      <c r="I3657">
        <f>IF(C3657="C99999",1,0)</f>
        <v/>
      </c>
      <c r="J3657" s="5">
        <f>IF(OR(H3657=1,I3657=1),0,IF(G3657="Credit",-F3657,F3657))</f>
        <v/>
      </c>
    </row>
    <row r="3658">
      <c r="A3658" t="inlineStr">
        <is>
          <t>2026-08-05</t>
        </is>
      </c>
      <c r="B3658" t="inlineStr">
        <is>
          <t>F284054</t>
        </is>
      </c>
      <c r="C3658" t="inlineStr">
        <is>
          <t>C11257</t>
        </is>
      </c>
      <c r="D3658" t="inlineStr">
        <is>
          <t>SKU-10066</t>
        </is>
      </c>
      <c r="E3658" t="inlineStr">
        <is>
          <t>AM06</t>
        </is>
      </c>
      <c r="F3658" s="5" t="n">
        <v>360.96</v>
      </c>
      <c r="G3658">
        <f>IF(LEFT(B3658,1)="C","Credit","Factuur")</f>
        <v/>
      </c>
      <c r="H3658">
        <f>IF(AND(B3658=B3657,D3658=D3657,A3658=A3657,F3658=F3657),1,0)</f>
        <v/>
      </c>
      <c r="I3658">
        <f>IF(C3658="C99999",1,0)</f>
        <v/>
      </c>
      <c r="J3658" s="5">
        <f>IF(OR(H3658=1,I3658=1),0,IF(G3658="Credit",-F3658,F3658))</f>
        <v/>
      </c>
    </row>
    <row r="3659">
      <c r="A3659" t="inlineStr">
        <is>
          <t>2026-08-05</t>
        </is>
      </c>
      <c r="B3659" t="inlineStr">
        <is>
          <t>F284054</t>
        </is>
      </c>
      <c r="C3659" t="inlineStr">
        <is>
          <t>C11257</t>
        </is>
      </c>
      <c r="D3659" t="inlineStr">
        <is>
          <t>SKU-10175</t>
        </is>
      </c>
      <c r="E3659" t="inlineStr">
        <is>
          <t>AM06</t>
        </is>
      </c>
      <c r="F3659" s="5" t="n">
        <v>359.67</v>
      </c>
      <c r="G3659">
        <f>IF(LEFT(B3659,1)="C","Credit","Factuur")</f>
        <v/>
      </c>
      <c r="H3659">
        <f>IF(AND(B3659=B3658,D3659=D3658,A3659=A3658,F3659=F3658),1,0)</f>
        <v/>
      </c>
      <c r="I3659">
        <f>IF(C3659="C99999",1,0)</f>
        <v/>
      </c>
      <c r="J3659" s="5">
        <f>IF(OR(H3659=1,I3659=1),0,IF(G3659="Credit",-F3659,F3659))</f>
        <v/>
      </c>
    </row>
    <row r="3660">
      <c r="A3660" t="inlineStr">
        <is>
          <t>2026-08-05</t>
        </is>
      </c>
      <c r="B3660" t="inlineStr">
        <is>
          <t>F284286</t>
        </is>
      </c>
      <c r="C3660" t="inlineStr">
        <is>
          <t>C11270</t>
        </is>
      </c>
      <c r="D3660" t="inlineStr">
        <is>
          <t>SKU-10295</t>
        </is>
      </c>
      <c r="E3660" t="inlineStr">
        <is>
          <t>AM03</t>
        </is>
      </c>
      <c r="F3660" s="5" t="n">
        <v>836.73</v>
      </c>
      <c r="G3660">
        <f>IF(LEFT(B3660,1)="C","Credit","Factuur")</f>
        <v/>
      </c>
      <c r="H3660">
        <f>IF(AND(B3660=B3659,D3660=D3659,A3660=A3659,F3660=F3659),1,0)</f>
        <v/>
      </c>
      <c r="I3660">
        <f>IF(C3660="C99999",1,0)</f>
        <v/>
      </c>
      <c r="J3660" s="5">
        <f>IF(OR(H3660=1,I3660=1),0,IF(G3660="Credit",-F3660,F3660))</f>
        <v/>
      </c>
    </row>
    <row r="3661">
      <c r="A3661" t="inlineStr">
        <is>
          <t>2026-08-05</t>
        </is>
      </c>
      <c r="B3661" t="inlineStr">
        <is>
          <t>F284286</t>
        </is>
      </c>
      <c r="C3661" t="inlineStr">
        <is>
          <t>C11270</t>
        </is>
      </c>
      <c r="D3661" t="inlineStr">
        <is>
          <t>SKU-10324</t>
        </is>
      </c>
      <c r="E3661" t="inlineStr">
        <is>
          <t>AM03</t>
        </is>
      </c>
      <c r="F3661" s="5" t="n">
        <v>825.36</v>
      </c>
      <c r="G3661">
        <f>IF(LEFT(B3661,1)="C","Credit","Factuur")</f>
        <v/>
      </c>
      <c r="H3661">
        <f>IF(AND(B3661=B3660,D3661=D3660,A3661=A3660,F3661=F3660),1,0)</f>
        <v/>
      </c>
      <c r="I3661">
        <f>IF(C3661="C99999",1,0)</f>
        <v/>
      </c>
      <c r="J3661" s="5">
        <f>IF(OR(H3661=1,I3661=1),0,IF(G3661="Credit",-F3661,F3661))</f>
        <v/>
      </c>
    </row>
    <row r="3662">
      <c r="A3662" t="inlineStr">
        <is>
          <t>2026-08-05</t>
        </is>
      </c>
      <c r="B3662" t="inlineStr">
        <is>
          <t>F284349</t>
        </is>
      </c>
      <c r="C3662" t="inlineStr">
        <is>
          <t>C11273</t>
        </is>
      </c>
      <c r="D3662" t="inlineStr">
        <is>
          <t>SKU-10162</t>
        </is>
      </c>
      <c r="E3662" t="inlineStr">
        <is>
          <t>IS01</t>
        </is>
      </c>
      <c r="F3662" s="5" t="n">
        <v>94.5</v>
      </c>
      <c r="G3662">
        <f>IF(LEFT(B3662,1)="C","Credit","Factuur")</f>
        <v/>
      </c>
      <c r="H3662">
        <f>IF(AND(B3662=B3661,D3662=D3661,A3662=A3661,F3662=F3661),1,0)</f>
        <v/>
      </c>
      <c r="I3662">
        <f>IF(C3662="C99999",1,0)</f>
        <v/>
      </c>
      <c r="J3662" s="5">
        <f>IF(OR(H3662=1,I3662=1),0,IF(G3662="Credit",-F3662,F3662))</f>
        <v/>
      </c>
    </row>
    <row r="3663">
      <c r="A3663" t="inlineStr">
        <is>
          <t>2026-08-05</t>
        </is>
      </c>
      <c r="B3663" t="inlineStr">
        <is>
          <t>F284994</t>
        </is>
      </c>
      <c r="C3663" t="inlineStr">
        <is>
          <t>C11308</t>
        </is>
      </c>
      <c r="D3663" t="inlineStr">
        <is>
          <t>SKU-10117</t>
        </is>
      </c>
      <c r="E3663" t="inlineStr">
        <is>
          <t>AM02</t>
        </is>
      </c>
      <c r="F3663" s="5" t="n">
        <v>605.8</v>
      </c>
      <c r="G3663">
        <f>IF(LEFT(B3663,1)="C","Credit","Factuur")</f>
        <v/>
      </c>
      <c r="H3663">
        <f>IF(AND(B3663=B3662,D3663=D3662,A3663=A3662,F3663=F3662),1,0)</f>
        <v/>
      </c>
      <c r="I3663">
        <f>IF(C3663="C99999",1,0)</f>
        <v/>
      </c>
      <c r="J3663" s="5">
        <f>IF(OR(H3663=1,I3663=1),0,IF(G3663="Credit",-F3663,F3663))</f>
        <v/>
      </c>
    </row>
    <row r="3664">
      <c r="A3664" t="inlineStr">
        <is>
          <t>2026-08-05</t>
        </is>
      </c>
      <c r="B3664" t="inlineStr">
        <is>
          <t>F284994</t>
        </is>
      </c>
      <c r="C3664" t="inlineStr">
        <is>
          <t>C11308</t>
        </is>
      </c>
      <c r="D3664" t="inlineStr">
        <is>
          <t>SKU-10287</t>
        </is>
      </c>
      <c r="E3664" t="inlineStr">
        <is>
          <t>AM02</t>
        </is>
      </c>
      <c r="F3664" s="5" t="n">
        <v>572.09</v>
      </c>
      <c r="G3664">
        <f>IF(LEFT(B3664,1)="C","Credit","Factuur")</f>
        <v/>
      </c>
      <c r="H3664">
        <f>IF(AND(B3664=B3663,D3664=D3663,A3664=A3663,F3664=F3663),1,0)</f>
        <v/>
      </c>
      <c r="I3664">
        <f>IF(C3664="C99999",1,0)</f>
        <v/>
      </c>
      <c r="J3664" s="5">
        <f>IF(OR(H3664=1,I3664=1),0,IF(G3664="Credit",-F3664,F3664))</f>
        <v/>
      </c>
    </row>
    <row r="3665">
      <c r="A3665" t="inlineStr">
        <is>
          <t>2026-08-05</t>
        </is>
      </c>
      <c r="B3665" t="inlineStr">
        <is>
          <t>F285524</t>
        </is>
      </c>
      <c r="C3665" t="inlineStr">
        <is>
          <t>C11335</t>
        </is>
      </c>
      <c r="D3665" t="inlineStr">
        <is>
          <t>SKU-10046</t>
        </is>
      </c>
      <c r="E3665" t="inlineStr">
        <is>
          <t>AM08</t>
        </is>
      </c>
      <c r="F3665" s="5" t="n">
        <v>299.82</v>
      </c>
      <c r="G3665">
        <f>IF(LEFT(B3665,1)="C","Credit","Factuur")</f>
        <v/>
      </c>
      <c r="H3665">
        <f>IF(AND(B3665=B3664,D3665=D3664,A3665=A3664,F3665=F3664),1,0)</f>
        <v/>
      </c>
      <c r="I3665">
        <f>IF(C3665="C99999",1,0)</f>
        <v/>
      </c>
      <c r="J3665" s="5">
        <f>IF(OR(H3665=1,I3665=1),0,IF(G3665="Credit",-F3665,F3665))</f>
        <v/>
      </c>
    </row>
    <row r="3666">
      <c r="A3666" t="inlineStr">
        <is>
          <t>2026-08-05</t>
        </is>
      </c>
      <c r="B3666" t="inlineStr">
        <is>
          <t>F285524</t>
        </is>
      </c>
      <c r="C3666" t="inlineStr">
        <is>
          <t>C11335</t>
        </is>
      </c>
      <c r="D3666" t="inlineStr">
        <is>
          <t>SKU-10160</t>
        </is>
      </c>
      <c r="E3666" t="inlineStr">
        <is>
          <t>AM08</t>
        </is>
      </c>
      <c r="F3666" s="5" t="n">
        <v>295.83</v>
      </c>
      <c r="G3666">
        <f>IF(LEFT(B3666,1)="C","Credit","Factuur")</f>
        <v/>
      </c>
      <c r="H3666">
        <f>IF(AND(B3666=B3665,D3666=D3665,A3666=A3665,F3666=F3665),1,0)</f>
        <v/>
      </c>
      <c r="I3666">
        <f>IF(C3666="C99999",1,0)</f>
        <v/>
      </c>
      <c r="J3666" s="5">
        <f>IF(OR(H3666=1,I3666=1),0,IF(G3666="Credit",-F3666,F3666))</f>
        <v/>
      </c>
    </row>
    <row r="3667">
      <c r="A3667" t="inlineStr">
        <is>
          <t>2026-08-05</t>
        </is>
      </c>
      <c r="B3667" t="inlineStr">
        <is>
          <t>F285524</t>
        </is>
      </c>
      <c r="C3667" t="inlineStr">
        <is>
          <t>C11335</t>
        </is>
      </c>
      <c r="D3667" t="inlineStr">
        <is>
          <t>SKU-10163</t>
        </is>
      </c>
      <c r="E3667" t="inlineStr">
        <is>
          <t>AM08</t>
        </is>
      </c>
      <c r="F3667" s="5" t="n">
        <v>291.6</v>
      </c>
      <c r="G3667">
        <f>IF(LEFT(B3667,1)="C","Credit","Factuur")</f>
        <v/>
      </c>
      <c r="H3667">
        <f>IF(AND(B3667=B3666,D3667=D3666,A3667=A3666,F3667=F3666),1,0)</f>
        <v/>
      </c>
      <c r="I3667">
        <f>IF(C3667="C99999",1,0)</f>
        <v/>
      </c>
      <c r="J3667" s="5">
        <f>IF(OR(H3667=1,I3667=1),0,IF(G3667="Credit",-F3667,F3667))</f>
        <v/>
      </c>
    </row>
    <row r="3668">
      <c r="A3668" t="inlineStr">
        <is>
          <t>2026-08-06</t>
        </is>
      </c>
      <c r="B3668" t="inlineStr">
        <is>
          <t>C900711</t>
        </is>
      </c>
      <c r="C3668" t="inlineStr">
        <is>
          <t>C10065</t>
        </is>
      </c>
      <c r="D3668" t="inlineStr">
        <is>
          <t>SKU-10299</t>
        </is>
      </c>
      <c r="E3668" t="inlineStr">
        <is>
          <t>AM01</t>
        </is>
      </c>
      <c r="F3668" s="5" t="n">
        <v>67.75</v>
      </c>
      <c r="G3668">
        <f>IF(LEFT(B3668,1)="C","Credit","Factuur")</f>
        <v/>
      </c>
      <c r="H3668">
        <f>IF(AND(B3668=B3667,D3668=D3667,A3668=A3667,F3668=F3667),1,0)</f>
        <v/>
      </c>
      <c r="I3668">
        <f>IF(C3668="C99999",1,0)</f>
        <v/>
      </c>
      <c r="J3668" s="5">
        <f>IF(OR(H3668=1,I3668=1),0,IF(G3668="Credit",-F3668,F3668))</f>
        <v/>
      </c>
    </row>
    <row r="3669">
      <c r="A3669" t="inlineStr">
        <is>
          <t>2026-08-06</t>
        </is>
      </c>
      <c r="B3669" t="inlineStr">
        <is>
          <t>C901550</t>
        </is>
      </c>
      <c r="C3669" t="inlineStr">
        <is>
          <t>C10962</t>
        </is>
      </c>
      <c r="D3669" t="inlineStr">
        <is>
          <t>SKU-10175</t>
        </is>
      </c>
      <c r="E3669" t="inlineStr">
        <is>
          <t>AM03</t>
        </is>
      </c>
      <c r="F3669" s="5" t="n">
        <v>94.65000000000001</v>
      </c>
      <c r="G3669">
        <f>IF(LEFT(B3669,1)="C","Credit","Factuur")</f>
        <v/>
      </c>
      <c r="H3669">
        <f>IF(AND(B3669=B3668,D3669=D3668,A3669=A3668,F3669=F3668),1,0)</f>
        <v/>
      </c>
      <c r="I3669">
        <f>IF(C3669="C99999",1,0)</f>
        <v/>
      </c>
      <c r="J3669" s="5">
        <f>IF(OR(H3669=1,I3669=1),0,IF(G3669="Credit",-F3669,F3669))</f>
        <v/>
      </c>
    </row>
    <row r="3670">
      <c r="A3670" t="inlineStr">
        <is>
          <t>2026-08-06</t>
        </is>
      </c>
      <c r="B3670" t="inlineStr">
        <is>
          <t>F260951</t>
        </is>
      </c>
      <c r="C3670" t="inlineStr">
        <is>
          <t>C10054</t>
        </is>
      </c>
      <c r="D3670" t="inlineStr">
        <is>
          <t>SKU-10010</t>
        </is>
      </c>
      <c r="E3670" t="inlineStr">
        <is>
          <t>AM01</t>
        </is>
      </c>
      <c r="F3670" s="5" t="n">
        <v>132.36</v>
      </c>
      <c r="G3670">
        <f>IF(LEFT(B3670,1)="C","Credit","Factuur")</f>
        <v/>
      </c>
      <c r="H3670">
        <f>IF(AND(B3670=B3669,D3670=D3669,A3670=A3669,F3670=F3669),1,0)</f>
        <v/>
      </c>
      <c r="I3670">
        <f>IF(C3670="C99999",1,0)</f>
        <v/>
      </c>
      <c r="J3670" s="5">
        <f>IF(OR(H3670=1,I3670=1),0,IF(G3670="Credit",-F3670,F3670))</f>
        <v/>
      </c>
    </row>
    <row r="3671">
      <c r="A3671" t="inlineStr">
        <is>
          <t>2026-08-06</t>
        </is>
      </c>
      <c r="B3671" t="inlineStr">
        <is>
          <t>F260951</t>
        </is>
      </c>
      <c r="C3671" t="inlineStr">
        <is>
          <t>C10054</t>
        </is>
      </c>
      <c r="D3671" t="inlineStr">
        <is>
          <t>SKU-10046</t>
        </is>
      </c>
      <c r="E3671" t="inlineStr">
        <is>
          <t>AM01</t>
        </is>
      </c>
      <c r="F3671" s="5" t="n">
        <v>126.24</v>
      </c>
      <c r="G3671">
        <f>IF(LEFT(B3671,1)="C","Credit","Factuur")</f>
        <v/>
      </c>
      <c r="H3671">
        <f>IF(AND(B3671=B3670,D3671=D3670,A3671=A3670,F3671=F3670),1,0)</f>
        <v/>
      </c>
      <c r="I3671">
        <f>IF(C3671="C99999",1,0)</f>
        <v/>
      </c>
      <c r="J3671" s="5">
        <f>IF(OR(H3671=1,I3671=1),0,IF(G3671="Credit",-F3671,F3671))</f>
        <v/>
      </c>
    </row>
    <row r="3672">
      <c r="A3672" t="inlineStr">
        <is>
          <t>2026-08-06</t>
        </is>
      </c>
      <c r="B3672" t="inlineStr">
        <is>
          <t>F260951</t>
        </is>
      </c>
      <c r="C3672" t="inlineStr">
        <is>
          <t>C10054</t>
        </is>
      </c>
      <c r="D3672" t="inlineStr">
        <is>
          <t>SKU-10239</t>
        </is>
      </c>
      <c r="E3672" t="inlineStr">
        <is>
          <t>AM01</t>
        </is>
      </c>
      <c r="F3672" s="5" t="n">
        <v>139.36</v>
      </c>
      <c r="G3672">
        <f>IF(LEFT(B3672,1)="C","Credit","Factuur")</f>
        <v/>
      </c>
      <c r="H3672">
        <f>IF(AND(B3672=B3671,D3672=D3671,A3672=A3671,F3672=F3671),1,0)</f>
        <v/>
      </c>
      <c r="I3672">
        <f>IF(C3672="C99999",1,0)</f>
        <v/>
      </c>
      <c r="J3672" s="5">
        <f>IF(OR(H3672=1,I3672=1),0,IF(G3672="Credit",-F3672,F3672))</f>
        <v/>
      </c>
    </row>
    <row r="3673">
      <c r="A3673" t="inlineStr">
        <is>
          <t>2026-08-06</t>
        </is>
      </c>
      <c r="B3673" t="inlineStr">
        <is>
          <t>F260951</t>
        </is>
      </c>
      <c r="C3673" t="inlineStr">
        <is>
          <t>C10054</t>
        </is>
      </c>
      <c r="D3673" t="inlineStr">
        <is>
          <t>SKU-10315</t>
        </is>
      </c>
      <c r="E3673" t="inlineStr">
        <is>
          <t>AM01</t>
        </is>
      </c>
      <c r="F3673" s="5" t="n">
        <v>95.83</v>
      </c>
      <c r="G3673">
        <f>IF(LEFT(B3673,1)="C","Credit","Factuur")</f>
        <v/>
      </c>
      <c r="H3673">
        <f>IF(AND(B3673=B3672,D3673=D3672,A3673=A3672,F3673=F3672),1,0)</f>
        <v/>
      </c>
      <c r="I3673">
        <f>IF(C3673="C99999",1,0)</f>
        <v/>
      </c>
      <c r="J3673" s="5">
        <f>IF(OR(H3673=1,I3673=1),0,IF(G3673="Credit",-F3673,F3673))</f>
        <v/>
      </c>
    </row>
    <row r="3674">
      <c r="A3674" t="inlineStr">
        <is>
          <t>2026-08-06</t>
        </is>
      </c>
      <c r="B3674" t="inlineStr">
        <is>
          <t>F262084</t>
        </is>
      </c>
      <c r="C3674" t="inlineStr">
        <is>
          <t>C10111</t>
        </is>
      </c>
      <c r="D3674" t="inlineStr">
        <is>
          <t>SKU-10246</t>
        </is>
      </c>
      <c r="E3674" t="inlineStr">
        <is>
          <t>AM01</t>
        </is>
      </c>
      <c r="F3674" s="5" t="n">
        <v>241.92</v>
      </c>
      <c r="G3674">
        <f>IF(LEFT(B3674,1)="C","Credit","Factuur")</f>
        <v/>
      </c>
      <c r="H3674">
        <f>IF(AND(B3674=B3673,D3674=D3673,A3674=A3673,F3674=F3673),1,0)</f>
        <v/>
      </c>
      <c r="I3674">
        <f>IF(C3674="C99999",1,0)</f>
        <v/>
      </c>
      <c r="J3674" s="5">
        <f>IF(OR(H3674=1,I3674=1),0,IF(G3674="Credit",-F3674,F3674))</f>
        <v/>
      </c>
    </row>
    <row r="3675">
      <c r="A3675" t="inlineStr">
        <is>
          <t>2026-08-06</t>
        </is>
      </c>
      <c r="B3675" t="inlineStr">
        <is>
          <t>F262084</t>
        </is>
      </c>
      <c r="C3675" t="inlineStr">
        <is>
          <t>C10111</t>
        </is>
      </c>
      <c r="D3675" t="inlineStr">
        <is>
          <t>SKU-10302</t>
        </is>
      </c>
      <c r="E3675" t="inlineStr">
        <is>
          <t>AM01</t>
        </is>
      </c>
      <c r="F3675" s="5" t="n">
        <v>250.29</v>
      </c>
      <c r="G3675">
        <f>IF(LEFT(B3675,1)="C","Credit","Factuur")</f>
        <v/>
      </c>
      <c r="H3675">
        <f>IF(AND(B3675=B3674,D3675=D3674,A3675=A3674,F3675=F3674),1,0)</f>
        <v/>
      </c>
      <c r="I3675">
        <f>IF(C3675="C99999",1,0)</f>
        <v/>
      </c>
      <c r="J3675" s="5">
        <f>IF(OR(H3675=1,I3675=1),0,IF(G3675="Credit",-F3675,F3675))</f>
        <v/>
      </c>
    </row>
    <row r="3676">
      <c r="A3676" t="inlineStr">
        <is>
          <t>2026-08-06</t>
        </is>
      </c>
      <c r="B3676" t="inlineStr">
        <is>
          <t>F262354</t>
        </is>
      </c>
      <c r="C3676" t="inlineStr">
        <is>
          <t>C10125</t>
        </is>
      </c>
      <c r="D3676" t="inlineStr">
        <is>
          <t>SKU-10021</t>
        </is>
      </c>
      <c r="E3676" t="inlineStr">
        <is>
          <t>AM03</t>
        </is>
      </c>
      <c r="F3676" s="5" t="n">
        <v>43.11</v>
      </c>
      <c r="G3676">
        <f>IF(LEFT(B3676,1)="C","Credit","Factuur")</f>
        <v/>
      </c>
      <c r="H3676">
        <f>IF(AND(B3676=B3675,D3676=D3675,A3676=A3675,F3676=F3675),1,0)</f>
        <v/>
      </c>
      <c r="I3676">
        <f>IF(C3676="C99999",1,0)</f>
        <v/>
      </c>
      <c r="J3676" s="5">
        <f>IF(OR(H3676=1,I3676=1),0,IF(G3676="Credit",-F3676,F3676))</f>
        <v/>
      </c>
    </row>
    <row r="3677">
      <c r="A3677" t="inlineStr">
        <is>
          <t>2026-08-06</t>
        </is>
      </c>
      <c r="B3677" t="inlineStr">
        <is>
          <t>F262354</t>
        </is>
      </c>
      <c r="C3677" t="inlineStr">
        <is>
          <t>C10125</t>
        </is>
      </c>
      <c r="D3677" t="inlineStr">
        <is>
          <t>SKU-10027</t>
        </is>
      </c>
      <c r="E3677" t="inlineStr">
        <is>
          <t>AM03</t>
        </is>
      </c>
      <c r="F3677" s="5" t="n">
        <v>55.34</v>
      </c>
      <c r="G3677">
        <f>IF(LEFT(B3677,1)="C","Credit","Factuur")</f>
        <v/>
      </c>
      <c r="H3677">
        <f>IF(AND(B3677=B3676,D3677=D3676,A3677=A3676,F3677=F3676),1,0)</f>
        <v/>
      </c>
      <c r="I3677">
        <f>IF(C3677="C99999",1,0)</f>
        <v/>
      </c>
      <c r="J3677" s="5">
        <f>IF(OR(H3677=1,I3677=1),0,IF(G3677="Credit",-F3677,F3677))</f>
        <v/>
      </c>
    </row>
    <row r="3678">
      <c r="A3678" t="inlineStr">
        <is>
          <t>2026-08-06</t>
        </is>
      </c>
      <c r="B3678" t="inlineStr">
        <is>
          <t>F262354</t>
        </is>
      </c>
      <c r="C3678" t="inlineStr">
        <is>
          <t>C10125</t>
        </is>
      </c>
      <c r="D3678" t="inlineStr">
        <is>
          <t>SKU-10045</t>
        </is>
      </c>
      <c r="E3678" t="inlineStr">
        <is>
          <t>AM03</t>
        </is>
      </c>
      <c r="F3678" s="5" t="n">
        <v>38.91</v>
      </c>
      <c r="G3678">
        <f>IF(LEFT(B3678,1)="C","Credit","Factuur")</f>
        <v/>
      </c>
      <c r="H3678">
        <f>IF(AND(B3678=B3677,D3678=D3677,A3678=A3677,F3678=F3677),1,0)</f>
        <v/>
      </c>
      <c r="I3678">
        <f>IF(C3678="C99999",1,0)</f>
        <v/>
      </c>
      <c r="J3678" s="5">
        <f>IF(OR(H3678=1,I3678=1),0,IF(G3678="Credit",-F3678,F3678))</f>
        <v/>
      </c>
    </row>
    <row r="3679">
      <c r="A3679" t="inlineStr">
        <is>
          <t>2026-08-06</t>
        </is>
      </c>
      <c r="B3679" t="inlineStr">
        <is>
          <t>F262354</t>
        </is>
      </c>
      <c r="C3679" t="inlineStr">
        <is>
          <t>C10125</t>
        </is>
      </c>
      <c r="D3679" t="inlineStr">
        <is>
          <t>SKU-10096</t>
        </is>
      </c>
      <c r="E3679" t="inlineStr">
        <is>
          <t>AM03</t>
        </is>
      </c>
      <c r="F3679" s="5" t="n">
        <v>57.21</v>
      </c>
      <c r="G3679">
        <f>IF(LEFT(B3679,1)="C","Credit","Factuur")</f>
        <v/>
      </c>
      <c r="H3679">
        <f>IF(AND(B3679=B3678,D3679=D3678,A3679=A3678,F3679=F3678),1,0)</f>
        <v/>
      </c>
      <c r="I3679">
        <f>IF(C3679="C99999",1,0)</f>
        <v/>
      </c>
      <c r="J3679" s="5">
        <f>IF(OR(H3679=1,I3679=1),0,IF(G3679="Credit",-F3679,F3679))</f>
        <v/>
      </c>
    </row>
    <row r="3680">
      <c r="A3680" t="inlineStr">
        <is>
          <t>2026-08-06</t>
        </is>
      </c>
      <c r="B3680" t="inlineStr">
        <is>
          <t>F262354</t>
        </is>
      </c>
      <c r="C3680" t="inlineStr">
        <is>
          <t>C10125</t>
        </is>
      </c>
      <c r="D3680" t="inlineStr">
        <is>
          <t>SKU-10114</t>
        </is>
      </c>
      <c r="E3680" t="inlineStr">
        <is>
          <t>AM03</t>
        </is>
      </c>
      <c r="F3680" s="5" t="n">
        <v>50.88</v>
      </c>
      <c r="G3680">
        <f>IF(LEFT(B3680,1)="C","Credit","Factuur")</f>
        <v/>
      </c>
      <c r="H3680">
        <f>IF(AND(B3680=B3679,D3680=D3679,A3680=A3679,F3680=F3679),1,0)</f>
        <v/>
      </c>
      <c r="I3680">
        <f>IF(C3680="C99999",1,0)</f>
        <v/>
      </c>
      <c r="J3680" s="5">
        <f>IF(OR(H3680=1,I3680=1),0,IF(G3680="Credit",-F3680,F3680))</f>
        <v/>
      </c>
    </row>
    <row r="3681">
      <c r="A3681" t="inlineStr">
        <is>
          <t>2026-08-06</t>
        </is>
      </c>
      <c r="B3681" t="inlineStr">
        <is>
          <t>F265792</t>
        </is>
      </c>
      <c r="C3681" t="inlineStr">
        <is>
          <t>C10302</t>
        </is>
      </c>
      <c r="D3681" t="inlineStr">
        <is>
          <t>SKU-10025</t>
        </is>
      </c>
      <c r="E3681" t="inlineStr">
        <is>
          <t>AM07</t>
        </is>
      </c>
      <c r="F3681" s="5" t="n">
        <v>216.99</v>
      </c>
      <c r="G3681">
        <f>IF(LEFT(B3681,1)="C","Credit","Factuur")</f>
        <v/>
      </c>
      <c r="H3681">
        <f>IF(AND(B3681=B3680,D3681=D3680,A3681=A3680,F3681=F3680),1,0)</f>
        <v/>
      </c>
      <c r="I3681">
        <f>IF(C3681="C99999",1,0)</f>
        <v/>
      </c>
      <c r="J3681" s="5">
        <f>IF(OR(H3681=1,I3681=1),0,IF(G3681="Credit",-F3681,F3681))</f>
        <v/>
      </c>
    </row>
    <row r="3682">
      <c r="A3682" t="inlineStr">
        <is>
          <t>2026-08-06</t>
        </is>
      </c>
      <c r="B3682" t="inlineStr">
        <is>
          <t>F265792</t>
        </is>
      </c>
      <c r="C3682" t="inlineStr">
        <is>
          <t>C10302</t>
        </is>
      </c>
      <c r="D3682" t="inlineStr">
        <is>
          <t>SKU-10138</t>
        </is>
      </c>
      <c r="E3682" t="inlineStr">
        <is>
          <t>AM07</t>
        </is>
      </c>
      <c r="F3682" s="5" t="n">
        <v>193.72</v>
      </c>
      <c r="G3682">
        <f>IF(LEFT(B3682,1)="C","Credit","Factuur")</f>
        <v/>
      </c>
      <c r="H3682">
        <f>IF(AND(B3682=B3681,D3682=D3681,A3682=A3681,F3682=F3681),1,0)</f>
        <v/>
      </c>
      <c r="I3682">
        <f>IF(C3682="C99999",1,0)</f>
        <v/>
      </c>
      <c r="J3682" s="5">
        <f>IF(OR(H3682=1,I3682=1),0,IF(G3682="Credit",-F3682,F3682))</f>
        <v/>
      </c>
    </row>
    <row r="3683">
      <c r="A3683" t="inlineStr">
        <is>
          <t>2026-08-06</t>
        </is>
      </c>
      <c r="B3683" t="inlineStr">
        <is>
          <t>F265792</t>
        </is>
      </c>
      <c r="C3683" t="inlineStr">
        <is>
          <t>C10302</t>
        </is>
      </c>
      <c r="D3683" t="inlineStr">
        <is>
          <t>SKU-10316</t>
        </is>
      </c>
      <c r="E3683" t="inlineStr">
        <is>
          <t>AM07</t>
        </is>
      </c>
      <c r="F3683" s="5" t="n">
        <v>229.52</v>
      </c>
      <c r="G3683">
        <f>IF(LEFT(B3683,1)="C","Credit","Factuur")</f>
        <v/>
      </c>
      <c r="H3683">
        <f>IF(AND(B3683=B3682,D3683=D3682,A3683=A3682,F3683=F3682),1,0)</f>
        <v/>
      </c>
      <c r="I3683">
        <f>IF(C3683="C99999",1,0)</f>
        <v/>
      </c>
      <c r="J3683" s="5">
        <f>IF(OR(H3683=1,I3683=1),0,IF(G3683="Credit",-F3683,F3683))</f>
        <v/>
      </c>
    </row>
    <row r="3684">
      <c r="A3684" t="inlineStr">
        <is>
          <t>2026-08-06</t>
        </is>
      </c>
      <c r="B3684" t="inlineStr">
        <is>
          <t>F265792</t>
        </is>
      </c>
      <c r="C3684" t="inlineStr">
        <is>
          <t>C10302</t>
        </is>
      </c>
      <c r="D3684" t="inlineStr">
        <is>
          <t>SKU-10322</t>
        </is>
      </c>
      <c r="E3684" t="inlineStr">
        <is>
          <t>AM07</t>
        </is>
      </c>
      <c r="F3684" s="5" t="n">
        <v>195.19</v>
      </c>
      <c r="G3684">
        <f>IF(LEFT(B3684,1)="C","Credit","Factuur")</f>
        <v/>
      </c>
      <c r="H3684">
        <f>IF(AND(B3684=B3683,D3684=D3683,A3684=A3683,F3684=F3683),1,0)</f>
        <v/>
      </c>
      <c r="I3684">
        <f>IF(C3684="C99999",1,0)</f>
        <v/>
      </c>
      <c r="J3684" s="5">
        <f>IF(OR(H3684=1,I3684=1),0,IF(G3684="Credit",-F3684,F3684))</f>
        <v/>
      </c>
    </row>
    <row r="3685">
      <c r="A3685" t="inlineStr">
        <is>
          <t>2026-08-06</t>
        </is>
      </c>
      <c r="B3685" t="inlineStr">
        <is>
          <t>F265866</t>
        </is>
      </c>
      <c r="C3685" t="inlineStr">
        <is>
          <t>C10308</t>
        </is>
      </c>
      <c r="D3685" t="inlineStr">
        <is>
          <t>SKU-10129</t>
        </is>
      </c>
      <c r="E3685" t="inlineStr">
        <is>
          <t>AM02</t>
        </is>
      </c>
      <c r="F3685" s="5" t="n">
        <v>829.04</v>
      </c>
      <c r="G3685">
        <f>IF(LEFT(B3685,1)="C","Credit","Factuur")</f>
        <v/>
      </c>
      <c r="H3685">
        <f>IF(AND(B3685=B3684,D3685=D3684,A3685=A3684,F3685=F3684),1,0)</f>
        <v/>
      </c>
      <c r="I3685">
        <f>IF(C3685="C99999",1,0)</f>
        <v/>
      </c>
      <c r="J3685" s="5">
        <f>IF(OR(H3685=1,I3685=1),0,IF(G3685="Credit",-F3685,F3685))</f>
        <v/>
      </c>
    </row>
    <row r="3686">
      <c r="A3686" t="inlineStr">
        <is>
          <t>2026-08-06</t>
        </is>
      </c>
      <c r="B3686" t="inlineStr">
        <is>
          <t>F267798</t>
        </is>
      </c>
      <c r="C3686" t="inlineStr">
        <is>
          <t>C10408</t>
        </is>
      </c>
      <c r="D3686" t="inlineStr">
        <is>
          <t>SKU-10009</t>
        </is>
      </c>
      <c r="E3686" t="inlineStr">
        <is>
          <t>AM12</t>
        </is>
      </c>
      <c r="F3686" s="5" t="n">
        <v>136.52</v>
      </c>
      <c r="G3686">
        <f>IF(LEFT(B3686,1)="C","Credit","Factuur")</f>
        <v/>
      </c>
      <c r="H3686">
        <f>IF(AND(B3686=B3685,D3686=D3685,A3686=A3685,F3686=F3685),1,0)</f>
        <v/>
      </c>
      <c r="I3686">
        <f>IF(C3686="C99999",1,0)</f>
        <v/>
      </c>
      <c r="J3686" s="5">
        <f>IF(OR(H3686=1,I3686=1),0,IF(G3686="Credit",-F3686,F3686))</f>
        <v/>
      </c>
    </row>
    <row r="3687">
      <c r="A3687" t="inlineStr">
        <is>
          <t>2026-08-06</t>
        </is>
      </c>
      <c r="B3687" t="inlineStr">
        <is>
          <t>F267798</t>
        </is>
      </c>
      <c r="C3687" t="inlineStr">
        <is>
          <t>C10408</t>
        </is>
      </c>
      <c r="D3687" t="inlineStr">
        <is>
          <t>SKU-10100</t>
        </is>
      </c>
      <c r="E3687" t="inlineStr">
        <is>
          <t>AM12</t>
        </is>
      </c>
      <c r="F3687" s="5" t="n">
        <v>115.44</v>
      </c>
      <c r="G3687">
        <f>IF(LEFT(B3687,1)="C","Credit","Factuur")</f>
        <v/>
      </c>
      <c r="H3687">
        <f>IF(AND(B3687=B3686,D3687=D3686,A3687=A3686,F3687=F3686),1,0)</f>
        <v/>
      </c>
      <c r="I3687">
        <f>IF(C3687="C99999",1,0)</f>
        <v/>
      </c>
      <c r="J3687" s="5">
        <f>IF(OR(H3687=1,I3687=1),0,IF(G3687="Credit",-F3687,F3687))</f>
        <v/>
      </c>
    </row>
    <row r="3688">
      <c r="A3688" t="inlineStr">
        <is>
          <t>2026-08-06</t>
        </is>
      </c>
      <c r="B3688" t="inlineStr">
        <is>
          <t>F267798</t>
        </is>
      </c>
      <c r="C3688" t="inlineStr">
        <is>
          <t>C10408</t>
        </is>
      </c>
      <c r="D3688" t="inlineStr">
        <is>
          <t>SKU-10247</t>
        </is>
      </c>
      <c r="E3688" t="inlineStr">
        <is>
          <t>AM12</t>
        </is>
      </c>
      <c r="F3688" s="5" t="n">
        <v>121.4</v>
      </c>
      <c r="G3688">
        <f>IF(LEFT(B3688,1)="C","Credit","Factuur")</f>
        <v/>
      </c>
      <c r="H3688">
        <f>IF(AND(B3688=B3687,D3688=D3687,A3688=A3687,F3688=F3687),1,0)</f>
        <v/>
      </c>
      <c r="I3688">
        <f>IF(C3688="C99999",1,0)</f>
        <v/>
      </c>
      <c r="J3688" s="5">
        <f>IF(OR(H3688=1,I3688=1),0,IF(G3688="Credit",-F3688,F3688))</f>
        <v/>
      </c>
    </row>
    <row r="3689">
      <c r="A3689" t="inlineStr">
        <is>
          <t>2026-08-06</t>
        </is>
      </c>
      <c r="B3689" t="inlineStr">
        <is>
          <t>F267798</t>
        </is>
      </c>
      <c r="C3689" t="inlineStr">
        <is>
          <t>C10408</t>
        </is>
      </c>
      <c r="D3689" t="inlineStr">
        <is>
          <t>SKU-10301</t>
        </is>
      </c>
      <c r="E3689" t="inlineStr">
        <is>
          <t>AM12</t>
        </is>
      </c>
      <c r="F3689" s="5" t="n">
        <v>115.6</v>
      </c>
      <c r="G3689">
        <f>IF(LEFT(B3689,1)="C","Credit","Factuur")</f>
        <v/>
      </c>
      <c r="H3689">
        <f>IF(AND(B3689=B3688,D3689=D3688,A3689=A3688,F3689=F3688),1,0)</f>
        <v/>
      </c>
      <c r="I3689">
        <f>IF(C3689="C99999",1,0)</f>
        <v/>
      </c>
      <c r="J3689" s="5">
        <f>IF(OR(H3689=1,I3689=1),0,IF(G3689="Credit",-F3689,F3689))</f>
        <v/>
      </c>
    </row>
    <row r="3690">
      <c r="A3690" t="inlineStr">
        <is>
          <t>2026-08-06</t>
        </is>
      </c>
      <c r="B3690" t="inlineStr">
        <is>
          <t>F268364</t>
        </is>
      </c>
      <c r="C3690" t="inlineStr">
        <is>
          <t>C10437</t>
        </is>
      </c>
      <c r="D3690" t="inlineStr">
        <is>
          <t>SKU-10104</t>
        </is>
      </c>
      <c r="E3690" t="inlineStr">
        <is>
          <t>AM11</t>
        </is>
      </c>
      <c r="F3690" s="5" t="n">
        <v>637.98</v>
      </c>
      <c r="G3690">
        <f>IF(LEFT(B3690,1)="C","Credit","Factuur")</f>
        <v/>
      </c>
      <c r="H3690">
        <f>IF(AND(B3690=B3689,D3690=D3689,A3690=A3689,F3690=F3689),1,0)</f>
        <v/>
      </c>
      <c r="I3690">
        <f>IF(C3690="C99999",1,0)</f>
        <v/>
      </c>
      <c r="J3690" s="5">
        <f>IF(OR(H3690=1,I3690=1),0,IF(G3690="Credit",-F3690,F3690))</f>
        <v/>
      </c>
    </row>
    <row r="3691">
      <c r="A3691" t="inlineStr">
        <is>
          <t>2026-08-06</t>
        </is>
      </c>
      <c r="B3691" t="inlineStr">
        <is>
          <t>F268941</t>
        </is>
      </c>
      <c r="C3691" t="inlineStr">
        <is>
          <t>C10465</t>
        </is>
      </c>
      <c r="D3691" t="inlineStr">
        <is>
          <t>SKU-10073</t>
        </is>
      </c>
      <c r="E3691" t="inlineStr">
        <is>
          <t>AM06</t>
        </is>
      </c>
      <c r="F3691" s="5" t="n">
        <v>921.2</v>
      </c>
      <c r="G3691">
        <f>IF(LEFT(B3691,1)="C","Credit","Factuur")</f>
        <v/>
      </c>
      <c r="H3691">
        <f>IF(AND(B3691=B3690,D3691=D3690,A3691=A3690,F3691=F3690),1,0)</f>
        <v/>
      </c>
      <c r="I3691">
        <f>IF(C3691="C99999",1,0)</f>
        <v/>
      </c>
      <c r="J3691" s="5">
        <f>IF(OR(H3691=1,I3691=1),0,IF(G3691="Credit",-F3691,F3691))</f>
        <v/>
      </c>
    </row>
    <row r="3692">
      <c r="A3692" t="inlineStr">
        <is>
          <t>2026-08-06</t>
        </is>
      </c>
      <c r="B3692" t="inlineStr">
        <is>
          <t>F268941</t>
        </is>
      </c>
      <c r="C3692" t="inlineStr">
        <is>
          <t>C10465</t>
        </is>
      </c>
      <c r="D3692" t="inlineStr">
        <is>
          <t>SKU-10203</t>
        </is>
      </c>
      <c r="E3692" t="inlineStr">
        <is>
          <t>AM06</t>
        </is>
      </c>
      <c r="F3692" s="5" t="n">
        <v>795.75</v>
      </c>
      <c r="G3692">
        <f>IF(LEFT(B3692,1)="C","Credit","Factuur")</f>
        <v/>
      </c>
      <c r="H3692">
        <f>IF(AND(B3692=B3691,D3692=D3691,A3692=A3691,F3692=F3691),1,0)</f>
        <v/>
      </c>
      <c r="I3692">
        <f>IF(C3692="C99999",1,0)</f>
        <v/>
      </c>
      <c r="J3692" s="5">
        <f>IF(OR(H3692=1,I3692=1),0,IF(G3692="Credit",-F3692,F3692))</f>
        <v/>
      </c>
    </row>
    <row r="3693">
      <c r="A3693" t="inlineStr">
        <is>
          <t>2026-08-06</t>
        </is>
      </c>
      <c r="B3693" t="inlineStr">
        <is>
          <t>F270841</t>
        </is>
      </c>
      <c r="C3693" t="inlineStr">
        <is>
          <t>C10567</t>
        </is>
      </c>
      <c r="D3693" t="inlineStr">
        <is>
          <t>SKU-10010</t>
        </is>
      </c>
      <c r="E3693" t="inlineStr">
        <is>
          <t>AM08</t>
        </is>
      </c>
      <c r="F3693" s="5" t="n">
        <v>308.84</v>
      </c>
      <c r="G3693">
        <f>IF(LEFT(B3693,1)="C","Credit","Factuur")</f>
        <v/>
      </c>
      <c r="H3693">
        <f>IF(AND(B3693=B3692,D3693=D3692,A3693=A3692,F3693=F3692),1,0)</f>
        <v/>
      </c>
      <c r="I3693">
        <f>IF(C3693="C99999",1,0)</f>
        <v/>
      </c>
      <c r="J3693" s="5">
        <f>IF(OR(H3693=1,I3693=1),0,IF(G3693="Credit",-F3693,F3693))</f>
        <v/>
      </c>
    </row>
    <row r="3694">
      <c r="A3694" t="inlineStr">
        <is>
          <t>2026-08-06</t>
        </is>
      </c>
      <c r="B3694" t="inlineStr">
        <is>
          <t>F271603</t>
        </is>
      </c>
      <c r="C3694" t="inlineStr">
        <is>
          <t>C10597</t>
        </is>
      </c>
      <c r="D3694" t="inlineStr">
        <is>
          <t>SKU-10098</t>
        </is>
      </c>
      <c r="E3694" t="inlineStr">
        <is>
          <t>AM07</t>
        </is>
      </c>
      <c r="F3694" s="5" t="n">
        <v>240.06</v>
      </c>
      <c r="G3694">
        <f>IF(LEFT(B3694,1)="C","Credit","Factuur")</f>
        <v/>
      </c>
      <c r="H3694">
        <f>IF(AND(B3694=B3693,D3694=D3693,A3694=A3693,F3694=F3693),1,0)</f>
        <v/>
      </c>
      <c r="I3694">
        <f>IF(C3694="C99999",1,0)</f>
        <v/>
      </c>
      <c r="J3694" s="5">
        <f>IF(OR(H3694=1,I3694=1),0,IF(G3694="Credit",-F3694,F3694))</f>
        <v/>
      </c>
    </row>
    <row r="3695">
      <c r="A3695" t="inlineStr">
        <is>
          <t>2026-08-06</t>
        </is>
      </c>
      <c r="B3695" t="inlineStr">
        <is>
          <t>F271603</t>
        </is>
      </c>
      <c r="C3695" t="inlineStr">
        <is>
          <t>C10597</t>
        </is>
      </c>
      <c r="D3695" t="inlineStr">
        <is>
          <t>SKU-10134</t>
        </is>
      </c>
      <c r="E3695" t="inlineStr">
        <is>
          <t>AM07</t>
        </is>
      </c>
      <c r="F3695" s="5" t="n">
        <v>259.69</v>
      </c>
      <c r="G3695">
        <f>IF(LEFT(B3695,1)="C","Credit","Factuur")</f>
        <v/>
      </c>
      <c r="H3695">
        <f>IF(AND(B3695=B3694,D3695=D3694,A3695=A3694,F3695=F3694),1,0)</f>
        <v/>
      </c>
      <c r="I3695">
        <f>IF(C3695="C99999",1,0)</f>
        <v/>
      </c>
      <c r="J3695" s="5">
        <f>IF(OR(H3695=1,I3695=1),0,IF(G3695="Credit",-F3695,F3695))</f>
        <v/>
      </c>
    </row>
    <row r="3696">
      <c r="A3696" t="inlineStr">
        <is>
          <t>2026-08-06</t>
        </is>
      </c>
      <c r="B3696" t="inlineStr">
        <is>
          <t>F271603</t>
        </is>
      </c>
      <c r="C3696" t="inlineStr">
        <is>
          <t>C10597</t>
        </is>
      </c>
      <c r="D3696" t="inlineStr">
        <is>
          <t>SKU-10252</t>
        </is>
      </c>
      <c r="E3696" t="inlineStr">
        <is>
          <t>AM07</t>
        </is>
      </c>
      <c r="F3696" s="5" t="n">
        <v>271.89</v>
      </c>
      <c r="G3696">
        <f>IF(LEFT(B3696,1)="C","Credit","Factuur")</f>
        <v/>
      </c>
      <c r="H3696">
        <f>IF(AND(B3696=B3695,D3696=D3695,A3696=A3695,F3696=F3695),1,0)</f>
        <v/>
      </c>
      <c r="I3696">
        <f>IF(C3696="C99999",1,0)</f>
        <v/>
      </c>
      <c r="J3696" s="5">
        <f>IF(OR(H3696=1,I3696=1),0,IF(G3696="Credit",-F3696,F3696))</f>
        <v/>
      </c>
    </row>
    <row r="3697">
      <c r="A3697" t="inlineStr">
        <is>
          <t>2026-08-06</t>
        </is>
      </c>
      <c r="B3697" t="inlineStr">
        <is>
          <t>F271603</t>
        </is>
      </c>
      <c r="C3697" t="inlineStr">
        <is>
          <t>C10597</t>
        </is>
      </c>
      <c r="D3697" t="inlineStr">
        <is>
          <t>SKU-10342</t>
        </is>
      </c>
      <c r="E3697" t="inlineStr">
        <is>
          <t>AM07</t>
        </is>
      </c>
      <c r="F3697" s="5" t="n">
        <v>287.98</v>
      </c>
      <c r="G3697">
        <f>IF(LEFT(B3697,1)="C","Credit","Factuur")</f>
        <v/>
      </c>
      <c r="H3697">
        <f>IF(AND(B3697=B3696,D3697=D3696,A3697=A3696,F3697=F3696),1,0)</f>
        <v/>
      </c>
      <c r="I3697">
        <f>IF(C3697="C99999",1,0)</f>
        <v/>
      </c>
      <c r="J3697" s="5">
        <f>IF(OR(H3697=1,I3697=1),0,IF(G3697="Credit",-F3697,F3697))</f>
        <v/>
      </c>
    </row>
    <row r="3698">
      <c r="A3698" t="inlineStr">
        <is>
          <t>2026-08-06</t>
        </is>
      </c>
      <c r="B3698" t="inlineStr">
        <is>
          <t>F271856</t>
        </is>
      </c>
      <c r="C3698" t="inlineStr">
        <is>
          <t>C10609</t>
        </is>
      </c>
      <c r="D3698" t="inlineStr">
        <is>
          <t>SKU-10096</t>
        </is>
      </c>
      <c r="E3698" t="inlineStr">
        <is>
          <t>AM01</t>
        </is>
      </c>
      <c r="F3698" s="5" t="n">
        <v>171.63</v>
      </c>
      <c r="G3698">
        <f>IF(LEFT(B3698,1)="C","Credit","Factuur")</f>
        <v/>
      </c>
      <c r="H3698">
        <f>IF(AND(B3698=B3697,D3698=D3697,A3698=A3697,F3698=F3697),1,0)</f>
        <v/>
      </c>
      <c r="I3698">
        <f>IF(C3698="C99999",1,0)</f>
        <v/>
      </c>
      <c r="J3698" s="5">
        <f>IF(OR(H3698=1,I3698=1),0,IF(G3698="Credit",-F3698,F3698))</f>
        <v/>
      </c>
    </row>
    <row r="3699">
      <c r="A3699" t="inlineStr">
        <is>
          <t>2026-08-06</t>
        </is>
      </c>
      <c r="B3699" t="inlineStr">
        <is>
          <t>F271856</t>
        </is>
      </c>
      <c r="C3699" t="inlineStr">
        <is>
          <t>C10609</t>
        </is>
      </c>
      <c r="D3699" t="inlineStr">
        <is>
          <t>SKU-10124</t>
        </is>
      </c>
      <c r="E3699" t="inlineStr">
        <is>
          <t>AM01</t>
        </is>
      </c>
      <c r="F3699" s="5" t="n">
        <v>194.16</v>
      </c>
      <c r="G3699">
        <f>IF(LEFT(B3699,1)="C","Credit","Factuur")</f>
        <v/>
      </c>
      <c r="H3699">
        <f>IF(AND(B3699=B3698,D3699=D3698,A3699=A3698,F3699=F3698),1,0)</f>
        <v/>
      </c>
      <c r="I3699">
        <f>IF(C3699="C99999",1,0)</f>
        <v/>
      </c>
      <c r="J3699" s="5">
        <f>IF(OR(H3699=1,I3699=1),0,IF(G3699="Credit",-F3699,F3699))</f>
        <v/>
      </c>
    </row>
    <row r="3700">
      <c r="A3700" t="inlineStr">
        <is>
          <t>2026-08-06</t>
        </is>
      </c>
      <c r="B3700" t="inlineStr">
        <is>
          <t>F271856</t>
        </is>
      </c>
      <c r="C3700" t="inlineStr">
        <is>
          <t>C10609</t>
        </is>
      </c>
      <c r="D3700" t="inlineStr">
        <is>
          <t>SKU-10270</t>
        </is>
      </c>
      <c r="E3700" t="inlineStr">
        <is>
          <t>AM01</t>
        </is>
      </c>
      <c r="F3700" s="5" t="n">
        <v>183.94</v>
      </c>
      <c r="G3700">
        <f>IF(LEFT(B3700,1)="C","Credit","Factuur")</f>
        <v/>
      </c>
      <c r="H3700">
        <f>IF(AND(B3700=B3699,D3700=D3699,A3700=A3699,F3700=F3699),1,0)</f>
        <v/>
      </c>
      <c r="I3700">
        <f>IF(C3700="C99999",1,0)</f>
        <v/>
      </c>
      <c r="J3700" s="5">
        <f>IF(OR(H3700=1,I3700=1),0,IF(G3700="Credit",-F3700,F3700))</f>
        <v/>
      </c>
    </row>
    <row r="3701">
      <c r="A3701" t="inlineStr">
        <is>
          <t>2026-08-06</t>
        </is>
      </c>
      <c r="B3701" t="inlineStr">
        <is>
          <t>F271856</t>
        </is>
      </c>
      <c r="C3701" t="inlineStr">
        <is>
          <t>C10609</t>
        </is>
      </c>
      <c r="D3701" t="inlineStr">
        <is>
          <t>SKU-10287</t>
        </is>
      </c>
      <c r="E3701" t="inlineStr">
        <is>
          <t>AM01</t>
        </is>
      </c>
      <c r="F3701" s="5" t="n">
        <v>180.66</v>
      </c>
      <c r="G3701">
        <f>IF(LEFT(B3701,1)="C","Credit","Factuur")</f>
        <v/>
      </c>
      <c r="H3701">
        <f>IF(AND(B3701=B3700,D3701=D3700,A3701=A3700,F3701=F3700),1,0)</f>
        <v/>
      </c>
      <c r="I3701">
        <f>IF(C3701="C99999",1,0)</f>
        <v/>
      </c>
      <c r="J3701" s="5">
        <f>IF(OR(H3701=1,I3701=1),0,IF(G3701="Credit",-F3701,F3701))</f>
        <v/>
      </c>
    </row>
    <row r="3702">
      <c r="A3702" t="inlineStr">
        <is>
          <t>2026-08-06</t>
        </is>
      </c>
      <c r="B3702" t="inlineStr">
        <is>
          <t>F271856</t>
        </is>
      </c>
      <c r="C3702" t="inlineStr">
        <is>
          <t>C10609</t>
        </is>
      </c>
      <c r="D3702" t="inlineStr">
        <is>
          <t>SKU-10318</t>
        </is>
      </c>
      <c r="E3702" t="inlineStr">
        <is>
          <t>AM01</t>
        </is>
      </c>
      <c r="F3702" s="5" t="n">
        <v>183.15</v>
      </c>
      <c r="G3702">
        <f>IF(LEFT(B3702,1)="C","Credit","Factuur")</f>
        <v/>
      </c>
      <c r="H3702">
        <f>IF(AND(B3702=B3701,D3702=D3701,A3702=A3701,F3702=F3701),1,0)</f>
        <v/>
      </c>
      <c r="I3702">
        <f>IF(C3702="C99999",1,0)</f>
        <v/>
      </c>
      <c r="J3702" s="5">
        <f>IF(OR(H3702=1,I3702=1),0,IF(G3702="Credit",-F3702,F3702))</f>
        <v/>
      </c>
    </row>
    <row r="3703">
      <c r="A3703" t="inlineStr">
        <is>
          <t>2026-08-06</t>
        </is>
      </c>
      <c r="B3703" t="inlineStr">
        <is>
          <t>F274521</t>
        </is>
      </c>
      <c r="C3703" t="inlineStr">
        <is>
          <t>C10766</t>
        </is>
      </c>
      <c r="D3703" t="inlineStr">
        <is>
          <t>SKU-10137</t>
        </is>
      </c>
      <c r="E3703" t="inlineStr">
        <is>
          <t>AM05</t>
        </is>
      </c>
      <c r="F3703" s="5" t="n">
        <v>96.84999999999999</v>
      </c>
      <c r="G3703">
        <f>IF(LEFT(B3703,1)="C","Credit","Factuur")</f>
        <v/>
      </c>
      <c r="H3703">
        <f>IF(AND(B3703=B3702,D3703=D3702,A3703=A3702,F3703=F3702),1,0)</f>
        <v/>
      </c>
      <c r="I3703">
        <f>IF(C3703="C99999",1,0)</f>
        <v/>
      </c>
      <c r="J3703" s="5">
        <f>IF(OR(H3703=1,I3703=1),0,IF(G3703="Credit",-F3703,F3703))</f>
        <v/>
      </c>
    </row>
    <row r="3704">
      <c r="A3704" t="inlineStr">
        <is>
          <t>2026-08-06</t>
        </is>
      </c>
      <c r="B3704" t="inlineStr">
        <is>
          <t>F274521</t>
        </is>
      </c>
      <c r="C3704" t="inlineStr">
        <is>
          <t>C10766</t>
        </is>
      </c>
      <c r="D3704" t="inlineStr">
        <is>
          <t>SKU-10336</t>
        </is>
      </c>
      <c r="E3704" t="inlineStr">
        <is>
          <t>AM05</t>
        </is>
      </c>
      <c r="F3704" s="5" t="n">
        <v>117.28</v>
      </c>
      <c r="G3704">
        <f>IF(LEFT(B3704,1)="C","Credit","Factuur")</f>
        <v/>
      </c>
      <c r="H3704">
        <f>IF(AND(B3704=B3703,D3704=D3703,A3704=A3703,F3704=F3703),1,0)</f>
        <v/>
      </c>
      <c r="I3704">
        <f>IF(C3704="C99999",1,0)</f>
        <v/>
      </c>
      <c r="J3704" s="5">
        <f>IF(OR(H3704=1,I3704=1),0,IF(G3704="Credit",-F3704,F3704))</f>
        <v/>
      </c>
    </row>
    <row r="3705">
      <c r="A3705" t="inlineStr">
        <is>
          <t>2026-08-06</t>
        </is>
      </c>
      <c r="B3705" t="inlineStr">
        <is>
          <t>F274521</t>
        </is>
      </c>
      <c r="C3705" t="inlineStr">
        <is>
          <t>C10766</t>
        </is>
      </c>
      <c r="D3705" t="inlineStr">
        <is>
          <t>SKU-10369</t>
        </is>
      </c>
      <c r="E3705" t="inlineStr">
        <is>
          <t>AM05</t>
        </is>
      </c>
      <c r="F3705" s="5" t="n">
        <v>213.09</v>
      </c>
      <c r="G3705">
        <f>IF(LEFT(B3705,1)="C","Credit","Factuur")</f>
        <v/>
      </c>
      <c r="H3705">
        <f>IF(AND(B3705=B3704,D3705=D3704,A3705=A3704,F3705=F3704),1,0)</f>
        <v/>
      </c>
      <c r="I3705">
        <f>IF(C3705="C99999",1,0)</f>
        <v/>
      </c>
      <c r="J3705" s="5">
        <f>IF(OR(H3705=1,I3705=1),0,IF(G3705="Credit",-F3705,F3705))</f>
        <v/>
      </c>
    </row>
    <row r="3706">
      <c r="A3706" t="inlineStr">
        <is>
          <t>2026-08-06</t>
        </is>
      </c>
      <c r="B3706" t="inlineStr">
        <is>
          <t>F275350</t>
        </is>
      </c>
      <c r="C3706" t="inlineStr">
        <is>
          <t>C10809</t>
        </is>
      </c>
      <c r="D3706" t="inlineStr">
        <is>
          <t>SKU-10024</t>
        </is>
      </c>
      <c r="E3706" t="inlineStr">
        <is>
          <t>AM02</t>
        </is>
      </c>
      <c r="F3706" s="5" t="n">
        <v>1435.1</v>
      </c>
      <c r="G3706">
        <f>IF(LEFT(B3706,1)="C","Credit","Factuur")</f>
        <v/>
      </c>
      <c r="H3706">
        <f>IF(AND(B3706=B3705,D3706=D3705,A3706=A3705,F3706=F3705),1,0)</f>
        <v/>
      </c>
      <c r="I3706">
        <f>IF(C3706="C99999",1,0)</f>
        <v/>
      </c>
      <c r="J3706" s="5">
        <f>IF(OR(H3706=1,I3706=1),0,IF(G3706="Credit",-F3706,F3706))</f>
        <v/>
      </c>
    </row>
    <row r="3707">
      <c r="A3707" t="inlineStr">
        <is>
          <t>2026-08-06</t>
        </is>
      </c>
      <c r="B3707" t="inlineStr">
        <is>
          <t>F275350</t>
        </is>
      </c>
      <c r="C3707" t="inlineStr">
        <is>
          <t>C10809</t>
        </is>
      </c>
      <c r="D3707" t="inlineStr">
        <is>
          <t>SKU-10260</t>
        </is>
      </c>
      <c r="E3707" t="inlineStr">
        <is>
          <t>AM02</t>
        </is>
      </c>
      <c r="F3707" s="5" t="n">
        <v>1441.13</v>
      </c>
      <c r="G3707">
        <f>IF(LEFT(B3707,1)="C","Credit","Factuur")</f>
        <v/>
      </c>
      <c r="H3707">
        <f>IF(AND(B3707=B3706,D3707=D3706,A3707=A3706,F3707=F3706),1,0)</f>
        <v/>
      </c>
      <c r="I3707">
        <f>IF(C3707="C99999",1,0)</f>
        <v/>
      </c>
      <c r="J3707" s="5">
        <f>IF(OR(H3707=1,I3707=1),0,IF(G3707="Credit",-F3707,F3707))</f>
        <v/>
      </c>
    </row>
    <row r="3708">
      <c r="A3708" t="inlineStr">
        <is>
          <t>2026-08-06</t>
        </is>
      </c>
      <c r="B3708" t="inlineStr">
        <is>
          <t>F275350</t>
        </is>
      </c>
      <c r="C3708" t="inlineStr">
        <is>
          <t>C10809</t>
        </is>
      </c>
      <c r="D3708" t="inlineStr">
        <is>
          <t>SKU-10277</t>
        </is>
      </c>
      <c r="E3708" t="inlineStr">
        <is>
          <t>AM02</t>
        </is>
      </c>
      <c r="F3708" s="5" t="n">
        <v>1519.76</v>
      </c>
      <c r="G3708">
        <f>IF(LEFT(B3708,1)="C","Credit","Factuur")</f>
        <v/>
      </c>
      <c r="H3708">
        <f>IF(AND(B3708=B3707,D3708=D3707,A3708=A3707,F3708=F3707),1,0)</f>
        <v/>
      </c>
      <c r="I3708">
        <f>IF(C3708="C99999",1,0)</f>
        <v/>
      </c>
      <c r="J3708" s="5">
        <f>IF(OR(H3708=1,I3708=1),0,IF(G3708="Credit",-F3708,F3708))</f>
        <v/>
      </c>
    </row>
    <row r="3709">
      <c r="A3709" t="inlineStr">
        <is>
          <t>2026-08-06</t>
        </is>
      </c>
      <c r="B3709" t="inlineStr">
        <is>
          <t>F275350</t>
        </is>
      </c>
      <c r="C3709" t="inlineStr">
        <is>
          <t>C10809</t>
        </is>
      </c>
      <c r="D3709" t="inlineStr">
        <is>
          <t>SKU-10352</t>
        </is>
      </c>
      <c r="E3709" t="inlineStr">
        <is>
          <t>AM02</t>
        </is>
      </c>
      <c r="F3709" s="5" t="n">
        <v>1390.31</v>
      </c>
      <c r="G3709">
        <f>IF(LEFT(B3709,1)="C","Credit","Factuur")</f>
        <v/>
      </c>
      <c r="H3709">
        <f>IF(AND(B3709=B3708,D3709=D3708,A3709=A3708,F3709=F3708),1,0)</f>
        <v/>
      </c>
      <c r="I3709">
        <f>IF(C3709="C99999",1,0)</f>
        <v/>
      </c>
      <c r="J3709" s="5">
        <f>IF(OR(H3709=1,I3709=1),0,IF(G3709="Credit",-F3709,F3709))</f>
        <v/>
      </c>
    </row>
    <row r="3710">
      <c r="A3710" t="inlineStr">
        <is>
          <t>2026-08-06</t>
        </is>
      </c>
      <c r="B3710" t="inlineStr">
        <is>
          <t>F277429</t>
        </is>
      </c>
      <c r="C3710" t="inlineStr">
        <is>
          <t>C10926</t>
        </is>
      </c>
      <c r="D3710" t="inlineStr">
        <is>
          <t>SKU-10034</t>
        </is>
      </c>
      <c r="E3710" t="inlineStr">
        <is>
          <t>AM02</t>
        </is>
      </c>
      <c r="F3710" s="5" t="n">
        <v>1629.69</v>
      </c>
      <c r="G3710">
        <f>IF(LEFT(B3710,1)="C","Credit","Factuur")</f>
        <v/>
      </c>
      <c r="H3710">
        <f>IF(AND(B3710=B3709,D3710=D3709,A3710=A3709,F3710=F3709),1,0)</f>
        <v/>
      </c>
      <c r="I3710">
        <f>IF(C3710="C99999",1,0)</f>
        <v/>
      </c>
      <c r="J3710" s="5">
        <f>IF(OR(H3710=1,I3710=1),0,IF(G3710="Credit",-F3710,F3710))</f>
        <v/>
      </c>
    </row>
    <row r="3711">
      <c r="A3711" t="inlineStr">
        <is>
          <t>2026-08-06</t>
        </is>
      </c>
      <c r="B3711" t="inlineStr">
        <is>
          <t>F277532</t>
        </is>
      </c>
      <c r="C3711" t="inlineStr">
        <is>
          <t>C10931</t>
        </is>
      </c>
      <c r="D3711" t="inlineStr">
        <is>
          <t>SKU-10103</t>
        </is>
      </c>
      <c r="E3711" t="inlineStr">
        <is>
          <t>AM11</t>
        </is>
      </c>
      <c r="F3711" s="5" t="n">
        <v>794.3</v>
      </c>
      <c r="G3711">
        <f>IF(LEFT(B3711,1)="C","Credit","Factuur")</f>
        <v/>
      </c>
      <c r="H3711">
        <f>IF(AND(B3711=B3710,D3711=D3710,A3711=A3710,F3711=F3710),1,0)</f>
        <v/>
      </c>
      <c r="I3711">
        <f>IF(C3711="C99999",1,0)</f>
        <v/>
      </c>
      <c r="J3711" s="5">
        <f>IF(OR(H3711=1,I3711=1),0,IF(G3711="Credit",-F3711,F3711))</f>
        <v/>
      </c>
    </row>
    <row r="3712">
      <c r="A3712" t="inlineStr">
        <is>
          <t>2026-08-06</t>
        </is>
      </c>
      <c r="B3712" t="inlineStr">
        <is>
          <t>F277532</t>
        </is>
      </c>
      <c r="C3712" t="inlineStr">
        <is>
          <t>C10931</t>
        </is>
      </c>
      <c r="D3712" t="inlineStr">
        <is>
          <t>SKU-10112</t>
        </is>
      </c>
      <c r="E3712" t="inlineStr">
        <is>
          <t>AM11</t>
        </is>
      </c>
      <c r="F3712" s="5" t="n">
        <v>710.45</v>
      </c>
      <c r="G3712">
        <f>IF(LEFT(B3712,1)="C","Credit","Factuur")</f>
        <v/>
      </c>
      <c r="H3712">
        <f>IF(AND(B3712=B3711,D3712=D3711,A3712=A3711,F3712=F3711),1,0)</f>
        <v/>
      </c>
      <c r="I3712">
        <f>IF(C3712="C99999",1,0)</f>
        <v/>
      </c>
      <c r="J3712" s="5">
        <f>IF(OR(H3712=1,I3712=1),0,IF(G3712="Credit",-F3712,F3712))</f>
        <v/>
      </c>
    </row>
    <row r="3713">
      <c r="A3713" t="inlineStr">
        <is>
          <t>2026-08-06</t>
        </is>
      </c>
      <c r="B3713" t="inlineStr">
        <is>
          <t>F277532</t>
        </is>
      </c>
      <c r="C3713" t="inlineStr">
        <is>
          <t>C10931</t>
        </is>
      </c>
      <c r="D3713" t="inlineStr">
        <is>
          <t>SKU-10131</t>
        </is>
      </c>
      <c r="E3713" t="inlineStr">
        <is>
          <t>AM11</t>
        </is>
      </c>
      <c r="F3713" s="5" t="n">
        <v>736.29</v>
      </c>
      <c r="G3713">
        <f>IF(LEFT(B3713,1)="C","Credit","Factuur")</f>
        <v/>
      </c>
      <c r="H3713">
        <f>IF(AND(B3713=B3712,D3713=D3712,A3713=A3712,F3713=F3712),1,0)</f>
        <v/>
      </c>
      <c r="I3713">
        <f>IF(C3713="C99999",1,0)</f>
        <v/>
      </c>
      <c r="J3713" s="5">
        <f>IF(OR(H3713=1,I3713=1),0,IF(G3713="Credit",-F3713,F3713))</f>
        <v/>
      </c>
    </row>
    <row r="3714">
      <c r="A3714" t="inlineStr">
        <is>
          <t>2026-08-06</t>
        </is>
      </c>
      <c r="B3714" t="inlineStr">
        <is>
          <t>F277532</t>
        </is>
      </c>
      <c r="C3714" t="inlineStr">
        <is>
          <t>C10931</t>
        </is>
      </c>
      <c r="D3714" t="inlineStr">
        <is>
          <t>SKU-10155</t>
        </is>
      </c>
      <c r="E3714" t="inlineStr">
        <is>
          <t>AM11</t>
        </is>
      </c>
      <c r="F3714" s="5" t="n">
        <v>769.12</v>
      </c>
      <c r="G3714">
        <f>IF(LEFT(B3714,1)="C","Credit","Factuur")</f>
        <v/>
      </c>
      <c r="H3714">
        <f>IF(AND(B3714=B3713,D3714=D3713,A3714=A3713,F3714=F3713),1,0)</f>
        <v/>
      </c>
      <c r="I3714">
        <f>IF(C3714="C99999",1,0)</f>
        <v/>
      </c>
      <c r="J3714" s="5">
        <f>IF(OR(H3714=1,I3714=1),0,IF(G3714="Credit",-F3714,F3714))</f>
        <v/>
      </c>
    </row>
    <row r="3715">
      <c r="A3715" t="inlineStr">
        <is>
          <t>2026-08-06</t>
        </is>
      </c>
      <c r="B3715" t="inlineStr">
        <is>
          <t>F279539</t>
        </is>
      </c>
      <c r="C3715" t="inlineStr">
        <is>
          <t>C11035</t>
        </is>
      </c>
      <c r="D3715" t="inlineStr">
        <is>
          <t>SKU-10099</t>
        </is>
      </c>
      <c r="E3715" t="inlineStr">
        <is>
          <t>AM06</t>
        </is>
      </c>
      <c r="F3715" s="5" t="n">
        <v>465.92</v>
      </c>
      <c r="G3715">
        <f>IF(LEFT(B3715,1)="C","Credit","Factuur")</f>
        <v/>
      </c>
      <c r="H3715">
        <f>IF(AND(B3715=B3714,D3715=D3714,A3715=A3714,F3715=F3714),1,0)</f>
        <v/>
      </c>
      <c r="I3715">
        <f>IF(C3715="C99999",1,0)</f>
        <v/>
      </c>
      <c r="J3715" s="5">
        <f>IF(OR(H3715=1,I3715=1),0,IF(G3715="Credit",-F3715,F3715))</f>
        <v/>
      </c>
    </row>
    <row r="3716">
      <c r="A3716" t="inlineStr">
        <is>
          <t>2026-08-06</t>
        </is>
      </c>
      <c r="B3716" t="inlineStr">
        <is>
          <t>F279539</t>
        </is>
      </c>
      <c r="C3716" t="inlineStr">
        <is>
          <t>C11035</t>
        </is>
      </c>
      <c r="D3716" t="inlineStr">
        <is>
          <t>SKU-10309</t>
        </is>
      </c>
      <c r="E3716" t="inlineStr">
        <is>
          <t>AM06</t>
        </is>
      </c>
      <c r="F3716" s="5" t="n">
        <v>462.1</v>
      </c>
      <c r="G3716">
        <f>IF(LEFT(B3716,1)="C","Credit","Factuur")</f>
        <v/>
      </c>
      <c r="H3716">
        <f>IF(AND(B3716=B3715,D3716=D3715,A3716=A3715,F3716=F3715),1,0)</f>
        <v/>
      </c>
      <c r="I3716">
        <f>IF(C3716="C99999",1,0)</f>
        <v/>
      </c>
      <c r="J3716" s="5">
        <f>IF(OR(H3716=1,I3716=1),0,IF(G3716="Credit",-F3716,F3716))</f>
        <v/>
      </c>
    </row>
    <row r="3717">
      <c r="A3717" t="inlineStr">
        <is>
          <t>2026-08-06</t>
        </is>
      </c>
      <c r="B3717" t="inlineStr">
        <is>
          <t>F279539</t>
        </is>
      </c>
      <c r="C3717" t="inlineStr">
        <is>
          <t>C11035</t>
        </is>
      </c>
      <c r="D3717" t="inlineStr">
        <is>
          <t>SKU-10344</t>
        </is>
      </c>
      <c r="E3717" t="inlineStr">
        <is>
          <t>AM06</t>
        </is>
      </c>
      <c r="F3717" s="5" t="n">
        <v>476</v>
      </c>
      <c r="G3717">
        <f>IF(LEFT(B3717,1)="C","Credit","Factuur")</f>
        <v/>
      </c>
      <c r="H3717">
        <f>IF(AND(B3717=B3716,D3717=D3716,A3717=A3716,F3717=F3716),1,0)</f>
        <v/>
      </c>
      <c r="I3717">
        <f>IF(C3717="C99999",1,0)</f>
        <v/>
      </c>
      <c r="J3717" s="5">
        <f>IF(OR(H3717=1,I3717=1),0,IF(G3717="Credit",-F3717,F3717))</f>
        <v/>
      </c>
    </row>
    <row r="3718">
      <c r="A3718" t="inlineStr">
        <is>
          <t>2026-08-06</t>
        </is>
      </c>
      <c r="B3718" t="inlineStr">
        <is>
          <t>F279898</t>
        </is>
      </c>
      <c r="C3718" t="inlineStr">
        <is>
          <t>C11053</t>
        </is>
      </c>
      <c r="D3718" t="inlineStr">
        <is>
          <t>SKU-10248</t>
        </is>
      </c>
      <c r="E3718" t="inlineStr">
        <is>
          <t>AM09</t>
        </is>
      </c>
      <c r="F3718" s="5" t="n">
        <v>5970.98</v>
      </c>
      <c r="G3718">
        <f>IF(LEFT(B3718,1)="C","Credit","Factuur")</f>
        <v/>
      </c>
      <c r="H3718">
        <f>IF(AND(B3718=B3717,D3718=D3717,A3718=A3717,F3718=F3717),1,0)</f>
        <v/>
      </c>
      <c r="I3718">
        <f>IF(C3718="C99999",1,0)</f>
        <v/>
      </c>
      <c r="J3718" s="5">
        <f>IF(OR(H3718=1,I3718=1),0,IF(G3718="Credit",-F3718,F3718))</f>
        <v/>
      </c>
    </row>
    <row r="3719">
      <c r="A3719" t="inlineStr">
        <is>
          <t>2026-08-06</t>
        </is>
      </c>
      <c r="B3719" t="inlineStr">
        <is>
          <t>F279898</t>
        </is>
      </c>
      <c r="C3719" t="inlineStr">
        <is>
          <t>C11053</t>
        </is>
      </c>
      <c r="D3719" t="inlineStr">
        <is>
          <t>SKU-10358</t>
        </is>
      </c>
      <c r="E3719" t="inlineStr">
        <is>
          <t>AM09</t>
        </is>
      </c>
      <c r="F3719" s="5" t="n">
        <v>5596.13</v>
      </c>
      <c r="G3719">
        <f>IF(LEFT(B3719,1)="C","Credit","Factuur")</f>
        <v/>
      </c>
      <c r="H3719">
        <f>IF(AND(B3719=B3718,D3719=D3718,A3719=A3718,F3719=F3718),1,0)</f>
        <v/>
      </c>
      <c r="I3719">
        <f>IF(C3719="C99999",1,0)</f>
        <v/>
      </c>
      <c r="J3719" s="5">
        <f>IF(OR(H3719=1,I3719=1),0,IF(G3719="Credit",-F3719,F3719))</f>
        <v/>
      </c>
    </row>
    <row r="3720">
      <c r="A3720" t="inlineStr">
        <is>
          <t>2026-08-06</t>
        </is>
      </c>
      <c r="B3720" t="inlineStr">
        <is>
          <t>F280186</t>
        </is>
      </c>
      <c r="C3720" t="inlineStr">
        <is>
          <t>C11066</t>
        </is>
      </c>
      <c r="D3720" t="inlineStr">
        <is>
          <t>SKU-10073</t>
        </is>
      </c>
      <c r="E3720" t="inlineStr">
        <is>
          <t>AM08</t>
        </is>
      </c>
      <c r="F3720" s="5" t="n">
        <v>867.01</v>
      </c>
      <c r="G3720">
        <f>IF(LEFT(B3720,1)="C","Credit","Factuur")</f>
        <v/>
      </c>
      <c r="H3720">
        <f>IF(AND(B3720=B3719,D3720=D3719,A3720=A3719,F3720=F3719),1,0)</f>
        <v/>
      </c>
      <c r="I3720">
        <f>IF(C3720="C99999",1,0)</f>
        <v/>
      </c>
      <c r="J3720" s="5">
        <f>IF(OR(H3720=1,I3720=1),0,IF(G3720="Credit",-F3720,F3720))</f>
        <v/>
      </c>
    </row>
    <row r="3721">
      <c r="A3721" t="inlineStr">
        <is>
          <t>2026-08-06</t>
        </is>
      </c>
      <c r="B3721" t="inlineStr">
        <is>
          <t>F280186</t>
        </is>
      </c>
      <c r="C3721" t="inlineStr">
        <is>
          <t>C11066</t>
        </is>
      </c>
      <c r="D3721" t="inlineStr">
        <is>
          <t>SKU-10269</t>
        </is>
      </c>
      <c r="E3721" t="inlineStr">
        <is>
          <t>AM08</t>
        </is>
      </c>
      <c r="F3721" s="5" t="n">
        <v>923.52</v>
      </c>
      <c r="G3721">
        <f>IF(LEFT(B3721,1)="C","Credit","Factuur")</f>
        <v/>
      </c>
      <c r="H3721">
        <f>IF(AND(B3721=B3720,D3721=D3720,A3721=A3720,F3721=F3720),1,0)</f>
        <v/>
      </c>
      <c r="I3721">
        <f>IF(C3721="C99999",1,0)</f>
        <v/>
      </c>
      <c r="J3721" s="5">
        <f>IF(OR(H3721=1,I3721=1),0,IF(G3721="Credit",-F3721,F3721))</f>
        <v/>
      </c>
    </row>
    <row r="3722">
      <c r="A3722" t="inlineStr">
        <is>
          <t>2026-08-06</t>
        </is>
      </c>
      <c r="B3722" t="inlineStr">
        <is>
          <t>F282360</t>
        </is>
      </c>
      <c r="C3722" t="inlineStr">
        <is>
          <t>C11173</t>
        </is>
      </c>
      <c r="D3722" t="inlineStr">
        <is>
          <t>SKU-10013</t>
        </is>
      </c>
      <c r="E3722" t="inlineStr">
        <is>
          <t>AM08</t>
        </is>
      </c>
      <c r="F3722" s="5" t="n">
        <v>676.98</v>
      </c>
      <c r="G3722">
        <f>IF(LEFT(B3722,1)="C","Credit","Factuur")</f>
        <v/>
      </c>
      <c r="H3722">
        <f>IF(AND(B3722=B3721,D3722=D3721,A3722=A3721,F3722=F3721),1,0)</f>
        <v/>
      </c>
      <c r="I3722">
        <f>IF(C3722="C99999",1,0)</f>
        <v/>
      </c>
      <c r="J3722" s="5">
        <f>IF(OR(H3722=1,I3722=1),0,IF(G3722="Credit",-F3722,F3722))</f>
        <v/>
      </c>
    </row>
    <row r="3723">
      <c r="A3723" t="inlineStr">
        <is>
          <t>2026-08-06</t>
        </is>
      </c>
      <c r="B3723" t="inlineStr">
        <is>
          <t>F283184</t>
        </is>
      </c>
      <c r="C3723" t="inlineStr">
        <is>
          <t>C11220</t>
        </is>
      </c>
      <c r="D3723" t="inlineStr">
        <is>
          <t>SKU-10007</t>
        </is>
      </c>
      <c r="E3723" t="inlineStr">
        <is>
          <t>AM01</t>
        </is>
      </c>
      <c r="F3723" s="5" t="n">
        <v>977.74</v>
      </c>
      <c r="G3723">
        <f>IF(LEFT(B3723,1)="C","Credit","Factuur")</f>
        <v/>
      </c>
      <c r="H3723">
        <f>IF(AND(B3723=B3722,D3723=D3722,A3723=A3722,F3723=F3722),1,0)</f>
        <v/>
      </c>
      <c r="I3723">
        <f>IF(C3723="C99999",1,0)</f>
        <v/>
      </c>
      <c r="J3723" s="5">
        <f>IF(OR(H3723=1,I3723=1),0,IF(G3723="Credit",-F3723,F3723))</f>
        <v/>
      </c>
    </row>
    <row r="3724">
      <c r="A3724" t="inlineStr">
        <is>
          <t>2026-08-06</t>
        </is>
      </c>
      <c r="B3724" t="inlineStr">
        <is>
          <t>F283184</t>
        </is>
      </c>
      <c r="C3724" t="inlineStr">
        <is>
          <t>C11220</t>
        </is>
      </c>
      <c r="D3724" t="inlineStr">
        <is>
          <t>SKU-10024</t>
        </is>
      </c>
      <c r="E3724" t="inlineStr">
        <is>
          <t>AM01</t>
        </is>
      </c>
      <c r="F3724" s="5" t="n">
        <v>918.08</v>
      </c>
      <c r="G3724">
        <f>IF(LEFT(B3724,1)="C","Credit","Factuur")</f>
        <v/>
      </c>
      <c r="H3724">
        <f>IF(AND(B3724=B3723,D3724=D3723,A3724=A3723,F3724=F3723),1,0)</f>
        <v/>
      </c>
      <c r="I3724">
        <f>IF(C3724="C99999",1,0)</f>
        <v/>
      </c>
      <c r="J3724" s="5">
        <f>IF(OR(H3724=1,I3724=1),0,IF(G3724="Credit",-F3724,F3724))</f>
        <v/>
      </c>
    </row>
    <row r="3725">
      <c r="A3725" t="inlineStr">
        <is>
          <t>2026-08-06</t>
        </is>
      </c>
      <c r="B3725" t="inlineStr">
        <is>
          <t>F283184</t>
        </is>
      </c>
      <c r="C3725" t="inlineStr">
        <is>
          <t>C11220</t>
        </is>
      </c>
      <c r="D3725" t="inlineStr">
        <is>
          <t>SKU-10046</t>
        </is>
      </c>
      <c r="E3725" t="inlineStr">
        <is>
          <t>AM01</t>
        </is>
      </c>
      <c r="F3725" s="5" t="n">
        <v>970.47</v>
      </c>
      <c r="G3725">
        <f>IF(LEFT(B3725,1)="C","Credit","Factuur")</f>
        <v/>
      </c>
      <c r="H3725">
        <f>IF(AND(B3725=B3724,D3725=D3724,A3725=A3724,F3725=F3724),1,0)</f>
        <v/>
      </c>
      <c r="I3725">
        <f>IF(C3725="C99999",1,0)</f>
        <v/>
      </c>
      <c r="J3725" s="5">
        <f>IF(OR(H3725=1,I3725=1),0,IF(G3725="Credit",-F3725,F3725))</f>
        <v/>
      </c>
    </row>
    <row r="3726">
      <c r="A3726" t="inlineStr">
        <is>
          <t>2026-08-06</t>
        </is>
      </c>
      <c r="B3726" t="inlineStr">
        <is>
          <t>F283184</t>
        </is>
      </c>
      <c r="C3726" t="inlineStr">
        <is>
          <t>C11220</t>
        </is>
      </c>
      <c r="D3726" t="inlineStr">
        <is>
          <t>SKU-10188</t>
        </is>
      </c>
      <c r="E3726" t="inlineStr">
        <is>
          <t>AM01</t>
        </is>
      </c>
      <c r="F3726" s="5" t="n">
        <v>976.98</v>
      </c>
      <c r="G3726">
        <f>IF(LEFT(B3726,1)="C","Credit","Factuur")</f>
        <v/>
      </c>
      <c r="H3726">
        <f>IF(AND(B3726=B3725,D3726=D3725,A3726=A3725,F3726=F3725),1,0)</f>
        <v/>
      </c>
      <c r="I3726">
        <f>IF(C3726="C99999",1,0)</f>
        <v/>
      </c>
      <c r="J3726" s="5">
        <f>IF(OR(H3726=1,I3726=1),0,IF(G3726="Credit",-F3726,F3726))</f>
        <v/>
      </c>
    </row>
    <row r="3727">
      <c r="A3727" t="inlineStr">
        <is>
          <t>2026-08-06</t>
        </is>
      </c>
      <c r="B3727" t="inlineStr">
        <is>
          <t>F283184</t>
        </is>
      </c>
      <c r="C3727" t="inlineStr">
        <is>
          <t>C11220</t>
        </is>
      </c>
      <c r="D3727" t="inlineStr">
        <is>
          <t>SKU-10312</t>
        </is>
      </c>
      <c r="E3727" t="inlineStr">
        <is>
          <t>AM01</t>
        </is>
      </c>
      <c r="F3727" s="5" t="n">
        <v>963.2</v>
      </c>
      <c r="G3727">
        <f>IF(LEFT(B3727,1)="C","Credit","Factuur")</f>
        <v/>
      </c>
      <c r="H3727">
        <f>IF(AND(B3727=B3726,D3727=D3726,A3727=A3726,F3727=F3726),1,0)</f>
        <v/>
      </c>
      <c r="I3727">
        <f>IF(C3727="C99999",1,0)</f>
        <v/>
      </c>
      <c r="J3727" s="5">
        <f>IF(OR(H3727=1,I3727=1),0,IF(G3727="Credit",-F3727,F3727))</f>
        <v/>
      </c>
    </row>
    <row r="3728">
      <c r="A3728" t="inlineStr">
        <is>
          <t>2026-08-06</t>
        </is>
      </c>
      <c r="B3728" t="inlineStr">
        <is>
          <t>F283361</t>
        </is>
      </c>
      <c r="C3728" t="inlineStr">
        <is>
          <t>C11227</t>
        </is>
      </c>
      <c r="D3728" t="inlineStr">
        <is>
          <t>SKU-10013</t>
        </is>
      </c>
      <c r="E3728" t="inlineStr">
        <is>
          <t>AM11</t>
        </is>
      </c>
      <c r="F3728" s="5" t="n">
        <v>150.44</v>
      </c>
      <c r="G3728">
        <f>IF(LEFT(B3728,1)="C","Credit","Factuur")</f>
        <v/>
      </c>
      <c r="H3728">
        <f>IF(AND(B3728=B3727,D3728=D3727,A3728=A3727,F3728=F3727),1,0)</f>
        <v/>
      </c>
      <c r="I3728">
        <f>IF(C3728="C99999",1,0)</f>
        <v/>
      </c>
      <c r="J3728" s="5">
        <f>IF(OR(H3728=1,I3728=1),0,IF(G3728="Credit",-F3728,F3728))</f>
        <v/>
      </c>
    </row>
    <row r="3729">
      <c r="A3729" t="inlineStr">
        <is>
          <t>2026-08-06</t>
        </is>
      </c>
      <c r="B3729" t="inlineStr">
        <is>
          <t>F283361</t>
        </is>
      </c>
      <c r="C3729" t="inlineStr">
        <is>
          <t>C11227</t>
        </is>
      </c>
      <c r="D3729" t="inlineStr">
        <is>
          <t>SKU-10024</t>
        </is>
      </c>
      <c r="E3729" t="inlineStr">
        <is>
          <t>AM11</t>
        </is>
      </c>
      <c r="F3729" s="5" t="n">
        <v>144.96</v>
      </c>
      <c r="G3729">
        <f>IF(LEFT(B3729,1)="C","Credit","Factuur")</f>
        <v/>
      </c>
      <c r="H3729">
        <f>IF(AND(B3729=B3728,D3729=D3728,A3729=A3728,F3729=F3728),1,0)</f>
        <v/>
      </c>
      <c r="I3729">
        <f>IF(C3729="C99999",1,0)</f>
        <v/>
      </c>
      <c r="J3729" s="5">
        <f>IF(OR(H3729=1,I3729=1),0,IF(G3729="Credit",-F3729,F3729))</f>
        <v/>
      </c>
    </row>
    <row r="3730">
      <c r="A3730" t="inlineStr">
        <is>
          <t>2026-08-06</t>
        </is>
      </c>
      <c r="B3730" t="inlineStr">
        <is>
          <t>F283361</t>
        </is>
      </c>
      <c r="C3730" t="inlineStr">
        <is>
          <t>C11227</t>
        </is>
      </c>
      <c r="D3730" t="inlineStr">
        <is>
          <t>SKU-10307</t>
        </is>
      </c>
      <c r="E3730" t="inlineStr">
        <is>
          <t>AM11</t>
        </is>
      </c>
      <c r="F3730" s="5" t="n">
        <v>135.4</v>
      </c>
      <c r="G3730">
        <f>IF(LEFT(B3730,1)="C","Credit","Factuur")</f>
        <v/>
      </c>
      <c r="H3730">
        <f>IF(AND(B3730=B3729,D3730=D3729,A3730=A3729,F3730=F3729),1,0)</f>
        <v/>
      </c>
      <c r="I3730">
        <f>IF(C3730="C99999",1,0)</f>
        <v/>
      </c>
      <c r="J3730" s="5">
        <f>IF(OR(H3730=1,I3730=1),0,IF(G3730="Credit",-F3730,F3730))</f>
        <v/>
      </c>
    </row>
    <row r="3731">
      <c r="A3731" t="inlineStr">
        <is>
          <t>2026-08-06</t>
        </is>
      </c>
      <c r="B3731" t="inlineStr">
        <is>
          <t>F283503</t>
        </is>
      </c>
      <c r="C3731" t="inlineStr">
        <is>
          <t>C11234</t>
        </is>
      </c>
      <c r="D3731" t="inlineStr">
        <is>
          <t>SKU-10122</t>
        </is>
      </c>
      <c r="E3731" t="inlineStr">
        <is>
          <t>AM01</t>
        </is>
      </c>
      <c r="F3731" s="5" t="n">
        <v>404.74</v>
      </c>
      <c r="G3731">
        <f>IF(LEFT(B3731,1)="C","Credit","Factuur")</f>
        <v/>
      </c>
      <c r="H3731">
        <f>IF(AND(B3731=B3730,D3731=D3730,A3731=A3730,F3731=F3730),1,0)</f>
        <v/>
      </c>
      <c r="I3731">
        <f>IF(C3731="C99999",1,0)</f>
        <v/>
      </c>
      <c r="J3731" s="5">
        <f>IF(OR(H3731=1,I3731=1),0,IF(G3731="Credit",-F3731,F3731))</f>
        <v/>
      </c>
    </row>
    <row r="3732">
      <c r="A3732" t="inlineStr">
        <is>
          <t>2026-08-06</t>
        </is>
      </c>
      <c r="B3732" t="inlineStr">
        <is>
          <t>F283503</t>
        </is>
      </c>
      <c r="C3732" t="inlineStr">
        <is>
          <t>C11234</t>
        </is>
      </c>
      <c r="D3732" t="inlineStr">
        <is>
          <t>SKU-10262</t>
        </is>
      </c>
      <c r="E3732" t="inlineStr">
        <is>
          <t>AM01</t>
        </is>
      </c>
      <c r="F3732" s="5" t="n">
        <v>453.28</v>
      </c>
      <c r="G3732">
        <f>IF(LEFT(B3732,1)="C","Credit","Factuur")</f>
        <v/>
      </c>
      <c r="H3732">
        <f>IF(AND(B3732=B3731,D3732=D3731,A3732=A3731,F3732=F3731),1,0)</f>
        <v/>
      </c>
      <c r="I3732">
        <f>IF(C3732="C99999",1,0)</f>
        <v/>
      </c>
      <c r="J3732" s="5">
        <f>IF(OR(H3732=1,I3732=1),0,IF(G3732="Credit",-F3732,F3732))</f>
        <v/>
      </c>
    </row>
    <row r="3733">
      <c r="A3733" t="inlineStr">
        <is>
          <t>2026-08-06</t>
        </is>
      </c>
      <c r="B3733" t="inlineStr">
        <is>
          <t>F283703</t>
        </is>
      </c>
      <c r="C3733" t="inlineStr">
        <is>
          <t>C11242</t>
        </is>
      </c>
      <c r="D3733" t="inlineStr">
        <is>
          <t>SKU-10002</t>
        </is>
      </c>
      <c r="E3733" t="inlineStr">
        <is>
          <t>AM02</t>
        </is>
      </c>
      <c r="F3733" s="5" t="n">
        <v>1262.14</v>
      </c>
      <c r="G3733">
        <f>IF(LEFT(B3733,1)="C","Credit","Factuur")</f>
        <v/>
      </c>
      <c r="H3733">
        <f>IF(AND(B3733=B3732,D3733=D3732,A3733=A3732,F3733=F3732),1,0)</f>
        <v/>
      </c>
      <c r="I3733">
        <f>IF(C3733="C99999",1,0)</f>
        <v/>
      </c>
      <c r="J3733" s="5">
        <f>IF(OR(H3733=1,I3733=1),0,IF(G3733="Credit",-F3733,F3733))</f>
        <v/>
      </c>
    </row>
    <row r="3734">
      <c r="A3734" t="inlineStr">
        <is>
          <t>2026-08-06</t>
        </is>
      </c>
      <c r="B3734" t="inlineStr">
        <is>
          <t>F283703</t>
        </is>
      </c>
      <c r="C3734" t="inlineStr">
        <is>
          <t>C11242</t>
        </is>
      </c>
      <c r="D3734" t="inlineStr">
        <is>
          <t>SKU-10115</t>
        </is>
      </c>
      <c r="E3734" t="inlineStr">
        <is>
          <t>AM02</t>
        </is>
      </c>
      <c r="F3734" s="5" t="n">
        <v>1278.94</v>
      </c>
      <c r="G3734">
        <f>IF(LEFT(B3734,1)="C","Credit","Factuur")</f>
        <v/>
      </c>
      <c r="H3734">
        <f>IF(AND(B3734=B3733,D3734=D3733,A3734=A3733,F3734=F3733),1,0)</f>
        <v/>
      </c>
      <c r="I3734">
        <f>IF(C3734="C99999",1,0)</f>
        <v/>
      </c>
      <c r="J3734" s="5">
        <f>IF(OR(H3734=1,I3734=1),0,IF(G3734="Credit",-F3734,F3734))</f>
        <v/>
      </c>
    </row>
    <row r="3735">
      <c r="A3735" t="inlineStr">
        <is>
          <t>2026-08-06</t>
        </is>
      </c>
      <c r="B3735" t="inlineStr">
        <is>
          <t>F283703</t>
        </is>
      </c>
      <c r="C3735" t="inlineStr">
        <is>
          <t>C11242</t>
        </is>
      </c>
      <c r="D3735" t="inlineStr">
        <is>
          <t>SKU-10178</t>
        </is>
      </c>
      <c r="E3735" t="inlineStr">
        <is>
          <t>AM02</t>
        </is>
      </c>
      <c r="F3735" s="5" t="n">
        <v>1221.79</v>
      </c>
      <c r="G3735">
        <f>IF(LEFT(B3735,1)="C","Credit","Factuur")</f>
        <v/>
      </c>
      <c r="H3735">
        <f>IF(AND(B3735=B3734,D3735=D3734,A3735=A3734,F3735=F3734),1,0)</f>
        <v/>
      </c>
      <c r="I3735">
        <f>IF(C3735="C99999",1,0)</f>
        <v/>
      </c>
      <c r="J3735" s="5">
        <f>IF(OR(H3735=1,I3735=1),0,IF(G3735="Credit",-F3735,F3735))</f>
        <v/>
      </c>
    </row>
    <row r="3736">
      <c r="A3736" t="inlineStr">
        <is>
          <t>2026-08-06</t>
        </is>
      </c>
      <c r="B3736" t="inlineStr">
        <is>
          <t>F284807</t>
        </is>
      </c>
      <c r="C3736" t="inlineStr">
        <is>
          <t>C11299</t>
        </is>
      </c>
      <c r="D3736" t="inlineStr">
        <is>
          <t>SKU-10017</t>
        </is>
      </c>
      <c r="E3736" t="inlineStr">
        <is>
          <t>AM07</t>
        </is>
      </c>
      <c r="F3736" s="5" t="n">
        <v>1359.75</v>
      </c>
      <c r="G3736">
        <f>IF(LEFT(B3736,1)="C","Credit","Factuur")</f>
        <v/>
      </c>
      <c r="H3736">
        <f>IF(AND(B3736=B3735,D3736=D3735,A3736=A3735,F3736=F3735),1,0)</f>
        <v/>
      </c>
      <c r="I3736">
        <f>IF(C3736="C99999",1,0)</f>
        <v/>
      </c>
      <c r="J3736" s="5">
        <f>IF(OR(H3736=1,I3736=1),0,IF(G3736="Credit",-F3736,F3736))</f>
        <v/>
      </c>
    </row>
    <row r="3737">
      <c r="A3737" t="inlineStr">
        <is>
          <t>2026-08-06</t>
        </is>
      </c>
      <c r="B3737" t="inlineStr">
        <is>
          <t>F284807</t>
        </is>
      </c>
      <c r="C3737" t="inlineStr">
        <is>
          <t>C11299</t>
        </is>
      </c>
      <c r="D3737" t="inlineStr">
        <is>
          <t>SKU-10109</t>
        </is>
      </c>
      <c r="E3737" t="inlineStr">
        <is>
          <t>AM07</t>
        </is>
      </c>
      <c r="F3737" s="5" t="n">
        <v>1342.6</v>
      </c>
      <c r="G3737">
        <f>IF(LEFT(B3737,1)="C","Credit","Factuur")</f>
        <v/>
      </c>
      <c r="H3737">
        <f>IF(AND(B3737=B3736,D3737=D3736,A3737=A3736,F3737=F3736),1,0)</f>
        <v/>
      </c>
      <c r="I3737">
        <f>IF(C3737="C99999",1,0)</f>
        <v/>
      </c>
      <c r="J3737" s="5">
        <f>IF(OR(H3737=1,I3737=1),0,IF(G3737="Credit",-F3737,F3737))</f>
        <v/>
      </c>
    </row>
    <row r="3738">
      <c r="A3738" t="inlineStr">
        <is>
          <t>2026-08-06</t>
        </is>
      </c>
      <c r="B3738" t="inlineStr">
        <is>
          <t>F284807</t>
        </is>
      </c>
      <c r="C3738" t="inlineStr">
        <is>
          <t>C11299</t>
        </is>
      </c>
      <c r="D3738" t="inlineStr">
        <is>
          <t>SKU-10302</t>
        </is>
      </c>
      <c r="E3738" t="inlineStr">
        <is>
          <t>AM07</t>
        </is>
      </c>
      <c r="F3738" s="5" t="n">
        <v>1293.15</v>
      </c>
      <c r="G3738">
        <f>IF(LEFT(B3738,1)="C","Credit","Factuur")</f>
        <v/>
      </c>
      <c r="H3738">
        <f>IF(AND(B3738=B3737,D3738=D3737,A3738=A3737,F3738=F3737),1,0)</f>
        <v/>
      </c>
      <c r="I3738">
        <f>IF(C3738="C99999",1,0)</f>
        <v/>
      </c>
      <c r="J3738" s="5">
        <f>IF(OR(H3738=1,I3738=1),0,IF(G3738="Credit",-F3738,F3738))</f>
        <v/>
      </c>
    </row>
    <row r="3739">
      <c r="A3739" t="inlineStr">
        <is>
          <t>2026-08-06</t>
        </is>
      </c>
      <c r="B3739" t="inlineStr">
        <is>
          <t>F284855</t>
        </is>
      </c>
      <c r="C3739" t="inlineStr">
        <is>
          <t>C11301</t>
        </is>
      </c>
      <c r="D3739" t="inlineStr">
        <is>
          <t>SKU-10021</t>
        </is>
      </c>
      <c r="E3739" t="inlineStr">
        <is>
          <t>AM12</t>
        </is>
      </c>
      <c r="F3739" s="5" t="n">
        <v>778.14</v>
      </c>
      <c r="G3739">
        <f>IF(LEFT(B3739,1)="C","Credit","Factuur")</f>
        <v/>
      </c>
      <c r="H3739">
        <f>IF(AND(B3739=B3738,D3739=D3738,A3739=A3738,F3739=F3738),1,0)</f>
        <v/>
      </c>
      <c r="I3739">
        <f>IF(C3739="C99999",1,0)</f>
        <v/>
      </c>
      <c r="J3739" s="5">
        <f>IF(OR(H3739=1,I3739=1),0,IF(G3739="Credit",-F3739,F3739))</f>
        <v/>
      </c>
    </row>
    <row r="3740">
      <c r="A3740" t="inlineStr">
        <is>
          <t>2026-08-06</t>
        </is>
      </c>
      <c r="B3740" t="inlineStr">
        <is>
          <t>F284855</t>
        </is>
      </c>
      <c r="C3740" t="inlineStr">
        <is>
          <t>C11301</t>
        </is>
      </c>
      <c r="D3740" t="inlineStr">
        <is>
          <t>SKU-10160</t>
        </is>
      </c>
      <c r="E3740" t="inlineStr">
        <is>
          <t>AM12</t>
        </is>
      </c>
      <c r="F3740" s="5" t="n">
        <v>769.16</v>
      </c>
      <c r="G3740">
        <f>IF(LEFT(B3740,1)="C","Credit","Factuur")</f>
        <v/>
      </c>
      <c r="H3740">
        <f>IF(AND(B3740=B3739,D3740=D3739,A3740=A3739,F3740=F3739),1,0)</f>
        <v/>
      </c>
      <c r="I3740">
        <f>IF(C3740="C99999",1,0)</f>
        <v/>
      </c>
      <c r="J3740" s="5">
        <f>IF(OR(H3740=1,I3740=1),0,IF(G3740="Credit",-F3740,F3740))</f>
        <v/>
      </c>
    </row>
    <row r="3741">
      <c r="A3741" t="inlineStr">
        <is>
          <t>2026-08-06</t>
        </is>
      </c>
      <c r="B3741" t="inlineStr">
        <is>
          <t>F284855</t>
        </is>
      </c>
      <c r="C3741" t="inlineStr">
        <is>
          <t>C11301</t>
        </is>
      </c>
      <c r="D3741" t="inlineStr">
        <is>
          <t>SKU-10315</t>
        </is>
      </c>
      <c r="E3741" t="inlineStr">
        <is>
          <t>AM12</t>
        </is>
      </c>
      <c r="F3741" s="5" t="n">
        <v>816.75</v>
      </c>
      <c r="G3741">
        <f>IF(LEFT(B3741,1)="C","Credit","Factuur")</f>
        <v/>
      </c>
      <c r="H3741">
        <f>IF(AND(B3741=B3740,D3741=D3740,A3741=A3740,F3741=F3740),1,0)</f>
        <v/>
      </c>
      <c r="I3741">
        <f>IF(C3741="C99999",1,0)</f>
        <v/>
      </c>
      <c r="J3741" s="5">
        <f>IF(OR(H3741=1,I3741=1),0,IF(G3741="Credit",-F3741,F3741))</f>
        <v/>
      </c>
    </row>
    <row r="3742">
      <c r="A3742" t="inlineStr">
        <is>
          <t>2026-08-06</t>
        </is>
      </c>
      <c r="B3742" t="inlineStr">
        <is>
          <t>F285310</t>
        </is>
      </c>
      <c r="C3742" t="inlineStr">
        <is>
          <t>C11324</t>
        </is>
      </c>
      <c r="D3742" t="inlineStr">
        <is>
          <t>SKU-10051</t>
        </is>
      </c>
      <c r="E3742" t="inlineStr">
        <is>
          <t>AM03</t>
        </is>
      </c>
      <c r="F3742" s="5" t="n">
        <v>1692.24</v>
      </c>
      <c r="G3742">
        <f>IF(LEFT(B3742,1)="C","Credit","Factuur")</f>
        <v/>
      </c>
      <c r="H3742">
        <f>IF(AND(B3742=B3741,D3742=D3741,A3742=A3741,F3742=F3741),1,0)</f>
        <v/>
      </c>
      <c r="I3742">
        <f>IF(C3742="C99999",1,0)</f>
        <v/>
      </c>
      <c r="J3742" s="5">
        <f>IF(OR(H3742=1,I3742=1),0,IF(G3742="Credit",-F3742,F3742))</f>
        <v/>
      </c>
    </row>
    <row r="3743">
      <c r="A3743" t="inlineStr">
        <is>
          <t>2026-08-06</t>
        </is>
      </c>
      <c r="B3743" t="inlineStr">
        <is>
          <t>F285310</t>
        </is>
      </c>
      <c r="C3743" t="inlineStr">
        <is>
          <t>C11324</t>
        </is>
      </c>
      <c r="D3743" t="inlineStr">
        <is>
          <t>SKU-10196</t>
        </is>
      </c>
      <c r="E3743" t="inlineStr">
        <is>
          <t>AM03</t>
        </is>
      </c>
      <c r="F3743" s="5" t="n">
        <v>1679.73</v>
      </c>
      <c r="G3743">
        <f>IF(LEFT(B3743,1)="C","Credit","Factuur")</f>
        <v/>
      </c>
      <c r="H3743">
        <f>IF(AND(B3743=B3742,D3743=D3742,A3743=A3742,F3743=F3742),1,0)</f>
        <v/>
      </c>
      <c r="I3743">
        <f>IF(C3743="C99999",1,0)</f>
        <v/>
      </c>
      <c r="J3743" s="5">
        <f>IF(OR(H3743=1,I3743=1),0,IF(G3743="Credit",-F3743,F3743))</f>
        <v/>
      </c>
    </row>
    <row r="3744">
      <c r="A3744" t="inlineStr">
        <is>
          <t>2026-08-06</t>
        </is>
      </c>
      <c r="B3744" t="inlineStr">
        <is>
          <t>F285391</t>
        </is>
      </c>
      <c r="C3744" t="inlineStr">
        <is>
          <t>C11327</t>
        </is>
      </c>
      <c r="D3744" t="inlineStr">
        <is>
          <t>SKU-10237</t>
        </is>
      </c>
      <c r="E3744" t="inlineStr">
        <is>
          <t>AM11</t>
        </is>
      </c>
      <c r="F3744" s="5" t="n">
        <v>1242.86</v>
      </c>
      <c r="G3744">
        <f>IF(LEFT(B3744,1)="C","Credit","Factuur")</f>
        <v/>
      </c>
      <c r="H3744">
        <f>IF(AND(B3744=B3743,D3744=D3743,A3744=A3743,F3744=F3743),1,0)</f>
        <v/>
      </c>
      <c r="I3744">
        <f>IF(C3744="C99999",1,0)</f>
        <v/>
      </c>
      <c r="J3744" s="5">
        <f>IF(OR(H3744=1,I3744=1),0,IF(G3744="Credit",-F3744,F3744))</f>
        <v/>
      </c>
    </row>
    <row r="3745">
      <c r="A3745" t="inlineStr">
        <is>
          <t>2026-08-06</t>
        </is>
      </c>
      <c r="B3745" t="inlineStr">
        <is>
          <t>F285391</t>
        </is>
      </c>
      <c r="C3745" t="inlineStr">
        <is>
          <t>C11327</t>
        </is>
      </c>
      <c r="D3745" t="inlineStr">
        <is>
          <t>SKU-10360</t>
        </is>
      </c>
      <c r="E3745" t="inlineStr">
        <is>
          <t>AM11</t>
        </is>
      </c>
      <c r="F3745" s="5" t="n">
        <v>1376.48</v>
      </c>
      <c r="G3745">
        <f>IF(LEFT(B3745,1)="C","Credit","Factuur")</f>
        <v/>
      </c>
      <c r="H3745">
        <f>IF(AND(B3745=B3744,D3745=D3744,A3745=A3744,F3745=F3744),1,0)</f>
        <v/>
      </c>
      <c r="I3745">
        <f>IF(C3745="C99999",1,0)</f>
        <v/>
      </c>
      <c r="J3745" s="5">
        <f>IF(OR(H3745=1,I3745=1),0,IF(G3745="Credit",-F3745,F3745))</f>
        <v/>
      </c>
    </row>
    <row r="3746">
      <c r="A3746" t="inlineStr">
        <is>
          <t>2026-08-06</t>
        </is>
      </c>
      <c r="B3746" t="inlineStr">
        <is>
          <t>F286216</t>
        </is>
      </c>
      <c r="C3746" t="inlineStr">
        <is>
          <t>C11370</t>
        </is>
      </c>
      <c r="D3746" t="inlineStr">
        <is>
          <t>SKU-10096</t>
        </is>
      </c>
      <c r="E3746" t="inlineStr">
        <is>
          <t>AM09</t>
        </is>
      </c>
      <c r="F3746" s="5" t="n">
        <v>343.26</v>
      </c>
      <c r="G3746">
        <f>IF(LEFT(B3746,1)="C","Credit","Factuur")</f>
        <v/>
      </c>
      <c r="H3746">
        <f>IF(AND(B3746=B3745,D3746=D3745,A3746=A3745,F3746=F3745),1,0)</f>
        <v/>
      </c>
      <c r="I3746">
        <f>IF(C3746="C99999",1,0)</f>
        <v/>
      </c>
      <c r="J3746" s="5">
        <f>IF(OR(H3746=1,I3746=1),0,IF(G3746="Credit",-F3746,F3746))</f>
        <v/>
      </c>
    </row>
    <row r="3747">
      <c r="A3747" t="inlineStr">
        <is>
          <t>2026-08-06</t>
        </is>
      </c>
      <c r="B3747" t="inlineStr">
        <is>
          <t>F286216</t>
        </is>
      </c>
      <c r="C3747" t="inlineStr">
        <is>
          <t>C11370</t>
        </is>
      </c>
      <c r="D3747" t="inlineStr">
        <is>
          <t>SKU-10122</t>
        </is>
      </c>
      <c r="E3747" t="inlineStr">
        <is>
          <t>AM09</t>
        </is>
      </c>
      <c r="F3747" s="5" t="n">
        <v>357.12</v>
      </c>
      <c r="G3747">
        <f>IF(LEFT(B3747,1)="C","Credit","Factuur")</f>
        <v/>
      </c>
      <c r="H3747">
        <f>IF(AND(B3747=B3746,D3747=D3746,A3747=A3746,F3747=F3746),1,0)</f>
        <v/>
      </c>
      <c r="I3747">
        <f>IF(C3747="C99999",1,0)</f>
        <v/>
      </c>
      <c r="J3747" s="5">
        <f>IF(OR(H3747=1,I3747=1),0,IF(G3747="Credit",-F3747,F3747))</f>
        <v/>
      </c>
    </row>
    <row r="3748">
      <c r="A3748" t="inlineStr">
        <is>
          <t>2026-08-06</t>
        </is>
      </c>
      <c r="B3748" t="inlineStr">
        <is>
          <t>F286216</t>
        </is>
      </c>
      <c r="C3748" t="inlineStr">
        <is>
          <t>C11370</t>
        </is>
      </c>
      <c r="D3748" t="inlineStr">
        <is>
          <t>SKU-10134</t>
        </is>
      </c>
      <c r="E3748" t="inlineStr">
        <is>
          <t>AM09</t>
        </is>
      </c>
      <c r="F3748" s="5" t="n">
        <v>341.7</v>
      </c>
      <c r="G3748">
        <f>IF(LEFT(B3748,1)="C","Credit","Factuur")</f>
        <v/>
      </c>
      <c r="H3748">
        <f>IF(AND(B3748=B3747,D3748=D3747,A3748=A3747,F3748=F3747),1,0)</f>
        <v/>
      </c>
      <c r="I3748">
        <f>IF(C3748="C99999",1,0)</f>
        <v/>
      </c>
      <c r="J3748" s="5">
        <f>IF(OR(H3748=1,I3748=1),0,IF(G3748="Credit",-F3748,F3748))</f>
        <v/>
      </c>
    </row>
    <row r="3749">
      <c r="A3749" t="inlineStr">
        <is>
          <t>2026-08-06</t>
        </is>
      </c>
      <c r="B3749" t="inlineStr">
        <is>
          <t>F286216</t>
        </is>
      </c>
      <c r="C3749" t="inlineStr">
        <is>
          <t>C11370</t>
        </is>
      </c>
      <c r="D3749" t="inlineStr">
        <is>
          <t>SKU-10184</t>
        </is>
      </c>
      <c r="E3749" t="inlineStr">
        <is>
          <t>AM09</t>
        </is>
      </c>
      <c r="F3749" s="5" t="n">
        <v>264.59</v>
      </c>
      <c r="G3749">
        <f>IF(LEFT(B3749,1)="C","Credit","Factuur")</f>
        <v/>
      </c>
      <c r="H3749">
        <f>IF(AND(B3749=B3748,D3749=D3748,A3749=A3748,F3749=F3748),1,0)</f>
        <v/>
      </c>
      <c r="I3749">
        <f>IF(C3749="C99999",1,0)</f>
        <v/>
      </c>
      <c r="J3749" s="5">
        <f>IF(OR(H3749=1,I3749=1),0,IF(G3749="Credit",-F3749,F3749))</f>
        <v/>
      </c>
    </row>
    <row r="3750">
      <c r="A3750" t="inlineStr">
        <is>
          <t>2026-08-06</t>
        </is>
      </c>
      <c r="B3750" t="inlineStr">
        <is>
          <t>F286216</t>
        </is>
      </c>
      <c r="C3750" t="inlineStr">
        <is>
          <t>C11370</t>
        </is>
      </c>
      <c r="D3750" t="inlineStr">
        <is>
          <t>SKU-10306</t>
        </is>
      </c>
      <c r="E3750" t="inlineStr">
        <is>
          <t>AM09</t>
        </is>
      </c>
      <c r="F3750" s="5" t="n">
        <v>273.34</v>
      </c>
      <c r="G3750">
        <f>IF(LEFT(B3750,1)="C","Credit","Factuur")</f>
        <v/>
      </c>
      <c r="H3750">
        <f>IF(AND(B3750=B3749,D3750=D3749,A3750=A3749,F3750=F3749),1,0)</f>
        <v/>
      </c>
      <c r="I3750">
        <f>IF(C3750="C99999",1,0)</f>
        <v/>
      </c>
      <c r="J3750" s="5">
        <f>IF(OR(H3750=1,I3750=1),0,IF(G3750="Credit",-F3750,F3750))</f>
        <v/>
      </c>
    </row>
    <row r="3751">
      <c r="A3751" t="inlineStr">
        <is>
          <t>2026-08-07</t>
        </is>
      </c>
      <c r="B3751" t="inlineStr">
        <is>
          <t>C900994</t>
        </is>
      </c>
      <c r="C3751" t="inlineStr">
        <is>
          <t>C10747</t>
        </is>
      </c>
      <c r="D3751" t="inlineStr">
        <is>
          <t>SKU-10065</t>
        </is>
      </c>
      <c r="E3751" t="inlineStr">
        <is>
          <t>AM08</t>
        </is>
      </c>
      <c r="F3751" s="5" t="n">
        <v>177.37</v>
      </c>
      <c r="G3751">
        <f>IF(LEFT(B3751,1)="C","Credit","Factuur")</f>
        <v/>
      </c>
      <c r="H3751">
        <f>IF(AND(B3751=B3750,D3751=D3750,A3751=A3750,F3751=F3750),1,0)</f>
        <v/>
      </c>
      <c r="I3751">
        <f>IF(C3751="C99999",1,0)</f>
        <v/>
      </c>
      <c r="J3751" s="5">
        <f>IF(OR(H3751=1,I3751=1),0,IF(G3751="Credit",-F3751,F3751))</f>
        <v/>
      </c>
    </row>
    <row r="3752">
      <c r="A3752" t="inlineStr">
        <is>
          <t>2026-08-07</t>
        </is>
      </c>
      <c r="B3752" t="inlineStr">
        <is>
          <t>C901277</t>
        </is>
      </c>
      <c r="C3752" t="inlineStr">
        <is>
          <t>C10572</t>
        </is>
      </c>
      <c r="D3752" t="inlineStr">
        <is>
          <t>SKU-10022</t>
        </is>
      </c>
      <c r="E3752" t="inlineStr">
        <is>
          <t>AM05</t>
        </is>
      </c>
      <c r="F3752" s="5" t="n">
        <v>19.46</v>
      </c>
      <c r="G3752">
        <f>IF(LEFT(B3752,1)="C","Credit","Factuur")</f>
        <v/>
      </c>
      <c r="H3752">
        <f>IF(AND(B3752=B3751,D3752=D3751,A3752=A3751,F3752=F3751),1,0)</f>
        <v/>
      </c>
      <c r="I3752">
        <f>IF(C3752="C99999",1,0)</f>
        <v/>
      </c>
      <c r="J3752" s="5">
        <f>IF(OR(H3752=1,I3752=1),0,IF(G3752="Credit",-F3752,F3752))</f>
        <v/>
      </c>
    </row>
    <row r="3753">
      <c r="A3753" t="inlineStr">
        <is>
          <t>2026-08-07</t>
        </is>
      </c>
      <c r="B3753" t="inlineStr">
        <is>
          <t>F260015</t>
        </is>
      </c>
      <c r="C3753" t="inlineStr">
        <is>
          <t>C10002</t>
        </is>
      </c>
      <c r="D3753" t="inlineStr">
        <is>
          <t>SKU-10287</t>
        </is>
      </c>
      <c r="E3753" t="inlineStr">
        <is>
          <t>AM11</t>
        </is>
      </c>
      <c r="F3753" s="5" t="n">
        <v>1565.72</v>
      </c>
      <c r="G3753">
        <f>IF(LEFT(B3753,1)="C","Credit","Factuur")</f>
        <v/>
      </c>
      <c r="H3753">
        <f>IF(AND(B3753=B3752,D3753=D3752,A3753=A3752,F3753=F3752),1,0)</f>
        <v/>
      </c>
      <c r="I3753">
        <f>IF(C3753="C99999",1,0)</f>
        <v/>
      </c>
      <c r="J3753" s="5">
        <f>IF(OR(H3753=1,I3753=1),0,IF(G3753="Credit",-F3753,F3753))</f>
        <v/>
      </c>
    </row>
    <row r="3754">
      <c r="A3754" t="inlineStr">
        <is>
          <t>2026-08-07</t>
        </is>
      </c>
      <c r="B3754" t="inlineStr">
        <is>
          <t>F260015</t>
        </is>
      </c>
      <c r="C3754" t="inlineStr">
        <is>
          <t>C10002</t>
        </is>
      </c>
      <c r="D3754" t="inlineStr">
        <is>
          <t>SKU-10339</t>
        </is>
      </c>
      <c r="E3754" t="inlineStr">
        <is>
          <t>AM11</t>
        </is>
      </c>
      <c r="F3754" s="5" t="n">
        <v>1565.2</v>
      </c>
      <c r="G3754">
        <f>IF(LEFT(B3754,1)="C","Credit","Factuur")</f>
        <v/>
      </c>
      <c r="H3754">
        <f>IF(AND(B3754=B3753,D3754=D3753,A3754=A3753,F3754=F3753),1,0)</f>
        <v/>
      </c>
      <c r="I3754">
        <f>IF(C3754="C99999",1,0)</f>
        <v/>
      </c>
      <c r="J3754" s="5">
        <f>IF(OR(H3754=1,I3754=1),0,IF(G3754="Credit",-F3754,F3754))</f>
        <v/>
      </c>
    </row>
    <row r="3755">
      <c r="A3755" t="inlineStr">
        <is>
          <t>2026-08-07</t>
        </is>
      </c>
      <c r="B3755" t="inlineStr">
        <is>
          <t>F260480</t>
        </is>
      </c>
      <c r="C3755" t="inlineStr">
        <is>
          <t>C10026</t>
        </is>
      </c>
      <c r="D3755" t="inlineStr">
        <is>
          <t>SKU-10023</t>
        </is>
      </c>
      <c r="E3755" t="inlineStr">
        <is>
          <t>AM11</t>
        </is>
      </c>
      <c r="F3755" s="5" t="n">
        <v>405.76</v>
      </c>
      <c r="G3755">
        <f>IF(LEFT(B3755,1)="C","Credit","Factuur")</f>
        <v/>
      </c>
      <c r="H3755">
        <f>IF(AND(B3755=B3754,D3755=D3754,A3755=A3754,F3755=F3754),1,0)</f>
        <v/>
      </c>
      <c r="I3755">
        <f>IF(C3755="C99999",1,0)</f>
        <v/>
      </c>
      <c r="J3755" s="5">
        <f>IF(OR(H3755=1,I3755=1),0,IF(G3755="Credit",-F3755,F3755))</f>
        <v/>
      </c>
    </row>
    <row r="3756">
      <c r="A3756" t="inlineStr">
        <is>
          <t>2026-08-07</t>
        </is>
      </c>
      <c r="B3756" t="inlineStr">
        <is>
          <t>F260480</t>
        </is>
      </c>
      <c r="C3756" t="inlineStr">
        <is>
          <t>C10026</t>
        </is>
      </c>
      <c r="D3756" t="inlineStr">
        <is>
          <t>SKU-10237</t>
        </is>
      </c>
      <c r="E3756" t="inlineStr">
        <is>
          <t>AM11</t>
        </is>
      </c>
      <c r="F3756" s="5" t="n">
        <v>443.88</v>
      </c>
      <c r="G3756">
        <f>IF(LEFT(B3756,1)="C","Credit","Factuur")</f>
        <v/>
      </c>
      <c r="H3756">
        <f>IF(AND(B3756=B3755,D3756=D3755,A3756=A3755,F3756=F3755),1,0)</f>
        <v/>
      </c>
      <c r="I3756">
        <f>IF(C3756="C99999",1,0)</f>
        <v/>
      </c>
      <c r="J3756" s="5">
        <f>IF(OR(H3756=1,I3756=1),0,IF(G3756="Credit",-F3756,F3756))</f>
        <v/>
      </c>
    </row>
    <row r="3757">
      <c r="A3757" t="inlineStr">
        <is>
          <t>2026-08-07</t>
        </is>
      </c>
      <c r="B3757" t="inlineStr">
        <is>
          <t>F260480</t>
        </is>
      </c>
      <c r="C3757" t="inlineStr">
        <is>
          <t>C10026</t>
        </is>
      </c>
      <c r="D3757" t="inlineStr">
        <is>
          <t>SKU-10242</t>
        </is>
      </c>
      <c r="E3757" t="inlineStr">
        <is>
          <t>AM11</t>
        </is>
      </c>
      <c r="F3757" s="5" t="n">
        <v>444</v>
      </c>
      <c r="G3757">
        <f>IF(LEFT(B3757,1)="C","Credit","Factuur")</f>
        <v/>
      </c>
      <c r="H3757">
        <f>IF(AND(B3757=B3756,D3757=D3756,A3757=A3756,F3757=F3756),1,0)</f>
        <v/>
      </c>
      <c r="I3757">
        <f>IF(C3757="C99999",1,0)</f>
        <v/>
      </c>
      <c r="J3757" s="5">
        <f>IF(OR(H3757=1,I3757=1),0,IF(G3757="Credit",-F3757,F3757))</f>
        <v/>
      </c>
    </row>
    <row r="3758">
      <c r="A3758" t="inlineStr">
        <is>
          <t>2026-08-07</t>
        </is>
      </c>
      <c r="B3758" t="inlineStr">
        <is>
          <t>F260631</t>
        </is>
      </c>
      <c r="C3758" t="inlineStr">
        <is>
          <t>C10035</t>
        </is>
      </c>
      <c r="D3758" t="inlineStr">
        <is>
          <t>SKU-10038</t>
        </is>
      </c>
      <c r="E3758" t="inlineStr">
        <is>
          <t>AM07</t>
        </is>
      </c>
      <c r="F3758" s="5" t="n">
        <v>907.92</v>
      </c>
      <c r="G3758">
        <f>IF(LEFT(B3758,1)="C","Credit","Factuur")</f>
        <v/>
      </c>
      <c r="H3758">
        <f>IF(AND(B3758=B3757,D3758=D3757,A3758=A3757,F3758=F3757),1,0)</f>
        <v/>
      </c>
      <c r="I3758">
        <f>IF(C3758="C99999",1,0)</f>
        <v/>
      </c>
      <c r="J3758" s="5">
        <f>IF(OR(H3758=1,I3758=1),0,IF(G3758="Credit",-F3758,F3758))</f>
        <v/>
      </c>
    </row>
    <row r="3759">
      <c r="A3759" t="inlineStr">
        <is>
          <t>2026-08-07</t>
        </is>
      </c>
      <c r="B3759" t="inlineStr">
        <is>
          <t>F260631</t>
        </is>
      </c>
      <c r="C3759" t="inlineStr">
        <is>
          <t>C10035</t>
        </is>
      </c>
      <c r="D3759" t="inlineStr">
        <is>
          <t>SKU-10226</t>
        </is>
      </c>
      <c r="E3759" t="inlineStr">
        <is>
          <t>AM07</t>
        </is>
      </c>
      <c r="F3759" s="5" t="n">
        <v>853.79</v>
      </c>
      <c r="G3759">
        <f>IF(LEFT(B3759,1)="C","Credit","Factuur")</f>
        <v/>
      </c>
      <c r="H3759">
        <f>IF(AND(B3759=B3758,D3759=D3758,A3759=A3758,F3759=F3758),1,0)</f>
        <v/>
      </c>
      <c r="I3759">
        <f>IF(C3759="C99999",1,0)</f>
        <v/>
      </c>
      <c r="J3759" s="5">
        <f>IF(OR(H3759=1,I3759=1),0,IF(G3759="Credit",-F3759,F3759))</f>
        <v/>
      </c>
    </row>
    <row r="3760">
      <c r="A3760" t="inlineStr">
        <is>
          <t>2026-08-07</t>
        </is>
      </c>
      <c r="B3760" t="inlineStr">
        <is>
          <t>F260759</t>
        </is>
      </c>
      <c r="C3760" t="inlineStr">
        <is>
          <t>C10046</t>
        </is>
      </c>
      <c r="D3760" t="inlineStr">
        <is>
          <t>SKU-10048</t>
        </is>
      </c>
      <c r="E3760" t="inlineStr">
        <is>
          <t>AM07</t>
        </is>
      </c>
      <c r="F3760" s="5" t="n">
        <v>52.61</v>
      </c>
      <c r="G3760">
        <f>IF(LEFT(B3760,1)="C","Credit","Factuur")</f>
        <v/>
      </c>
      <c r="H3760">
        <f>IF(AND(B3760=B3759,D3760=D3759,A3760=A3759,F3760=F3759),1,0)</f>
        <v/>
      </c>
      <c r="I3760">
        <f>IF(C3760="C99999",1,0)</f>
        <v/>
      </c>
      <c r="J3760" s="5">
        <f>IF(OR(H3760=1,I3760=1),0,IF(G3760="Credit",-F3760,F3760))</f>
        <v/>
      </c>
    </row>
    <row r="3761">
      <c r="A3761" t="inlineStr">
        <is>
          <t>2026-08-07</t>
        </is>
      </c>
      <c r="B3761" t="inlineStr">
        <is>
          <t>F260759</t>
        </is>
      </c>
      <c r="C3761" t="inlineStr">
        <is>
          <t>C10046</t>
        </is>
      </c>
      <c r="D3761" t="inlineStr">
        <is>
          <t>SKU-10195</t>
        </is>
      </c>
      <c r="E3761" t="inlineStr">
        <is>
          <t>AM07</t>
        </is>
      </c>
      <c r="F3761" s="5" t="n">
        <v>56.04</v>
      </c>
      <c r="G3761">
        <f>IF(LEFT(B3761,1)="C","Credit","Factuur")</f>
        <v/>
      </c>
      <c r="H3761">
        <f>IF(AND(B3761=B3760,D3761=D3760,A3761=A3760,F3761=F3760),1,0)</f>
        <v/>
      </c>
      <c r="I3761">
        <f>IF(C3761="C99999",1,0)</f>
        <v/>
      </c>
      <c r="J3761" s="5">
        <f>IF(OR(H3761=1,I3761=1),0,IF(G3761="Credit",-F3761,F3761))</f>
        <v/>
      </c>
    </row>
    <row r="3762">
      <c r="A3762" t="inlineStr">
        <is>
          <t>2026-08-07</t>
        </is>
      </c>
      <c r="B3762" t="inlineStr">
        <is>
          <t>F260759</t>
        </is>
      </c>
      <c r="C3762" t="inlineStr">
        <is>
          <t>C10046</t>
        </is>
      </c>
      <c r="D3762" t="inlineStr">
        <is>
          <t>SKU-10204</t>
        </is>
      </c>
      <c r="E3762" t="inlineStr">
        <is>
          <t>AM07</t>
        </is>
      </c>
      <c r="F3762" s="5" t="n">
        <v>58.71</v>
      </c>
      <c r="G3762">
        <f>IF(LEFT(B3762,1)="C","Credit","Factuur")</f>
        <v/>
      </c>
      <c r="H3762">
        <f>IF(AND(B3762=B3761,D3762=D3761,A3762=A3761,F3762=F3761),1,0)</f>
        <v/>
      </c>
      <c r="I3762">
        <f>IF(C3762="C99999",1,0)</f>
        <v/>
      </c>
      <c r="J3762" s="5">
        <f>IF(OR(H3762=1,I3762=1),0,IF(G3762="Credit",-F3762,F3762))</f>
        <v/>
      </c>
    </row>
    <row r="3763">
      <c r="A3763" t="inlineStr">
        <is>
          <t>2026-08-07</t>
        </is>
      </c>
      <c r="B3763" t="inlineStr">
        <is>
          <t>F260759</t>
        </is>
      </c>
      <c r="C3763" t="inlineStr">
        <is>
          <t>C10046</t>
        </is>
      </c>
      <c r="D3763" t="inlineStr">
        <is>
          <t>SKU-10340</t>
        </is>
      </c>
      <c r="E3763" t="inlineStr">
        <is>
          <t>AM07</t>
        </is>
      </c>
      <c r="F3763" s="5" t="n">
        <v>63.04</v>
      </c>
      <c r="G3763">
        <f>IF(LEFT(B3763,1)="C","Credit","Factuur")</f>
        <v/>
      </c>
      <c r="H3763">
        <f>IF(AND(B3763=B3762,D3763=D3762,A3763=A3762,F3763=F3762),1,0)</f>
        <v/>
      </c>
      <c r="I3763">
        <f>IF(C3763="C99999",1,0)</f>
        <v/>
      </c>
      <c r="J3763" s="5">
        <f>IF(OR(H3763=1,I3763=1),0,IF(G3763="Credit",-F3763,F3763))</f>
        <v/>
      </c>
    </row>
    <row r="3764">
      <c r="A3764" t="inlineStr">
        <is>
          <t>2026-08-07</t>
        </is>
      </c>
      <c r="B3764" t="inlineStr">
        <is>
          <t>F260990</t>
        </is>
      </c>
      <c r="C3764" t="inlineStr">
        <is>
          <t>C10057</t>
        </is>
      </c>
      <c r="D3764" t="inlineStr">
        <is>
          <t>SKU-10137</t>
        </is>
      </c>
      <c r="E3764" t="inlineStr">
        <is>
          <t>AM03</t>
        </is>
      </c>
      <c r="F3764" s="5" t="n">
        <v>581.1</v>
      </c>
      <c r="G3764">
        <f>IF(LEFT(B3764,1)="C","Credit","Factuur")</f>
        <v/>
      </c>
      <c r="H3764">
        <f>IF(AND(B3764=B3763,D3764=D3763,A3764=A3763,F3764=F3763),1,0)</f>
        <v/>
      </c>
      <c r="I3764">
        <f>IF(C3764="C99999",1,0)</f>
        <v/>
      </c>
      <c r="J3764" s="5">
        <f>IF(OR(H3764=1,I3764=1),0,IF(G3764="Credit",-F3764,F3764))</f>
        <v/>
      </c>
    </row>
    <row r="3765">
      <c r="A3765" t="inlineStr">
        <is>
          <t>2026-08-07</t>
        </is>
      </c>
      <c r="B3765" t="inlineStr">
        <is>
          <t>F260990</t>
        </is>
      </c>
      <c r="C3765" t="inlineStr">
        <is>
          <t>C10057</t>
        </is>
      </c>
      <c r="D3765" t="inlineStr">
        <is>
          <t>SKU-10315</t>
        </is>
      </c>
      <c r="E3765" t="inlineStr">
        <is>
          <t>AM03</t>
        </is>
      </c>
      <c r="F3765" s="5" t="n">
        <v>598.95</v>
      </c>
      <c r="G3765">
        <f>IF(LEFT(B3765,1)="C","Credit","Factuur")</f>
        <v/>
      </c>
      <c r="H3765">
        <f>IF(AND(B3765=B3764,D3765=D3764,A3765=A3764,F3765=F3764),1,0)</f>
        <v/>
      </c>
      <c r="I3765">
        <f>IF(C3765="C99999",1,0)</f>
        <v/>
      </c>
      <c r="J3765" s="5">
        <f>IF(OR(H3765=1,I3765=1),0,IF(G3765="Credit",-F3765,F3765))</f>
        <v/>
      </c>
    </row>
    <row r="3766">
      <c r="A3766" t="inlineStr">
        <is>
          <t>2026-08-07</t>
        </is>
      </c>
      <c r="B3766" t="inlineStr">
        <is>
          <t>F260990</t>
        </is>
      </c>
      <c r="C3766" t="inlineStr">
        <is>
          <t>C10057</t>
        </is>
      </c>
      <c r="D3766" t="inlineStr">
        <is>
          <t>SKU-10317</t>
        </is>
      </c>
      <c r="E3766" t="inlineStr">
        <is>
          <t>AM03</t>
        </is>
      </c>
      <c r="F3766" s="5" t="n">
        <v>609.62</v>
      </c>
      <c r="G3766">
        <f>IF(LEFT(B3766,1)="C","Credit","Factuur")</f>
        <v/>
      </c>
      <c r="H3766">
        <f>IF(AND(B3766=B3765,D3766=D3765,A3766=A3765,F3766=F3765),1,0)</f>
        <v/>
      </c>
      <c r="I3766">
        <f>IF(C3766="C99999",1,0)</f>
        <v/>
      </c>
      <c r="J3766" s="5">
        <f>IF(OR(H3766=1,I3766=1),0,IF(G3766="Credit",-F3766,F3766))</f>
        <v/>
      </c>
    </row>
    <row r="3767">
      <c r="A3767" t="inlineStr">
        <is>
          <t>2026-08-07</t>
        </is>
      </c>
      <c r="B3767" t="inlineStr">
        <is>
          <t>F260990</t>
        </is>
      </c>
      <c r="C3767" t="inlineStr">
        <is>
          <t>C10057</t>
        </is>
      </c>
      <c r="D3767" t="inlineStr">
        <is>
          <t>SKU-10339</t>
        </is>
      </c>
      <c r="E3767" t="inlineStr">
        <is>
          <t>AM03</t>
        </is>
      </c>
      <c r="F3767" s="5" t="n">
        <v>602</v>
      </c>
      <c r="G3767">
        <f>IF(LEFT(B3767,1)="C","Credit","Factuur")</f>
        <v/>
      </c>
      <c r="H3767">
        <f>IF(AND(B3767=B3766,D3767=D3766,A3767=A3766,F3767=F3766),1,0)</f>
        <v/>
      </c>
      <c r="I3767">
        <f>IF(C3767="C99999",1,0)</f>
        <v/>
      </c>
      <c r="J3767" s="5">
        <f>IF(OR(H3767=1,I3767=1),0,IF(G3767="Credit",-F3767,F3767))</f>
        <v/>
      </c>
    </row>
    <row r="3768">
      <c r="A3768" t="inlineStr">
        <is>
          <t>2026-08-07</t>
        </is>
      </c>
      <c r="B3768" t="inlineStr">
        <is>
          <t>F261104</t>
        </is>
      </c>
      <c r="C3768" t="inlineStr">
        <is>
          <t>C10062</t>
        </is>
      </c>
      <c r="D3768" t="inlineStr">
        <is>
          <t>SKU-10015</t>
        </is>
      </c>
      <c r="E3768" t="inlineStr">
        <is>
          <t>AM05</t>
        </is>
      </c>
      <c r="F3768" s="5" t="n">
        <v>186.54</v>
      </c>
      <c r="G3768">
        <f>IF(LEFT(B3768,1)="C","Credit","Factuur")</f>
        <v/>
      </c>
      <c r="H3768">
        <f>IF(AND(B3768=B3767,D3768=D3767,A3768=A3767,F3768=F3767),1,0)</f>
        <v/>
      </c>
      <c r="I3768">
        <f>IF(C3768="C99999",1,0)</f>
        <v/>
      </c>
      <c r="J3768" s="5">
        <f>IF(OR(H3768=1,I3768=1),0,IF(G3768="Credit",-F3768,F3768))</f>
        <v/>
      </c>
    </row>
    <row r="3769">
      <c r="A3769" t="inlineStr">
        <is>
          <t>2026-08-07</t>
        </is>
      </c>
      <c r="B3769" t="inlineStr">
        <is>
          <t>F261104</t>
        </is>
      </c>
      <c r="C3769" t="inlineStr">
        <is>
          <t>C10062</t>
        </is>
      </c>
      <c r="D3769" t="inlineStr">
        <is>
          <t>SKU-10068</t>
        </is>
      </c>
      <c r="E3769" t="inlineStr">
        <is>
          <t>AM05</t>
        </is>
      </c>
      <c r="F3769" s="5" t="n">
        <v>174.24</v>
      </c>
      <c r="G3769">
        <f>IF(LEFT(B3769,1)="C","Credit","Factuur")</f>
        <v/>
      </c>
      <c r="H3769">
        <f>IF(AND(B3769=B3768,D3769=D3768,A3769=A3768,F3769=F3768),1,0)</f>
        <v/>
      </c>
      <c r="I3769">
        <f>IF(C3769="C99999",1,0)</f>
        <v/>
      </c>
      <c r="J3769" s="5">
        <f>IF(OR(H3769=1,I3769=1),0,IF(G3769="Credit",-F3769,F3769))</f>
        <v/>
      </c>
    </row>
    <row r="3770">
      <c r="A3770" t="inlineStr">
        <is>
          <t>2026-08-07</t>
        </is>
      </c>
      <c r="B3770" t="inlineStr">
        <is>
          <t>F261104</t>
        </is>
      </c>
      <c r="C3770" t="inlineStr">
        <is>
          <t>C10062</t>
        </is>
      </c>
      <c r="D3770" t="inlineStr">
        <is>
          <t>SKU-10323</t>
        </is>
      </c>
      <c r="E3770" t="inlineStr">
        <is>
          <t>AM05</t>
        </is>
      </c>
      <c r="F3770" s="5" t="n">
        <v>167.67</v>
      </c>
      <c r="G3770">
        <f>IF(LEFT(B3770,1)="C","Credit","Factuur")</f>
        <v/>
      </c>
      <c r="H3770">
        <f>IF(AND(B3770=B3769,D3770=D3769,A3770=A3769,F3770=F3769),1,0)</f>
        <v/>
      </c>
      <c r="I3770">
        <f>IF(C3770="C99999",1,0)</f>
        <v/>
      </c>
      <c r="J3770" s="5">
        <f>IF(OR(H3770=1,I3770=1),0,IF(G3770="Credit",-F3770,F3770))</f>
        <v/>
      </c>
    </row>
    <row r="3771">
      <c r="A3771" t="inlineStr">
        <is>
          <t>2026-08-07</t>
        </is>
      </c>
      <c r="B3771" t="inlineStr">
        <is>
          <t>F261104</t>
        </is>
      </c>
      <c r="C3771" t="inlineStr">
        <is>
          <t>C10062</t>
        </is>
      </c>
      <c r="D3771" t="inlineStr">
        <is>
          <t>SKU-10365</t>
        </is>
      </c>
      <c r="E3771" t="inlineStr">
        <is>
          <t>AM05</t>
        </is>
      </c>
      <c r="F3771" s="5" t="n">
        <v>286.22</v>
      </c>
      <c r="G3771">
        <f>IF(LEFT(B3771,1)="C","Credit","Factuur")</f>
        <v/>
      </c>
      <c r="H3771">
        <f>IF(AND(B3771=B3770,D3771=D3770,A3771=A3770,F3771=F3770),1,0)</f>
        <v/>
      </c>
      <c r="I3771">
        <f>IF(C3771="C99999",1,0)</f>
        <v/>
      </c>
      <c r="J3771" s="5">
        <f>IF(OR(H3771=1,I3771=1),0,IF(G3771="Credit",-F3771,F3771))</f>
        <v/>
      </c>
    </row>
    <row r="3772">
      <c r="A3772" t="inlineStr">
        <is>
          <t>2026-08-07</t>
        </is>
      </c>
      <c r="B3772" t="inlineStr">
        <is>
          <t>F261551</t>
        </is>
      </c>
      <c r="C3772" t="inlineStr">
        <is>
          <t>C10082</t>
        </is>
      </c>
      <c r="D3772" t="inlineStr">
        <is>
          <t>SKU-10006</t>
        </is>
      </c>
      <c r="E3772" t="inlineStr">
        <is>
          <t>AM09</t>
        </is>
      </c>
      <c r="F3772" s="5" t="n">
        <v>3804.8</v>
      </c>
      <c r="G3772">
        <f>IF(LEFT(B3772,1)="C","Credit","Factuur")</f>
        <v/>
      </c>
      <c r="H3772">
        <f>IF(AND(B3772=B3771,D3772=D3771,A3772=A3771,F3772=F3771),1,0)</f>
        <v/>
      </c>
      <c r="I3772">
        <f>IF(C3772="C99999",1,0)</f>
        <v/>
      </c>
      <c r="J3772" s="5">
        <f>IF(OR(H3772=1,I3772=1),0,IF(G3772="Credit",-F3772,F3772))</f>
        <v/>
      </c>
    </row>
    <row r="3773">
      <c r="A3773" t="inlineStr">
        <is>
          <t>2026-08-07</t>
        </is>
      </c>
      <c r="B3773" t="inlineStr">
        <is>
          <t>F261551</t>
        </is>
      </c>
      <c r="C3773" t="inlineStr">
        <is>
          <t>C10082</t>
        </is>
      </c>
      <c r="D3773" t="inlineStr">
        <is>
          <t>SKU-10276</t>
        </is>
      </c>
      <c r="E3773" t="inlineStr">
        <is>
          <t>AM09</t>
        </is>
      </c>
      <c r="F3773" s="5" t="n">
        <v>3800.16</v>
      </c>
      <c r="G3773">
        <f>IF(LEFT(B3773,1)="C","Credit","Factuur")</f>
        <v/>
      </c>
      <c r="H3773">
        <f>IF(AND(B3773=B3772,D3773=D3772,A3773=A3772,F3773=F3772),1,0)</f>
        <v/>
      </c>
      <c r="I3773">
        <f>IF(C3773="C99999",1,0)</f>
        <v/>
      </c>
      <c r="J3773" s="5">
        <f>IF(OR(H3773=1,I3773=1),0,IF(G3773="Credit",-F3773,F3773))</f>
        <v/>
      </c>
    </row>
    <row r="3774">
      <c r="A3774" t="inlineStr">
        <is>
          <t>2026-08-07</t>
        </is>
      </c>
      <c r="B3774" t="inlineStr">
        <is>
          <t>F261551</t>
        </is>
      </c>
      <c r="C3774" t="inlineStr">
        <is>
          <t>C10082</t>
        </is>
      </c>
      <c r="D3774" t="inlineStr">
        <is>
          <t>SKU-10280</t>
        </is>
      </c>
      <c r="E3774" t="inlineStr">
        <is>
          <t>AM09</t>
        </is>
      </c>
      <c r="F3774" s="5" t="n">
        <v>3615.62</v>
      </c>
      <c r="G3774">
        <f>IF(LEFT(B3774,1)="C","Credit","Factuur")</f>
        <v/>
      </c>
      <c r="H3774">
        <f>IF(AND(B3774=B3773,D3774=D3773,A3774=A3773,F3774=F3773),1,0)</f>
        <v/>
      </c>
      <c r="I3774">
        <f>IF(C3774="C99999",1,0)</f>
        <v/>
      </c>
      <c r="J3774" s="5">
        <f>IF(OR(H3774=1,I3774=1),0,IF(G3774="Credit",-F3774,F3774))</f>
        <v/>
      </c>
    </row>
    <row r="3775">
      <c r="A3775" t="inlineStr">
        <is>
          <t>2026-08-07</t>
        </is>
      </c>
      <c r="B3775" t="inlineStr">
        <is>
          <t>F261551</t>
        </is>
      </c>
      <c r="C3775" t="inlineStr">
        <is>
          <t>C10082</t>
        </is>
      </c>
      <c r="D3775" t="inlineStr">
        <is>
          <t>SKU-10294</t>
        </is>
      </c>
      <c r="E3775" t="inlineStr">
        <is>
          <t>AM09</t>
        </is>
      </c>
      <c r="F3775" s="5" t="n">
        <v>3607.73</v>
      </c>
      <c r="G3775">
        <f>IF(LEFT(B3775,1)="C","Credit","Factuur")</f>
        <v/>
      </c>
      <c r="H3775">
        <f>IF(AND(B3775=B3774,D3775=D3774,A3775=A3774,F3775=F3774),1,0)</f>
        <v/>
      </c>
      <c r="I3775">
        <f>IF(C3775="C99999",1,0)</f>
        <v/>
      </c>
      <c r="J3775" s="5">
        <f>IF(OR(H3775=1,I3775=1),0,IF(G3775="Credit",-F3775,F3775))</f>
        <v/>
      </c>
    </row>
    <row r="3776">
      <c r="A3776" t="inlineStr">
        <is>
          <t>2026-08-07</t>
        </is>
      </c>
      <c r="B3776" t="inlineStr">
        <is>
          <t>F261551</t>
        </is>
      </c>
      <c r="C3776" t="inlineStr">
        <is>
          <t>C10082</t>
        </is>
      </c>
      <c r="D3776" t="inlineStr">
        <is>
          <t>SKU-10333</t>
        </is>
      </c>
      <c r="E3776" t="inlineStr">
        <is>
          <t>AM09</t>
        </is>
      </c>
      <c r="F3776" s="5" t="n">
        <v>3800.61</v>
      </c>
      <c r="G3776">
        <f>IF(LEFT(B3776,1)="C","Credit","Factuur")</f>
        <v/>
      </c>
      <c r="H3776">
        <f>IF(AND(B3776=B3775,D3776=D3775,A3776=A3775,F3776=F3775),1,0)</f>
        <v/>
      </c>
      <c r="I3776">
        <f>IF(C3776="C99999",1,0)</f>
        <v/>
      </c>
      <c r="J3776" s="5">
        <f>IF(OR(H3776=1,I3776=1),0,IF(G3776="Credit",-F3776,F3776))</f>
        <v/>
      </c>
    </row>
    <row r="3777">
      <c r="A3777" t="inlineStr">
        <is>
          <t>2026-08-07</t>
        </is>
      </c>
      <c r="B3777" t="inlineStr">
        <is>
          <t>F262010</t>
        </is>
      </c>
      <c r="C3777" t="inlineStr">
        <is>
          <t>C10107</t>
        </is>
      </c>
      <c r="D3777" t="inlineStr">
        <is>
          <t>SKU-10046</t>
        </is>
      </c>
      <c r="E3777" t="inlineStr">
        <is>
          <t>AM11</t>
        </is>
      </c>
      <c r="F3777" s="5" t="n">
        <v>702.21</v>
      </c>
      <c r="G3777">
        <f>IF(LEFT(B3777,1)="C","Credit","Factuur")</f>
        <v/>
      </c>
      <c r="H3777">
        <f>IF(AND(B3777=B3776,D3777=D3776,A3777=A3776,F3777=F3776),1,0)</f>
        <v/>
      </c>
      <c r="I3777">
        <f>IF(C3777="C99999",1,0)</f>
        <v/>
      </c>
      <c r="J3777" s="5">
        <f>IF(OR(H3777=1,I3777=1),0,IF(G3777="Credit",-F3777,F3777))</f>
        <v/>
      </c>
    </row>
    <row r="3778">
      <c r="A3778" t="inlineStr">
        <is>
          <t>2026-08-07</t>
        </is>
      </c>
      <c r="B3778" t="inlineStr">
        <is>
          <t>F262010</t>
        </is>
      </c>
      <c r="C3778" t="inlineStr">
        <is>
          <t>C10107</t>
        </is>
      </c>
      <c r="D3778" t="inlineStr">
        <is>
          <t>SKU-10155</t>
        </is>
      </c>
      <c r="E3778" t="inlineStr">
        <is>
          <t>AM11</t>
        </is>
      </c>
      <c r="F3778" s="5" t="n">
        <v>699.2</v>
      </c>
      <c r="G3778">
        <f>IF(LEFT(B3778,1)="C","Credit","Factuur")</f>
        <v/>
      </c>
      <c r="H3778">
        <f>IF(AND(B3778=B3777,D3778=D3777,A3778=A3777,F3778=F3777),1,0)</f>
        <v/>
      </c>
      <c r="I3778">
        <f>IF(C3778="C99999",1,0)</f>
        <v/>
      </c>
      <c r="J3778" s="5">
        <f>IF(OR(H3778=1,I3778=1),0,IF(G3778="Credit",-F3778,F3778))</f>
        <v/>
      </c>
    </row>
    <row r="3779">
      <c r="A3779" t="inlineStr">
        <is>
          <t>2026-08-07</t>
        </is>
      </c>
      <c r="B3779" t="inlineStr">
        <is>
          <t>F262437</t>
        </is>
      </c>
      <c r="C3779" t="inlineStr">
        <is>
          <t>C10130</t>
        </is>
      </c>
      <c r="D3779" t="inlineStr">
        <is>
          <t>SKU-10006</t>
        </is>
      </c>
      <c r="E3779" t="inlineStr">
        <is>
          <t>AM01</t>
        </is>
      </c>
      <c r="F3779" s="5" t="n">
        <v>254.74</v>
      </c>
      <c r="G3779">
        <f>IF(LEFT(B3779,1)="C","Credit","Factuur")</f>
        <v/>
      </c>
      <c r="H3779">
        <f>IF(AND(B3779=B3778,D3779=D3778,A3779=A3778,F3779=F3778),1,0)</f>
        <v/>
      </c>
      <c r="I3779">
        <f>IF(C3779="C99999",1,0)</f>
        <v/>
      </c>
      <c r="J3779" s="5">
        <f>IF(OR(H3779=1,I3779=1),0,IF(G3779="Credit",-F3779,F3779))</f>
        <v/>
      </c>
    </row>
    <row r="3780">
      <c r="A3780" t="inlineStr">
        <is>
          <t>2026-08-07</t>
        </is>
      </c>
      <c r="B3780" t="inlineStr">
        <is>
          <t>F262437</t>
        </is>
      </c>
      <c r="C3780" t="inlineStr">
        <is>
          <t>C10130</t>
        </is>
      </c>
      <c r="D3780" t="inlineStr">
        <is>
          <t>SKU-10229</t>
        </is>
      </c>
      <c r="E3780" t="inlineStr">
        <is>
          <t>AM01</t>
        </is>
      </c>
      <c r="F3780" s="5" t="n">
        <v>280.96</v>
      </c>
      <c r="G3780">
        <f>IF(LEFT(B3780,1)="C","Credit","Factuur")</f>
        <v/>
      </c>
      <c r="H3780">
        <f>IF(AND(B3780=B3779,D3780=D3779,A3780=A3779,F3780=F3779),1,0)</f>
        <v/>
      </c>
      <c r="I3780">
        <f>IF(C3780="C99999",1,0)</f>
        <v/>
      </c>
      <c r="J3780" s="5">
        <f>IF(OR(H3780=1,I3780=1),0,IF(G3780="Credit",-F3780,F3780))</f>
        <v/>
      </c>
    </row>
    <row r="3781">
      <c r="A3781" t="inlineStr">
        <is>
          <t>2026-08-07</t>
        </is>
      </c>
      <c r="B3781" t="inlineStr">
        <is>
          <t>F262437</t>
        </is>
      </c>
      <c r="C3781" t="inlineStr">
        <is>
          <t>C10130</t>
        </is>
      </c>
      <c r="D3781" t="inlineStr">
        <is>
          <t>SKU-10379</t>
        </is>
      </c>
      <c r="E3781" t="inlineStr">
        <is>
          <t>AM01</t>
        </is>
      </c>
      <c r="F3781" s="5" t="n">
        <v>286.14</v>
      </c>
      <c r="G3781">
        <f>IF(LEFT(B3781,1)="C","Credit","Factuur")</f>
        <v/>
      </c>
      <c r="H3781">
        <f>IF(AND(B3781=B3780,D3781=D3780,A3781=A3780,F3781=F3780),1,0)</f>
        <v/>
      </c>
      <c r="I3781">
        <f>IF(C3781="C99999",1,0)</f>
        <v/>
      </c>
      <c r="J3781" s="5">
        <f>IF(OR(H3781=1,I3781=1),0,IF(G3781="Credit",-F3781,F3781))</f>
        <v/>
      </c>
    </row>
    <row r="3782">
      <c r="A3782" t="inlineStr">
        <is>
          <t>2026-08-07</t>
        </is>
      </c>
      <c r="B3782" t="inlineStr">
        <is>
          <t>F263217</t>
        </is>
      </c>
      <c r="C3782" t="inlineStr">
        <is>
          <t>C10172</t>
        </is>
      </c>
      <c r="D3782" t="inlineStr">
        <is>
          <t>SKU-10018</t>
        </is>
      </c>
      <c r="E3782" t="inlineStr">
        <is>
          <t>AM02</t>
        </is>
      </c>
      <c r="F3782" s="5" t="n">
        <v>141.53</v>
      </c>
      <c r="G3782">
        <f>IF(LEFT(B3782,1)="C","Credit","Factuur")</f>
        <v/>
      </c>
      <c r="H3782">
        <f>IF(AND(B3782=B3781,D3782=D3781,A3782=A3781,F3782=F3781),1,0)</f>
        <v/>
      </c>
      <c r="I3782">
        <f>IF(C3782="C99999",1,0)</f>
        <v/>
      </c>
      <c r="J3782" s="5">
        <f>IF(OR(H3782=1,I3782=1),0,IF(G3782="Credit",-F3782,F3782))</f>
        <v/>
      </c>
    </row>
    <row r="3783">
      <c r="A3783" t="inlineStr">
        <is>
          <t>2026-08-07</t>
        </is>
      </c>
      <c r="B3783" t="inlineStr">
        <is>
          <t>F263217</t>
        </is>
      </c>
      <c r="C3783" t="inlineStr">
        <is>
          <t>C10172</t>
        </is>
      </c>
      <c r="D3783" t="inlineStr">
        <is>
          <t>SKU-10077</t>
        </is>
      </c>
      <c r="E3783" t="inlineStr">
        <is>
          <t>AM02</t>
        </is>
      </c>
      <c r="F3783" s="5" t="n">
        <v>135.54</v>
      </c>
      <c r="G3783">
        <f>IF(LEFT(B3783,1)="C","Credit","Factuur")</f>
        <v/>
      </c>
      <c r="H3783">
        <f>IF(AND(B3783=B3782,D3783=D3782,A3783=A3782,F3783=F3782),1,0)</f>
        <v/>
      </c>
      <c r="I3783">
        <f>IF(C3783="C99999",1,0)</f>
        <v/>
      </c>
      <c r="J3783" s="5">
        <f>IF(OR(H3783=1,I3783=1),0,IF(G3783="Credit",-F3783,F3783))</f>
        <v/>
      </c>
    </row>
    <row r="3784">
      <c r="A3784" t="inlineStr">
        <is>
          <t>2026-08-07</t>
        </is>
      </c>
      <c r="B3784" t="inlineStr">
        <is>
          <t>F263217</t>
        </is>
      </c>
      <c r="C3784" t="inlineStr">
        <is>
          <t>C10172</t>
        </is>
      </c>
      <c r="D3784" t="inlineStr">
        <is>
          <t>SKU-10225</t>
        </is>
      </c>
      <c r="E3784" t="inlineStr">
        <is>
          <t>AM02</t>
        </is>
      </c>
      <c r="F3784" s="5" t="n">
        <v>124.11</v>
      </c>
      <c r="G3784">
        <f>IF(LEFT(B3784,1)="C","Credit","Factuur")</f>
        <v/>
      </c>
      <c r="H3784">
        <f>IF(AND(B3784=B3783,D3784=D3783,A3784=A3783,F3784=F3783),1,0)</f>
        <v/>
      </c>
      <c r="I3784">
        <f>IF(C3784="C99999",1,0)</f>
        <v/>
      </c>
      <c r="J3784" s="5">
        <f>IF(OR(H3784=1,I3784=1),0,IF(G3784="Credit",-F3784,F3784))</f>
        <v/>
      </c>
    </row>
    <row r="3785">
      <c r="A3785" t="inlineStr">
        <is>
          <t>2026-08-07</t>
        </is>
      </c>
      <c r="B3785" t="inlineStr">
        <is>
          <t>F263217</t>
        </is>
      </c>
      <c r="C3785" t="inlineStr">
        <is>
          <t>C10172</t>
        </is>
      </c>
      <c r="D3785" t="inlineStr">
        <is>
          <t>SKU-10237</t>
        </is>
      </c>
      <c r="E3785" t="inlineStr">
        <is>
          <t>AM02</t>
        </is>
      </c>
      <c r="F3785" s="5" t="n">
        <v>122.07</v>
      </c>
      <c r="G3785">
        <f>IF(LEFT(B3785,1)="C","Credit","Factuur")</f>
        <v/>
      </c>
      <c r="H3785">
        <f>IF(AND(B3785=B3784,D3785=D3784,A3785=A3784,F3785=F3784),1,0)</f>
        <v/>
      </c>
      <c r="I3785">
        <f>IF(C3785="C99999",1,0)</f>
        <v/>
      </c>
      <c r="J3785" s="5">
        <f>IF(OR(H3785=1,I3785=1),0,IF(G3785="Credit",-F3785,F3785))</f>
        <v/>
      </c>
    </row>
    <row r="3786">
      <c r="A3786" t="inlineStr">
        <is>
          <t>2026-08-07</t>
        </is>
      </c>
      <c r="B3786" t="inlineStr">
        <is>
          <t>F263915</t>
        </is>
      </c>
      <c r="C3786" t="inlineStr">
        <is>
          <t>C10207</t>
        </is>
      </c>
      <c r="D3786" t="inlineStr">
        <is>
          <t>SKU-10123</t>
        </is>
      </c>
      <c r="E3786" t="inlineStr">
        <is>
          <t>AM02</t>
        </is>
      </c>
      <c r="F3786" s="5" t="n">
        <v>898.38</v>
      </c>
      <c r="G3786">
        <f>IF(LEFT(B3786,1)="C","Credit","Factuur")</f>
        <v/>
      </c>
      <c r="H3786">
        <f>IF(AND(B3786=B3785,D3786=D3785,A3786=A3785,F3786=F3785),1,0)</f>
        <v/>
      </c>
      <c r="I3786">
        <f>IF(C3786="C99999",1,0)</f>
        <v/>
      </c>
      <c r="J3786" s="5">
        <f>IF(OR(H3786=1,I3786=1),0,IF(G3786="Credit",-F3786,F3786))</f>
        <v/>
      </c>
    </row>
    <row r="3787">
      <c r="A3787" t="inlineStr">
        <is>
          <t>2026-08-07</t>
        </is>
      </c>
      <c r="B3787" t="inlineStr">
        <is>
          <t>F263915</t>
        </is>
      </c>
      <c r="C3787" t="inlineStr">
        <is>
          <t>C10207</t>
        </is>
      </c>
      <c r="D3787" t="inlineStr">
        <is>
          <t>SKU-10212</t>
        </is>
      </c>
      <c r="E3787" t="inlineStr">
        <is>
          <t>AM02</t>
        </is>
      </c>
      <c r="F3787" s="5" t="n">
        <v>949.39</v>
      </c>
      <c r="G3787">
        <f>IF(LEFT(B3787,1)="C","Credit","Factuur")</f>
        <v/>
      </c>
      <c r="H3787">
        <f>IF(AND(B3787=B3786,D3787=D3786,A3787=A3786,F3787=F3786),1,0)</f>
        <v/>
      </c>
      <c r="I3787">
        <f>IF(C3787="C99999",1,0)</f>
        <v/>
      </c>
      <c r="J3787" s="5">
        <f>IF(OR(H3787=1,I3787=1),0,IF(G3787="Credit",-F3787,F3787))</f>
        <v/>
      </c>
    </row>
    <row r="3788">
      <c r="A3788" t="inlineStr">
        <is>
          <t>2026-08-07</t>
        </is>
      </c>
      <c r="B3788" t="inlineStr">
        <is>
          <t>F264084</t>
        </is>
      </c>
      <c r="C3788" t="inlineStr">
        <is>
          <t>C10217</t>
        </is>
      </c>
      <c r="D3788" t="inlineStr">
        <is>
          <t>SKU-10306</t>
        </is>
      </c>
      <c r="E3788" t="inlineStr">
        <is>
          <t>AM11</t>
        </is>
      </c>
      <c r="F3788" s="5" t="n">
        <v>758.01</v>
      </c>
      <c r="G3788">
        <f>IF(LEFT(B3788,1)="C","Credit","Factuur")</f>
        <v/>
      </c>
      <c r="H3788">
        <f>IF(AND(B3788=B3787,D3788=D3787,A3788=A3787,F3788=F3787),1,0)</f>
        <v/>
      </c>
      <c r="I3788">
        <f>IF(C3788="C99999",1,0)</f>
        <v/>
      </c>
      <c r="J3788" s="5">
        <f>IF(OR(H3788=1,I3788=1),0,IF(G3788="Credit",-F3788,F3788))</f>
        <v/>
      </c>
    </row>
    <row r="3789">
      <c r="A3789" t="inlineStr">
        <is>
          <t>2026-08-07</t>
        </is>
      </c>
      <c r="B3789" t="inlineStr">
        <is>
          <t>F264617</t>
        </is>
      </c>
      <c r="C3789" t="inlineStr">
        <is>
          <t>C10240</t>
        </is>
      </c>
      <c r="D3789" t="inlineStr">
        <is>
          <t>SKU-10003</t>
        </is>
      </c>
      <c r="E3789" t="inlineStr">
        <is>
          <t>AM11</t>
        </is>
      </c>
      <c r="F3789" s="5" t="n">
        <v>303.05</v>
      </c>
      <c r="G3789">
        <f>IF(LEFT(B3789,1)="C","Credit","Factuur")</f>
        <v/>
      </c>
      <c r="H3789">
        <f>IF(AND(B3789=B3788,D3789=D3788,A3789=A3788,F3789=F3788),1,0)</f>
        <v/>
      </c>
      <c r="I3789">
        <f>IF(C3789="C99999",1,0)</f>
        <v/>
      </c>
      <c r="J3789" s="5">
        <f>IF(OR(H3789=1,I3789=1),0,IF(G3789="Credit",-F3789,F3789))</f>
        <v/>
      </c>
    </row>
    <row r="3790">
      <c r="A3790" t="inlineStr">
        <is>
          <t>2026-08-07</t>
        </is>
      </c>
      <c r="B3790" t="inlineStr">
        <is>
          <t>F264617</t>
        </is>
      </c>
      <c r="C3790" t="inlineStr">
        <is>
          <t>C10240</t>
        </is>
      </c>
      <c r="D3790" t="inlineStr">
        <is>
          <t>SKU-10372</t>
        </is>
      </c>
      <c r="E3790" t="inlineStr">
        <is>
          <t>AM11</t>
        </is>
      </c>
      <c r="F3790" s="5" t="n">
        <v>271.56</v>
      </c>
      <c r="G3790">
        <f>IF(LEFT(B3790,1)="C","Credit","Factuur")</f>
        <v/>
      </c>
      <c r="H3790">
        <f>IF(AND(B3790=B3789,D3790=D3789,A3790=A3789,F3790=F3789),1,0)</f>
        <v/>
      </c>
      <c r="I3790">
        <f>IF(C3790="C99999",1,0)</f>
        <v/>
      </c>
      <c r="J3790" s="5">
        <f>IF(OR(H3790=1,I3790=1),0,IF(G3790="Credit",-F3790,F3790))</f>
        <v/>
      </c>
    </row>
    <row r="3791">
      <c r="A3791" t="inlineStr">
        <is>
          <t>2026-08-07</t>
        </is>
      </c>
      <c r="B3791" t="inlineStr">
        <is>
          <t>F264831</t>
        </is>
      </c>
      <c r="C3791" t="inlineStr">
        <is>
          <t>C10251</t>
        </is>
      </c>
      <c r="D3791" t="inlineStr">
        <is>
          <t>SKU-10100</t>
        </is>
      </c>
      <c r="E3791" t="inlineStr">
        <is>
          <t>AM07</t>
        </is>
      </c>
      <c r="F3791" s="5" t="n">
        <v>894.66</v>
      </c>
      <c r="G3791">
        <f>IF(LEFT(B3791,1)="C","Credit","Factuur")</f>
        <v/>
      </c>
      <c r="H3791">
        <f>IF(AND(B3791=B3790,D3791=D3790,A3791=A3790,F3791=F3790),1,0)</f>
        <v/>
      </c>
      <c r="I3791">
        <f>IF(C3791="C99999",1,0)</f>
        <v/>
      </c>
      <c r="J3791" s="5">
        <f>IF(OR(H3791=1,I3791=1),0,IF(G3791="Credit",-F3791,F3791))</f>
        <v/>
      </c>
    </row>
    <row r="3792">
      <c r="A3792" t="inlineStr">
        <is>
          <t>2026-08-07</t>
        </is>
      </c>
      <c r="B3792" t="inlineStr">
        <is>
          <t>F264831</t>
        </is>
      </c>
      <c r="C3792" t="inlineStr">
        <is>
          <t>C10251</t>
        </is>
      </c>
      <c r="D3792" t="inlineStr">
        <is>
          <t>SKU-10284</t>
        </is>
      </c>
      <c r="E3792" t="inlineStr">
        <is>
          <t>AM07</t>
        </is>
      </c>
      <c r="F3792" s="5" t="n">
        <v>857.46</v>
      </c>
      <c r="G3792">
        <f>IF(LEFT(B3792,1)="C","Credit","Factuur")</f>
        <v/>
      </c>
      <c r="H3792">
        <f>IF(AND(B3792=B3791,D3792=D3791,A3792=A3791,F3792=F3791),1,0)</f>
        <v/>
      </c>
      <c r="I3792">
        <f>IF(C3792="C99999",1,0)</f>
        <v/>
      </c>
      <c r="J3792" s="5">
        <f>IF(OR(H3792=1,I3792=1),0,IF(G3792="Credit",-F3792,F3792))</f>
        <v/>
      </c>
    </row>
    <row r="3793">
      <c r="A3793" t="inlineStr">
        <is>
          <t>2026-08-07</t>
        </is>
      </c>
      <c r="B3793" t="inlineStr">
        <is>
          <t>F264831</t>
        </is>
      </c>
      <c r="C3793" t="inlineStr">
        <is>
          <t>C10251</t>
        </is>
      </c>
      <c r="D3793" t="inlineStr">
        <is>
          <t>SKU-10285</t>
        </is>
      </c>
      <c r="E3793" t="inlineStr">
        <is>
          <t>AM07</t>
        </is>
      </c>
      <c r="F3793" s="5" t="n">
        <v>899.58</v>
      </c>
      <c r="G3793">
        <f>IF(LEFT(B3793,1)="C","Credit","Factuur")</f>
        <v/>
      </c>
      <c r="H3793">
        <f>IF(AND(B3793=B3792,D3793=D3792,A3793=A3792,F3793=F3792),1,0)</f>
        <v/>
      </c>
      <c r="I3793">
        <f>IF(C3793="C99999",1,0)</f>
        <v/>
      </c>
      <c r="J3793" s="5">
        <f>IF(OR(H3793=1,I3793=1),0,IF(G3793="Credit",-F3793,F3793))</f>
        <v/>
      </c>
    </row>
    <row r="3794">
      <c r="A3794" t="inlineStr">
        <is>
          <t>2026-08-07</t>
        </is>
      </c>
      <c r="B3794" t="inlineStr">
        <is>
          <t>F264878</t>
        </is>
      </c>
      <c r="C3794" t="inlineStr">
        <is>
          <t>C10254</t>
        </is>
      </c>
      <c r="D3794" t="inlineStr">
        <is>
          <t>SKU-10039</t>
        </is>
      </c>
      <c r="E3794" t="inlineStr">
        <is>
          <t>AM01</t>
        </is>
      </c>
      <c r="F3794" s="5" t="n">
        <v>215.66</v>
      </c>
      <c r="G3794">
        <f>IF(LEFT(B3794,1)="C","Credit","Factuur")</f>
        <v/>
      </c>
      <c r="H3794">
        <f>IF(AND(B3794=B3793,D3794=D3793,A3794=A3793,F3794=F3793),1,0)</f>
        <v/>
      </c>
      <c r="I3794">
        <f>IF(C3794="C99999",1,0)</f>
        <v/>
      </c>
      <c r="J3794" s="5">
        <f>IF(OR(H3794=1,I3794=1),0,IF(G3794="Credit",-F3794,F3794))</f>
        <v/>
      </c>
    </row>
    <row r="3795">
      <c r="A3795" t="inlineStr">
        <is>
          <t>2026-08-07</t>
        </is>
      </c>
      <c r="B3795" t="inlineStr">
        <is>
          <t>F264878</t>
        </is>
      </c>
      <c r="C3795" t="inlineStr">
        <is>
          <t>C10254</t>
        </is>
      </c>
      <c r="D3795" t="inlineStr">
        <is>
          <t>SKU-10330</t>
        </is>
      </c>
      <c r="E3795" t="inlineStr">
        <is>
          <t>AM01</t>
        </is>
      </c>
      <c r="F3795" s="5" t="n">
        <v>215</v>
      </c>
      <c r="G3795">
        <f>IF(LEFT(B3795,1)="C","Credit","Factuur")</f>
        <v/>
      </c>
      <c r="H3795">
        <f>IF(AND(B3795=B3794,D3795=D3794,A3795=A3794,F3795=F3794),1,0)</f>
        <v/>
      </c>
      <c r="I3795">
        <f>IF(C3795="C99999",1,0)</f>
        <v/>
      </c>
      <c r="J3795" s="5">
        <f>IF(OR(H3795=1,I3795=1),0,IF(G3795="Credit",-F3795,F3795))</f>
        <v/>
      </c>
    </row>
    <row r="3796">
      <c r="A3796" t="inlineStr">
        <is>
          <t>2026-08-07</t>
        </is>
      </c>
      <c r="B3796" t="inlineStr">
        <is>
          <t>F265153</t>
        </is>
      </c>
      <c r="C3796" t="inlineStr">
        <is>
          <t>C10272</t>
        </is>
      </c>
      <c r="D3796" t="inlineStr">
        <is>
          <t>SKU-10022</t>
        </is>
      </c>
      <c r="E3796" t="inlineStr">
        <is>
          <t>AM05</t>
        </is>
      </c>
      <c r="F3796" s="5" t="n">
        <v>2375.68</v>
      </c>
      <c r="G3796">
        <f>IF(LEFT(B3796,1)="C","Credit","Factuur")</f>
        <v/>
      </c>
      <c r="H3796">
        <f>IF(AND(B3796=B3795,D3796=D3795,A3796=A3795,F3796=F3795),1,0)</f>
        <v/>
      </c>
      <c r="I3796">
        <f>IF(C3796="C99999",1,0)</f>
        <v/>
      </c>
      <c r="J3796" s="5">
        <f>IF(OR(H3796=1,I3796=1),0,IF(G3796="Credit",-F3796,F3796))</f>
        <v/>
      </c>
    </row>
    <row r="3797">
      <c r="A3797" t="inlineStr">
        <is>
          <t>2026-08-07</t>
        </is>
      </c>
      <c r="B3797" t="inlineStr">
        <is>
          <t>F265153</t>
        </is>
      </c>
      <c r="C3797" t="inlineStr">
        <is>
          <t>C10272</t>
        </is>
      </c>
      <c r="D3797" t="inlineStr">
        <is>
          <t>SKU-10167</t>
        </is>
      </c>
      <c r="E3797" t="inlineStr">
        <is>
          <t>AM05</t>
        </is>
      </c>
      <c r="F3797" s="5" t="n">
        <v>2374.46</v>
      </c>
      <c r="G3797">
        <f>IF(LEFT(B3797,1)="C","Credit","Factuur")</f>
        <v/>
      </c>
      <c r="H3797">
        <f>IF(AND(B3797=B3796,D3797=D3796,A3797=A3796,F3797=F3796),1,0)</f>
        <v/>
      </c>
      <c r="I3797">
        <f>IF(C3797="C99999",1,0)</f>
        <v/>
      </c>
      <c r="J3797" s="5">
        <f>IF(OR(H3797=1,I3797=1),0,IF(G3797="Credit",-F3797,F3797))</f>
        <v/>
      </c>
    </row>
    <row r="3798">
      <c r="A3798" t="inlineStr">
        <is>
          <t>2026-08-07</t>
        </is>
      </c>
      <c r="B3798" t="inlineStr">
        <is>
          <t>F265228</t>
        </is>
      </c>
      <c r="C3798" t="inlineStr">
        <is>
          <t>C10276</t>
        </is>
      </c>
      <c r="D3798" t="inlineStr">
        <is>
          <t>SKU-10166</t>
        </is>
      </c>
      <c r="E3798" t="inlineStr">
        <is>
          <t>AM03</t>
        </is>
      </c>
      <c r="F3798" s="5" t="n">
        <v>1179.76</v>
      </c>
      <c r="G3798">
        <f>IF(LEFT(B3798,1)="C","Credit","Factuur")</f>
        <v/>
      </c>
      <c r="H3798">
        <f>IF(AND(B3798=B3797,D3798=D3797,A3798=A3797,F3798=F3797),1,0)</f>
        <v/>
      </c>
      <c r="I3798">
        <f>IF(C3798="C99999",1,0)</f>
        <v/>
      </c>
      <c r="J3798" s="5">
        <f>IF(OR(H3798=1,I3798=1),0,IF(G3798="Credit",-F3798,F3798))</f>
        <v/>
      </c>
    </row>
    <row r="3799">
      <c r="A3799" t="inlineStr">
        <is>
          <t>2026-08-07</t>
        </is>
      </c>
      <c r="B3799" t="inlineStr">
        <is>
          <t>F265441</t>
        </is>
      </c>
      <c r="C3799" t="inlineStr">
        <is>
          <t>C10286</t>
        </is>
      </c>
      <c r="D3799" t="inlineStr">
        <is>
          <t>SKU-10220</t>
        </is>
      </c>
      <c r="E3799" t="inlineStr">
        <is>
          <t>AM02</t>
        </is>
      </c>
      <c r="F3799" s="5" t="n">
        <v>290.87</v>
      </c>
      <c r="G3799">
        <f>IF(LEFT(B3799,1)="C","Credit","Factuur")</f>
        <v/>
      </c>
      <c r="H3799">
        <f>IF(AND(B3799=B3798,D3799=D3798,A3799=A3798,F3799=F3798),1,0)</f>
        <v/>
      </c>
      <c r="I3799">
        <f>IF(C3799="C99999",1,0)</f>
        <v/>
      </c>
      <c r="J3799" s="5">
        <f>IF(OR(H3799=1,I3799=1),0,IF(G3799="Credit",-F3799,F3799))</f>
        <v/>
      </c>
    </row>
    <row r="3800">
      <c r="A3800" t="inlineStr">
        <is>
          <t>2026-08-07</t>
        </is>
      </c>
      <c r="B3800" t="inlineStr">
        <is>
          <t>F265441</t>
        </is>
      </c>
      <c r="C3800" t="inlineStr">
        <is>
          <t>C10286</t>
        </is>
      </c>
      <c r="D3800" t="inlineStr">
        <is>
          <t>SKU-10262</t>
        </is>
      </c>
      <c r="E3800" t="inlineStr">
        <is>
          <t>AM02</t>
        </is>
      </c>
      <c r="F3800" s="5" t="n">
        <v>283.3</v>
      </c>
      <c r="G3800">
        <f>IF(LEFT(B3800,1)="C","Credit","Factuur")</f>
        <v/>
      </c>
      <c r="H3800">
        <f>IF(AND(B3800=B3799,D3800=D3799,A3800=A3799,F3800=F3799),1,0)</f>
        <v/>
      </c>
      <c r="I3800">
        <f>IF(C3800="C99999",1,0)</f>
        <v/>
      </c>
      <c r="J3800" s="5">
        <f>IF(OR(H3800=1,I3800=1),0,IF(G3800="Credit",-F3800,F3800))</f>
        <v/>
      </c>
    </row>
    <row r="3801">
      <c r="A3801" t="inlineStr">
        <is>
          <t>2026-08-07</t>
        </is>
      </c>
      <c r="B3801" t="inlineStr">
        <is>
          <t>F265441</t>
        </is>
      </c>
      <c r="C3801" t="inlineStr">
        <is>
          <t>C10286</t>
        </is>
      </c>
      <c r="D3801" t="inlineStr">
        <is>
          <t>SKU-10345</t>
        </is>
      </c>
      <c r="E3801" t="inlineStr">
        <is>
          <t>AM02</t>
        </is>
      </c>
      <c r="F3801" s="5" t="n">
        <v>288.88</v>
      </c>
      <c r="G3801">
        <f>IF(LEFT(B3801,1)="C","Credit","Factuur")</f>
        <v/>
      </c>
      <c r="H3801">
        <f>IF(AND(B3801=B3800,D3801=D3800,A3801=A3800,F3801=F3800),1,0)</f>
        <v/>
      </c>
      <c r="I3801">
        <f>IF(C3801="C99999",1,0)</f>
        <v/>
      </c>
      <c r="J3801" s="5">
        <f>IF(OR(H3801=1,I3801=1),0,IF(G3801="Credit",-F3801,F3801))</f>
        <v/>
      </c>
    </row>
    <row r="3802">
      <c r="A3802" t="inlineStr">
        <is>
          <t>2026-08-07</t>
        </is>
      </c>
      <c r="B3802" t="inlineStr">
        <is>
          <t>F265441</t>
        </is>
      </c>
      <c r="C3802" t="inlineStr">
        <is>
          <t>C10286</t>
        </is>
      </c>
      <c r="D3802" t="inlineStr">
        <is>
          <t>SKU-10372</t>
        </is>
      </c>
      <c r="E3802" t="inlineStr">
        <is>
          <t>AM02</t>
        </is>
      </c>
      <c r="F3802" s="5" t="n">
        <v>244.4</v>
      </c>
      <c r="G3802">
        <f>IF(LEFT(B3802,1)="C","Credit","Factuur")</f>
        <v/>
      </c>
      <c r="H3802">
        <f>IF(AND(B3802=B3801,D3802=D3801,A3802=A3801,F3802=F3801),1,0)</f>
        <v/>
      </c>
      <c r="I3802">
        <f>IF(C3802="C99999",1,0)</f>
        <v/>
      </c>
      <c r="J3802" s="5">
        <f>IF(OR(H3802=1,I3802=1),0,IF(G3802="Credit",-F3802,F3802))</f>
        <v/>
      </c>
    </row>
    <row r="3803">
      <c r="A3803" t="inlineStr">
        <is>
          <t>2026-08-07</t>
        </is>
      </c>
      <c r="B3803" t="inlineStr">
        <is>
          <t>F265499</t>
        </is>
      </c>
      <c r="C3803" t="inlineStr">
        <is>
          <t>C10289</t>
        </is>
      </c>
      <c r="D3803" t="inlineStr">
        <is>
          <t>SKU-10284</t>
        </is>
      </c>
      <c r="E3803" t="inlineStr">
        <is>
          <t>AM07</t>
        </is>
      </c>
      <c r="F3803" s="5" t="n">
        <v>4449.09</v>
      </c>
      <c r="G3803">
        <f>IF(LEFT(B3803,1)="C","Credit","Factuur")</f>
        <v/>
      </c>
      <c r="H3803">
        <f>IF(AND(B3803=B3802,D3803=D3802,A3803=A3802,F3803=F3802),1,0)</f>
        <v/>
      </c>
      <c r="I3803">
        <f>IF(C3803="C99999",1,0)</f>
        <v/>
      </c>
      <c r="J3803" s="5">
        <f>IF(OR(H3803=1,I3803=1),0,IF(G3803="Credit",-F3803,F3803))</f>
        <v/>
      </c>
    </row>
    <row r="3804">
      <c r="A3804" t="inlineStr">
        <is>
          <t>2026-08-07</t>
        </is>
      </c>
      <c r="B3804" t="inlineStr">
        <is>
          <t>F265773</t>
        </is>
      </c>
      <c r="C3804" t="inlineStr">
        <is>
          <t>C10301</t>
        </is>
      </c>
      <c r="D3804" t="inlineStr">
        <is>
          <t>SKU-10096</t>
        </is>
      </c>
      <c r="E3804" t="inlineStr">
        <is>
          <t>AM08</t>
        </is>
      </c>
      <c r="F3804" s="5" t="n">
        <v>114.42</v>
      </c>
      <c r="G3804">
        <f>IF(LEFT(B3804,1)="C","Credit","Factuur")</f>
        <v/>
      </c>
      <c r="H3804">
        <f>IF(AND(B3804=B3803,D3804=D3803,A3804=A3803,F3804=F3803),1,0)</f>
        <v/>
      </c>
      <c r="I3804">
        <f>IF(C3804="C99999",1,0)</f>
        <v/>
      </c>
      <c r="J3804" s="5">
        <f>IF(OR(H3804=1,I3804=1),0,IF(G3804="Credit",-F3804,F3804))</f>
        <v/>
      </c>
    </row>
    <row r="3805">
      <c r="A3805" t="inlineStr">
        <is>
          <t>2026-08-07</t>
        </is>
      </c>
      <c r="B3805" t="inlineStr">
        <is>
          <t>F265773</t>
        </is>
      </c>
      <c r="C3805" t="inlineStr">
        <is>
          <t>C10301</t>
        </is>
      </c>
      <c r="D3805" t="inlineStr">
        <is>
          <t>SKU-10198</t>
        </is>
      </c>
      <c r="E3805" t="inlineStr">
        <is>
          <t>AM08</t>
        </is>
      </c>
      <c r="F3805" s="5" t="n">
        <v>143.8</v>
      </c>
      <c r="G3805">
        <f>IF(LEFT(B3805,1)="C","Credit","Factuur")</f>
        <v/>
      </c>
      <c r="H3805">
        <f>IF(AND(B3805=B3804,D3805=D3804,A3805=A3804,F3805=F3804),1,0)</f>
        <v/>
      </c>
      <c r="I3805">
        <f>IF(C3805="C99999",1,0)</f>
        <v/>
      </c>
      <c r="J3805" s="5">
        <f>IF(OR(H3805=1,I3805=1),0,IF(G3805="Credit",-F3805,F3805))</f>
        <v/>
      </c>
    </row>
    <row r="3806">
      <c r="A3806" t="inlineStr">
        <is>
          <t>2026-08-07</t>
        </is>
      </c>
      <c r="B3806" t="inlineStr">
        <is>
          <t>F265773</t>
        </is>
      </c>
      <c r="C3806" t="inlineStr">
        <is>
          <t>C10301</t>
        </is>
      </c>
      <c r="D3806" t="inlineStr">
        <is>
          <t>SKU-10305</t>
        </is>
      </c>
      <c r="E3806" t="inlineStr">
        <is>
          <t>AM08</t>
        </is>
      </c>
      <c r="F3806" s="5" t="n">
        <v>137.55</v>
      </c>
      <c r="G3806">
        <f>IF(LEFT(B3806,1)="C","Credit","Factuur")</f>
        <v/>
      </c>
      <c r="H3806">
        <f>IF(AND(B3806=B3805,D3806=D3805,A3806=A3805,F3806=F3805),1,0)</f>
        <v/>
      </c>
      <c r="I3806">
        <f>IF(C3806="C99999",1,0)</f>
        <v/>
      </c>
      <c r="J3806" s="5">
        <f>IF(OR(H3806=1,I3806=1),0,IF(G3806="Credit",-F3806,F3806))</f>
        <v/>
      </c>
    </row>
    <row r="3807">
      <c r="A3807" t="inlineStr">
        <is>
          <t>2026-08-07</t>
        </is>
      </c>
      <c r="B3807" t="inlineStr">
        <is>
          <t>F265773</t>
        </is>
      </c>
      <c r="C3807" t="inlineStr">
        <is>
          <t>C10301</t>
        </is>
      </c>
      <c r="D3807" t="inlineStr">
        <is>
          <t>SKU-10309</t>
        </is>
      </c>
      <c r="E3807" t="inlineStr">
        <is>
          <t>AM08</t>
        </is>
      </c>
      <c r="F3807" s="5" t="n">
        <v>138.63</v>
      </c>
      <c r="G3807">
        <f>IF(LEFT(B3807,1)="C","Credit","Factuur")</f>
        <v/>
      </c>
      <c r="H3807">
        <f>IF(AND(B3807=B3806,D3807=D3806,A3807=A3806,F3807=F3806),1,0)</f>
        <v/>
      </c>
      <c r="I3807">
        <f>IF(C3807="C99999",1,0)</f>
        <v/>
      </c>
      <c r="J3807" s="5">
        <f>IF(OR(H3807=1,I3807=1),0,IF(G3807="Credit",-F3807,F3807))</f>
        <v/>
      </c>
    </row>
    <row r="3808">
      <c r="A3808" t="inlineStr">
        <is>
          <t>2026-08-07</t>
        </is>
      </c>
      <c r="B3808" t="inlineStr">
        <is>
          <t>F265782</t>
        </is>
      </c>
      <c r="C3808" t="inlineStr">
        <is>
          <t>C10301</t>
        </is>
      </c>
      <c r="D3808" t="inlineStr">
        <is>
          <t>SKU-10043</t>
        </is>
      </c>
      <c r="E3808" t="inlineStr">
        <is>
          <t>AM08</t>
        </is>
      </c>
      <c r="F3808" s="5" t="n">
        <v>511.98</v>
      </c>
      <c r="G3808">
        <f>IF(LEFT(B3808,1)="C","Credit","Factuur")</f>
        <v/>
      </c>
      <c r="H3808">
        <f>IF(AND(B3808=B3807,D3808=D3807,A3808=A3807,F3808=F3807),1,0)</f>
        <v/>
      </c>
      <c r="I3808">
        <f>IF(C3808="C99999",1,0)</f>
        <v/>
      </c>
      <c r="J3808" s="5">
        <f>IF(OR(H3808=1,I3808=1),0,IF(G3808="Credit",-F3808,F3808))</f>
        <v/>
      </c>
    </row>
    <row r="3809">
      <c r="A3809" t="inlineStr">
        <is>
          <t>2026-08-07</t>
        </is>
      </c>
      <c r="B3809" t="inlineStr">
        <is>
          <t>F265782</t>
        </is>
      </c>
      <c r="C3809" t="inlineStr">
        <is>
          <t>C10301</t>
        </is>
      </c>
      <c r="D3809" t="inlineStr">
        <is>
          <t>SKU-10280</t>
        </is>
      </c>
      <c r="E3809" t="inlineStr">
        <is>
          <t>AM08</t>
        </is>
      </c>
      <c r="F3809" s="5" t="n">
        <v>502.17</v>
      </c>
      <c r="G3809">
        <f>IF(LEFT(B3809,1)="C","Credit","Factuur")</f>
        <v/>
      </c>
      <c r="H3809">
        <f>IF(AND(B3809=B3808,D3809=D3808,A3809=A3808,F3809=F3808),1,0)</f>
        <v/>
      </c>
      <c r="I3809">
        <f>IF(C3809="C99999",1,0)</f>
        <v/>
      </c>
      <c r="J3809" s="5">
        <f>IF(OR(H3809=1,I3809=1),0,IF(G3809="Credit",-F3809,F3809))</f>
        <v/>
      </c>
    </row>
    <row r="3810">
      <c r="A3810" t="inlineStr">
        <is>
          <t>2026-08-07</t>
        </is>
      </c>
      <c r="B3810" t="inlineStr">
        <is>
          <t>F266273</t>
        </is>
      </c>
      <c r="C3810" t="inlineStr">
        <is>
          <t>C10329</t>
        </is>
      </c>
      <c r="D3810" t="inlineStr">
        <is>
          <t>SKU-10064</t>
        </is>
      </c>
      <c r="E3810" t="inlineStr">
        <is>
          <t>AM08</t>
        </is>
      </c>
      <c r="F3810" s="5" t="n">
        <v>1060.56</v>
      </c>
      <c r="G3810">
        <f>IF(LEFT(B3810,1)="C","Credit","Factuur")</f>
        <v/>
      </c>
      <c r="H3810">
        <f>IF(AND(B3810=B3809,D3810=D3809,A3810=A3809,F3810=F3809),1,0)</f>
        <v/>
      </c>
      <c r="I3810">
        <f>IF(C3810="C99999",1,0)</f>
        <v/>
      </c>
      <c r="J3810" s="5">
        <f>IF(OR(H3810=1,I3810=1),0,IF(G3810="Credit",-F3810,F3810))</f>
        <v/>
      </c>
    </row>
    <row r="3811">
      <c r="A3811" t="inlineStr">
        <is>
          <t>2026-08-07</t>
        </is>
      </c>
      <c r="B3811" t="inlineStr">
        <is>
          <t>F266273</t>
        </is>
      </c>
      <c r="C3811" t="inlineStr">
        <is>
          <t>C10329</t>
        </is>
      </c>
      <c r="D3811" t="inlineStr">
        <is>
          <t>SKU-10136</t>
        </is>
      </c>
      <c r="E3811" t="inlineStr">
        <is>
          <t>AM08</t>
        </is>
      </c>
      <c r="F3811" s="5" t="n">
        <v>1004.24</v>
      </c>
      <c r="G3811">
        <f>IF(LEFT(B3811,1)="C","Credit","Factuur")</f>
        <v/>
      </c>
      <c r="H3811">
        <f>IF(AND(B3811=B3810,D3811=D3810,A3811=A3810,F3811=F3810),1,0)</f>
        <v/>
      </c>
      <c r="I3811">
        <f>IF(C3811="C99999",1,0)</f>
        <v/>
      </c>
      <c r="J3811" s="5">
        <f>IF(OR(H3811=1,I3811=1),0,IF(G3811="Credit",-F3811,F3811))</f>
        <v/>
      </c>
    </row>
    <row r="3812">
      <c r="A3812" t="inlineStr">
        <is>
          <t>2026-08-07</t>
        </is>
      </c>
      <c r="B3812" t="inlineStr">
        <is>
          <t>F266287</t>
        </is>
      </c>
      <c r="C3812" t="inlineStr">
        <is>
          <t>C10331</t>
        </is>
      </c>
      <c r="D3812" t="inlineStr">
        <is>
          <t>SKU-10314</t>
        </is>
      </c>
      <c r="E3812" t="inlineStr">
        <is>
          <t>AM06</t>
        </is>
      </c>
      <c r="F3812" s="5" t="n">
        <v>3396.29</v>
      </c>
      <c r="G3812">
        <f>IF(LEFT(B3812,1)="C","Credit","Factuur")</f>
        <v/>
      </c>
      <c r="H3812">
        <f>IF(AND(B3812=B3811,D3812=D3811,A3812=A3811,F3812=F3811),1,0)</f>
        <v/>
      </c>
      <c r="I3812">
        <f>IF(C3812="C99999",1,0)</f>
        <v/>
      </c>
      <c r="J3812" s="5">
        <f>IF(OR(H3812=1,I3812=1),0,IF(G3812="Credit",-F3812,F3812))</f>
        <v/>
      </c>
    </row>
    <row r="3813">
      <c r="A3813" t="inlineStr">
        <is>
          <t>2026-08-07</t>
        </is>
      </c>
      <c r="B3813" t="inlineStr">
        <is>
          <t>F266792</t>
        </is>
      </c>
      <c r="C3813" t="inlineStr">
        <is>
          <t>C10358</t>
        </is>
      </c>
      <c r="D3813" t="inlineStr">
        <is>
          <t>SKU-10003</t>
        </is>
      </c>
      <c r="E3813" t="inlineStr">
        <is>
          <t>AM03</t>
        </is>
      </c>
      <c r="F3813" s="5" t="n">
        <v>9807.799999999999</v>
      </c>
      <c r="G3813">
        <f>IF(LEFT(B3813,1)="C","Credit","Factuur")</f>
        <v/>
      </c>
      <c r="H3813">
        <f>IF(AND(B3813=B3812,D3813=D3812,A3813=A3812,F3813=F3812),1,0)</f>
        <v/>
      </c>
      <c r="I3813">
        <f>IF(C3813="C99999",1,0)</f>
        <v/>
      </c>
      <c r="J3813" s="5">
        <f>IF(OR(H3813=1,I3813=1),0,IF(G3813="Credit",-F3813,F3813))</f>
        <v/>
      </c>
    </row>
    <row r="3814">
      <c r="A3814" t="inlineStr">
        <is>
          <t>2026-08-07</t>
        </is>
      </c>
      <c r="B3814" t="inlineStr">
        <is>
          <t>F267700</t>
        </is>
      </c>
      <c r="C3814" t="inlineStr">
        <is>
          <t>C10404</t>
        </is>
      </c>
      <c r="D3814" t="inlineStr">
        <is>
          <t>SKU-10027</t>
        </is>
      </c>
      <c r="E3814" t="inlineStr">
        <is>
          <t>AM06</t>
        </is>
      </c>
      <c r="F3814" s="5" t="n">
        <v>166.02</v>
      </c>
      <c r="G3814">
        <f>IF(LEFT(B3814,1)="C","Credit","Factuur")</f>
        <v/>
      </c>
      <c r="H3814">
        <f>IF(AND(B3814=B3813,D3814=D3813,A3814=A3813,F3814=F3813),1,0)</f>
        <v/>
      </c>
      <c r="I3814">
        <f>IF(C3814="C99999",1,0)</f>
        <v/>
      </c>
      <c r="J3814" s="5">
        <f>IF(OR(H3814=1,I3814=1),0,IF(G3814="Credit",-F3814,F3814))</f>
        <v/>
      </c>
    </row>
    <row r="3815">
      <c r="A3815" t="inlineStr">
        <is>
          <t>2026-08-07</t>
        </is>
      </c>
      <c r="B3815" t="inlineStr">
        <is>
          <t>F267844</t>
        </is>
      </c>
      <c r="C3815" t="inlineStr">
        <is>
          <t>C10411</t>
        </is>
      </c>
      <c r="D3815" t="inlineStr">
        <is>
          <t>SKU-10169</t>
        </is>
      </c>
      <c r="E3815" t="inlineStr">
        <is>
          <t>AM07</t>
        </is>
      </c>
      <c r="F3815" s="5" t="n">
        <v>216.02</v>
      </c>
      <c r="G3815">
        <f>IF(LEFT(B3815,1)="C","Credit","Factuur")</f>
        <v/>
      </c>
      <c r="H3815">
        <f>IF(AND(B3815=B3814,D3815=D3814,A3815=A3814,F3815=F3814),1,0)</f>
        <v/>
      </c>
      <c r="I3815">
        <f>IF(C3815="C99999",1,0)</f>
        <v/>
      </c>
      <c r="J3815" s="5">
        <f>IF(OR(H3815=1,I3815=1),0,IF(G3815="Credit",-F3815,F3815))</f>
        <v/>
      </c>
    </row>
    <row r="3816">
      <c r="A3816" t="inlineStr">
        <is>
          <t>2026-08-07</t>
        </is>
      </c>
      <c r="B3816" t="inlineStr">
        <is>
          <t>F267844</t>
        </is>
      </c>
      <c r="C3816" t="inlineStr">
        <is>
          <t>C10411</t>
        </is>
      </c>
      <c r="D3816" t="inlineStr">
        <is>
          <t>SKU-10330</t>
        </is>
      </c>
      <c r="E3816" t="inlineStr">
        <is>
          <t>AM07</t>
        </is>
      </c>
      <c r="F3816" s="5" t="n">
        <v>215</v>
      </c>
      <c r="G3816">
        <f>IF(LEFT(B3816,1)="C","Credit","Factuur")</f>
        <v/>
      </c>
      <c r="H3816">
        <f>IF(AND(B3816=B3815,D3816=D3815,A3816=A3815,F3816=F3815),1,0)</f>
        <v/>
      </c>
      <c r="I3816">
        <f>IF(C3816="C99999",1,0)</f>
        <v/>
      </c>
      <c r="J3816" s="5">
        <f>IF(OR(H3816=1,I3816=1),0,IF(G3816="Credit",-F3816,F3816))</f>
        <v/>
      </c>
    </row>
    <row r="3817">
      <c r="A3817" t="inlineStr">
        <is>
          <t>2026-08-07</t>
        </is>
      </c>
      <c r="B3817" t="inlineStr">
        <is>
          <t>F267844</t>
        </is>
      </c>
      <c r="C3817" t="inlineStr">
        <is>
          <t>C10411</t>
        </is>
      </c>
      <c r="D3817" t="inlineStr">
        <is>
          <t>SKU-10353</t>
        </is>
      </c>
      <c r="E3817" t="inlineStr">
        <is>
          <t>AM07</t>
        </is>
      </c>
      <c r="F3817" s="5" t="n">
        <v>221.92</v>
      </c>
      <c r="G3817">
        <f>IF(LEFT(B3817,1)="C","Credit","Factuur")</f>
        <v/>
      </c>
      <c r="H3817">
        <f>IF(AND(B3817=B3816,D3817=D3816,A3817=A3816,F3817=F3816),1,0)</f>
        <v/>
      </c>
      <c r="I3817">
        <f>IF(C3817="C99999",1,0)</f>
        <v/>
      </c>
      <c r="J3817" s="5">
        <f>IF(OR(H3817=1,I3817=1),0,IF(G3817="Credit",-F3817,F3817))</f>
        <v/>
      </c>
    </row>
    <row r="3818">
      <c r="A3818" t="inlineStr">
        <is>
          <t>2026-08-07</t>
        </is>
      </c>
      <c r="B3818" t="inlineStr">
        <is>
          <t>F267844</t>
        </is>
      </c>
      <c r="C3818" t="inlineStr">
        <is>
          <t>C10411</t>
        </is>
      </c>
      <c r="D3818" t="inlineStr">
        <is>
          <t>SKU-10370</t>
        </is>
      </c>
      <c r="E3818" t="inlineStr">
        <is>
          <t>AM07</t>
        </is>
      </c>
      <c r="F3818" s="5" t="n">
        <v>209.79</v>
      </c>
      <c r="G3818">
        <f>IF(LEFT(B3818,1)="C","Credit","Factuur")</f>
        <v/>
      </c>
      <c r="H3818">
        <f>IF(AND(B3818=B3817,D3818=D3817,A3818=A3817,F3818=F3817),1,0)</f>
        <v/>
      </c>
      <c r="I3818">
        <f>IF(C3818="C99999",1,0)</f>
        <v/>
      </c>
      <c r="J3818" s="5">
        <f>IF(OR(H3818=1,I3818=1),0,IF(G3818="Credit",-F3818,F3818))</f>
        <v/>
      </c>
    </row>
    <row r="3819">
      <c r="A3819" t="inlineStr">
        <is>
          <t>2026-08-07</t>
        </is>
      </c>
      <c r="B3819" t="inlineStr">
        <is>
          <t>F267913</t>
        </is>
      </c>
      <c r="C3819" t="inlineStr">
        <is>
          <t>C10415</t>
        </is>
      </c>
      <c r="D3819" t="inlineStr">
        <is>
          <t>SKU-10197</t>
        </is>
      </c>
      <c r="E3819" t="inlineStr">
        <is>
          <t>AM01</t>
        </is>
      </c>
      <c r="F3819" s="5" t="n">
        <v>150.34</v>
      </c>
      <c r="G3819">
        <f>IF(LEFT(B3819,1)="C","Credit","Factuur")</f>
        <v/>
      </c>
      <c r="H3819">
        <f>IF(AND(B3819=B3818,D3819=D3818,A3819=A3818,F3819=F3818),1,0)</f>
        <v/>
      </c>
      <c r="I3819">
        <f>IF(C3819="C99999",1,0)</f>
        <v/>
      </c>
      <c r="J3819" s="5">
        <f>IF(OR(H3819=1,I3819=1),0,IF(G3819="Credit",-F3819,F3819))</f>
        <v/>
      </c>
    </row>
    <row r="3820">
      <c r="A3820" t="inlineStr">
        <is>
          <t>2026-08-07</t>
        </is>
      </c>
      <c r="B3820" t="inlineStr">
        <is>
          <t>F267913</t>
        </is>
      </c>
      <c r="C3820" t="inlineStr">
        <is>
          <t>C10415</t>
        </is>
      </c>
      <c r="D3820" t="inlineStr">
        <is>
          <t>SKU-10327</t>
        </is>
      </c>
      <c r="E3820" t="inlineStr">
        <is>
          <t>AM01</t>
        </is>
      </c>
      <c r="F3820" s="5" t="n">
        <v>185.2</v>
      </c>
      <c r="G3820">
        <f>IF(LEFT(B3820,1)="C","Credit","Factuur")</f>
        <v/>
      </c>
      <c r="H3820">
        <f>IF(AND(B3820=B3819,D3820=D3819,A3820=A3819,F3820=F3819),1,0)</f>
        <v/>
      </c>
      <c r="I3820">
        <f>IF(C3820="C99999",1,0)</f>
        <v/>
      </c>
      <c r="J3820" s="5">
        <f>IF(OR(H3820=1,I3820=1),0,IF(G3820="Credit",-F3820,F3820))</f>
        <v/>
      </c>
    </row>
    <row r="3821">
      <c r="A3821" t="inlineStr">
        <is>
          <t>2026-08-07</t>
        </is>
      </c>
      <c r="B3821" t="inlineStr">
        <is>
          <t>F267921</t>
        </is>
      </c>
      <c r="C3821" t="inlineStr">
        <is>
          <t>C10416</t>
        </is>
      </c>
      <c r="D3821" t="inlineStr">
        <is>
          <t>SKU-10156</t>
        </is>
      </c>
      <c r="E3821" t="inlineStr">
        <is>
          <t>AM01</t>
        </is>
      </c>
      <c r="F3821" s="5" t="n">
        <v>1032.24</v>
      </c>
      <c r="G3821">
        <f>IF(LEFT(B3821,1)="C","Credit","Factuur")</f>
        <v/>
      </c>
      <c r="H3821">
        <f>IF(AND(B3821=B3820,D3821=D3820,A3821=A3820,F3821=F3820),1,0)</f>
        <v/>
      </c>
      <c r="I3821">
        <f>IF(C3821="C99999",1,0)</f>
        <v/>
      </c>
      <c r="J3821" s="5">
        <f>IF(OR(H3821=1,I3821=1),0,IF(G3821="Credit",-F3821,F3821))</f>
        <v/>
      </c>
    </row>
    <row r="3822">
      <c r="A3822" t="inlineStr">
        <is>
          <t>2026-08-07</t>
        </is>
      </c>
      <c r="B3822" t="inlineStr">
        <is>
          <t>F267921</t>
        </is>
      </c>
      <c r="C3822" t="inlineStr">
        <is>
          <t>C10416</t>
        </is>
      </c>
      <c r="D3822" t="inlineStr">
        <is>
          <t>SKU-10196</t>
        </is>
      </c>
      <c r="E3822" t="inlineStr">
        <is>
          <t>AM01</t>
        </is>
      </c>
      <c r="F3822" s="5" t="n">
        <v>1035.45</v>
      </c>
      <c r="G3822">
        <f>IF(LEFT(B3822,1)="C","Credit","Factuur")</f>
        <v/>
      </c>
      <c r="H3822">
        <f>IF(AND(B3822=B3821,D3822=D3821,A3822=A3821,F3822=F3821),1,0)</f>
        <v/>
      </c>
      <c r="I3822">
        <f>IF(C3822="C99999",1,0)</f>
        <v/>
      </c>
      <c r="J3822" s="5">
        <f>IF(OR(H3822=1,I3822=1),0,IF(G3822="Credit",-F3822,F3822))</f>
        <v/>
      </c>
    </row>
    <row r="3823">
      <c r="A3823" t="inlineStr">
        <is>
          <t>2026-08-07</t>
        </is>
      </c>
      <c r="B3823" t="inlineStr">
        <is>
          <t>F268258</t>
        </is>
      </c>
      <c r="C3823" t="inlineStr">
        <is>
          <t>C10432</t>
        </is>
      </c>
      <c r="D3823" t="inlineStr">
        <is>
          <t>SKU-10074</t>
        </is>
      </c>
      <c r="E3823" t="inlineStr">
        <is>
          <t>AM12</t>
        </is>
      </c>
      <c r="F3823" s="5" t="n">
        <v>608.49</v>
      </c>
      <c r="G3823">
        <f>IF(LEFT(B3823,1)="C","Credit","Factuur")</f>
        <v/>
      </c>
      <c r="H3823">
        <f>IF(AND(B3823=B3822,D3823=D3822,A3823=A3822,F3823=F3822),1,0)</f>
        <v/>
      </c>
      <c r="I3823">
        <f>IF(C3823="C99999",1,0)</f>
        <v/>
      </c>
      <c r="J3823" s="5">
        <f>IF(OR(H3823=1,I3823=1),0,IF(G3823="Credit",-F3823,F3823))</f>
        <v/>
      </c>
    </row>
    <row r="3824">
      <c r="A3824" t="inlineStr">
        <is>
          <t>2026-08-07</t>
        </is>
      </c>
      <c r="B3824" t="inlineStr">
        <is>
          <t>F268258</t>
        </is>
      </c>
      <c r="C3824" t="inlineStr">
        <is>
          <t>C10432</t>
        </is>
      </c>
      <c r="D3824" t="inlineStr">
        <is>
          <t>SKU-10324</t>
        </is>
      </c>
      <c r="E3824" t="inlineStr">
        <is>
          <t>AM12</t>
        </is>
      </c>
      <c r="F3824" s="5" t="n">
        <v>695.04</v>
      </c>
      <c r="G3824">
        <f>IF(LEFT(B3824,1)="C","Credit","Factuur")</f>
        <v/>
      </c>
      <c r="H3824">
        <f>IF(AND(B3824=B3823,D3824=D3823,A3824=A3823,F3824=F3823),1,0)</f>
        <v/>
      </c>
      <c r="I3824">
        <f>IF(C3824="C99999",1,0)</f>
        <v/>
      </c>
      <c r="J3824" s="5">
        <f>IF(OR(H3824=1,I3824=1),0,IF(G3824="Credit",-F3824,F3824))</f>
        <v/>
      </c>
    </row>
    <row r="3825">
      <c r="A3825" t="inlineStr">
        <is>
          <t>2026-08-07</t>
        </is>
      </c>
      <c r="B3825" t="inlineStr">
        <is>
          <t>F268302</t>
        </is>
      </c>
      <c r="C3825" t="inlineStr">
        <is>
          <t>C10434</t>
        </is>
      </c>
      <c r="D3825" t="inlineStr">
        <is>
          <t>SKU-10198</t>
        </is>
      </c>
      <c r="E3825" t="inlineStr">
        <is>
          <t>AM01</t>
        </is>
      </c>
      <c r="F3825" s="5" t="n">
        <v>467.35</v>
      </c>
      <c r="G3825">
        <f>IF(LEFT(B3825,1)="C","Credit","Factuur")</f>
        <v/>
      </c>
      <c r="H3825">
        <f>IF(AND(B3825=B3824,D3825=D3824,A3825=A3824,F3825=F3824),1,0)</f>
        <v/>
      </c>
      <c r="I3825">
        <f>IF(C3825="C99999",1,0)</f>
        <v/>
      </c>
      <c r="J3825" s="5">
        <f>IF(OR(H3825=1,I3825=1),0,IF(G3825="Credit",-F3825,F3825))</f>
        <v/>
      </c>
    </row>
    <row r="3826">
      <c r="A3826" t="inlineStr">
        <is>
          <t>2026-08-07</t>
        </is>
      </c>
      <c r="B3826" t="inlineStr">
        <is>
          <t>F268928</t>
        </is>
      </c>
      <c r="C3826" t="inlineStr">
        <is>
          <t>C10465</t>
        </is>
      </c>
      <c r="D3826" t="inlineStr">
        <is>
          <t>SKU-10030</t>
        </is>
      </c>
      <c r="E3826" t="inlineStr">
        <is>
          <t>AM06</t>
        </is>
      </c>
      <c r="F3826" s="5" t="n">
        <v>1112.85</v>
      </c>
      <c r="G3826">
        <f>IF(LEFT(B3826,1)="C","Credit","Factuur")</f>
        <v/>
      </c>
      <c r="H3826">
        <f>IF(AND(B3826=B3825,D3826=D3825,A3826=A3825,F3826=F3825),1,0)</f>
        <v/>
      </c>
      <c r="I3826">
        <f>IF(C3826="C99999",1,0)</f>
        <v/>
      </c>
      <c r="J3826" s="5">
        <f>IF(OR(H3826=1,I3826=1),0,IF(G3826="Credit",-F3826,F3826))</f>
        <v/>
      </c>
    </row>
    <row r="3827">
      <c r="A3827" t="inlineStr">
        <is>
          <t>2026-08-07</t>
        </is>
      </c>
      <c r="B3827" t="inlineStr">
        <is>
          <t>F268928</t>
        </is>
      </c>
      <c r="C3827" t="inlineStr">
        <is>
          <t>C10465</t>
        </is>
      </c>
      <c r="D3827" t="inlineStr">
        <is>
          <t>SKU-10327</t>
        </is>
      </c>
      <c r="E3827" t="inlineStr">
        <is>
          <t>AM06</t>
        </is>
      </c>
      <c r="F3827" s="5" t="n">
        <v>977.86</v>
      </c>
      <c r="G3827">
        <f>IF(LEFT(B3827,1)="C","Credit","Factuur")</f>
        <v/>
      </c>
      <c r="H3827">
        <f>IF(AND(B3827=B3826,D3827=D3826,A3827=A3826,F3827=F3826),1,0)</f>
        <v/>
      </c>
      <c r="I3827">
        <f>IF(C3827="C99999",1,0)</f>
        <v/>
      </c>
      <c r="J3827" s="5">
        <f>IF(OR(H3827=1,I3827=1),0,IF(G3827="Credit",-F3827,F3827))</f>
        <v/>
      </c>
    </row>
    <row r="3828">
      <c r="A3828" t="inlineStr">
        <is>
          <t>2026-08-07</t>
        </is>
      </c>
      <c r="B3828" t="inlineStr">
        <is>
          <t>F269163</t>
        </is>
      </c>
      <c r="C3828" t="inlineStr">
        <is>
          <t>C10480</t>
        </is>
      </c>
      <c r="D3828" t="inlineStr">
        <is>
          <t>SKU-10048</t>
        </is>
      </c>
      <c r="E3828" t="inlineStr">
        <is>
          <t>AM07</t>
        </is>
      </c>
      <c r="F3828" s="5" t="n">
        <v>799.67</v>
      </c>
      <c r="G3828">
        <f>IF(LEFT(B3828,1)="C","Credit","Factuur")</f>
        <v/>
      </c>
      <c r="H3828">
        <f>IF(AND(B3828=B3827,D3828=D3827,A3828=A3827,F3828=F3827),1,0)</f>
        <v/>
      </c>
      <c r="I3828">
        <f>IF(C3828="C99999",1,0)</f>
        <v/>
      </c>
      <c r="J3828" s="5">
        <f>IF(OR(H3828=1,I3828=1),0,IF(G3828="Credit",-F3828,F3828))</f>
        <v/>
      </c>
    </row>
    <row r="3829">
      <c r="A3829" t="inlineStr">
        <is>
          <t>2026-08-07</t>
        </is>
      </c>
      <c r="B3829" t="inlineStr">
        <is>
          <t>F269163</t>
        </is>
      </c>
      <c r="C3829" t="inlineStr">
        <is>
          <t>C10480</t>
        </is>
      </c>
      <c r="D3829" t="inlineStr">
        <is>
          <t>SKU-10054</t>
        </is>
      </c>
      <c r="E3829" t="inlineStr">
        <is>
          <t>AM07</t>
        </is>
      </c>
      <c r="F3829" s="5" t="n">
        <v>815.13</v>
      </c>
      <c r="G3829">
        <f>IF(LEFT(B3829,1)="C","Credit","Factuur")</f>
        <v/>
      </c>
      <c r="H3829">
        <f>IF(AND(B3829=B3828,D3829=D3828,A3829=A3828,F3829=F3828),1,0)</f>
        <v/>
      </c>
      <c r="I3829">
        <f>IF(C3829="C99999",1,0)</f>
        <v/>
      </c>
      <c r="J3829" s="5">
        <f>IF(OR(H3829=1,I3829=1),0,IF(G3829="Credit",-F3829,F3829))</f>
        <v/>
      </c>
    </row>
    <row r="3830">
      <c r="A3830" t="inlineStr">
        <is>
          <t>2026-08-07</t>
        </is>
      </c>
      <c r="B3830" t="inlineStr">
        <is>
          <t>F269316</t>
        </is>
      </c>
      <c r="C3830" t="inlineStr">
        <is>
          <t>C10490</t>
        </is>
      </c>
      <c r="D3830" t="inlineStr">
        <is>
          <t>SKU-10142</t>
        </is>
      </c>
      <c r="E3830" t="inlineStr">
        <is>
          <t>AM02</t>
        </is>
      </c>
      <c r="F3830" s="5" t="n">
        <v>362.3</v>
      </c>
      <c r="G3830">
        <f>IF(LEFT(B3830,1)="C","Credit","Factuur")</f>
        <v/>
      </c>
      <c r="H3830">
        <f>IF(AND(B3830=B3829,D3830=D3829,A3830=A3829,F3830=F3829),1,0)</f>
        <v/>
      </c>
      <c r="I3830">
        <f>IF(C3830="C99999",1,0)</f>
        <v/>
      </c>
      <c r="J3830" s="5">
        <f>IF(OR(H3830=1,I3830=1),0,IF(G3830="Credit",-F3830,F3830))</f>
        <v/>
      </c>
    </row>
    <row r="3831">
      <c r="A3831" t="inlineStr">
        <is>
          <t>2026-08-07</t>
        </is>
      </c>
      <c r="B3831" t="inlineStr">
        <is>
          <t>F269316</t>
        </is>
      </c>
      <c r="C3831" t="inlineStr">
        <is>
          <t>C10490</t>
        </is>
      </c>
      <c r="D3831" t="inlineStr">
        <is>
          <t>SKU-10198</t>
        </is>
      </c>
      <c r="E3831" t="inlineStr">
        <is>
          <t>AM02</t>
        </is>
      </c>
      <c r="F3831" s="5" t="n">
        <v>359.5</v>
      </c>
      <c r="G3831">
        <f>IF(LEFT(B3831,1)="C","Credit","Factuur")</f>
        <v/>
      </c>
      <c r="H3831">
        <f>IF(AND(B3831=B3830,D3831=D3830,A3831=A3830,F3831=F3830),1,0)</f>
        <v/>
      </c>
      <c r="I3831">
        <f>IF(C3831="C99999",1,0)</f>
        <v/>
      </c>
      <c r="J3831" s="5">
        <f>IF(OR(H3831=1,I3831=1),0,IF(G3831="Credit",-F3831,F3831))</f>
        <v/>
      </c>
    </row>
    <row r="3832">
      <c r="A3832" t="inlineStr">
        <is>
          <t>2026-08-07</t>
        </is>
      </c>
      <c r="B3832" t="inlineStr">
        <is>
          <t>F269316</t>
        </is>
      </c>
      <c r="C3832" t="inlineStr">
        <is>
          <t>C10490</t>
        </is>
      </c>
      <c r="D3832" t="inlineStr">
        <is>
          <t>SKU-10199</t>
        </is>
      </c>
      <c r="E3832" t="inlineStr">
        <is>
          <t>AM02</t>
        </is>
      </c>
      <c r="F3832" s="5" t="n">
        <v>355.75</v>
      </c>
      <c r="G3832">
        <f>IF(LEFT(B3832,1)="C","Credit","Factuur")</f>
        <v/>
      </c>
      <c r="H3832">
        <f>IF(AND(B3832=B3831,D3832=D3831,A3832=A3831,F3832=F3831),1,0)</f>
        <v/>
      </c>
      <c r="I3832">
        <f>IF(C3832="C99999",1,0)</f>
        <v/>
      </c>
      <c r="J3832" s="5">
        <f>IF(OR(H3832=1,I3832=1),0,IF(G3832="Credit",-F3832,F3832))</f>
        <v/>
      </c>
    </row>
    <row r="3833">
      <c r="A3833" t="inlineStr">
        <is>
          <t>2026-08-07</t>
        </is>
      </c>
      <c r="B3833" t="inlineStr">
        <is>
          <t>F269316</t>
        </is>
      </c>
      <c r="C3833" t="inlineStr">
        <is>
          <t>C10490</t>
        </is>
      </c>
      <c r="D3833" t="inlineStr">
        <is>
          <t>SKU-10294</t>
        </is>
      </c>
      <c r="E3833" t="inlineStr"/>
      <c r="F3833" s="5" t="n">
        <v>368.7</v>
      </c>
      <c r="G3833">
        <f>IF(LEFT(B3833,1)="C","Credit","Factuur")</f>
        <v/>
      </c>
      <c r="H3833">
        <f>IF(AND(B3833=B3832,D3833=D3832,A3833=A3832,F3833=F3832),1,0)</f>
        <v/>
      </c>
      <c r="I3833">
        <f>IF(C3833="C99999",1,0)</f>
        <v/>
      </c>
      <c r="J3833" s="5">
        <f>IF(OR(H3833=1,I3833=1),0,IF(G3833="Credit",-F3833,F3833))</f>
        <v/>
      </c>
    </row>
    <row r="3834">
      <c r="A3834" t="inlineStr">
        <is>
          <t>2026-08-07</t>
        </is>
      </c>
      <c r="B3834" t="inlineStr">
        <is>
          <t>F269316</t>
        </is>
      </c>
      <c r="C3834" t="inlineStr">
        <is>
          <t>C10490</t>
        </is>
      </c>
      <c r="D3834" t="inlineStr">
        <is>
          <t>SKU-10338</t>
        </is>
      </c>
      <c r="E3834" t="inlineStr">
        <is>
          <t>AM02</t>
        </is>
      </c>
      <c r="F3834" s="5" t="n">
        <v>371.56</v>
      </c>
      <c r="G3834">
        <f>IF(LEFT(B3834,1)="C","Credit","Factuur")</f>
        <v/>
      </c>
      <c r="H3834">
        <f>IF(AND(B3834=B3833,D3834=D3833,A3834=A3833,F3834=F3833),1,0)</f>
        <v/>
      </c>
      <c r="I3834">
        <f>IF(C3834="C99999",1,0)</f>
        <v/>
      </c>
      <c r="J3834" s="5">
        <f>IF(OR(H3834=1,I3834=1),0,IF(G3834="Credit",-F3834,F3834))</f>
        <v/>
      </c>
    </row>
    <row r="3835">
      <c r="A3835" t="inlineStr">
        <is>
          <t>2026-08-07</t>
        </is>
      </c>
      <c r="B3835" t="inlineStr">
        <is>
          <t>F269316</t>
        </is>
      </c>
      <c r="C3835" t="inlineStr">
        <is>
          <t>C10490</t>
        </is>
      </c>
      <c r="D3835" t="inlineStr">
        <is>
          <t>SKU-10354</t>
        </is>
      </c>
      <c r="E3835" t="inlineStr">
        <is>
          <t>AM02</t>
        </is>
      </c>
      <c r="F3835" s="5" t="n">
        <v>341.3</v>
      </c>
      <c r="G3835">
        <f>IF(LEFT(B3835,1)="C","Credit","Factuur")</f>
        <v/>
      </c>
      <c r="H3835">
        <f>IF(AND(B3835=B3834,D3835=D3834,A3835=A3834,F3835=F3834),1,0)</f>
        <v/>
      </c>
      <c r="I3835">
        <f>IF(C3835="C99999",1,0)</f>
        <v/>
      </c>
      <c r="J3835" s="5">
        <f>IF(OR(H3835=1,I3835=1),0,IF(G3835="Credit",-F3835,F3835))</f>
        <v/>
      </c>
    </row>
    <row r="3836">
      <c r="A3836" t="inlineStr">
        <is>
          <t>2026-08-07</t>
        </is>
      </c>
      <c r="B3836" t="inlineStr">
        <is>
          <t>F269497</t>
        </is>
      </c>
      <c r="C3836" t="inlineStr">
        <is>
          <t>C10499</t>
        </is>
      </c>
      <c r="D3836" t="inlineStr">
        <is>
          <t>SKU-10029</t>
        </is>
      </c>
      <c r="E3836" t="inlineStr">
        <is>
          <t>AM09</t>
        </is>
      </c>
      <c r="F3836" s="5" t="n">
        <v>3019.74</v>
      </c>
      <c r="G3836">
        <f>IF(LEFT(B3836,1)="C","Credit","Factuur")</f>
        <v/>
      </c>
      <c r="H3836">
        <f>IF(AND(B3836=B3835,D3836=D3835,A3836=A3835,F3836=F3835),1,0)</f>
        <v/>
      </c>
      <c r="I3836">
        <f>IF(C3836="C99999",1,0)</f>
        <v/>
      </c>
      <c r="J3836" s="5">
        <f>IF(OR(H3836=1,I3836=1),0,IF(G3836="Credit",-F3836,F3836))</f>
        <v/>
      </c>
    </row>
    <row r="3837">
      <c r="A3837" t="inlineStr">
        <is>
          <t>2026-08-07</t>
        </is>
      </c>
      <c r="B3837" t="inlineStr">
        <is>
          <t>F269497</t>
        </is>
      </c>
      <c r="C3837" t="inlineStr">
        <is>
          <t>C10499</t>
        </is>
      </c>
      <c r="D3837" t="inlineStr">
        <is>
          <t>SKU-10074</t>
        </is>
      </c>
      <c r="E3837" t="inlineStr">
        <is>
          <t>AM09</t>
        </is>
      </c>
      <c r="F3837" s="5" t="n">
        <v>2872.26</v>
      </c>
      <c r="G3837">
        <f>IF(LEFT(B3837,1)="C","Credit","Factuur")</f>
        <v/>
      </c>
      <c r="H3837">
        <f>IF(AND(B3837=B3836,D3837=D3836,A3837=A3836,F3837=F3836),1,0)</f>
        <v/>
      </c>
      <c r="I3837">
        <f>IF(C3837="C99999",1,0)</f>
        <v/>
      </c>
      <c r="J3837" s="5">
        <f>IF(OR(H3837=1,I3837=1),0,IF(G3837="Credit",-F3837,F3837))</f>
        <v/>
      </c>
    </row>
    <row r="3838">
      <c r="A3838" t="inlineStr">
        <is>
          <t>2026-08-07</t>
        </is>
      </c>
      <c r="B3838" t="inlineStr">
        <is>
          <t>F269497</t>
        </is>
      </c>
      <c r="C3838" t="inlineStr">
        <is>
          <t>C10499</t>
        </is>
      </c>
      <c r="D3838" t="inlineStr">
        <is>
          <t>SKU-10226</t>
        </is>
      </c>
      <c r="E3838" t="inlineStr">
        <is>
          <t>AM09</t>
        </is>
      </c>
      <c r="F3838" s="5" t="n">
        <v>2725.34</v>
      </c>
      <c r="G3838">
        <f>IF(LEFT(B3838,1)="C","Credit","Factuur")</f>
        <v/>
      </c>
      <c r="H3838">
        <f>IF(AND(B3838=B3837,D3838=D3837,A3838=A3837,F3838=F3837),1,0)</f>
        <v/>
      </c>
      <c r="I3838">
        <f>IF(C3838="C99999",1,0)</f>
        <v/>
      </c>
      <c r="J3838" s="5">
        <f>IF(OR(H3838=1,I3838=1),0,IF(G3838="Credit",-F3838,F3838))</f>
        <v/>
      </c>
    </row>
    <row r="3839">
      <c r="A3839" t="inlineStr">
        <is>
          <t>2026-08-07</t>
        </is>
      </c>
      <c r="B3839" t="inlineStr">
        <is>
          <t>F269497</t>
        </is>
      </c>
      <c r="C3839" t="inlineStr">
        <is>
          <t>C10499</t>
        </is>
      </c>
      <c r="D3839" t="inlineStr">
        <is>
          <t>SKU-10332</t>
        </is>
      </c>
      <c r="E3839" t="inlineStr">
        <is>
          <t>AM09</t>
        </is>
      </c>
      <c r="F3839" s="5" t="n">
        <v>2828.77</v>
      </c>
      <c r="G3839">
        <f>IF(LEFT(B3839,1)="C","Credit","Factuur")</f>
        <v/>
      </c>
      <c r="H3839">
        <f>IF(AND(B3839=B3838,D3839=D3838,A3839=A3838,F3839=F3838),1,0)</f>
        <v/>
      </c>
      <c r="I3839">
        <f>IF(C3839="C99999",1,0)</f>
        <v/>
      </c>
      <c r="J3839" s="5">
        <f>IF(OR(H3839=1,I3839=1),0,IF(G3839="Credit",-F3839,F3839))</f>
        <v/>
      </c>
    </row>
    <row r="3840">
      <c r="A3840" t="inlineStr">
        <is>
          <t>2026-08-07</t>
        </is>
      </c>
      <c r="B3840" t="inlineStr">
        <is>
          <t>F270020</t>
        </is>
      </c>
      <c r="C3840" t="inlineStr">
        <is>
          <t>C10527</t>
        </is>
      </c>
      <c r="D3840" t="inlineStr">
        <is>
          <t>SKU-10070</t>
        </is>
      </c>
      <c r="E3840" t="inlineStr">
        <is>
          <t>AM01</t>
        </is>
      </c>
      <c r="F3840" s="5" t="n">
        <v>337.76</v>
      </c>
      <c r="G3840">
        <f>IF(LEFT(B3840,1)="C","Credit","Factuur")</f>
        <v/>
      </c>
      <c r="H3840">
        <f>IF(AND(B3840=B3839,D3840=D3839,A3840=A3839,F3840=F3839),1,0)</f>
        <v/>
      </c>
      <c r="I3840">
        <f>IF(C3840="C99999",1,0)</f>
        <v/>
      </c>
      <c r="J3840" s="5">
        <f>IF(OR(H3840=1,I3840=1),0,IF(G3840="Credit",-F3840,F3840))</f>
        <v/>
      </c>
    </row>
    <row r="3841">
      <c r="A3841" t="inlineStr">
        <is>
          <t>2026-08-07</t>
        </is>
      </c>
      <c r="B3841" t="inlineStr">
        <is>
          <t>F270020</t>
        </is>
      </c>
      <c r="C3841" t="inlineStr">
        <is>
          <t>C10527</t>
        </is>
      </c>
      <c r="D3841" t="inlineStr">
        <is>
          <t>SKU-10101</t>
        </is>
      </c>
      <c r="E3841" t="inlineStr">
        <is>
          <t>AM01</t>
        </is>
      </c>
      <c r="F3841" s="5" t="n">
        <v>356.28</v>
      </c>
      <c r="G3841">
        <f>IF(LEFT(B3841,1)="C","Credit","Factuur")</f>
        <v/>
      </c>
      <c r="H3841">
        <f>IF(AND(B3841=B3840,D3841=D3840,A3841=A3840,F3841=F3840),1,0)</f>
        <v/>
      </c>
      <c r="I3841">
        <f>IF(C3841="C99999",1,0)</f>
        <v/>
      </c>
      <c r="J3841" s="5">
        <f>IF(OR(H3841=1,I3841=1),0,IF(G3841="Credit",-F3841,F3841))</f>
        <v/>
      </c>
    </row>
    <row r="3842">
      <c r="A3842" t="inlineStr">
        <is>
          <t>2026-08-07</t>
        </is>
      </c>
      <c r="B3842" t="inlineStr">
        <is>
          <t>F270020</t>
        </is>
      </c>
      <c r="C3842" t="inlineStr">
        <is>
          <t>C10527</t>
        </is>
      </c>
      <c r="D3842" t="inlineStr">
        <is>
          <t>SKU-10178</t>
        </is>
      </c>
      <c r="E3842" t="inlineStr"/>
      <c r="F3842" s="5" t="n">
        <v>357.25</v>
      </c>
      <c r="G3842">
        <f>IF(LEFT(B3842,1)="C","Credit","Factuur")</f>
        <v/>
      </c>
      <c r="H3842">
        <f>IF(AND(B3842=B3841,D3842=D3841,A3842=A3841,F3842=F3841),1,0)</f>
        <v/>
      </c>
      <c r="I3842">
        <f>IF(C3842="C99999",1,0)</f>
        <v/>
      </c>
      <c r="J3842" s="5">
        <f>IF(OR(H3842=1,I3842=1),0,IF(G3842="Credit",-F3842,F3842))</f>
        <v/>
      </c>
    </row>
    <row r="3843">
      <c r="A3843" t="inlineStr">
        <is>
          <t>2026-08-07</t>
        </is>
      </c>
      <c r="B3843" t="inlineStr">
        <is>
          <t>F270020</t>
        </is>
      </c>
      <c r="C3843" t="inlineStr">
        <is>
          <t>C10527</t>
        </is>
      </c>
      <c r="D3843" t="inlineStr">
        <is>
          <t>SKU-10188</t>
        </is>
      </c>
      <c r="E3843" t="inlineStr">
        <is>
          <t>AM01</t>
        </is>
      </c>
      <c r="F3843" s="5" t="n">
        <v>359.94</v>
      </c>
      <c r="G3843">
        <f>IF(LEFT(B3843,1)="C","Credit","Factuur")</f>
        <v/>
      </c>
      <c r="H3843">
        <f>IF(AND(B3843=B3842,D3843=D3842,A3843=A3842,F3843=F3842),1,0)</f>
        <v/>
      </c>
      <c r="I3843">
        <f>IF(C3843="C99999",1,0)</f>
        <v/>
      </c>
      <c r="J3843" s="5">
        <f>IF(OR(H3843=1,I3843=1),0,IF(G3843="Credit",-F3843,F3843))</f>
        <v/>
      </c>
    </row>
    <row r="3844">
      <c r="A3844" t="inlineStr">
        <is>
          <t>2026-08-07</t>
        </is>
      </c>
      <c r="B3844" t="inlineStr">
        <is>
          <t>F270571</t>
        </is>
      </c>
      <c r="C3844" t="inlineStr">
        <is>
          <t>C10555</t>
        </is>
      </c>
      <c r="D3844" t="inlineStr">
        <is>
          <t>SKU-10058</t>
        </is>
      </c>
      <c r="E3844" t="inlineStr">
        <is>
          <t>AM08</t>
        </is>
      </c>
      <c r="F3844" s="5" t="n">
        <v>346.98</v>
      </c>
      <c r="G3844">
        <f>IF(LEFT(B3844,1)="C","Credit","Factuur")</f>
        <v/>
      </c>
      <c r="H3844">
        <f>IF(AND(B3844=B3843,D3844=D3843,A3844=A3843,F3844=F3843),1,0)</f>
        <v/>
      </c>
      <c r="I3844">
        <f>IF(C3844="C99999",1,0)</f>
        <v/>
      </c>
      <c r="J3844" s="5">
        <f>IF(OR(H3844=1,I3844=1),0,IF(G3844="Credit",-F3844,F3844))</f>
        <v/>
      </c>
    </row>
    <row r="3845">
      <c r="A3845" t="inlineStr">
        <is>
          <t>2026-08-07</t>
        </is>
      </c>
      <c r="B3845" t="inlineStr">
        <is>
          <t>F270820</t>
        </is>
      </c>
      <c r="C3845" t="inlineStr">
        <is>
          <t>C10567</t>
        </is>
      </c>
      <c r="D3845" t="inlineStr">
        <is>
          <t>SKU-10348</t>
        </is>
      </c>
      <c r="E3845" t="inlineStr">
        <is>
          <t>AM08</t>
        </is>
      </c>
      <c r="F3845" s="5" t="n">
        <v>413.07</v>
      </c>
      <c r="G3845">
        <f>IF(LEFT(B3845,1)="C","Credit","Factuur")</f>
        <v/>
      </c>
      <c r="H3845">
        <f>IF(AND(B3845=B3844,D3845=D3844,A3845=A3844,F3845=F3844),1,0)</f>
        <v/>
      </c>
      <c r="I3845">
        <f>IF(C3845="C99999",1,0)</f>
        <v/>
      </c>
      <c r="J3845" s="5">
        <f>IF(OR(H3845=1,I3845=1),0,IF(G3845="Credit",-F3845,F3845))</f>
        <v/>
      </c>
    </row>
    <row r="3846">
      <c r="A3846" t="inlineStr">
        <is>
          <t>2026-08-07</t>
        </is>
      </c>
      <c r="B3846" t="inlineStr">
        <is>
          <t>F271200</t>
        </is>
      </c>
      <c r="C3846" t="inlineStr">
        <is>
          <t>C10583</t>
        </is>
      </c>
      <c r="D3846" t="inlineStr">
        <is>
          <t>SKU-10080</t>
        </is>
      </c>
      <c r="E3846" t="inlineStr">
        <is>
          <t>AM01</t>
        </is>
      </c>
      <c r="F3846" s="5" t="n">
        <v>166.05</v>
      </c>
      <c r="G3846">
        <f>IF(LEFT(B3846,1)="C","Credit","Factuur")</f>
        <v/>
      </c>
      <c r="H3846">
        <f>IF(AND(B3846=B3845,D3846=D3845,A3846=A3845,F3846=F3845),1,0)</f>
        <v/>
      </c>
      <c r="I3846">
        <f>IF(C3846="C99999",1,0)</f>
        <v/>
      </c>
      <c r="J3846" s="5">
        <f>IF(OR(H3846=1,I3846=1),0,IF(G3846="Credit",-F3846,F3846))</f>
        <v/>
      </c>
    </row>
    <row r="3847">
      <c r="A3847" t="inlineStr">
        <is>
          <t>2026-08-07</t>
        </is>
      </c>
      <c r="B3847" t="inlineStr">
        <is>
          <t>F271200</t>
        </is>
      </c>
      <c r="C3847" t="inlineStr">
        <is>
          <t>C10583</t>
        </is>
      </c>
      <c r="D3847" t="inlineStr">
        <is>
          <t>SKU-10163</t>
        </is>
      </c>
      <c r="E3847" t="inlineStr">
        <is>
          <t>AM01</t>
        </is>
      </c>
      <c r="F3847" s="5" t="n">
        <v>174.96</v>
      </c>
      <c r="G3847">
        <f>IF(LEFT(B3847,1)="C","Credit","Factuur")</f>
        <v/>
      </c>
      <c r="H3847">
        <f>IF(AND(B3847=B3846,D3847=D3846,A3847=A3846,F3847=F3846),1,0)</f>
        <v/>
      </c>
      <c r="I3847">
        <f>IF(C3847="C99999",1,0)</f>
        <v/>
      </c>
      <c r="J3847" s="5">
        <f>IF(OR(H3847=1,I3847=1),0,IF(G3847="Credit",-F3847,F3847))</f>
        <v/>
      </c>
    </row>
    <row r="3848">
      <c r="A3848" t="inlineStr">
        <is>
          <t>2026-08-07</t>
        </is>
      </c>
      <c r="B3848" t="inlineStr">
        <is>
          <t>F271200</t>
        </is>
      </c>
      <c r="C3848" t="inlineStr">
        <is>
          <t>C10583</t>
        </is>
      </c>
      <c r="D3848" t="inlineStr">
        <is>
          <t>SKU-10196</t>
        </is>
      </c>
      <c r="E3848" t="inlineStr">
        <is>
          <t>AM01</t>
        </is>
      </c>
      <c r="F3848" s="5" t="n">
        <v>161.07</v>
      </c>
      <c r="G3848">
        <f>IF(LEFT(B3848,1)="C","Credit","Factuur")</f>
        <v/>
      </c>
      <c r="H3848">
        <f>IF(AND(B3848=B3847,D3848=D3847,A3848=A3847,F3848=F3847),1,0)</f>
        <v/>
      </c>
      <c r="I3848">
        <f>IF(C3848="C99999",1,0)</f>
        <v/>
      </c>
      <c r="J3848" s="5">
        <f>IF(OR(H3848=1,I3848=1),0,IF(G3848="Credit",-F3848,F3848))</f>
        <v/>
      </c>
    </row>
    <row r="3849">
      <c r="A3849" t="inlineStr">
        <is>
          <t>2026-08-07</t>
        </is>
      </c>
      <c r="B3849" t="inlineStr">
        <is>
          <t>F271200</t>
        </is>
      </c>
      <c r="C3849" t="inlineStr">
        <is>
          <t>C10583</t>
        </is>
      </c>
      <c r="D3849" t="inlineStr">
        <is>
          <t>SKU-10272</t>
        </is>
      </c>
      <c r="E3849" t="inlineStr">
        <is>
          <t>AM01</t>
        </is>
      </c>
      <c r="F3849" s="5" t="n">
        <v>150.84</v>
      </c>
      <c r="G3849">
        <f>IF(LEFT(B3849,1)="C","Credit","Factuur")</f>
        <v/>
      </c>
      <c r="H3849">
        <f>IF(AND(B3849=B3848,D3849=D3848,A3849=A3848,F3849=F3848),1,0)</f>
        <v/>
      </c>
      <c r="I3849">
        <f>IF(C3849="C99999",1,0)</f>
        <v/>
      </c>
      <c r="J3849" s="5">
        <f>IF(OR(H3849=1,I3849=1),0,IF(G3849="Credit",-F3849,F3849))</f>
        <v/>
      </c>
    </row>
    <row r="3850">
      <c r="A3850" t="inlineStr">
        <is>
          <t>2026-08-07</t>
        </is>
      </c>
      <c r="B3850" t="inlineStr">
        <is>
          <t>F271304</t>
        </is>
      </c>
      <c r="C3850" t="inlineStr">
        <is>
          <t>C10587</t>
        </is>
      </c>
      <c r="D3850" t="inlineStr">
        <is>
          <t>SKU-10334</t>
        </is>
      </c>
      <c r="E3850" t="inlineStr">
        <is>
          <t>AM01</t>
        </is>
      </c>
      <c r="F3850" s="5" t="n">
        <v>488.79</v>
      </c>
      <c r="G3850">
        <f>IF(LEFT(B3850,1)="C","Credit","Factuur")</f>
        <v/>
      </c>
      <c r="H3850">
        <f>IF(AND(B3850=B3849,D3850=D3849,A3850=A3849,F3850=F3849),1,0)</f>
        <v/>
      </c>
      <c r="I3850">
        <f>IF(C3850="C99999",1,0)</f>
        <v/>
      </c>
      <c r="J3850" s="5">
        <f>IF(OR(H3850=1,I3850=1),0,IF(G3850="Credit",-F3850,F3850))</f>
        <v/>
      </c>
    </row>
    <row r="3851">
      <c r="A3851" t="inlineStr">
        <is>
          <t>2026-08-07</t>
        </is>
      </c>
      <c r="B3851" t="inlineStr">
        <is>
          <t>F271461</t>
        </is>
      </c>
      <c r="C3851" t="inlineStr">
        <is>
          <t>C10592</t>
        </is>
      </c>
      <c r="D3851" t="inlineStr">
        <is>
          <t>SKU-10109</t>
        </is>
      </c>
      <c r="E3851" t="inlineStr">
        <is>
          <t>AM07</t>
        </is>
      </c>
      <c r="F3851" s="5" t="n">
        <v>1548.79</v>
      </c>
      <c r="G3851">
        <f>IF(LEFT(B3851,1)="C","Credit","Factuur")</f>
        <v/>
      </c>
      <c r="H3851">
        <f>IF(AND(B3851=B3850,D3851=D3850,A3851=A3850,F3851=F3850),1,0)</f>
        <v/>
      </c>
      <c r="I3851">
        <f>IF(C3851="C99999",1,0)</f>
        <v/>
      </c>
      <c r="J3851" s="5">
        <f>IF(OR(H3851=1,I3851=1),0,IF(G3851="Credit",-F3851,F3851))</f>
        <v/>
      </c>
    </row>
    <row r="3852">
      <c r="A3852" t="inlineStr">
        <is>
          <t>2026-08-07</t>
        </is>
      </c>
      <c r="B3852" t="inlineStr">
        <is>
          <t>F271461</t>
        </is>
      </c>
      <c r="C3852" t="inlineStr">
        <is>
          <t>C10592</t>
        </is>
      </c>
      <c r="D3852" t="inlineStr">
        <is>
          <t>SKU-10191</t>
        </is>
      </c>
      <c r="E3852" t="inlineStr">
        <is>
          <t>AM07</t>
        </is>
      </c>
      <c r="F3852" s="5" t="n">
        <v>1641.42</v>
      </c>
      <c r="G3852">
        <f>IF(LEFT(B3852,1)="C","Credit","Factuur")</f>
        <v/>
      </c>
      <c r="H3852">
        <f>IF(AND(B3852=B3851,D3852=D3851,A3852=A3851,F3852=F3851),1,0)</f>
        <v/>
      </c>
      <c r="I3852">
        <f>IF(C3852="C99999",1,0)</f>
        <v/>
      </c>
      <c r="J3852" s="5">
        <f>IF(OR(H3852=1,I3852=1),0,IF(G3852="Credit",-F3852,F3852))</f>
        <v/>
      </c>
    </row>
    <row r="3853">
      <c r="A3853" t="inlineStr">
        <is>
          <t>2026-08-07</t>
        </is>
      </c>
      <c r="B3853" t="inlineStr">
        <is>
          <t>F271908</t>
        </is>
      </c>
      <c r="C3853" t="inlineStr">
        <is>
          <t>C10613</t>
        </is>
      </c>
      <c r="D3853" t="inlineStr">
        <is>
          <t>SKU-10103</t>
        </is>
      </c>
      <c r="E3853" t="inlineStr">
        <is>
          <t>AM11</t>
        </is>
      </c>
      <c r="F3853" s="5" t="n">
        <v>953.16</v>
      </c>
      <c r="G3853">
        <f>IF(LEFT(B3853,1)="C","Credit","Factuur")</f>
        <v/>
      </c>
      <c r="H3853">
        <f>IF(AND(B3853=B3852,D3853=D3852,A3853=A3852,F3853=F3852),1,0)</f>
        <v/>
      </c>
      <c r="I3853">
        <f>IF(C3853="C99999",1,0)</f>
        <v/>
      </c>
      <c r="J3853" s="5">
        <f>IF(OR(H3853=1,I3853=1),0,IF(G3853="Credit",-F3853,F3853))</f>
        <v/>
      </c>
    </row>
    <row r="3854">
      <c r="A3854" t="inlineStr">
        <is>
          <t>2026-08-07</t>
        </is>
      </c>
      <c r="B3854" t="inlineStr">
        <is>
          <t>F271908</t>
        </is>
      </c>
      <c r="C3854" t="inlineStr">
        <is>
          <t>C10613</t>
        </is>
      </c>
      <c r="D3854" t="inlineStr">
        <is>
          <t>SKU-10320</t>
        </is>
      </c>
      <c r="E3854" t="inlineStr">
        <is>
          <t>AM11</t>
        </is>
      </c>
      <c r="F3854" s="5" t="n">
        <v>965.47</v>
      </c>
      <c r="G3854">
        <f>IF(LEFT(B3854,1)="C","Credit","Factuur")</f>
        <v/>
      </c>
      <c r="H3854">
        <f>IF(AND(B3854=B3853,D3854=D3853,A3854=A3853,F3854=F3853),1,0)</f>
        <v/>
      </c>
      <c r="I3854">
        <f>IF(C3854="C99999",1,0)</f>
        <v/>
      </c>
      <c r="J3854" s="5">
        <f>IF(OR(H3854=1,I3854=1),0,IF(G3854="Credit",-F3854,F3854))</f>
        <v/>
      </c>
    </row>
    <row r="3855">
      <c r="A3855" t="inlineStr">
        <is>
          <t>2026-08-07</t>
        </is>
      </c>
      <c r="B3855" t="inlineStr">
        <is>
          <t>F272084</t>
        </is>
      </c>
      <c r="C3855" t="inlineStr">
        <is>
          <t>C10625</t>
        </is>
      </c>
      <c r="D3855" t="inlineStr">
        <is>
          <t>SKU-10222</t>
        </is>
      </c>
      <c r="E3855" t="inlineStr">
        <is>
          <t>AM01</t>
        </is>
      </c>
      <c r="F3855" s="5" t="n">
        <v>256.62</v>
      </c>
      <c r="G3855">
        <f>IF(LEFT(B3855,1)="C","Credit","Factuur")</f>
        <v/>
      </c>
      <c r="H3855">
        <f>IF(AND(B3855=B3854,D3855=D3854,A3855=A3854,F3855=F3854),1,0)</f>
        <v/>
      </c>
      <c r="I3855">
        <f>IF(C3855="C99999",1,0)</f>
        <v/>
      </c>
      <c r="J3855" s="5">
        <f>IF(OR(H3855=1,I3855=1),0,IF(G3855="Credit",-F3855,F3855))</f>
        <v/>
      </c>
    </row>
    <row r="3856">
      <c r="A3856" t="inlineStr">
        <is>
          <t>2026-08-07</t>
        </is>
      </c>
      <c r="B3856" t="inlineStr">
        <is>
          <t>F272084</t>
        </is>
      </c>
      <c r="C3856" t="inlineStr">
        <is>
          <t>C10625</t>
        </is>
      </c>
      <c r="D3856" t="inlineStr">
        <is>
          <t>SKU-10269</t>
        </is>
      </c>
      <c r="E3856" t="inlineStr">
        <is>
          <t>AM01</t>
        </is>
      </c>
      <c r="F3856" s="5" t="n">
        <v>220.78</v>
      </c>
      <c r="G3856">
        <f>IF(LEFT(B3856,1)="C","Credit","Factuur")</f>
        <v/>
      </c>
      <c r="H3856">
        <f>IF(AND(B3856=B3855,D3856=D3855,A3856=A3855,F3856=F3855),1,0)</f>
        <v/>
      </c>
      <c r="I3856">
        <f>IF(C3856="C99999",1,0)</f>
        <v/>
      </c>
      <c r="J3856" s="5">
        <f>IF(OR(H3856=1,I3856=1),0,IF(G3856="Credit",-F3856,F3856))</f>
        <v/>
      </c>
    </row>
    <row r="3857">
      <c r="A3857" t="inlineStr">
        <is>
          <t>2026-08-07</t>
        </is>
      </c>
      <c r="B3857" t="inlineStr">
        <is>
          <t>F272084</t>
        </is>
      </c>
      <c r="C3857" t="inlineStr">
        <is>
          <t>C10625</t>
        </is>
      </c>
      <c r="D3857" t="inlineStr">
        <is>
          <t>SKU-10334</t>
        </is>
      </c>
      <c r="E3857" t="inlineStr">
        <is>
          <t>AM01</t>
        </is>
      </c>
      <c r="F3857" s="5" t="n">
        <v>238.96</v>
      </c>
      <c r="G3857">
        <f>IF(LEFT(B3857,1)="C","Credit","Factuur")</f>
        <v/>
      </c>
      <c r="H3857">
        <f>IF(AND(B3857=B3856,D3857=D3856,A3857=A3856,F3857=F3856),1,0)</f>
        <v/>
      </c>
      <c r="I3857">
        <f>IF(C3857="C99999",1,0)</f>
        <v/>
      </c>
      <c r="J3857" s="5">
        <f>IF(OR(H3857=1,I3857=1),0,IF(G3857="Credit",-F3857,F3857))</f>
        <v/>
      </c>
    </row>
    <row r="3858">
      <c r="A3858" t="inlineStr">
        <is>
          <t>2026-08-07</t>
        </is>
      </c>
      <c r="B3858" t="inlineStr">
        <is>
          <t>F272775</t>
        </is>
      </c>
      <c r="C3858" t="inlineStr">
        <is>
          <t>C10667</t>
        </is>
      </c>
      <c r="D3858" t="inlineStr">
        <is>
          <t>SKU-10222</t>
        </is>
      </c>
      <c r="E3858" t="inlineStr">
        <is>
          <t>AM08</t>
        </is>
      </c>
      <c r="F3858" s="5" t="n">
        <v>350.06</v>
      </c>
      <c r="G3858">
        <f>IF(LEFT(B3858,1)="C","Credit","Factuur")</f>
        <v/>
      </c>
      <c r="H3858">
        <f>IF(AND(B3858=B3857,D3858=D3857,A3858=A3857,F3858=F3857),1,0)</f>
        <v/>
      </c>
      <c r="I3858">
        <f>IF(C3858="C99999",1,0)</f>
        <v/>
      </c>
      <c r="J3858" s="5">
        <f>IF(OR(H3858=1,I3858=1),0,IF(G3858="Credit",-F3858,F3858))</f>
        <v/>
      </c>
    </row>
    <row r="3859">
      <c r="A3859" t="inlineStr">
        <is>
          <t>2026-08-07</t>
        </is>
      </c>
      <c r="B3859" t="inlineStr">
        <is>
          <t>F272775</t>
        </is>
      </c>
      <c r="C3859" t="inlineStr">
        <is>
          <t>C10667</t>
        </is>
      </c>
      <c r="D3859" t="inlineStr">
        <is>
          <t>SKU-10372</t>
        </is>
      </c>
      <c r="E3859" t="inlineStr">
        <is>
          <t>AM08</t>
        </is>
      </c>
      <c r="F3859" s="5" t="n">
        <v>407.34</v>
      </c>
      <c r="G3859">
        <f>IF(LEFT(B3859,1)="C","Credit","Factuur")</f>
        <v/>
      </c>
      <c r="H3859">
        <f>IF(AND(B3859=B3858,D3859=D3858,A3859=A3858,F3859=F3858),1,0)</f>
        <v/>
      </c>
      <c r="I3859">
        <f>IF(C3859="C99999",1,0)</f>
        <v/>
      </c>
      <c r="J3859" s="5">
        <f>IF(OR(H3859=1,I3859=1),0,IF(G3859="Credit",-F3859,F3859))</f>
        <v/>
      </c>
    </row>
    <row r="3860">
      <c r="A3860" t="inlineStr">
        <is>
          <t>2026-08-07</t>
        </is>
      </c>
      <c r="B3860" t="inlineStr">
        <is>
          <t>F272939</t>
        </is>
      </c>
      <c r="C3860" t="inlineStr">
        <is>
          <t>C10674</t>
        </is>
      </c>
      <c r="D3860" t="inlineStr">
        <is>
          <t>SKU-10063</t>
        </is>
      </c>
      <c r="E3860" t="inlineStr">
        <is>
          <t>AM05</t>
        </is>
      </c>
      <c r="F3860" s="5" t="n">
        <v>592.62</v>
      </c>
      <c r="G3860">
        <f>IF(LEFT(B3860,1)="C","Credit","Factuur")</f>
        <v/>
      </c>
      <c r="H3860">
        <f>IF(AND(B3860=B3859,D3860=D3859,A3860=A3859,F3860=F3859),1,0)</f>
        <v/>
      </c>
      <c r="I3860">
        <f>IF(C3860="C99999",1,0)</f>
        <v/>
      </c>
      <c r="J3860" s="5">
        <f>IF(OR(H3860=1,I3860=1),0,IF(G3860="Credit",-F3860,F3860))</f>
        <v/>
      </c>
    </row>
    <row r="3861">
      <c r="A3861" t="inlineStr">
        <is>
          <t>2026-08-07</t>
        </is>
      </c>
      <c r="B3861" t="inlineStr">
        <is>
          <t>F272939</t>
        </is>
      </c>
      <c r="C3861" t="inlineStr">
        <is>
          <t>C10674</t>
        </is>
      </c>
      <c r="D3861" t="inlineStr">
        <is>
          <t>SKU-10314</t>
        </is>
      </c>
      <c r="E3861" t="inlineStr"/>
      <c r="F3861" s="5" t="n">
        <v>599.76</v>
      </c>
      <c r="G3861">
        <f>IF(LEFT(B3861,1)="C","Credit","Factuur")</f>
        <v/>
      </c>
      <c r="H3861">
        <f>IF(AND(B3861=B3860,D3861=D3860,A3861=A3860,F3861=F3860),1,0)</f>
        <v/>
      </c>
      <c r="I3861">
        <f>IF(C3861="C99999",1,0)</f>
        <v/>
      </c>
      <c r="J3861" s="5">
        <f>IF(OR(H3861=1,I3861=1),0,IF(G3861="Credit",-F3861,F3861))</f>
        <v/>
      </c>
    </row>
    <row r="3862">
      <c r="A3862" t="inlineStr">
        <is>
          <t>2026-08-07</t>
        </is>
      </c>
      <c r="B3862" t="inlineStr">
        <is>
          <t>F273425</t>
        </is>
      </c>
      <c r="C3862" t="inlineStr">
        <is>
          <t>C10702</t>
        </is>
      </c>
      <c r="D3862" t="inlineStr">
        <is>
          <t>SKU-10193</t>
        </is>
      </c>
      <c r="E3862" t="inlineStr">
        <is>
          <t>AM03</t>
        </is>
      </c>
      <c r="F3862" s="5" t="n">
        <v>1829.7</v>
      </c>
      <c r="G3862">
        <f>IF(LEFT(B3862,1)="C","Credit","Factuur")</f>
        <v/>
      </c>
      <c r="H3862">
        <f>IF(AND(B3862=B3861,D3862=D3861,A3862=A3861,F3862=F3861),1,0)</f>
        <v/>
      </c>
      <c r="I3862">
        <f>IF(C3862="C99999",1,0)</f>
        <v/>
      </c>
      <c r="J3862" s="5">
        <f>IF(OR(H3862=1,I3862=1),0,IF(G3862="Credit",-F3862,F3862))</f>
        <v/>
      </c>
    </row>
    <row r="3863">
      <c r="A3863" t="inlineStr">
        <is>
          <t>2026-08-07</t>
        </is>
      </c>
      <c r="B3863" t="inlineStr">
        <is>
          <t>F273556</t>
        </is>
      </c>
      <c r="C3863" t="inlineStr">
        <is>
          <t>C10711</t>
        </is>
      </c>
      <c r="D3863" t="inlineStr">
        <is>
          <t>SKU-10049</t>
        </is>
      </c>
      <c r="E3863" t="inlineStr">
        <is>
          <t>AM09</t>
        </is>
      </c>
      <c r="F3863" s="5" t="n">
        <v>2923.8</v>
      </c>
      <c r="G3863">
        <f>IF(LEFT(B3863,1)="C","Credit","Factuur")</f>
        <v/>
      </c>
      <c r="H3863">
        <f>IF(AND(B3863=B3862,D3863=D3862,A3863=A3862,F3863=F3862),1,0)</f>
        <v/>
      </c>
      <c r="I3863">
        <f>IF(C3863="C99999",1,0)</f>
        <v/>
      </c>
      <c r="J3863" s="5">
        <f>IF(OR(H3863=1,I3863=1),0,IF(G3863="Credit",-F3863,F3863))</f>
        <v/>
      </c>
    </row>
    <row r="3864">
      <c r="A3864" t="inlineStr">
        <is>
          <t>2026-08-07</t>
        </is>
      </c>
      <c r="B3864" t="inlineStr">
        <is>
          <t>F273556</t>
        </is>
      </c>
      <c r="C3864" t="inlineStr">
        <is>
          <t>C10711</t>
        </is>
      </c>
      <c r="D3864" t="inlineStr">
        <is>
          <t>SKU-10055</t>
        </is>
      </c>
      <c r="E3864" t="inlineStr">
        <is>
          <t>AM09</t>
        </is>
      </c>
      <c r="F3864" s="5" t="n">
        <v>2595.22</v>
      </c>
      <c r="G3864">
        <f>IF(LEFT(B3864,1)="C","Credit","Factuur")</f>
        <v/>
      </c>
      <c r="H3864">
        <f>IF(AND(B3864=B3863,D3864=D3863,A3864=A3863,F3864=F3863),1,0)</f>
        <v/>
      </c>
      <c r="I3864">
        <f>IF(C3864="C99999",1,0)</f>
        <v/>
      </c>
      <c r="J3864" s="5">
        <f>IF(OR(H3864=1,I3864=1),0,IF(G3864="Credit",-F3864,F3864))</f>
        <v/>
      </c>
    </row>
    <row r="3865">
      <c r="A3865" t="inlineStr">
        <is>
          <t>2026-08-07</t>
        </is>
      </c>
      <c r="B3865" t="inlineStr">
        <is>
          <t>F273556</t>
        </is>
      </c>
      <c r="C3865" t="inlineStr">
        <is>
          <t>C10711</t>
        </is>
      </c>
      <c r="D3865" t="inlineStr">
        <is>
          <t>SKU-10157</t>
        </is>
      </c>
      <c r="E3865" t="inlineStr">
        <is>
          <t>AM09</t>
        </is>
      </c>
      <c r="F3865" s="5" t="n">
        <v>2609.19</v>
      </c>
      <c r="G3865">
        <f>IF(LEFT(B3865,1)="C","Credit","Factuur")</f>
        <v/>
      </c>
      <c r="H3865">
        <f>IF(AND(B3865=B3864,D3865=D3864,A3865=A3864,F3865=F3864),1,0)</f>
        <v/>
      </c>
      <c r="I3865">
        <f>IF(C3865="C99999",1,0)</f>
        <v/>
      </c>
      <c r="J3865" s="5">
        <f>IF(OR(H3865=1,I3865=1),0,IF(G3865="Credit",-F3865,F3865))</f>
        <v/>
      </c>
    </row>
    <row r="3866">
      <c r="A3866" t="inlineStr">
        <is>
          <t>2026-08-07</t>
        </is>
      </c>
      <c r="B3866" t="inlineStr">
        <is>
          <t>F273556</t>
        </is>
      </c>
      <c r="C3866" t="inlineStr">
        <is>
          <t>C10711</t>
        </is>
      </c>
      <c r="D3866" t="inlineStr">
        <is>
          <t>SKU-10215</t>
        </is>
      </c>
      <c r="E3866" t="inlineStr">
        <is>
          <t>AM09</t>
        </is>
      </c>
      <c r="F3866" s="5" t="n">
        <v>2752.26</v>
      </c>
      <c r="G3866">
        <f>IF(LEFT(B3866,1)="C","Credit","Factuur")</f>
        <v/>
      </c>
      <c r="H3866">
        <f>IF(AND(B3866=B3865,D3866=D3865,A3866=A3865,F3866=F3865),1,0)</f>
        <v/>
      </c>
      <c r="I3866">
        <f>IF(C3866="C99999",1,0)</f>
        <v/>
      </c>
      <c r="J3866" s="5">
        <f>IF(OR(H3866=1,I3866=1),0,IF(G3866="Credit",-F3866,F3866))</f>
        <v/>
      </c>
    </row>
    <row r="3867">
      <c r="A3867" t="inlineStr">
        <is>
          <t>2026-08-07</t>
        </is>
      </c>
      <c r="B3867" t="inlineStr">
        <is>
          <t>F273556</t>
        </is>
      </c>
      <c r="C3867" t="inlineStr">
        <is>
          <t>C10711</t>
        </is>
      </c>
      <c r="D3867" t="inlineStr">
        <is>
          <t>SKU-10246</t>
        </is>
      </c>
      <c r="E3867" t="inlineStr">
        <is>
          <t>AM09</t>
        </is>
      </c>
      <c r="F3867" s="5" t="n">
        <v>2554.68</v>
      </c>
      <c r="G3867">
        <f>IF(LEFT(B3867,1)="C","Credit","Factuur")</f>
        <v/>
      </c>
      <c r="H3867">
        <f>IF(AND(B3867=B3866,D3867=D3866,A3867=A3866,F3867=F3866),1,0)</f>
        <v/>
      </c>
      <c r="I3867">
        <f>IF(C3867="C99999",1,0)</f>
        <v/>
      </c>
      <c r="J3867" s="5">
        <f>IF(OR(H3867=1,I3867=1),0,IF(G3867="Credit",-F3867,F3867))</f>
        <v/>
      </c>
    </row>
    <row r="3868">
      <c r="A3868" t="inlineStr">
        <is>
          <t>2026-08-07</t>
        </is>
      </c>
      <c r="B3868" t="inlineStr">
        <is>
          <t>F273556</t>
        </is>
      </c>
      <c r="C3868" t="inlineStr">
        <is>
          <t>C10711</t>
        </is>
      </c>
      <c r="D3868" t="inlineStr">
        <is>
          <t>SKU-10344</t>
        </is>
      </c>
      <c r="E3868" t="inlineStr">
        <is>
          <t>AM09</t>
        </is>
      </c>
      <c r="F3868" s="5" t="n">
        <v>2912</v>
      </c>
      <c r="G3868">
        <f>IF(LEFT(B3868,1)="C","Credit","Factuur")</f>
        <v/>
      </c>
      <c r="H3868">
        <f>IF(AND(B3868=B3867,D3868=D3867,A3868=A3867,F3868=F3867),1,0)</f>
        <v/>
      </c>
      <c r="I3868">
        <f>IF(C3868="C99999",1,0)</f>
        <v/>
      </c>
      <c r="J3868" s="5">
        <f>IF(OR(H3868=1,I3868=1),0,IF(G3868="Credit",-F3868,F3868))</f>
        <v/>
      </c>
    </row>
    <row r="3869">
      <c r="A3869" t="inlineStr">
        <is>
          <t>2026-08-07</t>
        </is>
      </c>
      <c r="B3869" t="inlineStr">
        <is>
          <t>F273680</t>
        </is>
      </c>
      <c r="C3869" t="inlineStr">
        <is>
          <t>C10717</t>
        </is>
      </c>
      <c r="D3869" t="inlineStr">
        <is>
          <t>SKU-10040</t>
        </is>
      </c>
      <c r="E3869" t="inlineStr">
        <is>
          <t>AM11</t>
        </is>
      </c>
      <c r="F3869" s="5" t="n">
        <v>85.61</v>
      </c>
      <c r="G3869">
        <f>IF(LEFT(B3869,1)="C","Credit","Factuur")</f>
        <v/>
      </c>
      <c r="H3869">
        <f>IF(AND(B3869=B3868,D3869=D3868,A3869=A3868,F3869=F3868),1,0)</f>
        <v/>
      </c>
      <c r="I3869">
        <f>IF(C3869="C99999",1,0)</f>
        <v/>
      </c>
      <c r="J3869" s="5">
        <f>IF(OR(H3869=1,I3869=1),0,IF(G3869="Credit",-F3869,F3869))</f>
        <v/>
      </c>
    </row>
    <row r="3870">
      <c r="A3870" t="inlineStr">
        <is>
          <t>2026-08-07</t>
        </is>
      </c>
      <c r="B3870" t="inlineStr">
        <is>
          <t>F273680</t>
        </is>
      </c>
      <c r="C3870" t="inlineStr">
        <is>
          <t>C10717</t>
        </is>
      </c>
      <c r="D3870" t="inlineStr">
        <is>
          <t>SKU-10094</t>
        </is>
      </c>
      <c r="E3870" t="inlineStr">
        <is>
          <t>AM11</t>
        </is>
      </c>
      <c r="F3870" s="5" t="n">
        <v>84.90000000000001</v>
      </c>
      <c r="G3870">
        <f>IF(LEFT(B3870,1)="C","Credit","Factuur")</f>
        <v/>
      </c>
      <c r="H3870">
        <f>IF(AND(B3870=B3869,D3870=D3869,A3870=A3869,F3870=F3869),1,0)</f>
        <v/>
      </c>
      <c r="I3870">
        <f>IF(C3870="C99999",1,0)</f>
        <v/>
      </c>
      <c r="J3870" s="5">
        <f>IF(OR(H3870=1,I3870=1),0,IF(G3870="Credit",-F3870,F3870))</f>
        <v/>
      </c>
    </row>
    <row r="3871">
      <c r="A3871" t="inlineStr">
        <is>
          <t>2026-08-07</t>
        </is>
      </c>
      <c r="B3871" t="inlineStr">
        <is>
          <t>F273680</t>
        </is>
      </c>
      <c r="C3871" t="inlineStr">
        <is>
          <t>C10717</t>
        </is>
      </c>
      <c r="D3871" t="inlineStr">
        <is>
          <t>SKU-10304</t>
        </is>
      </c>
      <c r="E3871" t="inlineStr"/>
      <c r="F3871" s="5" t="n">
        <v>91.68000000000001</v>
      </c>
      <c r="G3871">
        <f>IF(LEFT(B3871,1)="C","Credit","Factuur")</f>
        <v/>
      </c>
      <c r="H3871">
        <f>IF(AND(B3871=B3870,D3871=D3870,A3871=A3870,F3871=F3870),1,0)</f>
        <v/>
      </c>
      <c r="I3871">
        <f>IF(C3871="C99999",1,0)</f>
        <v/>
      </c>
      <c r="J3871" s="5">
        <f>IF(OR(H3871=1,I3871=1),0,IF(G3871="Credit",-F3871,F3871))</f>
        <v/>
      </c>
    </row>
    <row r="3872">
      <c r="A3872" t="inlineStr">
        <is>
          <t>2026-08-07</t>
        </is>
      </c>
      <c r="B3872" t="inlineStr">
        <is>
          <t>F274105</t>
        </is>
      </c>
      <c r="C3872" t="inlineStr">
        <is>
          <t>C10746</t>
        </is>
      </c>
      <c r="D3872" t="inlineStr">
        <is>
          <t>SKU-10023</t>
        </is>
      </c>
      <c r="E3872" t="inlineStr">
        <is>
          <t>AM11</t>
        </is>
      </c>
      <c r="F3872" s="5" t="n">
        <v>192.2</v>
      </c>
      <c r="G3872">
        <f>IF(LEFT(B3872,1)="C","Credit","Factuur")</f>
        <v/>
      </c>
      <c r="H3872">
        <f>IF(AND(B3872=B3871,D3872=D3871,A3872=A3871,F3872=F3871),1,0)</f>
        <v/>
      </c>
      <c r="I3872">
        <f>IF(C3872="C99999",1,0)</f>
        <v/>
      </c>
      <c r="J3872" s="5">
        <f>IF(OR(H3872=1,I3872=1),0,IF(G3872="Credit",-F3872,F3872))</f>
        <v/>
      </c>
    </row>
    <row r="3873">
      <c r="A3873" t="inlineStr">
        <is>
          <t>2026-08-07</t>
        </is>
      </c>
      <c r="B3873" t="inlineStr">
        <is>
          <t>F274105</t>
        </is>
      </c>
      <c r="C3873" t="inlineStr">
        <is>
          <t>C10746</t>
        </is>
      </c>
      <c r="D3873" t="inlineStr">
        <is>
          <t>SKU-10078</t>
        </is>
      </c>
      <c r="E3873" t="inlineStr">
        <is>
          <t>AM11</t>
        </is>
      </c>
      <c r="F3873" s="5" t="n">
        <v>217.4</v>
      </c>
      <c r="G3873">
        <f>IF(LEFT(B3873,1)="C","Credit","Factuur")</f>
        <v/>
      </c>
      <c r="H3873">
        <f>IF(AND(B3873=B3872,D3873=D3872,A3873=A3872,F3873=F3872),1,0)</f>
        <v/>
      </c>
      <c r="I3873">
        <f>IF(C3873="C99999",1,0)</f>
        <v/>
      </c>
      <c r="J3873" s="5">
        <f>IF(OR(H3873=1,I3873=1),0,IF(G3873="Credit",-F3873,F3873))</f>
        <v/>
      </c>
    </row>
    <row r="3874">
      <c r="A3874" t="inlineStr">
        <is>
          <t>2026-08-07</t>
        </is>
      </c>
      <c r="B3874" t="inlineStr">
        <is>
          <t>F274105</t>
        </is>
      </c>
      <c r="C3874" t="inlineStr">
        <is>
          <t>C10746</t>
        </is>
      </c>
      <c r="D3874" t="inlineStr">
        <is>
          <t>SKU-10236</t>
        </is>
      </c>
      <c r="E3874" t="inlineStr">
        <is>
          <t>AM11</t>
        </is>
      </c>
      <c r="F3874" s="5" t="n">
        <v>195.62</v>
      </c>
      <c r="G3874">
        <f>IF(LEFT(B3874,1)="C","Credit","Factuur")</f>
        <v/>
      </c>
      <c r="H3874">
        <f>IF(AND(B3874=B3873,D3874=D3873,A3874=A3873,F3874=F3873),1,0)</f>
        <v/>
      </c>
      <c r="I3874">
        <f>IF(C3874="C99999",1,0)</f>
        <v/>
      </c>
      <c r="J3874" s="5">
        <f>IF(OR(H3874=1,I3874=1),0,IF(G3874="Credit",-F3874,F3874))</f>
        <v/>
      </c>
    </row>
    <row r="3875">
      <c r="A3875" t="inlineStr">
        <is>
          <t>2026-08-07</t>
        </is>
      </c>
      <c r="B3875" t="inlineStr">
        <is>
          <t>F274350</t>
        </is>
      </c>
      <c r="C3875" t="inlineStr">
        <is>
          <t>C10758</t>
        </is>
      </c>
      <c r="D3875" t="inlineStr">
        <is>
          <t>SKU-10053</t>
        </is>
      </c>
      <c r="E3875" t="inlineStr">
        <is>
          <t>AM05</t>
        </is>
      </c>
      <c r="F3875" s="5" t="n">
        <v>427.5</v>
      </c>
      <c r="G3875">
        <f>IF(LEFT(B3875,1)="C","Credit","Factuur")</f>
        <v/>
      </c>
      <c r="H3875">
        <f>IF(AND(B3875=B3874,D3875=D3874,A3875=A3874,F3875=F3874),1,0)</f>
        <v/>
      </c>
      <c r="I3875">
        <f>IF(C3875="C99999",1,0)</f>
        <v/>
      </c>
      <c r="J3875" s="5">
        <f>IF(OR(H3875=1,I3875=1),0,IF(G3875="Credit",-F3875,F3875))</f>
        <v/>
      </c>
    </row>
    <row r="3876">
      <c r="A3876" t="inlineStr">
        <is>
          <t>2026-08-07</t>
        </is>
      </c>
      <c r="B3876" t="inlineStr">
        <is>
          <t>F274350</t>
        </is>
      </c>
      <c r="C3876" t="inlineStr">
        <is>
          <t>C10758</t>
        </is>
      </c>
      <c r="D3876" t="inlineStr">
        <is>
          <t>SKU-10147</t>
        </is>
      </c>
      <c r="E3876" t="inlineStr">
        <is>
          <t>AM05</t>
        </is>
      </c>
      <c r="F3876" s="5" t="n">
        <v>452.53</v>
      </c>
      <c r="G3876">
        <f>IF(LEFT(B3876,1)="C","Credit","Factuur")</f>
        <v/>
      </c>
      <c r="H3876">
        <f>IF(AND(B3876=B3875,D3876=D3875,A3876=A3875,F3876=F3875),1,0)</f>
        <v/>
      </c>
      <c r="I3876">
        <f>IF(C3876="C99999",1,0)</f>
        <v/>
      </c>
      <c r="J3876" s="5">
        <f>IF(OR(H3876=1,I3876=1),0,IF(G3876="Credit",-F3876,F3876))</f>
        <v/>
      </c>
    </row>
    <row r="3877">
      <c r="A3877" t="inlineStr">
        <is>
          <t>2026-08-07</t>
        </is>
      </c>
      <c r="B3877" t="inlineStr">
        <is>
          <t>F274350</t>
        </is>
      </c>
      <c r="C3877" t="inlineStr">
        <is>
          <t>C10758</t>
        </is>
      </c>
      <c r="D3877" t="inlineStr">
        <is>
          <t>SKU-10251</t>
        </is>
      </c>
      <c r="E3877" t="inlineStr">
        <is>
          <t>AM05</t>
        </is>
      </c>
      <c r="F3877" s="5" t="n">
        <v>450.71</v>
      </c>
      <c r="G3877">
        <f>IF(LEFT(B3877,1)="C","Credit","Factuur")</f>
        <v/>
      </c>
      <c r="H3877">
        <f>IF(AND(B3877=B3876,D3877=D3876,A3877=A3876,F3877=F3876),1,0)</f>
        <v/>
      </c>
      <c r="I3877">
        <f>IF(C3877="C99999",1,0)</f>
        <v/>
      </c>
      <c r="J3877" s="5">
        <f>IF(OR(H3877=1,I3877=1),0,IF(G3877="Credit",-F3877,F3877))</f>
        <v/>
      </c>
    </row>
    <row r="3878">
      <c r="A3878" t="inlineStr">
        <is>
          <t>2026-08-07</t>
        </is>
      </c>
      <c r="B3878" t="inlineStr">
        <is>
          <t>F275013</t>
        </is>
      </c>
      <c r="C3878" t="inlineStr">
        <is>
          <t>C10792</t>
        </is>
      </c>
      <c r="D3878" t="inlineStr">
        <is>
          <t>SKU-10071</t>
        </is>
      </c>
      <c r="E3878" t="inlineStr">
        <is>
          <t>AM12</t>
        </is>
      </c>
      <c r="F3878" s="5" t="n">
        <v>511.46</v>
      </c>
      <c r="G3878">
        <f>IF(LEFT(B3878,1)="C","Credit","Factuur")</f>
        <v/>
      </c>
      <c r="H3878">
        <f>IF(AND(B3878=B3877,D3878=D3877,A3878=A3877,F3878=F3877),1,0)</f>
        <v/>
      </c>
      <c r="I3878">
        <f>IF(C3878="C99999",1,0)</f>
        <v/>
      </c>
      <c r="J3878" s="5">
        <f>IF(OR(H3878=1,I3878=1),0,IF(G3878="Credit",-F3878,F3878))</f>
        <v/>
      </c>
    </row>
    <row r="3879">
      <c r="A3879" t="inlineStr">
        <is>
          <t>2026-08-07</t>
        </is>
      </c>
      <c r="B3879" t="inlineStr">
        <is>
          <t>F275013</t>
        </is>
      </c>
      <c r="C3879" t="inlineStr">
        <is>
          <t>C10792</t>
        </is>
      </c>
      <c r="D3879" t="inlineStr">
        <is>
          <t>SKU-10232</t>
        </is>
      </c>
      <c r="E3879" t="inlineStr">
        <is>
          <t>AM12</t>
        </is>
      </c>
      <c r="F3879" s="5" t="n">
        <v>574.08</v>
      </c>
      <c r="G3879">
        <f>IF(LEFT(B3879,1)="C","Credit","Factuur")</f>
        <v/>
      </c>
      <c r="H3879">
        <f>IF(AND(B3879=B3878,D3879=D3878,A3879=A3878,F3879=F3878),1,0)</f>
        <v/>
      </c>
      <c r="I3879">
        <f>IF(C3879="C99999",1,0)</f>
        <v/>
      </c>
      <c r="J3879" s="5">
        <f>IF(OR(H3879=1,I3879=1),0,IF(G3879="Credit",-F3879,F3879))</f>
        <v/>
      </c>
    </row>
    <row r="3880">
      <c r="A3880" t="inlineStr">
        <is>
          <t>2026-08-07</t>
        </is>
      </c>
      <c r="B3880" t="inlineStr">
        <is>
          <t>F275013</t>
        </is>
      </c>
      <c r="C3880" t="inlineStr">
        <is>
          <t>C10792</t>
        </is>
      </c>
      <c r="D3880" t="inlineStr">
        <is>
          <t>SKU-10259</t>
        </is>
      </c>
      <c r="E3880" t="inlineStr">
        <is>
          <t>AM12</t>
        </is>
      </c>
      <c r="F3880" s="5" t="n">
        <v>481.64</v>
      </c>
      <c r="G3880">
        <f>IF(LEFT(B3880,1)="C","Credit","Factuur")</f>
        <v/>
      </c>
      <c r="H3880">
        <f>IF(AND(B3880=B3879,D3880=D3879,A3880=A3879,F3880=F3879),1,0)</f>
        <v/>
      </c>
      <c r="I3880">
        <f>IF(C3880="C99999",1,0)</f>
        <v/>
      </c>
      <c r="J3880" s="5">
        <f>IF(OR(H3880=1,I3880=1),0,IF(G3880="Credit",-F3880,F3880))</f>
        <v/>
      </c>
    </row>
    <row r="3881">
      <c r="A3881" t="inlineStr">
        <is>
          <t>2026-08-07</t>
        </is>
      </c>
      <c r="B3881" t="inlineStr">
        <is>
          <t>F275013</t>
        </is>
      </c>
      <c r="C3881" t="inlineStr">
        <is>
          <t>C10792</t>
        </is>
      </c>
      <c r="D3881" t="inlineStr">
        <is>
          <t>SKU-10310</t>
        </is>
      </c>
      <c r="E3881" t="inlineStr">
        <is>
          <t>AM12</t>
        </is>
      </c>
      <c r="F3881" s="5" t="n">
        <v>553.03</v>
      </c>
      <c r="G3881">
        <f>IF(LEFT(B3881,1)="C","Credit","Factuur")</f>
        <v/>
      </c>
      <c r="H3881">
        <f>IF(AND(B3881=B3880,D3881=D3880,A3881=A3880,F3881=F3880),1,0)</f>
        <v/>
      </c>
      <c r="I3881">
        <f>IF(C3881="C99999",1,0)</f>
        <v/>
      </c>
      <c r="J3881" s="5">
        <f>IF(OR(H3881=1,I3881=1),0,IF(G3881="Credit",-F3881,F3881))</f>
        <v/>
      </c>
    </row>
    <row r="3882">
      <c r="A3882" t="inlineStr">
        <is>
          <t>2026-08-07</t>
        </is>
      </c>
      <c r="B3882" t="inlineStr">
        <is>
          <t>F275013</t>
        </is>
      </c>
      <c r="C3882" t="inlineStr">
        <is>
          <t>C10792</t>
        </is>
      </c>
      <c r="D3882" t="inlineStr">
        <is>
          <t>SKU-10341</t>
        </is>
      </c>
      <c r="E3882" t="inlineStr">
        <is>
          <t>AM12</t>
        </is>
      </c>
      <c r="F3882" s="5" t="n">
        <v>563.36</v>
      </c>
      <c r="G3882">
        <f>IF(LEFT(B3882,1)="C","Credit","Factuur")</f>
        <v/>
      </c>
      <c r="H3882">
        <f>IF(AND(B3882=B3881,D3882=D3881,A3882=A3881,F3882=F3881),1,0)</f>
        <v/>
      </c>
      <c r="I3882">
        <f>IF(C3882="C99999",1,0)</f>
        <v/>
      </c>
      <c r="J3882" s="5">
        <f>IF(OR(H3882=1,I3882=1),0,IF(G3882="Credit",-F3882,F3882))</f>
        <v/>
      </c>
    </row>
    <row r="3883">
      <c r="A3883" t="inlineStr">
        <is>
          <t>2026-08-07</t>
        </is>
      </c>
      <c r="B3883" t="inlineStr">
        <is>
          <t>F275303</t>
        </is>
      </c>
      <c r="C3883" t="inlineStr">
        <is>
          <t>C10806</t>
        </is>
      </c>
      <c r="D3883" t="inlineStr">
        <is>
          <t>SKU-10065</t>
        </is>
      </c>
      <c r="E3883" t="inlineStr">
        <is>
          <t>AM12</t>
        </is>
      </c>
      <c r="F3883" s="5" t="n">
        <v>121.28</v>
      </c>
      <c r="G3883">
        <f>IF(LEFT(B3883,1)="C","Credit","Factuur")</f>
        <v/>
      </c>
      <c r="H3883">
        <f>IF(AND(B3883=B3882,D3883=D3882,A3883=A3882,F3883=F3882),1,0)</f>
        <v/>
      </c>
      <c r="I3883">
        <f>IF(C3883="C99999",1,0)</f>
        <v/>
      </c>
      <c r="J3883" s="5">
        <f>IF(OR(H3883=1,I3883=1),0,IF(G3883="Credit",-F3883,F3883))</f>
        <v/>
      </c>
    </row>
    <row r="3884">
      <c r="A3884" t="inlineStr">
        <is>
          <t>2026-08-07</t>
        </is>
      </c>
      <c r="B3884" t="inlineStr">
        <is>
          <t>F275303</t>
        </is>
      </c>
      <c r="C3884" t="inlineStr">
        <is>
          <t>C10806</t>
        </is>
      </c>
      <c r="D3884" t="inlineStr">
        <is>
          <t>SKU-10081</t>
        </is>
      </c>
      <c r="E3884" t="inlineStr">
        <is>
          <t>AM12</t>
        </is>
      </c>
      <c r="F3884" s="5" t="n">
        <v>127.14</v>
      </c>
      <c r="G3884">
        <f>IF(LEFT(B3884,1)="C","Credit","Factuur")</f>
        <v/>
      </c>
      <c r="H3884">
        <f>IF(AND(B3884=B3883,D3884=D3883,A3884=A3883,F3884=F3883),1,0)</f>
        <v/>
      </c>
      <c r="I3884">
        <f>IF(C3884="C99999",1,0)</f>
        <v/>
      </c>
      <c r="J3884" s="5">
        <f>IF(OR(H3884=1,I3884=1),0,IF(G3884="Credit",-F3884,F3884))</f>
        <v/>
      </c>
    </row>
    <row r="3885">
      <c r="A3885" t="inlineStr">
        <is>
          <t>2026-08-07</t>
        </is>
      </c>
      <c r="B3885" t="inlineStr">
        <is>
          <t>F275303</t>
        </is>
      </c>
      <c r="C3885" t="inlineStr">
        <is>
          <t>C10806</t>
        </is>
      </c>
      <c r="D3885" t="inlineStr">
        <is>
          <t>SKU-10198</t>
        </is>
      </c>
      <c r="E3885" t="inlineStr">
        <is>
          <t>AM12</t>
        </is>
      </c>
      <c r="F3885" s="5" t="n">
        <v>107.85</v>
      </c>
      <c r="G3885">
        <f>IF(LEFT(B3885,1)="C","Credit","Factuur")</f>
        <v/>
      </c>
      <c r="H3885">
        <f>IF(AND(B3885=B3884,D3885=D3884,A3885=A3884,F3885=F3884),1,0)</f>
        <v/>
      </c>
      <c r="I3885">
        <f>IF(C3885="C99999",1,0)</f>
        <v/>
      </c>
      <c r="J3885" s="5">
        <f>IF(OR(H3885=1,I3885=1),0,IF(G3885="Credit",-F3885,F3885))</f>
        <v/>
      </c>
    </row>
    <row r="3886">
      <c r="A3886" t="inlineStr">
        <is>
          <t>2026-08-07</t>
        </is>
      </c>
      <c r="B3886" t="inlineStr">
        <is>
          <t>F275303</t>
        </is>
      </c>
      <c r="C3886" t="inlineStr">
        <is>
          <t>C10806</t>
        </is>
      </c>
      <c r="D3886" t="inlineStr">
        <is>
          <t>SKU-10337</t>
        </is>
      </c>
      <c r="E3886" t="inlineStr">
        <is>
          <t>AM12</t>
        </is>
      </c>
      <c r="F3886" s="5" t="n">
        <v>113.62</v>
      </c>
      <c r="G3886">
        <f>IF(LEFT(B3886,1)="C","Credit","Factuur")</f>
        <v/>
      </c>
      <c r="H3886">
        <f>IF(AND(B3886=B3885,D3886=D3885,A3886=A3885,F3886=F3885),1,0)</f>
        <v/>
      </c>
      <c r="I3886">
        <f>IF(C3886="C99999",1,0)</f>
        <v/>
      </c>
      <c r="J3886" s="5">
        <f>IF(OR(H3886=1,I3886=1),0,IF(G3886="Credit",-F3886,F3886))</f>
        <v/>
      </c>
    </row>
    <row r="3887">
      <c r="A3887" t="inlineStr">
        <is>
          <t>2026-08-07</t>
        </is>
      </c>
      <c r="B3887" t="inlineStr">
        <is>
          <t>F275303</t>
        </is>
      </c>
      <c r="C3887" t="inlineStr">
        <is>
          <t>C10806</t>
        </is>
      </c>
      <c r="D3887" t="inlineStr">
        <is>
          <t>SKU-10345</t>
        </is>
      </c>
      <c r="E3887" t="inlineStr">
        <is>
          <t>AM12</t>
        </is>
      </c>
      <c r="F3887" s="5" t="n">
        <v>108.33</v>
      </c>
      <c r="G3887">
        <f>IF(LEFT(B3887,1)="C","Credit","Factuur")</f>
        <v/>
      </c>
      <c r="H3887">
        <f>IF(AND(B3887=B3886,D3887=D3886,A3887=A3886,F3887=F3886),1,0)</f>
        <v/>
      </c>
      <c r="I3887">
        <f>IF(C3887="C99999",1,0)</f>
        <v/>
      </c>
      <c r="J3887" s="5">
        <f>IF(OR(H3887=1,I3887=1),0,IF(G3887="Credit",-F3887,F3887))</f>
        <v/>
      </c>
    </row>
    <row r="3888">
      <c r="A3888" t="inlineStr">
        <is>
          <t>2026-08-07</t>
        </is>
      </c>
      <c r="B3888" t="inlineStr">
        <is>
          <t>F275507</t>
        </is>
      </c>
      <c r="C3888" t="inlineStr">
        <is>
          <t>C10820</t>
        </is>
      </c>
      <c r="D3888" t="inlineStr">
        <is>
          <t>SKU-10046</t>
        </is>
      </c>
      <c r="E3888" t="inlineStr">
        <is>
          <t>AM02</t>
        </is>
      </c>
      <c r="F3888" s="5" t="n">
        <v>1570.11</v>
      </c>
      <c r="G3888">
        <f>IF(LEFT(B3888,1)="C","Credit","Factuur")</f>
        <v/>
      </c>
      <c r="H3888">
        <f>IF(AND(B3888=B3887,D3888=D3887,A3888=A3887,F3888=F3887),1,0)</f>
        <v/>
      </c>
      <c r="I3888">
        <f>IF(C3888="C99999",1,0)</f>
        <v/>
      </c>
      <c r="J3888" s="5">
        <f>IF(OR(H3888=1,I3888=1),0,IF(G3888="Credit",-F3888,F3888))</f>
        <v/>
      </c>
    </row>
    <row r="3889">
      <c r="A3889" t="inlineStr">
        <is>
          <t>2026-08-07</t>
        </is>
      </c>
      <c r="B3889" t="inlineStr">
        <is>
          <t>F275675</t>
        </is>
      </c>
      <c r="C3889" t="inlineStr">
        <is>
          <t>C10830</t>
        </is>
      </c>
      <c r="D3889" t="inlineStr">
        <is>
          <t>SKU-10073</t>
        </is>
      </c>
      <c r="E3889" t="inlineStr">
        <is>
          <t>AM07</t>
        </is>
      </c>
      <c r="F3889" s="5" t="n">
        <v>627.4400000000001</v>
      </c>
      <c r="G3889">
        <f>IF(LEFT(B3889,1)="C","Credit","Factuur")</f>
        <v/>
      </c>
      <c r="H3889">
        <f>IF(AND(B3889=B3888,D3889=D3888,A3889=A3888,F3889=F3888),1,0)</f>
        <v/>
      </c>
      <c r="I3889">
        <f>IF(C3889="C99999",1,0)</f>
        <v/>
      </c>
      <c r="J3889" s="5">
        <f>IF(OR(H3889=1,I3889=1),0,IF(G3889="Credit",-F3889,F3889))</f>
        <v/>
      </c>
    </row>
    <row r="3890">
      <c r="A3890" t="inlineStr">
        <is>
          <t>2026-08-07</t>
        </is>
      </c>
      <c r="B3890" t="inlineStr">
        <is>
          <t>F275675</t>
        </is>
      </c>
      <c r="C3890" t="inlineStr">
        <is>
          <t>C10830</t>
        </is>
      </c>
      <c r="D3890" t="inlineStr">
        <is>
          <t>SKU-10091</t>
        </is>
      </c>
      <c r="E3890" t="inlineStr">
        <is>
          <t>AM07</t>
        </is>
      </c>
      <c r="F3890" s="5" t="n">
        <v>557.79</v>
      </c>
      <c r="G3890">
        <f>IF(LEFT(B3890,1)="C","Credit","Factuur")</f>
        <v/>
      </c>
      <c r="H3890">
        <f>IF(AND(B3890=B3889,D3890=D3889,A3890=A3889,F3890=F3889),1,0)</f>
        <v/>
      </c>
      <c r="I3890">
        <f>IF(C3890="C99999",1,0)</f>
        <v/>
      </c>
      <c r="J3890" s="5">
        <f>IF(OR(H3890=1,I3890=1),0,IF(G3890="Credit",-F3890,F3890))</f>
        <v/>
      </c>
    </row>
    <row r="3891">
      <c r="A3891" t="inlineStr">
        <is>
          <t>2026-08-07</t>
        </is>
      </c>
      <c r="B3891" t="inlineStr">
        <is>
          <t>F275675</t>
        </is>
      </c>
      <c r="C3891" t="inlineStr">
        <is>
          <t>C10830</t>
        </is>
      </c>
      <c r="D3891" t="inlineStr">
        <is>
          <t>SKU-10244</t>
        </is>
      </c>
      <c r="E3891" t="inlineStr">
        <is>
          <t>AM07</t>
        </is>
      </c>
      <c r="F3891" s="5" t="n">
        <v>634.41</v>
      </c>
      <c r="G3891">
        <f>IF(LEFT(B3891,1)="C","Credit","Factuur")</f>
        <v/>
      </c>
      <c r="H3891">
        <f>IF(AND(B3891=B3890,D3891=D3890,A3891=A3890,F3891=F3890),1,0)</f>
        <v/>
      </c>
      <c r="I3891">
        <f>IF(C3891="C99999",1,0)</f>
        <v/>
      </c>
      <c r="J3891" s="5">
        <f>IF(OR(H3891=1,I3891=1),0,IF(G3891="Credit",-F3891,F3891))</f>
        <v/>
      </c>
    </row>
    <row r="3892">
      <c r="A3892" t="inlineStr">
        <is>
          <t>2026-08-07</t>
        </is>
      </c>
      <c r="B3892" t="inlineStr">
        <is>
          <t>F275869</t>
        </is>
      </c>
      <c r="C3892" t="inlineStr">
        <is>
          <t>C10842</t>
        </is>
      </c>
      <c r="D3892" t="inlineStr">
        <is>
          <t>SKU-10037</t>
        </is>
      </c>
      <c r="E3892" t="inlineStr">
        <is>
          <t>IS02</t>
        </is>
      </c>
      <c r="F3892" s="5" t="n">
        <v>45.4</v>
      </c>
      <c r="G3892">
        <f>IF(LEFT(B3892,1)="C","Credit","Factuur")</f>
        <v/>
      </c>
      <c r="H3892">
        <f>IF(AND(B3892=B3891,D3892=D3891,A3892=A3891,F3892=F3891),1,0)</f>
        <v/>
      </c>
      <c r="I3892">
        <f>IF(C3892="C99999",1,0)</f>
        <v/>
      </c>
      <c r="J3892" s="5">
        <f>IF(OR(H3892=1,I3892=1),0,IF(G3892="Credit",-F3892,F3892))</f>
        <v/>
      </c>
    </row>
    <row r="3893">
      <c r="A3893" t="inlineStr">
        <is>
          <t>2026-08-07</t>
        </is>
      </c>
      <c r="B3893" t="inlineStr">
        <is>
          <t>F275869</t>
        </is>
      </c>
      <c r="C3893" t="inlineStr">
        <is>
          <t>C10842</t>
        </is>
      </c>
      <c r="D3893" t="inlineStr">
        <is>
          <t>SKU-10070</t>
        </is>
      </c>
      <c r="E3893" t="inlineStr">
        <is>
          <t>IS02</t>
        </is>
      </c>
      <c r="F3893" s="5" t="n">
        <v>42.91</v>
      </c>
      <c r="G3893">
        <f>IF(LEFT(B3893,1)="C","Credit","Factuur")</f>
        <v/>
      </c>
      <c r="H3893">
        <f>IF(AND(B3893=B3892,D3893=D3892,A3893=A3892,F3893=F3892),1,0)</f>
        <v/>
      </c>
      <c r="I3893">
        <f>IF(C3893="C99999",1,0)</f>
        <v/>
      </c>
      <c r="J3893" s="5">
        <f>IF(OR(H3893=1,I3893=1),0,IF(G3893="Credit",-F3893,F3893))</f>
        <v/>
      </c>
    </row>
    <row r="3894">
      <c r="A3894" t="inlineStr">
        <is>
          <t>2026-08-07</t>
        </is>
      </c>
      <c r="B3894" t="inlineStr">
        <is>
          <t>F275869</t>
        </is>
      </c>
      <c r="C3894" t="inlineStr">
        <is>
          <t>C10842</t>
        </is>
      </c>
      <c r="D3894" t="inlineStr">
        <is>
          <t>SKU-10086</t>
        </is>
      </c>
      <c r="E3894" t="inlineStr">
        <is>
          <t>IS02</t>
        </is>
      </c>
      <c r="F3894" s="5" t="n">
        <v>39.06</v>
      </c>
      <c r="G3894">
        <f>IF(LEFT(B3894,1)="C","Credit","Factuur")</f>
        <v/>
      </c>
      <c r="H3894">
        <f>IF(AND(B3894=B3893,D3894=D3893,A3894=A3893,F3894=F3893),1,0)</f>
        <v/>
      </c>
      <c r="I3894">
        <f>IF(C3894="C99999",1,0)</f>
        <v/>
      </c>
      <c r="J3894" s="5">
        <f>IF(OR(H3894=1,I3894=1),0,IF(G3894="Credit",-F3894,F3894))</f>
        <v/>
      </c>
    </row>
    <row r="3895">
      <c r="A3895" t="inlineStr">
        <is>
          <t>2026-08-07</t>
        </is>
      </c>
      <c r="B3895" t="inlineStr">
        <is>
          <t>F275869</t>
        </is>
      </c>
      <c r="C3895" t="inlineStr">
        <is>
          <t>C10842</t>
        </is>
      </c>
      <c r="D3895" t="inlineStr">
        <is>
          <t>SKU-10314</t>
        </is>
      </c>
      <c r="E3895" t="inlineStr">
        <is>
          <t>IS02</t>
        </is>
      </c>
      <c r="F3895" s="5" t="n">
        <v>35.28</v>
      </c>
      <c r="G3895">
        <f>IF(LEFT(B3895,1)="C","Credit","Factuur")</f>
        <v/>
      </c>
      <c r="H3895">
        <f>IF(AND(B3895=B3894,D3895=D3894,A3895=A3894,F3895=F3894),1,0)</f>
        <v/>
      </c>
      <c r="I3895">
        <f>IF(C3895="C99999",1,0)</f>
        <v/>
      </c>
      <c r="J3895" s="5">
        <f>IF(OR(H3895=1,I3895=1),0,IF(G3895="Credit",-F3895,F3895))</f>
        <v/>
      </c>
    </row>
    <row r="3896">
      <c r="A3896" t="inlineStr">
        <is>
          <t>2026-08-07</t>
        </is>
      </c>
      <c r="B3896" t="inlineStr">
        <is>
          <t>F275932</t>
        </is>
      </c>
      <c r="C3896" t="inlineStr">
        <is>
          <t>C10847</t>
        </is>
      </c>
      <c r="D3896" t="inlineStr">
        <is>
          <t>SKU-10302</t>
        </is>
      </c>
      <c r="E3896" t="inlineStr">
        <is>
          <t>AM12</t>
        </is>
      </c>
      <c r="F3896" s="5" t="n">
        <v>834.29</v>
      </c>
      <c r="G3896">
        <f>IF(LEFT(B3896,1)="C","Credit","Factuur")</f>
        <v/>
      </c>
      <c r="H3896">
        <f>IF(AND(B3896=B3895,D3896=D3895,A3896=A3895,F3896=F3895),1,0)</f>
        <v/>
      </c>
      <c r="I3896">
        <f>IF(C3896="C99999",1,0)</f>
        <v/>
      </c>
      <c r="J3896" s="5">
        <f>IF(OR(H3896=1,I3896=1),0,IF(G3896="Credit",-F3896,F3896))</f>
        <v/>
      </c>
    </row>
    <row r="3897">
      <c r="A3897" t="inlineStr">
        <is>
          <t>2026-08-07</t>
        </is>
      </c>
      <c r="B3897" t="inlineStr">
        <is>
          <t>F275932</t>
        </is>
      </c>
      <c r="C3897" t="inlineStr">
        <is>
          <t>C10847</t>
        </is>
      </c>
      <c r="D3897" t="inlineStr">
        <is>
          <t>SKU-10314</t>
        </is>
      </c>
      <c r="E3897" t="inlineStr">
        <is>
          <t>AM12</t>
        </is>
      </c>
      <c r="F3897" s="5" t="n">
        <v>823.2</v>
      </c>
      <c r="G3897">
        <f>IF(LEFT(B3897,1)="C","Credit","Factuur")</f>
        <v/>
      </c>
      <c r="H3897">
        <f>IF(AND(B3897=B3896,D3897=D3896,A3897=A3896,F3897=F3896),1,0)</f>
        <v/>
      </c>
      <c r="I3897">
        <f>IF(C3897="C99999",1,0)</f>
        <v/>
      </c>
      <c r="J3897" s="5">
        <f>IF(OR(H3897=1,I3897=1),0,IF(G3897="Credit",-F3897,F3897))</f>
        <v/>
      </c>
    </row>
    <row r="3898">
      <c r="A3898" t="inlineStr">
        <is>
          <t>2026-08-07</t>
        </is>
      </c>
      <c r="B3898" t="inlineStr">
        <is>
          <t>F276146</t>
        </is>
      </c>
      <c r="C3898" t="inlineStr">
        <is>
          <t>C10857</t>
        </is>
      </c>
      <c r="D3898" t="inlineStr">
        <is>
          <t>SKU-10218</t>
        </is>
      </c>
      <c r="E3898" t="inlineStr">
        <is>
          <t>AM05</t>
        </is>
      </c>
      <c r="F3898" s="5" t="n">
        <v>516.3200000000001</v>
      </c>
      <c r="G3898">
        <f>IF(LEFT(B3898,1)="C","Credit","Factuur")</f>
        <v/>
      </c>
      <c r="H3898">
        <f>IF(AND(B3898=B3897,D3898=D3897,A3898=A3897,F3898=F3897),1,0)</f>
        <v/>
      </c>
      <c r="I3898">
        <f>IF(C3898="C99999",1,0)</f>
        <v/>
      </c>
      <c r="J3898" s="5">
        <f>IF(OR(H3898=1,I3898=1),0,IF(G3898="Credit",-F3898,F3898))</f>
        <v/>
      </c>
    </row>
    <row r="3899">
      <c r="A3899" t="inlineStr">
        <is>
          <t>2026-08-07</t>
        </is>
      </c>
      <c r="B3899" t="inlineStr">
        <is>
          <t>F276185</t>
        </is>
      </c>
      <c r="C3899" t="inlineStr">
        <is>
          <t>C10859</t>
        </is>
      </c>
      <c r="D3899" t="inlineStr">
        <is>
          <t>SKU-10074</t>
        </is>
      </c>
      <c r="E3899" t="inlineStr">
        <is>
          <t>AM02</t>
        </is>
      </c>
      <c r="F3899" s="5" t="n">
        <v>202.12</v>
      </c>
      <c r="G3899">
        <f>IF(LEFT(B3899,1)="C","Credit","Factuur")</f>
        <v/>
      </c>
      <c r="H3899">
        <f>IF(AND(B3899=B3898,D3899=D3898,A3899=A3898,F3899=F3898),1,0)</f>
        <v/>
      </c>
      <c r="I3899">
        <f>IF(C3899="C99999",1,0)</f>
        <v/>
      </c>
      <c r="J3899" s="5">
        <f>IF(OR(H3899=1,I3899=1),0,IF(G3899="Credit",-F3899,F3899))</f>
        <v/>
      </c>
    </row>
    <row r="3900">
      <c r="A3900" t="inlineStr">
        <is>
          <t>2026-08-07</t>
        </is>
      </c>
      <c r="B3900" t="inlineStr">
        <is>
          <t>F276185</t>
        </is>
      </c>
      <c r="C3900" t="inlineStr">
        <is>
          <t>C10859</t>
        </is>
      </c>
      <c r="D3900" t="inlineStr">
        <is>
          <t>SKU-10213</t>
        </is>
      </c>
      <c r="E3900" t="inlineStr">
        <is>
          <t>AM02</t>
        </is>
      </c>
      <c r="F3900" s="5" t="n">
        <v>217.17</v>
      </c>
      <c r="G3900">
        <f>IF(LEFT(B3900,1)="C","Credit","Factuur")</f>
        <v/>
      </c>
      <c r="H3900">
        <f>IF(AND(B3900=B3899,D3900=D3899,A3900=A3899,F3900=F3899),1,0)</f>
        <v/>
      </c>
      <c r="I3900">
        <f>IF(C3900="C99999",1,0)</f>
        <v/>
      </c>
      <c r="J3900" s="5">
        <f>IF(OR(H3900=1,I3900=1),0,IF(G3900="Credit",-F3900,F3900))</f>
        <v/>
      </c>
    </row>
    <row r="3901">
      <c r="A3901" t="inlineStr">
        <is>
          <t>2026-08-07</t>
        </is>
      </c>
      <c r="B3901" t="inlineStr">
        <is>
          <t>F276185</t>
        </is>
      </c>
      <c r="C3901" t="inlineStr">
        <is>
          <t>C10859</t>
        </is>
      </c>
      <c r="D3901" t="inlineStr">
        <is>
          <t>SKU-10327</t>
        </is>
      </c>
      <c r="E3901" t="inlineStr">
        <is>
          <t>AM02</t>
        </is>
      </c>
      <c r="F3901" s="5" t="n">
        <v>208.35</v>
      </c>
      <c r="G3901">
        <f>IF(LEFT(B3901,1)="C","Credit","Factuur")</f>
        <v/>
      </c>
      <c r="H3901">
        <f>IF(AND(B3901=B3900,D3901=D3900,A3901=A3900,F3901=F3900),1,0)</f>
        <v/>
      </c>
      <c r="I3901">
        <f>IF(C3901="C99999",1,0)</f>
        <v/>
      </c>
      <c r="J3901" s="5">
        <f>IF(OR(H3901=1,I3901=1),0,IF(G3901="Credit",-F3901,F3901))</f>
        <v/>
      </c>
    </row>
    <row r="3902">
      <c r="A3902" t="inlineStr">
        <is>
          <t>2026-08-07</t>
        </is>
      </c>
      <c r="B3902" t="inlineStr">
        <is>
          <t>F276630</t>
        </is>
      </c>
      <c r="C3902" t="inlineStr">
        <is>
          <t>C10882</t>
        </is>
      </c>
      <c r="D3902" t="inlineStr">
        <is>
          <t>SKU-10206</t>
        </is>
      </c>
      <c r="E3902" t="inlineStr"/>
      <c r="F3902" s="5" t="n">
        <v>150.65</v>
      </c>
      <c r="G3902">
        <f>IF(LEFT(B3902,1)="C","Credit","Factuur")</f>
        <v/>
      </c>
      <c r="H3902">
        <f>IF(AND(B3902=B3901,D3902=D3901,A3902=A3901,F3902=F3901),1,0)</f>
        <v/>
      </c>
      <c r="I3902">
        <f>IF(C3902="C99999",1,0)</f>
        <v/>
      </c>
      <c r="J3902" s="5">
        <f>IF(OR(H3902=1,I3902=1),0,IF(G3902="Credit",-F3902,F3902))</f>
        <v/>
      </c>
    </row>
    <row r="3903">
      <c r="A3903" t="inlineStr">
        <is>
          <t>2026-08-07</t>
        </is>
      </c>
      <c r="B3903" t="inlineStr">
        <is>
          <t>F276630</t>
        </is>
      </c>
      <c r="C3903" t="inlineStr">
        <is>
          <t>C10882</t>
        </is>
      </c>
      <c r="D3903" t="inlineStr">
        <is>
          <t>SKU-10247</t>
        </is>
      </c>
      <c r="E3903" t="inlineStr">
        <is>
          <t>AM07</t>
        </is>
      </c>
      <c r="F3903" s="5" t="n">
        <v>161.46</v>
      </c>
      <c r="G3903">
        <f>IF(LEFT(B3903,1)="C","Credit","Factuur")</f>
        <v/>
      </c>
      <c r="H3903">
        <f>IF(AND(B3903=B3902,D3903=D3902,A3903=A3902,F3903=F3902),1,0)</f>
        <v/>
      </c>
      <c r="I3903">
        <f>IF(C3903="C99999",1,0)</f>
        <v/>
      </c>
      <c r="J3903" s="5">
        <f>IF(OR(H3903=1,I3903=1),0,IF(G3903="Credit",-F3903,F3903))</f>
        <v/>
      </c>
    </row>
    <row r="3904">
      <c r="A3904" t="inlineStr">
        <is>
          <t>2026-08-07</t>
        </is>
      </c>
      <c r="B3904" t="inlineStr">
        <is>
          <t>F276630</t>
        </is>
      </c>
      <c r="C3904" t="inlineStr">
        <is>
          <t>C10882</t>
        </is>
      </c>
      <c r="D3904" t="inlineStr">
        <is>
          <t>SKU-10250</t>
        </is>
      </c>
      <c r="E3904" t="inlineStr">
        <is>
          <t>AM07</t>
        </is>
      </c>
      <c r="F3904" s="5" t="n">
        <v>159.2</v>
      </c>
      <c r="G3904">
        <f>IF(LEFT(B3904,1)="C","Credit","Factuur")</f>
        <v/>
      </c>
      <c r="H3904">
        <f>IF(AND(B3904=B3903,D3904=D3903,A3904=A3903,F3904=F3903),1,0)</f>
        <v/>
      </c>
      <c r="I3904">
        <f>IF(C3904="C99999",1,0)</f>
        <v/>
      </c>
      <c r="J3904" s="5">
        <f>IF(OR(H3904=1,I3904=1),0,IF(G3904="Credit",-F3904,F3904))</f>
        <v/>
      </c>
    </row>
    <row r="3905">
      <c r="A3905" t="inlineStr">
        <is>
          <t>2026-08-07</t>
        </is>
      </c>
      <c r="B3905" t="inlineStr">
        <is>
          <t>F276630</t>
        </is>
      </c>
      <c r="C3905" t="inlineStr">
        <is>
          <t>C10882</t>
        </is>
      </c>
      <c r="D3905" t="inlineStr">
        <is>
          <t>SKU-10279</t>
        </is>
      </c>
      <c r="E3905" t="inlineStr">
        <is>
          <t>AM07</t>
        </is>
      </c>
      <c r="F3905" s="5" t="n">
        <v>165.8</v>
      </c>
      <c r="G3905">
        <f>IF(LEFT(B3905,1)="C","Credit","Factuur")</f>
        <v/>
      </c>
      <c r="H3905">
        <f>IF(AND(B3905=B3904,D3905=D3904,A3905=A3904,F3905=F3904),1,0)</f>
        <v/>
      </c>
      <c r="I3905">
        <f>IF(C3905="C99999",1,0)</f>
        <v/>
      </c>
      <c r="J3905" s="5">
        <f>IF(OR(H3905=1,I3905=1),0,IF(G3905="Credit",-F3905,F3905))</f>
        <v/>
      </c>
    </row>
    <row r="3906">
      <c r="A3906" t="inlineStr">
        <is>
          <t>2026-08-07</t>
        </is>
      </c>
      <c r="B3906" t="inlineStr">
        <is>
          <t>F276630</t>
        </is>
      </c>
      <c r="C3906" t="inlineStr">
        <is>
          <t>C10882</t>
        </is>
      </c>
      <c r="D3906" t="inlineStr">
        <is>
          <t>SKU-10356</t>
        </is>
      </c>
      <c r="E3906" t="inlineStr">
        <is>
          <t>AM07</t>
        </is>
      </c>
      <c r="F3906" s="5" t="n">
        <v>215.1</v>
      </c>
      <c r="G3906">
        <f>IF(LEFT(B3906,1)="C","Credit","Factuur")</f>
        <v/>
      </c>
      <c r="H3906">
        <f>IF(AND(B3906=B3905,D3906=D3905,A3906=A3905,F3906=F3905),1,0)</f>
        <v/>
      </c>
      <c r="I3906">
        <f>IF(C3906="C99999",1,0)</f>
        <v/>
      </c>
      <c r="J3906" s="5">
        <f>IF(OR(H3906=1,I3906=1),0,IF(G3906="Credit",-F3906,F3906))</f>
        <v/>
      </c>
    </row>
    <row r="3907">
      <c r="A3907" t="inlineStr">
        <is>
          <t>2026-08-07</t>
        </is>
      </c>
      <c r="B3907" t="inlineStr">
        <is>
          <t>F276843</t>
        </is>
      </c>
      <c r="C3907" t="inlineStr">
        <is>
          <t>C10892</t>
        </is>
      </c>
      <c r="D3907" t="inlineStr">
        <is>
          <t>SKU-10023</t>
        </is>
      </c>
      <c r="E3907" t="inlineStr">
        <is>
          <t>AM06</t>
        </is>
      </c>
      <c r="F3907" s="5" t="n">
        <v>304.32</v>
      </c>
      <c r="G3907">
        <f>IF(LEFT(B3907,1)="C","Credit","Factuur")</f>
        <v/>
      </c>
      <c r="H3907">
        <f>IF(AND(B3907=B3906,D3907=D3906,A3907=A3906,F3907=F3906),1,0)</f>
        <v/>
      </c>
      <c r="I3907">
        <f>IF(C3907="C99999",1,0)</f>
        <v/>
      </c>
      <c r="J3907" s="5">
        <f>IF(OR(H3907=1,I3907=1),0,IF(G3907="Credit",-F3907,F3907))</f>
        <v/>
      </c>
    </row>
    <row r="3908">
      <c r="A3908" t="inlineStr">
        <is>
          <t>2026-08-07</t>
        </is>
      </c>
      <c r="B3908" t="inlineStr">
        <is>
          <t>F277123</t>
        </is>
      </c>
      <c r="C3908" t="inlineStr">
        <is>
          <t>C10906</t>
        </is>
      </c>
      <c r="D3908" t="inlineStr">
        <is>
          <t>SKU-10233</t>
        </is>
      </c>
      <c r="E3908" t="inlineStr">
        <is>
          <t>AM01</t>
        </is>
      </c>
      <c r="F3908" s="5" t="n">
        <v>1015.56</v>
      </c>
      <c r="G3908">
        <f>IF(LEFT(B3908,1)="C","Credit","Factuur")</f>
        <v/>
      </c>
      <c r="H3908">
        <f>IF(AND(B3908=B3907,D3908=D3907,A3908=A3907,F3908=F3907),1,0)</f>
        <v/>
      </c>
      <c r="I3908">
        <f>IF(C3908="C99999",1,0)</f>
        <v/>
      </c>
      <c r="J3908" s="5">
        <f>IF(OR(H3908=1,I3908=1),0,IF(G3908="Credit",-F3908,F3908))</f>
        <v/>
      </c>
    </row>
    <row r="3909">
      <c r="A3909" t="inlineStr">
        <is>
          <t>2026-08-07</t>
        </is>
      </c>
      <c r="B3909" t="inlineStr">
        <is>
          <t>F277123</t>
        </is>
      </c>
      <c r="C3909" t="inlineStr">
        <is>
          <t>C10906</t>
        </is>
      </c>
      <c r="D3909" t="inlineStr">
        <is>
          <t>SKU-10283</t>
        </is>
      </c>
      <c r="E3909" t="inlineStr">
        <is>
          <t>AM01</t>
        </is>
      </c>
      <c r="F3909" s="5" t="n">
        <v>1020.3</v>
      </c>
      <c r="G3909">
        <f>IF(LEFT(B3909,1)="C","Credit","Factuur")</f>
        <v/>
      </c>
      <c r="H3909">
        <f>IF(AND(B3909=B3908,D3909=D3908,A3909=A3908,F3909=F3908),1,0)</f>
        <v/>
      </c>
      <c r="I3909">
        <f>IF(C3909="C99999",1,0)</f>
        <v/>
      </c>
      <c r="J3909" s="5">
        <f>IF(OR(H3909=1,I3909=1),0,IF(G3909="Credit",-F3909,F3909))</f>
        <v/>
      </c>
    </row>
    <row r="3910">
      <c r="A3910" t="inlineStr">
        <is>
          <t>2026-08-07</t>
        </is>
      </c>
      <c r="B3910" t="inlineStr">
        <is>
          <t>F277250</t>
        </is>
      </c>
      <c r="C3910" t="inlineStr">
        <is>
          <t>C10916</t>
        </is>
      </c>
      <c r="D3910" t="inlineStr">
        <is>
          <t>SKU-10038</t>
        </is>
      </c>
      <c r="E3910" t="inlineStr">
        <is>
          <t>AM02</t>
        </is>
      </c>
      <c r="F3910" s="5" t="n">
        <v>811.89</v>
      </c>
      <c r="G3910">
        <f>IF(LEFT(B3910,1)="C","Credit","Factuur")</f>
        <v/>
      </c>
      <c r="H3910">
        <f>IF(AND(B3910=B3909,D3910=D3909,A3910=A3909,F3910=F3909),1,0)</f>
        <v/>
      </c>
      <c r="I3910">
        <f>IF(C3910="C99999",1,0)</f>
        <v/>
      </c>
      <c r="J3910" s="5">
        <f>IF(OR(H3910=1,I3910=1),0,IF(G3910="Credit",-F3910,F3910))</f>
        <v/>
      </c>
    </row>
    <row r="3911">
      <c r="A3911" t="inlineStr">
        <is>
          <t>2026-08-07</t>
        </is>
      </c>
      <c r="B3911" t="inlineStr">
        <is>
          <t>F277250</t>
        </is>
      </c>
      <c r="C3911" t="inlineStr">
        <is>
          <t>C10916</t>
        </is>
      </c>
      <c r="D3911" t="inlineStr">
        <is>
          <t>SKU-10094</t>
        </is>
      </c>
      <c r="E3911" t="inlineStr">
        <is>
          <t>AM02</t>
        </is>
      </c>
      <c r="F3911" s="5" t="n">
        <v>820.7</v>
      </c>
      <c r="G3911">
        <f>IF(LEFT(B3911,1)="C","Credit","Factuur")</f>
        <v/>
      </c>
      <c r="H3911">
        <f>IF(AND(B3911=B3910,D3911=D3910,A3911=A3910,F3911=F3910),1,0)</f>
        <v/>
      </c>
      <c r="I3911">
        <f>IF(C3911="C99999",1,0)</f>
        <v/>
      </c>
      <c r="J3911" s="5">
        <f>IF(OR(H3911=1,I3911=1),0,IF(G3911="Credit",-F3911,F3911))</f>
        <v/>
      </c>
    </row>
    <row r="3912">
      <c r="A3912" t="inlineStr">
        <is>
          <t>2026-08-07</t>
        </is>
      </c>
      <c r="B3912" t="inlineStr">
        <is>
          <t>F277250</t>
        </is>
      </c>
      <c r="C3912" t="inlineStr">
        <is>
          <t>C10916</t>
        </is>
      </c>
      <c r="D3912" t="inlineStr">
        <is>
          <t>SKU-10310</t>
        </is>
      </c>
      <c r="E3912" t="inlineStr">
        <is>
          <t>AM02</t>
        </is>
      </c>
      <c r="F3912" s="5" t="n">
        <v>806.04</v>
      </c>
      <c r="G3912">
        <f>IF(LEFT(B3912,1)="C","Credit","Factuur")</f>
        <v/>
      </c>
      <c r="H3912">
        <f>IF(AND(B3912=B3911,D3912=D3911,A3912=A3911,F3912=F3911),1,0)</f>
        <v/>
      </c>
      <c r="I3912">
        <f>IF(C3912="C99999",1,0)</f>
        <v/>
      </c>
      <c r="J3912" s="5">
        <f>IF(OR(H3912=1,I3912=1),0,IF(G3912="Credit",-F3912,F3912))</f>
        <v/>
      </c>
    </row>
    <row r="3913">
      <c r="A3913" t="inlineStr">
        <is>
          <t>2026-08-07</t>
        </is>
      </c>
      <c r="B3913" t="inlineStr">
        <is>
          <t>F277250</t>
        </is>
      </c>
      <c r="C3913" t="inlineStr">
        <is>
          <t>C10916</t>
        </is>
      </c>
      <c r="D3913" t="inlineStr">
        <is>
          <t>SKU-10325</t>
        </is>
      </c>
      <c r="E3913" t="inlineStr">
        <is>
          <t>AM02</t>
        </is>
      </c>
      <c r="F3913" s="5" t="n">
        <v>800.7</v>
      </c>
      <c r="G3913">
        <f>IF(LEFT(B3913,1)="C","Credit","Factuur")</f>
        <v/>
      </c>
      <c r="H3913">
        <f>IF(AND(B3913=B3912,D3913=D3912,A3913=A3912,F3913=F3912),1,0)</f>
        <v/>
      </c>
      <c r="I3913">
        <f>IF(C3913="C99999",1,0)</f>
        <v/>
      </c>
      <c r="J3913" s="5">
        <f>IF(OR(H3913=1,I3913=1),0,IF(G3913="Credit",-F3913,F3913))</f>
        <v/>
      </c>
    </row>
    <row r="3914">
      <c r="A3914" t="inlineStr">
        <is>
          <t>2026-08-07</t>
        </is>
      </c>
      <c r="B3914" t="inlineStr">
        <is>
          <t>F277367</t>
        </is>
      </c>
      <c r="C3914" t="inlineStr">
        <is>
          <t>C10923</t>
        </is>
      </c>
      <c r="D3914" t="inlineStr">
        <is>
          <t>SKU-10092</t>
        </is>
      </c>
      <c r="E3914" t="inlineStr">
        <is>
          <t>AM08</t>
        </is>
      </c>
      <c r="F3914" s="5" t="n">
        <v>68.62</v>
      </c>
      <c r="G3914">
        <f>IF(LEFT(B3914,1)="C","Credit","Factuur")</f>
        <v/>
      </c>
      <c r="H3914">
        <f>IF(AND(B3914=B3913,D3914=D3913,A3914=A3913,F3914=F3913),1,0)</f>
        <v/>
      </c>
      <c r="I3914">
        <f>IF(C3914="C99999",1,0)</f>
        <v/>
      </c>
      <c r="J3914" s="5">
        <f>IF(OR(H3914=1,I3914=1),0,IF(G3914="Credit",-F3914,F3914))</f>
        <v/>
      </c>
    </row>
    <row r="3915">
      <c r="A3915" t="inlineStr">
        <is>
          <t>2026-08-07</t>
        </is>
      </c>
      <c r="B3915" t="inlineStr">
        <is>
          <t>F277367</t>
        </is>
      </c>
      <c r="C3915" t="inlineStr">
        <is>
          <t>C10923</t>
        </is>
      </c>
      <c r="D3915" t="inlineStr">
        <is>
          <t>SKU-10096</t>
        </is>
      </c>
      <c r="E3915" t="inlineStr">
        <is>
          <t>AM08</t>
        </is>
      </c>
      <c r="F3915" s="5" t="n">
        <v>57.21</v>
      </c>
      <c r="G3915">
        <f>IF(LEFT(B3915,1)="C","Credit","Factuur")</f>
        <v/>
      </c>
      <c r="H3915">
        <f>IF(AND(B3915=B3914,D3915=D3914,A3915=A3914,F3915=F3914),1,0)</f>
        <v/>
      </c>
      <c r="I3915">
        <f>IF(C3915="C99999",1,0)</f>
        <v/>
      </c>
      <c r="J3915" s="5">
        <f>IF(OR(H3915=1,I3915=1),0,IF(G3915="Credit",-F3915,F3915))</f>
        <v/>
      </c>
    </row>
    <row r="3916">
      <c r="A3916" t="inlineStr">
        <is>
          <t>2026-08-07</t>
        </is>
      </c>
      <c r="B3916" t="inlineStr">
        <is>
          <t>F277367</t>
        </is>
      </c>
      <c r="C3916" t="inlineStr">
        <is>
          <t>C10923</t>
        </is>
      </c>
      <c r="D3916" t="inlineStr">
        <is>
          <t>SKU-10118</t>
        </is>
      </c>
      <c r="E3916" t="inlineStr">
        <is>
          <t>AM08</t>
        </is>
      </c>
      <c r="F3916" s="5" t="n">
        <v>69.12</v>
      </c>
      <c r="G3916">
        <f>IF(LEFT(B3916,1)="C","Credit","Factuur")</f>
        <v/>
      </c>
      <c r="H3916">
        <f>IF(AND(B3916=B3915,D3916=D3915,A3916=A3915,F3916=F3915),1,0)</f>
        <v/>
      </c>
      <c r="I3916">
        <f>IF(C3916="C99999",1,0)</f>
        <v/>
      </c>
      <c r="J3916" s="5">
        <f>IF(OR(H3916=1,I3916=1),0,IF(G3916="Credit",-F3916,F3916))</f>
        <v/>
      </c>
    </row>
    <row r="3917">
      <c r="A3917" t="inlineStr">
        <is>
          <t>2026-08-07</t>
        </is>
      </c>
      <c r="B3917" t="inlineStr">
        <is>
          <t>F277367</t>
        </is>
      </c>
      <c r="C3917" t="inlineStr">
        <is>
          <t>C10923</t>
        </is>
      </c>
      <c r="D3917" t="inlineStr">
        <is>
          <t>SKU-10283</t>
        </is>
      </c>
      <c r="E3917" t="inlineStr">
        <is>
          <t>AM08</t>
        </is>
      </c>
      <c r="F3917" s="5" t="n">
        <v>34.01</v>
      </c>
      <c r="G3917">
        <f>IF(LEFT(B3917,1)="C","Credit","Factuur")</f>
        <v/>
      </c>
      <c r="H3917">
        <f>IF(AND(B3917=B3916,D3917=D3916,A3917=A3916,F3917=F3916),1,0)</f>
        <v/>
      </c>
      <c r="I3917">
        <f>IF(C3917="C99999",1,0)</f>
        <v/>
      </c>
      <c r="J3917" s="5">
        <f>IF(OR(H3917=1,I3917=1),0,IF(G3917="Credit",-F3917,F3917))</f>
        <v/>
      </c>
    </row>
    <row r="3918">
      <c r="A3918" t="inlineStr">
        <is>
          <t>2026-08-07</t>
        </is>
      </c>
      <c r="B3918" t="inlineStr">
        <is>
          <t>F277367</t>
        </is>
      </c>
      <c r="C3918" t="inlineStr">
        <is>
          <t>C10923</t>
        </is>
      </c>
      <c r="D3918" t="inlineStr">
        <is>
          <t>SKU-10294</t>
        </is>
      </c>
      <c r="E3918" t="inlineStr">
        <is>
          <t>AM08</t>
        </is>
      </c>
      <c r="F3918" s="5" t="n">
        <v>36.87</v>
      </c>
      <c r="G3918">
        <f>IF(LEFT(B3918,1)="C","Credit","Factuur")</f>
        <v/>
      </c>
      <c r="H3918">
        <f>IF(AND(B3918=B3917,D3918=D3917,A3918=A3917,F3918=F3917),1,0)</f>
        <v/>
      </c>
      <c r="I3918">
        <f>IF(C3918="C99999",1,0)</f>
        <v/>
      </c>
      <c r="J3918" s="5">
        <f>IF(OR(H3918=1,I3918=1),0,IF(G3918="Credit",-F3918,F3918))</f>
        <v/>
      </c>
    </row>
    <row r="3919">
      <c r="A3919" t="inlineStr">
        <is>
          <t>2026-08-07</t>
        </is>
      </c>
      <c r="B3919" t="inlineStr">
        <is>
          <t>F278053</t>
        </is>
      </c>
      <c r="C3919" t="inlineStr">
        <is>
          <t>C10958</t>
        </is>
      </c>
      <c r="D3919" t="inlineStr">
        <is>
          <t>SKU-10087</t>
        </is>
      </c>
      <c r="E3919" t="inlineStr">
        <is>
          <t>AM12</t>
        </is>
      </c>
      <c r="F3919" s="5" t="n">
        <v>473.11</v>
      </c>
      <c r="G3919">
        <f>IF(LEFT(B3919,1)="C","Credit","Factuur")</f>
        <v/>
      </c>
      <c r="H3919">
        <f>IF(AND(B3919=B3918,D3919=D3918,A3919=A3918,F3919=F3918),1,0)</f>
        <v/>
      </c>
      <c r="I3919">
        <f>IF(C3919="C99999",1,0)</f>
        <v/>
      </c>
      <c r="J3919" s="5">
        <f>IF(OR(H3919=1,I3919=1),0,IF(G3919="Credit",-F3919,F3919))</f>
        <v/>
      </c>
    </row>
    <row r="3920">
      <c r="A3920" t="inlineStr">
        <is>
          <t>2026-08-07</t>
        </is>
      </c>
      <c r="B3920" t="inlineStr">
        <is>
          <t>F278053</t>
        </is>
      </c>
      <c r="C3920" t="inlineStr">
        <is>
          <t>C10958</t>
        </is>
      </c>
      <c r="D3920" t="inlineStr">
        <is>
          <t>SKU-10315</t>
        </is>
      </c>
      <c r="E3920" t="inlineStr">
        <is>
          <t>AM12</t>
        </is>
      </c>
      <c r="F3920" s="5" t="n">
        <v>431.24</v>
      </c>
      <c r="G3920">
        <f>IF(LEFT(B3920,1)="C","Credit","Factuur")</f>
        <v/>
      </c>
      <c r="H3920">
        <f>IF(AND(B3920=B3919,D3920=D3919,A3920=A3919,F3920=F3919),1,0)</f>
        <v/>
      </c>
      <c r="I3920">
        <f>IF(C3920="C99999",1,0)</f>
        <v/>
      </c>
      <c r="J3920" s="5">
        <f>IF(OR(H3920=1,I3920=1),0,IF(G3920="Credit",-F3920,F3920))</f>
        <v/>
      </c>
    </row>
    <row r="3921">
      <c r="A3921" t="inlineStr">
        <is>
          <t>2026-08-07</t>
        </is>
      </c>
      <c r="B3921" t="inlineStr">
        <is>
          <t>F278229</t>
        </is>
      </c>
      <c r="C3921" t="inlineStr">
        <is>
          <t>C10968</t>
        </is>
      </c>
      <c r="D3921" t="inlineStr">
        <is>
          <t>SKU-10069</t>
        </is>
      </c>
      <c r="E3921" t="inlineStr">
        <is>
          <t>AM03</t>
        </is>
      </c>
      <c r="F3921" s="5" t="n">
        <v>588.72</v>
      </c>
      <c r="G3921">
        <f>IF(LEFT(B3921,1)="C","Credit","Factuur")</f>
        <v/>
      </c>
      <c r="H3921">
        <f>IF(AND(B3921=B3920,D3921=D3920,A3921=A3920,F3921=F3920),1,0)</f>
        <v/>
      </c>
      <c r="I3921">
        <f>IF(C3921="C99999",1,0)</f>
        <v/>
      </c>
      <c r="J3921" s="5">
        <f>IF(OR(H3921=1,I3921=1),0,IF(G3921="Credit",-F3921,F3921))</f>
        <v/>
      </c>
    </row>
    <row r="3922">
      <c r="A3922" t="inlineStr">
        <is>
          <t>2026-08-07</t>
        </is>
      </c>
      <c r="B3922" t="inlineStr">
        <is>
          <t>F278229</t>
        </is>
      </c>
      <c r="C3922" t="inlineStr">
        <is>
          <t>C10968</t>
        </is>
      </c>
      <c r="D3922" t="inlineStr">
        <is>
          <t>SKU-10230</t>
        </is>
      </c>
      <c r="E3922" t="inlineStr">
        <is>
          <t>AM03</t>
        </is>
      </c>
      <c r="F3922" s="5" t="n">
        <v>560.0700000000001</v>
      </c>
      <c r="G3922">
        <f>IF(LEFT(B3922,1)="C","Credit","Factuur")</f>
        <v/>
      </c>
      <c r="H3922">
        <f>IF(AND(B3922=B3921,D3922=D3921,A3922=A3921,F3922=F3921),1,0)</f>
        <v/>
      </c>
      <c r="I3922">
        <f>IF(C3922="C99999",1,0)</f>
        <v/>
      </c>
      <c r="J3922" s="5">
        <f>IF(OR(H3922=1,I3922=1),0,IF(G3922="Credit",-F3922,F3922))</f>
        <v/>
      </c>
    </row>
    <row r="3923">
      <c r="A3923" t="inlineStr">
        <is>
          <t>2026-08-07</t>
        </is>
      </c>
      <c r="B3923" t="inlineStr">
        <is>
          <t>F278229</t>
        </is>
      </c>
      <c r="C3923" t="inlineStr">
        <is>
          <t>C10968</t>
        </is>
      </c>
      <c r="D3923" t="inlineStr">
        <is>
          <t>SKU-10253</t>
        </is>
      </c>
      <c r="E3923" t="inlineStr">
        <is>
          <t>AM03</t>
        </is>
      </c>
      <c r="F3923" s="5" t="n">
        <v>554.9400000000001</v>
      </c>
      <c r="G3923">
        <f>IF(LEFT(B3923,1)="C","Credit","Factuur")</f>
        <v/>
      </c>
      <c r="H3923">
        <f>IF(AND(B3923=B3922,D3923=D3922,A3923=A3922,F3923=F3922),1,0)</f>
        <v/>
      </c>
      <c r="I3923">
        <f>IF(C3923="C99999",1,0)</f>
        <v/>
      </c>
      <c r="J3923" s="5">
        <f>IF(OR(H3923=1,I3923=1),0,IF(G3923="Credit",-F3923,F3923))</f>
        <v/>
      </c>
    </row>
    <row r="3924">
      <c r="A3924" t="inlineStr">
        <is>
          <t>2026-08-07</t>
        </is>
      </c>
      <c r="B3924" t="inlineStr">
        <is>
          <t>F278229</t>
        </is>
      </c>
      <c r="C3924" t="inlineStr">
        <is>
          <t>C10968</t>
        </is>
      </c>
      <c r="D3924" t="inlineStr">
        <is>
          <t>SKU-10347</t>
        </is>
      </c>
      <c r="E3924" t="inlineStr">
        <is>
          <t>AM03</t>
        </is>
      </c>
      <c r="F3924" s="5" t="n">
        <v>501.9</v>
      </c>
      <c r="G3924">
        <f>IF(LEFT(B3924,1)="C","Credit","Factuur")</f>
        <v/>
      </c>
      <c r="H3924">
        <f>IF(AND(B3924=B3923,D3924=D3923,A3924=A3923,F3924=F3923),1,0)</f>
        <v/>
      </c>
      <c r="I3924">
        <f>IF(C3924="C99999",1,0)</f>
        <v/>
      </c>
      <c r="J3924" s="5">
        <f>IF(OR(H3924=1,I3924=1),0,IF(G3924="Credit",-F3924,F3924))</f>
        <v/>
      </c>
    </row>
    <row r="3925">
      <c r="A3925" t="inlineStr">
        <is>
          <t>2026-08-07</t>
        </is>
      </c>
      <c r="B3925" t="inlineStr">
        <is>
          <t>F278742</t>
        </is>
      </c>
      <c r="C3925" t="inlineStr">
        <is>
          <t>C10994</t>
        </is>
      </c>
      <c r="D3925" t="inlineStr">
        <is>
          <t>SKU-10143</t>
        </is>
      </c>
      <c r="E3925" t="inlineStr">
        <is>
          <t>AM01</t>
        </is>
      </c>
      <c r="F3925" s="5" t="n">
        <v>145.36</v>
      </c>
      <c r="G3925">
        <f>IF(LEFT(B3925,1)="C","Credit","Factuur")</f>
        <v/>
      </c>
      <c r="H3925">
        <f>IF(AND(B3925=B3924,D3925=D3924,A3925=A3924,F3925=F3924),1,0)</f>
        <v/>
      </c>
      <c r="I3925">
        <f>IF(C3925="C99999",1,0)</f>
        <v/>
      </c>
      <c r="J3925" s="5">
        <f>IF(OR(H3925=1,I3925=1),0,IF(G3925="Credit",-F3925,F3925))</f>
        <v/>
      </c>
    </row>
    <row r="3926">
      <c r="A3926" t="inlineStr">
        <is>
          <t>2026-08-07</t>
        </is>
      </c>
      <c r="B3926" t="inlineStr">
        <is>
          <t>F278742</t>
        </is>
      </c>
      <c r="C3926" t="inlineStr">
        <is>
          <t>C10994</t>
        </is>
      </c>
      <c r="D3926" t="inlineStr">
        <is>
          <t>SKU-10156</t>
        </is>
      </c>
      <c r="E3926" t="inlineStr">
        <is>
          <t>AM01</t>
        </is>
      </c>
      <c r="F3926" s="5" t="n">
        <v>134.64</v>
      </c>
      <c r="G3926">
        <f>IF(LEFT(B3926,1)="C","Credit","Factuur")</f>
        <v/>
      </c>
      <c r="H3926">
        <f>IF(AND(B3926=B3925,D3926=D3925,A3926=A3925,F3926=F3925),1,0)</f>
        <v/>
      </c>
      <c r="I3926">
        <f>IF(C3926="C99999",1,0)</f>
        <v/>
      </c>
      <c r="J3926" s="5">
        <f>IF(OR(H3926=1,I3926=1),0,IF(G3926="Credit",-F3926,F3926))</f>
        <v/>
      </c>
    </row>
    <row r="3927">
      <c r="A3927" t="inlineStr">
        <is>
          <t>2026-08-07</t>
        </is>
      </c>
      <c r="B3927" t="inlineStr">
        <is>
          <t>F278742</t>
        </is>
      </c>
      <c r="C3927" t="inlineStr">
        <is>
          <t>C10994</t>
        </is>
      </c>
      <c r="D3927" t="inlineStr">
        <is>
          <t>SKU-10244</t>
        </is>
      </c>
      <c r="E3927" t="inlineStr">
        <is>
          <t>AM01</t>
        </is>
      </c>
      <c r="F3927" s="5" t="n">
        <v>119.7</v>
      </c>
      <c r="G3927">
        <f>IF(LEFT(B3927,1)="C","Credit","Factuur")</f>
        <v/>
      </c>
      <c r="H3927">
        <f>IF(AND(B3927=B3926,D3927=D3926,A3927=A3926,F3927=F3926),1,0)</f>
        <v/>
      </c>
      <c r="I3927">
        <f>IF(C3927="C99999",1,0)</f>
        <v/>
      </c>
      <c r="J3927" s="5">
        <f>IF(OR(H3927=1,I3927=1),0,IF(G3927="Credit",-F3927,F3927))</f>
        <v/>
      </c>
    </row>
    <row r="3928">
      <c r="A3928" t="inlineStr">
        <is>
          <t>2026-08-07</t>
        </is>
      </c>
      <c r="B3928" t="inlineStr">
        <is>
          <t>F278860</t>
        </is>
      </c>
      <c r="C3928" t="inlineStr">
        <is>
          <t>C10999</t>
        </is>
      </c>
      <c r="D3928" t="inlineStr">
        <is>
          <t>SKU-10325</t>
        </is>
      </c>
      <c r="E3928" t="inlineStr">
        <is>
          <t>AM03</t>
        </is>
      </c>
      <c r="F3928" s="5" t="n">
        <v>715.92</v>
      </c>
      <c r="G3928">
        <f>IF(LEFT(B3928,1)="C","Credit","Factuur")</f>
        <v/>
      </c>
      <c r="H3928">
        <f>IF(AND(B3928=B3927,D3928=D3927,A3928=A3927,F3928=F3927),1,0)</f>
        <v/>
      </c>
      <c r="I3928">
        <f>IF(C3928="C99999",1,0)</f>
        <v/>
      </c>
      <c r="J3928" s="5">
        <f>IF(OR(H3928=1,I3928=1),0,IF(G3928="Credit",-F3928,F3928))</f>
        <v/>
      </c>
    </row>
    <row r="3929">
      <c r="A3929" t="inlineStr">
        <is>
          <t>2026-08-07</t>
        </is>
      </c>
      <c r="B3929" t="inlineStr">
        <is>
          <t>F278928</t>
        </is>
      </c>
      <c r="C3929" t="inlineStr">
        <is>
          <t>C11002</t>
        </is>
      </c>
      <c r="D3929" t="inlineStr">
        <is>
          <t>SKU-10337</t>
        </is>
      </c>
      <c r="E3929" t="inlineStr">
        <is>
          <t>AM06</t>
        </is>
      </c>
      <c r="F3929" s="5" t="n">
        <v>642.85</v>
      </c>
      <c r="G3929">
        <f>IF(LEFT(B3929,1)="C","Credit","Factuur")</f>
        <v/>
      </c>
      <c r="H3929">
        <f>IF(AND(B3929=B3928,D3929=D3928,A3929=A3928,F3929=F3928),1,0)</f>
        <v/>
      </c>
      <c r="I3929">
        <f>IF(C3929="C99999",1,0)</f>
        <v/>
      </c>
      <c r="J3929" s="5">
        <f>IF(OR(H3929=1,I3929=1),0,IF(G3929="Credit",-F3929,F3929))</f>
        <v/>
      </c>
    </row>
    <row r="3930">
      <c r="A3930" t="inlineStr">
        <is>
          <t>2026-08-07</t>
        </is>
      </c>
      <c r="B3930" t="inlineStr">
        <is>
          <t>F279198</t>
        </is>
      </c>
      <c r="C3930" t="inlineStr">
        <is>
          <t>C11017</t>
        </is>
      </c>
      <c r="D3930" t="inlineStr">
        <is>
          <t>SKU-10025</t>
        </is>
      </c>
      <c r="E3930" t="inlineStr">
        <is>
          <t>AM02</t>
        </is>
      </c>
      <c r="F3930" s="5" t="n">
        <v>792.91</v>
      </c>
      <c r="G3930">
        <f>IF(LEFT(B3930,1)="C","Credit","Factuur")</f>
        <v/>
      </c>
      <c r="H3930">
        <f>IF(AND(B3930=B3929,D3930=D3929,A3930=A3929,F3930=F3929),1,0)</f>
        <v/>
      </c>
      <c r="I3930">
        <f>IF(C3930="C99999",1,0)</f>
        <v/>
      </c>
      <c r="J3930" s="5">
        <f>IF(OR(H3930=1,I3930=1),0,IF(G3930="Credit",-F3930,F3930))</f>
        <v/>
      </c>
    </row>
    <row r="3931">
      <c r="A3931" t="inlineStr">
        <is>
          <t>2026-08-07</t>
        </is>
      </c>
      <c r="B3931" t="inlineStr">
        <is>
          <t>F279198</t>
        </is>
      </c>
      <c r="C3931" t="inlineStr">
        <is>
          <t>C11017</t>
        </is>
      </c>
      <c r="D3931" t="inlineStr">
        <is>
          <t>SKU-10195</t>
        </is>
      </c>
      <c r="E3931" t="inlineStr">
        <is>
          <t>AM02</t>
        </is>
      </c>
      <c r="F3931" s="5" t="n">
        <v>789.04</v>
      </c>
      <c r="G3931">
        <f>IF(LEFT(B3931,1)="C","Credit","Factuur")</f>
        <v/>
      </c>
      <c r="H3931">
        <f>IF(AND(B3931=B3930,D3931=D3930,A3931=A3930,F3931=F3930),1,0)</f>
        <v/>
      </c>
      <c r="I3931">
        <f>IF(C3931="C99999",1,0)</f>
        <v/>
      </c>
      <c r="J3931" s="5">
        <f>IF(OR(H3931=1,I3931=1),0,IF(G3931="Credit",-F3931,F3931))</f>
        <v/>
      </c>
    </row>
    <row r="3932">
      <c r="A3932" t="inlineStr">
        <is>
          <t>2026-08-07</t>
        </is>
      </c>
      <c r="B3932" t="inlineStr">
        <is>
          <t>F279198</t>
        </is>
      </c>
      <c r="C3932" t="inlineStr">
        <is>
          <t>C11017</t>
        </is>
      </c>
      <c r="D3932" t="inlineStr">
        <is>
          <t>SKU-10321</t>
        </is>
      </c>
      <c r="E3932" t="inlineStr">
        <is>
          <t>AM02</t>
        </is>
      </c>
      <c r="F3932" s="5" t="n">
        <v>834.65</v>
      </c>
      <c r="G3932">
        <f>IF(LEFT(B3932,1)="C","Credit","Factuur")</f>
        <v/>
      </c>
      <c r="H3932">
        <f>IF(AND(B3932=B3931,D3932=D3931,A3932=A3931,F3932=F3931),1,0)</f>
        <v/>
      </c>
      <c r="I3932">
        <f>IF(C3932="C99999",1,0)</f>
        <v/>
      </c>
      <c r="J3932" s="5">
        <f>IF(OR(H3932=1,I3932=1),0,IF(G3932="Credit",-F3932,F3932))</f>
        <v/>
      </c>
    </row>
    <row r="3933">
      <c r="A3933" t="inlineStr">
        <is>
          <t>2026-08-07</t>
        </is>
      </c>
      <c r="B3933" t="inlineStr">
        <is>
          <t>F279844</t>
        </is>
      </c>
      <c r="C3933" t="inlineStr">
        <is>
          <t>C11051</t>
        </is>
      </c>
      <c r="D3933" t="inlineStr">
        <is>
          <t>SKU-10028</t>
        </is>
      </c>
      <c r="E3933" t="inlineStr">
        <is>
          <t>AM03</t>
        </is>
      </c>
      <c r="F3933" s="5" t="n">
        <v>463.04</v>
      </c>
      <c r="G3933">
        <f>IF(LEFT(B3933,1)="C","Credit","Factuur")</f>
        <v/>
      </c>
      <c r="H3933">
        <f>IF(AND(B3933=B3932,D3933=D3932,A3933=A3932,F3933=F3932),1,0)</f>
        <v/>
      </c>
      <c r="I3933">
        <f>IF(C3933="C99999",1,0)</f>
        <v/>
      </c>
      <c r="J3933" s="5">
        <f>IF(OR(H3933=1,I3933=1),0,IF(G3933="Credit",-F3933,F3933))</f>
        <v/>
      </c>
    </row>
    <row r="3934">
      <c r="A3934" t="inlineStr">
        <is>
          <t>2026-08-07</t>
        </is>
      </c>
      <c r="B3934" t="inlineStr">
        <is>
          <t>F279844</t>
        </is>
      </c>
      <c r="C3934" t="inlineStr">
        <is>
          <t>C11051</t>
        </is>
      </c>
      <c r="D3934" t="inlineStr">
        <is>
          <t>SKU-10045</t>
        </is>
      </c>
      <c r="E3934" t="inlineStr">
        <is>
          <t>AM03</t>
        </is>
      </c>
      <c r="F3934" s="5" t="n">
        <v>466.92</v>
      </c>
      <c r="G3934">
        <f>IF(LEFT(B3934,1)="C","Credit","Factuur")</f>
        <v/>
      </c>
      <c r="H3934">
        <f>IF(AND(B3934=B3933,D3934=D3933,A3934=A3933,F3934=F3933),1,0)</f>
        <v/>
      </c>
      <c r="I3934">
        <f>IF(C3934="C99999",1,0)</f>
        <v/>
      </c>
      <c r="J3934" s="5">
        <f>IF(OR(H3934=1,I3934=1),0,IF(G3934="Credit",-F3934,F3934))</f>
        <v/>
      </c>
    </row>
    <row r="3935">
      <c r="A3935" t="inlineStr">
        <is>
          <t>2026-08-07</t>
        </is>
      </c>
      <c r="B3935" t="inlineStr">
        <is>
          <t>F279844</t>
        </is>
      </c>
      <c r="C3935" t="inlineStr">
        <is>
          <t>C11051</t>
        </is>
      </c>
      <c r="D3935" t="inlineStr">
        <is>
          <t>SKU-10240</t>
        </is>
      </c>
      <c r="E3935" t="inlineStr">
        <is>
          <t>AM03</t>
        </is>
      </c>
      <c r="F3935" s="5" t="n">
        <v>430.27</v>
      </c>
      <c r="G3935">
        <f>IF(LEFT(B3935,1)="C","Credit","Factuur")</f>
        <v/>
      </c>
      <c r="H3935">
        <f>IF(AND(B3935=B3934,D3935=D3934,A3935=A3934,F3935=F3934),1,0)</f>
        <v/>
      </c>
      <c r="I3935">
        <f>IF(C3935="C99999",1,0)</f>
        <v/>
      </c>
      <c r="J3935" s="5">
        <f>IF(OR(H3935=1,I3935=1),0,IF(G3935="Credit",-F3935,F3935))</f>
        <v/>
      </c>
    </row>
    <row r="3936">
      <c r="A3936" t="inlineStr">
        <is>
          <t>2026-08-07</t>
        </is>
      </c>
      <c r="B3936" t="inlineStr">
        <is>
          <t>F279932</t>
        </is>
      </c>
      <c r="C3936" t="inlineStr">
        <is>
          <t>C11054</t>
        </is>
      </c>
      <c r="D3936" t="inlineStr">
        <is>
          <t>SKU-10043</t>
        </is>
      </c>
      <c r="E3936" t="inlineStr">
        <is>
          <t>AM07</t>
        </is>
      </c>
      <c r="F3936" s="5" t="n">
        <v>445.2</v>
      </c>
      <c r="G3936">
        <f>IF(LEFT(B3936,1)="C","Credit","Factuur")</f>
        <v/>
      </c>
      <c r="H3936">
        <f>IF(AND(B3936=B3935,D3936=D3935,A3936=A3935,F3936=F3935),1,0)</f>
        <v/>
      </c>
      <c r="I3936">
        <f>IF(C3936="C99999",1,0)</f>
        <v/>
      </c>
      <c r="J3936" s="5">
        <f>IF(OR(H3936=1,I3936=1),0,IF(G3936="Credit",-F3936,F3936))</f>
        <v/>
      </c>
    </row>
    <row r="3937">
      <c r="A3937" t="inlineStr">
        <is>
          <t>2026-08-07</t>
        </is>
      </c>
      <c r="B3937" t="inlineStr">
        <is>
          <t>F279932</t>
        </is>
      </c>
      <c r="C3937" t="inlineStr">
        <is>
          <t>C11054</t>
        </is>
      </c>
      <c r="D3937" t="inlineStr">
        <is>
          <t>SKU-10046</t>
        </is>
      </c>
      <c r="E3937" t="inlineStr">
        <is>
          <t>AM07</t>
        </is>
      </c>
      <c r="F3937" s="5" t="n">
        <v>441.84</v>
      </c>
      <c r="G3937">
        <f>IF(LEFT(B3937,1)="C","Credit","Factuur")</f>
        <v/>
      </c>
      <c r="H3937">
        <f>IF(AND(B3937=B3936,D3937=D3936,A3937=A3936,F3937=F3936),1,0)</f>
        <v/>
      </c>
      <c r="I3937">
        <f>IF(C3937="C99999",1,0)</f>
        <v/>
      </c>
      <c r="J3937" s="5">
        <f>IF(OR(H3937=1,I3937=1),0,IF(G3937="Credit",-F3937,F3937))</f>
        <v/>
      </c>
    </row>
    <row r="3938">
      <c r="A3938" t="inlineStr">
        <is>
          <t>2026-08-07</t>
        </is>
      </c>
      <c r="B3938" t="inlineStr">
        <is>
          <t>F279932</t>
        </is>
      </c>
      <c r="C3938" t="inlineStr">
        <is>
          <t>C11054</t>
        </is>
      </c>
      <c r="D3938" t="inlineStr">
        <is>
          <t>SKU-10206</t>
        </is>
      </c>
      <c r="E3938" t="inlineStr">
        <is>
          <t>AM07</t>
        </is>
      </c>
      <c r="F3938" s="5" t="n">
        <v>408.92</v>
      </c>
      <c r="G3938">
        <f>IF(LEFT(B3938,1)="C","Credit","Factuur")</f>
        <v/>
      </c>
      <c r="H3938">
        <f>IF(AND(B3938=B3937,D3938=D3937,A3938=A3937,F3938=F3937),1,0)</f>
        <v/>
      </c>
      <c r="I3938">
        <f>IF(C3938="C99999",1,0)</f>
        <v/>
      </c>
      <c r="J3938" s="5">
        <f>IF(OR(H3938=1,I3938=1),0,IF(G3938="Credit",-F3938,F3938))</f>
        <v/>
      </c>
    </row>
    <row r="3939">
      <c r="A3939" t="inlineStr">
        <is>
          <t>2026-08-07</t>
        </is>
      </c>
      <c r="B3939" t="inlineStr">
        <is>
          <t>F279932</t>
        </is>
      </c>
      <c r="C3939" t="inlineStr">
        <is>
          <t>C11054</t>
        </is>
      </c>
      <c r="D3939" t="inlineStr">
        <is>
          <t>SKU-10300</t>
        </is>
      </c>
      <c r="E3939" t="inlineStr">
        <is>
          <t>AM07</t>
        </is>
      </c>
      <c r="F3939" s="5" t="n">
        <v>422.07</v>
      </c>
      <c r="G3939">
        <f>IF(LEFT(B3939,1)="C","Credit","Factuur")</f>
        <v/>
      </c>
      <c r="H3939">
        <f>IF(AND(B3939=B3938,D3939=D3938,A3939=A3938,F3939=F3938),1,0)</f>
        <v/>
      </c>
      <c r="I3939">
        <f>IF(C3939="C99999",1,0)</f>
        <v/>
      </c>
      <c r="J3939" s="5">
        <f>IF(OR(H3939=1,I3939=1),0,IF(G3939="Credit",-F3939,F3939))</f>
        <v/>
      </c>
    </row>
    <row r="3940">
      <c r="A3940" t="inlineStr">
        <is>
          <t>2026-08-07</t>
        </is>
      </c>
      <c r="B3940" t="inlineStr">
        <is>
          <t>F279974</t>
        </is>
      </c>
      <c r="C3940" t="inlineStr">
        <is>
          <t>C11055</t>
        </is>
      </c>
      <c r="D3940" t="inlineStr">
        <is>
          <t>SKU-10010</t>
        </is>
      </c>
      <c r="E3940" t="inlineStr">
        <is>
          <t>AM03</t>
        </is>
      </c>
      <c r="F3940" s="5" t="n">
        <v>502.97</v>
      </c>
      <c r="G3940">
        <f>IF(LEFT(B3940,1)="C","Credit","Factuur")</f>
        <v/>
      </c>
      <c r="H3940">
        <f>IF(AND(B3940=B3939,D3940=D3939,A3940=A3939,F3940=F3939),1,0)</f>
        <v/>
      </c>
      <c r="I3940">
        <f>IF(C3940="C99999",1,0)</f>
        <v/>
      </c>
      <c r="J3940" s="5">
        <f>IF(OR(H3940=1,I3940=1),0,IF(G3940="Credit",-F3940,F3940))</f>
        <v/>
      </c>
    </row>
    <row r="3941">
      <c r="A3941" t="inlineStr">
        <is>
          <t>2026-08-07</t>
        </is>
      </c>
      <c r="B3941" t="inlineStr">
        <is>
          <t>F279974</t>
        </is>
      </c>
      <c r="C3941" t="inlineStr">
        <is>
          <t>C11055</t>
        </is>
      </c>
      <c r="D3941" t="inlineStr">
        <is>
          <t>SKU-10229</t>
        </is>
      </c>
      <c r="E3941" t="inlineStr">
        <is>
          <t>AM03</t>
        </is>
      </c>
      <c r="F3941" s="5" t="n">
        <v>463.58</v>
      </c>
      <c r="G3941">
        <f>IF(LEFT(B3941,1)="C","Credit","Factuur")</f>
        <v/>
      </c>
      <c r="H3941">
        <f>IF(AND(B3941=B3940,D3941=D3940,A3941=A3940,F3941=F3940),1,0)</f>
        <v/>
      </c>
      <c r="I3941">
        <f>IF(C3941="C99999",1,0)</f>
        <v/>
      </c>
      <c r="J3941" s="5">
        <f>IF(OR(H3941=1,I3941=1),0,IF(G3941="Credit",-F3941,F3941))</f>
        <v/>
      </c>
    </row>
    <row r="3942">
      <c r="A3942" t="inlineStr">
        <is>
          <t>2026-08-07</t>
        </is>
      </c>
      <c r="B3942" t="inlineStr">
        <is>
          <t>F279974</t>
        </is>
      </c>
      <c r="C3942" t="inlineStr">
        <is>
          <t>C11055</t>
        </is>
      </c>
      <c r="D3942" t="inlineStr">
        <is>
          <t>SKU-10259</t>
        </is>
      </c>
      <c r="E3942" t="inlineStr"/>
      <c r="F3942" s="5" t="n">
        <v>493.45</v>
      </c>
      <c r="G3942">
        <f>IF(LEFT(B3942,1)="C","Credit","Factuur")</f>
        <v/>
      </c>
      <c r="H3942">
        <f>IF(AND(B3942=B3941,D3942=D3941,A3942=A3941,F3942=F3941),1,0)</f>
        <v/>
      </c>
      <c r="I3942">
        <f>IF(C3942="C99999",1,0)</f>
        <v/>
      </c>
      <c r="J3942" s="5">
        <f>IF(OR(H3942=1,I3942=1),0,IF(G3942="Credit",-F3942,F3942))</f>
        <v/>
      </c>
    </row>
    <row r="3943">
      <c r="A3943" t="inlineStr">
        <is>
          <t>2026-08-07</t>
        </is>
      </c>
      <c r="B3943" t="inlineStr">
        <is>
          <t>F280131</t>
        </is>
      </c>
      <c r="C3943" t="inlineStr">
        <is>
          <t>C11064</t>
        </is>
      </c>
      <c r="D3943" t="inlineStr">
        <is>
          <t>SKU-10121</t>
        </is>
      </c>
      <c r="E3943" t="inlineStr">
        <is>
          <t>AM08</t>
        </is>
      </c>
      <c r="F3943" s="5" t="n">
        <v>493.47</v>
      </c>
      <c r="G3943">
        <f>IF(LEFT(B3943,1)="C","Credit","Factuur")</f>
        <v/>
      </c>
      <c r="H3943">
        <f>IF(AND(B3943=B3942,D3943=D3942,A3943=A3942,F3943=F3942),1,0)</f>
        <v/>
      </c>
      <c r="I3943">
        <f>IF(C3943="C99999",1,0)</f>
        <v/>
      </c>
      <c r="J3943" s="5">
        <f>IF(OR(H3943=1,I3943=1),0,IF(G3943="Credit",-F3943,F3943))</f>
        <v/>
      </c>
    </row>
    <row r="3944">
      <c r="A3944" t="inlineStr">
        <is>
          <t>2026-08-07</t>
        </is>
      </c>
      <c r="B3944" t="inlineStr">
        <is>
          <t>F280131</t>
        </is>
      </c>
      <c r="C3944" t="inlineStr">
        <is>
          <t>C11064</t>
        </is>
      </c>
      <c r="D3944" t="inlineStr">
        <is>
          <t>SKU-10144</t>
        </is>
      </c>
      <c r="E3944" t="inlineStr">
        <is>
          <t>AM08</t>
        </is>
      </c>
      <c r="F3944" s="5" t="n">
        <v>473.68</v>
      </c>
      <c r="G3944">
        <f>IF(LEFT(B3944,1)="C","Credit","Factuur")</f>
        <v/>
      </c>
      <c r="H3944">
        <f>IF(AND(B3944=B3943,D3944=D3943,A3944=A3943,F3944=F3943),1,0)</f>
        <v/>
      </c>
      <c r="I3944">
        <f>IF(C3944="C99999",1,0)</f>
        <v/>
      </c>
      <c r="J3944" s="5">
        <f>IF(OR(H3944=1,I3944=1),0,IF(G3944="Credit",-F3944,F3944))</f>
        <v/>
      </c>
    </row>
    <row r="3945">
      <c r="A3945" t="inlineStr">
        <is>
          <t>2026-08-07</t>
        </is>
      </c>
      <c r="B3945" t="inlineStr">
        <is>
          <t>F280205</t>
        </is>
      </c>
      <c r="C3945" t="inlineStr">
        <is>
          <t>C11067</t>
        </is>
      </c>
      <c r="D3945" t="inlineStr">
        <is>
          <t>SKU-10193</t>
        </is>
      </c>
      <c r="E3945" t="inlineStr">
        <is>
          <t>AM07</t>
        </is>
      </c>
      <c r="F3945" s="5" t="n">
        <v>1138.48</v>
      </c>
      <c r="G3945">
        <f>IF(LEFT(B3945,1)="C","Credit","Factuur")</f>
        <v/>
      </c>
      <c r="H3945">
        <f>IF(AND(B3945=B3944,D3945=D3944,A3945=A3944,F3945=F3944),1,0)</f>
        <v/>
      </c>
      <c r="I3945">
        <f>IF(C3945="C99999",1,0)</f>
        <v/>
      </c>
      <c r="J3945" s="5">
        <f>IF(OR(H3945=1,I3945=1),0,IF(G3945="Credit",-F3945,F3945))</f>
        <v/>
      </c>
    </row>
    <row r="3946">
      <c r="A3946" t="inlineStr">
        <is>
          <t>2026-08-07</t>
        </is>
      </c>
      <c r="B3946" t="inlineStr">
        <is>
          <t>F280376</t>
        </is>
      </c>
      <c r="C3946" t="inlineStr">
        <is>
          <t>C11075</t>
        </is>
      </c>
      <c r="D3946" t="inlineStr">
        <is>
          <t>SKU-10114</t>
        </is>
      </c>
      <c r="E3946" t="inlineStr"/>
      <c r="F3946" s="5" t="n">
        <v>107.12</v>
      </c>
      <c r="G3946">
        <f>IF(LEFT(B3946,1)="C","Credit","Factuur")</f>
        <v/>
      </c>
      <c r="H3946">
        <f>IF(AND(B3946=B3945,D3946=D3945,A3946=A3945,F3946=F3945),1,0)</f>
        <v/>
      </c>
      <c r="I3946">
        <f>IF(C3946="C99999",1,0)</f>
        <v/>
      </c>
      <c r="J3946" s="5">
        <f>IF(OR(H3946=1,I3946=1),0,IF(G3946="Credit",-F3946,F3946))</f>
        <v/>
      </c>
    </row>
    <row r="3947">
      <c r="A3947" t="inlineStr">
        <is>
          <t>2026-08-07</t>
        </is>
      </c>
      <c r="B3947" t="inlineStr">
        <is>
          <t>F280376</t>
        </is>
      </c>
      <c r="C3947" t="inlineStr">
        <is>
          <t>C11075</t>
        </is>
      </c>
      <c r="D3947" t="inlineStr">
        <is>
          <t>SKU-10242</t>
        </is>
      </c>
      <c r="E3947" t="inlineStr">
        <is>
          <t>AM05</t>
        </is>
      </c>
      <c r="F3947" s="5" t="n">
        <v>84</v>
      </c>
      <c r="G3947">
        <f>IF(LEFT(B3947,1)="C","Credit","Factuur")</f>
        <v/>
      </c>
      <c r="H3947">
        <f>IF(AND(B3947=B3946,D3947=D3946,A3947=A3946,F3947=F3946),1,0)</f>
        <v/>
      </c>
      <c r="I3947">
        <f>IF(C3947="C99999",1,0)</f>
        <v/>
      </c>
      <c r="J3947" s="5">
        <f>IF(OR(H3947=1,I3947=1),0,IF(G3947="Credit",-F3947,F3947))</f>
        <v/>
      </c>
    </row>
    <row r="3948">
      <c r="A3948" t="inlineStr">
        <is>
          <t>2026-08-07</t>
        </is>
      </c>
      <c r="B3948" t="inlineStr">
        <is>
          <t>F280376</t>
        </is>
      </c>
      <c r="C3948" t="inlineStr">
        <is>
          <t>C11075</t>
        </is>
      </c>
      <c r="D3948" t="inlineStr">
        <is>
          <t>SKU-10303</t>
        </is>
      </c>
      <c r="E3948" t="inlineStr">
        <is>
          <t>AM05</t>
        </is>
      </c>
      <c r="F3948" s="5" t="n">
        <v>92.45</v>
      </c>
      <c r="G3948">
        <f>IF(LEFT(B3948,1)="C","Credit","Factuur")</f>
        <v/>
      </c>
      <c r="H3948">
        <f>IF(AND(B3948=B3947,D3948=D3947,A3948=A3947,F3948=F3947),1,0)</f>
        <v/>
      </c>
      <c r="I3948">
        <f>IF(C3948="C99999",1,0)</f>
        <v/>
      </c>
      <c r="J3948" s="5">
        <f>IF(OR(H3948=1,I3948=1),0,IF(G3948="Credit",-F3948,F3948))</f>
        <v/>
      </c>
    </row>
    <row r="3949">
      <c r="A3949" t="inlineStr">
        <is>
          <t>2026-08-07</t>
        </is>
      </c>
      <c r="B3949" t="inlineStr">
        <is>
          <t>F280376</t>
        </is>
      </c>
      <c r="C3949" t="inlineStr">
        <is>
          <t>C11075</t>
        </is>
      </c>
      <c r="D3949" t="inlineStr">
        <is>
          <t>SKU-10316</t>
        </is>
      </c>
      <c r="E3949" t="inlineStr">
        <is>
          <t>AM05</t>
        </is>
      </c>
      <c r="F3949" s="5" t="n">
        <v>86.06999999999999</v>
      </c>
      <c r="G3949">
        <f>IF(LEFT(B3949,1)="C","Credit","Factuur")</f>
        <v/>
      </c>
      <c r="H3949">
        <f>IF(AND(B3949=B3948,D3949=D3948,A3949=A3948,F3949=F3948),1,0)</f>
        <v/>
      </c>
      <c r="I3949">
        <f>IF(C3949="C99999",1,0)</f>
        <v/>
      </c>
      <c r="J3949" s="5">
        <f>IF(OR(H3949=1,I3949=1),0,IF(G3949="Credit",-F3949,F3949))</f>
        <v/>
      </c>
    </row>
    <row r="3950">
      <c r="A3950" t="inlineStr">
        <is>
          <t>2026-08-07</t>
        </is>
      </c>
      <c r="B3950" t="inlineStr">
        <is>
          <t>F280484</t>
        </is>
      </c>
      <c r="C3950" t="inlineStr">
        <is>
          <t>C11080</t>
        </is>
      </c>
      <c r="D3950" t="inlineStr">
        <is>
          <t>SKU-10094</t>
        </is>
      </c>
      <c r="E3950" t="inlineStr">
        <is>
          <t>AM01</t>
        </is>
      </c>
      <c r="F3950" s="5" t="n">
        <v>1195.39</v>
      </c>
      <c r="G3950">
        <f>IF(LEFT(B3950,1)="C","Credit","Factuur")</f>
        <v/>
      </c>
      <c r="H3950">
        <f>IF(AND(B3950=B3949,D3950=D3949,A3950=A3949,F3950=F3949),1,0)</f>
        <v/>
      </c>
      <c r="I3950">
        <f>IF(C3950="C99999",1,0)</f>
        <v/>
      </c>
      <c r="J3950" s="5">
        <f>IF(OR(H3950=1,I3950=1),0,IF(G3950="Credit",-F3950,F3950))</f>
        <v/>
      </c>
    </row>
    <row r="3951">
      <c r="A3951" t="inlineStr">
        <is>
          <t>2026-08-07</t>
        </is>
      </c>
      <c r="B3951" t="inlineStr">
        <is>
          <t>F280484</t>
        </is>
      </c>
      <c r="C3951" t="inlineStr">
        <is>
          <t>C11080</t>
        </is>
      </c>
      <c r="D3951" t="inlineStr">
        <is>
          <t>SKU-10228</t>
        </is>
      </c>
      <c r="E3951" t="inlineStr">
        <is>
          <t>AM01</t>
        </is>
      </c>
      <c r="F3951" s="5" t="n">
        <v>1165.38</v>
      </c>
      <c r="G3951">
        <f>IF(LEFT(B3951,1)="C","Credit","Factuur")</f>
        <v/>
      </c>
      <c r="H3951">
        <f>IF(AND(B3951=B3950,D3951=D3950,A3951=A3950,F3951=F3950),1,0)</f>
        <v/>
      </c>
      <c r="I3951">
        <f>IF(C3951="C99999",1,0)</f>
        <v/>
      </c>
      <c r="J3951" s="5">
        <f>IF(OR(H3951=1,I3951=1),0,IF(G3951="Credit",-F3951,F3951))</f>
        <v/>
      </c>
    </row>
    <row r="3952">
      <c r="A3952" t="inlineStr">
        <is>
          <t>2026-08-07</t>
        </is>
      </c>
      <c r="B3952" t="inlineStr">
        <is>
          <t>F280484</t>
        </is>
      </c>
      <c r="C3952" t="inlineStr">
        <is>
          <t>C11080</t>
        </is>
      </c>
      <c r="D3952" t="inlineStr">
        <is>
          <t>SKU-10383</t>
        </is>
      </c>
      <c r="E3952" t="inlineStr">
        <is>
          <t>AM01</t>
        </is>
      </c>
      <c r="F3952" s="5" t="n">
        <v>1350.36</v>
      </c>
      <c r="G3952">
        <f>IF(LEFT(B3952,1)="C","Credit","Factuur")</f>
        <v/>
      </c>
      <c r="H3952">
        <f>IF(AND(B3952=B3951,D3952=D3951,A3952=A3951,F3952=F3951),1,0)</f>
        <v/>
      </c>
      <c r="I3952">
        <f>IF(C3952="C99999",1,0)</f>
        <v/>
      </c>
      <c r="J3952" s="5">
        <f>IF(OR(H3952=1,I3952=1),0,IF(G3952="Credit",-F3952,F3952))</f>
        <v/>
      </c>
    </row>
    <row r="3953">
      <c r="A3953" t="inlineStr">
        <is>
          <t>2026-08-07</t>
        </is>
      </c>
      <c r="B3953" t="inlineStr">
        <is>
          <t>F281378</t>
        </is>
      </c>
      <c r="C3953" t="inlineStr">
        <is>
          <t>C11126</t>
        </is>
      </c>
      <c r="D3953" t="inlineStr">
        <is>
          <t>SKU-10197</t>
        </is>
      </c>
      <c r="E3953" t="inlineStr">
        <is>
          <t>AM05</t>
        </is>
      </c>
      <c r="F3953" s="5" t="n">
        <v>365.17</v>
      </c>
      <c r="G3953">
        <f>IF(LEFT(B3953,1)="C","Credit","Factuur")</f>
        <v/>
      </c>
      <c r="H3953">
        <f>IF(AND(B3953=B3952,D3953=D3952,A3953=A3952,F3953=F3952),1,0)</f>
        <v/>
      </c>
      <c r="I3953">
        <f>IF(C3953="C99999",1,0)</f>
        <v/>
      </c>
      <c r="J3953" s="5">
        <f>IF(OR(H3953=1,I3953=1),0,IF(G3953="Credit",-F3953,F3953))</f>
        <v/>
      </c>
    </row>
    <row r="3954">
      <c r="A3954" t="inlineStr">
        <is>
          <t>2026-08-07</t>
        </is>
      </c>
      <c r="B3954" t="inlineStr">
        <is>
          <t>F281378</t>
        </is>
      </c>
      <c r="C3954" t="inlineStr">
        <is>
          <t>C11126</t>
        </is>
      </c>
      <c r="D3954" t="inlineStr">
        <is>
          <t>SKU-10343</t>
        </is>
      </c>
      <c r="E3954" t="inlineStr">
        <is>
          <t>AM05</t>
        </is>
      </c>
      <c r="F3954" s="5" t="n">
        <v>387.04</v>
      </c>
      <c r="G3954">
        <f>IF(LEFT(B3954,1)="C","Credit","Factuur")</f>
        <v/>
      </c>
      <c r="H3954">
        <f>IF(AND(B3954=B3953,D3954=D3953,A3954=A3953,F3954=F3953),1,0)</f>
        <v/>
      </c>
      <c r="I3954">
        <f>IF(C3954="C99999",1,0)</f>
        <v/>
      </c>
      <c r="J3954" s="5">
        <f>IF(OR(H3954=1,I3954=1),0,IF(G3954="Credit",-F3954,F3954))</f>
        <v/>
      </c>
    </row>
    <row r="3955">
      <c r="A3955" t="inlineStr">
        <is>
          <t>2026-08-07</t>
        </is>
      </c>
      <c r="B3955" t="inlineStr">
        <is>
          <t>F281847</t>
        </is>
      </c>
      <c r="C3955" t="inlineStr">
        <is>
          <t>C11151</t>
        </is>
      </c>
      <c r="D3955" t="inlineStr">
        <is>
          <t>SKU-10056</t>
        </is>
      </c>
      <c r="E3955" t="inlineStr">
        <is>
          <t>AM11</t>
        </is>
      </c>
      <c r="F3955" s="5" t="n">
        <v>272</v>
      </c>
      <c r="G3955">
        <f>IF(LEFT(B3955,1)="C","Credit","Factuur")</f>
        <v/>
      </c>
      <c r="H3955">
        <f>IF(AND(B3955=B3954,D3955=D3954,A3955=A3954,F3955=F3954),1,0)</f>
        <v/>
      </c>
      <c r="I3955">
        <f>IF(C3955="C99999",1,0)</f>
        <v/>
      </c>
      <c r="J3955" s="5">
        <f>IF(OR(H3955=1,I3955=1),0,IF(G3955="Credit",-F3955,F3955))</f>
        <v/>
      </c>
    </row>
    <row r="3956">
      <c r="A3956" t="inlineStr">
        <is>
          <t>2026-08-07</t>
        </is>
      </c>
      <c r="B3956" t="inlineStr">
        <is>
          <t>F281847</t>
        </is>
      </c>
      <c r="C3956" t="inlineStr">
        <is>
          <t>C11151</t>
        </is>
      </c>
      <c r="D3956" t="inlineStr">
        <is>
          <t>SKU-10264</t>
        </is>
      </c>
      <c r="E3956" t="inlineStr">
        <is>
          <t>AM11</t>
        </is>
      </c>
      <c r="F3956" s="5" t="n">
        <v>253.61</v>
      </c>
      <c r="G3956">
        <f>IF(LEFT(B3956,1)="C","Credit","Factuur")</f>
        <v/>
      </c>
      <c r="H3956">
        <f>IF(AND(B3956=B3955,D3956=D3955,A3956=A3955,F3956=F3955),1,0)</f>
        <v/>
      </c>
      <c r="I3956">
        <f>IF(C3956="C99999",1,0)</f>
        <v/>
      </c>
      <c r="J3956" s="5">
        <f>IF(OR(H3956=1,I3956=1),0,IF(G3956="Credit",-F3956,F3956))</f>
        <v/>
      </c>
    </row>
    <row r="3957">
      <c r="A3957" t="inlineStr">
        <is>
          <t>2026-08-07</t>
        </is>
      </c>
      <c r="B3957" t="inlineStr">
        <is>
          <t>F281847</t>
        </is>
      </c>
      <c r="C3957" t="inlineStr">
        <is>
          <t>C11151</t>
        </is>
      </c>
      <c r="D3957" t="inlineStr">
        <is>
          <t>SKU-10293</t>
        </is>
      </c>
      <c r="E3957" t="inlineStr">
        <is>
          <t>AM11</t>
        </is>
      </c>
      <c r="F3957" s="5" t="n">
        <v>280.72</v>
      </c>
      <c r="G3957">
        <f>IF(LEFT(B3957,1)="C","Credit","Factuur")</f>
        <v/>
      </c>
      <c r="H3957">
        <f>IF(AND(B3957=B3956,D3957=D3956,A3957=A3956,F3957=F3956),1,0)</f>
        <v/>
      </c>
      <c r="I3957">
        <f>IF(C3957="C99999",1,0)</f>
        <v/>
      </c>
      <c r="J3957" s="5">
        <f>IF(OR(H3957=1,I3957=1),0,IF(G3957="Credit",-F3957,F3957))</f>
        <v/>
      </c>
    </row>
    <row r="3958">
      <c r="A3958" t="inlineStr">
        <is>
          <t>2026-08-07</t>
        </is>
      </c>
      <c r="B3958" t="inlineStr">
        <is>
          <t>F282684</t>
        </is>
      </c>
      <c r="C3958" t="inlineStr">
        <is>
          <t>C11191</t>
        </is>
      </c>
      <c r="D3958" t="inlineStr">
        <is>
          <t>SKU-10305</t>
        </is>
      </c>
      <c r="E3958" t="inlineStr">
        <is>
          <t>AM06</t>
        </is>
      </c>
      <c r="F3958" s="5" t="n">
        <v>668.1</v>
      </c>
      <c r="G3958">
        <f>IF(LEFT(B3958,1)="C","Credit","Factuur")</f>
        <v/>
      </c>
      <c r="H3958">
        <f>IF(AND(B3958=B3957,D3958=D3957,A3958=A3957,F3958=F3957),1,0)</f>
        <v/>
      </c>
      <c r="I3958">
        <f>IF(C3958="C99999",1,0)</f>
        <v/>
      </c>
      <c r="J3958" s="5">
        <f>IF(OR(H3958=1,I3958=1),0,IF(G3958="Credit",-F3958,F3958))</f>
        <v/>
      </c>
    </row>
    <row r="3959">
      <c r="A3959" t="inlineStr">
        <is>
          <t>2026-08-07</t>
        </is>
      </c>
      <c r="B3959" t="inlineStr">
        <is>
          <t>F283271</t>
        </is>
      </c>
      <c r="C3959" t="inlineStr">
        <is>
          <t>C11223</t>
        </is>
      </c>
      <c r="D3959" t="inlineStr">
        <is>
          <t>SKU-10097</t>
        </is>
      </c>
      <c r="E3959" t="inlineStr">
        <is>
          <t>AM03</t>
        </is>
      </c>
      <c r="F3959" s="5" t="n">
        <v>511.2</v>
      </c>
      <c r="G3959">
        <f>IF(LEFT(B3959,1)="C","Credit","Factuur")</f>
        <v/>
      </c>
      <c r="H3959">
        <f>IF(AND(B3959=B3958,D3959=D3958,A3959=A3958,F3959=F3958),1,0)</f>
        <v/>
      </c>
      <c r="I3959">
        <f>IF(C3959="C99999",1,0)</f>
        <v/>
      </c>
      <c r="J3959" s="5">
        <f>IF(OR(H3959=1,I3959=1),0,IF(G3959="Credit",-F3959,F3959))</f>
        <v/>
      </c>
    </row>
    <row r="3960">
      <c r="A3960" t="inlineStr">
        <is>
          <t>2026-08-07</t>
        </is>
      </c>
      <c r="B3960" t="inlineStr">
        <is>
          <t>F283391</t>
        </is>
      </c>
      <c r="C3960" t="inlineStr">
        <is>
          <t>C11228</t>
        </is>
      </c>
      <c r="D3960" t="inlineStr">
        <is>
          <t>SKU-10003</t>
        </is>
      </c>
      <c r="E3960" t="inlineStr">
        <is>
          <t>AM02</t>
        </is>
      </c>
      <c r="F3960" s="5" t="n">
        <v>523.45</v>
      </c>
      <c r="G3960">
        <f>IF(LEFT(B3960,1)="C","Credit","Factuur")</f>
        <v/>
      </c>
      <c r="H3960">
        <f>IF(AND(B3960=B3959,D3960=D3959,A3960=A3959,F3960=F3959),1,0)</f>
        <v/>
      </c>
      <c r="I3960">
        <f>IF(C3960="C99999",1,0)</f>
        <v/>
      </c>
      <c r="J3960" s="5">
        <f>IF(OR(H3960=1,I3960=1),0,IF(G3960="Credit",-F3960,F3960))</f>
        <v/>
      </c>
    </row>
    <row r="3961">
      <c r="A3961" t="inlineStr">
        <is>
          <t>2026-08-07</t>
        </is>
      </c>
      <c r="B3961" t="inlineStr">
        <is>
          <t>F283391</t>
        </is>
      </c>
      <c r="C3961" t="inlineStr">
        <is>
          <t>C11228</t>
        </is>
      </c>
      <c r="D3961" t="inlineStr">
        <is>
          <t>SKU-10048</t>
        </is>
      </c>
      <c r="E3961" t="inlineStr">
        <is>
          <t>AM02</t>
        </is>
      </c>
      <c r="F3961" s="5" t="n">
        <v>526.1</v>
      </c>
      <c r="G3961">
        <f>IF(LEFT(B3961,1)="C","Credit","Factuur")</f>
        <v/>
      </c>
      <c r="H3961">
        <f>IF(AND(B3961=B3960,D3961=D3960,A3961=A3960,F3961=F3960),1,0)</f>
        <v/>
      </c>
      <c r="I3961">
        <f>IF(C3961="C99999",1,0)</f>
        <v/>
      </c>
      <c r="J3961" s="5">
        <f>IF(OR(H3961=1,I3961=1),0,IF(G3961="Credit",-F3961,F3961))</f>
        <v/>
      </c>
    </row>
    <row r="3962">
      <c r="A3962" t="inlineStr">
        <is>
          <t>2026-08-07</t>
        </is>
      </c>
      <c r="B3962" t="inlineStr">
        <is>
          <t>F283391</t>
        </is>
      </c>
      <c r="C3962" t="inlineStr">
        <is>
          <t>C11228</t>
        </is>
      </c>
      <c r="D3962" t="inlineStr">
        <is>
          <t>SKU-10132</t>
        </is>
      </c>
      <c r="E3962" t="inlineStr">
        <is>
          <t>AM02</t>
        </is>
      </c>
      <c r="F3962" s="5" t="n">
        <v>543.9</v>
      </c>
      <c r="G3962">
        <f>IF(LEFT(B3962,1)="C","Credit","Factuur")</f>
        <v/>
      </c>
      <c r="H3962">
        <f>IF(AND(B3962=B3961,D3962=D3961,A3962=A3961,F3962=F3961),1,0)</f>
        <v/>
      </c>
      <c r="I3962">
        <f>IF(C3962="C99999",1,0)</f>
        <v/>
      </c>
      <c r="J3962" s="5">
        <f>IF(OR(H3962=1,I3962=1),0,IF(G3962="Credit",-F3962,F3962))</f>
        <v/>
      </c>
    </row>
    <row r="3963">
      <c r="A3963" t="inlineStr">
        <is>
          <t>2026-08-07</t>
        </is>
      </c>
      <c r="B3963" t="inlineStr">
        <is>
          <t>F283391</t>
        </is>
      </c>
      <c r="C3963" t="inlineStr">
        <is>
          <t>C11228</t>
        </is>
      </c>
      <c r="D3963" t="inlineStr">
        <is>
          <t>SKU-10231</t>
        </is>
      </c>
      <c r="E3963" t="inlineStr">
        <is>
          <t>AM02</t>
        </is>
      </c>
      <c r="F3963" s="5" t="n">
        <v>512.89</v>
      </c>
      <c r="G3963">
        <f>IF(LEFT(B3963,1)="C","Credit","Factuur")</f>
        <v/>
      </c>
      <c r="H3963">
        <f>IF(AND(B3963=B3962,D3963=D3962,A3963=A3962,F3963=F3962),1,0)</f>
        <v/>
      </c>
      <c r="I3963">
        <f>IF(C3963="C99999",1,0)</f>
        <v/>
      </c>
      <c r="J3963" s="5">
        <f>IF(OR(H3963=1,I3963=1),0,IF(G3963="Credit",-F3963,F3963))</f>
        <v/>
      </c>
    </row>
    <row r="3964">
      <c r="A3964" t="inlineStr">
        <is>
          <t>2026-08-07</t>
        </is>
      </c>
      <c r="B3964" t="inlineStr">
        <is>
          <t>F283391</t>
        </is>
      </c>
      <c r="C3964" t="inlineStr">
        <is>
          <t>C11228</t>
        </is>
      </c>
      <c r="D3964" t="inlineStr">
        <is>
          <t>SKU-10326</t>
        </is>
      </c>
      <c r="E3964" t="inlineStr">
        <is>
          <t>AM02</t>
        </is>
      </c>
      <c r="F3964" s="5" t="n">
        <v>470.05</v>
      </c>
      <c r="G3964">
        <f>IF(LEFT(B3964,1)="C","Credit","Factuur")</f>
        <v/>
      </c>
      <c r="H3964">
        <f>IF(AND(B3964=B3963,D3964=D3963,A3964=A3963,F3964=F3963),1,0)</f>
        <v/>
      </c>
      <c r="I3964">
        <f>IF(C3964="C99999",1,0)</f>
        <v/>
      </c>
      <c r="J3964" s="5">
        <f>IF(OR(H3964=1,I3964=1),0,IF(G3964="Credit",-F3964,F3964))</f>
        <v/>
      </c>
    </row>
    <row r="3965">
      <c r="A3965" t="inlineStr">
        <is>
          <t>2026-08-07</t>
        </is>
      </c>
      <c r="B3965" t="inlineStr">
        <is>
          <t>F283706</t>
        </is>
      </c>
      <c r="C3965" t="inlineStr">
        <is>
          <t>C11242</t>
        </is>
      </c>
      <c r="D3965" t="inlineStr">
        <is>
          <t>SKU-10337</t>
        </is>
      </c>
      <c r="E3965" t="inlineStr">
        <is>
          <t>AM02</t>
        </is>
      </c>
      <c r="F3965" s="5" t="n">
        <v>3946.8</v>
      </c>
      <c r="G3965">
        <f>IF(LEFT(B3965,1)="C","Credit","Factuur")</f>
        <v/>
      </c>
      <c r="H3965">
        <f>IF(AND(B3965=B3964,D3965=D3964,A3965=A3964,F3965=F3964),1,0)</f>
        <v/>
      </c>
      <c r="I3965">
        <f>IF(C3965="C99999",1,0)</f>
        <v/>
      </c>
      <c r="J3965" s="5">
        <f>IF(OR(H3965=1,I3965=1),0,IF(G3965="Credit",-F3965,F3965))</f>
        <v/>
      </c>
    </row>
    <row r="3966">
      <c r="A3966" t="inlineStr">
        <is>
          <t>2026-08-07</t>
        </is>
      </c>
      <c r="B3966" t="inlineStr">
        <is>
          <t>F283870</t>
        </is>
      </c>
      <c r="C3966" t="inlineStr">
        <is>
          <t>C11249</t>
        </is>
      </c>
      <c r="D3966" t="inlineStr">
        <is>
          <t>SKU-10022</t>
        </is>
      </c>
      <c r="E3966" t="inlineStr">
        <is>
          <t>AM11</t>
        </is>
      </c>
      <c r="F3966" s="5" t="n">
        <v>348.16</v>
      </c>
      <c r="G3966">
        <f>IF(LEFT(B3966,1)="C","Credit","Factuur")</f>
        <v/>
      </c>
      <c r="H3966">
        <f>IF(AND(B3966=B3965,D3966=D3965,A3966=A3965,F3966=F3965),1,0)</f>
        <v/>
      </c>
      <c r="I3966">
        <f>IF(C3966="C99999",1,0)</f>
        <v/>
      </c>
      <c r="J3966" s="5">
        <f>IF(OR(H3966=1,I3966=1),0,IF(G3966="Credit",-F3966,F3966))</f>
        <v/>
      </c>
    </row>
    <row r="3967">
      <c r="A3967" t="inlineStr">
        <is>
          <t>2026-08-07</t>
        </is>
      </c>
      <c r="B3967" t="inlineStr">
        <is>
          <t>F283870</t>
        </is>
      </c>
      <c r="C3967" t="inlineStr">
        <is>
          <t>C11249</t>
        </is>
      </c>
      <c r="D3967" t="inlineStr">
        <is>
          <t>SKU-10081</t>
        </is>
      </c>
      <c r="E3967" t="inlineStr">
        <is>
          <t>AM11</t>
        </is>
      </c>
      <c r="F3967" s="5" t="n">
        <v>286.07</v>
      </c>
      <c r="G3967">
        <f>IF(LEFT(B3967,1)="C","Credit","Factuur")</f>
        <v/>
      </c>
      <c r="H3967">
        <f>IF(AND(B3967=B3966,D3967=D3966,A3967=A3966,F3967=F3966),1,0)</f>
        <v/>
      </c>
      <c r="I3967">
        <f>IF(C3967="C99999",1,0)</f>
        <v/>
      </c>
      <c r="J3967" s="5">
        <f>IF(OR(H3967=1,I3967=1),0,IF(G3967="Credit",-F3967,F3967))</f>
        <v/>
      </c>
    </row>
    <row r="3968">
      <c r="A3968" t="inlineStr">
        <is>
          <t>2026-08-07</t>
        </is>
      </c>
      <c r="B3968" t="inlineStr">
        <is>
          <t>F283870</t>
        </is>
      </c>
      <c r="C3968" t="inlineStr">
        <is>
          <t>C11249</t>
        </is>
      </c>
      <c r="D3968" t="inlineStr">
        <is>
          <t>SKU-10146</t>
        </is>
      </c>
      <c r="E3968" t="inlineStr">
        <is>
          <t>AM11</t>
        </is>
      </c>
      <c r="F3968" s="5" t="n">
        <v>294.7</v>
      </c>
      <c r="G3968">
        <f>IF(LEFT(B3968,1)="C","Credit","Factuur")</f>
        <v/>
      </c>
      <c r="H3968">
        <f>IF(AND(B3968=B3967,D3968=D3967,A3968=A3967,F3968=F3967),1,0)</f>
        <v/>
      </c>
      <c r="I3968">
        <f>IF(C3968="C99999",1,0)</f>
        <v/>
      </c>
      <c r="J3968" s="5">
        <f>IF(OR(H3968=1,I3968=1),0,IF(G3968="Credit",-F3968,F3968))</f>
        <v/>
      </c>
    </row>
    <row r="3969">
      <c r="A3969" t="inlineStr">
        <is>
          <t>2026-08-07</t>
        </is>
      </c>
      <c r="B3969" t="inlineStr">
        <is>
          <t>F283870</t>
        </is>
      </c>
      <c r="C3969" t="inlineStr">
        <is>
          <t>C11249</t>
        </is>
      </c>
      <c r="D3969" t="inlineStr">
        <is>
          <t>SKU-10149</t>
        </is>
      </c>
      <c r="E3969" t="inlineStr">
        <is>
          <t>AM11</t>
        </is>
      </c>
      <c r="F3969" s="5" t="n">
        <v>344.75</v>
      </c>
      <c r="G3969">
        <f>IF(LEFT(B3969,1)="C","Credit","Factuur")</f>
        <v/>
      </c>
      <c r="H3969">
        <f>IF(AND(B3969=B3968,D3969=D3968,A3969=A3968,F3969=F3968),1,0)</f>
        <v/>
      </c>
      <c r="I3969">
        <f>IF(C3969="C99999",1,0)</f>
        <v/>
      </c>
      <c r="J3969" s="5">
        <f>IF(OR(H3969=1,I3969=1),0,IF(G3969="Credit",-F3969,F3969))</f>
        <v/>
      </c>
    </row>
    <row r="3970">
      <c r="A3970" t="inlineStr">
        <is>
          <t>2026-08-07</t>
        </is>
      </c>
      <c r="B3970" t="inlineStr">
        <is>
          <t>F283870</t>
        </is>
      </c>
      <c r="C3970" t="inlineStr">
        <is>
          <t>C11249</t>
        </is>
      </c>
      <c r="D3970" t="inlineStr">
        <is>
          <t>SKU-10313</t>
        </is>
      </c>
      <c r="E3970" t="inlineStr">
        <is>
          <t>AM11</t>
        </is>
      </c>
      <c r="F3970" s="5" t="n">
        <v>316.92</v>
      </c>
      <c r="G3970">
        <f>IF(LEFT(B3970,1)="C","Credit","Factuur")</f>
        <v/>
      </c>
      <c r="H3970">
        <f>IF(AND(B3970=B3969,D3970=D3969,A3970=A3969,F3970=F3969),1,0)</f>
        <v/>
      </c>
      <c r="I3970">
        <f>IF(C3970="C99999",1,0)</f>
        <v/>
      </c>
      <c r="J3970" s="5">
        <f>IF(OR(H3970=1,I3970=1),0,IF(G3970="Credit",-F3970,F3970))</f>
        <v/>
      </c>
    </row>
    <row r="3971">
      <c r="A3971" t="inlineStr">
        <is>
          <t>2026-08-07</t>
        </is>
      </c>
      <c r="B3971" t="inlineStr">
        <is>
          <t>F284271</t>
        </is>
      </c>
      <c r="C3971" t="inlineStr">
        <is>
          <t>C11270</t>
        </is>
      </c>
      <c r="D3971" t="inlineStr">
        <is>
          <t>SKU-10188</t>
        </is>
      </c>
      <c r="E3971" t="inlineStr">
        <is>
          <t>AM03</t>
        </is>
      </c>
      <c r="F3971" s="5" t="n">
        <v>1465.47</v>
      </c>
      <c r="G3971">
        <f>IF(LEFT(B3971,1)="C","Credit","Factuur")</f>
        <v/>
      </c>
      <c r="H3971">
        <f>IF(AND(B3971=B3970,D3971=D3970,A3971=A3970,F3971=F3970),1,0)</f>
        <v/>
      </c>
      <c r="I3971">
        <f>IF(C3971="C99999",1,0)</f>
        <v/>
      </c>
      <c r="J3971" s="5">
        <f>IF(OR(H3971=1,I3971=1),0,IF(G3971="Credit",-F3971,F3971))</f>
        <v/>
      </c>
    </row>
    <row r="3972">
      <c r="A3972" t="inlineStr">
        <is>
          <t>2026-08-07</t>
        </is>
      </c>
      <c r="B3972" t="inlineStr">
        <is>
          <t>F284461</t>
        </is>
      </c>
      <c r="C3972" t="inlineStr">
        <is>
          <t>C11283</t>
        </is>
      </c>
      <c r="D3972" t="inlineStr">
        <is>
          <t>SKU-10070</t>
        </is>
      </c>
      <c r="E3972" t="inlineStr">
        <is>
          <t>AM05</t>
        </is>
      </c>
      <c r="F3972" s="5" t="n">
        <v>163.06</v>
      </c>
      <c r="G3972">
        <f>IF(LEFT(B3972,1)="C","Credit","Factuur")</f>
        <v/>
      </c>
      <c r="H3972">
        <f>IF(AND(B3972=B3971,D3972=D3971,A3972=A3971,F3972=F3971),1,0)</f>
        <v/>
      </c>
      <c r="I3972">
        <f>IF(C3972="C99999",1,0)</f>
        <v/>
      </c>
      <c r="J3972" s="5">
        <f>IF(OR(H3972=1,I3972=1),0,IF(G3972="Credit",-F3972,F3972))</f>
        <v/>
      </c>
    </row>
    <row r="3973">
      <c r="A3973" t="inlineStr">
        <is>
          <t>2026-08-07</t>
        </is>
      </c>
      <c r="B3973" t="inlineStr">
        <is>
          <t>F284461</t>
        </is>
      </c>
      <c r="C3973" t="inlineStr">
        <is>
          <t>C11283</t>
        </is>
      </c>
      <c r="D3973" t="inlineStr">
        <is>
          <t>SKU-10084</t>
        </is>
      </c>
      <c r="E3973" t="inlineStr">
        <is>
          <t>AM05</t>
        </is>
      </c>
      <c r="F3973" s="5" t="n">
        <v>173.23</v>
      </c>
      <c r="G3973">
        <f>IF(LEFT(B3973,1)="C","Credit","Factuur")</f>
        <v/>
      </c>
      <c r="H3973">
        <f>IF(AND(B3973=B3972,D3973=D3972,A3973=A3972,F3973=F3972),1,0)</f>
        <v/>
      </c>
      <c r="I3973">
        <f>IF(C3973="C99999",1,0)</f>
        <v/>
      </c>
      <c r="J3973" s="5">
        <f>IF(OR(H3973=1,I3973=1),0,IF(G3973="Credit",-F3973,F3973))</f>
        <v/>
      </c>
    </row>
    <row r="3974">
      <c r="A3974" t="inlineStr">
        <is>
          <t>2026-08-07</t>
        </is>
      </c>
      <c r="B3974" t="inlineStr">
        <is>
          <t>F284461</t>
        </is>
      </c>
      <c r="C3974" t="inlineStr">
        <is>
          <t>C11283</t>
        </is>
      </c>
      <c r="D3974" t="inlineStr">
        <is>
          <t>SKU-10342</t>
        </is>
      </c>
      <c r="E3974" t="inlineStr">
        <is>
          <t>AM05</t>
        </is>
      </c>
      <c r="F3974" s="5" t="n">
        <v>160.93</v>
      </c>
      <c r="G3974">
        <f>IF(LEFT(B3974,1)="C","Credit","Factuur")</f>
        <v/>
      </c>
      <c r="H3974">
        <f>IF(AND(B3974=B3973,D3974=D3973,A3974=A3973,F3974=F3973),1,0)</f>
        <v/>
      </c>
      <c r="I3974">
        <f>IF(C3974="C99999",1,0)</f>
        <v/>
      </c>
      <c r="J3974" s="5">
        <f>IF(OR(H3974=1,I3974=1),0,IF(G3974="Credit",-F3974,F3974))</f>
        <v/>
      </c>
    </row>
    <row r="3975">
      <c r="A3975" t="inlineStr">
        <is>
          <t>2026-08-07</t>
        </is>
      </c>
      <c r="B3975" t="inlineStr">
        <is>
          <t>F285012</t>
        </is>
      </c>
      <c r="C3975" t="inlineStr">
        <is>
          <t>C11308</t>
        </is>
      </c>
      <c r="D3975" t="inlineStr">
        <is>
          <t>SKU-10284</t>
        </is>
      </c>
      <c r="E3975" t="inlineStr">
        <is>
          <t>AM02</t>
        </is>
      </c>
      <c r="F3975" s="5" t="n">
        <v>544.96</v>
      </c>
      <c r="G3975">
        <f>IF(LEFT(B3975,1)="C","Credit","Factuur")</f>
        <v/>
      </c>
      <c r="H3975">
        <f>IF(AND(B3975=B3974,D3975=D3974,A3975=A3974,F3975=F3974),1,0)</f>
        <v/>
      </c>
      <c r="I3975">
        <f>IF(C3975="C99999",1,0)</f>
        <v/>
      </c>
      <c r="J3975" s="5">
        <f>IF(OR(H3975=1,I3975=1),0,IF(G3975="Credit",-F3975,F3975))</f>
        <v/>
      </c>
    </row>
    <row r="3976">
      <c r="A3976" t="inlineStr">
        <is>
          <t>2026-08-08</t>
        </is>
      </c>
      <c r="B3976" t="inlineStr">
        <is>
          <t>C900593</t>
        </is>
      </c>
      <c r="C3976" t="inlineStr">
        <is>
          <t>C10210</t>
        </is>
      </c>
      <c r="D3976" t="inlineStr">
        <is>
          <t>SKU-10127</t>
        </is>
      </c>
      <c r="E3976" t="inlineStr">
        <is>
          <t>AM11</t>
        </is>
      </c>
      <c r="F3976" s="5" t="n">
        <v>434.86</v>
      </c>
      <c r="G3976">
        <f>IF(LEFT(B3976,1)="C","Credit","Factuur")</f>
        <v/>
      </c>
      <c r="H3976">
        <f>IF(AND(B3976=B3975,D3976=D3975,A3976=A3975,F3976=F3975),1,0)</f>
        <v/>
      </c>
      <c r="I3976">
        <f>IF(C3976="C99999",1,0)</f>
        <v/>
      </c>
      <c r="J3976" s="5">
        <f>IF(OR(H3976=1,I3976=1),0,IF(G3976="Credit",-F3976,F3976))</f>
        <v/>
      </c>
    </row>
    <row r="3977">
      <c r="A3977" t="inlineStr">
        <is>
          <t>2026-08-08</t>
        </is>
      </c>
      <c r="B3977" t="inlineStr">
        <is>
          <t>C901284</t>
        </is>
      </c>
      <c r="C3977" t="inlineStr">
        <is>
          <t>C11145</t>
        </is>
      </c>
      <c r="D3977" t="inlineStr">
        <is>
          <t>SKU-10046</t>
        </is>
      </c>
      <c r="E3977" t="inlineStr">
        <is>
          <t>AM11</t>
        </is>
      </c>
      <c r="F3977" s="5" t="n">
        <v>173.58</v>
      </c>
      <c r="G3977">
        <f>IF(LEFT(B3977,1)="C","Credit","Factuur")</f>
        <v/>
      </c>
      <c r="H3977">
        <f>IF(AND(B3977=B3976,D3977=D3976,A3977=A3976,F3977=F3976),1,0)</f>
        <v/>
      </c>
      <c r="I3977">
        <f>IF(C3977="C99999",1,0)</f>
        <v/>
      </c>
      <c r="J3977" s="5">
        <f>IF(OR(H3977=1,I3977=1),0,IF(G3977="Credit",-F3977,F3977))</f>
        <v/>
      </c>
    </row>
    <row r="3978">
      <c r="A3978" t="inlineStr">
        <is>
          <t>2026-08-08</t>
        </is>
      </c>
      <c r="B3978" t="inlineStr">
        <is>
          <t>C901720</t>
        </is>
      </c>
      <c r="C3978" t="inlineStr">
        <is>
          <t>C10491</t>
        </is>
      </c>
      <c r="D3978" t="inlineStr">
        <is>
          <t>SKU-10149</t>
        </is>
      </c>
      <c r="E3978" t="inlineStr">
        <is>
          <t>AM05</t>
        </is>
      </c>
      <c r="F3978" s="5" t="n">
        <v>620.5599999999999</v>
      </c>
      <c r="G3978">
        <f>IF(LEFT(B3978,1)="C","Credit","Factuur")</f>
        <v/>
      </c>
      <c r="H3978">
        <f>IF(AND(B3978=B3977,D3978=D3977,A3978=A3977,F3978=F3977),1,0)</f>
        <v/>
      </c>
      <c r="I3978">
        <f>IF(C3978="C99999",1,0)</f>
        <v/>
      </c>
      <c r="J3978" s="5">
        <f>IF(OR(H3978=1,I3978=1),0,IF(G3978="Credit",-F3978,F3978))</f>
        <v/>
      </c>
    </row>
    <row r="3979">
      <c r="A3979" t="inlineStr">
        <is>
          <t>2026-08-08</t>
        </is>
      </c>
      <c r="B3979" t="inlineStr">
        <is>
          <t>C901804</t>
        </is>
      </c>
      <c r="C3979" t="inlineStr">
        <is>
          <t>C10579</t>
        </is>
      </c>
      <c r="D3979" t="inlineStr">
        <is>
          <t>SKU-10319</t>
        </is>
      </c>
      <c r="E3979" t="inlineStr">
        <is>
          <t>AM06</t>
        </is>
      </c>
      <c r="F3979" s="5" t="n">
        <v>115.76</v>
      </c>
      <c r="G3979">
        <f>IF(LEFT(B3979,1)="C","Credit","Factuur")</f>
        <v/>
      </c>
      <c r="H3979">
        <f>IF(AND(B3979=B3978,D3979=D3978,A3979=A3978,F3979=F3978),1,0)</f>
        <v/>
      </c>
      <c r="I3979">
        <f>IF(C3979="C99999",1,0)</f>
        <v/>
      </c>
      <c r="J3979" s="5">
        <f>IF(OR(H3979=1,I3979=1),0,IF(G3979="Credit",-F3979,F3979))</f>
        <v/>
      </c>
    </row>
    <row r="3980">
      <c r="A3980" t="inlineStr">
        <is>
          <t>2026-08-09</t>
        </is>
      </c>
      <c r="B3980" t="inlineStr">
        <is>
          <t>C900535</t>
        </is>
      </c>
      <c r="C3980" t="inlineStr">
        <is>
          <t>C11197</t>
        </is>
      </c>
      <c r="D3980" t="inlineStr">
        <is>
          <t>SKU-10269</t>
        </is>
      </c>
      <c r="E3980" t="inlineStr">
        <is>
          <t>AM12</t>
        </is>
      </c>
      <c r="F3980" s="5" t="n">
        <v>144.3</v>
      </c>
      <c r="G3980">
        <f>IF(LEFT(B3980,1)="C","Credit","Factuur")</f>
        <v/>
      </c>
      <c r="H3980">
        <f>IF(AND(B3980=B3979,D3980=D3979,A3980=A3979,F3980=F3979),1,0)</f>
        <v/>
      </c>
      <c r="I3980">
        <f>IF(C3980="C99999",1,0)</f>
        <v/>
      </c>
      <c r="J3980" s="5">
        <f>IF(OR(H3980=1,I3980=1),0,IF(G3980="Credit",-F3980,F3980))</f>
        <v/>
      </c>
    </row>
    <row r="3981">
      <c r="A3981" t="inlineStr">
        <is>
          <t>2026-08-10</t>
        </is>
      </c>
      <c r="B3981" t="inlineStr">
        <is>
          <t>C900719</t>
        </is>
      </c>
      <c r="C3981" t="inlineStr">
        <is>
          <t>C10120</t>
        </is>
      </c>
      <c r="D3981" t="inlineStr">
        <is>
          <t>SKU-10339</t>
        </is>
      </c>
      <c r="E3981" t="inlineStr">
        <is>
          <t>AM02</t>
        </is>
      </c>
      <c r="F3981" s="5" t="n">
        <v>57.19</v>
      </c>
      <c r="G3981">
        <f>IF(LEFT(B3981,1)="C","Credit","Factuur")</f>
        <v/>
      </c>
      <c r="H3981">
        <f>IF(AND(B3981=B3980,D3981=D3980,A3981=A3980,F3981=F3980),1,0)</f>
        <v/>
      </c>
      <c r="I3981">
        <f>IF(C3981="C99999",1,0)</f>
        <v/>
      </c>
      <c r="J3981" s="5">
        <f>IF(OR(H3981=1,I3981=1),0,IF(G3981="Credit",-F3981,F3981))</f>
        <v/>
      </c>
    </row>
    <row r="3982">
      <c r="A3982" t="inlineStr">
        <is>
          <t>2026-08-10</t>
        </is>
      </c>
      <c r="B3982" t="inlineStr">
        <is>
          <t>C900920</t>
        </is>
      </c>
      <c r="C3982" t="inlineStr">
        <is>
          <t>C10581</t>
        </is>
      </c>
      <c r="D3982" t="inlineStr">
        <is>
          <t>SKU-10268</t>
        </is>
      </c>
      <c r="E3982" t="inlineStr">
        <is>
          <t>AM02</t>
        </is>
      </c>
      <c r="F3982" s="5" t="n">
        <v>97.66</v>
      </c>
      <c r="G3982">
        <f>IF(LEFT(B3982,1)="C","Credit","Factuur")</f>
        <v/>
      </c>
      <c r="H3982">
        <f>IF(AND(B3982=B3981,D3982=D3981,A3982=A3981,F3982=F3981),1,0)</f>
        <v/>
      </c>
      <c r="I3982">
        <f>IF(C3982="C99999",1,0)</f>
        <v/>
      </c>
      <c r="J3982" s="5">
        <f>IF(OR(H3982=1,I3982=1),0,IF(G3982="Credit",-F3982,F3982))</f>
        <v/>
      </c>
    </row>
    <row r="3983">
      <c r="A3983" t="inlineStr">
        <is>
          <t>2026-08-10</t>
        </is>
      </c>
      <c r="B3983" t="inlineStr">
        <is>
          <t>C901173</t>
        </is>
      </c>
      <c r="C3983" t="inlineStr">
        <is>
          <t>C11332</t>
        </is>
      </c>
      <c r="D3983" t="inlineStr">
        <is>
          <t>SKU-10175</t>
        </is>
      </c>
      <c r="E3983" t="inlineStr">
        <is>
          <t>AM05</t>
        </is>
      </c>
      <c r="F3983" s="5" t="n">
        <v>113.58</v>
      </c>
      <c r="G3983">
        <f>IF(LEFT(B3983,1)="C","Credit","Factuur")</f>
        <v/>
      </c>
      <c r="H3983">
        <f>IF(AND(B3983=B3982,D3983=D3982,A3983=A3982,F3983=F3982),1,0)</f>
        <v/>
      </c>
      <c r="I3983">
        <f>IF(C3983="C99999",1,0)</f>
        <v/>
      </c>
      <c r="J3983" s="5">
        <f>IF(OR(H3983=1,I3983=1),0,IF(G3983="Credit",-F3983,F3983))</f>
        <v/>
      </c>
    </row>
    <row r="3984">
      <c r="A3984" t="inlineStr">
        <is>
          <t>2026-08-10</t>
        </is>
      </c>
      <c r="B3984" t="inlineStr">
        <is>
          <t>F260634</t>
        </is>
      </c>
      <c r="C3984" t="inlineStr">
        <is>
          <t>C10035</t>
        </is>
      </c>
      <c r="D3984" t="inlineStr">
        <is>
          <t>SKU-10019</t>
        </is>
      </c>
      <c r="E3984" t="inlineStr">
        <is>
          <t>AM07</t>
        </is>
      </c>
      <c r="F3984" s="5" t="n">
        <v>1122.25</v>
      </c>
      <c r="G3984">
        <f>IF(LEFT(B3984,1)="C","Credit","Factuur")</f>
        <v/>
      </c>
      <c r="H3984">
        <f>IF(AND(B3984=B3983,D3984=D3983,A3984=A3983,F3984=F3983),1,0)</f>
        <v/>
      </c>
      <c r="I3984">
        <f>IF(C3984="C99999",1,0)</f>
        <v/>
      </c>
      <c r="J3984" s="5">
        <f>IF(OR(H3984=1,I3984=1),0,IF(G3984="Credit",-F3984,F3984))</f>
        <v/>
      </c>
    </row>
    <row r="3985">
      <c r="A3985" t="inlineStr">
        <is>
          <t>2026-08-10</t>
        </is>
      </c>
      <c r="B3985" t="inlineStr">
        <is>
          <t>F262225</t>
        </is>
      </c>
      <c r="C3985" t="inlineStr">
        <is>
          <t>C10118</t>
        </is>
      </c>
      <c r="D3985" t="inlineStr">
        <is>
          <t>SKU-10013</t>
        </is>
      </c>
      <c r="E3985" t="inlineStr">
        <is>
          <t>AM01</t>
        </is>
      </c>
      <c r="F3985" s="5" t="n">
        <v>1241.13</v>
      </c>
      <c r="G3985">
        <f>IF(LEFT(B3985,1)="C","Credit","Factuur")</f>
        <v/>
      </c>
      <c r="H3985">
        <f>IF(AND(B3985=B3984,D3985=D3984,A3985=A3984,F3985=F3984),1,0)</f>
        <v/>
      </c>
      <c r="I3985">
        <f>IF(C3985="C99999",1,0)</f>
        <v/>
      </c>
      <c r="J3985" s="5">
        <f>IF(OR(H3985=1,I3985=1),0,IF(G3985="Credit",-F3985,F3985))</f>
        <v/>
      </c>
    </row>
    <row r="3986">
      <c r="A3986" t="inlineStr">
        <is>
          <t>2026-08-10</t>
        </is>
      </c>
      <c r="B3986" t="inlineStr">
        <is>
          <t>F262689</t>
        </is>
      </c>
      <c r="C3986" t="inlineStr">
        <is>
          <t>C10145</t>
        </is>
      </c>
      <c r="D3986" t="inlineStr">
        <is>
          <t>SKU-10109</t>
        </is>
      </c>
      <c r="E3986" t="inlineStr">
        <is>
          <t>AM11</t>
        </is>
      </c>
      <c r="F3986" s="5" t="n">
        <v>143.85</v>
      </c>
      <c r="G3986">
        <f>IF(LEFT(B3986,1)="C","Credit","Factuur")</f>
        <v/>
      </c>
      <c r="H3986">
        <f>IF(AND(B3986=B3985,D3986=D3985,A3986=A3985,F3986=F3985),1,0)</f>
        <v/>
      </c>
      <c r="I3986">
        <f>IF(C3986="C99999",1,0)</f>
        <v/>
      </c>
      <c r="J3986" s="5">
        <f>IF(OR(H3986=1,I3986=1),0,IF(G3986="Credit",-F3986,F3986))</f>
        <v/>
      </c>
    </row>
    <row r="3987">
      <c r="A3987" t="inlineStr">
        <is>
          <t>2026-08-10</t>
        </is>
      </c>
      <c r="B3987" t="inlineStr">
        <is>
          <t>F262689</t>
        </is>
      </c>
      <c r="C3987" t="inlineStr">
        <is>
          <t>C10145</t>
        </is>
      </c>
      <c r="D3987" t="inlineStr">
        <is>
          <t>SKU-10161</t>
        </is>
      </c>
      <c r="E3987" t="inlineStr">
        <is>
          <t>AM11</t>
        </is>
      </c>
      <c r="F3987" s="5" t="n">
        <v>160.5</v>
      </c>
      <c r="G3987">
        <f>IF(LEFT(B3987,1)="C","Credit","Factuur")</f>
        <v/>
      </c>
      <c r="H3987">
        <f>IF(AND(B3987=B3986,D3987=D3986,A3987=A3986,F3987=F3986),1,0)</f>
        <v/>
      </c>
      <c r="I3987">
        <f>IF(C3987="C99999",1,0)</f>
        <v/>
      </c>
      <c r="J3987" s="5">
        <f>IF(OR(H3987=1,I3987=1),0,IF(G3987="Credit",-F3987,F3987))</f>
        <v/>
      </c>
    </row>
    <row r="3988">
      <c r="A3988" t="inlineStr">
        <is>
          <t>2026-08-10</t>
        </is>
      </c>
      <c r="B3988" t="inlineStr">
        <is>
          <t>F262689</t>
        </is>
      </c>
      <c r="C3988" t="inlineStr">
        <is>
          <t>C10145</t>
        </is>
      </c>
      <c r="D3988" t="inlineStr">
        <is>
          <t>SKU-10179</t>
        </is>
      </c>
      <c r="E3988" t="inlineStr">
        <is>
          <t>AM11</t>
        </is>
      </c>
      <c r="F3988" s="5" t="n">
        <v>149.28</v>
      </c>
      <c r="G3988">
        <f>IF(LEFT(B3988,1)="C","Credit","Factuur")</f>
        <v/>
      </c>
      <c r="H3988">
        <f>IF(AND(B3988=B3987,D3988=D3987,A3988=A3987,F3988=F3987),1,0)</f>
        <v/>
      </c>
      <c r="I3988">
        <f>IF(C3988="C99999",1,0)</f>
        <v/>
      </c>
      <c r="J3988" s="5">
        <f>IF(OR(H3988=1,I3988=1),0,IF(G3988="Credit",-F3988,F3988))</f>
        <v/>
      </c>
    </row>
    <row r="3989">
      <c r="A3989" t="inlineStr">
        <is>
          <t>2026-08-10</t>
        </is>
      </c>
      <c r="B3989" t="inlineStr">
        <is>
          <t>F262689</t>
        </is>
      </c>
      <c r="C3989" t="inlineStr">
        <is>
          <t>C10145</t>
        </is>
      </c>
      <c r="D3989" t="inlineStr">
        <is>
          <t>SKU-10224</t>
        </is>
      </c>
      <c r="E3989" t="inlineStr">
        <is>
          <t>AM11</t>
        </is>
      </c>
      <c r="F3989" s="5" t="n">
        <v>152</v>
      </c>
      <c r="G3989">
        <f>IF(LEFT(B3989,1)="C","Credit","Factuur")</f>
        <v/>
      </c>
      <c r="H3989">
        <f>IF(AND(B3989=B3988,D3989=D3988,A3989=A3988,F3989=F3988),1,0)</f>
        <v/>
      </c>
      <c r="I3989">
        <f>IF(C3989="C99999",1,0)</f>
        <v/>
      </c>
      <c r="J3989" s="5">
        <f>IF(OR(H3989=1,I3989=1),0,IF(G3989="Credit",-F3989,F3989))</f>
        <v/>
      </c>
    </row>
    <row r="3990">
      <c r="A3990" t="inlineStr">
        <is>
          <t>2026-08-10</t>
        </is>
      </c>
      <c r="B3990" t="inlineStr">
        <is>
          <t>F262689</t>
        </is>
      </c>
      <c r="C3990" t="inlineStr">
        <is>
          <t>C10145</t>
        </is>
      </c>
      <c r="D3990" t="inlineStr">
        <is>
          <t>SKU-10286</t>
        </is>
      </c>
      <c r="E3990" t="inlineStr">
        <is>
          <t>AM11</t>
        </is>
      </c>
      <c r="F3990" s="5" t="n">
        <v>146</v>
      </c>
      <c r="G3990">
        <f>IF(LEFT(B3990,1)="C","Credit","Factuur")</f>
        <v/>
      </c>
      <c r="H3990">
        <f>IF(AND(B3990=B3989,D3990=D3989,A3990=A3989,F3990=F3989),1,0)</f>
        <v/>
      </c>
      <c r="I3990">
        <f>IF(C3990="C99999",1,0)</f>
        <v/>
      </c>
      <c r="J3990" s="5">
        <f>IF(OR(H3990=1,I3990=1),0,IF(G3990="Credit",-F3990,F3990))</f>
        <v/>
      </c>
    </row>
    <row r="3991">
      <c r="A3991" t="inlineStr">
        <is>
          <t>2026-08-10</t>
        </is>
      </c>
      <c r="B3991" t="inlineStr">
        <is>
          <t>F263328</t>
        </is>
      </c>
      <c r="C3991" t="inlineStr">
        <is>
          <t>C10176</t>
        </is>
      </c>
      <c r="D3991" t="inlineStr">
        <is>
          <t>SKU-10004</t>
        </is>
      </c>
      <c r="E3991" t="inlineStr">
        <is>
          <t>AM07</t>
        </is>
      </c>
      <c r="F3991" s="5" t="n">
        <v>846.1799999999999</v>
      </c>
      <c r="G3991">
        <f>IF(LEFT(B3991,1)="C","Credit","Factuur")</f>
        <v/>
      </c>
      <c r="H3991">
        <f>IF(AND(B3991=B3990,D3991=D3990,A3991=A3990,F3991=F3990),1,0)</f>
        <v/>
      </c>
      <c r="I3991">
        <f>IF(C3991="C99999",1,0)</f>
        <v/>
      </c>
      <c r="J3991" s="5">
        <f>IF(OR(H3991=1,I3991=1),0,IF(G3991="Credit",-F3991,F3991))</f>
        <v/>
      </c>
    </row>
    <row r="3992">
      <c r="A3992" t="inlineStr">
        <is>
          <t>2026-08-10</t>
        </is>
      </c>
      <c r="B3992" t="inlineStr">
        <is>
          <t>F263328</t>
        </is>
      </c>
      <c r="C3992" t="inlineStr">
        <is>
          <t>C10176</t>
        </is>
      </c>
      <c r="D3992" t="inlineStr">
        <is>
          <t>SKU-10183</t>
        </is>
      </c>
      <c r="E3992" t="inlineStr">
        <is>
          <t>AM07</t>
        </is>
      </c>
      <c r="F3992" s="5" t="n">
        <v>849.4</v>
      </c>
      <c r="G3992">
        <f>IF(LEFT(B3992,1)="C","Credit","Factuur")</f>
        <v/>
      </c>
      <c r="H3992">
        <f>IF(AND(B3992=B3991,D3992=D3991,A3992=A3991,F3992=F3991),1,0)</f>
        <v/>
      </c>
      <c r="I3992">
        <f>IF(C3992="C99999",1,0)</f>
        <v/>
      </c>
      <c r="J3992" s="5">
        <f>IF(OR(H3992=1,I3992=1),0,IF(G3992="Credit",-F3992,F3992))</f>
        <v/>
      </c>
    </row>
    <row r="3993">
      <c r="A3993" t="inlineStr">
        <is>
          <t>2026-08-10</t>
        </is>
      </c>
      <c r="B3993" t="inlineStr">
        <is>
          <t>F263328</t>
        </is>
      </c>
      <c r="C3993" t="inlineStr">
        <is>
          <t>C10176</t>
        </is>
      </c>
      <c r="D3993" t="inlineStr">
        <is>
          <t>SKU-10188</t>
        </is>
      </c>
      <c r="E3993" t="inlineStr">
        <is>
          <t>AM07</t>
        </is>
      </c>
      <c r="F3993" s="5" t="n">
        <v>848.4299999999999</v>
      </c>
      <c r="G3993">
        <f>IF(LEFT(B3993,1)="C","Credit","Factuur")</f>
        <v/>
      </c>
      <c r="H3993">
        <f>IF(AND(B3993=B3992,D3993=D3992,A3993=A3992,F3993=F3992),1,0)</f>
        <v/>
      </c>
      <c r="I3993">
        <f>IF(C3993="C99999",1,0)</f>
        <v/>
      </c>
      <c r="J3993" s="5">
        <f>IF(OR(H3993=1,I3993=1),0,IF(G3993="Credit",-F3993,F3993))</f>
        <v/>
      </c>
    </row>
    <row r="3994">
      <c r="A3994" t="inlineStr">
        <is>
          <t>2026-08-10</t>
        </is>
      </c>
      <c r="B3994" t="inlineStr">
        <is>
          <t>F263328</t>
        </is>
      </c>
      <c r="C3994" t="inlineStr">
        <is>
          <t>C10176</t>
        </is>
      </c>
      <c r="D3994" t="inlineStr">
        <is>
          <t>SKU-10345</t>
        </is>
      </c>
      <c r="E3994" t="inlineStr">
        <is>
          <t>AM07</t>
        </is>
      </c>
      <c r="F3994" s="5" t="n">
        <v>830.53</v>
      </c>
      <c r="G3994">
        <f>IF(LEFT(B3994,1)="C","Credit","Factuur")</f>
        <v/>
      </c>
      <c r="H3994">
        <f>IF(AND(B3994=B3993,D3994=D3993,A3994=A3993,F3994=F3993),1,0)</f>
        <v/>
      </c>
      <c r="I3994">
        <f>IF(C3994="C99999",1,0)</f>
        <v/>
      </c>
      <c r="J3994" s="5">
        <f>IF(OR(H3994=1,I3994=1),0,IF(G3994="Credit",-F3994,F3994))</f>
        <v/>
      </c>
    </row>
    <row r="3995">
      <c r="A3995" t="inlineStr">
        <is>
          <t>2026-08-10</t>
        </is>
      </c>
      <c r="B3995" t="inlineStr">
        <is>
          <t>F263645</t>
        </is>
      </c>
      <c r="C3995" t="inlineStr">
        <is>
          <t>C10195</t>
        </is>
      </c>
      <c r="D3995" t="inlineStr">
        <is>
          <t>SKU-10014</t>
        </is>
      </c>
      <c r="E3995" t="inlineStr">
        <is>
          <t>AM06</t>
        </is>
      </c>
      <c r="F3995" s="5" t="n">
        <v>411.7</v>
      </c>
      <c r="G3995">
        <f>IF(LEFT(B3995,1)="C","Credit","Factuur")</f>
        <v/>
      </c>
      <c r="H3995">
        <f>IF(AND(B3995=B3994,D3995=D3994,A3995=A3994,F3995=F3994),1,0)</f>
        <v/>
      </c>
      <c r="I3995">
        <f>IF(C3995="C99999",1,0)</f>
        <v/>
      </c>
      <c r="J3995" s="5">
        <f>IF(OR(H3995=1,I3995=1),0,IF(G3995="Credit",-F3995,F3995))</f>
        <v/>
      </c>
    </row>
    <row r="3996">
      <c r="A3996" t="inlineStr">
        <is>
          <t>2026-08-10</t>
        </is>
      </c>
      <c r="B3996" t="inlineStr">
        <is>
          <t>F263645</t>
        </is>
      </c>
      <c r="C3996" t="inlineStr">
        <is>
          <t>C10195</t>
        </is>
      </c>
      <c r="D3996" t="inlineStr">
        <is>
          <t>SKU-10267</t>
        </is>
      </c>
      <c r="E3996" t="inlineStr">
        <is>
          <t>AM06</t>
        </is>
      </c>
      <c r="F3996" s="5" t="n">
        <v>463.35</v>
      </c>
      <c r="G3996">
        <f>IF(LEFT(B3996,1)="C","Credit","Factuur")</f>
        <v/>
      </c>
      <c r="H3996">
        <f>IF(AND(B3996=B3995,D3996=D3995,A3996=A3995,F3996=F3995),1,0)</f>
        <v/>
      </c>
      <c r="I3996">
        <f>IF(C3996="C99999",1,0)</f>
        <v/>
      </c>
      <c r="J3996" s="5">
        <f>IF(OR(H3996=1,I3996=1),0,IF(G3996="Credit",-F3996,F3996))</f>
        <v/>
      </c>
    </row>
    <row r="3997">
      <c r="A3997" t="inlineStr">
        <is>
          <t>2026-08-10</t>
        </is>
      </c>
      <c r="B3997" t="inlineStr">
        <is>
          <t>F264090</t>
        </is>
      </c>
      <c r="C3997" t="inlineStr">
        <is>
          <t>C10217</t>
        </is>
      </c>
      <c r="D3997" t="inlineStr">
        <is>
          <t>SKU-10152</t>
        </is>
      </c>
      <c r="E3997" t="inlineStr">
        <is>
          <t>AM11</t>
        </is>
      </c>
      <c r="F3997" s="5" t="n">
        <v>381.6</v>
      </c>
      <c r="G3997">
        <f>IF(LEFT(B3997,1)="C","Credit","Factuur")</f>
        <v/>
      </c>
      <c r="H3997">
        <f>IF(AND(B3997=B3996,D3997=D3996,A3997=A3996,F3997=F3996),1,0)</f>
        <v/>
      </c>
      <c r="I3997">
        <f>IF(C3997="C99999",1,0)</f>
        <v/>
      </c>
      <c r="J3997" s="5">
        <f>IF(OR(H3997=1,I3997=1),0,IF(G3997="Credit",-F3997,F3997))</f>
        <v/>
      </c>
    </row>
    <row r="3998">
      <c r="A3998" t="inlineStr">
        <is>
          <t>2026-08-10</t>
        </is>
      </c>
      <c r="B3998" t="inlineStr">
        <is>
          <t>F264090</t>
        </is>
      </c>
      <c r="C3998" t="inlineStr">
        <is>
          <t>C10217</t>
        </is>
      </c>
      <c r="D3998" t="inlineStr">
        <is>
          <t>SKU-10236</t>
        </is>
      </c>
      <c r="E3998" t="inlineStr">
        <is>
          <t>AM11</t>
        </is>
      </c>
      <c r="F3998" s="5" t="n">
        <v>384.56</v>
      </c>
      <c r="G3998">
        <f>IF(LEFT(B3998,1)="C","Credit","Factuur")</f>
        <v/>
      </c>
      <c r="H3998">
        <f>IF(AND(B3998=B3997,D3998=D3997,A3998=A3997,F3998=F3997),1,0)</f>
        <v/>
      </c>
      <c r="I3998">
        <f>IF(C3998="C99999",1,0)</f>
        <v/>
      </c>
      <c r="J3998" s="5">
        <f>IF(OR(H3998=1,I3998=1),0,IF(G3998="Credit",-F3998,F3998))</f>
        <v/>
      </c>
    </row>
    <row r="3999">
      <c r="A3999" t="inlineStr">
        <is>
          <t>2026-08-10</t>
        </is>
      </c>
      <c r="B3999" t="inlineStr">
        <is>
          <t>F265959</t>
        </is>
      </c>
      <c r="C3999" t="inlineStr">
        <is>
          <t>C10313</t>
        </is>
      </c>
      <c r="D3999" t="inlineStr">
        <is>
          <t>SKU-10006</t>
        </is>
      </c>
      <c r="E3999" t="inlineStr">
        <is>
          <t>AM08</t>
        </is>
      </c>
      <c r="F3999" s="5" t="n">
        <v>1154.9</v>
      </c>
      <c r="G3999">
        <f>IF(LEFT(B3999,1)="C","Credit","Factuur")</f>
        <v/>
      </c>
      <c r="H3999">
        <f>IF(AND(B3999=B3998,D3999=D3998,A3999=A3998,F3999=F3998),1,0)</f>
        <v/>
      </c>
      <c r="I3999">
        <f>IF(C3999="C99999",1,0)</f>
        <v/>
      </c>
      <c r="J3999" s="5">
        <f>IF(OR(H3999=1,I3999=1),0,IF(G3999="Credit",-F3999,F3999))</f>
        <v/>
      </c>
    </row>
    <row r="4000">
      <c r="A4000" t="inlineStr">
        <is>
          <t>2026-08-10</t>
        </is>
      </c>
      <c r="B4000" t="inlineStr">
        <is>
          <t>F267657</t>
        </is>
      </c>
      <c r="C4000" t="inlineStr">
        <is>
          <t>C10401</t>
        </is>
      </c>
      <c r="D4000" t="inlineStr">
        <is>
          <t>SKU-10201</t>
        </is>
      </c>
      <c r="E4000" t="inlineStr">
        <is>
          <t>AM02</t>
        </is>
      </c>
      <c r="F4000" s="5" t="n">
        <v>257.88</v>
      </c>
      <c r="G4000">
        <f>IF(LEFT(B4000,1)="C","Credit","Factuur")</f>
        <v/>
      </c>
      <c r="H4000">
        <f>IF(AND(B4000=B3999,D4000=D3999,A4000=A3999,F4000=F3999),1,0)</f>
        <v/>
      </c>
      <c r="I4000">
        <f>IF(C4000="C99999",1,0)</f>
        <v/>
      </c>
      <c r="J4000" s="5">
        <f>IF(OR(H4000=1,I4000=1),0,IF(G4000="Credit",-F4000,F4000))</f>
        <v/>
      </c>
    </row>
    <row r="4001">
      <c r="A4001" t="inlineStr">
        <is>
          <t>2026-08-10</t>
        </is>
      </c>
      <c r="B4001" t="inlineStr">
        <is>
          <t>F267657</t>
        </is>
      </c>
      <c r="C4001" t="inlineStr">
        <is>
          <t>C10401</t>
        </is>
      </c>
      <c r="D4001" t="inlineStr">
        <is>
          <t>SKU-10303</t>
        </is>
      </c>
      <c r="E4001" t="inlineStr">
        <is>
          <t>AM02</t>
        </is>
      </c>
      <c r="F4001" s="5" t="n">
        <v>295.84</v>
      </c>
      <c r="G4001">
        <f>IF(LEFT(B4001,1)="C","Credit","Factuur")</f>
        <v/>
      </c>
      <c r="H4001">
        <f>IF(AND(B4001=B4000,D4001=D4000,A4001=A4000,F4001=F4000),1,0)</f>
        <v/>
      </c>
      <c r="I4001">
        <f>IF(C4001="C99999",1,0)</f>
        <v/>
      </c>
      <c r="J4001" s="5">
        <f>IF(OR(H4001=1,I4001=1),0,IF(G4001="Credit",-F4001,F4001))</f>
        <v/>
      </c>
    </row>
    <row r="4002">
      <c r="A4002" t="inlineStr">
        <is>
          <t>2026-08-10</t>
        </is>
      </c>
      <c r="B4002" t="inlineStr">
        <is>
          <t>F267657</t>
        </is>
      </c>
      <c r="C4002" t="inlineStr">
        <is>
          <t>C10401</t>
        </is>
      </c>
      <c r="D4002" t="inlineStr">
        <is>
          <t>SKU-10322</t>
        </is>
      </c>
      <c r="E4002" t="inlineStr">
        <is>
          <t>AM02</t>
        </is>
      </c>
      <c r="F4002" s="5" t="n">
        <v>271.1</v>
      </c>
      <c r="G4002">
        <f>IF(LEFT(B4002,1)="C","Credit","Factuur")</f>
        <v/>
      </c>
      <c r="H4002">
        <f>IF(AND(B4002=B4001,D4002=D4001,A4002=A4001,F4002=F4001),1,0)</f>
        <v/>
      </c>
      <c r="I4002">
        <f>IF(C4002="C99999",1,0)</f>
        <v/>
      </c>
      <c r="J4002" s="5">
        <f>IF(OR(H4002=1,I4002=1),0,IF(G4002="Credit",-F4002,F4002))</f>
        <v/>
      </c>
    </row>
    <row r="4003">
      <c r="A4003" t="inlineStr">
        <is>
          <t>2026-08-10</t>
        </is>
      </c>
      <c r="B4003" t="inlineStr">
        <is>
          <t>F267657</t>
        </is>
      </c>
      <c r="C4003" t="inlineStr">
        <is>
          <t>C10401</t>
        </is>
      </c>
      <c r="D4003" t="inlineStr">
        <is>
          <t>SKU-10374</t>
        </is>
      </c>
      <c r="E4003" t="inlineStr">
        <is>
          <t>AM02</t>
        </is>
      </c>
      <c r="F4003" s="5" t="n">
        <v>222.97</v>
      </c>
      <c r="G4003">
        <f>IF(LEFT(B4003,1)="C","Credit","Factuur")</f>
        <v/>
      </c>
      <c r="H4003">
        <f>IF(AND(B4003=B4002,D4003=D4002,A4003=A4002,F4003=F4002),1,0)</f>
        <v/>
      </c>
      <c r="I4003">
        <f>IF(C4003="C99999",1,0)</f>
        <v/>
      </c>
      <c r="J4003" s="5">
        <f>IF(OR(H4003=1,I4003=1),0,IF(G4003="Credit",-F4003,F4003))</f>
        <v/>
      </c>
    </row>
    <row r="4004">
      <c r="A4004" t="inlineStr">
        <is>
          <t>2026-08-10</t>
        </is>
      </c>
      <c r="B4004" t="inlineStr">
        <is>
          <t>F268517</t>
        </is>
      </c>
      <c r="C4004" t="inlineStr">
        <is>
          <t>C10446</t>
        </is>
      </c>
      <c r="D4004" t="inlineStr">
        <is>
          <t>SKU-10037</t>
        </is>
      </c>
      <c r="E4004" t="inlineStr">
        <is>
          <t>AM11</t>
        </is>
      </c>
      <c r="F4004" s="5" t="n">
        <v>249.7</v>
      </c>
      <c r="G4004">
        <f>IF(LEFT(B4004,1)="C","Credit","Factuur")</f>
        <v/>
      </c>
      <c r="H4004">
        <f>IF(AND(B4004=B4003,D4004=D4003,A4004=A4003,F4004=F4003),1,0)</f>
        <v/>
      </c>
      <c r="I4004">
        <f>IF(C4004="C99999",1,0)</f>
        <v/>
      </c>
      <c r="J4004" s="5">
        <f>IF(OR(H4004=1,I4004=1),0,IF(G4004="Credit",-F4004,F4004))</f>
        <v/>
      </c>
    </row>
    <row r="4005">
      <c r="A4005" t="inlineStr">
        <is>
          <t>2026-08-10</t>
        </is>
      </c>
      <c r="B4005" t="inlineStr">
        <is>
          <t>F268517</t>
        </is>
      </c>
      <c r="C4005" t="inlineStr">
        <is>
          <t>C10446</t>
        </is>
      </c>
      <c r="D4005" t="inlineStr">
        <is>
          <t>SKU-10166</t>
        </is>
      </c>
      <c r="E4005" t="inlineStr">
        <is>
          <t>AM11</t>
        </is>
      </c>
      <c r="F4005" s="5" t="n">
        <v>243.5</v>
      </c>
      <c r="G4005">
        <f>IF(LEFT(B4005,1)="C","Credit","Factuur")</f>
        <v/>
      </c>
      <c r="H4005">
        <f>IF(AND(B4005=B4004,D4005=D4004,A4005=A4004,F4005=F4004),1,0)</f>
        <v/>
      </c>
      <c r="I4005">
        <f>IF(C4005="C99999",1,0)</f>
        <v/>
      </c>
      <c r="J4005" s="5">
        <f>IF(OR(H4005=1,I4005=1),0,IF(G4005="Credit",-F4005,F4005))</f>
        <v/>
      </c>
    </row>
    <row r="4006">
      <c r="A4006" t="inlineStr">
        <is>
          <t>2026-08-10</t>
        </is>
      </c>
      <c r="B4006" t="inlineStr">
        <is>
          <t>F268517</t>
        </is>
      </c>
      <c r="C4006" t="inlineStr">
        <is>
          <t>C10446</t>
        </is>
      </c>
      <c r="D4006" t="inlineStr">
        <is>
          <t>SKU-10272</t>
        </is>
      </c>
      <c r="E4006" t="inlineStr">
        <is>
          <t>AM11</t>
        </is>
      </c>
      <c r="F4006" s="5" t="n">
        <v>263.97</v>
      </c>
      <c r="G4006">
        <f>IF(LEFT(B4006,1)="C","Credit","Factuur")</f>
        <v/>
      </c>
      <c r="H4006">
        <f>IF(AND(B4006=B4005,D4006=D4005,A4006=A4005,F4006=F4005),1,0)</f>
        <v/>
      </c>
      <c r="I4006">
        <f>IF(C4006="C99999",1,0)</f>
        <v/>
      </c>
      <c r="J4006" s="5">
        <f>IF(OR(H4006=1,I4006=1),0,IF(G4006="Credit",-F4006,F4006))</f>
        <v/>
      </c>
    </row>
    <row r="4007">
      <c r="A4007" t="inlineStr">
        <is>
          <t>2026-08-10</t>
        </is>
      </c>
      <c r="B4007" t="inlineStr">
        <is>
          <t>F268899</t>
        </is>
      </c>
      <c r="C4007" t="inlineStr">
        <is>
          <t>C10463</t>
        </is>
      </c>
      <c r="D4007" t="inlineStr">
        <is>
          <t>SKU-10224</t>
        </is>
      </c>
      <c r="E4007" t="inlineStr">
        <is>
          <t>AM01</t>
        </is>
      </c>
      <c r="F4007" s="5" t="n">
        <v>948.8099999999999</v>
      </c>
      <c r="G4007">
        <f>IF(LEFT(B4007,1)="C","Credit","Factuur")</f>
        <v/>
      </c>
      <c r="H4007">
        <f>IF(AND(B4007=B4006,D4007=D4006,A4007=A4006,F4007=F4006),1,0)</f>
        <v/>
      </c>
      <c r="I4007">
        <f>IF(C4007="C99999",1,0)</f>
        <v/>
      </c>
      <c r="J4007" s="5">
        <f>IF(OR(H4007=1,I4007=1),0,IF(G4007="Credit",-F4007,F4007))</f>
        <v/>
      </c>
    </row>
    <row r="4008">
      <c r="A4008" t="inlineStr">
        <is>
          <t>2026-08-10</t>
        </is>
      </c>
      <c r="B4008" t="inlineStr">
        <is>
          <t>F269085</t>
        </is>
      </c>
      <c r="C4008" t="inlineStr">
        <is>
          <t>C10475</t>
        </is>
      </c>
      <c r="D4008" t="inlineStr">
        <is>
          <t>SKU-10025</t>
        </is>
      </c>
      <c r="E4008" t="inlineStr">
        <is>
          <t>IS02</t>
        </is>
      </c>
      <c r="F4008" s="5" t="n">
        <v>65.26000000000001</v>
      </c>
      <c r="G4008">
        <f>IF(LEFT(B4008,1)="C","Credit","Factuur")</f>
        <v/>
      </c>
      <c r="H4008">
        <f>IF(AND(B4008=B4007,D4008=D4007,A4008=A4007,F4008=F4007),1,0)</f>
        <v/>
      </c>
      <c r="I4008">
        <f>IF(C4008="C99999",1,0)</f>
        <v/>
      </c>
      <c r="J4008" s="5">
        <f>IF(OR(H4008=1,I4008=1),0,IF(G4008="Credit",-F4008,F4008))</f>
        <v/>
      </c>
    </row>
    <row r="4009">
      <c r="A4009" t="inlineStr">
        <is>
          <t>2026-08-10</t>
        </is>
      </c>
      <c r="B4009" t="inlineStr">
        <is>
          <t>F269085</t>
        </is>
      </c>
      <c r="C4009" t="inlineStr">
        <is>
          <t>C10475</t>
        </is>
      </c>
      <c r="D4009" t="inlineStr">
        <is>
          <t>SKU-10086</t>
        </is>
      </c>
      <c r="E4009" t="inlineStr">
        <is>
          <t>IS02</t>
        </is>
      </c>
      <c r="F4009" s="5" t="n">
        <v>52.08</v>
      </c>
      <c r="G4009">
        <f>IF(LEFT(B4009,1)="C","Credit","Factuur")</f>
        <v/>
      </c>
      <c r="H4009">
        <f>IF(AND(B4009=B4008,D4009=D4008,A4009=A4008,F4009=F4008),1,0)</f>
        <v/>
      </c>
      <c r="I4009">
        <f>IF(C4009="C99999",1,0)</f>
        <v/>
      </c>
      <c r="J4009" s="5">
        <f>IF(OR(H4009=1,I4009=1),0,IF(G4009="Credit",-F4009,F4009))</f>
        <v/>
      </c>
    </row>
    <row r="4010">
      <c r="A4010" t="inlineStr">
        <is>
          <t>2026-08-10</t>
        </is>
      </c>
      <c r="B4010" t="inlineStr">
        <is>
          <t>F269085</t>
        </is>
      </c>
      <c r="C4010" t="inlineStr">
        <is>
          <t>C10475</t>
        </is>
      </c>
      <c r="D4010" t="inlineStr">
        <is>
          <t>SKU-10114</t>
        </is>
      </c>
      <c r="E4010" t="inlineStr">
        <is>
          <t>IS02</t>
        </is>
      </c>
      <c r="F4010" s="5" t="n">
        <v>53.56</v>
      </c>
      <c r="G4010">
        <f>IF(LEFT(B4010,1)="C","Credit","Factuur")</f>
        <v/>
      </c>
      <c r="H4010">
        <f>IF(AND(B4010=B4009,D4010=D4009,A4010=A4009,F4010=F4009),1,0)</f>
        <v/>
      </c>
      <c r="I4010">
        <f>IF(C4010="C99999",1,0)</f>
        <v/>
      </c>
      <c r="J4010" s="5">
        <f>IF(OR(H4010=1,I4010=1),0,IF(G4010="Credit",-F4010,F4010))</f>
        <v/>
      </c>
    </row>
    <row r="4011">
      <c r="A4011" t="inlineStr">
        <is>
          <t>2026-08-10</t>
        </is>
      </c>
      <c r="B4011" t="inlineStr">
        <is>
          <t>F269085</t>
        </is>
      </c>
      <c r="C4011" t="inlineStr">
        <is>
          <t>C10475</t>
        </is>
      </c>
      <c r="D4011" t="inlineStr">
        <is>
          <t>SKU-10214</t>
        </is>
      </c>
      <c r="E4011" t="inlineStr">
        <is>
          <t>IS02</t>
        </is>
      </c>
      <c r="F4011" s="5" t="n">
        <v>54.48</v>
      </c>
      <c r="G4011">
        <f>IF(LEFT(B4011,1)="C","Credit","Factuur")</f>
        <v/>
      </c>
      <c r="H4011">
        <f>IF(AND(B4011=B4010,D4011=D4010,A4011=A4010,F4011=F4010),1,0)</f>
        <v/>
      </c>
      <c r="I4011">
        <f>IF(C4011="C99999",1,0)</f>
        <v/>
      </c>
      <c r="J4011" s="5">
        <f>IF(OR(H4011=1,I4011=1),0,IF(G4011="Credit",-F4011,F4011))</f>
        <v/>
      </c>
    </row>
    <row r="4012">
      <c r="A4012" t="inlineStr">
        <is>
          <t>2026-08-10</t>
        </is>
      </c>
      <c r="B4012" t="inlineStr">
        <is>
          <t>F269314</t>
        </is>
      </c>
      <c r="C4012" t="inlineStr">
        <is>
          <t>C10490</t>
        </is>
      </c>
      <c r="D4012" t="inlineStr">
        <is>
          <t>SKU-10332</t>
        </is>
      </c>
      <c r="E4012" t="inlineStr">
        <is>
          <t>AM02</t>
        </is>
      </c>
      <c r="F4012" s="5" t="n">
        <v>2726.23</v>
      </c>
      <c r="G4012">
        <f>IF(LEFT(B4012,1)="C","Credit","Factuur")</f>
        <v/>
      </c>
      <c r="H4012">
        <f>IF(AND(B4012=B4011,D4012=D4011,A4012=A4011,F4012=F4011),1,0)</f>
        <v/>
      </c>
      <c r="I4012">
        <f>IF(C4012="C99999",1,0)</f>
        <v/>
      </c>
      <c r="J4012" s="5">
        <f>IF(OR(H4012=1,I4012=1),0,IF(G4012="Credit",-F4012,F4012))</f>
        <v/>
      </c>
    </row>
    <row r="4013">
      <c r="A4013" t="inlineStr">
        <is>
          <t>2026-08-10</t>
        </is>
      </c>
      <c r="B4013" t="inlineStr">
        <is>
          <t>F271049</t>
        </is>
      </c>
      <c r="C4013" t="inlineStr">
        <is>
          <t>C10576</t>
        </is>
      </c>
      <c r="D4013" t="inlineStr">
        <is>
          <t>SKU-10066</t>
        </is>
      </c>
      <c r="E4013" t="inlineStr">
        <is>
          <t>AM08</t>
        </is>
      </c>
      <c r="F4013" s="5" t="n">
        <v>228.61</v>
      </c>
      <c r="G4013">
        <f>IF(LEFT(B4013,1)="C","Credit","Factuur")</f>
        <v/>
      </c>
      <c r="H4013">
        <f>IF(AND(B4013=B4012,D4013=D4012,A4013=A4012,F4013=F4012),1,0)</f>
        <v/>
      </c>
      <c r="I4013">
        <f>IF(C4013="C99999",1,0)</f>
        <v/>
      </c>
      <c r="J4013" s="5">
        <f>IF(OR(H4013=1,I4013=1),0,IF(G4013="Credit",-F4013,F4013))</f>
        <v/>
      </c>
    </row>
    <row r="4014">
      <c r="A4014" t="inlineStr">
        <is>
          <t>2026-08-10</t>
        </is>
      </c>
      <c r="B4014" t="inlineStr">
        <is>
          <t>F271049</t>
        </is>
      </c>
      <c r="C4014" t="inlineStr">
        <is>
          <t>C10576</t>
        </is>
      </c>
      <c r="D4014" t="inlineStr">
        <is>
          <t>SKU-10254</t>
        </is>
      </c>
      <c r="E4014" t="inlineStr">
        <is>
          <t>AM08</t>
        </is>
      </c>
      <c r="F4014" s="5" t="n">
        <v>244</v>
      </c>
      <c r="G4014">
        <f>IF(LEFT(B4014,1)="C","Credit","Factuur")</f>
        <v/>
      </c>
      <c r="H4014">
        <f>IF(AND(B4014=B4013,D4014=D4013,A4014=A4013,F4014=F4013),1,0)</f>
        <v/>
      </c>
      <c r="I4014">
        <f>IF(C4014="C99999",1,0)</f>
        <v/>
      </c>
      <c r="J4014" s="5">
        <f>IF(OR(H4014=1,I4014=1),0,IF(G4014="Credit",-F4014,F4014))</f>
        <v/>
      </c>
    </row>
    <row r="4015">
      <c r="A4015" t="inlineStr">
        <is>
          <t>2026-08-10</t>
        </is>
      </c>
      <c r="B4015" t="inlineStr">
        <is>
          <t>F271049</t>
        </is>
      </c>
      <c r="C4015" t="inlineStr">
        <is>
          <t>C10576</t>
        </is>
      </c>
      <c r="D4015" t="inlineStr">
        <is>
          <t>SKU-10265</t>
        </is>
      </c>
      <c r="E4015" t="inlineStr">
        <is>
          <t>AM08</t>
        </is>
      </c>
      <c r="F4015" s="5" t="n">
        <v>197.9</v>
      </c>
      <c r="G4015">
        <f>IF(LEFT(B4015,1)="C","Credit","Factuur")</f>
        <v/>
      </c>
      <c r="H4015">
        <f>IF(AND(B4015=B4014,D4015=D4014,A4015=A4014,F4015=F4014),1,0)</f>
        <v/>
      </c>
      <c r="I4015">
        <f>IF(C4015="C99999",1,0)</f>
        <v/>
      </c>
      <c r="J4015" s="5">
        <f>IF(OR(H4015=1,I4015=1),0,IF(G4015="Credit",-F4015,F4015))</f>
        <v/>
      </c>
    </row>
    <row r="4016">
      <c r="A4016" t="inlineStr">
        <is>
          <t>2026-08-10</t>
        </is>
      </c>
      <c r="B4016" t="inlineStr">
        <is>
          <t>F272665</t>
        </is>
      </c>
      <c r="C4016" t="inlineStr">
        <is>
          <t>C10660</t>
        </is>
      </c>
      <c r="D4016" t="inlineStr">
        <is>
          <t>SKU-10061</t>
        </is>
      </c>
      <c r="E4016" t="inlineStr">
        <is>
          <t>AM02</t>
        </is>
      </c>
      <c r="F4016" s="5" t="n">
        <v>102.34</v>
      </c>
      <c r="G4016">
        <f>IF(LEFT(B4016,1)="C","Credit","Factuur")</f>
        <v/>
      </c>
      <c r="H4016">
        <f>IF(AND(B4016=B4015,D4016=D4015,A4016=A4015,F4016=F4015),1,0)</f>
        <v/>
      </c>
      <c r="I4016">
        <f>IF(C4016="C99999",1,0)</f>
        <v/>
      </c>
      <c r="J4016" s="5">
        <f>IF(OR(H4016=1,I4016=1),0,IF(G4016="Credit",-F4016,F4016))</f>
        <v/>
      </c>
    </row>
    <row r="4017">
      <c r="A4017" t="inlineStr">
        <is>
          <t>2026-08-10</t>
        </is>
      </c>
      <c r="B4017" t="inlineStr">
        <is>
          <t>F272665</t>
        </is>
      </c>
      <c r="C4017" t="inlineStr">
        <is>
          <t>C10660</t>
        </is>
      </c>
      <c r="D4017" t="inlineStr">
        <is>
          <t>SKU-10081</t>
        </is>
      </c>
      <c r="E4017" t="inlineStr">
        <is>
          <t>AM02</t>
        </is>
      </c>
      <c r="F4017" s="5" t="n">
        <v>127.14</v>
      </c>
      <c r="G4017">
        <f>IF(LEFT(B4017,1)="C","Credit","Factuur")</f>
        <v/>
      </c>
      <c r="H4017">
        <f>IF(AND(B4017=B4016,D4017=D4016,A4017=A4016,F4017=F4016),1,0)</f>
        <v/>
      </c>
      <c r="I4017">
        <f>IF(C4017="C99999",1,0)</f>
        <v/>
      </c>
      <c r="J4017" s="5">
        <f>IF(OR(H4017=1,I4017=1),0,IF(G4017="Credit",-F4017,F4017))</f>
        <v/>
      </c>
    </row>
    <row r="4018">
      <c r="A4018" t="inlineStr">
        <is>
          <t>2026-08-10</t>
        </is>
      </c>
      <c r="B4018" t="inlineStr">
        <is>
          <t>F272665</t>
        </is>
      </c>
      <c r="C4018" t="inlineStr">
        <is>
          <t>C10660</t>
        </is>
      </c>
      <c r="D4018" t="inlineStr">
        <is>
          <t>SKU-10143</t>
        </is>
      </c>
      <c r="E4018" t="inlineStr">
        <is>
          <t>AM02</t>
        </is>
      </c>
      <c r="F4018" s="5" t="n">
        <v>145.36</v>
      </c>
      <c r="G4018">
        <f>IF(LEFT(B4018,1)="C","Credit","Factuur")</f>
        <v/>
      </c>
      <c r="H4018">
        <f>IF(AND(B4018=B4017,D4018=D4017,A4018=A4017,F4018=F4017),1,0)</f>
        <v/>
      </c>
      <c r="I4018">
        <f>IF(C4018="C99999",1,0)</f>
        <v/>
      </c>
      <c r="J4018" s="5">
        <f>IF(OR(H4018=1,I4018=1),0,IF(G4018="Credit",-F4018,F4018))</f>
        <v/>
      </c>
    </row>
    <row r="4019">
      <c r="A4019" t="inlineStr">
        <is>
          <t>2026-08-10</t>
        </is>
      </c>
      <c r="B4019" t="inlineStr">
        <is>
          <t>F272665</t>
        </is>
      </c>
      <c r="C4019" t="inlineStr">
        <is>
          <t>C10660</t>
        </is>
      </c>
      <c r="D4019" t="inlineStr">
        <is>
          <t>SKU-10158</t>
        </is>
      </c>
      <c r="E4019" t="inlineStr">
        <is>
          <t>AM02</t>
        </is>
      </c>
      <c r="F4019" s="5" t="n">
        <v>117.65</v>
      </c>
      <c r="G4019">
        <f>IF(LEFT(B4019,1)="C","Credit","Factuur")</f>
        <v/>
      </c>
      <c r="H4019">
        <f>IF(AND(B4019=B4018,D4019=D4018,A4019=A4018,F4019=F4018),1,0)</f>
        <v/>
      </c>
      <c r="I4019">
        <f>IF(C4019="C99999",1,0)</f>
        <v/>
      </c>
      <c r="J4019" s="5">
        <f>IF(OR(H4019=1,I4019=1),0,IF(G4019="Credit",-F4019,F4019))</f>
        <v/>
      </c>
    </row>
    <row r="4020">
      <c r="A4020" t="inlineStr">
        <is>
          <t>2026-08-10</t>
        </is>
      </c>
      <c r="B4020" t="inlineStr">
        <is>
          <t>F272665</t>
        </is>
      </c>
      <c r="C4020" t="inlineStr">
        <is>
          <t>C10660</t>
        </is>
      </c>
      <c r="D4020" t="inlineStr">
        <is>
          <t>SKU-10230</t>
        </is>
      </c>
      <c r="E4020" t="inlineStr">
        <is>
          <t>AM02</t>
        </is>
      </c>
      <c r="F4020" s="5" t="n">
        <v>106.68</v>
      </c>
      <c r="G4020">
        <f>IF(LEFT(B4020,1)="C","Credit","Factuur")</f>
        <v/>
      </c>
      <c r="H4020">
        <f>IF(AND(B4020=B4019,D4020=D4019,A4020=A4019,F4020=F4019),1,0)</f>
        <v/>
      </c>
      <c r="I4020">
        <f>IF(C4020="C99999",1,0)</f>
        <v/>
      </c>
      <c r="J4020" s="5">
        <f>IF(OR(H4020=1,I4020=1),0,IF(G4020="Credit",-F4020,F4020))</f>
        <v/>
      </c>
    </row>
    <row r="4021">
      <c r="A4021" t="inlineStr">
        <is>
          <t>2026-08-10</t>
        </is>
      </c>
      <c r="B4021" t="inlineStr">
        <is>
          <t>F272665</t>
        </is>
      </c>
      <c r="C4021" t="inlineStr">
        <is>
          <t>C10660</t>
        </is>
      </c>
      <c r="D4021" t="inlineStr">
        <is>
          <t>SKU-10340</t>
        </is>
      </c>
      <c r="E4021" t="inlineStr">
        <is>
          <t>AM02</t>
        </is>
      </c>
      <c r="F4021" s="5" t="n">
        <v>110.32</v>
      </c>
      <c r="G4021">
        <f>IF(LEFT(B4021,1)="C","Credit","Factuur")</f>
        <v/>
      </c>
      <c r="H4021">
        <f>IF(AND(B4021=B4020,D4021=D4020,A4021=A4020,F4021=F4020),1,0)</f>
        <v/>
      </c>
      <c r="I4021">
        <f>IF(C4021="C99999",1,0)</f>
        <v/>
      </c>
      <c r="J4021" s="5">
        <f>IF(OR(H4021=1,I4021=1),0,IF(G4021="Credit",-F4021,F4021))</f>
        <v/>
      </c>
    </row>
    <row r="4022">
      <c r="A4022" t="inlineStr">
        <is>
          <t>2026-08-10</t>
        </is>
      </c>
      <c r="B4022" t="inlineStr">
        <is>
          <t>F273316</t>
        </is>
      </c>
      <c r="C4022" t="inlineStr">
        <is>
          <t>C10697</t>
        </is>
      </c>
      <c r="D4022" t="inlineStr">
        <is>
          <t>SKU-10004</t>
        </is>
      </c>
      <c r="E4022" t="inlineStr">
        <is>
          <t>AM05</t>
        </is>
      </c>
      <c r="F4022" s="5" t="n">
        <v>312.62</v>
      </c>
      <c r="G4022">
        <f>IF(LEFT(B4022,1)="C","Credit","Factuur")</f>
        <v/>
      </c>
      <c r="H4022">
        <f>IF(AND(B4022=B4021,D4022=D4021,A4022=A4021,F4022=F4021),1,0)</f>
        <v/>
      </c>
      <c r="I4022">
        <f>IF(C4022="C99999",1,0)</f>
        <v/>
      </c>
      <c r="J4022" s="5">
        <f>IF(OR(H4022=1,I4022=1),0,IF(G4022="Credit",-F4022,F4022))</f>
        <v/>
      </c>
    </row>
    <row r="4023">
      <c r="A4023" t="inlineStr">
        <is>
          <t>2026-08-10</t>
        </is>
      </c>
      <c r="B4023" t="inlineStr">
        <is>
          <t>F273316</t>
        </is>
      </c>
      <c r="C4023" t="inlineStr">
        <is>
          <t>C10697</t>
        </is>
      </c>
      <c r="D4023" t="inlineStr">
        <is>
          <t>SKU-10089</t>
        </is>
      </c>
      <c r="E4023" t="inlineStr">
        <is>
          <t>AM05</t>
        </is>
      </c>
      <c r="F4023" s="5" t="n">
        <v>314</v>
      </c>
      <c r="G4023">
        <f>IF(LEFT(B4023,1)="C","Credit","Factuur")</f>
        <v/>
      </c>
      <c r="H4023">
        <f>IF(AND(B4023=B4022,D4023=D4022,A4023=A4022,F4023=F4022),1,0)</f>
        <v/>
      </c>
      <c r="I4023">
        <f>IF(C4023="C99999",1,0)</f>
        <v/>
      </c>
      <c r="J4023" s="5">
        <f>IF(OR(H4023=1,I4023=1),0,IF(G4023="Credit",-F4023,F4023))</f>
        <v/>
      </c>
    </row>
    <row r="4024">
      <c r="A4024" t="inlineStr">
        <is>
          <t>2026-08-10</t>
        </is>
      </c>
      <c r="B4024" t="inlineStr">
        <is>
          <t>F273316</t>
        </is>
      </c>
      <c r="C4024" t="inlineStr">
        <is>
          <t>C10697</t>
        </is>
      </c>
      <c r="D4024" t="inlineStr">
        <is>
          <t>SKU-10153</t>
        </is>
      </c>
      <c r="E4024" t="inlineStr">
        <is>
          <t>AM05</t>
        </is>
      </c>
      <c r="F4024" s="5" t="n">
        <v>314.72</v>
      </c>
      <c r="G4024">
        <f>IF(LEFT(B4024,1)="C","Credit","Factuur")</f>
        <v/>
      </c>
      <c r="H4024">
        <f>IF(AND(B4024=B4023,D4024=D4023,A4024=A4023,F4024=F4023),1,0)</f>
        <v/>
      </c>
      <c r="I4024">
        <f>IF(C4024="C99999",1,0)</f>
        <v/>
      </c>
      <c r="J4024" s="5">
        <f>IF(OR(H4024=1,I4024=1),0,IF(G4024="Credit",-F4024,F4024))</f>
        <v/>
      </c>
    </row>
    <row r="4025">
      <c r="A4025" t="inlineStr">
        <is>
          <t>2026-08-10</t>
        </is>
      </c>
      <c r="B4025" t="inlineStr">
        <is>
          <t>F273316</t>
        </is>
      </c>
      <c r="C4025" t="inlineStr">
        <is>
          <t>C10697</t>
        </is>
      </c>
      <c r="D4025" t="inlineStr">
        <is>
          <t>SKU-10330</t>
        </is>
      </c>
      <c r="E4025" t="inlineStr">
        <is>
          <t>AM05</t>
        </is>
      </c>
      <c r="F4025" s="5" t="n">
        <v>295.63</v>
      </c>
      <c r="G4025">
        <f>IF(LEFT(B4025,1)="C","Credit","Factuur")</f>
        <v/>
      </c>
      <c r="H4025">
        <f>IF(AND(B4025=B4024,D4025=D4024,A4025=A4024,F4025=F4024),1,0)</f>
        <v/>
      </c>
      <c r="I4025">
        <f>IF(C4025="C99999",1,0)</f>
        <v/>
      </c>
      <c r="J4025" s="5">
        <f>IF(OR(H4025=1,I4025=1),0,IF(G4025="Credit",-F4025,F4025))</f>
        <v/>
      </c>
    </row>
    <row r="4026">
      <c r="A4026" t="inlineStr">
        <is>
          <t>2026-08-10</t>
        </is>
      </c>
      <c r="B4026" t="inlineStr">
        <is>
          <t>F273714</t>
        </is>
      </c>
      <c r="C4026" t="inlineStr">
        <is>
          <t>C10721</t>
        </is>
      </c>
      <c r="D4026" t="inlineStr">
        <is>
          <t>SKU-10038</t>
        </is>
      </c>
      <c r="E4026" t="inlineStr">
        <is>
          <t>AM05</t>
        </is>
      </c>
      <c r="F4026" s="5" t="n">
        <v>296.82</v>
      </c>
      <c r="G4026">
        <f>IF(LEFT(B4026,1)="C","Credit","Factuur")</f>
        <v/>
      </c>
      <c r="H4026">
        <f>IF(AND(B4026=B4025,D4026=D4025,A4026=A4025,F4026=F4025),1,0)</f>
        <v/>
      </c>
      <c r="I4026">
        <f>IF(C4026="C99999",1,0)</f>
        <v/>
      </c>
      <c r="J4026" s="5">
        <f>IF(OR(H4026=1,I4026=1),0,IF(G4026="Credit",-F4026,F4026))</f>
        <v/>
      </c>
    </row>
    <row r="4027">
      <c r="A4027" t="inlineStr">
        <is>
          <t>2026-08-10</t>
        </is>
      </c>
      <c r="B4027" t="inlineStr">
        <is>
          <t>F273714</t>
        </is>
      </c>
      <c r="C4027" t="inlineStr">
        <is>
          <t>C10721</t>
        </is>
      </c>
      <c r="D4027" t="inlineStr">
        <is>
          <t>SKU-10055</t>
        </is>
      </c>
      <c r="E4027" t="inlineStr"/>
      <c r="F4027" s="5" t="n">
        <v>286.68</v>
      </c>
      <c r="G4027">
        <f>IF(LEFT(B4027,1)="C","Credit","Factuur")</f>
        <v/>
      </c>
      <c r="H4027">
        <f>IF(AND(B4027=B4026,D4027=D4026,A4027=A4026,F4027=F4026),1,0)</f>
        <v/>
      </c>
      <c r="I4027">
        <f>IF(C4027="C99999",1,0)</f>
        <v/>
      </c>
      <c r="J4027" s="5">
        <f>IF(OR(H4027=1,I4027=1),0,IF(G4027="Credit",-F4027,F4027))</f>
        <v/>
      </c>
    </row>
    <row r="4028">
      <c r="A4028" t="inlineStr">
        <is>
          <t>2026-08-10</t>
        </is>
      </c>
      <c r="B4028" t="inlineStr">
        <is>
          <t>F273714</t>
        </is>
      </c>
      <c r="C4028" t="inlineStr">
        <is>
          <t>C10721</t>
        </is>
      </c>
      <c r="D4028" t="inlineStr">
        <is>
          <t>SKU-10294</t>
        </is>
      </c>
      <c r="E4028" t="inlineStr">
        <is>
          <t>AM05</t>
        </is>
      </c>
      <c r="F4028" s="5" t="n">
        <v>294.96</v>
      </c>
      <c r="G4028">
        <f>IF(LEFT(B4028,1)="C","Credit","Factuur")</f>
        <v/>
      </c>
      <c r="H4028">
        <f>IF(AND(B4028=B4027,D4028=D4027,A4028=A4027,F4028=F4027),1,0)</f>
        <v/>
      </c>
      <c r="I4028">
        <f>IF(C4028="C99999",1,0)</f>
        <v/>
      </c>
      <c r="J4028" s="5">
        <f>IF(OR(H4028=1,I4028=1),0,IF(G4028="Credit",-F4028,F4028))</f>
        <v/>
      </c>
    </row>
    <row r="4029">
      <c r="A4029" t="inlineStr">
        <is>
          <t>2026-08-10</t>
        </is>
      </c>
      <c r="B4029" t="inlineStr">
        <is>
          <t>F274889</t>
        </is>
      </c>
      <c r="C4029" t="inlineStr">
        <is>
          <t>C10786</t>
        </is>
      </c>
      <c r="D4029" t="inlineStr">
        <is>
          <t>SKU-10001</t>
        </is>
      </c>
      <c r="E4029" t="inlineStr">
        <is>
          <t>AM06</t>
        </is>
      </c>
      <c r="F4029" s="5" t="n">
        <v>48.02</v>
      </c>
      <c r="G4029">
        <f>IF(LEFT(B4029,1)="C","Credit","Factuur")</f>
        <v/>
      </c>
      <c r="H4029">
        <f>IF(AND(B4029=B4028,D4029=D4028,A4029=A4028,F4029=F4028),1,0)</f>
        <v/>
      </c>
      <c r="I4029">
        <f>IF(C4029="C99999",1,0)</f>
        <v/>
      </c>
      <c r="J4029" s="5">
        <f>IF(OR(H4029=1,I4029=1),0,IF(G4029="Credit",-F4029,F4029))</f>
        <v/>
      </c>
    </row>
    <row r="4030">
      <c r="A4030" t="inlineStr">
        <is>
          <t>2026-08-10</t>
        </is>
      </c>
      <c r="B4030" t="inlineStr">
        <is>
          <t>F274889</t>
        </is>
      </c>
      <c r="C4030" t="inlineStr">
        <is>
          <t>C10786</t>
        </is>
      </c>
      <c r="D4030" t="inlineStr">
        <is>
          <t>SKU-10034</t>
        </is>
      </c>
      <c r="E4030" t="inlineStr">
        <is>
          <t>AM06</t>
        </is>
      </c>
      <c r="F4030" s="5" t="n">
        <v>39.47</v>
      </c>
      <c r="G4030">
        <f>IF(LEFT(B4030,1)="C","Credit","Factuur")</f>
        <v/>
      </c>
      <c r="H4030">
        <f>IF(AND(B4030=B4029,D4030=D4029,A4030=A4029,F4030=F4029),1,0)</f>
        <v/>
      </c>
      <c r="I4030">
        <f>IF(C4030="C99999",1,0)</f>
        <v/>
      </c>
      <c r="J4030" s="5">
        <f>IF(OR(H4030=1,I4030=1),0,IF(G4030="Credit",-F4030,F4030))</f>
        <v/>
      </c>
    </row>
    <row r="4031">
      <c r="A4031" t="inlineStr">
        <is>
          <t>2026-08-10</t>
        </is>
      </c>
      <c r="B4031" t="inlineStr">
        <is>
          <t>F274889</t>
        </is>
      </c>
      <c r="C4031" t="inlineStr">
        <is>
          <t>C10786</t>
        </is>
      </c>
      <c r="D4031" t="inlineStr">
        <is>
          <t>SKU-10037</t>
        </is>
      </c>
      <c r="E4031" t="inlineStr">
        <is>
          <t>AM06</t>
        </is>
      </c>
      <c r="F4031" s="5" t="n">
        <v>43.13</v>
      </c>
      <c r="G4031">
        <f>IF(LEFT(B4031,1)="C","Credit","Factuur")</f>
        <v/>
      </c>
      <c r="H4031">
        <f>IF(AND(B4031=B4030,D4031=D4030,A4031=A4030,F4031=F4030),1,0)</f>
        <v/>
      </c>
      <c r="I4031">
        <f>IF(C4031="C99999",1,0)</f>
        <v/>
      </c>
      <c r="J4031" s="5">
        <f>IF(OR(H4031=1,I4031=1),0,IF(G4031="Credit",-F4031,F4031))</f>
        <v/>
      </c>
    </row>
    <row r="4032">
      <c r="A4032" t="inlineStr">
        <is>
          <t>2026-08-10</t>
        </is>
      </c>
      <c r="B4032" t="inlineStr">
        <is>
          <t>F274889</t>
        </is>
      </c>
      <c r="C4032" t="inlineStr">
        <is>
          <t>C10786</t>
        </is>
      </c>
      <c r="D4032" t="inlineStr">
        <is>
          <t>SKU-10205</t>
        </is>
      </c>
      <c r="E4032" t="inlineStr">
        <is>
          <t>AM06</t>
        </is>
      </c>
      <c r="F4032" s="5" t="n">
        <v>41.31</v>
      </c>
      <c r="G4032">
        <f>IF(LEFT(B4032,1)="C","Credit","Factuur")</f>
        <v/>
      </c>
      <c r="H4032">
        <f>IF(AND(B4032=B4031,D4032=D4031,A4032=A4031,F4032=F4031),1,0)</f>
        <v/>
      </c>
      <c r="I4032">
        <f>IF(C4032="C99999",1,0)</f>
        <v/>
      </c>
      <c r="J4032" s="5">
        <f>IF(OR(H4032=1,I4032=1),0,IF(G4032="Credit",-F4032,F4032))</f>
        <v/>
      </c>
    </row>
    <row r="4033">
      <c r="A4033" t="inlineStr">
        <is>
          <t>2026-08-10</t>
        </is>
      </c>
      <c r="B4033" t="inlineStr">
        <is>
          <t>F274889</t>
        </is>
      </c>
      <c r="C4033" t="inlineStr">
        <is>
          <t>C10786</t>
        </is>
      </c>
      <c r="D4033" t="inlineStr">
        <is>
          <t>SKU-10231</t>
        </is>
      </c>
      <c r="E4033" t="inlineStr">
        <is>
          <t>AM06</t>
        </is>
      </c>
      <c r="F4033" s="5" t="n">
        <v>46.63</v>
      </c>
      <c r="G4033">
        <f>IF(LEFT(B4033,1)="C","Credit","Factuur")</f>
        <v/>
      </c>
      <c r="H4033">
        <f>IF(AND(B4033=B4032,D4033=D4032,A4033=A4032,F4033=F4032),1,0)</f>
        <v/>
      </c>
      <c r="I4033">
        <f>IF(C4033="C99999",1,0)</f>
        <v/>
      </c>
      <c r="J4033" s="5">
        <f>IF(OR(H4033=1,I4033=1),0,IF(G4033="Credit",-F4033,F4033))</f>
        <v/>
      </c>
    </row>
    <row r="4034">
      <c r="A4034" t="inlineStr">
        <is>
          <t>2026-08-10</t>
        </is>
      </c>
      <c r="B4034" t="inlineStr">
        <is>
          <t>F275160</t>
        </is>
      </c>
      <c r="C4034" t="inlineStr">
        <is>
          <t>C10798</t>
        </is>
      </c>
      <c r="D4034" t="inlineStr">
        <is>
          <t>SKU-10051</t>
        </is>
      </c>
      <c r="E4034" t="inlineStr">
        <is>
          <t>AM08</t>
        </is>
      </c>
      <c r="F4034" s="5" t="n">
        <v>48.72</v>
      </c>
      <c r="G4034">
        <f>IF(LEFT(B4034,1)="C","Credit","Factuur")</f>
        <v/>
      </c>
      <c r="H4034">
        <f>IF(AND(B4034=B4033,D4034=D4033,A4034=A4033,F4034=F4033),1,0)</f>
        <v/>
      </c>
      <c r="I4034">
        <f>IF(C4034="C99999",1,0)</f>
        <v/>
      </c>
      <c r="J4034" s="5">
        <f>IF(OR(H4034=1,I4034=1),0,IF(G4034="Credit",-F4034,F4034))</f>
        <v/>
      </c>
    </row>
    <row r="4035">
      <c r="A4035" t="inlineStr">
        <is>
          <t>2026-08-10</t>
        </is>
      </c>
      <c r="B4035" t="inlineStr">
        <is>
          <t>F275160</t>
        </is>
      </c>
      <c r="C4035" t="inlineStr">
        <is>
          <t>C10798</t>
        </is>
      </c>
      <c r="D4035" t="inlineStr">
        <is>
          <t>SKU-10076</t>
        </is>
      </c>
      <c r="E4035" t="inlineStr">
        <is>
          <t>AM08</t>
        </is>
      </c>
      <c r="F4035" s="5" t="n">
        <v>25.96</v>
      </c>
      <c r="G4035">
        <f>IF(LEFT(B4035,1)="C","Credit","Factuur")</f>
        <v/>
      </c>
      <c r="H4035">
        <f>IF(AND(B4035=B4034,D4035=D4034,A4035=A4034,F4035=F4034),1,0)</f>
        <v/>
      </c>
      <c r="I4035">
        <f>IF(C4035="C99999",1,0)</f>
        <v/>
      </c>
      <c r="J4035" s="5">
        <f>IF(OR(H4035=1,I4035=1),0,IF(G4035="Credit",-F4035,F4035))</f>
        <v/>
      </c>
    </row>
    <row r="4036">
      <c r="A4036" t="inlineStr">
        <is>
          <t>2026-08-10</t>
        </is>
      </c>
      <c r="B4036" t="inlineStr">
        <is>
          <t>F275160</t>
        </is>
      </c>
      <c r="C4036" t="inlineStr">
        <is>
          <t>C10798</t>
        </is>
      </c>
      <c r="D4036" t="inlineStr">
        <is>
          <t>SKU-10245</t>
        </is>
      </c>
      <c r="E4036" t="inlineStr">
        <is>
          <t>AM08</t>
        </is>
      </c>
      <c r="F4036" s="5" t="n">
        <v>26.75</v>
      </c>
      <c r="G4036">
        <f>IF(LEFT(B4036,1)="C","Credit","Factuur")</f>
        <v/>
      </c>
      <c r="H4036">
        <f>IF(AND(B4036=B4035,D4036=D4035,A4036=A4035,F4036=F4035),1,0)</f>
        <v/>
      </c>
      <c r="I4036">
        <f>IF(C4036="C99999",1,0)</f>
        <v/>
      </c>
      <c r="J4036" s="5">
        <f>IF(OR(H4036=1,I4036=1),0,IF(G4036="Credit",-F4036,F4036))</f>
        <v/>
      </c>
    </row>
    <row r="4037">
      <c r="A4037" t="inlineStr">
        <is>
          <t>2026-08-10</t>
        </is>
      </c>
      <c r="B4037" t="inlineStr">
        <is>
          <t>F275160</t>
        </is>
      </c>
      <c r="C4037" t="inlineStr">
        <is>
          <t>C10798</t>
        </is>
      </c>
      <c r="D4037" t="inlineStr">
        <is>
          <t>SKU-10325</t>
        </is>
      </c>
      <c r="E4037" t="inlineStr">
        <is>
          <t>AM08</t>
        </is>
      </c>
      <c r="F4037" s="5" t="n">
        <v>40.04</v>
      </c>
      <c r="G4037">
        <f>IF(LEFT(B4037,1)="C","Credit","Factuur")</f>
        <v/>
      </c>
      <c r="H4037">
        <f>IF(AND(B4037=B4036,D4037=D4036,A4037=A4036,F4037=F4036),1,0)</f>
        <v/>
      </c>
      <c r="I4037">
        <f>IF(C4037="C99999",1,0)</f>
        <v/>
      </c>
      <c r="J4037" s="5">
        <f>IF(OR(H4037=1,I4037=1),0,IF(G4037="Credit",-F4037,F4037))</f>
        <v/>
      </c>
    </row>
    <row r="4038">
      <c r="A4038" t="inlineStr">
        <is>
          <t>2026-08-10</t>
        </is>
      </c>
      <c r="B4038" t="inlineStr">
        <is>
          <t>F275160</t>
        </is>
      </c>
      <c r="C4038" t="inlineStr">
        <is>
          <t>C10798</t>
        </is>
      </c>
      <c r="D4038" t="inlineStr">
        <is>
          <t>SKU-10337</t>
        </is>
      </c>
      <c r="E4038" t="inlineStr">
        <is>
          <t>AM08</t>
        </is>
      </c>
      <c r="F4038" s="5" t="n">
        <v>26.91</v>
      </c>
      <c r="G4038">
        <f>IF(LEFT(B4038,1)="C","Credit","Factuur")</f>
        <v/>
      </c>
      <c r="H4038">
        <f>IF(AND(B4038=B4037,D4038=D4037,A4038=A4037,F4038=F4037),1,0)</f>
        <v/>
      </c>
      <c r="I4038">
        <f>IF(C4038="C99999",1,0)</f>
        <v/>
      </c>
      <c r="J4038" s="5">
        <f>IF(OR(H4038=1,I4038=1),0,IF(G4038="Credit",-F4038,F4038))</f>
        <v/>
      </c>
    </row>
    <row r="4039">
      <c r="A4039" t="inlineStr">
        <is>
          <t>2026-08-10</t>
        </is>
      </c>
      <c r="B4039" t="inlineStr">
        <is>
          <t>F275490</t>
        </is>
      </c>
      <c r="C4039" t="inlineStr">
        <is>
          <t>C10819</t>
        </is>
      </c>
      <c r="D4039" t="inlineStr">
        <is>
          <t>SKU-10126</t>
        </is>
      </c>
      <c r="E4039" t="inlineStr">
        <is>
          <t>AM03</t>
        </is>
      </c>
      <c r="F4039" s="5" t="n">
        <v>577.0599999999999</v>
      </c>
      <c r="G4039">
        <f>IF(LEFT(B4039,1)="C","Credit","Factuur")</f>
        <v/>
      </c>
      <c r="H4039">
        <f>IF(AND(B4039=B4038,D4039=D4038,A4039=A4038,F4039=F4038),1,0)</f>
        <v/>
      </c>
      <c r="I4039">
        <f>IF(C4039="C99999",1,0)</f>
        <v/>
      </c>
      <c r="J4039" s="5">
        <f>IF(OR(H4039=1,I4039=1),0,IF(G4039="Credit",-F4039,F4039))</f>
        <v/>
      </c>
    </row>
    <row r="4040">
      <c r="A4040" t="inlineStr">
        <is>
          <t>2026-08-10</t>
        </is>
      </c>
      <c r="B4040" t="inlineStr">
        <is>
          <t>F275490</t>
        </is>
      </c>
      <c r="C4040" t="inlineStr">
        <is>
          <t>C10819</t>
        </is>
      </c>
      <c r="D4040" t="inlineStr">
        <is>
          <t>SKU-10322</t>
        </is>
      </c>
      <c r="E4040" t="inlineStr">
        <is>
          <t>AM03</t>
        </is>
      </c>
      <c r="F4040" s="5" t="n">
        <v>596.42</v>
      </c>
      <c r="G4040">
        <f>IF(LEFT(B4040,1)="C","Credit","Factuur")</f>
        <v/>
      </c>
      <c r="H4040">
        <f>IF(AND(B4040=B4039,D4040=D4039,A4040=A4039,F4040=F4039),1,0)</f>
        <v/>
      </c>
      <c r="I4040">
        <f>IF(C4040="C99999",1,0)</f>
        <v/>
      </c>
      <c r="J4040" s="5">
        <f>IF(OR(H4040=1,I4040=1),0,IF(G4040="Credit",-F4040,F4040))</f>
        <v/>
      </c>
    </row>
    <row r="4041">
      <c r="A4041" t="inlineStr">
        <is>
          <t>2026-08-10</t>
        </is>
      </c>
      <c r="B4041" t="inlineStr">
        <is>
          <t>F275490</t>
        </is>
      </c>
      <c r="C4041" t="inlineStr">
        <is>
          <t>C10819</t>
        </is>
      </c>
      <c r="D4041" t="inlineStr">
        <is>
          <t>SKU-10335</t>
        </is>
      </c>
      <c r="E4041" t="inlineStr">
        <is>
          <t>AM03</t>
        </is>
      </c>
      <c r="F4041" s="5" t="n">
        <v>602.04</v>
      </c>
      <c r="G4041">
        <f>IF(LEFT(B4041,1)="C","Credit","Factuur")</f>
        <v/>
      </c>
      <c r="H4041">
        <f>IF(AND(B4041=B4040,D4041=D4040,A4041=A4040,F4041=F4040),1,0)</f>
        <v/>
      </c>
      <c r="I4041">
        <f>IF(C4041="C99999",1,0)</f>
        <v/>
      </c>
      <c r="J4041" s="5">
        <f>IF(OR(H4041=1,I4041=1),0,IF(G4041="Credit",-F4041,F4041))</f>
        <v/>
      </c>
    </row>
    <row r="4042">
      <c r="A4042" t="inlineStr">
        <is>
          <t>2026-08-10</t>
        </is>
      </c>
      <c r="B4042" t="inlineStr">
        <is>
          <t>F275794</t>
        </is>
      </c>
      <c r="C4042" t="inlineStr">
        <is>
          <t>C10836</t>
        </is>
      </c>
      <c r="D4042" t="inlineStr">
        <is>
          <t>SKU-10031</t>
        </is>
      </c>
      <c r="E4042" t="inlineStr">
        <is>
          <t>AM06</t>
        </is>
      </c>
      <c r="F4042" s="5" t="n">
        <v>904.27</v>
      </c>
      <c r="G4042">
        <f>IF(LEFT(B4042,1)="C","Credit","Factuur")</f>
        <v/>
      </c>
      <c r="H4042">
        <f>IF(AND(B4042=B4041,D4042=D4041,A4042=A4041,F4042=F4041),1,0)</f>
        <v/>
      </c>
      <c r="I4042">
        <f>IF(C4042="C99999",1,0)</f>
        <v/>
      </c>
      <c r="J4042" s="5">
        <f>IF(OR(H4042=1,I4042=1),0,IF(G4042="Credit",-F4042,F4042))</f>
        <v/>
      </c>
    </row>
    <row r="4043">
      <c r="A4043" t="inlineStr">
        <is>
          <t>2026-08-10</t>
        </is>
      </c>
      <c r="B4043" t="inlineStr">
        <is>
          <t>F275794</t>
        </is>
      </c>
      <c r="C4043" t="inlineStr">
        <is>
          <t>C10836</t>
        </is>
      </c>
      <c r="D4043" t="inlineStr">
        <is>
          <t>SKU-10071</t>
        </is>
      </c>
      <c r="E4043" t="inlineStr">
        <is>
          <t>AM06</t>
        </is>
      </c>
      <c r="F4043" s="5" t="n">
        <v>897.3</v>
      </c>
      <c r="G4043">
        <f>IF(LEFT(B4043,1)="C","Credit","Factuur")</f>
        <v/>
      </c>
      <c r="H4043">
        <f>IF(AND(B4043=B4042,D4043=D4042,A4043=A4042,F4043=F4042),1,0)</f>
        <v/>
      </c>
      <c r="I4043">
        <f>IF(C4043="C99999",1,0)</f>
        <v/>
      </c>
      <c r="J4043" s="5">
        <f>IF(OR(H4043=1,I4043=1),0,IF(G4043="Credit",-F4043,F4043))</f>
        <v/>
      </c>
    </row>
    <row r="4044">
      <c r="A4044" t="inlineStr">
        <is>
          <t>2026-08-10</t>
        </is>
      </c>
      <c r="B4044" t="inlineStr">
        <is>
          <t>F275794</t>
        </is>
      </c>
      <c r="C4044" t="inlineStr">
        <is>
          <t>C10836</t>
        </is>
      </c>
      <c r="D4044" t="inlineStr">
        <is>
          <t>SKU-10096</t>
        </is>
      </c>
      <c r="E4044" t="inlineStr">
        <is>
          <t>AM06</t>
        </is>
      </c>
      <c r="F4044" s="5" t="n">
        <v>915.36</v>
      </c>
      <c r="G4044">
        <f>IF(LEFT(B4044,1)="C","Credit","Factuur")</f>
        <v/>
      </c>
      <c r="H4044">
        <f>IF(AND(B4044=B4043,D4044=D4043,A4044=A4043,F4044=F4043),1,0)</f>
        <v/>
      </c>
      <c r="I4044">
        <f>IF(C4044="C99999",1,0)</f>
        <v/>
      </c>
      <c r="J4044" s="5">
        <f>IF(OR(H4044=1,I4044=1),0,IF(G4044="Credit",-F4044,F4044))</f>
        <v/>
      </c>
    </row>
    <row r="4045">
      <c r="A4045" t="inlineStr">
        <is>
          <t>2026-08-10</t>
        </is>
      </c>
      <c r="B4045" t="inlineStr">
        <is>
          <t>F275794</t>
        </is>
      </c>
      <c r="C4045" t="inlineStr">
        <is>
          <t>C10836</t>
        </is>
      </c>
      <c r="D4045" t="inlineStr">
        <is>
          <t>SKU-10171</t>
        </is>
      </c>
      <c r="E4045" t="inlineStr">
        <is>
          <t>AM06</t>
        </is>
      </c>
      <c r="F4045" s="5" t="n">
        <v>892.85</v>
      </c>
      <c r="G4045">
        <f>IF(LEFT(B4045,1)="C","Credit","Factuur")</f>
        <v/>
      </c>
      <c r="H4045">
        <f>IF(AND(B4045=B4044,D4045=D4044,A4045=A4044,F4045=F4044),1,0)</f>
        <v/>
      </c>
      <c r="I4045">
        <f>IF(C4045="C99999",1,0)</f>
        <v/>
      </c>
      <c r="J4045" s="5">
        <f>IF(OR(H4045=1,I4045=1),0,IF(G4045="Credit",-F4045,F4045))</f>
        <v/>
      </c>
    </row>
    <row r="4046">
      <c r="A4046" t="inlineStr">
        <is>
          <t>2026-08-10</t>
        </is>
      </c>
      <c r="B4046" t="inlineStr">
        <is>
          <t>F276422</t>
        </is>
      </c>
      <c r="C4046" t="inlineStr">
        <is>
          <t>C10869</t>
        </is>
      </c>
      <c r="D4046" t="inlineStr">
        <is>
          <t>SKU-10197</t>
        </is>
      </c>
      <c r="E4046" t="inlineStr">
        <is>
          <t>AM05</t>
        </is>
      </c>
      <c r="F4046" s="5" t="n">
        <v>128.13</v>
      </c>
      <c r="G4046">
        <f>IF(LEFT(B4046,1)="C","Credit","Factuur")</f>
        <v/>
      </c>
      <c r="H4046">
        <f>IF(AND(B4046=B4045,D4046=D4045,A4046=A4045,F4046=F4045),1,0)</f>
        <v/>
      </c>
      <c r="I4046">
        <f>IF(C4046="C99999",1,0)</f>
        <v/>
      </c>
      <c r="J4046" s="5">
        <f>IF(OR(H4046=1,I4046=1),0,IF(G4046="Credit",-F4046,F4046))</f>
        <v/>
      </c>
    </row>
    <row r="4047">
      <c r="A4047" t="inlineStr">
        <is>
          <t>2026-08-10</t>
        </is>
      </c>
      <c r="B4047" t="inlineStr">
        <is>
          <t>F276422</t>
        </is>
      </c>
      <c r="C4047" t="inlineStr">
        <is>
          <t>C10869</t>
        </is>
      </c>
      <c r="D4047" t="inlineStr">
        <is>
          <t>SKU-10287</t>
        </is>
      </c>
      <c r="E4047" t="inlineStr">
        <is>
          <t>AM05</t>
        </is>
      </c>
      <c r="F4047" s="5" t="n">
        <v>120.44</v>
      </c>
      <c r="G4047">
        <f>IF(LEFT(B4047,1)="C","Credit","Factuur")</f>
        <v/>
      </c>
      <c r="H4047">
        <f>IF(AND(B4047=B4046,D4047=D4046,A4047=A4046,F4047=F4046),1,0)</f>
        <v/>
      </c>
      <c r="I4047">
        <f>IF(C4047="C99999",1,0)</f>
        <v/>
      </c>
      <c r="J4047" s="5">
        <f>IF(OR(H4047=1,I4047=1),0,IF(G4047="Credit",-F4047,F4047))</f>
        <v/>
      </c>
    </row>
    <row r="4048">
      <c r="A4048" t="inlineStr">
        <is>
          <t>2026-08-10</t>
        </is>
      </c>
      <c r="B4048" t="inlineStr">
        <is>
          <t>F276422</t>
        </is>
      </c>
      <c r="C4048" t="inlineStr">
        <is>
          <t>C10869</t>
        </is>
      </c>
      <c r="D4048" t="inlineStr">
        <is>
          <t>SKU-10297</t>
        </is>
      </c>
      <c r="E4048" t="inlineStr">
        <is>
          <t>AM05</t>
        </is>
      </c>
      <c r="F4048" s="5" t="n">
        <v>112.08</v>
      </c>
      <c r="G4048">
        <f>IF(LEFT(B4048,1)="C","Credit","Factuur")</f>
        <v/>
      </c>
      <c r="H4048">
        <f>IF(AND(B4048=B4047,D4048=D4047,A4048=A4047,F4048=F4047),1,0)</f>
        <v/>
      </c>
      <c r="I4048">
        <f>IF(C4048="C99999",1,0)</f>
        <v/>
      </c>
      <c r="J4048" s="5">
        <f>IF(OR(H4048=1,I4048=1),0,IF(G4048="Credit",-F4048,F4048))</f>
        <v/>
      </c>
    </row>
    <row r="4049">
      <c r="A4049" t="inlineStr">
        <is>
          <t>2026-08-10</t>
        </is>
      </c>
      <c r="B4049" t="inlineStr">
        <is>
          <t>F276462</t>
        </is>
      </c>
      <c r="C4049" t="inlineStr">
        <is>
          <t>C10871</t>
        </is>
      </c>
      <c r="D4049" t="inlineStr">
        <is>
          <t>SKU-10008</t>
        </is>
      </c>
      <c r="E4049" t="inlineStr">
        <is>
          <t>AM02</t>
        </is>
      </c>
      <c r="F4049" s="5" t="n">
        <v>1015.56</v>
      </c>
      <c r="G4049">
        <f>IF(LEFT(B4049,1)="C","Credit","Factuur")</f>
        <v/>
      </c>
      <c r="H4049">
        <f>IF(AND(B4049=B4048,D4049=D4048,A4049=A4048,F4049=F4048),1,0)</f>
        <v/>
      </c>
      <c r="I4049">
        <f>IF(C4049="C99999",1,0)</f>
        <v/>
      </c>
      <c r="J4049" s="5">
        <f>IF(OR(H4049=1,I4049=1),0,IF(G4049="Credit",-F4049,F4049))</f>
        <v/>
      </c>
    </row>
    <row r="4050">
      <c r="A4050" t="inlineStr">
        <is>
          <t>2026-08-10</t>
        </is>
      </c>
      <c r="B4050" t="inlineStr">
        <is>
          <t>F278072</t>
        </is>
      </c>
      <c r="C4050" t="inlineStr">
        <is>
          <t>C10960</t>
        </is>
      </c>
      <c r="D4050" t="inlineStr">
        <is>
          <t>SKU-10045</t>
        </is>
      </c>
      <c r="E4050" t="inlineStr">
        <is>
          <t>IS01</t>
        </is>
      </c>
      <c r="F4050" s="5" t="n">
        <v>221.79</v>
      </c>
      <c r="G4050">
        <f>IF(LEFT(B4050,1)="C","Credit","Factuur")</f>
        <v/>
      </c>
      <c r="H4050">
        <f>IF(AND(B4050=B4049,D4050=D4049,A4050=A4049,F4050=F4049),1,0)</f>
        <v/>
      </c>
      <c r="I4050">
        <f>IF(C4050="C99999",1,0)</f>
        <v/>
      </c>
      <c r="J4050" s="5">
        <f>IF(OR(H4050=1,I4050=1),0,IF(G4050="Credit",-F4050,F4050))</f>
        <v/>
      </c>
    </row>
    <row r="4051">
      <c r="A4051" t="inlineStr">
        <is>
          <t>2026-08-10</t>
        </is>
      </c>
      <c r="B4051" t="inlineStr">
        <is>
          <t>F278374</t>
        </is>
      </c>
      <c r="C4051" t="inlineStr">
        <is>
          <t>C10973</t>
        </is>
      </c>
      <c r="D4051" t="inlineStr">
        <is>
          <t>SKU-10055</t>
        </is>
      </c>
      <c r="E4051" t="inlineStr">
        <is>
          <t>AM08</t>
        </is>
      </c>
      <c r="F4051" s="5" t="n">
        <v>1425.02</v>
      </c>
      <c r="G4051">
        <f>IF(LEFT(B4051,1)="C","Credit","Factuur")</f>
        <v/>
      </c>
      <c r="H4051">
        <f>IF(AND(B4051=B4050,D4051=D4050,A4051=A4050,F4051=F4050),1,0)</f>
        <v/>
      </c>
      <c r="I4051">
        <f>IF(C4051="C99999",1,0)</f>
        <v/>
      </c>
      <c r="J4051" s="5">
        <f>IF(OR(H4051=1,I4051=1),0,IF(G4051="Credit",-F4051,F4051))</f>
        <v/>
      </c>
    </row>
    <row r="4052">
      <c r="A4052" t="inlineStr">
        <is>
          <t>2026-08-10</t>
        </is>
      </c>
      <c r="B4052" t="inlineStr">
        <is>
          <t>F280282</t>
        </is>
      </c>
      <c r="C4052" t="inlineStr">
        <is>
          <t>C11072</t>
        </is>
      </c>
      <c r="D4052" t="inlineStr">
        <is>
          <t>SKU-10047</t>
        </is>
      </c>
      <c r="E4052" t="inlineStr">
        <is>
          <t>AM03</t>
        </is>
      </c>
      <c r="F4052" s="5" t="n">
        <v>818.86</v>
      </c>
      <c r="G4052">
        <f>IF(LEFT(B4052,1)="C","Credit","Factuur")</f>
        <v/>
      </c>
      <c r="H4052">
        <f>IF(AND(B4052=B4051,D4052=D4051,A4052=A4051,F4052=F4051),1,0)</f>
        <v/>
      </c>
      <c r="I4052">
        <f>IF(C4052="C99999",1,0)</f>
        <v/>
      </c>
      <c r="J4052" s="5">
        <f>IF(OR(H4052=1,I4052=1),0,IF(G4052="Credit",-F4052,F4052))</f>
        <v/>
      </c>
    </row>
    <row r="4053">
      <c r="A4053" t="inlineStr">
        <is>
          <t>2026-08-10</t>
        </is>
      </c>
      <c r="B4053" t="inlineStr">
        <is>
          <t>F280576</t>
        </is>
      </c>
      <c r="C4053" t="inlineStr">
        <is>
          <t>C11085</t>
        </is>
      </c>
      <c r="D4053" t="inlineStr">
        <is>
          <t>SKU-10059</t>
        </is>
      </c>
      <c r="E4053" t="inlineStr">
        <is>
          <t>AM06</t>
        </is>
      </c>
      <c r="F4053" s="5" t="n">
        <v>149.53</v>
      </c>
      <c r="G4053">
        <f>IF(LEFT(B4053,1)="C","Credit","Factuur")</f>
        <v/>
      </c>
      <c r="H4053">
        <f>IF(AND(B4053=B4052,D4053=D4052,A4053=A4052,F4053=F4052),1,0)</f>
        <v/>
      </c>
      <c r="I4053">
        <f>IF(C4053="C99999",1,0)</f>
        <v/>
      </c>
      <c r="J4053" s="5">
        <f>IF(OR(H4053=1,I4053=1),0,IF(G4053="Credit",-F4053,F4053))</f>
        <v/>
      </c>
    </row>
    <row r="4054">
      <c r="A4054" t="inlineStr">
        <is>
          <t>2026-08-10</t>
        </is>
      </c>
      <c r="B4054" t="inlineStr">
        <is>
          <t>F280576</t>
        </is>
      </c>
      <c r="C4054" t="inlineStr">
        <is>
          <t>C11085</t>
        </is>
      </c>
      <c r="D4054" t="inlineStr">
        <is>
          <t>SKU-10197</t>
        </is>
      </c>
      <c r="E4054" t="inlineStr"/>
      <c r="F4054" s="5" t="n">
        <v>145.21</v>
      </c>
      <c r="G4054">
        <f>IF(LEFT(B4054,1)="C","Credit","Factuur")</f>
        <v/>
      </c>
      <c r="H4054">
        <f>IF(AND(B4054=B4053,D4054=D4053,A4054=A4053,F4054=F4053),1,0)</f>
        <v/>
      </c>
      <c r="I4054">
        <f>IF(C4054="C99999",1,0)</f>
        <v/>
      </c>
      <c r="J4054" s="5">
        <f>IF(OR(H4054=1,I4054=1),0,IF(G4054="Credit",-F4054,F4054))</f>
        <v/>
      </c>
    </row>
    <row r="4055">
      <c r="A4055" t="inlineStr">
        <is>
          <t>2026-08-10</t>
        </is>
      </c>
      <c r="B4055" t="inlineStr">
        <is>
          <t>F280576</t>
        </is>
      </c>
      <c r="C4055" t="inlineStr">
        <is>
          <t>C11085</t>
        </is>
      </c>
      <c r="D4055" t="inlineStr">
        <is>
          <t>SKU-10255</t>
        </is>
      </c>
      <c r="E4055" t="inlineStr">
        <is>
          <t>AM06</t>
        </is>
      </c>
      <c r="F4055" s="5" t="n">
        <v>160.34</v>
      </c>
      <c r="G4055">
        <f>IF(LEFT(B4055,1)="C","Credit","Factuur")</f>
        <v/>
      </c>
      <c r="H4055">
        <f>IF(AND(B4055=B4054,D4055=D4054,A4055=A4054,F4055=F4054),1,0)</f>
        <v/>
      </c>
      <c r="I4055">
        <f>IF(C4055="C99999",1,0)</f>
        <v/>
      </c>
      <c r="J4055" s="5">
        <f>IF(OR(H4055=1,I4055=1),0,IF(G4055="Credit",-F4055,F4055))</f>
        <v/>
      </c>
    </row>
    <row r="4056">
      <c r="A4056" t="inlineStr">
        <is>
          <t>2026-08-10</t>
        </is>
      </c>
      <c r="B4056" t="inlineStr">
        <is>
          <t>F280576</t>
        </is>
      </c>
      <c r="C4056" t="inlineStr">
        <is>
          <t>C11085</t>
        </is>
      </c>
      <c r="D4056" t="inlineStr">
        <is>
          <t>SKU-10334</t>
        </is>
      </c>
      <c r="E4056" t="inlineStr">
        <is>
          <t>AM06</t>
        </is>
      </c>
      <c r="F4056" s="5" t="n">
        <v>162.93</v>
      </c>
      <c r="G4056">
        <f>IF(LEFT(B4056,1)="C","Credit","Factuur")</f>
        <v/>
      </c>
      <c r="H4056">
        <f>IF(AND(B4056=B4055,D4056=D4055,A4056=A4055,F4056=F4055),1,0)</f>
        <v/>
      </c>
      <c r="I4056">
        <f>IF(C4056="C99999",1,0)</f>
        <v/>
      </c>
      <c r="J4056" s="5">
        <f>IF(OR(H4056=1,I4056=1),0,IF(G4056="Credit",-F4056,F4056))</f>
        <v/>
      </c>
    </row>
    <row r="4057">
      <c r="A4057" t="inlineStr">
        <is>
          <t>2026-08-10</t>
        </is>
      </c>
      <c r="B4057" t="inlineStr">
        <is>
          <t>F281459</t>
        </is>
      </c>
      <c r="C4057" t="inlineStr">
        <is>
          <t>C11133</t>
        </is>
      </c>
      <c r="D4057" t="inlineStr">
        <is>
          <t>SKU-10018</t>
        </is>
      </c>
      <c r="E4057" t="inlineStr">
        <is>
          <t>AM07</t>
        </is>
      </c>
      <c r="F4057" s="5" t="n">
        <v>330.24</v>
      </c>
      <c r="G4057">
        <f>IF(LEFT(B4057,1)="C","Credit","Factuur")</f>
        <v/>
      </c>
      <c r="H4057">
        <f>IF(AND(B4057=B4056,D4057=D4056,A4057=A4056,F4057=F4056),1,0)</f>
        <v/>
      </c>
      <c r="I4057">
        <f>IF(C4057="C99999",1,0)</f>
        <v/>
      </c>
      <c r="J4057" s="5">
        <f>IF(OR(H4057=1,I4057=1),0,IF(G4057="Credit",-F4057,F4057))</f>
        <v/>
      </c>
    </row>
    <row r="4058">
      <c r="A4058" t="inlineStr">
        <is>
          <t>2026-08-10</t>
        </is>
      </c>
      <c r="B4058" t="inlineStr">
        <is>
          <t>F281459</t>
        </is>
      </c>
      <c r="C4058" t="inlineStr">
        <is>
          <t>C11133</t>
        </is>
      </c>
      <c r="D4058" t="inlineStr">
        <is>
          <t>SKU-10076</t>
        </is>
      </c>
      <c r="E4058" t="inlineStr">
        <is>
          <t>AM07</t>
        </is>
      </c>
      <c r="F4058" s="5" t="n">
        <v>355.29</v>
      </c>
      <c r="G4058">
        <f>IF(LEFT(B4058,1)="C","Credit","Factuur")</f>
        <v/>
      </c>
      <c r="H4058">
        <f>IF(AND(B4058=B4057,D4058=D4057,A4058=A4057,F4058=F4057),1,0)</f>
        <v/>
      </c>
      <c r="I4058">
        <f>IF(C4058="C99999",1,0)</f>
        <v/>
      </c>
      <c r="J4058" s="5">
        <f>IF(OR(H4058=1,I4058=1),0,IF(G4058="Credit",-F4058,F4058))</f>
        <v/>
      </c>
    </row>
    <row r="4059">
      <c r="A4059" t="inlineStr">
        <is>
          <t>2026-08-10</t>
        </is>
      </c>
      <c r="B4059" t="inlineStr">
        <is>
          <t>F281459</t>
        </is>
      </c>
      <c r="C4059" t="inlineStr">
        <is>
          <t>C11133</t>
        </is>
      </c>
      <c r="D4059" t="inlineStr">
        <is>
          <t>SKU-10213</t>
        </is>
      </c>
      <c r="E4059" t="inlineStr">
        <is>
          <t>AM07</t>
        </is>
      </c>
      <c r="F4059" s="5" t="n">
        <v>307.66</v>
      </c>
      <c r="G4059">
        <f>IF(LEFT(B4059,1)="C","Credit","Factuur")</f>
        <v/>
      </c>
      <c r="H4059">
        <f>IF(AND(B4059=B4058,D4059=D4058,A4059=A4058,F4059=F4058),1,0)</f>
        <v/>
      </c>
      <c r="I4059">
        <f>IF(C4059="C99999",1,0)</f>
        <v/>
      </c>
      <c r="J4059" s="5">
        <f>IF(OR(H4059=1,I4059=1),0,IF(G4059="Credit",-F4059,F4059))</f>
        <v/>
      </c>
    </row>
    <row r="4060">
      <c r="A4060" t="inlineStr">
        <is>
          <t>2026-08-10</t>
        </is>
      </c>
      <c r="B4060" t="inlineStr">
        <is>
          <t>F281465</t>
        </is>
      </c>
      <c r="C4060" t="inlineStr">
        <is>
          <t>C11133</t>
        </is>
      </c>
      <c r="D4060" t="inlineStr">
        <is>
          <t>SKU-10142</t>
        </is>
      </c>
      <c r="E4060" t="inlineStr">
        <is>
          <t>AM07</t>
        </is>
      </c>
      <c r="F4060" s="5" t="n">
        <v>413.02</v>
      </c>
      <c r="G4060">
        <f>IF(LEFT(B4060,1)="C","Credit","Factuur")</f>
        <v/>
      </c>
      <c r="H4060">
        <f>IF(AND(B4060=B4059,D4060=D4059,A4060=A4059,F4060=F4059),1,0)</f>
        <v/>
      </c>
      <c r="I4060">
        <f>IF(C4060="C99999",1,0)</f>
        <v/>
      </c>
      <c r="J4060" s="5">
        <f>IF(OR(H4060=1,I4060=1),0,IF(G4060="Credit",-F4060,F4060))</f>
        <v/>
      </c>
    </row>
    <row r="4061">
      <c r="A4061" t="inlineStr">
        <is>
          <t>2026-08-10</t>
        </is>
      </c>
      <c r="B4061" t="inlineStr">
        <is>
          <t>F281465</t>
        </is>
      </c>
      <c r="C4061" t="inlineStr">
        <is>
          <t>C11133</t>
        </is>
      </c>
      <c r="D4061" t="inlineStr">
        <is>
          <t>SKU-10222</t>
        </is>
      </c>
      <c r="E4061" t="inlineStr">
        <is>
          <t>AM07</t>
        </is>
      </c>
      <c r="F4061" s="5" t="n">
        <v>387.56</v>
      </c>
      <c r="G4061">
        <f>IF(LEFT(B4061,1)="C","Credit","Factuur")</f>
        <v/>
      </c>
      <c r="H4061">
        <f>IF(AND(B4061=B4060,D4061=D4060,A4061=A4060,F4061=F4060),1,0)</f>
        <v/>
      </c>
      <c r="I4061">
        <f>IF(C4061="C99999",1,0)</f>
        <v/>
      </c>
      <c r="J4061" s="5">
        <f>IF(OR(H4061=1,I4061=1),0,IF(G4061="Credit",-F4061,F4061))</f>
        <v/>
      </c>
    </row>
    <row r="4062">
      <c r="A4062" t="inlineStr">
        <is>
          <t>2026-08-10</t>
        </is>
      </c>
      <c r="B4062" t="inlineStr">
        <is>
          <t>F281465</t>
        </is>
      </c>
      <c r="C4062" t="inlineStr">
        <is>
          <t>C11133</t>
        </is>
      </c>
      <c r="D4062" t="inlineStr">
        <is>
          <t>SKU-10231</t>
        </is>
      </c>
      <c r="E4062" t="inlineStr">
        <is>
          <t>AM07</t>
        </is>
      </c>
      <c r="F4062" s="5" t="n">
        <v>344.17</v>
      </c>
      <c r="G4062">
        <f>IF(LEFT(B4062,1)="C","Credit","Factuur")</f>
        <v/>
      </c>
      <c r="H4062">
        <f>IF(AND(B4062=B4061,D4062=D4061,A4062=A4061,F4062=F4061),1,0)</f>
        <v/>
      </c>
      <c r="I4062">
        <f>IF(C4062="C99999",1,0)</f>
        <v/>
      </c>
      <c r="J4062" s="5">
        <f>IF(OR(H4062=1,I4062=1),0,IF(G4062="Credit",-F4062,F4062))</f>
        <v/>
      </c>
    </row>
    <row r="4063">
      <c r="A4063" t="inlineStr">
        <is>
          <t>2026-08-10</t>
        </is>
      </c>
      <c r="B4063" t="inlineStr">
        <is>
          <t>F283338</t>
        </is>
      </c>
      <c r="C4063" t="inlineStr">
        <is>
          <t>C11226</t>
        </is>
      </c>
      <c r="D4063" t="inlineStr">
        <is>
          <t>SKU-10025</t>
        </is>
      </c>
      <c r="E4063" t="inlineStr">
        <is>
          <t>AM07</t>
        </is>
      </c>
      <c r="F4063" s="5" t="n">
        <v>332.83</v>
      </c>
      <c r="G4063">
        <f>IF(LEFT(B4063,1)="C","Credit","Factuur")</f>
        <v/>
      </c>
      <c r="H4063">
        <f>IF(AND(B4063=B4062,D4063=D4062,A4063=A4062,F4063=F4062),1,0)</f>
        <v/>
      </c>
      <c r="I4063">
        <f>IF(C4063="C99999",1,0)</f>
        <v/>
      </c>
      <c r="J4063" s="5">
        <f>IF(OR(H4063=1,I4063=1),0,IF(G4063="Credit",-F4063,F4063))</f>
        <v/>
      </c>
    </row>
    <row r="4064">
      <c r="A4064" t="inlineStr">
        <is>
          <t>2026-08-10</t>
        </is>
      </c>
      <c r="B4064" t="inlineStr">
        <is>
          <t>F283338</t>
        </is>
      </c>
      <c r="C4064" t="inlineStr">
        <is>
          <t>C11226</t>
        </is>
      </c>
      <c r="D4064" t="inlineStr">
        <is>
          <t>SKU-10292</t>
        </is>
      </c>
      <c r="E4064" t="inlineStr">
        <is>
          <t>AM07</t>
        </is>
      </c>
      <c r="F4064" s="5" t="n">
        <v>368.45</v>
      </c>
      <c r="G4064">
        <f>IF(LEFT(B4064,1)="C","Credit","Factuur")</f>
        <v/>
      </c>
      <c r="H4064">
        <f>IF(AND(B4064=B4063,D4064=D4063,A4064=A4063,F4064=F4063),1,0)</f>
        <v/>
      </c>
      <c r="I4064">
        <f>IF(C4064="C99999",1,0)</f>
        <v/>
      </c>
      <c r="J4064" s="5">
        <f>IF(OR(H4064=1,I4064=1),0,IF(G4064="Credit",-F4064,F4064))</f>
        <v/>
      </c>
    </row>
    <row r="4065">
      <c r="A4065" t="inlineStr">
        <is>
          <t>2026-08-10</t>
        </is>
      </c>
      <c r="B4065" t="inlineStr">
        <is>
          <t>F283390</t>
        </is>
      </c>
      <c r="C4065" t="inlineStr">
        <is>
          <t>C11228</t>
        </is>
      </c>
      <c r="D4065" t="inlineStr">
        <is>
          <t>SKU-10001</t>
        </is>
      </c>
      <c r="E4065" t="inlineStr">
        <is>
          <t>AM02</t>
        </is>
      </c>
      <c r="F4065" s="5" t="n">
        <v>244.88</v>
      </c>
      <c r="G4065">
        <f>IF(LEFT(B4065,1)="C","Credit","Factuur")</f>
        <v/>
      </c>
      <c r="H4065">
        <f>IF(AND(B4065=B4064,D4065=D4064,A4065=A4064,F4065=F4064),1,0)</f>
        <v/>
      </c>
      <c r="I4065">
        <f>IF(C4065="C99999",1,0)</f>
        <v/>
      </c>
      <c r="J4065" s="5">
        <f>IF(OR(H4065=1,I4065=1),0,IF(G4065="Credit",-F4065,F4065))</f>
        <v/>
      </c>
    </row>
    <row r="4066">
      <c r="A4066" t="inlineStr">
        <is>
          <t>2026-08-10</t>
        </is>
      </c>
      <c r="B4066" t="inlineStr">
        <is>
          <t>F283390</t>
        </is>
      </c>
      <c r="C4066" t="inlineStr">
        <is>
          <t>C11228</t>
        </is>
      </c>
      <c r="D4066" t="inlineStr">
        <is>
          <t>SKU-10069</t>
        </is>
      </c>
      <c r="E4066" t="inlineStr">
        <is>
          <t>AM02</t>
        </is>
      </c>
      <c r="F4066" s="5" t="n">
        <v>286.02</v>
      </c>
      <c r="G4066">
        <f>IF(LEFT(B4066,1)="C","Credit","Factuur")</f>
        <v/>
      </c>
      <c r="H4066">
        <f>IF(AND(B4066=B4065,D4066=D4065,A4066=A4065,F4066=F4065),1,0)</f>
        <v/>
      </c>
      <c r="I4066">
        <f>IF(C4066="C99999",1,0)</f>
        <v/>
      </c>
      <c r="J4066" s="5">
        <f>IF(OR(H4066=1,I4066=1),0,IF(G4066="Credit",-F4066,F4066))</f>
        <v/>
      </c>
    </row>
    <row r="4067">
      <c r="A4067" t="inlineStr">
        <is>
          <t>2026-08-10</t>
        </is>
      </c>
      <c r="B4067" t="inlineStr">
        <is>
          <t>F283390</t>
        </is>
      </c>
      <c r="C4067" t="inlineStr">
        <is>
          <t>C11228</t>
        </is>
      </c>
      <c r="D4067" t="inlineStr">
        <is>
          <t>SKU-10097</t>
        </is>
      </c>
      <c r="E4067" t="inlineStr">
        <is>
          <t>AM02</t>
        </is>
      </c>
      <c r="F4067" s="5" t="n">
        <v>283.29</v>
      </c>
      <c r="G4067">
        <f>IF(LEFT(B4067,1)="C","Credit","Factuur")</f>
        <v/>
      </c>
      <c r="H4067">
        <f>IF(AND(B4067=B4066,D4067=D4066,A4067=A4066,F4067=F4066),1,0)</f>
        <v/>
      </c>
      <c r="I4067">
        <f>IF(C4067="C99999",1,0)</f>
        <v/>
      </c>
      <c r="J4067" s="5">
        <f>IF(OR(H4067=1,I4067=1),0,IF(G4067="Credit",-F4067,F4067))</f>
        <v/>
      </c>
    </row>
    <row r="4068">
      <c r="A4068" t="inlineStr">
        <is>
          <t>2026-08-10</t>
        </is>
      </c>
      <c r="B4068" t="inlineStr">
        <is>
          <t>F283390</t>
        </is>
      </c>
      <c r="C4068" t="inlineStr">
        <is>
          <t>C11228</t>
        </is>
      </c>
      <c r="D4068" t="inlineStr">
        <is>
          <t>SKU-10319</t>
        </is>
      </c>
      <c r="E4068" t="inlineStr">
        <is>
          <t>AM02</t>
        </is>
      </c>
      <c r="F4068" s="5" t="n">
        <v>260.46</v>
      </c>
      <c r="G4068">
        <f>IF(LEFT(B4068,1)="C","Credit","Factuur")</f>
        <v/>
      </c>
      <c r="H4068">
        <f>IF(AND(B4068=B4067,D4068=D4067,A4068=A4067,F4068=F4067),1,0)</f>
        <v/>
      </c>
      <c r="I4068">
        <f>IF(C4068="C99999",1,0)</f>
        <v/>
      </c>
      <c r="J4068" s="5">
        <f>IF(OR(H4068=1,I4068=1),0,IF(G4068="Credit",-F4068,F4068))</f>
        <v/>
      </c>
    </row>
    <row r="4069">
      <c r="A4069" t="inlineStr">
        <is>
          <t>2026-08-10</t>
        </is>
      </c>
      <c r="B4069" t="inlineStr">
        <is>
          <t>F283390</t>
        </is>
      </c>
      <c r="C4069" t="inlineStr">
        <is>
          <t>C11228</t>
        </is>
      </c>
      <c r="D4069" t="inlineStr">
        <is>
          <t>SKU-10323</t>
        </is>
      </c>
      <c r="E4069" t="inlineStr">
        <is>
          <t>AM02</t>
        </is>
      </c>
      <c r="F4069" s="5" t="n">
        <v>282.4</v>
      </c>
      <c r="G4069">
        <f>IF(LEFT(B4069,1)="C","Credit","Factuur")</f>
        <v/>
      </c>
      <c r="H4069">
        <f>IF(AND(B4069=B4068,D4069=D4068,A4069=A4068,F4069=F4068),1,0)</f>
        <v/>
      </c>
      <c r="I4069">
        <f>IF(C4069="C99999",1,0)</f>
        <v/>
      </c>
      <c r="J4069" s="5">
        <f>IF(OR(H4069=1,I4069=1),0,IF(G4069="Credit",-F4069,F4069))</f>
        <v/>
      </c>
    </row>
    <row r="4070">
      <c r="A4070" t="inlineStr">
        <is>
          <t>2026-08-10</t>
        </is>
      </c>
      <c r="B4070" t="inlineStr">
        <is>
          <t>F285517</t>
        </is>
      </c>
      <c r="C4070" t="inlineStr">
        <is>
          <t>C11334</t>
        </is>
      </c>
      <c r="D4070" t="inlineStr">
        <is>
          <t>SKU-10025</t>
        </is>
      </c>
      <c r="E4070" t="inlineStr">
        <is>
          <t>AM12</t>
        </is>
      </c>
      <c r="F4070" s="5" t="n">
        <v>522.08</v>
      </c>
      <c r="G4070">
        <f>IF(LEFT(B4070,1)="C","Credit","Factuur")</f>
        <v/>
      </c>
      <c r="H4070">
        <f>IF(AND(B4070=B4069,D4070=D4069,A4070=A4069,F4070=F4069),1,0)</f>
        <v/>
      </c>
      <c r="I4070">
        <f>IF(C4070="C99999",1,0)</f>
        <v/>
      </c>
      <c r="J4070" s="5">
        <f>IF(OR(H4070=1,I4070=1),0,IF(G4070="Credit",-F4070,F4070))</f>
        <v/>
      </c>
    </row>
    <row r="4071">
      <c r="A4071" t="inlineStr">
        <is>
          <t>2026-08-10</t>
        </is>
      </c>
      <c r="B4071" t="inlineStr">
        <is>
          <t>F285517</t>
        </is>
      </c>
      <c r="C4071" t="inlineStr">
        <is>
          <t>C11334</t>
        </is>
      </c>
      <c r="D4071" t="inlineStr">
        <is>
          <t>SKU-10121</t>
        </is>
      </c>
      <c r="E4071" t="inlineStr">
        <is>
          <t>AM12</t>
        </is>
      </c>
      <c r="F4071" s="5" t="n">
        <v>519.4400000000001</v>
      </c>
      <c r="G4071">
        <f>IF(LEFT(B4071,1)="C","Credit","Factuur")</f>
        <v/>
      </c>
      <c r="H4071">
        <f>IF(AND(B4071=B4070,D4071=D4070,A4071=A4070,F4071=F4070),1,0)</f>
        <v/>
      </c>
      <c r="I4071">
        <f>IF(C4071="C99999",1,0)</f>
        <v/>
      </c>
      <c r="J4071" s="5">
        <f>IF(OR(H4071=1,I4071=1),0,IF(G4071="Credit",-F4071,F4071))</f>
        <v/>
      </c>
    </row>
    <row r="4072">
      <c r="A4072" t="inlineStr">
        <is>
          <t>2026-08-10</t>
        </is>
      </c>
      <c r="B4072" t="inlineStr">
        <is>
          <t>F286070</t>
        </is>
      </c>
      <c r="C4072" t="inlineStr">
        <is>
          <t>C11363</t>
        </is>
      </c>
      <c r="D4072" t="inlineStr">
        <is>
          <t>SKU-10080</t>
        </is>
      </c>
      <c r="E4072" t="inlineStr">
        <is>
          <t>AM09</t>
        </is>
      </c>
      <c r="F4072" s="5" t="n">
        <v>232.47</v>
      </c>
      <c r="G4072">
        <f>IF(LEFT(B4072,1)="C","Credit","Factuur")</f>
        <v/>
      </c>
      <c r="H4072">
        <f>IF(AND(B4072=B4071,D4072=D4071,A4072=A4071,F4072=F4071),1,0)</f>
        <v/>
      </c>
      <c r="I4072">
        <f>IF(C4072="C99999",1,0)</f>
        <v/>
      </c>
      <c r="J4072" s="5">
        <f>IF(OR(H4072=1,I4072=1),0,IF(G4072="Credit",-F4072,F4072))</f>
        <v/>
      </c>
    </row>
    <row r="4073">
      <c r="A4073" t="inlineStr">
        <is>
          <t>2026-08-10</t>
        </is>
      </c>
      <c r="B4073" t="inlineStr">
        <is>
          <t>F286070</t>
        </is>
      </c>
      <c r="C4073" t="inlineStr">
        <is>
          <t>C11363</t>
        </is>
      </c>
      <c r="D4073" t="inlineStr">
        <is>
          <t>SKU-10163</t>
        </is>
      </c>
      <c r="E4073" t="inlineStr">
        <is>
          <t>AM09</t>
        </is>
      </c>
      <c r="F4073" s="5" t="n">
        <v>221.62</v>
      </c>
      <c r="G4073">
        <f>IF(LEFT(B4073,1)="C","Credit","Factuur")</f>
        <v/>
      </c>
      <c r="H4073">
        <f>IF(AND(B4073=B4072,D4073=D4072,A4073=A4072,F4073=F4072),1,0)</f>
        <v/>
      </c>
      <c r="I4073">
        <f>IF(C4073="C99999",1,0)</f>
        <v/>
      </c>
      <c r="J4073" s="5">
        <f>IF(OR(H4073=1,I4073=1),0,IF(G4073="Credit",-F4073,F4073))</f>
        <v/>
      </c>
    </row>
    <row r="4074">
      <c r="A4074" t="inlineStr">
        <is>
          <t>2026-08-11</t>
        </is>
      </c>
      <c r="B4074" t="inlineStr">
        <is>
          <t>C900228</t>
        </is>
      </c>
      <c r="C4074" t="inlineStr">
        <is>
          <t>C10584</t>
        </is>
      </c>
      <c r="D4074" t="inlineStr">
        <is>
          <t>SKU-10014</t>
        </is>
      </c>
      <c r="E4074" t="inlineStr">
        <is>
          <t>AM07</t>
        </is>
      </c>
      <c r="F4074" s="5" t="n">
        <v>484.35</v>
      </c>
      <c r="G4074">
        <f>IF(LEFT(B4074,1)="C","Credit","Factuur")</f>
        <v/>
      </c>
      <c r="H4074">
        <f>IF(AND(B4074=B4073,D4074=D4073,A4074=A4073,F4074=F4073),1,0)</f>
        <v/>
      </c>
      <c r="I4074">
        <f>IF(C4074="C99999",1,0)</f>
        <v/>
      </c>
      <c r="J4074" s="5">
        <f>IF(OR(H4074=1,I4074=1),0,IF(G4074="Credit",-F4074,F4074))</f>
        <v/>
      </c>
    </row>
    <row r="4075">
      <c r="A4075" t="inlineStr">
        <is>
          <t>2026-08-11</t>
        </is>
      </c>
      <c r="B4075" t="inlineStr">
        <is>
          <t>C900340</t>
        </is>
      </c>
      <c r="C4075" t="inlineStr">
        <is>
          <t>C10289</t>
        </is>
      </c>
      <c r="D4075" t="inlineStr">
        <is>
          <t>SKU-10068</t>
        </is>
      </c>
      <c r="E4075" t="inlineStr">
        <is>
          <t>AM07</t>
        </is>
      </c>
      <c r="F4075" s="5" t="n">
        <v>326.7</v>
      </c>
      <c r="G4075">
        <f>IF(LEFT(B4075,1)="C","Credit","Factuur")</f>
        <v/>
      </c>
      <c r="H4075">
        <f>IF(AND(B4075=B4074,D4075=D4074,A4075=A4074,F4075=F4074),1,0)</f>
        <v/>
      </c>
      <c r="I4075">
        <f>IF(C4075="C99999",1,0)</f>
        <v/>
      </c>
      <c r="J4075" s="5">
        <f>IF(OR(H4075=1,I4075=1),0,IF(G4075="Credit",-F4075,F4075))</f>
        <v/>
      </c>
    </row>
    <row r="4076">
      <c r="A4076" t="inlineStr">
        <is>
          <t>2026-08-11</t>
        </is>
      </c>
      <c r="B4076" t="inlineStr">
        <is>
          <t>C900612</t>
        </is>
      </c>
      <c r="C4076" t="inlineStr">
        <is>
          <t>C11373</t>
        </is>
      </c>
      <c r="D4076" t="inlineStr">
        <is>
          <t>SKU-10333</t>
        </is>
      </c>
      <c r="E4076" t="inlineStr">
        <is>
          <t>AM09</t>
        </is>
      </c>
      <c r="F4076" s="5" t="n">
        <v>134.49</v>
      </c>
      <c r="G4076">
        <f>IF(LEFT(B4076,1)="C","Credit","Factuur")</f>
        <v/>
      </c>
      <c r="H4076">
        <f>IF(AND(B4076=B4075,D4076=D4075,A4076=A4075,F4076=F4075),1,0)</f>
        <v/>
      </c>
      <c r="I4076">
        <f>IF(C4076="C99999",1,0)</f>
        <v/>
      </c>
      <c r="J4076" s="5">
        <f>IF(OR(H4076=1,I4076=1),0,IF(G4076="Credit",-F4076,F4076))</f>
        <v/>
      </c>
    </row>
    <row r="4077">
      <c r="A4077" t="inlineStr">
        <is>
          <t>2026-08-11</t>
        </is>
      </c>
      <c r="B4077" t="inlineStr">
        <is>
          <t>C901107</t>
        </is>
      </c>
      <c r="C4077" t="inlineStr">
        <is>
          <t>C10609</t>
        </is>
      </c>
      <c r="D4077" t="inlineStr">
        <is>
          <t>SKU-10318</t>
        </is>
      </c>
      <c r="E4077" t="inlineStr">
        <is>
          <t>AM01</t>
        </is>
      </c>
      <c r="F4077" s="5" t="n">
        <v>183.15</v>
      </c>
      <c r="G4077">
        <f>IF(LEFT(B4077,1)="C","Credit","Factuur")</f>
        <v/>
      </c>
      <c r="H4077">
        <f>IF(AND(B4077=B4076,D4077=D4076,A4077=A4076,F4077=F4076),1,0)</f>
        <v/>
      </c>
      <c r="I4077">
        <f>IF(C4077="C99999",1,0)</f>
        <v/>
      </c>
      <c r="J4077" s="5">
        <f>IF(OR(H4077=1,I4077=1),0,IF(G4077="Credit",-F4077,F4077))</f>
        <v/>
      </c>
    </row>
    <row r="4078">
      <c r="A4078" t="inlineStr">
        <is>
          <t>2026-08-11</t>
        </is>
      </c>
      <c r="B4078" t="inlineStr">
        <is>
          <t>C901603</t>
        </is>
      </c>
      <c r="C4078" t="inlineStr">
        <is>
          <t>C11327</t>
        </is>
      </c>
      <c r="D4078" t="inlineStr">
        <is>
          <t>SKU-10240</t>
        </is>
      </c>
      <c r="E4078" t="inlineStr">
        <is>
          <t>AM11</t>
        </is>
      </c>
      <c r="F4078" s="5" t="n">
        <v>39.44</v>
      </c>
      <c r="G4078">
        <f>IF(LEFT(B4078,1)="C","Credit","Factuur")</f>
        <v/>
      </c>
      <c r="H4078">
        <f>IF(AND(B4078=B4077,D4078=D4077,A4078=A4077,F4078=F4077),1,0)</f>
        <v/>
      </c>
      <c r="I4078">
        <f>IF(C4078="C99999",1,0)</f>
        <v/>
      </c>
      <c r="J4078" s="5">
        <f>IF(OR(H4078=1,I4078=1),0,IF(G4078="Credit",-F4078,F4078))</f>
        <v/>
      </c>
    </row>
    <row r="4079">
      <c r="A4079" t="inlineStr">
        <is>
          <t>2026-08-11</t>
        </is>
      </c>
      <c r="B4079" t="inlineStr">
        <is>
          <t>C901943</t>
        </is>
      </c>
      <c r="C4079" t="inlineStr">
        <is>
          <t>C10933</t>
        </is>
      </c>
      <c r="D4079" t="inlineStr">
        <is>
          <t>SKU-10285</t>
        </is>
      </c>
      <c r="E4079" t="inlineStr">
        <is>
          <t>AM02</t>
        </is>
      </c>
      <c r="F4079" s="5" t="n">
        <v>218.2</v>
      </c>
      <c r="G4079">
        <f>IF(LEFT(B4079,1)="C","Credit","Factuur")</f>
        <v/>
      </c>
      <c r="H4079">
        <f>IF(AND(B4079=B4078,D4079=D4078,A4079=A4078,F4079=F4078),1,0)</f>
        <v/>
      </c>
      <c r="I4079">
        <f>IF(C4079="C99999",1,0)</f>
        <v/>
      </c>
      <c r="J4079" s="5">
        <f>IF(OR(H4079=1,I4079=1),0,IF(G4079="Credit",-F4079,F4079))</f>
        <v/>
      </c>
    </row>
    <row r="4080">
      <c r="A4080" t="inlineStr">
        <is>
          <t>2026-08-11</t>
        </is>
      </c>
      <c r="B4080" t="inlineStr">
        <is>
          <t>F261754</t>
        </is>
      </c>
      <c r="C4080" t="inlineStr">
        <is>
          <t>C10091</t>
        </is>
      </c>
      <c r="D4080" t="inlineStr">
        <is>
          <t>SKU-10311</t>
        </is>
      </c>
      <c r="E4080" t="inlineStr">
        <is>
          <t>AM11</t>
        </is>
      </c>
      <c r="F4080" s="5" t="n">
        <v>470.72</v>
      </c>
      <c r="G4080">
        <f>IF(LEFT(B4080,1)="C","Credit","Factuur")</f>
        <v/>
      </c>
      <c r="H4080">
        <f>IF(AND(B4080=B4079,D4080=D4079,A4080=A4079,F4080=F4079),1,0)</f>
        <v/>
      </c>
      <c r="I4080">
        <f>IF(C4080="C99999",1,0)</f>
        <v/>
      </c>
      <c r="J4080" s="5">
        <f>IF(OR(H4080=1,I4080=1),0,IF(G4080="Credit",-F4080,F4080))</f>
        <v/>
      </c>
    </row>
    <row r="4081">
      <c r="A4081" t="inlineStr">
        <is>
          <t>2026-08-11</t>
        </is>
      </c>
      <c r="B4081" t="inlineStr">
        <is>
          <t>F261754</t>
        </is>
      </c>
      <c r="C4081" t="inlineStr">
        <is>
          <t>C10091</t>
        </is>
      </c>
      <c r="D4081" t="inlineStr">
        <is>
          <t>SKU-10318</t>
        </is>
      </c>
      <c r="E4081" t="inlineStr">
        <is>
          <t>AM11</t>
        </is>
      </c>
      <c r="F4081" s="5" t="n">
        <v>444.65</v>
      </c>
      <c r="G4081">
        <f>IF(LEFT(B4081,1)="C","Credit","Factuur")</f>
        <v/>
      </c>
      <c r="H4081">
        <f>IF(AND(B4081=B4080,D4081=D4080,A4081=A4080,F4081=F4080),1,0)</f>
        <v/>
      </c>
      <c r="I4081">
        <f>IF(C4081="C99999",1,0)</f>
        <v/>
      </c>
      <c r="J4081" s="5">
        <f>IF(OR(H4081=1,I4081=1),0,IF(G4081="Credit",-F4081,F4081))</f>
        <v/>
      </c>
    </row>
    <row r="4082">
      <c r="A4082" t="inlineStr">
        <is>
          <t>2026-08-11</t>
        </is>
      </c>
      <c r="B4082" t="inlineStr">
        <is>
          <t>F262457</t>
        </is>
      </c>
      <c r="C4082" t="inlineStr">
        <is>
          <t>C10130</t>
        </is>
      </c>
      <c r="D4082" t="inlineStr">
        <is>
          <t>SKU-10015</t>
        </is>
      </c>
      <c r="E4082" t="inlineStr">
        <is>
          <t>AM01</t>
        </is>
      </c>
      <c r="F4082" s="5" t="n">
        <v>172.8</v>
      </c>
      <c r="G4082">
        <f>IF(LEFT(B4082,1)="C","Credit","Factuur")</f>
        <v/>
      </c>
      <c r="H4082">
        <f>IF(AND(B4082=B4081,D4082=D4081,A4082=A4081,F4082=F4081),1,0)</f>
        <v/>
      </c>
      <c r="I4082">
        <f>IF(C4082="C99999",1,0)</f>
        <v/>
      </c>
      <c r="J4082" s="5">
        <f>IF(OR(H4082=1,I4082=1),0,IF(G4082="Credit",-F4082,F4082))</f>
        <v/>
      </c>
    </row>
    <row r="4083">
      <c r="A4083" t="inlineStr">
        <is>
          <t>2026-08-11</t>
        </is>
      </c>
      <c r="B4083" t="inlineStr">
        <is>
          <t>F262457</t>
        </is>
      </c>
      <c r="C4083" t="inlineStr">
        <is>
          <t>C10130</t>
        </is>
      </c>
      <c r="D4083" t="inlineStr">
        <is>
          <t>SKU-10067</t>
        </is>
      </c>
      <c r="E4083" t="inlineStr">
        <is>
          <t>AM01</t>
        </is>
      </c>
      <c r="F4083" s="5" t="n">
        <v>232.24</v>
      </c>
      <c r="G4083">
        <f>IF(LEFT(B4083,1)="C","Credit","Factuur")</f>
        <v/>
      </c>
      <c r="H4083">
        <f>IF(AND(B4083=B4082,D4083=D4082,A4083=A4082,F4083=F4082),1,0)</f>
        <v/>
      </c>
      <c r="I4083">
        <f>IF(C4083="C99999",1,0)</f>
        <v/>
      </c>
      <c r="J4083" s="5">
        <f>IF(OR(H4083=1,I4083=1),0,IF(G4083="Credit",-F4083,F4083))</f>
        <v/>
      </c>
    </row>
    <row r="4084">
      <c r="A4084" t="inlineStr">
        <is>
          <t>2026-08-11</t>
        </is>
      </c>
      <c r="B4084" t="inlineStr">
        <is>
          <t>F262457</t>
        </is>
      </c>
      <c r="C4084" t="inlineStr">
        <is>
          <t>C10130</t>
        </is>
      </c>
      <c r="D4084" t="inlineStr">
        <is>
          <t>SKU-10078</t>
        </is>
      </c>
      <c r="E4084" t="inlineStr">
        <is>
          <t>AM01</t>
        </is>
      </c>
      <c r="F4084" s="5" t="n">
        <v>196.2</v>
      </c>
      <c r="G4084">
        <f>IF(LEFT(B4084,1)="C","Credit","Factuur")</f>
        <v/>
      </c>
      <c r="H4084">
        <f>IF(AND(B4084=B4083,D4084=D4083,A4084=A4083,F4084=F4083),1,0)</f>
        <v/>
      </c>
      <c r="I4084">
        <f>IF(C4084="C99999",1,0)</f>
        <v/>
      </c>
      <c r="J4084" s="5">
        <f>IF(OR(H4084=1,I4084=1),0,IF(G4084="Credit",-F4084,F4084))</f>
        <v/>
      </c>
    </row>
    <row r="4085">
      <c r="A4085" t="inlineStr">
        <is>
          <t>2026-08-11</t>
        </is>
      </c>
      <c r="B4085" t="inlineStr">
        <is>
          <t>F262457</t>
        </is>
      </c>
      <c r="C4085" t="inlineStr">
        <is>
          <t>C10130</t>
        </is>
      </c>
      <c r="D4085" t="inlineStr">
        <is>
          <t>SKU-10208</t>
        </is>
      </c>
      <c r="E4085" t="inlineStr">
        <is>
          <t>AM01</t>
        </is>
      </c>
      <c r="F4085" s="5" t="n">
        <v>177.58</v>
      </c>
      <c r="G4085">
        <f>IF(LEFT(B4085,1)="C","Credit","Factuur")</f>
        <v/>
      </c>
      <c r="H4085">
        <f>IF(AND(B4085=B4084,D4085=D4084,A4085=A4084,F4085=F4084),1,0)</f>
        <v/>
      </c>
      <c r="I4085">
        <f>IF(C4085="C99999",1,0)</f>
        <v/>
      </c>
      <c r="J4085" s="5">
        <f>IF(OR(H4085=1,I4085=1),0,IF(G4085="Credit",-F4085,F4085))</f>
        <v/>
      </c>
    </row>
    <row r="4086">
      <c r="A4086" t="inlineStr">
        <is>
          <t>2026-08-11</t>
        </is>
      </c>
      <c r="B4086" t="inlineStr">
        <is>
          <t>F262880</t>
        </is>
      </c>
      <c r="C4086" t="inlineStr">
        <is>
          <t>C10156</t>
        </is>
      </c>
      <c r="D4086" t="inlineStr">
        <is>
          <t>SKU-10020</t>
        </is>
      </c>
      <c r="E4086" t="inlineStr">
        <is>
          <t>AM03</t>
        </is>
      </c>
      <c r="F4086" s="5" t="n">
        <v>327.52</v>
      </c>
      <c r="G4086">
        <f>IF(LEFT(B4086,1)="C","Credit","Factuur")</f>
        <v/>
      </c>
      <c r="H4086">
        <f>IF(AND(B4086=B4085,D4086=D4085,A4086=A4085,F4086=F4085),1,0)</f>
        <v/>
      </c>
      <c r="I4086">
        <f>IF(C4086="C99999",1,0)</f>
        <v/>
      </c>
      <c r="J4086" s="5">
        <f>IF(OR(H4086=1,I4086=1),0,IF(G4086="Credit",-F4086,F4086))</f>
        <v/>
      </c>
    </row>
    <row r="4087">
      <c r="A4087" t="inlineStr">
        <is>
          <t>2026-08-11</t>
        </is>
      </c>
      <c r="B4087" t="inlineStr">
        <is>
          <t>F262880</t>
        </is>
      </c>
      <c r="C4087" t="inlineStr">
        <is>
          <t>C10156</t>
        </is>
      </c>
      <c r="D4087" t="inlineStr">
        <is>
          <t>SKU-10077</t>
        </is>
      </c>
      <c r="E4087" t="inlineStr">
        <is>
          <t>AM03</t>
        </is>
      </c>
      <c r="F4087" s="5" t="n">
        <v>331.32</v>
      </c>
      <c r="G4087">
        <f>IF(LEFT(B4087,1)="C","Credit","Factuur")</f>
        <v/>
      </c>
      <c r="H4087">
        <f>IF(AND(B4087=B4086,D4087=D4086,A4087=A4086,F4087=F4086),1,0)</f>
        <v/>
      </c>
      <c r="I4087">
        <f>IF(C4087="C99999",1,0)</f>
        <v/>
      </c>
      <c r="J4087" s="5">
        <f>IF(OR(H4087=1,I4087=1),0,IF(G4087="Credit",-F4087,F4087))</f>
        <v/>
      </c>
    </row>
    <row r="4088">
      <c r="A4088" t="inlineStr">
        <is>
          <t>2026-08-11</t>
        </is>
      </c>
      <c r="B4088" t="inlineStr">
        <is>
          <t>F262880</t>
        </is>
      </c>
      <c r="C4088" t="inlineStr">
        <is>
          <t>C10156</t>
        </is>
      </c>
      <c r="D4088" t="inlineStr">
        <is>
          <t>SKU-10147</t>
        </is>
      </c>
      <c r="E4088" t="inlineStr">
        <is>
          <t>AM03</t>
        </is>
      </c>
      <c r="F4088" s="5" t="n">
        <v>335.35</v>
      </c>
      <c r="G4088">
        <f>IF(LEFT(B4088,1)="C","Credit","Factuur")</f>
        <v/>
      </c>
      <c r="H4088">
        <f>IF(AND(B4088=B4087,D4088=D4087,A4088=A4087,F4088=F4087),1,0)</f>
        <v/>
      </c>
      <c r="I4088">
        <f>IF(C4088="C99999",1,0)</f>
        <v/>
      </c>
      <c r="J4088" s="5">
        <f>IF(OR(H4088=1,I4088=1),0,IF(G4088="Credit",-F4088,F4088))</f>
        <v/>
      </c>
    </row>
    <row r="4089">
      <c r="A4089" t="inlineStr">
        <is>
          <t>2026-08-11</t>
        </is>
      </c>
      <c r="B4089" t="inlineStr">
        <is>
          <t>F262880</t>
        </is>
      </c>
      <c r="C4089" t="inlineStr">
        <is>
          <t>C10156</t>
        </is>
      </c>
      <c r="D4089" t="inlineStr">
        <is>
          <t>SKU-10171</t>
        </is>
      </c>
      <c r="E4089" t="inlineStr">
        <is>
          <t>AM03</t>
        </is>
      </c>
      <c r="F4089" s="5" t="n">
        <v>291.83</v>
      </c>
      <c r="G4089">
        <f>IF(LEFT(B4089,1)="C","Credit","Factuur")</f>
        <v/>
      </c>
      <c r="H4089">
        <f>IF(AND(B4089=B4088,D4089=D4088,A4089=A4088,F4089=F4088),1,0)</f>
        <v/>
      </c>
      <c r="I4089">
        <f>IF(C4089="C99999",1,0)</f>
        <v/>
      </c>
      <c r="J4089" s="5">
        <f>IF(OR(H4089=1,I4089=1),0,IF(G4089="Credit",-F4089,F4089))</f>
        <v/>
      </c>
    </row>
    <row r="4090">
      <c r="A4090" t="inlineStr">
        <is>
          <t>2026-08-11</t>
        </is>
      </c>
      <c r="B4090" t="inlineStr">
        <is>
          <t>F262880</t>
        </is>
      </c>
      <c r="C4090" t="inlineStr">
        <is>
          <t>C10156</t>
        </is>
      </c>
      <c r="D4090" t="inlineStr">
        <is>
          <t>SKU-10218</t>
        </is>
      </c>
      <c r="E4090" t="inlineStr">
        <is>
          <t>AM03</t>
        </is>
      </c>
      <c r="F4090" s="5" t="n">
        <v>314.28</v>
      </c>
      <c r="G4090">
        <f>IF(LEFT(B4090,1)="C","Credit","Factuur")</f>
        <v/>
      </c>
      <c r="H4090">
        <f>IF(AND(B4090=B4089,D4090=D4089,A4090=A4089,F4090=F4089),1,0)</f>
        <v/>
      </c>
      <c r="I4090">
        <f>IF(C4090="C99999",1,0)</f>
        <v/>
      </c>
      <c r="J4090" s="5">
        <f>IF(OR(H4090=1,I4090=1),0,IF(G4090="Credit",-F4090,F4090))</f>
        <v/>
      </c>
    </row>
    <row r="4091">
      <c r="A4091" t="inlineStr">
        <is>
          <t>2026-08-11</t>
        </is>
      </c>
      <c r="B4091" t="inlineStr">
        <is>
          <t>F262880</t>
        </is>
      </c>
      <c r="C4091" t="inlineStr">
        <is>
          <t>C10156</t>
        </is>
      </c>
      <c r="D4091" t="inlineStr">
        <is>
          <t>SKU-10220</t>
        </is>
      </c>
      <c r="E4091" t="inlineStr">
        <is>
          <t>AM03</t>
        </is>
      </c>
      <c r="F4091" s="5" t="n">
        <v>281.34</v>
      </c>
      <c r="G4091">
        <f>IF(LEFT(B4091,1)="C","Credit","Factuur")</f>
        <v/>
      </c>
      <c r="H4091">
        <f>IF(AND(B4091=B4090,D4091=D4090,A4091=A4090,F4091=F4090),1,0)</f>
        <v/>
      </c>
      <c r="I4091">
        <f>IF(C4091="C99999",1,0)</f>
        <v/>
      </c>
      <c r="J4091" s="5">
        <f>IF(OR(H4091=1,I4091=1),0,IF(G4091="Credit",-F4091,F4091))</f>
        <v/>
      </c>
    </row>
    <row r="4092">
      <c r="A4092" t="inlineStr">
        <is>
          <t>2026-08-11</t>
        </is>
      </c>
      <c r="B4092" t="inlineStr">
        <is>
          <t>F263643</t>
        </is>
      </c>
      <c r="C4092" t="inlineStr">
        <is>
          <t>C10195</t>
        </is>
      </c>
      <c r="D4092" t="inlineStr">
        <is>
          <t>SKU-10316</t>
        </is>
      </c>
      <c r="E4092" t="inlineStr">
        <is>
          <t>AM06</t>
        </is>
      </c>
      <c r="F4092" s="5" t="n">
        <v>1176.29</v>
      </c>
      <c r="G4092">
        <f>IF(LEFT(B4092,1)="C","Credit","Factuur")</f>
        <v/>
      </c>
      <c r="H4092">
        <f>IF(AND(B4092=B4091,D4092=D4091,A4092=A4091,F4092=F4091),1,0)</f>
        <v/>
      </c>
      <c r="I4092">
        <f>IF(C4092="C99999",1,0)</f>
        <v/>
      </c>
      <c r="J4092" s="5">
        <f>IF(OR(H4092=1,I4092=1),0,IF(G4092="Credit",-F4092,F4092))</f>
        <v/>
      </c>
    </row>
    <row r="4093">
      <c r="A4093" t="inlineStr">
        <is>
          <t>2026-08-11</t>
        </is>
      </c>
      <c r="B4093" t="inlineStr">
        <is>
          <t>F265805</t>
        </is>
      </c>
      <c r="C4093" t="inlineStr">
        <is>
          <t>C10303</t>
        </is>
      </c>
      <c r="D4093" t="inlineStr">
        <is>
          <t>SKU-10026</t>
        </is>
      </c>
      <c r="E4093" t="inlineStr">
        <is>
          <t>AM02</t>
        </is>
      </c>
      <c r="F4093" s="5" t="n">
        <v>1564.84</v>
      </c>
      <c r="G4093">
        <f>IF(LEFT(B4093,1)="C","Credit","Factuur")</f>
        <v/>
      </c>
      <c r="H4093">
        <f>IF(AND(B4093=B4092,D4093=D4092,A4093=A4092,F4093=F4092),1,0)</f>
        <v/>
      </c>
      <c r="I4093">
        <f>IF(C4093="C99999",1,0)</f>
        <v/>
      </c>
      <c r="J4093" s="5">
        <f>IF(OR(H4093=1,I4093=1),0,IF(G4093="Credit",-F4093,F4093))</f>
        <v/>
      </c>
    </row>
    <row r="4094">
      <c r="A4094" t="inlineStr">
        <is>
          <t>2026-08-11</t>
        </is>
      </c>
      <c r="B4094" t="inlineStr">
        <is>
          <t>F265841</t>
        </is>
      </c>
      <c r="C4094" t="inlineStr">
        <is>
          <t>C10306</t>
        </is>
      </c>
      <c r="D4094" t="inlineStr">
        <is>
          <t>SKU-10309</t>
        </is>
      </c>
      <c r="E4094" t="inlineStr">
        <is>
          <t>AM12</t>
        </is>
      </c>
      <c r="F4094" s="5" t="n">
        <v>1247.67</v>
      </c>
      <c r="G4094">
        <f>IF(LEFT(B4094,1)="C","Credit","Factuur")</f>
        <v/>
      </c>
      <c r="H4094">
        <f>IF(AND(B4094=B4093,D4094=D4093,A4094=A4093,F4094=F4093),1,0)</f>
        <v/>
      </c>
      <c r="I4094">
        <f>IF(C4094="C99999",1,0)</f>
        <v/>
      </c>
      <c r="J4094" s="5">
        <f>IF(OR(H4094=1,I4094=1),0,IF(G4094="Credit",-F4094,F4094))</f>
        <v/>
      </c>
    </row>
    <row r="4095">
      <c r="A4095" t="inlineStr">
        <is>
          <t>2026-08-11</t>
        </is>
      </c>
      <c r="B4095" t="inlineStr">
        <is>
          <t>F265934</t>
        </is>
      </c>
      <c r="C4095" t="inlineStr">
        <is>
          <t>C10311</t>
        </is>
      </c>
      <c r="D4095" t="inlineStr">
        <is>
          <t>SKU-10046</t>
        </is>
      </c>
      <c r="E4095" t="inlineStr">
        <is>
          <t>AM02</t>
        </is>
      </c>
      <c r="F4095" s="5" t="n">
        <v>575.1799999999999</v>
      </c>
      <c r="G4095">
        <f>IF(LEFT(B4095,1)="C","Credit","Factuur")</f>
        <v/>
      </c>
      <c r="H4095">
        <f>IF(AND(B4095=B4094,D4095=D4094,A4095=A4094,F4095=F4094),1,0)</f>
        <v/>
      </c>
      <c r="I4095">
        <f>IF(C4095="C99999",1,0)</f>
        <v/>
      </c>
      <c r="J4095" s="5">
        <f>IF(OR(H4095=1,I4095=1),0,IF(G4095="Credit",-F4095,F4095))</f>
        <v/>
      </c>
    </row>
    <row r="4096">
      <c r="A4096" t="inlineStr">
        <is>
          <t>2026-08-11</t>
        </is>
      </c>
      <c r="B4096" t="inlineStr">
        <is>
          <t>F265934</t>
        </is>
      </c>
      <c r="C4096" t="inlineStr">
        <is>
          <t>C10311</t>
        </is>
      </c>
      <c r="D4096" t="inlineStr">
        <is>
          <t>SKU-10256</t>
        </is>
      </c>
      <c r="E4096" t="inlineStr">
        <is>
          <t>AM02</t>
        </is>
      </c>
      <c r="F4096" s="5" t="n">
        <v>607.91</v>
      </c>
      <c r="G4096">
        <f>IF(LEFT(B4096,1)="C","Credit","Factuur")</f>
        <v/>
      </c>
      <c r="H4096">
        <f>IF(AND(B4096=B4095,D4096=D4095,A4096=A4095,F4096=F4095),1,0)</f>
        <v/>
      </c>
      <c r="I4096">
        <f>IF(C4096="C99999",1,0)</f>
        <v/>
      </c>
      <c r="J4096" s="5">
        <f>IF(OR(H4096=1,I4096=1),0,IF(G4096="Credit",-F4096,F4096))</f>
        <v/>
      </c>
    </row>
    <row r="4097">
      <c r="A4097" t="inlineStr">
        <is>
          <t>2026-08-11</t>
        </is>
      </c>
      <c r="B4097" t="inlineStr">
        <is>
          <t>F266009</t>
        </is>
      </c>
      <c r="C4097" t="inlineStr">
        <is>
          <t>C10315</t>
        </is>
      </c>
      <c r="D4097" t="inlineStr">
        <is>
          <t>SKU-10100</t>
        </is>
      </c>
      <c r="E4097" t="inlineStr">
        <is>
          <t>AM08</t>
        </is>
      </c>
      <c r="F4097" s="5" t="n">
        <v>865.8</v>
      </c>
      <c r="G4097">
        <f>IF(LEFT(B4097,1)="C","Credit","Factuur")</f>
        <v/>
      </c>
      <c r="H4097">
        <f>IF(AND(B4097=B4096,D4097=D4096,A4097=A4096,F4097=F4096),1,0)</f>
        <v/>
      </c>
      <c r="I4097">
        <f>IF(C4097="C99999",1,0)</f>
        <v/>
      </c>
      <c r="J4097" s="5">
        <f>IF(OR(H4097=1,I4097=1),0,IF(G4097="Credit",-F4097,F4097))</f>
        <v/>
      </c>
    </row>
    <row r="4098">
      <c r="A4098" t="inlineStr">
        <is>
          <t>2026-08-11</t>
        </is>
      </c>
      <c r="B4098" t="inlineStr">
        <is>
          <t>F266009</t>
        </is>
      </c>
      <c r="C4098" t="inlineStr">
        <is>
          <t>C10315</t>
        </is>
      </c>
      <c r="D4098" t="inlineStr">
        <is>
          <t>SKU-10127</t>
        </is>
      </c>
      <c r="E4098" t="inlineStr">
        <is>
          <t>AM08</t>
        </is>
      </c>
      <c r="F4098" s="5" t="n">
        <v>915.5</v>
      </c>
      <c r="G4098">
        <f>IF(LEFT(B4098,1)="C","Credit","Factuur")</f>
        <v/>
      </c>
      <c r="H4098">
        <f>IF(AND(B4098=B4097,D4098=D4097,A4098=A4097,F4098=F4097),1,0)</f>
        <v/>
      </c>
      <c r="I4098">
        <f>IF(C4098="C99999",1,0)</f>
        <v/>
      </c>
      <c r="J4098" s="5">
        <f>IF(OR(H4098=1,I4098=1),0,IF(G4098="Credit",-F4098,F4098))</f>
        <v/>
      </c>
    </row>
    <row r="4099">
      <c r="A4099" t="inlineStr">
        <is>
          <t>2026-08-11</t>
        </is>
      </c>
      <c r="B4099" t="inlineStr">
        <is>
          <t>F266009</t>
        </is>
      </c>
      <c r="C4099" t="inlineStr">
        <is>
          <t>C10315</t>
        </is>
      </c>
      <c r="D4099" t="inlineStr">
        <is>
          <t>SKU-10153</t>
        </is>
      </c>
      <c r="E4099" t="inlineStr">
        <is>
          <t>AM08</t>
        </is>
      </c>
      <c r="F4099" s="5" t="n">
        <v>876.72</v>
      </c>
      <c r="G4099">
        <f>IF(LEFT(B4099,1)="C","Credit","Factuur")</f>
        <v/>
      </c>
      <c r="H4099">
        <f>IF(AND(B4099=B4098,D4099=D4098,A4099=A4098,F4099=F4098),1,0)</f>
        <v/>
      </c>
      <c r="I4099">
        <f>IF(C4099="C99999",1,0)</f>
        <v/>
      </c>
      <c r="J4099" s="5">
        <f>IF(OR(H4099=1,I4099=1),0,IF(G4099="Credit",-F4099,F4099))</f>
        <v/>
      </c>
    </row>
    <row r="4100">
      <c r="A4100" t="inlineStr">
        <is>
          <t>2026-08-11</t>
        </is>
      </c>
      <c r="B4100" t="inlineStr">
        <is>
          <t>F266009</t>
        </is>
      </c>
      <c r="C4100" t="inlineStr">
        <is>
          <t>C10315</t>
        </is>
      </c>
      <c r="D4100" t="inlineStr">
        <is>
          <t>SKU-10378</t>
        </is>
      </c>
      <c r="E4100" t="inlineStr">
        <is>
          <t>AM08</t>
        </is>
      </c>
      <c r="F4100" s="5" t="n">
        <v>897.3200000000001</v>
      </c>
      <c r="G4100">
        <f>IF(LEFT(B4100,1)="C","Credit","Factuur")</f>
        <v/>
      </c>
      <c r="H4100">
        <f>IF(AND(B4100=B4099,D4100=D4099,A4100=A4099,F4100=F4099),1,0)</f>
        <v/>
      </c>
      <c r="I4100">
        <f>IF(C4100="C99999",1,0)</f>
        <v/>
      </c>
      <c r="J4100" s="5">
        <f>IF(OR(H4100=1,I4100=1),0,IF(G4100="Credit",-F4100,F4100))</f>
        <v/>
      </c>
    </row>
    <row r="4101">
      <c r="A4101" t="inlineStr">
        <is>
          <t>2026-08-11</t>
        </is>
      </c>
      <c r="B4101" t="inlineStr">
        <is>
          <t>F266258</t>
        </is>
      </c>
      <c r="C4101" t="inlineStr">
        <is>
          <t>C10328</t>
        </is>
      </c>
      <c r="D4101" t="inlineStr">
        <is>
          <t>SKU-10141</t>
        </is>
      </c>
      <c r="E4101" t="inlineStr">
        <is>
          <t>AM03</t>
        </is>
      </c>
      <c r="F4101" s="5" t="n">
        <v>265.25</v>
      </c>
      <c r="G4101">
        <f>IF(LEFT(B4101,1)="C","Credit","Factuur")</f>
        <v/>
      </c>
      <c r="H4101">
        <f>IF(AND(B4101=B4100,D4101=D4100,A4101=A4100,F4101=F4100),1,0)</f>
        <v/>
      </c>
      <c r="I4101">
        <f>IF(C4101="C99999",1,0)</f>
        <v/>
      </c>
      <c r="J4101" s="5">
        <f>IF(OR(H4101=1,I4101=1),0,IF(G4101="Credit",-F4101,F4101))</f>
        <v/>
      </c>
    </row>
    <row r="4102">
      <c r="A4102" t="inlineStr">
        <is>
          <t>2026-08-11</t>
        </is>
      </c>
      <c r="B4102" t="inlineStr">
        <is>
          <t>F267712</t>
        </is>
      </c>
      <c r="C4102" t="inlineStr">
        <is>
          <t>C10405</t>
        </is>
      </c>
      <c r="D4102" t="inlineStr">
        <is>
          <t>SKU-10016</t>
        </is>
      </c>
      <c r="E4102" t="inlineStr">
        <is>
          <t>AM02</t>
        </is>
      </c>
      <c r="F4102" s="5" t="n">
        <v>3470.43</v>
      </c>
      <c r="G4102">
        <f>IF(LEFT(B4102,1)="C","Credit","Factuur")</f>
        <v/>
      </c>
      <c r="H4102">
        <f>IF(AND(B4102=B4101,D4102=D4101,A4102=A4101,F4102=F4101),1,0)</f>
        <v/>
      </c>
      <c r="I4102">
        <f>IF(C4102="C99999",1,0)</f>
        <v/>
      </c>
      <c r="J4102" s="5">
        <f>IF(OR(H4102=1,I4102=1),0,IF(G4102="Credit",-F4102,F4102))</f>
        <v/>
      </c>
    </row>
    <row r="4103">
      <c r="A4103" t="inlineStr">
        <is>
          <t>2026-08-11</t>
        </is>
      </c>
      <c r="B4103" t="inlineStr">
        <is>
          <t>F267712</t>
        </is>
      </c>
      <c r="C4103" t="inlineStr">
        <is>
          <t>C10405</t>
        </is>
      </c>
      <c r="D4103" t="inlineStr">
        <is>
          <t>SKU-10278</t>
        </is>
      </c>
      <c r="E4103" t="inlineStr">
        <is>
          <t>AM02</t>
        </is>
      </c>
      <c r="F4103" s="5" t="n">
        <v>3657.48</v>
      </c>
      <c r="G4103">
        <f>IF(LEFT(B4103,1)="C","Credit","Factuur")</f>
        <v/>
      </c>
      <c r="H4103">
        <f>IF(AND(B4103=B4102,D4103=D4102,A4103=A4102,F4103=F4102),1,0)</f>
        <v/>
      </c>
      <c r="I4103">
        <f>IF(C4103="C99999",1,0)</f>
        <v/>
      </c>
      <c r="J4103" s="5">
        <f>IF(OR(H4103=1,I4103=1),0,IF(G4103="Credit",-F4103,F4103))</f>
        <v/>
      </c>
    </row>
    <row r="4104">
      <c r="A4104" t="inlineStr">
        <is>
          <t>2026-08-11</t>
        </is>
      </c>
      <c r="B4104" t="inlineStr">
        <is>
          <t>F269142</t>
        </is>
      </c>
      <c r="C4104" t="inlineStr">
        <is>
          <t>C10479</t>
        </is>
      </c>
      <c r="D4104" t="inlineStr">
        <is>
          <t>SKU-10307</t>
        </is>
      </c>
      <c r="E4104" t="inlineStr">
        <is>
          <t>AM11</t>
        </is>
      </c>
      <c r="F4104" s="5" t="n">
        <v>913.95</v>
      </c>
      <c r="G4104">
        <f>IF(LEFT(B4104,1)="C","Credit","Factuur")</f>
        <v/>
      </c>
      <c r="H4104">
        <f>IF(AND(B4104=B4103,D4104=D4103,A4104=A4103,F4104=F4103),1,0)</f>
        <v/>
      </c>
      <c r="I4104">
        <f>IF(C4104="C99999",1,0)</f>
        <v/>
      </c>
      <c r="J4104" s="5">
        <f>IF(OR(H4104=1,I4104=1),0,IF(G4104="Credit",-F4104,F4104))</f>
        <v/>
      </c>
    </row>
    <row r="4105">
      <c r="A4105" t="inlineStr">
        <is>
          <t>2026-08-11</t>
        </is>
      </c>
      <c r="B4105" t="inlineStr">
        <is>
          <t>F271167</t>
        </is>
      </c>
      <c r="C4105" t="inlineStr">
        <is>
          <t>C10582</t>
        </is>
      </c>
      <c r="D4105" t="inlineStr">
        <is>
          <t>SKU-10031</t>
        </is>
      </c>
      <c r="E4105" t="inlineStr">
        <is>
          <t>AM08</t>
        </is>
      </c>
      <c r="F4105" s="5" t="n">
        <v>387.96</v>
      </c>
      <c r="G4105">
        <f>IF(LEFT(B4105,1)="C","Credit","Factuur")</f>
        <v/>
      </c>
      <c r="H4105">
        <f>IF(AND(B4105=B4104,D4105=D4104,A4105=A4104,F4105=F4104),1,0)</f>
        <v/>
      </c>
      <c r="I4105">
        <f>IF(C4105="C99999",1,0)</f>
        <v/>
      </c>
      <c r="J4105" s="5">
        <f>IF(OR(H4105=1,I4105=1),0,IF(G4105="Credit",-F4105,F4105))</f>
        <v/>
      </c>
    </row>
    <row r="4106">
      <c r="A4106" t="inlineStr">
        <is>
          <t>2026-08-11</t>
        </is>
      </c>
      <c r="B4106" t="inlineStr">
        <is>
          <t>F271167</t>
        </is>
      </c>
      <c r="C4106" t="inlineStr">
        <is>
          <t>C10582</t>
        </is>
      </c>
      <c r="D4106" t="inlineStr">
        <is>
          <t>SKU-10065</t>
        </is>
      </c>
      <c r="E4106" t="inlineStr">
        <is>
          <t>AM08</t>
        </is>
      </c>
      <c r="F4106" s="5" t="n">
        <v>346.86</v>
      </c>
      <c r="G4106">
        <f>IF(LEFT(B4106,1)="C","Credit","Factuur")</f>
        <v/>
      </c>
      <c r="H4106">
        <f>IF(AND(B4106=B4105,D4106=D4105,A4106=A4105,F4106=F4105),1,0)</f>
        <v/>
      </c>
      <c r="I4106">
        <f>IF(C4106="C99999",1,0)</f>
        <v/>
      </c>
      <c r="J4106" s="5">
        <f>IF(OR(H4106=1,I4106=1),0,IF(G4106="Credit",-F4106,F4106))</f>
        <v/>
      </c>
    </row>
    <row r="4107">
      <c r="A4107" t="inlineStr">
        <is>
          <t>2026-08-11</t>
        </is>
      </c>
      <c r="B4107" t="inlineStr">
        <is>
          <t>F272738</t>
        </is>
      </c>
      <c r="C4107" t="inlineStr">
        <is>
          <t>C10664</t>
        </is>
      </c>
      <c r="D4107" t="inlineStr">
        <is>
          <t>SKU-10017</t>
        </is>
      </c>
      <c r="E4107" t="inlineStr">
        <is>
          <t>AM05</t>
        </is>
      </c>
      <c r="F4107" s="5" t="n">
        <v>36.91</v>
      </c>
      <c r="G4107">
        <f>IF(LEFT(B4107,1)="C","Credit","Factuur")</f>
        <v/>
      </c>
      <c r="H4107">
        <f>IF(AND(B4107=B4106,D4107=D4106,A4107=A4106,F4107=F4106),1,0)</f>
        <v/>
      </c>
      <c r="I4107">
        <f>IF(C4107="C99999",1,0)</f>
        <v/>
      </c>
      <c r="J4107" s="5">
        <f>IF(OR(H4107=1,I4107=1),0,IF(G4107="Credit",-F4107,F4107))</f>
        <v/>
      </c>
    </row>
    <row r="4108">
      <c r="A4108" t="inlineStr">
        <is>
          <t>2026-08-11</t>
        </is>
      </c>
      <c r="B4108" t="inlineStr">
        <is>
          <t>F272738</t>
        </is>
      </c>
      <c r="C4108" t="inlineStr">
        <is>
          <t>C10664</t>
        </is>
      </c>
      <c r="D4108" t="inlineStr">
        <is>
          <t>SKU-10112</t>
        </is>
      </c>
      <c r="E4108" t="inlineStr">
        <is>
          <t>AM05</t>
        </is>
      </c>
      <c r="F4108" s="5" t="n">
        <v>93.48</v>
      </c>
      <c r="G4108">
        <f>IF(LEFT(B4108,1)="C","Credit","Factuur")</f>
        <v/>
      </c>
      <c r="H4108">
        <f>IF(AND(B4108=B4107,D4108=D4107,A4108=A4107,F4108=F4107),1,0)</f>
        <v/>
      </c>
      <c r="I4108">
        <f>IF(C4108="C99999",1,0)</f>
        <v/>
      </c>
      <c r="J4108" s="5">
        <f>IF(OR(H4108=1,I4108=1),0,IF(G4108="Credit",-F4108,F4108))</f>
        <v/>
      </c>
    </row>
    <row r="4109">
      <c r="A4109" t="inlineStr">
        <is>
          <t>2026-08-11</t>
        </is>
      </c>
      <c r="B4109" t="inlineStr">
        <is>
          <t>F272738</t>
        </is>
      </c>
      <c r="C4109" t="inlineStr">
        <is>
          <t>C10664</t>
        </is>
      </c>
      <c r="D4109" t="inlineStr">
        <is>
          <t>SKU-10140</t>
        </is>
      </c>
      <c r="E4109" t="inlineStr">
        <is>
          <t>AM05</t>
        </is>
      </c>
      <c r="F4109" s="5" t="n">
        <v>104.92</v>
      </c>
      <c r="G4109">
        <f>IF(LEFT(B4109,1)="C","Credit","Factuur")</f>
        <v/>
      </c>
      <c r="H4109">
        <f>IF(AND(B4109=B4108,D4109=D4108,A4109=A4108,F4109=F4108),1,0)</f>
        <v/>
      </c>
      <c r="I4109">
        <f>IF(C4109="C99999",1,0)</f>
        <v/>
      </c>
      <c r="J4109" s="5">
        <f>IF(OR(H4109=1,I4109=1),0,IF(G4109="Credit",-F4109,F4109))</f>
        <v/>
      </c>
    </row>
    <row r="4110">
      <c r="A4110" t="inlineStr">
        <is>
          <t>2026-08-11</t>
        </is>
      </c>
      <c r="B4110" t="inlineStr">
        <is>
          <t>F272738</t>
        </is>
      </c>
      <c r="C4110" t="inlineStr">
        <is>
          <t>C10664</t>
        </is>
      </c>
      <c r="D4110" t="inlineStr">
        <is>
          <t>SKU-10174</t>
        </is>
      </c>
      <c r="E4110" t="inlineStr">
        <is>
          <t>AM05</t>
        </is>
      </c>
      <c r="F4110" s="5" t="n">
        <v>39.91</v>
      </c>
      <c r="G4110">
        <f>IF(LEFT(B4110,1)="C","Credit","Factuur")</f>
        <v/>
      </c>
      <c r="H4110">
        <f>IF(AND(B4110=B4109,D4110=D4109,A4110=A4109,F4110=F4109),1,0)</f>
        <v/>
      </c>
      <c r="I4110">
        <f>IF(C4110="C99999",1,0)</f>
        <v/>
      </c>
      <c r="J4110" s="5">
        <f>IF(OR(H4110=1,I4110=1),0,IF(G4110="Credit",-F4110,F4110))</f>
        <v/>
      </c>
    </row>
    <row r="4111">
      <c r="A4111" t="inlineStr">
        <is>
          <t>2026-08-11</t>
        </is>
      </c>
      <c r="B4111" t="inlineStr">
        <is>
          <t>F272881</t>
        </is>
      </c>
      <c r="C4111" t="inlineStr">
        <is>
          <t>C10670</t>
        </is>
      </c>
      <c r="D4111" t="inlineStr">
        <is>
          <t>SKU-10051</t>
        </is>
      </c>
      <c r="E4111" t="inlineStr">
        <is>
          <t>AM03</t>
        </is>
      </c>
      <c r="F4111" s="5" t="n">
        <v>102.56</v>
      </c>
      <c r="G4111">
        <f>IF(LEFT(B4111,1)="C","Credit","Factuur")</f>
        <v/>
      </c>
      <c r="H4111">
        <f>IF(AND(B4111=B4110,D4111=D4110,A4111=A4110,F4111=F4110),1,0)</f>
        <v/>
      </c>
      <c r="I4111">
        <f>IF(C4111="C99999",1,0)</f>
        <v/>
      </c>
      <c r="J4111" s="5">
        <f>IF(OR(H4111=1,I4111=1),0,IF(G4111="Credit",-F4111,F4111))</f>
        <v/>
      </c>
    </row>
    <row r="4112">
      <c r="A4112" t="inlineStr">
        <is>
          <t>2026-08-11</t>
        </is>
      </c>
      <c r="B4112" t="inlineStr">
        <is>
          <t>F272881</t>
        </is>
      </c>
      <c r="C4112" t="inlineStr">
        <is>
          <t>C10670</t>
        </is>
      </c>
      <c r="D4112" t="inlineStr">
        <is>
          <t>SKU-10075</t>
        </is>
      </c>
      <c r="E4112" t="inlineStr">
        <is>
          <t>AM03</t>
        </is>
      </c>
      <c r="F4112" s="5" t="n">
        <v>115.32</v>
      </c>
      <c r="G4112">
        <f>IF(LEFT(B4112,1)="C","Credit","Factuur")</f>
        <v/>
      </c>
      <c r="H4112">
        <f>IF(AND(B4112=B4111,D4112=D4111,A4112=A4111,F4112=F4111),1,0)</f>
        <v/>
      </c>
      <c r="I4112">
        <f>IF(C4112="C99999",1,0)</f>
        <v/>
      </c>
      <c r="J4112" s="5">
        <f>IF(OR(H4112=1,I4112=1),0,IF(G4112="Credit",-F4112,F4112))</f>
        <v/>
      </c>
    </row>
    <row r="4113">
      <c r="A4113" t="inlineStr">
        <is>
          <t>2026-08-11</t>
        </is>
      </c>
      <c r="B4113" t="inlineStr">
        <is>
          <t>F272881</t>
        </is>
      </c>
      <c r="C4113" t="inlineStr">
        <is>
          <t>C10670</t>
        </is>
      </c>
      <c r="D4113" t="inlineStr">
        <is>
          <t>SKU-10282</t>
        </is>
      </c>
      <c r="E4113" t="inlineStr">
        <is>
          <t>AM03</t>
        </is>
      </c>
      <c r="F4113" s="5" t="n">
        <v>103.07</v>
      </c>
      <c r="G4113">
        <f>IF(LEFT(B4113,1)="C","Credit","Factuur")</f>
        <v/>
      </c>
      <c r="H4113">
        <f>IF(AND(B4113=B4112,D4113=D4112,A4113=A4112,F4113=F4112),1,0)</f>
        <v/>
      </c>
      <c r="I4113">
        <f>IF(C4113="C99999",1,0)</f>
        <v/>
      </c>
      <c r="J4113" s="5">
        <f>IF(OR(H4113=1,I4113=1),0,IF(G4113="Credit",-F4113,F4113))</f>
        <v/>
      </c>
    </row>
    <row r="4114">
      <c r="A4114" t="inlineStr">
        <is>
          <t>2026-08-11</t>
        </is>
      </c>
      <c r="B4114" t="inlineStr">
        <is>
          <t>F272881</t>
        </is>
      </c>
      <c r="C4114" t="inlineStr">
        <is>
          <t>C10670</t>
        </is>
      </c>
      <c r="D4114" t="inlineStr">
        <is>
          <t>SKU-10299</t>
        </is>
      </c>
      <c r="E4114" t="inlineStr">
        <is>
          <t>AM03</t>
        </is>
      </c>
      <c r="F4114" s="5" t="n">
        <v>112.92</v>
      </c>
      <c r="G4114">
        <f>IF(LEFT(B4114,1)="C","Credit","Factuur")</f>
        <v/>
      </c>
      <c r="H4114">
        <f>IF(AND(B4114=B4113,D4114=D4113,A4114=A4113,F4114=F4113),1,0)</f>
        <v/>
      </c>
      <c r="I4114">
        <f>IF(C4114="C99999",1,0)</f>
        <v/>
      </c>
      <c r="J4114" s="5">
        <f>IF(OR(H4114=1,I4114=1),0,IF(G4114="Credit",-F4114,F4114))</f>
        <v/>
      </c>
    </row>
    <row r="4115">
      <c r="A4115" t="inlineStr">
        <is>
          <t>2026-08-11</t>
        </is>
      </c>
      <c r="B4115" t="inlineStr">
        <is>
          <t>F272881</t>
        </is>
      </c>
      <c r="C4115" t="inlineStr">
        <is>
          <t>C10670</t>
        </is>
      </c>
      <c r="D4115" t="inlineStr">
        <is>
          <t>SKU-10381</t>
        </is>
      </c>
      <c r="E4115" t="inlineStr">
        <is>
          <t>AM03</t>
        </is>
      </c>
      <c r="F4115" s="5" t="n">
        <v>514.36</v>
      </c>
      <c r="G4115">
        <f>IF(LEFT(B4115,1)="C","Credit","Factuur")</f>
        <v/>
      </c>
      <c r="H4115">
        <f>IF(AND(B4115=B4114,D4115=D4114,A4115=A4114,F4115=F4114),1,0)</f>
        <v/>
      </c>
      <c r="I4115">
        <f>IF(C4115="C99999",1,0)</f>
        <v/>
      </c>
      <c r="J4115" s="5">
        <f>IF(OR(H4115=1,I4115=1),0,IF(G4115="Credit",-F4115,F4115))</f>
        <v/>
      </c>
    </row>
    <row r="4116">
      <c r="A4116" t="inlineStr">
        <is>
          <t>2026-08-11</t>
        </is>
      </c>
      <c r="B4116" t="inlineStr">
        <is>
          <t>F273310</t>
        </is>
      </c>
      <c r="C4116" t="inlineStr">
        <is>
          <t>C10697</t>
        </is>
      </c>
      <c r="D4116" t="inlineStr">
        <is>
          <t>SKU-10140</t>
        </is>
      </c>
      <c r="E4116" t="inlineStr">
        <is>
          <t>AM05</t>
        </is>
      </c>
      <c r="F4116" s="5" t="n">
        <v>419.68</v>
      </c>
      <c r="G4116">
        <f>IF(LEFT(B4116,1)="C","Credit","Factuur")</f>
        <v/>
      </c>
      <c r="H4116">
        <f>IF(AND(B4116=B4115,D4116=D4115,A4116=A4115,F4116=F4115),1,0)</f>
        <v/>
      </c>
      <c r="I4116">
        <f>IF(C4116="C99999",1,0)</f>
        <v/>
      </c>
      <c r="J4116" s="5">
        <f>IF(OR(H4116=1,I4116=1),0,IF(G4116="Credit",-F4116,F4116))</f>
        <v/>
      </c>
    </row>
    <row r="4117">
      <c r="A4117" t="inlineStr">
        <is>
          <t>2026-08-11</t>
        </is>
      </c>
      <c r="B4117" t="inlineStr">
        <is>
          <t>F273310</t>
        </is>
      </c>
      <c r="C4117" t="inlineStr">
        <is>
          <t>C10697</t>
        </is>
      </c>
      <c r="D4117" t="inlineStr">
        <is>
          <t>SKU-10174</t>
        </is>
      </c>
      <c r="E4117" t="inlineStr">
        <is>
          <t>AM05</t>
        </is>
      </c>
      <c r="F4117" s="5" t="n">
        <v>439.01</v>
      </c>
      <c r="G4117">
        <f>IF(LEFT(B4117,1)="C","Credit","Factuur")</f>
        <v/>
      </c>
      <c r="H4117">
        <f>IF(AND(B4117=B4116,D4117=D4116,A4117=A4116,F4117=F4116),1,0)</f>
        <v/>
      </c>
      <c r="I4117">
        <f>IF(C4117="C99999",1,0)</f>
        <v/>
      </c>
      <c r="J4117" s="5">
        <f>IF(OR(H4117=1,I4117=1),0,IF(G4117="Credit",-F4117,F4117))</f>
        <v/>
      </c>
    </row>
    <row r="4118">
      <c r="A4118" t="inlineStr">
        <is>
          <t>2026-08-11</t>
        </is>
      </c>
      <c r="B4118" t="inlineStr">
        <is>
          <t>F274304</t>
        </is>
      </c>
      <c r="C4118" t="inlineStr">
        <is>
          <t>C10756</t>
        </is>
      </c>
      <c r="D4118" t="inlineStr">
        <is>
          <t>SKU-10304</t>
        </is>
      </c>
      <c r="E4118" t="inlineStr">
        <is>
          <t>AM06</t>
        </is>
      </c>
      <c r="F4118" s="5" t="n">
        <v>2505.92</v>
      </c>
      <c r="G4118">
        <f>IF(LEFT(B4118,1)="C","Credit","Factuur")</f>
        <v/>
      </c>
      <c r="H4118">
        <f>IF(AND(B4118=B4117,D4118=D4117,A4118=A4117,F4118=F4117),1,0)</f>
        <v/>
      </c>
      <c r="I4118">
        <f>IF(C4118="C99999",1,0)</f>
        <v/>
      </c>
      <c r="J4118" s="5">
        <f>IF(OR(H4118=1,I4118=1),0,IF(G4118="Credit",-F4118,F4118))</f>
        <v/>
      </c>
    </row>
    <row r="4119">
      <c r="A4119" t="inlineStr">
        <is>
          <t>2026-08-11</t>
        </is>
      </c>
      <c r="B4119" t="inlineStr">
        <is>
          <t>F274949</t>
        </is>
      </c>
      <c r="C4119" t="inlineStr">
        <is>
          <t>C10789</t>
        </is>
      </c>
      <c r="D4119" t="inlineStr">
        <is>
          <t>SKU-10265</t>
        </is>
      </c>
      <c r="E4119" t="inlineStr">
        <is>
          <t>AM01</t>
        </is>
      </c>
      <c r="F4119" s="5" t="n">
        <v>266.08</v>
      </c>
      <c r="G4119">
        <f>IF(LEFT(B4119,1)="C","Credit","Factuur")</f>
        <v/>
      </c>
      <c r="H4119">
        <f>IF(AND(B4119=B4118,D4119=D4118,A4119=A4118,F4119=F4118),1,0)</f>
        <v/>
      </c>
      <c r="I4119">
        <f>IF(C4119="C99999",1,0)</f>
        <v/>
      </c>
      <c r="J4119" s="5">
        <f>IF(OR(H4119=1,I4119=1),0,IF(G4119="Credit",-F4119,F4119))</f>
        <v/>
      </c>
    </row>
    <row r="4120">
      <c r="A4120" t="inlineStr">
        <is>
          <t>2026-08-11</t>
        </is>
      </c>
      <c r="B4120" t="inlineStr">
        <is>
          <t>F274949</t>
        </is>
      </c>
      <c r="C4120" t="inlineStr">
        <is>
          <t>C10789</t>
        </is>
      </c>
      <c r="D4120" t="inlineStr">
        <is>
          <t>SKU-10289</t>
        </is>
      </c>
      <c r="E4120" t="inlineStr">
        <is>
          <t>AM01</t>
        </is>
      </c>
      <c r="F4120" s="5" t="n">
        <v>268.73</v>
      </c>
      <c r="G4120">
        <f>IF(LEFT(B4120,1)="C","Credit","Factuur")</f>
        <v/>
      </c>
      <c r="H4120">
        <f>IF(AND(B4120=B4119,D4120=D4119,A4120=A4119,F4120=F4119),1,0)</f>
        <v/>
      </c>
      <c r="I4120">
        <f>IF(C4120="C99999",1,0)</f>
        <v/>
      </c>
      <c r="J4120" s="5">
        <f>IF(OR(H4120=1,I4120=1),0,IF(G4120="Credit",-F4120,F4120))</f>
        <v/>
      </c>
    </row>
    <row r="4121">
      <c r="A4121" t="inlineStr">
        <is>
          <t>2026-08-11</t>
        </is>
      </c>
      <c r="B4121" t="inlineStr">
        <is>
          <t>F274949</t>
        </is>
      </c>
      <c r="C4121" t="inlineStr">
        <is>
          <t>C10789</t>
        </is>
      </c>
      <c r="D4121" t="inlineStr">
        <is>
          <t>SKU-10307</t>
        </is>
      </c>
      <c r="E4121" t="inlineStr">
        <is>
          <t>AM01</t>
        </is>
      </c>
      <c r="F4121" s="5" t="n">
        <v>270.8</v>
      </c>
      <c r="G4121">
        <f>IF(LEFT(B4121,1)="C","Credit","Factuur")</f>
        <v/>
      </c>
      <c r="H4121">
        <f>IF(AND(B4121=B4120,D4121=D4120,A4121=A4120,F4121=F4120),1,0)</f>
        <v/>
      </c>
      <c r="I4121">
        <f>IF(C4121="C99999",1,0)</f>
        <v/>
      </c>
      <c r="J4121" s="5">
        <f>IF(OR(H4121=1,I4121=1),0,IF(G4121="Credit",-F4121,F4121))</f>
        <v/>
      </c>
    </row>
    <row r="4122">
      <c r="A4122" t="inlineStr">
        <is>
          <t>2026-08-11</t>
        </is>
      </c>
      <c r="B4122" t="inlineStr">
        <is>
          <t>F275208</t>
        </is>
      </c>
      <c r="C4122" t="inlineStr">
        <is>
          <t>C10801</t>
        </is>
      </c>
      <c r="D4122" t="inlineStr">
        <is>
          <t>SKU-10075</t>
        </is>
      </c>
      <c r="E4122" t="inlineStr">
        <is>
          <t>AM01</t>
        </is>
      </c>
      <c r="F4122" s="5" t="n">
        <v>115.32</v>
      </c>
      <c r="G4122">
        <f>IF(LEFT(B4122,1)="C","Credit","Factuur")</f>
        <v/>
      </c>
      <c r="H4122">
        <f>IF(AND(B4122=B4121,D4122=D4121,A4122=A4121,F4122=F4121),1,0)</f>
        <v/>
      </c>
      <c r="I4122">
        <f>IF(C4122="C99999",1,0)</f>
        <v/>
      </c>
      <c r="J4122" s="5">
        <f>IF(OR(H4122=1,I4122=1),0,IF(G4122="Credit",-F4122,F4122))</f>
        <v/>
      </c>
    </row>
    <row r="4123">
      <c r="A4123" t="inlineStr">
        <is>
          <t>2026-08-11</t>
        </is>
      </c>
      <c r="B4123" t="inlineStr">
        <is>
          <t>F275208</t>
        </is>
      </c>
      <c r="C4123" t="inlineStr">
        <is>
          <t>C10801</t>
        </is>
      </c>
      <c r="D4123" t="inlineStr">
        <is>
          <t>SKU-10337</t>
        </is>
      </c>
      <c r="E4123" t="inlineStr">
        <is>
          <t>AM01</t>
        </is>
      </c>
      <c r="F4123" s="5" t="n">
        <v>99.42</v>
      </c>
      <c r="G4123">
        <f>IF(LEFT(B4123,1)="C","Credit","Factuur")</f>
        <v/>
      </c>
      <c r="H4123">
        <f>IF(AND(B4123=B4122,D4123=D4122,A4123=A4122,F4123=F4122),1,0)</f>
        <v/>
      </c>
      <c r="I4123">
        <f>IF(C4123="C99999",1,0)</f>
        <v/>
      </c>
      <c r="J4123" s="5">
        <f>IF(OR(H4123=1,I4123=1),0,IF(G4123="Credit",-F4123,F4123))</f>
        <v/>
      </c>
    </row>
    <row r="4124">
      <c r="A4124" t="inlineStr">
        <is>
          <t>2026-08-11</t>
        </is>
      </c>
      <c r="B4124" t="inlineStr">
        <is>
          <t>F276052</t>
        </is>
      </c>
      <c r="C4124" t="inlineStr">
        <is>
          <t>C10851</t>
        </is>
      </c>
      <c r="D4124" t="inlineStr">
        <is>
          <t>SKU-10026</t>
        </is>
      </c>
      <c r="E4124" t="inlineStr">
        <is>
          <t>AM02</t>
        </is>
      </c>
      <c r="F4124" s="5" t="n">
        <v>741.24</v>
      </c>
      <c r="G4124">
        <f>IF(LEFT(B4124,1)="C","Credit","Factuur")</f>
        <v/>
      </c>
      <c r="H4124">
        <f>IF(AND(B4124=B4123,D4124=D4123,A4124=A4123,F4124=F4123),1,0)</f>
        <v/>
      </c>
      <c r="I4124">
        <f>IF(C4124="C99999",1,0)</f>
        <v/>
      </c>
      <c r="J4124" s="5">
        <f>IF(OR(H4124=1,I4124=1),0,IF(G4124="Credit",-F4124,F4124))</f>
        <v/>
      </c>
    </row>
    <row r="4125">
      <c r="A4125" t="inlineStr">
        <is>
          <t>2026-08-11</t>
        </is>
      </c>
      <c r="B4125" t="inlineStr">
        <is>
          <t>F276052</t>
        </is>
      </c>
      <c r="C4125" t="inlineStr">
        <is>
          <t>C10851</t>
        </is>
      </c>
      <c r="D4125" t="inlineStr">
        <is>
          <t>SKU-10188</t>
        </is>
      </c>
      <c r="E4125" t="inlineStr">
        <is>
          <t>AM02</t>
        </is>
      </c>
      <c r="F4125" s="5" t="n">
        <v>745.59</v>
      </c>
      <c r="G4125">
        <f>IF(LEFT(B4125,1)="C","Credit","Factuur")</f>
        <v/>
      </c>
      <c r="H4125">
        <f>IF(AND(B4125=B4124,D4125=D4124,A4125=A4124,F4125=F4124),1,0)</f>
        <v/>
      </c>
      <c r="I4125">
        <f>IF(C4125="C99999",1,0)</f>
        <v/>
      </c>
      <c r="J4125" s="5">
        <f>IF(OR(H4125=1,I4125=1),0,IF(G4125="Credit",-F4125,F4125))</f>
        <v/>
      </c>
    </row>
    <row r="4126">
      <c r="A4126" t="inlineStr">
        <is>
          <t>2026-08-11</t>
        </is>
      </c>
      <c r="B4126" t="inlineStr">
        <is>
          <t>F276052</t>
        </is>
      </c>
      <c r="C4126" t="inlineStr">
        <is>
          <t>C10851</t>
        </is>
      </c>
      <c r="D4126" t="inlineStr">
        <is>
          <t>SKU-10330</t>
        </is>
      </c>
      <c r="E4126" t="inlineStr">
        <is>
          <t>AM02</t>
        </is>
      </c>
      <c r="F4126" s="5" t="n">
        <v>735.54</v>
      </c>
      <c r="G4126">
        <f>IF(LEFT(B4126,1)="C","Credit","Factuur")</f>
        <v/>
      </c>
      <c r="H4126">
        <f>IF(AND(B4126=B4125,D4126=D4125,A4126=A4125,F4126=F4125),1,0)</f>
        <v/>
      </c>
      <c r="I4126">
        <f>IF(C4126="C99999",1,0)</f>
        <v/>
      </c>
      <c r="J4126" s="5">
        <f>IF(OR(H4126=1,I4126=1),0,IF(G4126="Credit",-F4126,F4126))</f>
        <v/>
      </c>
    </row>
    <row r="4127">
      <c r="A4127" t="inlineStr">
        <is>
          <t>2026-08-11</t>
        </is>
      </c>
      <c r="B4127" t="inlineStr">
        <is>
          <t>F279451</t>
        </is>
      </c>
      <c r="C4127" t="inlineStr">
        <is>
          <t>C11031</t>
        </is>
      </c>
      <c r="D4127" t="inlineStr">
        <is>
          <t>SKU-10071</t>
        </is>
      </c>
      <c r="E4127" t="inlineStr">
        <is>
          <t>AM02</t>
        </is>
      </c>
      <c r="F4127" s="5" t="n">
        <v>149.55</v>
      </c>
      <c r="G4127">
        <f>IF(LEFT(B4127,1)="C","Credit","Factuur")</f>
        <v/>
      </c>
      <c r="H4127">
        <f>IF(AND(B4127=B4126,D4127=D4126,A4127=A4126,F4127=F4126),1,0)</f>
        <v/>
      </c>
      <c r="I4127">
        <f>IF(C4127="C99999",1,0)</f>
        <v/>
      </c>
      <c r="J4127" s="5">
        <f>IF(OR(H4127=1,I4127=1),0,IF(G4127="Credit",-F4127,F4127))</f>
        <v/>
      </c>
    </row>
    <row r="4128">
      <c r="A4128" t="inlineStr">
        <is>
          <t>2026-08-11</t>
        </is>
      </c>
      <c r="B4128" t="inlineStr">
        <is>
          <t>F279451</t>
        </is>
      </c>
      <c r="C4128" t="inlineStr">
        <is>
          <t>C11031</t>
        </is>
      </c>
      <c r="D4128" t="inlineStr">
        <is>
          <t>SKU-10089</t>
        </is>
      </c>
      <c r="E4128" t="inlineStr">
        <is>
          <t>AM02</t>
        </is>
      </c>
      <c r="F4128" s="5" t="n">
        <v>134.23</v>
      </c>
      <c r="G4128">
        <f>IF(LEFT(B4128,1)="C","Credit","Factuur")</f>
        <v/>
      </c>
      <c r="H4128">
        <f>IF(AND(B4128=B4127,D4128=D4127,A4128=A4127,F4128=F4127),1,0)</f>
        <v/>
      </c>
      <c r="I4128">
        <f>IF(C4128="C99999",1,0)</f>
        <v/>
      </c>
      <c r="J4128" s="5">
        <f>IF(OR(H4128=1,I4128=1),0,IF(G4128="Credit",-F4128,F4128))</f>
        <v/>
      </c>
    </row>
    <row r="4129">
      <c r="A4129" t="inlineStr">
        <is>
          <t>2026-08-11</t>
        </is>
      </c>
      <c r="B4129" t="inlineStr">
        <is>
          <t>F279451</t>
        </is>
      </c>
      <c r="C4129" t="inlineStr">
        <is>
          <t>C11031</t>
        </is>
      </c>
      <c r="D4129" t="inlineStr">
        <is>
          <t>SKU-10118</t>
        </is>
      </c>
      <c r="E4129" t="inlineStr">
        <is>
          <t>AM02</t>
        </is>
      </c>
      <c r="F4129" s="5" t="n">
        <v>138.24</v>
      </c>
      <c r="G4129">
        <f>IF(LEFT(B4129,1)="C","Credit","Factuur")</f>
        <v/>
      </c>
      <c r="H4129">
        <f>IF(AND(B4129=B4128,D4129=D4128,A4129=A4128,F4129=F4128),1,0)</f>
        <v/>
      </c>
      <c r="I4129">
        <f>IF(C4129="C99999",1,0)</f>
        <v/>
      </c>
      <c r="J4129" s="5">
        <f>IF(OR(H4129=1,I4129=1),0,IF(G4129="Credit",-F4129,F4129))</f>
        <v/>
      </c>
    </row>
    <row r="4130">
      <c r="A4130" t="inlineStr">
        <is>
          <t>2026-08-11</t>
        </is>
      </c>
      <c r="B4130" t="inlineStr">
        <is>
          <t>F279451</t>
        </is>
      </c>
      <c r="C4130" t="inlineStr">
        <is>
          <t>C11031</t>
        </is>
      </c>
      <c r="D4130" t="inlineStr">
        <is>
          <t>SKU-10147</t>
        </is>
      </c>
      <c r="E4130" t="inlineStr">
        <is>
          <t>AM02</t>
        </is>
      </c>
      <c r="F4130" s="5" t="n">
        <v>181.01</v>
      </c>
      <c r="G4130">
        <f>IF(LEFT(B4130,1)="C","Credit","Factuur")</f>
        <v/>
      </c>
      <c r="H4130">
        <f>IF(AND(B4130=B4129,D4130=D4129,A4130=A4129,F4130=F4129),1,0)</f>
        <v/>
      </c>
      <c r="I4130">
        <f>IF(C4130="C99999",1,0)</f>
        <v/>
      </c>
      <c r="J4130" s="5">
        <f>IF(OR(H4130=1,I4130=1),0,IF(G4130="Credit",-F4130,F4130))</f>
        <v/>
      </c>
    </row>
    <row r="4131">
      <c r="A4131" t="inlineStr">
        <is>
          <t>2026-08-11</t>
        </is>
      </c>
      <c r="B4131" t="inlineStr">
        <is>
          <t>F279451</t>
        </is>
      </c>
      <c r="C4131" t="inlineStr">
        <is>
          <t>C11031</t>
        </is>
      </c>
      <c r="D4131" t="inlineStr">
        <is>
          <t>SKU-10233</t>
        </is>
      </c>
      <c r="E4131" t="inlineStr">
        <is>
          <t>AM02</t>
        </is>
      </c>
      <c r="F4131" s="5" t="n">
        <v>147.56</v>
      </c>
      <c r="G4131">
        <f>IF(LEFT(B4131,1)="C","Credit","Factuur")</f>
        <v/>
      </c>
      <c r="H4131">
        <f>IF(AND(B4131=B4130,D4131=D4130,A4131=A4130,F4131=F4130),1,0)</f>
        <v/>
      </c>
      <c r="I4131">
        <f>IF(C4131="C99999",1,0)</f>
        <v/>
      </c>
      <c r="J4131" s="5">
        <f>IF(OR(H4131=1,I4131=1),0,IF(G4131="Credit",-F4131,F4131))</f>
        <v/>
      </c>
    </row>
    <row r="4132">
      <c r="A4132" t="inlineStr">
        <is>
          <t>2026-08-11</t>
        </is>
      </c>
      <c r="B4132" t="inlineStr">
        <is>
          <t>F279698</t>
        </is>
      </c>
      <c r="C4132" t="inlineStr">
        <is>
          <t>C11044</t>
        </is>
      </c>
      <c r="D4132" t="inlineStr">
        <is>
          <t>SKU-10031</t>
        </is>
      </c>
      <c r="E4132" t="inlineStr">
        <is>
          <t>AM11</t>
        </is>
      </c>
      <c r="F4132" s="5" t="n">
        <v>670.91</v>
      </c>
      <c r="G4132">
        <f>IF(LEFT(B4132,1)="C","Credit","Factuur")</f>
        <v/>
      </c>
      <c r="H4132">
        <f>IF(AND(B4132=B4131,D4132=D4131,A4132=A4131,F4132=F4131),1,0)</f>
        <v/>
      </c>
      <c r="I4132">
        <f>IF(C4132="C99999",1,0)</f>
        <v/>
      </c>
      <c r="J4132" s="5">
        <f>IF(OR(H4132=1,I4132=1),0,IF(G4132="Credit",-F4132,F4132))</f>
        <v/>
      </c>
    </row>
    <row r="4133">
      <c r="A4133" t="inlineStr">
        <is>
          <t>2026-08-11</t>
        </is>
      </c>
      <c r="B4133" t="inlineStr">
        <is>
          <t>F279698</t>
        </is>
      </c>
      <c r="C4133" t="inlineStr">
        <is>
          <t>C11044</t>
        </is>
      </c>
      <c r="D4133" t="inlineStr">
        <is>
          <t>SKU-10048</t>
        </is>
      </c>
      <c r="E4133" t="inlineStr">
        <is>
          <t>AM11</t>
        </is>
      </c>
      <c r="F4133" s="5" t="n">
        <v>649.73</v>
      </c>
      <c r="G4133">
        <f>IF(LEFT(B4133,1)="C","Credit","Factuur")</f>
        <v/>
      </c>
      <c r="H4133">
        <f>IF(AND(B4133=B4132,D4133=D4132,A4133=A4132,F4133=F4132),1,0)</f>
        <v/>
      </c>
      <c r="I4133">
        <f>IF(C4133="C99999",1,0)</f>
        <v/>
      </c>
      <c r="J4133" s="5">
        <f>IF(OR(H4133=1,I4133=1),0,IF(G4133="Credit",-F4133,F4133))</f>
        <v/>
      </c>
    </row>
    <row r="4134">
      <c r="A4134" t="inlineStr">
        <is>
          <t>2026-08-11</t>
        </is>
      </c>
      <c r="B4134" t="inlineStr">
        <is>
          <t>F279698</t>
        </is>
      </c>
      <c r="C4134" t="inlineStr">
        <is>
          <t>C11044</t>
        </is>
      </c>
      <c r="D4134" t="inlineStr">
        <is>
          <t>SKU-10103</t>
        </is>
      </c>
      <c r="E4134" t="inlineStr">
        <is>
          <t>AM11</t>
        </is>
      </c>
      <c r="F4134" s="5" t="n">
        <v>635.4400000000001</v>
      </c>
      <c r="G4134">
        <f>IF(LEFT(B4134,1)="C","Credit","Factuur")</f>
        <v/>
      </c>
      <c r="H4134">
        <f>IF(AND(B4134=B4133,D4134=D4133,A4134=A4133,F4134=F4133),1,0)</f>
        <v/>
      </c>
      <c r="I4134">
        <f>IF(C4134="C99999",1,0)</f>
        <v/>
      </c>
      <c r="J4134" s="5">
        <f>IF(OR(H4134=1,I4134=1),0,IF(G4134="Credit",-F4134,F4134))</f>
        <v/>
      </c>
    </row>
    <row r="4135">
      <c r="A4135" t="inlineStr">
        <is>
          <t>2026-08-11</t>
        </is>
      </c>
      <c r="B4135" t="inlineStr">
        <is>
          <t>F279698</t>
        </is>
      </c>
      <c r="C4135" t="inlineStr">
        <is>
          <t>C11044</t>
        </is>
      </c>
      <c r="D4135" t="inlineStr">
        <is>
          <t>SKU-10318</t>
        </is>
      </c>
      <c r="E4135" t="inlineStr">
        <is>
          <t>AM11</t>
        </is>
      </c>
      <c r="F4135" s="5" t="n">
        <v>651.2</v>
      </c>
      <c r="G4135">
        <f>IF(LEFT(B4135,1)="C","Credit","Factuur")</f>
        <v/>
      </c>
      <c r="H4135">
        <f>IF(AND(B4135=B4134,D4135=D4134,A4135=A4134,F4135=F4134),1,0)</f>
        <v/>
      </c>
      <c r="I4135">
        <f>IF(C4135="C99999",1,0)</f>
        <v/>
      </c>
      <c r="J4135" s="5">
        <f>IF(OR(H4135=1,I4135=1),0,IF(G4135="Credit",-F4135,F4135))</f>
        <v/>
      </c>
    </row>
    <row r="4136">
      <c r="A4136" t="inlineStr">
        <is>
          <t>2026-08-11</t>
        </is>
      </c>
      <c r="B4136" t="inlineStr">
        <is>
          <t>F279788</t>
        </is>
      </c>
      <c r="C4136" t="inlineStr">
        <is>
          <t>C11049</t>
        </is>
      </c>
      <c r="D4136" t="inlineStr">
        <is>
          <t>SKU-10058</t>
        </is>
      </c>
      <c r="E4136" t="inlineStr">
        <is>
          <t>AM05</t>
        </is>
      </c>
      <c r="F4136" s="5" t="n">
        <v>494.45</v>
      </c>
      <c r="G4136">
        <f>IF(LEFT(B4136,1)="C","Credit","Factuur")</f>
        <v/>
      </c>
      <c r="H4136">
        <f>IF(AND(B4136=B4135,D4136=D4135,A4136=A4135,F4136=F4135),1,0)</f>
        <v/>
      </c>
      <c r="I4136">
        <f>IF(C4136="C99999",1,0)</f>
        <v/>
      </c>
      <c r="J4136" s="5">
        <f>IF(OR(H4136=1,I4136=1),0,IF(G4136="Credit",-F4136,F4136))</f>
        <v/>
      </c>
    </row>
    <row r="4137">
      <c r="A4137" t="inlineStr">
        <is>
          <t>2026-08-11</t>
        </is>
      </c>
      <c r="B4137" t="inlineStr">
        <is>
          <t>F279788</t>
        </is>
      </c>
      <c r="C4137" t="inlineStr">
        <is>
          <t>C11049</t>
        </is>
      </c>
      <c r="D4137" t="inlineStr">
        <is>
          <t>SKU-10144</t>
        </is>
      </c>
      <c r="E4137" t="inlineStr">
        <is>
          <t>AM05</t>
        </is>
      </c>
      <c r="F4137" s="5" t="n">
        <v>416.84</v>
      </c>
      <c r="G4137">
        <f>IF(LEFT(B4137,1)="C","Credit","Factuur")</f>
        <v/>
      </c>
      <c r="H4137">
        <f>IF(AND(B4137=B4136,D4137=D4136,A4137=A4136,F4137=F4136),1,0)</f>
        <v/>
      </c>
      <c r="I4137">
        <f>IF(C4137="C99999",1,0)</f>
        <v/>
      </c>
      <c r="J4137" s="5">
        <f>IF(OR(H4137=1,I4137=1),0,IF(G4137="Credit",-F4137,F4137))</f>
        <v/>
      </c>
    </row>
    <row r="4138">
      <c r="A4138" t="inlineStr">
        <is>
          <t>2026-08-11</t>
        </is>
      </c>
      <c r="B4138" t="inlineStr">
        <is>
          <t>F279788</t>
        </is>
      </c>
      <c r="C4138" t="inlineStr">
        <is>
          <t>C11049</t>
        </is>
      </c>
      <c r="D4138" t="inlineStr">
        <is>
          <t>SKU-10231</t>
        </is>
      </c>
      <c r="E4138" t="inlineStr">
        <is>
          <t>AM05</t>
        </is>
      </c>
      <c r="F4138" s="5" t="n">
        <v>489.57</v>
      </c>
      <c r="G4138">
        <f>IF(LEFT(B4138,1)="C","Credit","Factuur")</f>
        <v/>
      </c>
      <c r="H4138">
        <f>IF(AND(B4138=B4137,D4138=D4137,A4138=A4137,F4138=F4137),1,0)</f>
        <v/>
      </c>
      <c r="I4138">
        <f>IF(C4138="C99999",1,0)</f>
        <v/>
      </c>
      <c r="J4138" s="5">
        <f>IF(OR(H4138=1,I4138=1),0,IF(G4138="Credit",-F4138,F4138))</f>
        <v/>
      </c>
    </row>
    <row r="4139">
      <c r="A4139" t="inlineStr">
        <is>
          <t>2026-08-11</t>
        </is>
      </c>
      <c r="B4139" t="inlineStr">
        <is>
          <t>F279788</t>
        </is>
      </c>
      <c r="C4139" t="inlineStr">
        <is>
          <t>C11049</t>
        </is>
      </c>
      <c r="D4139" t="inlineStr">
        <is>
          <t>SKU-10338</t>
        </is>
      </c>
      <c r="E4139" t="inlineStr">
        <is>
          <t>AM05</t>
        </is>
      </c>
      <c r="F4139" s="5" t="n">
        <v>530.8</v>
      </c>
      <c r="G4139">
        <f>IF(LEFT(B4139,1)="C","Credit","Factuur")</f>
        <v/>
      </c>
      <c r="H4139">
        <f>IF(AND(B4139=B4138,D4139=D4138,A4139=A4138,F4139=F4138),1,0)</f>
        <v/>
      </c>
      <c r="I4139">
        <f>IF(C4139="C99999",1,0)</f>
        <v/>
      </c>
      <c r="J4139" s="5">
        <f>IF(OR(H4139=1,I4139=1),0,IF(G4139="Credit",-F4139,F4139))</f>
        <v/>
      </c>
    </row>
    <row r="4140">
      <c r="A4140" t="inlineStr">
        <is>
          <t>2026-08-11</t>
        </is>
      </c>
      <c r="B4140" t="inlineStr">
        <is>
          <t>F279906</t>
        </is>
      </c>
      <c r="C4140" t="inlineStr">
        <is>
          <t>C11053</t>
        </is>
      </c>
      <c r="D4140" t="inlineStr">
        <is>
          <t>SKU-10054</t>
        </is>
      </c>
      <c r="E4140" t="inlineStr">
        <is>
          <t>AM09</t>
        </is>
      </c>
      <c r="F4140" s="5" t="n">
        <v>1806.87</v>
      </c>
      <c r="G4140">
        <f>IF(LEFT(B4140,1)="C","Credit","Factuur")</f>
        <v/>
      </c>
      <c r="H4140">
        <f>IF(AND(B4140=B4139,D4140=D4139,A4140=A4139,F4140=F4139),1,0)</f>
        <v/>
      </c>
      <c r="I4140">
        <f>IF(C4140="C99999",1,0)</f>
        <v/>
      </c>
      <c r="J4140" s="5">
        <f>IF(OR(H4140=1,I4140=1),0,IF(G4140="Credit",-F4140,F4140))</f>
        <v/>
      </c>
    </row>
    <row r="4141">
      <c r="A4141" t="inlineStr">
        <is>
          <t>2026-08-11</t>
        </is>
      </c>
      <c r="B4141" t="inlineStr">
        <is>
          <t>F279906</t>
        </is>
      </c>
      <c r="C4141" t="inlineStr">
        <is>
          <t>C11053</t>
        </is>
      </c>
      <c r="D4141" t="inlineStr">
        <is>
          <t>SKU-10145</t>
        </is>
      </c>
      <c r="E4141" t="inlineStr">
        <is>
          <t>AM09</t>
        </is>
      </c>
      <c r="F4141" s="5" t="n">
        <v>1620.85</v>
      </c>
      <c r="G4141">
        <f>IF(LEFT(B4141,1)="C","Credit","Factuur")</f>
        <v/>
      </c>
      <c r="H4141">
        <f>IF(AND(B4141=B4140,D4141=D4140,A4141=A4140,F4141=F4140),1,0)</f>
        <v/>
      </c>
      <c r="I4141">
        <f>IF(C4141="C99999",1,0)</f>
        <v/>
      </c>
      <c r="J4141" s="5">
        <f>IF(OR(H4141=1,I4141=1),0,IF(G4141="Credit",-F4141,F4141))</f>
        <v/>
      </c>
    </row>
    <row r="4142">
      <c r="A4142" t="inlineStr">
        <is>
          <t>2026-08-11</t>
        </is>
      </c>
      <c r="B4142" t="inlineStr">
        <is>
          <t>F279906</t>
        </is>
      </c>
      <c r="C4142" t="inlineStr">
        <is>
          <t>C11053</t>
        </is>
      </c>
      <c r="D4142" t="inlineStr">
        <is>
          <t>SKU-10296</t>
        </is>
      </c>
      <c r="E4142" t="inlineStr">
        <is>
          <t>AM09</t>
        </is>
      </c>
      <c r="F4142" s="5" t="n">
        <v>1621.46</v>
      </c>
      <c r="G4142">
        <f>IF(LEFT(B4142,1)="C","Credit","Factuur")</f>
        <v/>
      </c>
      <c r="H4142">
        <f>IF(AND(B4142=B4141,D4142=D4141,A4142=A4141,F4142=F4141),1,0)</f>
        <v/>
      </c>
      <c r="I4142">
        <f>IF(C4142="C99999",1,0)</f>
        <v/>
      </c>
      <c r="J4142" s="5">
        <f>IF(OR(H4142=1,I4142=1),0,IF(G4142="Credit",-F4142,F4142))</f>
        <v/>
      </c>
    </row>
    <row r="4143">
      <c r="A4143" t="inlineStr">
        <is>
          <t>2026-08-11</t>
        </is>
      </c>
      <c r="B4143" t="inlineStr">
        <is>
          <t>F279906</t>
        </is>
      </c>
      <c r="C4143" t="inlineStr">
        <is>
          <t>C11053</t>
        </is>
      </c>
      <c r="D4143" t="inlineStr">
        <is>
          <t>SKU-10335</t>
        </is>
      </c>
      <c r="E4143" t="inlineStr">
        <is>
          <t>AM09</t>
        </is>
      </c>
      <c r="F4143" s="5" t="n">
        <v>1617.55</v>
      </c>
      <c r="G4143">
        <f>IF(LEFT(B4143,1)="C","Credit","Factuur")</f>
        <v/>
      </c>
      <c r="H4143">
        <f>IF(AND(B4143=B4142,D4143=D4142,A4143=A4142,F4143=F4142),1,0)</f>
        <v/>
      </c>
      <c r="I4143">
        <f>IF(C4143="C99999",1,0)</f>
        <v/>
      </c>
      <c r="J4143" s="5">
        <f>IF(OR(H4143=1,I4143=1),0,IF(G4143="Credit",-F4143,F4143))</f>
        <v/>
      </c>
    </row>
    <row r="4144">
      <c r="A4144" t="inlineStr">
        <is>
          <t>2026-08-11</t>
        </is>
      </c>
      <c r="B4144" t="inlineStr">
        <is>
          <t>F280019</t>
        </is>
      </c>
      <c r="C4144" t="inlineStr">
        <is>
          <t>C11058</t>
        </is>
      </c>
      <c r="D4144" t="inlineStr">
        <is>
          <t>SKU-10058</t>
        </is>
      </c>
      <c r="E4144" t="inlineStr">
        <is>
          <t>IS01</t>
        </is>
      </c>
      <c r="F4144" s="5" t="n">
        <v>231.32</v>
      </c>
      <c r="G4144">
        <f>IF(LEFT(B4144,1)="C","Credit","Factuur")</f>
        <v/>
      </c>
      <c r="H4144">
        <f>IF(AND(B4144=B4143,D4144=D4143,A4144=A4143,F4144=F4143),1,0)</f>
        <v/>
      </c>
      <c r="I4144">
        <f>IF(C4144="C99999",1,0)</f>
        <v/>
      </c>
      <c r="J4144" s="5">
        <f>IF(OR(H4144=1,I4144=1),0,IF(G4144="Credit",-F4144,F4144))</f>
        <v/>
      </c>
    </row>
    <row r="4145">
      <c r="A4145" t="inlineStr">
        <is>
          <t>2026-08-11</t>
        </is>
      </c>
      <c r="B4145" t="inlineStr">
        <is>
          <t>F280019</t>
        </is>
      </c>
      <c r="C4145" t="inlineStr">
        <is>
          <t>C11058</t>
        </is>
      </c>
      <c r="D4145" t="inlineStr">
        <is>
          <t>SKU-10140</t>
        </is>
      </c>
      <c r="E4145" t="inlineStr">
        <is>
          <t>IS01</t>
        </is>
      </c>
      <c r="F4145" s="5" t="n">
        <v>209.84</v>
      </c>
      <c r="G4145">
        <f>IF(LEFT(B4145,1)="C","Credit","Factuur")</f>
        <v/>
      </c>
      <c r="H4145">
        <f>IF(AND(B4145=B4144,D4145=D4144,A4145=A4144,F4145=F4144),1,0)</f>
        <v/>
      </c>
      <c r="I4145">
        <f>IF(C4145="C99999",1,0)</f>
        <v/>
      </c>
      <c r="J4145" s="5">
        <f>IF(OR(H4145=1,I4145=1),0,IF(G4145="Credit",-F4145,F4145))</f>
        <v/>
      </c>
    </row>
    <row r="4146">
      <c r="A4146" t="inlineStr">
        <is>
          <t>2026-08-11</t>
        </is>
      </c>
      <c r="B4146" t="inlineStr">
        <is>
          <t>F280832</t>
        </is>
      </c>
      <c r="C4146" t="inlineStr">
        <is>
          <t>C11098</t>
        </is>
      </c>
      <c r="D4146" t="inlineStr">
        <is>
          <t>SKU-10066</t>
        </is>
      </c>
      <c r="E4146" t="inlineStr">
        <is>
          <t>AM03</t>
        </is>
      </c>
      <c r="F4146" s="5" t="n">
        <v>812.16</v>
      </c>
      <c r="G4146">
        <f>IF(LEFT(B4146,1)="C","Credit","Factuur")</f>
        <v/>
      </c>
      <c r="H4146">
        <f>IF(AND(B4146=B4145,D4146=D4145,A4146=A4145,F4146=F4145),1,0)</f>
        <v/>
      </c>
      <c r="I4146">
        <f>IF(C4146="C99999",1,0)</f>
        <v/>
      </c>
      <c r="J4146" s="5">
        <f>IF(OR(H4146=1,I4146=1),0,IF(G4146="Credit",-F4146,F4146))</f>
        <v/>
      </c>
    </row>
    <row r="4147">
      <c r="A4147" t="inlineStr">
        <is>
          <t>2026-08-11</t>
        </is>
      </c>
      <c r="B4147" t="inlineStr">
        <is>
          <t>F280832</t>
        </is>
      </c>
      <c r="C4147" t="inlineStr">
        <is>
          <t>C11098</t>
        </is>
      </c>
      <c r="D4147" t="inlineStr">
        <is>
          <t>SKU-10142</t>
        </is>
      </c>
      <c r="E4147" t="inlineStr">
        <is>
          <t>AM03</t>
        </is>
      </c>
      <c r="F4147" s="5" t="n">
        <v>797.0599999999999</v>
      </c>
      <c r="G4147">
        <f>IF(LEFT(B4147,1)="C","Credit","Factuur")</f>
        <v/>
      </c>
      <c r="H4147">
        <f>IF(AND(B4147=B4146,D4147=D4146,A4147=A4146,F4147=F4146),1,0)</f>
        <v/>
      </c>
      <c r="I4147">
        <f>IF(C4147="C99999",1,0)</f>
        <v/>
      </c>
      <c r="J4147" s="5">
        <f>IF(OR(H4147=1,I4147=1),0,IF(G4147="Credit",-F4147,F4147))</f>
        <v/>
      </c>
    </row>
    <row r="4148">
      <c r="A4148" t="inlineStr">
        <is>
          <t>2026-08-11</t>
        </is>
      </c>
      <c r="B4148" t="inlineStr">
        <is>
          <t>F280832</t>
        </is>
      </c>
      <c r="C4148" t="inlineStr">
        <is>
          <t>C11098</t>
        </is>
      </c>
      <c r="D4148" t="inlineStr">
        <is>
          <t>SKU-10325</t>
        </is>
      </c>
      <c r="E4148" t="inlineStr">
        <is>
          <t>AM03</t>
        </is>
      </c>
      <c r="F4148" s="5" t="n">
        <v>800.7</v>
      </c>
      <c r="G4148">
        <f>IF(LEFT(B4148,1)="C","Credit","Factuur")</f>
        <v/>
      </c>
      <c r="H4148">
        <f>IF(AND(B4148=B4147,D4148=D4147,A4148=A4147,F4148=F4147),1,0)</f>
        <v/>
      </c>
      <c r="I4148">
        <f>IF(C4148="C99999",1,0)</f>
        <v/>
      </c>
      <c r="J4148" s="5">
        <f>IF(OR(H4148=1,I4148=1),0,IF(G4148="Credit",-F4148,F4148))</f>
        <v/>
      </c>
    </row>
    <row r="4149">
      <c r="A4149" t="inlineStr">
        <is>
          <t>2026-08-11</t>
        </is>
      </c>
      <c r="B4149" t="inlineStr">
        <is>
          <t>F282635</t>
        </is>
      </c>
      <c r="C4149" t="inlineStr">
        <is>
          <t>C11188</t>
        </is>
      </c>
      <c r="D4149" t="inlineStr">
        <is>
          <t>SKU-10091</t>
        </is>
      </c>
      <c r="E4149" t="inlineStr">
        <is>
          <t>AM02</t>
        </is>
      </c>
      <c r="F4149" s="5" t="n">
        <v>898.34</v>
      </c>
      <c r="G4149">
        <f>IF(LEFT(B4149,1)="C","Credit","Factuur")</f>
        <v/>
      </c>
      <c r="H4149">
        <f>IF(AND(B4149=B4148,D4149=D4148,A4149=A4148,F4149=F4148),1,0)</f>
        <v/>
      </c>
      <c r="I4149">
        <f>IF(C4149="C99999",1,0)</f>
        <v/>
      </c>
      <c r="J4149" s="5">
        <f>IF(OR(H4149=1,I4149=1),0,IF(G4149="Credit",-F4149,F4149))</f>
        <v/>
      </c>
    </row>
    <row r="4150">
      <c r="A4150" t="inlineStr">
        <is>
          <t>2026-08-11</t>
        </is>
      </c>
      <c r="B4150" t="inlineStr">
        <is>
          <t>F282635</t>
        </is>
      </c>
      <c r="C4150" t="inlineStr">
        <is>
          <t>C11188</t>
        </is>
      </c>
      <c r="D4150" t="inlineStr">
        <is>
          <t>SKU-10275</t>
        </is>
      </c>
      <c r="E4150" t="inlineStr">
        <is>
          <t>AM02</t>
        </is>
      </c>
      <c r="F4150" s="5" t="n">
        <v>908.35</v>
      </c>
      <c r="G4150">
        <f>IF(LEFT(B4150,1)="C","Credit","Factuur")</f>
        <v/>
      </c>
      <c r="H4150">
        <f>IF(AND(B4150=B4149,D4150=D4149,A4150=A4149,F4150=F4149),1,0)</f>
        <v/>
      </c>
      <c r="I4150">
        <f>IF(C4150="C99999",1,0)</f>
        <v/>
      </c>
      <c r="J4150" s="5">
        <f>IF(OR(H4150=1,I4150=1),0,IF(G4150="Credit",-F4150,F4150))</f>
        <v/>
      </c>
    </row>
    <row r="4151">
      <c r="A4151" t="inlineStr">
        <is>
          <t>2026-08-11</t>
        </is>
      </c>
      <c r="B4151" t="inlineStr">
        <is>
          <t>F282635</t>
        </is>
      </c>
      <c r="C4151" t="inlineStr">
        <is>
          <t>C11188</t>
        </is>
      </c>
      <c r="D4151" t="inlineStr">
        <is>
          <t>SKU-10299</t>
        </is>
      </c>
      <c r="E4151" t="inlineStr">
        <is>
          <t>AM02</t>
        </is>
      </c>
      <c r="F4151" s="5" t="n">
        <v>914.65</v>
      </c>
      <c r="G4151">
        <f>IF(LEFT(B4151,1)="C","Credit","Factuur")</f>
        <v/>
      </c>
      <c r="H4151">
        <f>IF(AND(B4151=B4150,D4151=D4150,A4151=A4150,F4151=F4150),1,0)</f>
        <v/>
      </c>
      <c r="I4151">
        <f>IF(C4151="C99999",1,0)</f>
        <v/>
      </c>
      <c r="J4151" s="5">
        <f>IF(OR(H4151=1,I4151=1),0,IF(G4151="Credit",-F4151,F4151))</f>
        <v/>
      </c>
    </row>
    <row r="4152">
      <c r="A4152" t="inlineStr">
        <is>
          <t>2026-08-11</t>
        </is>
      </c>
      <c r="B4152" t="inlineStr">
        <is>
          <t>F284075</t>
        </is>
      </c>
      <c r="C4152" t="inlineStr">
        <is>
          <t>C11257</t>
        </is>
      </c>
      <c r="D4152" t="inlineStr">
        <is>
          <t>SKU-10088</t>
        </is>
      </c>
      <c r="E4152" t="inlineStr">
        <is>
          <t>AM06</t>
        </is>
      </c>
      <c r="F4152" s="5" t="n">
        <v>354.89</v>
      </c>
      <c r="G4152">
        <f>IF(LEFT(B4152,1)="C","Credit","Factuur")</f>
        <v/>
      </c>
      <c r="H4152">
        <f>IF(AND(B4152=B4151,D4152=D4151,A4152=A4151,F4152=F4151),1,0)</f>
        <v/>
      </c>
      <c r="I4152">
        <f>IF(C4152="C99999",1,0)</f>
        <v/>
      </c>
      <c r="J4152" s="5">
        <f>IF(OR(H4152=1,I4152=1),0,IF(G4152="Credit",-F4152,F4152))</f>
        <v/>
      </c>
    </row>
    <row r="4153">
      <c r="A4153" t="inlineStr">
        <is>
          <t>2026-08-11</t>
        </is>
      </c>
      <c r="B4153" t="inlineStr">
        <is>
          <t>F284075</t>
        </is>
      </c>
      <c r="C4153" t="inlineStr">
        <is>
          <t>C11257</t>
        </is>
      </c>
      <c r="D4153" t="inlineStr">
        <is>
          <t>SKU-10370</t>
        </is>
      </c>
      <c r="E4153" t="inlineStr">
        <is>
          <t>AM06</t>
        </is>
      </c>
      <c r="F4153" s="5" t="n">
        <v>349.65</v>
      </c>
      <c r="G4153">
        <f>IF(LEFT(B4153,1)="C","Credit","Factuur")</f>
        <v/>
      </c>
      <c r="H4153">
        <f>IF(AND(B4153=B4152,D4153=D4152,A4153=A4152,F4153=F4152),1,0)</f>
        <v/>
      </c>
      <c r="I4153">
        <f>IF(C4153="C99999",1,0)</f>
        <v/>
      </c>
      <c r="J4153" s="5">
        <f>IF(OR(H4153=1,I4153=1),0,IF(G4153="Credit",-F4153,F4153))</f>
        <v/>
      </c>
    </row>
    <row r="4154">
      <c r="A4154" t="inlineStr">
        <is>
          <t>2026-08-11</t>
        </is>
      </c>
      <c r="B4154" t="inlineStr">
        <is>
          <t>F285273</t>
        </is>
      </c>
      <c r="C4154" t="inlineStr">
        <is>
          <t>C11323</t>
        </is>
      </c>
      <c r="D4154" t="inlineStr">
        <is>
          <t>SKU-10002</t>
        </is>
      </c>
      <c r="E4154" t="inlineStr">
        <is>
          <t>AM08</t>
        </is>
      </c>
      <c r="F4154" s="5" t="n">
        <v>4015.9</v>
      </c>
      <c r="G4154">
        <f>IF(LEFT(B4154,1)="C","Credit","Factuur")</f>
        <v/>
      </c>
      <c r="H4154">
        <f>IF(AND(B4154=B4153,D4154=D4153,A4154=A4153,F4154=F4153),1,0)</f>
        <v/>
      </c>
      <c r="I4154">
        <f>IF(C4154="C99999",1,0)</f>
        <v/>
      </c>
      <c r="J4154" s="5">
        <f>IF(OR(H4154=1,I4154=1),0,IF(G4154="Credit",-F4154,F4154))</f>
        <v/>
      </c>
    </row>
    <row r="4155">
      <c r="A4155" t="inlineStr">
        <is>
          <t>2026-08-11</t>
        </is>
      </c>
      <c r="B4155" t="inlineStr">
        <is>
          <t>F285457</t>
        </is>
      </c>
      <c r="C4155" t="inlineStr">
        <is>
          <t>C11330</t>
        </is>
      </c>
      <c r="D4155" t="inlineStr">
        <is>
          <t>SKU-10001</t>
        </is>
      </c>
      <c r="E4155" t="inlineStr">
        <is>
          <t>AM12</t>
        </is>
      </c>
      <c r="F4155" s="5" t="n">
        <v>885.61</v>
      </c>
      <c r="G4155">
        <f>IF(LEFT(B4155,1)="C","Credit","Factuur")</f>
        <v/>
      </c>
      <c r="H4155">
        <f>IF(AND(B4155=B4154,D4155=D4154,A4155=A4154,F4155=F4154),1,0)</f>
        <v/>
      </c>
      <c r="I4155">
        <f>IF(C4155="C99999",1,0)</f>
        <v/>
      </c>
      <c r="J4155" s="5">
        <f>IF(OR(H4155=1,I4155=1),0,IF(G4155="Credit",-F4155,F4155))</f>
        <v/>
      </c>
    </row>
    <row r="4156">
      <c r="A4156" t="inlineStr">
        <is>
          <t>2026-08-11</t>
        </is>
      </c>
      <c r="B4156" t="inlineStr">
        <is>
          <t>F285457</t>
        </is>
      </c>
      <c r="C4156" t="inlineStr">
        <is>
          <t>C11330</t>
        </is>
      </c>
      <c r="D4156" t="inlineStr">
        <is>
          <t>SKU-10091</t>
        </is>
      </c>
      <c r="E4156" t="inlineStr">
        <is>
          <t>AM12</t>
        </is>
      </c>
      <c r="F4156" s="5" t="n">
        <v>822.01</v>
      </c>
      <c r="G4156">
        <f>IF(LEFT(B4156,1)="C","Credit","Factuur")</f>
        <v/>
      </c>
      <c r="H4156">
        <f>IF(AND(B4156=B4155,D4156=D4155,A4156=A4155,F4156=F4155),1,0)</f>
        <v/>
      </c>
      <c r="I4156">
        <f>IF(C4156="C99999",1,0)</f>
        <v/>
      </c>
      <c r="J4156" s="5">
        <f>IF(OR(H4156=1,I4156=1),0,IF(G4156="Credit",-F4156,F4156))</f>
        <v/>
      </c>
    </row>
    <row r="4157">
      <c r="A4157" t="inlineStr">
        <is>
          <t>2026-08-11</t>
        </is>
      </c>
      <c r="B4157" t="inlineStr">
        <is>
          <t>F285457</t>
        </is>
      </c>
      <c r="C4157" t="inlineStr">
        <is>
          <t>C11330</t>
        </is>
      </c>
      <c r="D4157" t="inlineStr">
        <is>
          <t>SKU-10256</t>
        </is>
      </c>
      <c r="E4157" t="inlineStr"/>
      <c r="F4157" s="5" t="n">
        <v>789.46</v>
      </c>
      <c r="G4157">
        <f>IF(LEFT(B4157,1)="C","Credit","Factuur")</f>
        <v/>
      </c>
      <c r="H4157">
        <f>IF(AND(B4157=B4156,D4157=D4156,A4157=A4156,F4157=F4156),1,0)</f>
        <v/>
      </c>
      <c r="I4157">
        <f>IF(C4157="C99999",1,0)</f>
        <v/>
      </c>
      <c r="J4157" s="5">
        <f>IF(OR(H4157=1,I4157=1),0,IF(G4157="Credit",-F4157,F4157))</f>
        <v/>
      </c>
    </row>
    <row r="4158">
      <c r="A4158" t="inlineStr">
        <is>
          <t>2026-08-12</t>
        </is>
      </c>
      <c r="B4158" t="inlineStr">
        <is>
          <t>C901565</t>
        </is>
      </c>
      <c r="C4158" t="inlineStr">
        <is>
          <t>C10190</t>
        </is>
      </c>
      <c r="D4158" t="inlineStr">
        <is>
          <t>SKU-10015</t>
        </is>
      </c>
      <c r="E4158" t="inlineStr">
        <is>
          <t>AM03</t>
        </is>
      </c>
      <c r="F4158" s="5" t="n">
        <v>294.54</v>
      </c>
      <c r="G4158">
        <f>IF(LEFT(B4158,1)="C","Credit","Factuur")</f>
        <v/>
      </c>
      <c r="H4158">
        <f>IF(AND(B4158=B4157,D4158=D4157,A4158=A4157,F4158=F4157),1,0)</f>
        <v/>
      </c>
      <c r="I4158">
        <f>IF(C4158="C99999",1,0)</f>
        <v/>
      </c>
      <c r="J4158" s="5">
        <f>IF(OR(H4158=1,I4158=1),0,IF(G4158="Credit",-F4158,F4158))</f>
        <v/>
      </c>
    </row>
    <row r="4159">
      <c r="A4159" t="inlineStr">
        <is>
          <t>2026-08-12</t>
        </is>
      </c>
      <c r="B4159" t="inlineStr">
        <is>
          <t>C901784</t>
        </is>
      </c>
      <c r="C4159" t="inlineStr">
        <is>
          <t>C11162</t>
        </is>
      </c>
      <c r="D4159" t="inlineStr">
        <is>
          <t>SKU-10280</t>
        </is>
      </c>
      <c r="E4159" t="inlineStr">
        <is>
          <t>AM01</t>
        </is>
      </c>
      <c r="F4159" s="5" t="n">
        <v>26.43</v>
      </c>
      <c r="G4159">
        <f>IF(LEFT(B4159,1)="C","Credit","Factuur")</f>
        <v/>
      </c>
      <c r="H4159">
        <f>IF(AND(B4159=B4158,D4159=D4158,A4159=A4158,F4159=F4158),1,0)</f>
        <v/>
      </c>
      <c r="I4159">
        <f>IF(C4159="C99999",1,0)</f>
        <v/>
      </c>
      <c r="J4159" s="5">
        <f>IF(OR(H4159=1,I4159=1),0,IF(G4159="Credit",-F4159,F4159))</f>
        <v/>
      </c>
    </row>
    <row r="4160">
      <c r="A4160" t="inlineStr">
        <is>
          <t>2026-08-12</t>
        </is>
      </c>
      <c r="B4160" t="inlineStr">
        <is>
          <t>F260053</t>
        </is>
      </c>
      <c r="C4160" t="inlineStr">
        <is>
          <t>C10004</t>
        </is>
      </c>
      <c r="D4160" t="inlineStr">
        <is>
          <t>SKU-10026</t>
        </is>
      </c>
      <c r="E4160" t="inlineStr">
        <is>
          <t>AM08</t>
        </is>
      </c>
      <c r="F4160" s="5" t="n">
        <v>247.08</v>
      </c>
      <c r="G4160">
        <f>IF(LEFT(B4160,1)="C","Credit","Factuur")</f>
        <v/>
      </c>
      <c r="H4160">
        <f>IF(AND(B4160=B4159,D4160=D4159,A4160=A4159,F4160=F4159),1,0)</f>
        <v/>
      </c>
      <c r="I4160">
        <f>IF(C4160="C99999",1,0)</f>
        <v/>
      </c>
      <c r="J4160" s="5">
        <f>IF(OR(H4160=1,I4160=1),0,IF(G4160="Credit",-F4160,F4160))</f>
        <v/>
      </c>
    </row>
    <row r="4161">
      <c r="A4161" t="inlineStr">
        <is>
          <t>2026-08-12</t>
        </is>
      </c>
      <c r="B4161" t="inlineStr">
        <is>
          <t>F260053</t>
        </is>
      </c>
      <c r="C4161" t="inlineStr">
        <is>
          <t>C10004</t>
        </is>
      </c>
      <c r="D4161" t="inlineStr">
        <is>
          <t>SKU-10089</t>
        </is>
      </c>
      <c r="E4161" t="inlineStr">
        <is>
          <t>AM08</t>
        </is>
      </c>
      <c r="F4161" s="5" t="n">
        <v>200.17</v>
      </c>
      <c r="G4161">
        <f>IF(LEFT(B4161,1)="C","Credit","Factuur")</f>
        <v/>
      </c>
      <c r="H4161">
        <f>IF(AND(B4161=B4160,D4161=D4160,A4161=A4160,F4161=F4160),1,0)</f>
        <v/>
      </c>
      <c r="I4161">
        <f>IF(C4161="C99999",1,0)</f>
        <v/>
      </c>
      <c r="J4161" s="5">
        <f>IF(OR(H4161=1,I4161=1),0,IF(G4161="Credit",-F4161,F4161))</f>
        <v/>
      </c>
    </row>
    <row r="4162">
      <c r="A4162" t="inlineStr">
        <is>
          <t>2026-08-12</t>
        </is>
      </c>
      <c r="B4162" t="inlineStr">
        <is>
          <t>F260053</t>
        </is>
      </c>
      <c r="C4162" t="inlineStr">
        <is>
          <t>C10004</t>
        </is>
      </c>
      <c r="D4162" t="inlineStr">
        <is>
          <t>SKU-10247</t>
        </is>
      </c>
      <c r="E4162" t="inlineStr">
        <is>
          <t>AM08</t>
        </is>
      </c>
      <c r="F4162" s="5" t="n">
        <v>230.66</v>
      </c>
      <c r="G4162">
        <f>IF(LEFT(B4162,1)="C","Credit","Factuur")</f>
        <v/>
      </c>
      <c r="H4162">
        <f>IF(AND(B4162=B4161,D4162=D4161,A4162=A4161,F4162=F4161),1,0)</f>
        <v/>
      </c>
      <c r="I4162">
        <f>IF(C4162="C99999",1,0)</f>
        <v/>
      </c>
      <c r="J4162" s="5">
        <f>IF(OR(H4162=1,I4162=1),0,IF(G4162="Credit",-F4162,F4162))</f>
        <v/>
      </c>
    </row>
    <row r="4163">
      <c r="A4163" t="inlineStr">
        <is>
          <t>2026-08-12</t>
        </is>
      </c>
      <c r="B4163" t="inlineStr">
        <is>
          <t>F260325</t>
        </is>
      </c>
      <c r="C4163" t="inlineStr">
        <is>
          <t>C10020</t>
        </is>
      </c>
      <c r="D4163" t="inlineStr">
        <is>
          <t>SKU-10006</t>
        </is>
      </c>
      <c r="E4163" t="inlineStr">
        <is>
          <t>AM09</t>
        </is>
      </c>
      <c r="F4163" s="5" t="n">
        <v>3359.36</v>
      </c>
      <c r="G4163">
        <f>IF(LEFT(B4163,1)="C","Credit","Factuur")</f>
        <v/>
      </c>
      <c r="H4163">
        <f>IF(AND(B4163=B4162,D4163=D4162,A4163=A4162,F4163=F4162),1,0)</f>
        <v/>
      </c>
      <c r="I4163">
        <f>IF(C4163="C99999",1,0)</f>
        <v/>
      </c>
      <c r="J4163" s="5">
        <f>IF(OR(H4163=1,I4163=1),0,IF(G4163="Credit",-F4163,F4163))</f>
        <v/>
      </c>
    </row>
    <row r="4164">
      <c r="A4164" t="inlineStr">
        <is>
          <t>2026-08-12</t>
        </is>
      </c>
      <c r="B4164" t="inlineStr">
        <is>
          <t>F260325</t>
        </is>
      </c>
      <c r="C4164" t="inlineStr">
        <is>
          <t>C10020</t>
        </is>
      </c>
      <c r="D4164" t="inlineStr">
        <is>
          <t>SKU-10096</t>
        </is>
      </c>
      <c r="E4164" t="inlineStr">
        <is>
          <t>AM09</t>
        </is>
      </c>
      <c r="F4164" s="5" t="n">
        <v>2970.34</v>
      </c>
      <c r="G4164">
        <f>IF(LEFT(B4164,1)="C","Credit","Factuur")</f>
        <v/>
      </c>
      <c r="H4164">
        <f>IF(AND(B4164=B4163,D4164=D4163,A4164=A4163,F4164=F4163),1,0)</f>
        <v/>
      </c>
      <c r="I4164">
        <f>IF(C4164="C99999",1,0)</f>
        <v/>
      </c>
      <c r="J4164" s="5">
        <f>IF(OR(H4164=1,I4164=1),0,IF(G4164="Credit",-F4164,F4164))</f>
        <v/>
      </c>
    </row>
    <row r="4165">
      <c r="A4165" t="inlineStr">
        <is>
          <t>2026-08-12</t>
        </is>
      </c>
      <c r="B4165" t="inlineStr">
        <is>
          <t>F260325</t>
        </is>
      </c>
      <c r="C4165" t="inlineStr">
        <is>
          <t>C10020</t>
        </is>
      </c>
      <c r="D4165" t="inlineStr">
        <is>
          <t>SKU-10220</t>
        </is>
      </c>
      <c r="E4165" t="inlineStr">
        <is>
          <t>AM09</t>
        </is>
      </c>
      <c r="F4165" s="5" t="n">
        <v>3360.05</v>
      </c>
      <c r="G4165">
        <f>IF(LEFT(B4165,1)="C","Credit","Factuur")</f>
        <v/>
      </c>
      <c r="H4165">
        <f>IF(AND(B4165=B4164,D4165=D4164,A4165=A4164,F4165=F4164),1,0)</f>
        <v/>
      </c>
      <c r="I4165">
        <f>IF(C4165="C99999",1,0)</f>
        <v/>
      </c>
      <c r="J4165" s="5">
        <f>IF(OR(H4165=1,I4165=1),0,IF(G4165="Credit",-F4165,F4165))</f>
        <v/>
      </c>
    </row>
    <row r="4166">
      <c r="A4166" t="inlineStr">
        <is>
          <t>2026-08-12</t>
        </is>
      </c>
      <c r="B4166" t="inlineStr">
        <is>
          <t>F260325</t>
        </is>
      </c>
      <c r="C4166" t="inlineStr">
        <is>
          <t>C10020</t>
        </is>
      </c>
      <c r="D4166" t="inlineStr">
        <is>
          <t>SKU-10269</t>
        </is>
      </c>
      <c r="E4166" t="inlineStr">
        <is>
          <t>AM09</t>
        </is>
      </c>
      <c r="F4166" s="5" t="n">
        <v>3194.08</v>
      </c>
      <c r="G4166">
        <f>IF(LEFT(B4166,1)="C","Credit","Factuur")</f>
        <v/>
      </c>
      <c r="H4166">
        <f>IF(AND(B4166=B4165,D4166=D4165,A4166=A4165,F4166=F4165),1,0)</f>
        <v/>
      </c>
      <c r="I4166">
        <f>IF(C4166="C99999",1,0)</f>
        <v/>
      </c>
      <c r="J4166" s="5">
        <f>IF(OR(H4166=1,I4166=1),0,IF(G4166="Credit",-F4166,F4166))</f>
        <v/>
      </c>
    </row>
    <row r="4167">
      <c r="A4167" t="inlineStr">
        <is>
          <t>2026-08-12</t>
        </is>
      </c>
      <c r="B4167" t="inlineStr">
        <is>
          <t>F260325</t>
        </is>
      </c>
      <c r="C4167" t="inlineStr">
        <is>
          <t>C10020</t>
        </is>
      </c>
      <c r="D4167" t="inlineStr">
        <is>
          <t>SKU-10272</t>
        </is>
      </c>
      <c r="E4167" t="inlineStr">
        <is>
          <t>AM09</t>
        </is>
      </c>
      <c r="F4167" s="5" t="n">
        <v>3356.19</v>
      </c>
      <c r="G4167">
        <f>IF(LEFT(B4167,1)="C","Credit","Factuur")</f>
        <v/>
      </c>
      <c r="H4167">
        <f>IF(AND(B4167=B4166,D4167=D4166,A4167=A4166,F4167=F4166),1,0)</f>
        <v/>
      </c>
      <c r="I4167">
        <f>IF(C4167="C99999",1,0)</f>
        <v/>
      </c>
      <c r="J4167" s="5">
        <f>IF(OR(H4167=1,I4167=1),0,IF(G4167="Credit",-F4167,F4167))</f>
        <v/>
      </c>
    </row>
    <row r="4168">
      <c r="A4168" t="inlineStr">
        <is>
          <t>2026-08-12</t>
        </is>
      </c>
      <c r="B4168" t="inlineStr">
        <is>
          <t>F260501</t>
        </is>
      </c>
      <c r="C4168" t="inlineStr">
        <is>
          <t>C10027</t>
        </is>
      </c>
      <c r="D4168" t="inlineStr">
        <is>
          <t>SKU-10151</t>
        </is>
      </c>
      <c r="E4168" t="inlineStr"/>
      <c r="F4168" s="5" t="n">
        <v>82.63</v>
      </c>
      <c r="G4168">
        <f>IF(LEFT(B4168,1)="C","Credit","Factuur")</f>
        <v/>
      </c>
      <c r="H4168">
        <f>IF(AND(B4168=B4167,D4168=D4167,A4168=A4167,F4168=F4167),1,0)</f>
        <v/>
      </c>
      <c r="I4168">
        <f>IF(C4168="C99999",1,0)</f>
        <v/>
      </c>
      <c r="J4168" s="5">
        <f>IF(OR(H4168=1,I4168=1),0,IF(G4168="Credit",-F4168,F4168))</f>
        <v/>
      </c>
    </row>
    <row r="4169">
      <c r="A4169" t="inlineStr">
        <is>
          <t>2026-08-12</t>
        </is>
      </c>
      <c r="B4169" t="inlineStr">
        <is>
          <t>F260501</t>
        </is>
      </c>
      <c r="C4169" t="inlineStr">
        <is>
          <t>C10027</t>
        </is>
      </c>
      <c r="D4169" t="inlineStr">
        <is>
          <t>SKU-10203</t>
        </is>
      </c>
      <c r="E4169" t="inlineStr">
        <is>
          <t>IS02</t>
        </is>
      </c>
      <c r="F4169" s="5" t="n">
        <v>89.16</v>
      </c>
      <c r="G4169">
        <f>IF(LEFT(B4169,1)="C","Credit","Factuur")</f>
        <v/>
      </c>
      <c r="H4169">
        <f>IF(AND(B4169=B4168,D4169=D4168,A4169=A4168,F4169=F4168),1,0)</f>
        <v/>
      </c>
      <c r="I4169">
        <f>IF(C4169="C99999",1,0)</f>
        <v/>
      </c>
      <c r="J4169" s="5">
        <f>IF(OR(H4169=1,I4169=1),0,IF(G4169="Credit",-F4169,F4169))</f>
        <v/>
      </c>
    </row>
    <row r="4170">
      <c r="A4170" t="inlineStr">
        <is>
          <t>2026-08-12</t>
        </is>
      </c>
      <c r="B4170" t="inlineStr">
        <is>
          <t>F260766</t>
        </is>
      </c>
      <c r="C4170" t="inlineStr">
        <is>
          <t>C10046</t>
        </is>
      </c>
      <c r="D4170" t="inlineStr">
        <is>
          <t>SKU-10156</t>
        </is>
      </c>
      <c r="E4170" t="inlineStr">
        <is>
          <t>AM07</t>
        </is>
      </c>
      <c r="F4170" s="5" t="n">
        <v>89.76000000000001</v>
      </c>
      <c r="G4170">
        <f>IF(LEFT(B4170,1)="C","Credit","Factuur")</f>
        <v/>
      </c>
      <c r="H4170">
        <f>IF(AND(B4170=B4169,D4170=D4169,A4170=A4169,F4170=F4169),1,0)</f>
        <v/>
      </c>
      <c r="I4170">
        <f>IF(C4170="C99999",1,0)</f>
        <v/>
      </c>
      <c r="J4170" s="5">
        <f>IF(OR(H4170=1,I4170=1),0,IF(G4170="Credit",-F4170,F4170))</f>
        <v/>
      </c>
    </row>
    <row r="4171">
      <c r="A4171" t="inlineStr">
        <is>
          <t>2026-08-12</t>
        </is>
      </c>
      <c r="B4171" t="inlineStr">
        <is>
          <t>F260766</t>
        </is>
      </c>
      <c r="C4171" t="inlineStr">
        <is>
          <t>C10046</t>
        </is>
      </c>
      <c r="D4171" t="inlineStr">
        <is>
          <t>SKU-10294</t>
        </is>
      </c>
      <c r="E4171" t="inlineStr">
        <is>
          <t>AM07</t>
        </is>
      </c>
      <c r="F4171" s="5" t="n">
        <v>73.73999999999999</v>
      </c>
      <c r="G4171">
        <f>IF(LEFT(B4171,1)="C","Credit","Factuur")</f>
        <v/>
      </c>
      <c r="H4171">
        <f>IF(AND(B4171=B4170,D4171=D4170,A4171=A4170,F4171=F4170),1,0)</f>
        <v/>
      </c>
      <c r="I4171">
        <f>IF(C4171="C99999",1,0)</f>
        <v/>
      </c>
      <c r="J4171" s="5">
        <f>IF(OR(H4171=1,I4171=1),0,IF(G4171="Credit",-F4171,F4171))</f>
        <v/>
      </c>
    </row>
    <row r="4172">
      <c r="A4172" t="inlineStr">
        <is>
          <t>2026-08-12</t>
        </is>
      </c>
      <c r="B4172" t="inlineStr">
        <is>
          <t>F260766</t>
        </is>
      </c>
      <c r="C4172" t="inlineStr">
        <is>
          <t>C10046</t>
        </is>
      </c>
      <c r="D4172" t="inlineStr">
        <is>
          <t>SKU-10306</t>
        </is>
      </c>
      <c r="E4172" t="inlineStr">
        <is>
          <t>AM07</t>
        </is>
      </c>
      <c r="F4172" s="5" t="n">
        <v>87.29000000000001</v>
      </c>
      <c r="G4172">
        <f>IF(LEFT(B4172,1)="C","Credit","Factuur")</f>
        <v/>
      </c>
      <c r="H4172">
        <f>IF(AND(B4172=B4171,D4172=D4171,A4172=A4171,F4172=F4171),1,0)</f>
        <v/>
      </c>
      <c r="I4172">
        <f>IF(C4172="C99999",1,0)</f>
        <v/>
      </c>
      <c r="J4172" s="5">
        <f>IF(OR(H4172=1,I4172=1),0,IF(G4172="Credit",-F4172,F4172))</f>
        <v/>
      </c>
    </row>
    <row r="4173">
      <c r="A4173" t="inlineStr">
        <is>
          <t>2026-08-12</t>
        </is>
      </c>
      <c r="B4173" t="inlineStr">
        <is>
          <t>F261424</t>
        </is>
      </c>
      <c r="C4173" t="inlineStr">
        <is>
          <t>C10076</t>
        </is>
      </c>
      <c r="D4173" t="inlineStr">
        <is>
          <t>SKU-10142</t>
        </is>
      </c>
      <c r="E4173" t="inlineStr">
        <is>
          <t>AM02</t>
        </is>
      </c>
      <c r="F4173" s="5" t="n">
        <v>1521.66</v>
      </c>
      <c r="G4173">
        <f>IF(LEFT(B4173,1)="C","Credit","Factuur")</f>
        <v/>
      </c>
      <c r="H4173">
        <f>IF(AND(B4173=B4172,D4173=D4172,A4173=A4172,F4173=F4172),1,0)</f>
        <v/>
      </c>
      <c r="I4173">
        <f>IF(C4173="C99999",1,0)</f>
        <v/>
      </c>
      <c r="J4173" s="5">
        <f>IF(OR(H4173=1,I4173=1),0,IF(G4173="Credit",-F4173,F4173))</f>
        <v/>
      </c>
    </row>
    <row r="4174">
      <c r="A4174" t="inlineStr">
        <is>
          <t>2026-08-12</t>
        </is>
      </c>
      <c r="B4174" t="inlineStr">
        <is>
          <t>F261539</t>
        </is>
      </c>
      <c r="C4174" t="inlineStr">
        <is>
          <t>C10082</t>
        </is>
      </c>
      <c r="D4174" t="inlineStr">
        <is>
          <t>SKU-10372</t>
        </is>
      </c>
      <c r="E4174" t="inlineStr">
        <is>
          <t>AM09</t>
        </is>
      </c>
      <c r="F4174" s="5" t="n">
        <v>26167.52</v>
      </c>
      <c r="G4174">
        <f>IF(LEFT(B4174,1)="C","Credit","Factuur")</f>
        <v/>
      </c>
      <c r="H4174">
        <f>IF(AND(B4174=B4173,D4174=D4173,A4174=A4173,F4174=F4173),1,0)</f>
        <v/>
      </c>
      <c r="I4174">
        <f>IF(C4174="C99999",1,0)</f>
        <v/>
      </c>
      <c r="J4174" s="5">
        <f>IF(OR(H4174=1,I4174=1),0,IF(G4174="Credit",-F4174,F4174))</f>
        <v/>
      </c>
    </row>
    <row r="4175">
      <c r="A4175" t="inlineStr">
        <is>
          <t>2026-08-12</t>
        </is>
      </c>
      <c r="B4175" t="inlineStr">
        <is>
          <t>F263127</t>
        </is>
      </c>
      <c r="C4175" t="inlineStr">
        <is>
          <t>C10168</t>
        </is>
      </c>
      <c r="D4175" t="inlineStr">
        <is>
          <t>SKU-10306</t>
        </is>
      </c>
      <c r="E4175" t="inlineStr">
        <is>
          <t>AM02</t>
        </is>
      </c>
      <c r="F4175" s="5" t="n">
        <v>646.84</v>
      </c>
      <c r="G4175">
        <f>IF(LEFT(B4175,1)="C","Credit","Factuur")</f>
        <v/>
      </c>
      <c r="H4175">
        <f>IF(AND(B4175=B4174,D4175=D4174,A4175=A4174,F4175=F4174),1,0)</f>
        <v/>
      </c>
      <c r="I4175">
        <f>IF(C4175="C99999",1,0)</f>
        <v/>
      </c>
      <c r="J4175" s="5">
        <f>IF(OR(H4175=1,I4175=1),0,IF(G4175="Credit",-F4175,F4175))</f>
        <v/>
      </c>
    </row>
    <row r="4176">
      <c r="A4176" t="inlineStr">
        <is>
          <t>2026-08-12</t>
        </is>
      </c>
      <c r="B4176" t="inlineStr">
        <is>
          <t>F263574</t>
        </is>
      </c>
      <c r="C4176" t="inlineStr">
        <is>
          <t>C10192</t>
        </is>
      </c>
      <c r="D4176" t="inlineStr">
        <is>
          <t>SKU-10134</t>
        </is>
      </c>
      <c r="E4176" t="inlineStr"/>
      <c r="F4176" s="5" t="n">
        <v>751.74</v>
      </c>
      <c r="G4176">
        <f>IF(LEFT(B4176,1)="C","Credit","Factuur")</f>
        <v/>
      </c>
      <c r="H4176">
        <f>IF(AND(B4176=B4175,D4176=D4175,A4176=A4175,F4176=F4175),1,0)</f>
        <v/>
      </c>
      <c r="I4176">
        <f>IF(C4176="C99999",1,0)</f>
        <v/>
      </c>
      <c r="J4176" s="5">
        <f>IF(OR(H4176=1,I4176=1),0,IF(G4176="Credit",-F4176,F4176))</f>
        <v/>
      </c>
    </row>
    <row r="4177">
      <c r="A4177" t="inlineStr">
        <is>
          <t>2026-08-12</t>
        </is>
      </c>
      <c r="B4177" t="inlineStr">
        <is>
          <t>F263574</t>
        </is>
      </c>
      <c r="C4177" t="inlineStr">
        <is>
          <t>C10192</t>
        </is>
      </c>
      <c r="D4177" t="inlineStr">
        <is>
          <t>SKU-10345</t>
        </is>
      </c>
      <c r="E4177" t="inlineStr">
        <is>
          <t>AM12</t>
        </is>
      </c>
      <c r="F4177" s="5" t="n">
        <v>686.09</v>
      </c>
      <c r="G4177">
        <f>IF(LEFT(B4177,1)="C","Credit","Factuur")</f>
        <v/>
      </c>
      <c r="H4177">
        <f>IF(AND(B4177=B4176,D4177=D4176,A4177=A4176,F4177=F4176),1,0)</f>
        <v/>
      </c>
      <c r="I4177">
        <f>IF(C4177="C99999",1,0)</f>
        <v/>
      </c>
      <c r="J4177" s="5">
        <f>IF(OR(H4177=1,I4177=1),0,IF(G4177="Credit",-F4177,F4177))</f>
        <v/>
      </c>
    </row>
    <row r="4178">
      <c r="A4178" t="inlineStr">
        <is>
          <t>2026-08-12</t>
        </is>
      </c>
      <c r="B4178" t="inlineStr">
        <is>
          <t>F264344</t>
        </is>
      </c>
      <c r="C4178" t="inlineStr">
        <is>
          <t>C10227</t>
        </is>
      </c>
      <c r="D4178" t="inlineStr">
        <is>
          <t>SKU-10097</t>
        </is>
      </c>
      <c r="E4178" t="inlineStr">
        <is>
          <t>AM07</t>
        </is>
      </c>
      <c r="F4178" s="5" t="n">
        <v>830.7</v>
      </c>
      <c r="G4178">
        <f>IF(LEFT(B4178,1)="C","Credit","Factuur")</f>
        <v/>
      </c>
      <c r="H4178">
        <f>IF(AND(B4178=B4177,D4178=D4177,A4178=A4177,F4178=F4177),1,0)</f>
        <v/>
      </c>
      <c r="I4178">
        <f>IF(C4178="C99999",1,0)</f>
        <v/>
      </c>
      <c r="J4178" s="5">
        <f>IF(OR(H4178=1,I4178=1),0,IF(G4178="Credit",-F4178,F4178))</f>
        <v/>
      </c>
    </row>
    <row r="4179">
      <c r="A4179" t="inlineStr">
        <is>
          <t>2026-08-12</t>
        </is>
      </c>
      <c r="B4179" t="inlineStr">
        <is>
          <t>F264344</t>
        </is>
      </c>
      <c r="C4179" t="inlineStr">
        <is>
          <t>C10227</t>
        </is>
      </c>
      <c r="D4179" t="inlineStr">
        <is>
          <t>SKU-10227</t>
        </is>
      </c>
      <c r="E4179" t="inlineStr">
        <is>
          <t>AM07</t>
        </is>
      </c>
      <c r="F4179" s="5" t="n">
        <v>784.55</v>
      </c>
      <c r="G4179">
        <f>IF(LEFT(B4179,1)="C","Credit","Factuur")</f>
        <v/>
      </c>
      <c r="H4179">
        <f>IF(AND(B4179=B4178,D4179=D4178,A4179=A4178,F4179=F4178),1,0)</f>
        <v/>
      </c>
      <c r="I4179">
        <f>IF(C4179="C99999",1,0)</f>
        <v/>
      </c>
      <c r="J4179" s="5">
        <f>IF(OR(H4179=1,I4179=1),0,IF(G4179="Credit",-F4179,F4179))</f>
        <v/>
      </c>
    </row>
    <row r="4180">
      <c r="A4180" t="inlineStr">
        <is>
          <t>2026-08-12</t>
        </is>
      </c>
      <c r="B4180" t="inlineStr">
        <is>
          <t>F264705</t>
        </is>
      </c>
      <c r="C4180" t="inlineStr">
        <is>
          <t>C10245</t>
        </is>
      </c>
      <c r="D4180" t="inlineStr">
        <is>
          <t>SKU-10011</t>
        </is>
      </c>
      <c r="E4180" t="inlineStr">
        <is>
          <t>IS01</t>
        </is>
      </c>
      <c r="F4180" s="5" t="n">
        <v>170.52</v>
      </c>
      <c r="G4180">
        <f>IF(LEFT(B4180,1)="C","Credit","Factuur")</f>
        <v/>
      </c>
      <c r="H4180">
        <f>IF(AND(B4180=B4179,D4180=D4179,A4180=A4179,F4180=F4179),1,0)</f>
        <v/>
      </c>
      <c r="I4180">
        <f>IF(C4180="C99999",1,0)</f>
        <v/>
      </c>
      <c r="J4180" s="5">
        <f>IF(OR(H4180=1,I4180=1),0,IF(G4180="Credit",-F4180,F4180))</f>
        <v/>
      </c>
    </row>
    <row r="4181">
      <c r="A4181" t="inlineStr">
        <is>
          <t>2026-08-12</t>
        </is>
      </c>
      <c r="B4181" t="inlineStr">
        <is>
          <t>F265996</t>
        </is>
      </c>
      <c r="C4181" t="inlineStr">
        <is>
          <t>C10314</t>
        </is>
      </c>
      <c r="D4181" t="inlineStr">
        <is>
          <t>SKU-10044</t>
        </is>
      </c>
      <c r="E4181" t="inlineStr">
        <is>
          <t>AM11</t>
        </is>
      </c>
      <c r="F4181" s="5" t="n">
        <v>98.16</v>
      </c>
      <c r="G4181">
        <f>IF(LEFT(B4181,1)="C","Credit","Factuur")</f>
        <v/>
      </c>
      <c r="H4181">
        <f>IF(AND(B4181=B4180,D4181=D4180,A4181=A4180,F4181=F4180),1,0)</f>
        <v/>
      </c>
      <c r="I4181">
        <f>IF(C4181="C99999",1,0)</f>
        <v/>
      </c>
      <c r="J4181" s="5">
        <f>IF(OR(H4181=1,I4181=1),0,IF(G4181="Credit",-F4181,F4181))</f>
        <v/>
      </c>
    </row>
    <row r="4182">
      <c r="A4182" t="inlineStr">
        <is>
          <t>2026-08-12</t>
        </is>
      </c>
      <c r="B4182" t="inlineStr">
        <is>
          <t>F265996</t>
        </is>
      </c>
      <c r="C4182" t="inlineStr">
        <is>
          <t>C10314</t>
        </is>
      </c>
      <c r="D4182" t="inlineStr">
        <is>
          <t>SKU-10100</t>
        </is>
      </c>
      <c r="E4182" t="inlineStr">
        <is>
          <t>AM11</t>
        </is>
      </c>
      <c r="F4182" s="5" t="n">
        <v>86.58</v>
      </c>
      <c r="G4182">
        <f>IF(LEFT(B4182,1)="C","Credit","Factuur")</f>
        <v/>
      </c>
      <c r="H4182">
        <f>IF(AND(B4182=B4181,D4182=D4181,A4182=A4181,F4182=F4181),1,0)</f>
        <v/>
      </c>
      <c r="I4182">
        <f>IF(C4182="C99999",1,0)</f>
        <v/>
      </c>
      <c r="J4182" s="5">
        <f>IF(OR(H4182=1,I4182=1),0,IF(G4182="Credit",-F4182,F4182))</f>
        <v/>
      </c>
    </row>
    <row r="4183">
      <c r="A4183" t="inlineStr">
        <is>
          <t>2026-08-12</t>
        </is>
      </c>
      <c r="B4183" t="inlineStr">
        <is>
          <t>F265996</t>
        </is>
      </c>
      <c r="C4183" t="inlineStr">
        <is>
          <t>C10314</t>
        </is>
      </c>
      <c r="D4183" t="inlineStr">
        <is>
          <t>SKU-10118</t>
        </is>
      </c>
      <c r="E4183" t="inlineStr">
        <is>
          <t>AM11</t>
        </is>
      </c>
      <c r="F4183" s="5" t="n">
        <v>65.66</v>
      </c>
      <c r="G4183">
        <f>IF(LEFT(B4183,1)="C","Credit","Factuur")</f>
        <v/>
      </c>
      <c r="H4183">
        <f>IF(AND(B4183=B4182,D4183=D4182,A4183=A4182,F4183=F4182),1,0)</f>
        <v/>
      </c>
      <c r="I4183">
        <f>IF(C4183="C99999",1,0)</f>
        <v/>
      </c>
      <c r="J4183" s="5">
        <f>IF(OR(H4183=1,I4183=1),0,IF(G4183="Credit",-F4183,F4183))</f>
        <v/>
      </c>
    </row>
    <row r="4184">
      <c r="A4184" t="inlineStr">
        <is>
          <t>2026-08-12</t>
        </is>
      </c>
      <c r="B4184" t="inlineStr">
        <is>
          <t>F265996</t>
        </is>
      </c>
      <c r="C4184" t="inlineStr">
        <is>
          <t>C10314</t>
        </is>
      </c>
      <c r="D4184" t="inlineStr">
        <is>
          <t>SKU-10198</t>
        </is>
      </c>
      <c r="E4184" t="inlineStr">
        <is>
          <t>AM11</t>
        </is>
      </c>
      <c r="F4184" s="5" t="n">
        <v>71.90000000000001</v>
      </c>
      <c r="G4184">
        <f>IF(LEFT(B4184,1)="C","Credit","Factuur")</f>
        <v/>
      </c>
      <c r="H4184">
        <f>IF(AND(B4184=B4183,D4184=D4183,A4184=A4183,F4184=F4183),1,0)</f>
        <v/>
      </c>
      <c r="I4184">
        <f>IF(C4184="C99999",1,0)</f>
        <v/>
      </c>
      <c r="J4184" s="5">
        <f>IF(OR(H4184=1,I4184=1),0,IF(G4184="Credit",-F4184,F4184))</f>
        <v/>
      </c>
    </row>
    <row r="4185">
      <c r="A4185" t="inlineStr">
        <is>
          <t>2026-08-12</t>
        </is>
      </c>
      <c r="B4185" t="inlineStr">
        <is>
          <t>F265996</t>
        </is>
      </c>
      <c r="C4185" t="inlineStr">
        <is>
          <t>C10314</t>
        </is>
      </c>
      <c r="D4185" t="inlineStr">
        <is>
          <t>SKU-10317</t>
        </is>
      </c>
      <c r="E4185" t="inlineStr">
        <is>
          <t>AM11</t>
        </is>
      </c>
      <c r="F4185" s="5" t="n">
        <v>83.13</v>
      </c>
      <c r="G4185">
        <f>IF(LEFT(B4185,1)="C","Credit","Factuur")</f>
        <v/>
      </c>
      <c r="H4185">
        <f>IF(AND(B4185=B4184,D4185=D4184,A4185=A4184,F4185=F4184),1,0)</f>
        <v/>
      </c>
      <c r="I4185">
        <f>IF(C4185="C99999",1,0)</f>
        <v/>
      </c>
      <c r="J4185" s="5">
        <f>IF(OR(H4185=1,I4185=1),0,IF(G4185="Credit",-F4185,F4185))</f>
        <v/>
      </c>
    </row>
    <row r="4186">
      <c r="A4186" t="inlineStr">
        <is>
          <t>2026-08-12</t>
        </is>
      </c>
      <c r="B4186" t="inlineStr">
        <is>
          <t>F267143</t>
        </is>
      </c>
      <c r="C4186" t="inlineStr">
        <is>
          <t>C10378</t>
        </is>
      </c>
      <c r="D4186" t="inlineStr">
        <is>
          <t>SKU-10026</t>
        </is>
      </c>
      <c r="E4186" t="inlineStr">
        <is>
          <t>AM05</t>
        </is>
      </c>
      <c r="F4186" s="5" t="n">
        <v>82.36</v>
      </c>
      <c r="G4186">
        <f>IF(LEFT(B4186,1)="C","Credit","Factuur")</f>
        <v/>
      </c>
      <c r="H4186">
        <f>IF(AND(B4186=B4185,D4186=D4185,A4186=A4185,F4186=F4185),1,0)</f>
        <v/>
      </c>
      <c r="I4186">
        <f>IF(C4186="C99999",1,0)</f>
        <v/>
      </c>
      <c r="J4186" s="5">
        <f>IF(OR(H4186=1,I4186=1),0,IF(G4186="Credit",-F4186,F4186))</f>
        <v/>
      </c>
    </row>
    <row r="4187">
      <c r="A4187" t="inlineStr">
        <is>
          <t>2026-08-12</t>
        </is>
      </c>
      <c r="B4187" t="inlineStr">
        <is>
          <t>F267143</t>
        </is>
      </c>
      <c r="C4187" t="inlineStr">
        <is>
          <t>C10378</t>
        </is>
      </c>
      <c r="D4187" t="inlineStr">
        <is>
          <t>SKU-10054</t>
        </is>
      </c>
      <c r="E4187" t="inlineStr">
        <is>
          <t>AM05</t>
        </is>
      </c>
      <c r="F4187" s="5" t="n">
        <v>90.56999999999999</v>
      </c>
      <c r="G4187">
        <f>IF(LEFT(B4187,1)="C","Credit","Factuur")</f>
        <v/>
      </c>
      <c r="H4187">
        <f>IF(AND(B4187=B4186,D4187=D4186,A4187=A4186,F4187=F4186),1,0)</f>
        <v/>
      </c>
      <c r="I4187">
        <f>IF(C4187="C99999",1,0)</f>
        <v/>
      </c>
      <c r="J4187" s="5">
        <f>IF(OR(H4187=1,I4187=1),0,IF(G4187="Credit",-F4187,F4187))</f>
        <v/>
      </c>
    </row>
    <row r="4188">
      <c r="A4188" t="inlineStr">
        <is>
          <t>2026-08-12</t>
        </is>
      </c>
      <c r="B4188" t="inlineStr">
        <is>
          <t>F267143</t>
        </is>
      </c>
      <c r="C4188" t="inlineStr">
        <is>
          <t>C10378</t>
        </is>
      </c>
      <c r="D4188" t="inlineStr">
        <is>
          <t>SKU-10094</t>
        </is>
      </c>
      <c r="E4188" t="inlineStr">
        <is>
          <t>AM05</t>
        </is>
      </c>
      <c r="F4188" s="5" t="n">
        <v>80.66</v>
      </c>
      <c r="G4188">
        <f>IF(LEFT(B4188,1)="C","Credit","Factuur")</f>
        <v/>
      </c>
      <c r="H4188">
        <f>IF(AND(B4188=B4187,D4188=D4187,A4188=A4187,F4188=F4187),1,0)</f>
        <v/>
      </c>
      <c r="I4188">
        <f>IF(C4188="C99999",1,0)</f>
        <v/>
      </c>
      <c r="J4188" s="5">
        <f>IF(OR(H4188=1,I4188=1),0,IF(G4188="Credit",-F4188,F4188))</f>
        <v/>
      </c>
    </row>
    <row r="4189">
      <c r="A4189" t="inlineStr">
        <is>
          <t>2026-08-12</t>
        </is>
      </c>
      <c r="B4189" t="inlineStr">
        <is>
          <t>F267143</t>
        </is>
      </c>
      <c r="C4189" t="inlineStr">
        <is>
          <t>C10378</t>
        </is>
      </c>
      <c r="D4189" t="inlineStr">
        <is>
          <t>SKU-10111</t>
        </is>
      </c>
      <c r="E4189" t="inlineStr">
        <is>
          <t>AM05</t>
        </is>
      </c>
      <c r="F4189" s="5" t="n">
        <v>118.51</v>
      </c>
      <c r="G4189">
        <f>IF(LEFT(B4189,1)="C","Credit","Factuur")</f>
        <v/>
      </c>
      <c r="H4189">
        <f>IF(AND(B4189=B4188,D4189=D4188,A4189=A4188,F4189=F4188),1,0)</f>
        <v/>
      </c>
      <c r="I4189">
        <f>IF(C4189="C99999",1,0)</f>
        <v/>
      </c>
      <c r="J4189" s="5">
        <f>IF(OR(H4189=1,I4189=1),0,IF(G4189="Credit",-F4189,F4189))</f>
        <v/>
      </c>
    </row>
    <row r="4190">
      <c r="A4190" t="inlineStr">
        <is>
          <t>2026-08-12</t>
        </is>
      </c>
      <c r="B4190" t="inlineStr">
        <is>
          <t>F267143</t>
        </is>
      </c>
      <c r="C4190" t="inlineStr">
        <is>
          <t>C10378</t>
        </is>
      </c>
      <c r="D4190" t="inlineStr">
        <is>
          <t>SKU-10208</t>
        </is>
      </c>
      <c r="E4190" t="inlineStr">
        <is>
          <t>AM05</t>
        </is>
      </c>
      <c r="F4190" s="5" t="n">
        <v>87.05</v>
      </c>
      <c r="G4190">
        <f>IF(LEFT(B4190,1)="C","Credit","Factuur")</f>
        <v/>
      </c>
      <c r="H4190">
        <f>IF(AND(B4190=B4189,D4190=D4189,A4190=A4189,F4190=F4189),1,0)</f>
        <v/>
      </c>
      <c r="I4190">
        <f>IF(C4190="C99999",1,0)</f>
        <v/>
      </c>
      <c r="J4190" s="5">
        <f>IF(OR(H4190=1,I4190=1),0,IF(G4190="Credit",-F4190,F4190))</f>
        <v/>
      </c>
    </row>
    <row r="4191">
      <c r="A4191" t="inlineStr">
        <is>
          <t>2026-08-12</t>
        </is>
      </c>
      <c r="B4191" t="inlineStr">
        <is>
          <t>F267143</t>
        </is>
      </c>
      <c r="C4191" t="inlineStr">
        <is>
          <t>C10378</t>
        </is>
      </c>
      <c r="D4191" t="inlineStr">
        <is>
          <t>SKU-10329</t>
        </is>
      </c>
      <c r="E4191" t="inlineStr">
        <is>
          <t>AM05</t>
        </is>
      </c>
      <c r="F4191" s="5" t="n">
        <v>73.64</v>
      </c>
      <c r="G4191">
        <f>IF(LEFT(B4191,1)="C","Credit","Factuur")</f>
        <v/>
      </c>
      <c r="H4191">
        <f>IF(AND(B4191=B4190,D4191=D4190,A4191=A4190,F4191=F4190),1,0)</f>
        <v/>
      </c>
      <c r="I4191">
        <f>IF(C4191="C99999",1,0)</f>
        <v/>
      </c>
      <c r="J4191" s="5">
        <f>IF(OR(H4191=1,I4191=1),0,IF(G4191="Credit",-F4191,F4191))</f>
        <v/>
      </c>
    </row>
    <row r="4192">
      <c r="A4192" t="inlineStr">
        <is>
          <t>2026-08-12</t>
        </is>
      </c>
      <c r="B4192" t="inlineStr">
        <is>
          <t>F267165</t>
        </is>
      </c>
      <c r="C4192" t="inlineStr">
        <is>
          <t>C10380</t>
        </is>
      </c>
      <c r="D4192" t="inlineStr">
        <is>
          <t>SKU-10159</t>
        </is>
      </c>
      <c r="E4192" t="inlineStr">
        <is>
          <t>AM05</t>
        </is>
      </c>
      <c r="F4192" s="5" t="n">
        <v>169.33</v>
      </c>
      <c r="G4192">
        <f>IF(LEFT(B4192,1)="C","Credit","Factuur")</f>
        <v/>
      </c>
      <c r="H4192">
        <f>IF(AND(B4192=B4191,D4192=D4191,A4192=A4191,F4192=F4191),1,0)</f>
        <v/>
      </c>
      <c r="I4192">
        <f>IF(C4192="C99999",1,0)</f>
        <v/>
      </c>
      <c r="J4192" s="5">
        <f>IF(OR(H4192=1,I4192=1),0,IF(G4192="Credit",-F4192,F4192))</f>
        <v/>
      </c>
    </row>
    <row r="4193">
      <c r="A4193" t="inlineStr">
        <is>
          <t>2026-08-12</t>
        </is>
      </c>
      <c r="B4193" t="inlineStr">
        <is>
          <t>F267165</t>
        </is>
      </c>
      <c r="C4193" t="inlineStr">
        <is>
          <t>C10380</t>
        </is>
      </c>
      <c r="D4193" t="inlineStr">
        <is>
          <t>SKU-10226</t>
        </is>
      </c>
      <c r="E4193" t="inlineStr">
        <is>
          <t>AM05</t>
        </is>
      </c>
      <c r="F4193" s="5" t="n">
        <v>161.53</v>
      </c>
      <c r="G4193">
        <f>IF(LEFT(B4193,1)="C","Credit","Factuur")</f>
        <v/>
      </c>
      <c r="H4193">
        <f>IF(AND(B4193=B4192,D4193=D4192,A4193=A4192,F4193=F4192),1,0)</f>
        <v/>
      </c>
      <c r="I4193">
        <f>IF(C4193="C99999",1,0)</f>
        <v/>
      </c>
      <c r="J4193" s="5">
        <f>IF(OR(H4193=1,I4193=1),0,IF(G4193="Credit",-F4193,F4193))</f>
        <v/>
      </c>
    </row>
    <row r="4194">
      <c r="A4194" t="inlineStr">
        <is>
          <t>2026-08-12</t>
        </is>
      </c>
      <c r="B4194" t="inlineStr">
        <is>
          <t>F267165</t>
        </is>
      </c>
      <c r="C4194" t="inlineStr">
        <is>
          <t>C10380</t>
        </is>
      </c>
      <c r="D4194" t="inlineStr">
        <is>
          <t>SKU-10266</t>
        </is>
      </c>
      <c r="E4194" t="inlineStr">
        <is>
          <t>AM05</t>
        </is>
      </c>
      <c r="F4194" s="5" t="n">
        <v>179</v>
      </c>
      <c r="G4194">
        <f>IF(LEFT(B4194,1)="C","Credit","Factuur")</f>
        <v/>
      </c>
      <c r="H4194">
        <f>IF(AND(B4194=B4193,D4194=D4193,A4194=A4193,F4194=F4193),1,0)</f>
        <v/>
      </c>
      <c r="I4194">
        <f>IF(C4194="C99999",1,0)</f>
        <v/>
      </c>
      <c r="J4194" s="5">
        <f>IF(OR(H4194=1,I4194=1),0,IF(G4194="Credit",-F4194,F4194))</f>
        <v/>
      </c>
    </row>
    <row r="4195">
      <c r="A4195" t="inlineStr">
        <is>
          <t>2026-08-12</t>
        </is>
      </c>
      <c r="B4195" t="inlineStr">
        <is>
          <t>F267165</t>
        </is>
      </c>
      <c r="C4195" t="inlineStr">
        <is>
          <t>C10380</t>
        </is>
      </c>
      <c r="D4195" t="inlineStr">
        <is>
          <t>SKU-10306</t>
        </is>
      </c>
      <c r="E4195" t="inlineStr">
        <is>
          <t>AM05</t>
        </is>
      </c>
      <c r="F4195" s="5" t="n">
        <v>183.76</v>
      </c>
      <c r="G4195">
        <f>IF(LEFT(B4195,1)="C","Credit","Factuur")</f>
        <v/>
      </c>
      <c r="H4195">
        <f>IF(AND(B4195=B4194,D4195=D4194,A4195=A4194,F4195=F4194),1,0)</f>
        <v/>
      </c>
      <c r="I4195">
        <f>IF(C4195="C99999",1,0)</f>
        <v/>
      </c>
      <c r="J4195" s="5">
        <f>IF(OR(H4195=1,I4195=1),0,IF(G4195="Credit",-F4195,F4195))</f>
        <v/>
      </c>
    </row>
    <row r="4196">
      <c r="A4196" t="inlineStr">
        <is>
          <t>2026-08-12</t>
        </is>
      </c>
      <c r="B4196" t="inlineStr">
        <is>
          <t>F267434</t>
        </is>
      </c>
      <c r="C4196" t="inlineStr">
        <is>
          <t>C10392</t>
        </is>
      </c>
      <c r="D4196" t="inlineStr">
        <is>
          <t>SKU-10036</t>
        </is>
      </c>
      <c r="E4196" t="inlineStr">
        <is>
          <t>AM02</t>
        </is>
      </c>
      <c r="F4196" s="5" t="n">
        <v>980.14</v>
      </c>
      <c r="G4196">
        <f>IF(LEFT(B4196,1)="C","Credit","Factuur")</f>
        <v/>
      </c>
      <c r="H4196">
        <f>IF(AND(B4196=B4195,D4196=D4195,A4196=A4195,F4196=F4195),1,0)</f>
        <v/>
      </c>
      <c r="I4196">
        <f>IF(C4196="C99999",1,0)</f>
        <v/>
      </c>
      <c r="J4196" s="5">
        <f>IF(OR(H4196=1,I4196=1),0,IF(G4196="Credit",-F4196,F4196))</f>
        <v/>
      </c>
    </row>
    <row r="4197">
      <c r="A4197" t="inlineStr">
        <is>
          <t>2026-08-12</t>
        </is>
      </c>
      <c r="B4197" t="inlineStr">
        <is>
          <t>F267434</t>
        </is>
      </c>
      <c r="C4197" t="inlineStr">
        <is>
          <t>C10392</t>
        </is>
      </c>
      <c r="D4197" t="inlineStr">
        <is>
          <t>SKU-10280</t>
        </is>
      </c>
      <c r="E4197" t="inlineStr">
        <is>
          <t>AM02</t>
        </is>
      </c>
      <c r="F4197" s="5" t="n">
        <v>1022.84</v>
      </c>
      <c r="G4197">
        <f>IF(LEFT(B4197,1)="C","Credit","Factuur")</f>
        <v/>
      </c>
      <c r="H4197">
        <f>IF(AND(B4197=B4196,D4197=D4196,A4197=A4196,F4197=F4196),1,0)</f>
        <v/>
      </c>
      <c r="I4197">
        <f>IF(C4197="C99999",1,0)</f>
        <v/>
      </c>
      <c r="J4197" s="5">
        <f>IF(OR(H4197=1,I4197=1),0,IF(G4197="Credit",-F4197,F4197))</f>
        <v/>
      </c>
    </row>
    <row r="4198">
      <c r="A4198" t="inlineStr">
        <is>
          <t>2026-08-12</t>
        </is>
      </c>
      <c r="B4198" t="inlineStr">
        <is>
          <t>F267742</t>
        </is>
      </c>
      <c r="C4198" t="inlineStr">
        <is>
          <t>C10407</t>
        </is>
      </c>
      <c r="D4198" t="inlineStr">
        <is>
          <t>SKU-10071</t>
        </is>
      </c>
      <c r="E4198" t="inlineStr">
        <is>
          <t>AM12</t>
        </is>
      </c>
      <c r="F4198" s="5" t="n">
        <v>269.19</v>
      </c>
      <c r="G4198">
        <f>IF(LEFT(B4198,1)="C","Credit","Factuur")</f>
        <v/>
      </c>
      <c r="H4198">
        <f>IF(AND(B4198=B4197,D4198=D4197,A4198=A4197,F4198=F4197),1,0)</f>
        <v/>
      </c>
      <c r="I4198">
        <f>IF(C4198="C99999",1,0)</f>
        <v/>
      </c>
      <c r="J4198" s="5">
        <f>IF(OR(H4198=1,I4198=1),0,IF(G4198="Credit",-F4198,F4198))</f>
        <v/>
      </c>
    </row>
    <row r="4199">
      <c r="A4199" t="inlineStr">
        <is>
          <t>2026-08-12</t>
        </is>
      </c>
      <c r="B4199" t="inlineStr">
        <is>
          <t>F267742</t>
        </is>
      </c>
      <c r="C4199" t="inlineStr">
        <is>
          <t>C10407</t>
        </is>
      </c>
      <c r="D4199" t="inlineStr">
        <is>
          <t>SKU-10152</t>
        </is>
      </c>
      <c r="E4199" t="inlineStr">
        <is>
          <t>AM12</t>
        </is>
      </c>
      <c r="F4199" s="5" t="n">
        <v>248.04</v>
      </c>
      <c r="G4199">
        <f>IF(LEFT(B4199,1)="C","Credit","Factuur")</f>
        <v/>
      </c>
      <c r="H4199">
        <f>IF(AND(B4199=B4198,D4199=D4198,A4199=A4198,F4199=F4198),1,0)</f>
        <v/>
      </c>
      <c r="I4199">
        <f>IF(C4199="C99999",1,0)</f>
        <v/>
      </c>
      <c r="J4199" s="5">
        <f>IF(OR(H4199=1,I4199=1),0,IF(G4199="Credit",-F4199,F4199))</f>
        <v/>
      </c>
    </row>
    <row r="4200">
      <c r="A4200" t="inlineStr">
        <is>
          <t>2026-08-12</t>
        </is>
      </c>
      <c r="B4200" t="inlineStr">
        <is>
          <t>F267742</t>
        </is>
      </c>
      <c r="C4200" t="inlineStr">
        <is>
          <t>C10407</t>
        </is>
      </c>
      <c r="D4200" t="inlineStr">
        <is>
          <t>SKU-10168</t>
        </is>
      </c>
      <c r="E4200" t="inlineStr">
        <is>
          <t>AM12</t>
        </is>
      </c>
      <c r="F4200" s="5" t="n">
        <v>243.46</v>
      </c>
      <c r="G4200">
        <f>IF(LEFT(B4200,1)="C","Credit","Factuur")</f>
        <v/>
      </c>
      <c r="H4200">
        <f>IF(AND(B4200=B4199,D4200=D4199,A4200=A4199,F4200=F4199),1,0)</f>
        <v/>
      </c>
      <c r="I4200">
        <f>IF(C4200="C99999",1,0)</f>
        <v/>
      </c>
      <c r="J4200" s="5">
        <f>IF(OR(H4200=1,I4200=1),0,IF(G4200="Credit",-F4200,F4200))</f>
        <v/>
      </c>
    </row>
    <row r="4201">
      <c r="A4201" t="inlineStr">
        <is>
          <t>2026-08-12</t>
        </is>
      </c>
      <c r="B4201" t="inlineStr">
        <is>
          <t>F267742</t>
        </is>
      </c>
      <c r="C4201" t="inlineStr">
        <is>
          <t>C10407</t>
        </is>
      </c>
      <c r="D4201" t="inlineStr">
        <is>
          <t>SKU-10309</t>
        </is>
      </c>
      <c r="E4201" t="inlineStr">
        <is>
          <t>AM12</t>
        </is>
      </c>
      <c r="F4201" s="5" t="n">
        <v>277.26</v>
      </c>
      <c r="G4201">
        <f>IF(LEFT(B4201,1)="C","Credit","Factuur")</f>
        <v/>
      </c>
      <c r="H4201">
        <f>IF(AND(B4201=B4200,D4201=D4200,A4201=A4200,F4201=F4200),1,0)</f>
        <v/>
      </c>
      <c r="I4201">
        <f>IF(C4201="C99999",1,0)</f>
        <v/>
      </c>
      <c r="J4201" s="5">
        <f>IF(OR(H4201=1,I4201=1),0,IF(G4201="Credit",-F4201,F4201))</f>
        <v/>
      </c>
    </row>
    <row r="4202">
      <c r="A4202" t="inlineStr">
        <is>
          <t>2026-08-12</t>
        </is>
      </c>
      <c r="B4202" t="inlineStr">
        <is>
          <t>F267742</t>
        </is>
      </c>
      <c r="C4202" t="inlineStr">
        <is>
          <t>C10407</t>
        </is>
      </c>
      <c r="D4202" t="inlineStr">
        <is>
          <t>SKU-10327</t>
        </is>
      </c>
      <c r="E4202" t="inlineStr">
        <is>
          <t>AM12</t>
        </is>
      </c>
      <c r="F4202" s="5" t="n">
        <v>241.92</v>
      </c>
      <c r="G4202">
        <f>IF(LEFT(B4202,1)="C","Credit","Factuur")</f>
        <v/>
      </c>
      <c r="H4202">
        <f>IF(AND(B4202=B4201,D4202=D4201,A4202=A4201,F4202=F4201),1,0)</f>
        <v/>
      </c>
      <c r="I4202">
        <f>IF(C4202="C99999",1,0)</f>
        <v/>
      </c>
      <c r="J4202" s="5">
        <f>IF(OR(H4202=1,I4202=1),0,IF(G4202="Credit",-F4202,F4202))</f>
        <v/>
      </c>
    </row>
    <row r="4203">
      <c r="A4203" t="inlineStr">
        <is>
          <t>2026-08-12</t>
        </is>
      </c>
      <c r="B4203" t="inlineStr">
        <is>
          <t>F267964</t>
        </is>
      </c>
      <c r="C4203" t="inlineStr">
        <is>
          <t>C10418</t>
        </is>
      </c>
      <c r="D4203" t="inlineStr">
        <is>
          <t>SKU-10188</t>
        </is>
      </c>
      <c r="E4203" t="inlineStr">
        <is>
          <t>AM12</t>
        </is>
      </c>
      <c r="F4203" s="5" t="n">
        <v>334.23</v>
      </c>
      <c r="G4203">
        <f>IF(LEFT(B4203,1)="C","Credit","Factuur")</f>
        <v/>
      </c>
      <c r="H4203">
        <f>IF(AND(B4203=B4202,D4203=D4202,A4203=A4202,F4203=F4202),1,0)</f>
        <v/>
      </c>
      <c r="I4203">
        <f>IF(C4203="C99999",1,0)</f>
        <v/>
      </c>
      <c r="J4203" s="5">
        <f>IF(OR(H4203=1,I4203=1),0,IF(G4203="Credit",-F4203,F4203))</f>
        <v/>
      </c>
    </row>
    <row r="4204">
      <c r="A4204" t="inlineStr">
        <is>
          <t>2026-08-12</t>
        </is>
      </c>
      <c r="B4204" t="inlineStr">
        <is>
          <t>F268777</t>
        </is>
      </c>
      <c r="C4204" t="inlineStr">
        <is>
          <t>C10457</t>
        </is>
      </c>
      <c r="D4204" t="inlineStr">
        <is>
          <t>SKU-10153</t>
        </is>
      </c>
      <c r="E4204" t="inlineStr">
        <is>
          <t>AM11</t>
        </is>
      </c>
      <c r="F4204" s="5" t="n">
        <v>191.08</v>
      </c>
      <c r="G4204">
        <f>IF(LEFT(B4204,1)="C","Credit","Factuur")</f>
        <v/>
      </c>
      <c r="H4204">
        <f>IF(AND(B4204=B4203,D4204=D4203,A4204=A4203,F4204=F4203),1,0)</f>
        <v/>
      </c>
      <c r="I4204">
        <f>IF(C4204="C99999",1,0)</f>
        <v/>
      </c>
      <c r="J4204" s="5">
        <f>IF(OR(H4204=1,I4204=1),0,IF(G4204="Credit",-F4204,F4204))</f>
        <v/>
      </c>
    </row>
    <row r="4205">
      <c r="A4205" t="inlineStr">
        <is>
          <t>2026-08-12</t>
        </is>
      </c>
      <c r="B4205" t="inlineStr">
        <is>
          <t>F268777</t>
        </is>
      </c>
      <c r="C4205" t="inlineStr">
        <is>
          <t>C10457</t>
        </is>
      </c>
      <c r="D4205" t="inlineStr">
        <is>
          <t>SKU-10262</t>
        </is>
      </c>
      <c r="E4205" t="inlineStr">
        <is>
          <t>AM11</t>
        </is>
      </c>
      <c r="F4205" s="5" t="n">
        <v>226.64</v>
      </c>
      <c r="G4205">
        <f>IF(LEFT(B4205,1)="C","Credit","Factuur")</f>
        <v/>
      </c>
      <c r="H4205">
        <f>IF(AND(B4205=B4204,D4205=D4204,A4205=A4204,F4205=F4204),1,0)</f>
        <v/>
      </c>
      <c r="I4205">
        <f>IF(C4205="C99999",1,0)</f>
        <v/>
      </c>
      <c r="J4205" s="5">
        <f>IF(OR(H4205=1,I4205=1),0,IF(G4205="Credit",-F4205,F4205))</f>
        <v/>
      </c>
    </row>
    <row r="4206">
      <c r="A4206" t="inlineStr">
        <is>
          <t>2026-08-12</t>
        </is>
      </c>
      <c r="B4206" t="inlineStr">
        <is>
          <t>F268777</t>
        </is>
      </c>
      <c r="C4206" t="inlineStr">
        <is>
          <t>C10457</t>
        </is>
      </c>
      <c r="D4206" t="inlineStr">
        <is>
          <t>SKU-10346</t>
        </is>
      </c>
      <c r="E4206" t="inlineStr">
        <is>
          <t>AM11</t>
        </is>
      </c>
      <c r="F4206" s="5" t="n">
        <v>999.11</v>
      </c>
      <c r="G4206">
        <f>IF(LEFT(B4206,1)="C","Credit","Factuur")</f>
        <v/>
      </c>
      <c r="H4206">
        <f>IF(AND(B4206=B4205,D4206=D4205,A4206=A4205,F4206=F4205),1,0)</f>
        <v/>
      </c>
      <c r="I4206">
        <f>IF(C4206="C99999",1,0)</f>
        <v/>
      </c>
      <c r="J4206" s="5">
        <f>IF(OR(H4206=1,I4206=1),0,IF(G4206="Credit",-F4206,F4206))</f>
        <v/>
      </c>
    </row>
    <row r="4207">
      <c r="A4207" t="inlineStr">
        <is>
          <t>2026-08-12</t>
        </is>
      </c>
      <c r="B4207" t="inlineStr">
        <is>
          <t>F271062</t>
        </is>
      </c>
      <c r="C4207" t="inlineStr">
        <is>
          <t>C10576</t>
        </is>
      </c>
      <c r="D4207" t="inlineStr">
        <is>
          <t>SKU-10052</t>
        </is>
      </c>
      <c r="E4207" t="inlineStr">
        <is>
          <t>AM08</t>
        </is>
      </c>
      <c r="F4207" s="5" t="n">
        <v>946.98</v>
      </c>
      <c r="G4207">
        <f>IF(LEFT(B4207,1)="C","Credit","Factuur")</f>
        <v/>
      </c>
      <c r="H4207">
        <f>IF(AND(B4207=B4206,D4207=D4206,A4207=A4206,F4207=F4206),1,0)</f>
        <v/>
      </c>
      <c r="I4207">
        <f>IF(C4207="C99999",1,0)</f>
        <v/>
      </c>
      <c r="J4207" s="5">
        <f>IF(OR(H4207=1,I4207=1),0,IF(G4207="Credit",-F4207,F4207))</f>
        <v/>
      </c>
    </row>
    <row r="4208">
      <c r="A4208" t="inlineStr">
        <is>
          <t>2026-08-12</t>
        </is>
      </c>
      <c r="B4208" t="inlineStr">
        <is>
          <t>F271626</t>
        </is>
      </c>
      <c r="C4208" t="inlineStr">
        <is>
          <t>C10598</t>
        </is>
      </c>
      <c r="D4208" t="inlineStr">
        <is>
          <t>SKU-10064</t>
        </is>
      </c>
      <c r="E4208" t="inlineStr">
        <is>
          <t>AM03</t>
        </is>
      </c>
      <c r="F4208" s="5" t="n">
        <v>103.7</v>
      </c>
      <c r="G4208">
        <f>IF(LEFT(B4208,1)="C","Credit","Factuur")</f>
        <v/>
      </c>
      <c r="H4208">
        <f>IF(AND(B4208=B4207,D4208=D4207,A4208=A4207,F4208=F4207),1,0)</f>
        <v/>
      </c>
      <c r="I4208">
        <f>IF(C4208="C99999",1,0)</f>
        <v/>
      </c>
      <c r="J4208" s="5">
        <f>IF(OR(H4208=1,I4208=1),0,IF(G4208="Credit",-F4208,F4208))</f>
        <v/>
      </c>
    </row>
    <row r="4209">
      <c r="A4209" t="inlineStr">
        <is>
          <t>2026-08-12</t>
        </is>
      </c>
      <c r="B4209" t="inlineStr">
        <is>
          <t>F271626</t>
        </is>
      </c>
      <c r="C4209" t="inlineStr">
        <is>
          <t>C10598</t>
        </is>
      </c>
      <c r="D4209" t="inlineStr">
        <is>
          <t>SKU-10317</t>
        </is>
      </c>
      <c r="E4209" t="inlineStr">
        <is>
          <t>AM03</t>
        </is>
      </c>
      <c r="F4209" s="5" t="n">
        <v>105.3</v>
      </c>
      <c r="G4209">
        <f>IF(LEFT(B4209,1)="C","Credit","Factuur")</f>
        <v/>
      </c>
      <c r="H4209">
        <f>IF(AND(B4209=B4208,D4209=D4208,A4209=A4208,F4209=F4208),1,0)</f>
        <v/>
      </c>
      <c r="I4209">
        <f>IF(C4209="C99999",1,0)</f>
        <v/>
      </c>
      <c r="J4209" s="5">
        <f>IF(OR(H4209=1,I4209=1),0,IF(G4209="Credit",-F4209,F4209))</f>
        <v/>
      </c>
    </row>
    <row r="4210">
      <c r="A4210" t="inlineStr">
        <is>
          <t>2026-08-12</t>
        </is>
      </c>
      <c r="B4210" t="inlineStr">
        <is>
          <t>F272926</t>
        </is>
      </c>
      <c r="C4210" t="inlineStr">
        <is>
          <t>C10673</t>
        </is>
      </c>
      <c r="D4210" t="inlineStr">
        <is>
          <t>SKU-10284</t>
        </is>
      </c>
      <c r="E4210" t="inlineStr">
        <is>
          <t>AM02</t>
        </is>
      </c>
      <c r="F4210" s="5" t="n">
        <v>291.21</v>
      </c>
      <c r="G4210">
        <f>IF(LEFT(B4210,1)="C","Credit","Factuur")</f>
        <v/>
      </c>
      <c r="H4210">
        <f>IF(AND(B4210=B4209,D4210=D4209,A4210=A4209,F4210=F4209),1,0)</f>
        <v/>
      </c>
      <c r="I4210">
        <f>IF(C4210="C99999",1,0)</f>
        <v/>
      </c>
      <c r="J4210" s="5">
        <f>IF(OR(H4210=1,I4210=1),0,IF(G4210="Credit",-F4210,F4210))</f>
        <v/>
      </c>
    </row>
    <row r="4211">
      <c r="A4211" t="inlineStr">
        <is>
          <t>2026-08-12</t>
        </is>
      </c>
      <c r="B4211" t="inlineStr">
        <is>
          <t>F272926</t>
        </is>
      </c>
      <c r="C4211" t="inlineStr">
        <is>
          <t>C10673</t>
        </is>
      </c>
      <c r="D4211" t="inlineStr">
        <is>
          <t>SKU-10301</t>
        </is>
      </c>
      <c r="E4211" t="inlineStr">
        <is>
          <t>AM02</t>
        </is>
      </c>
      <c r="F4211" s="5" t="n">
        <v>302</v>
      </c>
      <c r="G4211">
        <f>IF(LEFT(B4211,1)="C","Credit","Factuur")</f>
        <v/>
      </c>
      <c r="H4211">
        <f>IF(AND(B4211=B4210,D4211=D4210,A4211=A4210,F4211=F4210),1,0)</f>
        <v/>
      </c>
      <c r="I4211">
        <f>IF(C4211="C99999",1,0)</f>
        <v/>
      </c>
      <c r="J4211" s="5">
        <f>IF(OR(H4211=1,I4211=1),0,IF(G4211="Credit",-F4211,F4211))</f>
        <v/>
      </c>
    </row>
    <row r="4212">
      <c r="A4212" t="inlineStr">
        <is>
          <t>2026-08-12</t>
        </is>
      </c>
      <c r="B4212" t="inlineStr">
        <is>
          <t>F272926</t>
        </is>
      </c>
      <c r="C4212" t="inlineStr">
        <is>
          <t>C10673</t>
        </is>
      </c>
      <c r="D4212" t="inlineStr">
        <is>
          <t>SKU-10303</t>
        </is>
      </c>
      <c r="E4212" t="inlineStr">
        <is>
          <t>AM02</t>
        </is>
      </c>
      <c r="F4212" s="5" t="n">
        <v>314.33</v>
      </c>
      <c r="G4212">
        <f>IF(LEFT(B4212,1)="C","Credit","Factuur")</f>
        <v/>
      </c>
      <c r="H4212">
        <f>IF(AND(B4212=B4211,D4212=D4211,A4212=A4211,F4212=F4211),1,0)</f>
        <v/>
      </c>
      <c r="I4212">
        <f>IF(C4212="C99999",1,0)</f>
        <v/>
      </c>
      <c r="J4212" s="5">
        <f>IF(OR(H4212=1,I4212=1),0,IF(G4212="Credit",-F4212,F4212))</f>
        <v/>
      </c>
    </row>
    <row r="4213">
      <c r="A4213" t="inlineStr">
        <is>
          <t>2026-08-12</t>
        </is>
      </c>
      <c r="B4213" t="inlineStr">
        <is>
          <t>F272926</t>
        </is>
      </c>
      <c r="C4213" t="inlineStr">
        <is>
          <t>C10673</t>
        </is>
      </c>
      <c r="D4213" t="inlineStr">
        <is>
          <t>SKU-10359</t>
        </is>
      </c>
      <c r="E4213" t="inlineStr">
        <is>
          <t>AM02</t>
        </is>
      </c>
      <c r="F4213" s="5" t="n">
        <v>340.26</v>
      </c>
      <c r="G4213">
        <f>IF(LEFT(B4213,1)="C","Credit","Factuur")</f>
        <v/>
      </c>
      <c r="H4213">
        <f>IF(AND(B4213=B4212,D4213=D4212,A4213=A4212,F4213=F4212),1,0)</f>
        <v/>
      </c>
      <c r="I4213">
        <f>IF(C4213="C99999",1,0)</f>
        <v/>
      </c>
      <c r="J4213" s="5">
        <f>IF(OR(H4213=1,I4213=1),0,IF(G4213="Credit",-F4213,F4213))</f>
        <v/>
      </c>
    </row>
    <row r="4214">
      <c r="A4214" t="inlineStr">
        <is>
          <t>2026-08-12</t>
        </is>
      </c>
      <c r="B4214" t="inlineStr">
        <is>
          <t>F274760</t>
        </is>
      </c>
      <c r="C4214" t="inlineStr">
        <is>
          <t>C10781</t>
        </is>
      </c>
      <c r="D4214" t="inlineStr">
        <is>
          <t>SKU-10017</t>
        </is>
      </c>
      <c r="E4214" t="inlineStr">
        <is>
          <t>AM08</t>
        </is>
      </c>
      <c r="F4214" s="5" t="n">
        <v>959.6</v>
      </c>
      <c r="G4214">
        <f>IF(LEFT(B4214,1)="C","Credit","Factuur")</f>
        <v/>
      </c>
      <c r="H4214">
        <f>IF(AND(B4214=B4213,D4214=D4213,A4214=A4213,F4214=F4213),1,0)</f>
        <v/>
      </c>
      <c r="I4214">
        <f>IF(C4214="C99999",1,0)</f>
        <v/>
      </c>
      <c r="J4214" s="5">
        <f>IF(OR(H4214=1,I4214=1),0,IF(G4214="Credit",-F4214,F4214))</f>
        <v/>
      </c>
    </row>
    <row r="4215">
      <c r="A4215" t="inlineStr">
        <is>
          <t>2026-08-12</t>
        </is>
      </c>
      <c r="B4215" t="inlineStr">
        <is>
          <t>F274966</t>
        </is>
      </c>
      <c r="C4215" t="inlineStr">
        <is>
          <t>C10789</t>
        </is>
      </c>
      <c r="D4215" t="inlineStr">
        <is>
          <t>SKU-10194</t>
        </is>
      </c>
      <c r="E4215" t="inlineStr">
        <is>
          <t>AM01</t>
        </is>
      </c>
      <c r="F4215" s="5" t="n">
        <v>783.4</v>
      </c>
      <c r="G4215">
        <f>IF(LEFT(B4215,1)="C","Credit","Factuur")</f>
        <v/>
      </c>
      <c r="H4215">
        <f>IF(AND(B4215=B4214,D4215=D4214,A4215=A4214,F4215=F4214),1,0)</f>
        <v/>
      </c>
      <c r="I4215">
        <f>IF(C4215="C99999",1,0)</f>
        <v/>
      </c>
      <c r="J4215" s="5">
        <f>IF(OR(H4215=1,I4215=1),0,IF(G4215="Credit",-F4215,F4215))</f>
        <v/>
      </c>
    </row>
    <row r="4216">
      <c r="A4216" t="inlineStr">
        <is>
          <t>2026-08-12</t>
        </is>
      </c>
      <c r="B4216" t="inlineStr">
        <is>
          <t>F276094</t>
        </is>
      </c>
      <c r="C4216" t="inlineStr">
        <is>
          <t>C10855</t>
        </is>
      </c>
      <c r="D4216" t="inlineStr">
        <is>
          <t>SKU-10044</t>
        </is>
      </c>
      <c r="E4216" t="inlineStr">
        <is>
          <t>AM08</t>
        </is>
      </c>
      <c r="F4216" s="5" t="n">
        <v>294.48</v>
      </c>
      <c r="G4216">
        <f>IF(LEFT(B4216,1)="C","Credit","Factuur")</f>
        <v/>
      </c>
      <c r="H4216">
        <f>IF(AND(B4216=B4215,D4216=D4215,A4216=A4215,F4216=F4215),1,0)</f>
        <v/>
      </c>
      <c r="I4216">
        <f>IF(C4216="C99999",1,0)</f>
        <v/>
      </c>
      <c r="J4216" s="5">
        <f>IF(OR(H4216=1,I4216=1),0,IF(G4216="Credit",-F4216,F4216))</f>
        <v/>
      </c>
    </row>
    <row r="4217">
      <c r="A4217" t="inlineStr">
        <is>
          <t>2026-08-12</t>
        </is>
      </c>
      <c r="B4217" t="inlineStr">
        <is>
          <t>F276094</t>
        </is>
      </c>
      <c r="C4217" t="inlineStr">
        <is>
          <t>C10855</t>
        </is>
      </c>
      <c r="D4217" t="inlineStr">
        <is>
          <t>SKU-10075</t>
        </is>
      </c>
      <c r="E4217" t="inlineStr">
        <is>
          <t>AM08</t>
        </is>
      </c>
      <c r="F4217" s="5" t="n">
        <v>288.3</v>
      </c>
      <c r="G4217">
        <f>IF(LEFT(B4217,1)="C","Credit","Factuur")</f>
        <v/>
      </c>
      <c r="H4217">
        <f>IF(AND(B4217=B4216,D4217=D4216,A4217=A4216,F4217=F4216),1,0)</f>
        <v/>
      </c>
      <c r="I4217">
        <f>IF(C4217="C99999",1,0)</f>
        <v/>
      </c>
      <c r="J4217" s="5">
        <f>IF(OR(H4217=1,I4217=1),0,IF(G4217="Credit",-F4217,F4217))</f>
        <v/>
      </c>
    </row>
    <row r="4218">
      <c r="A4218" t="inlineStr">
        <is>
          <t>2026-08-12</t>
        </is>
      </c>
      <c r="B4218" t="inlineStr">
        <is>
          <t>F276094</t>
        </is>
      </c>
      <c r="C4218" t="inlineStr">
        <is>
          <t>C10855</t>
        </is>
      </c>
      <c r="D4218" t="inlineStr">
        <is>
          <t>SKU-10139</t>
        </is>
      </c>
      <c r="E4218" t="inlineStr">
        <is>
          <t>AM08</t>
        </is>
      </c>
      <c r="F4218" s="5" t="n">
        <v>293.5</v>
      </c>
      <c r="G4218">
        <f>IF(LEFT(B4218,1)="C","Credit","Factuur")</f>
        <v/>
      </c>
      <c r="H4218">
        <f>IF(AND(B4218=B4217,D4218=D4217,A4218=A4217,F4218=F4217),1,0)</f>
        <v/>
      </c>
      <c r="I4218">
        <f>IF(C4218="C99999",1,0)</f>
        <v/>
      </c>
      <c r="J4218" s="5">
        <f>IF(OR(H4218=1,I4218=1),0,IF(G4218="Credit",-F4218,F4218))</f>
        <v/>
      </c>
    </row>
    <row r="4219">
      <c r="A4219" t="inlineStr">
        <is>
          <t>2026-08-12</t>
        </is>
      </c>
      <c r="B4219" t="inlineStr">
        <is>
          <t>F276094</t>
        </is>
      </c>
      <c r="C4219" t="inlineStr">
        <is>
          <t>C10855</t>
        </is>
      </c>
      <c r="D4219" t="inlineStr">
        <is>
          <t>SKU-10318</t>
        </is>
      </c>
      <c r="E4219" t="inlineStr">
        <is>
          <t>AM08</t>
        </is>
      </c>
      <c r="F4219" s="5" t="n">
        <v>270.66</v>
      </c>
      <c r="G4219">
        <f>IF(LEFT(B4219,1)="C","Credit","Factuur")</f>
        <v/>
      </c>
      <c r="H4219">
        <f>IF(AND(B4219=B4218,D4219=D4218,A4219=A4218,F4219=F4218),1,0)</f>
        <v/>
      </c>
      <c r="I4219">
        <f>IF(C4219="C99999",1,0)</f>
        <v/>
      </c>
      <c r="J4219" s="5">
        <f>IF(OR(H4219=1,I4219=1),0,IF(G4219="Credit",-F4219,F4219))</f>
        <v/>
      </c>
    </row>
    <row r="4220">
      <c r="A4220" t="inlineStr">
        <is>
          <t>2026-08-12</t>
        </is>
      </c>
      <c r="B4220" t="inlineStr">
        <is>
          <t>F276188</t>
        </is>
      </c>
      <c r="C4220" t="inlineStr">
        <is>
          <t>C10859</t>
        </is>
      </c>
      <c r="D4220" t="inlineStr">
        <is>
          <t>SKU-10027</t>
        </is>
      </c>
      <c r="E4220" t="inlineStr"/>
      <c r="F4220" s="5" t="n">
        <v>315.44</v>
      </c>
      <c r="G4220">
        <f>IF(LEFT(B4220,1)="C","Credit","Factuur")</f>
        <v/>
      </c>
      <c r="H4220">
        <f>IF(AND(B4220=B4219,D4220=D4219,A4220=A4219,F4220=F4219),1,0)</f>
        <v/>
      </c>
      <c r="I4220">
        <f>IF(C4220="C99999",1,0)</f>
        <v/>
      </c>
      <c r="J4220" s="5">
        <f>IF(OR(H4220=1,I4220=1),0,IF(G4220="Credit",-F4220,F4220))</f>
        <v/>
      </c>
    </row>
    <row r="4221">
      <c r="A4221" t="inlineStr">
        <is>
          <t>2026-08-12</t>
        </is>
      </c>
      <c r="B4221" t="inlineStr">
        <is>
          <t>F276188</t>
        </is>
      </c>
      <c r="C4221" t="inlineStr">
        <is>
          <t>C10859</t>
        </is>
      </c>
      <c r="D4221" t="inlineStr">
        <is>
          <t>SKU-10230</t>
        </is>
      </c>
      <c r="E4221" t="inlineStr">
        <is>
          <t>AM02</t>
        </is>
      </c>
      <c r="F4221" s="5" t="n">
        <v>337.82</v>
      </c>
      <c r="G4221">
        <f>IF(LEFT(B4221,1)="C","Credit","Factuur")</f>
        <v/>
      </c>
      <c r="H4221">
        <f>IF(AND(B4221=B4220,D4221=D4220,A4221=A4220,F4221=F4220),1,0)</f>
        <v/>
      </c>
      <c r="I4221">
        <f>IF(C4221="C99999",1,0)</f>
        <v/>
      </c>
      <c r="J4221" s="5">
        <f>IF(OR(H4221=1,I4221=1),0,IF(G4221="Credit",-F4221,F4221))</f>
        <v/>
      </c>
    </row>
    <row r="4222">
      <c r="A4222" t="inlineStr">
        <is>
          <t>2026-08-12</t>
        </is>
      </c>
      <c r="B4222" t="inlineStr">
        <is>
          <t>F276188</t>
        </is>
      </c>
      <c r="C4222" t="inlineStr">
        <is>
          <t>C10859</t>
        </is>
      </c>
      <c r="D4222" t="inlineStr">
        <is>
          <t>SKU-10241</t>
        </is>
      </c>
      <c r="E4222" t="inlineStr">
        <is>
          <t>AM02</t>
        </is>
      </c>
      <c r="F4222" s="5" t="n">
        <v>334.99</v>
      </c>
      <c r="G4222">
        <f>IF(LEFT(B4222,1)="C","Credit","Factuur")</f>
        <v/>
      </c>
      <c r="H4222">
        <f>IF(AND(B4222=B4221,D4222=D4221,A4222=A4221,F4222=F4221),1,0)</f>
        <v/>
      </c>
      <c r="I4222">
        <f>IF(C4222="C99999",1,0)</f>
        <v/>
      </c>
      <c r="J4222" s="5">
        <f>IF(OR(H4222=1,I4222=1),0,IF(G4222="Credit",-F4222,F4222))</f>
        <v/>
      </c>
    </row>
    <row r="4223">
      <c r="A4223" t="inlineStr">
        <is>
          <t>2026-08-12</t>
        </is>
      </c>
      <c r="B4223" t="inlineStr">
        <is>
          <t>F276730</t>
        </is>
      </c>
      <c r="C4223" t="inlineStr">
        <is>
          <t>C10887</t>
        </is>
      </c>
      <c r="D4223" t="inlineStr">
        <is>
          <t>SKU-10299</t>
        </is>
      </c>
      <c r="E4223" t="inlineStr">
        <is>
          <t>AM03</t>
        </is>
      </c>
      <c r="F4223" s="5" t="n">
        <v>564.6</v>
      </c>
      <c r="G4223">
        <f>IF(LEFT(B4223,1)="C","Credit","Factuur")</f>
        <v/>
      </c>
      <c r="H4223">
        <f>IF(AND(B4223=B4222,D4223=D4222,A4223=A4222,F4223=F4222),1,0)</f>
        <v/>
      </c>
      <c r="I4223">
        <f>IF(C4223="C99999",1,0)</f>
        <v/>
      </c>
      <c r="J4223" s="5">
        <f>IF(OR(H4223=1,I4223=1),0,IF(G4223="Credit",-F4223,F4223))</f>
        <v/>
      </c>
    </row>
    <row r="4224">
      <c r="A4224" t="inlineStr">
        <is>
          <t>2026-08-12</t>
        </is>
      </c>
      <c r="B4224" t="inlineStr">
        <is>
          <t>F276819</t>
        </is>
      </c>
      <c r="C4224" t="inlineStr">
        <is>
          <t>C10892</t>
        </is>
      </c>
      <c r="D4224" t="inlineStr">
        <is>
          <t>SKU-10257</t>
        </is>
      </c>
      <c r="E4224" t="inlineStr">
        <is>
          <t>AM06</t>
        </is>
      </c>
      <c r="F4224" s="5" t="n">
        <v>493.37</v>
      </c>
      <c r="G4224">
        <f>IF(LEFT(B4224,1)="C","Credit","Factuur")</f>
        <v/>
      </c>
      <c r="H4224">
        <f>IF(AND(B4224=B4223,D4224=D4223,A4224=A4223,F4224=F4223),1,0)</f>
        <v/>
      </c>
      <c r="I4224">
        <f>IF(C4224="C99999",1,0)</f>
        <v/>
      </c>
      <c r="J4224" s="5">
        <f>IF(OR(H4224=1,I4224=1),0,IF(G4224="Credit",-F4224,F4224))</f>
        <v/>
      </c>
    </row>
    <row r="4225">
      <c r="A4225" t="inlineStr">
        <is>
          <t>2026-08-12</t>
        </is>
      </c>
      <c r="B4225" t="inlineStr">
        <is>
          <t>F278141</t>
        </is>
      </c>
      <c r="C4225" t="inlineStr">
        <is>
          <t>C10964</t>
        </is>
      </c>
      <c r="D4225" t="inlineStr">
        <is>
          <t>SKU-10028</t>
        </is>
      </c>
      <c r="E4225" t="inlineStr">
        <is>
          <t>AM02</t>
        </is>
      </c>
      <c r="F4225" s="5" t="n">
        <v>347.28</v>
      </c>
      <c r="G4225">
        <f>IF(LEFT(B4225,1)="C","Credit","Factuur")</f>
        <v/>
      </c>
      <c r="H4225">
        <f>IF(AND(B4225=B4224,D4225=D4224,A4225=A4224,F4225=F4224),1,0)</f>
        <v/>
      </c>
      <c r="I4225">
        <f>IF(C4225="C99999",1,0)</f>
        <v/>
      </c>
      <c r="J4225" s="5">
        <f>IF(OR(H4225=1,I4225=1),0,IF(G4225="Credit",-F4225,F4225))</f>
        <v/>
      </c>
    </row>
    <row r="4226">
      <c r="A4226" t="inlineStr">
        <is>
          <t>2026-08-12</t>
        </is>
      </c>
      <c r="B4226" t="inlineStr">
        <is>
          <t>F278141</t>
        </is>
      </c>
      <c r="C4226" t="inlineStr">
        <is>
          <t>C10964</t>
        </is>
      </c>
      <c r="D4226" t="inlineStr">
        <is>
          <t>SKU-10173</t>
        </is>
      </c>
      <c r="E4226" t="inlineStr">
        <is>
          <t>AM02</t>
        </is>
      </c>
      <c r="F4226" s="5" t="n">
        <v>322.5</v>
      </c>
      <c r="G4226">
        <f>IF(LEFT(B4226,1)="C","Credit","Factuur")</f>
        <v/>
      </c>
      <c r="H4226">
        <f>IF(AND(B4226=B4225,D4226=D4225,A4226=A4225,F4226=F4225),1,0)</f>
        <v/>
      </c>
      <c r="I4226">
        <f>IF(C4226="C99999",1,0)</f>
        <v/>
      </c>
      <c r="J4226" s="5">
        <f>IF(OR(H4226=1,I4226=1),0,IF(G4226="Credit",-F4226,F4226))</f>
        <v/>
      </c>
    </row>
    <row r="4227">
      <c r="A4227" t="inlineStr">
        <is>
          <t>2026-08-12</t>
        </is>
      </c>
      <c r="B4227" t="inlineStr">
        <is>
          <t>F278141</t>
        </is>
      </c>
      <c r="C4227" t="inlineStr">
        <is>
          <t>C10964</t>
        </is>
      </c>
      <c r="D4227" t="inlineStr">
        <is>
          <t>SKU-10228</t>
        </is>
      </c>
      <c r="E4227" t="inlineStr">
        <is>
          <t>AM02</t>
        </is>
      </c>
      <c r="F4227" s="5" t="n">
        <v>327.18</v>
      </c>
      <c r="G4227">
        <f>IF(LEFT(B4227,1)="C","Credit","Factuur")</f>
        <v/>
      </c>
      <c r="H4227">
        <f>IF(AND(B4227=B4226,D4227=D4226,A4227=A4226,F4227=F4226),1,0)</f>
        <v/>
      </c>
      <c r="I4227">
        <f>IF(C4227="C99999",1,0)</f>
        <v/>
      </c>
      <c r="J4227" s="5">
        <f>IF(OR(H4227=1,I4227=1),0,IF(G4227="Credit",-F4227,F4227))</f>
        <v/>
      </c>
    </row>
    <row r="4228">
      <c r="A4228" t="inlineStr">
        <is>
          <t>2026-08-12</t>
        </is>
      </c>
      <c r="B4228" t="inlineStr">
        <is>
          <t>F278141</t>
        </is>
      </c>
      <c r="C4228" t="inlineStr">
        <is>
          <t>C10964</t>
        </is>
      </c>
      <c r="D4228" t="inlineStr">
        <is>
          <t>SKU-10310</t>
        </is>
      </c>
      <c r="E4228" t="inlineStr"/>
      <c r="F4228" s="5" t="n">
        <v>313.46</v>
      </c>
      <c r="G4228">
        <f>IF(LEFT(B4228,1)="C","Credit","Factuur")</f>
        <v/>
      </c>
      <c r="H4228">
        <f>IF(AND(B4228=B4227,D4228=D4227,A4228=A4227,F4228=F4227),1,0)</f>
        <v/>
      </c>
      <c r="I4228">
        <f>IF(C4228="C99999",1,0)</f>
        <v/>
      </c>
      <c r="J4228" s="5">
        <f>IF(OR(H4228=1,I4228=1),0,IF(G4228="Credit",-F4228,F4228))</f>
        <v/>
      </c>
    </row>
    <row r="4229">
      <c r="A4229" t="inlineStr">
        <is>
          <t>2026-08-12</t>
        </is>
      </c>
      <c r="B4229" t="inlineStr">
        <is>
          <t>F278141</t>
        </is>
      </c>
      <c r="C4229" t="inlineStr">
        <is>
          <t>C10964</t>
        </is>
      </c>
      <c r="D4229" t="inlineStr">
        <is>
          <t>SKU-10311</t>
        </is>
      </c>
      <c r="E4229" t="inlineStr">
        <is>
          <t>AM02</t>
        </is>
      </c>
      <c r="F4229" s="5" t="n">
        <v>307.44</v>
      </c>
      <c r="G4229">
        <f>IF(LEFT(B4229,1)="C","Credit","Factuur")</f>
        <v/>
      </c>
      <c r="H4229">
        <f>IF(AND(B4229=B4228,D4229=D4228,A4229=A4228,F4229=F4228),1,0)</f>
        <v/>
      </c>
      <c r="I4229">
        <f>IF(C4229="C99999",1,0)</f>
        <v/>
      </c>
      <c r="J4229" s="5">
        <f>IF(OR(H4229=1,I4229=1),0,IF(G4229="Credit",-F4229,F4229))</f>
        <v/>
      </c>
    </row>
    <row r="4230">
      <c r="A4230" t="inlineStr">
        <is>
          <t>2026-08-12</t>
        </is>
      </c>
      <c r="B4230" t="inlineStr">
        <is>
          <t>F278177</t>
        </is>
      </c>
      <c r="C4230" t="inlineStr">
        <is>
          <t>C10965</t>
        </is>
      </c>
      <c r="D4230" t="inlineStr">
        <is>
          <t>SKU-10004</t>
        </is>
      </c>
      <c r="E4230" t="inlineStr">
        <is>
          <t>AM01</t>
        </is>
      </c>
      <c r="F4230" s="5" t="n">
        <v>141.03</v>
      </c>
      <c r="G4230">
        <f>IF(LEFT(B4230,1)="C","Credit","Factuur")</f>
        <v/>
      </c>
      <c r="H4230">
        <f>IF(AND(B4230=B4229,D4230=D4229,A4230=A4229,F4230=F4229),1,0)</f>
        <v/>
      </c>
      <c r="I4230">
        <f>IF(C4230="C99999",1,0)</f>
        <v/>
      </c>
      <c r="J4230" s="5">
        <f>IF(OR(H4230=1,I4230=1),0,IF(G4230="Credit",-F4230,F4230))</f>
        <v/>
      </c>
    </row>
    <row r="4231">
      <c r="A4231" t="inlineStr">
        <is>
          <t>2026-08-12</t>
        </is>
      </c>
      <c r="B4231" t="inlineStr">
        <is>
          <t>F278177</t>
        </is>
      </c>
      <c r="C4231" t="inlineStr">
        <is>
          <t>C10965</t>
        </is>
      </c>
      <c r="D4231" t="inlineStr">
        <is>
          <t>SKU-10022</t>
        </is>
      </c>
      <c r="E4231" t="inlineStr">
        <is>
          <t>AM01</t>
        </is>
      </c>
      <c r="F4231" s="5" t="n">
        <v>122.88</v>
      </c>
      <c r="G4231">
        <f>IF(LEFT(B4231,1)="C","Credit","Factuur")</f>
        <v/>
      </c>
      <c r="H4231">
        <f>IF(AND(B4231=B4230,D4231=D4230,A4231=A4230,F4231=F4230),1,0)</f>
        <v/>
      </c>
      <c r="I4231">
        <f>IF(C4231="C99999",1,0)</f>
        <v/>
      </c>
      <c r="J4231" s="5">
        <f>IF(OR(H4231=1,I4231=1),0,IF(G4231="Credit",-F4231,F4231))</f>
        <v/>
      </c>
    </row>
    <row r="4232">
      <c r="A4232" t="inlineStr">
        <is>
          <t>2026-08-12</t>
        </is>
      </c>
      <c r="B4232" t="inlineStr">
        <is>
          <t>F279764</t>
        </is>
      </c>
      <c r="C4232" t="inlineStr">
        <is>
          <t>C11047</t>
        </is>
      </c>
      <c r="D4232" t="inlineStr">
        <is>
          <t>SKU-10146</t>
        </is>
      </c>
      <c r="E4232" t="inlineStr">
        <is>
          <t>AM02</t>
        </is>
      </c>
      <c r="F4232" s="5" t="n">
        <v>346.71</v>
      </c>
      <c r="G4232">
        <f>IF(LEFT(B4232,1)="C","Credit","Factuur")</f>
        <v/>
      </c>
      <c r="H4232">
        <f>IF(AND(B4232=B4231,D4232=D4231,A4232=A4231,F4232=F4231),1,0)</f>
        <v/>
      </c>
      <c r="I4232">
        <f>IF(C4232="C99999",1,0)</f>
        <v/>
      </c>
      <c r="J4232" s="5">
        <f>IF(OR(H4232=1,I4232=1),0,IF(G4232="Credit",-F4232,F4232))</f>
        <v/>
      </c>
    </row>
    <row r="4233">
      <c r="A4233" t="inlineStr">
        <is>
          <t>2026-08-12</t>
        </is>
      </c>
      <c r="B4233" t="inlineStr">
        <is>
          <t>F279764</t>
        </is>
      </c>
      <c r="C4233" t="inlineStr">
        <is>
          <t>C11047</t>
        </is>
      </c>
      <c r="D4233" t="inlineStr">
        <is>
          <t>SKU-10268</t>
        </is>
      </c>
      <c r="E4233" t="inlineStr">
        <is>
          <t>AM02</t>
        </is>
      </c>
      <c r="F4233" s="5" t="n">
        <v>371.11</v>
      </c>
      <c r="G4233">
        <f>IF(LEFT(B4233,1)="C","Credit","Factuur")</f>
        <v/>
      </c>
      <c r="H4233">
        <f>IF(AND(B4233=B4232,D4233=D4232,A4233=A4232,F4233=F4232),1,0)</f>
        <v/>
      </c>
      <c r="I4233">
        <f>IF(C4233="C99999",1,0)</f>
        <v/>
      </c>
      <c r="J4233" s="5">
        <f>IF(OR(H4233=1,I4233=1),0,IF(G4233="Credit",-F4233,F4233))</f>
        <v/>
      </c>
    </row>
    <row r="4234">
      <c r="A4234" t="inlineStr">
        <is>
          <t>2026-08-12</t>
        </is>
      </c>
      <c r="B4234" t="inlineStr">
        <is>
          <t>F279764</t>
        </is>
      </c>
      <c r="C4234" t="inlineStr">
        <is>
          <t>C11047</t>
        </is>
      </c>
      <c r="D4234" t="inlineStr">
        <is>
          <t>SKU-10327</t>
        </is>
      </c>
      <c r="E4234" t="inlineStr">
        <is>
          <t>AM02</t>
        </is>
      </c>
      <c r="F4234" s="5" t="n">
        <v>393.55</v>
      </c>
      <c r="G4234">
        <f>IF(LEFT(B4234,1)="C","Credit","Factuur")</f>
        <v/>
      </c>
      <c r="H4234">
        <f>IF(AND(B4234=B4233,D4234=D4233,A4234=A4233,F4234=F4233),1,0)</f>
        <v/>
      </c>
      <c r="I4234">
        <f>IF(C4234="C99999",1,0)</f>
        <v/>
      </c>
      <c r="J4234" s="5">
        <f>IF(OR(H4234=1,I4234=1),0,IF(G4234="Credit",-F4234,F4234))</f>
        <v/>
      </c>
    </row>
    <row r="4235">
      <c r="A4235" t="inlineStr">
        <is>
          <t>2026-08-12</t>
        </is>
      </c>
      <c r="B4235" t="inlineStr">
        <is>
          <t>F279871</t>
        </is>
      </c>
      <c r="C4235" t="inlineStr">
        <is>
          <t>C11051</t>
        </is>
      </c>
      <c r="D4235" t="inlineStr">
        <is>
          <t>SKU-10052</t>
        </is>
      </c>
      <c r="E4235" t="inlineStr">
        <is>
          <t>AM03</t>
        </is>
      </c>
      <c r="F4235" s="5" t="n">
        <v>185.19</v>
      </c>
      <c r="G4235">
        <f>IF(LEFT(B4235,1)="C","Credit","Factuur")</f>
        <v/>
      </c>
      <c r="H4235">
        <f>IF(AND(B4235=B4234,D4235=D4234,A4235=A4234,F4235=F4234),1,0)</f>
        <v/>
      </c>
      <c r="I4235">
        <f>IF(C4235="C99999",1,0)</f>
        <v/>
      </c>
      <c r="J4235" s="5">
        <f>IF(OR(H4235=1,I4235=1),0,IF(G4235="Credit",-F4235,F4235))</f>
        <v/>
      </c>
    </row>
    <row r="4236">
      <c r="A4236" t="inlineStr">
        <is>
          <t>2026-08-12</t>
        </is>
      </c>
      <c r="B4236" t="inlineStr">
        <is>
          <t>F279871</t>
        </is>
      </c>
      <c r="C4236" t="inlineStr">
        <is>
          <t>C11051</t>
        </is>
      </c>
      <c r="D4236" t="inlineStr">
        <is>
          <t>SKU-10075</t>
        </is>
      </c>
      <c r="E4236" t="inlineStr">
        <is>
          <t>AM03</t>
        </is>
      </c>
      <c r="F4236" s="5" t="n">
        <v>202.96</v>
      </c>
      <c r="G4236">
        <f>IF(LEFT(B4236,1)="C","Credit","Factuur")</f>
        <v/>
      </c>
      <c r="H4236">
        <f>IF(AND(B4236=B4235,D4236=D4235,A4236=A4235,F4236=F4235),1,0)</f>
        <v/>
      </c>
      <c r="I4236">
        <f>IF(C4236="C99999",1,0)</f>
        <v/>
      </c>
      <c r="J4236" s="5">
        <f>IF(OR(H4236=1,I4236=1),0,IF(G4236="Credit",-F4236,F4236))</f>
        <v/>
      </c>
    </row>
    <row r="4237">
      <c r="A4237" t="inlineStr">
        <is>
          <t>2026-08-12</t>
        </is>
      </c>
      <c r="B4237" t="inlineStr">
        <is>
          <t>F279871</t>
        </is>
      </c>
      <c r="C4237" t="inlineStr">
        <is>
          <t>C11051</t>
        </is>
      </c>
      <c r="D4237" t="inlineStr">
        <is>
          <t>SKU-10208</t>
        </is>
      </c>
      <c r="E4237" t="inlineStr">
        <is>
          <t>AM03</t>
        </is>
      </c>
      <c r="F4237" s="5" t="n">
        <v>183.85</v>
      </c>
      <c r="G4237">
        <f>IF(LEFT(B4237,1)="C","Credit","Factuur")</f>
        <v/>
      </c>
      <c r="H4237">
        <f>IF(AND(B4237=B4236,D4237=D4236,A4237=A4236,F4237=F4236),1,0)</f>
        <v/>
      </c>
      <c r="I4237">
        <f>IF(C4237="C99999",1,0)</f>
        <v/>
      </c>
      <c r="J4237" s="5">
        <f>IF(OR(H4237=1,I4237=1),0,IF(G4237="Credit",-F4237,F4237))</f>
        <v/>
      </c>
    </row>
    <row r="4238">
      <c r="A4238" t="inlineStr">
        <is>
          <t>2026-08-12</t>
        </is>
      </c>
      <c r="B4238" t="inlineStr">
        <is>
          <t>F279871</t>
        </is>
      </c>
      <c r="C4238" t="inlineStr">
        <is>
          <t>C11051</t>
        </is>
      </c>
      <c r="D4238" t="inlineStr">
        <is>
          <t>SKU-10209</t>
        </is>
      </c>
      <c r="E4238" t="inlineStr">
        <is>
          <t>AM03</t>
        </is>
      </c>
      <c r="F4238" s="5" t="n">
        <v>179.1</v>
      </c>
      <c r="G4238">
        <f>IF(LEFT(B4238,1)="C","Credit","Factuur")</f>
        <v/>
      </c>
      <c r="H4238">
        <f>IF(AND(B4238=B4237,D4238=D4237,A4238=A4237,F4238=F4237),1,0)</f>
        <v/>
      </c>
      <c r="I4238">
        <f>IF(C4238="C99999",1,0)</f>
        <v/>
      </c>
      <c r="J4238" s="5">
        <f>IF(OR(H4238=1,I4238=1),0,IF(G4238="Credit",-F4238,F4238))</f>
        <v/>
      </c>
    </row>
    <row r="4239">
      <c r="A4239" t="inlineStr">
        <is>
          <t>2026-08-12</t>
        </is>
      </c>
      <c r="B4239" t="inlineStr">
        <is>
          <t>F279871</t>
        </is>
      </c>
      <c r="C4239" t="inlineStr">
        <is>
          <t>C11051</t>
        </is>
      </c>
      <c r="D4239" t="inlineStr">
        <is>
          <t>SKU-10223</t>
        </is>
      </c>
      <c r="E4239" t="inlineStr">
        <is>
          <t>AM03</t>
        </is>
      </c>
      <c r="F4239" s="5" t="n">
        <v>204.93</v>
      </c>
      <c r="G4239">
        <f>IF(LEFT(B4239,1)="C","Credit","Factuur")</f>
        <v/>
      </c>
      <c r="H4239">
        <f>IF(AND(B4239=B4238,D4239=D4238,A4239=A4238,F4239=F4238),1,0)</f>
        <v/>
      </c>
      <c r="I4239">
        <f>IF(C4239="C99999",1,0)</f>
        <v/>
      </c>
      <c r="J4239" s="5">
        <f>IF(OR(H4239=1,I4239=1),0,IF(G4239="Credit",-F4239,F4239))</f>
        <v/>
      </c>
    </row>
    <row r="4240">
      <c r="A4240" t="inlineStr">
        <is>
          <t>2026-08-12</t>
        </is>
      </c>
      <c r="B4240" t="inlineStr">
        <is>
          <t>F280172</t>
        </is>
      </c>
      <c r="C4240" t="inlineStr">
        <is>
          <t>C11065</t>
        </is>
      </c>
      <c r="D4240" t="inlineStr">
        <is>
          <t>SKU-10045</t>
        </is>
      </c>
      <c r="E4240" t="inlineStr">
        <is>
          <t>AM11</t>
        </is>
      </c>
      <c r="F4240" s="5" t="n">
        <v>8206.120000000001</v>
      </c>
      <c r="G4240">
        <f>IF(LEFT(B4240,1)="C","Credit","Factuur")</f>
        <v/>
      </c>
      <c r="H4240">
        <f>IF(AND(B4240=B4239,D4240=D4239,A4240=A4239,F4240=F4239),1,0)</f>
        <v/>
      </c>
      <c r="I4240">
        <f>IF(C4240="C99999",1,0)</f>
        <v/>
      </c>
      <c r="J4240" s="5">
        <f>IF(OR(H4240=1,I4240=1),0,IF(G4240="Credit",-F4240,F4240))</f>
        <v/>
      </c>
    </row>
    <row r="4241">
      <c r="A4241" t="inlineStr">
        <is>
          <t>2026-08-12</t>
        </is>
      </c>
      <c r="B4241" t="inlineStr">
        <is>
          <t>F280210</t>
        </is>
      </c>
      <c r="C4241" t="inlineStr">
        <is>
          <t>C11068</t>
        </is>
      </c>
      <c r="D4241" t="inlineStr">
        <is>
          <t>SKU-10044</t>
        </is>
      </c>
      <c r="E4241" t="inlineStr">
        <is>
          <t>AM02</t>
        </is>
      </c>
      <c r="F4241" s="5" t="n">
        <v>139.88</v>
      </c>
      <c r="G4241">
        <f>IF(LEFT(B4241,1)="C","Credit","Factuur")</f>
        <v/>
      </c>
      <c r="H4241">
        <f>IF(AND(B4241=B4240,D4241=D4240,A4241=A4240,F4241=F4240),1,0)</f>
        <v/>
      </c>
      <c r="I4241">
        <f>IF(C4241="C99999",1,0)</f>
        <v/>
      </c>
      <c r="J4241" s="5">
        <f>IF(OR(H4241=1,I4241=1),0,IF(G4241="Credit",-F4241,F4241))</f>
        <v/>
      </c>
    </row>
    <row r="4242">
      <c r="A4242" t="inlineStr">
        <is>
          <t>2026-08-12</t>
        </is>
      </c>
      <c r="B4242" t="inlineStr">
        <is>
          <t>F280210</t>
        </is>
      </c>
      <c r="C4242" t="inlineStr">
        <is>
          <t>C11068</t>
        </is>
      </c>
      <c r="D4242" t="inlineStr">
        <is>
          <t>SKU-10091</t>
        </is>
      </c>
      <c r="E4242" t="inlineStr">
        <is>
          <t>AM02</t>
        </is>
      </c>
      <c r="F4242" s="5" t="n">
        <v>117.43</v>
      </c>
      <c r="G4242">
        <f>IF(LEFT(B4242,1)="C","Credit","Factuur")</f>
        <v/>
      </c>
      <c r="H4242">
        <f>IF(AND(B4242=B4241,D4242=D4241,A4242=A4241,F4242=F4241),1,0)</f>
        <v/>
      </c>
      <c r="I4242">
        <f>IF(C4242="C99999",1,0)</f>
        <v/>
      </c>
      <c r="J4242" s="5">
        <f>IF(OR(H4242=1,I4242=1),0,IF(G4242="Credit",-F4242,F4242))</f>
        <v/>
      </c>
    </row>
    <row r="4243">
      <c r="A4243" t="inlineStr">
        <is>
          <t>2026-08-12</t>
        </is>
      </c>
      <c r="B4243" t="inlineStr">
        <is>
          <t>F280210</t>
        </is>
      </c>
      <c r="C4243" t="inlineStr">
        <is>
          <t>C11068</t>
        </is>
      </c>
      <c r="D4243" t="inlineStr">
        <is>
          <t>SKU-10302</t>
        </is>
      </c>
      <c r="E4243" t="inlineStr">
        <is>
          <t>AM02</t>
        </is>
      </c>
      <c r="F4243" s="5" t="n">
        <v>175.64</v>
      </c>
      <c r="G4243">
        <f>IF(LEFT(B4243,1)="C","Credit","Factuur")</f>
        <v/>
      </c>
      <c r="H4243">
        <f>IF(AND(B4243=B4242,D4243=D4242,A4243=A4242,F4243=F4242),1,0)</f>
        <v/>
      </c>
      <c r="I4243">
        <f>IF(C4243="C99999",1,0)</f>
        <v/>
      </c>
      <c r="J4243" s="5">
        <f>IF(OR(H4243=1,I4243=1),0,IF(G4243="Credit",-F4243,F4243))</f>
        <v/>
      </c>
    </row>
    <row r="4244">
      <c r="A4244" t="inlineStr">
        <is>
          <t>2026-08-12</t>
        </is>
      </c>
      <c r="B4244" t="inlineStr">
        <is>
          <t>F282060</t>
        </is>
      </c>
      <c r="C4244" t="inlineStr">
        <is>
          <t>C11159</t>
        </is>
      </c>
      <c r="D4244" t="inlineStr">
        <is>
          <t>SKU-10108</t>
        </is>
      </c>
      <c r="E4244" t="inlineStr"/>
      <c r="F4244" s="5" t="n">
        <v>278.79</v>
      </c>
      <c r="G4244">
        <f>IF(LEFT(B4244,1)="C","Credit","Factuur")</f>
        <v/>
      </c>
      <c r="H4244">
        <f>IF(AND(B4244=B4243,D4244=D4243,A4244=A4243,F4244=F4243),1,0)</f>
        <v/>
      </c>
      <c r="I4244">
        <f>IF(C4244="C99999",1,0)</f>
        <v/>
      </c>
      <c r="J4244" s="5">
        <f>IF(OR(H4244=1,I4244=1),0,IF(G4244="Credit",-F4244,F4244))</f>
        <v/>
      </c>
    </row>
    <row r="4245">
      <c r="A4245" t="inlineStr">
        <is>
          <t>2026-08-12</t>
        </is>
      </c>
      <c r="B4245" t="inlineStr">
        <is>
          <t>F282060</t>
        </is>
      </c>
      <c r="C4245" t="inlineStr">
        <is>
          <t>C11159</t>
        </is>
      </c>
      <c r="D4245" t="inlineStr">
        <is>
          <t>SKU-10202</t>
        </is>
      </c>
      <c r="E4245" t="inlineStr">
        <is>
          <t>AM05</t>
        </is>
      </c>
      <c r="F4245" s="5" t="n">
        <v>263.64</v>
      </c>
      <c r="G4245">
        <f>IF(LEFT(B4245,1)="C","Credit","Factuur")</f>
        <v/>
      </c>
      <c r="H4245">
        <f>IF(AND(B4245=B4244,D4245=D4244,A4245=A4244,F4245=F4244),1,0)</f>
        <v/>
      </c>
      <c r="I4245">
        <f>IF(C4245="C99999",1,0)</f>
        <v/>
      </c>
      <c r="J4245" s="5">
        <f>IF(OR(H4245=1,I4245=1),0,IF(G4245="Credit",-F4245,F4245))</f>
        <v/>
      </c>
    </row>
    <row r="4246">
      <c r="A4246" t="inlineStr">
        <is>
          <t>2026-08-12</t>
        </is>
      </c>
      <c r="B4246" t="inlineStr">
        <is>
          <t>F282060</t>
        </is>
      </c>
      <c r="C4246" t="inlineStr">
        <is>
          <t>C11159</t>
        </is>
      </c>
      <c r="D4246" t="inlineStr">
        <is>
          <t>SKU-10278</t>
        </is>
      </c>
      <c r="E4246" t="inlineStr">
        <is>
          <t>AM05</t>
        </is>
      </c>
      <c r="F4246" s="5" t="n">
        <v>273.26</v>
      </c>
      <c r="G4246">
        <f>IF(LEFT(B4246,1)="C","Credit","Factuur")</f>
        <v/>
      </c>
      <c r="H4246">
        <f>IF(AND(B4246=B4245,D4246=D4245,A4246=A4245,F4246=F4245),1,0)</f>
        <v/>
      </c>
      <c r="I4246">
        <f>IF(C4246="C99999",1,0)</f>
        <v/>
      </c>
      <c r="J4246" s="5">
        <f>IF(OR(H4246=1,I4246=1),0,IF(G4246="Credit",-F4246,F4246))</f>
        <v/>
      </c>
    </row>
    <row r="4247">
      <c r="A4247" t="inlineStr">
        <is>
          <t>2026-08-12</t>
        </is>
      </c>
      <c r="B4247" t="inlineStr">
        <is>
          <t>F282675</t>
        </is>
      </c>
      <c r="C4247" t="inlineStr">
        <is>
          <t>C11190</t>
        </is>
      </c>
      <c r="D4247" t="inlineStr">
        <is>
          <t>SKU-10077</t>
        </is>
      </c>
      <c r="E4247" t="inlineStr">
        <is>
          <t>AM07</t>
        </is>
      </c>
      <c r="F4247" s="5" t="n">
        <v>786.88</v>
      </c>
      <c r="G4247">
        <f>IF(LEFT(B4247,1)="C","Credit","Factuur")</f>
        <v/>
      </c>
      <c r="H4247">
        <f>IF(AND(B4247=B4246,D4247=D4246,A4247=A4246,F4247=F4246),1,0)</f>
        <v/>
      </c>
      <c r="I4247">
        <f>IF(C4247="C99999",1,0)</f>
        <v/>
      </c>
      <c r="J4247" s="5">
        <f>IF(OR(H4247=1,I4247=1),0,IF(G4247="Credit",-F4247,F4247))</f>
        <v/>
      </c>
    </row>
    <row r="4248">
      <c r="A4248" t="inlineStr">
        <is>
          <t>2026-08-12</t>
        </is>
      </c>
      <c r="B4248" t="inlineStr">
        <is>
          <t>F282675</t>
        </is>
      </c>
      <c r="C4248" t="inlineStr">
        <is>
          <t>C11190</t>
        </is>
      </c>
      <c r="D4248" t="inlineStr">
        <is>
          <t>SKU-10220</t>
        </is>
      </c>
      <c r="E4248" t="inlineStr">
        <is>
          <t>AM07</t>
        </is>
      </c>
      <c r="F4248" s="5" t="n">
        <v>832.49</v>
      </c>
      <c r="G4248">
        <f>IF(LEFT(B4248,1)="C","Credit","Factuur")</f>
        <v/>
      </c>
      <c r="H4248">
        <f>IF(AND(B4248=B4247,D4248=D4247,A4248=A4247,F4248=F4247),1,0)</f>
        <v/>
      </c>
      <c r="I4248">
        <f>IF(C4248="C99999",1,0)</f>
        <v/>
      </c>
      <c r="J4248" s="5">
        <f>IF(OR(H4248=1,I4248=1),0,IF(G4248="Credit",-F4248,F4248))</f>
        <v/>
      </c>
    </row>
    <row r="4249">
      <c r="A4249" t="inlineStr">
        <is>
          <t>2026-08-12</t>
        </is>
      </c>
      <c r="B4249" t="inlineStr">
        <is>
          <t>F283229</t>
        </is>
      </c>
      <c r="C4249" t="inlineStr">
        <is>
          <t>C11223</t>
        </is>
      </c>
      <c r="D4249" t="inlineStr">
        <is>
          <t>SKU-10224</t>
        </is>
      </c>
      <c r="E4249" t="inlineStr">
        <is>
          <t>AM03</t>
        </is>
      </c>
      <c r="F4249" s="5" t="n">
        <v>712.5</v>
      </c>
      <c r="G4249">
        <f>IF(LEFT(B4249,1)="C","Credit","Factuur")</f>
        <v/>
      </c>
      <c r="H4249">
        <f>IF(AND(B4249=B4248,D4249=D4248,A4249=A4248,F4249=F4248),1,0)</f>
        <v/>
      </c>
      <c r="I4249">
        <f>IF(C4249="C99999",1,0)</f>
        <v/>
      </c>
      <c r="J4249" s="5">
        <f>IF(OR(H4249=1,I4249=1),0,IF(G4249="Credit",-F4249,F4249))</f>
        <v/>
      </c>
    </row>
    <row r="4250">
      <c r="A4250" t="inlineStr">
        <is>
          <t>2026-08-12</t>
        </is>
      </c>
      <c r="B4250" t="inlineStr">
        <is>
          <t>F283758</t>
        </is>
      </c>
      <c r="C4250" t="inlineStr">
        <is>
          <t>C11246</t>
        </is>
      </c>
      <c r="D4250" t="inlineStr">
        <is>
          <t>SKU-10267</t>
        </is>
      </c>
      <c r="E4250" t="inlineStr">
        <is>
          <t>AM02</t>
        </is>
      </c>
      <c r="F4250" s="5" t="n">
        <v>603.02</v>
      </c>
      <c r="G4250">
        <f>IF(LEFT(B4250,1)="C","Credit","Factuur")</f>
        <v/>
      </c>
      <c r="H4250">
        <f>IF(AND(B4250=B4249,D4250=D4249,A4250=A4249,F4250=F4249),1,0)</f>
        <v/>
      </c>
      <c r="I4250">
        <f>IF(C4250="C99999",1,0)</f>
        <v/>
      </c>
      <c r="J4250" s="5">
        <f>IF(OR(H4250=1,I4250=1),0,IF(G4250="Credit",-F4250,F4250))</f>
        <v/>
      </c>
    </row>
    <row r="4251">
      <c r="A4251" t="inlineStr">
        <is>
          <t>2026-08-12</t>
        </is>
      </c>
      <c r="B4251" t="inlineStr">
        <is>
          <t>F283758</t>
        </is>
      </c>
      <c r="C4251" t="inlineStr">
        <is>
          <t>C11246</t>
        </is>
      </c>
      <c r="D4251" t="inlineStr">
        <is>
          <t>SKU-10298</t>
        </is>
      </c>
      <c r="E4251" t="inlineStr">
        <is>
          <t>AM02</t>
        </is>
      </c>
      <c r="F4251" s="5" t="n">
        <v>715.35</v>
      </c>
      <c r="G4251">
        <f>IF(LEFT(B4251,1)="C","Credit","Factuur")</f>
        <v/>
      </c>
      <c r="H4251">
        <f>IF(AND(B4251=B4250,D4251=D4250,A4251=A4250,F4251=F4250),1,0)</f>
        <v/>
      </c>
      <c r="I4251">
        <f>IF(C4251="C99999",1,0)</f>
        <v/>
      </c>
      <c r="J4251" s="5">
        <f>IF(OR(H4251=1,I4251=1),0,IF(G4251="Credit",-F4251,F4251))</f>
        <v/>
      </c>
    </row>
    <row r="4252">
      <c r="A4252" t="inlineStr">
        <is>
          <t>2026-08-12</t>
        </is>
      </c>
      <c r="B4252" t="inlineStr">
        <is>
          <t>F283766</t>
        </is>
      </c>
      <c r="C4252" t="inlineStr">
        <is>
          <t>C11246</t>
        </is>
      </c>
      <c r="D4252" t="inlineStr">
        <is>
          <t>SKU-10036</t>
        </is>
      </c>
      <c r="E4252" t="inlineStr">
        <is>
          <t>AM02</t>
        </is>
      </c>
      <c r="F4252" s="5" t="n">
        <v>399.15</v>
      </c>
      <c r="G4252">
        <f>IF(LEFT(B4252,1)="C","Credit","Factuur")</f>
        <v/>
      </c>
      <c r="H4252">
        <f>IF(AND(B4252=B4251,D4252=D4251,A4252=A4251,F4252=F4251),1,0)</f>
        <v/>
      </c>
      <c r="I4252">
        <f>IF(C4252="C99999",1,0)</f>
        <v/>
      </c>
      <c r="J4252" s="5">
        <f>IF(OR(H4252=1,I4252=1),0,IF(G4252="Credit",-F4252,F4252))</f>
        <v/>
      </c>
    </row>
    <row r="4253">
      <c r="A4253" t="inlineStr">
        <is>
          <t>2026-08-12</t>
        </is>
      </c>
      <c r="B4253" t="inlineStr">
        <is>
          <t>F283766</t>
        </is>
      </c>
      <c r="C4253" t="inlineStr">
        <is>
          <t>C11246</t>
        </is>
      </c>
      <c r="D4253" t="inlineStr">
        <is>
          <t>SKU-10161</t>
        </is>
      </c>
      <c r="E4253" t="inlineStr">
        <is>
          <t>AM02</t>
        </is>
      </c>
      <c r="F4253" s="5" t="n">
        <v>367.22</v>
      </c>
      <c r="G4253">
        <f>IF(LEFT(B4253,1)="C","Credit","Factuur")</f>
        <v/>
      </c>
      <c r="H4253">
        <f>IF(AND(B4253=B4252,D4253=D4252,A4253=A4252,F4253=F4252),1,0)</f>
        <v/>
      </c>
      <c r="I4253">
        <f>IF(C4253="C99999",1,0)</f>
        <v/>
      </c>
      <c r="J4253" s="5">
        <f>IF(OR(H4253=1,I4253=1),0,IF(G4253="Credit",-F4253,F4253))</f>
        <v/>
      </c>
    </row>
    <row r="4254">
      <c r="A4254" t="inlineStr">
        <is>
          <t>2026-08-12</t>
        </is>
      </c>
      <c r="B4254" t="inlineStr">
        <is>
          <t>F283766</t>
        </is>
      </c>
      <c r="C4254" t="inlineStr">
        <is>
          <t>C11246</t>
        </is>
      </c>
      <c r="D4254" t="inlineStr">
        <is>
          <t>SKU-10183</t>
        </is>
      </c>
      <c r="E4254" t="inlineStr">
        <is>
          <t>AM02</t>
        </is>
      </c>
      <c r="F4254" s="5" t="n">
        <v>424.7</v>
      </c>
      <c r="G4254">
        <f>IF(LEFT(B4254,1)="C","Credit","Factuur")</f>
        <v/>
      </c>
      <c r="H4254">
        <f>IF(AND(B4254=B4253,D4254=D4253,A4254=A4253,F4254=F4253),1,0)</f>
        <v/>
      </c>
      <c r="I4254">
        <f>IF(C4254="C99999",1,0)</f>
        <v/>
      </c>
      <c r="J4254" s="5">
        <f>IF(OR(H4254=1,I4254=1),0,IF(G4254="Credit",-F4254,F4254))</f>
        <v/>
      </c>
    </row>
    <row r="4255">
      <c r="A4255" t="inlineStr">
        <is>
          <t>2026-08-12</t>
        </is>
      </c>
      <c r="B4255" t="inlineStr">
        <is>
          <t>F283766</t>
        </is>
      </c>
      <c r="C4255" t="inlineStr">
        <is>
          <t>C11246</t>
        </is>
      </c>
      <c r="D4255" t="inlineStr">
        <is>
          <t>SKU-10271</t>
        </is>
      </c>
      <c r="E4255" t="inlineStr">
        <is>
          <t>AM02</t>
        </is>
      </c>
      <c r="F4255" s="5" t="n">
        <v>380.38</v>
      </c>
      <c r="G4255">
        <f>IF(LEFT(B4255,1)="C","Credit","Factuur")</f>
        <v/>
      </c>
      <c r="H4255">
        <f>IF(AND(B4255=B4254,D4255=D4254,A4255=A4254,F4255=F4254),1,0)</f>
        <v/>
      </c>
      <c r="I4255">
        <f>IF(C4255="C99999",1,0)</f>
        <v/>
      </c>
      <c r="J4255" s="5">
        <f>IF(OR(H4255=1,I4255=1),0,IF(G4255="Credit",-F4255,F4255))</f>
        <v/>
      </c>
    </row>
    <row r="4256">
      <c r="A4256" t="inlineStr">
        <is>
          <t>2026-08-13</t>
        </is>
      </c>
      <c r="B4256" t="inlineStr">
        <is>
          <t>C901287</t>
        </is>
      </c>
      <c r="C4256" t="inlineStr">
        <is>
          <t>C11133</t>
        </is>
      </c>
      <c r="D4256" t="inlineStr">
        <is>
          <t>SKU-10222</t>
        </is>
      </c>
      <c r="E4256" t="inlineStr">
        <is>
          <t>AM07</t>
        </is>
      </c>
      <c r="F4256" s="5" t="n">
        <v>193.78</v>
      </c>
      <c r="G4256">
        <f>IF(LEFT(B4256,1)="C","Credit","Factuur")</f>
        <v/>
      </c>
      <c r="H4256">
        <f>IF(AND(B4256=B4255,D4256=D4255,A4256=A4255,F4256=F4255),1,0)</f>
        <v/>
      </c>
      <c r="I4256">
        <f>IF(C4256="C99999",1,0)</f>
        <v/>
      </c>
      <c r="J4256" s="5">
        <f>IF(OR(H4256=1,I4256=1),0,IF(G4256="Credit",-F4256,F4256))</f>
        <v/>
      </c>
    </row>
    <row r="4257">
      <c r="A4257" t="inlineStr">
        <is>
          <t>2026-08-13</t>
        </is>
      </c>
      <c r="B4257" t="inlineStr">
        <is>
          <t>F260099</t>
        </is>
      </c>
      <c r="C4257" t="inlineStr">
        <is>
          <t>C10005</t>
        </is>
      </c>
      <c r="D4257" t="inlineStr">
        <is>
          <t>SKU-10008</t>
        </is>
      </c>
      <c r="E4257" t="inlineStr">
        <is>
          <t>AM01</t>
        </is>
      </c>
      <c r="F4257" s="5" t="n">
        <v>98.28</v>
      </c>
      <c r="G4257">
        <f>IF(LEFT(B4257,1)="C","Credit","Factuur")</f>
        <v/>
      </c>
      <c r="H4257">
        <f>IF(AND(B4257=B4256,D4257=D4256,A4257=A4256,F4257=F4256),1,0)</f>
        <v/>
      </c>
      <c r="I4257">
        <f>IF(C4257="C99999",1,0)</f>
        <v/>
      </c>
      <c r="J4257" s="5">
        <f>IF(OR(H4257=1,I4257=1),0,IF(G4257="Credit",-F4257,F4257))</f>
        <v/>
      </c>
    </row>
    <row r="4258">
      <c r="A4258" t="inlineStr">
        <is>
          <t>2026-08-13</t>
        </is>
      </c>
      <c r="B4258" t="inlineStr">
        <is>
          <t>F260099</t>
        </is>
      </c>
      <c r="C4258" t="inlineStr">
        <is>
          <t>C10005</t>
        </is>
      </c>
      <c r="D4258" t="inlineStr">
        <is>
          <t>SKU-10044</t>
        </is>
      </c>
      <c r="E4258" t="inlineStr">
        <is>
          <t>AM01</t>
        </is>
      </c>
      <c r="F4258" s="5" t="n">
        <v>98.16</v>
      </c>
      <c r="G4258">
        <f>IF(LEFT(B4258,1)="C","Credit","Factuur")</f>
        <v/>
      </c>
      <c r="H4258">
        <f>IF(AND(B4258=B4257,D4258=D4257,A4258=A4257,F4258=F4257),1,0)</f>
        <v/>
      </c>
      <c r="I4258">
        <f>IF(C4258="C99999",1,0)</f>
        <v/>
      </c>
      <c r="J4258" s="5">
        <f>IF(OR(H4258=1,I4258=1),0,IF(G4258="Credit",-F4258,F4258))</f>
        <v/>
      </c>
    </row>
    <row r="4259">
      <c r="A4259" t="inlineStr">
        <is>
          <t>2026-08-13</t>
        </is>
      </c>
      <c r="B4259" t="inlineStr">
        <is>
          <t>F260099</t>
        </is>
      </c>
      <c r="C4259" t="inlineStr">
        <is>
          <t>C10005</t>
        </is>
      </c>
      <c r="D4259" t="inlineStr">
        <is>
          <t>SKU-10136</t>
        </is>
      </c>
      <c r="E4259" t="inlineStr">
        <is>
          <t>AM01</t>
        </is>
      </c>
      <c r="F4259" s="5" t="n">
        <v>85.70999999999999</v>
      </c>
      <c r="G4259">
        <f>IF(LEFT(B4259,1)="C","Credit","Factuur")</f>
        <v/>
      </c>
      <c r="H4259">
        <f>IF(AND(B4259=B4258,D4259=D4258,A4259=A4258,F4259=F4258),1,0)</f>
        <v/>
      </c>
      <c r="I4259">
        <f>IF(C4259="C99999",1,0)</f>
        <v/>
      </c>
      <c r="J4259" s="5">
        <f>IF(OR(H4259=1,I4259=1),0,IF(G4259="Credit",-F4259,F4259))</f>
        <v/>
      </c>
    </row>
    <row r="4260">
      <c r="A4260" t="inlineStr">
        <is>
          <t>2026-08-13</t>
        </is>
      </c>
      <c r="B4260" t="inlineStr">
        <is>
          <t>F260099</t>
        </is>
      </c>
      <c r="C4260" t="inlineStr">
        <is>
          <t>C10005</t>
        </is>
      </c>
      <c r="D4260" t="inlineStr">
        <is>
          <t>SKU-10198</t>
        </is>
      </c>
      <c r="E4260" t="inlineStr">
        <is>
          <t>AM01</t>
        </is>
      </c>
      <c r="F4260" s="5" t="n">
        <v>71.90000000000001</v>
      </c>
      <c r="G4260">
        <f>IF(LEFT(B4260,1)="C","Credit","Factuur")</f>
        <v/>
      </c>
      <c r="H4260">
        <f>IF(AND(B4260=B4259,D4260=D4259,A4260=A4259,F4260=F4259),1,0)</f>
        <v/>
      </c>
      <c r="I4260">
        <f>IF(C4260="C99999",1,0)</f>
        <v/>
      </c>
      <c r="J4260" s="5">
        <f>IF(OR(H4260=1,I4260=1),0,IF(G4260="Credit",-F4260,F4260))</f>
        <v/>
      </c>
    </row>
    <row r="4261">
      <c r="A4261" t="inlineStr">
        <is>
          <t>2026-08-13</t>
        </is>
      </c>
      <c r="B4261" t="inlineStr">
        <is>
          <t>F260099</t>
        </is>
      </c>
      <c r="C4261" t="inlineStr">
        <is>
          <t>C10005</t>
        </is>
      </c>
      <c r="D4261" t="inlineStr">
        <is>
          <t>SKU-10298</t>
        </is>
      </c>
      <c r="E4261" t="inlineStr">
        <is>
          <t>AM01</t>
        </is>
      </c>
      <c r="F4261" s="5" t="n">
        <v>75.3</v>
      </c>
      <c r="G4261">
        <f>IF(LEFT(B4261,1)="C","Credit","Factuur")</f>
        <v/>
      </c>
      <c r="H4261">
        <f>IF(AND(B4261=B4260,D4261=D4260,A4261=A4260,F4261=F4260),1,0)</f>
        <v/>
      </c>
      <c r="I4261">
        <f>IF(C4261="C99999",1,0)</f>
        <v/>
      </c>
      <c r="J4261" s="5">
        <f>IF(OR(H4261=1,I4261=1),0,IF(G4261="Credit",-F4261,F4261))</f>
        <v/>
      </c>
    </row>
    <row r="4262">
      <c r="A4262" t="inlineStr">
        <is>
          <t>2026-08-13</t>
        </is>
      </c>
      <c r="B4262" t="inlineStr">
        <is>
          <t>F260947</t>
        </is>
      </c>
      <c r="C4262" t="inlineStr">
        <is>
          <t>C10054</t>
        </is>
      </c>
      <c r="D4262" t="inlineStr">
        <is>
          <t>SKU-10189</t>
        </is>
      </c>
      <c r="E4262" t="inlineStr">
        <is>
          <t>AM01</t>
        </is>
      </c>
      <c r="F4262" s="5" t="n">
        <v>341.32</v>
      </c>
      <c r="G4262">
        <f>IF(LEFT(B4262,1)="C","Credit","Factuur")</f>
        <v/>
      </c>
      <c r="H4262">
        <f>IF(AND(B4262=B4261,D4262=D4261,A4262=A4261,F4262=F4261),1,0)</f>
        <v/>
      </c>
      <c r="I4262">
        <f>IF(C4262="C99999",1,0)</f>
        <v/>
      </c>
      <c r="J4262" s="5">
        <f>IF(OR(H4262=1,I4262=1),0,IF(G4262="Credit",-F4262,F4262))</f>
        <v/>
      </c>
    </row>
    <row r="4263">
      <c r="A4263" t="inlineStr">
        <is>
          <t>2026-08-13</t>
        </is>
      </c>
      <c r="B4263" t="inlineStr">
        <is>
          <t>F263325</t>
        </is>
      </c>
      <c r="C4263" t="inlineStr">
        <is>
          <t>C10176</t>
        </is>
      </c>
      <c r="D4263" t="inlineStr">
        <is>
          <t>SKU-10203</t>
        </is>
      </c>
      <c r="E4263" t="inlineStr">
        <is>
          <t>AM07</t>
        </is>
      </c>
      <c r="F4263" s="5" t="n">
        <v>1355.23</v>
      </c>
      <c r="G4263">
        <f>IF(LEFT(B4263,1)="C","Credit","Factuur")</f>
        <v/>
      </c>
      <c r="H4263">
        <f>IF(AND(B4263=B4262,D4263=D4262,A4263=A4262,F4263=F4262),1,0)</f>
        <v/>
      </c>
      <c r="I4263">
        <f>IF(C4263="C99999",1,0)</f>
        <v/>
      </c>
      <c r="J4263" s="5">
        <f>IF(OR(H4263=1,I4263=1),0,IF(G4263="Credit",-F4263,F4263))</f>
        <v/>
      </c>
    </row>
    <row r="4264">
      <c r="A4264" t="inlineStr">
        <is>
          <t>2026-08-13</t>
        </is>
      </c>
      <c r="B4264" t="inlineStr">
        <is>
          <t>F263325</t>
        </is>
      </c>
      <c r="C4264" t="inlineStr">
        <is>
          <t>C10176</t>
        </is>
      </c>
      <c r="D4264" t="inlineStr">
        <is>
          <t>SKU-10344</t>
        </is>
      </c>
      <c r="E4264" t="inlineStr">
        <is>
          <t>AM07</t>
        </is>
      </c>
      <c r="F4264" s="5" t="n">
        <v>1428</v>
      </c>
      <c r="G4264">
        <f>IF(LEFT(B4264,1)="C","Credit","Factuur")</f>
        <v/>
      </c>
      <c r="H4264">
        <f>IF(AND(B4264=B4263,D4264=D4263,A4264=A4263,F4264=F4263),1,0)</f>
        <v/>
      </c>
      <c r="I4264">
        <f>IF(C4264="C99999",1,0)</f>
        <v/>
      </c>
      <c r="J4264" s="5">
        <f>IF(OR(H4264=1,I4264=1),0,IF(G4264="Credit",-F4264,F4264))</f>
        <v/>
      </c>
    </row>
    <row r="4265">
      <c r="A4265" t="inlineStr">
        <is>
          <t>2026-08-13</t>
        </is>
      </c>
      <c r="B4265" t="inlineStr">
        <is>
          <t>F263774</t>
        </is>
      </c>
      <c r="C4265" t="inlineStr">
        <is>
          <t>C10200</t>
        </is>
      </c>
      <c r="D4265" t="inlineStr">
        <is>
          <t>SKU-10071</t>
        </is>
      </c>
      <c r="E4265" t="inlineStr">
        <is>
          <t>AM01</t>
        </is>
      </c>
      <c r="F4265" s="5" t="n">
        <v>478.56</v>
      </c>
      <c r="G4265">
        <f>IF(LEFT(B4265,1)="C","Credit","Factuur")</f>
        <v/>
      </c>
      <c r="H4265">
        <f>IF(AND(B4265=B4264,D4265=D4264,A4265=A4264,F4265=F4264),1,0)</f>
        <v/>
      </c>
      <c r="I4265">
        <f>IF(C4265="C99999",1,0)</f>
        <v/>
      </c>
      <c r="J4265" s="5">
        <f>IF(OR(H4265=1,I4265=1),0,IF(G4265="Credit",-F4265,F4265))</f>
        <v/>
      </c>
    </row>
    <row r="4266">
      <c r="A4266" t="inlineStr">
        <is>
          <t>2026-08-13</t>
        </is>
      </c>
      <c r="B4266" t="inlineStr">
        <is>
          <t>F263774</t>
        </is>
      </c>
      <c r="C4266" t="inlineStr">
        <is>
          <t>C10200</t>
        </is>
      </c>
      <c r="D4266" t="inlineStr">
        <is>
          <t>SKU-10341</t>
        </is>
      </c>
      <c r="E4266" t="inlineStr">
        <is>
          <t>AM01</t>
        </is>
      </c>
      <c r="F4266" s="5" t="n">
        <v>482.88</v>
      </c>
      <c r="G4266">
        <f>IF(LEFT(B4266,1)="C","Credit","Factuur")</f>
        <v/>
      </c>
      <c r="H4266">
        <f>IF(AND(B4266=B4265,D4266=D4265,A4266=A4265,F4266=F4265),1,0)</f>
        <v/>
      </c>
      <c r="I4266">
        <f>IF(C4266="C99999",1,0)</f>
        <v/>
      </c>
      <c r="J4266" s="5">
        <f>IF(OR(H4266=1,I4266=1),0,IF(G4266="Credit",-F4266,F4266))</f>
        <v/>
      </c>
    </row>
    <row r="4267">
      <c r="A4267" t="inlineStr">
        <is>
          <t>2026-08-13</t>
        </is>
      </c>
      <c r="B4267" t="inlineStr">
        <is>
          <t>F265519</t>
        </is>
      </c>
      <c r="C4267" t="inlineStr">
        <is>
          <t>C10290</t>
        </is>
      </c>
      <c r="D4267" t="inlineStr">
        <is>
          <t>SKU-10178</t>
        </is>
      </c>
      <c r="E4267" t="inlineStr">
        <is>
          <t>AM11</t>
        </is>
      </c>
      <c r="F4267" s="5" t="n">
        <v>2286.4</v>
      </c>
      <c r="G4267">
        <f>IF(LEFT(B4267,1)="C","Credit","Factuur")</f>
        <v/>
      </c>
      <c r="H4267">
        <f>IF(AND(B4267=B4266,D4267=D4266,A4267=A4266,F4267=F4266),1,0)</f>
        <v/>
      </c>
      <c r="I4267">
        <f>IF(C4267="C99999",1,0)</f>
        <v/>
      </c>
      <c r="J4267" s="5">
        <f>IF(OR(H4267=1,I4267=1),0,IF(G4267="Credit",-F4267,F4267))</f>
        <v/>
      </c>
    </row>
    <row r="4268">
      <c r="A4268" t="inlineStr">
        <is>
          <t>2026-08-13</t>
        </is>
      </c>
      <c r="B4268" t="inlineStr">
        <is>
          <t>F266680</t>
        </is>
      </c>
      <c r="C4268" t="inlineStr">
        <is>
          <t>C10352</t>
        </is>
      </c>
      <c r="D4268" t="inlineStr">
        <is>
          <t>SKU-10006</t>
        </is>
      </c>
      <c r="E4268" t="inlineStr">
        <is>
          <t>IS01</t>
        </is>
      </c>
      <c r="F4268" s="5" t="n">
        <v>9.279999999999999</v>
      </c>
      <c r="G4268">
        <f>IF(LEFT(B4268,1)="C","Credit","Factuur")</f>
        <v/>
      </c>
      <c r="H4268">
        <f>IF(AND(B4268=B4267,D4268=D4267,A4268=A4267,F4268=F4267),1,0)</f>
        <v/>
      </c>
      <c r="I4268">
        <f>IF(C4268="C99999",1,0)</f>
        <v/>
      </c>
      <c r="J4268" s="5">
        <f>IF(OR(H4268=1,I4268=1),0,IF(G4268="Credit",-F4268,F4268))</f>
        <v/>
      </c>
    </row>
    <row r="4269">
      <c r="A4269" t="inlineStr">
        <is>
          <t>2026-08-13</t>
        </is>
      </c>
      <c r="B4269" t="inlineStr">
        <is>
          <t>F266680</t>
        </is>
      </c>
      <c r="C4269" t="inlineStr">
        <is>
          <t>C10352</t>
        </is>
      </c>
      <c r="D4269" t="inlineStr">
        <is>
          <t>SKU-10149</t>
        </is>
      </c>
      <c r="E4269" t="inlineStr">
        <is>
          <t>IS01</t>
        </is>
      </c>
      <c r="F4269" s="5" t="n">
        <v>72.58</v>
      </c>
      <c r="G4269">
        <f>IF(LEFT(B4269,1)="C","Credit","Factuur")</f>
        <v/>
      </c>
      <c r="H4269">
        <f>IF(AND(B4269=B4268,D4269=D4268,A4269=A4268,F4269=F4268),1,0)</f>
        <v/>
      </c>
      <c r="I4269">
        <f>IF(C4269="C99999",1,0)</f>
        <v/>
      </c>
      <c r="J4269" s="5">
        <f>IF(OR(H4269=1,I4269=1),0,IF(G4269="Credit",-F4269,F4269))</f>
        <v/>
      </c>
    </row>
    <row r="4270">
      <c r="A4270" t="inlineStr">
        <is>
          <t>2026-08-13</t>
        </is>
      </c>
      <c r="B4270" t="inlineStr">
        <is>
          <t>F266680</t>
        </is>
      </c>
      <c r="C4270" t="inlineStr">
        <is>
          <t>C10352</t>
        </is>
      </c>
      <c r="D4270" t="inlineStr">
        <is>
          <t>SKU-10209</t>
        </is>
      </c>
      <c r="E4270" t="inlineStr">
        <is>
          <t>IS01</t>
        </is>
      </c>
      <c r="F4270" s="5" t="n">
        <v>33.92</v>
      </c>
      <c r="G4270">
        <f>IF(LEFT(B4270,1)="C","Credit","Factuur")</f>
        <v/>
      </c>
      <c r="H4270">
        <f>IF(AND(B4270=B4269,D4270=D4269,A4270=A4269,F4270=F4269),1,0)</f>
        <v/>
      </c>
      <c r="I4270">
        <f>IF(C4270="C99999",1,0)</f>
        <v/>
      </c>
      <c r="J4270" s="5">
        <f>IF(OR(H4270=1,I4270=1),0,IF(G4270="Credit",-F4270,F4270))</f>
        <v/>
      </c>
    </row>
    <row r="4271">
      <c r="A4271" t="inlineStr">
        <is>
          <t>2026-08-13</t>
        </is>
      </c>
      <c r="B4271" t="inlineStr">
        <is>
          <t>F266680</t>
        </is>
      </c>
      <c r="C4271" t="inlineStr">
        <is>
          <t>C10352</t>
        </is>
      </c>
      <c r="D4271" t="inlineStr">
        <is>
          <t>SKU-10222</t>
        </is>
      </c>
      <c r="E4271" t="inlineStr">
        <is>
          <t>IS01</t>
        </is>
      </c>
      <c r="F4271" s="5" t="n">
        <v>6.58</v>
      </c>
      <c r="G4271">
        <f>IF(LEFT(B4271,1)="C","Credit","Factuur")</f>
        <v/>
      </c>
      <c r="H4271">
        <f>IF(AND(B4271=B4270,D4271=D4270,A4271=A4270,F4271=F4270),1,0)</f>
        <v/>
      </c>
      <c r="I4271">
        <f>IF(C4271="C99999",1,0)</f>
        <v/>
      </c>
      <c r="J4271" s="5">
        <f>IF(OR(H4271=1,I4271=1),0,IF(G4271="Credit",-F4271,F4271))</f>
        <v/>
      </c>
    </row>
    <row r="4272">
      <c r="A4272" t="inlineStr">
        <is>
          <t>2026-08-13</t>
        </is>
      </c>
      <c r="B4272" t="inlineStr">
        <is>
          <t>F267785</t>
        </is>
      </c>
      <c r="C4272" t="inlineStr">
        <is>
          <t>C10408</t>
        </is>
      </c>
      <c r="D4272" t="inlineStr">
        <is>
          <t>SKU-10260</t>
        </is>
      </c>
      <c r="E4272" t="inlineStr">
        <is>
          <t>AM12</t>
        </is>
      </c>
      <c r="F4272" s="5" t="n">
        <v>379.96</v>
      </c>
      <c r="G4272">
        <f>IF(LEFT(B4272,1)="C","Credit","Factuur")</f>
        <v/>
      </c>
      <c r="H4272">
        <f>IF(AND(B4272=B4271,D4272=D4271,A4272=A4271,F4272=F4271),1,0)</f>
        <v/>
      </c>
      <c r="I4272">
        <f>IF(C4272="C99999",1,0)</f>
        <v/>
      </c>
      <c r="J4272" s="5">
        <f>IF(OR(H4272=1,I4272=1),0,IF(G4272="Credit",-F4272,F4272))</f>
        <v/>
      </c>
    </row>
    <row r="4273">
      <c r="A4273" t="inlineStr">
        <is>
          <t>2026-08-13</t>
        </is>
      </c>
      <c r="B4273" t="inlineStr">
        <is>
          <t>F268331</t>
        </is>
      </c>
      <c r="C4273" t="inlineStr">
        <is>
          <t>C10436</t>
        </is>
      </c>
      <c r="D4273" t="inlineStr">
        <is>
          <t>SKU-10065</t>
        </is>
      </c>
      <c r="E4273" t="inlineStr">
        <is>
          <t>AM06</t>
        </is>
      </c>
      <c r="F4273" s="5" t="n">
        <v>697.36</v>
      </c>
      <c r="G4273">
        <f>IF(LEFT(B4273,1)="C","Credit","Factuur")</f>
        <v/>
      </c>
      <c r="H4273">
        <f>IF(AND(B4273=B4272,D4273=D4272,A4273=A4272,F4273=F4272),1,0)</f>
        <v/>
      </c>
      <c r="I4273">
        <f>IF(C4273="C99999",1,0)</f>
        <v/>
      </c>
      <c r="J4273" s="5">
        <f>IF(OR(H4273=1,I4273=1),0,IF(G4273="Credit",-F4273,F4273))</f>
        <v/>
      </c>
    </row>
    <row r="4274">
      <c r="A4274" t="inlineStr">
        <is>
          <t>2026-08-13</t>
        </is>
      </c>
      <c r="B4274" t="inlineStr">
        <is>
          <t>F269565</t>
        </is>
      </c>
      <c r="C4274" t="inlineStr">
        <is>
          <t>C10503</t>
        </is>
      </c>
      <c r="D4274" t="inlineStr">
        <is>
          <t>SKU-10018</t>
        </is>
      </c>
      <c r="E4274" t="inlineStr">
        <is>
          <t>AM06</t>
        </is>
      </c>
      <c r="F4274" s="5" t="n">
        <v>589.71</v>
      </c>
      <c r="G4274">
        <f>IF(LEFT(B4274,1)="C","Credit","Factuur")</f>
        <v/>
      </c>
      <c r="H4274">
        <f>IF(AND(B4274=B4273,D4274=D4273,A4274=A4273,F4274=F4273),1,0)</f>
        <v/>
      </c>
      <c r="I4274">
        <f>IF(C4274="C99999",1,0)</f>
        <v/>
      </c>
      <c r="J4274" s="5">
        <f>IF(OR(H4274=1,I4274=1),0,IF(G4274="Credit",-F4274,F4274))</f>
        <v/>
      </c>
    </row>
    <row r="4275">
      <c r="A4275" t="inlineStr">
        <is>
          <t>2026-08-13</t>
        </is>
      </c>
      <c r="B4275" t="inlineStr">
        <is>
          <t>F269565</t>
        </is>
      </c>
      <c r="C4275" t="inlineStr">
        <is>
          <t>C10503</t>
        </is>
      </c>
      <c r="D4275" t="inlineStr">
        <is>
          <t>SKU-10070</t>
        </is>
      </c>
      <c r="E4275" t="inlineStr">
        <is>
          <t>AM06</t>
        </is>
      </c>
      <c r="F4275" s="5" t="n">
        <v>606.87</v>
      </c>
      <c r="G4275">
        <f>IF(LEFT(B4275,1)="C","Credit","Factuur")</f>
        <v/>
      </c>
      <c r="H4275">
        <f>IF(AND(B4275=B4274,D4275=D4274,A4275=A4274,F4275=F4274),1,0)</f>
        <v/>
      </c>
      <c r="I4275">
        <f>IF(C4275="C99999",1,0)</f>
        <v/>
      </c>
      <c r="J4275" s="5">
        <f>IF(OR(H4275=1,I4275=1),0,IF(G4275="Credit",-F4275,F4275))</f>
        <v/>
      </c>
    </row>
    <row r="4276">
      <c r="A4276" t="inlineStr">
        <is>
          <t>2026-08-13</t>
        </is>
      </c>
      <c r="B4276" t="inlineStr">
        <is>
          <t>F269565</t>
        </is>
      </c>
      <c r="C4276" t="inlineStr">
        <is>
          <t>C10503</t>
        </is>
      </c>
      <c r="D4276" t="inlineStr">
        <is>
          <t>SKU-10178</t>
        </is>
      </c>
      <c r="E4276" t="inlineStr">
        <is>
          <t>AM06</t>
        </is>
      </c>
      <c r="F4276" s="5" t="n">
        <v>614.47</v>
      </c>
      <c r="G4276">
        <f>IF(LEFT(B4276,1)="C","Credit","Factuur")</f>
        <v/>
      </c>
      <c r="H4276">
        <f>IF(AND(B4276=B4275,D4276=D4275,A4276=A4275,F4276=F4275),1,0)</f>
        <v/>
      </c>
      <c r="I4276">
        <f>IF(C4276="C99999",1,0)</f>
        <v/>
      </c>
      <c r="J4276" s="5">
        <f>IF(OR(H4276=1,I4276=1),0,IF(G4276="Credit",-F4276,F4276))</f>
        <v/>
      </c>
    </row>
    <row r="4277">
      <c r="A4277" t="inlineStr">
        <is>
          <t>2026-08-13</t>
        </is>
      </c>
      <c r="B4277" t="inlineStr">
        <is>
          <t>F269565</t>
        </is>
      </c>
      <c r="C4277" t="inlineStr">
        <is>
          <t>C10503</t>
        </is>
      </c>
      <c r="D4277" t="inlineStr">
        <is>
          <t>SKU-10186</t>
        </is>
      </c>
      <c r="E4277" t="inlineStr">
        <is>
          <t>AM06</t>
        </is>
      </c>
      <c r="F4277" s="5" t="n">
        <v>606.9</v>
      </c>
      <c r="G4277">
        <f>IF(LEFT(B4277,1)="C","Credit","Factuur")</f>
        <v/>
      </c>
      <c r="H4277">
        <f>IF(AND(B4277=B4276,D4277=D4276,A4277=A4276,F4277=F4276),1,0)</f>
        <v/>
      </c>
      <c r="I4277">
        <f>IF(C4277="C99999",1,0)</f>
        <v/>
      </c>
      <c r="J4277" s="5">
        <f>IF(OR(H4277=1,I4277=1),0,IF(G4277="Credit",-F4277,F4277))</f>
        <v/>
      </c>
    </row>
    <row r="4278">
      <c r="A4278" t="inlineStr">
        <is>
          <t>2026-08-13</t>
        </is>
      </c>
      <c r="B4278" t="inlineStr">
        <is>
          <t>F270339</t>
        </is>
      </c>
      <c r="C4278" t="inlineStr">
        <is>
          <t>C10544</t>
        </is>
      </c>
      <c r="D4278" t="inlineStr">
        <is>
          <t>SKU-10011</t>
        </is>
      </c>
      <c r="E4278" t="inlineStr">
        <is>
          <t>AM02</t>
        </is>
      </c>
      <c r="F4278" s="5" t="n">
        <v>219.24</v>
      </c>
      <c r="G4278">
        <f>IF(LEFT(B4278,1)="C","Credit","Factuur")</f>
        <v/>
      </c>
      <c r="H4278">
        <f>IF(AND(B4278=B4277,D4278=D4277,A4278=A4277,F4278=F4277),1,0)</f>
        <v/>
      </c>
      <c r="I4278">
        <f>IF(C4278="C99999",1,0)</f>
        <v/>
      </c>
      <c r="J4278" s="5">
        <f>IF(OR(H4278=1,I4278=1),0,IF(G4278="Credit",-F4278,F4278))</f>
        <v/>
      </c>
    </row>
    <row r="4279">
      <c r="A4279" t="inlineStr">
        <is>
          <t>2026-08-13</t>
        </is>
      </c>
      <c r="B4279" t="inlineStr">
        <is>
          <t>F270339</t>
        </is>
      </c>
      <c r="C4279" t="inlineStr">
        <is>
          <t>C10544</t>
        </is>
      </c>
      <c r="D4279" t="inlineStr">
        <is>
          <t>SKU-10023</t>
        </is>
      </c>
      <c r="E4279" t="inlineStr">
        <is>
          <t>AM02</t>
        </is>
      </c>
      <c r="F4279" s="5" t="n">
        <v>213.56</v>
      </c>
      <c r="G4279">
        <f>IF(LEFT(B4279,1)="C","Credit","Factuur")</f>
        <v/>
      </c>
      <c r="H4279">
        <f>IF(AND(B4279=B4278,D4279=D4278,A4279=A4278,F4279=F4278),1,0)</f>
        <v/>
      </c>
      <c r="I4279">
        <f>IF(C4279="C99999",1,0)</f>
        <v/>
      </c>
      <c r="J4279" s="5">
        <f>IF(OR(H4279=1,I4279=1),0,IF(G4279="Credit",-F4279,F4279))</f>
        <v/>
      </c>
    </row>
    <row r="4280">
      <c r="A4280" t="inlineStr">
        <is>
          <t>2026-08-13</t>
        </is>
      </c>
      <c r="B4280" t="inlineStr">
        <is>
          <t>F270339</t>
        </is>
      </c>
      <c r="C4280" t="inlineStr">
        <is>
          <t>C10544</t>
        </is>
      </c>
      <c r="D4280" t="inlineStr">
        <is>
          <t>SKU-10037</t>
        </is>
      </c>
      <c r="E4280" t="inlineStr">
        <is>
          <t>AM02</t>
        </is>
      </c>
      <c r="F4280" s="5" t="n">
        <v>227</v>
      </c>
      <c r="G4280">
        <f>IF(LEFT(B4280,1)="C","Credit","Factuur")</f>
        <v/>
      </c>
      <c r="H4280">
        <f>IF(AND(B4280=B4279,D4280=D4279,A4280=A4279,F4280=F4279),1,0)</f>
        <v/>
      </c>
      <c r="I4280">
        <f>IF(C4280="C99999",1,0)</f>
        <v/>
      </c>
      <c r="J4280" s="5">
        <f>IF(OR(H4280=1,I4280=1),0,IF(G4280="Credit",-F4280,F4280))</f>
        <v/>
      </c>
    </row>
    <row r="4281">
      <c r="A4281" t="inlineStr">
        <is>
          <t>2026-08-13</t>
        </is>
      </c>
      <c r="B4281" t="inlineStr">
        <is>
          <t>F270339</t>
        </is>
      </c>
      <c r="C4281" t="inlineStr">
        <is>
          <t>C10544</t>
        </is>
      </c>
      <c r="D4281" t="inlineStr">
        <is>
          <t>SKU-10090</t>
        </is>
      </c>
      <c r="E4281" t="inlineStr">
        <is>
          <t>AM02</t>
        </is>
      </c>
      <c r="F4281" s="5" t="n">
        <v>255.2</v>
      </c>
      <c r="G4281">
        <f>IF(LEFT(B4281,1)="C","Credit","Factuur")</f>
        <v/>
      </c>
      <c r="H4281">
        <f>IF(AND(B4281=B4280,D4281=D4280,A4281=A4280,F4281=F4280),1,0)</f>
        <v/>
      </c>
      <c r="I4281">
        <f>IF(C4281="C99999",1,0)</f>
        <v/>
      </c>
      <c r="J4281" s="5">
        <f>IF(OR(H4281=1,I4281=1),0,IF(G4281="Credit",-F4281,F4281))</f>
        <v/>
      </c>
    </row>
    <row r="4282">
      <c r="A4282" t="inlineStr">
        <is>
          <t>2026-08-13</t>
        </is>
      </c>
      <c r="B4282" t="inlineStr">
        <is>
          <t>F270339</t>
        </is>
      </c>
      <c r="C4282" t="inlineStr">
        <is>
          <t>C10544</t>
        </is>
      </c>
      <c r="D4282" t="inlineStr">
        <is>
          <t>SKU-10125</t>
        </is>
      </c>
      <c r="E4282" t="inlineStr">
        <is>
          <t>AM02</t>
        </is>
      </c>
      <c r="F4282" s="5" t="n">
        <v>242.92</v>
      </c>
      <c r="G4282">
        <f>IF(LEFT(B4282,1)="C","Credit","Factuur")</f>
        <v/>
      </c>
      <c r="H4282">
        <f>IF(AND(B4282=B4281,D4282=D4281,A4282=A4281,F4282=F4281),1,0)</f>
        <v/>
      </c>
      <c r="I4282">
        <f>IF(C4282="C99999",1,0)</f>
        <v/>
      </c>
      <c r="J4282" s="5">
        <f>IF(OR(H4282=1,I4282=1),0,IF(G4282="Credit",-F4282,F4282))</f>
        <v/>
      </c>
    </row>
    <row r="4283">
      <c r="A4283" t="inlineStr">
        <is>
          <t>2026-08-13</t>
        </is>
      </c>
      <c r="B4283" t="inlineStr">
        <is>
          <t>F270339</t>
        </is>
      </c>
      <c r="C4283" t="inlineStr">
        <is>
          <t>C10544</t>
        </is>
      </c>
      <c r="D4283" t="inlineStr">
        <is>
          <t>SKU-10317</t>
        </is>
      </c>
      <c r="E4283" t="inlineStr">
        <is>
          <t>AM02</t>
        </is>
      </c>
      <c r="F4283" s="5" t="n">
        <v>221.68</v>
      </c>
      <c r="G4283">
        <f>IF(LEFT(B4283,1)="C","Credit","Factuur")</f>
        <v/>
      </c>
      <c r="H4283">
        <f>IF(AND(B4283=B4282,D4283=D4282,A4283=A4282,F4283=F4282),1,0)</f>
        <v/>
      </c>
      <c r="I4283">
        <f>IF(C4283="C99999",1,0)</f>
        <v/>
      </c>
      <c r="J4283" s="5">
        <f>IF(OR(H4283=1,I4283=1),0,IF(G4283="Credit",-F4283,F4283))</f>
        <v/>
      </c>
    </row>
    <row r="4284">
      <c r="A4284" t="inlineStr">
        <is>
          <t>2026-08-13</t>
        </is>
      </c>
      <c r="B4284" t="inlineStr">
        <is>
          <t>F273551</t>
        </is>
      </c>
      <c r="C4284" t="inlineStr">
        <is>
          <t>C10710</t>
        </is>
      </c>
      <c r="D4284" t="inlineStr">
        <is>
          <t>SKU-10011</t>
        </is>
      </c>
      <c r="E4284" t="inlineStr">
        <is>
          <t>IS02</t>
        </is>
      </c>
      <c r="F4284" s="5" t="n">
        <v>48.72</v>
      </c>
      <c r="G4284">
        <f>IF(LEFT(B4284,1)="C","Credit","Factuur")</f>
        <v/>
      </c>
      <c r="H4284">
        <f>IF(AND(B4284=B4283,D4284=D4283,A4284=A4283,F4284=F4283),1,0)</f>
        <v/>
      </c>
      <c r="I4284">
        <f>IF(C4284="C99999",1,0)</f>
        <v/>
      </c>
      <c r="J4284" s="5">
        <f>IF(OR(H4284=1,I4284=1),0,IF(G4284="Credit",-F4284,F4284))</f>
        <v/>
      </c>
    </row>
    <row r="4285">
      <c r="A4285" t="inlineStr">
        <is>
          <t>2026-08-13</t>
        </is>
      </c>
      <c r="B4285" t="inlineStr">
        <is>
          <t>F273551</t>
        </is>
      </c>
      <c r="C4285" t="inlineStr">
        <is>
          <t>C10710</t>
        </is>
      </c>
      <c r="D4285" t="inlineStr">
        <is>
          <t>SKU-10028</t>
        </is>
      </c>
      <c r="E4285" t="inlineStr">
        <is>
          <t>IS02</t>
        </is>
      </c>
      <c r="F4285" s="5" t="n">
        <v>57.88</v>
      </c>
      <c r="G4285">
        <f>IF(LEFT(B4285,1)="C","Credit","Factuur")</f>
        <v/>
      </c>
      <c r="H4285">
        <f>IF(AND(B4285=B4284,D4285=D4284,A4285=A4284,F4285=F4284),1,0)</f>
        <v/>
      </c>
      <c r="I4285">
        <f>IF(C4285="C99999",1,0)</f>
        <v/>
      </c>
      <c r="J4285" s="5">
        <f>IF(OR(H4285=1,I4285=1),0,IF(G4285="Credit",-F4285,F4285))</f>
        <v/>
      </c>
    </row>
    <row r="4286">
      <c r="A4286" t="inlineStr">
        <is>
          <t>2026-08-13</t>
        </is>
      </c>
      <c r="B4286" t="inlineStr">
        <is>
          <t>F273551</t>
        </is>
      </c>
      <c r="C4286" t="inlineStr">
        <is>
          <t>C10710</t>
        </is>
      </c>
      <c r="D4286" t="inlineStr">
        <is>
          <t>SKU-10152</t>
        </is>
      </c>
      <c r="E4286" t="inlineStr">
        <is>
          <t>IS02</t>
        </is>
      </c>
      <c r="F4286" s="5" t="n">
        <v>36.25</v>
      </c>
      <c r="G4286">
        <f>IF(LEFT(B4286,1)="C","Credit","Factuur")</f>
        <v/>
      </c>
      <c r="H4286">
        <f>IF(AND(B4286=B4285,D4286=D4285,A4286=A4285,F4286=F4285),1,0)</f>
        <v/>
      </c>
      <c r="I4286">
        <f>IF(C4286="C99999",1,0)</f>
        <v/>
      </c>
      <c r="J4286" s="5">
        <f>IF(OR(H4286=1,I4286=1),0,IF(G4286="Credit",-F4286,F4286))</f>
        <v/>
      </c>
    </row>
    <row r="4287">
      <c r="A4287" t="inlineStr">
        <is>
          <t>2026-08-13</t>
        </is>
      </c>
      <c r="B4287" t="inlineStr">
        <is>
          <t>F273551</t>
        </is>
      </c>
      <c r="C4287" t="inlineStr">
        <is>
          <t>C10710</t>
        </is>
      </c>
      <c r="D4287" t="inlineStr">
        <is>
          <t>SKU-10177</t>
        </is>
      </c>
      <c r="E4287" t="inlineStr">
        <is>
          <t>IS02</t>
        </is>
      </c>
      <c r="F4287" s="5" t="n">
        <v>47.08</v>
      </c>
      <c r="G4287">
        <f>IF(LEFT(B4287,1)="C","Credit","Factuur")</f>
        <v/>
      </c>
      <c r="H4287">
        <f>IF(AND(B4287=B4286,D4287=D4286,A4287=A4286,F4287=F4286),1,0)</f>
        <v/>
      </c>
      <c r="I4287">
        <f>IF(C4287="C99999",1,0)</f>
        <v/>
      </c>
      <c r="J4287" s="5">
        <f>IF(OR(H4287=1,I4287=1),0,IF(G4287="Credit",-F4287,F4287))</f>
        <v/>
      </c>
    </row>
    <row r="4288">
      <c r="A4288" t="inlineStr">
        <is>
          <t>2026-08-13</t>
        </is>
      </c>
      <c r="B4288" t="inlineStr">
        <is>
          <t>F274627</t>
        </is>
      </c>
      <c r="C4288" t="inlineStr">
        <is>
          <t>C10775</t>
        </is>
      </c>
      <c r="D4288" t="inlineStr">
        <is>
          <t>SKU-10029</t>
        </is>
      </c>
      <c r="E4288" t="inlineStr">
        <is>
          <t>AM01</t>
        </is>
      </c>
      <c r="F4288" s="5" t="n">
        <v>402.93</v>
      </c>
      <c r="G4288">
        <f>IF(LEFT(B4288,1)="C","Credit","Factuur")</f>
        <v/>
      </c>
      <c r="H4288">
        <f>IF(AND(B4288=B4287,D4288=D4287,A4288=A4287,F4288=F4287),1,0)</f>
        <v/>
      </c>
      <c r="I4288">
        <f>IF(C4288="C99999",1,0)</f>
        <v/>
      </c>
      <c r="J4288" s="5">
        <f>IF(OR(H4288=1,I4288=1),0,IF(G4288="Credit",-F4288,F4288))</f>
        <v/>
      </c>
    </row>
    <row r="4289">
      <c r="A4289" t="inlineStr">
        <is>
          <t>2026-08-13</t>
        </is>
      </c>
      <c r="B4289" t="inlineStr">
        <is>
          <t>F274701</t>
        </is>
      </c>
      <c r="C4289" t="inlineStr">
        <is>
          <t>C10778</t>
        </is>
      </c>
      <c r="D4289" t="inlineStr">
        <is>
          <t>SKU-10004</t>
        </is>
      </c>
      <c r="E4289" t="inlineStr">
        <is>
          <t>AM05</t>
        </is>
      </c>
      <c r="F4289" s="5" t="n">
        <v>491.25</v>
      </c>
      <c r="G4289">
        <f>IF(LEFT(B4289,1)="C","Credit","Factuur")</f>
        <v/>
      </c>
      <c r="H4289">
        <f>IF(AND(B4289=B4288,D4289=D4288,A4289=A4288,F4289=F4288),1,0)</f>
        <v/>
      </c>
      <c r="I4289">
        <f>IF(C4289="C99999",1,0)</f>
        <v/>
      </c>
      <c r="J4289" s="5">
        <f>IF(OR(H4289=1,I4289=1),0,IF(G4289="Credit",-F4289,F4289))</f>
        <v/>
      </c>
    </row>
    <row r="4290">
      <c r="A4290" t="inlineStr">
        <is>
          <t>2026-08-13</t>
        </is>
      </c>
      <c r="B4290" t="inlineStr">
        <is>
          <t>F274701</t>
        </is>
      </c>
      <c r="C4290" t="inlineStr">
        <is>
          <t>C10778</t>
        </is>
      </c>
      <c r="D4290" t="inlineStr">
        <is>
          <t>SKU-10182</t>
        </is>
      </c>
      <c r="E4290" t="inlineStr">
        <is>
          <t>AM05</t>
        </is>
      </c>
      <c r="F4290" s="5" t="n">
        <v>477.85</v>
      </c>
      <c r="G4290">
        <f>IF(LEFT(B4290,1)="C","Credit","Factuur")</f>
        <v/>
      </c>
      <c r="H4290">
        <f>IF(AND(B4290=B4289,D4290=D4289,A4290=A4289,F4290=F4289),1,0)</f>
        <v/>
      </c>
      <c r="I4290">
        <f>IF(C4290="C99999",1,0)</f>
        <v/>
      </c>
      <c r="J4290" s="5">
        <f>IF(OR(H4290=1,I4290=1),0,IF(G4290="Credit",-F4290,F4290))</f>
        <v/>
      </c>
    </row>
    <row r="4291">
      <c r="A4291" t="inlineStr">
        <is>
          <t>2026-08-13</t>
        </is>
      </c>
      <c r="B4291" t="inlineStr">
        <is>
          <t>F274701</t>
        </is>
      </c>
      <c r="C4291" t="inlineStr">
        <is>
          <t>C10778</t>
        </is>
      </c>
      <c r="D4291" t="inlineStr">
        <is>
          <t>SKU-10288</t>
        </is>
      </c>
      <c r="E4291" t="inlineStr">
        <is>
          <t>AM05</t>
        </is>
      </c>
      <c r="F4291" s="5" t="n">
        <v>514.72</v>
      </c>
      <c r="G4291">
        <f>IF(LEFT(B4291,1)="C","Credit","Factuur")</f>
        <v/>
      </c>
      <c r="H4291">
        <f>IF(AND(B4291=B4290,D4291=D4290,A4291=A4290,F4291=F4290),1,0)</f>
        <v/>
      </c>
      <c r="I4291">
        <f>IF(C4291="C99999",1,0)</f>
        <v/>
      </c>
      <c r="J4291" s="5">
        <f>IF(OR(H4291=1,I4291=1),0,IF(G4291="Credit",-F4291,F4291))</f>
        <v/>
      </c>
    </row>
    <row r="4292">
      <c r="A4292" t="inlineStr">
        <is>
          <t>2026-08-13</t>
        </is>
      </c>
      <c r="B4292" t="inlineStr">
        <is>
          <t>F274990</t>
        </is>
      </c>
      <c r="C4292" t="inlineStr">
        <is>
          <t>C10791</t>
        </is>
      </c>
      <c r="D4292" t="inlineStr">
        <is>
          <t>SKU-10068</t>
        </is>
      </c>
      <c r="E4292" t="inlineStr">
        <is>
          <t>AM05</t>
        </is>
      </c>
      <c r="F4292" s="5" t="n">
        <v>283.14</v>
      </c>
      <c r="G4292">
        <f>IF(LEFT(B4292,1)="C","Credit","Factuur")</f>
        <v/>
      </c>
      <c r="H4292">
        <f>IF(AND(B4292=B4291,D4292=D4291,A4292=A4291,F4292=F4291),1,0)</f>
        <v/>
      </c>
      <c r="I4292">
        <f>IF(C4292="C99999",1,0)</f>
        <v/>
      </c>
      <c r="J4292" s="5">
        <f>IF(OR(H4292=1,I4292=1),0,IF(G4292="Credit",-F4292,F4292))</f>
        <v/>
      </c>
    </row>
    <row r="4293">
      <c r="A4293" t="inlineStr">
        <is>
          <t>2026-08-13</t>
        </is>
      </c>
      <c r="B4293" t="inlineStr">
        <is>
          <t>F274990</t>
        </is>
      </c>
      <c r="C4293" t="inlineStr">
        <is>
          <t>C10791</t>
        </is>
      </c>
      <c r="D4293" t="inlineStr">
        <is>
          <t>SKU-10095</t>
        </is>
      </c>
      <c r="E4293" t="inlineStr">
        <is>
          <t>AM05</t>
        </is>
      </c>
      <c r="F4293" s="5" t="n">
        <v>309.5</v>
      </c>
      <c r="G4293">
        <f>IF(LEFT(B4293,1)="C","Credit","Factuur")</f>
        <v/>
      </c>
      <c r="H4293">
        <f>IF(AND(B4293=B4292,D4293=D4292,A4293=A4292,F4293=F4292),1,0)</f>
        <v/>
      </c>
      <c r="I4293">
        <f>IF(C4293="C99999",1,0)</f>
        <v/>
      </c>
      <c r="J4293" s="5">
        <f>IF(OR(H4293=1,I4293=1),0,IF(G4293="Credit",-F4293,F4293))</f>
        <v/>
      </c>
    </row>
    <row r="4294">
      <c r="A4294" t="inlineStr">
        <is>
          <t>2026-08-13</t>
        </is>
      </c>
      <c r="B4294" t="inlineStr">
        <is>
          <t>F274990</t>
        </is>
      </c>
      <c r="C4294" t="inlineStr">
        <is>
          <t>C10791</t>
        </is>
      </c>
      <c r="D4294" t="inlineStr">
        <is>
          <t>SKU-10179</t>
        </is>
      </c>
      <c r="E4294" t="inlineStr">
        <is>
          <t>AM05</t>
        </is>
      </c>
      <c r="F4294" s="5" t="n">
        <v>273.68</v>
      </c>
      <c r="G4294">
        <f>IF(LEFT(B4294,1)="C","Credit","Factuur")</f>
        <v/>
      </c>
      <c r="H4294">
        <f>IF(AND(B4294=B4293,D4294=D4293,A4294=A4293,F4294=F4293),1,0)</f>
        <v/>
      </c>
      <c r="I4294">
        <f>IF(C4294="C99999",1,0)</f>
        <v/>
      </c>
      <c r="J4294" s="5">
        <f>IF(OR(H4294=1,I4294=1),0,IF(G4294="Credit",-F4294,F4294))</f>
        <v/>
      </c>
    </row>
    <row r="4295">
      <c r="A4295" t="inlineStr">
        <is>
          <t>2026-08-13</t>
        </is>
      </c>
      <c r="B4295" t="inlineStr">
        <is>
          <t>F276859</t>
        </is>
      </c>
      <c r="C4295" t="inlineStr">
        <is>
          <t>C10893</t>
        </is>
      </c>
      <c r="D4295" t="inlineStr">
        <is>
          <t>SKU-10195</t>
        </is>
      </c>
      <c r="E4295" t="inlineStr">
        <is>
          <t>AM01</t>
        </is>
      </c>
      <c r="F4295" s="5" t="n">
        <v>186.33</v>
      </c>
      <c r="G4295">
        <f>IF(LEFT(B4295,1)="C","Credit","Factuur")</f>
        <v/>
      </c>
      <c r="H4295">
        <f>IF(AND(B4295=B4294,D4295=D4294,A4295=A4294,F4295=F4294),1,0)</f>
        <v/>
      </c>
      <c r="I4295">
        <f>IF(C4295="C99999",1,0)</f>
        <v/>
      </c>
      <c r="J4295" s="5">
        <f>IF(OR(H4295=1,I4295=1),0,IF(G4295="Credit",-F4295,F4295))</f>
        <v/>
      </c>
    </row>
    <row r="4296">
      <c r="A4296" t="inlineStr">
        <is>
          <t>2026-08-13</t>
        </is>
      </c>
      <c r="B4296" t="inlineStr">
        <is>
          <t>F277664</t>
        </is>
      </c>
      <c r="C4296" t="inlineStr">
        <is>
          <t>C10938</t>
        </is>
      </c>
      <c r="D4296" t="inlineStr">
        <is>
          <t>SKU-10122</t>
        </is>
      </c>
      <c r="E4296" t="inlineStr">
        <is>
          <t>AM06</t>
        </is>
      </c>
      <c r="F4296" s="5" t="n">
        <v>119.04</v>
      </c>
      <c r="G4296">
        <f>IF(LEFT(B4296,1)="C","Credit","Factuur")</f>
        <v/>
      </c>
      <c r="H4296">
        <f>IF(AND(B4296=B4295,D4296=D4295,A4296=A4295,F4296=F4295),1,0)</f>
        <v/>
      </c>
      <c r="I4296">
        <f>IF(C4296="C99999",1,0)</f>
        <v/>
      </c>
      <c r="J4296" s="5">
        <f>IF(OR(H4296=1,I4296=1),0,IF(G4296="Credit",-F4296,F4296))</f>
        <v/>
      </c>
    </row>
    <row r="4297">
      <c r="A4297" t="inlineStr">
        <is>
          <t>2026-08-13</t>
        </is>
      </c>
      <c r="B4297" t="inlineStr">
        <is>
          <t>F277664</t>
        </is>
      </c>
      <c r="C4297" t="inlineStr">
        <is>
          <t>C10938</t>
        </is>
      </c>
      <c r="D4297" t="inlineStr">
        <is>
          <t>SKU-10184</t>
        </is>
      </c>
      <c r="E4297" t="inlineStr">
        <is>
          <t>AM06</t>
        </is>
      </c>
      <c r="F4297" s="5" t="n">
        <v>51.88</v>
      </c>
      <c r="G4297">
        <f>IF(LEFT(B4297,1)="C","Credit","Factuur")</f>
        <v/>
      </c>
      <c r="H4297">
        <f>IF(AND(B4297=B4296,D4297=D4296,A4297=A4296,F4297=F4296),1,0)</f>
        <v/>
      </c>
      <c r="I4297">
        <f>IF(C4297="C99999",1,0)</f>
        <v/>
      </c>
      <c r="J4297" s="5">
        <f>IF(OR(H4297=1,I4297=1),0,IF(G4297="Credit",-F4297,F4297))</f>
        <v/>
      </c>
    </row>
    <row r="4298">
      <c r="A4298" t="inlineStr">
        <is>
          <t>2026-08-13</t>
        </is>
      </c>
      <c r="B4298" t="inlineStr">
        <is>
          <t>F277664</t>
        </is>
      </c>
      <c r="C4298" t="inlineStr">
        <is>
          <t>C10938</t>
        </is>
      </c>
      <c r="D4298" t="inlineStr">
        <is>
          <t>SKU-10284</t>
        </is>
      </c>
      <c r="E4298" t="inlineStr">
        <is>
          <t>AM06</t>
        </is>
      </c>
      <c r="F4298" s="5" t="n">
        <v>51.09</v>
      </c>
      <c r="G4298">
        <f>IF(LEFT(B4298,1)="C","Credit","Factuur")</f>
        <v/>
      </c>
      <c r="H4298">
        <f>IF(AND(B4298=B4297,D4298=D4297,A4298=A4297,F4298=F4297),1,0)</f>
        <v/>
      </c>
      <c r="I4298">
        <f>IF(C4298="C99999",1,0)</f>
        <v/>
      </c>
      <c r="J4298" s="5">
        <f>IF(OR(H4298=1,I4298=1),0,IF(G4298="Credit",-F4298,F4298))</f>
        <v/>
      </c>
    </row>
    <row r="4299">
      <c r="A4299" t="inlineStr">
        <is>
          <t>2026-08-13</t>
        </is>
      </c>
      <c r="B4299" t="inlineStr">
        <is>
          <t>F277664</t>
        </is>
      </c>
      <c r="C4299" t="inlineStr">
        <is>
          <t>C10938</t>
        </is>
      </c>
      <c r="D4299" t="inlineStr">
        <is>
          <t>SKU-10304</t>
        </is>
      </c>
      <c r="E4299" t="inlineStr"/>
      <c r="F4299" s="5" t="n">
        <v>58.06</v>
      </c>
      <c r="G4299">
        <f>IF(LEFT(B4299,1)="C","Credit","Factuur")</f>
        <v/>
      </c>
      <c r="H4299">
        <f>IF(AND(B4299=B4298,D4299=D4298,A4299=A4298,F4299=F4298),1,0)</f>
        <v/>
      </c>
      <c r="I4299">
        <f>IF(C4299="C99999",1,0)</f>
        <v/>
      </c>
      <c r="J4299" s="5">
        <f>IF(OR(H4299=1,I4299=1),0,IF(G4299="Credit",-F4299,F4299))</f>
        <v/>
      </c>
    </row>
    <row r="4300">
      <c r="A4300" t="inlineStr">
        <is>
          <t>2026-08-13</t>
        </is>
      </c>
      <c r="B4300" t="inlineStr">
        <is>
          <t>F277664</t>
        </is>
      </c>
      <c r="C4300" t="inlineStr">
        <is>
          <t>C10938</t>
        </is>
      </c>
      <c r="D4300" t="inlineStr">
        <is>
          <t>SKU-10312</t>
        </is>
      </c>
      <c r="E4300" t="inlineStr">
        <is>
          <t>AM06</t>
        </is>
      </c>
      <c r="F4300" s="5" t="n">
        <v>68.8</v>
      </c>
      <c r="G4300">
        <f>IF(LEFT(B4300,1)="C","Credit","Factuur")</f>
        <v/>
      </c>
      <c r="H4300">
        <f>IF(AND(B4300=B4299,D4300=D4299,A4300=A4299,F4300=F4299),1,0)</f>
        <v/>
      </c>
      <c r="I4300">
        <f>IF(C4300="C99999",1,0)</f>
        <v/>
      </c>
      <c r="J4300" s="5">
        <f>IF(OR(H4300=1,I4300=1),0,IF(G4300="Credit",-F4300,F4300))</f>
        <v/>
      </c>
    </row>
    <row r="4301">
      <c r="A4301" t="inlineStr">
        <is>
          <t>2026-08-13</t>
        </is>
      </c>
      <c r="B4301" t="inlineStr">
        <is>
          <t>F278354</t>
        </is>
      </c>
      <c r="C4301" t="inlineStr">
        <is>
          <t>C10973</t>
        </is>
      </c>
      <c r="D4301" t="inlineStr">
        <is>
          <t>SKU-10278</t>
        </is>
      </c>
      <c r="E4301" t="inlineStr">
        <is>
          <t>AM08</t>
        </is>
      </c>
      <c r="F4301" s="5" t="n">
        <v>504.48</v>
      </c>
      <c r="G4301">
        <f>IF(LEFT(B4301,1)="C","Credit","Factuur")</f>
        <v/>
      </c>
      <c r="H4301">
        <f>IF(AND(B4301=B4300,D4301=D4300,A4301=A4300,F4301=F4300),1,0)</f>
        <v/>
      </c>
      <c r="I4301">
        <f>IF(C4301="C99999",1,0)</f>
        <v/>
      </c>
      <c r="J4301" s="5">
        <f>IF(OR(H4301=1,I4301=1),0,IF(G4301="Credit",-F4301,F4301))</f>
        <v/>
      </c>
    </row>
    <row r="4302">
      <c r="A4302" t="inlineStr">
        <is>
          <t>2026-08-13</t>
        </is>
      </c>
      <c r="B4302" t="inlineStr">
        <is>
          <t>F278354</t>
        </is>
      </c>
      <c r="C4302" t="inlineStr">
        <is>
          <t>C10973</t>
        </is>
      </c>
      <c r="D4302" t="inlineStr">
        <is>
          <t>SKU-10324</t>
        </is>
      </c>
      <c r="E4302" t="inlineStr">
        <is>
          <t>AM08</t>
        </is>
      </c>
      <c r="F4302" s="5" t="n">
        <v>424.63</v>
      </c>
      <c r="G4302">
        <f>IF(LEFT(B4302,1)="C","Credit","Factuur")</f>
        <v/>
      </c>
      <c r="H4302">
        <f>IF(AND(B4302=B4301,D4302=D4301,A4302=A4301,F4302=F4301),1,0)</f>
        <v/>
      </c>
      <c r="I4302">
        <f>IF(C4302="C99999",1,0)</f>
        <v/>
      </c>
      <c r="J4302" s="5">
        <f>IF(OR(H4302=1,I4302=1),0,IF(G4302="Credit",-F4302,F4302))</f>
        <v/>
      </c>
    </row>
    <row r="4303">
      <c r="A4303" t="inlineStr">
        <is>
          <t>2026-08-13</t>
        </is>
      </c>
      <c r="B4303" t="inlineStr">
        <is>
          <t>F278354</t>
        </is>
      </c>
      <c r="C4303" t="inlineStr">
        <is>
          <t>C10973</t>
        </is>
      </c>
      <c r="D4303" t="inlineStr">
        <is>
          <t>SKU-10332</t>
        </is>
      </c>
      <c r="E4303" t="inlineStr">
        <is>
          <t>AM08</t>
        </is>
      </c>
      <c r="F4303" s="5" t="n">
        <v>415.04</v>
      </c>
      <c r="G4303">
        <f>IF(LEFT(B4303,1)="C","Credit","Factuur")</f>
        <v/>
      </c>
      <c r="H4303">
        <f>IF(AND(B4303=B4302,D4303=D4302,A4303=A4302,F4303=F4302),1,0)</f>
        <v/>
      </c>
      <c r="I4303">
        <f>IF(C4303="C99999",1,0)</f>
        <v/>
      </c>
      <c r="J4303" s="5">
        <f>IF(OR(H4303=1,I4303=1),0,IF(G4303="Credit",-F4303,F4303))</f>
        <v/>
      </c>
    </row>
    <row r="4304">
      <c r="A4304" t="inlineStr">
        <is>
          <t>2026-08-13</t>
        </is>
      </c>
      <c r="B4304" t="inlineStr">
        <is>
          <t>F278634</t>
        </is>
      </c>
      <c r="C4304" t="inlineStr">
        <is>
          <t>C10987</t>
        </is>
      </c>
      <c r="D4304" t="inlineStr">
        <is>
          <t>SKU-10214</t>
        </is>
      </c>
      <c r="E4304" t="inlineStr">
        <is>
          <t>AM06</t>
        </is>
      </c>
      <c r="F4304" s="5" t="n">
        <v>698.71</v>
      </c>
      <c r="G4304">
        <f>IF(LEFT(B4304,1)="C","Credit","Factuur")</f>
        <v/>
      </c>
      <c r="H4304">
        <f>IF(AND(B4304=B4303,D4304=D4303,A4304=A4303,F4304=F4303),1,0)</f>
        <v/>
      </c>
      <c r="I4304">
        <f>IF(C4304="C99999",1,0)</f>
        <v/>
      </c>
      <c r="J4304" s="5">
        <f>IF(OR(H4304=1,I4304=1),0,IF(G4304="Credit",-F4304,F4304))</f>
        <v/>
      </c>
    </row>
    <row r="4305">
      <c r="A4305" t="inlineStr">
        <is>
          <t>2026-08-13</t>
        </is>
      </c>
      <c r="B4305" t="inlineStr">
        <is>
          <t>F279144</t>
        </is>
      </c>
      <c r="C4305" t="inlineStr">
        <is>
          <t>C11013</t>
        </is>
      </c>
      <c r="D4305" t="inlineStr">
        <is>
          <t>SKU-10030</t>
        </is>
      </c>
      <c r="E4305" t="inlineStr">
        <is>
          <t>AM01</t>
        </is>
      </c>
      <c r="F4305" s="5" t="n">
        <v>222.57</v>
      </c>
      <c r="G4305">
        <f>IF(LEFT(B4305,1)="C","Credit","Factuur")</f>
        <v/>
      </c>
      <c r="H4305">
        <f>IF(AND(B4305=B4304,D4305=D4304,A4305=A4304,F4305=F4304),1,0)</f>
        <v/>
      </c>
      <c r="I4305">
        <f>IF(C4305="C99999",1,0)</f>
        <v/>
      </c>
      <c r="J4305" s="5">
        <f>IF(OR(H4305=1,I4305=1),0,IF(G4305="Credit",-F4305,F4305))</f>
        <v/>
      </c>
    </row>
    <row r="4306">
      <c r="A4306" t="inlineStr">
        <is>
          <t>2026-08-13</t>
        </is>
      </c>
      <c r="B4306" t="inlineStr">
        <is>
          <t>F279144</t>
        </is>
      </c>
      <c r="C4306" t="inlineStr">
        <is>
          <t>C11013</t>
        </is>
      </c>
      <c r="D4306" t="inlineStr">
        <is>
          <t>SKU-10062</t>
        </is>
      </c>
      <c r="E4306" t="inlineStr">
        <is>
          <t>AM01</t>
        </is>
      </c>
      <c r="F4306" s="5" t="n">
        <v>232.32</v>
      </c>
      <c r="G4306">
        <f>IF(LEFT(B4306,1)="C","Credit","Factuur")</f>
        <v/>
      </c>
      <c r="H4306">
        <f>IF(AND(B4306=B4305,D4306=D4305,A4306=A4305,F4306=F4305),1,0)</f>
        <v/>
      </c>
      <c r="I4306">
        <f>IF(C4306="C99999",1,0)</f>
        <v/>
      </c>
      <c r="J4306" s="5">
        <f>IF(OR(H4306=1,I4306=1),0,IF(G4306="Credit",-F4306,F4306))</f>
        <v/>
      </c>
    </row>
    <row r="4307">
      <c r="A4307" t="inlineStr">
        <is>
          <t>2026-08-13</t>
        </is>
      </c>
      <c r="B4307" t="inlineStr">
        <is>
          <t>F279144</t>
        </is>
      </c>
      <c r="C4307" t="inlineStr">
        <is>
          <t>C11013</t>
        </is>
      </c>
      <c r="D4307" t="inlineStr">
        <is>
          <t>SKU-10128</t>
        </is>
      </c>
      <c r="E4307" t="inlineStr">
        <is>
          <t>AM01</t>
        </is>
      </c>
      <c r="F4307" s="5" t="n">
        <v>214.26</v>
      </c>
      <c r="G4307">
        <f>IF(LEFT(B4307,1)="C","Credit","Factuur")</f>
        <v/>
      </c>
      <c r="H4307">
        <f>IF(AND(B4307=B4306,D4307=D4306,A4307=A4306,F4307=F4306),1,0)</f>
        <v/>
      </c>
      <c r="I4307">
        <f>IF(C4307="C99999",1,0)</f>
        <v/>
      </c>
      <c r="J4307" s="5">
        <f>IF(OR(H4307=1,I4307=1),0,IF(G4307="Credit",-F4307,F4307))</f>
        <v/>
      </c>
    </row>
    <row r="4308">
      <c r="A4308" t="inlineStr">
        <is>
          <t>2026-08-13</t>
        </is>
      </c>
      <c r="B4308" t="inlineStr">
        <is>
          <t>F279144</t>
        </is>
      </c>
      <c r="C4308" t="inlineStr">
        <is>
          <t>C11013</t>
        </is>
      </c>
      <c r="D4308" t="inlineStr">
        <is>
          <t>SKU-10148</t>
        </is>
      </c>
      <c r="E4308" t="inlineStr">
        <is>
          <t>AM01</t>
        </is>
      </c>
      <c r="F4308" s="5" t="n">
        <v>268.11</v>
      </c>
      <c r="G4308">
        <f>IF(LEFT(B4308,1)="C","Credit","Factuur")</f>
        <v/>
      </c>
      <c r="H4308">
        <f>IF(AND(B4308=B4307,D4308=D4307,A4308=A4307,F4308=F4307),1,0)</f>
        <v/>
      </c>
      <c r="I4308">
        <f>IF(C4308="C99999",1,0)</f>
        <v/>
      </c>
      <c r="J4308" s="5">
        <f>IF(OR(H4308=1,I4308=1),0,IF(G4308="Credit",-F4308,F4308))</f>
        <v/>
      </c>
    </row>
    <row r="4309">
      <c r="A4309" t="inlineStr">
        <is>
          <t>2026-08-13</t>
        </is>
      </c>
      <c r="B4309" t="inlineStr">
        <is>
          <t>F279144</t>
        </is>
      </c>
      <c r="C4309" t="inlineStr">
        <is>
          <t>C11013</t>
        </is>
      </c>
      <c r="D4309" t="inlineStr">
        <is>
          <t>SKU-10216</t>
        </is>
      </c>
      <c r="E4309" t="inlineStr">
        <is>
          <t>AM01</t>
        </is>
      </c>
      <c r="F4309" s="5" t="n">
        <v>218.43</v>
      </c>
      <c r="G4309">
        <f>IF(LEFT(B4309,1)="C","Credit","Factuur")</f>
        <v/>
      </c>
      <c r="H4309">
        <f>IF(AND(B4309=B4308,D4309=D4308,A4309=A4308,F4309=F4308),1,0)</f>
        <v/>
      </c>
      <c r="I4309">
        <f>IF(C4309="C99999",1,0)</f>
        <v/>
      </c>
      <c r="J4309" s="5">
        <f>IF(OR(H4309=1,I4309=1),0,IF(G4309="Credit",-F4309,F4309))</f>
        <v/>
      </c>
    </row>
    <row r="4310">
      <c r="A4310" t="inlineStr">
        <is>
          <t>2026-08-13</t>
        </is>
      </c>
      <c r="B4310" t="inlineStr">
        <is>
          <t>F279144</t>
        </is>
      </c>
      <c r="C4310" t="inlineStr">
        <is>
          <t>C11013</t>
        </is>
      </c>
      <c r="D4310" t="inlineStr">
        <is>
          <t>SKU-10252</t>
        </is>
      </c>
      <c r="E4310" t="inlineStr">
        <is>
          <t>AM01</t>
        </is>
      </c>
      <c r="F4310" s="5" t="n">
        <v>222.6</v>
      </c>
      <c r="G4310">
        <f>IF(LEFT(B4310,1)="C","Credit","Factuur")</f>
        <v/>
      </c>
      <c r="H4310">
        <f>IF(AND(B4310=B4309,D4310=D4309,A4310=A4309,F4310=F4309),1,0)</f>
        <v/>
      </c>
      <c r="I4310">
        <f>IF(C4310="C99999",1,0)</f>
        <v/>
      </c>
      <c r="J4310" s="5">
        <f>IF(OR(H4310=1,I4310=1),0,IF(G4310="Credit",-F4310,F4310))</f>
        <v/>
      </c>
    </row>
    <row r="4311">
      <c r="A4311" t="inlineStr">
        <is>
          <t>2026-08-13</t>
        </is>
      </c>
      <c r="B4311" t="inlineStr">
        <is>
          <t>F279867</t>
        </is>
      </c>
      <c r="C4311" t="inlineStr">
        <is>
          <t>C11051</t>
        </is>
      </c>
      <c r="D4311" t="inlineStr">
        <is>
          <t>SKU-10110</t>
        </is>
      </c>
      <c r="E4311" t="inlineStr">
        <is>
          <t>AM03</t>
        </is>
      </c>
      <c r="F4311" s="5" t="n">
        <v>608.85</v>
      </c>
      <c r="G4311">
        <f>IF(LEFT(B4311,1)="C","Credit","Factuur")</f>
        <v/>
      </c>
      <c r="H4311">
        <f>IF(AND(B4311=B4310,D4311=D4310,A4311=A4310,F4311=F4310),1,0)</f>
        <v/>
      </c>
      <c r="I4311">
        <f>IF(C4311="C99999",1,0)</f>
        <v/>
      </c>
      <c r="J4311" s="5">
        <f>IF(OR(H4311=1,I4311=1),0,IF(G4311="Credit",-F4311,F4311))</f>
        <v/>
      </c>
    </row>
    <row r="4312">
      <c r="A4312" t="inlineStr">
        <is>
          <t>2026-08-13</t>
        </is>
      </c>
      <c r="B4312" t="inlineStr">
        <is>
          <t>F279867</t>
        </is>
      </c>
      <c r="C4312" t="inlineStr">
        <is>
          <t>C11051</t>
        </is>
      </c>
      <c r="D4312" t="inlineStr">
        <is>
          <t>SKU-10250</t>
        </is>
      </c>
      <c r="E4312" t="inlineStr"/>
      <c r="F4312" s="5" t="n">
        <v>682.29</v>
      </c>
      <c r="G4312">
        <f>IF(LEFT(B4312,1)="C","Credit","Factuur")</f>
        <v/>
      </c>
      <c r="H4312">
        <f>IF(AND(B4312=B4311,D4312=D4311,A4312=A4311,F4312=F4311),1,0)</f>
        <v/>
      </c>
      <c r="I4312">
        <f>IF(C4312="C99999",1,0)</f>
        <v/>
      </c>
      <c r="J4312" s="5">
        <f>IF(OR(H4312=1,I4312=1),0,IF(G4312="Credit",-F4312,F4312))</f>
        <v/>
      </c>
    </row>
    <row r="4313">
      <c r="A4313" t="inlineStr">
        <is>
          <t>2026-08-13</t>
        </is>
      </c>
      <c r="B4313" t="inlineStr">
        <is>
          <t>F279867</t>
        </is>
      </c>
      <c r="C4313" t="inlineStr">
        <is>
          <t>C11051</t>
        </is>
      </c>
      <c r="D4313" t="inlineStr">
        <is>
          <t>SKU-10366</t>
        </is>
      </c>
      <c r="E4313" t="inlineStr">
        <is>
          <t>AM03</t>
        </is>
      </c>
      <c r="F4313" s="5" t="n">
        <v>677.5599999999999</v>
      </c>
      <c r="G4313">
        <f>IF(LEFT(B4313,1)="C","Credit","Factuur")</f>
        <v/>
      </c>
      <c r="H4313">
        <f>IF(AND(B4313=B4312,D4313=D4312,A4313=A4312,F4313=F4312),1,0)</f>
        <v/>
      </c>
      <c r="I4313">
        <f>IF(C4313="C99999",1,0)</f>
        <v/>
      </c>
      <c r="J4313" s="5">
        <f>IF(OR(H4313=1,I4313=1),0,IF(G4313="Credit",-F4313,F4313))</f>
        <v/>
      </c>
    </row>
    <row r="4314">
      <c r="A4314" t="inlineStr">
        <is>
          <t>2026-08-13</t>
        </is>
      </c>
      <c r="B4314" t="inlineStr">
        <is>
          <t>F280807</t>
        </is>
      </c>
      <c r="C4314" t="inlineStr">
        <is>
          <t>C11097</t>
        </is>
      </c>
      <c r="D4314" t="inlineStr">
        <is>
          <t>SKU-10185</t>
        </is>
      </c>
      <c r="E4314" t="inlineStr">
        <is>
          <t>AM05</t>
        </is>
      </c>
      <c r="F4314" s="5" t="n">
        <v>111.51</v>
      </c>
      <c r="G4314">
        <f>IF(LEFT(B4314,1)="C","Credit","Factuur")</f>
        <v/>
      </c>
      <c r="H4314">
        <f>IF(AND(B4314=B4313,D4314=D4313,A4314=A4313,F4314=F4313),1,0)</f>
        <v/>
      </c>
      <c r="I4314">
        <f>IF(C4314="C99999",1,0)</f>
        <v/>
      </c>
      <c r="J4314" s="5">
        <f>IF(OR(H4314=1,I4314=1),0,IF(G4314="Credit",-F4314,F4314))</f>
        <v/>
      </c>
    </row>
    <row r="4315">
      <c r="A4315" t="inlineStr">
        <is>
          <t>2026-08-13</t>
        </is>
      </c>
      <c r="B4315" t="inlineStr">
        <is>
          <t>F280807</t>
        </is>
      </c>
      <c r="C4315" t="inlineStr">
        <is>
          <t>C11097</t>
        </is>
      </c>
      <c r="D4315" t="inlineStr">
        <is>
          <t>SKU-10186</t>
        </is>
      </c>
      <c r="E4315" t="inlineStr">
        <is>
          <t>AM05</t>
        </is>
      </c>
      <c r="F4315" s="5" t="n">
        <v>124.95</v>
      </c>
      <c r="G4315">
        <f>IF(LEFT(B4315,1)="C","Credit","Factuur")</f>
        <v/>
      </c>
      <c r="H4315">
        <f>IF(AND(B4315=B4314,D4315=D4314,A4315=A4314,F4315=F4314),1,0)</f>
        <v/>
      </c>
      <c r="I4315">
        <f>IF(C4315="C99999",1,0)</f>
        <v/>
      </c>
      <c r="J4315" s="5">
        <f>IF(OR(H4315=1,I4315=1),0,IF(G4315="Credit",-F4315,F4315))</f>
        <v/>
      </c>
    </row>
    <row r="4316">
      <c r="A4316" t="inlineStr">
        <is>
          <t>2026-08-13</t>
        </is>
      </c>
      <c r="B4316" t="inlineStr">
        <is>
          <t>F280807</t>
        </is>
      </c>
      <c r="C4316" t="inlineStr">
        <is>
          <t>C11097</t>
        </is>
      </c>
      <c r="D4316" t="inlineStr">
        <is>
          <t>SKU-10198</t>
        </is>
      </c>
      <c r="E4316" t="inlineStr">
        <is>
          <t>AM05</t>
        </is>
      </c>
      <c r="F4316" s="5" t="n">
        <v>143.8</v>
      </c>
      <c r="G4316">
        <f>IF(LEFT(B4316,1)="C","Credit","Factuur")</f>
        <v/>
      </c>
      <c r="H4316">
        <f>IF(AND(B4316=B4315,D4316=D4315,A4316=A4315,F4316=F4315),1,0)</f>
        <v/>
      </c>
      <c r="I4316">
        <f>IF(C4316="C99999",1,0)</f>
        <v/>
      </c>
      <c r="J4316" s="5">
        <f>IF(OR(H4316=1,I4316=1),0,IF(G4316="Credit",-F4316,F4316))</f>
        <v/>
      </c>
    </row>
    <row r="4317">
      <c r="A4317" t="inlineStr">
        <is>
          <t>2026-08-13</t>
        </is>
      </c>
      <c r="B4317" t="inlineStr">
        <is>
          <t>F280807</t>
        </is>
      </c>
      <c r="C4317" t="inlineStr">
        <is>
          <t>C11097</t>
        </is>
      </c>
      <c r="D4317" t="inlineStr">
        <is>
          <t>SKU-10203</t>
        </is>
      </c>
      <c r="E4317" t="inlineStr">
        <is>
          <t>AM05</t>
        </is>
      </c>
      <c r="F4317" s="5" t="n">
        <v>133.74</v>
      </c>
      <c r="G4317">
        <f>IF(LEFT(B4317,1)="C","Credit","Factuur")</f>
        <v/>
      </c>
      <c r="H4317">
        <f>IF(AND(B4317=B4316,D4317=D4316,A4317=A4316,F4317=F4316),1,0)</f>
        <v/>
      </c>
      <c r="I4317">
        <f>IF(C4317="C99999",1,0)</f>
        <v/>
      </c>
      <c r="J4317" s="5">
        <f>IF(OR(H4317=1,I4317=1),0,IF(G4317="Credit",-F4317,F4317))</f>
        <v/>
      </c>
    </row>
    <row r="4318">
      <c r="A4318" t="inlineStr">
        <is>
          <t>2026-08-13</t>
        </is>
      </c>
      <c r="B4318" t="inlineStr">
        <is>
          <t>F280807</t>
        </is>
      </c>
      <c r="C4318" t="inlineStr">
        <is>
          <t>C11097</t>
        </is>
      </c>
      <c r="D4318" t="inlineStr">
        <is>
          <t>SKU-10289</t>
        </is>
      </c>
      <c r="E4318" t="inlineStr">
        <is>
          <t>AM05</t>
        </is>
      </c>
      <c r="F4318" s="5" t="n">
        <v>115.17</v>
      </c>
      <c r="G4318">
        <f>IF(LEFT(B4318,1)="C","Credit","Factuur")</f>
        <v/>
      </c>
      <c r="H4318">
        <f>IF(AND(B4318=B4317,D4318=D4317,A4318=A4317,F4318=F4317),1,0)</f>
        <v/>
      </c>
      <c r="I4318">
        <f>IF(C4318="C99999",1,0)</f>
        <v/>
      </c>
      <c r="J4318" s="5">
        <f>IF(OR(H4318=1,I4318=1),0,IF(G4318="Credit",-F4318,F4318))</f>
        <v/>
      </c>
    </row>
    <row r="4319">
      <c r="A4319" t="inlineStr">
        <is>
          <t>2026-08-13</t>
        </is>
      </c>
      <c r="B4319" t="inlineStr">
        <is>
          <t>F280807</t>
        </is>
      </c>
      <c r="C4319" t="inlineStr">
        <is>
          <t>C11097</t>
        </is>
      </c>
      <c r="D4319" t="inlineStr">
        <is>
          <t>SKU-10317</t>
        </is>
      </c>
      <c r="E4319" t="inlineStr">
        <is>
          <t>AM05</t>
        </is>
      </c>
      <c r="F4319" s="5" t="n">
        <v>138.55</v>
      </c>
      <c r="G4319">
        <f>IF(LEFT(B4319,1)="C","Credit","Factuur")</f>
        <v/>
      </c>
      <c r="H4319">
        <f>IF(AND(B4319=B4318,D4319=D4318,A4319=A4318,F4319=F4318),1,0)</f>
        <v/>
      </c>
      <c r="I4319">
        <f>IF(C4319="C99999",1,0)</f>
        <v/>
      </c>
      <c r="J4319" s="5">
        <f>IF(OR(H4319=1,I4319=1),0,IF(G4319="Credit",-F4319,F4319))</f>
        <v/>
      </c>
    </row>
    <row r="4320">
      <c r="A4320" t="inlineStr">
        <is>
          <t>2026-08-13</t>
        </is>
      </c>
      <c r="B4320" t="inlineStr">
        <is>
          <t>F280830</t>
        </is>
      </c>
      <c r="C4320" t="inlineStr">
        <is>
          <t>C11098</t>
        </is>
      </c>
      <c r="D4320" t="inlineStr">
        <is>
          <t>SKU-10117</t>
        </is>
      </c>
      <c r="E4320" t="inlineStr">
        <is>
          <t>AM03</t>
        </is>
      </c>
      <c r="F4320" s="5" t="n">
        <v>1211.6</v>
      </c>
      <c r="G4320">
        <f>IF(LEFT(B4320,1)="C","Credit","Factuur")</f>
        <v/>
      </c>
      <c r="H4320">
        <f>IF(AND(B4320=B4319,D4320=D4319,A4320=A4319,F4320=F4319),1,0)</f>
        <v/>
      </c>
      <c r="I4320">
        <f>IF(C4320="C99999",1,0)</f>
        <v/>
      </c>
      <c r="J4320" s="5">
        <f>IF(OR(H4320=1,I4320=1),0,IF(G4320="Credit",-F4320,F4320))</f>
        <v/>
      </c>
    </row>
    <row r="4321">
      <c r="A4321" t="inlineStr">
        <is>
          <t>2026-08-13</t>
        </is>
      </c>
      <c r="B4321" t="inlineStr">
        <is>
          <t>F281176</t>
        </is>
      </c>
      <c r="C4321" t="inlineStr">
        <is>
          <t>C11115</t>
        </is>
      </c>
      <c r="D4321" t="inlineStr">
        <is>
          <t>SKU-10063</t>
        </is>
      </c>
      <c r="E4321" t="inlineStr">
        <is>
          <t>IS02</t>
        </is>
      </c>
      <c r="F4321" s="5" t="n">
        <v>84.66</v>
      </c>
      <c r="G4321">
        <f>IF(LEFT(B4321,1)="C","Credit","Factuur")</f>
        <v/>
      </c>
      <c r="H4321">
        <f>IF(AND(B4321=B4320,D4321=D4320,A4321=A4320,F4321=F4320),1,0)</f>
        <v/>
      </c>
      <c r="I4321">
        <f>IF(C4321="C99999",1,0)</f>
        <v/>
      </c>
      <c r="J4321" s="5">
        <f>IF(OR(H4321=1,I4321=1),0,IF(G4321="Credit",-F4321,F4321))</f>
        <v/>
      </c>
    </row>
    <row r="4322">
      <c r="A4322" t="inlineStr">
        <is>
          <t>2026-08-13</t>
        </is>
      </c>
      <c r="B4322" t="inlineStr">
        <is>
          <t>F281176</t>
        </is>
      </c>
      <c r="C4322" t="inlineStr">
        <is>
          <t>C11115</t>
        </is>
      </c>
      <c r="D4322" t="inlineStr">
        <is>
          <t>SKU-10067</t>
        </is>
      </c>
      <c r="E4322" t="inlineStr">
        <is>
          <t>IS02</t>
        </is>
      </c>
      <c r="F4322" s="5" t="n">
        <v>110.31</v>
      </c>
      <c r="G4322">
        <f>IF(LEFT(B4322,1)="C","Credit","Factuur")</f>
        <v/>
      </c>
      <c r="H4322">
        <f>IF(AND(B4322=B4321,D4322=D4321,A4322=A4321,F4322=F4321),1,0)</f>
        <v/>
      </c>
      <c r="I4322">
        <f>IF(C4322="C99999",1,0)</f>
        <v/>
      </c>
      <c r="J4322" s="5">
        <f>IF(OR(H4322=1,I4322=1),0,IF(G4322="Credit",-F4322,F4322))</f>
        <v/>
      </c>
    </row>
    <row r="4323">
      <c r="A4323" t="inlineStr">
        <is>
          <t>2026-08-13</t>
        </is>
      </c>
      <c r="B4323" t="inlineStr">
        <is>
          <t>F281176</t>
        </is>
      </c>
      <c r="C4323" t="inlineStr">
        <is>
          <t>C11115</t>
        </is>
      </c>
      <c r="D4323" t="inlineStr">
        <is>
          <t>SKU-10265</t>
        </is>
      </c>
      <c r="E4323" t="inlineStr">
        <is>
          <t>IS02</t>
        </is>
      </c>
      <c r="F4323" s="5" t="n">
        <v>99.78</v>
      </c>
      <c r="G4323">
        <f>IF(LEFT(B4323,1)="C","Credit","Factuur")</f>
        <v/>
      </c>
      <c r="H4323">
        <f>IF(AND(B4323=B4322,D4323=D4322,A4323=A4322,F4323=F4322),1,0)</f>
        <v/>
      </c>
      <c r="I4323">
        <f>IF(C4323="C99999",1,0)</f>
        <v/>
      </c>
      <c r="J4323" s="5">
        <f>IF(OR(H4323=1,I4323=1),0,IF(G4323="Credit",-F4323,F4323))</f>
        <v/>
      </c>
    </row>
    <row r="4324">
      <c r="A4324" t="inlineStr">
        <is>
          <t>2026-08-13</t>
        </is>
      </c>
      <c r="B4324" t="inlineStr">
        <is>
          <t>F281176</t>
        </is>
      </c>
      <c r="C4324" t="inlineStr">
        <is>
          <t>C11115</t>
        </is>
      </c>
      <c r="D4324" t="inlineStr">
        <is>
          <t>SKU-10313</t>
        </is>
      </c>
      <c r="E4324" t="inlineStr">
        <is>
          <t>IS02</t>
        </is>
      </c>
      <c r="F4324" s="5" t="n">
        <v>79.23</v>
      </c>
      <c r="G4324">
        <f>IF(LEFT(B4324,1)="C","Credit","Factuur")</f>
        <v/>
      </c>
      <c r="H4324">
        <f>IF(AND(B4324=B4323,D4324=D4323,A4324=A4323,F4324=F4323),1,0)</f>
        <v/>
      </c>
      <c r="I4324">
        <f>IF(C4324="C99999",1,0)</f>
        <v/>
      </c>
      <c r="J4324" s="5">
        <f>IF(OR(H4324=1,I4324=1),0,IF(G4324="Credit",-F4324,F4324))</f>
        <v/>
      </c>
    </row>
    <row r="4325">
      <c r="A4325" t="inlineStr">
        <is>
          <t>2026-08-13</t>
        </is>
      </c>
      <c r="B4325" t="inlineStr">
        <is>
          <t>F281431</t>
        </is>
      </c>
      <c r="C4325" t="inlineStr">
        <is>
          <t>C11131</t>
        </is>
      </c>
      <c r="D4325" t="inlineStr">
        <is>
          <t>SKU-10053</t>
        </is>
      </c>
      <c r="E4325" t="inlineStr">
        <is>
          <t>AM05</t>
        </is>
      </c>
      <c r="F4325" s="5" t="n">
        <v>131.25</v>
      </c>
      <c r="G4325">
        <f>IF(LEFT(B4325,1)="C","Credit","Factuur")</f>
        <v/>
      </c>
      <c r="H4325">
        <f>IF(AND(B4325=B4324,D4325=D4324,A4325=A4324,F4325=F4324),1,0)</f>
        <v/>
      </c>
      <c r="I4325">
        <f>IF(C4325="C99999",1,0)</f>
        <v/>
      </c>
      <c r="J4325" s="5">
        <f>IF(OR(H4325=1,I4325=1),0,IF(G4325="Credit",-F4325,F4325))</f>
        <v/>
      </c>
    </row>
    <row r="4326">
      <c r="A4326" t="inlineStr">
        <is>
          <t>2026-08-13</t>
        </is>
      </c>
      <c r="B4326" t="inlineStr">
        <is>
          <t>F281431</t>
        </is>
      </c>
      <c r="C4326" t="inlineStr">
        <is>
          <t>C11131</t>
        </is>
      </c>
      <c r="D4326" t="inlineStr">
        <is>
          <t>SKU-10186</t>
        </is>
      </c>
      <c r="E4326" t="inlineStr">
        <is>
          <t>AM05</t>
        </is>
      </c>
      <c r="F4326" s="5" t="n">
        <v>124.95</v>
      </c>
      <c r="G4326">
        <f>IF(LEFT(B4326,1)="C","Credit","Factuur")</f>
        <v/>
      </c>
      <c r="H4326">
        <f>IF(AND(B4326=B4325,D4326=D4325,A4326=A4325,F4326=F4325),1,0)</f>
        <v/>
      </c>
      <c r="I4326">
        <f>IF(C4326="C99999",1,0)</f>
        <v/>
      </c>
      <c r="J4326" s="5">
        <f>IF(OR(H4326=1,I4326=1),0,IF(G4326="Credit",-F4326,F4326))</f>
        <v/>
      </c>
    </row>
    <row r="4327">
      <c r="A4327" t="inlineStr">
        <is>
          <t>2026-08-13</t>
        </is>
      </c>
      <c r="B4327" t="inlineStr">
        <is>
          <t>F281431</t>
        </is>
      </c>
      <c r="C4327" t="inlineStr">
        <is>
          <t>C11131</t>
        </is>
      </c>
      <c r="D4327" t="inlineStr">
        <is>
          <t>SKU-10298</t>
        </is>
      </c>
      <c r="E4327" t="inlineStr">
        <is>
          <t>AM05</t>
        </is>
      </c>
      <c r="F4327" s="5" t="n">
        <v>112.95</v>
      </c>
      <c r="G4327">
        <f>IF(LEFT(B4327,1)="C","Credit","Factuur")</f>
        <v/>
      </c>
      <c r="H4327">
        <f>IF(AND(B4327=B4326,D4327=D4326,A4327=A4326,F4327=F4326),1,0)</f>
        <v/>
      </c>
      <c r="I4327">
        <f>IF(C4327="C99999",1,0)</f>
        <v/>
      </c>
      <c r="J4327" s="5">
        <f>IF(OR(H4327=1,I4327=1),0,IF(G4327="Credit",-F4327,F4327))</f>
        <v/>
      </c>
    </row>
    <row r="4328">
      <c r="A4328" t="inlineStr">
        <is>
          <t>2026-08-13</t>
        </is>
      </c>
      <c r="B4328" t="inlineStr">
        <is>
          <t>F282764</t>
        </is>
      </c>
      <c r="C4328" t="inlineStr">
        <is>
          <t>C11194</t>
        </is>
      </c>
      <c r="D4328" t="inlineStr">
        <is>
          <t>SKU-10319</t>
        </is>
      </c>
      <c r="E4328" t="inlineStr"/>
      <c r="F4328" s="5" t="n">
        <v>3154.46</v>
      </c>
      <c r="G4328">
        <f>IF(LEFT(B4328,1)="C","Credit","Factuur")</f>
        <v/>
      </c>
      <c r="H4328">
        <f>IF(AND(B4328=B4327,D4328=D4327,A4328=A4327,F4328=F4327),1,0)</f>
        <v/>
      </c>
      <c r="I4328">
        <f>IF(C4328="C99999",1,0)</f>
        <v/>
      </c>
      <c r="J4328" s="5">
        <f>IF(OR(H4328=1,I4328=1),0,IF(G4328="Credit",-F4328,F4328))</f>
        <v/>
      </c>
    </row>
    <row r="4329">
      <c r="A4329" t="inlineStr">
        <is>
          <t>2026-08-13</t>
        </is>
      </c>
      <c r="B4329" t="inlineStr">
        <is>
          <t>F283333</t>
        </is>
      </c>
      <c r="C4329" t="inlineStr">
        <is>
          <t>C11226</t>
        </is>
      </c>
      <c r="D4329" t="inlineStr">
        <is>
          <t>SKU-10337</t>
        </is>
      </c>
      <c r="E4329" t="inlineStr">
        <is>
          <t>AM07</t>
        </is>
      </c>
      <c r="F4329" s="5" t="n">
        <v>493.35</v>
      </c>
      <c r="G4329">
        <f>IF(LEFT(B4329,1)="C","Credit","Factuur")</f>
        <v/>
      </c>
      <c r="H4329">
        <f>IF(AND(B4329=B4328,D4329=D4328,A4329=A4328,F4329=F4328),1,0)</f>
        <v/>
      </c>
      <c r="I4329">
        <f>IF(C4329="C99999",1,0)</f>
        <v/>
      </c>
      <c r="J4329" s="5">
        <f>IF(OR(H4329=1,I4329=1),0,IF(G4329="Credit",-F4329,F4329))</f>
        <v/>
      </c>
    </row>
    <row r="4330">
      <c r="A4330" t="inlineStr">
        <is>
          <t>2026-08-13</t>
        </is>
      </c>
      <c r="B4330" t="inlineStr">
        <is>
          <t>F283333</t>
        </is>
      </c>
      <c r="C4330" t="inlineStr">
        <is>
          <t>C11226</t>
        </is>
      </c>
      <c r="D4330" t="inlineStr">
        <is>
          <t>SKU-10338</t>
        </is>
      </c>
      <c r="E4330" t="inlineStr">
        <is>
          <t>AM07</t>
        </is>
      </c>
      <c r="F4330" s="5" t="n">
        <v>453.83</v>
      </c>
      <c r="G4330">
        <f>IF(LEFT(B4330,1)="C","Credit","Factuur")</f>
        <v/>
      </c>
      <c r="H4330">
        <f>IF(AND(B4330=B4329,D4330=D4329,A4330=A4329,F4330=F4329),1,0)</f>
        <v/>
      </c>
      <c r="I4330">
        <f>IF(C4330="C99999",1,0)</f>
        <v/>
      </c>
      <c r="J4330" s="5">
        <f>IF(OR(H4330=1,I4330=1),0,IF(G4330="Credit",-F4330,F4330))</f>
        <v/>
      </c>
    </row>
    <row r="4331">
      <c r="A4331" t="inlineStr">
        <is>
          <t>2026-08-13</t>
        </is>
      </c>
      <c r="B4331" t="inlineStr">
        <is>
          <t>F284155</t>
        </is>
      </c>
      <c r="C4331" t="inlineStr">
        <is>
          <t>C11262</t>
        </is>
      </c>
      <c r="D4331" t="inlineStr">
        <is>
          <t>SKU-10321</t>
        </is>
      </c>
      <c r="E4331" t="inlineStr">
        <is>
          <t>AM11</t>
        </is>
      </c>
      <c r="F4331" s="5" t="n">
        <v>14303.28</v>
      </c>
      <c r="G4331">
        <f>IF(LEFT(B4331,1)="C","Credit","Factuur")</f>
        <v/>
      </c>
      <c r="H4331">
        <f>IF(AND(B4331=B4330,D4331=D4330,A4331=A4330,F4331=F4330),1,0)</f>
        <v/>
      </c>
      <c r="I4331">
        <f>IF(C4331="C99999",1,0)</f>
        <v/>
      </c>
      <c r="J4331" s="5">
        <f>IF(OR(H4331=1,I4331=1),0,IF(G4331="Credit",-F4331,F4331))</f>
        <v/>
      </c>
    </row>
    <row r="4332">
      <c r="A4332" t="inlineStr">
        <is>
          <t>2026-08-13</t>
        </is>
      </c>
      <c r="B4332" t="inlineStr">
        <is>
          <t>F285632</t>
        </is>
      </c>
      <c r="C4332" t="inlineStr">
        <is>
          <t>C11339</t>
        </is>
      </c>
      <c r="D4332" t="inlineStr">
        <is>
          <t>SKU-10095</t>
        </is>
      </c>
      <c r="E4332" t="inlineStr">
        <is>
          <t>AM03</t>
        </is>
      </c>
      <c r="F4332" s="5" t="n">
        <v>804.7</v>
      </c>
      <c r="G4332">
        <f>IF(LEFT(B4332,1)="C","Credit","Factuur")</f>
        <v/>
      </c>
      <c r="H4332">
        <f>IF(AND(B4332=B4331,D4332=D4331,A4332=A4331,F4332=F4331),1,0)</f>
        <v/>
      </c>
      <c r="I4332">
        <f>IF(C4332="C99999",1,0)</f>
        <v/>
      </c>
      <c r="J4332" s="5">
        <f>IF(OR(H4332=1,I4332=1),0,IF(G4332="Credit",-F4332,F4332))</f>
        <v/>
      </c>
    </row>
    <row r="4333">
      <c r="A4333" t="inlineStr">
        <is>
          <t>2026-08-13</t>
        </is>
      </c>
      <c r="B4333" t="inlineStr">
        <is>
          <t>F285632</t>
        </is>
      </c>
      <c r="C4333" t="inlineStr">
        <is>
          <t>C11339</t>
        </is>
      </c>
      <c r="D4333" t="inlineStr">
        <is>
          <t>SKU-10318</t>
        </is>
      </c>
      <c r="E4333" t="inlineStr">
        <is>
          <t>AM03</t>
        </is>
      </c>
      <c r="F4333" s="5" t="n">
        <v>793.65</v>
      </c>
      <c r="G4333">
        <f>IF(LEFT(B4333,1)="C","Credit","Factuur")</f>
        <v/>
      </c>
      <c r="H4333">
        <f>IF(AND(B4333=B4332,D4333=D4332,A4333=A4332,F4333=F4332),1,0)</f>
        <v/>
      </c>
      <c r="I4333">
        <f>IF(C4333="C99999",1,0)</f>
        <v/>
      </c>
      <c r="J4333" s="5">
        <f>IF(OR(H4333=1,I4333=1),0,IF(G4333="Credit",-F4333,F4333))</f>
        <v/>
      </c>
    </row>
    <row r="4334">
      <c r="A4334" t="inlineStr">
        <is>
          <t>2026-08-13</t>
        </is>
      </c>
      <c r="B4334" t="inlineStr">
        <is>
          <t>F285942</t>
        </is>
      </c>
      <c r="C4334" t="inlineStr">
        <is>
          <t>C11359</t>
        </is>
      </c>
      <c r="D4334" t="inlineStr">
        <is>
          <t>SKU-10092</t>
        </is>
      </c>
      <c r="E4334" t="inlineStr">
        <is>
          <t>AM11</t>
        </is>
      </c>
      <c r="F4334" s="5" t="n">
        <v>68.62</v>
      </c>
      <c r="G4334">
        <f>IF(LEFT(B4334,1)="C","Credit","Factuur")</f>
        <v/>
      </c>
      <c r="H4334">
        <f>IF(AND(B4334=B4333,D4334=D4333,A4334=A4333,F4334=F4333),1,0)</f>
        <v/>
      </c>
      <c r="I4334">
        <f>IF(C4334="C99999",1,0)</f>
        <v/>
      </c>
      <c r="J4334" s="5">
        <f>IF(OR(H4334=1,I4334=1),0,IF(G4334="Credit",-F4334,F4334))</f>
        <v/>
      </c>
    </row>
    <row r="4335">
      <c r="A4335" t="inlineStr">
        <is>
          <t>2026-08-13</t>
        </is>
      </c>
      <c r="B4335" t="inlineStr">
        <is>
          <t>F285942</t>
        </is>
      </c>
      <c r="C4335" t="inlineStr">
        <is>
          <t>C11359</t>
        </is>
      </c>
      <c r="D4335" t="inlineStr">
        <is>
          <t>SKU-10291</t>
        </is>
      </c>
      <c r="E4335" t="inlineStr">
        <is>
          <t>AM11</t>
        </is>
      </c>
      <c r="F4335" s="5" t="n">
        <v>38.67</v>
      </c>
      <c r="G4335">
        <f>IF(LEFT(B4335,1)="C","Credit","Factuur")</f>
        <v/>
      </c>
      <c r="H4335">
        <f>IF(AND(B4335=B4334,D4335=D4334,A4335=A4334,F4335=F4334),1,0)</f>
        <v/>
      </c>
      <c r="I4335">
        <f>IF(C4335="C99999",1,0)</f>
        <v/>
      </c>
      <c r="J4335" s="5">
        <f>IF(OR(H4335=1,I4335=1),0,IF(G4335="Credit",-F4335,F4335))</f>
        <v/>
      </c>
    </row>
    <row r="4336">
      <c r="A4336" t="inlineStr">
        <is>
          <t>2026-08-13</t>
        </is>
      </c>
      <c r="B4336" t="inlineStr">
        <is>
          <t>F285942</t>
        </is>
      </c>
      <c r="C4336" t="inlineStr">
        <is>
          <t>C11359</t>
        </is>
      </c>
      <c r="D4336" t="inlineStr">
        <is>
          <t>SKU-10298</t>
        </is>
      </c>
      <c r="E4336" t="inlineStr">
        <is>
          <t>AM11</t>
        </is>
      </c>
      <c r="F4336" s="5" t="n">
        <v>37.65</v>
      </c>
      <c r="G4336">
        <f>IF(LEFT(B4336,1)="C","Credit","Factuur")</f>
        <v/>
      </c>
      <c r="H4336">
        <f>IF(AND(B4336=B4335,D4336=D4335,A4336=A4335,F4336=F4335),1,0)</f>
        <v/>
      </c>
      <c r="I4336">
        <f>IF(C4336="C99999",1,0)</f>
        <v/>
      </c>
      <c r="J4336" s="5">
        <f>IF(OR(H4336=1,I4336=1),0,IF(G4336="Credit",-F4336,F4336))</f>
        <v/>
      </c>
    </row>
    <row r="4337">
      <c r="A4337" t="inlineStr">
        <is>
          <t>2026-08-13</t>
        </is>
      </c>
      <c r="B4337" t="inlineStr">
        <is>
          <t>F285942</t>
        </is>
      </c>
      <c r="C4337" t="inlineStr">
        <is>
          <t>C11359</t>
        </is>
      </c>
      <c r="D4337" t="inlineStr">
        <is>
          <t>SKU-10302</t>
        </is>
      </c>
      <c r="E4337" t="inlineStr">
        <is>
          <t>AM11</t>
        </is>
      </c>
      <c r="F4337" s="5" t="n">
        <v>43.91</v>
      </c>
      <c r="G4337">
        <f>IF(LEFT(B4337,1)="C","Credit","Factuur")</f>
        <v/>
      </c>
      <c r="H4337">
        <f>IF(AND(B4337=B4336,D4337=D4336,A4337=A4336,F4337=F4336),1,0)</f>
        <v/>
      </c>
      <c r="I4337">
        <f>IF(C4337="C99999",1,0)</f>
        <v/>
      </c>
      <c r="J4337" s="5">
        <f>IF(OR(H4337=1,I4337=1),0,IF(G4337="Credit",-F4337,F4337))</f>
        <v/>
      </c>
    </row>
    <row r="4338">
      <c r="A4338" t="inlineStr">
        <is>
          <t>2026-08-13</t>
        </is>
      </c>
      <c r="B4338" t="inlineStr">
        <is>
          <t>F285942</t>
        </is>
      </c>
      <c r="C4338" t="inlineStr">
        <is>
          <t>C11359</t>
        </is>
      </c>
      <c r="D4338" t="inlineStr">
        <is>
          <t>SKU-10325</t>
        </is>
      </c>
      <c r="E4338" t="inlineStr">
        <is>
          <t>AM11</t>
        </is>
      </c>
      <c r="F4338" s="5" t="n">
        <v>47.1</v>
      </c>
      <c r="G4338">
        <f>IF(LEFT(B4338,1)="C","Credit","Factuur")</f>
        <v/>
      </c>
      <c r="H4338">
        <f>IF(AND(B4338=B4337,D4338=D4337,A4338=A4337,F4338=F4337),1,0)</f>
        <v/>
      </c>
      <c r="I4338">
        <f>IF(C4338="C99999",1,0)</f>
        <v/>
      </c>
      <c r="J4338" s="5">
        <f>IF(OR(H4338=1,I4338=1),0,IF(G4338="Credit",-F4338,F4338))</f>
        <v/>
      </c>
    </row>
    <row r="4339">
      <c r="A4339" t="inlineStr">
        <is>
          <t>2026-08-14</t>
        </is>
      </c>
      <c r="B4339" t="inlineStr">
        <is>
          <t>C900273</t>
        </is>
      </c>
      <c r="C4339" t="inlineStr">
        <is>
          <t>C10747</t>
        </is>
      </c>
      <c r="D4339" t="inlineStr">
        <is>
          <t>SKU-10345</t>
        </is>
      </c>
      <c r="E4339" t="inlineStr">
        <is>
          <t>AM08</t>
        </is>
      </c>
      <c r="F4339" s="5" t="n">
        <v>216.66</v>
      </c>
      <c r="G4339">
        <f>IF(LEFT(B4339,1)="C","Credit","Factuur")</f>
        <v/>
      </c>
      <c r="H4339">
        <f>IF(AND(B4339=B4338,D4339=D4338,A4339=A4338,F4339=F4338),1,0)</f>
        <v/>
      </c>
      <c r="I4339">
        <f>IF(C4339="C99999",1,0)</f>
        <v/>
      </c>
      <c r="J4339" s="5">
        <f>IF(OR(H4339=1,I4339=1),0,IF(G4339="Credit",-F4339,F4339))</f>
        <v/>
      </c>
    </row>
    <row r="4340">
      <c r="A4340" t="inlineStr">
        <is>
          <t>2026-08-14</t>
        </is>
      </c>
      <c r="B4340" t="inlineStr">
        <is>
          <t>C900273</t>
        </is>
      </c>
      <c r="C4340" t="inlineStr">
        <is>
          <t>C10747</t>
        </is>
      </c>
      <c r="D4340" t="inlineStr">
        <is>
          <t>SKU-10345</t>
        </is>
      </c>
      <c r="E4340" t="inlineStr">
        <is>
          <t>AM08</t>
        </is>
      </c>
      <c r="F4340" s="5" t="n">
        <v>216.66</v>
      </c>
      <c r="G4340">
        <f>IF(LEFT(B4340,1)="C","Credit","Factuur")</f>
        <v/>
      </c>
      <c r="H4340">
        <f>IF(AND(B4340=B4339,D4340=D4339,A4340=A4339,F4340=F4339),1,0)</f>
        <v/>
      </c>
      <c r="I4340">
        <f>IF(C4340="C99999",1,0)</f>
        <v/>
      </c>
      <c r="J4340" s="5">
        <f>IF(OR(H4340=1,I4340=1),0,IF(G4340="Credit",-F4340,F4340))</f>
        <v/>
      </c>
    </row>
    <row r="4341">
      <c r="A4341" t="inlineStr">
        <is>
          <t>2026-08-14</t>
        </is>
      </c>
      <c r="B4341" t="inlineStr">
        <is>
          <t>C901429</t>
        </is>
      </c>
      <c r="C4341" t="inlineStr">
        <is>
          <t>C10281</t>
        </is>
      </c>
      <c r="D4341" t="inlineStr">
        <is>
          <t>SKU-10111</t>
        </is>
      </c>
      <c r="E4341" t="inlineStr">
        <is>
          <t>AM06</t>
        </is>
      </c>
      <c r="F4341" s="5" t="n">
        <v>112.58</v>
      </c>
      <c r="G4341">
        <f>IF(LEFT(B4341,1)="C","Credit","Factuur")</f>
        <v/>
      </c>
      <c r="H4341">
        <f>IF(AND(B4341=B4340,D4341=D4340,A4341=A4340,F4341=F4340),1,0)</f>
        <v/>
      </c>
      <c r="I4341">
        <f>IF(C4341="C99999",1,0)</f>
        <v/>
      </c>
      <c r="J4341" s="5">
        <f>IF(OR(H4341=1,I4341=1),0,IF(G4341="Credit",-F4341,F4341))</f>
        <v/>
      </c>
    </row>
    <row r="4342">
      <c r="A4342" t="inlineStr">
        <is>
          <t>2026-08-14</t>
        </is>
      </c>
      <c r="B4342" t="inlineStr">
        <is>
          <t>C901429</t>
        </is>
      </c>
      <c r="C4342" t="inlineStr">
        <is>
          <t>C10281</t>
        </is>
      </c>
      <c r="D4342" t="inlineStr">
        <is>
          <t>SKU-10111</t>
        </is>
      </c>
      <c r="E4342" t="inlineStr">
        <is>
          <t>AM06</t>
        </is>
      </c>
      <c r="F4342" s="5" t="n">
        <v>112.58</v>
      </c>
      <c r="G4342">
        <f>IF(LEFT(B4342,1)="C","Credit","Factuur")</f>
        <v/>
      </c>
      <c r="H4342">
        <f>IF(AND(B4342=B4341,D4342=D4341,A4342=A4341,F4342=F4341),1,0)</f>
        <v/>
      </c>
      <c r="I4342">
        <f>IF(C4342="C99999",1,0)</f>
        <v/>
      </c>
      <c r="J4342" s="5">
        <f>IF(OR(H4342=1,I4342=1),0,IF(G4342="Credit",-F4342,F4342))</f>
        <v/>
      </c>
    </row>
    <row r="4343">
      <c r="A4343" t="inlineStr">
        <is>
          <t>2026-08-14</t>
        </is>
      </c>
      <c r="B4343" t="inlineStr">
        <is>
          <t>C901490</t>
        </is>
      </c>
      <c r="C4343" t="inlineStr">
        <is>
          <t>C10308</t>
        </is>
      </c>
      <c r="D4343" t="inlineStr">
        <is>
          <t>SKU-10129</t>
        </is>
      </c>
      <c r="E4343" t="inlineStr">
        <is>
          <t>AM02</t>
        </is>
      </c>
      <c r="F4343" s="5" t="n">
        <v>414.52</v>
      </c>
      <c r="G4343">
        <f>IF(LEFT(B4343,1)="C","Credit","Factuur")</f>
        <v/>
      </c>
      <c r="H4343">
        <f>IF(AND(B4343=B4342,D4343=D4342,A4343=A4342,F4343=F4342),1,0)</f>
        <v/>
      </c>
      <c r="I4343">
        <f>IF(C4343="C99999",1,0)</f>
        <v/>
      </c>
      <c r="J4343" s="5">
        <f>IF(OR(H4343=1,I4343=1),0,IF(G4343="Credit",-F4343,F4343))</f>
        <v/>
      </c>
    </row>
    <row r="4344">
      <c r="A4344" t="inlineStr">
        <is>
          <t>2026-08-14</t>
        </is>
      </c>
      <c r="B4344" t="inlineStr">
        <is>
          <t>C901490</t>
        </is>
      </c>
      <c r="C4344" t="inlineStr">
        <is>
          <t>C10308</t>
        </is>
      </c>
      <c r="D4344" t="inlineStr">
        <is>
          <t>SKU-10129</t>
        </is>
      </c>
      <c r="E4344" t="inlineStr">
        <is>
          <t>AM02</t>
        </is>
      </c>
      <c r="F4344" s="5" t="n">
        <v>414.52</v>
      </c>
      <c r="G4344">
        <f>IF(LEFT(B4344,1)="C","Credit","Factuur")</f>
        <v/>
      </c>
      <c r="H4344">
        <f>IF(AND(B4344=B4343,D4344=D4343,A4344=A4343,F4344=F4343),1,0)</f>
        <v/>
      </c>
      <c r="I4344">
        <f>IF(C4344="C99999",1,0)</f>
        <v/>
      </c>
      <c r="J4344" s="5">
        <f>IF(OR(H4344=1,I4344=1),0,IF(G4344="Credit",-F4344,F4344))</f>
        <v/>
      </c>
    </row>
    <row r="4345">
      <c r="A4345" t="inlineStr">
        <is>
          <t>2026-08-14</t>
        </is>
      </c>
      <c r="B4345" t="inlineStr">
        <is>
          <t>C901511</t>
        </is>
      </c>
      <c r="C4345" t="inlineStr">
        <is>
          <t>C10582</t>
        </is>
      </c>
      <c r="D4345" t="inlineStr">
        <is>
          <t>SKU-10031</t>
        </is>
      </c>
      <c r="E4345" t="inlineStr">
        <is>
          <t>AM08</t>
        </is>
      </c>
      <c r="F4345" s="5" t="n">
        <v>387.96</v>
      </c>
      <c r="G4345">
        <f>IF(LEFT(B4345,1)="C","Credit","Factuur")</f>
        <v/>
      </c>
      <c r="H4345">
        <f>IF(AND(B4345=B4344,D4345=D4344,A4345=A4344,F4345=F4344),1,0)</f>
        <v/>
      </c>
      <c r="I4345">
        <f>IF(C4345="C99999",1,0)</f>
        <v/>
      </c>
      <c r="J4345" s="5">
        <f>IF(OR(H4345=1,I4345=1),0,IF(G4345="Credit",-F4345,F4345))</f>
        <v/>
      </c>
    </row>
    <row r="4346">
      <c r="A4346" t="inlineStr">
        <is>
          <t>2026-08-14</t>
        </is>
      </c>
      <c r="B4346" t="inlineStr">
        <is>
          <t>C901511</t>
        </is>
      </c>
      <c r="C4346" t="inlineStr">
        <is>
          <t>C10582</t>
        </is>
      </c>
      <c r="D4346" t="inlineStr">
        <is>
          <t>SKU-10031</t>
        </is>
      </c>
      <c r="E4346" t="inlineStr">
        <is>
          <t>AM08</t>
        </is>
      </c>
      <c r="F4346" s="5" t="n">
        <v>387.96</v>
      </c>
      <c r="G4346">
        <f>IF(LEFT(B4346,1)="C","Credit","Factuur")</f>
        <v/>
      </c>
      <c r="H4346">
        <f>IF(AND(B4346=B4345,D4346=D4345,A4346=A4345,F4346=F4345),1,0)</f>
        <v/>
      </c>
      <c r="I4346">
        <f>IF(C4346="C99999",1,0)</f>
        <v/>
      </c>
      <c r="J4346" s="5">
        <f>IF(OR(H4346=1,I4346=1),0,IF(G4346="Credit",-F4346,F4346))</f>
        <v/>
      </c>
    </row>
    <row r="4347">
      <c r="A4347" t="inlineStr">
        <is>
          <t>2026-08-14</t>
        </is>
      </c>
      <c r="B4347" t="inlineStr">
        <is>
          <t>F260202</t>
        </is>
      </c>
      <c r="C4347" t="inlineStr">
        <is>
          <t>C10013</t>
        </is>
      </c>
      <c r="D4347" t="inlineStr">
        <is>
          <t>SKU-10078</t>
        </is>
      </c>
      <c r="E4347" t="inlineStr">
        <is>
          <t>AM01</t>
        </is>
      </c>
      <c r="F4347" s="5" t="n">
        <v>521.76</v>
      </c>
      <c r="G4347">
        <f>IF(LEFT(B4347,1)="C","Credit","Factuur")</f>
        <v/>
      </c>
      <c r="H4347">
        <f>IF(AND(B4347=B4346,D4347=D4346,A4347=A4346,F4347=F4346),1,0)</f>
        <v/>
      </c>
      <c r="I4347">
        <f>IF(C4347="C99999",1,0)</f>
        <v/>
      </c>
      <c r="J4347" s="5">
        <f>IF(OR(H4347=1,I4347=1),0,IF(G4347="Credit",-F4347,F4347))</f>
        <v/>
      </c>
    </row>
    <row r="4348">
      <c r="A4348" t="inlineStr">
        <is>
          <t>2026-08-14</t>
        </is>
      </c>
      <c r="B4348" t="inlineStr">
        <is>
          <t>F260202</t>
        </is>
      </c>
      <c r="C4348" t="inlineStr">
        <is>
          <t>C10013</t>
        </is>
      </c>
      <c r="D4348" t="inlineStr">
        <is>
          <t>SKU-10078</t>
        </is>
      </c>
      <c r="E4348" t="inlineStr">
        <is>
          <t>AM01</t>
        </is>
      </c>
      <c r="F4348" s="5" t="n">
        <v>521.76</v>
      </c>
      <c r="G4348">
        <f>IF(LEFT(B4348,1)="C","Credit","Factuur")</f>
        <v/>
      </c>
      <c r="H4348">
        <f>IF(AND(B4348=B4347,D4348=D4347,A4348=A4347,F4348=F4347),1,0)</f>
        <v/>
      </c>
      <c r="I4348">
        <f>IF(C4348="C99999",1,0)</f>
        <v/>
      </c>
      <c r="J4348" s="5">
        <f>IF(OR(H4348=1,I4348=1),0,IF(G4348="Credit",-F4348,F4348))</f>
        <v/>
      </c>
    </row>
    <row r="4349">
      <c r="A4349" t="inlineStr">
        <is>
          <t>2026-08-14</t>
        </is>
      </c>
      <c r="B4349" t="inlineStr">
        <is>
          <t>F260202</t>
        </is>
      </c>
      <c r="C4349" t="inlineStr">
        <is>
          <t>C10013</t>
        </is>
      </c>
      <c r="D4349" t="inlineStr">
        <is>
          <t>SKU-10119</t>
        </is>
      </c>
      <c r="E4349" t="inlineStr">
        <is>
          <t>AM01</t>
        </is>
      </c>
      <c r="F4349" s="5" t="n">
        <v>542.1</v>
      </c>
      <c r="G4349">
        <f>IF(LEFT(B4349,1)="C","Credit","Factuur")</f>
        <v/>
      </c>
      <c r="H4349">
        <f>IF(AND(B4349=B4348,D4349=D4348,A4349=A4348,F4349=F4348),1,0)</f>
        <v/>
      </c>
      <c r="I4349">
        <f>IF(C4349="C99999",1,0)</f>
        <v/>
      </c>
      <c r="J4349" s="5">
        <f>IF(OR(H4349=1,I4349=1),0,IF(G4349="Credit",-F4349,F4349))</f>
        <v/>
      </c>
    </row>
    <row r="4350">
      <c r="A4350" t="inlineStr">
        <is>
          <t>2026-08-14</t>
        </is>
      </c>
      <c r="B4350" t="inlineStr">
        <is>
          <t>F260202</t>
        </is>
      </c>
      <c r="C4350" t="inlineStr">
        <is>
          <t>C10013</t>
        </is>
      </c>
      <c r="D4350" t="inlineStr">
        <is>
          <t>SKU-10119</t>
        </is>
      </c>
      <c r="E4350" t="inlineStr">
        <is>
          <t>AM01</t>
        </is>
      </c>
      <c r="F4350" s="5" t="n">
        <v>542.1</v>
      </c>
      <c r="G4350">
        <f>IF(LEFT(B4350,1)="C","Credit","Factuur")</f>
        <v/>
      </c>
      <c r="H4350">
        <f>IF(AND(B4350=B4349,D4350=D4349,A4350=A4349,F4350=F4349),1,0)</f>
        <v/>
      </c>
      <c r="I4350">
        <f>IF(C4350="C99999",1,0)</f>
        <v/>
      </c>
      <c r="J4350" s="5">
        <f>IF(OR(H4350=1,I4350=1),0,IF(G4350="Credit",-F4350,F4350))</f>
        <v/>
      </c>
    </row>
    <row r="4351">
      <c r="A4351" t="inlineStr">
        <is>
          <t>2026-08-14</t>
        </is>
      </c>
      <c r="B4351" t="inlineStr">
        <is>
          <t>F260202</t>
        </is>
      </c>
      <c r="C4351" t="inlineStr">
        <is>
          <t>C10013</t>
        </is>
      </c>
      <c r="D4351" t="inlineStr">
        <is>
          <t>SKU-10170</t>
        </is>
      </c>
      <c r="E4351" t="inlineStr">
        <is>
          <t>AM01</t>
        </is>
      </c>
      <c r="F4351" s="5" t="n">
        <v>496.36</v>
      </c>
      <c r="G4351">
        <f>IF(LEFT(B4351,1)="C","Credit","Factuur")</f>
        <v/>
      </c>
      <c r="H4351">
        <f>IF(AND(B4351=B4350,D4351=D4350,A4351=A4350,F4351=F4350),1,0)</f>
        <v/>
      </c>
      <c r="I4351">
        <f>IF(C4351="C99999",1,0)</f>
        <v/>
      </c>
      <c r="J4351" s="5">
        <f>IF(OR(H4351=1,I4351=1),0,IF(G4351="Credit",-F4351,F4351))</f>
        <v/>
      </c>
    </row>
    <row r="4352">
      <c r="A4352" t="inlineStr">
        <is>
          <t>2026-08-14</t>
        </is>
      </c>
      <c r="B4352" t="inlineStr">
        <is>
          <t>F260202</t>
        </is>
      </c>
      <c r="C4352" t="inlineStr">
        <is>
          <t>C10013</t>
        </is>
      </c>
      <c r="D4352" t="inlineStr">
        <is>
          <t>SKU-10170</t>
        </is>
      </c>
      <c r="E4352" t="inlineStr">
        <is>
          <t>AM01</t>
        </is>
      </c>
      <c r="F4352" s="5" t="n">
        <v>496.36</v>
      </c>
      <c r="G4352">
        <f>IF(LEFT(B4352,1)="C","Credit","Factuur")</f>
        <v/>
      </c>
      <c r="H4352">
        <f>IF(AND(B4352=B4351,D4352=D4351,A4352=A4351,F4352=F4351),1,0)</f>
        <v/>
      </c>
      <c r="I4352">
        <f>IF(C4352="C99999",1,0)</f>
        <v/>
      </c>
      <c r="J4352" s="5">
        <f>IF(OR(H4352=1,I4352=1),0,IF(G4352="Credit",-F4352,F4352))</f>
        <v/>
      </c>
    </row>
    <row r="4353">
      <c r="A4353" t="inlineStr">
        <is>
          <t>2026-08-14</t>
        </is>
      </c>
      <c r="B4353" t="inlineStr">
        <is>
          <t>F260343</t>
        </is>
      </c>
      <c r="C4353" t="inlineStr">
        <is>
          <t>C10021</t>
        </is>
      </c>
      <c r="D4353" t="inlineStr">
        <is>
          <t>SKU-10228</t>
        </is>
      </c>
      <c r="E4353" t="inlineStr">
        <is>
          <t>AM07</t>
        </is>
      </c>
      <c r="F4353" s="5" t="n">
        <v>1834.16</v>
      </c>
      <c r="G4353">
        <f>IF(LEFT(B4353,1)="C","Credit","Factuur")</f>
        <v/>
      </c>
      <c r="H4353">
        <f>IF(AND(B4353=B4352,D4353=D4352,A4353=A4352,F4353=F4352),1,0)</f>
        <v/>
      </c>
      <c r="I4353">
        <f>IF(C4353="C99999",1,0)</f>
        <v/>
      </c>
      <c r="J4353" s="5">
        <f>IF(OR(H4353=1,I4353=1),0,IF(G4353="Credit",-F4353,F4353))</f>
        <v/>
      </c>
    </row>
    <row r="4354">
      <c r="A4354" t="inlineStr">
        <is>
          <t>2026-08-14</t>
        </is>
      </c>
      <c r="B4354" t="inlineStr">
        <is>
          <t>F260343</t>
        </is>
      </c>
      <c r="C4354" t="inlineStr">
        <is>
          <t>C10021</t>
        </is>
      </c>
      <c r="D4354" t="inlineStr">
        <is>
          <t>SKU-10228</t>
        </is>
      </c>
      <c r="E4354" t="inlineStr">
        <is>
          <t>AM07</t>
        </is>
      </c>
      <c r="F4354" s="5" t="n">
        <v>1834.16</v>
      </c>
      <c r="G4354">
        <f>IF(LEFT(B4354,1)="C","Credit","Factuur")</f>
        <v/>
      </c>
      <c r="H4354">
        <f>IF(AND(B4354=B4353,D4354=D4353,A4354=A4353,F4354=F4353),1,0)</f>
        <v/>
      </c>
      <c r="I4354">
        <f>IF(C4354="C99999",1,0)</f>
        <v/>
      </c>
      <c r="J4354" s="5">
        <f>IF(OR(H4354=1,I4354=1),0,IF(G4354="Credit",-F4354,F4354))</f>
        <v/>
      </c>
    </row>
    <row r="4355">
      <c r="A4355" t="inlineStr">
        <is>
          <t>2026-08-14</t>
        </is>
      </c>
      <c r="B4355" t="inlineStr">
        <is>
          <t>F260409</t>
        </is>
      </c>
      <c r="C4355" t="inlineStr">
        <is>
          <t>C10022</t>
        </is>
      </c>
      <c r="D4355" t="inlineStr">
        <is>
          <t>SKU-10240</t>
        </is>
      </c>
      <c r="E4355" t="inlineStr">
        <is>
          <t>AM08</t>
        </is>
      </c>
      <c r="F4355" s="5" t="n">
        <v>914.33</v>
      </c>
      <c r="G4355">
        <f>IF(LEFT(B4355,1)="C","Credit","Factuur")</f>
        <v/>
      </c>
      <c r="H4355">
        <f>IF(AND(B4355=B4354,D4355=D4354,A4355=A4354,F4355=F4354),1,0)</f>
        <v/>
      </c>
      <c r="I4355">
        <f>IF(C4355="C99999",1,0)</f>
        <v/>
      </c>
      <c r="J4355" s="5">
        <f>IF(OR(H4355=1,I4355=1),0,IF(G4355="Credit",-F4355,F4355))</f>
        <v/>
      </c>
    </row>
    <row r="4356">
      <c r="A4356" t="inlineStr">
        <is>
          <t>2026-08-14</t>
        </is>
      </c>
      <c r="B4356" t="inlineStr">
        <is>
          <t>F260409</t>
        </is>
      </c>
      <c r="C4356" t="inlineStr">
        <is>
          <t>C10022</t>
        </is>
      </c>
      <c r="D4356" t="inlineStr">
        <is>
          <t>SKU-10240</t>
        </is>
      </c>
      <c r="E4356" t="inlineStr">
        <is>
          <t>AM08</t>
        </is>
      </c>
      <c r="F4356" s="5" t="n">
        <v>914.33</v>
      </c>
      <c r="G4356">
        <f>IF(LEFT(B4356,1)="C","Credit","Factuur")</f>
        <v/>
      </c>
      <c r="H4356">
        <f>IF(AND(B4356=B4355,D4356=D4355,A4356=A4355,F4356=F4355),1,0)</f>
        <v/>
      </c>
      <c r="I4356">
        <f>IF(C4356="C99999",1,0)</f>
        <v/>
      </c>
      <c r="J4356" s="5">
        <f>IF(OR(H4356=1,I4356=1),0,IF(G4356="Credit",-F4356,F4356))</f>
        <v/>
      </c>
    </row>
    <row r="4357">
      <c r="A4357" t="inlineStr">
        <is>
          <t>2026-08-14</t>
        </is>
      </c>
      <c r="B4357" t="inlineStr">
        <is>
          <t>F260409</t>
        </is>
      </c>
      <c r="C4357" t="inlineStr">
        <is>
          <t>C10022</t>
        </is>
      </c>
      <c r="D4357" t="inlineStr">
        <is>
          <t>SKU-10343</t>
        </is>
      </c>
      <c r="E4357" t="inlineStr">
        <is>
          <t>AM08</t>
        </is>
      </c>
      <c r="F4357" s="5" t="n">
        <v>858.5700000000001</v>
      </c>
      <c r="G4357">
        <f>IF(LEFT(B4357,1)="C","Credit","Factuur")</f>
        <v/>
      </c>
      <c r="H4357">
        <f>IF(AND(B4357=B4356,D4357=D4356,A4357=A4356,F4357=F4356),1,0)</f>
        <v/>
      </c>
      <c r="I4357">
        <f>IF(C4357="C99999",1,0)</f>
        <v/>
      </c>
      <c r="J4357" s="5">
        <f>IF(OR(H4357=1,I4357=1),0,IF(G4357="Credit",-F4357,F4357))</f>
        <v/>
      </c>
    </row>
    <row r="4358">
      <c r="A4358" t="inlineStr">
        <is>
          <t>2026-08-14</t>
        </is>
      </c>
      <c r="B4358" t="inlineStr">
        <is>
          <t>F260409</t>
        </is>
      </c>
      <c r="C4358" t="inlineStr">
        <is>
          <t>C10022</t>
        </is>
      </c>
      <c r="D4358" t="inlineStr">
        <is>
          <t>SKU-10343</t>
        </is>
      </c>
      <c r="E4358" t="inlineStr">
        <is>
          <t>AM08</t>
        </is>
      </c>
      <c r="F4358" s="5" t="n">
        <v>858.5700000000001</v>
      </c>
      <c r="G4358">
        <f>IF(LEFT(B4358,1)="C","Credit","Factuur")</f>
        <v/>
      </c>
      <c r="H4358">
        <f>IF(AND(B4358=B4357,D4358=D4357,A4358=A4357,F4358=F4357),1,0)</f>
        <v/>
      </c>
      <c r="I4358">
        <f>IF(C4358="C99999",1,0)</f>
        <v/>
      </c>
      <c r="J4358" s="5">
        <f>IF(OR(H4358=1,I4358=1),0,IF(G4358="Credit",-F4358,F4358))</f>
        <v/>
      </c>
    </row>
    <row r="4359">
      <c r="A4359" t="inlineStr">
        <is>
          <t>2026-08-14</t>
        </is>
      </c>
      <c r="B4359" t="inlineStr">
        <is>
          <t>F260546</t>
        </is>
      </c>
      <c r="C4359" t="inlineStr">
        <is>
          <t>C10031</t>
        </is>
      </c>
      <c r="D4359" t="inlineStr">
        <is>
          <t>SKU-10016</t>
        </is>
      </c>
      <c r="E4359" t="inlineStr">
        <is>
          <t>AM07</t>
        </is>
      </c>
      <c r="F4359" s="5" t="n">
        <v>988.76</v>
      </c>
      <c r="G4359">
        <f>IF(LEFT(B4359,1)="C","Credit","Factuur")</f>
        <v/>
      </c>
      <c r="H4359">
        <f>IF(AND(B4359=B4358,D4359=D4358,A4359=A4358,F4359=F4358),1,0)</f>
        <v/>
      </c>
      <c r="I4359">
        <f>IF(C4359="C99999",1,0)</f>
        <v/>
      </c>
      <c r="J4359" s="5">
        <f>IF(OR(H4359=1,I4359=1),0,IF(G4359="Credit",-F4359,F4359))</f>
        <v/>
      </c>
    </row>
    <row r="4360">
      <c r="A4360" t="inlineStr">
        <is>
          <t>2026-08-14</t>
        </is>
      </c>
      <c r="B4360" t="inlineStr">
        <is>
          <t>F260546</t>
        </is>
      </c>
      <c r="C4360" t="inlineStr">
        <is>
          <t>C10031</t>
        </is>
      </c>
      <c r="D4360" t="inlineStr">
        <is>
          <t>SKU-10016</t>
        </is>
      </c>
      <c r="E4360" t="inlineStr">
        <is>
          <t>AM07</t>
        </is>
      </c>
      <c r="F4360" s="5" t="n">
        <v>988.76</v>
      </c>
      <c r="G4360">
        <f>IF(LEFT(B4360,1)="C","Credit","Factuur")</f>
        <v/>
      </c>
      <c r="H4360">
        <f>IF(AND(B4360=B4359,D4360=D4359,A4360=A4359,F4360=F4359),1,0)</f>
        <v/>
      </c>
      <c r="I4360">
        <f>IF(C4360="C99999",1,0)</f>
        <v/>
      </c>
      <c r="J4360" s="5">
        <f>IF(OR(H4360=1,I4360=1),0,IF(G4360="Credit",-F4360,F4360))</f>
        <v/>
      </c>
    </row>
    <row r="4361">
      <c r="A4361" t="inlineStr">
        <is>
          <t>2026-08-14</t>
        </is>
      </c>
      <c r="B4361" t="inlineStr">
        <is>
          <t>F260546</t>
        </is>
      </c>
      <c r="C4361" t="inlineStr">
        <is>
          <t>C10031</t>
        </is>
      </c>
      <c r="D4361" t="inlineStr">
        <is>
          <t>SKU-10271</t>
        </is>
      </c>
      <c r="E4361" t="inlineStr">
        <is>
          <t>AM07</t>
        </is>
      </c>
      <c r="F4361" s="5" t="n">
        <v>1042.39</v>
      </c>
      <c r="G4361">
        <f>IF(LEFT(B4361,1)="C","Credit","Factuur")</f>
        <v/>
      </c>
      <c r="H4361">
        <f>IF(AND(B4361=B4360,D4361=D4360,A4361=A4360,F4361=F4360),1,0)</f>
        <v/>
      </c>
      <c r="I4361">
        <f>IF(C4361="C99999",1,0)</f>
        <v/>
      </c>
      <c r="J4361" s="5">
        <f>IF(OR(H4361=1,I4361=1),0,IF(G4361="Credit",-F4361,F4361))</f>
        <v/>
      </c>
    </row>
    <row r="4362">
      <c r="A4362" t="inlineStr">
        <is>
          <t>2026-08-14</t>
        </is>
      </c>
      <c r="B4362" t="inlineStr">
        <is>
          <t>F260546</t>
        </is>
      </c>
      <c r="C4362" t="inlineStr">
        <is>
          <t>C10031</t>
        </is>
      </c>
      <c r="D4362" t="inlineStr">
        <is>
          <t>SKU-10271</t>
        </is>
      </c>
      <c r="E4362" t="inlineStr">
        <is>
          <t>AM07</t>
        </is>
      </c>
      <c r="F4362" s="5" t="n">
        <v>1042.39</v>
      </c>
      <c r="G4362">
        <f>IF(LEFT(B4362,1)="C","Credit","Factuur")</f>
        <v/>
      </c>
      <c r="H4362">
        <f>IF(AND(B4362=B4361,D4362=D4361,A4362=A4361,F4362=F4361),1,0)</f>
        <v/>
      </c>
      <c r="I4362">
        <f>IF(C4362="C99999",1,0)</f>
        <v/>
      </c>
      <c r="J4362" s="5">
        <f>IF(OR(H4362=1,I4362=1),0,IF(G4362="Credit",-F4362,F4362))</f>
        <v/>
      </c>
    </row>
    <row r="4363">
      <c r="A4363" t="inlineStr">
        <is>
          <t>2026-08-14</t>
        </is>
      </c>
      <c r="B4363" t="inlineStr">
        <is>
          <t>F260546</t>
        </is>
      </c>
      <c r="C4363" t="inlineStr">
        <is>
          <t>C10031</t>
        </is>
      </c>
      <c r="D4363" t="inlineStr">
        <is>
          <t>SKU-10340</t>
        </is>
      </c>
      <c r="E4363" t="inlineStr">
        <is>
          <t>AM07</t>
        </is>
      </c>
      <c r="F4363" s="5" t="n">
        <v>1048.04</v>
      </c>
      <c r="G4363">
        <f>IF(LEFT(B4363,1)="C","Credit","Factuur")</f>
        <v/>
      </c>
      <c r="H4363">
        <f>IF(AND(B4363=B4362,D4363=D4362,A4363=A4362,F4363=F4362),1,0)</f>
        <v/>
      </c>
      <c r="I4363">
        <f>IF(C4363="C99999",1,0)</f>
        <v/>
      </c>
      <c r="J4363" s="5">
        <f>IF(OR(H4363=1,I4363=1),0,IF(G4363="Credit",-F4363,F4363))</f>
        <v/>
      </c>
    </row>
    <row r="4364">
      <c r="A4364" t="inlineStr">
        <is>
          <t>2026-08-14</t>
        </is>
      </c>
      <c r="B4364" t="inlineStr">
        <is>
          <t>F260546</t>
        </is>
      </c>
      <c r="C4364" t="inlineStr">
        <is>
          <t>C10031</t>
        </is>
      </c>
      <c r="D4364" t="inlineStr">
        <is>
          <t>SKU-10340</t>
        </is>
      </c>
      <c r="E4364" t="inlineStr">
        <is>
          <t>AM07</t>
        </is>
      </c>
      <c r="F4364" s="5" t="n">
        <v>1048.04</v>
      </c>
      <c r="G4364">
        <f>IF(LEFT(B4364,1)="C","Credit","Factuur")</f>
        <v/>
      </c>
      <c r="H4364">
        <f>IF(AND(B4364=B4363,D4364=D4363,A4364=A4363,F4364=F4363),1,0)</f>
        <v/>
      </c>
      <c r="I4364">
        <f>IF(C4364="C99999",1,0)</f>
        <v/>
      </c>
      <c r="J4364" s="5">
        <f>IF(OR(H4364=1,I4364=1),0,IF(G4364="Credit",-F4364,F4364))</f>
        <v/>
      </c>
    </row>
    <row r="4365">
      <c r="A4365" t="inlineStr">
        <is>
          <t>2026-08-14</t>
        </is>
      </c>
      <c r="B4365" t="inlineStr">
        <is>
          <t>F260655</t>
        </is>
      </c>
      <c r="C4365" t="inlineStr">
        <is>
          <t>C10037</t>
        </is>
      </c>
      <c r="D4365" t="inlineStr">
        <is>
          <t>SKU-10048</t>
        </is>
      </c>
      <c r="E4365" t="inlineStr">
        <is>
          <t>AM03</t>
        </is>
      </c>
      <c r="F4365" s="5" t="n">
        <v>683.9299999999999</v>
      </c>
      <c r="G4365">
        <f>IF(LEFT(B4365,1)="C","Credit","Factuur")</f>
        <v/>
      </c>
      <c r="H4365">
        <f>IF(AND(B4365=B4364,D4365=D4364,A4365=A4364,F4365=F4364),1,0)</f>
        <v/>
      </c>
      <c r="I4365">
        <f>IF(C4365="C99999",1,0)</f>
        <v/>
      </c>
      <c r="J4365" s="5">
        <f>IF(OR(H4365=1,I4365=1),0,IF(G4365="Credit",-F4365,F4365))</f>
        <v/>
      </c>
    </row>
    <row r="4366">
      <c r="A4366" t="inlineStr">
        <is>
          <t>2026-08-14</t>
        </is>
      </c>
      <c r="B4366" t="inlineStr">
        <is>
          <t>F260655</t>
        </is>
      </c>
      <c r="C4366" t="inlineStr">
        <is>
          <t>C10037</t>
        </is>
      </c>
      <c r="D4366" t="inlineStr">
        <is>
          <t>SKU-10048</t>
        </is>
      </c>
      <c r="E4366" t="inlineStr">
        <is>
          <t>AM03</t>
        </is>
      </c>
      <c r="F4366" s="5" t="n">
        <v>683.9299999999999</v>
      </c>
      <c r="G4366">
        <f>IF(LEFT(B4366,1)="C","Credit","Factuur")</f>
        <v/>
      </c>
      <c r="H4366">
        <f>IF(AND(B4366=B4365,D4366=D4365,A4366=A4365,F4366=F4365),1,0)</f>
        <v/>
      </c>
      <c r="I4366">
        <f>IF(C4366="C99999",1,0)</f>
        <v/>
      </c>
      <c r="J4366" s="5">
        <f>IF(OR(H4366=1,I4366=1),0,IF(G4366="Credit",-F4366,F4366))</f>
        <v/>
      </c>
    </row>
    <row r="4367">
      <c r="A4367" t="inlineStr">
        <is>
          <t>2026-08-14</t>
        </is>
      </c>
      <c r="B4367" t="inlineStr">
        <is>
          <t>F260731</t>
        </is>
      </c>
      <c r="C4367" t="inlineStr">
        <is>
          <t>C10045</t>
        </is>
      </c>
      <c r="D4367" t="inlineStr">
        <is>
          <t>SKU-10084</t>
        </is>
      </c>
      <c r="E4367" t="inlineStr">
        <is>
          <t>AM12</t>
        </is>
      </c>
      <c r="F4367" s="5" t="n">
        <v>135.53</v>
      </c>
      <c r="G4367">
        <f>IF(LEFT(B4367,1)="C","Credit","Factuur")</f>
        <v/>
      </c>
      <c r="H4367">
        <f>IF(AND(B4367=B4366,D4367=D4366,A4367=A4366,F4367=F4366),1,0)</f>
        <v/>
      </c>
      <c r="I4367">
        <f>IF(C4367="C99999",1,0)</f>
        <v/>
      </c>
      <c r="J4367" s="5">
        <f>IF(OR(H4367=1,I4367=1),0,IF(G4367="Credit",-F4367,F4367))</f>
        <v/>
      </c>
    </row>
    <row r="4368">
      <c r="A4368" t="inlineStr">
        <is>
          <t>2026-08-14</t>
        </is>
      </c>
      <c r="B4368" t="inlineStr">
        <is>
          <t>F260731</t>
        </is>
      </c>
      <c r="C4368" t="inlineStr">
        <is>
          <t>C10045</t>
        </is>
      </c>
      <c r="D4368" t="inlineStr">
        <is>
          <t>SKU-10084</t>
        </is>
      </c>
      <c r="E4368" t="inlineStr">
        <is>
          <t>AM12</t>
        </is>
      </c>
      <c r="F4368" s="5" t="n">
        <v>135.53</v>
      </c>
      <c r="G4368">
        <f>IF(LEFT(B4368,1)="C","Credit","Factuur")</f>
        <v/>
      </c>
      <c r="H4368">
        <f>IF(AND(B4368=B4367,D4368=D4367,A4368=A4367,F4368=F4367),1,0)</f>
        <v/>
      </c>
      <c r="I4368">
        <f>IF(C4368="C99999",1,0)</f>
        <v/>
      </c>
      <c r="J4368" s="5">
        <f>IF(OR(H4368=1,I4368=1),0,IF(G4368="Credit",-F4368,F4368))</f>
        <v/>
      </c>
    </row>
    <row r="4369">
      <c r="A4369" t="inlineStr">
        <is>
          <t>2026-08-14</t>
        </is>
      </c>
      <c r="B4369" t="inlineStr">
        <is>
          <t>F260731</t>
        </is>
      </c>
      <c r="C4369" t="inlineStr">
        <is>
          <t>C10045</t>
        </is>
      </c>
      <c r="D4369" t="inlineStr">
        <is>
          <t>SKU-10221</t>
        </is>
      </c>
      <c r="E4369" t="inlineStr">
        <is>
          <t>AM12</t>
        </is>
      </c>
      <c r="F4369" s="5" t="n">
        <v>147.96</v>
      </c>
      <c r="G4369">
        <f>IF(LEFT(B4369,1)="C","Credit","Factuur")</f>
        <v/>
      </c>
      <c r="H4369">
        <f>IF(AND(B4369=B4368,D4369=D4368,A4369=A4368,F4369=F4368),1,0)</f>
        <v/>
      </c>
      <c r="I4369">
        <f>IF(C4369="C99999",1,0)</f>
        <v/>
      </c>
      <c r="J4369" s="5">
        <f>IF(OR(H4369=1,I4369=1),0,IF(G4369="Credit",-F4369,F4369))</f>
        <v/>
      </c>
    </row>
    <row r="4370">
      <c r="A4370" t="inlineStr">
        <is>
          <t>2026-08-14</t>
        </is>
      </c>
      <c r="B4370" t="inlineStr">
        <is>
          <t>F260731</t>
        </is>
      </c>
      <c r="C4370" t="inlineStr">
        <is>
          <t>C10045</t>
        </is>
      </c>
      <c r="D4370" t="inlineStr">
        <is>
          <t>SKU-10221</t>
        </is>
      </c>
      <c r="E4370" t="inlineStr">
        <is>
          <t>AM12</t>
        </is>
      </c>
      <c r="F4370" s="5" t="n">
        <v>147.96</v>
      </c>
      <c r="G4370">
        <f>IF(LEFT(B4370,1)="C","Credit","Factuur")</f>
        <v/>
      </c>
      <c r="H4370">
        <f>IF(AND(B4370=B4369,D4370=D4369,A4370=A4369,F4370=F4369),1,0)</f>
        <v/>
      </c>
      <c r="I4370">
        <f>IF(C4370="C99999",1,0)</f>
        <v/>
      </c>
      <c r="J4370" s="5">
        <f>IF(OR(H4370=1,I4370=1),0,IF(G4370="Credit",-F4370,F4370))</f>
        <v/>
      </c>
    </row>
    <row r="4371">
      <c r="A4371" t="inlineStr">
        <is>
          <t>2026-08-14</t>
        </is>
      </c>
      <c r="B4371" t="inlineStr">
        <is>
          <t>F260731</t>
        </is>
      </c>
      <c r="C4371" t="inlineStr">
        <is>
          <t>C10045</t>
        </is>
      </c>
      <c r="D4371" t="inlineStr">
        <is>
          <t>SKU-10355</t>
        </is>
      </c>
      <c r="E4371" t="inlineStr">
        <is>
          <t>AM12</t>
        </is>
      </c>
      <c r="F4371" s="5" t="n">
        <v>419.29</v>
      </c>
      <c r="G4371">
        <f>IF(LEFT(B4371,1)="C","Credit","Factuur")</f>
        <v/>
      </c>
      <c r="H4371">
        <f>IF(AND(B4371=B4370,D4371=D4370,A4371=A4370,F4371=F4370),1,0)</f>
        <v/>
      </c>
      <c r="I4371">
        <f>IF(C4371="C99999",1,0)</f>
        <v/>
      </c>
      <c r="J4371" s="5">
        <f>IF(OR(H4371=1,I4371=1),0,IF(G4371="Credit",-F4371,F4371))</f>
        <v/>
      </c>
    </row>
    <row r="4372">
      <c r="A4372" t="inlineStr">
        <is>
          <t>2026-08-14</t>
        </is>
      </c>
      <c r="B4372" t="inlineStr">
        <is>
          <t>F260731</t>
        </is>
      </c>
      <c r="C4372" t="inlineStr">
        <is>
          <t>C10045</t>
        </is>
      </c>
      <c r="D4372" t="inlineStr">
        <is>
          <t>SKU-10355</t>
        </is>
      </c>
      <c r="E4372" t="inlineStr">
        <is>
          <t>AM12</t>
        </is>
      </c>
      <c r="F4372" s="5" t="n">
        <v>419.29</v>
      </c>
      <c r="G4372">
        <f>IF(LEFT(B4372,1)="C","Credit","Factuur")</f>
        <v/>
      </c>
      <c r="H4372">
        <f>IF(AND(B4372=B4371,D4372=D4371,A4372=A4371,F4372=F4371),1,0)</f>
        <v/>
      </c>
      <c r="I4372">
        <f>IF(C4372="C99999",1,0)</f>
        <v/>
      </c>
      <c r="J4372" s="5">
        <f>IF(OR(H4372=1,I4372=1),0,IF(G4372="Credit",-F4372,F4372))</f>
        <v/>
      </c>
    </row>
    <row r="4373">
      <c r="A4373" t="inlineStr">
        <is>
          <t>2026-08-14</t>
        </is>
      </c>
      <c r="B4373" t="inlineStr">
        <is>
          <t>F260782</t>
        </is>
      </c>
      <c r="C4373" t="inlineStr">
        <is>
          <t>C10047</t>
        </is>
      </c>
      <c r="D4373" t="inlineStr">
        <is>
          <t>SKU-10036</t>
        </is>
      </c>
      <c r="E4373" t="inlineStr">
        <is>
          <t>AM07</t>
        </is>
      </c>
      <c r="F4373" s="5" t="n">
        <v>758.38</v>
      </c>
      <c r="G4373">
        <f>IF(LEFT(B4373,1)="C","Credit","Factuur")</f>
        <v/>
      </c>
      <c r="H4373">
        <f>IF(AND(B4373=B4372,D4373=D4372,A4373=A4372,F4373=F4372),1,0)</f>
        <v/>
      </c>
      <c r="I4373">
        <f>IF(C4373="C99999",1,0)</f>
        <v/>
      </c>
      <c r="J4373" s="5">
        <f>IF(OR(H4373=1,I4373=1),0,IF(G4373="Credit",-F4373,F4373))</f>
        <v/>
      </c>
    </row>
    <row r="4374">
      <c r="A4374" t="inlineStr">
        <is>
          <t>2026-08-14</t>
        </is>
      </c>
      <c r="B4374" t="inlineStr">
        <is>
          <t>F260782</t>
        </is>
      </c>
      <c r="C4374" t="inlineStr">
        <is>
          <t>C10047</t>
        </is>
      </c>
      <c r="D4374" t="inlineStr">
        <is>
          <t>SKU-10036</t>
        </is>
      </c>
      <c r="E4374" t="inlineStr">
        <is>
          <t>AM07</t>
        </is>
      </c>
      <c r="F4374" s="5" t="n">
        <v>758.38</v>
      </c>
      <c r="G4374">
        <f>IF(LEFT(B4374,1)="C","Credit","Factuur")</f>
        <v/>
      </c>
      <c r="H4374">
        <f>IF(AND(B4374=B4373,D4374=D4373,A4374=A4373,F4374=F4373),1,0)</f>
        <v/>
      </c>
      <c r="I4374">
        <f>IF(C4374="C99999",1,0)</f>
        <v/>
      </c>
      <c r="J4374" s="5">
        <f>IF(OR(H4374=1,I4374=1),0,IF(G4374="Credit",-F4374,F4374))</f>
        <v/>
      </c>
    </row>
    <row r="4375">
      <c r="A4375" t="inlineStr">
        <is>
          <t>2026-08-14</t>
        </is>
      </c>
      <c r="B4375" t="inlineStr">
        <is>
          <t>F260938</t>
        </is>
      </c>
      <c r="C4375" t="inlineStr">
        <is>
          <t>C10053</t>
        </is>
      </c>
      <c r="D4375" t="inlineStr">
        <is>
          <t>SKU-10048</t>
        </is>
      </c>
      <c r="E4375" t="inlineStr">
        <is>
          <t>AM11</t>
        </is>
      </c>
      <c r="F4375" s="5" t="n">
        <v>649.73</v>
      </c>
      <c r="G4375">
        <f>IF(LEFT(B4375,1)="C","Credit","Factuur")</f>
        <v/>
      </c>
      <c r="H4375">
        <f>IF(AND(B4375=B4374,D4375=D4374,A4375=A4374,F4375=F4374),1,0)</f>
        <v/>
      </c>
      <c r="I4375">
        <f>IF(C4375="C99999",1,0)</f>
        <v/>
      </c>
      <c r="J4375" s="5">
        <f>IF(OR(H4375=1,I4375=1),0,IF(G4375="Credit",-F4375,F4375))</f>
        <v/>
      </c>
    </row>
    <row r="4376">
      <c r="A4376" t="inlineStr">
        <is>
          <t>2026-08-14</t>
        </is>
      </c>
      <c r="B4376" t="inlineStr">
        <is>
          <t>F260938</t>
        </is>
      </c>
      <c r="C4376" t="inlineStr">
        <is>
          <t>C10053</t>
        </is>
      </c>
      <c r="D4376" t="inlineStr">
        <is>
          <t>SKU-10048</t>
        </is>
      </c>
      <c r="E4376" t="inlineStr">
        <is>
          <t>AM11</t>
        </is>
      </c>
      <c r="F4376" s="5" t="n">
        <v>649.73</v>
      </c>
      <c r="G4376">
        <f>IF(LEFT(B4376,1)="C","Credit","Factuur")</f>
        <v/>
      </c>
      <c r="H4376">
        <f>IF(AND(B4376=B4375,D4376=D4375,A4376=A4375,F4376=F4375),1,0)</f>
        <v/>
      </c>
      <c r="I4376">
        <f>IF(C4376="C99999",1,0)</f>
        <v/>
      </c>
      <c r="J4376" s="5">
        <f>IF(OR(H4376=1,I4376=1),0,IF(G4376="Credit",-F4376,F4376))</f>
        <v/>
      </c>
    </row>
    <row r="4377">
      <c r="A4377" t="inlineStr">
        <is>
          <t>2026-08-14</t>
        </is>
      </c>
      <c r="B4377" t="inlineStr">
        <is>
          <t>F260938</t>
        </is>
      </c>
      <c r="C4377" t="inlineStr">
        <is>
          <t>C10053</t>
        </is>
      </c>
      <c r="D4377" t="inlineStr">
        <is>
          <t>SKU-10291</t>
        </is>
      </c>
      <c r="E4377" t="inlineStr">
        <is>
          <t>AM11</t>
        </is>
      </c>
      <c r="F4377" s="5" t="n">
        <v>657.39</v>
      </c>
      <c r="G4377">
        <f>IF(LEFT(B4377,1)="C","Credit","Factuur")</f>
        <v/>
      </c>
      <c r="H4377">
        <f>IF(AND(B4377=B4376,D4377=D4376,A4377=A4376,F4377=F4376),1,0)</f>
        <v/>
      </c>
      <c r="I4377">
        <f>IF(C4377="C99999",1,0)</f>
        <v/>
      </c>
      <c r="J4377" s="5">
        <f>IF(OR(H4377=1,I4377=1),0,IF(G4377="Credit",-F4377,F4377))</f>
        <v/>
      </c>
    </row>
    <row r="4378">
      <c r="A4378" t="inlineStr">
        <is>
          <t>2026-08-14</t>
        </is>
      </c>
      <c r="B4378" t="inlineStr">
        <is>
          <t>F260938</t>
        </is>
      </c>
      <c r="C4378" t="inlineStr">
        <is>
          <t>C10053</t>
        </is>
      </c>
      <c r="D4378" t="inlineStr">
        <is>
          <t>SKU-10291</t>
        </is>
      </c>
      <c r="E4378" t="inlineStr">
        <is>
          <t>AM11</t>
        </is>
      </c>
      <c r="F4378" s="5" t="n">
        <v>657.39</v>
      </c>
      <c r="G4378">
        <f>IF(LEFT(B4378,1)="C","Credit","Factuur")</f>
        <v/>
      </c>
      <c r="H4378">
        <f>IF(AND(B4378=B4377,D4378=D4377,A4378=A4377,F4378=F4377),1,0)</f>
        <v/>
      </c>
      <c r="I4378">
        <f>IF(C4378="C99999",1,0)</f>
        <v/>
      </c>
      <c r="J4378" s="5">
        <f>IF(OR(H4378=1,I4378=1),0,IF(G4378="Credit",-F4378,F4378))</f>
        <v/>
      </c>
    </row>
    <row r="4379">
      <c r="A4379" t="inlineStr">
        <is>
          <t>2026-08-14</t>
        </is>
      </c>
      <c r="B4379" t="inlineStr">
        <is>
          <t>F261008</t>
        </is>
      </c>
      <c r="C4379" t="inlineStr">
        <is>
          <t>C10059</t>
        </is>
      </c>
      <c r="D4379" t="inlineStr">
        <is>
          <t>SKU-10104</t>
        </is>
      </c>
      <c r="E4379" t="inlineStr">
        <is>
          <t>AM03</t>
        </is>
      </c>
      <c r="F4379" s="5" t="n">
        <v>1645.08</v>
      </c>
      <c r="G4379">
        <f>IF(LEFT(B4379,1)="C","Credit","Factuur")</f>
        <v/>
      </c>
      <c r="H4379">
        <f>IF(AND(B4379=B4378,D4379=D4378,A4379=A4378,F4379=F4378),1,0)</f>
        <v/>
      </c>
      <c r="I4379">
        <f>IF(C4379="C99999",1,0)</f>
        <v/>
      </c>
      <c r="J4379" s="5">
        <f>IF(OR(H4379=1,I4379=1),0,IF(G4379="Credit",-F4379,F4379))</f>
        <v/>
      </c>
    </row>
    <row r="4380">
      <c r="A4380" t="inlineStr">
        <is>
          <t>2026-08-14</t>
        </is>
      </c>
      <c r="B4380" t="inlineStr">
        <is>
          <t>F261008</t>
        </is>
      </c>
      <c r="C4380" t="inlineStr">
        <is>
          <t>C10059</t>
        </is>
      </c>
      <c r="D4380" t="inlineStr">
        <is>
          <t>SKU-10104</t>
        </is>
      </c>
      <c r="E4380" t="inlineStr">
        <is>
          <t>AM03</t>
        </is>
      </c>
      <c r="F4380" s="5" t="n">
        <v>1645.08</v>
      </c>
      <c r="G4380">
        <f>IF(LEFT(B4380,1)="C","Credit","Factuur")</f>
        <v/>
      </c>
      <c r="H4380">
        <f>IF(AND(B4380=B4379,D4380=D4379,A4380=A4379,F4380=F4379),1,0)</f>
        <v/>
      </c>
      <c r="I4380">
        <f>IF(C4380="C99999",1,0)</f>
        <v/>
      </c>
      <c r="J4380" s="5">
        <f>IF(OR(H4380=1,I4380=1),0,IF(G4380="Credit",-F4380,F4380))</f>
        <v/>
      </c>
    </row>
    <row r="4381">
      <c r="A4381" t="inlineStr">
        <is>
          <t>2026-08-14</t>
        </is>
      </c>
      <c r="B4381" t="inlineStr">
        <is>
          <t>F261169</t>
        </is>
      </c>
      <c r="C4381" t="inlineStr">
        <is>
          <t>C10065</t>
        </is>
      </c>
      <c r="D4381" t="inlineStr">
        <is>
          <t>SKU-10084</t>
        </is>
      </c>
      <c r="E4381" t="inlineStr">
        <is>
          <t>AM01</t>
        </is>
      </c>
      <c r="F4381" s="5" t="n">
        <v>212.97</v>
      </c>
      <c r="G4381">
        <f>IF(LEFT(B4381,1)="C","Credit","Factuur")</f>
        <v/>
      </c>
      <c r="H4381">
        <f>IF(AND(B4381=B4380,D4381=D4380,A4381=A4380,F4381=F4380),1,0)</f>
        <v/>
      </c>
      <c r="I4381">
        <f>IF(C4381="C99999",1,0)</f>
        <v/>
      </c>
      <c r="J4381" s="5">
        <f>IF(OR(H4381=1,I4381=1),0,IF(G4381="Credit",-F4381,F4381))</f>
        <v/>
      </c>
    </row>
    <row r="4382">
      <c r="A4382" t="inlineStr">
        <is>
          <t>2026-08-14</t>
        </is>
      </c>
      <c r="B4382" t="inlineStr">
        <is>
          <t>F261169</t>
        </is>
      </c>
      <c r="C4382" t="inlineStr">
        <is>
          <t>C10065</t>
        </is>
      </c>
      <c r="D4382" t="inlineStr">
        <is>
          <t>SKU-10084</t>
        </is>
      </c>
      <c r="E4382" t="inlineStr">
        <is>
          <t>AM01</t>
        </is>
      </c>
      <c r="F4382" s="5" t="n">
        <v>212.97</v>
      </c>
      <c r="G4382">
        <f>IF(LEFT(B4382,1)="C","Credit","Factuur")</f>
        <v/>
      </c>
      <c r="H4382">
        <f>IF(AND(B4382=B4381,D4382=D4381,A4382=A4381,F4382=F4381),1,0)</f>
        <v/>
      </c>
      <c r="I4382">
        <f>IF(C4382="C99999",1,0)</f>
        <v/>
      </c>
      <c r="J4382" s="5">
        <f>IF(OR(H4382=1,I4382=1),0,IF(G4382="Credit",-F4382,F4382))</f>
        <v/>
      </c>
    </row>
    <row r="4383">
      <c r="A4383" t="inlineStr">
        <is>
          <t>2026-08-14</t>
        </is>
      </c>
      <c r="B4383" t="inlineStr">
        <is>
          <t>F261169</t>
        </is>
      </c>
      <c r="C4383" t="inlineStr">
        <is>
          <t>C10065</t>
        </is>
      </c>
      <c r="D4383" t="inlineStr">
        <is>
          <t>SKU-10214</t>
        </is>
      </c>
      <c r="E4383" t="inlineStr">
        <is>
          <t>AM01</t>
        </is>
      </c>
      <c r="F4383" s="5" t="n">
        <v>231.54</v>
      </c>
      <c r="G4383">
        <f>IF(LEFT(B4383,1)="C","Credit","Factuur")</f>
        <v/>
      </c>
      <c r="H4383">
        <f>IF(AND(B4383=B4382,D4383=D4382,A4383=A4382,F4383=F4382),1,0)</f>
        <v/>
      </c>
      <c r="I4383">
        <f>IF(C4383="C99999",1,0)</f>
        <v/>
      </c>
      <c r="J4383" s="5">
        <f>IF(OR(H4383=1,I4383=1),0,IF(G4383="Credit",-F4383,F4383))</f>
        <v/>
      </c>
    </row>
    <row r="4384">
      <c r="A4384" t="inlineStr">
        <is>
          <t>2026-08-14</t>
        </is>
      </c>
      <c r="B4384" t="inlineStr">
        <is>
          <t>F261169</t>
        </is>
      </c>
      <c r="C4384" t="inlineStr">
        <is>
          <t>C10065</t>
        </is>
      </c>
      <c r="D4384" t="inlineStr">
        <is>
          <t>SKU-10214</t>
        </is>
      </c>
      <c r="E4384" t="inlineStr">
        <is>
          <t>AM01</t>
        </is>
      </c>
      <c r="F4384" s="5" t="n">
        <v>231.54</v>
      </c>
      <c r="G4384">
        <f>IF(LEFT(B4384,1)="C","Credit","Factuur")</f>
        <v/>
      </c>
      <c r="H4384">
        <f>IF(AND(B4384=B4383,D4384=D4383,A4384=A4383,F4384=F4383),1,0)</f>
        <v/>
      </c>
      <c r="I4384">
        <f>IF(C4384="C99999",1,0)</f>
        <v/>
      </c>
      <c r="J4384" s="5">
        <f>IF(OR(H4384=1,I4384=1),0,IF(G4384="Credit",-F4384,F4384))</f>
        <v/>
      </c>
    </row>
    <row r="4385">
      <c r="A4385" t="inlineStr">
        <is>
          <t>2026-08-14</t>
        </is>
      </c>
      <c r="B4385" t="inlineStr">
        <is>
          <t>F261169</t>
        </is>
      </c>
      <c r="C4385" t="inlineStr">
        <is>
          <t>C10065</t>
        </is>
      </c>
      <c r="D4385" t="inlineStr">
        <is>
          <t>SKU-10262</t>
        </is>
      </c>
      <c r="E4385" t="inlineStr">
        <is>
          <t>AM01</t>
        </is>
      </c>
      <c r="F4385" s="5" t="n">
        <v>215.31</v>
      </c>
      <c r="G4385">
        <f>IF(LEFT(B4385,1)="C","Credit","Factuur")</f>
        <v/>
      </c>
      <c r="H4385">
        <f>IF(AND(B4385=B4384,D4385=D4384,A4385=A4384,F4385=F4384),1,0)</f>
        <v/>
      </c>
      <c r="I4385">
        <f>IF(C4385="C99999",1,0)</f>
        <v/>
      </c>
      <c r="J4385" s="5">
        <f>IF(OR(H4385=1,I4385=1),0,IF(G4385="Credit",-F4385,F4385))</f>
        <v/>
      </c>
    </row>
    <row r="4386">
      <c r="A4386" t="inlineStr">
        <is>
          <t>2026-08-14</t>
        </is>
      </c>
      <c r="B4386" t="inlineStr">
        <is>
          <t>F261169</t>
        </is>
      </c>
      <c r="C4386" t="inlineStr">
        <is>
          <t>C10065</t>
        </is>
      </c>
      <c r="D4386" t="inlineStr">
        <is>
          <t>SKU-10262</t>
        </is>
      </c>
      <c r="E4386" t="inlineStr">
        <is>
          <t>AM01</t>
        </is>
      </c>
      <c r="F4386" s="5" t="n">
        <v>215.31</v>
      </c>
      <c r="G4386">
        <f>IF(LEFT(B4386,1)="C","Credit","Factuur")</f>
        <v/>
      </c>
      <c r="H4386">
        <f>IF(AND(B4386=B4385,D4386=D4385,A4386=A4385,F4386=F4385),1,0)</f>
        <v/>
      </c>
      <c r="I4386">
        <f>IF(C4386="C99999",1,0)</f>
        <v/>
      </c>
      <c r="J4386" s="5">
        <f>IF(OR(H4386=1,I4386=1),0,IF(G4386="Credit",-F4386,F4386))</f>
        <v/>
      </c>
    </row>
    <row r="4387">
      <c r="A4387" t="inlineStr">
        <is>
          <t>2026-08-14</t>
        </is>
      </c>
      <c r="B4387" t="inlineStr">
        <is>
          <t>F261169</t>
        </is>
      </c>
      <c r="C4387" t="inlineStr">
        <is>
          <t>C10065</t>
        </is>
      </c>
      <c r="D4387" t="inlineStr">
        <is>
          <t>SKU-10338</t>
        </is>
      </c>
      <c r="E4387" t="inlineStr">
        <is>
          <t>AM01</t>
        </is>
      </c>
      <c r="F4387" s="5" t="n">
        <v>226.92</v>
      </c>
      <c r="G4387">
        <f>IF(LEFT(B4387,1)="C","Credit","Factuur")</f>
        <v/>
      </c>
      <c r="H4387">
        <f>IF(AND(B4387=B4386,D4387=D4386,A4387=A4386,F4387=F4386),1,0)</f>
        <v/>
      </c>
      <c r="I4387">
        <f>IF(C4387="C99999",1,0)</f>
        <v/>
      </c>
      <c r="J4387" s="5">
        <f>IF(OR(H4387=1,I4387=1),0,IF(G4387="Credit",-F4387,F4387))</f>
        <v/>
      </c>
    </row>
    <row r="4388">
      <c r="A4388" t="inlineStr">
        <is>
          <t>2026-08-14</t>
        </is>
      </c>
      <c r="B4388" t="inlineStr">
        <is>
          <t>F261169</t>
        </is>
      </c>
      <c r="C4388" t="inlineStr">
        <is>
          <t>C10065</t>
        </is>
      </c>
      <c r="D4388" t="inlineStr">
        <is>
          <t>SKU-10338</t>
        </is>
      </c>
      <c r="E4388" t="inlineStr">
        <is>
          <t>AM01</t>
        </is>
      </c>
      <c r="F4388" s="5" t="n">
        <v>226.92</v>
      </c>
      <c r="G4388">
        <f>IF(LEFT(B4388,1)="C","Credit","Factuur")</f>
        <v/>
      </c>
      <c r="H4388">
        <f>IF(AND(B4388=B4387,D4388=D4387,A4388=A4387,F4388=F4387),1,0)</f>
        <v/>
      </c>
      <c r="I4388">
        <f>IF(C4388="C99999",1,0)</f>
        <v/>
      </c>
      <c r="J4388" s="5">
        <f>IF(OR(H4388=1,I4388=1),0,IF(G4388="Credit",-F4388,F4388))</f>
        <v/>
      </c>
    </row>
    <row r="4389">
      <c r="A4389" t="inlineStr">
        <is>
          <t>2026-08-14</t>
        </is>
      </c>
      <c r="B4389" t="inlineStr">
        <is>
          <t>F261190</t>
        </is>
      </c>
      <c r="C4389" t="inlineStr">
        <is>
          <t>C10066</t>
        </is>
      </c>
      <c r="D4389" t="inlineStr">
        <is>
          <t>SKU-10060</t>
        </is>
      </c>
      <c r="E4389" t="inlineStr">
        <is>
          <t>AM03</t>
        </is>
      </c>
      <c r="F4389" s="5" t="n">
        <v>167.58</v>
      </c>
      <c r="G4389">
        <f>IF(LEFT(B4389,1)="C","Credit","Factuur")</f>
        <v/>
      </c>
      <c r="H4389">
        <f>IF(AND(B4389=B4388,D4389=D4388,A4389=A4388,F4389=F4388),1,0)</f>
        <v/>
      </c>
      <c r="I4389">
        <f>IF(C4389="C99999",1,0)</f>
        <v/>
      </c>
      <c r="J4389" s="5">
        <f>IF(OR(H4389=1,I4389=1),0,IF(G4389="Credit",-F4389,F4389))</f>
        <v/>
      </c>
    </row>
    <row r="4390">
      <c r="A4390" t="inlineStr">
        <is>
          <t>2026-08-14</t>
        </is>
      </c>
      <c r="B4390" t="inlineStr">
        <is>
          <t>F261190</t>
        </is>
      </c>
      <c r="C4390" t="inlineStr">
        <is>
          <t>C10066</t>
        </is>
      </c>
      <c r="D4390" t="inlineStr">
        <is>
          <t>SKU-10060</t>
        </is>
      </c>
      <c r="E4390" t="inlineStr">
        <is>
          <t>AM03</t>
        </is>
      </c>
      <c r="F4390" s="5" t="n">
        <v>167.58</v>
      </c>
      <c r="G4390">
        <f>IF(LEFT(B4390,1)="C","Credit","Factuur")</f>
        <v/>
      </c>
      <c r="H4390">
        <f>IF(AND(B4390=B4389,D4390=D4389,A4390=A4389,F4390=F4389),1,0)</f>
        <v/>
      </c>
      <c r="I4390">
        <f>IF(C4390="C99999",1,0)</f>
        <v/>
      </c>
      <c r="J4390" s="5">
        <f>IF(OR(H4390=1,I4390=1),0,IF(G4390="Credit",-F4390,F4390))</f>
        <v/>
      </c>
    </row>
    <row r="4391">
      <c r="A4391" t="inlineStr">
        <is>
          <t>2026-08-14</t>
        </is>
      </c>
      <c r="B4391" t="inlineStr">
        <is>
          <t>F261190</t>
        </is>
      </c>
      <c r="C4391" t="inlineStr">
        <is>
          <t>C10066</t>
        </is>
      </c>
      <c r="D4391" t="inlineStr">
        <is>
          <t>SKU-10070</t>
        </is>
      </c>
      <c r="E4391" t="inlineStr">
        <is>
          <t>AM03</t>
        </is>
      </c>
      <c r="F4391" s="5" t="n">
        <v>171.64</v>
      </c>
      <c r="G4391">
        <f>IF(LEFT(B4391,1)="C","Credit","Factuur")</f>
        <v/>
      </c>
      <c r="H4391">
        <f>IF(AND(B4391=B4390,D4391=D4390,A4391=A4390,F4391=F4390),1,0)</f>
        <v/>
      </c>
      <c r="I4391">
        <f>IF(C4391="C99999",1,0)</f>
        <v/>
      </c>
      <c r="J4391" s="5">
        <f>IF(OR(H4391=1,I4391=1),0,IF(G4391="Credit",-F4391,F4391))</f>
        <v/>
      </c>
    </row>
    <row r="4392">
      <c r="A4392" t="inlineStr">
        <is>
          <t>2026-08-14</t>
        </is>
      </c>
      <c r="B4392" t="inlineStr">
        <is>
          <t>F261190</t>
        </is>
      </c>
      <c r="C4392" t="inlineStr">
        <is>
          <t>C10066</t>
        </is>
      </c>
      <c r="D4392" t="inlineStr">
        <is>
          <t>SKU-10070</t>
        </is>
      </c>
      <c r="E4392" t="inlineStr">
        <is>
          <t>AM03</t>
        </is>
      </c>
      <c r="F4392" s="5" t="n">
        <v>171.64</v>
      </c>
      <c r="G4392">
        <f>IF(LEFT(B4392,1)="C","Credit","Factuur")</f>
        <v/>
      </c>
      <c r="H4392">
        <f>IF(AND(B4392=B4391,D4392=D4391,A4392=A4391,F4392=F4391),1,0)</f>
        <v/>
      </c>
      <c r="I4392">
        <f>IF(C4392="C99999",1,0)</f>
        <v/>
      </c>
      <c r="J4392" s="5">
        <f>IF(OR(H4392=1,I4392=1),0,IF(G4392="Credit",-F4392,F4392))</f>
        <v/>
      </c>
    </row>
    <row r="4393">
      <c r="A4393" t="inlineStr">
        <is>
          <t>2026-08-14</t>
        </is>
      </c>
      <c r="B4393" t="inlineStr">
        <is>
          <t>F261190</t>
        </is>
      </c>
      <c r="C4393" t="inlineStr">
        <is>
          <t>C10066</t>
        </is>
      </c>
      <c r="D4393" t="inlineStr">
        <is>
          <t>SKU-10259</t>
        </is>
      </c>
      <c r="E4393" t="inlineStr">
        <is>
          <t>AM03</t>
        </is>
      </c>
      <c r="F4393" s="5" t="n">
        <v>152.36</v>
      </c>
      <c r="G4393">
        <f>IF(LEFT(B4393,1)="C","Credit","Factuur")</f>
        <v/>
      </c>
      <c r="H4393">
        <f>IF(AND(B4393=B4392,D4393=D4392,A4393=A4392,F4393=F4392),1,0)</f>
        <v/>
      </c>
      <c r="I4393">
        <f>IF(C4393="C99999",1,0)</f>
        <v/>
      </c>
      <c r="J4393" s="5">
        <f>IF(OR(H4393=1,I4393=1),0,IF(G4393="Credit",-F4393,F4393))</f>
        <v/>
      </c>
    </row>
    <row r="4394">
      <c r="A4394" t="inlineStr">
        <is>
          <t>2026-08-14</t>
        </is>
      </c>
      <c r="B4394" t="inlineStr">
        <is>
          <t>F261190</t>
        </is>
      </c>
      <c r="C4394" t="inlineStr">
        <is>
          <t>C10066</t>
        </is>
      </c>
      <c r="D4394" t="inlineStr">
        <is>
          <t>SKU-10259</t>
        </is>
      </c>
      <c r="E4394" t="inlineStr">
        <is>
          <t>AM03</t>
        </is>
      </c>
      <c r="F4394" s="5" t="n">
        <v>152.36</v>
      </c>
      <c r="G4394">
        <f>IF(LEFT(B4394,1)="C","Credit","Factuur")</f>
        <v/>
      </c>
      <c r="H4394">
        <f>IF(AND(B4394=B4393,D4394=D4393,A4394=A4393,F4394=F4393),1,0)</f>
        <v/>
      </c>
      <c r="I4394">
        <f>IF(C4394="C99999",1,0)</f>
        <v/>
      </c>
      <c r="J4394" s="5">
        <f>IF(OR(H4394=1,I4394=1),0,IF(G4394="Credit",-F4394,F4394))</f>
        <v/>
      </c>
    </row>
    <row r="4395">
      <c r="A4395" t="inlineStr">
        <is>
          <t>2026-08-14</t>
        </is>
      </c>
      <c r="B4395" t="inlineStr">
        <is>
          <t>F261259</t>
        </is>
      </c>
      <c r="C4395" t="inlineStr">
        <is>
          <t>C10070</t>
        </is>
      </c>
      <c r="D4395" t="inlineStr">
        <is>
          <t>SKU-10364</t>
        </is>
      </c>
      <c r="E4395" t="inlineStr">
        <is>
          <t>AM11</t>
        </is>
      </c>
      <c r="F4395" s="5" t="n">
        <v>350.39</v>
      </c>
      <c r="G4395">
        <f>IF(LEFT(B4395,1)="C","Credit","Factuur")</f>
        <v/>
      </c>
      <c r="H4395">
        <f>IF(AND(B4395=B4394,D4395=D4394,A4395=A4394,F4395=F4394),1,0)</f>
        <v/>
      </c>
      <c r="I4395">
        <f>IF(C4395="C99999",1,0)</f>
        <v/>
      </c>
      <c r="J4395" s="5">
        <f>IF(OR(H4395=1,I4395=1),0,IF(G4395="Credit",-F4395,F4395))</f>
        <v/>
      </c>
    </row>
    <row r="4396">
      <c r="A4396" t="inlineStr">
        <is>
          <t>2026-08-14</t>
        </is>
      </c>
      <c r="B4396" t="inlineStr">
        <is>
          <t>F261259</t>
        </is>
      </c>
      <c r="C4396" t="inlineStr">
        <is>
          <t>C10070</t>
        </is>
      </c>
      <c r="D4396" t="inlineStr">
        <is>
          <t>SKU-10364</t>
        </is>
      </c>
      <c r="E4396" t="inlineStr">
        <is>
          <t>AM11</t>
        </is>
      </c>
      <c r="F4396" s="5" t="n">
        <v>350.39</v>
      </c>
      <c r="G4396">
        <f>IF(LEFT(B4396,1)="C","Credit","Factuur")</f>
        <v/>
      </c>
      <c r="H4396">
        <f>IF(AND(B4396=B4395,D4396=D4395,A4396=A4395,F4396=F4395),1,0)</f>
        <v/>
      </c>
      <c r="I4396">
        <f>IF(C4396="C99999",1,0)</f>
        <v/>
      </c>
      <c r="J4396" s="5">
        <f>IF(OR(H4396=1,I4396=1),0,IF(G4396="Credit",-F4396,F4396))</f>
        <v/>
      </c>
    </row>
    <row r="4397">
      <c r="A4397" t="inlineStr">
        <is>
          <t>2026-08-14</t>
        </is>
      </c>
      <c r="B4397" t="inlineStr">
        <is>
          <t>F261689</t>
        </is>
      </c>
      <c r="C4397" t="inlineStr">
        <is>
          <t>C10088</t>
        </is>
      </c>
      <c r="D4397" t="inlineStr">
        <is>
          <t>SKU-10198</t>
        </is>
      </c>
      <c r="E4397" t="inlineStr">
        <is>
          <t>AM03</t>
        </is>
      </c>
      <c r="F4397" s="5" t="n">
        <v>819.66</v>
      </c>
      <c r="G4397">
        <f>IF(LEFT(B4397,1)="C","Credit","Factuur")</f>
        <v/>
      </c>
      <c r="H4397">
        <f>IF(AND(B4397=B4396,D4397=D4396,A4397=A4396,F4397=F4396),1,0)</f>
        <v/>
      </c>
      <c r="I4397">
        <f>IF(C4397="C99999",1,0)</f>
        <v/>
      </c>
      <c r="J4397" s="5">
        <f>IF(OR(H4397=1,I4397=1),0,IF(G4397="Credit",-F4397,F4397))</f>
        <v/>
      </c>
    </row>
    <row r="4398">
      <c r="A4398" t="inlineStr">
        <is>
          <t>2026-08-14</t>
        </is>
      </c>
      <c r="B4398" t="inlineStr">
        <is>
          <t>F261689</t>
        </is>
      </c>
      <c r="C4398" t="inlineStr">
        <is>
          <t>C10088</t>
        </is>
      </c>
      <c r="D4398" t="inlineStr">
        <is>
          <t>SKU-10198</t>
        </is>
      </c>
      <c r="E4398" t="inlineStr">
        <is>
          <t>AM03</t>
        </is>
      </c>
      <c r="F4398" s="5" t="n">
        <v>819.66</v>
      </c>
      <c r="G4398">
        <f>IF(LEFT(B4398,1)="C","Credit","Factuur")</f>
        <v/>
      </c>
      <c r="H4398">
        <f>IF(AND(B4398=B4397,D4398=D4397,A4398=A4397,F4398=F4397),1,0)</f>
        <v/>
      </c>
      <c r="I4398">
        <f>IF(C4398="C99999",1,0)</f>
        <v/>
      </c>
      <c r="J4398" s="5">
        <f>IF(OR(H4398=1,I4398=1),0,IF(G4398="Credit",-F4398,F4398))</f>
        <v/>
      </c>
    </row>
    <row r="4399">
      <c r="A4399" t="inlineStr">
        <is>
          <t>2026-08-14</t>
        </is>
      </c>
      <c r="B4399" t="inlineStr">
        <is>
          <t>F261689</t>
        </is>
      </c>
      <c r="C4399" t="inlineStr">
        <is>
          <t>C10088</t>
        </is>
      </c>
      <c r="D4399" t="inlineStr">
        <is>
          <t>SKU-10358</t>
        </is>
      </c>
      <c r="E4399" t="inlineStr">
        <is>
          <t>AM03</t>
        </is>
      </c>
      <c r="F4399" s="5" t="n">
        <v>699.52</v>
      </c>
      <c r="G4399">
        <f>IF(LEFT(B4399,1)="C","Credit","Factuur")</f>
        <v/>
      </c>
      <c r="H4399">
        <f>IF(AND(B4399=B4398,D4399=D4398,A4399=A4398,F4399=F4398),1,0)</f>
        <v/>
      </c>
      <c r="I4399">
        <f>IF(C4399="C99999",1,0)</f>
        <v/>
      </c>
      <c r="J4399" s="5">
        <f>IF(OR(H4399=1,I4399=1),0,IF(G4399="Credit",-F4399,F4399))</f>
        <v/>
      </c>
    </row>
    <row r="4400">
      <c r="A4400" t="inlineStr">
        <is>
          <t>2026-08-14</t>
        </is>
      </c>
      <c r="B4400" t="inlineStr">
        <is>
          <t>F261689</t>
        </is>
      </c>
      <c r="C4400" t="inlineStr">
        <is>
          <t>C10088</t>
        </is>
      </c>
      <c r="D4400" t="inlineStr">
        <is>
          <t>SKU-10358</t>
        </is>
      </c>
      <c r="E4400" t="inlineStr">
        <is>
          <t>AM03</t>
        </is>
      </c>
      <c r="F4400" s="5" t="n">
        <v>699.52</v>
      </c>
      <c r="G4400">
        <f>IF(LEFT(B4400,1)="C","Credit","Factuur")</f>
        <v/>
      </c>
      <c r="H4400">
        <f>IF(AND(B4400=B4399,D4400=D4399,A4400=A4399,F4400=F4399),1,0)</f>
        <v/>
      </c>
      <c r="I4400">
        <f>IF(C4400="C99999",1,0)</f>
        <v/>
      </c>
      <c r="J4400" s="5">
        <f>IF(OR(H4400=1,I4400=1),0,IF(G4400="Credit",-F4400,F4400))</f>
        <v/>
      </c>
    </row>
    <row r="4401">
      <c r="A4401" t="inlineStr">
        <is>
          <t>2026-08-14</t>
        </is>
      </c>
      <c r="B4401" t="inlineStr">
        <is>
          <t>F261750</t>
        </is>
      </c>
      <c r="C4401" t="inlineStr">
        <is>
          <t>C10091</t>
        </is>
      </c>
      <c r="D4401" t="inlineStr">
        <is>
          <t>SKU-10230</t>
        </is>
      </c>
      <c r="E4401" t="inlineStr">
        <is>
          <t>AM11</t>
        </is>
      </c>
      <c r="F4401" s="5" t="n">
        <v>640.08</v>
      </c>
      <c r="G4401">
        <f>IF(LEFT(B4401,1)="C","Credit","Factuur")</f>
        <v/>
      </c>
      <c r="H4401">
        <f>IF(AND(B4401=B4400,D4401=D4400,A4401=A4400,F4401=F4400),1,0)</f>
        <v/>
      </c>
      <c r="I4401">
        <f>IF(C4401="C99999",1,0)</f>
        <v/>
      </c>
      <c r="J4401" s="5">
        <f>IF(OR(H4401=1,I4401=1),0,IF(G4401="Credit",-F4401,F4401))</f>
        <v/>
      </c>
    </row>
    <row r="4402">
      <c r="A4402" t="inlineStr">
        <is>
          <t>2026-08-14</t>
        </is>
      </c>
      <c r="B4402" t="inlineStr">
        <is>
          <t>F261750</t>
        </is>
      </c>
      <c r="C4402" t="inlineStr">
        <is>
          <t>C10091</t>
        </is>
      </c>
      <c r="D4402" t="inlineStr">
        <is>
          <t>SKU-10230</t>
        </is>
      </c>
      <c r="E4402" t="inlineStr">
        <is>
          <t>AM11</t>
        </is>
      </c>
      <c r="F4402" s="5" t="n">
        <v>640.08</v>
      </c>
      <c r="G4402">
        <f>IF(LEFT(B4402,1)="C","Credit","Factuur")</f>
        <v/>
      </c>
      <c r="H4402">
        <f>IF(AND(B4402=B4401,D4402=D4401,A4402=A4401,F4402=F4401),1,0)</f>
        <v/>
      </c>
      <c r="I4402">
        <f>IF(C4402="C99999",1,0)</f>
        <v/>
      </c>
      <c r="J4402" s="5">
        <f>IF(OR(H4402=1,I4402=1),0,IF(G4402="Credit",-F4402,F4402))</f>
        <v/>
      </c>
    </row>
    <row r="4403">
      <c r="A4403" t="inlineStr">
        <is>
          <t>2026-08-14</t>
        </is>
      </c>
      <c r="B4403" t="inlineStr">
        <is>
          <t>F261750</t>
        </is>
      </c>
      <c r="C4403" t="inlineStr">
        <is>
          <t>C10091</t>
        </is>
      </c>
      <c r="D4403" t="inlineStr">
        <is>
          <t>SKU-10332</t>
        </is>
      </c>
      <c r="E4403" t="inlineStr">
        <is>
          <t>AM11</t>
        </is>
      </c>
      <c r="F4403" s="5" t="n">
        <v>651.04</v>
      </c>
      <c r="G4403">
        <f>IF(LEFT(B4403,1)="C","Credit","Factuur")</f>
        <v/>
      </c>
      <c r="H4403">
        <f>IF(AND(B4403=B4402,D4403=D4402,A4403=A4402,F4403=F4402),1,0)</f>
        <v/>
      </c>
      <c r="I4403">
        <f>IF(C4403="C99999",1,0)</f>
        <v/>
      </c>
      <c r="J4403" s="5">
        <f>IF(OR(H4403=1,I4403=1),0,IF(G4403="Credit",-F4403,F4403))</f>
        <v/>
      </c>
    </row>
    <row r="4404">
      <c r="A4404" t="inlineStr">
        <is>
          <t>2026-08-14</t>
        </is>
      </c>
      <c r="B4404" t="inlineStr">
        <is>
          <t>F261750</t>
        </is>
      </c>
      <c r="C4404" t="inlineStr">
        <is>
          <t>C10091</t>
        </is>
      </c>
      <c r="D4404" t="inlineStr">
        <is>
          <t>SKU-10332</t>
        </is>
      </c>
      <c r="E4404" t="inlineStr">
        <is>
          <t>AM11</t>
        </is>
      </c>
      <c r="F4404" s="5" t="n">
        <v>651.04</v>
      </c>
      <c r="G4404">
        <f>IF(LEFT(B4404,1)="C","Credit","Factuur")</f>
        <v/>
      </c>
      <c r="H4404">
        <f>IF(AND(B4404=B4403,D4404=D4403,A4404=A4403,F4404=F4403),1,0)</f>
        <v/>
      </c>
      <c r="I4404">
        <f>IF(C4404="C99999",1,0)</f>
        <v/>
      </c>
      <c r="J4404" s="5">
        <f>IF(OR(H4404=1,I4404=1),0,IF(G4404="Credit",-F4404,F4404))</f>
        <v/>
      </c>
    </row>
    <row r="4405">
      <c r="A4405" t="inlineStr">
        <is>
          <t>2026-08-14</t>
        </is>
      </c>
      <c r="B4405" t="inlineStr">
        <is>
          <t>F262426</t>
        </is>
      </c>
      <c r="C4405" t="inlineStr">
        <is>
          <t>C10130</t>
        </is>
      </c>
      <c r="D4405" t="inlineStr">
        <is>
          <t>SKU-10052</t>
        </is>
      </c>
      <c r="E4405" t="inlineStr">
        <is>
          <t>AM01</t>
        </is>
      </c>
      <c r="F4405" s="5" t="n">
        <v>249.9</v>
      </c>
      <c r="G4405">
        <f>IF(LEFT(B4405,1)="C","Credit","Factuur")</f>
        <v/>
      </c>
      <c r="H4405">
        <f>IF(AND(B4405=B4404,D4405=D4404,A4405=A4404,F4405=F4404),1,0)</f>
        <v/>
      </c>
      <c r="I4405">
        <f>IF(C4405="C99999",1,0)</f>
        <v/>
      </c>
      <c r="J4405" s="5">
        <f>IF(OR(H4405=1,I4405=1),0,IF(G4405="Credit",-F4405,F4405))</f>
        <v/>
      </c>
    </row>
    <row r="4406">
      <c r="A4406" t="inlineStr">
        <is>
          <t>2026-08-14</t>
        </is>
      </c>
      <c r="B4406" t="inlineStr">
        <is>
          <t>F262426</t>
        </is>
      </c>
      <c r="C4406" t="inlineStr">
        <is>
          <t>C10130</t>
        </is>
      </c>
      <c r="D4406" t="inlineStr">
        <is>
          <t>SKU-10052</t>
        </is>
      </c>
      <c r="E4406" t="inlineStr">
        <is>
          <t>AM01</t>
        </is>
      </c>
      <c r="F4406" s="5" t="n">
        <v>249.9</v>
      </c>
      <c r="G4406">
        <f>IF(LEFT(B4406,1)="C","Credit","Factuur")</f>
        <v/>
      </c>
      <c r="H4406">
        <f>IF(AND(B4406=B4405,D4406=D4405,A4406=A4405,F4406=F4405),1,0)</f>
        <v/>
      </c>
      <c r="I4406">
        <f>IF(C4406="C99999",1,0)</f>
        <v/>
      </c>
      <c r="J4406" s="5">
        <f>IF(OR(H4406=1,I4406=1),0,IF(G4406="Credit",-F4406,F4406))</f>
        <v/>
      </c>
    </row>
    <row r="4407">
      <c r="A4407" t="inlineStr">
        <is>
          <t>2026-08-14</t>
        </is>
      </c>
      <c r="B4407" t="inlineStr">
        <is>
          <t>F262426</t>
        </is>
      </c>
      <c r="C4407" t="inlineStr">
        <is>
          <t>C10130</t>
        </is>
      </c>
      <c r="D4407" t="inlineStr">
        <is>
          <t>SKU-10226</t>
        </is>
      </c>
      <c r="E4407" t="inlineStr">
        <is>
          <t>AM01</t>
        </is>
      </c>
      <c r="F4407" s="5" t="n">
        <v>206.46</v>
      </c>
      <c r="G4407">
        <f>IF(LEFT(B4407,1)="C","Credit","Factuur")</f>
        <v/>
      </c>
      <c r="H4407">
        <f>IF(AND(B4407=B4406,D4407=D4406,A4407=A4406,F4407=F4406),1,0)</f>
        <v/>
      </c>
      <c r="I4407">
        <f>IF(C4407="C99999",1,0)</f>
        <v/>
      </c>
      <c r="J4407" s="5">
        <f>IF(OR(H4407=1,I4407=1),0,IF(G4407="Credit",-F4407,F4407))</f>
        <v/>
      </c>
    </row>
    <row r="4408">
      <c r="A4408" t="inlineStr">
        <is>
          <t>2026-08-14</t>
        </is>
      </c>
      <c r="B4408" t="inlineStr">
        <is>
          <t>F262426</t>
        </is>
      </c>
      <c r="C4408" t="inlineStr">
        <is>
          <t>C10130</t>
        </is>
      </c>
      <c r="D4408" t="inlineStr">
        <is>
          <t>SKU-10226</t>
        </is>
      </c>
      <c r="E4408" t="inlineStr">
        <is>
          <t>AM01</t>
        </is>
      </c>
      <c r="F4408" s="5" t="n">
        <v>206.46</v>
      </c>
      <c r="G4408">
        <f>IF(LEFT(B4408,1)="C","Credit","Factuur")</f>
        <v/>
      </c>
      <c r="H4408">
        <f>IF(AND(B4408=B4407,D4408=D4407,A4408=A4407,F4408=F4407),1,0)</f>
        <v/>
      </c>
      <c r="I4408">
        <f>IF(C4408="C99999",1,0)</f>
        <v/>
      </c>
      <c r="J4408" s="5">
        <f>IF(OR(H4408=1,I4408=1),0,IF(G4408="Credit",-F4408,F4408))</f>
        <v/>
      </c>
    </row>
    <row r="4409">
      <c r="A4409" t="inlineStr">
        <is>
          <t>2026-08-14</t>
        </is>
      </c>
      <c r="B4409" t="inlineStr">
        <is>
          <t>F262783</t>
        </is>
      </c>
      <c r="C4409" t="inlineStr">
        <is>
          <t>C10150</t>
        </is>
      </c>
      <c r="D4409" t="inlineStr">
        <is>
          <t>SKU-10220</t>
        </is>
      </c>
      <c r="E4409" t="inlineStr">
        <is>
          <t>AM12</t>
        </is>
      </c>
      <c r="F4409" s="5" t="n">
        <v>2888.64</v>
      </c>
      <c r="G4409">
        <f>IF(LEFT(B4409,1)="C","Credit","Factuur")</f>
        <v/>
      </c>
      <c r="H4409">
        <f>IF(AND(B4409=B4408,D4409=D4408,A4409=A4408,F4409=F4408),1,0)</f>
        <v/>
      </c>
      <c r="I4409">
        <f>IF(C4409="C99999",1,0)</f>
        <v/>
      </c>
      <c r="J4409" s="5">
        <f>IF(OR(H4409=1,I4409=1),0,IF(G4409="Credit",-F4409,F4409))</f>
        <v/>
      </c>
    </row>
    <row r="4410">
      <c r="A4410" t="inlineStr">
        <is>
          <t>2026-08-14</t>
        </is>
      </c>
      <c r="B4410" t="inlineStr">
        <is>
          <t>F262783</t>
        </is>
      </c>
      <c r="C4410" t="inlineStr">
        <is>
          <t>C10150</t>
        </is>
      </c>
      <c r="D4410" t="inlineStr">
        <is>
          <t>SKU-10220</t>
        </is>
      </c>
      <c r="E4410" t="inlineStr">
        <is>
          <t>AM12</t>
        </is>
      </c>
      <c r="F4410" s="5" t="n">
        <v>2888.64</v>
      </c>
      <c r="G4410">
        <f>IF(LEFT(B4410,1)="C","Credit","Factuur")</f>
        <v/>
      </c>
      <c r="H4410">
        <f>IF(AND(B4410=B4409,D4410=D4409,A4410=A4409,F4410=F4409),1,0)</f>
        <v/>
      </c>
      <c r="I4410">
        <f>IF(C4410="C99999",1,0)</f>
        <v/>
      </c>
      <c r="J4410" s="5">
        <f>IF(OR(H4410=1,I4410=1),0,IF(G4410="Credit",-F4410,F4410))</f>
        <v/>
      </c>
    </row>
    <row r="4411">
      <c r="A4411" t="inlineStr">
        <is>
          <t>2026-08-14</t>
        </is>
      </c>
      <c r="B4411" t="inlineStr">
        <is>
          <t>F262956</t>
        </is>
      </c>
      <c r="C4411" t="inlineStr">
        <is>
          <t>C10159</t>
        </is>
      </c>
      <c r="D4411" t="inlineStr">
        <is>
          <t>SKU-10118</t>
        </is>
      </c>
      <c r="E4411" t="inlineStr">
        <is>
          <t>AM11</t>
        </is>
      </c>
      <c r="F4411" s="5" t="n">
        <v>2833.92</v>
      </c>
      <c r="G4411">
        <f>IF(LEFT(B4411,1)="C","Credit","Factuur")</f>
        <v/>
      </c>
      <c r="H4411">
        <f>IF(AND(B4411=B4410,D4411=D4410,A4411=A4410,F4411=F4410),1,0)</f>
        <v/>
      </c>
      <c r="I4411">
        <f>IF(C4411="C99999",1,0)</f>
        <v/>
      </c>
      <c r="J4411" s="5">
        <f>IF(OR(H4411=1,I4411=1),0,IF(G4411="Credit",-F4411,F4411))</f>
        <v/>
      </c>
    </row>
    <row r="4412">
      <c r="A4412" t="inlineStr">
        <is>
          <t>2026-08-14</t>
        </is>
      </c>
      <c r="B4412" t="inlineStr">
        <is>
          <t>F262956</t>
        </is>
      </c>
      <c r="C4412" t="inlineStr">
        <is>
          <t>C10159</t>
        </is>
      </c>
      <c r="D4412" t="inlineStr">
        <is>
          <t>SKU-10118</t>
        </is>
      </c>
      <c r="E4412" t="inlineStr">
        <is>
          <t>AM11</t>
        </is>
      </c>
      <c r="F4412" s="5" t="n">
        <v>2833.92</v>
      </c>
      <c r="G4412">
        <f>IF(LEFT(B4412,1)="C","Credit","Factuur")</f>
        <v/>
      </c>
      <c r="H4412">
        <f>IF(AND(B4412=B4411,D4412=D4411,A4412=A4411,F4412=F4411),1,0)</f>
        <v/>
      </c>
      <c r="I4412">
        <f>IF(C4412="C99999",1,0)</f>
        <v/>
      </c>
      <c r="J4412" s="5">
        <f>IF(OR(H4412=1,I4412=1),0,IF(G4412="Credit",-F4412,F4412))</f>
        <v/>
      </c>
    </row>
    <row r="4413">
      <c r="A4413" t="inlineStr">
        <is>
          <t>2026-08-14</t>
        </is>
      </c>
      <c r="B4413" t="inlineStr">
        <is>
          <t>F263910</t>
        </is>
      </c>
      <c r="C4413" t="inlineStr">
        <is>
          <t>C10207</t>
        </is>
      </c>
      <c r="D4413" t="inlineStr">
        <is>
          <t>SKU-10317</t>
        </is>
      </c>
      <c r="E4413" t="inlineStr">
        <is>
          <t>AM02</t>
        </is>
      </c>
      <c r="F4413" s="5" t="n">
        <v>1662.6</v>
      </c>
      <c r="G4413">
        <f>IF(LEFT(B4413,1)="C","Credit","Factuur")</f>
        <v/>
      </c>
      <c r="H4413">
        <f>IF(AND(B4413=B4412,D4413=D4412,A4413=A4412,F4413=F4412),1,0)</f>
        <v/>
      </c>
      <c r="I4413">
        <f>IF(C4413="C99999",1,0)</f>
        <v/>
      </c>
      <c r="J4413" s="5">
        <f>IF(OR(H4413=1,I4413=1),0,IF(G4413="Credit",-F4413,F4413))</f>
        <v/>
      </c>
    </row>
    <row r="4414">
      <c r="A4414" t="inlineStr">
        <is>
          <t>2026-08-14</t>
        </is>
      </c>
      <c r="B4414" t="inlineStr">
        <is>
          <t>F263910</t>
        </is>
      </c>
      <c r="C4414" t="inlineStr">
        <is>
          <t>C10207</t>
        </is>
      </c>
      <c r="D4414" t="inlineStr">
        <is>
          <t>SKU-10317</t>
        </is>
      </c>
      <c r="E4414" t="inlineStr">
        <is>
          <t>AM02</t>
        </is>
      </c>
      <c r="F4414" s="5" t="n">
        <v>1662.6</v>
      </c>
      <c r="G4414">
        <f>IF(LEFT(B4414,1)="C","Credit","Factuur")</f>
        <v/>
      </c>
      <c r="H4414">
        <f>IF(AND(B4414=B4413,D4414=D4413,A4414=A4413,F4414=F4413),1,0)</f>
        <v/>
      </c>
      <c r="I4414">
        <f>IF(C4414="C99999",1,0)</f>
        <v/>
      </c>
      <c r="J4414" s="5">
        <f>IF(OR(H4414=1,I4414=1),0,IF(G4414="Credit",-F4414,F4414))</f>
        <v/>
      </c>
    </row>
    <row r="4415">
      <c r="A4415" t="inlineStr">
        <is>
          <t>2026-08-14</t>
        </is>
      </c>
      <c r="B4415" t="inlineStr">
        <is>
          <t>F264062</t>
        </is>
      </c>
      <c r="C4415" t="inlineStr">
        <is>
          <t>C10215</t>
        </is>
      </c>
      <c r="D4415" t="inlineStr">
        <is>
          <t>SKU-10102</t>
        </is>
      </c>
      <c r="E4415" t="inlineStr">
        <is>
          <t>AM07</t>
        </is>
      </c>
      <c r="F4415" s="5" t="n">
        <v>327.71</v>
      </c>
      <c r="G4415">
        <f>IF(LEFT(B4415,1)="C","Credit","Factuur")</f>
        <v/>
      </c>
      <c r="H4415">
        <f>IF(AND(B4415=B4414,D4415=D4414,A4415=A4414,F4415=F4414),1,0)</f>
        <v/>
      </c>
      <c r="I4415">
        <f>IF(C4415="C99999",1,0)</f>
        <v/>
      </c>
      <c r="J4415" s="5">
        <f>IF(OR(H4415=1,I4415=1),0,IF(G4415="Credit",-F4415,F4415))</f>
        <v/>
      </c>
    </row>
    <row r="4416">
      <c r="A4416" t="inlineStr">
        <is>
          <t>2026-08-14</t>
        </is>
      </c>
      <c r="B4416" t="inlineStr">
        <is>
          <t>F264062</t>
        </is>
      </c>
      <c r="C4416" t="inlineStr">
        <is>
          <t>C10215</t>
        </is>
      </c>
      <c r="D4416" t="inlineStr">
        <is>
          <t>SKU-10102</t>
        </is>
      </c>
      <c r="E4416" t="inlineStr">
        <is>
          <t>AM07</t>
        </is>
      </c>
      <c r="F4416" s="5" t="n">
        <v>327.71</v>
      </c>
      <c r="G4416">
        <f>IF(LEFT(B4416,1)="C","Credit","Factuur")</f>
        <v/>
      </c>
      <c r="H4416">
        <f>IF(AND(B4416=B4415,D4416=D4415,A4416=A4415,F4416=F4415),1,0)</f>
        <v/>
      </c>
      <c r="I4416">
        <f>IF(C4416="C99999",1,0)</f>
        <v/>
      </c>
      <c r="J4416" s="5">
        <f>IF(OR(H4416=1,I4416=1),0,IF(G4416="Credit",-F4416,F4416))</f>
        <v/>
      </c>
    </row>
    <row r="4417">
      <c r="A4417" t="inlineStr">
        <is>
          <t>2026-08-14</t>
        </is>
      </c>
      <c r="B4417" t="inlineStr">
        <is>
          <t>F264062</t>
        </is>
      </c>
      <c r="C4417" t="inlineStr">
        <is>
          <t>C10215</t>
        </is>
      </c>
      <c r="D4417" t="inlineStr">
        <is>
          <t>SKU-10171</t>
        </is>
      </c>
      <c r="E4417" t="inlineStr">
        <is>
          <t>AM07</t>
        </is>
      </c>
      <c r="F4417" s="5" t="n">
        <v>357.14</v>
      </c>
      <c r="G4417">
        <f>IF(LEFT(B4417,1)="C","Credit","Factuur")</f>
        <v/>
      </c>
      <c r="H4417">
        <f>IF(AND(B4417=B4416,D4417=D4416,A4417=A4416,F4417=F4416),1,0)</f>
        <v/>
      </c>
      <c r="I4417">
        <f>IF(C4417="C99999",1,0)</f>
        <v/>
      </c>
      <c r="J4417" s="5">
        <f>IF(OR(H4417=1,I4417=1),0,IF(G4417="Credit",-F4417,F4417))</f>
        <v/>
      </c>
    </row>
    <row r="4418">
      <c r="A4418" t="inlineStr">
        <is>
          <t>2026-08-14</t>
        </is>
      </c>
      <c r="B4418" t="inlineStr">
        <is>
          <t>F264062</t>
        </is>
      </c>
      <c r="C4418" t="inlineStr">
        <is>
          <t>C10215</t>
        </is>
      </c>
      <c r="D4418" t="inlineStr">
        <is>
          <t>SKU-10171</t>
        </is>
      </c>
      <c r="E4418" t="inlineStr">
        <is>
          <t>AM07</t>
        </is>
      </c>
      <c r="F4418" s="5" t="n">
        <v>357.14</v>
      </c>
      <c r="G4418">
        <f>IF(LEFT(B4418,1)="C","Credit","Factuur")</f>
        <v/>
      </c>
      <c r="H4418">
        <f>IF(AND(B4418=B4417,D4418=D4417,A4418=A4417,F4418=F4417),1,0)</f>
        <v/>
      </c>
      <c r="I4418">
        <f>IF(C4418="C99999",1,0)</f>
        <v/>
      </c>
      <c r="J4418" s="5">
        <f>IF(OR(H4418=1,I4418=1),0,IF(G4418="Credit",-F4418,F4418))</f>
        <v/>
      </c>
    </row>
    <row r="4419">
      <c r="A4419" t="inlineStr">
        <is>
          <t>2026-08-14</t>
        </is>
      </c>
      <c r="B4419" t="inlineStr">
        <is>
          <t>F264062</t>
        </is>
      </c>
      <c r="C4419" t="inlineStr">
        <is>
          <t>C10215</t>
        </is>
      </c>
      <c r="D4419" t="inlineStr">
        <is>
          <t>SKU-10215</t>
        </is>
      </c>
      <c r="E4419" t="inlineStr">
        <is>
          <t>AM07</t>
        </is>
      </c>
      <c r="F4419" s="5" t="n">
        <v>361.76</v>
      </c>
      <c r="G4419">
        <f>IF(LEFT(B4419,1)="C","Credit","Factuur")</f>
        <v/>
      </c>
      <c r="H4419">
        <f>IF(AND(B4419=B4418,D4419=D4418,A4419=A4418,F4419=F4418),1,0)</f>
        <v/>
      </c>
      <c r="I4419">
        <f>IF(C4419="C99999",1,0)</f>
        <v/>
      </c>
      <c r="J4419" s="5">
        <f>IF(OR(H4419=1,I4419=1),0,IF(G4419="Credit",-F4419,F4419))</f>
        <v/>
      </c>
    </row>
    <row r="4420">
      <c r="A4420" t="inlineStr">
        <is>
          <t>2026-08-14</t>
        </is>
      </c>
      <c r="B4420" t="inlineStr">
        <is>
          <t>F264062</t>
        </is>
      </c>
      <c r="C4420" t="inlineStr">
        <is>
          <t>C10215</t>
        </is>
      </c>
      <c r="D4420" t="inlineStr">
        <is>
          <t>SKU-10215</t>
        </is>
      </c>
      <c r="E4420" t="inlineStr">
        <is>
          <t>AM07</t>
        </is>
      </c>
      <c r="F4420" s="5" t="n">
        <v>361.76</v>
      </c>
      <c r="G4420">
        <f>IF(LEFT(B4420,1)="C","Credit","Factuur")</f>
        <v/>
      </c>
      <c r="H4420">
        <f>IF(AND(B4420=B4419,D4420=D4419,A4420=A4419,F4420=F4419),1,0)</f>
        <v/>
      </c>
      <c r="I4420">
        <f>IF(C4420="C99999",1,0)</f>
        <v/>
      </c>
      <c r="J4420" s="5">
        <f>IF(OR(H4420=1,I4420=1),0,IF(G4420="Credit",-F4420,F4420))</f>
        <v/>
      </c>
    </row>
    <row r="4421">
      <c r="A4421" t="inlineStr">
        <is>
          <t>2026-08-14</t>
        </is>
      </c>
      <c r="B4421" t="inlineStr">
        <is>
          <t>F264678</t>
        </is>
      </c>
      <c r="C4421" t="inlineStr">
        <is>
          <t>C10243</t>
        </is>
      </c>
      <c r="D4421" t="inlineStr">
        <is>
          <t>SKU-10063</t>
        </is>
      </c>
      <c r="E4421" t="inlineStr">
        <is>
          <t>AM02</t>
        </is>
      </c>
      <c r="F4421" s="5" t="n">
        <v>71.95999999999999</v>
      </c>
      <c r="G4421">
        <f>IF(LEFT(B4421,1)="C","Credit","Factuur")</f>
        <v/>
      </c>
      <c r="H4421">
        <f>IF(AND(B4421=B4420,D4421=D4420,A4421=A4420,F4421=F4420),1,0)</f>
        <v/>
      </c>
      <c r="I4421">
        <f>IF(C4421="C99999",1,0)</f>
        <v/>
      </c>
      <c r="J4421" s="5">
        <f>IF(OR(H4421=1,I4421=1),0,IF(G4421="Credit",-F4421,F4421))</f>
        <v/>
      </c>
    </row>
    <row r="4422">
      <c r="A4422" t="inlineStr">
        <is>
          <t>2026-08-14</t>
        </is>
      </c>
      <c r="B4422" t="inlineStr">
        <is>
          <t>F264678</t>
        </is>
      </c>
      <c r="C4422" t="inlineStr">
        <is>
          <t>C10243</t>
        </is>
      </c>
      <c r="D4422" t="inlineStr">
        <is>
          <t>SKU-10063</t>
        </is>
      </c>
      <c r="E4422" t="inlineStr">
        <is>
          <t>AM02</t>
        </is>
      </c>
      <c r="F4422" s="5" t="n">
        <v>71.95999999999999</v>
      </c>
      <c r="G4422">
        <f>IF(LEFT(B4422,1)="C","Credit","Factuur")</f>
        <v/>
      </c>
      <c r="H4422">
        <f>IF(AND(B4422=B4421,D4422=D4421,A4422=A4421,F4422=F4421),1,0)</f>
        <v/>
      </c>
      <c r="I4422">
        <f>IF(C4422="C99999",1,0)</f>
        <v/>
      </c>
      <c r="J4422" s="5">
        <f>IF(OR(H4422=1,I4422=1),0,IF(G4422="Credit",-F4422,F4422))</f>
        <v/>
      </c>
    </row>
    <row r="4423">
      <c r="A4423" t="inlineStr">
        <is>
          <t>2026-08-14</t>
        </is>
      </c>
      <c r="B4423" t="inlineStr">
        <is>
          <t>F264678</t>
        </is>
      </c>
      <c r="C4423" t="inlineStr">
        <is>
          <t>C10243</t>
        </is>
      </c>
      <c r="D4423" t="inlineStr">
        <is>
          <t>SKU-10065</t>
        </is>
      </c>
      <c r="E4423" t="inlineStr">
        <is>
          <t>AM02</t>
        </is>
      </c>
      <c r="F4423" s="5" t="n">
        <v>90.95999999999999</v>
      </c>
      <c r="G4423">
        <f>IF(LEFT(B4423,1)="C","Credit","Factuur")</f>
        <v/>
      </c>
      <c r="H4423">
        <f>IF(AND(B4423=B4422,D4423=D4422,A4423=A4422,F4423=F4422),1,0)</f>
        <v/>
      </c>
      <c r="I4423">
        <f>IF(C4423="C99999",1,0)</f>
        <v/>
      </c>
      <c r="J4423" s="5">
        <f>IF(OR(H4423=1,I4423=1),0,IF(G4423="Credit",-F4423,F4423))</f>
        <v/>
      </c>
    </row>
    <row r="4424">
      <c r="A4424" t="inlineStr">
        <is>
          <t>2026-08-14</t>
        </is>
      </c>
      <c r="B4424" t="inlineStr">
        <is>
          <t>F264678</t>
        </is>
      </c>
      <c r="C4424" t="inlineStr">
        <is>
          <t>C10243</t>
        </is>
      </c>
      <c r="D4424" t="inlineStr">
        <is>
          <t>SKU-10065</t>
        </is>
      </c>
      <c r="E4424" t="inlineStr">
        <is>
          <t>AM02</t>
        </is>
      </c>
      <c r="F4424" s="5" t="n">
        <v>90.95999999999999</v>
      </c>
      <c r="G4424">
        <f>IF(LEFT(B4424,1)="C","Credit","Factuur")</f>
        <v/>
      </c>
      <c r="H4424">
        <f>IF(AND(B4424=B4423,D4424=D4423,A4424=A4423,F4424=F4423),1,0)</f>
        <v/>
      </c>
      <c r="I4424">
        <f>IF(C4424="C99999",1,0)</f>
        <v/>
      </c>
      <c r="J4424" s="5">
        <f>IF(OR(H4424=1,I4424=1),0,IF(G4424="Credit",-F4424,F4424))</f>
        <v/>
      </c>
    </row>
    <row r="4425">
      <c r="A4425" t="inlineStr">
        <is>
          <t>2026-08-14</t>
        </is>
      </c>
      <c r="B4425" t="inlineStr">
        <is>
          <t>F264678</t>
        </is>
      </c>
      <c r="C4425" t="inlineStr">
        <is>
          <t>C10243</t>
        </is>
      </c>
      <c r="D4425" t="inlineStr">
        <is>
          <t>SKU-10137</t>
        </is>
      </c>
      <c r="E4425" t="inlineStr">
        <is>
          <t>AM02</t>
        </is>
      </c>
      <c r="F4425" s="5" t="n">
        <v>96.84999999999999</v>
      </c>
      <c r="G4425">
        <f>IF(LEFT(B4425,1)="C","Credit","Factuur")</f>
        <v/>
      </c>
      <c r="H4425">
        <f>IF(AND(B4425=B4424,D4425=D4424,A4425=A4424,F4425=F4424),1,0)</f>
        <v/>
      </c>
      <c r="I4425">
        <f>IF(C4425="C99999",1,0)</f>
        <v/>
      </c>
      <c r="J4425" s="5">
        <f>IF(OR(H4425=1,I4425=1),0,IF(G4425="Credit",-F4425,F4425))</f>
        <v/>
      </c>
    </row>
    <row r="4426">
      <c r="A4426" t="inlineStr">
        <is>
          <t>2026-08-14</t>
        </is>
      </c>
      <c r="B4426" t="inlineStr">
        <is>
          <t>F264678</t>
        </is>
      </c>
      <c r="C4426" t="inlineStr">
        <is>
          <t>C10243</t>
        </is>
      </c>
      <c r="D4426" t="inlineStr">
        <is>
          <t>SKU-10137</t>
        </is>
      </c>
      <c r="E4426" t="inlineStr">
        <is>
          <t>AM02</t>
        </is>
      </c>
      <c r="F4426" s="5" t="n">
        <v>96.84999999999999</v>
      </c>
      <c r="G4426">
        <f>IF(LEFT(B4426,1)="C","Credit","Factuur")</f>
        <v/>
      </c>
      <c r="H4426">
        <f>IF(AND(B4426=B4425,D4426=D4425,A4426=A4425,F4426=F4425),1,0)</f>
        <v/>
      </c>
      <c r="I4426">
        <f>IF(C4426="C99999",1,0)</f>
        <v/>
      </c>
      <c r="J4426" s="5">
        <f>IF(OR(H4426=1,I4426=1),0,IF(G4426="Credit",-F4426,F4426))</f>
        <v/>
      </c>
    </row>
    <row r="4427">
      <c r="A4427" t="inlineStr">
        <is>
          <t>2026-08-14</t>
        </is>
      </c>
      <c r="B4427" t="inlineStr">
        <is>
          <t>F264678</t>
        </is>
      </c>
      <c r="C4427" t="inlineStr">
        <is>
          <t>C10243</t>
        </is>
      </c>
      <c r="D4427" t="inlineStr">
        <is>
          <t>SKU-10227</t>
        </is>
      </c>
      <c r="E4427" t="inlineStr">
        <is>
          <t>AM02</t>
        </is>
      </c>
      <c r="F4427" s="5" t="n">
        <v>79.92</v>
      </c>
      <c r="G4427">
        <f>IF(LEFT(B4427,1)="C","Credit","Factuur")</f>
        <v/>
      </c>
      <c r="H4427">
        <f>IF(AND(B4427=B4426,D4427=D4426,A4427=A4426,F4427=F4426),1,0)</f>
        <v/>
      </c>
      <c r="I4427">
        <f>IF(C4427="C99999",1,0)</f>
        <v/>
      </c>
      <c r="J4427" s="5">
        <f>IF(OR(H4427=1,I4427=1),0,IF(G4427="Credit",-F4427,F4427))</f>
        <v/>
      </c>
    </row>
    <row r="4428">
      <c r="A4428" t="inlineStr">
        <is>
          <t>2026-08-14</t>
        </is>
      </c>
      <c r="B4428" t="inlineStr">
        <is>
          <t>F264678</t>
        </is>
      </c>
      <c r="C4428" t="inlineStr">
        <is>
          <t>C10243</t>
        </is>
      </c>
      <c r="D4428" t="inlineStr">
        <is>
          <t>SKU-10227</t>
        </is>
      </c>
      <c r="E4428" t="inlineStr">
        <is>
          <t>AM02</t>
        </is>
      </c>
      <c r="F4428" s="5" t="n">
        <v>79.92</v>
      </c>
      <c r="G4428">
        <f>IF(LEFT(B4428,1)="C","Credit","Factuur")</f>
        <v/>
      </c>
      <c r="H4428">
        <f>IF(AND(B4428=B4427,D4428=D4427,A4428=A4427,F4428=F4427),1,0)</f>
        <v/>
      </c>
      <c r="I4428">
        <f>IF(C4428="C99999",1,0)</f>
        <v/>
      </c>
      <c r="J4428" s="5">
        <f>IF(OR(H4428=1,I4428=1),0,IF(G4428="Credit",-F4428,F4428))</f>
        <v/>
      </c>
    </row>
    <row r="4429">
      <c r="A4429" t="inlineStr">
        <is>
          <t>2026-08-14</t>
        </is>
      </c>
      <c r="B4429" t="inlineStr">
        <is>
          <t>F264756</t>
        </is>
      </c>
      <c r="C4429" t="inlineStr">
        <is>
          <t>C10248</t>
        </is>
      </c>
      <c r="D4429" t="inlineStr">
        <is>
          <t>SKU-10008</t>
        </is>
      </c>
      <c r="E4429" t="inlineStr">
        <is>
          <t>AM08</t>
        </is>
      </c>
      <c r="F4429" s="5" t="n">
        <v>524.16</v>
      </c>
      <c r="G4429">
        <f>IF(LEFT(B4429,1)="C","Credit","Factuur")</f>
        <v/>
      </c>
      <c r="H4429">
        <f>IF(AND(B4429=B4428,D4429=D4428,A4429=A4428,F4429=F4428),1,0)</f>
        <v/>
      </c>
      <c r="I4429">
        <f>IF(C4429="C99999",1,0)</f>
        <v/>
      </c>
      <c r="J4429" s="5">
        <f>IF(OR(H4429=1,I4429=1),0,IF(G4429="Credit",-F4429,F4429))</f>
        <v/>
      </c>
    </row>
    <row r="4430">
      <c r="A4430" t="inlineStr">
        <is>
          <t>2026-08-14</t>
        </is>
      </c>
      <c r="B4430" t="inlineStr">
        <is>
          <t>F264756</t>
        </is>
      </c>
      <c r="C4430" t="inlineStr">
        <is>
          <t>C10248</t>
        </is>
      </c>
      <c r="D4430" t="inlineStr">
        <is>
          <t>SKU-10008</t>
        </is>
      </c>
      <c r="E4430" t="inlineStr">
        <is>
          <t>AM08</t>
        </is>
      </c>
      <c r="F4430" s="5" t="n">
        <v>524.16</v>
      </c>
      <c r="G4430">
        <f>IF(LEFT(B4430,1)="C","Credit","Factuur")</f>
        <v/>
      </c>
      <c r="H4430">
        <f>IF(AND(B4430=B4429,D4430=D4429,A4430=A4429,F4430=F4429),1,0)</f>
        <v/>
      </c>
      <c r="I4430">
        <f>IF(C4430="C99999",1,0)</f>
        <v/>
      </c>
      <c r="J4430" s="5">
        <f>IF(OR(H4430=1,I4430=1),0,IF(G4430="Credit",-F4430,F4430))</f>
        <v/>
      </c>
    </row>
    <row r="4431">
      <c r="A4431" t="inlineStr">
        <is>
          <t>2026-08-14</t>
        </is>
      </c>
      <c r="B4431" t="inlineStr">
        <is>
          <t>F264756</t>
        </is>
      </c>
      <c r="C4431" t="inlineStr">
        <is>
          <t>C10248</t>
        </is>
      </c>
      <c r="D4431" t="inlineStr">
        <is>
          <t>SKU-10026</t>
        </is>
      </c>
      <c r="E4431" t="inlineStr">
        <is>
          <t>AM08</t>
        </is>
      </c>
      <c r="F4431" s="5" t="n">
        <v>508.57</v>
      </c>
      <c r="G4431">
        <f>IF(LEFT(B4431,1)="C","Credit","Factuur")</f>
        <v/>
      </c>
      <c r="H4431">
        <f>IF(AND(B4431=B4430,D4431=D4430,A4431=A4430,F4431=F4430),1,0)</f>
        <v/>
      </c>
      <c r="I4431">
        <f>IF(C4431="C99999",1,0)</f>
        <v/>
      </c>
      <c r="J4431" s="5">
        <f>IF(OR(H4431=1,I4431=1),0,IF(G4431="Credit",-F4431,F4431))</f>
        <v/>
      </c>
    </row>
    <row r="4432">
      <c r="A4432" t="inlineStr">
        <is>
          <t>2026-08-14</t>
        </is>
      </c>
      <c r="B4432" t="inlineStr">
        <is>
          <t>F264756</t>
        </is>
      </c>
      <c r="C4432" t="inlineStr">
        <is>
          <t>C10248</t>
        </is>
      </c>
      <c r="D4432" t="inlineStr">
        <is>
          <t>SKU-10026</t>
        </is>
      </c>
      <c r="E4432" t="inlineStr">
        <is>
          <t>AM08</t>
        </is>
      </c>
      <c r="F4432" s="5" t="n">
        <v>508.57</v>
      </c>
      <c r="G4432">
        <f>IF(LEFT(B4432,1)="C","Credit","Factuur")</f>
        <v/>
      </c>
      <c r="H4432">
        <f>IF(AND(B4432=B4431,D4432=D4431,A4432=A4431,F4432=F4431),1,0)</f>
        <v/>
      </c>
      <c r="I4432">
        <f>IF(C4432="C99999",1,0)</f>
        <v/>
      </c>
      <c r="J4432" s="5">
        <f>IF(OR(H4432=1,I4432=1),0,IF(G4432="Credit",-F4432,F4432))</f>
        <v/>
      </c>
    </row>
    <row r="4433">
      <c r="A4433" t="inlineStr">
        <is>
          <t>2026-08-14</t>
        </is>
      </c>
      <c r="B4433" t="inlineStr">
        <is>
          <t>F264756</t>
        </is>
      </c>
      <c r="C4433" t="inlineStr">
        <is>
          <t>C10248</t>
        </is>
      </c>
      <c r="D4433" t="inlineStr">
        <is>
          <t>SKU-10222</t>
        </is>
      </c>
      <c r="E4433" t="inlineStr">
        <is>
          <t>AM08</t>
        </is>
      </c>
      <c r="F4433" s="5" t="n">
        <v>539.5599999999999</v>
      </c>
      <c r="G4433">
        <f>IF(LEFT(B4433,1)="C","Credit","Factuur")</f>
        <v/>
      </c>
      <c r="H4433">
        <f>IF(AND(B4433=B4432,D4433=D4432,A4433=A4432,F4433=F4432),1,0)</f>
        <v/>
      </c>
      <c r="I4433">
        <f>IF(C4433="C99999",1,0)</f>
        <v/>
      </c>
      <c r="J4433" s="5">
        <f>IF(OR(H4433=1,I4433=1),0,IF(G4433="Credit",-F4433,F4433))</f>
        <v/>
      </c>
    </row>
    <row r="4434">
      <c r="A4434" t="inlineStr">
        <is>
          <t>2026-08-14</t>
        </is>
      </c>
      <c r="B4434" t="inlineStr">
        <is>
          <t>F264756</t>
        </is>
      </c>
      <c r="C4434" t="inlineStr">
        <is>
          <t>C10248</t>
        </is>
      </c>
      <c r="D4434" t="inlineStr">
        <is>
          <t>SKU-10222</t>
        </is>
      </c>
      <c r="E4434" t="inlineStr">
        <is>
          <t>AM08</t>
        </is>
      </c>
      <c r="F4434" s="5" t="n">
        <v>539.5599999999999</v>
      </c>
      <c r="G4434">
        <f>IF(LEFT(B4434,1)="C","Credit","Factuur")</f>
        <v/>
      </c>
      <c r="H4434">
        <f>IF(AND(B4434=B4433,D4434=D4433,A4434=A4433,F4434=F4433),1,0)</f>
        <v/>
      </c>
      <c r="I4434">
        <f>IF(C4434="C99999",1,0)</f>
        <v/>
      </c>
      <c r="J4434" s="5">
        <f>IF(OR(H4434=1,I4434=1),0,IF(G4434="Credit",-F4434,F4434))</f>
        <v/>
      </c>
    </row>
    <row r="4435">
      <c r="A4435" t="inlineStr">
        <is>
          <t>2026-08-14</t>
        </is>
      </c>
      <c r="B4435" t="inlineStr">
        <is>
          <t>F264756</t>
        </is>
      </c>
      <c r="C4435" t="inlineStr">
        <is>
          <t>C10248</t>
        </is>
      </c>
      <c r="D4435" t="inlineStr">
        <is>
          <t>SKU-10287</t>
        </is>
      </c>
      <c r="E4435" t="inlineStr">
        <is>
          <t>AM08</t>
        </is>
      </c>
      <c r="F4435" s="5" t="n">
        <v>541.98</v>
      </c>
      <c r="G4435">
        <f>IF(LEFT(B4435,1)="C","Credit","Factuur")</f>
        <v/>
      </c>
      <c r="H4435">
        <f>IF(AND(B4435=B4434,D4435=D4434,A4435=A4434,F4435=F4434),1,0)</f>
        <v/>
      </c>
      <c r="I4435">
        <f>IF(C4435="C99999",1,0)</f>
        <v/>
      </c>
      <c r="J4435" s="5">
        <f>IF(OR(H4435=1,I4435=1),0,IF(G4435="Credit",-F4435,F4435))</f>
        <v/>
      </c>
    </row>
    <row r="4436">
      <c r="A4436" t="inlineStr">
        <is>
          <t>2026-08-14</t>
        </is>
      </c>
      <c r="B4436" t="inlineStr">
        <is>
          <t>F264756</t>
        </is>
      </c>
      <c r="C4436" t="inlineStr">
        <is>
          <t>C10248</t>
        </is>
      </c>
      <c r="D4436" t="inlineStr">
        <is>
          <t>SKU-10287</t>
        </is>
      </c>
      <c r="E4436" t="inlineStr">
        <is>
          <t>AM08</t>
        </is>
      </c>
      <c r="F4436" s="5" t="n">
        <v>541.98</v>
      </c>
      <c r="G4436">
        <f>IF(LEFT(B4436,1)="C","Credit","Factuur")</f>
        <v/>
      </c>
      <c r="H4436">
        <f>IF(AND(B4436=B4435,D4436=D4435,A4436=A4435,F4436=F4435),1,0)</f>
        <v/>
      </c>
      <c r="I4436">
        <f>IF(C4436="C99999",1,0)</f>
        <v/>
      </c>
      <c r="J4436" s="5">
        <f>IF(OR(H4436=1,I4436=1),0,IF(G4436="Credit",-F4436,F4436))</f>
        <v/>
      </c>
    </row>
    <row r="4437">
      <c r="A4437" t="inlineStr">
        <is>
          <t>2026-08-14</t>
        </is>
      </c>
      <c r="B4437" t="inlineStr">
        <is>
          <t>F265238</t>
        </is>
      </c>
      <c r="C4437" t="inlineStr">
        <is>
          <t>C10277</t>
        </is>
      </c>
      <c r="D4437" t="inlineStr">
        <is>
          <t>SKU-10147</t>
        </is>
      </c>
      <c r="E4437" t="inlineStr">
        <is>
          <t>AM05</t>
        </is>
      </c>
      <c r="F4437" s="5" t="n">
        <v>285.81</v>
      </c>
      <c r="G4437">
        <f>IF(LEFT(B4437,1)="C","Credit","Factuur")</f>
        <v/>
      </c>
      <c r="H4437">
        <f>IF(AND(B4437=B4436,D4437=D4436,A4437=A4436,F4437=F4436),1,0)</f>
        <v/>
      </c>
      <c r="I4437">
        <f>IF(C4437="C99999",1,0)</f>
        <v/>
      </c>
      <c r="J4437" s="5">
        <f>IF(OR(H4437=1,I4437=1),0,IF(G4437="Credit",-F4437,F4437))</f>
        <v/>
      </c>
    </row>
    <row r="4438">
      <c r="A4438" t="inlineStr">
        <is>
          <t>2026-08-14</t>
        </is>
      </c>
      <c r="B4438" t="inlineStr">
        <is>
          <t>F265238</t>
        </is>
      </c>
      <c r="C4438" t="inlineStr">
        <is>
          <t>C10277</t>
        </is>
      </c>
      <c r="D4438" t="inlineStr">
        <is>
          <t>SKU-10147</t>
        </is>
      </c>
      <c r="E4438" t="inlineStr">
        <is>
          <t>AM05</t>
        </is>
      </c>
      <c r="F4438" s="5" t="n">
        <v>285.81</v>
      </c>
      <c r="G4438">
        <f>IF(LEFT(B4438,1)="C","Credit","Factuur")</f>
        <v/>
      </c>
      <c r="H4438">
        <f>IF(AND(B4438=B4437,D4438=D4437,A4438=A4437,F4438=F4437),1,0)</f>
        <v/>
      </c>
      <c r="I4438">
        <f>IF(C4438="C99999",1,0)</f>
        <v/>
      </c>
      <c r="J4438" s="5">
        <f>IF(OR(H4438=1,I4438=1),0,IF(G4438="Credit",-F4438,F4438))</f>
        <v/>
      </c>
    </row>
    <row r="4439">
      <c r="A4439" t="inlineStr">
        <is>
          <t>2026-08-14</t>
        </is>
      </c>
      <c r="B4439" t="inlineStr">
        <is>
          <t>F265238</t>
        </is>
      </c>
      <c r="C4439" t="inlineStr">
        <is>
          <t>C10277</t>
        </is>
      </c>
      <c r="D4439" t="inlineStr">
        <is>
          <t>SKU-10310</t>
        </is>
      </c>
      <c r="E4439" t="inlineStr">
        <is>
          <t>AM05</t>
        </is>
      </c>
      <c r="F4439" s="5" t="n">
        <v>268.68</v>
      </c>
      <c r="G4439">
        <f>IF(LEFT(B4439,1)="C","Credit","Factuur")</f>
        <v/>
      </c>
      <c r="H4439">
        <f>IF(AND(B4439=B4438,D4439=D4438,A4439=A4438,F4439=F4438),1,0)</f>
        <v/>
      </c>
      <c r="I4439">
        <f>IF(C4439="C99999",1,0)</f>
        <v/>
      </c>
      <c r="J4439" s="5">
        <f>IF(OR(H4439=1,I4439=1),0,IF(G4439="Credit",-F4439,F4439))</f>
        <v/>
      </c>
    </row>
    <row r="4440">
      <c r="A4440" t="inlineStr">
        <is>
          <t>2026-08-14</t>
        </is>
      </c>
      <c r="B4440" t="inlineStr">
        <is>
          <t>F265238</t>
        </is>
      </c>
      <c r="C4440" t="inlineStr">
        <is>
          <t>C10277</t>
        </is>
      </c>
      <c r="D4440" t="inlineStr">
        <is>
          <t>SKU-10310</t>
        </is>
      </c>
      <c r="E4440" t="inlineStr">
        <is>
          <t>AM05</t>
        </is>
      </c>
      <c r="F4440" s="5" t="n">
        <v>268.68</v>
      </c>
      <c r="G4440">
        <f>IF(LEFT(B4440,1)="C","Credit","Factuur")</f>
        <v/>
      </c>
      <c r="H4440">
        <f>IF(AND(B4440=B4439,D4440=D4439,A4440=A4439,F4440=F4439),1,0)</f>
        <v/>
      </c>
      <c r="I4440">
        <f>IF(C4440="C99999",1,0)</f>
        <v/>
      </c>
      <c r="J4440" s="5">
        <f>IF(OR(H4440=1,I4440=1),0,IF(G4440="Credit",-F4440,F4440))</f>
        <v/>
      </c>
    </row>
    <row r="4441">
      <c r="A4441" t="inlineStr">
        <is>
          <t>2026-08-14</t>
        </is>
      </c>
      <c r="B4441" t="inlineStr">
        <is>
          <t>F265238</t>
        </is>
      </c>
      <c r="C4441" t="inlineStr">
        <is>
          <t>C10277</t>
        </is>
      </c>
      <c r="D4441" t="inlineStr">
        <is>
          <t>SKU-10365</t>
        </is>
      </c>
      <c r="E4441" t="inlineStr">
        <is>
          <t>AM05</t>
        </is>
      </c>
      <c r="F4441" s="5" t="n">
        <v>302.12</v>
      </c>
      <c r="G4441">
        <f>IF(LEFT(B4441,1)="C","Credit","Factuur")</f>
        <v/>
      </c>
      <c r="H4441">
        <f>IF(AND(B4441=B4440,D4441=D4440,A4441=A4440,F4441=F4440),1,0)</f>
        <v/>
      </c>
      <c r="I4441">
        <f>IF(C4441="C99999",1,0)</f>
        <v/>
      </c>
      <c r="J4441" s="5">
        <f>IF(OR(H4441=1,I4441=1),0,IF(G4441="Credit",-F4441,F4441))</f>
        <v/>
      </c>
    </row>
    <row r="4442">
      <c r="A4442" t="inlineStr">
        <is>
          <t>2026-08-14</t>
        </is>
      </c>
      <c r="B4442" t="inlineStr">
        <is>
          <t>F265238</t>
        </is>
      </c>
      <c r="C4442" t="inlineStr">
        <is>
          <t>C10277</t>
        </is>
      </c>
      <c r="D4442" t="inlineStr">
        <is>
          <t>SKU-10365</t>
        </is>
      </c>
      <c r="E4442" t="inlineStr">
        <is>
          <t>AM05</t>
        </is>
      </c>
      <c r="F4442" s="5" t="n">
        <v>302.12</v>
      </c>
      <c r="G4442">
        <f>IF(LEFT(B4442,1)="C","Credit","Factuur")</f>
        <v/>
      </c>
      <c r="H4442">
        <f>IF(AND(B4442=B4441,D4442=D4441,A4442=A4441,F4442=F4441),1,0)</f>
        <v/>
      </c>
      <c r="I4442">
        <f>IF(C4442="C99999",1,0)</f>
        <v/>
      </c>
      <c r="J4442" s="5">
        <f>IF(OR(H4442=1,I4442=1),0,IF(G4442="Credit",-F4442,F4442))</f>
        <v/>
      </c>
    </row>
    <row r="4443">
      <c r="A4443" t="inlineStr">
        <is>
          <t>2026-08-14</t>
        </is>
      </c>
      <c r="B4443" t="inlineStr">
        <is>
          <t>F265238</t>
        </is>
      </c>
      <c r="C4443" t="inlineStr">
        <is>
          <t>C10277</t>
        </is>
      </c>
      <c r="D4443" t="inlineStr">
        <is>
          <t>SKU-10374</t>
        </is>
      </c>
      <c r="E4443" t="inlineStr">
        <is>
          <t>AM05</t>
        </is>
      </c>
      <c r="F4443" s="5" t="n">
        <v>247.74</v>
      </c>
      <c r="G4443">
        <f>IF(LEFT(B4443,1)="C","Credit","Factuur")</f>
        <v/>
      </c>
      <c r="H4443">
        <f>IF(AND(B4443=B4442,D4443=D4442,A4443=A4442,F4443=F4442),1,0)</f>
        <v/>
      </c>
      <c r="I4443">
        <f>IF(C4443="C99999",1,0)</f>
        <v/>
      </c>
      <c r="J4443" s="5">
        <f>IF(OR(H4443=1,I4443=1),0,IF(G4443="Credit",-F4443,F4443))</f>
        <v/>
      </c>
    </row>
    <row r="4444">
      <c r="A4444" t="inlineStr">
        <is>
          <t>2026-08-14</t>
        </is>
      </c>
      <c r="B4444" t="inlineStr">
        <is>
          <t>F265238</t>
        </is>
      </c>
      <c r="C4444" t="inlineStr">
        <is>
          <t>C10277</t>
        </is>
      </c>
      <c r="D4444" t="inlineStr">
        <is>
          <t>SKU-10374</t>
        </is>
      </c>
      <c r="E4444" t="inlineStr">
        <is>
          <t>AM05</t>
        </is>
      </c>
      <c r="F4444" s="5" t="n">
        <v>247.74</v>
      </c>
      <c r="G4444">
        <f>IF(LEFT(B4444,1)="C","Credit","Factuur")</f>
        <v/>
      </c>
      <c r="H4444">
        <f>IF(AND(B4444=B4443,D4444=D4443,A4444=A4443,F4444=F4443),1,0)</f>
        <v/>
      </c>
      <c r="I4444">
        <f>IF(C4444="C99999",1,0)</f>
        <v/>
      </c>
      <c r="J4444" s="5">
        <f>IF(OR(H4444=1,I4444=1),0,IF(G4444="Credit",-F4444,F4444))</f>
        <v/>
      </c>
    </row>
    <row r="4445">
      <c r="A4445" t="inlineStr">
        <is>
          <t>2026-08-14</t>
        </is>
      </c>
      <c r="B4445" t="inlineStr">
        <is>
          <t>F265531</t>
        </is>
      </c>
      <c r="C4445" t="inlineStr">
        <is>
          <t>C10291</t>
        </is>
      </c>
      <c r="D4445" t="inlineStr">
        <is>
          <t>SKU-10151</t>
        </is>
      </c>
      <c r="E4445" t="inlineStr">
        <is>
          <t>AM02</t>
        </is>
      </c>
      <c r="F4445" s="5" t="n">
        <v>86.98</v>
      </c>
      <c r="G4445">
        <f>IF(LEFT(B4445,1)="C","Credit","Factuur")</f>
        <v/>
      </c>
      <c r="H4445">
        <f>IF(AND(B4445=B4444,D4445=D4444,A4445=A4444,F4445=F4444),1,0)</f>
        <v/>
      </c>
      <c r="I4445">
        <f>IF(C4445="C99999",1,0)</f>
        <v/>
      </c>
      <c r="J4445" s="5">
        <f>IF(OR(H4445=1,I4445=1),0,IF(G4445="Credit",-F4445,F4445))</f>
        <v/>
      </c>
    </row>
    <row r="4446">
      <c r="A4446" t="inlineStr">
        <is>
          <t>2026-08-14</t>
        </is>
      </c>
      <c r="B4446" t="inlineStr">
        <is>
          <t>F265531</t>
        </is>
      </c>
      <c r="C4446" t="inlineStr">
        <is>
          <t>C10291</t>
        </is>
      </c>
      <c r="D4446" t="inlineStr">
        <is>
          <t>SKU-10151</t>
        </is>
      </c>
      <c r="E4446" t="inlineStr">
        <is>
          <t>AM02</t>
        </is>
      </c>
      <c r="F4446" s="5" t="n">
        <v>86.98</v>
      </c>
      <c r="G4446">
        <f>IF(LEFT(B4446,1)="C","Credit","Factuur")</f>
        <v/>
      </c>
      <c r="H4446">
        <f>IF(AND(B4446=B4445,D4446=D4445,A4446=A4445,F4446=F4445),1,0)</f>
        <v/>
      </c>
      <c r="I4446">
        <f>IF(C4446="C99999",1,0)</f>
        <v/>
      </c>
      <c r="J4446" s="5">
        <f>IF(OR(H4446=1,I4446=1),0,IF(G4446="Credit",-F4446,F4446))</f>
        <v/>
      </c>
    </row>
    <row r="4447">
      <c r="A4447" t="inlineStr">
        <is>
          <t>2026-08-14</t>
        </is>
      </c>
      <c r="B4447" t="inlineStr">
        <is>
          <t>F265531</t>
        </is>
      </c>
      <c r="C4447" t="inlineStr">
        <is>
          <t>C10291</t>
        </is>
      </c>
      <c r="D4447" t="inlineStr">
        <is>
          <t>SKU-10174</t>
        </is>
      </c>
      <c r="E4447" t="inlineStr">
        <is>
          <t>AM02</t>
        </is>
      </c>
      <c r="F4447" s="5" t="n">
        <v>75.83</v>
      </c>
      <c r="G4447">
        <f>IF(LEFT(B4447,1)="C","Credit","Factuur")</f>
        <v/>
      </c>
      <c r="H4447">
        <f>IF(AND(B4447=B4446,D4447=D4446,A4447=A4446,F4447=F4446),1,0)</f>
        <v/>
      </c>
      <c r="I4447">
        <f>IF(C4447="C99999",1,0)</f>
        <v/>
      </c>
      <c r="J4447" s="5">
        <f>IF(OR(H4447=1,I4447=1),0,IF(G4447="Credit",-F4447,F4447))</f>
        <v/>
      </c>
    </row>
    <row r="4448">
      <c r="A4448" t="inlineStr">
        <is>
          <t>2026-08-14</t>
        </is>
      </c>
      <c r="B4448" t="inlineStr">
        <is>
          <t>F265531</t>
        </is>
      </c>
      <c r="C4448" t="inlineStr">
        <is>
          <t>C10291</t>
        </is>
      </c>
      <c r="D4448" t="inlineStr">
        <is>
          <t>SKU-10174</t>
        </is>
      </c>
      <c r="E4448" t="inlineStr">
        <is>
          <t>AM02</t>
        </is>
      </c>
      <c r="F4448" s="5" t="n">
        <v>75.83</v>
      </c>
      <c r="G4448">
        <f>IF(LEFT(B4448,1)="C","Credit","Factuur")</f>
        <v/>
      </c>
      <c r="H4448">
        <f>IF(AND(B4448=B4447,D4448=D4447,A4448=A4447,F4448=F4447),1,0)</f>
        <v/>
      </c>
      <c r="I4448">
        <f>IF(C4448="C99999",1,0)</f>
        <v/>
      </c>
      <c r="J4448" s="5">
        <f>IF(OR(H4448=1,I4448=1),0,IF(G4448="Credit",-F4448,F4448))</f>
        <v/>
      </c>
    </row>
    <row r="4449">
      <c r="A4449" t="inlineStr">
        <is>
          <t>2026-08-14</t>
        </is>
      </c>
      <c r="B4449" t="inlineStr">
        <is>
          <t>F265531</t>
        </is>
      </c>
      <c r="C4449" t="inlineStr">
        <is>
          <t>C10291</t>
        </is>
      </c>
      <c r="D4449" t="inlineStr">
        <is>
          <t>SKU-10183</t>
        </is>
      </c>
      <c r="E4449" t="inlineStr">
        <is>
          <t>AM02</t>
        </is>
      </c>
      <c r="F4449" s="5" t="n">
        <v>68.5</v>
      </c>
      <c r="G4449">
        <f>IF(LEFT(B4449,1)="C","Credit","Factuur")</f>
        <v/>
      </c>
      <c r="H4449">
        <f>IF(AND(B4449=B4448,D4449=D4448,A4449=A4448,F4449=F4448),1,0)</f>
        <v/>
      </c>
      <c r="I4449">
        <f>IF(C4449="C99999",1,0)</f>
        <v/>
      </c>
      <c r="J4449" s="5">
        <f>IF(OR(H4449=1,I4449=1),0,IF(G4449="Credit",-F4449,F4449))</f>
        <v/>
      </c>
    </row>
    <row r="4450">
      <c r="A4450" t="inlineStr">
        <is>
          <t>2026-08-14</t>
        </is>
      </c>
      <c r="B4450" t="inlineStr">
        <is>
          <t>F265531</t>
        </is>
      </c>
      <c r="C4450" t="inlineStr">
        <is>
          <t>C10291</t>
        </is>
      </c>
      <c r="D4450" t="inlineStr">
        <is>
          <t>SKU-10183</t>
        </is>
      </c>
      <c r="E4450" t="inlineStr">
        <is>
          <t>AM02</t>
        </is>
      </c>
      <c r="F4450" s="5" t="n">
        <v>68.5</v>
      </c>
      <c r="G4450">
        <f>IF(LEFT(B4450,1)="C","Credit","Factuur")</f>
        <v/>
      </c>
      <c r="H4450">
        <f>IF(AND(B4450=B4449,D4450=D4449,A4450=A4449,F4450=F4449),1,0)</f>
        <v/>
      </c>
      <c r="I4450">
        <f>IF(C4450="C99999",1,0)</f>
        <v/>
      </c>
      <c r="J4450" s="5">
        <f>IF(OR(H4450=1,I4450=1),0,IF(G4450="Credit",-F4450,F4450))</f>
        <v/>
      </c>
    </row>
    <row r="4451">
      <c r="A4451" t="inlineStr">
        <is>
          <t>2026-08-14</t>
        </is>
      </c>
      <c r="B4451" t="inlineStr">
        <is>
          <t>F265531</t>
        </is>
      </c>
      <c r="C4451" t="inlineStr">
        <is>
          <t>C10291</t>
        </is>
      </c>
      <c r="D4451" t="inlineStr">
        <is>
          <t>SKU-10187</t>
        </is>
      </c>
      <c r="E4451" t="inlineStr">
        <is>
          <t>AM02</t>
        </is>
      </c>
      <c r="F4451" s="5" t="n">
        <v>73.12</v>
      </c>
      <c r="G4451">
        <f>IF(LEFT(B4451,1)="C","Credit","Factuur")</f>
        <v/>
      </c>
      <c r="H4451">
        <f>IF(AND(B4451=B4450,D4451=D4450,A4451=A4450,F4451=F4450),1,0)</f>
        <v/>
      </c>
      <c r="I4451">
        <f>IF(C4451="C99999",1,0)</f>
        <v/>
      </c>
      <c r="J4451" s="5">
        <f>IF(OR(H4451=1,I4451=1),0,IF(G4451="Credit",-F4451,F4451))</f>
        <v/>
      </c>
    </row>
    <row r="4452">
      <c r="A4452" t="inlineStr">
        <is>
          <t>2026-08-14</t>
        </is>
      </c>
      <c r="B4452" t="inlineStr">
        <is>
          <t>F265531</t>
        </is>
      </c>
      <c r="C4452" t="inlineStr">
        <is>
          <t>C10291</t>
        </is>
      </c>
      <c r="D4452" t="inlineStr">
        <is>
          <t>SKU-10187</t>
        </is>
      </c>
      <c r="E4452" t="inlineStr">
        <is>
          <t>AM02</t>
        </is>
      </c>
      <c r="F4452" s="5" t="n">
        <v>73.12</v>
      </c>
      <c r="G4452">
        <f>IF(LEFT(B4452,1)="C","Credit","Factuur")</f>
        <v/>
      </c>
      <c r="H4452">
        <f>IF(AND(B4452=B4451,D4452=D4451,A4452=A4451,F4452=F4451),1,0)</f>
        <v/>
      </c>
      <c r="I4452">
        <f>IF(C4452="C99999",1,0)</f>
        <v/>
      </c>
      <c r="J4452" s="5">
        <f>IF(OR(H4452=1,I4452=1),0,IF(G4452="Credit",-F4452,F4452))</f>
        <v/>
      </c>
    </row>
    <row r="4453">
      <c r="A4453" t="inlineStr">
        <is>
          <t>2026-08-14</t>
        </is>
      </c>
      <c r="B4453" t="inlineStr">
        <is>
          <t>F265531</t>
        </is>
      </c>
      <c r="C4453" t="inlineStr">
        <is>
          <t>C10291</t>
        </is>
      </c>
      <c r="D4453" t="inlineStr">
        <is>
          <t>SKU-10260</t>
        </is>
      </c>
      <c r="E4453" t="inlineStr">
        <is>
          <t>AM02</t>
        </is>
      </c>
      <c r="F4453" s="5" t="n">
        <v>81.42</v>
      </c>
      <c r="G4453">
        <f>IF(LEFT(B4453,1)="C","Credit","Factuur")</f>
        <v/>
      </c>
      <c r="H4453">
        <f>IF(AND(B4453=B4452,D4453=D4452,A4453=A4452,F4453=F4452),1,0)</f>
        <v/>
      </c>
      <c r="I4453">
        <f>IF(C4453="C99999",1,0)</f>
        <v/>
      </c>
      <c r="J4453" s="5">
        <f>IF(OR(H4453=1,I4453=1),0,IF(G4453="Credit",-F4453,F4453))</f>
        <v/>
      </c>
    </row>
    <row r="4454">
      <c r="A4454" t="inlineStr">
        <is>
          <t>2026-08-14</t>
        </is>
      </c>
      <c r="B4454" t="inlineStr">
        <is>
          <t>F265531</t>
        </is>
      </c>
      <c r="C4454" t="inlineStr">
        <is>
          <t>C10291</t>
        </is>
      </c>
      <c r="D4454" t="inlineStr">
        <is>
          <t>SKU-10260</t>
        </is>
      </c>
      <c r="E4454" t="inlineStr">
        <is>
          <t>AM02</t>
        </is>
      </c>
      <c r="F4454" s="5" t="n">
        <v>81.42</v>
      </c>
      <c r="G4454">
        <f>IF(LEFT(B4454,1)="C","Credit","Factuur")</f>
        <v/>
      </c>
      <c r="H4454">
        <f>IF(AND(B4454=B4453,D4454=D4453,A4454=A4453,F4454=F4453),1,0)</f>
        <v/>
      </c>
      <c r="I4454">
        <f>IF(C4454="C99999",1,0)</f>
        <v/>
      </c>
      <c r="J4454" s="5">
        <f>IF(OR(H4454=1,I4454=1),0,IF(G4454="Credit",-F4454,F4454))</f>
        <v/>
      </c>
    </row>
    <row r="4455">
      <c r="A4455" t="inlineStr">
        <is>
          <t>2026-08-14</t>
        </is>
      </c>
      <c r="B4455" t="inlineStr">
        <is>
          <t>F265531</t>
        </is>
      </c>
      <c r="C4455" t="inlineStr">
        <is>
          <t>C10291</t>
        </is>
      </c>
      <c r="D4455" t="inlineStr">
        <is>
          <t>SKU-10275</t>
        </is>
      </c>
      <c r="E4455" t="inlineStr">
        <is>
          <t>AM02</t>
        </is>
      </c>
      <c r="F4455" s="5" t="n">
        <v>72.95999999999999</v>
      </c>
      <c r="G4455">
        <f>IF(LEFT(B4455,1)="C","Credit","Factuur")</f>
        <v/>
      </c>
      <c r="H4455">
        <f>IF(AND(B4455=B4454,D4455=D4454,A4455=A4454,F4455=F4454),1,0)</f>
        <v/>
      </c>
      <c r="I4455">
        <f>IF(C4455="C99999",1,0)</f>
        <v/>
      </c>
      <c r="J4455" s="5">
        <f>IF(OR(H4455=1,I4455=1),0,IF(G4455="Credit",-F4455,F4455))</f>
        <v/>
      </c>
    </row>
    <row r="4456">
      <c r="A4456" t="inlineStr">
        <is>
          <t>2026-08-14</t>
        </is>
      </c>
      <c r="B4456" t="inlineStr">
        <is>
          <t>F265531</t>
        </is>
      </c>
      <c r="C4456" t="inlineStr">
        <is>
          <t>C10291</t>
        </is>
      </c>
      <c r="D4456" t="inlineStr">
        <is>
          <t>SKU-10275</t>
        </is>
      </c>
      <c r="E4456" t="inlineStr">
        <is>
          <t>AM02</t>
        </is>
      </c>
      <c r="F4456" s="5" t="n">
        <v>72.95999999999999</v>
      </c>
      <c r="G4456">
        <f>IF(LEFT(B4456,1)="C","Credit","Factuur")</f>
        <v/>
      </c>
      <c r="H4456">
        <f>IF(AND(B4456=B4455,D4456=D4455,A4456=A4455,F4456=F4455),1,0)</f>
        <v/>
      </c>
      <c r="I4456">
        <f>IF(C4456="C99999",1,0)</f>
        <v/>
      </c>
      <c r="J4456" s="5">
        <f>IF(OR(H4456=1,I4456=1),0,IF(G4456="Credit",-F4456,F4456))</f>
        <v/>
      </c>
    </row>
    <row r="4457">
      <c r="A4457" t="inlineStr">
        <is>
          <t>2026-08-14</t>
        </is>
      </c>
      <c r="B4457" t="inlineStr">
        <is>
          <t>F265740</t>
        </is>
      </c>
      <c r="C4457" t="inlineStr">
        <is>
          <t>C10299</t>
        </is>
      </c>
      <c r="D4457" t="inlineStr">
        <is>
          <t>SKU-10334</t>
        </is>
      </c>
      <c r="E4457" t="inlineStr">
        <is>
          <t>AM07</t>
        </is>
      </c>
      <c r="F4457" s="5" t="n">
        <v>1086.2</v>
      </c>
      <c r="G4457">
        <f>IF(LEFT(B4457,1)="C","Credit","Factuur")</f>
        <v/>
      </c>
      <c r="H4457">
        <f>IF(AND(B4457=B4456,D4457=D4456,A4457=A4456,F4457=F4456),1,0)</f>
        <v/>
      </c>
      <c r="I4457">
        <f>IF(C4457="C99999",1,0)</f>
        <v/>
      </c>
      <c r="J4457" s="5">
        <f>IF(OR(H4457=1,I4457=1),0,IF(G4457="Credit",-F4457,F4457))</f>
        <v/>
      </c>
    </row>
    <row r="4458">
      <c r="A4458" t="inlineStr">
        <is>
          <t>2026-08-14</t>
        </is>
      </c>
      <c r="B4458" t="inlineStr">
        <is>
          <t>F265740</t>
        </is>
      </c>
      <c r="C4458" t="inlineStr">
        <is>
          <t>C10299</t>
        </is>
      </c>
      <c r="D4458" t="inlineStr">
        <is>
          <t>SKU-10334</t>
        </is>
      </c>
      <c r="E4458" t="inlineStr">
        <is>
          <t>AM07</t>
        </is>
      </c>
      <c r="F4458" s="5" t="n">
        <v>1086.2</v>
      </c>
      <c r="G4458">
        <f>IF(LEFT(B4458,1)="C","Credit","Factuur")</f>
        <v/>
      </c>
      <c r="H4458">
        <f>IF(AND(B4458=B4457,D4458=D4457,A4458=A4457,F4458=F4457),1,0)</f>
        <v/>
      </c>
      <c r="I4458">
        <f>IF(C4458="C99999",1,0)</f>
        <v/>
      </c>
      <c r="J4458" s="5">
        <f>IF(OR(H4458=1,I4458=1),0,IF(G4458="Credit",-F4458,F4458))</f>
        <v/>
      </c>
    </row>
    <row r="4459">
      <c r="A4459" t="inlineStr">
        <is>
          <t>2026-08-14</t>
        </is>
      </c>
      <c r="B4459" t="inlineStr">
        <is>
          <t>F265931</t>
        </is>
      </c>
      <c r="C4459" t="inlineStr">
        <is>
          <t>C10311</t>
        </is>
      </c>
      <c r="D4459" t="inlineStr">
        <is>
          <t>SKU-10038</t>
        </is>
      </c>
      <c r="E4459" t="inlineStr">
        <is>
          <t>AM02</t>
        </is>
      </c>
      <c r="F4459" s="5" t="n">
        <v>638.6</v>
      </c>
      <c r="G4459">
        <f>IF(LEFT(B4459,1)="C","Credit","Factuur")</f>
        <v/>
      </c>
      <c r="H4459">
        <f>IF(AND(B4459=B4458,D4459=D4458,A4459=A4458,F4459=F4458),1,0)</f>
        <v/>
      </c>
      <c r="I4459">
        <f>IF(C4459="C99999",1,0)</f>
        <v/>
      </c>
      <c r="J4459" s="5">
        <f>IF(OR(H4459=1,I4459=1),0,IF(G4459="Credit",-F4459,F4459))</f>
        <v/>
      </c>
    </row>
    <row r="4460">
      <c r="A4460" t="inlineStr">
        <is>
          <t>2026-08-14</t>
        </is>
      </c>
      <c r="B4460" t="inlineStr">
        <is>
          <t>F265931</t>
        </is>
      </c>
      <c r="C4460" t="inlineStr">
        <is>
          <t>C10311</t>
        </is>
      </c>
      <c r="D4460" t="inlineStr">
        <is>
          <t>SKU-10038</t>
        </is>
      </c>
      <c r="E4460" t="inlineStr">
        <is>
          <t>AM02</t>
        </is>
      </c>
      <c r="F4460" s="5" t="n">
        <v>638.6</v>
      </c>
      <c r="G4460">
        <f>IF(LEFT(B4460,1)="C","Credit","Factuur")</f>
        <v/>
      </c>
      <c r="H4460">
        <f>IF(AND(B4460=B4459,D4460=D4459,A4460=A4459,F4460=F4459),1,0)</f>
        <v/>
      </c>
      <c r="I4460">
        <f>IF(C4460="C99999",1,0)</f>
        <v/>
      </c>
      <c r="J4460" s="5">
        <f>IF(OR(H4460=1,I4460=1),0,IF(G4460="Credit",-F4460,F4460))</f>
        <v/>
      </c>
    </row>
    <row r="4461">
      <c r="A4461" t="inlineStr">
        <is>
          <t>2026-08-14</t>
        </is>
      </c>
      <c r="B4461" t="inlineStr">
        <is>
          <t>F265931</t>
        </is>
      </c>
      <c r="C4461" t="inlineStr">
        <is>
          <t>C10311</t>
        </is>
      </c>
      <c r="D4461" t="inlineStr">
        <is>
          <t>SKU-10258</t>
        </is>
      </c>
      <c r="E4461" t="inlineStr">
        <is>
          <t>AM02</t>
        </is>
      </c>
      <c r="F4461" s="5" t="n">
        <v>566.53</v>
      </c>
      <c r="G4461">
        <f>IF(LEFT(B4461,1)="C","Credit","Factuur")</f>
        <v/>
      </c>
      <c r="H4461">
        <f>IF(AND(B4461=B4460,D4461=D4460,A4461=A4460,F4461=F4460),1,0)</f>
        <v/>
      </c>
      <c r="I4461">
        <f>IF(C4461="C99999",1,0)</f>
        <v/>
      </c>
      <c r="J4461" s="5">
        <f>IF(OR(H4461=1,I4461=1),0,IF(G4461="Credit",-F4461,F4461))</f>
        <v/>
      </c>
    </row>
    <row r="4462">
      <c r="A4462" t="inlineStr">
        <is>
          <t>2026-08-14</t>
        </is>
      </c>
      <c r="B4462" t="inlineStr">
        <is>
          <t>F265931</t>
        </is>
      </c>
      <c r="C4462" t="inlineStr">
        <is>
          <t>C10311</t>
        </is>
      </c>
      <c r="D4462" t="inlineStr">
        <is>
          <t>SKU-10258</t>
        </is>
      </c>
      <c r="E4462" t="inlineStr">
        <is>
          <t>AM02</t>
        </is>
      </c>
      <c r="F4462" s="5" t="n">
        <v>566.53</v>
      </c>
      <c r="G4462">
        <f>IF(LEFT(B4462,1)="C","Credit","Factuur")</f>
        <v/>
      </c>
      <c r="H4462">
        <f>IF(AND(B4462=B4461,D4462=D4461,A4462=A4461,F4462=F4461),1,0)</f>
        <v/>
      </c>
      <c r="I4462">
        <f>IF(C4462="C99999",1,0)</f>
        <v/>
      </c>
      <c r="J4462" s="5">
        <f>IF(OR(H4462=1,I4462=1),0,IF(G4462="Credit",-F4462,F4462))</f>
        <v/>
      </c>
    </row>
    <row r="4463">
      <c r="A4463" t="inlineStr">
        <is>
          <t>2026-08-14</t>
        </is>
      </c>
      <c r="B4463" t="inlineStr">
        <is>
          <t>F265931</t>
        </is>
      </c>
      <c r="C4463" t="inlineStr">
        <is>
          <t>C10311</t>
        </is>
      </c>
      <c r="D4463" t="inlineStr">
        <is>
          <t>SKU-10351</t>
        </is>
      </c>
      <c r="E4463" t="inlineStr">
        <is>
          <t>AM02</t>
        </is>
      </c>
      <c r="F4463" s="5" t="n">
        <v>636.89</v>
      </c>
      <c r="G4463">
        <f>IF(LEFT(B4463,1)="C","Credit","Factuur")</f>
        <v/>
      </c>
      <c r="H4463">
        <f>IF(AND(B4463=B4462,D4463=D4462,A4463=A4462,F4463=F4462),1,0)</f>
        <v/>
      </c>
      <c r="I4463">
        <f>IF(C4463="C99999",1,0)</f>
        <v/>
      </c>
      <c r="J4463" s="5">
        <f>IF(OR(H4463=1,I4463=1),0,IF(G4463="Credit",-F4463,F4463))</f>
        <v/>
      </c>
    </row>
    <row r="4464">
      <c r="A4464" t="inlineStr">
        <is>
          <t>2026-08-14</t>
        </is>
      </c>
      <c r="B4464" t="inlineStr">
        <is>
          <t>F265931</t>
        </is>
      </c>
      <c r="C4464" t="inlineStr">
        <is>
          <t>C10311</t>
        </is>
      </c>
      <c r="D4464" t="inlineStr">
        <is>
          <t>SKU-10351</t>
        </is>
      </c>
      <c r="E4464" t="inlineStr">
        <is>
          <t>AM02</t>
        </is>
      </c>
      <c r="F4464" s="5" t="n">
        <v>636.89</v>
      </c>
      <c r="G4464">
        <f>IF(LEFT(B4464,1)="C","Credit","Factuur")</f>
        <v/>
      </c>
      <c r="H4464">
        <f>IF(AND(B4464=B4463,D4464=D4463,A4464=A4463,F4464=F4463),1,0)</f>
        <v/>
      </c>
      <c r="I4464">
        <f>IF(C4464="C99999",1,0)</f>
        <v/>
      </c>
      <c r="J4464" s="5">
        <f>IF(OR(H4464=1,I4464=1),0,IF(G4464="Credit",-F4464,F4464))</f>
        <v/>
      </c>
    </row>
    <row r="4465">
      <c r="A4465" t="inlineStr">
        <is>
          <t>2026-08-14</t>
        </is>
      </c>
      <c r="B4465" t="inlineStr">
        <is>
          <t>F266451</t>
        </is>
      </c>
      <c r="C4465" t="inlineStr">
        <is>
          <t>C10339</t>
        </is>
      </c>
      <c r="D4465" t="inlineStr">
        <is>
          <t>SKU-10285</t>
        </is>
      </c>
      <c r="E4465" t="inlineStr">
        <is>
          <t>AM01</t>
        </is>
      </c>
      <c r="F4465" s="5" t="n">
        <v>1036.43</v>
      </c>
      <c r="G4465">
        <f>IF(LEFT(B4465,1)="C","Credit","Factuur")</f>
        <v/>
      </c>
      <c r="H4465">
        <f>IF(AND(B4465=B4464,D4465=D4464,A4465=A4464,F4465=F4464),1,0)</f>
        <v/>
      </c>
      <c r="I4465">
        <f>IF(C4465="C99999",1,0)</f>
        <v/>
      </c>
      <c r="J4465" s="5">
        <f>IF(OR(H4465=1,I4465=1),0,IF(G4465="Credit",-F4465,F4465))</f>
        <v/>
      </c>
    </row>
    <row r="4466">
      <c r="A4466" t="inlineStr">
        <is>
          <t>2026-08-14</t>
        </is>
      </c>
      <c r="B4466" t="inlineStr">
        <is>
          <t>F266451</t>
        </is>
      </c>
      <c r="C4466" t="inlineStr">
        <is>
          <t>C10339</t>
        </is>
      </c>
      <c r="D4466" t="inlineStr">
        <is>
          <t>SKU-10285</t>
        </is>
      </c>
      <c r="E4466" t="inlineStr">
        <is>
          <t>AM01</t>
        </is>
      </c>
      <c r="F4466" s="5" t="n">
        <v>1036.43</v>
      </c>
      <c r="G4466">
        <f>IF(LEFT(B4466,1)="C","Credit","Factuur")</f>
        <v/>
      </c>
      <c r="H4466">
        <f>IF(AND(B4466=B4465,D4466=D4465,A4466=A4465,F4466=F4465),1,0)</f>
        <v/>
      </c>
      <c r="I4466">
        <f>IF(C4466="C99999",1,0)</f>
        <v/>
      </c>
      <c r="J4466" s="5">
        <f>IF(OR(H4466=1,I4466=1),0,IF(G4466="Credit",-F4466,F4466))</f>
        <v/>
      </c>
    </row>
    <row r="4467">
      <c r="A4467" t="inlineStr">
        <is>
          <t>2026-08-14</t>
        </is>
      </c>
      <c r="B4467" t="inlineStr">
        <is>
          <t>F266451</t>
        </is>
      </c>
      <c r="C4467" t="inlineStr">
        <is>
          <t>C10339</t>
        </is>
      </c>
      <c r="D4467" t="inlineStr">
        <is>
          <t>SKU-10335</t>
        </is>
      </c>
      <c r="E4467" t="inlineStr">
        <is>
          <t>AM01</t>
        </is>
      </c>
      <c r="F4467" s="5" t="n">
        <v>1086.44</v>
      </c>
      <c r="G4467">
        <f>IF(LEFT(B4467,1)="C","Credit","Factuur")</f>
        <v/>
      </c>
      <c r="H4467">
        <f>IF(AND(B4467=B4466,D4467=D4466,A4467=A4466,F4467=F4466),1,0)</f>
        <v/>
      </c>
      <c r="I4467">
        <f>IF(C4467="C99999",1,0)</f>
        <v/>
      </c>
      <c r="J4467" s="5">
        <f>IF(OR(H4467=1,I4467=1),0,IF(G4467="Credit",-F4467,F4467))</f>
        <v/>
      </c>
    </row>
    <row r="4468">
      <c r="A4468" t="inlineStr">
        <is>
          <t>2026-08-14</t>
        </is>
      </c>
      <c r="B4468" t="inlineStr">
        <is>
          <t>F266451</t>
        </is>
      </c>
      <c r="C4468" t="inlineStr">
        <is>
          <t>C10339</t>
        </is>
      </c>
      <c r="D4468" t="inlineStr">
        <is>
          <t>SKU-10335</t>
        </is>
      </c>
      <c r="E4468" t="inlineStr">
        <is>
          <t>AM01</t>
        </is>
      </c>
      <c r="F4468" s="5" t="n">
        <v>1086.44</v>
      </c>
      <c r="G4468">
        <f>IF(LEFT(B4468,1)="C","Credit","Factuur")</f>
        <v/>
      </c>
      <c r="H4468">
        <f>IF(AND(B4468=B4467,D4468=D4467,A4468=A4467,F4468=F4467),1,0)</f>
        <v/>
      </c>
      <c r="I4468">
        <f>IF(C4468="C99999",1,0)</f>
        <v/>
      </c>
      <c r="J4468" s="5">
        <f>IF(OR(H4468=1,I4468=1),0,IF(G4468="Credit",-F4468,F4468))</f>
        <v/>
      </c>
    </row>
    <row r="4469">
      <c r="A4469" t="inlineStr">
        <is>
          <t>2026-08-14</t>
        </is>
      </c>
      <c r="B4469" t="inlineStr">
        <is>
          <t>F266729</t>
        </is>
      </c>
      <c r="C4469" t="inlineStr">
        <is>
          <t>C10355</t>
        </is>
      </c>
      <c r="D4469" t="inlineStr">
        <is>
          <t>SKU-10144</t>
        </is>
      </c>
      <c r="E4469" t="inlineStr">
        <is>
          <t>AM12</t>
        </is>
      </c>
      <c r="F4469" s="5" t="n">
        <v>355.26</v>
      </c>
      <c r="G4469">
        <f>IF(LEFT(B4469,1)="C","Credit","Factuur")</f>
        <v/>
      </c>
      <c r="H4469">
        <f>IF(AND(B4469=B4468,D4469=D4468,A4469=A4468,F4469=F4468),1,0)</f>
        <v/>
      </c>
      <c r="I4469">
        <f>IF(C4469="C99999",1,0)</f>
        <v/>
      </c>
      <c r="J4469" s="5">
        <f>IF(OR(H4469=1,I4469=1),0,IF(G4469="Credit",-F4469,F4469))</f>
        <v/>
      </c>
    </row>
    <row r="4470">
      <c r="A4470" t="inlineStr">
        <is>
          <t>2026-08-14</t>
        </is>
      </c>
      <c r="B4470" t="inlineStr">
        <is>
          <t>F266729</t>
        </is>
      </c>
      <c r="C4470" t="inlineStr">
        <is>
          <t>C10355</t>
        </is>
      </c>
      <c r="D4470" t="inlineStr">
        <is>
          <t>SKU-10144</t>
        </is>
      </c>
      <c r="E4470" t="inlineStr">
        <is>
          <t>AM12</t>
        </is>
      </c>
      <c r="F4470" s="5" t="n">
        <v>355.26</v>
      </c>
      <c r="G4470">
        <f>IF(LEFT(B4470,1)="C","Credit","Factuur")</f>
        <v/>
      </c>
      <c r="H4470">
        <f>IF(AND(B4470=B4469,D4470=D4469,A4470=A4469,F4470=F4469),1,0)</f>
        <v/>
      </c>
      <c r="I4470">
        <f>IF(C4470="C99999",1,0)</f>
        <v/>
      </c>
      <c r="J4470" s="5">
        <f>IF(OR(H4470=1,I4470=1),0,IF(G4470="Credit",-F4470,F4470))</f>
        <v/>
      </c>
    </row>
    <row r="4471">
      <c r="A4471" t="inlineStr">
        <is>
          <t>2026-08-14</t>
        </is>
      </c>
      <c r="B4471" t="inlineStr">
        <is>
          <t>F266729</t>
        </is>
      </c>
      <c r="C4471" t="inlineStr">
        <is>
          <t>C10355</t>
        </is>
      </c>
      <c r="D4471" t="inlineStr">
        <is>
          <t>SKU-10333</t>
        </is>
      </c>
      <c r="E4471" t="inlineStr">
        <is>
          <t>AM12</t>
        </is>
      </c>
      <c r="F4471" s="5" t="n">
        <v>289.67</v>
      </c>
      <c r="G4471">
        <f>IF(LEFT(B4471,1)="C","Credit","Factuur")</f>
        <v/>
      </c>
      <c r="H4471">
        <f>IF(AND(B4471=B4470,D4471=D4470,A4471=A4470,F4471=F4470),1,0)</f>
        <v/>
      </c>
      <c r="I4471">
        <f>IF(C4471="C99999",1,0)</f>
        <v/>
      </c>
      <c r="J4471" s="5">
        <f>IF(OR(H4471=1,I4471=1),0,IF(G4471="Credit",-F4471,F4471))</f>
        <v/>
      </c>
    </row>
    <row r="4472">
      <c r="A4472" t="inlineStr">
        <is>
          <t>2026-08-14</t>
        </is>
      </c>
      <c r="B4472" t="inlineStr">
        <is>
          <t>F266729</t>
        </is>
      </c>
      <c r="C4472" t="inlineStr">
        <is>
          <t>C10355</t>
        </is>
      </c>
      <c r="D4472" t="inlineStr">
        <is>
          <t>SKU-10333</t>
        </is>
      </c>
      <c r="E4472" t="inlineStr">
        <is>
          <t>AM12</t>
        </is>
      </c>
      <c r="F4472" s="5" t="n">
        <v>289.67</v>
      </c>
      <c r="G4472">
        <f>IF(LEFT(B4472,1)="C","Credit","Factuur")</f>
        <v/>
      </c>
      <c r="H4472">
        <f>IF(AND(B4472=B4471,D4472=D4471,A4472=A4471,F4472=F4471),1,0)</f>
        <v/>
      </c>
      <c r="I4472">
        <f>IF(C4472="C99999",1,0)</f>
        <v/>
      </c>
      <c r="J4472" s="5">
        <f>IF(OR(H4472=1,I4472=1),0,IF(G4472="Credit",-F4472,F4472))</f>
        <v/>
      </c>
    </row>
    <row r="4473">
      <c r="A4473" t="inlineStr">
        <is>
          <t>2026-08-14</t>
        </is>
      </c>
      <c r="B4473" t="inlineStr">
        <is>
          <t>F266729</t>
        </is>
      </c>
      <c r="C4473" t="inlineStr">
        <is>
          <t>C10355</t>
        </is>
      </c>
      <c r="D4473" t="inlineStr">
        <is>
          <t>SKU-10360</t>
        </is>
      </c>
      <c r="E4473" t="inlineStr">
        <is>
          <t>AM12</t>
        </is>
      </c>
      <c r="F4473" s="5" t="n">
        <v>393.28</v>
      </c>
      <c r="G4473">
        <f>IF(LEFT(B4473,1)="C","Credit","Factuur")</f>
        <v/>
      </c>
      <c r="H4473">
        <f>IF(AND(B4473=B4472,D4473=D4472,A4473=A4472,F4473=F4472),1,0)</f>
        <v/>
      </c>
      <c r="I4473">
        <f>IF(C4473="C99999",1,0)</f>
        <v/>
      </c>
      <c r="J4473" s="5">
        <f>IF(OR(H4473=1,I4473=1),0,IF(G4473="Credit",-F4473,F4473))</f>
        <v/>
      </c>
    </row>
    <row r="4474">
      <c r="A4474" t="inlineStr">
        <is>
          <t>2026-08-14</t>
        </is>
      </c>
      <c r="B4474" t="inlineStr">
        <is>
          <t>F266729</t>
        </is>
      </c>
      <c r="C4474" t="inlineStr">
        <is>
          <t>C10355</t>
        </is>
      </c>
      <c r="D4474" t="inlineStr">
        <is>
          <t>SKU-10360</t>
        </is>
      </c>
      <c r="E4474" t="inlineStr">
        <is>
          <t>AM12</t>
        </is>
      </c>
      <c r="F4474" s="5" t="n">
        <v>393.28</v>
      </c>
      <c r="G4474">
        <f>IF(LEFT(B4474,1)="C","Credit","Factuur")</f>
        <v/>
      </c>
      <c r="H4474">
        <f>IF(AND(B4474=B4473,D4474=D4473,A4474=A4473,F4474=F4473),1,0)</f>
        <v/>
      </c>
      <c r="I4474">
        <f>IF(C4474="C99999",1,0)</f>
        <v/>
      </c>
      <c r="J4474" s="5">
        <f>IF(OR(H4474=1,I4474=1),0,IF(G4474="Credit",-F4474,F4474))</f>
        <v/>
      </c>
    </row>
    <row r="4475">
      <c r="A4475" t="inlineStr">
        <is>
          <t>2026-08-14</t>
        </is>
      </c>
      <c r="B4475" t="inlineStr">
        <is>
          <t>F266765</t>
        </is>
      </c>
      <c r="C4475" t="inlineStr">
        <is>
          <t>C10356</t>
        </is>
      </c>
      <c r="D4475" t="inlineStr">
        <is>
          <t>SKU-10234</t>
        </is>
      </c>
      <c r="E4475" t="inlineStr">
        <is>
          <t>AM05</t>
        </is>
      </c>
      <c r="F4475" s="5" t="n">
        <v>664.62</v>
      </c>
      <c r="G4475">
        <f>IF(LEFT(B4475,1)="C","Credit","Factuur")</f>
        <v/>
      </c>
      <c r="H4475">
        <f>IF(AND(B4475=B4474,D4475=D4474,A4475=A4474,F4475=F4474),1,0)</f>
        <v/>
      </c>
      <c r="I4475">
        <f>IF(C4475="C99999",1,0)</f>
        <v/>
      </c>
      <c r="J4475" s="5">
        <f>IF(OR(H4475=1,I4475=1),0,IF(G4475="Credit",-F4475,F4475))</f>
        <v/>
      </c>
    </row>
    <row r="4476">
      <c r="A4476" t="inlineStr">
        <is>
          <t>2026-08-14</t>
        </is>
      </c>
      <c r="B4476" t="inlineStr">
        <is>
          <t>F266765</t>
        </is>
      </c>
      <c r="C4476" t="inlineStr">
        <is>
          <t>C10356</t>
        </is>
      </c>
      <c r="D4476" t="inlineStr">
        <is>
          <t>SKU-10234</t>
        </is>
      </c>
      <c r="E4476" t="inlineStr">
        <is>
          <t>AM05</t>
        </is>
      </c>
      <c r="F4476" s="5" t="n">
        <v>664.62</v>
      </c>
      <c r="G4476">
        <f>IF(LEFT(B4476,1)="C","Credit","Factuur")</f>
        <v/>
      </c>
      <c r="H4476">
        <f>IF(AND(B4476=B4475,D4476=D4475,A4476=A4475,F4476=F4475),1,0)</f>
        <v/>
      </c>
      <c r="I4476">
        <f>IF(C4476="C99999",1,0)</f>
        <v/>
      </c>
      <c r="J4476" s="5">
        <f>IF(OR(H4476=1,I4476=1),0,IF(G4476="Credit",-F4476,F4476))</f>
        <v/>
      </c>
    </row>
    <row r="4477">
      <c r="A4477" t="inlineStr">
        <is>
          <t>2026-08-14</t>
        </is>
      </c>
      <c r="B4477" t="inlineStr">
        <is>
          <t>F266765</t>
        </is>
      </c>
      <c r="C4477" t="inlineStr">
        <is>
          <t>C10356</t>
        </is>
      </c>
      <c r="D4477" t="inlineStr">
        <is>
          <t>SKU-10260</t>
        </is>
      </c>
      <c r="E4477" t="inlineStr">
        <is>
          <t>AM05</t>
        </is>
      </c>
      <c r="F4477" s="5" t="n">
        <v>599.79</v>
      </c>
      <c r="G4477">
        <f>IF(LEFT(B4477,1)="C","Credit","Factuur")</f>
        <v/>
      </c>
      <c r="H4477">
        <f>IF(AND(B4477=B4476,D4477=D4476,A4477=A4476,F4477=F4476),1,0)</f>
        <v/>
      </c>
      <c r="I4477">
        <f>IF(C4477="C99999",1,0)</f>
        <v/>
      </c>
      <c r="J4477" s="5">
        <f>IF(OR(H4477=1,I4477=1),0,IF(G4477="Credit",-F4477,F4477))</f>
        <v/>
      </c>
    </row>
    <row r="4478">
      <c r="A4478" t="inlineStr">
        <is>
          <t>2026-08-14</t>
        </is>
      </c>
      <c r="B4478" t="inlineStr">
        <is>
          <t>F266765</t>
        </is>
      </c>
      <c r="C4478" t="inlineStr">
        <is>
          <t>C10356</t>
        </is>
      </c>
      <c r="D4478" t="inlineStr">
        <is>
          <t>SKU-10260</t>
        </is>
      </c>
      <c r="E4478" t="inlineStr">
        <is>
          <t>AM05</t>
        </is>
      </c>
      <c r="F4478" s="5" t="n">
        <v>599.79</v>
      </c>
      <c r="G4478">
        <f>IF(LEFT(B4478,1)="C","Credit","Factuur")</f>
        <v/>
      </c>
      <c r="H4478">
        <f>IF(AND(B4478=B4477,D4478=D4477,A4478=A4477,F4478=F4477),1,0)</f>
        <v/>
      </c>
      <c r="I4478">
        <f>IF(C4478="C99999",1,0)</f>
        <v/>
      </c>
      <c r="J4478" s="5">
        <f>IF(OR(H4478=1,I4478=1),0,IF(G4478="Credit",-F4478,F4478))</f>
        <v/>
      </c>
    </row>
    <row r="4479">
      <c r="A4479" t="inlineStr">
        <is>
          <t>2026-08-14</t>
        </is>
      </c>
      <c r="B4479" t="inlineStr">
        <is>
          <t>F267045</t>
        </is>
      </c>
      <c r="C4479" t="inlineStr">
        <is>
          <t>C10371</t>
        </is>
      </c>
      <c r="D4479" t="inlineStr">
        <is>
          <t>SKU-10198</t>
        </is>
      </c>
      <c r="E4479" t="inlineStr">
        <is>
          <t>AM02</t>
        </is>
      </c>
      <c r="F4479" s="5" t="n">
        <v>754.95</v>
      </c>
      <c r="G4479">
        <f>IF(LEFT(B4479,1)="C","Credit","Factuur")</f>
        <v/>
      </c>
      <c r="H4479">
        <f>IF(AND(B4479=B4478,D4479=D4478,A4479=A4478,F4479=F4478),1,0)</f>
        <v/>
      </c>
      <c r="I4479">
        <f>IF(C4479="C99999",1,0)</f>
        <v/>
      </c>
      <c r="J4479" s="5">
        <f>IF(OR(H4479=1,I4479=1),0,IF(G4479="Credit",-F4479,F4479))</f>
        <v/>
      </c>
    </row>
    <row r="4480">
      <c r="A4480" t="inlineStr">
        <is>
          <t>2026-08-14</t>
        </is>
      </c>
      <c r="B4480" t="inlineStr">
        <is>
          <t>F267045</t>
        </is>
      </c>
      <c r="C4480" t="inlineStr">
        <is>
          <t>C10371</t>
        </is>
      </c>
      <c r="D4480" t="inlineStr">
        <is>
          <t>SKU-10198</t>
        </is>
      </c>
      <c r="E4480" t="inlineStr">
        <is>
          <t>AM02</t>
        </is>
      </c>
      <c r="F4480" s="5" t="n">
        <v>754.95</v>
      </c>
      <c r="G4480">
        <f>IF(LEFT(B4480,1)="C","Credit","Factuur")</f>
        <v/>
      </c>
      <c r="H4480">
        <f>IF(AND(B4480=B4479,D4480=D4479,A4480=A4479,F4480=F4479),1,0)</f>
        <v/>
      </c>
      <c r="I4480">
        <f>IF(C4480="C99999",1,0)</f>
        <v/>
      </c>
      <c r="J4480" s="5">
        <f>IF(OR(H4480=1,I4480=1),0,IF(G4480="Credit",-F4480,F4480))</f>
        <v/>
      </c>
    </row>
    <row r="4481">
      <c r="A4481" t="inlineStr">
        <is>
          <t>2026-08-14</t>
        </is>
      </c>
      <c r="B4481" t="inlineStr">
        <is>
          <t>F267973</t>
        </is>
      </c>
      <c r="C4481" t="inlineStr">
        <is>
          <t>C10419</t>
        </is>
      </c>
      <c r="D4481" t="inlineStr">
        <is>
          <t>SKU-10277</t>
        </is>
      </c>
      <c r="E4481" t="inlineStr">
        <is>
          <t>AM08</t>
        </is>
      </c>
      <c r="F4481" s="5" t="n">
        <v>711</v>
      </c>
      <c r="G4481">
        <f>IF(LEFT(B4481,1)="C","Credit","Factuur")</f>
        <v/>
      </c>
      <c r="H4481">
        <f>IF(AND(B4481=B4480,D4481=D4480,A4481=A4480,F4481=F4480),1,0)</f>
        <v/>
      </c>
      <c r="I4481">
        <f>IF(C4481="C99999",1,0)</f>
        <v/>
      </c>
      <c r="J4481" s="5">
        <f>IF(OR(H4481=1,I4481=1),0,IF(G4481="Credit",-F4481,F4481))</f>
        <v/>
      </c>
    </row>
    <row r="4482">
      <c r="A4482" t="inlineStr">
        <is>
          <t>2026-08-14</t>
        </is>
      </c>
      <c r="B4482" t="inlineStr">
        <is>
          <t>F267973</t>
        </is>
      </c>
      <c r="C4482" t="inlineStr">
        <is>
          <t>C10419</t>
        </is>
      </c>
      <c r="D4482" t="inlineStr">
        <is>
          <t>SKU-10277</t>
        </is>
      </c>
      <c r="E4482" t="inlineStr">
        <is>
          <t>AM08</t>
        </is>
      </c>
      <c r="F4482" s="5" t="n">
        <v>711</v>
      </c>
      <c r="G4482">
        <f>IF(LEFT(B4482,1)="C","Credit","Factuur")</f>
        <v/>
      </c>
      <c r="H4482">
        <f>IF(AND(B4482=B4481,D4482=D4481,A4482=A4481,F4482=F4481),1,0)</f>
        <v/>
      </c>
      <c r="I4482">
        <f>IF(C4482="C99999",1,0)</f>
        <v/>
      </c>
      <c r="J4482" s="5">
        <f>IF(OR(H4482=1,I4482=1),0,IF(G4482="Credit",-F4482,F4482))</f>
        <v/>
      </c>
    </row>
    <row r="4483">
      <c r="A4483" t="inlineStr">
        <is>
          <t>2026-08-14</t>
        </is>
      </c>
      <c r="B4483" t="inlineStr">
        <is>
          <t>F267973</t>
        </is>
      </c>
      <c r="C4483" t="inlineStr">
        <is>
          <t>C10419</t>
        </is>
      </c>
      <c r="D4483" t="inlineStr">
        <is>
          <t>SKU-10367</t>
        </is>
      </c>
      <c r="E4483" t="inlineStr">
        <is>
          <t>AM08</t>
        </is>
      </c>
      <c r="F4483" s="5" t="n">
        <v>727.51</v>
      </c>
      <c r="G4483">
        <f>IF(LEFT(B4483,1)="C","Credit","Factuur")</f>
        <v/>
      </c>
      <c r="H4483">
        <f>IF(AND(B4483=B4482,D4483=D4482,A4483=A4482,F4483=F4482),1,0)</f>
        <v/>
      </c>
      <c r="I4483">
        <f>IF(C4483="C99999",1,0)</f>
        <v/>
      </c>
      <c r="J4483" s="5">
        <f>IF(OR(H4483=1,I4483=1),0,IF(G4483="Credit",-F4483,F4483))</f>
        <v/>
      </c>
    </row>
    <row r="4484">
      <c r="A4484" t="inlineStr">
        <is>
          <t>2026-08-14</t>
        </is>
      </c>
      <c r="B4484" t="inlineStr">
        <is>
          <t>F267973</t>
        </is>
      </c>
      <c r="C4484" t="inlineStr">
        <is>
          <t>C10419</t>
        </is>
      </c>
      <c r="D4484" t="inlineStr">
        <is>
          <t>SKU-10367</t>
        </is>
      </c>
      <c r="E4484" t="inlineStr">
        <is>
          <t>AM08</t>
        </is>
      </c>
      <c r="F4484" s="5" t="n">
        <v>727.51</v>
      </c>
      <c r="G4484">
        <f>IF(LEFT(B4484,1)="C","Credit","Factuur")</f>
        <v/>
      </c>
      <c r="H4484">
        <f>IF(AND(B4484=B4483,D4484=D4483,A4484=A4483,F4484=F4483),1,0)</f>
        <v/>
      </c>
      <c r="I4484">
        <f>IF(C4484="C99999",1,0)</f>
        <v/>
      </c>
      <c r="J4484" s="5">
        <f>IF(OR(H4484=1,I4484=1),0,IF(G4484="Credit",-F4484,F4484))</f>
        <v/>
      </c>
    </row>
    <row r="4485">
      <c r="A4485" t="inlineStr">
        <is>
          <t>2026-08-14</t>
        </is>
      </c>
      <c r="B4485" t="inlineStr">
        <is>
          <t>F267995</t>
        </is>
      </c>
      <c r="C4485" t="inlineStr">
        <is>
          <t>C10421</t>
        </is>
      </c>
      <c r="D4485" t="inlineStr">
        <is>
          <t>SKU-10050</t>
        </is>
      </c>
      <c r="E4485" t="inlineStr">
        <is>
          <t>AM02</t>
        </is>
      </c>
      <c r="F4485" s="5" t="n">
        <v>213.72</v>
      </c>
      <c r="G4485">
        <f>IF(LEFT(B4485,1)="C","Credit","Factuur")</f>
        <v/>
      </c>
      <c r="H4485">
        <f>IF(AND(B4485=B4484,D4485=D4484,A4485=A4484,F4485=F4484),1,0)</f>
        <v/>
      </c>
      <c r="I4485">
        <f>IF(C4485="C99999",1,0)</f>
        <v/>
      </c>
      <c r="J4485" s="5">
        <f>IF(OR(H4485=1,I4485=1),0,IF(G4485="Credit",-F4485,F4485))</f>
        <v/>
      </c>
    </row>
    <row r="4486">
      <c r="A4486" t="inlineStr">
        <is>
          <t>2026-08-14</t>
        </is>
      </c>
      <c r="B4486" t="inlineStr">
        <is>
          <t>F267995</t>
        </is>
      </c>
      <c r="C4486" t="inlineStr">
        <is>
          <t>C10421</t>
        </is>
      </c>
      <c r="D4486" t="inlineStr">
        <is>
          <t>SKU-10050</t>
        </is>
      </c>
      <c r="E4486" t="inlineStr">
        <is>
          <t>AM02</t>
        </is>
      </c>
      <c r="F4486" s="5" t="n">
        <v>213.72</v>
      </c>
      <c r="G4486">
        <f>IF(LEFT(B4486,1)="C","Credit","Factuur")</f>
        <v/>
      </c>
      <c r="H4486">
        <f>IF(AND(B4486=B4485,D4486=D4485,A4486=A4485,F4486=F4485),1,0)</f>
        <v/>
      </c>
      <c r="I4486">
        <f>IF(C4486="C99999",1,0)</f>
        <v/>
      </c>
      <c r="J4486" s="5">
        <f>IF(OR(H4486=1,I4486=1),0,IF(G4486="Credit",-F4486,F4486))</f>
        <v/>
      </c>
    </row>
    <row r="4487">
      <c r="A4487" t="inlineStr">
        <is>
          <t>2026-08-14</t>
        </is>
      </c>
      <c r="B4487" t="inlineStr">
        <is>
          <t>F267995</t>
        </is>
      </c>
      <c r="C4487" t="inlineStr">
        <is>
          <t>C10421</t>
        </is>
      </c>
      <c r="D4487" t="inlineStr">
        <is>
          <t>SKU-10086</t>
        </is>
      </c>
      <c r="E4487" t="inlineStr">
        <is>
          <t>AM02</t>
        </is>
      </c>
      <c r="F4487" s="5" t="n">
        <v>234.36</v>
      </c>
      <c r="G4487">
        <f>IF(LEFT(B4487,1)="C","Credit","Factuur")</f>
        <v/>
      </c>
      <c r="H4487">
        <f>IF(AND(B4487=B4486,D4487=D4486,A4487=A4486,F4487=F4486),1,0)</f>
        <v/>
      </c>
      <c r="I4487">
        <f>IF(C4487="C99999",1,0)</f>
        <v/>
      </c>
      <c r="J4487" s="5">
        <f>IF(OR(H4487=1,I4487=1),0,IF(G4487="Credit",-F4487,F4487))</f>
        <v/>
      </c>
    </row>
    <row r="4488">
      <c r="A4488" t="inlineStr">
        <is>
          <t>2026-08-14</t>
        </is>
      </c>
      <c r="B4488" t="inlineStr">
        <is>
          <t>F267995</t>
        </is>
      </c>
      <c r="C4488" t="inlineStr">
        <is>
          <t>C10421</t>
        </is>
      </c>
      <c r="D4488" t="inlineStr">
        <is>
          <t>SKU-10086</t>
        </is>
      </c>
      <c r="E4488" t="inlineStr">
        <is>
          <t>AM02</t>
        </is>
      </c>
      <c r="F4488" s="5" t="n">
        <v>234.36</v>
      </c>
      <c r="G4488">
        <f>IF(LEFT(B4488,1)="C","Credit","Factuur")</f>
        <v/>
      </c>
      <c r="H4488">
        <f>IF(AND(B4488=B4487,D4488=D4487,A4488=A4487,F4488=F4487),1,0)</f>
        <v/>
      </c>
      <c r="I4488">
        <f>IF(C4488="C99999",1,0)</f>
        <v/>
      </c>
      <c r="J4488" s="5">
        <f>IF(OR(H4488=1,I4488=1),0,IF(G4488="Credit",-F4488,F4488))</f>
        <v/>
      </c>
    </row>
    <row r="4489">
      <c r="A4489" t="inlineStr">
        <is>
          <t>2026-08-14</t>
        </is>
      </c>
      <c r="B4489" t="inlineStr">
        <is>
          <t>F267995</t>
        </is>
      </c>
      <c r="C4489" t="inlineStr">
        <is>
          <t>C10421</t>
        </is>
      </c>
      <c r="D4489" t="inlineStr">
        <is>
          <t>SKU-10115</t>
        </is>
      </c>
      <c r="E4489" t="inlineStr">
        <is>
          <t>AM02</t>
        </is>
      </c>
      <c r="F4489" s="5" t="n">
        <v>233.65</v>
      </c>
      <c r="G4489">
        <f>IF(LEFT(B4489,1)="C","Credit","Factuur")</f>
        <v/>
      </c>
      <c r="H4489">
        <f>IF(AND(B4489=B4488,D4489=D4488,A4489=A4488,F4489=F4488),1,0)</f>
        <v/>
      </c>
      <c r="I4489">
        <f>IF(C4489="C99999",1,0)</f>
        <v/>
      </c>
      <c r="J4489" s="5">
        <f>IF(OR(H4489=1,I4489=1),0,IF(G4489="Credit",-F4489,F4489))</f>
        <v/>
      </c>
    </row>
    <row r="4490">
      <c r="A4490" t="inlineStr">
        <is>
          <t>2026-08-14</t>
        </is>
      </c>
      <c r="B4490" t="inlineStr">
        <is>
          <t>F267995</t>
        </is>
      </c>
      <c r="C4490" t="inlineStr">
        <is>
          <t>C10421</t>
        </is>
      </c>
      <c r="D4490" t="inlineStr">
        <is>
          <t>SKU-10115</t>
        </is>
      </c>
      <c r="E4490" t="inlineStr">
        <is>
          <t>AM02</t>
        </is>
      </c>
      <c r="F4490" s="5" t="n">
        <v>233.65</v>
      </c>
      <c r="G4490">
        <f>IF(LEFT(B4490,1)="C","Credit","Factuur")</f>
        <v/>
      </c>
      <c r="H4490">
        <f>IF(AND(B4490=B4489,D4490=D4489,A4490=A4489,F4490=F4489),1,0)</f>
        <v/>
      </c>
      <c r="I4490">
        <f>IF(C4490="C99999",1,0)</f>
        <v/>
      </c>
      <c r="J4490" s="5">
        <f>IF(OR(H4490=1,I4490=1),0,IF(G4490="Credit",-F4490,F4490))</f>
        <v/>
      </c>
    </row>
    <row r="4491">
      <c r="A4491" t="inlineStr">
        <is>
          <t>2026-08-14</t>
        </is>
      </c>
      <c r="B4491" t="inlineStr">
        <is>
          <t>F267995</t>
        </is>
      </c>
      <c r="C4491" t="inlineStr">
        <is>
          <t>C10421</t>
        </is>
      </c>
      <c r="D4491" t="inlineStr">
        <is>
          <t>SKU-10187</t>
        </is>
      </c>
      <c r="E4491" t="inlineStr">
        <is>
          <t>AM02</t>
        </is>
      </c>
      <c r="F4491" s="5" t="n">
        <v>219.36</v>
      </c>
      <c r="G4491">
        <f>IF(LEFT(B4491,1)="C","Credit","Factuur")</f>
        <v/>
      </c>
      <c r="H4491">
        <f>IF(AND(B4491=B4490,D4491=D4490,A4491=A4490,F4491=F4490),1,0)</f>
        <v/>
      </c>
      <c r="I4491">
        <f>IF(C4491="C99999",1,0)</f>
        <v/>
      </c>
      <c r="J4491" s="5">
        <f>IF(OR(H4491=1,I4491=1),0,IF(G4491="Credit",-F4491,F4491))</f>
        <v/>
      </c>
    </row>
    <row r="4492">
      <c r="A4492" t="inlineStr">
        <is>
          <t>2026-08-14</t>
        </is>
      </c>
      <c r="B4492" t="inlineStr">
        <is>
          <t>F267995</t>
        </is>
      </c>
      <c r="C4492" t="inlineStr">
        <is>
          <t>C10421</t>
        </is>
      </c>
      <c r="D4492" t="inlineStr">
        <is>
          <t>SKU-10187</t>
        </is>
      </c>
      <c r="E4492" t="inlineStr">
        <is>
          <t>AM02</t>
        </is>
      </c>
      <c r="F4492" s="5" t="n">
        <v>219.36</v>
      </c>
      <c r="G4492">
        <f>IF(LEFT(B4492,1)="C","Credit","Factuur")</f>
        <v/>
      </c>
      <c r="H4492">
        <f>IF(AND(B4492=B4491,D4492=D4491,A4492=A4491,F4492=F4491),1,0)</f>
        <v/>
      </c>
      <c r="I4492">
        <f>IF(C4492="C99999",1,0)</f>
        <v/>
      </c>
      <c r="J4492" s="5">
        <f>IF(OR(H4492=1,I4492=1),0,IF(G4492="Credit",-F4492,F4492))</f>
        <v/>
      </c>
    </row>
    <row r="4493">
      <c r="A4493" t="inlineStr">
        <is>
          <t>2026-08-14</t>
        </is>
      </c>
      <c r="B4493" t="inlineStr">
        <is>
          <t>F267995</t>
        </is>
      </c>
      <c r="C4493" t="inlineStr">
        <is>
          <t>C10421</t>
        </is>
      </c>
      <c r="D4493" t="inlineStr">
        <is>
          <t>SKU-10276</t>
        </is>
      </c>
      <c r="E4493" t="inlineStr">
        <is>
          <t>AM02</t>
        </is>
      </c>
      <c r="F4493" s="5" t="n">
        <v>232.96</v>
      </c>
      <c r="G4493">
        <f>IF(LEFT(B4493,1)="C","Credit","Factuur")</f>
        <v/>
      </c>
      <c r="H4493">
        <f>IF(AND(B4493=B4492,D4493=D4492,A4493=A4492,F4493=F4492),1,0)</f>
        <v/>
      </c>
      <c r="I4493">
        <f>IF(C4493="C99999",1,0)</f>
        <v/>
      </c>
      <c r="J4493" s="5">
        <f>IF(OR(H4493=1,I4493=1),0,IF(G4493="Credit",-F4493,F4493))</f>
        <v/>
      </c>
    </row>
    <row r="4494">
      <c r="A4494" t="inlineStr">
        <is>
          <t>2026-08-14</t>
        </is>
      </c>
      <c r="B4494" t="inlineStr">
        <is>
          <t>F267995</t>
        </is>
      </c>
      <c r="C4494" t="inlineStr">
        <is>
          <t>C10421</t>
        </is>
      </c>
      <c r="D4494" t="inlineStr">
        <is>
          <t>SKU-10276</t>
        </is>
      </c>
      <c r="E4494" t="inlineStr">
        <is>
          <t>AM02</t>
        </is>
      </c>
      <c r="F4494" s="5" t="n">
        <v>232.96</v>
      </c>
      <c r="G4494">
        <f>IF(LEFT(B4494,1)="C","Credit","Factuur")</f>
        <v/>
      </c>
      <c r="H4494">
        <f>IF(AND(B4494=B4493,D4494=D4493,A4494=A4493,F4494=F4493),1,0)</f>
        <v/>
      </c>
      <c r="I4494">
        <f>IF(C4494="C99999",1,0)</f>
        <v/>
      </c>
      <c r="J4494" s="5">
        <f>IF(OR(H4494=1,I4494=1),0,IF(G4494="Credit",-F4494,F4494))</f>
        <v/>
      </c>
    </row>
    <row r="4495">
      <c r="A4495" t="inlineStr">
        <is>
          <t>2026-08-14</t>
        </is>
      </c>
      <c r="B4495" t="inlineStr">
        <is>
          <t>F268088</t>
        </is>
      </c>
      <c r="C4495" t="inlineStr">
        <is>
          <t>C10425</t>
        </is>
      </c>
      <c r="D4495" t="inlineStr">
        <is>
          <t>SKU-10092</t>
        </is>
      </c>
      <c r="E4495" t="inlineStr">
        <is>
          <t>AM12</t>
        </is>
      </c>
      <c r="F4495" s="5" t="n">
        <v>1509.64</v>
      </c>
      <c r="G4495">
        <f>IF(LEFT(B4495,1)="C","Credit","Factuur")</f>
        <v/>
      </c>
      <c r="H4495">
        <f>IF(AND(B4495=B4494,D4495=D4494,A4495=A4494,F4495=F4494),1,0)</f>
        <v/>
      </c>
      <c r="I4495">
        <f>IF(C4495="C99999",1,0)</f>
        <v/>
      </c>
      <c r="J4495" s="5">
        <f>IF(OR(H4495=1,I4495=1),0,IF(G4495="Credit",-F4495,F4495))</f>
        <v/>
      </c>
    </row>
    <row r="4496">
      <c r="A4496" t="inlineStr">
        <is>
          <t>2026-08-14</t>
        </is>
      </c>
      <c r="B4496" t="inlineStr">
        <is>
          <t>F268088</t>
        </is>
      </c>
      <c r="C4496" t="inlineStr">
        <is>
          <t>C10425</t>
        </is>
      </c>
      <c r="D4496" t="inlineStr">
        <is>
          <t>SKU-10092</t>
        </is>
      </c>
      <c r="E4496" t="inlineStr">
        <is>
          <t>AM12</t>
        </is>
      </c>
      <c r="F4496" s="5" t="n">
        <v>1509.64</v>
      </c>
      <c r="G4496">
        <f>IF(LEFT(B4496,1)="C","Credit","Factuur")</f>
        <v/>
      </c>
      <c r="H4496">
        <f>IF(AND(B4496=B4495,D4496=D4495,A4496=A4495,F4496=F4495),1,0)</f>
        <v/>
      </c>
      <c r="I4496">
        <f>IF(C4496="C99999",1,0)</f>
        <v/>
      </c>
      <c r="J4496" s="5">
        <f>IF(OR(H4496=1,I4496=1),0,IF(G4496="Credit",-F4496,F4496))</f>
        <v/>
      </c>
    </row>
    <row r="4497">
      <c r="A4497" t="inlineStr">
        <is>
          <t>2026-08-14</t>
        </is>
      </c>
      <c r="B4497" t="inlineStr">
        <is>
          <t>F268116</t>
        </is>
      </c>
      <c r="C4497" t="inlineStr">
        <is>
          <t>C10427</t>
        </is>
      </c>
      <c r="D4497" t="inlineStr">
        <is>
          <t>SKU-10079</t>
        </is>
      </c>
      <c r="E4497" t="inlineStr">
        <is>
          <t>AM01</t>
        </is>
      </c>
      <c r="F4497" s="5" t="n">
        <v>684.76</v>
      </c>
      <c r="G4497">
        <f>IF(LEFT(B4497,1)="C","Credit","Factuur")</f>
        <v/>
      </c>
      <c r="H4497">
        <f>IF(AND(B4497=B4496,D4497=D4496,A4497=A4496,F4497=F4496),1,0)</f>
        <v/>
      </c>
      <c r="I4497">
        <f>IF(C4497="C99999",1,0)</f>
        <v/>
      </c>
      <c r="J4497" s="5">
        <f>IF(OR(H4497=1,I4497=1),0,IF(G4497="Credit",-F4497,F4497))</f>
        <v/>
      </c>
    </row>
    <row r="4498">
      <c r="A4498" t="inlineStr">
        <is>
          <t>2026-08-14</t>
        </is>
      </c>
      <c r="B4498" t="inlineStr">
        <is>
          <t>F268116</t>
        </is>
      </c>
      <c r="C4498" t="inlineStr">
        <is>
          <t>C10427</t>
        </is>
      </c>
      <c r="D4498" t="inlineStr">
        <is>
          <t>SKU-10079</t>
        </is>
      </c>
      <c r="E4498" t="inlineStr">
        <is>
          <t>AM01</t>
        </is>
      </c>
      <c r="F4498" s="5" t="n">
        <v>684.76</v>
      </c>
      <c r="G4498">
        <f>IF(LEFT(B4498,1)="C","Credit","Factuur")</f>
        <v/>
      </c>
      <c r="H4498">
        <f>IF(AND(B4498=B4497,D4498=D4497,A4498=A4497,F4498=F4497),1,0)</f>
        <v/>
      </c>
      <c r="I4498">
        <f>IF(C4498="C99999",1,0)</f>
        <v/>
      </c>
      <c r="J4498" s="5">
        <f>IF(OR(H4498=1,I4498=1),0,IF(G4498="Credit",-F4498,F4498))</f>
        <v/>
      </c>
    </row>
    <row r="4499">
      <c r="A4499" t="inlineStr">
        <is>
          <t>2026-08-14</t>
        </is>
      </c>
      <c r="B4499" t="inlineStr">
        <is>
          <t>F268116</t>
        </is>
      </c>
      <c r="C4499" t="inlineStr">
        <is>
          <t>C10427</t>
        </is>
      </c>
      <c r="D4499" t="inlineStr">
        <is>
          <t>SKU-10181</t>
        </is>
      </c>
      <c r="E4499" t="inlineStr">
        <is>
          <t>AM01</t>
        </is>
      </c>
      <c r="F4499" s="5" t="n">
        <v>787.14</v>
      </c>
      <c r="G4499">
        <f>IF(LEFT(B4499,1)="C","Credit","Factuur")</f>
        <v/>
      </c>
      <c r="H4499">
        <f>IF(AND(B4499=B4498,D4499=D4498,A4499=A4498,F4499=F4498),1,0)</f>
        <v/>
      </c>
      <c r="I4499">
        <f>IF(C4499="C99999",1,0)</f>
        <v/>
      </c>
      <c r="J4499" s="5">
        <f>IF(OR(H4499=1,I4499=1),0,IF(G4499="Credit",-F4499,F4499))</f>
        <v/>
      </c>
    </row>
    <row r="4500">
      <c r="A4500" t="inlineStr">
        <is>
          <t>2026-08-14</t>
        </is>
      </c>
      <c r="B4500" t="inlineStr">
        <is>
          <t>F268116</t>
        </is>
      </c>
      <c r="C4500" t="inlineStr">
        <is>
          <t>C10427</t>
        </is>
      </c>
      <c r="D4500" t="inlineStr">
        <is>
          <t>SKU-10181</t>
        </is>
      </c>
      <c r="E4500" t="inlineStr">
        <is>
          <t>AM01</t>
        </is>
      </c>
      <c r="F4500" s="5" t="n">
        <v>787.14</v>
      </c>
      <c r="G4500">
        <f>IF(LEFT(B4500,1)="C","Credit","Factuur")</f>
        <v/>
      </c>
      <c r="H4500">
        <f>IF(AND(B4500=B4499,D4500=D4499,A4500=A4499,F4500=F4499),1,0)</f>
        <v/>
      </c>
      <c r="I4500">
        <f>IF(C4500="C99999",1,0)</f>
        <v/>
      </c>
      <c r="J4500" s="5">
        <f>IF(OR(H4500=1,I4500=1),0,IF(G4500="Credit",-F4500,F4500))</f>
        <v/>
      </c>
    </row>
    <row r="4501">
      <c r="A4501" t="inlineStr">
        <is>
          <t>2026-08-14</t>
        </is>
      </c>
      <c r="B4501" t="inlineStr">
        <is>
          <t>F268122</t>
        </is>
      </c>
      <c r="C4501" t="inlineStr">
        <is>
          <t>C10427</t>
        </is>
      </c>
      <c r="D4501" t="inlineStr">
        <is>
          <t>SKU-10140</t>
        </is>
      </c>
      <c r="E4501" t="inlineStr">
        <is>
          <t>AM01</t>
        </is>
      </c>
      <c r="F4501" s="5" t="n">
        <v>1154.12</v>
      </c>
      <c r="G4501">
        <f>IF(LEFT(B4501,1)="C","Credit","Factuur")</f>
        <v/>
      </c>
      <c r="H4501">
        <f>IF(AND(B4501=B4500,D4501=D4500,A4501=A4500,F4501=F4500),1,0)</f>
        <v/>
      </c>
      <c r="I4501">
        <f>IF(C4501="C99999",1,0)</f>
        <v/>
      </c>
      <c r="J4501" s="5">
        <f>IF(OR(H4501=1,I4501=1),0,IF(G4501="Credit",-F4501,F4501))</f>
        <v/>
      </c>
    </row>
    <row r="4502">
      <c r="A4502" t="inlineStr">
        <is>
          <t>2026-08-14</t>
        </is>
      </c>
      <c r="B4502" t="inlineStr">
        <is>
          <t>F268122</t>
        </is>
      </c>
      <c r="C4502" t="inlineStr">
        <is>
          <t>C10427</t>
        </is>
      </c>
      <c r="D4502" t="inlineStr">
        <is>
          <t>SKU-10140</t>
        </is>
      </c>
      <c r="E4502" t="inlineStr">
        <is>
          <t>AM01</t>
        </is>
      </c>
      <c r="F4502" s="5" t="n">
        <v>1154.12</v>
      </c>
      <c r="G4502">
        <f>IF(LEFT(B4502,1)="C","Credit","Factuur")</f>
        <v/>
      </c>
      <c r="H4502">
        <f>IF(AND(B4502=B4501,D4502=D4501,A4502=A4501,F4502=F4501),1,0)</f>
        <v/>
      </c>
      <c r="I4502">
        <f>IF(C4502="C99999",1,0)</f>
        <v/>
      </c>
      <c r="J4502" s="5">
        <f>IF(OR(H4502=1,I4502=1),0,IF(G4502="Credit",-F4502,F4502))</f>
        <v/>
      </c>
    </row>
    <row r="4503">
      <c r="A4503" t="inlineStr">
        <is>
          <t>2026-08-14</t>
        </is>
      </c>
      <c r="B4503" t="inlineStr">
        <is>
          <t>F268122</t>
        </is>
      </c>
      <c r="C4503" t="inlineStr">
        <is>
          <t>C10427</t>
        </is>
      </c>
      <c r="D4503" t="inlineStr">
        <is>
          <t>SKU-10241</t>
        </is>
      </c>
      <c r="E4503" t="inlineStr">
        <is>
          <t>AM01</t>
        </is>
      </c>
      <c r="F4503" s="5" t="n">
        <v>965.79</v>
      </c>
      <c r="G4503">
        <f>IF(LEFT(B4503,1)="C","Credit","Factuur")</f>
        <v/>
      </c>
      <c r="H4503">
        <f>IF(AND(B4503=B4502,D4503=D4502,A4503=A4502,F4503=F4502),1,0)</f>
        <v/>
      </c>
      <c r="I4503">
        <f>IF(C4503="C99999",1,0)</f>
        <v/>
      </c>
      <c r="J4503" s="5">
        <f>IF(OR(H4503=1,I4503=1),0,IF(G4503="Credit",-F4503,F4503))</f>
        <v/>
      </c>
    </row>
    <row r="4504">
      <c r="A4504" t="inlineStr">
        <is>
          <t>2026-08-14</t>
        </is>
      </c>
      <c r="B4504" t="inlineStr">
        <is>
          <t>F268122</t>
        </is>
      </c>
      <c r="C4504" t="inlineStr">
        <is>
          <t>C10427</t>
        </is>
      </c>
      <c r="D4504" t="inlineStr">
        <is>
          <t>SKU-10241</t>
        </is>
      </c>
      <c r="E4504" t="inlineStr">
        <is>
          <t>AM01</t>
        </is>
      </c>
      <c r="F4504" s="5" t="n">
        <v>965.79</v>
      </c>
      <c r="G4504">
        <f>IF(LEFT(B4504,1)="C","Credit","Factuur")</f>
        <v/>
      </c>
      <c r="H4504">
        <f>IF(AND(B4504=B4503,D4504=D4503,A4504=A4503,F4504=F4503),1,0)</f>
        <v/>
      </c>
      <c r="I4504">
        <f>IF(C4504="C99999",1,0)</f>
        <v/>
      </c>
      <c r="J4504" s="5">
        <f>IF(OR(H4504=1,I4504=1),0,IF(G4504="Credit",-F4504,F4504))</f>
        <v/>
      </c>
    </row>
    <row r="4505">
      <c r="A4505" t="inlineStr">
        <is>
          <t>2026-08-14</t>
        </is>
      </c>
      <c r="B4505" t="inlineStr">
        <is>
          <t>F269692</t>
        </is>
      </c>
      <c r="C4505" t="inlineStr">
        <is>
          <t>C10510</t>
        </is>
      </c>
      <c r="D4505" t="inlineStr">
        <is>
          <t>SKU-10045</t>
        </is>
      </c>
      <c r="E4505" t="inlineStr">
        <is>
          <t>AM02</t>
        </is>
      </c>
      <c r="F4505" s="5" t="n">
        <v>817.11</v>
      </c>
      <c r="G4505">
        <f>IF(LEFT(B4505,1)="C","Credit","Factuur")</f>
        <v/>
      </c>
      <c r="H4505">
        <f>IF(AND(B4505=B4504,D4505=D4504,A4505=A4504,F4505=F4504),1,0)</f>
        <v/>
      </c>
      <c r="I4505">
        <f>IF(C4505="C99999",1,0)</f>
        <v/>
      </c>
      <c r="J4505" s="5">
        <f>IF(OR(H4505=1,I4505=1),0,IF(G4505="Credit",-F4505,F4505))</f>
        <v/>
      </c>
    </row>
    <row r="4506">
      <c r="A4506" t="inlineStr">
        <is>
          <t>2026-08-14</t>
        </is>
      </c>
      <c r="B4506" t="inlineStr">
        <is>
          <t>F269692</t>
        </is>
      </c>
      <c r="C4506" t="inlineStr">
        <is>
          <t>C10510</t>
        </is>
      </c>
      <c r="D4506" t="inlineStr">
        <is>
          <t>SKU-10045</t>
        </is>
      </c>
      <c r="E4506" t="inlineStr">
        <is>
          <t>AM02</t>
        </is>
      </c>
      <c r="F4506" s="5" t="n">
        <v>817.11</v>
      </c>
      <c r="G4506">
        <f>IF(LEFT(B4506,1)="C","Credit","Factuur")</f>
        <v/>
      </c>
      <c r="H4506">
        <f>IF(AND(B4506=B4505,D4506=D4505,A4506=A4505,F4506=F4505),1,0)</f>
        <v/>
      </c>
      <c r="I4506">
        <f>IF(C4506="C99999",1,0)</f>
        <v/>
      </c>
      <c r="J4506" s="5">
        <f>IF(OR(H4506=1,I4506=1),0,IF(G4506="Credit",-F4506,F4506))</f>
        <v/>
      </c>
    </row>
    <row r="4507">
      <c r="A4507" t="inlineStr">
        <is>
          <t>2026-08-14</t>
        </is>
      </c>
      <c r="B4507" t="inlineStr">
        <is>
          <t>F269692</t>
        </is>
      </c>
      <c r="C4507" t="inlineStr">
        <is>
          <t>C10510</t>
        </is>
      </c>
      <c r="D4507" t="inlineStr">
        <is>
          <t>SKU-10284</t>
        </is>
      </c>
      <c r="E4507" t="inlineStr">
        <is>
          <t>AM02</t>
        </is>
      </c>
      <c r="F4507" s="5" t="n">
        <v>760.39</v>
      </c>
      <c r="G4507">
        <f>IF(LEFT(B4507,1)="C","Credit","Factuur")</f>
        <v/>
      </c>
      <c r="H4507">
        <f>IF(AND(B4507=B4506,D4507=D4506,A4507=A4506,F4507=F4506),1,0)</f>
        <v/>
      </c>
      <c r="I4507">
        <f>IF(C4507="C99999",1,0)</f>
        <v/>
      </c>
      <c r="J4507" s="5">
        <f>IF(OR(H4507=1,I4507=1),0,IF(G4507="Credit",-F4507,F4507))</f>
        <v/>
      </c>
    </row>
    <row r="4508">
      <c r="A4508" t="inlineStr">
        <is>
          <t>2026-08-14</t>
        </is>
      </c>
      <c r="B4508" t="inlineStr">
        <is>
          <t>F269692</t>
        </is>
      </c>
      <c r="C4508" t="inlineStr">
        <is>
          <t>C10510</t>
        </is>
      </c>
      <c r="D4508" t="inlineStr">
        <is>
          <t>SKU-10284</t>
        </is>
      </c>
      <c r="E4508" t="inlineStr">
        <is>
          <t>AM02</t>
        </is>
      </c>
      <c r="F4508" s="5" t="n">
        <v>760.39</v>
      </c>
      <c r="G4508">
        <f>IF(LEFT(B4508,1)="C","Credit","Factuur")</f>
        <v/>
      </c>
      <c r="H4508">
        <f>IF(AND(B4508=B4507,D4508=D4507,A4508=A4507,F4508=F4507),1,0)</f>
        <v/>
      </c>
      <c r="I4508">
        <f>IF(C4508="C99999",1,0)</f>
        <v/>
      </c>
      <c r="J4508" s="5">
        <f>IF(OR(H4508=1,I4508=1),0,IF(G4508="Credit",-F4508,F4508))</f>
        <v/>
      </c>
    </row>
    <row r="4509">
      <c r="A4509" t="inlineStr">
        <is>
          <t>2026-08-14</t>
        </is>
      </c>
      <c r="B4509" t="inlineStr">
        <is>
          <t>F270078</t>
        </is>
      </c>
      <c r="C4509" t="inlineStr">
        <is>
          <t>C10530</t>
        </is>
      </c>
      <c r="D4509" t="inlineStr">
        <is>
          <t>SKU-10046</t>
        </is>
      </c>
      <c r="E4509" t="inlineStr">
        <is>
          <t>AM03</t>
        </is>
      </c>
      <c r="F4509" s="5" t="n">
        <v>173.58</v>
      </c>
      <c r="G4509">
        <f>IF(LEFT(B4509,1)="C","Credit","Factuur")</f>
        <v/>
      </c>
      <c r="H4509">
        <f>IF(AND(B4509=B4508,D4509=D4508,A4509=A4508,F4509=F4508),1,0)</f>
        <v/>
      </c>
      <c r="I4509">
        <f>IF(C4509="C99999",1,0)</f>
        <v/>
      </c>
      <c r="J4509" s="5">
        <f>IF(OR(H4509=1,I4509=1),0,IF(G4509="Credit",-F4509,F4509))</f>
        <v/>
      </c>
    </row>
    <row r="4510">
      <c r="A4510" t="inlineStr">
        <is>
          <t>2026-08-14</t>
        </is>
      </c>
      <c r="B4510" t="inlineStr">
        <is>
          <t>F270078</t>
        </is>
      </c>
      <c r="C4510" t="inlineStr">
        <is>
          <t>C10530</t>
        </is>
      </c>
      <c r="D4510" t="inlineStr">
        <is>
          <t>SKU-10046</t>
        </is>
      </c>
      <c r="E4510" t="inlineStr">
        <is>
          <t>AM03</t>
        </is>
      </c>
      <c r="F4510" s="5" t="n">
        <v>173.58</v>
      </c>
      <c r="G4510">
        <f>IF(LEFT(B4510,1)="C","Credit","Factuur")</f>
        <v/>
      </c>
      <c r="H4510">
        <f>IF(AND(B4510=B4509,D4510=D4509,A4510=A4509,F4510=F4509),1,0)</f>
        <v/>
      </c>
      <c r="I4510">
        <f>IF(C4510="C99999",1,0)</f>
        <v/>
      </c>
      <c r="J4510" s="5">
        <f>IF(OR(H4510=1,I4510=1),0,IF(G4510="Credit",-F4510,F4510))</f>
        <v/>
      </c>
    </row>
    <row r="4511">
      <c r="A4511" t="inlineStr">
        <is>
          <t>2026-08-14</t>
        </is>
      </c>
      <c r="B4511" t="inlineStr">
        <is>
          <t>F270078</t>
        </is>
      </c>
      <c r="C4511" t="inlineStr">
        <is>
          <t>C10530</t>
        </is>
      </c>
      <c r="D4511" t="inlineStr">
        <is>
          <t>SKU-10065</t>
        </is>
      </c>
      <c r="E4511" t="inlineStr">
        <is>
          <t>AM03</t>
        </is>
      </c>
      <c r="F4511" s="5" t="n">
        <v>174.34</v>
      </c>
      <c r="G4511">
        <f>IF(LEFT(B4511,1)="C","Credit","Factuur")</f>
        <v/>
      </c>
      <c r="H4511">
        <f>IF(AND(B4511=B4510,D4511=D4510,A4511=A4510,F4511=F4510),1,0)</f>
        <v/>
      </c>
      <c r="I4511">
        <f>IF(C4511="C99999",1,0)</f>
        <v/>
      </c>
      <c r="J4511" s="5">
        <f>IF(OR(H4511=1,I4511=1),0,IF(G4511="Credit",-F4511,F4511))</f>
        <v/>
      </c>
    </row>
    <row r="4512">
      <c r="A4512" t="inlineStr">
        <is>
          <t>2026-08-14</t>
        </is>
      </c>
      <c r="B4512" t="inlineStr">
        <is>
          <t>F270078</t>
        </is>
      </c>
      <c r="C4512" t="inlineStr">
        <is>
          <t>C10530</t>
        </is>
      </c>
      <c r="D4512" t="inlineStr">
        <is>
          <t>SKU-10065</t>
        </is>
      </c>
      <c r="E4512" t="inlineStr">
        <is>
          <t>AM03</t>
        </is>
      </c>
      <c r="F4512" s="5" t="n">
        <v>174.34</v>
      </c>
      <c r="G4512">
        <f>IF(LEFT(B4512,1)="C","Credit","Factuur")</f>
        <v/>
      </c>
      <c r="H4512">
        <f>IF(AND(B4512=B4511,D4512=D4511,A4512=A4511,F4512=F4511),1,0)</f>
        <v/>
      </c>
      <c r="I4512">
        <f>IF(C4512="C99999",1,0)</f>
        <v/>
      </c>
      <c r="J4512" s="5">
        <f>IF(OR(H4512=1,I4512=1),0,IF(G4512="Credit",-F4512,F4512))</f>
        <v/>
      </c>
    </row>
    <row r="4513">
      <c r="A4513" t="inlineStr">
        <is>
          <t>2026-08-14</t>
        </is>
      </c>
      <c r="B4513" t="inlineStr">
        <is>
          <t>F270078</t>
        </is>
      </c>
      <c r="C4513" t="inlineStr">
        <is>
          <t>C10530</t>
        </is>
      </c>
      <c r="D4513" t="inlineStr">
        <is>
          <t>SKU-10109</t>
        </is>
      </c>
      <c r="E4513" t="inlineStr">
        <is>
          <t>AM03</t>
        </is>
      </c>
      <c r="F4513" s="5" t="n">
        <v>191.8</v>
      </c>
      <c r="G4513">
        <f>IF(LEFT(B4513,1)="C","Credit","Factuur")</f>
        <v/>
      </c>
      <c r="H4513">
        <f>IF(AND(B4513=B4512,D4513=D4512,A4513=A4512,F4513=F4512),1,0)</f>
        <v/>
      </c>
      <c r="I4513">
        <f>IF(C4513="C99999",1,0)</f>
        <v/>
      </c>
      <c r="J4513" s="5">
        <f>IF(OR(H4513=1,I4513=1),0,IF(G4513="Credit",-F4513,F4513))</f>
        <v/>
      </c>
    </row>
    <row r="4514">
      <c r="A4514" t="inlineStr">
        <is>
          <t>2026-08-14</t>
        </is>
      </c>
      <c r="B4514" t="inlineStr">
        <is>
          <t>F270078</t>
        </is>
      </c>
      <c r="C4514" t="inlineStr">
        <is>
          <t>C10530</t>
        </is>
      </c>
      <c r="D4514" t="inlineStr">
        <is>
          <t>SKU-10109</t>
        </is>
      </c>
      <c r="E4514" t="inlineStr">
        <is>
          <t>AM03</t>
        </is>
      </c>
      <c r="F4514" s="5" t="n">
        <v>191.8</v>
      </c>
      <c r="G4514">
        <f>IF(LEFT(B4514,1)="C","Credit","Factuur")</f>
        <v/>
      </c>
      <c r="H4514">
        <f>IF(AND(B4514=B4513,D4514=D4513,A4514=A4513,F4514=F4513),1,0)</f>
        <v/>
      </c>
      <c r="I4514">
        <f>IF(C4514="C99999",1,0)</f>
        <v/>
      </c>
      <c r="J4514" s="5">
        <f>IF(OR(H4514=1,I4514=1),0,IF(G4514="Credit",-F4514,F4514))</f>
        <v/>
      </c>
    </row>
    <row r="4515">
      <c r="A4515" t="inlineStr">
        <is>
          <t>2026-08-14</t>
        </is>
      </c>
      <c r="B4515" t="inlineStr">
        <is>
          <t>F270078</t>
        </is>
      </c>
      <c r="C4515" t="inlineStr">
        <is>
          <t>C10530</t>
        </is>
      </c>
      <c r="D4515" t="inlineStr">
        <is>
          <t>SKU-10149</t>
        </is>
      </c>
      <c r="E4515" t="inlineStr">
        <is>
          <t>AM03</t>
        </is>
      </c>
      <c r="F4515" s="5" t="n">
        <v>145.16</v>
      </c>
      <c r="G4515">
        <f>IF(LEFT(B4515,1)="C","Credit","Factuur")</f>
        <v/>
      </c>
      <c r="H4515">
        <f>IF(AND(B4515=B4514,D4515=D4514,A4515=A4514,F4515=F4514),1,0)</f>
        <v/>
      </c>
      <c r="I4515">
        <f>IF(C4515="C99999",1,0)</f>
        <v/>
      </c>
      <c r="J4515" s="5">
        <f>IF(OR(H4515=1,I4515=1),0,IF(G4515="Credit",-F4515,F4515))</f>
        <v/>
      </c>
    </row>
    <row r="4516">
      <c r="A4516" t="inlineStr">
        <is>
          <t>2026-08-14</t>
        </is>
      </c>
      <c r="B4516" t="inlineStr">
        <is>
          <t>F270078</t>
        </is>
      </c>
      <c r="C4516" t="inlineStr">
        <is>
          <t>C10530</t>
        </is>
      </c>
      <c r="D4516" t="inlineStr">
        <is>
          <t>SKU-10149</t>
        </is>
      </c>
      <c r="E4516" t="inlineStr">
        <is>
          <t>AM03</t>
        </is>
      </c>
      <c r="F4516" s="5" t="n">
        <v>145.16</v>
      </c>
      <c r="G4516">
        <f>IF(LEFT(B4516,1)="C","Credit","Factuur")</f>
        <v/>
      </c>
      <c r="H4516">
        <f>IF(AND(B4516=B4515,D4516=D4515,A4516=A4515,F4516=F4515),1,0)</f>
        <v/>
      </c>
      <c r="I4516">
        <f>IF(C4516="C99999",1,0)</f>
        <v/>
      </c>
      <c r="J4516" s="5">
        <f>IF(OR(H4516=1,I4516=1),0,IF(G4516="Credit",-F4516,F4516))</f>
        <v/>
      </c>
    </row>
    <row r="4517">
      <c r="A4517" t="inlineStr">
        <is>
          <t>2026-08-14</t>
        </is>
      </c>
      <c r="B4517" t="inlineStr">
        <is>
          <t>F270078</t>
        </is>
      </c>
      <c r="C4517" t="inlineStr">
        <is>
          <t>C10530</t>
        </is>
      </c>
      <c r="D4517" t="inlineStr">
        <is>
          <t>SKU-10297</t>
        </is>
      </c>
      <c r="E4517" t="inlineStr">
        <is>
          <t>AM03</t>
        </is>
      </c>
      <c r="F4517" s="5" t="n">
        <v>186.8</v>
      </c>
      <c r="G4517">
        <f>IF(LEFT(B4517,1)="C","Credit","Factuur")</f>
        <v/>
      </c>
      <c r="H4517">
        <f>IF(AND(B4517=B4516,D4517=D4516,A4517=A4516,F4517=F4516),1,0)</f>
        <v/>
      </c>
      <c r="I4517">
        <f>IF(C4517="C99999",1,0)</f>
        <v/>
      </c>
      <c r="J4517" s="5">
        <f>IF(OR(H4517=1,I4517=1),0,IF(G4517="Credit",-F4517,F4517))</f>
        <v/>
      </c>
    </row>
    <row r="4518">
      <c r="A4518" t="inlineStr">
        <is>
          <t>2026-08-14</t>
        </is>
      </c>
      <c r="B4518" t="inlineStr">
        <is>
          <t>F270078</t>
        </is>
      </c>
      <c r="C4518" t="inlineStr">
        <is>
          <t>C10530</t>
        </is>
      </c>
      <c r="D4518" t="inlineStr">
        <is>
          <t>SKU-10297</t>
        </is>
      </c>
      <c r="E4518" t="inlineStr">
        <is>
          <t>AM03</t>
        </is>
      </c>
      <c r="F4518" s="5" t="n">
        <v>186.8</v>
      </c>
      <c r="G4518">
        <f>IF(LEFT(B4518,1)="C","Credit","Factuur")</f>
        <v/>
      </c>
      <c r="H4518">
        <f>IF(AND(B4518=B4517,D4518=D4517,A4518=A4517,F4518=F4517),1,0)</f>
        <v/>
      </c>
      <c r="I4518">
        <f>IF(C4518="C99999",1,0)</f>
        <v/>
      </c>
      <c r="J4518" s="5">
        <f>IF(OR(H4518=1,I4518=1),0,IF(G4518="Credit",-F4518,F4518))</f>
        <v/>
      </c>
    </row>
    <row r="4519">
      <c r="A4519" t="inlineStr">
        <is>
          <t>2026-08-14</t>
        </is>
      </c>
      <c r="B4519" t="inlineStr">
        <is>
          <t>F270267</t>
        </is>
      </c>
      <c r="C4519" t="inlineStr">
        <is>
          <t>C10541</t>
        </is>
      </c>
      <c r="D4519" t="inlineStr">
        <is>
          <t>SKU-10142</t>
        </is>
      </c>
      <c r="E4519" t="inlineStr">
        <is>
          <t>AM01</t>
        </is>
      </c>
      <c r="F4519" s="5" t="n">
        <v>65.20999999999999</v>
      </c>
      <c r="G4519">
        <f>IF(LEFT(B4519,1)="C","Credit","Factuur")</f>
        <v/>
      </c>
      <c r="H4519">
        <f>IF(AND(B4519=B4518,D4519=D4518,A4519=A4518,F4519=F4518),1,0)</f>
        <v/>
      </c>
      <c r="I4519">
        <f>IF(C4519="C99999",1,0)</f>
        <v/>
      </c>
      <c r="J4519" s="5">
        <f>IF(OR(H4519=1,I4519=1),0,IF(G4519="Credit",-F4519,F4519))</f>
        <v/>
      </c>
    </row>
    <row r="4520">
      <c r="A4520" t="inlineStr">
        <is>
          <t>2026-08-14</t>
        </is>
      </c>
      <c r="B4520" t="inlineStr">
        <is>
          <t>F270267</t>
        </is>
      </c>
      <c r="C4520" t="inlineStr">
        <is>
          <t>C10541</t>
        </is>
      </c>
      <c r="D4520" t="inlineStr">
        <is>
          <t>SKU-10142</t>
        </is>
      </c>
      <c r="E4520" t="inlineStr">
        <is>
          <t>AM01</t>
        </is>
      </c>
      <c r="F4520" s="5" t="n">
        <v>65.20999999999999</v>
      </c>
      <c r="G4520">
        <f>IF(LEFT(B4520,1)="C","Credit","Factuur")</f>
        <v/>
      </c>
      <c r="H4520">
        <f>IF(AND(B4520=B4519,D4520=D4519,A4520=A4519,F4520=F4519),1,0)</f>
        <v/>
      </c>
      <c r="I4520">
        <f>IF(C4520="C99999",1,0)</f>
        <v/>
      </c>
      <c r="J4520" s="5">
        <f>IF(OR(H4520=1,I4520=1),0,IF(G4520="Credit",-F4520,F4520))</f>
        <v/>
      </c>
    </row>
    <row r="4521">
      <c r="A4521" t="inlineStr">
        <is>
          <t>2026-08-14</t>
        </is>
      </c>
      <c r="B4521" t="inlineStr">
        <is>
          <t>F270267</t>
        </is>
      </c>
      <c r="C4521" t="inlineStr">
        <is>
          <t>C10541</t>
        </is>
      </c>
      <c r="D4521" t="inlineStr">
        <is>
          <t>SKU-10219</t>
        </is>
      </c>
      <c r="E4521" t="inlineStr">
        <is>
          <t>AM01</t>
        </is>
      </c>
      <c r="F4521" s="5" t="n">
        <v>76.04000000000001</v>
      </c>
      <c r="G4521">
        <f>IF(LEFT(B4521,1)="C","Credit","Factuur")</f>
        <v/>
      </c>
      <c r="H4521">
        <f>IF(AND(B4521=B4520,D4521=D4520,A4521=A4520,F4521=F4520),1,0)</f>
        <v/>
      </c>
      <c r="I4521">
        <f>IF(C4521="C99999",1,0)</f>
        <v/>
      </c>
      <c r="J4521" s="5">
        <f>IF(OR(H4521=1,I4521=1),0,IF(G4521="Credit",-F4521,F4521))</f>
        <v/>
      </c>
    </row>
    <row r="4522">
      <c r="A4522" t="inlineStr">
        <is>
          <t>2026-08-14</t>
        </is>
      </c>
      <c r="B4522" t="inlineStr">
        <is>
          <t>F270267</t>
        </is>
      </c>
      <c r="C4522" t="inlineStr">
        <is>
          <t>C10541</t>
        </is>
      </c>
      <c r="D4522" t="inlineStr">
        <is>
          <t>SKU-10219</t>
        </is>
      </c>
      <c r="E4522" t="inlineStr">
        <is>
          <t>AM01</t>
        </is>
      </c>
      <c r="F4522" s="5" t="n">
        <v>76.04000000000001</v>
      </c>
      <c r="G4522">
        <f>IF(LEFT(B4522,1)="C","Credit","Factuur")</f>
        <v/>
      </c>
      <c r="H4522">
        <f>IF(AND(B4522=B4521,D4522=D4521,A4522=A4521,F4522=F4521),1,0)</f>
        <v/>
      </c>
      <c r="I4522">
        <f>IF(C4522="C99999",1,0)</f>
        <v/>
      </c>
      <c r="J4522" s="5">
        <f>IF(OR(H4522=1,I4522=1),0,IF(G4522="Credit",-F4522,F4522))</f>
        <v/>
      </c>
    </row>
    <row r="4523">
      <c r="A4523" t="inlineStr">
        <is>
          <t>2026-08-14</t>
        </is>
      </c>
      <c r="B4523" t="inlineStr">
        <is>
          <t>F270267</t>
        </is>
      </c>
      <c r="C4523" t="inlineStr">
        <is>
          <t>C10541</t>
        </is>
      </c>
      <c r="D4523" t="inlineStr">
        <is>
          <t>SKU-10283</t>
        </is>
      </c>
      <c r="E4523" t="inlineStr">
        <is>
          <t>AM01</t>
        </is>
      </c>
      <c r="F4523" s="5" t="n">
        <v>68.02</v>
      </c>
      <c r="G4523">
        <f>IF(LEFT(B4523,1)="C","Credit","Factuur")</f>
        <v/>
      </c>
      <c r="H4523">
        <f>IF(AND(B4523=B4522,D4523=D4522,A4523=A4522,F4523=F4522),1,0)</f>
        <v/>
      </c>
      <c r="I4523">
        <f>IF(C4523="C99999",1,0)</f>
        <v/>
      </c>
      <c r="J4523" s="5">
        <f>IF(OR(H4523=1,I4523=1),0,IF(G4523="Credit",-F4523,F4523))</f>
        <v/>
      </c>
    </row>
    <row r="4524">
      <c r="A4524" t="inlineStr">
        <is>
          <t>2026-08-14</t>
        </is>
      </c>
      <c r="B4524" t="inlineStr">
        <is>
          <t>F270267</t>
        </is>
      </c>
      <c r="C4524" t="inlineStr">
        <is>
          <t>C10541</t>
        </is>
      </c>
      <c r="D4524" t="inlineStr">
        <is>
          <t>SKU-10283</t>
        </is>
      </c>
      <c r="E4524" t="inlineStr">
        <is>
          <t>AM01</t>
        </is>
      </c>
      <c r="F4524" s="5" t="n">
        <v>68.02</v>
      </c>
      <c r="G4524">
        <f>IF(LEFT(B4524,1)="C","Credit","Factuur")</f>
        <v/>
      </c>
      <c r="H4524">
        <f>IF(AND(B4524=B4523,D4524=D4523,A4524=A4523,F4524=F4523),1,0)</f>
        <v/>
      </c>
      <c r="I4524">
        <f>IF(C4524="C99999",1,0)</f>
        <v/>
      </c>
      <c r="J4524" s="5">
        <f>IF(OR(H4524=1,I4524=1),0,IF(G4524="Credit",-F4524,F4524))</f>
        <v/>
      </c>
    </row>
    <row r="4525">
      <c r="A4525" t="inlineStr">
        <is>
          <t>2026-08-14</t>
        </is>
      </c>
      <c r="B4525" t="inlineStr">
        <is>
          <t>F270267</t>
        </is>
      </c>
      <c r="C4525" t="inlineStr">
        <is>
          <t>C10541</t>
        </is>
      </c>
      <c r="D4525" t="inlineStr">
        <is>
          <t>SKU-10341</t>
        </is>
      </c>
      <c r="E4525" t="inlineStr">
        <is>
          <t>AM01</t>
        </is>
      </c>
      <c r="F4525" s="5" t="n">
        <v>76.45999999999999</v>
      </c>
      <c r="G4525">
        <f>IF(LEFT(B4525,1)="C","Credit","Factuur")</f>
        <v/>
      </c>
      <c r="H4525">
        <f>IF(AND(B4525=B4524,D4525=D4524,A4525=A4524,F4525=F4524),1,0)</f>
        <v/>
      </c>
      <c r="I4525">
        <f>IF(C4525="C99999",1,0)</f>
        <v/>
      </c>
      <c r="J4525" s="5">
        <f>IF(OR(H4525=1,I4525=1),0,IF(G4525="Credit",-F4525,F4525))</f>
        <v/>
      </c>
    </row>
    <row r="4526">
      <c r="A4526" t="inlineStr">
        <is>
          <t>2026-08-14</t>
        </is>
      </c>
      <c r="B4526" t="inlineStr">
        <is>
          <t>F270267</t>
        </is>
      </c>
      <c r="C4526" t="inlineStr">
        <is>
          <t>C10541</t>
        </is>
      </c>
      <c r="D4526" t="inlineStr">
        <is>
          <t>SKU-10341</t>
        </is>
      </c>
      <c r="E4526" t="inlineStr">
        <is>
          <t>AM01</t>
        </is>
      </c>
      <c r="F4526" s="5" t="n">
        <v>76.45999999999999</v>
      </c>
      <c r="G4526">
        <f>IF(LEFT(B4526,1)="C","Credit","Factuur")</f>
        <v/>
      </c>
      <c r="H4526">
        <f>IF(AND(B4526=B4525,D4526=D4525,A4526=A4525,F4526=F4525),1,0)</f>
        <v/>
      </c>
      <c r="I4526">
        <f>IF(C4526="C99999",1,0)</f>
        <v/>
      </c>
      <c r="J4526" s="5">
        <f>IF(OR(H4526=1,I4526=1),0,IF(G4526="Credit",-F4526,F4526))</f>
        <v/>
      </c>
    </row>
    <row r="4527">
      <c r="A4527" t="inlineStr">
        <is>
          <t>2026-08-14</t>
        </is>
      </c>
      <c r="B4527" t="inlineStr">
        <is>
          <t>F270301</t>
        </is>
      </c>
      <c r="C4527" t="inlineStr">
        <is>
          <t>C10542</t>
        </is>
      </c>
      <c r="D4527" t="inlineStr">
        <is>
          <t>SKU-10219</t>
        </is>
      </c>
      <c r="E4527" t="inlineStr">
        <is>
          <t>AM08</t>
        </is>
      </c>
      <c r="F4527" s="5" t="n">
        <v>1201.93</v>
      </c>
      <c r="G4527">
        <f>IF(LEFT(B4527,1)="C","Credit","Factuur")</f>
        <v/>
      </c>
      <c r="H4527">
        <f>IF(AND(B4527=B4526,D4527=D4526,A4527=A4526,F4527=F4526),1,0)</f>
        <v/>
      </c>
      <c r="I4527">
        <f>IF(C4527="C99999",1,0)</f>
        <v/>
      </c>
      <c r="J4527" s="5">
        <f>IF(OR(H4527=1,I4527=1),0,IF(G4527="Credit",-F4527,F4527))</f>
        <v/>
      </c>
    </row>
    <row r="4528">
      <c r="A4528" t="inlineStr">
        <is>
          <t>2026-08-14</t>
        </is>
      </c>
      <c r="B4528" t="inlineStr">
        <is>
          <t>F270301</t>
        </is>
      </c>
      <c r="C4528" t="inlineStr">
        <is>
          <t>C10542</t>
        </is>
      </c>
      <c r="D4528" t="inlineStr">
        <is>
          <t>SKU-10219</t>
        </is>
      </c>
      <c r="E4528" t="inlineStr">
        <is>
          <t>AM08</t>
        </is>
      </c>
      <c r="F4528" s="5" t="n">
        <v>1201.93</v>
      </c>
      <c r="G4528">
        <f>IF(LEFT(B4528,1)="C","Credit","Factuur")</f>
        <v/>
      </c>
      <c r="H4528">
        <f>IF(AND(B4528=B4527,D4528=D4527,A4528=A4527,F4528=F4527),1,0)</f>
        <v/>
      </c>
      <c r="I4528">
        <f>IF(C4528="C99999",1,0)</f>
        <v/>
      </c>
      <c r="J4528" s="5">
        <f>IF(OR(H4528=1,I4528=1),0,IF(G4528="Credit",-F4528,F4528))</f>
        <v/>
      </c>
    </row>
    <row r="4529">
      <c r="A4529" t="inlineStr">
        <is>
          <t>2026-08-14</t>
        </is>
      </c>
      <c r="B4529" t="inlineStr">
        <is>
          <t>F270511</t>
        </is>
      </c>
      <c r="C4529" t="inlineStr">
        <is>
          <t>C10553</t>
        </is>
      </c>
      <c r="D4529" t="inlineStr">
        <is>
          <t>SKU-10017</t>
        </is>
      </c>
      <c r="E4529" t="inlineStr">
        <is>
          <t>AM11</t>
        </is>
      </c>
      <c r="F4529" s="5" t="n">
        <v>660.45</v>
      </c>
      <c r="G4529">
        <f>IF(LEFT(B4529,1)="C","Credit","Factuur")</f>
        <v/>
      </c>
      <c r="H4529">
        <f>IF(AND(B4529=B4528,D4529=D4528,A4529=A4528,F4529=F4528),1,0)</f>
        <v/>
      </c>
      <c r="I4529">
        <f>IF(C4529="C99999",1,0)</f>
        <v/>
      </c>
      <c r="J4529" s="5">
        <f>IF(OR(H4529=1,I4529=1),0,IF(G4529="Credit",-F4529,F4529))</f>
        <v/>
      </c>
    </row>
    <row r="4530">
      <c r="A4530" t="inlineStr">
        <is>
          <t>2026-08-14</t>
        </is>
      </c>
      <c r="B4530" t="inlineStr">
        <is>
          <t>F270511</t>
        </is>
      </c>
      <c r="C4530" t="inlineStr">
        <is>
          <t>C10553</t>
        </is>
      </c>
      <c r="D4530" t="inlineStr">
        <is>
          <t>SKU-10017</t>
        </is>
      </c>
      <c r="E4530" t="inlineStr">
        <is>
          <t>AM11</t>
        </is>
      </c>
      <c r="F4530" s="5" t="n">
        <v>660.45</v>
      </c>
      <c r="G4530">
        <f>IF(LEFT(B4530,1)="C","Credit","Factuur")</f>
        <v/>
      </c>
      <c r="H4530">
        <f>IF(AND(B4530=B4529,D4530=D4529,A4530=A4529,F4530=F4529),1,0)</f>
        <v/>
      </c>
      <c r="I4530">
        <f>IF(C4530="C99999",1,0)</f>
        <v/>
      </c>
      <c r="J4530" s="5">
        <f>IF(OR(H4530=1,I4530=1),0,IF(G4530="Credit",-F4530,F4530))</f>
        <v/>
      </c>
    </row>
    <row r="4531">
      <c r="A4531" t="inlineStr">
        <is>
          <t>2026-08-14</t>
        </is>
      </c>
      <c r="B4531" t="inlineStr">
        <is>
          <t>F270511</t>
        </is>
      </c>
      <c r="C4531" t="inlineStr">
        <is>
          <t>C10553</t>
        </is>
      </c>
      <c r="D4531" t="inlineStr">
        <is>
          <t>SKU-10335</t>
        </is>
      </c>
      <c r="E4531" t="inlineStr">
        <is>
          <t>AM11</t>
        </is>
      </c>
      <c r="F4531" s="5" t="n">
        <v>678.16</v>
      </c>
      <c r="G4531">
        <f>IF(LEFT(B4531,1)="C","Credit","Factuur")</f>
        <v/>
      </c>
      <c r="H4531">
        <f>IF(AND(B4531=B4530,D4531=D4530,A4531=A4530,F4531=F4530),1,0)</f>
        <v/>
      </c>
      <c r="I4531">
        <f>IF(C4531="C99999",1,0)</f>
        <v/>
      </c>
      <c r="J4531" s="5">
        <f>IF(OR(H4531=1,I4531=1),0,IF(G4531="Credit",-F4531,F4531))</f>
        <v/>
      </c>
    </row>
    <row r="4532">
      <c r="A4532" t="inlineStr">
        <is>
          <t>2026-08-14</t>
        </is>
      </c>
      <c r="B4532" t="inlineStr">
        <is>
          <t>F270511</t>
        </is>
      </c>
      <c r="C4532" t="inlineStr">
        <is>
          <t>C10553</t>
        </is>
      </c>
      <c r="D4532" t="inlineStr">
        <is>
          <t>SKU-10335</t>
        </is>
      </c>
      <c r="E4532" t="inlineStr">
        <is>
          <t>AM11</t>
        </is>
      </c>
      <c r="F4532" s="5" t="n">
        <v>678.16</v>
      </c>
      <c r="G4532">
        <f>IF(LEFT(B4532,1)="C","Credit","Factuur")</f>
        <v/>
      </c>
      <c r="H4532">
        <f>IF(AND(B4532=B4531,D4532=D4531,A4532=A4531,F4532=F4531),1,0)</f>
        <v/>
      </c>
      <c r="I4532">
        <f>IF(C4532="C99999",1,0)</f>
        <v/>
      </c>
      <c r="J4532" s="5">
        <f>IF(OR(H4532=1,I4532=1),0,IF(G4532="Credit",-F4532,F4532))</f>
        <v/>
      </c>
    </row>
    <row r="4533">
      <c r="A4533" t="inlineStr">
        <is>
          <t>2026-08-14</t>
        </is>
      </c>
      <c r="B4533" t="inlineStr">
        <is>
          <t>F270914</t>
        </is>
      </c>
      <c r="C4533" t="inlineStr">
        <is>
          <t>C10571</t>
        </is>
      </c>
      <c r="D4533" t="inlineStr">
        <is>
          <t>SKU-10021</t>
        </is>
      </c>
      <c r="E4533" t="inlineStr">
        <is>
          <t>AM11</t>
        </is>
      </c>
      <c r="F4533" s="5" t="n">
        <v>301.77</v>
      </c>
      <c r="G4533">
        <f>IF(LEFT(B4533,1)="C","Credit","Factuur")</f>
        <v/>
      </c>
      <c r="H4533">
        <f>IF(AND(B4533=B4532,D4533=D4532,A4533=A4532,F4533=F4532),1,0)</f>
        <v/>
      </c>
      <c r="I4533">
        <f>IF(C4533="C99999",1,0)</f>
        <v/>
      </c>
      <c r="J4533" s="5">
        <f>IF(OR(H4533=1,I4533=1),0,IF(G4533="Credit",-F4533,F4533))</f>
        <v/>
      </c>
    </row>
    <row r="4534">
      <c r="A4534" t="inlineStr">
        <is>
          <t>2026-08-14</t>
        </is>
      </c>
      <c r="B4534" t="inlineStr">
        <is>
          <t>F270914</t>
        </is>
      </c>
      <c r="C4534" t="inlineStr">
        <is>
          <t>C10571</t>
        </is>
      </c>
      <c r="D4534" t="inlineStr">
        <is>
          <t>SKU-10021</t>
        </is>
      </c>
      <c r="E4534" t="inlineStr">
        <is>
          <t>AM11</t>
        </is>
      </c>
      <c r="F4534" s="5" t="n">
        <v>301.77</v>
      </c>
      <c r="G4534">
        <f>IF(LEFT(B4534,1)="C","Credit","Factuur")</f>
        <v/>
      </c>
      <c r="H4534">
        <f>IF(AND(B4534=B4533,D4534=D4533,A4534=A4533,F4534=F4533),1,0)</f>
        <v/>
      </c>
      <c r="I4534">
        <f>IF(C4534="C99999",1,0)</f>
        <v/>
      </c>
      <c r="J4534" s="5">
        <f>IF(OR(H4534=1,I4534=1),0,IF(G4534="Credit",-F4534,F4534))</f>
        <v/>
      </c>
    </row>
    <row r="4535">
      <c r="A4535" t="inlineStr">
        <is>
          <t>2026-08-14</t>
        </is>
      </c>
      <c r="B4535" t="inlineStr">
        <is>
          <t>F270914</t>
        </is>
      </c>
      <c r="C4535" t="inlineStr">
        <is>
          <t>C10571</t>
        </is>
      </c>
      <c r="D4535" t="inlineStr">
        <is>
          <t>SKU-10044</t>
        </is>
      </c>
      <c r="E4535" t="inlineStr">
        <is>
          <t>AM11</t>
        </is>
      </c>
      <c r="F4535" s="5" t="n">
        <v>294.48</v>
      </c>
      <c r="G4535">
        <f>IF(LEFT(B4535,1)="C","Credit","Factuur")</f>
        <v/>
      </c>
      <c r="H4535">
        <f>IF(AND(B4535=B4534,D4535=D4534,A4535=A4534,F4535=F4534),1,0)</f>
        <v/>
      </c>
      <c r="I4535">
        <f>IF(C4535="C99999",1,0)</f>
        <v/>
      </c>
      <c r="J4535" s="5">
        <f>IF(OR(H4535=1,I4535=1),0,IF(G4535="Credit",-F4535,F4535))</f>
        <v/>
      </c>
    </row>
    <row r="4536">
      <c r="A4536" t="inlineStr">
        <is>
          <t>2026-08-14</t>
        </is>
      </c>
      <c r="B4536" t="inlineStr">
        <is>
          <t>F270914</t>
        </is>
      </c>
      <c r="C4536" t="inlineStr">
        <is>
          <t>C10571</t>
        </is>
      </c>
      <c r="D4536" t="inlineStr">
        <is>
          <t>SKU-10044</t>
        </is>
      </c>
      <c r="E4536" t="inlineStr">
        <is>
          <t>AM11</t>
        </is>
      </c>
      <c r="F4536" s="5" t="n">
        <v>294.48</v>
      </c>
      <c r="G4536">
        <f>IF(LEFT(B4536,1)="C","Credit","Factuur")</f>
        <v/>
      </c>
      <c r="H4536">
        <f>IF(AND(B4536=B4535,D4536=D4535,A4536=A4535,F4536=F4535),1,0)</f>
        <v/>
      </c>
      <c r="I4536">
        <f>IF(C4536="C99999",1,0)</f>
        <v/>
      </c>
      <c r="J4536" s="5">
        <f>IF(OR(H4536=1,I4536=1),0,IF(G4536="Credit",-F4536,F4536))</f>
        <v/>
      </c>
    </row>
    <row r="4537">
      <c r="A4537" t="inlineStr">
        <is>
          <t>2026-08-14</t>
        </is>
      </c>
      <c r="B4537" t="inlineStr">
        <is>
          <t>F270914</t>
        </is>
      </c>
      <c r="C4537" t="inlineStr">
        <is>
          <t>C10571</t>
        </is>
      </c>
      <c r="D4537" t="inlineStr">
        <is>
          <t>SKU-10078</t>
        </is>
      </c>
      <c r="E4537" t="inlineStr">
        <is>
          <t>AM11</t>
        </is>
      </c>
      <c r="F4537" s="5" t="n">
        <v>304.36</v>
      </c>
      <c r="G4537">
        <f>IF(LEFT(B4537,1)="C","Credit","Factuur")</f>
        <v/>
      </c>
      <c r="H4537">
        <f>IF(AND(B4537=B4536,D4537=D4536,A4537=A4536,F4537=F4536),1,0)</f>
        <v/>
      </c>
      <c r="I4537">
        <f>IF(C4537="C99999",1,0)</f>
        <v/>
      </c>
      <c r="J4537" s="5">
        <f>IF(OR(H4537=1,I4537=1),0,IF(G4537="Credit",-F4537,F4537))</f>
        <v/>
      </c>
    </row>
    <row r="4538">
      <c r="A4538" t="inlineStr">
        <is>
          <t>2026-08-14</t>
        </is>
      </c>
      <c r="B4538" t="inlineStr">
        <is>
          <t>F270914</t>
        </is>
      </c>
      <c r="C4538" t="inlineStr">
        <is>
          <t>C10571</t>
        </is>
      </c>
      <c r="D4538" t="inlineStr">
        <is>
          <t>SKU-10078</t>
        </is>
      </c>
      <c r="E4538" t="inlineStr">
        <is>
          <t>AM11</t>
        </is>
      </c>
      <c r="F4538" s="5" t="n">
        <v>304.36</v>
      </c>
      <c r="G4538">
        <f>IF(LEFT(B4538,1)="C","Credit","Factuur")</f>
        <v/>
      </c>
      <c r="H4538">
        <f>IF(AND(B4538=B4537,D4538=D4537,A4538=A4537,F4538=F4537),1,0)</f>
        <v/>
      </c>
      <c r="I4538">
        <f>IF(C4538="C99999",1,0)</f>
        <v/>
      </c>
      <c r="J4538" s="5">
        <f>IF(OR(H4538=1,I4538=1),0,IF(G4538="Credit",-F4538,F4538))</f>
        <v/>
      </c>
    </row>
    <row r="4539">
      <c r="A4539" t="inlineStr">
        <is>
          <t>2026-08-14</t>
        </is>
      </c>
      <c r="B4539" t="inlineStr">
        <is>
          <t>F270914</t>
        </is>
      </c>
      <c r="C4539" t="inlineStr">
        <is>
          <t>C10571</t>
        </is>
      </c>
      <c r="D4539" t="inlineStr">
        <is>
          <t>SKU-10163</t>
        </is>
      </c>
      <c r="E4539" t="inlineStr">
        <is>
          <t>AM11</t>
        </is>
      </c>
      <c r="F4539" s="5" t="n">
        <v>291.6</v>
      </c>
      <c r="G4539">
        <f>IF(LEFT(B4539,1)="C","Credit","Factuur")</f>
        <v/>
      </c>
      <c r="H4539">
        <f>IF(AND(B4539=B4538,D4539=D4538,A4539=A4538,F4539=F4538),1,0)</f>
        <v/>
      </c>
      <c r="I4539">
        <f>IF(C4539="C99999",1,0)</f>
        <v/>
      </c>
      <c r="J4539" s="5">
        <f>IF(OR(H4539=1,I4539=1),0,IF(G4539="Credit",-F4539,F4539))</f>
        <v/>
      </c>
    </row>
    <row r="4540">
      <c r="A4540" t="inlineStr">
        <is>
          <t>2026-08-14</t>
        </is>
      </c>
      <c r="B4540" t="inlineStr">
        <is>
          <t>F270914</t>
        </is>
      </c>
      <c r="C4540" t="inlineStr">
        <is>
          <t>C10571</t>
        </is>
      </c>
      <c r="D4540" t="inlineStr">
        <is>
          <t>SKU-10163</t>
        </is>
      </c>
      <c r="E4540" t="inlineStr">
        <is>
          <t>AM11</t>
        </is>
      </c>
      <c r="F4540" s="5" t="n">
        <v>291.6</v>
      </c>
      <c r="G4540">
        <f>IF(LEFT(B4540,1)="C","Credit","Factuur")</f>
        <v/>
      </c>
      <c r="H4540">
        <f>IF(AND(B4540=B4539,D4540=D4539,A4540=A4539,F4540=F4539),1,0)</f>
        <v/>
      </c>
      <c r="I4540">
        <f>IF(C4540="C99999",1,0)</f>
        <v/>
      </c>
      <c r="J4540" s="5">
        <f>IF(OR(H4540=1,I4540=1),0,IF(G4540="Credit",-F4540,F4540))</f>
        <v/>
      </c>
    </row>
    <row r="4541">
      <c r="A4541" t="inlineStr">
        <is>
          <t>2026-08-14</t>
        </is>
      </c>
      <c r="B4541" t="inlineStr">
        <is>
          <t>F270976</t>
        </is>
      </c>
      <c r="C4541" t="inlineStr">
        <is>
          <t>C10572</t>
        </is>
      </c>
      <c r="D4541" t="inlineStr">
        <is>
          <t>SKU-10327</t>
        </is>
      </c>
      <c r="E4541" t="inlineStr">
        <is>
          <t>AM05</t>
        </is>
      </c>
      <c r="F4541" s="5" t="n">
        <v>118.06</v>
      </c>
      <c r="G4541">
        <f>IF(LEFT(B4541,1)="C","Credit","Factuur")</f>
        <v/>
      </c>
      <c r="H4541">
        <f>IF(AND(B4541=B4540,D4541=D4540,A4541=A4540,F4541=F4540),1,0)</f>
        <v/>
      </c>
      <c r="I4541">
        <f>IF(C4541="C99999",1,0)</f>
        <v/>
      </c>
      <c r="J4541" s="5">
        <f>IF(OR(H4541=1,I4541=1),0,IF(G4541="Credit",-F4541,F4541))</f>
        <v/>
      </c>
    </row>
    <row r="4542">
      <c r="A4542" t="inlineStr">
        <is>
          <t>2026-08-14</t>
        </is>
      </c>
      <c r="B4542" t="inlineStr">
        <is>
          <t>F270976</t>
        </is>
      </c>
      <c r="C4542" t="inlineStr">
        <is>
          <t>C10572</t>
        </is>
      </c>
      <c r="D4542" t="inlineStr">
        <is>
          <t>SKU-10327</t>
        </is>
      </c>
      <c r="E4542" t="inlineStr">
        <is>
          <t>AM05</t>
        </is>
      </c>
      <c r="F4542" s="5" t="n">
        <v>118.06</v>
      </c>
      <c r="G4542">
        <f>IF(LEFT(B4542,1)="C","Credit","Factuur")</f>
        <v/>
      </c>
      <c r="H4542">
        <f>IF(AND(B4542=B4541,D4542=D4541,A4542=A4541,F4542=F4541),1,0)</f>
        <v/>
      </c>
      <c r="I4542">
        <f>IF(C4542="C99999",1,0)</f>
        <v/>
      </c>
      <c r="J4542" s="5">
        <f>IF(OR(H4542=1,I4542=1),0,IF(G4542="Credit",-F4542,F4542))</f>
        <v/>
      </c>
    </row>
    <row r="4543">
      <c r="A4543" t="inlineStr">
        <is>
          <t>2026-08-14</t>
        </is>
      </c>
      <c r="B4543" t="inlineStr">
        <is>
          <t>F271539</t>
        </is>
      </c>
      <c r="C4543" t="inlineStr">
        <is>
          <t>C10596</t>
        </is>
      </c>
      <c r="D4543" t="inlineStr">
        <is>
          <t>SKU-10065</t>
        </is>
      </c>
      <c r="E4543" t="inlineStr">
        <is>
          <t>AM01</t>
        </is>
      </c>
      <c r="F4543" s="5" t="n">
        <v>60.64</v>
      </c>
      <c r="G4543">
        <f>IF(LEFT(B4543,1)="C","Credit","Factuur")</f>
        <v/>
      </c>
      <c r="H4543">
        <f>IF(AND(B4543=B4542,D4543=D4542,A4543=A4542,F4543=F4542),1,0)</f>
        <v/>
      </c>
      <c r="I4543">
        <f>IF(C4543="C99999",1,0)</f>
        <v/>
      </c>
      <c r="J4543" s="5">
        <f>IF(OR(H4543=1,I4543=1),0,IF(G4543="Credit",-F4543,F4543))</f>
        <v/>
      </c>
    </row>
    <row r="4544">
      <c r="A4544" t="inlineStr">
        <is>
          <t>2026-08-14</t>
        </is>
      </c>
      <c r="B4544" t="inlineStr">
        <is>
          <t>F271539</t>
        </is>
      </c>
      <c r="C4544" t="inlineStr">
        <is>
          <t>C10596</t>
        </is>
      </c>
      <c r="D4544" t="inlineStr">
        <is>
          <t>SKU-10065</t>
        </is>
      </c>
      <c r="E4544" t="inlineStr">
        <is>
          <t>AM01</t>
        </is>
      </c>
      <c r="F4544" s="5" t="n">
        <v>60.64</v>
      </c>
      <c r="G4544">
        <f>IF(LEFT(B4544,1)="C","Credit","Factuur")</f>
        <v/>
      </c>
      <c r="H4544">
        <f>IF(AND(B4544=B4543,D4544=D4543,A4544=A4543,F4544=F4543),1,0)</f>
        <v/>
      </c>
      <c r="I4544">
        <f>IF(C4544="C99999",1,0)</f>
        <v/>
      </c>
      <c r="J4544" s="5">
        <f>IF(OR(H4544=1,I4544=1),0,IF(G4544="Credit",-F4544,F4544))</f>
        <v/>
      </c>
    </row>
    <row r="4545">
      <c r="A4545" t="inlineStr">
        <is>
          <t>2026-08-14</t>
        </is>
      </c>
      <c r="B4545" t="inlineStr">
        <is>
          <t>F271539</t>
        </is>
      </c>
      <c r="C4545" t="inlineStr">
        <is>
          <t>C10596</t>
        </is>
      </c>
      <c r="D4545" t="inlineStr">
        <is>
          <t>SKU-10291</t>
        </is>
      </c>
      <c r="E4545" t="inlineStr">
        <is>
          <t>AM01</t>
        </is>
      </c>
      <c r="F4545" s="5" t="n">
        <v>77.34</v>
      </c>
      <c r="G4545">
        <f>IF(LEFT(B4545,1)="C","Credit","Factuur")</f>
        <v/>
      </c>
      <c r="H4545">
        <f>IF(AND(B4545=B4544,D4545=D4544,A4545=A4544,F4545=F4544),1,0)</f>
        <v/>
      </c>
      <c r="I4545">
        <f>IF(C4545="C99999",1,0)</f>
        <v/>
      </c>
      <c r="J4545" s="5">
        <f>IF(OR(H4545=1,I4545=1),0,IF(G4545="Credit",-F4545,F4545))</f>
        <v/>
      </c>
    </row>
    <row r="4546">
      <c r="A4546" t="inlineStr">
        <is>
          <t>2026-08-14</t>
        </is>
      </c>
      <c r="B4546" t="inlineStr">
        <is>
          <t>F271539</t>
        </is>
      </c>
      <c r="C4546" t="inlineStr">
        <is>
          <t>C10596</t>
        </is>
      </c>
      <c r="D4546" t="inlineStr">
        <is>
          <t>SKU-10291</t>
        </is>
      </c>
      <c r="E4546" t="inlineStr">
        <is>
          <t>AM01</t>
        </is>
      </c>
      <c r="F4546" s="5" t="n">
        <v>77.34</v>
      </c>
      <c r="G4546">
        <f>IF(LEFT(B4546,1)="C","Credit","Factuur")</f>
        <v/>
      </c>
      <c r="H4546">
        <f>IF(AND(B4546=B4545,D4546=D4545,A4546=A4545,F4546=F4545),1,0)</f>
        <v/>
      </c>
      <c r="I4546">
        <f>IF(C4546="C99999",1,0)</f>
        <v/>
      </c>
      <c r="J4546" s="5">
        <f>IF(OR(H4546=1,I4546=1),0,IF(G4546="Credit",-F4546,F4546))</f>
        <v/>
      </c>
    </row>
    <row r="4547">
      <c r="A4547" t="inlineStr">
        <is>
          <t>2026-08-14</t>
        </is>
      </c>
      <c r="B4547" t="inlineStr">
        <is>
          <t>F271539</t>
        </is>
      </c>
      <c r="C4547" t="inlineStr">
        <is>
          <t>C10596</t>
        </is>
      </c>
      <c r="D4547" t="inlineStr">
        <is>
          <t>SKU-10300</t>
        </is>
      </c>
      <c r="E4547" t="inlineStr">
        <is>
          <t>AM01</t>
        </is>
      </c>
      <c r="F4547" s="5" t="n">
        <v>58.22</v>
      </c>
      <c r="G4547">
        <f>IF(LEFT(B4547,1)="C","Credit","Factuur")</f>
        <v/>
      </c>
      <c r="H4547">
        <f>IF(AND(B4547=B4546,D4547=D4546,A4547=A4546,F4547=F4546),1,0)</f>
        <v/>
      </c>
      <c r="I4547">
        <f>IF(C4547="C99999",1,0)</f>
        <v/>
      </c>
      <c r="J4547" s="5">
        <f>IF(OR(H4547=1,I4547=1),0,IF(G4547="Credit",-F4547,F4547))</f>
        <v/>
      </c>
    </row>
    <row r="4548">
      <c r="A4548" t="inlineStr">
        <is>
          <t>2026-08-14</t>
        </is>
      </c>
      <c r="B4548" t="inlineStr">
        <is>
          <t>F271539</t>
        </is>
      </c>
      <c r="C4548" t="inlineStr">
        <is>
          <t>C10596</t>
        </is>
      </c>
      <c r="D4548" t="inlineStr">
        <is>
          <t>SKU-10300</t>
        </is>
      </c>
      <c r="E4548" t="inlineStr">
        <is>
          <t>AM01</t>
        </is>
      </c>
      <c r="F4548" s="5" t="n">
        <v>58.22</v>
      </c>
      <c r="G4548">
        <f>IF(LEFT(B4548,1)="C","Credit","Factuur")</f>
        <v/>
      </c>
      <c r="H4548">
        <f>IF(AND(B4548=B4547,D4548=D4547,A4548=A4547,F4548=F4547),1,0)</f>
        <v/>
      </c>
      <c r="I4548">
        <f>IF(C4548="C99999",1,0)</f>
        <v/>
      </c>
      <c r="J4548" s="5">
        <f>IF(OR(H4548=1,I4548=1),0,IF(G4548="Credit",-F4548,F4548))</f>
        <v/>
      </c>
    </row>
    <row r="4549">
      <c r="A4549" t="inlineStr">
        <is>
          <t>2026-08-14</t>
        </is>
      </c>
      <c r="B4549" t="inlineStr">
        <is>
          <t>F271539</t>
        </is>
      </c>
      <c r="C4549" t="inlineStr">
        <is>
          <t>C10596</t>
        </is>
      </c>
      <c r="D4549" t="inlineStr">
        <is>
          <t>SKU-10325</t>
        </is>
      </c>
      <c r="E4549" t="inlineStr">
        <is>
          <t>AM01</t>
        </is>
      </c>
      <c r="F4549" s="5" t="n">
        <v>44.74</v>
      </c>
      <c r="G4549">
        <f>IF(LEFT(B4549,1)="C","Credit","Factuur")</f>
        <v/>
      </c>
      <c r="H4549">
        <f>IF(AND(B4549=B4548,D4549=D4548,A4549=A4548,F4549=F4548),1,0)</f>
        <v/>
      </c>
      <c r="I4549">
        <f>IF(C4549="C99999",1,0)</f>
        <v/>
      </c>
      <c r="J4549" s="5">
        <f>IF(OR(H4549=1,I4549=1),0,IF(G4549="Credit",-F4549,F4549))</f>
        <v/>
      </c>
    </row>
    <row r="4550">
      <c r="A4550" t="inlineStr">
        <is>
          <t>2026-08-14</t>
        </is>
      </c>
      <c r="B4550" t="inlineStr">
        <is>
          <t>F271539</t>
        </is>
      </c>
      <c r="C4550" t="inlineStr">
        <is>
          <t>C10596</t>
        </is>
      </c>
      <c r="D4550" t="inlineStr">
        <is>
          <t>SKU-10325</t>
        </is>
      </c>
      <c r="E4550" t="inlineStr">
        <is>
          <t>AM01</t>
        </is>
      </c>
      <c r="F4550" s="5" t="n">
        <v>44.74</v>
      </c>
      <c r="G4550">
        <f>IF(LEFT(B4550,1)="C","Credit","Factuur")</f>
        <v/>
      </c>
      <c r="H4550">
        <f>IF(AND(B4550=B4549,D4550=D4549,A4550=A4549,F4550=F4549),1,0)</f>
        <v/>
      </c>
      <c r="I4550">
        <f>IF(C4550="C99999",1,0)</f>
        <v/>
      </c>
      <c r="J4550" s="5">
        <f>IF(OR(H4550=1,I4550=1),0,IF(G4550="Credit",-F4550,F4550))</f>
        <v/>
      </c>
    </row>
    <row r="4551">
      <c r="A4551" t="inlineStr">
        <is>
          <t>2026-08-14</t>
        </is>
      </c>
      <c r="B4551" t="inlineStr">
        <is>
          <t>F272289</t>
        </is>
      </c>
      <c r="C4551" t="inlineStr">
        <is>
          <t>C10637</t>
        </is>
      </c>
      <c r="D4551" t="inlineStr">
        <is>
          <t>SKU-10099</t>
        </is>
      </c>
      <c r="E4551" t="inlineStr">
        <is>
          <t>AM02</t>
        </is>
      </c>
      <c r="F4551" s="5" t="n">
        <v>174.72</v>
      </c>
      <c r="G4551">
        <f>IF(LEFT(B4551,1)="C","Credit","Factuur")</f>
        <v/>
      </c>
      <c r="H4551">
        <f>IF(AND(B4551=B4550,D4551=D4550,A4551=A4550,F4551=F4550),1,0)</f>
        <v/>
      </c>
      <c r="I4551">
        <f>IF(C4551="C99999",1,0)</f>
        <v/>
      </c>
      <c r="J4551" s="5">
        <f>IF(OR(H4551=1,I4551=1),0,IF(G4551="Credit",-F4551,F4551))</f>
        <v/>
      </c>
    </row>
    <row r="4552">
      <c r="A4552" t="inlineStr">
        <is>
          <t>2026-08-14</t>
        </is>
      </c>
      <c r="B4552" t="inlineStr">
        <is>
          <t>F272289</t>
        </is>
      </c>
      <c r="C4552" t="inlineStr">
        <is>
          <t>C10637</t>
        </is>
      </c>
      <c r="D4552" t="inlineStr">
        <is>
          <t>SKU-10099</t>
        </is>
      </c>
      <c r="E4552" t="inlineStr">
        <is>
          <t>AM02</t>
        </is>
      </c>
      <c r="F4552" s="5" t="n">
        <v>174.72</v>
      </c>
      <c r="G4552">
        <f>IF(LEFT(B4552,1)="C","Credit","Factuur")</f>
        <v/>
      </c>
      <c r="H4552">
        <f>IF(AND(B4552=B4551,D4552=D4551,A4552=A4551,F4552=F4551),1,0)</f>
        <v/>
      </c>
      <c r="I4552">
        <f>IF(C4552="C99999",1,0)</f>
        <v/>
      </c>
      <c r="J4552" s="5">
        <f>IF(OR(H4552=1,I4552=1),0,IF(G4552="Credit",-F4552,F4552))</f>
        <v/>
      </c>
    </row>
    <row r="4553">
      <c r="A4553" t="inlineStr">
        <is>
          <t>2026-08-14</t>
        </is>
      </c>
      <c r="B4553" t="inlineStr">
        <is>
          <t>F272289</t>
        </is>
      </c>
      <c r="C4553" t="inlineStr">
        <is>
          <t>C10637</t>
        </is>
      </c>
      <c r="D4553" t="inlineStr">
        <is>
          <t>SKU-10168</t>
        </is>
      </c>
      <c r="E4553" t="inlineStr">
        <is>
          <t>AM02</t>
        </is>
      </c>
      <c r="F4553" s="5" t="n">
        <v>198.25</v>
      </c>
      <c r="G4553">
        <f>IF(LEFT(B4553,1)="C","Credit","Factuur")</f>
        <v/>
      </c>
      <c r="H4553">
        <f>IF(AND(B4553=B4552,D4553=D4552,A4553=A4552,F4553=F4552),1,0)</f>
        <v/>
      </c>
      <c r="I4553">
        <f>IF(C4553="C99999",1,0)</f>
        <v/>
      </c>
      <c r="J4553" s="5">
        <f>IF(OR(H4553=1,I4553=1),0,IF(G4553="Credit",-F4553,F4553))</f>
        <v/>
      </c>
    </row>
    <row r="4554">
      <c r="A4554" t="inlineStr">
        <is>
          <t>2026-08-14</t>
        </is>
      </c>
      <c r="B4554" t="inlineStr">
        <is>
          <t>F272289</t>
        </is>
      </c>
      <c r="C4554" t="inlineStr">
        <is>
          <t>C10637</t>
        </is>
      </c>
      <c r="D4554" t="inlineStr">
        <is>
          <t>SKU-10168</t>
        </is>
      </c>
      <c r="E4554" t="inlineStr">
        <is>
          <t>AM02</t>
        </is>
      </c>
      <c r="F4554" s="5" t="n">
        <v>198.25</v>
      </c>
      <c r="G4554">
        <f>IF(LEFT(B4554,1)="C","Credit","Factuur")</f>
        <v/>
      </c>
      <c r="H4554">
        <f>IF(AND(B4554=B4553,D4554=D4553,A4554=A4553,F4554=F4553),1,0)</f>
        <v/>
      </c>
      <c r="I4554">
        <f>IF(C4554="C99999",1,0)</f>
        <v/>
      </c>
      <c r="J4554" s="5">
        <f>IF(OR(H4554=1,I4554=1),0,IF(G4554="Credit",-F4554,F4554))</f>
        <v/>
      </c>
    </row>
    <row r="4555">
      <c r="A4555" t="inlineStr">
        <is>
          <t>2026-08-14</t>
        </is>
      </c>
      <c r="B4555" t="inlineStr">
        <is>
          <t>F272339</t>
        </is>
      </c>
      <c r="C4555" t="inlineStr">
        <is>
          <t>C10639</t>
        </is>
      </c>
      <c r="D4555" t="inlineStr">
        <is>
          <t>SKU-10027</t>
        </is>
      </c>
      <c r="E4555" t="inlineStr">
        <is>
          <t>AM01</t>
        </is>
      </c>
      <c r="F4555" s="5" t="n">
        <v>52.57</v>
      </c>
      <c r="G4555">
        <f>IF(LEFT(B4555,1)="C","Credit","Factuur")</f>
        <v/>
      </c>
      <c r="H4555">
        <f>IF(AND(B4555=B4554,D4555=D4554,A4555=A4554,F4555=F4554),1,0)</f>
        <v/>
      </c>
      <c r="I4555">
        <f>IF(C4555="C99999",1,0)</f>
        <v/>
      </c>
      <c r="J4555" s="5">
        <f>IF(OR(H4555=1,I4555=1),0,IF(G4555="Credit",-F4555,F4555))</f>
        <v/>
      </c>
    </row>
    <row r="4556">
      <c r="A4556" t="inlineStr">
        <is>
          <t>2026-08-14</t>
        </is>
      </c>
      <c r="B4556" t="inlineStr">
        <is>
          <t>F272339</t>
        </is>
      </c>
      <c r="C4556" t="inlineStr">
        <is>
          <t>C10639</t>
        </is>
      </c>
      <c r="D4556" t="inlineStr">
        <is>
          <t>SKU-10027</t>
        </is>
      </c>
      <c r="E4556" t="inlineStr">
        <is>
          <t>AM01</t>
        </is>
      </c>
      <c r="F4556" s="5" t="n">
        <v>52.57</v>
      </c>
      <c r="G4556">
        <f>IF(LEFT(B4556,1)="C","Credit","Factuur")</f>
        <v/>
      </c>
      <c r="H4556">
        <f>IF(AND(B4556=B4555,D4556=D4555,A4556=A4555,F4556=F4555),1,0)</f>
        <v/>
      </c>
      <c r="I4556">
        <f>IF(C4556="C99999",1,0)</f>
        <v/>
      </c>
      <c r="J4556" s="5">
        <f>IF(OR(H4556=1,I4556=1),0,IF(G4556="Credit",-F4556,F4556))</f>
        <v/>
      </c>
    </row>
    <row r="4557">
      <c r="A4557" t="inlineStr">
        <is>
          <t>2026-08-14</t>
        </is>
      </c>
      <c r="B4557" t="inlineStr">
        <is>
          <t>F272339</t>
        </is>
      </c>
      <c r="C4557" t="inlineStr">
        <is>
          <t>C10639</t>
        </is>
      </c>
      <c r="D4557" t="inlineStr">
        <is>
          <t>SKU-10058</t>
        </is>
      </c>
      <c r="E4557" t="inlineStr">
        <is>
          <t>AM01</t>
        </is>
      </c>
      <c r="F4557" s="5" t="n">
        <v>54.94</v>
      </c>
      <c r="G4557">
        <f>IF(LEFT(B4557,1)="C","Credit","Factuur")</f>
        <v/>
      </c>
      <c r="H4557">
        <f>IF(AND(B4557=B4556,D4557=D4556,A4557=A4556,F4557=F4556),1,0)</f>
        <v/>
      </c>
      <c r="I4557">
        <f>IF(C4557="C99999",1,0)</f>
        <v/>
      </c>
      <c r="J4557" s="5">
        <f>IF(OR(H4557=1,I4557=1),0,IF(G4557="Credit",-F4557,F4557))</f>
        <v/>
      </c>
    </row>
    <row r="4558">
      <c r="A4558" t="inlineStr">
        <is>
          <t>2026-08-14</t>
        </is>
      </c>
      <c r="B4558" t="inlineStr">
        <is>
          <t>F272339</t>
        </is>
      </c>
      <c r="C4558" t="inlineStr">
        <is>
          <t>C10639</t>
        </is>
      </c>
      <c r="D4558" t="inlineStr">
        <is>
          <t>SKU-10058</t>
        </is>
      </c>
      <c r="E4558" t="inlineStr">
        <is>
          <t>AM01</t>
        </is>
      </c>
      <c r="F4558" s="5" t="n">
        <v>54.94</v>
      </c>
      <c r="G4558">
        <f>IF(LEFT(B4558,1)="C","Credit","Factuur")</f>
        <v/>
      </c>
      <c r="H4558">
        <f>IF(AND(B4558=B4557,D4558=D4557,A4558=A4557,F4558=F4557),1,0)</f>
        <v/>
      </c>
      <c r="I4558">
        <f>IF(C4558="C99999",1,0)</f>
        <v/>
      </c>
      <c r="J4558" s="5">
        <f>IF(OR(H4558=1,I4558=1),0,IF(G4558="Credit",-F4558,F4558))</f>
        <v/>
      </c>
    </row>
    <row r="4559">
      <c r="A4559" t="inlineStr">
        <is>
          <t>2026-08-14</t>
        </is>
      </c>
      <c r="B4559" t="inlineStr">
        <is>
          <t>F272339</t>
        </is>
      </c>
      <c r="C4559" t="inlineStr">
        <is>
          <t>C10639</t>
        </is>
      </c>
      <c r="D4559" t="inlineStr">
        <is>
          <t>SKU-10114</t>
        </is>
      </c>
      <c r="E4559" t="inlineStr">
        <is>
          <t>AM01</t>
        </is>
      </c>
      <c r="F4559" s="5" t="n">
        <v>50.88</v>
      </c>
      <c r="G4559">
        <f>IF(LEFT(B4559,1)="C","Credit","Factuur")</f>
        <v/>
      </c>
      <c r="H4559">
        <f>IF(AND(B4559=B4558,D4559=D4558,A4559=A4558,F4559=F4558),1,0)</f>
        <v/>
      </c>
      <c r="I4559">
        <f>IF(C4559="C99999",1,0)</f>
        <v/>
      </c>
      <c r="J4559" s="5">
        <f>IF(OR(H4559=1,I4559=1),0,IF(G4559="Credit",-F4559,F4559))</f>
        <v/>
      </c>
    </row>
    <row r="4560">
      <c r="A4560" t="inlineStr">
        <is>
          <t>2026-08-14</t>
        </is>
      </c>
      <c r="B4560" t="inlineStr">
        <is>
          <t>F272339</t>
        </is>
      </c>
      <c r="C4560" t="inlineStr">
        <is>
          <t>C10639</t>
        </is>
      </c>
      <c r="D4560" t="inlineStr">
        <is>
          <t>SKU-10114</t>
        </is>
      </c>
      <c r="E4560" t="inlineStr">
        <is>
          <t>AM01</t>
        </is>
      </c>
      <c r="F4560" s="5" t="n">
        <v>50.88</v>
      </c>
      <c r="G4560">
        <f>IF(LEFT(B4560,1)="C","Credit","Factuur")</f>
        <v/>
      </c>
      <c r="H4560">
        <f>IF(AND(B4560=B4559,D4560=D4559,A4560=A4559,F4560=F4559),1,0)</f>
        <v/>
      </c>
      <c r="I4560">
        <f>IF(C4560="C99999",1,0)</f>
        <v/>
      </c>
      <c r="J4560" s="5">
        <f>IF(OR(H4560=1,I4560=1),0,IF(G4560="Credit",-F4560,F4560))</f>
        <v/>
      </c>
    </row>
    <row r="4561">
      <c r="A4561" t="inlineStr">
        <is>
          <t>2026-08-14</t>
        </is>
      </c>
      <c r="B4561" t="inlineStr">
        <is>
          <t>F272339</t>
        </is>
      </c>
      <c r="C4561" t="inlineStr">
        <is>
          <t>C10639</t>
        </is>
      </c>
      <c r="D4561" t="inlineStr">
        <is>
          <t>SKU-10134</t>
        </is>
      </c>
      <c r="E4561" t="inlineStr">
        <is>
          <t>AM01</t>
        </is>
      </c>
      <c r="F4561" s="5" t="n">
        <v>60.14</v>
      </c>
      <c r="G4561">
        <f>IF(LEFT(B4561,1)="C","Credit","Factuur")</f>
        <v/>
      </c>
      <c r="H4561">
        <f>IF(AND(B4561=B4560,D4561=D4560,A4561=A4560,F4561=F4560),1,0)</f>
        <v/>
      </c>
      <c r="I4561">
        <f>IF(C4561="C99999",1,0)</f>
        <v/>
      </c>
      <c r="J4561" s="5">
        <f>IF(OR(H4561=1,I4561=1),0,IF(G4561="Credit",-F4561,F4561))</f>
        <v/>
      </c>
    </row>
    <row r="4562">
      <c r="A4562" t="inlineStr">
        <is>
          <t>2026-08-14</t>
        </is>
      </c>
      <c r="B4562" t="inlineStr">
        <is>
          <t>F272339</t>
        </is>
      </c>
      <c r="C4562" t="inlineStr">
        <is>
          <t>C10639</t>
        </is>
      </c>
      <c r="D4562" t="inlineStr">
        <is>
          <t>SKU-10134</t>
        </is>
      </c>
      <c r="E4562" t="inlineStr">
        <is>
          <t>AM01</t>
        </is>
      </c>
      <c r="F4562" s="5" t="n">
        <v>60.14</v>
      </c>
      <c r="G4562">
        <f>IF(LEFT(B4562,1)="C","Credit","Factuur")</f>
        <v/>
      </c>
      <c r="H4562">
        <f>IF(AND(B4562=B4561,D4562=D4561,A4562=A4561,F4562=F4561),1,0)</f>
        <v/>
      </c>
      <c r="I4562">
        <f>IF(C4562="C99999",1,0)</f>
        <v/>
      </c>
      <c r="J4562" s="5">
        <f>IF(OR(H4562=1,I4562=1),0,IF(G4562="Credit",-F4562,F4562))</f>
        <v/>
      </c>
    </row>
    <row r="4563">
      <c r="A4563" t="inlineStr">
        <is>
          <t>2026-08-14</t>
        </is>
      </c>
      <c r="B4563" t="inlineStr">
        <is>
          <t>F272339</t>
        </is>
      </c>
      <c r="C4563" t="inlineStr">
        <is>
          <t>C10639</t>
        </is>
      </c>
      <c r="D4563" t="inlineStr">
        <is>
          <t>SKU-10227</t>
        </is>
      </c>
      <c r="E4563" t="inlineStr">
        <is>
          <t>AM01</t>
        </is>
      </c>
      <c r="F4563" s="5" t="n">
        <v>46.89</v>
      </c>
      <c r="G4563">
        <f>IF(LEFT(B4563,1)="C","Credit","Factuur")</f>
        <v/>
      </c>
      <c r="H4563">
        <f>IF(AND(B4563=B4562,D4563=D4562,A4563=A4562,F4563=F4562),1,0)</f>
        <v/>
      </c>
      <c r="I4563">
        <f>IF(C4563="C99999",1,0)</f>
        <v/>
      </c>
      <c r="J4563" s="5">
        <f>IF(OR(H4563=1,I4563=1),0,IF(G4563="Credit",-F4563,F4563))</f>
        <v/>
      </c>
    </row>
    <row r="4564">
      <c r="A4564" t="inlineStr">
        <is>
          <t>2026-08-14</t>
        </is>
      </c>
      <c r="B4564" t="inlineStr">
        <is>
          <t>F272339</t>
        </is>
      </c>
      <c r="C4564" t="inlineStr">
        <is>
          <t>C10639</t>
        </is>
      </c>
      <c r="D4564" t="inlineStr">
        <is>
          <t>SKU-10227</t>
        </is>
      </c>
      <c r="E4564" t="inlineStr">
        <is>
          <t>AM01</t>
        </is>
      </c>
      <c r="F4564" s="5" t="n">
        <v>46.89</v>
      </c>
      <c r="G4564">
        <f>IF(LEFT(B4564,1)="C","Credit","Factuur")</f>
        <v/>
      </c>
      <c r="H4564">
        <f>IF(AND(B4564=B4563,D4564=D4563,A4564=A4563,F4564=F4563),1,0)</f>
        <v/>
      </c>
      <c r="I4564">
        <f>IF(C4564="C99999",1,0)</f>
        <v/>
      </c>
      <c r="J4564" s="5">
        <f>IF(OR(H4564=1,I4564=1),0,IF(G4564="Credit",-F4564,F4564))</f>
        <v/>
      </c>
    </row>
    <row r="4565">
      <c r="A4565" t="inlineStr">
        <is>
          <t>2026-08-14</t>
        </is>
      </c>
      <c r="B4565" t="inlineStr">
        <is>
          <t>F272650</t>
        </is>
      </c>
      <c r="C4565" t="inlineStr">
        <is>
          <t>C10658</t>
        </is>
      </c>
      <c r="D4565" t="inlineStr">
        <is>
          <t>SKU-10274</t>
        </is>
      </c>
      <c r="E4565" t="inlineStr">
        <is>
          <t>AM11</t>
        </is>
      </c>
      <c r="F4565" s="5" t="n">
        <v>634.05</v>
      </c>
      <c r="G4565">
        <f>IF(LEFT(B4565,1)="C","Credit","Factuur")</f>
        <v/>
      </c>
      <c r="H4565">
        <f>IF(AND(B4565=B4564,D4565=D4564,A4565=A4564,F4565=F4564),1,0)</f>
        <v/>
      </c>
      <c r="I4565">
        <f>IF(C4565="C99999",1,0)</f>
        <v/>
      </c>
      <c r="J4565" s="5">
        <f>IF(OR(H4565=1,I4565=1),0,IF(G4565="Credit",-F4565,F4565))</f>
        <v/>
      </c>
    </row>
    <row r="4566">
      <c r="A4566" t="inlineStr">
        <is>
          <t>2026-08-14</t>
        </is>
      </c>
      <c r="B4566" t="inlineStr">
        <is>
          <t>F272650</t>
        </is>
      </c>
      <c r="C4566" t="inlineStr">
        <is>
          <t>C10658</t>
        </is>
      </c>
      <c r="D4566" t="inlineStr">
        <is>
          <t>SKU-10274</t>
        </is>
      </c>
      <c r="E4566" t="inlineStr">
        <is>
          <t>AM11</t>
        </is>
      </c>
      <c r="F4566" s="5" t="n">
        <v>634.05</v>
      </c>
      <c r="G4566">
        <f>IF(LEFT(B4566,1)="C","Credit","Factuur")</f>
        <v/>
      </c>
      <c r="H4566">
        <f>IF(AND(B4566=B4565,D4566=D4565,A4566=A4565,F4566=F4565),1,0)</f>
        <v/>
      </c>
      <c r="I4566">
        <f>IF(C4566="C99999",1,0)</f>
        <v/>
      </c>
      <c r="J4566" s="5">
        <f>IF(OR(H4566=1,I4566=1),0,IF(G4566="Credit",-F4566,F4566))</f>
        <v/>
      </c>
    </row>
    <row r="4567">
      <c r="A4567" t="inlineStr">
        <is>
          <t>2026-08-14</t>
        </is>
      </c>
      <c r="B4567" t="inlineStr">
        <is>
          <t>F273329</t>
        </is>
      </c>
      <c r="C4567" t="inlineStr">
        <is>
          <t>C10698</t>
        </is>
      </c>
      <c r="D4567" t="inlineStr">
        <is>
          <t>SKU-10179</t>
        </is>
      </c>
      <c r="E4567" t="inlineStr">
        <is>
          <t>AM11</t>
        </is>
      </c>
      <c r="F4567" s="5" t="n">
        <v>2239.2</v>
      </c>
      <c r="G4567">
        <f>IF(LEFT(B4567,1)="C","Credit","Factuur")</f>
        <v/>
      </c>
      <c r="H4567">
        <f>IF(AND(B4567=B4566,D4567=D4566,A4567=A4566,F4567=F4566),1,0)</f>
        <v/>
      </c>
      <c r="I4567">
        <f>IF(C4567="C99999",1,0)</f>
        <v/>
      </c>
      <c r="J4567" s="5">
        <f>IF(OR(H4567=1,I4567=1),0,IF(G4567="Credit",-F4567,F4567))</f>
        <v/>
      </c>
    </row>
    <row r="4568">
      <c r="A4568" t="inlineStr">
        <is>
          <t>2026-08-14</t>
        </is>
      </c>
      <c r="B4568" t="inlineStr">
        <is>
          <t>F273329</t>
        </is>
      </c>
      <c r="C4568" t="inlineStr">
        <is>
          <t>C10698</t>
        </is>
      </c>
      <c r="D4568" t="inlineStr">
        <is>
          <t>SKU-10179</t>
        </is>
      </c>
      <c r="E4568" t="inlineStr">
        <is>
          <t>AM11</t>
        </is>
      </c>
      <c r="F4568" s="5" t="n">
        <v>2239.2</v>
      </c>
      <c r="G4568">
        <f>IF(LEFT(B4568,1)="C","Credit","Factuur")</f>
        <v/>
      </c>
      <c r="H4568">
        <f>IF(AND(B4568=B4567,D4568=D4567,A4568=A4567,F4568=F4567),1,0)</f>
        <v/>
      </c>
      <c r="I4568">
        <f>IF(C4568="C99999",1,0)</f>
        <v/>
      </c>
      <c r="J4568" s="5">
        <f>IF(OR(H4568=1,I4568=1),0,IF(G4568="Credit",-F4568,F4568))</f>
        <v/>
      </c>
    </row>
    <row r="4569">
      <c r="A4569" t="inlineStr">
        <is>
          <t>2026-08-14</t>
        </is>
      </c>
      <c r="B4569" t="inlineStr">
        <is>
          <t>F273329</t>
        </is>
      </c>
      <c r="C4569" t="inlineStr">
        <is>
          <t>C10698</t>
        </is>
      </c>
      <c r="D4569" t="inlineStr">
        <is>
          <t>SKU-10307</t>
        </is>
      </c>
      <c r="E4569" t="inlineStr">
        <is>
          <t>AM11</t>
        </is>
      </c>
      <c r="F4569" s="5" t="n">
        <v>2122.39</v>
      </c>
      <c r="G4569">
        <f>IF(LEFT(B4569,1)="C","Credit","Factuur")</f>
        <v/>
      </c>
      <c r="H4569">
        <f>IF(AND(B4569=B4568,D4569=D4568,A4569=A4568,F4569=F4568),1,0)</f>
        <v/>
      </c>
      <c r="I4569">
        <f>IF(C4569="C99999",1,0)</f>
        <v/>
      </c>
      <c r="J4569" s="5">
        <f>IF(OR(H4569=1,I4569=1),0,IF(G4569="Credit",-F4569,F4569))</f>
        <v/>
      </c>
    </row>
    <row r="4570">
      <c r="A4570" t="inlineStr">
        <is>
          <t>2026-08-14</t>
        </is>
      </c>
      <c r="B4570" t="inlineStr">
        <is>
          <t>F273329</t>
        </is>
      </c>
      <c r="C4570" t="inlineStr">
        <is>
          <t>C10698</t>
        </is>
      </c>
      <c r="D4570" t="inlineStr">
        <is>
          <t>SKU-10307</t>
        </is>
      </c>
      <c r="E4570" t="inlineStr">
        <is>
          <t>AM11</t>
        </is>
      </c>
      <c r="F4570" s="5" t="n">
        <v>2122.39</v>
      </c>
      <c r="G4570">
        <f>IF(LEFT(B4570,1)="C","Credit","Factuur")</f>
        <v/>
      </c>
      <c r="H4570">
        <f>IF(AND(B4570=B4569,D4570=D4569,A4570=A4569,F4570=F4569),1,0)</f>
        <v/>
      </c>
      <c r="I4570">
        <f>IF(C4570="C99999",1,0)</f>
        <v/>
      </c>
      <c r="J4570" s="5">
        <f>IF(OR(H4570=1,I4570=1),0,IF(G4570="Credit",-F4570,F4570))</f>
        <v/>
      </c>
    </row>
    <row r="4571">
      <c r="A4571" t="inlineStr">
        <is>
          <t>2026-08-14</t>
        </is>
      </c>
      <c r="B4571" t="inlineStr">
        <is>
          <t>F273933</t>
        </is>
      </c>
      <c r="C4571" t="inlineStr">
        <is>
          <t>C10735</t>
        </is>
      </c>
      <c r="D4571" t="inlineStr">
        <is>
          <t>SKU-10031</t>
        </is>
      </c>
      <c r="E4571" t="inlineStr">
        <is>
          <t>AM01</t>
        </is>
      </c>
      <c r="F4571" s="5" t="n">
        <v>350.04</v>
      </c>
      <c r="G4571">
        <f>IF(LEFT(B4571,1)="C","Credit","Factuur")</f>
        <v/>
      </c>
      <c r="H4571">
        <f>IF(AND(B4571=B4570,D4571=D4570,A4571=A4570,F4571=F4570),1,0)</f>
        <v/>
      </c>
      <c r="I4571">
        <f>IF(C4571="C99999",1,0)</f>
        <v/>
      </c>
      <c r="J4571" s="5">
        <f>IF(OR(H4571=1,I4571=1),0,IF(G4571="Credit",-F4571,F4571))</f>
        <v/>
      </c>
    </row>
    <row r="4572">
      <c r="A4572" t="inlineStr">
        <is>
          <t>2026-08-14</t>
        </is>
      </c>
      <c r="B4572" t="inlineStr">
        <is>
          <t>F273933</t>
        </is>
      </c>
      <c r="C4572" t="inlineStr">
        <is>
          <t>C10735</t>
        </is>
      </c>
      <c r="D4572" t="inlineStr">
        <is>
          <t>SKU-10031</t>
        </is>
      </c>
      <c r="E4572" t="inlineStr">
        <is>
          <t>AM01</t>
        </is>
      </c>
      <c r="F4572" s="5" t="n">
        <v>350.04</v>
      </c>
      <c r="G4572">
        <f>IF(LEFT(B4572,1)="C","Credit","Factuur")</f>
        <v/>
      </c>
      <c r="H4572">
        <f>IF(AND(B4572=B4571,D4572=D4571,A4572=A4571,F4572=F4571),1,0)</f>
        <v/>
      </c>
      <c r="I4572">
        <f>IF(C4572="C99999",1,0)</f>
        <v/>
      </c>
      <c r="J4572" s="5">
        <f>IF(OR(H4572=1,I4572=1),0,IF(G4572="Credit",-F4572,F4572))</f>
        <v/>
      </c>
    </row>
    <row r="4573">
      <c r="A4573" t="inlineStr">
        <is>
          <t>2026-08-14</t>
        </is>
      </c>
      <c r="B4573" t="inlineStr">
        <is>
          <t>F273933</t>
        </is>
      </c>
      <c r="C4573" t="inlineStr">
        <is>
          <t>C10735</t>
        </is>
      </c>
      <c r="D4573" t="inlineStr">
        <is>
          <t>SKU-10215</t>
        </is>
      </c>
      <c r="E4573" t="inlineStr">
        <is>
          <t>AM01</t>
        </is>
      </c>
      <c r="F4573" s="5" t="n">
        <v>349.6</v>
      </c>
      <c r="G4573">
        <f>IF(LEFT(B4573,1)="C","Credit","Factuur")</f>
        <v/>
      </c>
      <c r="H4573">
        <f>IF(AND(B4573=B4572,D4573=D4572,A4573=A4572,F4573=F4572),1,0)</f>
        <v/>
      </c>
      <c r="I4573">
        <f>IF(C4573="C99999",1,0)</f>
        <v/>
      </c>
      <c r="J4573" s="5">
        <f>IF(OR(H4573=1,I4573=1),0,IF(G4573="Credit",-F4573,F4573))</f>
        <v/>
      </c>
    </row>
    <row r="4574">
      <c r="A4574" t="inlineStr">
        <is>
          <t>2026-08-14</t>
        </is>
      </c>
      <c r="B4574" t="inlineStr">
        <is>
          <t>F273933</t>
        </is>
      </c>
      <c r="C4574" t="inlineStr">
        <is>
          <t>C10735</t>
        </is>
      </c>
      <c r="D4574" t="inlineStr">
        <is>
          <t>SKU-10215</t>
        </is>
      </c>
      <c r="E4574" t="inlineStr">
        <is>
          <t>AM01</t>
        </is>
      </c>
      <c r="F4574" s="5" t="n">
        <v>349.6</v>
      </c>
      <c r="G4574">
        <f>IF(LEFT(B4574,1)="C","Credit","Factuur")</f>
        <v/>
      </c>
      <c r="H4574">
        <f>IF(AND(B4574=B4573,D4574=D4573,A4574=A4573,F4574=F4573),1,0)</f>
        <v/>
      </c>
      <c r="I4574">
        <f>IF(C4574="C99999",1,0)</f>
        <v/>
      </c>
      <c r="J4574" s="5">
        <f>IF(OR(H4574=1,I4574=1),0,IF(G4574="Credit",-F4574,F4574))</f>
        <v/>
      </c>
    </row>
    <row r="4575">
      <c r="A4575" t="inlineStr">
        <is>
          <t>2026-08-14</t>
        </is>
      </c>
      <c r="B4575" t="inlineStr">
        <is>
          <t>F273933</t>
        </is>
      </c>
      <c r="C4575" t="inlineStr">
        <is>
          <t>C10735</t>
        </is>
      </c>
      <c r="D4575" t="inlineStr">
        <is>
          <t>SKU-10290</t>
        </is>
      </c>
      <c r="E4575" t="inlineStr">
        <is>
          <t>AM01</t>
        </is>
      </c>
      <c r="F4575" s="5" t="n">
        <v>346</v>
      </c>
      <c r="G4575">
        <f>IF(LEFT(B4575,1)="C","Credit","Factuur")</f>
        <v/>
      </c>
      <c r="H4575">
        <f>IF(AND(B4575=B4574,D4575=D4574,A4575=A4574,F4575=F4574),1,0)</f>
        <v/>
      </c>
      <c r="I4575">
        <f>IF(C4575="C99999",1,0)</f>
        <v/>
      </c>
      <c r="J4575" s="5">
        <f>IF(OR(H4575=1,I4575=1),0,IF(G4575="Credit",-F4575,F4575))</f>
        <v/>
      </c>
    </row>
    <row r="4576">
      <c r="A4576" t="inlineStr">
        <is>
          <t>2026-08-14</t>
        </is>
      </c>
      <c r="B4576" t="inlineStr">
        <is>
          <t>F273933</t>
        </is>
      </c>
      <c r="C4576" t="inlineStr">
        <is>
          <t>C10735</t>
        </is>
      </c>
      <c r="D4576" t="inlineStr">
        <is>
          <t>SKU-10290</t>
        </is>
      </c>
      <c r="E4576" t="inlineStr">
        <is>
          <t>AM01</t>
        </is>
      </c>
      <c r="F4576" s="5" t="n">
        <v>346</v>
      </c>
      <c r="G4576">
        <f>IF(LEFT(B4576,1)="C","Credit","Factuur")</f>
        <v/>
      </c>
      <c r="H4576">
        <f>IF(AND(B4576=B4575,D4576=D4575,A4576=A4575,F4576=F4575),1,0)</f>
        <v/>
      </c>
      <c r="I4576">
        <f>IF(C4576="C99999",1,0)</f>
        <v/>
      </c>
      <c r="J4576" s="5">
        <f>IF(OR(H4576=1,I4576=1),0,IF(G4576="Credit",-F4576,F4576))</f>
        <v/>
      </c>
    </row>
    <row r="4577">
      <c r="A4577" t="inlineStr">
        <is>
          <t>2026-08-14</t>
        </is>
      </c>
      <c r="B4577" t="inlineStr">
        <is>
          <t>F274154</t>
        </is>
      </c>
      <c r="C4577" t="inlineStr">
        <is>
          <t>C10748</t>
        </is>
      </c>
      <c r="D4577" t="inlineStr">
        <is>
          <t>SKU-10096</t>
        </is>
      </c>
      <c r="E4577" t="inlineStr">
        <is>
          <t>AM02</t>
        </is>
      </c>
      <c r="F4577" s="5" t="n">
        <v>380.45</v>
      </c>
      <c r="G4577">
        <f>IF(LEFT(B4577,1)="C","Credit","Factuur")</f>
        <v/>
      </c>
      <c r="H4577">
        <f>IF(AND(B4577=B4576,D4577=D4576,A4577=A4576,F4577=F4576),1,0)</f>
        <v/>
      </c>
      <c r="I4577">
        <f>IF(C4577="C99999",1,0)</f>
        <v/>
      </c>
      <c r="J4577" s="5">
        <f>IF(OR(H4577=1,I4577=1),0,IF(G4577="Credit",-F4577,F4577))</f>
        <v/>
      </c>
    </row>
    <row r="4578">
      <c r="A4578" t="inlineStr">
        <is>
          <t>2026-08-14</t>
        </is>
      </c>
      <c r="B4578" t="inlineStr">
        <is>
          <t>F274154</t>
        </is>
      </c>
      <c r="C4578" t="inlineStr">
        <is>
          <t>C10748</t>
        </is>
      </c>
      <c r="D4578" t="inlineStr">
        <is>
          <t>SKU-10096</t>
        </is>
      </c>
      <c r="E4578" t="inlineStr">
        <is>
          <t>AM02</t>
        </is>
      </c>
      <c r="F4578" s="5" t="n">
        <v>380.45</v>
      </c>
      <c r="G4578">
        <f>IF(LEFT(B4578,1)="C","Credit","Factuur")</f>
        <v/>
      </c>
      <c r="H4578">
        <f>IF(AND(B4578=B4577,D4578=D4577,A4578=A4577,F4578=F4577),1,0)</f>
        <v/>
      </c>
      <c r="I4578">
        <f>IF(C4578="C99999",1,0)</f>
        <v/>
      </c>
      <c r="J4578" s="5">
        <f>IF(OR(H4578=1,I4578=1),0,IF(G4578="Credit",-F4578,F4578))</f>
        <v/>
      </c>
    </row>
    <row r="4579">
      <c r="A4579" t="inlineStr">
        <is>
          <t>2026-08-14</t>
        </is>
      </c>
      <c r="B4579" t="inlineStr">
        <is>
          <t>F274154</t>
        </is>
      </c>
      <c r="C4579" t="inlineStr">
        <is>
          <t>C10748</t>
        </is>
      </c>
      <c r="D4579" t="inlineStr">
        <is>
          <t>SKU-10181</t>
        </is>
      </c>
      <c r="E4579" t="inlineStr">
        <is>
          <t>AM02</t>
        </is>
      </c>
      <c r="F4579" s="5" t="n">
        <v>393.57</v>
      </c>
      <c r="G4579">
        <f>IF(LEFT(B4579,1)="C","Credit","Factuur")</f>
        <v/>
      </c>
      <c r="H4579">
        <f>IF(AND(B4579=B4578,D4579=D4578,A4579=A4578,F4579=F4578),1,0)</f>
        <v/>
      </c>
      <c r="I4579">
        <f>IF(C4579="C99999",1,0)</f>
        <v/>
      </c>
      <c r="J4579" s="5">
        <f>IF(OR(H4579=1,I4579=1),0,IF(G4579="Credit",-F4579,F4579))</f>
        <v/>
      </c>
    </row>
    <row r="4580">
      <c r="A4580" t="inlineStr">
        <is>
          <t>2026-08-14</t>
        </is>
      </c>
      <c r="B4580" t="inlineStr">
        <is>
          <t>F274154</t>
        </is>
      </c>
      <c r="C4580" t="inlineStr">
        <is>
          <t>C10748</t>
        </is>
      </c>
      <c r="D4580" t="inlineStr">
        <is>
          <t>SKU-10181</t>
        </is>
      </c>
      <c r="E4580" t="inlineStr">
        <is>
          <t>AM02</t>
        </is>
      </c>
      <c r="F4580" s="5" t="n">
        <v>393.57</v>
      </c>
      <c r="G4580">
        <f>IF(LEFT(B4580,1)="C","Credit","Factuur")</f>
        <v/>
      </c>
      <c r="H4580">
        <f>IF(AND(B4580=B4579,D4580=D4579,A4580=A4579,F4580=F4579),1,0)</f>
        <v/>
      </c>
      <c r="I4580">
        <f>IF(C4580="C99999",1,0)</f>
        <v/>
      </c>
      <c r="J4580" s="5">
        <f>IF(OR(H4580=1,I4580=1),0,IF(G4580="Credit",-F4580,F4580))</f>
        <v/>
      </c>
    </row>
    <row r="4581">
      <c r="A4581" t="inlineStr">
        <is>
          <t>2026-08-14</t>
        </is>
      </c>
      <c r="B4581" t="inlineStr">
        <is>
          <t>F274517</t>
        </is>
      </c>
      <c r="C4581" t="inlineStr">
        <is>
          <t>C10766</t>
        </is>
      </c>
      <c r="D4581" t="inlineStr">
        <is>
          <t>SKU-10029</t>
        </is>
      </c>
      <c r="E4581" t="inlineStr">
        <is>
          <t>AM05</t>
        </is>
      </c>
      <c r="F4581" s="5" t="n">
        <v>89.54000000000001</v>
      </c>
      <c r="G4581">
        <f>IF(LEFT(B4581,1)="C","Credit","Factuur")</f>
        <v/>
      </c>
      <c r="H4581">
        <f>IF(AND(B4581=B4580,D4581=D4580,A4581=A4580,F4581=F4580),1,0)</f>
        <v/>
      </c>
      <c r="I4581">
        <f>IF(C4581="C99999",1,0)</f>
        <v/>
      </c>
      <c r="J4581" s="5">
        <f>IF(OR(H4581=1,I4581=1),0,IF(G4581="Credit",-F4581,F4581))</f>
        <v/>
      </c>
    </row>
    <row r="4582">
      <c r="A4582" t="inlineStr">
        <is>
          <t>2026-08-14</t>
        </is>
      </c>
      <c r="B4582" t="inlineStr">
        <is>
          <t>F274517</t>
        </is>
      </c>
      <c r="C4582" t="inlineStr">
        <is>
          <t>C10766</t>
        </is>
      </c>
      <c r="D4582" t="inlineStr">
        <is>
          <t>SKU-10029</t>
        </is>
      </c>
      <c r="E4582" t="inlineStr">
        <is>
          <t>AM05</t>
        </is>
      </c>
      <c r="F4582" s="5" t="n">
        <v>89.54000000000001</v>
      </c>
      <c r="G4582">
        <f>IF(LEFT(B4582,1)="C","Credit","Factuur")</f>
        <v/>
      </c>
      <c r="H4582">
        <f>IF(AND(B4582=B4581,D4582=D4581,A4582=A4581,F4582=F4581),1,0)</f>
        <v/>
      </c>
      <c r="I4582">
        <f>IF(C4582="C99999",1,0)</f>
        <v/>
      </c>
      <c r="J4582" s="5">
        <f>IF(OR(H4582=1,I4582=1),0,IF(G4582="Credit",-F4582,F4582))</f>
        <v/>
      </c>
    </row>
    <row r="4583">
      <c r="A4583" t="inlineStr">
        <is>
          <t>2026-08-14</t>
        </is>
      </c>
      <c r="B4583" t="inlineStr">
        <is>
          <t>F274517</t>
        </is>
      </c>
      <c r="C4583" t="inlineStr">
        <is>
          <t>C10766</t>
        </is>
      </c>
      <c r="D4583" t="inlineStr">
        <is>
          <t>SKU-10104</t>
        </is>
      </c>
      <c r="E4583" t="inlineStr">
        <is>
          <t>AM05</t>
        </is>
      </c>
      <c r="F4583" s="5" t="n">
        <v>91.14</v>
      </c>
      <c r="G4583">
        <f>IF(LEFT(B4583,1)="C","Credit","Factuur")</f>
        <v/>
      </c>
      <c r="H4583">
        <f>IF(AND(B4583=B4582,D4583=D4582,A4583=A4582,F4583=F4582),1,0)</f>
        <v/>
      </c>
      <c r="I4583">
        <f>IF(C4583="C99999",1,0)</f>
        <v/>
      </c>
      <c r="J4583" s="5">
        <f>IF(OR(H4583=1,I4583=1),0,IF(G4583="Credit",-F4583,F4583))</f>
        <v/>
      </c>
    </row>
    <row r="4584">
      <c r="A4584" t="inlineStr">
        <is>
          <t>2026-08-14</t>
        </is>
      </c>
      <c r="B4584" t="inlineStr">
        <is>
          <t>F274517</t>
        </is>
      </c>
      <c r="C4584" t="inlineStr">
        <is>
          <t>C10766</t>
        </is>
      </c>
      <c r="D4584" t="inlineStr">
        <is>
          <t>SKU-10104</t>
        </is>
      </c>
      <c r="E4584" t="inlineStr">
        <is>
          <t>AM05</t>
        </is>
      </c>
      <c r="F4584" s="5" t="n">
        <v>91.14</v>
      </c>
      <c r="G4584">
        <f>IF(LEFT(B4584,1)="C","Credit","Factuur")</f>
        <v/>
      </c>
      <c r="H4584">
        <f>IF(AND(B4584=B4583,D4584=D4583,A4584=A4583,F4584=F4583),1,0)</f>
        <v/>
      </c>
      <c r="I4584">
        <f>IF(C4584="C99999",1,0)</f>
        <v/>
      </c>
      <c r="J4584" s="5">
        <f>IF(OR(H4584=1,I4584=1),0,IF(G4584="Credit",-F4584,F4584))</f>
        <v/>
      </c>
    </row>
    <row r="4585">
      <c r="A4585" t="inlineStr">
        <is>
          <t>2026-08-14</t>
        </is>
      </c>
      <c r="B4585" t="inlineStr">
        <is>
          <t>F274517</t>
        </is>
      </c>
      <c r="C4585" t="inlineStr">
        <is>
          <t>C10766</t>
        </is>
      </c>
      <c r="D4585" t="inlineStr">
        <is>
          <t>SKU-10124</t>
        </is>
      </c>
      <c r="E4585" t="inlineStr">
        <is>
          <t>AM05</t>
        </is>
      </c>
      <c r="F4585" s="5" t="n">
        <v>97.08</v>
      </c>
      <c r="G4585">
        <f>IF(LEFT(B4585,1)="C","Credit","Factuur")</f>
        <v/>
      </c>
      <c r="H4585">
        <f>IF(AND(B4585=B4584,D4585=D4584,A4585=A4584,F4585=F4584),1,0)</f>
        <v/>
      </c>
      <c r="I4585">
        <f>IF(C4585="C99999",1,0)</f>
        <v/>
      </c>
      <c r="J4585" s="5">
        <f>IF(OR(H4585=1,I4585=1),0,IF(G4585="Credit",-F4585,F4585))</f>
        <v/>
      </c>
    </row>
    <row r="4586">
      <c r="A4586" t="inlineStr">
        <is>
          <t>2026-08-14</t>
        </is>
      </c>
      <c r="B4586" t="inlineStr">
        <is>
          <t>F274517</t>
        </is>
      </c>
      <c r="C4586" t="inlineStr">
        <is>
          <t>C10766</t>
        </is>
      </c>
      <c r="D4586" t="inlineStr">
        <is>
          <t>SKU-10124</t>
        </is>
      </c>
      <c r="E4586" t="inlineStr">
        <is>
          <t>AM05</t>
        </is>
      </c>
      <c r="F4586" s="5" t="n">
        <v>97.08</v>
      </c>
      <c r="G4586">
        <f>IF(LEFT(B4586,1)="C","Credit","Factuur")</f>
        <v/>
      </c>
      <c r="H4586">
        <f>IF(AND(B4586=B4585,D4586=D4585,A4586=A4585,F4586=F4585),1,0)</f>
        <v/>
      </c>
      <c r="I4586">
        <f>IF(C4586="C99999",1,0)</f>
        <v/>
      </c>
      <c r="J4586" s="5">
        <f>IF(OR(H4586=1,I4586=1),0,IF(G4586="Credit",-F4586,F4586))</f>
        <v/>
      </c>
    </row>
    <row r="4587">
      <c r="A4587" t="inlineStr">
        <is>
          <t>2026-08-14</t>
        </is>
      </c>
      <c r="B4587" t="inlineStr">
        <is>
          <t>F275513</t>
        </is>
      </c>
      <c r="C4587" t="inlineStr">
        <is>
          <t>C10820</t>
        </is>
      </c>
      <c r="D4587" t="inlineStr">
        <is>
          <t>SKU-10076</t>
        </is>
      </c>
      <c r="E4587" t="inlineStr">
        <is>
          <t>AM02</t>
        </is>
      </c>
      <c r="F4587" s="5" t="n">
        <v>545.23</v>
      </c>
      <c r="G4587">
        <f>IF(LEFT(B4587,1)="C","Credit","Factuur")</f>
        <v/>
      </c>
      <c r="H4587">
        <f>IF(AND(B4587=B4586,D4587=D4586,A4587=A4586,F4587=F4586),1,0)</f>
        <v/>
      </c>
      <c r="I4587">
        <f>IF(C4587="C99999",1,0)</f>
        <v/>
      </c>
      <c r="J4587" s="5">
        <f>IF(OR(H4587=1,I4587=1),0,IF(G4587="Credit",-F4587,F4587))</f>
        <v/>
      </c>
    </row>
    <row r="4588">
      <c r="A4588" t="inlineStr">
        <is>
          <t>2026-08-14</t>
        </is>
      </c>
      <c r="B4588" t="inlineStr">
        <is>
          <t>F275513</t>
        </is>
      </c>
      <c r="C4588" t="inlineStr">
        <is>
          <t>C10820</t>
        </is>
      </c>
      <c r="D4588" t="inlineStr">
        <is>
          <t>SKU-10076</t>
        </is>
      </c>
      <c r="E4588" t="inlineStr">
        <is>
          <t>AM02</t>
        </is>
      </c>
      <c r="F4588" s="5" t="n">
        <v>545.23</v>
      </c>
      <c r="G4588">
        <f>IF(LEFT(B4588,1)="C","Credit","Factuur")</f>
        <v/>
      </c>
      <c r="H4588">
        <f>IF(AND(B4588=B4587,D4588=D4587,A4588=A4587,F4588=F4587),1,0)</f>
        <v/>
      </c>
      <c r="I4588">
        <f>IF(C4588="C99999",1,0)</f>
        <v/>
      </c>
      <c r="J4588" s="5">
        <f>IF(OR(H4588=1,I4588=1),0,IF(G4588="Credit",-F4588,F4588))</f>
        <v/>
      </c>
    </row>
    <row r="4589">
      <c r="A4589" t="inlineStr">
        <is>
          <t>2026-08-14</t>
        </is>
      </c>
      <c r="B4589" t="inlineStr">
        <is>
          <t>F275513</t>
        </is>
      </c>
      <c r="C4589" t="inlineStr">
        <is>
          <t>C10820</t>
        </is>
      </c>
      <c r="D4589" t="inlineStr">
        <is>
          <t>SKU-10285</t>
        </is>
      </c>
      <c r="E4589" t="inlineStr">
        <is>
          <t>AM02</t>
        </is>
      </c>
      <c r="F4589" s="5" t="n">
        <v>505.3</v>
      </c>
      <c r="G4589">
        <f>IF(LEFT(B4589,1)="C","Credit","Factuur")</f>
        <v/>
      </c>
      <c r="H4589">
        <f>IF(AND(B4589=B4588,D4589=D4588,A4589=A4588,F4589=F4588),1,0)</f>
        <v/>
      </c>
      <c r="I4589">
        <f>IF(C4589="C99999",1,0)</f>
        <v/>
      </c>
      <c r="J4589" s="5">
        <f>IF(OR(H4589=1,I4589=1),0,IF(G4589="Credit",-F4589,F4589))</f>
        <v/>
      </c>
    </row>
    <row r="4590">
      <c r="A4590" t="inlineStr">
        <is>
          <t>2026-08-14</t>
        </is>
      </c>
      <c r="B4590" t="inlineStr">
        <is>
          <t>F275513</t>
        </is>
      </c>
      <c r="C4590" t="inlineStr">
        <is>
          <t>C10820</t>
        </is>
      </c>
      <c r="D4590" t="inlineStr">
        <is>
          <t>SKU-10285</t>
        </is>
      </c>
      <c r="E4590" t="inlineStr">
        <is>
          <t>AM02</t>
        </is>
      </c>
      <c r="F4590" s="5" t="n">
        <v>505.3</v>
      </c>
      <c r="G4590">
        <f>IF(LEFT(B4590,1)="C","Credit","Factuur")</f>
        <v/>
      </c>
      <c r="H4590">
        <f>IF(AND(B4590=B4589,D4590=D4589,A4590=A4589,F4590=F4589),1,0)</f>
        <v/>
      </c>
      <c r="I4590">
        <f>IF(C4590="C99999",1,0)</f>
        <v/>
      </c>
      <c r="J4590" s="5">
        <f>IF(OR(H4590=1,I4590=1),0,IF(G4590="Credit",-F4590,F4590))</f>
        <v/>
      </c>
    </row>
    <row r="4591">
      <c r="A4591" t="inlineStr">
        <is>
          <t>2026-08-14</t>
        </is>
      </c>
      <c r="B4591" t="inlineStr">
        <is>
          <t>F275513</t>
        </is>
      </c>
      <c r="C4591" t="inlineStr">
        <is>
          <t>C10820</t>
        </is>
      </c>
      <c r="D4591" t="inlineStr">
        <is>
          <t>SKU-10343</t>
        </is>
      </c>
      <c r="E4591" t="inlineStr">
        <is>
          <t>AM02</t>
        </is>
      </c>
      <c r="F4591" s="5" t="n">
        <v>498.43</v>
      </c>
      <c r="G4591">
        <f>IF(LEFT(B4591,1)="C","Credit","Factuur")</f>
        <v/>
      </c>
      <c r="H4591">
        <f>IF(AND(B4591=B4590,D4591=D4590,A4591=A4590,F4591=F4590),1,0)</f>
        <v/>
      </c>
      <c r="I4591">
        <f>IF(C4591="C99999",1,0)</f>
        <v/>
      </c>
      <c r="J4591" s="5">
        <f>IF(OR(H4591=1,I4591=1),0,IF(G4591="Credit",-F4591,F4591))</f>
        <v/>
      </c>
    </row>
    <row r="4592">
      <c r="A4592" t="inlineStr">
        <is>
          <t>2026-08-14</t>
        </is>
      </c>
      <c r="B4592" t="inlineStr">
        <is>
          <t>F275513</t>
        </is>
      </c>
      <c r="C4592" t="inlineStr">
        <is>
          <t>C10820</t>
        </is>
      </c>
      <c r="D4592" t="inlineStr">
        <is>
          <t>SKU-10343</t>
        </is>
      </c>
      <c r="E4592" t="inlineStr">
        <is>
          <t>AM02</t>
        </is>
      </c>
      <c r="F4592" s="5" t="n">
        <v>498.43</v>
      </c>
      <c r="G4592">
        <f>IF(LEFT(B4592,1)="C","Credit","Factuur")</f>
        <v/>
      </c>
      <c r="H4592">
        <f>IF(AND(B4592=B4591,D4592=D4591,A4592=A4591,F4592=F4591),1,0)</f>
        <v/>
      </c>
      <c r="I4592">
        <f>IF(C4592="C99999",1,0)</f>
        <v/>
      </c>
      <c r="J4592" s="5">
        <f>IF(OR(H4592=1,I4592=1),0,IF(G4592="Credit",-F4592,F4592))</f>
        <v/>
      </c>
    </row>
    <row r="4593">
      <c r="A4593" t="inlineStr">
        <is>
          <t>2026-08-14</t>
        </is>
      </c>
      <c r="B4593" t="inlineStr">
        <is>
          <t>F275536</t>
        </is>
      </c>
      <c r="C4593" t="inlineStr">
        <is>
          <t>C10821</t>
        </is>
      </c>
      <c r="D4593" t="inlineStr">
        <is>
          <t>SKU-10039</t>
        </is>
      </c>
      <c r="E4593" t="inlineStr">
        <is>
          <t>AM02</t>
        </is>
      </c>
      <c r="F4593" s="5" t="n">
        <v>708.6</v>
      </c>
      <c r="G4593">
        <f>IF(LEFT(B4593,1)="C","Credit","Factuur")</f>
        <v/>
      </c>
      <c r="H4593">
        <f>IF(AND(B4593=B4592,D4593=D4592,A4593=A4592,F4593=F4592),1,0)</f>
        <v/>
      </c>
      <c r="I4593">
        <f>IF(C4593="C99999",1,0)</f>
        <v/>
      </c>
      <c r="J4593" s="5">
        <f>IF(OR(H4593=1,I4593=1),0,IF(G4593="Credit",-F4593,F4593))</f>
        <v/>
      </c>
    </row>
    <row r="4594">
      <c r="A4594" t="inlineStr">
        <is>
          <t>2026-08-14</t>
        </is>
      </c>
      <c r="B4594" t="inlineStr">
        <is>
          <t>F275536</t>
        </is>
      </c>
      <c r="C4594" t="inlineStr">
        <is>
          <t>C10821</t>
        </is>
      </c>
      <c r="D4594" t="inlineStr">
        <is>
          <t>SKU-10039</t>
        </is>
      </c>
      <c r="E4594" t="inlineStr">
        <is>
          <t>AM02</t>
        </is>
      </c>
      <c r="F4594" s="5" t="n">
        <v>708.6</v>
      </c>
      <c r="G4594">
        <f>IF(LEFT(B4594,1)="C","Credit","Factuur")</f>
        <v/>
      </c>
      <c r="H4594">
        <f>IF(AND(B4594=B4593,D4594=D4593,A4594=A4593,F4594=F4593),1,0)</f>
        <v/>
      </c>
      <c r="I4594">
        <f>IF(C4594="C99999",1,0)</f>
        <v/>
      </c>
      <c r="J4594" s="5">
        <f>IF(OR(H4594=1,I4594=1),0,IF(G4594="Credit",-F4594,F4594))</f>
        <v/>
      </c>
    </row>
    <row r="4595">
      <c r="A4595" t="inlineStr">
        <is>
          <t>2026-08-14</t>
        </is>
      </c>
      <c r="B4595" t="inlineStr">
        <is>
          <t>F275536</t>
        </is>
      </c>
      <c r="C4595" t="inlineStr">
        <is>
          <t>C10821</t>
        </is>
      </c>
      <c r="D4595" t="inlineStr">
        <is>
          <t>SKU-10272</t>
        </is>
      </c>
      <c r="E4595" t="inlineStr">
        <is>
          <t>AM02</t>
        </is>
      </c>
      <c r="F4595" s="5" t="n">
        <v>663.7</v>
      </c>
      <c r="G4595">
        <f>IF(LEFT(B4595,1)="C","Credit","Factuur")</f>
        <v/>
      </c>
      <c r="H4595">
        <f>IF(AND(B4595=B4594,D4595=D4594,A4595=A4594,F4595=F4594),1,0)</f>
        <v/>
      </c>
      <c r="I4595">
        <f>IF(C4595="C99999",1,0)</f>
        <v/>
      </c>
      <c r="J4595" s="5">
        <f>IF(OR(H4595=1,I4595=1),0,IF(G4595="Credit",-F4595,F4595))</f>
        <v/>
      </c>
    </row>
    <row r="4596">
      <c r="A4596" t="inlineStr">
        <is>
          <t>2026-08-14</t>
        </is>
      </c>
      <c r="B4596" t="inlineStr">
        <is>
          <t>F275536</t>
        </is>
      </c>
      <c r="C4596" t="inlineStr">
        <is>
          <t>C10821</t>
        </is>
      </c>
      <c r="D4596" t="inlineStr">
        <is>
          <t>SKU-10272</t>
        </is>
      </c>
      <c r="E4596" t="inlineStr">
        <is>
          <t>AM02</t>
        </is>
      </c>
      <c r="F4596" s="5" t="n">
        <v>663.7</v>
      </c>
      <c r="G4596">
        <f>IF(LEFT(B4596,1)="C","Credit","Factuur")</f>
        <v/>
      </c>
      <c r="H4596">
        <f>IF(AND(B4596=B4595,D4596=D4595,A4596=A4595,F4596=F4595),1,0)</f>
        <v/>
      </c>
      <c r="I4596">
        <f>IF(C4596="C99999",1,0)</f>
        <v/>
      </c>
      <c r="J4596" s="5">
        <f>IF(OR(H4596=1,I4596=1),0,IF(G4596="Credit",-F4596,F4596))</f>
        <v/>
      </c>
    </row>
    <row r="4597">
      <c r="A4597" t="inlineStr">
        <is>
          <t>2026-08-14</t>
        </is>
      </c>
      <c r="B4597" t="inlineStr">
        <is>
          <t>F275831</t>
        </is>
      </c>
      <c r="C4597" t="inlineStr">
        <is>
          <t>C10839</t>
        </is>
      </c>
      <c r="D4597" t="inlineStr">
        <is>
          <t>SKU-10084</t>
        </is>
      </c>
      <c r="E4597" t="inlineStr">
        <is>
          <t>AM06</t>
        </is>
      </c>
      <c r="F4597" s="5" t="n">
        <v>1243.18</v>
      </c>
      <c r="G4597">
        <f>IF(LEFT(B4597,1)="C","Credit","Factuur")</f>
        <v/>
      </c>
      <c r="H4597">
        <f>IF(AND(B4597=B4596,D4597=D4596,A4597=A4596,F4597=F4596),1,0)</f>
        <v/>
      </c>
      <c r="I4597">
        <f>IF(C4597="C99999",1,0)</f>
        <v/>
      </c>
      <c r="J4597" s="5">
        <f>IF(OR(H4597=1,I4597=1),0,IF(G4597="Credit",-F4597,F4597))</f>
        <v/>
      </c>
    </row>
    <row r="4598">
      <c r="A4598" t="inlineStr">
        <is>
          <t>2026-08-14</t>
        </is>
      </c>
      <c r="B4598" t="inlineStr">
        <is>
          <t>F275831</t>
        </is>
      </c>
      <c r="C4598" t="inlineStr">
        <is>
          <t>C10839</t>
        </is>
      </c>
      <c r="D4598" t="inlineStr">
        <is>
          <t>SKU-10084</t>
        </is>
      </c>
      <c r="E4598" t="inlineStr">
        <is>
          <t>AM06</t>
        </is>
      </c>
      <c r="F4598" s="5" t="n">
        <v>1243.18</v>
      </c>
      <c r="G4598">
        <f>IF(LEFT(B4598,1)="C","Credit","Factuur")</f>
        <v/>
      </c>
      <c r="H4598">
        <f>IF(AND(B4598=B4597,D4598=D4597,A4598=A4597,F4598=F4597),1,0)</f>
        <v/>
      </c>
      <c r="I4598">
        <f>IF(C4598="C99999",1,0)</f>
        <v/>
      </c>
      <c r="J4598" s="5">
        <f>IF(OR(H4598=1,I4598=1),0,IF(G4598="Credit",-F4598,F4598))</f>
        <v/>
      </c>
    </row>
    <row r="4599">
      <c r="A4599" t="inlineStr">
        <is>
          <t>2026-08-14</t>
        </is>
      </c>
      <c r="B4599" t="inlineStr">
        <is>
          <t>F277016</t>
        </is>
      </c>
      <c r="C4599" t="inlineStr">
        <is>
          <t>C10901</t>
        </is>
      </c>
      <c r="D4599" t="inlineStr">
        <is>
          <t>SKU-10151</t>
        </is>
      </c>
      <c r="E4599" t="inlineStr">
        <is>
          <t>AM02</t>
        </is>
      </c>
      <c r="F4599" s="5" t="n">
        <v>260.94</v>
      </c>
      <c r="G4599">
        <f>IF(LEFT(B4599,1)="C","Credit","Factuur")</f>
        <v/>
      </c>
      <c r="H4599">
        <f>IF(AND(B4599=B4598,D4599=D4598,A4599=A4598,F4599=F4598),1,0)</f>
        <v/>
      </c>
      <c r="I4599">
        <f>IF(C4599="C99999",1,0)</f>
        <v/>
      </c>
      <c r="J4599" s="5">
        <f>IF(OR(H4599=1,I4599=1),0,IF(G4599="Credit",-F4599,F4599))</f>
        <v/>
      </c>
    </row>
    <row r="4600">
      <c r="A4600" t="inlineStr">
        <is>
          <t>2026-08-14</t>
        </is>
      </c>
      <c r="B4600" t="inlineStr">
        <is>
          <t>F277016</t>
        </is>
      </c>
      <c r="C4600" t="inlineStr">
        <is>
          <t>C10901</t>
        </is>
      </c>
      <c r="D4600" t="inlineStr">
        <is>
          <t>SKU-10151</t>
        </is>
      </c>
      <c r="E4600" t="inlineStr">
        <is>
          <t>AM02</t>
        </is>
      </c>
      <c r="F4600" s="5" t="n">
        <v>260.94</v>
      </c>
      <c r="G4600">
        <f>IF(LEFT(B4600,1)="C","Credit","Factuur")</f>
        <v/>
      </c>
      <c r="H4600">
        <f>IF(AND(B4600=B4599,D4600=D4599,A4600=A4599,F4600=F4599),1,0)</f>
        <v/>
      </c>
      <c r="I4600">
        <f>IF(C4600="C99999",1,0)</f>
        <v/>
      </c>
      <c r="J4600" s="5">
        <f>IF(OR(H4600=1,I4600=1),0,IF(G4600="Credit",-F4600,F4600))</f>
        <v/>
      </c>
    </row>
    <row r="4601">
      <c r="A4601" t="inlineStr">
        <is>
          <t>2026-08-14</t>
        </is>
      </c>
      <c r="B4601" t="inlineStr">
        <is>
          <t>F277016</t>
        </is>
      </c>
      <c r="C4601" t="inlineStr">
        <is>
          <t>C10901</t>
        </is>
      </c>
      <c r="D4601" t="inlineStr">
        <is>
          <t>SKU-10291</t>
        </is>
      </c>
      <c r="E4601" t="inlineStr">
        <is>
          <t>AM02</t>
        </is>
      </c>
      <c r="F4601" s="5" t="n">
        <v>257.16</v>
      </c>
      <c r="G4601">
        <f>IF(LEFT(B4601,1)="C","Credit","Factuur")</f>
        <v/>
      </c>
      <c r="H4601">
        <f>IF(AND(B4601=B4600,D4601=D4600,A4601=A4600,F4601=F4600),1,0)</f>
        <v/>
      </c>
      <c r="I4601">
        <f>IF(C4601="C99999",1,0)</f>
        <v/>
      </c>
      <c r="J4601" s="5">
        <f>IF(OR(H4601=1,I4601=1),0,IF(G4601="Credit",-F4601,F4601))</f>
        <v/>
      </c>
    </row>
    <row r="4602">
      <c r="A4602" t="inlineStr">
        <is>
          <t>2026-08-14</t>
        </is>
      </c>
      <c r="B4602" t="inlineStr">
        <is>
          <t>F277016</t>
        </is>
      </c>
      <c r="C4602" t="inlineStr">
        <is>
          <t>C10901</t>
        </is>
      </c>
      <c r="D4602" t="inlineStr">
        <is>
          <t>SKU-10291</t>
        </is>
      </c>
      <c r="E4602" t="inlineStr">
        <is>
          <t>AM02</t>
        </is>
      </c>
      <c r="F4602" s="5" t="n">
        <v>257.16</v>
      </c>
      <c r="G4602">
        <f>IF(LEFT(B4602,1)="C","Credit","Factuur")</f>
        <v/>
      </c>
      <c r="H4602">
        <f>IF(AND(B4602=B4601,D4602=D4601,A4602=A4601,F4602=F4601),1,0)</f>
        <v/>
      </c>
      <c r="I4602">
        <f>IF(C4602="C99999",1,0)</f>
        <v/>
      </c>
      <c r="J4602" s="5">
        <f>IF(OR(H4602=1,I4602=1),0,IF(G4602="Credit",-F4602,F4602))</f>
        <v/>
      </c>
    </row>
    <row r="4603">
      <c r="A4603" t="inlineStr">
        <is>
          <t>2026-08-14</t>
        </is>
      </c>
      <c r="B4603" t="inlineStr">
        <is>
          <t>F277189</t>
        </is>
      </c>
      <c r="C4603" t="inlineStr">
        <is>
          <t>C10913</t>
        </is>
      </c>
      <c r="D4603" t="inlineStr">
        <is>
          <t>SKU-10010</t>
        </is>
      </c>
      <c r="E4603" t="inlineStr">
        <is>
          <t>AM06</t>
        </is>
      </c>
      <c r="F4603" s="5" t="n">
        <v>251.48</v>
      </c>
      <c r="G4603">
        <f>IF(LEFT(B4603,1)="C","Credit","Factuur")</f>
        <v/>
      </c>
      <c r="H4603">
        <f>IF(AND(B4603=B4602,D4603=D4602,A4603=A4602,F4603=F4602),1,0)</f>
        <v/>
      </c>
      <c r="I4603">
        <f>IF(C4603="C99999",1,0)</f>
        <v/>
      </c>
      <c r="J4603" s="5">
        <f>IF(OR(H4603=1,I4603=1),0,IF(G4603="Credit",-F4603,F4603))</f>
        <v/>
      </c>
    </row>
    <row r="4604">
      <c r="A4604" t="inlineStr">
        <is>
          <t>2026-08-14</t>
        </is>
      </c>
      <c r="B4604" t="inlineStr">
        <is>
          <t>F277189</t>
        </is>
      </c>
      <c r="C4604" t="inlineStr">
        <is>
          <t>C10913</t>
        </is>
      </c>
      <c r="D4604" t="inlineStr">
        <is>
          <t>SKU-10010</t>
        </is>
      </c>
      <c r="E4604" t="inlineStr">
        <is>
          <t>AM06</t>
        </is>
      </c>
      <c r="F4604" s="5" t="n">
        <v>251.48</v>
      </c>
      <c r="G4604">
        <f>IF(LEFT(B4604,1)="C","Credit","Factuur")</f>
        <v/>
      </c>
      <c r="H4604">
        <f>IF(AND(B4604=B4603,D4604=D4603,A4604=A4603,F4604=F4603),1,0)</f>
        <v/>
      </c>
      <c r="I4604">
        <f>IF(C4604="C99999",1,0)</f>
        <v/>
      </c>
      <c r="J4604" s="5">
        <f>IF(OR(H4604=1,I4604=1),0,IF(G4604="Credit",-F4604,F4604))</f>
        <v/>
      </c>
    </row>
    <row r="4605">
      <c r="A4605" t="inlineStr">
        <is>
          <t>2026-08-14</t>
        </is>
      </c>
      <c r="B4605" t="inlineStr">
        <is>
          <t>F277189</t>
        </is>
      </c>
      <c r="C4605" t="inlineStr">
        <is>
          <t>C10913</t>
        </is>
      </c>
      <c r="D4605" t="inlineStr">
        <is>
          <t>SKU-10071</t>
        </is>
      </c>
      <c r="E4605" t="inlineStr">
        <is>
          <t>AM06</t>
        </is>
      </c>
      <c r="F4605" s="5" t="n">
        <v>239.28</v>
      </c>
      <c r="G4605">
        <f>IF(LEFT(B4605,1)="C","Credit","Factuur")</f>
        <v/>
      </c>
      <c r="H4605">
        <f>IF(AND(B4605=B4604,D4605=D4604,A4605=A4604,F4605=F4604),1,0)</f>
        <v/>
      </c>
      <c r="I4605">
        <f>IF(C4605="C99999",1,0)</f>
        <v/>
      </c>
      <c r="J4605" s="5">
        <f>IF(OR(H4605=1,I4605=1),0,IF(G4605="Credit",-F4605,F4605))</f>
        <v/>
      </c>
    </row>
    <row r="4606">
      <c r="A4606" t="inlineStr">
        <is>
          <t>2026-08-14</t>
        </is>
      </c>
      <c r="B4606" t="inlineStr">
        <is>
          <t>F277189</t>
        </is>
      </c>
      <c r="C4606" t="inlineStr">
        <is>
          <t>C10913</t>
        </is>
      </c>
      <c r="D4606" t="inlineStr">
        <is>
          <t>SKU-10071</t>
        </is>
      </c>
      <c r="E4606" t="inlineStr">
        <is>
          <t>AM06</t>
        </is>
      </c>
      <c r="F4606" s="5" t="n">
        <v>239.28</v>
      </c>
      <c r="G4606">
        <f>IF(LEFT(B4606,1)="C","Credit","Factuur")</f>
        <v/>
      </c>
      <c r="H4606">
        <f>IF(AND(B4606=B4605,D4606=D4605,A4606=A4605,F4606=F4605),1,0)</f>
        <v/>
      </c>
      <c r="I4606">
        <f>IF(C4606="C99999",1,0)</f>
        <v/>
      </c>
      <c r="J4606" s="5">
        <f>IF(OR(H4606=1,I4606=1),0,IF(G4606="Credit",-F4606,F4606))</f>
        <v/>
      </c>
    </row>
    <row r="4607">
      <c r="A4607" t="inlineStr">
        <is>
          <t>2026-08-14</t>
        </is>
      </c>
      <c r="B4607" t="inlineStr">
        <is>
          <t>F277189</t>
        </is>
      </c>
      <c r="C4607" t="inlineStr">
        <is>
          <t>C10913</t>
        </is>
      </c>
      <c r="D4607" t="inlineStr">
        <is>
          <t>SKU-10112</t>
        </is>
      </c>
      <c r="E4607" t="inlineStr">
        <is>
          <t>AM06</t>
        </is>
      </c>
      <c r="F4607" s="5" t="n">
        <v>266.42</v>
      </c>
      <c r="G4607">
        <f>IF(LEFT(B4607,1)="C","Credit","Factuur")</f>
        <v/>
      </c>
      <c r="H4607">
        <f>IF(AND(B4607=B4606,D4607=D4606,A4607=A4606,F4607=F4606),1,0)</f>
        <v/>
      </c>
      <c r="I4607">
        <f>IF(C4607="C99999",1,0)</f>
        <v/>
      </c>
      <c r="J4607" s="5">
        <f>IF(OR(H4607=1,I4607=1),0,IF(G4607="Credit",-F4607,F4607))</f>
        <v/>
      </c>
    </row>
    <row r="4608">
      <c r="A4608" t="inlineStr">
        <is>
          <t>2026-08-14</t>
        </is>
      </c>
      <c r="B4608" t="inlineStr">
        <is>
          <t>F277189</t>
        </is>
      </c>
      <c r="C4608" t="inlineStr">
        <is>
          <t>C10913</t>
        </is>
      </c>
      <c r="D4608" t="inlineStr">
        <is>
          <t>SKU-10112</t>
        </is>
      </c>
      <c r="E4608" t="inlineStr">
        <is>
          <t>AM06</t>
        </is>
      </c>
      <c r="F4608" s="5" t="n">
        <v>266.42</v>
      </c>
      <c r="G4608">
        <f>IF(LEFT(B4608,1)="C","Credit","Factuur")</f>
        <v/>
      </c>
      <c r="H4608">
        <f>IF(AND(B4608=B4607,D4608=D4607,A4608=A4607,F4608=F4607),1,0)</f>
        <v/>
      </c>
      <c r="I4608">
        <f>IF(C4608="C99999",1,0)</f>
        <v/>
      </c>
      <c r="J4608" s="5">
        <f>IF(OR(H4608=1,I4608=1),0,IF(G4608="Credit",-F4608,F4608))</f>
        <v/>
      </c>
    </row>
    <row r="4609">
      <c r="A4609" t="inlineStr">
        <is>
          <t>2026-08-14</t>
        </is>
      </c>
      <c r="B4609" t="inlineStr">
        <is>
          <t>F277189</t>
        </is>
      </c>
      <c r="C4609" t="inlineStr">
        <is>
          <t>C10913</t>
        </is>
      </c>
      <c r="D4609" t="inlineStr">
        <is>
          <t>SKU-10142</t>
        </is>
      </c>
      <c r="E4609" t="inlineStr">
        <is>
          <t>AM06</t>
        </is>
      </c>
      <c r="F4609" s="5" t="n">
        <v>217.38</v>
      </c>
      <c r="G4609">
        <f>IF(LEFT(B4609,1)="C","Credit","Factuur")</f>
        <v/>
      </c>
      <c r="H4609">
        <f>IF(AND(B4609=B4608,D4609=D4608,A4609=A4608,F4609=F4608),1,0)</f>
        <v/>
      </c>
      <c r="I4609">
        <f>IF(C4609="C99999",1,0)</f>
        <v/>
      </c>
      <c r="J4609" s="5">
        <f>IF(OR(H4609=1,I4609=1),0,IF(G4609="Credit",-F4609,F4609))</f>
        <v/>
      </c>
    </row>
    <row r="4610">
      <c r="A4610" t="inlineStr">
        <is>
          <t>2026-08-14</t>
        </is>
      </c>
      <c r="B4610" t="inlineStr">
        <is>
          <t>F277189</t>
        </is>
      </c>
      <c r="C4610" t="inlineStr">
        <is>
          <t>C10913</t>
        </is>
      </c>
      <c r="D4610" t="inlineStr">
        <is>
          <t>SKU-10142</t>
        </is>
      </c>
      <c r="E4610" t="inlineStr">
        <is>
          <t>AM06</t>
        </is>
      </c>
      <c r="F4610" s="5" t="n">
        <v>217.38</v>
      </c>
      <c r="G4610">
        <f>IF(LEFT(B4610,1)="C","Credit","Factuur")</f>
        <v/>
      </c>
      <c r="H4610">
        <f>IF(AND(B4610=B4609,D4610=D4609,A4610=A4609,F4610=F4609),1,0)</f>
        <v/>
      </c>
      <c r="I4610">
        <f>IF(C4610="C99999",1,0)</f>
        <v/>
      </c>
      <c r="J4610" s="5">
        <f>IF(OR(H4610=1,I4610=1),0,IF(G4610="Credit",-F4610,F4610))</f>
        <v/>
      </c>
    </row>
    <row r="4611">
      <c r="A4611" t="inlineStr">
        <is>
          <t>2026-08-14</t>
        </is>
      </c>
      <c r="B4611" t="inlineStr">
        <is>
          <t>F277189</t>
        </is>
      </c>
      <c r="C4611" t="inlineStr">
        <is>
          <t>C10913</t>
        </is>
      </c>
      <c r="D4611" t="inlineStr">
        <is>
          <t>SKU-10302</t>
        </is>
      </c>
      <c r="E4611" t="inlineStr">
        <is>
          <t>AM06</t>
        </is>
      </c>
      <c r="F4611" s="5" t="n">
        <v>263.46</v>
      </c>
      <c r="G4611">
        <f>IF(LEFT(B4611,1)="C","Credit","Factuur")</f>
        <v/>
      </c>
      <c r="H4611">
        <f>IF(AND(B4611=B4610,D4611=D4610,A4611=A4610,F4611=F4610),1,0)</f>
        <v/>
      </c>
      <c r="I4611">
        <f>IF(C4611="C99999",1,0)</f>
        <v/>
      </c>
      <c r="J4611" s="5">
        <f>IF(OR(H4611=1,I4611=1),0,IF(G4611="Credit",-F4611,F4611))</f>
        <v/>
      </c>
    </row>
    <row r="4612">
      <c r="A4612" t="inlineStr">
        <is>
          <t>2026-08-14</t>
        </is>
      </c>
      <c r="B4612" t="inlineStr">
        <is>
          <t>F277189</t>
        </is>
      </c>
      <c r="C4612" t="inlineStr">
        <is>
          <t>C10913</t>
        </is>
      </c>
      <c r="D4612" t="inlineStr">
        <is>
          <t>SKU-10302</t>
        </is>
      </c>
      <c r="E4612" t="inlineStr">
        <is>
          <t>AM06</t>
        </is>
      </c>
      <c r="F4612" s="5" t="n">
        <v>263.46</v>
      </c>
      <c r="G4612">
        <f>IF(LEFT(B4612,1)="C","Credit","Factuur")</f>
        <v/>
      </c>
      <c r="H4612">
        <f>IF(AND(B4612=B4611,D4612=D4611,A4612=A4611,F4612=F4611),1,0)</f>
        <v/>
      </c>
      <c r="I4612">
        <f>IF(C4612="C99999",1,0)</f>
        <v/>
      </c>
      <c r="J4612" s="5">
        <f>IF(OR(H4612=1,I4612=1),0,IF(G4612="Credit",-F4612,F4612))</f>
        <v/>
      </c>
    </row>
    <row r="4613">
      <c r="A4613" t="inlineStr">
        <is>
          <t>2026-08-14</t>
        </is>
      </c>
      <c r="B4613" t="inlineStr">
        <is>
          <t>F277788</t>
        </is>
      </c>
      <c r="C4613" t="inlineStr">
        <is>
          <t>C10945</t>
        </is>
      </c>
      <c r="D4613" t="inlineStr">
        <is>
          <t>SKU-10035</t>
        </is>
      </c>
      <c r="E4613" t="inlineStr">
        <is>
          <t>AM03</t>
        </is>
      </c>
      <c r="F4613" s="5" t="n">
        <v>842.95</v>
      </c>
      <c r="G4613">
        <f>IF(LEFT(B4613,1)="C","Credit","Factuur")</f>
        <v/>
      </c>
      <c r="H4613">
        <f>IF(AND(B4613=B4612,D4613=D4612,A4613=A4612,F4613=F4612),1,0)</f>
        <v/>
      </c>
      <c r="I4613">
        <f>IF(C4613="C99999",1,0)</f>
        <v/>
      </c>
      <c r="J4613" s="5">
        <f>IF(OR(H4613=1,I4613=1),0,IF(G4613="Credit",-F4613,F4613))</f>
        <v/>
      </c>
    </row>
    <row r="4614">
      <c r="A4614" t="inlineStr">
        <is>
          <t>2026-08-14</t>
        </is>
      </c>
      <c r="B4614" t="inlineStr">
        <is>
          <t>F277788</t>
        </is>
      </c>
      <c r="C4614" t="inlineStr">
        <is>
          <t>C10945</t>
        </is>
      </c>
      <c r="D4614" t="inlineStr">
        <is>
          <t>SKU-10035</t>
        </is>
      </c>
      <c r="E4614" t="inlineStr">
        <is>
          <t>AM03</t>
        </is>
      </c>
      <c r="F4614" s="5" t="n">
        <v>842.95</v>
      </c>
      <c r="G4614">
        <f>IF(LEFT(B4614,1)="C","Credit","Factuur")</f>
        <v/>
      </c>
      <c r="H4614">
        <f>IF(AND(B4614=B4613,D4614=D4613,A4614=A4613,F4614=F4613),1,0)</f>
        <v/>
      </c>
      <c r="I4614">
        <f>IF(C4614="C99999",1,0)</f>
        <v/>
      </c>
      <c r="J4614" s="5">
        <f>IF(OR(H4614=1,I4614=1),0,IF(G4614="Credit",-F4614,F4614))</f>
        <v/>
      </c>
    </row>
    <row r="4615">
      <c r="A4615" t="inlineStr">
        <is>
          <t>2026-08-14</t>
        </is>
      </c>
      <c r="B4615" t="inlineStr">
        <is>
          <t>F277788</t>
        </is>
      </c>
      <c r="C4615" t="inlineStr">
        <is>
          <t>C10945</t>
        </is>
      </c>
      <c r="D4615" t="inlineStr">
        <is>
          <t>SKU-10270</t>
        </is>
      </c>
      <c r="E4615" t="inlineStr">
        <is>
          <t>AM03</t>
        </is>
      </c>
      <c r="F4615" s="5" t="n">
        <v>843.96</v>
      </c>
      <c r="G4615">
        <f>IF(LEFT(B4615,1)="C","Credit","Factuur")</f>
        <v/>
      </c>
      <c r="H4615">
        <f>IF(AND(B4615=B4614,D4615=D4614,A4615=A4614,F4615=F4614),1,0)</f>
        <v/>
      </c>
      <c r="I4615">
        <f>IF(C4615="C99999",1,0)</f>
        <v/>
      </c>
      <c r="J4615" s="5">
        <f>IF(OR(H4615=1,I4615=1),0,IF(G4615="Credit",-F4615,F4615))</f>
        <v/>
      </c>
    </row>
    <row r="4616">
      <c r="A4616" t="inlineStr">
        <is>
          <t>2026-08-14</t>
        </is>
      </c>
      <c r="B4616" t="inlineStr">
        <is>
          <t>F277788</t>
        </is>
      </c>
      <c r="C4616" t="inlineStr">
        <is>
          <t>C10945</t>
        </is>
      </c>
      <c r="D4616" t="inlineStr">
        <is>
          <t>SKU-10270</t>
        </is>
      </c>
      <c r="E4616" t="inlineStr">
        <is>
          <t>AM03</t>
        </is>
      </c>
      <c r="F4616" s="5" t="n">
        <v>843.96</v>
      </c>
      <c r="G4616">
        <f>IF(LEFT(B4616,1)="C","Credit","Factuur")</f>
        <v/>
      </c>
      <c r="H4616">
        <f>IF(AND(B4616=B4615,D4616=D4615,A4616=A4615,F4616=F4615),1,0)</f>
        <v/>
      </c>
      <c r="I4616">
        <f>IF(C4616="C99999",1,0)</f>
        <v/>
      </c>
      <c r="J4616" s="5">
        <f>IF(OR(H4616=1,I4616=1),0,IF(G4616="Credit",-F4616,F4616))</f>
        <v/>
      </c>
    </row>
    <row r="4617">
      <c r="A4617" t="inlineStr">
        <is>
          <t>2026-08-14</t>
        </is>
      </c>
      <c r="B4617" t="inlineStr">
        <is>
          <t>F278089</t>
        </is>
      </c>
      <c r="C4617" t="inlineStr">
        <is>
          <t>C10961</t>
        </is>
      </c>
      <c r="D4617" t="inlineStr">
        <is>
          <t>SKU-10141</t>
        </is>
      </c>
      <c r="E4617" t="inlineStr">
        <is>
          <t>AM03</t>
        </is>
      </c>
      <c r="F4617" s="5" t="n">
        <v>2917.75</v>
      </c>
      <c r="G4617">
        <f>IF(LEFT(B4617,1)="C","Credit","Factuur")</f>
        <v/>
      </c>
      <c r="H4617">
        <f>IF(AND(B4617=B4616,D4617=D4616,A4617=A4616,F4617=F4616),1,0)</f>
        <v/>
      </c>
      <c r="I4617">
        <f>IF(C4617="C99999",1,0)</f>
        <v/>
      </c>
      <c r="J4617" s="5">
        <f>IF(OR(H4617=1,I4617=1),0,IF(G4617="Credit",-F4617,F4617))</f>
        <v/>
      </c>
    </row>
    <row r="4618">
      <c r="A4618" t="inlineStr">
        <is>
          <t>2026-08-14</t>
        </is>
      </c>
      <c r="B4618" t="inlineStr">
        <is>
          <t>F278089</t>
        </is>
      </c>
      <c r="C4618" t="inlineStr">
        <is>
          <t>C10961</t>
        </is>
      </c>
      <c r="D4618" t="inlineStr">
        <is>
          <t>SKU-10141</t>
        </is>
      </c>
      <c r="E4618" t="inlineStr">
        <is>
          <t>AM03</t>
        </is>
      </c>
      <c r="F4618" s="5" t="n">
        <v>2917.75</v>
      </c>
      <c r="G4618">
        <f>IF(LEFT(B4618,1)="C","Credit","Factuur")</f>
        <v/>
      </c>
      <c r="H4618">
        <f>IF(AND(B4618=B4617,D4618=D4617,A4618=A4617,F4618=F4617),1,0)</f>
        <v/>
      </c>
      <c r="I4618">
        <f>IF(C4618="C99999",1,0)</f>
        <v/>
      </c>
      <c r="J4618" s="5">
        <f>IF(OR(H4618=1,I4618=1),0,IF(G4618="Credit",-F4618,F4618))</f>
        <v/>
      </c>
    </row>
    <row r="4619">
      <c r="A4619" t="inlineStr">
        <is>
          <t>2026-08-14</t>
        </is>
      </c>
      <c r="B4619" t="inlineStr">
        <is>
          <t>F278233</t>
        </is>
      </c>
      <c r="C4619" t="inlineStr">
        <is>
          <t>C10968</t>
        </is>
      </c>
      <c r="D4619" t="inlineStr">
        <is>
          <t>SKU-10208</t>
        </is>
      </c>
      <c r="E4619" t="inlineStr">
        <is>
          <t>AM03</t>
        </is>
      </c>
      <c r="F4619" s="5" t="n">
        <v>1081.16</v>
      </c>
      <c r="G4619">
        <f>IF(LEFT(B4619,1)="C","Credit","Factuur")</f>
        <v/>
      </c>
      <c r="H4619">
        <f>IF(AND(B4619=B4618,D4619=D4618,A4619=A4618,F4619=F4618),1,0)</f>
        <v/>
      </c>
      <c r="I4619">
        <f>IF(C4619="C99999",1,0)</f>
        <v/>
      </c>
      <c r="J4619" s="5">
        <f>IF(OR(H4619=1,I4619=1),0,IF(G4619="Credit",-F4619,F4619))</f>
        <v/>
      </c>
    </row>
    <row r="4620">
      <c r="A4620" t="inlineStr">
        <is>
          <t>2026-08-14</t>
        </is>
      </c>
      <c r="B4620" t="inlineStr">
        <is>
          <t>F278233</t>
        </is>
      </c>
      <c r="C4620" t="inlineStr">
        <is>
          <t>C10968</t>
        </is>
      </c>
      <c r="D4620" t="inlineStr">
        <is>
          <t>SKU-10208</t>
        </is>
      </c>
      <c r="E4620" t="inlineStr">
        <is>
          <t>AM03</t>
        </is>
      </c>
      <c r="F4620" s="5" t="n">
        <v>1081.16</v>
      </c>
      <c r="G4620">
        <f>IF(LEFT(B4620,1)="C","Credit","Factuur")</f>
        <v/>
      </c>
      <c r="H4620">
        <f>IF(AND(B4620=B4619,D4620=D4619,A4620=A4619,F4620=F4619),1,0)</f>
        <v/>
      </c>
      <c r="I4620">
        <f>IF(C4620="C99999",1,0)</f>
        <v/>
      </c>
      <c r="J4620" s="5">
        <f>IF(OR(H4620=1,I4620=1),0,IF(G4620="Credit",-F4620,F4620))</f>
        <v/>
      </c>
    </row>
    <row r="4621">
      <c r="A4621" t="inlineStr">
        <is>
          <t>2026-08-14</t>
        </is>
      </c>
      <c r="B4621" t="inlineStr">
        <is>
          <t>F278233</t>
        </is>
      </c>
      <c r="C4621" t="inlineStr">
        <is>
          <t>C10968</t>
        </is>
      </c>
      <c r="D4621" t="inlineStr">
        <is>
          <t>SKU-10240</t>
        </is>
      </c>
      <c r="E4621" t="inlineStr">
        <is>
          <t>AM03</t>
        </is>
      </c>
      <c r="F4621" s="5" t="n">
        <v>1135.44</v>
      </c>
      <c r="G4621">
        <f>IF(LEFT(B4621,1)="C","Credit","Factuur")</f>
        <v/>
      </c>
      <c r="H4621">
        <f>IF(AND(B4621=B4620,D4621=D4620,A4621=A4620,F4621=F4620),1,0)</f>
        <v/>
      </c>
      <c r="I4621">
        <f>IF(C4621="C99999",1,0)</f>
        <v/>
      </c>
      <c r="J4621" s="5">
        <f>IF(OR(H4621=1,I4621=1),0,IF(G4621="Credit",-F4621,F4621))</f>
        <v/>
      </c>
    </row>
    <row r="4622">
      <c r="A4622" t="inlineStr">
        <is>
          <t>2026-08-14</t>
        </is>
      </c>
      <c r="B4622" t="inlineStr">
        <is>
          <t>F278233</t>
        </is>
      </c>
      <c r="C4622" t="inlineStr">
        <is>
          <t>C10968</t>
        </is>
      </c>
      <c r="D4622" t="inlineStr">
        <is>
          <t>SKU-10240</t>
        </is>
      </c>
      <c r="E4622" t="inlineStr">
        <is>
          <t>AM03</t>
        </is>
      </c>
      <c r="F4622" s="5" t="n">
        <v>1135.44</v>
      </c>
      <c r="G4622">
        <f>IF(LEFT(B4622,1)="C","Credit","Factuur")</f>
        <v/>
      </c>
      <c r="H4622">
        <f>IF(AND(B4622=B4621,D4622=D4621,A4622=A4621,F4622=F4621),1,0)</f>
        <v/>
      </c>
      <c r="I4622">
        <f>IF(C4622="C99999",1,0)</f>
        <v/>
      </c>
      <c r="J4622" s="5">
        <f>IF(OR(H4622=1,I4622=1),0,IF(G4622="Credit",-F4622,F4622))</f>
        <v/>
      </c>
    </row>
    <row r="4623">
      <c r="A4623" t="inlineStr">
        <is>
          <t>2026-08-14</t>
        </is>
      </c>
      <c r="B4623" t="inlineStr">
        <is>
          <t>F278794</t>
        </is>
      </c>
      <c r="C4623" t="inlineStr">
        <is>
          <t>C10996</t>
        </is>
      </c>
      <c r="D4623" t="inlineStr">
        <is>
          <t>SKU-10153</t>
        </is>
      </c>
      <c r="E4623" t="inlineStr">
        <is>
          <t>AM02</t>
        </is>
      </c>
      <c r="F4623" s="5" t="n">
        <v>67.44</v>
      </c>
      <c r="G4623">
        <f>IF(LEFT(B4623,1)="C","Credit","Factuur")</f>
        <v/>
      </c>
      <c r="H4623">
        <f>IF(AND(B4623=B4622,D4623=D4622,A4623=A4622,F4623=F4622),1,0)</f>
        <v/>
      </c>
      <c r="I4623">
        <f>IF(C4623="C99999",1,0)</f>
        <v/>
      </c>
      <c r="J4623" s="5">
        <f>IF(OR(H4623=1,I4623=1),0,IF(G4623="Credit",-F4623,F4623))</f>
        <v/>
      </c>
    </row>
    <row r="4624">
      <c r="A4624" t="inlineStr">
        <is>
          <t>2026-08-14</t>
        </is>
      </c>
      <c r="B4624" t="inlineStr">
        <is>
          <t>F278794</t>
        </is>
      </c>
      <c r="C4624" t="inlineStr">
        <is>
          <t>C10996</t>
        </is>
      </c>
      <c r="D4624" t="inlineStr">
        <is>
          <t>SKU-10153</t>
        </is>
      </c>
      <c r="E4624" t="inlineStr">
        <is>
          <t>AM02</t>
        </is>
      </c>
      <c r="F4624" s="5" t="n">
        <v>67.44</v>
      </c>
      <c r="G4624">
        <f>IF(LEFT(B4624,1)="C","Credit","Factuur")</f>
        <v/>
      </c>
      <c r="H4624">
        <f>IF(AND(B4624=B4623,D4624=D4623,A4624=A4623,F4624=F4623),1,0)</f>
        <v/>
      </c>
      <c r="I4624">
        <f>IF(C4624="C99999",1,0)</f>
        <v/>
      </c>
      <c r="J4624" s="5">
        <f>IF(OR(H4624=1,I4624=1),0,IF(G4624="Credit",-F4624,F4624))</f>
        <v/>
      </c>
    </row>
    <row r="4625">
      <c r="A4625" t="inlineStr">
        <is>
          <t>2026-08-14</t>
        </is>
      </c>
      <c r="B4625" t="inlineStr">
        <is>
          <t>F278794</t>
        </is>
      </c>
      <c r="C4625" t="inlineStr">
        <is>
          <t>C10996</t>
        </is>
      </c>
      <c r="D4625" t="inlineStr">
        <is>
          <t>SKU-10178</t>
        </is>
      </c>
      <c r="E4625" t="inlineStr">
        <is>
          <t>AM02</t>
        </is>
      </c>
      <c r="F4625" s="5" t="n">
        <v>57.16</v>
      </c>
      <c r="G4625">
        <f>IF(LEFT(B4625,1)="C","Credit","Factuur")</f>
        <v/>
      </c>
      <c r="H4625">
        <f>IF(AND(B4625=B4624,D4625=D4624,A4625=A4624,F4625=F4624),1,0)</f>
        <v/>
      </c>
      <c r="I4625">
        <f>IF(C4625="C99999",1,0)</f>
        <v/>
      </c>
      <c r="J4625" s="5">
        <f>IF(OR(H4625=1,I4625=1),0,IF(G4625="Credit",-F4625,F4625))</f>
        <v/>
      </c>
    </row>
    <row r="4626">
      <c r="A4626" t="inlineStr">
        <is>
          <t>2026-08-14</t>
        </is>
      </c>
      <c r="B4626" t="inlineStr">
        <is>
          <t>F278794</t>
        </is>
      </c>
      <c r="C4626" t="inlineStr">
        <is>
          <t>C10996</t>
        </is>
      </c>
      <c r="D4626" t="inlineStr">
        <is>
          <t>SKU-10178</t>
        </is>
      </c>
      <c r="E4626" t="inlineStr">
        <is>
          <t>AM02</t>
        </is>
      </c>
      <c r="F4626" s="5" t="n">
        <v>57.16</v>
      </c>
      <c r="G4626">
        <f>IF(LEFT(B4626,1)="C","Credit","Factuur")</f>
        <v/>
      </c>
      <c r="H4626">
        <f>IF(AND(B4626=B4625,D4626=D4625,A4626=A4625,F4626=F4625),1,0)</f>
        <v/>
      </c>
      <c r="I4626">
        <f>IF(C4626="C99999",1,0)</f>
        <v/>
      </c>
      <c r="J4626" s="5">
        <f>IF(OR(H4626=1,I4626=1),0,IF(G4626="Credit",-F4626,F4626))</f>
        <v/>
      </c>
    </row>
    <row r="4627">
      <c r="A4627" t="inlineStr">
        <is>
          <t>2026-08-14</t>
        </is>
      </c>
      <c r="B4627" t="inlineStr">
        <is>
          <t>F278794</t>
        </is>
      </c>
      <c r="C4627" t="inlineStr">
        <is>
          <t>C10996</t>
        </is>
      </c>
      <c r="D4627" t="inlineStr">
        <is>
          <t>SKU-10186</t>
        </is>
      </c>
      <c r="E4627" t="inlineStr">
        <is>
          <t>AM02</t>
        </is>
      </c>
      <c r="F4627" s="5" t="n">
        <v>65.45</v>
      </c>
      <c r="G4627">
        <f>IF(LEFT(B4627,1)="C","Credit","Factuur")</f>
        <v/>
      </c>
      <c r="H4627">
        <f>IF(AND(B4627=B4626,D4627=D4626,A4627=A4626,F4627=F4626),1,0)</f>
        <v/>
      </c>
      <c r="I4627">
        <f>IF(C4627="C99999",1,0)</f>
        <v/>
      </c>
      <c r="J4627" s="5">
        <f>IF(OR(H4627=1,I4627=1),0,IF(G4627="Credit",-F4627,F4627))</f>
        <v/>
      </c>
    </row>
    <row r="4628">
      <c r="A4628" t="inlineStr">
        <is>
          <t>2026-08-14</t>
        </is>
      </c>
      <c r="B4628" t="inlineStr">
        <is>
          <t>F278794</t>
        </is>
      </c>
      <c r="C4628" t="inlineStr">
        <is>
          <t>C10996</t>
        </is>
      </c>
      <c r="D4628" t="inlineStr">
        <is>
          <t>SKU-10186</t>
        </is>
      </c>
      <c r="E4628" t="inlineStr">
        <is>
          <t>AM02</t>
        </is>
      </c>
      <c r="F4628" s="5" t="n">
        <v>65.45</v>
      </c>
      <c r="G4628">
        <f>IF(LEFT(B4628,1)="C","Credit","Factuur")</f>
        <v/>
      </c>
      <c r="H4628">
        <f>IF(AND(B4628=B4627,D4628=D4627,A4628=A4627,F4628=F4627),1,0)</f>
        <v/>
      </c>
      <c r="I4628">
        <f>IF(C4628="C99999",1,0)</f>
        <v/>
      </c>
      <c r="J4628" s="5">
        <f>IF(OR(H4628=1,I4628=1),0,IF(G4628="Credit",-F4628,F4628))</f>
        <v/>
      </c>
    </row>
    <row r="4629">
      <c r="A4629" t="inlineStr">
        <is>
          <t>2026-08-14</t>
        </is>
      </c>
      <c r="B4629" t="inlineStr">
        <is>
          <t>F278982</t>
        </is>
      </c>
      <c r="C4629" t="inlineStr">
        <is>
          <t>C11006</t>
        </is>
      </c>
      <c r="D4629" t="inlineStr">
        <is>
          <t>SKU-10306</t>
        </is>
      </c>
      <c r="E4629" t="inlineStr">
        <is>
          <t>AM11</t>
        </is>
      </c>
      <c r="F4629" s="5" t="n">
        <v>1178.36</v>
      </c>
      <c r="G4629">
        <f>IF(LEFT(B4629,1)="C","Credit","Factuur")</f>
        <v/>
      </c>
      <c r="H4629">
        <f>IF(AND(B4629=B4628,D4629=D4628,A4629=A4628,F4629=F4628),1,0)</f>
        <v/>
      </c>
      <c r="I4629">
        <f>IF(C4629="C99999",1,0)</f>
        <v/>
      </c>
      <c r="J4629" s="5">
        <f>IF(OR(H4629=1,I4629=1),0,IF(G4629="Credit",-F4629,F4629))</f>
        <v/>
      </c>
    </row>
    <row r="4630">
      <c r="A4630" t="inlineStr">
        <is>
          <t>2026-08-14</t>
        </is>
      </c>
      <c r="B4630" t="inlineStr">
        <is>
          <t>F278982</t>
        </is>
      </c>
      <c r="C4630" t="inlineStr">
        <is>
          <t>C11006</t>
        </is>
      </c>
      <c r="D4630" t="inlineStr">
        <is>
          <t>SKU-10306</t>
        </is>
      </c>
      <c r="E4630" t="inlineStr">
        <is>
          <t>AM11</t>
        </is>
      </c>
      <c r="F4630" s="5" t="n">
        <v>1178.36</v>
      </c>
      <c r="G4630">
        <f>IF(LEFT(B4630,1)="C","Credit","Factuur")</f>
        <v/>
      </c>
      <c r="H4630">
        <f>IF(AND(B4630=B4629,D4630=D4629,A4630=A4629,F4630=F4629),1,0)</f>
        <v/>
      </c>
      <c r="I4630">
        <f>IF(C4630="C99999",1,0)</f>
        <v/>
      </c>
      <c r="J4630" s="5">
        <f>IF(OR(H4630=1,I4630=1),0,IF(G4630="Credit",-F4630,F4630))</f>
        <v/>
      </c>
    </row>
    <row r="4631">
      <c r="A4631" t="inlineStr">
        <is>
          <t>2026-08-14</t>
        </is>
      </c>
      <c r="B4631" t="inlineStr">
        <is>
          <t>F279075</t>
        </is>
      </c>
      <c r="C4631" t="inlineStr">
        <is>
          <t>C11009</t>
        </is>
      </c>
      <c r="D4631" t="inlineStr">
        <is>
          <t>SKU-10209</t>
        </is>
      </c>
      <c r="E4631" t="inlineStr">
        <is>
          <t>AM02</t>
        </is>
      </c>
      <c r="F4631" s="5" t="n">
        <v>172.99</v>
      </c>
      <c r="G4631">
        <f>IF(LEFT(B4631,1)="C","Credit","Factuur")</f>
        <v/>
      </c>
      <c r="H4631">
        <f>IF(AND(B4631=B4630,D4631=D4630,A4631=A4630,F4631=F4630),1,0)</f>
        <v/>
      </c>
      <c r="I4631">
        <f>IF(C4631="C99999",1,0)</f>
        <v/>
      </c>
      <c r="J4631" s="5">
        <f>IF(OR(H4631=1,I4631=1),0,IF(G4631="Credit",-F4631,F4631))</f>
        <v/>
      </c>
    </row>
    <row r="4632">
      <c r="A4632" t="inlineStr">
        <is>
          <t>2026-08-14</t>
        </is>
      </c>
      <c r="B4632" t="inlineStr">
        <is>
          <t>F279075</t>
        </is>
      </c>
      <c r="C4632" t="inlineStr">
        <is>
          <t>C11009</t>
        </is>
      </c>
      <c r="D4632" t="inlineStr">
        <is>
          <t>SKU-10209</t>
        </is>
      </c>
      <c r="E4632" t="inlineStr">
        <is>
          <t>AM02</t>
        </is>
      </c>
      <c r="F4632" s="5" t="n">
        <v>172.99</v>
      </c>
      <c r="G4632">
        <f>IF(LEFT(B4632,1)="C","Credit","Factuur")</f>
        <v/>
      </c>
      <c r="H4632">
        <f>IF(AND(B4632=B4631,D4632=D4631,A4632=A4631,F4632=F4631),1,0)</f>
        <v/>
      </c>
      <c r="I4632">
        <f>IF(C4632="C99999",1,0)</f>
        <v/>
      </c>
      <c r="J4632" s="5">
        <f>IF(OR(H4632=1,I4632=1),0,IF(G4632="Credit",-F4632,F4632))</f>
        <v/>
      </c>
    </row>
    <row r="4633">
      <c r="A4633" t="inlineStr">
        <is>
          <t>2026-08-14</t>
        </is>
      </c>
      <c r="B4633" t="inlineStr">
        <is>
          <t>F279075</t>
        </is>
      </c>
      <c r="C4633" t="inlineStr">
        <is>
          <t>C11009</t>
        </is>
      </c>
      <c r="D4633" t="inlineStr">
        <is>
          <t>SKU-10236</t>
        </is>
      </c>
      <c r="E4633" t="inlineStr">
        <is>
          <t>AM02</t>
        </is>
      </c>
      <c r="F4633" s="5" t="n">
        <v>170.54</v>
      </c>
      <c r="G4633">
        <f>IF(LEFT(B4633,1)="C","Credit","Factuur")</f>
        <v/>
      </c>
      <c r="H4633">
        <f>IF(AND(B4633=B4632,D4633=D4632,A4633=A4632,F4633=F4632),1,0)</f>
        <v/>
      </c>
      <c r="I4633">
        <f>IF(C4633="C99999",1,0)</f>
        <v/>
      </c>
      <c r="J4633" s="5">
        <f>IF(OR(H4633=1,I4633=1),0,IF(G4633="Credit",-F4633,F4633))</f>
        <v/>
      </c>
    </row>
    <row r="4634">
      <c r="A4634" t="inlineStr">
        <is>
          <t>2026-08-14</t>
        </is>
      </c>
      <c r="B4634" t="inlineStr">
        <is>
          <t>F279075</t>
        </is>
      </c>
      <c r="C4634" t="inlineStr">
        <is>
          <t>C11009</t>
        </is>
      </c>
      <c r="D4634" t="inlineStr">
        <is>
          <t>SKU-10236</t>
        </is>
      </c>
      <c r="E4634" t="inlineStr">
        <is>
          <t>AM02</t>
        </is>
      </c>
      <c r="F4634" s="5" t="n">
        <v>170.54</v>
      </c>
      <c r="G4634">
        <f>IF(LEFT(B4634,1)="C","Credit","Factuur")</f>
        <v/>
      </c>
      <c r="H4634">
        <f>IF(AND(B4634=B4633,D4634=D4633,A4634=A4633,F4634=F4633),1,0)</f>
        <v/>
      </c>
      <c r="I4634">
        <f>IF(C4634="C99999",1,0)</f>
        <v/>
      </c>
      <c r="J4634" s="5">
        <f>IF(OR(H4634=1,I4634=1),0,IF(G4634="Credit",-F4634,F4634))</f>
        <v/>
      </c>
    </row>
    <row r="4635">
      <c r="A4635" t="inlineStr">
        <is>
          <t>2026-08-14</t>
        </is>
      </c>
      <c r="B4635" t="inlineStr">
        <is>
          <t>F279075</t>
        </is>
      </c>
      <c r="C4635" t="inlineStr">
        <is>
          <t>C11009</t>
        </is>
      </c>
      <c r="D4635" t="inlineStr">
        <is>
          <t>SKU-10341</t>
        </is>
      </c>
      <c r="E4635" t="inlineStr">
        <is>
          <t>AM02</t>
        </is>
      </c>
      <c r="F4635" s="5" t="n">
        <v>181.08</v>
      </c>
      <c r="G4635">
        <f>IF(LEFT(B4635,1)="C","Credit","Factuur")</f>
        <v/>
      </c>
      <c r="H4635">
        <f>IF(AND(B4635=B4634,D4635=D4634,A4635=A4634,F4635=F4634),1,0)</f>
        <v/>
      </c>
      <c r="I4635">
        <f>IF(C4635="C99999",1,0)</f>
        <v/>
      </c>
      <c r="J4635" s="5">
        <f>IF(OR(H4635=1,I4635=1),0,IF(G4635="Credit",-F4635,F4635))</f>
        <v/>
      </c>
    </row>
    <row r="4636">
      <c r="A4636" t="inlineStr">
        <is>
          <t>2026-08-14</t>
        </is>
      </c>
      <c r="B4636" t="inlineStr">
        <is>
          <t>F279075</t>
        </is>
      </c>
      <c r="C4636" t="inlineStr">
        <is>
          <t>C11009</t>
        </is>
      </c>
      <c r="D4636" t="inlineStr">
        <is>
          <t>SKU-10341</t>
        </is>
      </c>
      <c r="E4636" t="inlineStr">
        <is>
          <t>AM02</t>
        </is>
      </c>
      <c r="F4636" s="5" t="n">
        <v>181.08</v>
      </c>
      <c r="G4636">
        <f>IF(LEFT(B4636,1)="C","Credit","Factuur")</f>
        <v/>
      </c>
      <c r="H4636">
        <f>IF(AND(B4636=B4635,D4636=D4635,A4636=A4635,F4636=F4635),1,0)</f>
        <v/>
      </c>
      <c r="I4636">
        <f>IF(C4636="C99999",1,0)</f>
        <v/>
      </c>
      <c r="J4636" s="5">
        <f>IF(OR(H4636=1,I4636=1),0,IF(G4636="Credit",-F4636,F4636))</f>
        <v/>
      </c>
    </row>
    <row r="4637">
      <c r="A4637" t="inlineStr">
        <is>
          <t>2026-08-14</t>
        </is>
      </c>
      <c r="B4637" t="inlineStr">
        <is>
          <t>F279249</t>
        </is>
      </c>
      <c r="C4637" t="inlineStr">
        <is>
          <t>C11022</t>
        </is>
      </c>
      <c r="D4637" t="inlineStr">
        <is>
          <t>SKU-10038</t>
        </is>
      </c>
      <c r="E4637" t="inlineStr">
        <is>
          <t>AM01</t>
        </is>
      </c>
      <c r="F4637" s="5" t="n">
        <v>165.87</v>
      </c>
      <c r="G4637">
        <f>IF(LEFT(B4637,1)="C","Credit","Factuur")</f>
        <v/>
      </c>
      <c r="H4637">
        <f>IF(AND(B4637=B4636,D4637=D4636,A4637=A4636,F4637=F4636),1,0)</f>
        <v/>
      </c>
      <c r="I4637">
        <f>IF(C4637="C99999",1,0)</f>
        <v/>
      </c>
      <c r="J4637" s="5">
        <f>IF(OR(H4637=1,I4637=1),0,IF(G4637="Credit",-F4637,F4637))</f>
        <v/>
      </c>
    </row>
    <row r="4638">
      <c r="A4638" t="inlineStr">
        <is>
          <t>2026-08-14</t>
        </is>
      </c>
      <c r="B4638" t="inlineStr">
        <is>
          <t>F279249</t>
        </is>
      </c>
      <c r="C4638" t="inlineStr">
        <is>
          <t>C11022</t>
        </is>
      </c>
      <c r="D4638" t="inlineStr">
        <is>
          <t>SKU-10038</t>
        </is>
      </c>
      <c r="E4638" t="inlineStr">
        <is>
          <t>AM01</t>
        </is>
      </c>
      <c r="F4638" s="5" t="n">
        <v>165.87</v>
      </c>
      <c r="G4638">
        <f>IF(LEFT(B4638,1)="C","Credit","Factuur")</f>
        <v/>
      </c>
      <c r="H4638">
        <f>IF(AND(B4638=B4637,D4638=D4637,A4638=A4637,F4638=F4637),1,0)</f>
        <v/>
      </c>
      <c r="I4638">
        <f>IF(C4638="C99999",1,0)</f>
        <v/>
      </c>
      <c r="J4638" s="5">
        <f>IF(OR(H4638=1,I4638=1),0,IF(G4638="Credit",-F4638,F4638))</f>
        <v/>
      </c>
    </row>
    <row r="4639">
      <c r="A4639" t="inlineStr">
        <is>
          <t>2026-08-14</t>
        </is>
      </c>
      <c r="B4639" t="inlineStr">
        <is>
          <t>F279249</t>
        </is>
      </c>
      <c r="C4639" t="inlineStr">
        <is>
          <t>C11022</t>
        </is>
      </c>
      <c r="D4639" t="inlineStr">
        <is>
          <t>SKU-10040</t>
        </is>
      </c>
      <c r="E4639" t="inlineStr">
        <is>
          <t>AM01</t>
        </is>
      </c>
      <c r="F4639" s="5" t="n">
        <v>165.22</v>
      </c>
      <c r="G4639">
        <f>IF(LEFT(B4639,1)="C","Credit","Factuur")</f>
        <v/>
      </c>
      <c r="H4639">
        <f>IF(AND(B4639=B4638,D4639=D4638,A4639=A4638,F4639=F4638),1,0)</f>
        <v/>
      </c>
      <c r="I4639">
        <f>IF(C4639="C99999",1,0)</f>
        <v/>
      </c>
      <c r="J4639" s="5">
        <f>IF(OR(H4639=1,I4639=1),0,IF(G4639="Credit",-F4639,F4639))</f>
        <v/>
      </c>
    </row>
    <row r="4640">
      <c r="A4640" t="inlineStr">
        <is>
          <t>2026-08-14</t>
        </is>
      </c>
      <c r="B4640" t="inlineStr">
        <is>
          <t>F279249</t>
        </is>
      </c>
      <c r="C4640" t="inlineStr">
        <is>
          <t>C11022</t>
        </is>
      </c>
      <c r="D4640" t="inlineStr">
        <is>
          <t>SKU-10040</t>
        </is>
      </c>
      <c r="E4640" t="inlineStr">
        <is>
          <t>AM01</t>
        </is>
      </c>
      <c r="F4640" s="5" t="n">
        <v>165.22</v>
      </c>
      <c r="G4640">
        <f>IF(LEFT(B4640,1)="C","Credit","Factuur")</f>
        <v/>
      </c>
      <c r="H4640">
        <f>IF(AND(B4640=B4639,D4640=D4639,A4640=A4639,F4640=F4639),1,0)</f>
        <v/>
      </c>
      <c r="I4640">
        <f>IF(C4640="C99999",1,0)</f>
        <v/>
      </c>
      <c r="J4640" s="5">
        <f>IF(OR(H4640=1,I4640=1),0,IF(G4640="Credit",-F4640,F4640))</f>
        <v/>
      </c>
    </row>
    <row r="4641">
      <c r="A4641" t="inlineStr">
        <is>
          <t>2026-08-14</t>
        </is>
      </c>
      <c r="B4641" t="inlineStr">
        <is>
          <t>F279249</t>
        </is>
      </c>
      <c r="C4641" t="inlineStr">
        <is>
          <t>C11022</t>
        </is>
      </c>
      <c r="D4641" t="inlineStr">
        <is>
          <t>SKU-10053</t>
        </is>
      </c>
      <c r="E4641" t="inlineStr">
        <is>
          <t>AM01</t>
        </is>
      </c>
      <c r="F4641" s="5" t="n">
        <v>160.31</v>
      </c>
      <c r="G4641">
        <f>IF(LEFT(B4641,1)="C","Credit","Factuur")</f>
        <v/>
      </c>
      <c r="H4641">
        <f>IF(AND(B4641=B4640,D4641=D4640,A4641=A4640,F4641=F4640),1,0)</f>
        <v/>
      </c>
      <c r="I4641">
        <f>IF(C4641="C99999",1,0)</f>
        <v/>
      </c>
      <c r="J4641" s="5">
        <f>IF(OR(H4641=1,I4641=1),0,IF(G4641="Credit",-F4641,F4641))</f>
        <v/>
      </c>
    </row>
    <row r="4642">
      <c r="A4642" t="inlineStr">
        <is>
          <t>2026-08-14</t>
        </is>
      </c>
      <c r="B4642" t="inlineStr">
        <is>
          <t>F279249</t>
        </is>
      </c>
      <c r="C4642" t="inlineStr">
        <is>
          <t>C11022</t>
        </is>
      </c>
      <c r="D4642" t="inlineStr">
        <is>
          <t>SKU-10053</t>
        </is>
      </c>
      <c r="E4642" t="inlineStr">
        <is>
          <t>AM01</t>
        </is>
      </c>
      <c r="F4642" s="5" t="n">
        <v>160.31</v>
      </c>
      <c r="G4642">
        <f>IF(LEFT(B4642,1)="C","Credit","Factuur")</f>
        <v/>
      </c>
      <c r="H4642">
        <f>IF(AND(B4642=B4641,D4642=D4641,A4642=A4641,F4642=F4641),1,0)</f>
        <v/>
      </c>
      <c r="I4642">
        <f>IF(C4642="C99999",1,0)</f>
        <v/>
      </c>
      <c r="J4642" s="5">
        <f>IF(OR(H4642=1,I4642=1),0,IF(G4642="Credit",-F4642,F4642))</f>
        <v/>
      </c>
    </row>
    <row r="4643">
      <c r="A4643" t="inlineStr">
        <is>
          <t>2026-08-14</t>
        </is>
      </c>
      <c r="B4643" t="inlineStr">
        <is>
          <t>F279249</t>
        </is>
      </c>
      <c r="C4643" t="inlineStr">
        <is>
          <t>C11022</t>
        </is>
      </c>
      <c r="D4643" t="inlineStr">
        <is>
          <t>SKU-10117</t>
        </is>
      </c>
      <c r="E4643" t="inlineStr">
        <is>
          <t>AM01</t>
        </is>
      </c>
      <c r="F4643" s="5" t="n">
        <v>109.04</v>
      </c>
      <c r="G4643">
        <f>IF(LEFT(B4643,1)="C","Credit","Factuur")</f>
        <v/>
      </c>
      <c r="H4643">
        <f>IF(AND(B4643=B4642,D4643=D4642,A4643=A4642,F4643=F4642),1,0)</f>
        <v/>
      </c>
      <c r="I4643">
        <f>IF(C4643="C99999",1,0)</f>
        <v/>
      </c>
      <c r="J4643" s="5">
        <f>IF(OR(H4643=1,I4643=1),0,IF(G4643="Credit",-F4643,F4643))</f>
        <v/>
      </c>
    </row>
    <row r="4644">
      <c r="A4644" t="inlineStr">
        <is>
          <t>2026-08-14</t>
        </is>
      </c>
      <c r="B4644" t="inlineStr">
        <is>
          <t>F279249</t>
        </is>
      </c>
      <c r="C4644" t="inlineStr">
        <is>
          <t>C11022</t>
        </is>
      </c>
      <c r="D4644" t="inlineStr">
        <is>
          <t>SKU-10117</t>
        </is>
      </c>
      <c r="E4644" t="inlineStr">
        <is>
          <t>AM01</t>
        </is>
      </c>
      <c r="F4644" s="5" t="n">
        <v>109.04</v>
      </c>
      <c r="G4644">
        <f>IF(LEFT(B4644,1)="C","Credit","Factuur")</f>
        <v/>
      </c>
      <c r="H4644">
        <f>IF(AND(B4644=B4643,D4644=D4643,A4644=A4643,F4644=F4643),1,0)</f>
        <v/>
      </c>
      <c r="I4644">
        <f>IF(C4644="C99999",1,0)</f>
        <v/>
      </c>
      <c r="J4644" s="5">
        <f>IF(OR(H4644=1,I4644=1),0,IF(G4644="Credit",-F4644,F4644))</f>
        <v/>
      </c>
    </row>
    <row r="4645">
      <c r="A4645" t="inlineStr">
        <is>
          <t>2026-08-14</t>
        </is>
      </c>
      <c r="B4645" t="inlineStr">
        <is>
          <t>F279249</t>
        </is>
      </c>
      <c r="C4645" t="inlineStr">
        <is>
          <t>C11022</t>
        </is>
      </c>
      <c r="D4645" t="inlineStr">
        <is>
          <t>SKU-10155</t>
        </is>
      </c>
      <c r="E4645" t="inlineStr">
        <is>
          <t>AM01</t>
        </is>
      </c>
      <c r="F4645" s="5" t="n">
        <v>157.76</v>
      </c>
      <c r="G4645">
        <f>IF(LEFT(B4645,1)="C","Credit","Factuur")</f>
        <v/>
      </c>
      <c r="H4645">
        <f>IF(AND(B4645=B4644,D4645=D4644,A4645=A4644,F4645=F4644),1,0)</f>
        <v/>
      </c>
      <c r="I4645">
        <f>IF(C4645="C99999",1,0)</f>
        <v/>
      </c>
      <c r="J4645" s="5">
        <f>IF(OR(H4645=1,I4645=1),0,IF(G4645="Credit",-F4645,F4645))</f>
        <v/>
      </c>
    </row>
    <row r="4646">
      <c r="A4646" t="inlineStr">
        <is>
          <t>2026-08-14</t>
        </is>
      </c>
      <c r="B4646" t="inlineStr">
        <is>
          <t>F279249</t>
        </is>
      </c>
      <c r="C4646" t="inlineStr">
        <is>
          <t>C11022</t>
        </is>
      </c>
      <c r="D4646" t="inlineStr">
        <is>
          <t>SKU-10155</t>
        </is>
      </c>
      <c r="E4646" t="inlineStr">
        <is>
          <t>AM01</t>
        </is>
      </c>
      <c r="F4646" s="5" t="n">
        <v>157.76</v>
      </c>
      <c r="G4646">
        <f>IF(LEFT(B4646,1)="C","Credit","Factuur")</f>
        <v/>
      </c>
      <c r="H4646">
        <f>IF(AND(B4646=B4645,D4646=D4645,A4646=A4645,F4646=F4645),1,0)</f>
        <v/>
      </c>
      <c r="I4646">
        <f>IF(C4646="C99999",1,0)</f>
        <v/>
      </c>
      <c r="J4646" s="5">
        <f>IF(OR(H4646=1,I4646=1),0,IF(G4646="Credit",-F4646,F4646))</f>
        <v/>
      </c>
    </row>
    <row r="4647">
      <c r="A4647" t="inlineStr">
        <is>
          <t>2026-08-14</t>
        </is>
      </c>
      <c r="B4647" t="inlineStr">
        <is>
          <t>F279340</t>
        </is>
      </c>
      <c r="C4647" t="inlineStr">
        <is>
          <t>C11026</t>
        </is>
      </c>
      <c r="D4647" t="inlineStr">
        <is>
          <t>SKU-10222</t>
        </is>
      </c>
      <c r="E4647" t="inlineStr">
        <is>
          <t>AM11</t>
        </is>
      </c>
      <c r="F4647" s="5" t="n">
        <v>250.04</v>
      </c>
      <c r="G4647">
        <f>IF(LEFT(B4647,1)="C","Credit","Factuur")</f>
        <v/>
      </c>
      <c r="H4647">
        <f>IF(AND(B4647=B4646,D4647=D4646,A4647=A4646,F4647=F4646),1,0)</f>
        <v/>
      </c>
      <c r="I4647">
        <f>IF(C4647="C99999",1,0)</f>
        <v/>
      </c>
      <c r="J4647" s="5">
        <f>IF(OR(H4647=1,I4647=1),0,IF(G4647="Credit",-F4647,F4647))</f>
        <v/>
      </c>
    </row>
    <row r="4648">
      <c r="A4648" t="inlineStr">
        <is>
          <t>2026-08-14</t>
        </is>
      </c>
      <c r="B4648" t="inlineStr">
        <is>
          <t>F279340</t>
        </is>
      </c>
      <c r="C4648" t="inlineStr">
        <is>
          <t>C11026</t>
        </is>
      </c>
      <c r="D4648" t="inlineStr">
        <is>
          <t>SKU-10222</t>
        </is>
      </c>
      <c r="E4648" t="inlineStr">
        <is>
          <t>AM11</t>
        </is>
      </c>
      <c r="F4648" s="5" t="n">
        <v>250.04</v>
      </c>
      <c r="G4648">
        <f>IF(LEFT(B4648,1)="C","Credit","Factuur")</f>
        <v/>
      </c>
      <c r="H4648">
        <f>IF(AND(B4648=B4647,D4648=D4647,A4648=A4647,F4648=F4647),1,0)</f>
        <v/>
      </c>
      <c r="I4648">
        <f>IF(C4648="C99999",1,0)</f>
        <v/>
      </c>
      <c r="J4648" s="5">
        <f>IF(OR(H4648=1,I4648=1),0,IF(G4648="Credit",-F4648,F4648))</f>
        <v/>
      </c>
    </row>
    <row r="4649">
      <c r="A4649" t="inlineStr">
        <is>
          <t>2026-08-14</t>
        </is>
      </c>
      <c r="B4649" t="inlineStr">
        <is>
          <t>F279340</t>
        </is>
      </c>
      <c r="C4649" t="inlineStr">
        <is>
          <t>C11026</t>
        </is>
      </c>
      <c r="D4649" t="inlineStr">
        <is>
          <t>SKU-10373</t>
        </is>
      </c>
      <c r="E4649" t="inlineStr">
        <is>
          <t>AM11</t>
        </is>
      </c>
      <c r="F4649" s="5" t="n">
        <v>299.36</v>
      </c>
      <c r="G4649">
        <f>IF(LEFT(B4649,1)="C","Credit","Factuur")</f>
        <v/>
      </c>
      <c r="H4649">
        <f>IF(AND(B4649=B4648,D4649=D4648,A4649=A4648,F4649=F4648),1,0)</f>
        <v/>
      </c>
      <c r="I4649">
        <f>IF(C4649="C99999",1,0)</f>
        <v/>
      </c>
      <c r="J4649" s="5">
        <f>IF(OR(H4649=1,I4649=1),0,IF(G4649="Credit",-F4649,F4649))</f>
        <v/>
      </c>
    </row>
    <row r="4650">
      <c r="A4650" t="inlineStr">
        <is>
          <t>2026-08-14</t>
        </is>
      </c>
      <c r="B4650" t="inlineStr">
        <is>
          <t>F279340</t>
        </is>
      </c>
      <c r="C4650" t="inlineStr">
        <is>
          <t>C11026</t>
        </is>
      </c>
      <c r="D4650" t="inlineStr">
        <is>
          <t>SKU-10373</t>
        </is>
      </c>
      <c r="E4650" t="inlineStr">
        <is>
          <t>AM11</t>
        </is>
      </c>
      <c r="F4650" s="5" t="n">
        <v>299.36</v>
      </c>
      <c r="G4650">
        <f>IF(LEFT(B4650,1)="C","Credit","Factuur")</f>
        <v/>
      </c>
      <c r="H4650">
        <f>IF(AND(B4650=B4649,D4650=D4649,A4650=A4649,F4650=F4649),1,0)</f>
        <v/>
      </c>
      <c r="I4650">
        <f>IF(C4650="C99999",1,0)</f>
        <v/>
      </c>
      <c r="J4650" s="5">
        <f>IF(OR(H4650=1,I4650=1),0,IF(G4650="Credit",-F4650,F4650))</f>
        <v/>
      </c>
    </row>
    <row r="4651">
      <c r="A4651" t="inlineStr">
        <is>
          <t>2026-08-14</t>
        </is>
      </c>
      <c r="B4651" t="inlineStr">
        <is>
          <t>F279581</t>
        </is>
      </c>
      <c r="C4651" t="inlineStr">
        <is>
          <t>C11038</t>
        </is>
      </c>
      <c r="D4651" t="inlineStr">
        <is>
          <t>SKU-10187</t>
        </is>
      </c>
      <c r="E4651" t="inlineStr">
        <is>
          <t>AM11</t>
        </is>
      </c>
      <c r="F4651" s="5" t="n">
        <v>182.8</v>
      </c>
      <c r="G4651">
        <f>IF(LEFT(B4651,1)="C","Credit","Factuur")</f>
        <v/>
      </c>
      <c r="H4651">
        <f>IF(AND(B4651=B4650,D4651=D4650,A4651=A4650,F4651=F4650),1,0)</f>
        <v/>
      </c>
      <c r="I4651">
        <f>IF(C4651="C99999",1,0)</f>
        <v/>
      </c>
      <c r="J4651" s="5">
        <f>IF(OR(H4651=1,I4651=1),0,IF(G4651="Credit",-F4651,F4651))</f>
        <v/>
      </c>
    </row>
    <row r="4652">
      <c r="A4652" t="inlineStr">
        <is>
          <t>2026-08-14</t>
        </is>
      </c>
      <c r="B4652" t="inlineStr">
        <is>
          <t>F279581</t>
        </is>
      </c>
      <c r="C4652" t="inlineStr">
        <is>
          <t>C11038</t>
        </is>
      </c>
      <c r="D4652" t="inlineStr">
        <is>
          <t>SKU-10187</t>
        </is>
      </c>
      <c r="E4652" t="inlineStr">
        <is>
          <t>AM11</t>
        </is>
      </c>
      <c r="F4652" s="5" t="n">
        <v>182.8</v>
      </c>
      <c r="G4652">
        <f>IF(LEFT(B4652,1)="C","Credit","Factuur")</f>
        <v/>
      </c>
      <c r="H4652">
        <f>IF(AND(B4652=B4651,D4652=D4651,A4652=A4651,F4652=F4651),1,0)</f>
        <v/>
      </c>
      <c r="I4652">
        <f>IF(C4652="C99999",1,0)</f>
        <v/>
      </c>
      <c r="J4652" s="5">
        <f>IF(OR(H4652=1,I4652=1),0,IF(G4652="Credit",-F4652,F4652))</f>
        <v/>
      </c>
    </row>
    <row r="4653">
      <c r="A4653" t="inlineStr">
        <is>
          <t>2026-08-14</t>
        </is>
      </c>
      <c r="B4653" t="inlineStr">
        <is>
          <t>F279581</t>
        </is>
      </c>
      <c r="C4653" t="inlineStr">
        <is>
          <t>C11038</t>
        </is>
      </c>
      <c r="D4653" t="inlineStr">
        <is>
          <t>SKU-10222</t>
        </is>
      </c>
      <c r="E4653" t="inlineStr">
        <is>
          <t>AM11</t>
        </is>
      </c>
      <c r="F4653" s="5" t="n">
        <v>197.4</v>
      </c>
      <c r="G4653">
        <f>IF(LEFT(B4653,1)="C","Credit","Factuur")</f>
        <v/>
      </c>
      <c r="H4653">
        <f>IF(AND(B4653=B4652,D4653=D4652,A4653=A4652,F4653=F4652),1,0)</f>
        <v/>
      </c>
      <c r="I4653">
        <f>IF(C4653="C99999",1,0)</f>
        <v/>
      </c>
      <c r="J4653" s="5">
        <f>IF(OR(H4653=1,I4653=1),0,IF(G4653="Credit",-F4653,F4653))</f>
        <v/>
      </c>
    </row>
    <row r="4654">
      <c r="A4654" t="inlineStr">
        <is>
          <t>2026-08-14</t>
        </is>
      </c>
      <c r="B4654" t="inlineStr">
        <is>
          <t>F279581</t>
        </is>
      </c>
      <c r="C4654" t="inlineStr">
        <is>
          <t>C11038</t>
        </is>
      </c>
      <c r="D4654" t="inlineStr">
        <is>
          <t>SKU-10222</t>
        </is>
      </c>
      <c r="E4654" t="inlineStr">
        <is>
          <t>AM11</t>
        </is>
      </c>
      <c r="F4654" s="5" t="n">
        <v>197.4</v>
      </c>
      <c r="G4654">
        <f>IF(LEFT(B4654,1)="C","Credit","Factuur")</f>
        <v/>
      </c>
      <c r="H4654">
        <f>IF(AND(B4654=B4653,D4654=D4653,A4654=A4653,F4654=F4653),1,0)</f>
        <v/>
      </c>
      <c r="I4654">
        <f>IF(C4654="C99999",1,0)</f>
        <v/>
      </c>
      <c r="J4654" s="5">
        <f>IF(OR(H4654=1,I4654=1),0,IF(G4654="Credit",-F4654,F4654))</f>
        <v/>
      </c>
    </row>
    <row r="4655">
      <c r="A4655" t="inlineStr">
        <is>
          <t>2026-08-14</t>
        </is>
      </c>
      <c r="B4655" t="inlineStr">
        <is>
          <t>F279581</t>
        </is>
      </c>
      <c r="C4655" t="inlineStr">
        <is>
          <t>C11038</t>
        </is>
      </c>
      <c r="D4655" t="inlineStr">
        <is>
          <t>SKU-10330</t>
        </is>
      </c>
      <c r="E4655" t="inlineStr">
        <is>
          <t>AM11</t>
        </is>
      </c>
      <c r="F4655" s="5" t="n">
        <v>188.13</v>
      </c>
      <c r="G4655">
        <f>IF(LEFT(B4655,1)="C","Credit","Factuur")</f>
        <v/>
      </c>
      <c r="H4655">
        <f>IF(AND(B4655=B4654,D4655=D4654,A4655=A4654,F4655=F4654),1,0)</f>
        <v/>
      </c>
      <c r="I4655">
        <f>IF(C4655="C99999",1,0)</f>
        <v/>
      </c>
      <c r="J4655" s="5">
        <f>IF(OR(H4655=1,I4655=1),0,IF(G4655="Credit",-F4655,F4655))</f>
        <v/>
      </c>
    </row>
    <row r="4656">
      <c r="A4656" t="inlineStr">
        <is>
          <t>2026-08-14</t>
        </is>
      </c>
      <c r="B4656" t="inlineStr">
        <is>
          <t>F279581</t>
        </is>
      </c>
      <c r="C4656" t="inlineStr">
        <is>
          <t>C11038</t>
        </is>
      </c>
      <c r="D4656" t="inlineStr">
        <is>
          <t>SKU-10330</t>
        </is>
      </c>
      <c r="E4656" t="inlineStr">
        <is>
          <t>AM11</t>
        </is>
      </c>
      <c r="F4656" s="5" t="n">
        <v>188.13</v>
      </c>
      <c r="G4656">
        <f>IF(LEFT(B4656,1)="C","Credit","Factuur")</f>
        <v/>
      </c>
      <c r="H4656">
        <f>IF(AND(B4656=B4655,D4656=D4655,A4656=A4655,F4656=F4655),1,0)</f>
        <v/>
      </c>
      <c r="I4656">
        <f>IF(C4656="C99999",1,0)</f>
        <v/>
      </c>
      <c r="J4656" s="5">
        <f>IF(OR(H4656=1,I4656=1),0,IF(G4656="Credit",-F4656,F4656))</f>
        <v/>
      </c>
    </row>
    <row r="4657">
      <c r="A4657" t="inlineStr">
        <is>
          <t>2026-08-14</t>
        </is>
      </c>
      <c r="B4657" t="inlineStr">
        <is>
          <t>F279836</t>
        </is>
      </c>
      <c r="C4657" t="inlineStr">
        <is>
          <t>C11051</t>
        </is>
      </c>
      <c r="D4657" t="inlineStr">
        <is>
          <t>SKU-10265</t>
        </is>
      </c>
      <c r="E4657" t="inlineStr">
        <is>
          <t>AM03</t>
        </is>
      </c>
      <c r="F4657" s="5" t="n">
        <v>789.92</v>
      </c>
      <c r="G4657">
        <f>IF(LEFT(B4657,1)="C","Credit","Factuur")</f>
        <v/>
      </c>
      <c r="H4657">
        <f>IF(AND(B4657=B4656,D4657=D4656,A4657=A4656,F4657=F4656),1,0)</f>
        <v/>
      </c>
      <c r="I4657">
        <f>IF(C4657="C99999",1,0)</f>
        <v/>
      </c>
      <c r="J4657" s="5">
        <f>IF(OR(H4657=1,I4657=1),0,IF(G4657="Credit",-F4657,F4657))</f>
        <v/>
      </c>
    </row>
    <row r="4658">
      <c r="A4658" t="inlineStr">
        <is>
          <t>2026-08-14</t>
        </is>
      </c>
      <c r="B4658" t="inlineStr">
        <is>
          <t>F279836</t>
        </is>
      </c>
      <c r="C4658" t="inlineStr">
        <is>
          <t>C11051</t>
        </is>
      </c>
      <c r="D4658" t="inlineStr">
        <is>
          <t>SKU-10265</t>
        </is>
      </c>
      <c r="E4658" t="inlineStr">
        <is>
          <t>AM03</t>
        </is>
      </c>
      <c r="F4658" s="5" t="n">
        <v>789.92</v>
      </c>
      <c r="G4658">
        <f>IF(LEFT(B4658,1)="C","Credit","Factuur")</f>
        <v/>
      </c>
      <c r="H4658">
        <f>IF(AND(B4658=B4657,D4658=D4657,A4658=A4657,F4658=F4657),1,0)</f>
        <v/>
      </c>
      <c r="I4658">
        <f>IF(C4658="C99999",1,0)</f>
        <v/>
      </c>
      <c r="J4658" s="5">
        <f>IF(OR(H4658=1,I4658=1),0,IF(G4658="Credit",-F4658,F4658))</f>
        <v/>
      </c>
    </row>
    <row r="4659">
      <c r="A4659" t="inlineStr">
        <is>
          <t>2026-08-14</t>
        </is>
      </c>
      <c r="B4659" t="inlineStr">
        <is>
          <t>F279836</t>
        </is>
      </c>
      <c r="C4659" t="inlineStr">
        <is>
          <t>C11051</t>
        </is>
      </c>
      <c r="D4659" t="inlineStr">
        <is>
          <t>SKU-10307</t>
        </is>
      </c>
      <c r="E4659" t="inlineStr">
        <is>
          <t>AM03</t>
        </is>
      </c>
      <c r="F4659" s="5" t="n">
        <v>846.25</v>
      </c>
      <c r="G4659">
        <f>IF(LEFT(B4659,1)="C","Credit","Factuur")</f>
        <v/>
      </c>
      <c r="H4659">
        <f>IF(AND(B4659=B4658,D4659=D4658,A4659=A4658,F4659=F4658),1,0)</f>
        <v/>
      </c>
      <c r="I4659">
        <f>IF(C4659="C99999",1,0)</f>
        <v/>
      </c>
      <c r="J4659" s="5">
        <f>IF(OR(H4659=1,I4659=1),0,IF(G4659="Credit",-F4659,F4659))</f>
        <v/>
      </c>
    </row>
    <row r="4660">
      <c r="A4660" t="inlineStr">
        <is>
          <t>2026-08-14</t>
        </is>
      </c>
      <c r="B4660" t="inlineStr">
        <is>
          <t>F279836</t>
        </is>
      </c>
      <c r="C4660" t="inlineStr">
        <is>
          <t>C11051</t>
        </is>
      </c>
      <c r="D4660" t="inlineStr">
        <is>
          <t>SKU-10307</t>
        </is>
      </c>
      <c r="E4660" t="inlineStr">
        <is>
          <t>AM03</t>
        </is>
      </c>
      <c r="F4660" s="5" t="n">
        <v>846.25</v>
      </c>
      <c r="G4660">
        <f>IF(LEFT(B4660,1)="C","Credit","Factuur")</f>
        <v/>
      </c>
      <c r="H4660">
        <f>IF(AND(B4660=B4659,D4660=D4659,A4660=A4659,F4660=F4659),1,0)</f>
        <v/>
      </c>
      <c r="I4660">
        <f>IF(C4660="C99999",1,0)</f>
        <v/>
      </c>
      <c r="J4660" s="5">
        <f>IF(OR(H4660=1,I4660=1),0,IF(G4660="Credit",-F4660,F4660))</f>
        <v/>
      </c>
    </row>
    <row r="4661">
      <c r="A4661" t="inlineStr">
        <is>
          <t>2026-08-14</t>
        </is>
      </c>
      <c r="B4661" t="inlineStr">
        <is>
          <t>F279988</t>
        </is>
      </c>
      <c r="C4661" t="inlineStr">
        <is>
          <t>C11056</t>
        </is>
      </c>
      <c r="D4661" t="inlineStr">
        <is>
          <t>SKU-10015</t>
        </is>
      </c>
      <c r="E4661" t="inlineStr">
        <is>
          <t>IS01</t>
        </is>
      </c>
      <c r="F4661" s="5" t="n">
        <v>98.18000000000001</v>
      </c>
      <c r="G4661">
        <f>IF(LEFT(B4661,1)="C","Credit","Factuur")</f>
        <v/>
      </c>
      <c r="H4661">
        <f>IF(AND(B4661=B4660,D4661=D4660,A4661=A4660,F4661=F4660),1,0)</f>
        <v/>
      </c>
      <c r="I4661">
        <f>IF(C4661="C99999",1,0)</f>
        <v/>
      </c>
      <c r="J4661" s="5">
        <f>IF(OR(H4661=1,I4661=1),0,IF(G4661="Credit",-F4661,F4661))</f>
        <v/>
      </c>
    </row>
    <row r="4662">
      <c r="A4662" t="inlineStr">
        <is>
          <t>2026-08-14</t>
        </is>
      </c>
      <c r="B4662" t="inlineStr">
        <is>
          <t>F279988</t>
        </is>
      </c>
      <c r="C4662" t="inlineStr">
        <is>
          <t>C11056</t>
        </is>
      </c>
      <c r="D4662" t="inlineStr">
        <is>
          <t>SKU-10015</t>
        </is>
      </c>
      <c r="E4662" t="inlineStr">
        <is>
          <t>IS01</t>
        </is>
      </c>
      <c r="F4662" s="5" t="n">
        <v>98.18000000000001</v>
      </c>
      <c r="G4662">
        <f>IF(LEFT(B4662,1)="C","Credit","Factuur")</f>
        <v/>
      </c>
      <c r="H4662">
        <f>IF(AND(B4662=B4661,D4662=D4661,A4662=A4661,F4662=F4661),1,0)</f>
        <v/>
      </c>
      <c r="I4662">
        <f>IF(C4662="C99999",1,0)</f>
        <v/>
      </c>
      <c r="J4662" s="5">
        <f>IF(OR(H4662=1,I4662=1),0,IF(G4662="Credit",-F4662,F4662))</f>
        <v/>
      </c>
    </row>
    <row r="4663">
      <c r="A4663" t="inlineStr">
        <is>
          <t>2026-08-14</t>
        </is>
      </c>
      <c r="B4663" t="inlineStr">
        <is>
          <t>F279988</t>
        </is>
      </c>
      <c r="C4663" t="inlineStr">
        <is>
          <t>C11056</t>
        </is>
      </c>
      <c r="D4663" t="inlineStr">
        <is>
          <t>SKU-10143</t>
        </is>
      </c>
      <c r="E4663" t="inlineStr">
        <is>
          <t>IS01</t>
        </is>
      </c>
      <c r="F4663" s="5" t="n">
        <v>72.68000000000001</v>
      </c>
      <c r="G4663">
        <f>IF(LEFT(B4663,1)="C","Credit","Factuur")</f>
        <v/>
      </c>
      <c r="H4663">
        <f>IF(AND(B4663=B4662,D4663=D4662,A4663=A4662,F4663=F4662),1,0)</f>
        <v/>
      </c>
      <c r="I4663">
        <f>IF(C4663="C99999",1,0)</f>
        <v/>
      </c>
      <c r="J4663" s="5">
        <f>IF(OR(H4663=1,I4663=1),0,IF(G4663="Credit",-F4663,F4663))</f>
        <v/>
      </c>
    </row>
    <row r="4664">
      <c r="A4664" t="inlineStr">
        <is>
          <t>2026-08-14</t>
        </is>
      </c>
      <c r="B4664" t="inlineStr">
        <is>
          <t>F279988</t>
        </is>
      </c>
      <c r="C4664" t="inlineStr">
        <is>
          <t>C11056</t>
        </is>
      </c>
      <c r="D4664" t="inlineStr">
        <is>
          <t>SKU-10143</t>
        </is>
      </c>
      <c r="E4664" t="inlineStr">
        <is>
          <t>IS01</t>
        </is>
      </c>
      <c r="F4664" s="5" t="n">
        <v>72.68000000000001</v>
      </c>
      <c r="G4664">
        <f>IF(LEFT(B4664,1)="C","Credit","Factuur")</f>
        <v/>
      </c>
      <c r="H4664">
        <f>IF(AND(B4664=B4663,D4664=D4663,A4664=A4663,F4664=F4663),1,0)</f>
        <v/>
      </c>
      <c r="I4664">
        <f>IF(C4664="C99999",1,0)</f>
        <v/>
      </c>
      <c r="J4664" s="5">
        <f>IF(OR(H4664=1,I4664=1),0,IF(G4664="Credit",-F4664,F4664))</f>
        <v/>
      </c>
    </row>
    <row r="4665">
      <c r="A4665" t="inlineStr">
        <is>
          <t>2026-08-14</t>
        </is>
      </c>
      <c r="B4665" t="inlineStr">
        <is>
          <t>F279988</t>
        </is>
      </c>
      <c r="C4665" t="inlineStr">
        <is>
          <t>C11056</t>
        </is>
      </c>
      <c r="D4665" t="inlineStr">
        <is>
          <t>SKU-10276</t>
        </is>
      </c>
      <c r="E4665" t="inlineStr">
        <is>
          <t>IS01</t>
        </is>
      </c>
      <c r="F4665" s="5" t="n">
        <v>101.92</v>
      </c>
      <c r="G4665">
        <f>IF(LEFT(B4665,1)="C","Credit","Factuur")</f>
        <v/>
      </c>
      <c r="H4665">
        <f>IF(AND(B4665=B4664,D4665=D4664,A4665=A4664,F4665=F4664),1,0)</f>
        <v/>
      </c>
      <c r="I4665">
        <f>IF(C4665="C99999",1,0)</f>
        <v/>
      </c>
      <c r="J4665" s="5">
        <f>IF(OR(H4665=1,I4665=1),0,IF(G4665="Credit",-F4665,F4665))</f>
        <v/>
      </c>
    </row>
    <row r="4666">
      <c r="A4666" t="inlineStr">
        <is>
          <t>2026-08-14</t>
        </is>
      </c>
      <c r="B4666" t="inlineStr">
        <is>
          <t>F279988</t>
        </is>
      </c>
      <c r="C4666" t="inlineStr">
        <is>
          <t>C11056</t>
        </is>
      </c>
      <c r="D4666" t="inlineStr">
        <is>
          <t>SKU-10276</t>
        </is>
      </c>
      <c r="E4666" t="inlineStr">
        <is>
          <t>IS01</t>
        </is>
      </c>
      <c r="F4666" s="5" t="n">
        <v>101.92</v>
      </c>
      <c r="G4666">
        <f>IF(LEFT(B4666,1)="C","Credit","Factuur")</f>
        <v/>
      </c>
      <c r="H4666">
        <f>IF(AND(B4666=B4665,D4666=D4665,A4666=A4665,F4666=F4665),1,0)</f>
        <v/>
      </c>
      <c r="I4666">
        <f>IF(C4666="C99999",1,0)</f>
        <v/>
      </c>
      <c r="J4666" s="5">
        <f>IF(OR(H4666=1,I4666=1),0,IF(G4666="Credit",-F4666,F4666))</f>
        <v/>
      </c>
    </row>
    <row r="4667">
      <c r="A4667" t="inlineStr">
        <is>
          <t>2026-08-14</t>
        </is>
      </c>
      <c r="B4667" t="inlineStr">
        <is>
          <t>F280057</t>
        </is>
      </c>
      <c r="C4667" t="inlineStr">
        <is>
          <t>C11060</t>
        </is>
      </c>
      <c r="D4667" t="inlineStr">
        <is>
          <t>SKU-10006</t>
        </is>
      </c>
      <c r="E4667" t="inlineStr">
        <is>
          <t>AM08</t>
        </is>
      </c>
      <c r="F4667" s="5" t="n">
        <v>143.84</v>
      </c>
      <c r="G4667">
        <f>IF(LEFT(B4667,1)="C","Credit","Factuur")</f>
        <v/>
      </c>
      <c r="H4667">
        <f>IF(AND(B4667=B4666,D4667=D4666,A4667=A4666,F4667=F4666),1,0)</f>
        <v/>
      </c>
      <c r="I4667">
        <f>IF(C4667="C99999",1,0)</f>
        <v/>
      </c>
      <c r="J4667" s="5">
        <f>IF(OR(H4667=1,I4667=1),0,IF(G4667="Credit",-F4667,F4667))</f>
        <v/>
      </c>
    </row>
    <row r="4668">
      <c r="A4668" t="inlineStr">
        <is>
          <t>2026-08-14</t>
        </is>
      </c>
      <c r="B4668" t="inlineStr">
        <is>
          <t>F280057</t>
        </is>
      </c>
      <c r="C4668" t="inlineStr">
        <is>
          <t>C11060</t>
        </is>
      </c>
      <c r="D4668" t="inlineStr">
        <is>
          <t>SKU-10006</t>
        </is>
      </c>
      <c r="E4668" t="inlineStr">
        <is>
          <t>AM08</t>
        </is>
      </c>
      <c r="F4668" s="5" t="n">
        <v>143.84</v>
      </c>
      <c r="G4668">
        <f>IF(LEFT(B4668,1)="C","Credit","Factuur")</f>
        <v/>
      </c>
      <c r="H4668">
        <f>IF(AND(B4668=B4667,D4668=D4667,A4668=A4667,F4668=F4667),1,0)</f>
        <v/>
      </c>
      <c r="I4668">
        <f>IF(C4668="C99999",1,0)</f>
        <v/>
      </c>
      <c r="J4668" s="5">
        <f>IF(OR(H4668=1,I4668=1),0,IF(G4668="Credit",-F4668,F4668))</f>
        <v/>
      </c>
    </row>
    <row r="4669">
      <c r="A4669" t="inlineStr">
        <is>
          <t>2026-08-14</t>
        </is>
      </c>
      <c r="B4669" t="inlineStr">
        <is>
          <t>F280057</t>
        </is>
      </c>
      <c r="C4669" t="inlineStr">
        <is>
          <t>C11060</t>
        </is>
      </c>
      <c r="D4669" t="inlineStr">
        <is>
          <t>SKU-10067</t>
        </is>
      </c>
      <c r="E4669" t="inlineStr">
        <is>
          <t>AM08</t>
        </is>
      </c>
      <c r="F4669" s="5" t="n">
        <v>110.31</v>
      </c>
      <c r="G4669">
        <f>IF(LEFT(B4669,1)="C","Credit","Factuur")</f>
        <v/>
      </c>
      <c r="H4669">
        <f>IF(AND(B4669=B4668,D4669=D4668,A4669=A4668,F4669=F4668),1,0)</f>
        <v/>
      </c>
      <c r="I4669">
        <f>IF(C4669="C99999",1,0)</f>
        <v/>
      </c>
      <c r="J4669" s="5">
        <f>IF(OR(H4669=1,I4669=1),0,IF(G4669="Credit",-F4669,F4669))</f>
        <v/>
      </c>
    </row>
    <row r="4670">
      <c r="A4670" t="inlineStr">
        <is>
          <t>2026-08-14</t>
        </is>
      </c>
      <c r="B4670" t="inlineStr">
        <is>
          <t>F280057</t>
        </is>
      </c>
      <c r="C4670" t="inlineStr">
        <is>
          <t>C11060</t>
        </is>
      </c>
      <c r="D4670" t="inlineStr">
        <is>
          <t>SKU-10067</t>
        </is>
      </c>
      <c r="E4670" t="inlineStr">
        <is>
          <t>AM08</t>
        </is>
      </c>
      <c r="F4670" s="5" t="n">
        <v>110.31</v>
      </c>
      <c r="G4670">
        <f>IF(LEFT(B4670,1)="C","Credit","Factuur")</f>
        <v/>
      </c>
      <c r="H4670">
        <f>IF(AND(B4670=B4669,D4670=D4669,A4670=A4669,F4670=F4669),1,0)</f>
        <v/>
      </c>
      <c r="I4670">
        <f>IF(C4670="C99999",1,0)</f>
        <v/>
      </c>
      <c r="J4670" s="5">
        <f>IF(OR(H4670=1,I4670=1),0,IF(G4670="Credit",-F4670,F4670))</f>
        <v/>
      </c>
    </row>
    <row r="4671">
      <c r="A4671" t="inlineStr">
        <is>
          <t>2026-08-14</t>
        </is>
      </c>
      <c r="B4671" t="inlineStr">
        <is>
          <t>F280057</t>
        </is>
      </c>
      <c r="C4671" t="inlineStr">
        <is>
          <t>C11060</t>
        </is>
      </c>
      <c r="D4671" t="inlineStr">
        <is>
          <t>SKU-10149</t>
        </is>
      </c>
      <c r="E4671" t="inlineStr">
        <is>
          <t>AM08</t>
        </is>
      </c>
      <c r="F4671" s="5" t="n">
        <v>145.16</v>
      </c>
      <c r="G4671">
        <f>IF(LEFT(B4671,1)="C","Credit","Factuur")</f>
        <v/>
      </c>
      <c r="H4671">
        <f>IF(AND(B4671=B4670,D4671=D4670,A4671=A4670,F4671=F4670),1,0)</f>
        <v/>
      </c>
      <c r="I4671">
        <f>IF(C4671="C99999",1,0)</f>
        <v/>
      </c>
      <c r="J4671" s="5">
        <f>IF(OR(H4671=1,I4671=1),0,IF(G4671="Credit",-F4671,F4671))</f>
        <v/>
      </c>
    </row>
    <row r="4672">
      <c r="A4672" t="inlineStr">
        <is>
          <t>2026-08-14</t>
        </is>
      </c>
      <c r="B4672" t="inlineStr">
        <is>
          <t>F280057</t>
        </is>
      </c>
      <c r="C4672" t="inlineStr">
        <is>
          <t>C11060</t>
        </is>
      </c>
      <c r="D4672" t="inlineStr">
        <is>
          <t>SKU-10149</t>
        </is>
      </c>
      <c r="E4672" t="inlineStr">
        <is>
          <t>AM08</t>
        </is>
      </c>
      <c r="F4672" s="5" t="n">
        <v>145.16</v>
      </c>
      <c r="G4672">
        <f>IF(LEFT(B4672,1)="C","Credit","Factuur")</f>
        <v/>
      </c>
      <c r="H4672">
        <f>IF(AND(B4672=B4671,D4672=D4671,A4672=A4671,F4672=F4671),1,0)</f>
        <v/>
      </c>
      <c r="I4672">
        <f>IF(C4672="C99999",1,0)</f>
        <v/>
      </c>
      <c r="J4672" s="5">
        <f>IF(OR(H4672=1,I4672=1),0,IF(G4672="Credit",-F4672,F4672))</f>
        <v/>
      </c>
    </row>
    <row r="4673">
      <c r="A4673" t="inlineStr">
        <is>
          <t>2026-08-14</t>
        </is>
      </c>
      <c r="B4673" t="inlineStr">
        <is>
          <t>F280371</t>
        </is>
      </c>
      <c r="C4673" t="inlineStr">
        <is>
          <t>C11075</t>
        </is>
      </c>
      <c r="D4673" t="inlineStr">
        <is>
          <t>SKU-10028</t>
        </is>
      </c>
      <c r="E4673" t="inlineStr">
        <is>
          <t>AM05</t>
        </is>
      </c>
      <c r="F4673" s="5" t="n">
        <v>231.52</v>
      </c>
      <c r="G4673">
        <f>IF(LEFT(B4673,1)="C","Credit","Factuur")</f>
        <v/>
      </c>
      <c r="H4673">
        <f>IF(AND(B4673=B4672,D4673=D4672,A4673=A4672,F4673=F4672),1,0)</f>
        <v/>
      </c>
      <c r="I4673">
        <f>IF(C4673="C99999",1,0)</f>
        <v/>
      </c>
      <c r="J4673" s="5">
        <f>IF(OR(H4673=1,I4673=1),0,IF(G4673="Credit",-F4673,F4673))</f>
        <v/>
      </c>
    </row>
    <row r="4674">
      <c r="A4674" t="inlineStr">
        <is>
          <t>2026-08-14</t>
        </is>
      </c>
      <c r="B4674" t="inlineStr">
        <is>
          <t>F280371</t>
        </is>
      </c>
      <c r="C4674" t="inlineStr">
        <is>
          <t>C11075</t>
        </is>
      </c>
      <c r="D4674" t="inlineStr">
        <is>
          <t>SKU-10028</t>
        </is>
      </c>
      <c r="E4674" t="inlineStr">
        <is>
          <t>AM05</t>
        </is>
      </c>
      <c r="F4674" s="5" t="n">
        <v>231.52</v>
      </c>
      <c r="G4674">
        <f>IF(LEFT(B4674,1)="C","Credit","Factuur")</f>
        <v/>
      </c>
      <c r="H4674">
        <f>IF(AND(B4674=B4673,D4674=D4673,A4674=A4673,F4674=F4673),1,0)</f>
        <v/>
      </c>
      <c r="I4674">
        <f>IF(C4674="C99999",1,0)</f>
        <v/>
      </c>
      <c r="J4674" s="5">
        <f>IF(OR(H4674=1,I4674=1),0,IF(G4674="Credit",-F4674,F4674))</f>
        <v/>
      </c>
    </row>
    <row r="4675">
      <c r="A4675" t="inlineStr">
        <is>
          <t>2026-08-14</t>
        </is>
      </c>
      <c r="B4675" t="inlineStr">
        <is>
          <t>F280371</t>
        </is>
      </c>
      <c r="C4675" t="inlineStr">
        <is>
          <t>C11075</t>
        </is>
      </c>
      <c r="D4675" t="inlineStr">
        <is>
          <t>SKU-10284</t>
        </is>
      </c>
      <c r="E4675" t="inlineStr">
        <is>
          <t>AM05</t>
        </is>
      </c>
      <c r="F4675" s="5" t="n">
        <v>255.45</v>
      </c>
      <c r="G4675">
        <f>IF(LEFT(B4675,1)="C","Credit","Factuur")</f>
        <v/>
      </c>
      <c r="H4675">
        <f>IF(AND(B4675=B4674,D4675=D4674,A4675=A4674,F4675=F4674),1,0)</f>
        <v/>
      </c>
      <c r="I4675">
        <f>IF(C4675="C99999",1,0)</f>
        <v/>
      </c>
      <c r="J4675" s="5">
        <f>IF(OR(H4675=1,I4675=1),0,IF(G4675="Credit",-F4675,F4675))</f>
        <v/>
      </c>
    </row>
    <row r="4676">
      <c r="A4676" t="inlineStr">
        <is>
          <t>2026-08-14</t>
        </is>
      </c>
      <c r="B4676" t="inlineStr">
        <is>
          <t>F280371</t>
        </is>
      </c>
      <c r="C4676" t="inlineStr">
        <is>
          <t>C11075</t>
        </is>
      </c>
      <c r="D4676" t="inlineStr">
        <is>
          <t>SKU-10284</t>
        </is>
      </c>
      <c r="E4676" t="inlineStr">
        <is>
          <t>AM05</t>
        </is>
      </c>
      <c r="F4676" s="5" t="n">
        <v>255.45</v>
      </c>
      <c r="G4676">
        <f>IF(LEFT(B4676,1)="C","Credit","Factuur")</f>
        <v/>
      </c>
      <c r="H4676">
        <f>IF(AND(B4676=B4675,D4676=D4675,A4676=A4675,F4676=F4675),1,0)</f>
        <v/>
      </c>
      <c r="I4676">
        <f>IF(C4676="C99999",1,0)</f>
        <v/>
      </c>
      <c r="J4676" s="5">
        <f>IF(OR(H4676=1,I4676=1),0,IF(G4676="Credit",-F4676,F4676))</f>
        <v/>
      </c>
    </row>
    <row r="4677">
      <c r="A4677" t="inlineStr">
        <is>
          <t>2026-08-14</t>
        </is>
      </c>
      <c r="B4677" t="inlineStr">
        <is>
          <t>F280407</t>
        </is>
      </c>
      <c r="C4677" t="inlineStr">
        <is>
          <t>C11077</t>
        </is>
      </c>
      <c r="D4677" t="inlineStr">
        <is>
          <t>SKU-10083</t>
        </is>
      </c>
      <c r="E4677" t="inlineStr">
        <is>
          <t>AM12</t>
        </is>
      </c>
      <c r="F4677" s="5" t="n">
        <v>603.9</v>
      </c>
      <c r="G4677">
        <f>IF(LEFT(B4677,1)="C","Credit","Factuur")</f>
        <v/>
      </c>
      <c r="H4677">
        <f>IF(AND(B4677=B4676,D4677=D4676,A4677=A4676,F4677=F4676),1,0)</f>
        <v/>
      </c>
      <c r="I4677">
        <f>IF(C4677="C99999",1,0)</f>
        <v/>
      </c>
      <c r="J4677" s="5">
        <f>IF(OR(H4677=1,I4677=1),0,IF(G4677="Credit",-F4677,F4677))</f>
        <v/>
      </c>
    </row>
    <row r="4678">
      <c r="A4678" t="inlineStr">
        <is>
          <t>2026-08-14</t>
        </is>
      </c>
      <c r="B4678" t="inlineStr">
        <is>
          <t>F280407</t>
        </is>
      </c>
      <c r="C4678" t="inlineStr">
        <is>
          <t>C11077</t>
        </is>
      </c>
      <c r="D4678" t="inlineStr">
        <is>
          <t>SKU-10083</t>
        </is>
      </c>
      <c r="E4678" t="inlineStr">
        <is>
          <t>AM12</t>
        </is>
      </c>
      <c r="F4678" s="5" t="n">
        <v>603.9</v>
      </c>
      <c r="G4678">
        <f>IF(LEFT(B4678,1)="C","Credit","Factuur")</f>
        <v/>
      </c>
      <c r="H4678">
        <f>IF(AND(B4678=B4677,D4678=D4677,A4678=A4677,F4678=F4677),1,0)</f>
        <v/>
      </c>
      <c r="I4678">
        <f>IF(C4678="C99999",1,0)</f>
        <v/>
      </c>
      <c r="J4678" s="5">
        <f>IF(OR(H4678=1,I4678=1),0,IF(G4678="Credit",-F4678,F4678))</f>
        <v/>
      </c>
    </row>
    <row r="4679">
      <c r="A4679" t="inlineStr">
        <is>
          <t>2026-08-14</t>
        </is>
      </c>
      <c r="B4679" t="inlineStr">
        <is>
          <t>F280516</t>
        </is>
      </c>
      <c r="C4679" t="inlineStr">
        <is>
          <t>C11081</t>
        </is>
      </c>
      <c r="D4679" t="inlineStr">
        <is>
          <t>SKU-10065</t>
        </is>
      </c>
      <c r="E4679" t="inlineStr">
        <is>
          <t>AM05</t>
        </is>
      </c>
      <c r="F4679" s="5" t="n">
        <v>401.74</v>
      </c>
      <c r="G4679">
        <f>IF(LEFT(B4679,1)="C","Credit","Factuur")</f>
        <v/>
      </c>
      <c r="H4679">
        <f>IF(AND(B4679=B4678,D4679=D4678,A4679=A4678,F4679=F4678),1,0)</f>
        <v/>
      </c>
      <c r="I4679">
        <f>IF(C4679="C99999",1,0)</f>
        <v/>
      </c>
      <c r="J4679" s="5">
        <f>IF(OR(H4679=1,I4679=1),0,IF(G4679="Credit",-F4679,F4679))</f>
        <v/>
      </c>
    </row>
    <row r="4680">
      <c r="A4680" t="inlineStr">
        <is>
          <t>2026-08-14</t>
        </is>
      </c>
      <c r="B4680" t="inlineStr">
        <is>
          <t>F280516</t>
        </is>
      </c>
      <c r="C4680" t="inlineStr">
        <is>
          <t>C11081</t>
        </is>
      </c>
      <c r="D4680" t="inlineStr">
        <is>
          <t>SKU-10065</t>
        </is>
      </c>
      <c r="E4680" t="inlineStr">
        <is>
          <t>AM05</t>
        </is>
      </c>
      <c r="F4680" s="5" t="n">
        <v>401.74</v>
      </c>
      <c r="G4680">
        <f>IF(LEFT(B4680,1)="C","Credit","Factuur")</f>
        <v/>
      </c>
      <c r="H4680">
        <f>IF(AND(B4680=B4679,D4680=D4679,A4680=A4679,F4680=F4679),1,0)</f>
        <v/>
      </c>
      <c r="I4680">
        <f>IF(C4680="C99999",1,0)</f>
        <v/>
      </c>
      <c r="J4680" s="5">
        <f>IF(OR(H4680=1,I4680=1),0,IF(G4680="Credit",-F4680,F4680))</f>
        <v/>
      </c>
    </row>
    <row r="4681">
      <c r="A4681" t="inlineStr">
        <is>
          <t>2026-08-14</t>
        </is>
      </c>
      <c r="B4681" t="inlineStr">
        <is>
          <t>F280516</t>
        </is>
      </c>
      <c r="C4681" t="inlineStr">
        <is>
          <t>C11081</t>
        </is>
      </c>
      <c r="D4681" t="inlineStr">
        <is>
          <t>SKU-10137</t>
        </is>
      </c>
      <c r="E4681" t="inlineStr">
        <is>
          <t>AM05</t>
        </is>
      </c>
      <c r="F4681" s="5" t="n">
        <v>387.4</v>
      </c>
      <c r="G4681">
        <f>IF(LEFT(B4681,1)="C","Credit","Factuur")</f>
        <v/>
      </c>
      <c r="H4681">
        <f>IF(AND(B4681=B4680,D4681=D4680,A4681=A4680,F4681=F4680),1,0)</f>
        <v/>
      </c>
      <c r="I4681">
        <f>IF(C4681="C99999",1,0)</f>
        <v/>
      </c>
      <c r="J4681" s="5">
        <f>IF(OR(H4681=1,I4681=1),0,IF(G4681="Credit",-F4681,F4681))</f>
        <v/>
      </c>
    </row>
    <row r="4682">
      <c r="A4682" t="inlineStr">
        <is>
          <t>2026-08-14</t>
        </is>
      </c>
      <c r="B4682" t="inlineStr">
        <is>
          <t>F280516</t>
        </is>
      </c>
      <c r="C4682" t="inlineStr">
        <is>
          <t>C11081</t>
        </is>
      </c>
      <c r="D4682" t="inlineStr">
        <is>
          <t>SKU-10137</t>
        </is>
      </c>
      <c r="E4682" t="inlineStr">
        <is>
          <t>AM05</t>
        </is>
      </c>
      <c r="F4682" s="5" t="n">
        <v>387.4</v>
      </c>
      <c r="G4682">
        <f>IF(LEFT(B4682,1)="C","Credit","Factuur")</f>
        <v/>
      </c>
      <c r="H4682">
        <f>IF(AND(B4682=B4681,D4682=D4681,A4682=A4681,F4682=F4681),1,0)</f>
        <v/>
      </c>
      <c r="I4682">
        <f>IF(C4682="C99999",1,0)</f>
        <v/>
      </c>
      <c r="J4682" s="5">
        <f>IF(OR(H4682=1,I4682=1),0,IF(G4682="Credit",-F4682,F4682))</f>
        <v/>
      </c>
    </row>
    <row r="4683">
      <c r="A4683" t="inlineStr">
        <is>
          <t>2026-08-14</t>
        </is>
      </c>
      <c r="B4683" t="inlineStr">
        <is>
          <t>F280516</t>
        </is>
      </c>
      <c r="C4683" t="inlineStr">
        <is>
          <t>C11081</t>
        </is>
      </c>
      <c r="D4683" t="inlineStr">
        <is>
          <t>SKU-10299</t>
        </is>
      </c>
      <c r="E4683" t="inlineStr">
        <is>
          <t>AM05</t>
        </is>
      </c>
      <c r="F4683" s="5" t="n">
        <v>393.34</v>
      </c>
      <c r="G4683">
        <f>IF(LEFT(B4683,1)="C","Credit","Factuur")</f>
        <v/>
      </c>
      <c r="H4683">
        <f>IF(AND(B4683=B4682,D4683=D4682,A4683=A4682,F4683=F4682),1,0)</f>
        <v/>
      </c>
      <c r="I4683">
        <f>IF(C4683="C99999",1,0)</f>
        <v/>
      </c>
      <c r="J4683" s="5">
        <f>IF(OR(H4683=1,I4683=1),0,IF(G4683="Credit",-F4683,F4683))</f>
        <v/>
      </c>
    </row>
    <row r="4684">
      <c r="A4684" t="inlineStr">
        <is>
          <t>2026-08-14</t>
        </is>
      </c>
      <c r="B4684" t="inlineStr">
        <is>
          <t>F280516</t>
        </is>
      </c>
      <c r="C4684" t="inlineStr">
        <is>
          <t>C11081</t>
        </is>
      </c>
      <c r="D4684" t="inlineStr">
        <is>
          <t>SKU-10299</t>
        </is>
      </c>
      <c r="E4684" t="inlineStr">
        <is>
          <t>AM05</t>
        </is>
      </c>
      <c r="F4684" s="5" t="n">
        <v>393.34</v>
      </c>
      <c r="G4684">
        <f>IF(LEFT(B4684,1)="C","Credit","Factuur")</f>
        <v/>
      </c>
      <c r="H4684">
        <f>IF(AND(B4684=B4683,D4684=D4683,A4684=A4683,F4684=F4683),1,0)</f>
        <v/>
      </c>
      <c r="I4684">
        <f>IF(C4684="C99999",1,0)</f>
        <v/>
      </c>
      <c r="J4684" s="5">
        <f>IF(OR(H4684=1,I4684=1),0,IF(G4684="Credit",-F4684,F4684))</f>
        <v/>
      </c>
    </row>
    <row r="4685">
      <c r="A4685" t="inlineStr">
        <is>
          <t>2026-08-14</t>
        </is>
      </c>
      <c r="B4685" t="inlineStr">
        <is>
          <t>F280912</t>
        </is>
      </c>
      <c r="C4685" t="inlineStr">
        <is>
          <t>C11103</t>
        </is>
      </c>
      <c r="D4685" t="inlineStr">
        <is>
          <t>SKU-10344</t>
        </is>
      </c>
      <c r="E4685" t="inlineStr">
        <is>
          <t>AM02</t>
        </is>
      </c>
      <c r="F4685" s="5" t="n">
        <v>392</v>
      </c>
      <c r="G4685">
        <f>IF(LEFT(B4685,1)="C","Credit","Factuur")</f>
        <v/>
      </c>
      <c r="H4685">
        <f>IF(AND(B4685=B4684,D4685=D4684,A4685=A4684,F4685=F4684),1,0)</f>
        <v/>
      </c>
      <c r="I4685">
        <f>IF(C4685="C99999",1,0)</f>
        <v/>
      </c>
      <c r="J4685" s="5">
        <f>IF(OR(H4685=1,I4685=1),0,IF(G4685="Credit",-F4685,F4685))</f>
        <v/>
      </c>
    </row>
    <row r="4686">
      <c r="A4686" t="inlineStr">
        <is>
          <t>2026-08-14</t>
        </is>
      </c>
      <c r="B4686" t="inlineStr">
        <is>
          <t>F280912</t>
        </is>
      </c>
      <c r="C4686" t="inlineStr">
        <is>
          <t>C11103</t>
        </is>
      </c>
      <c r="D4686" t="inlineStr">
        <is>
          <t>SKU-10344</t>
        </is>
      </c>
      <c r="E4686" t="inlineStr">
        <is>
          <t>AM02</t>
        </is>
      </c>
      <c r="F4686" s="5" t="n">
        <v>392</v>
      </c>
      <c r="G4686">
        <f>IF(LEFT(B4686,1)="C","Credit","Factuur")</f>
        <v/>
      </c>
      <c r="H4686">
        <f>IF(AND(B4686=B4685,D4686=D4685,A4686=A4685,F4686=F4685),1,0)</f>
        <v/>
      </c>
      <c r="I4686">
        <f>IF(C4686="C99999",1,0)</f>
        <v/>
      </c>
      <c r="J4686" s="5">
        <f>IF(OR(H4686=1,I4686=1),0,IF(G4686="Credit",-F4686,F4686))</f>
        <v/>
      </c>
    </row>
    <row r="4687">
      <c r="A4687" t="inlineStr">
        <is>
          <t>2026-08-14</t>
        </is>
      </c>
      <c r="B4687" t="inlineStr">
        <is>
          <t>F280912</t>
        </is>
      </c>
      <c r="C4687" t="inlineStr">
        <is>
          <t>C11103</t>
        </is>
      </c>
      <c r="D4687" t="inlineStr">
        <is>
          <t>SKU-10377</t>
        </is>
      </c>
      <c r="E4687" t="inlineStr">
        <is>
          <t>AM02</t>
        </is>
      </c>
      <c r="F4687" s="5" t="n">
        <v>355.48</v>
      </c>
      <c r="G4687">
        <f>IF(LEFT(B4687,1)="C","Credit","Factuur")</f>
        <v/>
      </c>
      <c r="H4687">
        <f>IF(AND(B4687=B4686,D4687=D4686,A4687=A4686,F4687=F4686),1,0)</f>
        <v/>
      </c>
      <c r="I4687">
        <f>IF(C4687="C99999",1,0)</f>
        <v/>
      </c>
      <c r="J4687" s="5">
        <f>IF(OR(H4687=1,I4687=1),0,IF(G4687="Credit",-F4687,F4687))</f>
        <v/>
      </c>
    </row>
    <row r="4688">
      <c r="A4688" t="inlineStr">
        <is>
          <t>2026-08-14</t>
        </is>
      </c>
      <c r="B4688" t="inlineStr">
        <is>
          <t>F280912</t>
        </is>
      </c>
      <c r="C4688" t="inlineStr">
        <is>
          <t>C11103</t>
        </is>
      </c>
      <c r="D4688" t="inlineStr">
        <is>
          <t>SKU-10377</t>
        </is>
      </c>
      <c r="E4688" t="inlineStr">
        <is>
          <t>AM02</t>
        </is>
      </c>
      <c r="F4688" s="5" t="n">
        <v>355.48</v>
      </c>
      <c r="G4688">
        <f>IF(LEFT(B4688,1)="C","Credit","Factuur")</f>
        <v/>
      </c>
      <c r="H4688">
        <f>IF(AND(B4688=B4687,D4688=D4687,A4688=A4687,F4688=F4687),1,0)</f>
        <v/>
      </c>
      <c r="I4688">
        <f>IF(C4688="C99999",1,0)</f>
        <v/>
      </c>
      <c r="J4688" s="5">
        <f>IF(OR(H4688=1,I4688=1),0,IF(G4688="Credit",-F4688,F4688))</f>
        <v/>
      </c>
    </row>
    <row r="4689">
      <c r="A4689" t="inlineStr">
        <is>
          <t>2026-08-14</t>
        </is>
      </c>
      <c r="B4689" t="inlineStr">
        <is>
          <t>F281677</t>
        </is>
      </c>
      <c r="C4689" t="inlineStr">
        <is>
          <t>C11143</t>
        </is>
      </c>
      <c r="D4689" t="inlineStr">
        <is>
          <t>SKU-10199</t>
        </is>
      </c>
      <c r="E4689" t="inlineStr">
        <is>
          <t>AM02</t>
        </is>
      </c>
      <c r="F4689" s="5" t="n">
        <v>754.1900000000001</v>
      </c>
      <c r="G4689">
        <f>IF(LEFT(B4689,1)="C","Credit","Factuur")</f>
        <v/>
      </c>
      <c r="H4689">
        <f>IF(AND(B4689=B4688,D4689=D4688,A4689=A4688,F4689=F4688),1,0)</f>
        <v/>
      </c>
      <c r="I4689">
        <f>IF(C4689="C99999",1,0)</f>
        <v/>
      </c>
      <c r="J4689" s="5">
        <f>IF(OR(H4689=1,I4689=1),0,IF(G4689="Credit",-F4689,F4689))</f>
        <v/>
      </c>
    </row>
    <row r="4690">
      <c r="A4690" t="inlineStr">
        <is>
          <t>2026-08-14</t>
        </is>
      </c>
      <c r="B4690" t="inlineStr">
        <is>
          <t>F281677</t>
        </is>
      </c>
      <c r="C4690" t="inlineStr">
        <is>
          <t>C11143</t>
        </is>
      </c>
      <c r="D4690" t="inlineStr">
        <is>
          <t>SKU-10199</t>
        </is>
      </c>
      <c r="E4690" t="inlineStr">
        <is>
          <t>AM02</t>
        </is>
      </c>
      <c r="F4690" s="5" t="n">
        <v>754.1900000000001</v>
      </c>
      <c r="G4690">
        <f>IF(LEFT(B4690,1)="C","Credit","Factuur")</f>
        <v/>
      </c>
      <c r="H4690">
        <f>IF(AND(B4690=B4689,D4690=D4689,A4690=A4689,F4690=F4689),1,0)</f>
        <v/>
      </c>
      <c r="I4690">
        <f>IF(C4690="C99999",1,0)</f>
        <v/>
      </c>
      <c r="J4690" s="5">
        <f>IF(OR(H4690=1,I4690=1),0,IF(G4690="Credit",-F4690,F4690))</f>
        <v/>
      </c>
    </row>
    <row r="4691">
      <c r="A4691" t="inlineStr">
        <is>
          <t>2026-08-14</t>
        </is>
      </c>
      <c r="B4691" t="inlineStr">
        <is>
          <t>F281677</t>
        </is>
      </c>
      <c r="C4691" t="inlineStr">
        <is>
          <t>C11143</t>
        </is>
      </c>
      <c r="D4691" t="inlineStr">
        <is>
          <t>SKU-10327</t>
        </is>
      </c>
      <c r="E4691" t="inlineStr">
        <is>
          <t>AM02</t>
        </is>
      </c>
      <c r="F4691" s="5" t="n">
        <v>763.95</v>
      </c>
      <c r="G4691">
        <f>IF(LEFT(B4691,1)="C","Credit","Factuur")</f>
        <v/>
      </c>
      <c r="H4691">
        <f>IF(AND(B4691=B4690,D4691=D4690,A4691=A4690,F4691=F4690),1,0)</f>
        <v/>
      </c>
      <c r="I4691">
        <f>IF(C4691="C99999",1,0)</f>
        <v/>
      </c>
      <c r="J4691" s="5">
        <f>IF(OR(H4691=1,I4691=1),0,IF(G4691="Credit",-F4691,F4691))</f>
        <v/>
      </c>
    </row>
    <row r="4692">
      <c r="A4692" t="inlineStr">
        <is>
          <t>2026-08-14</t>
        </is>
      </c>
      <c r="B4692" t="inlineStr">
        <is>
          <t>F281677</t>
        </is>
      </c>
      <c r="C4692" t="inlineStr">
        <is>
          <t>C11143</t>
        </is>
      </c>
      <c r="D4692" t="inlineStr">
        <is>
          <t>SKU-10327</t>
        </is>
      </c>
      <c r="E4692" t="inlineStr">
        <is>
          <t>AM02</t>
        </is>
      </c>
      <c r="F4692" s="5" t="n">
        <v>763.95</v>
      </c>
      <c r="G4692">
        <f>IF(LEFT(B4692,1)="C","Credit","Factuur")</f>
        <v/>
      </c>
      <c r="H4692">
        <f>IF(AND(B4692=B4691,D4692=D4691,A4692=A4691,F4692=F4691),1,0)</f>
        <v/>
      </c>
      <c r="I4692">
        <f>IF(C4692="C99999",1,0)</f>
        <v/>
      </c>
      <c r="J4692" s="5">
        <f>IF(OR(H4692=1,I4692=1),0,IF(G4692="Credit",-F4692,F4692))</f>
        <v/>
      </c>
    </row>
    <row r="4693">
      <c r="A4693" t="inlineStr">
        <is>
          <t>2026-08-14</t>
        </is>
      </c>
      <c r="B4693" t="inlineStr">
        <is>
          <t>F281943</t>
        </is>
      </c>
      <c r="C4693" t="inlineStr">
        <is>
          <t>C11153</t>
        </is>
      </c>
      <c r="D4693" t="inlineStr">
        <is>
          <t>SKU-10153</t>
        </is>
      </c>
      <c r="E4693" t="inlineStr">
        <is>
          <t>AM03</t>
        </is>
      </c>
      <c r="F4693" s="5" t="n">
        <v>314.72</v>
      </c>
      <c r="G4693">
        <f>IF(LEFT(B4693,1)="C","Credit","Factuur")</f>
        <v/>
      </c>
      <c r="H4693">
        <f>IF(AND(B4693=B4692,D4693=D4692,A4693=A4692,F4693=F4692),1,0)</f>
        <v/>
      </c>
      <c r="I4693">
        <f>IF(C4693="C99999",1,0)</f>
        <v/>
      </c>
      <c r="J4693" s="5">
        <f>IF(OR(H4693=1,I4693=1),0,IF(G4693="Credit",-F4693,F4693))</f>
        <v/>
      </c>
    </row>
    <row r="4694">
      <c r="A4694" t="inlineStr">
        <is>
          <t>2026-08-14</t>
        </is>
      </c>
      <c r="B4694" t="inlineStr">
        <is>
          <t>F281943</t>
        </is>
      </c>
      <c r="C4694" t="inlineStr">
        <is>
          <t>C11153</t>
        </is>
      </c>
      <c r="D4694" t="inlineStr">
        <is>
          <t>SKU-10153</t>
        </is>
      </c>
      <c r="E4694" t="inlineStr">
        <is>
          <t>AM03</t>
        </is>
      </c>
      <c r="F4694" s="5" t="n">
        <v>314.72</v>
      </c>
      <c r="G4694">
        <f>IF(LEFT(B4694,1)="C","Credit","Factuur")</f>
        <v/>
      </c>
      <c r="H4694">
        <f>IF(AND(B4694=B4693,D4694=D4693,A4694=A4693,F4694=F4693),1,0)</f>
        <v/>
      </c>
      <c r="I4694">
        <f>IF(C4694="C99999",1,0)</f>
        <v/>
      </c>
      <c r="J4694" s="5">
        <f>IF(OR(H4694=1,I4694=1),0,IF(G4694="Credit",-F4694,F4694))</f>
        <v/>
      </c>
    </row>
    <row r="4695">
      <c r="A4695" t="inlineStr">
        <is>
          <t>2026-08-14</t>
        </is>
      </c>
      <c r="B4695" t="inlineStr">
        <is>
          <t>F281943</t>
        </is>
      </c>
      <c r="C4695" t="inlineStr">
        <is>
          <t>C11153</t>
        </is>
      </c>
      <c r="D4695" t="inlineStr">
        <is>
          <t>SKU-10311</t>
        </is>
      </c>
      <c r="E4695" t="inlineStr">
        <is>
          <t>AM03</t>
        </is>
      </c>
      <c r="F4695" s="5" t="n">
        <v>308.91</v>
      </c>
      <c r="G4695">
        <f>IF(LEFT(B4695,1)="C","Credit","Factuur")</f>
        <v/>
      </c>
      <c r="H4695">
        <f>IF(AND(B4695=B4694,D4695=D4694,A4695=A4694,F4695=F4694),1,0)</f>
        <v/>
      </c>
      <c r="I4695">
        <f>IF(C4695="C99999",1,0)</f>
        <v/>
      </c>
      <c r="J4695" s="5">
        <f>IF(OR(H4695=1,I4695=1),0,IF(G4695="Credit",-F4695,F4695))</f>
        <v/>
      </c>
    </row>
    <row r="4696">
      <c r="A4696" t="inlineStr">
        <is>
          <t>2026-08-14</t>
        </is>
      </c>
      <c r="B4696" t="inlineStr">
        <is>
          <t>F281943</t>
        </is>
      </c>
      <c r="C4696" t="inlineStr">
        <is>
          <t>C11153</t>
        </is>
      </c>
      <c r="D4696" t="inlineStr">
        <is>
          <t>SKU-10311</t>
        </is>
      </c>
      <c r="E4696" t="inlineStr">
        <is>
          <t>AM03</t>
        </is>
      </c>
      <c r="F4696" s="5" t="n">
        <v>308.91</v>
      </c>
      <c r="G4696">
        <f>IF(LEFT(B4696,1)="C","Credit","Factuur")</f>
        <v/>
      </c>
      <c r="H4696">
        <f>IF(AND(B4696=B4695,D4696=D4695,A4696=A4695,F4696=F4695),1,0)</f>
        <v/>
      </c>
      <c r="I4696">
        <f>IF(C4696="C99999",1,0)</f>
        <v/>
      </c>
      <c r="J4696" s="5">
        <f>IF(OR(H4696=1,I4696=1),0,IF(G4696="Credit",-F4696,F4696))</f>
        <v/>
      </c>
    </row>
    <row r="4697">
      <c r="A4697" t="inlineStr">
        <is>
          <t>2026-08-14</t>
        </is>
      </c>
      <c r="B4697" t="inlineStr">
        <is>
          <t>F282068</t>
        </is>
      </c>
      <c r="C4697" t="inlineStr">
        <is>
          <t>C11159</t>
        </is>
      </c>
      <c r="D4697" t="inlineStr">
        <is>
          <t>SKU-10203</t>
        </is>
      </c>
      <c r="E4697" t="inlineStr">
        <is>
          <t>AM05</t>
        </is>
      </c>
      <c r="F4697" s="5" t="n">
        <v>222.9</v>
      </c>
      <c r="G4697">
        <f>IF(LEFT(B4697,1)="C","Credit","Factuur")</f>
        <v/>
      </c>
      <c r="H4697">
        <f>IF(AND(B4697=B4696,D4697=D4696,A4697=A4696,F4697=F4696),1,0)</f>
        <v/>
      </c>
      <c r="I4697">
        <f>IF(C4697="C99999",1,0)</f>
        <v/>
      </c>
      <c r="J4697" s="5">
        <f>IF(OR(H4697=1,I4697=1),0,IF(G4697="Credit",-F4697,F4697))</f>
        <v/>
      </c>
    </row>
    <row r="4698">
      <c r="A4698" t="inlineStr">
        <is>
          <t>2026-08-14</t>
        </is>
      </c>
      <c r="B4698" t="inlineStr">
        <is>
          <t>F282068</t>
        </is>
      </c>
      <c r="C4698" t="inlineStr">
        <is>
          <t>C11159</t>
        </is>
      </c>
      <c r="D4698" t="inlineStr">
        <is>
          <t>SKU-10203</t>
        </is>
      </c>
      <c r="E4698" t="inlineStr">
        <is>
          <t>AM05</t>
        </is>
      </c>
      <c r="F4698" s="5" t="n">
        <v>222.9</v>
      </c>
      <c r="G4698">
        <f>IF(LEFT(B4698,1)="C","Credit","Factuur")</f>
        <v/>
      </c>
      <c r="H4698">
        <f>IF(AND(B4698=B4697,D4698=D4697,A4698=A4697,F4698=F4697),1,0)</f>
        <v/>
      </c>
      <c r="I4698">
        <f>IF(C4698="C99999",1,0)</f>
        <v/>
      </c>
      <c r="J4698" s="5">
        <f>IF(OR(H4698=1,I4698=1),0,IF(G4698="Credit",-F4698,F4698))</f>
        <v/>
      </c>
    </row>
    <row r="4699">
      <c r="A4699" t="inlineStr">
        <is>
          <t>2026-08-14</t>
        </is>
      </c>
      <c r="B4699" t="inlineStr">
        <is>
          <t>F282068</t>
        </is>
      </c>
      <c r="C4699" t="inlineStr">
        <is>
          <t>C11159</t>
        </is>
      </c>
      <c r="D4699" t="inlineStr">
        <is>
          <t>SKU-10340</t>
        </is>
      </c>
      <c r="E4699" t="inlineStr">
        <is>
          <t>AM05</t>
        </is>
      </c>
      <c r="F4699" s="5" t="n">
        <v>236.4</v>
      </c>
      <c r="G4699">
        <f>IF(LEFT(B4699,1)="C","Credit","Factuur")</f>
        <v/>
      </c>
      <c r="H4699">
        <f>IF(AND(B4699=B4698,D4699=D4698,A4699=A4698,F4699=F4698),1,0)</f>
        <v/>
      </c>
      <c r="I4699">
        <f>IF(C4699="C99999",1,0)</f>
        <v/>
      </c>
      <c r="J4699" s="5">
        <f>IF(OR(H4699=1,I4699=1),0,IF(G4699="Credit",-F4699,F4699))</f>
        <v/>
      </c>
    </row>
    <row r="4700">
      <c r="A4700" t="inlineStr">
        <is>
          <t>2026-08-14</t>
        </is>
      </c>
      <c r="B4700" t="inlineStr">
        <is>
          <t>F282068</t>
        </is>
      </c>
      <c r="C4700" t="inlineStr">
        <is>
          <t>C11159</t>
        </is>
      </c>
      <c r="D4700" t="inlineStr">
        <is>
          <t>SKU-10340</t>
        </is>
      </c>
      <c r="E4700" t="inlineStr">
        <is>
          <t>AM05</t>
        </is>
      </c>
      <c r="F4700" s="5" t="n">
        <v>236.4</v>
      </c>
      <c r="G4700">
        <f>IF(LEFT(B4700,1)="C","Credit","Factuur")</f>
        <v/>
      </c>
      <c r="H4700">
        <f>IF(AND(B4700=B4699,D4700=D4699,A4700=A4699,F4700=F4699),1,0)</f>
        <v/>
      </c>
      <c r="I4700">
        <f>IF(C4700="C99999",1,0)</f>
        <v/>
      </c>
      <c r="J4700" s="5">
        <f>IF(OR(H4700=1,I4700=1),0,IF(G4700="Credit",-F4700,F4700))</f>
        <v/>
      </c>
    </row>
    <row r="4701">
      <c r="A4701" t="inlineStr">
        <is>
          <t>2026-08-14</t>
        </is>
      </c>
      <c r="B4701" t="inlineStr">
        <is>
          <t>F282068</t>
        </is>
      </c>
      <c r="C4701" t="inlineStr">
        <is>
          <t>C11159</t>
        </is>
      </c>
      <c r="D4701" t="inlineStr">
        <is>
          <t>SKU-10345</t>
        </is>
      </c>
      <c r="E4701" t="inlineStr">
        <is>
          <t>AM05</t>
        </is>
      </c>
      <c r="F4701" s="5" t="n">
        <v>216.66</v>
      </c>
      <c r="G4701">
        <f>IF(LEFT(B4701,1)="C","Credit","Factuur")</f>
        <v/>
      </c>
      <c r="H4701">
        <f>IF(AND(B4701=B4700,D4701=D4700,A4701=A4700,F4701=F4700),1,0)</f>
        <v/>
      </c>
      <c r="I4701">
        <f>IF(C4701="C99999",1,0)</f>
        <v/>
      </c>
      <c r="J4701" s="5">
        <f>IF(OR(H4701=1,I4701=1),0,IF(G4701="Credit",-F4701,F4701))</f>
        <v/>
      </c>
    </row>
    <row r="4702">
      <c r="A4702" t="inlineStr">
        <is>
          <t>2026-08-14</t>
        </is>
      </c>
      <c r="B4702" t="inlineStr">
        <is>
          <t>F282068</t>
        </is>
      </c>
      <c r="C4702" t="inlineStr">
        <is>
          <t>C11159</t>
        </is>
      </c>
      <c r="D4702" t="inlineStr">
        <is>
          <t>SKU-10345</t>
        </is>
      </c>
      <c r="E4702" t="inlineStr">
        <is>
          <t>AM05</t>
        </is>
      </c>
      <c r="F4702" s="5" t="n">
        <v>216.66</v>
      </c>
      <c r="G4702">
        <f>IF(LEFT(B4702,1)="C","Credit","Factuur")</f>
        <v/>
      </c>
      <c r="H4702">
        <f>IF(AND(B4702=B4701,D4702=D4701,A4702=A4701,F4702=F4701),1,0)</f>
        <v/>
      </c>
      <c r="I4702">
        <f>IF(C4702="C99999",1,0)</f>
        <v/>
      </c>
      <c r="J4702" s="5">
        <f>IF(OR(H4702=1,I4702=1),0,IF(G4702="Credit",-F4702,F4702))</f>
        <v/>
      </c>
    </row>
    <row r="4703">
      <c r="A4703" t="inlineStr">
        <is>
          <t>2026-08-14</t>
        </is>
      </c>
      <c r="B4703" t="inlineStr">
        <is>
          <t>F282485</t>
        </is>
      </c>
      <c r="C4703" t="inlineStr">
        <is>
          <t>C11181</t>
        </is>
      </c>
      <c r="D4703" t="inlineStr">
        <is>
          <t>SKU-10031</t>
        </is>
      </c>
      <c r="E4703" t="inlineStr">
        <is>
          <t>AM08</t>
        </is>
      </c>
      <c r="F4703" s="5" t="n">
        <v>466.72</v>
      </c>
      <c r="G4703">
        <f>IF(LEFT(B4703,1)="C","Credit","Factuur")</f>
        <v/>
      </c>
      <c r="H4703">
        <f>IF(AND(B4703=B4702,D4703=D4702,A4703=A4702,F4703=F4702),1,0)</f>
        <v/>
      </c>
      <c r="I4703">
        <f>IF(C4703="C99999",1,0)</f>
        <v/>
      </c>
      <c r="J4703" s="5">
        <f>IF(OR(H4703=1,I4703=1),0,IF(G4703="Credit",-F4703,F4703))</f>
        <v/>
      </c>
    </row>
    <row r="4704">
      <c r="A4704" t="inlineStr">
        <is>
          <t>2026-08-14</t>
        </is>
      </c>
      <c r="B4704" t="inlineStr">
        <is>
          <t>F282485</t>
        </is>
      </c>
      <c r="C4704" t="inlineStr">
        <is>
          <t>C11181</t>
        </is>
      </c>
      <c r="D4704" t="inlineStr">
        <is>
          <t>SKU-10031</t>
        </is>
      </c>
      <c r="E4704" t="inlineStr">
        <is>
          <t>AM08</t>
        </is>
      </c>
      <c r="F4704" s="5" t="n">
        <v>466.72</v>
      </c>
      <c r="G4704">
        <f>IF(LEFT(B4704,1)="C","Credit","Factuur")</f>
        <v/>
      </c>
      <c r="H4704">
        <f>IF(AND(B4704=B4703,D4704=D4703,A4704=A4703,F4704=F4703),1,0)</f>
        <v/>
      </c>
      <c r="I4704">
        <f>IF(C4704="C99999",1,0)</f>
        <v/>
      </c>
      <c r="J4704" s="5">
        <f>IF(OR(H4704=1,I4704=1),0,IF(G4704="Credit",-F4704,F4704))</f>
        <v/>
      </c>
    </row>
    <row r="4705">
      <c r="A4705" t="inlineStr">
        <is>
          <t>2026-08-14</t>
        </is>
      </c>
      <c r="B4705" t="inlineStr">
        <is>
          <t>F282485</t>
        </is>
      </c>
      <c r="C4705" t="inlineStr">
        <is>
          <t>C11181</t>
        </is>
      </c>
      <c r="D4705" t="inlineStr">
        <is>
          <t>SKU-10111</t>
        </is>
      </c>
      <c r="E4705" t="inlineStr">
        <is>
          <t>AM08</t>
        </is>
      </c>
      <c r="F4705" s="5" t="n">
        <v>417.16</v>
      </c>
      <c r="G4705">
        <f>IF(LEFT(B4705,1)="C","Credit","Factuur")</f>
        <v/>
      </c>
      <c r="H4705">
        <f>IF(AND(B4705=B4704,D4705=D4704,A4705=A4704,F4705=F4704),1,0)</f>
        <v/>
      </c>
      <c r="I4705">
        <f>IF(C4705="C99999",1,0)</f>
        <v/>
      </c>
      <c r="J4705" s="5">
        <f>IF(OR(H4705=1,I4705=1),0,IF(G4705="Credit",-F4705,F4705))</f>
        <v/>
      </c>
    </row>
    <row r="4706">
      <c r="A4706" t="inlineStr">
        <is>
          <t>2026-08-14</t>
        </is>
      </c>
      <c r="B4706" t="inlineStr">
        <is>
          <t>F282485</t>
        </is>
      </c>
      <c r="C4706" t="inlineStr">
        <is>
          <t>C11181</t>
        </is>
      </c>
      <c r="D4706" t="inlineStr">
        <is>
          <t>SKU-10111</t>
        </is>
      </c>
      <c r="E4706" t="inlineStr">
        <is>
          <t>AM08</t>
        </is>
      </c>
      <c r="F4706" s="5" t="n">
        <v>417.16</v>
      </c>
      <c r="G4706">
        <f>IF(LEFT(B4706,1)="C","Credit","Factuur")</f>
        <v/>
      </c>
      <c r="H4706">
        <f>IF(AND(B4706=B4705,D4706=D4705,A4706=A4705,F4706=F4705),1,0)</f>
        <v/>
      </c>
      <c r="I4706">
        <f>IF(C4706="C99999",1,0)</f>
        <v/>
      </c>
      <c r="J4706" s="5">
        <f>IF(OR(H4706=1,I4706=1),0,IF(G4706="Credit",-F4706,F4706))</f>
        <v/>
      </c>
    </row>
    <row r="4707">
      <c r="A4707" t="inlineStr">
        <is>
          <t>2026-08-14</t>
        </is>
      </c>
      <c r="B4707" t="inlineStr">
        <is>
          <t>F282485</t>
        </is>
      </c>
      <c r="C4707" t="inlineStr">
        <is>
          <t>C11181</t>
        </is>
      </c>
      <c r="D4707" t="inlineStr">
        <is>
          <t>SKU-10181</t>
        </is>
      </c>
      <c r="E4707" t="inlineStr">
        <is>
          <t>AM08</t>
        </is>
      </c>
      <c r="F4707" s="5" t="n">
        <v>432.93</v>
      </c>
      <c r="G4707">
        <f>IF(LEFT(B4707,1)="C","Credit","Factuur")</f>
        <v/>
      </c>
      <c r="H4707">
        <f>IF(AND(B4707=B4706,D4707=D4706,A4707=A4706,F4707=F4706),1,0)</f>
        <v/>
      </c>
      <c r="I4707">
        <f>IF(C4707="C99999",1,0)</f>
        <v/>
      </c>
      <c r="J4707" s="5">
        <f>IF(OR(H4707=1,I4707=1),0,IF(G4707="Credit",-F4707,F4707))</f>
        <v/>
      </c>
    </row>
    <row r="4708">
      <c r="A4708" t="inlineStr">
        <is>
          <t>2026-08-14</t>
        </is>
      </c>
      <c r="B4708" t="inlineStr">
        <is>
          <t>F282485</t>
        </is>
      </c>
      <c r="C4708" t="inlineStr">
        <is>
          <t>C11181</t>
        </is>
      </c>
      <c r="D4708" t="inlineStr">
        <is>
          <t>SKU-10181</t>
        </is>
      </c>
      <c r="E4708" t="inlineStr">
        <is>
          <t>AM08</t>
        </is>
      </c>
      <c r="F4708" s="5" t="n">
        <v>432.93</v>
      </c>
      <c r="G4708">
        <f>IF(LEFT(B4708,1)="C","Credit","Factuur")</f>
        <v/>
      </c>
      <c r="H4708">
        <f>IF(AND(B4708=B4707,D4708=D4707,A4708=A4707,F4708=F4707),1,0)</f>
        <v/>
      </c>
      <c r="I4708">
        <f>IF(C4708="C99999",1,0)</f>
        <v/>
      </c>
      <c r="J4708" s="5">
        <f>IF(OR(H4708=1,I4708=1),0,IF(G4708="Credit",-F4708,F4708))</f>
        <v/>
      </c>
    </row>
    <row r="4709">
      <c r="A4709" t="inlineStr">
        <is>
          <t>2026-08-14</t>
        </is>
      </c>
      <c r="B4709" t="inlineStr">
        <is>
          <t>F282485</t>
        </is>
      </c>
      <c r="C4709" t="inlineStr">
        <is>
          <t>C11181</t>
        </is>
      </c>
      <c r="D4709" t="inlineStr">
        <is>
          <t>SKU-10265</t>
        </is>
      </c>
      <c r="E4709" t="inlineStr">
        <is>
          <t>AM08</t>
        </is>
      </c>
      <c r="F4709" s="5" t="n">
        <v>395.79</v>
      </c>
      <c r="G4709">
        <f>IF(LEFT(B4709,1)="C","Credit","Factuur")</f>
        <v/>
      </c>
      <c r="H4709">
        <f>IF(AND(B4709=B4708,D4709=D4708,A4709=A4708,F4709=F4708),1,0)</f>
        <v/>
      </c>
      <c r="I4709">
        <f>IF(C4709="C99999",1,0)</f>
        <v/>
      </c>
      <c r="J4709" s="5">
        <f>IF(OR(H4709=1,I4709=1),0,IF(G4709="Credit",-F4709,F4709))</f>
        <v/>
      </c>
    </row>
    <row r="4710">
      <c r="A4710" t="inlineStr">
        <is>
          <t>2026-08-14</t>
        </is>
      </c>
      <c r="B4710" t="inlineStr">
        <is>
          <t>F282485</t>
        </is>
      </c>
      <c r="C4710" t="inlineStr">
        <is>
          <t>C11181</t>
        </is>
      </c>
      <c r="D4710" t="inlineStr">
        <is>
          <t>SKU-10265</t>
        </is>
      </c>
      <c r="E4710" t="inlineStr">
        <is>
          <t>AM08</t>
        </is>
      </c>
      <c r="F4710" s="5" t="n">
        <v>395.79</v>
      </c>
      <c r="G4710">
        <f>IF(LEFT(B4710,1)="C","Credit","Factuur")</f>
        <v/>
      </c>
      <c r="H4710">
        <f>IF(AND(B4710=B4709,D4710=D4709,A4710=A4709,F4710=F4709),1,0)</f>
        <v/>
      </c>
      <c r="I4710">
        <f>IF(C4710="C99999",1,0)</f>
        <v/>
      </c>
      <c r="J4710" s="5">
        <f>IF(OR(H4710=1,I4710=1),0,IF(G4710="Credit",-F4710,F4710))</f>
        <v/>
      </c>
    </row>
    <row r="4711">
      <c r="A4711" t="inlineStr">
        <is>
          <t>2026-08-14</t>
        </is>
      </c>
      <c r="B4711" t="inlineStr">
        <is>
          <t>F282485</t>
        </is>
      </c>
      <c r="C4711" t="inlineStr">
        <is>
          <t>C11181</t>
        </is>
      </c>
      <c r="D4711" t="inlineStr">
        <is>
          <t>SKU-10290</t>
        </is>
      </c>
      <c r="E4711" t="inlineStr">
        <is>
          <t>AM08</t>
        </is>
      </c>
      <c r="F4711" s="5" t="n">
        <v>451.96</v>
      </c>
      <c r="G4711">
        <f>IF(LEFT(B4711,1)="C","Credit","Factuur")</f>
        <v/>
      </c>
      <c r="H4711">
        <f>IF(AND(B4711=B4710,D4711=D4710,A4711=A4710,F4711=F4710),1,0)</f>
        <v/>
      </c>
      <c r="I4711">
        <f>IF(C4711="C99999",1,0)</f>
        <v/>
      </c>
      <c r="J4711" s="5">
        <f>IF(OR(H4711=1,I4711=1),0,IF(G4711="Credit",-F4711,F4711))</f>
        <v/>
      </c>
    </row>
    <row r="4712">
      <c r="A4712" t="inlineStr">
        <is>
          <t>2026-08-14</t>
        </is>
      </c>
      <c r="B4712" t="inlineStr">
        <is>
          <t>F282485</t>
        </is>
      </c>
      <c r="C4712" t="inlineStr">
        <is>
          <t>C11181</t>
        </is>
      </c>
      <c r="D4712" t="inlineStr">
        <is>
          <t>SKU-10290</t>
        </is>
      </c>
      <c r="E4712" t="inlineStr">
        <is>
          <t>AM08</t>
        </is>
      </c>
      <c r="F4712" s="5" t="n">
        <v>451.96</v>
      </c>
      <c r="G4712">
        <f>IF(LEFT(B4712,1)="C","Credit","Factuur")</f>
        <v/>
      </c>
      <c r="H4712">
        <f>IF(AND(B4712=B4711,D4712=D4711,A4712=A4711,F4712=F4711),1,0)</f>
        <v/>
      </c>
      <c r="I4712">
        <f>IF(C4712="C99999",1,0)</f>
        <v/>
      </c>
      <c r="J4712" s="5">
        <f>IF(OR(H4712=1,I4712=1),0,IF(G4712="Credit",-F4712,F4712))</f>
        <v/>
      </c>
    </row>
    <row r="4713">
      <c r="A4713" t="inlineStr">
        <is>
          <t>2026-08-14</t>
        </is>
      </c>
      <c r="B4713" t="inlineStr">
        <is>
          <t>F282485</t>
        </is>
      </c>
      <c r="C4713" t="inlineStr">
        <is>
          <t>C11181</t>
        </is>
      </c>
      <c r="D4713" t="inlineStr">
        <is>
          <t>SKU-10356</t>
        </is>
      </c>
      <c r="E4713" t="inlineStr">
        <is>
          <t>AM08</t>
        </is>
      </c>
      <c r="F4713" s="5" t="n">
        <v>430.2</v>
      </c>
      <c r="G4713">
        <f>IF(LEFT(B4713,1)="C","Credit","Factuur")</f>
        <v/>
      </c>
      <c r="H4713">
        <f>IF(AND(B4713=B4712,D4713=D4712,A4713=A4712,F4713=F4712),1,0)</f>
        <v/>
      </c>
      <c r="I4713">
        <f>IF(C4713="C99999",1,0)</f>
        <v/>
      </c>
      <c r="J4713" s="5">
        <f>IF(OR(H4713=1,I4713=1),0,IF(G4713="Credit",-F4713,F4713))</f>
        <v/>
      </c>
    </row>
    <row r="4714">
      <c r="A4714" t="inlineStr">
        <is>
          <t>2026-08-14</t>
        </is>
      </c>
      <c r="B4714" t="inlineStr">
        <is>
          <t>F282485</t>
        </is>
      </c>
      <c r="C4714" t="inlineStr">
        <is>
          <t>C11181</t>
        </is>
      </c>
      <c r="D4714" t="inlineStr">
        <is>
          <t>SKU-10356</t>
        </is>
      </c>
      <c r="E4714" t="inlineStr">
        <is>
          <t>AM08</t>
        </is>
      </c>
      <c r="F4714" s="5" t="n">
        <v>430.2</v>
      </c>
      <c r="G4714">
        <f>IF(LEFT(B4714,1)="C","Credit","Factuur")</f>
        <v/>
      </c>
      <c r="H4714">
        <f>IF(AND(B4714=B4713,D4714=D4713,A4714=A4713,F4714=F4713),1,0)</f>
        <v/>
      </c>
      <c r="I4714">
        <f>IF(C4714="C99999",1,0)</f>
        <v/>
      </c>
      <c r="J4714" s="5">
        <f>IF(OR(H4714=1,I4714=1),0,IF(G4714="Credit",-F4714,F4714))</f>
        <v/>
      </c>
    </row>
    <row r="4715">
      <c r="A4715" t="inlineStr">
        <is>
          <t>2026-08-14</t>
        </is>
      </c>
      <c r="B4715" t="inlineStr">
        <is>
          <t>F282683</t>
        </is>
      </c>
      <c r="C4715" t="inlineStr">
        <is>
          <t>C11191</t>
        </is>
      </c>
      <c r="D4715" t="inlineStr">
        <is>
          <t>SKU-10032</t>
        </is>
      </c>
      <c r="E4715" t="inlineStr">
        <is>
          <t>AM06</t>
        </is>
      </c>
      <c r="F4715" s="5" t="n">
        <v>852.79</v>
      </c>
      <c r="G4715">
        <f>IF(LEFT(B4715,1)="C","Credit","Factuur")</f>
        <v/>
      </c>
      <c r="H4715">
        <f>IF(AND(B4715=B4714,D4715=D4714,A4715=A4714,F4715=F4714),1,0)</f>
        <v/>
      </c>
      <c r="I4715">
        <f>IF(C4715="C99999",1,0)</f>
        <v/>
      </c>
      <c r="J4715" s="5">
        <f>IF(OR(H4715=1,I4715=1),0,IF(G4715="Credit",-F4715,F4715))</f>
        <v/>
      </c>
    </row>
    <row r="4716">
      <c r="A4716" t="inlineStr">
        <is>
          <t>2026-08-14</t>
        </is>
      </c>
      <c r="B4716" t="inlineStr">
        <is>
          <t>F282683</t>
        </is>
      </c>
      <c r="C4716" t="inlineStr">
        <is>
          <t>C11191</t>
        </is>
      </c>
      <c r="D4716" t="inlineStr">
        <is>
          <t>SKU-10032</t>
        </is>
      </c>
      <c r="E4716" t="inlineStr">
        <is>
          <t>AM06</t>
        </is>
      </c>
      <c r="F4716" s="5" t="n">
        <v>852.79</v>
      </c>
      <c r="G4716">
        <f>IF(LEFT(B4716,1)="C","Credit","Factuur")</f>
        <v/>
      </c>
      <c r="H4716">
        <f>IF(AND(B4716=B4715,D4716=D4715,A4716=A4715,F4716=F4715),1,0)</f>
        <v/>
      </c>
      <c r="I4716">
        <f>IF(C4716="C99999",1,0)</f>
        <v/>
      </c>
      <c r="J4716" s="5">
        <f>IF(OR(H4716=1,I4716=1),0,IF(G4716="Credit",-F4716,F4716))</f>
        <v/>
      </c>
    </row>
    <row r="4717">
      <c r="A4717" t="inlineStr">
        <is>
          <t>2026-08-14</t>
        </is>
      </c>
      <c r="B4717" t="inlineStr">
        <is>
          <t>F282819</t>
        </is>
      </c>
      <c r="C4717" t="inlineStr">
        <is>
          <t>C11199</t>
        </is>
      </c>
      <c r="D4717" t="inlineStr">
        <is>
          <t>SKU-10129</t>
        </is>
      </c>
      <c r="E4717" t="inlineStr">
        <is>
          <t>AM11</t>
        </is>
      </c>
      <c r="F4717" s="5" t="n">
        <v>829.04</v>
      </c>
      <c r="G4717">
        <f>IF(LEFT(B4717,1)="C","Credit","Factuur")</f>
        <v/>
      </c>
      <c r="H4717">
        <f>IF(AND(B4717=B4716,D4717=D4716,A4717=A4716,F4717=F4716),1,0)</f>
        <v/>
      </c>
      <c r="I4717">
        <f>IF(C4717="C99999",1,0)</f>
        <v/>
      </c>
      <c r="J4717" s="5">
        <f>IF(OR(H4717=1,I4717=1),0,IF(G4717="Credit",-F4717,F4717))</f>
        <v/>
      </c>
    </row>
    <row r="4718">
      <c r="A4718" t="inlineStr">
        <is>
          <t>2026-08-14</t>
        </is>
      </c>
      <c r="B4718" t="inlineStr">
        <is>
          <t>F282819</t>
        </is>
      </c>
      <c r="C4718" t="inlineStr">
        <is>
          <t>C11199</t>
        </is>
      </c>
      <c r="D4718" t="inlineStr">
        <is>
          <t>SKU-10129</t>
        </is>
      </c>
      <c r="E4718" t="inlineStr">
        <is>
          <t>AM11</t>
        </is>
      </c>
      <c r="F4718" s="5" t="n">
        <v>829.04</v>
      </c>
      <c r="G4718">
        <f>IF(LEFT(B4718,1)="C","Credit","Factuur")</f>
        <v/>
      </c>
      <c r="H4718">
        <f>IF(AND(B4718=B4717,D4718=D4717,A4718=A4717,F4718=F4717),1,0)</f>
        <v/>
      </c>
      <c r="I4718">
        <f>IF(C4718="C99999",1,0)</f>
        <v/>
      </c>
      <c r="J4718" s="5">
        <f>IF(OR(H4718=1,I4718=1),0,IF(G4718="Credit",-F4718,F4718))</f>
        <v/>
      </c>
    </row>
    <row r="4719">
      <c r="A4719" t="inlineStr">
        <is>
          <t>2026-08-14</t>
        </is>
      </c>
      <c r="B4719" t="inlineStr">
        <is>
          <t>F282819</t>
        </is>
      </c>
      <c r="C4719" t="inlineStr">
        <is>
          <t>C11199</t>
        </is>
      </c>
      <c r="D4719" t="inlineStr">
        <is>
          <t>SKU-10191</t>
        </is>
      </c>
      <c r="E4719" t="inlineStr">
        <is>
          <t>AM11</t>
        </is>
      </c>
      <c r="F4719" s="5" t="n">
        <v>870.45</v>
      </c>
      <c r="G4719">
        <f>IF(LEFT(B4719,1)="C","Credit","Factuur")</f>
        <v/>
      </c>
      <c r="H4719">
        <f>IF(AND(B4719=B4718,D4719=D4718,A4719=A4718,F4719=F4718),1,0)</f>
        <v/>
      </c>
      <c r="I4719">
        <f>IF(C4719="C99999",1,0)</f>
        <v/>
      </c>
      <c r="J4719" s="5">
        <f>IF(OR(H4719=1,I4719=1),0,IF(G4719="Credit",-F4719,F4719))</f>
        <v/>
      </c>
    </row>
    <row r="4720">
      <c r="A4720" t="inlineStr">
        <is>
          <t>2026-08-14</t>
        </is>
      </c>
      <c r="B4720" t="inlineStr">
        <is>
          <t>F282819</t>
        </is>
      </c>
      <c r="C4720" t="inlineStr">
        <is>
          <t>C11199</t>
        </is>
      </c>
      <c r="D4720" t="inlineStr">
        <is>
          <t>SKU-10191</t>
        </is>
      </c>
      <c r="E4720" t="inlineStr">
        <is>
          <t>AM11</t>
        </is>
      </c>
      <c r="F4720" s="5" t="n">
        <v>870.45</v>
      </c>
      <c r="G4720">
        <f>IF(LEFT(B4720,1)="C","Credit","Factuur")</f>
        <v/>
      </c>
      <c r="H4720">
        <f>IF(AND(B4720=B4719,D4720=D4719,A4720=A4719,F4720=F4719),1,0)</f>
        <v/>
      </c>
      <c r="I4720">
        <f>IF(C4720="C99999",1,0)</f>
        <v/>
      </c>
      <c r="J4720" s="5">
        <f>IF(OR(H4720=1,I4720=1),0,IF(G4720="Credit",-F4720,F4720))</f>
        <v/>
      </c>
    </row>
    <row r="4721">
      <c r="A4721" t="inlineStr">
        <is>
          <t>2026-08-14</t>
        </is>
      </c>
      <c r="B4721" t="inlineStr">
        <is>
          <t>F282819</t>
        </is>
      </c>
      <c r="C4721" t="inlineStr">
        <is>
          <t>C11199</t>
        </is>
      </c>
      <c r="D4721" t="inlineStr">
        <is>
          <t>SKU-10283</t>
        </is>
      </c>
      <c r="E4721" t="inlineStr">
        <is>
          <t>AM11</t>
        </is>
      </c>
      <c r="F4721" s="5" t="n">
        <v>850.25</v>
      </c>
      <c r="G4721">
        <f>IF(LEFT(B4721,1)="C","Credit","Factuur")</f>
        <v/>
      </c>
      <c r="H4721">
        <f>IF(AND(B4721=B4720,D4721=D4720,A4721=A4720,F4721=F4720),1,0)</f>
        <v/>
      </c>
      <c r="I4721">
        <f>IF(C4721="C99999",1,0)</f>
        <v/>
      </c>
      <c r="J4721" s="5">
        <f>IF(OR(H4721=1,I4721=1),0,IF(G4721="Credit",-F4721,F4721))</f>
        <v/>
      </c>
    </row>
    <row r="4722">
      <c r="A4722" t="inlineStr">
        <is>
          <t>2026-08-14</t>
        </is>
      </c>
      <c r="B4722" t="inlineStr">
        <is>
          <t>F282819</t>
        </is>
      </c>
      <c r="C4722" t="inlineStr">
        <is>
          <t>C11199</t>
        </is>
      </c>
      <c r="D4722" t="inlineStr">
        <is>
          <t>SKU-10283</t>
        </is>
      </c>
      <c r="E4722" t="inlineStr">
        <is>
          <t>AM11</t>
        </is>
      </c>
      <c r="F4722" s="5" t="n">
        <v>850.25</v>
      </c>
      <c r="G4722">
        <f>IF(LEFT(B4722,1)="C","Credit","Factuur")</f>
        <v/>
      </c>
      <c r="H4722">
        <f>IF(AND(B4722=B4721,D4722=D4721,A4722=A4721,F4722=F4721),1,0)</f>
        <v/>
      </c>
      <c r="I4722">
        <f>IF(C4722="C99999",1,0)</f>
        <v/>
      </c>
      <c r="J4722" s="5">
        <f>IF(OR(H4722=1,I4722=1),0,IF(G4722="Credit",-F4722,F4722))</f>
        <v/>
      </c>
    </row>
    <row r="4723">
      <c r="A4723" t="inlineStr">
        <is>
          <t>2026-08-14</t>
        </is>
      </c>
      <c r="B4723" t="inlineStr">
        <is>
          <t>F282851</t>
        </is>
      </c>
      <c r="C4723" t="inlineStr">
        <is>
          <t>C11200</t>
        </is>
      </c>
      <c r="D4723" t="inlineStr">
        <is>
          <t>SKU-10231</t>
        </is>
      </c>
      <c r="E4723" t="inlineStr">
        <is>
          <t>AM11</t>
        </is>
      </c>
      <c r="F4723" s="5" t="n">
        <v>384.66</v>
      </c>
      <c r="G4723">
        <f>IF(LEFT(B4723,1)="C","Credit","Factuur")</f>
        <v/>
      </c>
      <c r="H4723">
        <f>IF(AND(B4723=B4722,D4723=D4722,A4723=A4722,F4723=F4722),1,0)</f>
        <v/>
      </c>
      <c r="I4723">
        <f>IF(C4723="C99999",1,0)</f>
        <v/>
      </c>
      <c r="J4723" s="5">
        <f>IF(OR(H4723=1,I4723=1),0,IF(G4723="Credit",-F4723,F4723))</f>
        <v/>
      </c>
    </row>
    <row r="4724">
      <c r="A4724" t="inlineStr">
        <is>
          <t>2026-08-14</t>
        </is>
      </c>
      <c r="B4724" t="inlineStr">
        <is>
          <t>F282851</t>
        </is>
      </c>
      <c r="C4724" t="inlineStr">
        <is>
          <t>C11200</t>
        </is>
      </c>
      <c r="D4724" t="inlineStr">
        <is>
          <t>SKU-10231</t>
        </is>
      </c>
      <c r="E4724" t="inlineStr">
        <is>
          <t>AM11</t>
        </is>
      </c>
      <c r="F4724" s="5" t="n">
        <v>384.66</v>
      </c>
      <c r="G4724">
        <f>IF(LEFT(B4724,1)="C","Credit","Factuur")</f>
        <v/>
      </c>
      <c r="H4724">
        <f>IF(AND(B4724=B4723,D4724=D4723,A4724=A4723,F4724=F4723),1,0)</f>
        <v/>
      </c>
      <c r="I4724">
        <f>IF(C4724="C99999",1,0)</f>
        <v/>
      </c>
      <c r="J4724" s="5">
        <f>IF(OR(H4724=1,I4724=1),0,IF(G4724="Credit",-F4724,F4724))</f>
        <v/>
      </c>
    </row>
    <row r="4725">
      <c r="A4725" t="inlineStr">
        <is>
          <t>2026-08-14</t>
        </is>
      </c>
      <c r="B4725" t="inlineStr">
        <is>
          <t>F282851</t>
        </is>
      </c>
      <c r="C4725" t="inlineStr">
        <is>
          <t>C11200</t>
        </is>
      </c>
      <c r="D4725" t="inlineStr">
        <is>
          <t>SKU-10274</t>
        </is>
      </c>
      <c r="E4725" t="inlineStr">
        <is>
          <t>AM11</t>
        </is>
      </c>
      <c r="F4725" s="5" t="n">
        <v>349.11</v>
      </c>
      <c r="G4725">
        <f>IF(LEFT(B4725,1)="C","Credit","Factuur")</f>
        <v/>
      </c>
      <c r="H4725">
        <f>IF(AND(B4725=B4724,D4725=D4724,A4725=A4724,F4725=F4724),1,0)</f>
        <v/>
      </c>
      <c r="I4725">
        <f>IF(C4725="C99999",1,0)</f>
        <v/>
      </c>
      <c r="J4725" s="5">
        <f>IF(OR(H4725=1,I4725=1),0,IF(G4725="Credit",-F4725,F4725))</f>
        <v/>
      </c>
    </row>
    <row r="4726">
      <c r="A4726" t="inlineStr">
        <is>
          <t>2026-08-14</t>
        </is>
      </c>
      <c r="B4726" t="inlineStr">
        <is>
          <t>F282851</t>
        </is>
      </c>
      <c r="C4726" t="inlineStr">
        <is>
          <t>C11200</t>
        </is>
      </c>
      <c r="D4726" t="inlineStr">
        <is>
          <t>SKU-10274</t>
        </is>
      </c>
      <c r="E4726" t="inlineStr">
        <is>
          <t>AM11</t>
        </is>
      </c>
      <c r="F4726" s="5" t="n">
        <v>349.11</v>
      </c>
      <c r="G4726">
        <f>IF(LEFT(B4726,1)="C","Credit","Factuur")</f>
        <v/>
      </c>
      <c r="H4726">
        <f>IF(AND(B4726=B4725,D4726=D4725,A4726=A4725,F4726=F4725),1,0)</f>
        <v/>
      </c>
      <c r="I4726">
        <f>IF(C4726="C99999",1,0)</f>
        <v/>
      </c>
      <c r="J4726" s="5">
        <f>IF(OR(H4726=1,I4726=1),0,IF(G4726="Credit",-F4726,F4726))</f>
        <v/>
      </c>
    </row>
    <row r="4727">
      <c r="A4727" t="inlineStr">
        <is>
          <t>2026-08-14</t>
        </is>
      </c>
      <c r="B4727" t="inlineStr">
        <is>
          <t>F282851</t>
        </is>
      </c>
      <c r="C4727" t="inlineStr">
        <is>
          <t>C11200</t>
        </is>
      </c>
      <c r="D4727" t="inlineStr">
        <is>
          <t>SKU-10344</t>
        </is>
      </c>
      <c r="E4727" t="inlineStr">
        <is>
          <t>AM11</t>
        </is>
      </c>
      <c r="F4727" s="5" t="n">
        <v>333.2</v>
      </c>
      <c r="G4727">
        <f>IF(LEFT(B4727,1)="C","Credit","Factuur")</f>
        <v/>
      </c>
      <c r="H4727">
        <f>IF(AND(B4727=B4726,D4727=D4726,A4727=A4726,F4727=F4726),1,0)</f>
        <v/>
      </c>
      <c r="I4727">
        <f>IF(C4727="C99999",1,0)</f>
        <v/>
      </c>
      <c r="J4727" s="5">
        <f>IF(OR(H4727=1,I4727=1),0,IF(G4727="Credit",-F4727,F4727))</f>
        <v/>
      </c>
    </row>
    <row r="4728">
      <c r="A4728" t="inlineStr">
        <is>
          <t>2026-08-14</t>
        </is>
      </c>
      <c r="B4728" t="inlineStr">
        <is>
          <t>F282851</t>
        </is>
      </c>
      <c r="C4728" t="inlineStr">
        <is>
          <t>C11200</t>
        </is>
      </c>
      <c r="D4728" t="inlineStr">
        <is>
          <t>SKU-10344</t>
        </is>
      </c>
      <c r="E4728" t="inlineStr">
        <is>
          <t>AM11</t>
        </is>
      </c>
      <c r="F4728" s="5" t="n">
        <v>333.2</v>
      </c>
      <c r="G4728">
        <f>IF(LEFT(B4728,1)="C","Credit","Factuur")</f>
        <v/>
      </c>
      <c r="H4728">
        <f>IF(AND(B4728=B4727,D4728=D4727,A4728=A4727,F4728=F4727),1,0)</f>
        <v/>
      </c>
      <c r="I4728">
        <f>IF(C4728="C99999",1,0)</f>
        <v/>
      </c>
      <c r="J4728" s="5">
        <f>IF(OR(H4728=1,I4728=1),0,IF(G4728="Credit",-F4728,F4728))</f>
        <v/>
      </c>
    </row>
    <row r="4729">
      <c r="A4729" t="inlineStr">
        <is>
          <t>2026-08-14</t>
        </is>
      </c>
      <c r="B4729" t="inlineStr">
        <is>
          <t>F283803</t>
        </is>
      </c>
      <c r="C4729" t="inlineStr">
        <is>
          <t>C11247</t>
        </is>
      </c>
      <c r="D4729" t="inlineStr">
        <is>
          <t>SKU-10075</t>
        </is>
      </c>
      <c r="E4729" t="inlineStr">
        <is>
          <t>AM01</t>
        </is>
      </c>
      <c r="F4729" s="5" t="n">
        <v>383.44</v>
      </c>
      <c r="G4729">
        <f>IF(LEFT(B4729,1)="C","Credit","Factuur")</f>
        <v/>
      </c>
      <c r="H4729">
        <f>IF(AND(B4729=B4728,D4729=D4728,A4729=A4728,F4729=F4728),1,0)</f>
        <v/>
      </c>
      <c r="I4729">
        <f>IF(C4729="C99999",1,0)</f>
        <v/>
      </c>
      <c r="J4729" s="5">
        <f>IF(OR(H4729=1,I4729=1),0,IF(G4729="Credit",-F4729,F4729))</f>
        <v/>
      </c>
    </row>
    <row r="4730">
      <c r="A4730" t="inlineStr">
        <is>
          <t>2026-08-14</t>
        </is>
      </c>
      <c r="B4730" t="inlineStr">
        <is>
          <t>F283803</t>
        </is>
      </c>
      <c r="C4730" t="inlineStr">
        <is>
          <t>C11247</t>
        </is>
      </c>
      <c r="D4730" t="inlineStr">
        <is>
          <t>SKU-10075</t>
        </is>
      </c>
      <c r="E4730" t="inlineStr">
        <is>
          <t>AM01</t>
        </is>
      </c>
      <c r="F4730" s="5" t="n">
        <v>383.44</v>
      </c>
      <c r="G4730">
        <f>IF(LEFT(B4730,1)="C","Credit","Factuur")</f>
        <v/>
      </c>
      <c r="H4730">
        <f>IF(AND(B4730=B4729,D4730=D4729,A4730=A4729,F4730=F4729),1,0)</f>
        <v/>
      </c>
      <c r="I4730">
        <f>IF(C4730="C99999",1,0)</f>
        <v/>
      </c>
      <c r="J4730" s="5">
        <f>IF(OR(H4730=1,I4730=1),0,IF(G4730="Credit",-F4730,F4730))</f>
        <v/>
      </c>
    </row>
    <row r="4731">
      <c r="A4731" t="inlineStr">
        <is>
          <t>2026-08-14</t>
        </is>
      </c>
      <c r="B4731" t="inlineStr">
        <is>
          <t>F283803</t>
        </is>
      </c>
      <c r="C4731" t="inlineStr">
        <is>
          <t>C11247</t>
        </is>
      </c>
      <c r="D4731" t="inlineStr">
        <is>
          <t>SKU-10097</t>
        </is>
      </c>
      <c r="E4731" t="inlineStr">
        <is>
          <t>AM01</t>
        </is>
      </c>
      <c r="F4731" s="5" t="n">
        <v>404.7</v>
      </c>
      <c r="G4731">
        <f>IF(LEFT(B4731,1)="C","Credit","Factuur")</f>
        <v/>
      </c>
      <c r="H4731">
        <f>IF(AND(B4731=B4730,D4731=D4730,A4731=A4730,F4731=F4730),1,0)</f>
        <v/>
      </c>
      <c r="I4731">
        <f>IF(C4731="C99999",1,0)</f>
        <v/>
      </c>
      <c r="J4731" s="5">
        <f>IF(OR(H4731=1,I4731=1),0,IF(G4731="Credit",-F4731,F4731))</f>
        <v/>
      </c>
    </row>
    <row r="4732">
      <c r="A4732" t="inlineStr">
        <is>
          <t>2026-08-14</t>
        </is>
      </c>
      <c r="B4732" t="inlineStr">
        <is>
          <t>F283803</t>
        </is>
      </c>
      <c r="C4732" t="inlineStr">
        <is>
          <t>C11247</t>
        </is>
      </c>
      <c r="D4732" t="inlineStr">
        <is>
          <t>SKU-10097</t>
        </is>
      </c>
      <c r="E4732" t="inlineStr">
        <is>
          <t>AM01</t>
        </is>
      </c>
      <c r="F4732" s="5" t="n">
        <v>404.7</v>
      </c>
      <c r="G4732">
        <f>IF(LEFT(B4732,1)="C","Credit","Factuur")</f>
        <v/>
      </c>
      <c r="H4732">
        <f>IF(AND(B4732=B4731,D4732=D4731,A4732=A4731,F4732=F4731),1,0)</f>
        <v/>
      </c>
      <c r="I4732">
        <f>IF(C4732="C99999",1,0)</f>
        <v/>
      </c>
      <c r="J4732" s="5">
        <f>IF(OR(H4732=1,I4732=1),0,IF(G4732="Credit",-F4732,F4732))</f>
        <v/>
      </c>
    </row>
    <row r="4733">
      <c r="A4733" t="inlineStr">
        <is>
          <t>2026-08-14</t>
        </is>
      </c>
      <c r="B4733" t="inlineStr">
        <is>
          <t>F283803</t>
        </is>
      </c>
      <c r="C4733" t="inlineStr">
        <is>
          <t>C11247</t>
        </is>
      </c>
      <c r="D4733" t="inlineStr">
        <is>
          <t>SKU-10232</t>
        </is>
      </c>
      <c r="E4733" t="inlineStr">
        <is>
          <t>AM01</t>
        </is>
      </c>
      <c r="F4733" s="5" t="n">
        <v>377.57</v>
      </c>
      <c r="G4733">
        <f>IF(LEFT(B4733,1)="C","Credit","Factuur")</f>
        <v/>
      </c>
      <c r="H4733">
        <f>IF(AND(B4733=B4732,D4733=D4732,A4733=A4732,F4733=F4732),1,0)</f>
        <v/>
      </c>
      <c r="I4733">
        <f>IF(C4733="C99999",1,0)</f>
        <v/>
      </c>
      <c r="J4733" s="5">
        <f>IF(OR(H4733=1,I4733=1),0,IF(G4733="Credit",-F4733,F4733))</f>
        <v/>
      </c>
    </row>
    <row r="4734">
      <c r="A4734" t="inlineStr">
        <is>
          <t>2026-08-14</t>
        </is>
      </c>
      <c r="B4734" t="inlineStr">
        <is>
          <t>F283803</t>
        </is>
      </c>
      <c r="C4734" t="inlineStr">
        <is>
          <t>C11247</t>
        </is>
      </c>
      <c r="D4734" t="inlineStr">
        <is>
          <t>SKU-10232</t>
        </is>
      </c>
      <c r="E4734" t="inlineStr">
        <is>
          <t>AM01</t>
        </is>
      </c>
      <c r="F4734" s="5" t="n">
        <v>377.57</v>
      </c>
      <c r="G4734">
        <f>IF(LEFT(B4734,1)="C","Credit","Factuur")</f>
        <v/>
      </c>
      <c r="H4734">
        <f>IF(AND(B4734=B4733,D4734=D4733,A4734=A4733,F4734=F4733),1,0)</f>
        <v/>
      </c>
      <c r="I4734">
        <f>IF(C4734="C99999",1,0)</f>
        <v/>
      </c>
      <c r="J4734" s="5">
        <f>IF(OR(H4734=1,I4734=1),0,IF(G4734="Credit",-F4734,F4734))</f>
        <v/>
      </c>
    </row>
    <row r="4735">
      <c r="A4735" t="inlineStr">
        <is>
          <t>2026-08-14</t>
        </is>
      </c>
      <c r="B4735" t="inlineStr">
        <is>
          <t>F283803</t>
        </is>
      </c>
      <c r="C4735" t="inlineStr">
        <is>
          <t>C11247</t>
        </is>
      </c>
      <c r="D4735" t="inlineStr">
        <is>
          <t>SKU-10304</t>
        </is>
      </c>
      <c r="E4735" t="inlineStr">
        <is>
          <t>AM01</t>
        </is>
      </c>
      <c r="F4735" s="5" t="n">
        <v>397.28</v>
      </c>
      <c r="G4735">
        <f>IF(LEFT(B4735,1)="C","Credit","Factuur")</f>
        <v/>
      </c>
      <c r="H4735">
        <f>IF(AND(B4735=B4734,D4735=D4734,A4735=A4734,F4735=F4734),1,0)</f>
        <v/>
      </c>
      <c r="I4735">
        <f>IF(C4735="C99999",1,0)</f>
        <v/>
      </c>
      <c r="J4735" s="5">
        <f>IF(OR(H4735=1,I4735=1),0,IF(G4735="Credit",-F4735,F4735))</f>
        <v/>
      </c>
    </row>
    <row r="4736">
      <c r="A4736" t="inlineStr">
        <is>
          <t>2026-08-14</t>
        </is>
      </c>
      <c r="B4736" t="inlineStr">
        <is>
          <t>F283803</t>
        </is>
      </c>
      <c r="C4736" t="inlineStr">
        <is>
          <t>C11247</t>
        </is>
      </c>
      <c r="D4736" t="inlineStr">
        <is>
          <t>SKU-10304</t>
        </is>
      </c>
      <c r="E4736" t="inlineStr">
        <is>
          <t>AM01</t>
        </is>
      </c>
      <c r="F4736" s="5" t="n">
        <v>397.28</v>
      </c>
      <c r="G4736">
        <f>IF(LEFT(B4736,1)="C","Credit","Factuur")</f>
        <v/>
      </c>
      <c r="H4736">
        <f>IF(AND(B4736=B4735,D4736=D4735,A4736=A4735,F4736=F4735),1,0)</f>
        <v/>
      </c>
      <c r="I4736">
        <f>IF(C4736="C99999",1,0)</f>
        <v/>
      </c>
      <c r="J4736" s="5">
        <f>IF(OR(H4736=1,I4736=1),0,IF(G4736="Credit",-F4736,F4736))</f>
        <v/>
      </c>
    </row>
    <row r="4737">
      <c r="A4737" t="inlineStr">
        <is>
          <t>2026-08-14</t>
        </is>
      </c>
      <c r="B4737" t="inlineStr">
        <is>
          <t>F283803</t>
        </is>
      </c>
      <c r="C4737" t="inlineStr">
        <is>
          <t>C11247</t>
        </is>
      </c>
      <c r="D4737" t="inlineStr">
        <is>
          <t>SKU-10336</t>
        </is>
      </c>
      <c r="E4737" t="inlineStr"/>
      <c r="F4737" s="5" t="n">
        <v>395.04</v>
      </c>
      <c r="G4737">
        <f>IF(LEFT(B4737,1)="C","Credit","Factuur")</f>
        <v/>
      </c>
      <c r="H4737">
        <f>IF(AND(B4737=B4736,D4737=D4736,A4737=A4736,F4737=F4736),1,0)</f>
        <v/>
      </c>
      <c r="I4737">
        <f>IF(C4737="C99999",1,0)</f>
        <v/>
      </c>
      <c r="J4737" s="5">
        <f>IF(OR(H4737=1,I4737=1),0,IF(G4737="Credit",-F4737,F4737))</f>
        <v/>
      </c>
    </row>
    <row r="4738">
      <c r="A4738" t="inlineStr">
        <is>
          <t>2026-08-14</t>
        </is>
      </c>
      <c r="B4738" t="inlineStr">
        <is>
          <t>F283803</t>
        </is>
      </c>
      <c r="C4738" t="inlineStr">
        <is>
          <t>C11247</t>
        </is>
      </c>
      <c r="D4738" t="inlineStr">
        <is>
          <t>SKU-10336</t>
        </is>
      </c>
      <c r="E4738" t="inlineStr"/>
      <c r="F4738" s="5" t="n">
        <v>395.04</v>
      </c>
      <c r="G4738">
        <f>IF(LEFT(B4738,1)="C","Credit","Factuur")</f>
        <v/>
      </c>
      <c r="H4738">
        <f>IF(AND(B4738=B4737,D4738=D4737,A4738=A4737,F4738=F4737),1,0)</f>
        <v/>
      </c>
      <c r="I4738">
        <f>IF(C4738="C99999",1,0)</f>
        <v/>
      </c>
      <c r="J4738" s="5">
        <f>IF(OR(H4738=1,I4738=1),0,IF(G4738="Credit",-F4738,F4738))</f>
        <v/>
      </c>
    </row>
    <row r="4739">
      <c r="A4739" t="inlineStr">
        <is>
          <t>2026-08-14</t>
        </is>
      </c>
      <c r="B4739" t="inlineStr">
        <is>
          <t>F283878</t>
        </is>
      </c>
      <c r="C4739" t="inlineStr">
        <is>
          <t>C11249</t>
        </is>
      </c>
      <c r="D4739" t="inlineStr">
        <is>
          <t>SKU-10182</t>
        </is>
      </c>
      <c r="E4739" t="inlineStr">
        <is>
          <t>AM11</t>
        </is>
      </c>
      <c r="F4739" s="5" t="n">
        <v>916.26</v>
      </c>
      <c r="G4739">
        <f>IF(LEFT(B4739,1)="C","Credit","Factuur")</f>
        <v/>
      </c>
      <c r="H4739">
        <f>IF(AND(B4739=B4738,D4739=D4738,A4739=A4738,F4739=F4738),1,0)</f>
        <v/>
      </c>
      <c r="I4739">
        <f>IF(C4739="C99999",1,0)</f>
        <v/>
      </c>
      <c r="J4739" s="5">
        <f>IF(OR(H4739=1,I4739=1),0,IF(G4739="Credit",-F4739,F4739))</f>
        <v/>
      </c>
    </row>
    <row r="4740">
      <c r="A4740" t="inlineStr">
        <is>
          <t>2026-08-14</t>
        </is>
      </c>
      <c r="B4740" t="inlineStr">
        <is>
          <t>F283878</t>
        </is>
      </c>
      <c r="C4740" t="inlineStr">
        <is>
          <t>C11249</t>
        </is>
      </c>
      <c r="D4740" t="inlineStr">
        <is>
          <t>SKU-10182</t>
        </is>
      </c>
      <c r="E4740" t="inlineStr">
        <is>
          <t>AM11</t>
        </is>
      </c>
      <c r="F4740" s="5" t="n">
        <v>916.26</v>
      </c>
      <c r="G4740">
        <f>IF(LEFT(B4740,1)="C","Credit","Factuur")</f>
        <v/>
      </c>
      <c r="H4740">
        <f>IF(AND(B4740=B4739,D4740=D4739,A4740=A4739,F4740=F4739),1,0)</f>
        <v/>
      </c>
      <c r="I4740">
        <f>IF(C4740="C99999",1,0)</f>
        <v/>
      </c>
      <c r="J4740" s="5">
        <f>IF(OR(H4740=1,I4740=1),0,IF(G4740="Credit",-F4740,F4740))</f>
        <v/>
      </c>
    </row>
    <row r="4741">
      <c r="A4741" t="inlineStr">
        <is>
          <t>2026-08-14</t>
        </is>
      </c>
      <c r="B4741" t="inlineStr">
        <is>
          <t>F283878</t>
        </is>
      </c>
      <c r="C4741" t="inlineStr">
        <is>
          <t>C11249</t>
        </is>
      </c>
      <c r="D4741" t="inlineStr">
        <is>
          <t>SKU-10235</t>
        </is>
      </c>
      <c r="E4741" t="inlineStr">
        <is>
          <t>AM11</t>
        </is>
      </c>
      <c r="F4741" s="5" t="n">
        <v>882.5</v>
      </c>
      <c r="G4741">
        <f>IF(LEFT(B4741,1)="C","Credit","Factuur")</f>
        <v/>
      </c>
      <c r="H4741">
        <f>IF(AND(B4741=B4740,D4741=D4740,A4741=A4740,F4741=F4740),1,0)</f>
        <v/>
      </c>
      <c r="I4741">
        <f>IF(C4741="C99999",1,0)</f>
        <v/>
      </c>
      <c r="J4741" s="5">
        <f>IF(OR(H4741=1,I4741=1),0,IF(G4741="Credit",-F4741,F4741))</f>
        <v/>
      </c>
    </row>
    <row r="4742">
      <c r="A4742" t="inlineStr">
        <is>
          <t>2026-08-14</t>
        </is>
      </c>
      <c r="B4742" t="inlineStr">
        <is>
          <t>F283878</t>
        </is>
      </c>
      <c r="C4742" t="inlineStr">
        <is>
          <t>C11249</t>
        </is>
      </c>
      <c r="D4742" t="inlineStr">
        <is>
          <t>SKU-10235</t>
        </is>
      </c>
      <c r="E4742" t="inlineStr">
        <is>
          <t>AM11</t>
        </is>
      </c>
      <c r="F4742" s="5" t="n">
        <v>882.5</v>
      </c>
      <c r="G4742">
        <f>IF(LEFT(B4742,1)="C","Credit","Factuur")</f>
        <v/>
      </c>
      <c r="H4742">
        <f>IF(AND(B4742=B4741,D4742=D4741,A4742=A4741,F4742=F4741),1,0)</f>
        <v/>
      </c>
      <c r="I4742">
        <f>IF(C4742="C99999",1,0)</f>
        <v/>
      </c>
      <c r="J4742" s="5">
        <f>IF(OR(H4742=1,I4742=1),0,IF(G4742="Credit",-F4742,F4742))</f>
        <v/>
      </c>
    </row>
    <row r="4743">
      <c r="A4743" t="inlineStr">
        <is>
          <t>2026-08-14</t>
        </is>
      </c>
      <c r="B4743" t="inlineStr">
        <is>
          <t>F284032</t>
        </is>
      </c>
      <c r="C4743" t="inlineStr">
        <is>
          <t>C11256</t>
        </is>
      </c>
      <c r="D4743" t="inlineStr">
        <is>
          <t>SKU-10210</t>
        </is>
      </c>
      <c r="E4743" t="inlineStr">
        <is>
          <t>AM08</t>
        </is>
      </c>
      <c r="F4743" s="5" t="n">
        <v>609.22</v>
      </c>
      <c r="G4743">
        <f>IF(LEFT(B4743,1)="C","Credit","Factuur")</f>
        <v/>
      </c>
      <c r="H4743">
        <f>IF(AND(B4743=B4742,D4743=D4742,A4743=A4742,F4743=F4742),1,0)</f>
        <v/>
      </c>
      <c r="I4743">
        <f>IF(C4743="C99999",1,0)</f>
        <v/>
      </c>
      <c r="J4743" s="5">
        <f>IF(OR(H4743=1,I4743=1),0,IF(G4743="Credit",-F4743,F4743))</f>
        <v/>
      </c>
    </row>
    <row r="4744">
      <c r="A4744" t="inlineStr">
        <is>
          <t>2026-08-14</t>
        </is>
      </c>
      <c r="B4744" t="inlineStr">
        <is>
          <t>F284032</t>
        </is>
      </c>
      <c r="C4744" t="inlineStr">
        <is>
          <t>C11256</t>
        </is>
      </c>
      <c r="D4744" t="inlineStr">
        <is>
          <t>SKU-10210</t>
        </is>
      </c>
      <c r="E4744" t="inlineStr">
        <is>
          <t>AM08</t>
        </is>
      </c>
      <c r="F4744" s="5" t="n">
        <v>609.22</v>
      </c>
      <c r="G4744">
        <f>IF(LEFT(B4744,1)="C","Credit","Factuur")</f>
        <v/>
      </c>
      <c r="H4744">
        <f>IF(AND(B4744=B4743,D4744=D4743,A4744=A4743,F4744=F4743),1,0)</f>
        <v/>
      </c>
      <c r="I4744">
        <f>IF(C4744="C99999",1,0)</f>
        <v/>
      </c>
      <c r="J4744" s="5">
        <f>IF(OR(H4744=1,I4744=1),0,IF(G4744="Credit",-F4744,F4744))</f>
        <v/>
      </c>
    </row>
    <row r="4745">
      <c r="A4745" t="inlineStr">
        <is>
          <t>2026-08-14</t>
        </is>
      </c>
      <c r="B4745" t="inlineStr">
        <is>
          <t>F284032</t>
        </is>
      </c>
      <c r="C4745" t="inlineStr">
        <is>
          <t>C11256</t>
        </is>
      </c>
      <c r="D4745" t="inlineStr">
        <is>
          <t>SKU-10302</t>
        </is>
      </c>
      <c r="E4745" t="inlineStr">
        <is>
          <t>AM08</t>
        </is>
      </c>
      <c r="F4745" s="5" t="n">
        <v>625.72</v>
      </c>
      <c r="G4745">
        <f>IF(LEFT(B4745,1)="C","Credit","Factuur")</f>
        <v/>
      </c>
      <c r="H4745">
        <f>IF(AND(B4745=B4744,D4745=D4744,A4745=A4744,F4745=F4744),1,0)</f>
        <v/>
      </c>
      <c r="I4745">
        <f>IF(C4745="C99999",1,0)</f>
        <v/>
      </c>
      <c r="J4745" s="5">
        <f>IF(OR(H4745=1,I4745=1),0,IF(G4745="Credit",-F4745,F4745))</f>
        <v/>
      </c>
    </row>
    <row r="4746">
      <c r="A4746" t="inlineStr">
        <is>
          <t>2026-08-14</t>
        </is>
      </c>
      <c r="B4746" t="inlineStr">
        <is>
          <t>F284032</t>
        </is>
      </c>
      <c r="C4746" t="inlineStr">
        <is>
          <t>C11256</t>
        </is>
      </c>
      <c r="D4746" t="inlineStr">
        <is>
          <t>SKU-10302</t>
        </is>
      </c>
      <c r="E4746" t="inlineStr">
        <is>
          <t>AM08</t>
        </is>
      </c>
      <c r="F4746" s="5" t="n">
        <v>625.72</v>
      </c>
      <c r="G4746">
        <f>IF(LEFT(B4746,1)="C","Credit","Factuur")</f>
        <v/>
      </c>
      <c r="H4746">
        <f>IF(AND(B4746=B4745,D4746=D4745,A4746=A4745,F4746=F4745),1,0)</f>
        <v/>
      </c>
      <c r="I4746">
        <f>IF(C4746="C99999",1,0)</f>
        <v/>
      </c>
      <c r="J4746" s="5">
        <f>IF(OR(H4746=1,I4746=1),0,IF(G4746="Credit",-F4746,F4746))</f>
        <v/>
      </c>
    </row>
    <row r="4747">
      <c r="A4747" t="inlineStr">
        <is>
          <t>2026-08-14</t>
        </is>
      </c>
      <c r="B4747" t="inlineStr">
        <is>
          <t>F284032</t>
        </is>
      </c>
      <c r="C4747" t="inlineStr">
        <is>
          <t>C11256</t>
        </is>
      </c>
      <c r="D4747" t="inlineStr">
        <is>
          <t>SKU-10344</t>
        </is>
      </c>
      <c r="E4747" t="inlineStr">
        <is>
          <t>AM08</t>
        </is>
      </c>
      <c r="F4747" s="5" t="n">
        <v>579.6</v>
      </c>
      <c r="G4747">
        <f>IF(LEFT(B4747,1)="C","Credit","Factuur")</f>
        <v/>
      </c>
      <c r="H4747">
        <f>IF(AND(B4747=B4746,D4747=D4746,A4747=A4746,F4747=F4746),1,0)</f>
        <v/>
      </c>
      <c r="I4747">
        <f>IF(C4747="C99999",1,0)</f>
        <v/>
      </c>
      <c r="J4747" s="5">
        <f>IF(OR(H4747=1,I4747=1),0,IF(G4747="Credit",-F4747,F4747))</f>
        <v/>
      </c>
    </row>
    <row r="4748">
      <c r="A4748" t="inlineStr">
        <is>
          <t>2026-08-14</t>
        </is>
      </c>
      <c r="B4748" t="inlineStr">
        <is>
          <t>F284032</t>
        </is>
      </c>
      <c r="C4748" t="inlineStr">
        <is>
          <t>C11256</t>
        </is>
      </c>
      <c r="D4748" t="inlineStr">
        <is>
          <t>SKU-10344</t>
        </is>
      </c>
      <c r="E4748" t="inlineStr">
        <is>
          <t>AM08</t>
        </is>
      </c>
      <c r="F4748" s="5" t="n">
        <v>579.6</v>
      </c>
      <c r="G4748">
        <f>IF(LEFT(B4748,1)="C","Credit","Factuur")</f>
        <v/>
      </c>
      <c r="H4748">
        <f>IF(AND(B4748=B4747,D4748=D4747,A4748=A4747,F4748=F4747),1,0)</f>
        <v/>
      </c>
      <c r="I4748">
        <f>IF(C4748="C99999",1,0)</f>
        <v/>
      </c>
      <c r="J4748" s="5">
        <f>IF(OR(H4748=1,I4748=1),0,IF(G4748="Credit",-F4748,F4748))</f>
        <v/>
      </c>
    </row>
    <row r="4749">
      <c r="A4749" t="inlineStr">
        <is>
          <t>2026-08-14</t>
        </is>
      </c>
      <c r="B4749" t="inlineStr">
        <is>
          <t>F284032</t>
        </is>
      </c>
      <c r="C4749" t="inlineStr">
        <is>
          <t>C11256</t>
        </is>
      </c>
      <c r="D4749" t="inlineStr">
        <is>
          <t>SKU-10379</t>
        </is>
      </c>
      <c r="E4749" t="inlineStr">
        <is>
          <t>AM08</t>
        </is>
      </c>
      <c r="F4749" s="5" t="n">
        <v>617.8</v>
      </c>
      <c r="G4749">
        <f>IF(LEFT(B4749,1)="C","Credit","Factuur")</f>
        <v/>
      </c>
      <c r="H4749">
        <f>IF(AND(B4749=B4748,D4749=D4748,A4749=A4748,F4749=F4748),1,0)</f>
        <v/>
      </c>
      <c r="I4749">
        <f>IF(C4749="C99999",1,0)</f>
        <v/>
      </c>
      <c r="J4749" s="5">
        <f>IF(OR(H4749=1,I4749=1),0,IF(G4749="Credit",-F4749,F4749))</f>
        <v/>
      </c>
    </row>
    <row r="4750">
      <c r="A4750" t="inlineStr">
        <is>
          <t>2026-08-14</t>
        </is>
      </c>
      <c r="B4750" t="inlineStr">
        <is>
          <t>F284032</t>
        </is>
      </c>
      <c r="C4750" t="inlineStr">
        <is>
          <t>C11256</t>
        </is>
      </c>
      <c r="D4750" t="inlineStr">
        <is>
          <t>SKU-10379</t>
        </is>
      </c>
      <c r="E4750" t="inlineStr">
        <is>
          <t>AM08</t>
        </is>
      </c>
      <c r="F4750" s="5" t="n">
        <v>617.8</v>
      </c>
      <c r="G4750">
        <f>IF(LEFT(B4750,1)="C","Credit","Factuur")</f>
        <v/>
      </c>
      <c r="H4750">
        <f>IF(AND(B4750=B4749,D4750=D4749,A4750=A4749,F4750=F4749),1,0)</f>
        <v/>
      </c>
      <c r="I4750">
        <f>IF(C4750="C99999",1,0)</f>
        <v/>
      </c>
      <c r="J4750" s="5">
        <f>IF(OR(H4750=1,I4750=1),0,IF(G4750="Credit",-F4750,F4750))</f>
        <v/>
      </c>
    </row>
    <row r="4751">
      <c r="A4751" t="inlineStr">
        <is>
          <t>2026-08-14</t>
        </is>
      </c>
      <c r="B4751" t="inlineStr">
        <is>
          <t>F284073</t>
        </is>
      </c>
      <c r="C4751" t="inlineStr">
        <is>
          <t>C11257</t>
        </is>
      </c>
      <c r="D4751" t="inlineStr">
        <is>
          <t>SKU-10203</t>
        </is>
      </c>
      <c r="E4751" t="inlineStr">
        <is>
          <t>AM06</t>
        </is>
      </c>
      <c r="F4751" s="5" t="n">
        <v>847.02</v>
      </c>
      <c r="G4751">
        <f>IF(LEFT(B4751,1)="C","Credit","Factuur")</f>
        <v/>
      </c>
      <c r="H4751">
        <f>IF(AND(B4751=B4750,D4751=D4750,A4751=A4750,F4751=F4750),1,0)</f>
        <v/>
      </c>
      <c r="I4751">
        <f>IF(C4751="C99999",1,0)</f>
        <v/>
      </c>
      <c r="J4751" s="5">
        <f>IF(OR(H4751=1,I4751=1),0,IF(G4751="Credit",-F4751,F4751))</f>
        <v/>
      </c>
    </row>
    <row r="4752">
      <c r="A4752" t="inlineStr">
        <is>
          <t>2026-08-14</t>
        </is>
      </c>
      <c r="B4752" t="inlineStr">
        <is>
          <t>F284073</t>
        </is>
      </c>
      <c r="C4752" t="inlineStr">
        <is>
          <t>C11257</t>
        </is>
      </c>
      <c r="D4752" t="inlineStr">
        <is>
          <t>SKU-10203</t>
        </is>
      </c>
      <c r="E4752" t="inlineStr">
        <is>
          <t>AM06</t>
        </is>
      </c>
      <c r="F4752" s="5" t="n">
        <v>847.02</v>
      </c>
      <c r="G4752">
        <f>IF(LEFT(B4752,1)="C","Credit","Factuur")</f>
        <v/>
      </c>
      <c r="H4752">
        <f>IF(AND(B4752=B4751,D4752=D4751,A4752=A4751,F4752=F4751),1,0)</f>
        <v/>
      </c>
      <c r="I4752">
        <f>IF(C4752="C99999",1,0)</f>
        <v/>
      </c>
      <c r="J4752" s="5">
        <f>IF(OR(H4752=1,I4752=1),0,IF(G4752="Credit",-F4752,F4752))</f>
        <v/>
      </c>
    </row>
    <row r="4753">
      <c r="A4753" t="inlineStr">
        <is>
          <t>2026-08-14</t>
        </is>
      </c>
      <c r="B4753" t="inlineStr">
        <is>
          <t>F284506</t>
        </is>
      </c>
      <c r="C4753" t="inlineStr">
        <is>
          <t>C11285</t>
        </is>
      </c>
      <c r="D4753" t="inlineStr">
        <is>
          <t>SKU-10007</t>
        </is>
      </c>
      <c r="E4753" t="inlineStr">
        <is>
          <t>AM01</t>
        </is>
      </c>
      <c r="F4753" s="5" t="n">
        <v>504.64</v>
      </c>
      <c r="G4753">
        <f>IF(LEFT(B4753,1)="C","Credit","Factuur")</f>
        <v/>
      </c>
      <c r="H4753">
        <f>IF(AND(B4753=B4752,D4753=D4752,A4753=A4752,F4753=F4752),1,0)</f>
        <v/>
      </c>
      <c r="I4753">
        <f>IF(C4753="C99999",1,0)</f>
        <v/>
      </c>
      <c r="J4753" s="5">
        <f>IF(OR(H4753=1,I4753=1),0,IF(G4753="Credit",-F4753,F4753))</f>
        <v/>
      </c>
    </row>
    <row r="4754">
      <c r="A4754" t="inlineStr">
        <is>
          <t>2026-08-14</t>
        </is>
      </c>
      <c r="B4754" t="inlineStr">
        <is>
          <t>F284506</t>
        </is>
      </c>
      <c r="C4754" t="inlineStr">
        <is>
          <t>C11285</t>
        </is>
      </c>
      <c r="D4754" t="inlineStr">
        <is>
          <t>SKU-10007</t>
        </is>
      </c>
      <c r="E4754" t="inlineStr">
        <is>
          <t>AM01</t>
        </is>
      </c>
      <c r="F4754" s="5" t="n">
        <v>504.64</v>
      </c>
      <c r="G4754">
        <f>IF(LEFT(B4754,1)="C","Credit","Factuur")</f>
        <v/>
      </c>
      <c r="H4754">
        <f>IF(AND(B4754=B4753,D4754=D4753,A4754=A4753,F4754=F4753),1,0)</f>
        <v/>
      </c>
      <c r="I4754">
        <f>IF(C4754="C99999",1,0)</f>
        <v/>
      </c>
      <c r="J4754" s="5">
        <f>IF(OR(H4754=1,I4754=1),0,IF(G4754="Credit",-F4754,F4754))</f>
        <v/>
      </c>
    </row>
    <row r="4755">
      <c r="A4755" t="inlineStr">
        <is>
          <t>2026-08-14</t>
        </is>
      </c>
      <c r="B4755" t="inlineStr">
        <is>
          <t>F284506</t>
        </is>
      </c>
      <c r="C4755" t="inlineStr">
        <is>
          <t>C11285</t>
        </is>
      </c>
      <c r="D4755" t="inlineStr">
        <is>
          <t>SKU-10248</t>
        </is>
      </c>
      <c r="E4755" t="inlineStr">
        <is>
          <t>AM01</t>
        </is>
      </c>
      <c r="F4755" s="5" t="n">
        <v>492.96</v>
      </c>
      <c r="G4755">
        <f>IF(LEFT(B4755,1)="C","Credit","Factuur")</f>
        <v/>
      </c>
      <c r="H4755">
        <f>IF(AND(B4755=B4754,D4755=D4754,A4755=A4754,F4755=F4754),1,0)</f>
        <v/>
      </c>
      <c r="I4755">
        <f>IF(C4755="C99999",1,0)</f>
        <v/>
      </c>
      <c r="J4755" s="5">
        <f>IF(OR(H4755=1,I4755=1),0,IF(G4755="Credit",-F4755,F4755))</f>
        <v/>
      </c>
    </row>
    <row r="4756">
      <c r="A4756" t="inlineStr">
        <is>
          <t>2026-08-14</t>
        </is>
      </c>
      <c r="B4756" t="inlineStr">
        <is>
          <t>F284506</t>
        </is>
      </c>
      <c r="C4756" t="inlineStr">
        <is>
          <t>C11285</t>
        </is>
      </c>
      <c r="D4756" t="inlineStr">
        <is>
          <t>SKU-10248</t>
        </is>
      </c>
      <c r="E4756" t="inlineStr">
        <is>
          <t>AM01</t>
        </is>
      </c>
      <c r="F4756" s="5" t="n">
        <v>492.96</v>
      </c>
      <c r="G4756">
        <f>IF(LEFT(B4756,1)="C","Credit","Factuur")</f>
        <v/>
      </c>
      <c r="H4756">
        <f>IF(AND(B4756=B4755,D4756=D4755,A4756=A4755,F4756=F4755),1,0)</f>
        <v/>
      </c>
      <c r="I4756">
        <f>IF(C4756="C99999",1,0)</f>
        <v/>
      </c>
      <c r="J4756" s="5">
        <f>IF(OR(H4756=1,I4756=1),0,IF(G4756="Credit",-F4756,F4756))</f>
        <v/>
      </c>
    </row>
    <row r="4757">
      <c r="A4757" t="inlineStr">
        <is>
          <t>2026-08-14</t>
        </is>
      </c>
      <c r="B4757" t="inlineStr">
        <is>
          <t>F284506</t>
        </is>
      </c>
      <c r="C4757" t="inlineStr">
        <is>
          <t>C11285</t>
        </is>
      </c>
      <c r="D4757" t="inlineStr">
        <is>
          <t>SKU-10346</t>
        </is>
      </c>
      <c r="E4757" t="inlineStr">
        <is>
          <t>AM01</t>
        </is>
      </c>
      <c r="F4757" s="5" t="n">
        <v>1135.35</v>
      </c>
      <c r="G4757">
        <f>IF(LEFT(B4757,1)="C","Credit","Factuur")</f>
        <v/>
      </c>
      <c r="H4757">
        <f>IF(AND(B4757=B4756,D4757=D4756,A4757=A4756,F4757=F4756),1,0)</f>
        <v/>
      </c>
      <c r="I4757">
        <f>IF(C4757="C99999",1,0)</f>
        <v/>
      </c>
      <c r="J4757" s="5">
        <f>IF(OR(H4757=1,I4757=1),0,IF(G4757="Credit",-F4757,F4757))</f>
        <v/>
      </c>
    </row>
    <row r="4758">
      <c r="A4758" t="inlineStr">
        <is>
          <t>2026-08-14</t>
        </is>
      </c>
      <c r="B4758" t="inlineStr">
        <is>
          <t>F284506</t>
        </is>
      </c>
      <c r="C4758" t="inlineStr">
        <is>
          <t>C11285</t>
        </is>
      </c>
      <c r="D4758" t="inlineStr">
        <is>
          <t>SKU-10346</t>
        </is>
      </c>
      <c r="E4758" t="inlineStr">
        <is>
          <t>AM01</t>
        </is>
      </c>
      <c r="F4758" s="5" t="n">
        <v>1135.35</v>
      </c>
      <c r="G4758">
        <f>IF(LEFT(B4758,1)="C","Credit","Factuur")</f>
        <v/>
      </c>
      <c r="H4758">
        <f>IF(AND(B4758=B4757,D4758=D4757,A4758=A4757,F4758=F4757),1,0)</f>
        <v/>
      </c>
      <c r="I4758">
        <f>IF(C4758="C99999",1,0)</f>
        <v/>
      </c>
      <c r="J4758" s="5">
        <f>IF(OR(H4758=1,I4758=1),0,IF(G4758="Credit",-F4758,F4758))</f>
        <v/>
      </c>
    </row>
    <row r="4759">
      <c r="A4759" t="inlineStr">
        <is>
          <t>2026-08-14</t>
        </is>
      </c>
      <c r="B4759" t="inlineStr">
        <is>
          <t>F284617</t>
        </is>
      </c>
      <c r="C4759" t="inlineStr">
        <is>
          <t>C11291</t>
        </is>
      </c>
      <c r="D4759" t="inlineStr">
        <is>
          <t>SKU-10127</t>
        </is>
      </c>
      <c r="E4759" t="inlineStr">
        <is>
          <t>AM12</t>
        </is>
      </c>
      <c r="F4759" s="5" t="n">
        <v>366.2</v>
      </c>
      <c r="G4759">
        <f>IF(LEFT(B4759,1)="C","Credit","Factuur")</f>
        <v/>
      </c>
      <c r="H4759">
        <f>IF(AND(B4759=B4758,D4759=D4758,A4759=A4758,F4759=F4758),1,0)</f>
        <v/>
      </c>
      <c r="I4759">
        <f>IF(C4759="C99999",1,0)</f>
        <v/>
      </c>
      <c r="J4759" s="5">
        <f>IF(OR(H4759=1,I4759=1),0,IF(G4759="Credit",-F4759,F4759))</f>
        <v/>
      </c>
    </row>
    <row r="4760">
      <c r="A4760" t="inlineStr">
        <is>
          <t>2026-08-14</t>
        </is>
      </c>
      <c r="B4760" t="inlineStr">
        <is>
          <t>F284617</t>
        </is>
      </c>
      <c r="C4760" t="inlineStr">
        <is>
          <t>C11291</t>
        </is>
      </c>
      <c r="D4760" t="inlineStr">
        <is>
          <t>SKU-10127</t>
        </is>
      </c>
      <c r="E4760" t="inlineStr">
        <is>
          <t>AM12</t>
        </is>
      </c>
      <c r="F4760" s="5" t="n">
        <v>366.2</v>
      </c>
      <c r="G4760">
        <f>IF(LEFT(B4760,1)="C","Credit","Factuur")</f>
        <v/>
      </c>
      <c r="H4760">
        <f>IF(AND(B4760=B4759,D4760=D4759,A4760=A4759,F4760=F4759),1,0)</f>
        <v/>
      </c>
      <c r="I4760">
        <f>IF(C4760="C99999",1,0)</f>
        <v/>
      </c>
      <c r="J4760" s="5">
        <f>IF(OR(H4760=1,I4760=1),0,IF(G4760="Credit",-F4760,F4760))</f>
        <v/>
      </c>
    </row>
    <row r="4761">
      <c r="A4761" t="inlineStr">
        <is>
          <t>2026-08-14</t>
        </is>
      </c>
      <c r="B4761" t="inlineStr">
        <is>
          <t>F284617</t>
        </is>
      </c>
      <c r="C4761" t="inlineStr">
        <is>
          <t>C11291</t>
        </is>
      </c>
      <c r="D4761" t="inlineStr">
        <is>
          <t>SKU-10136</t>
        </is>
      </c>
      <c r="E4761" t="inlineStr"/>
      <c r="F4761" s="5" t="n">
        <v>342.84</v>
      </c>
      <c r="G4761">
        <f>IF(LEFT(B4761,1)="C","Credit","Factuur")</f>
        <v/>
      </c>
      <c r="H4761">
        <f>IF(AND(B4761=B4760,D4761=D4760,A4761=A4760,F4761=F4760),1,0)</f>
        <v/>
      </c>
      <c r="I4761">
        <f>IF(C4761="C99999",1,0)</f>
        <v/>
      </c>
      <c r="J4761" s="5">
        <f>IF(OR(H4761=1,I4761=1),0,IF(G4761="Credit",-F4761,F4761))</f>
        <v/>
      </c>
    </row>
    <row r="4762">
      <c r="A4762" t="inlineStr">
        <is>
          <t>2026-08-14</t>
        </is>
      </c>
      <c r="B4762" t="inlineStr">
        <is>
          <t>F284617</t>
        </is>
      </c>
      <c r="C4762" t="inlineStr">
        <is>
          <t>C11291</t>
        </is>
      </c>
      <c r="D4762" t="inlineStr">
        <is>
          <t>SKU-10136</t>
        </is>
      </c>
      <c r="E4762" t="inlineStr"/>
      <c r="F4762" s="5" t="n">
        <v>342.84</v>
      </c>
      <c r="G4762">
        <f>IF(LEFT(B4762,1)="C","Credit","Factuur")</f>
        <v/>
      </c>
      <c r="H4762">
        <f>IF(AND(B4762=B4761,D4762=D4761,A4762=A4761,F4762=F4761),1,0)</f>
        <v/>
      </c>
      <c r="I4762">
        <f>IF(C4762="C99999",1,0)</f>
        <v/>
      </c>
      <c r="J4762" s="5">
        <f>IF(OR(H4762=1,I4762=1),0,IF(G4762="Credit",-F4762,F4762))</f>
        <v/>
      </c>
    </row>
    <row r="4763">
      <c r="A4763" t="inlineStr">
        <is>
          <t>2026-08-14</t>
        </is>
      </c>
      <c r="B4763" t="inlineStr">
        <is>
          <t>F284617</t>
        </is>
      </c>
      <c r="C4763" t="inlineStr">
        <is>
          <t>C11291</t>
        </is>
      </c>
      <c r="D4763" t="inlineStr">
        <is>
          <t>SKU-10150</t>
        </is>
      </c>
      <c r="E4763" t="inlineStr">
        <is>
          <t>AM12</t>
        </is>
      </c>
      <c r="F4763" s="5" t="n">
        <v>277.06</v>
      </c>
      <c r="G4763">
        <f>IF(LEFT(B4763,1)="C","Credit","Factuur")</f>
        <v/>
      </c>
      <c r="H4763">
        <f>IF(AND(B4763=B4762,D4763=D4762,A4763=A4762,F4763=F4762),1,0)</f>
        <v/>
      </c>
      <c r="I4763">
        <f>IF(C4763="C99999",1,0)</f>
        <v/>
      </c>
      <c r="J4763" s="5">
        <f>IF(OR(H4763=1,I4763=1),0,IF(G4763="Credit",-F4763,F4763))</f>
        <v/>
      </c>
    </row>
    <row r="4764">
      <c r="A4764" t="inlineStr">
        <is>
          <t>2026-08-14</t>
        </is>
      </c>
      <c r="B4764" t="inlineStr">
        <is>
          <t>F284617</t>
        </is>
      </c>
      <c r="C4764" t="inlineStr">
        <is>
          <t>C11291</t>
        </is>
      </c>
      <c r="D4764" t="inlineStr">
        <is>
          <t>SKU-10150</t>
        </is>
      </c>
      <c r="E4764" t="inlineStr">
        <is>
          <t>AM12</t>
        </is>
      </c>
      <c r="F4764" s="5" t="n">
        <v>277.06</v>
      </c>
      <c r="G4764">
        <f>IF(LEFT(B4764,1)="C","Credit","Factuur")</f>
        <v/>
      </c>
      <c r="H4764">
        <f>IF(AND(B4764=B4763,D4764=D4763,A4764=A4763,F4764=F4763),1,0)</f>
        <v/>
      </c>
      <c r="I4764">
        <f>IF(C4764="C99999",1,0)</f>
        <v/>
      </c>
      <c r="J4764" s="5">
        <f>IF(OR(H4764=1,I4764=1),0,IF(G4764="Credit",-F4764,F4764))</f>
        <v/>
      </c>
    </row>
    <row r="4765">
      <c r="A4765" t="inlineStr">
        <is>
          <t>2026-08-14</t>
        </is>
      </c>
      <c r="B4765" t="inlineStr">
        <is>
          <t>F284617</t>
        </is>
      </c>
      <c r="C4765" t="inlineStr">
        <is>
          <t>C11291</t>
        </is>
      </c>
      <c r="D4765" t="inlineStr">
        <is>
          <t>SKU-10328</t>
        </is>
      </c>
      <c r="E4765" t="inlineStr">
        <is>
          <t>AM12</t>
        </is>
      </c>
      <c r="F4765" s="5" t="n">
        <v>343.64</v>
      </c>
      <c r="G4765">
        <f>IF(LEFT(B4765,1)="C","Credit","Factuur")</f>
        <v/>
      </c>
      <c r="H4765">
        <f>IF(AND(B4765=B4764,D4765=D4764,A4765=A4764,F4765=F4764),1,0)</f>
        <v/>
      </c>
      <c r="I4765">
        <f>IF(C4765="C99999",1,0)</f>
        <v/>
      </c>
      <c r="J4765" s="5">
        <f>IF(OR(H4765=1,I4765=1),0,IF(G4765="Credit",-F4765,F4765))</f>
        <v/>
      </c>
    </row>
    <row r="4766">
      <c r="A4766" t="inlineStr">
        <is>
          <t>2026-08-14</t>
        </is>
      </c>
      <c r="B4766" t="inlineStr">
        <is>
          <t>F284617</t>
        </is>
      </c>
      <c r="C4766" t="inlineStr">
        <is>
          <t>C11291</t>
        </is>
      </c>
      <c r="D4766" t="inlineStr">
        <is>
          <t>SKU-10328</t>
        </is>
      </c>
      <c r="E4766" t="inlineStr">
        <is>
          <t>AM12</t>
        </is>
      </c>
      <c r="F4766" s="5" t="n">
        <v>343.64</v>
      </c>
      <c r="G4766">
        <f>IF(LEFT(B4766,1)="C","Credit","Factuur")</f>
        <v/>
      </c>
      <c r="H4766">
        <f>IF(AND(B4766=B4765,D4766=D4765,A4766=A4765,F4766=F4765),1,0)</f>
        <v/>
      </c>
      <c r="I4766">
        <f>IF(C4766="C99999",1,0)</f>
        <v/>
      </c>
      <c r="J4766" s="5">
        <f>IF(OR(H4766=1,I4766=1),0,IF(G4766="Credit",-F4766,F4766))</f>
        <v/>
      </c>
    </row>
    <row r="4767">
      <c r="A4767" t="inlineStr">
        <is>
          <t>2026-08-14</t>
        </is>
      </c>
      <c r="B4767" t="inlineStr">
        <is>
          <t>F285235</t>
        </is>
      </c>
      <c r="C4767" t="inlineStr">
        <is>
          <t>C11322</t>
        </is>
      </c>
      <c r="D4767" t="inlineStr">
        <is>
          <t>SKU-10179</t>
        </is>
      </c>
      <c r="E4767" t="inlineStr">
        <is>
          <t>AM05</t>
        </is>
      </c>
      <c r="F4767" s="5" t="n">
        <v>99.52</v>
      </c>
      <c r="G4767">
        <f>IF(LEFT(B4767,1)="C","Credit","Factuur")</f>
        <v/>
      </c>
      <c r="H4767">
        <f>IF(AND(B4767=B4766,D4767=D4766,A4767=A4766,F4767=F4766),1,0)</f>
        <v/>
      </c>
      <c r="I4767">
        <f>IF(C4767="C99999",1,0)</f>
        <v/>
      </c>
      <c r="J4767" s="5">
        <f>IF(OR(H4767=1,I4767=1),0,IF(G4767="Credit",-F4767,F4767))</f>
        <v/>
      </c>
    </row>
    <row r="4768">
      <c r="A4768" t="inlineStr">
        <is>
          <t>2026-08-14</t>
        </is>
      </c>
      <c r="B4768" t="inlineStr">
        <is>
          <t>F285235</t>
        </is>
      </c>
      <c r="C4768" t="inlineStr">
        <is>
          <t>C11322</t>
        </is>
      </c>
      <c r="D4768" t="inlineStr">
        <is>
          <t>SKU-10179</t>
        </is>
      </c>
      <c r="E4768" t="inlineStr">
        <is>
          <t>AM05</t>
        </is>
      </c>
      <c r="F4768" s="5" t="n">
        <v>99.52</v>
      </c>
      <c r="G4768">
        <f>IF(LEFT(B4768,1)="C","Credit","Factuur")</f>
        <v/>
      </c>
      <c r="H4768">
        <f>IF(AND(B4768=B4767,D4768=D4767,A4768=A4767,F4768=F4767),1,0)</f>
        <v/>
      </c>
      <c r="I4768">
        <f>IF(C4768="C99999",1,0)</f>
        <v/>
      </c>
      <c r="J4768" s="5">
        <f>IF(OR(H4768=1,I4768=1),0,IF(G4768="Credit",-F4768,F4768))</f>
        <v/>
      </c>
    </row>
    <row r="4769">
      <c r="A4769" t="inlineStr">
        <is>
          <t>2026-08-14</t>
        </is>
      </c>
      <c r="B4769" t="inlineStr">
        <is>
          <t>F285235</t>
        </is>
      </c>
      <c r="C4769" t="inlineStr">
        <is>
          <t>C11322</t>
        </is>
      </c>
      <c r="D4769" t="inlineStr">
        <is>
          <t>SKU-10183</t>
        </is>
      </c>
      <c r="E4769" t="inlineStr">
        <is>
          <t>AM05</t>
        </is>
      </c>
      <c r="F4769" s="5" t="n">
        <v>86.31</v>
      </c>
      <c r="G4769">
        <f>IF(LEFT(B4769,1)="C","Credit","Factuur")</f>
        <v/>
      </c>
      <c r="H4769">
        <f>IF(AND(B4769=B4768,D4769=D4768,A4769=A4768,F4769=F4768),1,0)</f>
        <v/>
      </c>
      <c r="I4769">
        <f>IF(C4769="C99999",1,0)</f>
        <v/>
      </c>
      <c r="J4769" s="5">
        <f>IF(OR(H4769=1,I4769=1),0,IF(G4769="Credit",-F4769,F4769))</f>
        <v/>
      </c>
    </row>
    <row r="4770">
      <c r="A4770" t="inlineStr">
        <is>
          <t>2026-08-14</t>
        </is>
      </c>
      <c r="B4770" t="inlineStr">
        <is>
          <t>F285235</t>
        </is>
      </c>
      <c r="C4770" t="inlineStr">
        <is>
          <t>C11322</t>
        </is>
      </c>
      <c r="D4770" t="inlineStr">
        <is>
          <t>SKU-10183</t>
        </is>
      </c>
      <c r="E4770" t="inlineStr">
        <is>
          <t>AM05</t>
        </is>
      </c>
      <c r="F4770" s="5" t="n">
        <v>86.31</v>
      </c>
      <c r="G4770">
        <f>IF(LEFT(B4770,1)="C","Credit","Factuur")</f>
        <v/>
      </c>
      <c r="H4770">
        <f>IF(AND(B4770=B4769,D4770=D4769,A4770=A4769,F4770=F4769),1,0)</f>
        <v/>
      </c>
      <c r="I4770">
        <f>IF(C4770="C99999",1,0)</f>
        <v/>
      </c>
      <c r="J4770" s="5">
        <f>IF(OR(H4770=1,I4770=1),0,IF(G4770="Credit",-F4770,F4770))</f>
        <v/>
      </c>
    </row>
    <row r="4771">
      <c r="A4771" t="inlineStr">
        <is>
          <t>2026-08-14</t>
        </is>
      </c>
      <c r="B4771" t="inlineStr">
        <is>
          <t>F285235</t>
        </is>
      </c>
      <c r="C4771" t="inlineStr">
        <is>
          <t>C11322</t>
        </is>
      </c>
      <c r="D4771" t="inlineStr">
        <is>
          <t>SKU-10222</t>
        </is>
      </c>
      <c r="E4771" t="inlineStr">
        <is>
          <t>AM05</t>
        </is>
      </c>
      <c r="F4771" s="5" t="n">
        <v>98.7</v>
      </c>
      <c r="G4771">
        <f>IF(LEFT(B4771,1)="C","Credit","Factuur")</f>
        <v/>
      </c>
      <c r="H4771">
        <f>IF(AND(B4771=B4770,D4771=D4770,A4771=A4770,F4771=F4770),1,0)</f>
        <v/>
      </c>
      <c r="I4771">
        <f>IF(C4771="C99999",1,0)</f>
        <v/>
      </c>
      <c r="J4771" s="5">
        <f>IF(OR(H4771=1,I4771=1),0,IF(G4771="Credit",-F4771,F4771))</f>
        <v/>
      </c>
    </row>
    <row r="4772">
      <c r="A4772" t="inlineStr">
        <is>
          <t>2026-08-14</t>
        </is>
      </c>
      <c r="B4772" t="inlineStr">
        <is>
          <t>F285235</t>
        </is>
      </c>
      <c r="C4772" t="inlineStr">
        <is>
          <t>C11322</t>
        </is>
      </c>
      <c r="D4772" t="inlineStr">
        <is>
          <t>SKU-10222</t>
        </is>
      </c>
      <c r="E4772" t="inlineStr">
        <is>
          <t>AM05</t>
        </is>
      </c>
      <c r="F4772" s="5" t="n">
        <v>98.7</v>
      </c>
      <c r="G4772">
        <f>IF(LEFT(B4772,1)="C","Credit","Factuur")</f>
        <v/>
      </c>
      <c r="H4772">
        <f>IF(AND(B4772=B4771,D4772=D4771,A4772=A4771,F4772=F4771),1,0)</f>
        <v/>
      </c>
      <c r="I4772">
        <f>IF(C4772="C99999",1,0)</f>
        <v/>
      </c>
      <c r="J4772" s="5">
        <f>IF(OR(H4772=1,I4772=1),0,IF(G4772="Credit",-F4772,F4772))</f>
        <v/>
      </c>
    </row>
    <row r="4773">
      <c r="A4773" t="inlineStr">
        <is>
          <t>2026-08-14</t>
        </is>
      </c>
      <c r="B4773" t="inlineStr">
        <is>
          <t>F285235</t>
        </is>
      </c>
      <c r="C4773" t="inlineStr">
        <is>
          <t>C11322</t>
        </is>
      </c>
      <c r="D4773" t="inlineStr">
        <is>
          <t>SKU-10226</t>
        </is>
      </c>
      <c r="E4773" t="inlineStr">
        <is>
          <t>AM05</t>
        </is>
      </c>
      <c r="F4773" s="5" t="n">
        <v>82.59</v>
      </c>
      <c r="G4773">
        <f>IF(LEFT(B4773,1)="C","Credit","Factuur")</f>
        <v/>
      </c>
      <c r="H4773">
        <f>IF(AND(B4773=B4772,D4773=D4772,A4773=A4772,F4773=F4772),1,0)</f>
        <v/>
      </c>
      <c r="I4773">
        <f>IF(C4773="C99999",1,0)</f>
        <v/>
      </c>
      <c r="J4773" s="5">
        <f>IF(OR(H4773=1,I4773=1),0,IF(G4773="Credit",-F4773,F4773))</f>
        <v/>
      </c>
    </row>
    <row r="4774">
      <c r="A4774" t="inlineStr">
        <is>
          <t>2026-08-14</t>
        </is>
      </c>
      <c r="B4774" t="inlineStr">
        <is>
          <t>F285235</t>
        </is>
      </c>
      <c r="C4774" t="inlineStr">
        <is>
          <t>C11322</t>
        </is>
      </c>
      <c r="D4774" t="inlineStr">
        <is>
          <t>SKU-10226</t>
        </is>
      </c>
      <c r="E4774" t="inlineStr">
        <is>
          <t>AM05</t>
        </is>
      </c>
      <c r="F4774" s="5" t="n">
        <v>82.59</v>
      </c>
      <c r="G4774">
        <f>IF(LEFT(B4774,1)="C","Credit","Factuur")</f>
        <v/>
      </c>
      <c r="H4774">
        <f>IF(AND(B4774=B4773,D4774=D4773,A4774=A4773,F4774=F4773),1,0)</f>
        <v/>
      </c>
      <c r="I4774">
        <f>IF(C4774="C99999",1,0)</f>
        <v/>
      </c>
      <c r="J4774" s="5">
        <f>IF(OR(H4774=1,I4774=1),0,IF(G4774="Credit",-F4774,F4774))</f>
        <v/>
      </c>
    </row>
    <row r="4775">
      <c r="A4775" t="inlineStr">
        <is>
          <t>2026-08-14</t>
        </is>
      </c>
      <c r="B4775" t="inlineStr">
        <is>
          <t>F285235</t>
        </is>
      </c>
      <c r="C4775" t="inlineStr">
        <is>
          <t>C11322</t>
        </is>
      </c>
      <c r="D4775" t="inlineStr">
        <is>
          <t>SKU-10263</t>
        </is>
      </c>
      <c r="E4775" t="inlineStr">
        <is>
          <t>AM05</t>
        </is>
      </c>
      <c r="F4775" s="5" t="n">
        <v>97.76000000000001</v>
      </c>
      <c r="G4775">
        <f>IF(LEFT(B4775,1)="C","Credit","Factuur")</f>
        <v/>
      </c>
      <c r="H4775">
        <f>IF(AND(B4775=B4774,D4775=D4774,A4775=A4774,F4775=F4774),1,0)</f>
        <v/>
      </c>
      <c r="I4775">
        <f>IF(C4775="C99999",1,0)</f>
        <v/>
      </c>
      <c r="J4775" s="5">
        <f>IF(OR(H4775=1,I4775=1),0,IF(G4775="Credit",-F4775,F4775))</f>
        <v/>
      </c>
    </row>
    <row r="4776">
      <c r="A4776" t="inlineStr">
        <is>
          <t>2026-08-14</t>
        </is>
      </c>
      <c r="B4776" t="inlineStr">
        <is>
          <t>F285235</t>
        </is>
      </c>
      <c r="C4776" t="inlineStr">
        <is>
          <t>C11322</t>
        </is>
      </c>
      <c r="D4776" t="inlineStr">
        <is>
          <t>SKU-10263</t>
        </is>
      </c>
      <c r="E4776" t="inlineStr">
        <is>
          <t>AM05</t>
        </is>
      </c>
      <c r="F4776" s="5" t="n">
        <v>97.76000000000001</v>
      </c>
      <c r="G4776">
        <f>IF(LEFT(B4776,1)="C","Credit","Factuur")</f>
        <v/>
      </c>
      <c r="H4776">
        <f>IF(AND(B4776=B4775,D4776=D4775,A4776=A4775,F4776=F4775),1,0)</f>
        <v/>
      </c>
      <c r="I4776">
        <f>IF(C4776="C99999",1,0)</f>
        <v/>
      </c>
      <c r="J4776" s="5">
        <f>IF(OR(H4776=1,I4776=1),0,IF(G4776="Credit",-F4776,F4776))</f>
        <v/>
      </c>
    </row>
    <row r="4777">
      <c r="A4777" t="inlineStr">
        <is>
          <t>2026-08-14</t>
        </is>
      </c>
      <c r="B4777" t="inlineStr">
        <is>
          <t>F285235</t>
        </is>
      </c>
      <c r="C4777" t="inlineStr">
        <is>
          <t>C11322</t>
        </is>
      </c>
      <c r="D4777" t="inlineStr">
        <is>
          <t>SKU-10281</t>
        </is>
      </c>
      <c r="E4777" t="inlineStr">
        <is>
          <t>AM05</t>
        </is>
      </c>
      <c r="F4777" s="5" t="n">
        <v>101.7</v>
      </c>
      <c r="G4777">
        <f>IF(LEFT(B4777,1)="C","Credit","Factuur")</f>
        <v/>
      </c>
      <c r="H4777">
        <f>IF(AND(B4777=B4776,D4777=D4776,A4777=A4776,F4777=F4776),1,0)</f>
        <v/>
      </c>
      <c r="I4777">
        <f>IF(C4777="C99999",1,0)</f>
        <v/>
      </c>
      <c r="J4777" s="5">
        <f>IF(OR(H4777=1,I4777=1),0,IF(G4777="Credit",-F4777,F4777))</f>
        <v/>
      </c>
    </row>
    <row r="4778">
      <c r="A4778" t="inlineStr">
        <is>
          <t>2026-08-14</t>
        </is>
      </c>
      <c r="B4778" t="inlineStr">
        <is>
          <t>F285235</t>
        </is>
      </c>
      <c r="C4778" t="inlineStr">
        <is>
          <t>C11322</t>
        </is>
      </c>
      <c r="D4778" t="inlineStr">
        <is>
          <t>SKU-10281</t>
        </is>
      </c>
      <c r="E4778" t="inlineStr">
        <is>
          <t>AM05</t>
        </is>
      </c>
      <c r="F4778" s="5" t="n">
        <v>101.7</v>
      </c>
      <c r="G4778">
        <f>IF(LEFT(B4778,1)="C","Credit","Factuur")</f>
        <v/>
      </c>
      <c r="H4778">
        <f>IF(AND(B4778=B4777,D4778=D4777,A4778=A4777,F4778=F4777),1,0)</f>
        <v/>
      </c>
      <c r="I4778">
        <f>IF(C4778="C99999",1,0)</f>
        <v/>
      </c>
      <c r="J4778" s="5">
        <f>IF(OR(H4778=1,I4778=1),0,IF(G4778="Credit",-F4778,F4778))</f>
        <v/>
      </c>
    </row>
    <row r="4779">
      <c r="A4779" t="inlineStr">
        <is>
          <t>2026-08-14</t>
        </is>
      </c>
      <c r="B4779" t="inlineStr">
        <is>
          <t>F285244</t>
        </is>
      </c>
      <c r="C4779" t="inlineStr">
        <is>
          <t>C11322</t>
        </is>
      </c>
      <c r="D4779" t="inlineStr">
        <is>
          <t>SKU-10306</t>
        </is>
      </c>
      <c r="E4779" t="inlineStr">
        <is>
          <t>AM05</t>
        </is>
      </c>
      <c r="F4779" s="5" t="n">
        <v>367.52</v>
      </c>
      <c r="G4779">
        <f>IF(LEFT(B4779,1)="C","Credit","Factuur")</f>
        <v/>
      </c>
      <c r="H4779">
        <f>IF(AND(B4779=B4778,D4779=D4778,A4779=A4778,F4779=F4778),1,0)</f>
        <v/>
      </c>
      <c r="I4779">
        <f>IF(C4779="C99999",1,0)</f>
        <v/>
      </c>
      <c r="J4779" s="5">
        <f>IF(OR(H4779=1,I4779=1),0,IF(G4779="Credit",-F4779,F4779))</f>
        <v/>
      </c>
    </row>
    <row r="4780">
      <c r="A4780" t="inlineStr">
        <is>
          <t>2026-08-14</t>
        </is>
      </c>
      <c r="B4780" t="inlineStr">
        <is>
          <t>F285244</t>
        </is>
      </c>
      <c r="C4780" t="inlineStr">
        <is>
          <t>C11322</t>
        </is>
      </c>
      <c r="D4780" t="inlineStr">
        <is>
          <t>SKU-10306</t>
        </is>
      </c>
      <c r="E4780" t="inlineStr">
        <is>
          <t>AM05</t>
        </is>
      </c>
      <c r="F4780" s="5" t="n">
        <v>367.52</v>
      </c>
      <c r="G4780">
        <f>IF(LEFT(B4780,1)="C","Credit","Factuur")</f>
        <v/>
      </c>
      <c r="H4780">
        <f>IF(AND(B4780=B4779,D4780=D4779,A4780=A4779,F4780=F4779),1,0)</f>
        <v/>
      </c>
      <c r="I4780">
        <f>IF(C4780="C99999",1,0)</f>
        <v/>
      </c>
      <c r="J4780" s="5">
        <f>IF(OR(H4780=1,I4780=1),0,IF(G4780="Credit",-F4780,F4780))</f>
        <v/>
      </c>
    </row>
    <row r="4781">
      <c r="A4781" t="inlineStr">
        <is>
          <t>2026-08-14</t>
        </is>
      </c>
      <c r="B4781" t="inlineStr">
        <is>
          <t>F285324</t>
        </is>
      </c>
      <c r="C4781" t="inlineStr">
        <is>
          <t>C11325</t>
        </is>
      </c>
      <c r="D4781" t="inlineStr">
        <is>
          <t>SKU-10125</t>
        </is>
      </c>
      <c r="E4781" t="inlineStr">
        <is>
          <t>AM02</t>
        </is>
      </c>
      <c r="F4781" s="5" t="n">
        <v>346.16</v>
      </c>
      <c r="G4781">
        <f>IF(LEFT(B4781,1)="C","Credit","Factuur")</f>
        <v/>
      </c>
      <c r="H4781">
        <f>IF(AND(B4781=B4780,D4781=D4780,A4781=A4780,F4781=F4780),1,0)</f>
        <v/>
      </c>
      <c r="I4781">
        <f>IF(C4781="C99999",1,0)</f>
        <v/>
      </c>
      <c r="J4781" s="5">
        <f>IF(OR(H4781=1,I4781=1),0,IF(G4781="Credit",-F4781,F4781))</f>
        <v/>
      </c>
    </row>
    <row r="4782">
      <c r="A4782" t="inlineStr">
        <is>
          <t>2026-08-14</t>
        </is>
      </c>
      <c r="B4782" t="inlineStr">
        <is>
          <t>F285324</t>
        </is>
      </c>
      <c r="C4782" t="inlineStr">
        <is>
          <t>C11325</t>
        </is>
      </c>
      <c r="D4782" t="inlineStr">
        <is>
          <t>SKU-10125</t>
        </is>
      </c>
      <c r="E4782" t="inlineStr">
        <is>
          <t>AM02</t>
        </is>
      </c>
      <c r="F4782" s="5" t="n">
        <v>346.16</v>
      </c>
      <c r="G4782">
        <f>IF(LEFT(B4782,1)="C","Credit","Factuur")</f>
        <v/>
      </c>
      <c r="H4782">
        <f>IF(AND(B4782=B4781,D4782=D4781,A4782=A4781,F4782=F4781),1,0)</f>
        <v/>
      </c>
      <c r="I4782">
        <f>IF(C4782="C99999",1,0)</f>
        <v/>
      </c>
      <c r="J4782" s="5">
        <f>IF(OR(H4782=1,I4782=1),0,IF(G4782="Credit",-F4782,F4782))</f>
        <v/>
      </c>
    </row>
    <row r="4783">
      <c r="A4783" t="inlineStr">
        <is>
          <t>2026-08-14</t>
        </is>
      </c>
      <c r="B4783" t="inlineStr">
        <is>
          <t>F285324</t>
        </is>
      </c>
      <c r="C4783" t="inlineStr">
        <is>
          <t>C11325</t>
        </is>
      </c>
      <c r="D4783" t="inlineStr">
        <is>
          <t>SKU-10335</t>
        </is>
      </c>
      <c r="E4783" t="inlineStr">
        <is>
          <t>AM02</t>
        </is>
      </c>
      <c r="F4783" s="5" t="n">
        <v>352.92</v>
      </c>
      <c r="G4783">
        <f>IF(LEFT(B4783,1)="C","Credit","Factuur")</f>
        <v/>
      </c>
      <c r="H4783">
        <f>IF(AND(B4783=B4782,D4783=D4782,A4783=A4782,F4783=F4782),1,0)</f>
        <v/>
      </c>
      <c r="I4783">
        <f>IF(C4783="C99999",1,0)</f>
        <v/>
      </c>
      <c r="J4783" s="5">
        <f>IF(OR(H4783=1,I4783=1),0,IF(G4783="Credit",-F4783,F4783))</f>
        <v/>
      </c>
    </row>
    <row r="4784">
      <c r="A4784" t="inlineStr">
        <is>
          <t>2026-08-14</t>
        </is>
      </c>
      <c r="B4784" t="inlineStr">
        <is>
          <t>F285324</t>
        </is>
      </c>
      <c r="C4784" t="inlineStr">
        <is>
          <t>C11325</t>
        </is>
      </c>
      <c r="D4784" t="inlineStr">
        <is>
          <t>SKU-10335</t>
        </is>
      </c>
      <c r="E4784" t="inlineStr">
        <is>
          <t>AM02</t>
        </is>
      </c>
      <c r="F4784" s="5" t="n">
        <v>352.92</v>
      </c>
      <c r="G4784">
        <f>IF(LEFT(B4784,1)="C","Credit","Factuur")</f>
        <v/>
      </c>
      <c r="H4784">
        <f>IF(AND(B4784=B4783,D4784=D4783,A4784=A4783,F4784=F4783),1,0)</f>
        <v/>
      </c>
      <c r="I4784">
        <f>IF(C4784="C99999",1,0)</f>
        <v/>
      </c>
      <c r="J4784" s="5">
        <f>IF(OR(H4784=1,I4784=1),0,IF(G4784="Credit",-F4784,F4784))</f>
        <v/>
      </c>
    </row>
    <row r="4785">
      <c r="A4785" t="inlineStr">
        <is>
          <t>2026-08-14</t>
        </is>
      </c>
      <c r="B4785" t="inlineStr">
        <is>
          <t>F285626</t>
        </is>
      </c>
      <c r="C4785" t="inlineStr">
        <is>
          <t>C11339</t>
        </is>
      </c>
      <c r="D4785" t="inlineStr">
        <is>
          <t>SKU-10040</t>
        </is>
      </c>
      <c r="E4785" t="inlineStr">
        <is>
          <t>AM03</t>
        </is>
      </c>
      <c r="F4785" s="5" t="n">
        <v>690.92</v>
      </c>
      <c r="G4785">
        <f>IF(LEFT(B4785,1)="C","Credit","Factuur")</f>
        <v/>
      </c>
      <c r="H4785">
        <f>IF(AND(B4785=B4784,D4785=D4784,A4785=A4784,F4785=F4784),1,0)</f>
        <v/>
      </c>
      <c r="I4785">
        <f>IF(C4785="C99999",1,0)</f>
        <v/>
      </c>
      <c r="J4785" s="5">
        <f>IF(OR(H4785=1,I4785=1),0,IF(G4785="Credit",-F4785,F4785))</f>
        <v/>
      </c>
    </row>
    <row r="4786">
      <c r="A4786" t="inlineStr">
        <is>
          <t>2026-08-14</t>
        </is>
      </c>
      <c r="B4786" t="inlineStr">
        <is>
          <t>F285626</t>
        </is>
      </c>
      <c r="C4786" t="inlineStr">
        <is>
          <t>C11339</t>
        </is>
      </c>
      <c r="D4786" t="inlineStr">
        <is>
          <t>SKU-10040</t>
        </is>
      </c>
      <c r="E4786" t="inlineStr">
        <is>
          <t>AM03</t>
        </is>
      </c>
      <c r="F4786" s="5" t="n">
        <v>690.92</v>
      </c>
      <c r="G4786">
        <f>IF(LEFT(B4786,1)="C","Credit","Factuur")</f>
        <v/>
      </c>
      <c r="H4786">
        <f>IF(AND(B4786=B4785,D4786=D4785,A4786=A4785,F4786=F4785),1,0)</f>
        <v/>
      </c>
      <c r="I4786">
        <f>IF(C4786="C99999",1,0)</f>
        <v/>
      </c>
      <c r="J4786" s="5">
        <f>IF(OR(H4786=1,I4786=1),0,IF(G4786="Credit",-F4786,F4786))</f>
        <v/>
      </c>
    </row>
    <row r="4787">
      <c r="A4787" t="inlineStr">
        <is>
          <t>2026-08-14</t>
        </is>
      </c>
      <c r="B4787" t="inlineStr">
        <is>
          <t>F285626</t>
        </is>
      </c>
      <c r="C4787" t="inlineStr">
        <is>
          <t>C11339</t>
        </is>
      </c>
      <c r="D4787" t="inlineStr">
        <is>
          <t>SKU-10165</t>
        </is>
      </c>
      <c r="E4787" t="inlineStr">
        <is>
          <t>AM03</t>
        </is>
      </c>
      <c r="F4787" s="5" t="n">
        <v>687.6</v>
      </c>
      <c r="G4787">
        <f>IF(LEFT(B4787,1)="C","Credit","Factuur")</f>
        <v/>
      </c>
      <c r="H4787">
        <f>IF(AND(B4787=B4786,D4787=D4786,A4787=A4786,F4787=F4786),1,0)</f>
        <v/>
      </c>
      <c r="I4787">
        <f>IF(C4787="C99999",1,0)</f>
        <v/>
      </c>
      <c r="J4787" s="5">
        <f>IF(OR(H4787=1,I4787=1),0,IF(G4787="Credit",-F4787,F4787))</f>
        <v/>
      </c>
    </row>
    <row r="4788">
      <c r="A4788" t="inlineStr">
        <is>
          <t>2026-08-14</t>
        </is>
      </c>
      <c r="B4788" t="inlineStr">
        <is>
          <t>F285626</t>
        </is>
      </c>
      <c r="C4788" t="inlineStr">
        <is>
          <t>C11339</t>
        </is>
      </c>
      <c r="D4788" t="inlineStr">
        <is>
          <t>SKU-10165</t>
        </is>
      </c>
      <c r="E4788" t="inlineStr">
        <is>
          <t>AM03</t>
        </is>
      </c>
      <c r="F4788" s="5" t="n">
        <v>687.6</v>
      </c>
      <c r="G4788">
        <f>IF(LEFT(B4788,1)="C","Credit","Factuur")</f>
        <v/>
      </c>
      <c r="H4788">
        <f>IF(AND(B4788=B4787,D4788=D4787,A4788=A4787,F4788=F4787),1,0)</f>
        <v/>
      </c>
      <c r="I4788">
        <f>IF(C4788="C99999",1,0)</f>
        <v/>
      </c>
      <c r="J4788" s="5">
        <f>IF(OR(H4788=1,I4788=1),0,IF(G4788="Credit",-F4788,F4788))</f>
        <v/>
      </c>
    </row>
    <row r="4789">
      <c r="A4789" t="inlineStr">
        <is>
          <t>2026-08-14</t>
        </is>
      </c>
      <c r="B4789" t="inlineStr">
        <is>
          <t>F285626</t>
        </is>
      </c>
      <c r="C4789" t="inlineStr">
        <is>
          <t>C11339</t>
        </is>
      </c>
      <c r="D4789" t="inlineStr">
        <is>
          <t>SKU-10299</t>
        </is>
      </c>
      <c r="E4789" t="inlineStr">
        <is>
          <t>AM03</t>
        </is>
      </c>
      <c r="F4789" s="5" t="n">
        <v>677.52</v>
      </c>
      <c r="G4789">
        <f>IF(LEFT(B4789,1)="C","Credit","Factuur")</f>
        <v/>
      </c>
      <c r="H4789">
        <f>IF(AND(B4789=B4788,D4789=D4788,A4789=A4788,F4789=F4788),1,0)</f>
        <v/>
      </c>
      <c r="I4789">
        <f>IF(C4789="C99999",1,0)</f>
        <v/>
      </c>
      <c r="J4789" s="5">
        <f>IF(OR(H4789=1,I4789=1),0,IF(G4789="Credit",-F4789,F4789))</f>
        <v/>
      </c>
    </row>
    <row r="4790">
      <c r="A4790" t="inlineStr">
        <is>
          <t>2026-08-14</t>
        </is>
      </c>
      <c r="B4790" t="inlineStr">
        <is>
          <t>F285626</t>
        </is>
      </c>
      <c r="C4790" t="inlineStr">
        <is>
          <t>C11339</t>
        </is>
      </c>
      <c r="D4790" t="inlineStr">
        <is>
          <t>SKU-10299</t>
        </is>
      </c>
      <c r="E4790" t="inlineStr">
        <is>
          <t>AM03</t>
        </is>
      </c>
      <c r="F4790" s="5" t="n">
        <v>677.52</v>
      </c>
      <c r="G4790">
        <f>IF(LEFT(B4790,1)="C","Credit","Factuur")</f>
        <v/>
      </c>
      <c r="H4790">
        <f>IF(AND(B4790=B4789,D4790=D4789,A4790=A4789,F4790=F4789),1,0)</f>
        <v/>
      </c>
      <c r="I4790">
        <f>IF(C4790="C99999",1,0)</f>
        <v/>
      </c>
      <c r="J4790" s="5">
        <f>IF(OR(H4790=1,I4790=1),0,IF(G4790="Credit",-F4790,F4790))</f>
        <v/>
      </c>
    </row>
    <row r="4791">
      <c r="A4791" t="inlineStr">
        <is>
          <t>2026-08-14</t>
        </is>
      </c>
      <c r="B4791" t="inlineStr">
        <is>
          <t>F285627</t>
        </is>
      </c>
      <c r="C4791" t="inlineStr">
        <is>
          <t>C11339</t>
        </is>
      </c>
      <c r="D4791" t="inlineStr">
        <is>
          <t>SKU-10029</t>
        </is>
      </c>
      <c r="E4791" t="inlineStr">
        <is>
          <t>AM03</t>
        </is>
      </c>
      <c r="F4791" s="5" t="n">
        <v>268.62</v>
      </c>
      <c r="G4791">
        <f>IF(LEFT(B4791,1)="C","Credit","Factuur")</f>
        <v/>
      </c>
      <c r="H4791">
        <f>IF(AND(B4791=B4790,D4791=D4790,A4791=A4790,F4791=F4790),1,0)</f>
        <v/>
      </c>
      <c r="I4791">
        <f>IF(C4791="C99999",1,0)</f>
        <v/>
      </c>
      <c r="J4791" s="5">
        <f>IF(OR(H4791=1,I4791=1),0,IF(G4791="Credit",-F4791,F4791))</f>
        <v/>
      </c>
    </row>
    <row r="4792">
      <c r="A4792" t="inlineStr">
        <is>
          <t>2026-08-14</t>
        </is>
      </c>
      <c r="B4792" t="inlineStr">
        <is>
          <t>F285627</t>
        </is>
      </c>
      <c r="C4792" t="inlineStr">
        <is>
          <t>C11339</t>
        </is>
      </c>
      <c r="D4792" t="inlineStr">
        <is>
          <t>SKU-10029</t>
        </is>
      </c>
      <c r="E4792" t="inlineStr">
        <is>
          <t>AM03</t>
        </is>
      </c>
      <c r="F4792" s="5" t="n">
        <v>268.62</v>
      </c>
      <c r="G4792">
        <f>IF(LEFT(B4792,1)="C","Credit","Factuur")</f>
        <v/>
      </c>
      <c r="H4792">
        <f>IF(AND(B4792=B4791,D4792=D4791,A4792=A4791,F4792=F4791),1,0)</f>
        <v/>
      </c>
      <c r="I4792">
        <f>IF(C4792="C99999",1,0)</f>
        <v/>
      </c>
      <c r="J4792" s="5">
        <f>IF(OR(H4792=1,I4792=1),0,IF(G4792="Credit",-F4792,F4792))</f>
        <v/>
      </c>
    </row>
    <row r="4793">
      <c r="A4793" t="inlineStr">
        <is>
          <t>2026-08-14</t>
        </is>
      </c>
      <c r="B4793" t="inlineStr">
        <is>
          <t>F285627</t>
        </is>
      </c>
      <c r="C4793" t="inlineStr">
        <is>
          <t>C11339</t>
        </is>
      </c>
      <c r="D4793" t="inlineStr">
        <is>
          <t>SKU-10324</t>
        </is>
      </c>
      <c r="E4793" t="inlineStr">
        <is>
          <t>AM03</t>
        </is>
      </c>
      <c r="F4793" s="5" t="n">
        <v>282.36</v>
      </c>
      <c r="G4793">
        <f>IF(LEFT(B4793,1)="C","Credit","Factuur")</f>
        <v/>
      </c>
      <c r="H4793">
        <f>IF(AND(B4793=B4792,D4793=D4792,A4793=A4792,F4793=F4792),1,0)</f>
        <v/>
      </c>
      <c r="I4793">
        <f>IF(C4793="C99999",1,0)</f>
        <v/>
      </c>
      <c r="J4793" s="5">
        <f>IF(OR(H4793=1,I4793=1),0,IF(G4793="Credit",-F4793,F4793))</f>
        <v/>
      </c>
    </row>
    <row r="4794">
      <c r="A4794" t="inlineStr">
        <is>
          <t>2026-08-14</t>
        </is>
      </c>
      <c r="B4794" t="inlineStr">
        <is>
          <t>F285627</t>
        </is>
      </c>
      <c r="C4794" t="inlineStr">
        <is>
          <t>C11339</t>
        </is>
      </c>
      <c r="D4794" t="inlineStr">
        <is>
          <t>SKU-10324</t>
        </is>
      </c>
      <c r="E4794" t="inlineStr">
        <is>
          <t>AM03</t>
        </is>
      </c>
      <c r="F4794" s="5" t="n">
        <v>282.36</v>
      </c>
      <c r="G4794">
        <f>IF(LEFT(B4794,1)="C","Credit","Factuur")</f>
        <v/>
      </c>
      <c r="H4794">
        <f>IF(AND(B4794=B4793,D4794=D4793,A4794=A4793,F4794=F4793),1,0)</f>
        <v/>
      </c>
      <c r="I4794">
        <f>IF(C4794="C99999",1,0)</f>
        <v/>
      </c>
      <c r="J4794" s="5">
        <f>IF(OR(H4794=1,I4794=1),0,IF(G4794="Credit",-F4794,F4794))</f>
        <v/>
      </c>
    </row>
    <row r="4795">
      <c r="A4795" t="inlineStr">
        <is>
          <t>2026-08-14</t>
        </is>
      </c>
      <c r="B4795" t="inlineStr">
        <is>
          <t>F285627</t>
        </is>
      </c>
      <c r="C4795" t="inlineStr">
        <is>
          <t>C11339</t>
        </is>
      </c>
      <c r="D4795" t="inlineStr">
        <is>
          <t>SKU-10334</t>
        </is>
      </c>
      <c r="E4795" t="inlineStr">
        <is>
          <t>AM03</t>
        </is>
      </c>
      <c r="F4795" s="5" t="n">
        <v>257.97</v>
      </c>
      <c r="G4795">
        <f>IF(LEFT(B4795,1)="C","Credit","Factuur")</f>
        <v/>
      </c>
      <c r="H4795">
        <f>IF(AND(B4795=B4794,D4795=D4794,A4795=A4794,F4795=F4794),1,0)</f>
        <v/>
      </c>
      <c r="I4795">
        <f>IF(C4795="C99999",1,0)</f>
        <v/>
      </c>
      <c r="J4795" s="5">
        <f>IF(OR(H4795=1,I4795=1),0,IF(G4795="Credit",-F4795,F4795))</f>
        <v/>
      </c>
    </row>
    <row r="4796">
      <c r="A4796" t="inlineStr">
        <is>
          <t>2026-08-14</t>
        </is>
      </c>
      <c r="B4796" t="inlineStr">
        <is>
          <t>F285627</t>
        </is>
      </c>
      <c r="C4796" t="inlineStr">
        <is>
          <t>C11339</t>
        </is>
      </c>
      <c r="D4796" t="inlineStr">
        <is>
          <t>SKU-10334</t>
        </is>
      </c>
      <c r="E4796" t="inlineStr">
        <is>
          <t>AM03</t>
        </is>
      </c>
      <c r="F4796" s="5" t="n">
        <v>257.97</v>
      </c>
      <c r="G4796">
        <f>IF(LEFT(B4796,1)="C","Credit","Factuur")</f>
        <v/>
      </c>
      <c r="H4796">
        <f>IF(AND(B4796=B4795,D4796=D4795,A4796=A4795,F4796=F4795),1,0)</f>
        <v/>
      </c>
      <c r="I4796">
        <f>IF(C4796="C99999",1,0)</f>
        <v/>
      </c>
      <c r="J4796" s="5">
        <f>IF(OR(H4796=1,I4796=1),0,IF(G4796="Credit",-F4796,F4796))</f>
        <v/>
      </c>
    </row>
    <row r="4797">
      <c r="A4797" t="inlineStr">
        <is>
          <t>2026-08-14</t>
        </is>
      </c>
      <c r="B4797" t="inlineStr">
        <is>
          <t>F285627</t>
        </is>
      </c>
      <c r="C4797" t="inlineStr">
        <is>
          <t>C11339</t>
        </is>
      </c>
      <c r="D4797" t="inlineStr">
        <is>
          <t>SKU-10337</t>
        </is>
      </c>
      <c r="E4797" t="inlineStr">
        <is>
          <t>AM03</t>
        </is>
      </c>
      <c r="F4797" s="5" t="n">
        <v>284.05</v>
      </c>
      <c r="G4797">
        <f>IF(LEFT(B4797,1)="C","Credit","Factuur")</f>
        <v/>
      </c>
      <c r="H4797">
        <f>IF(AND(B4797=B4796,D4797=D4796,A4797=A4796,F4797=F4796),1,0)</f>
        <v/>
      </c>
      <c r="I4797">
        <f>IF(C4797="C99999",1,0)</f>
        <v/>
      </c>
      <c r="J4797" s="5">
        <f>IF(OR(H4797=1,I4797=1),0,IF(G4797="Credit",-F4797,F4797))</f>
        <v/>
      </c>
    </row>
    <row r="4798">
      <c r="A4798" t="inlineStr">
        <is>
          <t>2026-08-14</t>
        </is>
      </c>
      <c r="B4798" t="inlineStr">
        <is>
          <t>F285627</t>
        </is>
      </c>
      <c r="C4798" t="inlineStr">
        <is>
          <t>C11339</t>
        </is>
      </c>
      <c r="D4798" t="inlineStr">
        <is>
          <t>SKU-10337</t>
        </is>
      </c>
      <c r="E4798" t="inlineStr">
        <is>
          <t>AM03</t>
        </is>
      </c>
      <c r="F4798" s="5" t="n">
        <v>284.05</v>
      </c>
      <c r="G4798">
        <f>IF(LEFT(B4798,1)="C","Credit","Factuur")</f>
        <v/>
      </c>
      <c r="H4798">
        <f>IF(AND(B4798=B4797,D4798=D4797,A4798=A4797,F4798=F4797),1,0)</f>
        <v/>
      </c>
      <c r="I4798">
        <f>IF(C4798="C99999",1,0)</f>
        <v/>
      </c>
      <c r="J4798" s="5">
        <f>IF(OR(H4798=1,I4798=1),0,IF(G4798="Credit",-F4798,F4798))</f>
        <v/>
      </c>
    </row>
    <row r="4799">
      <c r="A4799" t="inlineStr">
        <is>
          <t>2026-08-14</t>
        </is>
      </c>
      <c r="B4799" t="inlineStr">
        <is>
          <t>F286290</t>
        </is>
      </c>
      <c r="C4799" t="inlineStr">
        <is>
          <t>C11375</t>
        </is>
      </c>
      <c r="D4799" t="inlineStr">
        <is>
          <t>SKU-10154</t>
        </is>
      </c>
      <c r="E4799" t="inlineStr">
        <is>
          <t>AM09</t>
        </is>
      </c>
      <c r="F4799" s="5" t="n">
        <v>1498.77</v>
      </c>
      <c r="G4799">
        <f>IF(LEFT(B4799,1)="C","Credit","Factuur")</f>
        <v/>
      </c>
      <c r="H4799">
        <f>IF(AND(B4799=B4798,D4799=D4798,A4799=A4798,F4799=F4798),1,0)</f>
        <v/>
      </c>
      <c r="I4799">
        <f>IF(C4799="C99999",1,0)</f>
        <v/>
      </c>
      <c r="J4799" s="5">
        <f>IF(OR(H4799=1,I4799=1),0,IF(G4799="Credit",-F4799,F4799))</f>
        <v/>
      </c>
    </row>
    <row r="4800">
      <c r="A4800" t="inlineStr">
        <is>
          <t>2026-08-14</t>
        </is>
      </c>
      <c r="B4800" t="inlineStr">
        <is>
          <t>F286290</t>
        </is>
      </c>
      <c r="C4800" t="inlineStr">
        <is>
          <t>C11375</t>
        </is>
      </c>
      <c r="D4800" t="inlineStr">
        <is>
          <t>SKU-10154</t>
        </is>
      </c>
      <c r="E4800" t="inlineStr">
        <is>
          <t>AM09</t>
        </is>
      </c>
      <c r="F4800" s="5" t="n">
        <v>1498.77</v>
      </c>
      <c r="G4800">
        <f>IF(LEFT(B4800,1)="C","Credit","Factuur")</f>
        <v/>
      </c>
      <c r="H4800">
        <f>IF(AND(B4800=B4799,D4800=D4799,A4800=A4799,F4800=F4799),1,0)</f>
        <v/>
      </c>
      <c r="I4800">
        <f>IF(C4800="C99999",1,0)</f>
        <v/>
      </c>
      <c r="J4800" s="5">
        <f>IF(OR(H4800=1,I4800=1),0,IF(G4800="Credit",-F4800,F4800))</f>
        <v/>
      </c>
    </row>
    <row r="4801">
      <c r="A4801" t="inlineStr">
        <is>
          <t>2026-08-16</t>
        </is>
      </c>
      <c r="B4801" t="inlineStr">
        <is>
          <t>C900071</t>
        </is>
      </c>
      <c r="C4801" t="inlineStr">
        <is>
          <t>C10271</t>
        </is>
      </c>
      <c r="D4801" t="inlineStr">
        <is>
          <t>SKU-10347</t>
        </is>
      </c>
      <c r="E4801" t="inlineStr">
        <is>
          <t>AM02</t>
        </is>
      </c>
      <c r="F4801" s="5" t="n">
        <v>464.92</v>
      </c>
      <c r="G4801">
        <f>IF(LEFT(B4801,1)="C","Credit","Factuur")</f>
        <v/>
      </c>
      <c r="H4801">
        <f>IF(AND(B4801=B4800,D4801=D4800,A4801=A4800,F4801=F4800),1,0)</f>
        <v/>
      </c>
      <c r="I4801">
        <f>IF(C4801="C99999",1,0)</f>
        <v/>
      </c>
      <c r="J4801" s="5">
        <f>IF(OR(H4801=1,I4801=1),0,IF(G4801="Credit",-F4801,F4801))</f>
        <v/>
      </c>
    </row>
    <row r="4802">
      <c r="A4802" t="inlineStr">
        <is>
          <t>2026-08-17</t>
        </is>
      </c>
      <c r="B4802" t="inlineStr">
        <is>
          <t>C900127</t>
        </is>
      </c>
      <c r="C4802" t="inlineStr">
        <is>
          <t>C10933</t>
        </is>
      </c>
      <c r="D4802" t="inlineStr">
        <is>
          <t>SKU-10209</t>
        </is>
      </c>
      <c r="E4802" t="inlineStr">
        <is>
          <t>AM02</t>
        </is>
      </c>
      <c r="F4802" s="5" t="n">
        <v>542.72</v>
      </c>
      <c r="G4802">
        <f>IF(LEFT(B4802,1)="C","Credit","Factuur")</f>
        <v/>
      </c>
      <c r="H4802">
        <f>IF(AND(B4802=B4801,D4802=D4801,A4802=A4801,F4802=F4801),1,0)</f>
        <v/>
      </c>
      <c r="I4802">
        <f>IF(C4802="C99999",1,0)</f>
        <v/>
      </c>
      <c r="J4802" s="5">
        <f>IF(OR(H4802=1,I4802=1),0,IF(G4802="Credit",-F4802,F4802))</f>
        <v/>
      </c>
    </row>
    <row r="4803">
      <c r="A4803" t="inlineStr">
        <is>
          <t>2026-08-17</t>
        </is>
      </c>
      <c r="B4803" t="inlineStr">
        <is>
          <t>C900545</t>
        </is>
      </c>
      <c r="C4803" t="inlineStr">
        <is>
          <t>C10407</t>
        </is>
      </c>
      <c r="D4803" t="inlineStr">
        <is>
          <t>SKU-10327</t>
        </is>
      </c>
      <c r="E4803" t="inlineStr">
        <is>
          <t>AM12</t>
        </is>
      </c>
      <c r="F4803" s="5" t="n">
        <v>241.92</v>
      </c>
      <c r="G4803">
        <f>IF(LEFT(B4803,1)="C","Credit","Factuur")</f>
        <v/>
      </c>
      <c r="H4803">
        <f>IF(AND(B4803=B4802,D4803=D4802,A4803=A4802,F4803=F4802),1,0)</f>
        <v/>
      </c>
      <c r="I4803">
        <f>IF(C4803="C99999",1,0)</f>
        <v/>
      </c>
      <c r="J4803" s="5">
        <f>IF(OR(H4803=1,I4803=1),0,IF(G4803="Credit",-F4803,F4803))</f>
        <v/>
      </c>
    </row>
    <row r="4804">
      <c r="A4804" t="inlineStr">
        <is>
          <t>2026-08-17</t>
        </is>
      </c>
      <c r="B4804" t="inlineStr">
        <is>
          <t>C900899</t>
        </is>
      </c>
      <c r="C4804" t="inlineStr">
        <is>
          <t>C10324</t>
        </is>
      </c>
      <c r="D4804" t="inlineStr">
        <is>
          <t>SKU-10062</t>
        </is>
      </c>
      <c r="E4804" t="inlineStr">
        <is>
          <t>AM08</t>
        </is>
      </c>
      <c r="F4804" s="5" t="n">
        <v>454.96</v>
      </c>
      <c r="G4804">
        <f>IF(LEFT(B4804,1)="C","Credit","Factuur")</f>
        <v/>
      </c>
      <c r="H4804">
        <f>IF(AND(B4804=B4803,D4804=D4803,A4804=A4803,F4804=F4803),1,0)</f>
        <v/>
      </c>
      <c r="I4804">
        <f>IF(C4804="C99999",1,0)</f>
        <v/>
      </c>
      <c r="J4804" s="5">
        <f>IF(OR(H4804=1,I4804=1),0,IF(G4804="Credit",-F4804,F4804))</f>
        <v/>
      </c>
    </row>
    <row r="4805">
      <c r="A4805" t="inlineStr">
        <is>
          <t>2026-08-17</t>
        </is>
      </c>
      <c r="B4805" t="inlineStr">
        <is>
          <t>C900933</t>
        </is>
      </c>
      <c r="C4805" t="inlineStr">
        <is>
          <t>C10220</t>
        </is>
      </c>
      <c r="D4805" t="inlineStr">
        <is>
          <t>SKU-10176</t>
        </is>
      </c>
      <c r="E4805" t="inlineStr">
        <is>
          <t>AM07</t>
        </is>
      </c>
      <c r="F4805" s="5" t="n">
        <v>769.1</v>
      </c>
      <c r="G4805">
        <f>IF(LEFT(B4805,1)="C","Credit","Factuur")</f>
        <v/>
      </c>
      <c r="H4805">
        <f>IF(AND(B4805=B4804,D4805=D4804,A4805=A4804,F4805=F4804),1,0)</f>
        <v/>
      </c>
      <c r="I4805">
        <f>IF(C4805="C99999",1,0)</f>
        <v/>
      </c>
      <c r="J4805" s="5">
        <f>IF(OR(H4805=1,I4805=1),0,IF(G4805="Credit",-F4805,F4805))</f>
        <v/>
      </c>
    </row>
    <row r="4806">
      <c r="A4806" t="inlineStr">
        <is>
          <t>2026-08-17</t>
        </is>
      </c>
      <c r="B4806" t="inlineStr">
        <is>
          <t>C901332</t>
        </is>
      </c>
      <c r="C4806" t="inlineStr">
        <is>
          <t>C11107</t>
        </is>
      </c>
      <c r="D4806" t="inlineStr">
        <is>
          <t>SKU-10068</t>
        </is>
      </c>
      <c r="E4806" t="inlineStr">
        <is>
          <t>AM07</t>
        </is>
      </c>
      <c r="F4806" s="5" t="n">
        <v>20.69</v>
      </c>
      <c r="G4806">
        <f>IF(LEFT(B4806,1)="C","Credit","Factuur")</f>
        <v/>
      </c>
      <c r="H4806">
        <f>IF(AND(B4806=B4805,D4806=D4805,A4806=A4805,F4806=F4805),1,0)</f>
        <v/>
      </c>
      <c r="I4806">
        <f>IF(C4806="C99999",1,0)</f>
        <v/>
      </c>
      <c r="J4806" s="5">
        <f>IF(OR(H4806=1,I4806=1),0,IF(G4806="Credit",-F4806,F4806))</f>
        <v/>
      </c>
    </row>
    <row r="4807">
      <c r="A4807" t="inlineStr">
        <is>
          <t>2026-08-17</t>
        </is>
      </c>
      <c r="B4807" t="inlineStr">
        <is>
          <t>C901459</t>
        </is>
      </c>
      <c r="C4807" t="inlineStr">
        <is>
          <t>C11364</t>
        </is>
      </c>
      <c r="D4807" t="inlineStr">
        <is>
          <t>SKU-10109</t>
        </is>
      </c>
      <c r="E4807" t="inlineStr">
        <is>
          <t>AM09</t>
        </is>
      </c>
      <c r="F4807" s="5" t="n">
        <v>47.95</v>
      </c>
      <c r="G4807">
        <f>IF(LEFT(B4807,1)="C","Credit","Factuur")</f>
        <v/>
      </c>
      <c r="H4807">
        <f>IF(AND(B4807=B4806,D4807=D4806,A4807=A4806,F4807=F4806),1,0)</f>
        <v/>
      </c>
      <c r="I4807">
        <f>IF(C4807="C99999",1,0)</f>
        <v/>
      </c>
      <c r="J4807" s="5">
        <f>IF(OR(H4807=1,I4807=1),0,IF(G4807="Credit",-F4807,F4807))</f>
        <v/>
      </c>
    </row>
    <row r="4808">
      <c r="A4808" t="inlineStr">
        <is>
          <t>2026-08-17</t>
        </is>
      </c>
      <c r="B4808" t="inlineStr">
        <is>
          <t>F260117</t>
        </is>
      </c>
      <c r="C4808" t="inlineStr">
        <is>
          <t>C10007</t>
        </is>
      </c>
      <c r="D4808" t="inlineStr">
        <is>
          <t>SKU-10009</t>
        </is>
      </c>
      <c r="E4808" t="inlineStr">
        <is>
          <t>AM12</t>
        </is>
      </c>
      <c r="F4808" s="5" t="n">
        <v>68.26000000000001</v>
      </c>
      <c r="G4808">
        <f>IF(LEFT(B4808,1)="C","Credit","Factuur")</f>
        <v/>
      </c>
      <c r="H4808">
        <f>IF(AND(B4808=B4807,D4808=D4807,A4808=A4807,F4808=F4807),1,0)</f>
        <v/>
      </c>
      <c r="I4808">
        <f>IF(C4808="C99999",1,0)</f>
        <v/>
      </c>
      <c r="J4808" s="5">
        <f>IF(OR(H4808=1,I4808=1),0,IF(G4808="Credit",-F4808,F4808))</f>
        <v/>
      </c>
    </row>
    <row r="4809">
      <c r="A4809" t="inlineStr">
        <is>
          <t>2026-08-17</t>
        </is>
      </c>
      <c r="B4809" t="inlineStr">
        <is>
          <t>F260117</t>
        </is>
      </c>
      <c r="C4809" t="inlineStr">
        <is>
          <t>C10007</t>
        </is>
      </c>
      <c r="D4809" t="inlineStr">
        <is>
          <t>SKU-10201</t>
        </is>
      </c>
      <c r="E4809" t="inlineStr">
        <is>
          <t>AM12</t>
        </is>
      </c>
      <c r="F4809" s="5" t="n">
        <v>79.92</v>
      </c>
      <c r="G4809">
        <f>IF(LEFT(B4809,1)="C","Credit","Factuur")</f>
        <v/>
      </c>
      <c r="H4809">
        <f>IF(AND(B4809=B4808,D4809=D4808,A4809=A4808,F4809=F4808),1,0)</f>
        <v/>
      </c>
      <c r="I4809">
        <f>IF(C4809="C99999",1,0)</f>
        <v/>
      </c>
      <c r="J4809" s="5">
        <f>IF(OR(H4809=1,I4809=1),0,IF(G4809="Credit",-F4809,F4809))</f>
        <v/>
      </c>
    </row>
    <row r="4810">
      <c r="A4810" t="inlineStr">
        <is>
          <t>2026-08-17</t>
        </is>
      </c>
      <c r="B4810" t="inlineStr">
        <is>
          <t>F260117</t>
        </is>
      </c>
      <c r="C4810" t="inlineStr">
        <is>
          <t>C10007</t>
        </is>
      </c>
      <c r="D4810" t="inlineStr">
        <is>
          <t>SKU-10245</t>
        </is>
      </c>
      <c r="E4810" t="inlineStr">
        <is>
          <t>AM12</t>
        </is>
      </c>
      <c r="F4810" s="5" t="n">
        <v>76</v>
      </c>
      <c r="G4810">
        <f>IF(LEFT(B4810,1)="C","Credit","Factuur")</f>
        <v/>
      </c>
      <c r="H4810">
        <f>IF(AND(B4810=B4809,D4810=D4809,A4810=A4809,F4810=F4809),1,0)</f>
        <v/>
      </c>
      <c r="I4810">
        <f>IF(C4810="C99999",1,0)</f>
        <v/>
      </c>
      <c r="J4810" s="5">
        <f>IF(OR(H4810=1,I4810=1),0,IF(G4810="Credit",-F4810,F4810))</f>
        <v/>
      </c>
    </row>
    <row r="4811">
      <c r="A4811" t="inlineStr">
        <is>
          <t>2026-08-17</t>
        </is>
      </c>
      <c r="B4811" t="inlineStr">
        <is>
          <t>F263208</t>
        </is>
      </c>
      <c r="C4811" t="inlineStr">
        <is>
          <t>C10171</t>
        </is>
      </c>
      <c r="D4811" t="inlineStr">
        <is>
          <t>SKU-10323</t>
        </is>
      </c>
      <c r="E4811" t="inlineStr"/>
      <c r="F4811" s="5" t="n">
        <v>317.7</v>
      </c>
      <c r="G4811">
        <f>IF(LEFT(B4811,1)="C","Credit","Factuur")</f>
        <v/>
      </c>
      <c r="H4811">
        <f>IF(AND(B4811=B4810,D4811=D4810,A4811=A4810,F4811=F4810),1,0)</f>
        <v/>
      </c>
      <c r="I4811">
        <f>IF(C4811="C99999",1,0)</f>
        <v/>
      </c>
      <c r="J4811" s="5">
        <f>IF(OR(H4811=1,I4811=1),0,IF(G4811="Credit",-F4811,F4811))</f>
        <v/>
      </c>
    </row>
    <row r="4812">
      <c r="A4812" t="inlineStr">
        <is>
          <t>2026-08-17</t>
        </is>
      </c>
      <c r="B4812" t="inlineStr">
        <is>
          <t>F263463</t>
        </is>
      </c>
      <c r="C4812" t="inlineStr">
        <is>
          <t>C10186</t>
        </is>
      </c>
      <c r="D4812" t="inlineStr">
        <is>
          <t>SKU-10016</t>
        </is>
      </c>
      <c r="E4812" t="inlineStr"/>
      <c r="F4812" s="5" t="n">
        <v>498.42</v>
      </c>
      <c r="G4812">
        <f>IF(LEFT(B4812,1)="C","Credit","Factuur")</f>
        <v/>
      </c>
      <c r="H4812">
        <f>IF(AND(B4812=B4811,D4812=D4811,A4812=A4811,F4812=F4811),1,0)</f>
        <v/>
      </c>
      <c r="I4812">
        <f>IF(C4812="C99999",1,0)</f>
        <v/>
      </c>
      <c r="J4812" s="5">
        <f>IF(OR(H4812=1,I4812=1),0,IF(G4812="Credit",-F4812,F4812))</f>
        <v/>
      </c>
    </row>
    <row r="4813">
      <c r="A4813" t="inlineStr">
        <is>
          <t>2026-08-17</t>
        </is>
      </c>
      <c r="B4813" t="inlineStr">
        <is>
          <t>F263463</t>
        </is>
      </c>
      <c r="C4813" t="inlineStr">
        <is>
          <t>C10186</t>
        </is>
      </c>
      <c r="D4813" t="inlineStr">
        <is>
          <t>SKU-10042</t>
        </is>
      </c>
      <c r="E4813" t="inlineStr">
        <is>
          <t>AM11</t>
        </is>
      </c>
      <c r="F4813" s="5" t="n">
        <v>498.47</v>
      </c>
      <c r="G4813">
        <f>IF(LEFT(B4813,1)="C","Credit","Factuur")</f>
        <v/>
      </c>
      <c r="H4813">
        <f>IF(AND(B4813=B4812,D4813=D4812,A4813=A4812,F4813=F4812),1,0)</f>
        <v/>
      </c>
      <c r="I4813">
        <f>IF(C4813="C99999",1,0)</f>
        <v/>
      </c>
      <c r="J4813" s="5">
        <f>IF(OR(H4813=1,I4813=1),0,IF(G4813="Credit",-F4813,F4813))</f>
        <v/>
      </c>
    </row>
    <row r="4814">
      <c r="A4814" t="inlineStr">
        <is>
          <t>2026-08-17</t>
        </is>
      </c>
      <c r="B4814" t="inlineStr">
        <is>
          <t>F263463</t>
        </is>
      </c>
      <c r="C4814" t="inlineStr">
        <is>
          <t>C10186</t>
        </is>
      </c>
      <c r="D4814" t="inlineStr">
        <is>
          <t>SKU-10144</t>
        </is>
      </c>
      <c r="E4814" t="inlineStr">
        <is>
          <t>AM11</t>
        </is>
      </c>
      <c r="F4814" s="5" t="n">
        <v>592.1</v>
      </c>
      <c r="G4814">
        <f>IF(LEFT(B4814,1)="C","Credit","Factuur")</f>
        <v/>
      </c>
      <c r="H4814">
        <f>IF(AND(B4814=B4813,D4814=D4813,A4814=A4813,F4814=F4813),1,0)</f>
        <v/>
      </c>
      <c r="I4814">
        <f>IF(C4814="C99999",1,0)</f>
        <v/>
      </c>
      <c r="J4814" s="5">
        <f>IF(OR(H4814=1,I4814=1),0,IF(G4814="Credit",-F4814,F4814))</f>
        <v/>
      </c>
    </row>
    <row r="4815">
      <c r="A4815" t="inlineStr">
        <is>
          <t>2026-08-17</t>
        </is>
      </c>
      <c r="B4815" t="inlineStr">
        <is>
          <t>F263535</t>
        </is>
      </c>
      <c r="C4815" t="inlineStr">
        <is>
          <t>C10190</t>
        </is>
      </c>
      <c r="D4815" t="inlineStr">
        <is>
          <t>SKU-10154</t>
        </is>
      </c>
      <c r="E4815" t="inlineStr">
        <is>
          <t>AM03</t>
        </is>
      </c>
      <c r="F4815" s="5" t="n">
        <v>565.11</v>
      </c>
      <c r="G4815">
        <f>IF(LEFT(B4815,1)="C","Credit","Factuur")</f>
        <v/>
      </c>
      <c r="H4815">
        <f>IF(AND(B4815=B4814,D4815=D4814,A4815=A4814,F4815=F4814),1,0)</f>
        <v/>
      </c>
      <c r="I4815">
        <f>IF(C4815="C99999",1,0)</f>
        <v/>
      </c>
      <c r="J4815" s="5">
        <f>IF(OR(H4815=1,I4815=1),0,IF(G4815="Credit",-F4815,F4815))</f>
        <v/>
      </c>
    </row>
    <row r="4816">
      <c r="A4816" t="inlineStr">
        <is>
          <t>2026-08-17</t>
        </is>
      </c>
      <c r="B4816" t="inlineStr">
        <is>
          <t>F263535</t>
        </is>
      </c>
      <c r="C4816" t="inlineStr">
        <is>
          <t>C10190</t>
        </is>
      </c>
      <c r="D4816" t="inlineStr">
        <is>
          <t>SKU-10163</t>
        </is>
      </c>
      <c r="E4816" t="inlineStr">
        <is>
          <t>AM03</t>
        </is>
      </c>
      <c r="F4816" s="5" t="n">
        <v>554.04</v>
      </c>
      <c r="G4816">
        <f>IF(LEFT(B4816,1)="C","Credit","Factuur")</f>
        <v/>
      </c>
      <c r="H4816">
        <f>IF(AND(B4816=B4815,D4816=D4815,A4816=A4815,F4816=F4815),1,0)</f>
        <v/>
      </c>
      <c r="I4816">
        <f>IF(C4816="C99999",1,0)</f>
        <v/>
      </c>
      <c r="J4816" s="5">
        <f>IF(OR(H4816=1,I4816=1),0,IF(G4816="Credit",-F4816,F4816))</f>
        <v/>
      </c>
    </row>
    <row r="4817">
      <c r="A4817" t="inlineStr">
        <is>
          <t>2026-08-17</t>
        </is>
      </c>
      <c r="B4817" t="inlineStr">
        <is>
          <t>F265245</t>
        </is>
      </c>
      <c r="C4817" t="inlineStr">
        <is>
          <t>C10278</t>
        </is>
      </c>
      <c r="D4817" t="inlineStr">
        <is>
          <t>SKU-10078</t>
        </is>
      </c>
      <c r="E4817" t="inlineStr"/>
      <c r="F4817" s="5" t="n">
        <v>130.44</v>
      </c>
      <c r="G4817">
        <f>IF(LEFT(B4817,1)="C","Credit","Factuur")</f>
        <v/>
      </c>
      <c r="H4817">
        <f>IF(AND(B4817=B4816,D4817=D4816,A4817=A4816,F4817=F4816),1,0)</f>
        <v/>
      </c>
      <c r="I4817">
        <f>IF(C4817="C99999",1,0)</f>
        <v/>
      </c>
      <c r="J4817" s="5">
        <f>IF(OR(H4817=1,I4817=1),0,IF(G4817="Credit",-F4817,F4817))</f>
        <v/>
      </c>
    </row>
    <row r="4818">
      <c r="A4818" t="inlineStr">
        <is>
          <t>2026-08-17</t>
        </is>
      </c>
      <c r="B4818" t="inlineStr">
        <is>
          <t>F265245</t>
        </is>
      </c>
      <c r="C4818" t="inlineStr">
        <is>
          <t>C10278</t>
        </is>
      </c>
      <c r="D4818" t="inlineStr">
        <is>
          <t>SKU-10102</t>
        </is>
      </c>
      <c r="E4818" t="inlineStr">
        <is>
          <t>AM07</t>
        </is>
      </c>
      <c r="F4818" s="5" t="n">
        <v>86.23999999999999</v>
      </c>
      <c r="G4818">
        <f>IF(LEFT(B4818,1)="C","Credit","Factuur")</f>
        <v/>
      </c>
      <c r="H4818">
        <f>IF(AND(B4818=B4817,D4818=D4817,A4818=A4817,F4818=F4817),1,0)</f>
        <v/>
      </c>
      <c r="I4818">
        <f>IF(C4818="C99999",1,0)</f>
        <v/>
      </c>
      <c r="J4818" s="5">
        <f>IF(OR(H4818=1,I4818=1),0,IF(G4818="Credit",-F4818,F4818))</f>
        <v/>
      </c>
    </row>
    <row r="4819">
      <c r="A4819" t="inlineStr">
        <is>
          <t>2026-08-17</t>
        </is>
      </c>
      <c r="B4819" t="inlineStr">
        <is>
          <t>F265245</t>
        </is>
      </c>
      <c r="C4819" t="inlineStr">
        <is>
          <t>C10278</t>
        </is>
      </c>
      <c r="D4819" t="inlineStr">
        <is>
          <t>SKU-10151</t>
        </is>
      </c>
      <c r="E4819" t="inlineStr">
        <is>
          <t>AM07</t>
        </is>
      </c>
      <c r="F4819" s="5" t="n">
        <v>130.47</v>
      </c>
      <c r="G4819">
        <f>IF(LEFT(B4819,1)="C","Credit","Factuur")</f>
        <v/>
      </c>
      <c r="H4819">
        <f>IF(AND(B4819=B4818,D4819=D4818,A4819=A4818,F4819=F4818),1,0)</f>
        <v/>
      </c>
      <c r="I4819">
        <f>IF(C4819="C99999",1,0)</f>
        <v/>
      </c>
      <c r="J4819" s="5">
        <f>IF(OR(H4819=1,I4819=1),0,IF(G4819="Credit",-F4819,F4819))</f>
        <v/>
      </c>
    </row>
    <row r="4820">
      <c r="A4820" t="inlineStr">
        <is>
          <t>2026-08-17</t>
        </is>
      </c>
      <c r="B4820" t="inlineStr">
        <is>
          <t>F265294</t>
        </is>
      </c>
      <c r="C4820" t="inlineStr">
        <is>
          <t>C10280</t>
        </is>
      </c>
      <c r="D4820" t="inlineStr">
        <is>
          <t>SKU-10004</t>
        </is>
      </c>
      <c r="E4820" t="inlineStr">
        <is>
          <t>AM09</t>
        </is>
      </c>
      <c r="F4820" s="5" t="n">
        <v>3116.76</v>
      </c>
      <c r="G4820">
        <f>IF(LEFT(B4820,1)="C","Credit","Factuur")</f>
        <v/>
      </c>
      <c r="H4820">
        <f>IF(AND(B4820=B4819,D4820=D4819,A4820=A4819,F4820=F4819),1,0)</f>
        <v/>
      </c>
      <c r="I4820">
        <f>IF(C4820="C99999",1,0)</f>
        <v/>
      </c>
      <c r="J4820" s="5">
        <f>IF(OR(H4820=1,I4820=1),0,IF(G4820="Credit",-F4820,F4820))</f>
        <v/>
      </c>
    </row>
    <row r="4821">
      <c r="A4821" t="inlineStr">
        <is>
          <t>2026-08-17</t>
        </is>
      </c>
      <c r="B4821" t="inlineStr">
        <is>
          <t>F265294</t>
        </is>
      </c>
      <c r="C4821" t="inlineStr">
        <is>
          <t>C10280</t>
        </is>
      </c>
      <c r="D4821" t="inlineStr">
        <is>
          <t>SKU-10028</t>
        </is>
      </c>
      <c r="E4821" t="inlineStr">
        <is>
          <t>AM09</t>
        </is>
      </c>
      <c r="F4821" s="5" t="n">
        <v>3099.47</v>
      </c>
      <c r="G4821">
        <f>IF(LEFT(B4821,1)="C","Credit","Factuur")</f>
        <v/>
      </c>
      <c r="H4821">
        <f>IF(AND(B4821=B4820,D4821=D4820,A4821=A4820,F4821=F4820),1,0)</f>
        <v/>
      </c>
      <c r="I4821">
        <f>IF(C4821="C99999",1,0)</f>
        <v/>
      </c>
      <c r="J4821" s="5">
        <f>IF(OR(H4821=1,I4821=1),0,IF(G4821="Credit",-F4821,F4821))</f>
        <v/>
      </c>
    </row>
    <row r="4822">
      <c r="A4822" t="inlineStr">
        <is>
          <t>2026-08-17</t>
        </is>
      </c>
      <c r="B4822" t="inlineStr">
        <is>
          <t>F265294</t>
        </is>
      </c>
      <c r="C4822" t="inlineStr">
        <is>
          <t>C10280</t>
        </is>
      </c>
      <c r="D4822" t="inlineStr">
        <is>
          <t>SKU-10296</t>
        </is>
      </c>
      <c r="E4822" t="inlineStr">
        <is>
          <t>AM09</t>
        </is>
      </c>
      <c r="F4822" s="5" t="n">
        <v>3664.6</v>
      </c>
      <c r="G4822">
        <f>IF(LEFT(B4822,1)="C","Credit","Factuur")</f>
        <v/>
      </c>
      <c r="H4822">
        <f>IF(AND(B4822=B4821,D4822=D4821,A4822=A4821,F4822=F4821),1,0)</f>
        <v/>
      </c>
      <c r="I4822">
        <f>IF(C4822="C99999",1,0)</f>
        <v/>
      </c>
      <c r="J4822" s="5">
        <f>IF(OR(H4822=1,I4822=1),0,IF(G4822="Credit",-F4822,F4822))</f>
        <v/>
      </c>
    </row>
    <row r="4823">
      <c r="A4823" t="inlineStr">
        <is>
          <t>2026-08-17</t>
        </is>
      </c>
      <c r="B4823" t="inlineStr">
        <is>
          <t>F265672</t>
        </is>
      </c>
      <c r="C4823" t="inlineStr">
        <is>
          <t>C10297</t>
        </is>
      </c>
      <c r="D4823" t="inlineStr">
        <is>
          <t>SKU-10084</t>
        </is>
      </c>
      <c r="E4823" t="inlineStr">
        <is>
          <t>AM08</t>
        </is>
      </c>
      <c r="F4823" s="5" t="n">
        <v>1120.9</v>
      </c>
      <c r="G4823">
        <f>IF(LEFT(B4823,1)="C","Credit","Factuur")</f>
        <v/>
      </c>
      <c r="H4823">
        <f>IF(AND(B4823=B4822,D4823=D4822,A4823=A4822,F4823=F4822),1,0)</f>
        <v/>
      </c>
      <c r="I4823">
        <f>IF(C4823="C99999",1,0)</f>
        <v/>
      </c>
      <c r="J4823" s="5">
        <f>IF(OR(H4823=1,I4823=1),0,IF(G4823="Credit",-F4823,F4823))</f>
        <v/>
      </c>
    </row>
    <row r="4824">
      <c r="A4824" t="inlineStr">
        <is>
          <t>2026-08-17</t>
        </is>
      </c>
      <c r="B4824" t="inlineStr">
        <is>
          <t>F265672</t>
        </is>
      </c>
      <c r="C4824" t="inlineStr">
        <is>
          <t>C10297</t>
        </is>
      </c>
      <c r="D4824" t="inlineStr">
        <is>
          <t>SKU-10321</t>
        </is>
      </c>
      <c r="E4824" t="inlineStr">
        <is>
          <t>AM08</t>
        </is>
      </c>
      <c r="F4824" s="5" t="n">
        <v>1122.63</v>
      </c>
      <c r="G4824">
        <f>IF(LEFT(B4824,1)="C","Credit","Factuur")</f>
        <v/>
      </c>
      <c r="H4824">
        <f>IF(AND(B4824=B4823,D4824=D4823,A4824=A4823,F4824=F4823),1,0)</f>
        <v/>
      </c>
      <c r="I4824">
        <f>IF(C4824="C99999",1,0)</f>
        <v/>
      </c>
      <c r="J4824" s="5">
        <f>IF(OR(H4824=1,I4824=1),0,IF(G4824="Credit",-F4824,F4824))</f>
        <v/>
      </c>
    </row>
    <row r="4825">
      <c r="A4825" t="inlineStr">
        <is>
          <t>2026-08-17</t>
        </is>
      </c>
      <c r="B4825" t="inlineStr">
        <is>
          <t>F265672</t>
        </is>
      </c>
      <c r="C4825" t="inlineStr">
        <is>
          <t>C10297</t>
        </is>
      </c>
      <c r="D4825" t="inlineStr">
        <is>
          <t>SKU-10339</t>
        </is>
      </c>
      <c r="E4825" t="inlineStr">
        <is>
          <t>AM08</t>
        </is>
      </c>
      <c r="F4825" s="5" t="n">
        <v>1128.75</v>
      </c>
      <c r="G4825">
        <f>IF(LEFT(B4825,1)="C","Credit","Factuur")</f>
        <v/>
      </c>
      <c r="H4825">
        <f>IF(AND(B4825=B4824,D4825=D4824,A4825=A4824,F4825=F4824),1,0)</f>
        <v/>
      </c>
      <c r="I4825">
        <f>IF(C4825="C99999",1,0)</f>
        <v/>
      </c>
      <c r="J4825" s="5">
        <f>IF(OR(H4825=1,I4825=1),0,IF(G4825="Credit",-F4825,F4825))</f>
        <v/>
      </c>
    </row>
    <row r="4826">
      <c r="A4826" t="inlineStr">
        <is>
          <t>2026-08-17</t>
        </is>
      </c>
      <c r="B4826" t="inlineStr">
        <is>
          <t>F267193</t>
        </is>
      </c>
      <c r="C4826" t="inlineStr">
        <is>
          <t>C10382</t>
        </is>
      </c>
      <c r="D4826" t="inlineStr">
        <is>
          <t>SKU-10061</t>
        </is>
      </c>
      <c r="E4826" t="inlineStr">
        <is>
          <t>AM08</t>
        </is>
      </c>
      <c r="F4826" s="5" t="n">
        <v>71.81999999999999</v>
      </c>
      <c r="G4826">
        <f>IF(LEFT(B4826,1)="C","Credit","Factuur")</f>
        <v/>
      </c>
      <c r="H4826">
        <f>IF(AND(B4826=B4825,D4826=D4825,A4826=A4825,F4826=F4825),1,0)</f>
        <v/>
      </c>
      <c r="I4826">
        <f>IF(C4826="C99999",1,0)</f>
        <v/>
      </c>
      <c r="J4826" s="5">
        <f>IF(OR(H4826=1,I4826=1),0,IF(G4826="Credit",-F4826,F4826))</f>
        <v/>
      </c>
    </row>
    <row r="4827">
      <c r="A4827" t="inlineStr">
        <is>
          <t>2026-08-17</t>
        </is>
      </c>
      <c r="B4827" t="inlineStr">
        <is>
          <t>F267193</t>
        </is>
      </c>
      <c r="C4827" t="inlineStr">
        <is>
          <t>C10382</t>
        </is>
      </c>
      <c r="D4827" t="inlineStr">
        <is>
          <t>SKU-10085</t>
        </is>
      </c>
      <c r="E4827" t="inlineStr"/>
      <c r="F4827" s="5" t="n">
        <v>78.90000000000001</v>
      </c>
      <c r="G4827">
        <f>IF(LEFT(B4827,1)="C","Credit","Factuur")</f>
        <v/>
      </c>
      <c r="H4827">
        <f>IF(AND(B4827=B4826,D4827=D4826,A4827=A4826,F4827=F4826),1,0)</f>
        <v/>
      </c>
      <c r="I4827">
        <f>IF(C4827="C99999",1,0)</f>
        <v/>
      </c>
      <c r="J4827" s="5">
        <f>IF(OR(H4827=1,I4827=1),0,IF(G4827="Credit",-F4827,F4827))</f>
        <v/>
      </c>
    </row>
    <row r="4828">
      <c r="A4828" t="inlineStr">
        <is>
          <t>2026-08-17</t>
        </is>
      </c>
      <c r="B4828" t="inlineStr">
        <is>
          <t>F267193</t>
        </is>
      </c>
      <c r="C4828" t="inlineStr">
        <is>
          <t>C10382</t>
        </is>
      </c>
      <c r="D4828" t="inlineStr">
        <is>
          <t>SKU-10168</t>
        </is>
      </c>
      <c r="E4828" t="inlineStr">
        <is>
          <t>AM08</t>
        </is>
      </c>
      <c r="F4828" s="5" t="n">
        <v>104.34</v>
      </c>
      <c r="G4828">
        <f>IF(LEFT(B4828,1)="C","Credit","Factuur")</f>
        <v/>
      </c>
      <c r="H4828">
        <f>IF(AND(B4828=B4827,D4828=D4827,A4828=A4827,F4828=F4827),1,0)</f>
        <v/>
      </c>
      <c r="I4828">
        <f>IF(C4828="C99999",1,0)</f>
        <v/>
      </c>
      <c r="J4828" s="5">
        <f>IF(OR(H4828=1,I4828=1),0,IF(G4828="Credit",-F4828,F4828))</f>
        <v/>
      </c>
    </row>
    <row r="4829">
      <c r="A4829" t="inlineStr">
        <is>
          <t>2026-08-17</t>
        </is>
      </c>
      <c r="B4829" t="inlineStr">
        <is>
          <t>F267193</t>
        </is>
      </c>
      <c r="C4829" t="inlineStr">
        <is>
          <t>C10382</t>
        </is>
      </c>
      <c r="D4829" t="inlineStr">
        <is>
          <t>SKU-10193</t>
        </is>
      </c>
      <c r="E4829" t="inlineStr">
        <is>
          <t>AM08</t>
        </is>
      </c>
      <c r="F4829" s="5" t="n">
        <v>81.31999999999999</v>
      </c>
      <c r="G4829">
        <f>IF(LEFT(B4829,1)="C","Credit","Factuur")</f>
        <v/>
      </c>
      <c r="H4829">
        <f>IF(AND(B4829=B4828,D4829=D4828,A4829=A4828,F4829=F4828),1,0)</f>
        <v/>
      </c>
      <c r="I4829">
        <f>IF(C4829="C99999",1,0)</f>
        <v/>
      </c>
      <c r="J4829" s="5">
        <f>IF(OR(H4829=1,I4829=1),0,IF(G4829="Credit",-F4829,F4829))</f>
        <v/>
      </c>
    </row>
    <row r="4830">
      <c r="A4830" t="inlineStr">
        <is>
          <t>2026-08-17</t>
        </is>
      </c>
      <c r="B4830" t="inlineStr">
        <is>
          <t>F267193</t>
        </is>
      </c>
      <c r="C4830" t="inlineStr">
        <is>
          <t>C10382</t>
        </is>
      </c>
      <c r="D4830" t="inlineStr">
        <is>
          <t>SKU-10321</t>
        </is>
      </c>
      <c r="E4830" t="inlineStr">
        <is>
          <t>AM08</t>
        </is>
      </c>
      <c r="F4830" s="5" t="n">
        <v>97.62</v>
      </c>
      <c r="G4830">
        <f>IF(LEFT(B4830,1)="C","Credit","Factuur")</f>
        <v/>
      </c>
      <c r="H4830">
        <f>IF(AND(B4830=B4829,D4830=D4829,A4830=A4829,F4830=F4829),1,0)</f>
        <v/>
      </c>
      <c r="I4830">
        <f>IF(C4830="C99999",1,0)</f>
        <v/>
      </c>
      <c r="J4830" s="5">
        <f>IF(OR(H4830=1,I4830=1),0,IF(G4830="Credit",-F4830,F4830))</f>
        <v/>
      </c>
    </row>
    <row r="4831">
      <c r="A4831" t="inlineStr">
        <is>
          <t>2026-08-17</t>
        </is>
      </c>
      <c r="B4831" t="inlineStr">
        <is>
          <t>F267527</t>
        </is>
      </c>
      <c r="C4831" t="inlineStr">
        <is>
          <t>C10397</t>
        </is>
      </c>
      <c r="D4831" t="inlineStr">
        <is>
          <t>SKU-10031</t>
        </is>
      </c>
      <c r="E4831" t="inlineStr">
        <is>
          <t>AM03</t>
        </is>
      </c>
      <c r="F4831" s="5" t="n">
        <v>210.02</v>
      </c>
      <c r="G4831">
        <f>IF(LEFT(B4831,1)="C","Credit","Factuur")</f>
        <v/>
      </c>
      <c r="H4831">
        <f>IF(AND(B4831=B4830,D4831=D4830,A4831=A4830,F4831=F4830),1,0)</f>
        <v/>
      </c>
      <c r="I4831">
        <f>IF(C4831="C99999",1,0)</f>
        <v/>
      </c>
      <c r="J4831" s="5">
        <f>IF(OR(H4831=1,I4831=1),0,IF(G4831="Credit",-F4831,F4831))</f>
        <v/>
      </c>
    </row>
    <row r="4832">
      <c r="A4832" t="inlineStr">
        <is>
          <t>2026-08-17</t>
        </is>
      </c>
      <c r="B4832" t="inlineStr">
        <is>
          <t>F267527</t>
        </is>
      </c>
      <c r="C4832" t="inlineStr">
        <is>
          <t>C10397</t>
        </is>
      </c>
      <c r="D4832" t="inlineStr">
        <is>
          <t>SKU-10208</t>
        </is>
      </c>
      <c r="E4832" t="inlineStr">
        <is>
          <t>AM03</t>
        </is>
      </c>
      <c r="F4832" s="5" t="n">
        <v>226.33</v>
      </c>
      <c r="G4832">
        <f>IF(LEFT(B4832,1)="C","Credit","Factuur")</f>
        <v/>
      </c>
      <c r="H4832">
        <f>IF(AND(B4832=B4831,D4832=D4831,A4832=A4831,F4832=F4831),1,0)</f>
        <v/>
      </c>
      <c r="I4832">
        <f>IF(C4832="C99999",1,0)</f>
        <v/>
      </c>
      <c r="J4832" s="5">
        <f>IF(OR(H4832=1,I4832=1),0,IF(G4832="Credit",-F4832,F4832))</f>
        <v/>
      </c>
    </row>
    <row r="4833">
      <c r="A4833" t="inlineStr">
        <is>
          <t>2026-08-17</t>
        </is>
      </c>
      <c r="B4833" t="inlineStr">
        <is>
          <t>F267527</t>
        </is>
      </c>
      <c r="C4833" t="inlineStr">
        <is>
          <t>C10397</t>
        </is>
      </c>
      <c r="D4833" t="inlineStr">
        <is>
          <t>SKU-10254</t>
        </is>
      </c>
      <c r="E4833" t="inlineStr">
        <is>
          <t>AM03</t>
        </is>
      </c>
      <c r="F4833" s="5" t="n">
        <v>202.82</v>
      </c>
      <c r="G4833">
        <f>IF(LEFT(B4833,1)="C","Credit","Factuur")</f>
        <v/>
      </c>
      <c r="H4833">
        <f>IF(AND(B4833=B4832,D4833=D4832,A4833=A4832,F4833=F4832),1,0)</f>
        <v/>
      </c>
      <c r="I4833">
        <f>IF(C4833="C99999",1,0)</f>
        <v/>
      </c>
      <c r="J4833" s="5">
        <f>IF(OR(H4833=1,I4833=1),0,IF(G4833="Credit",-F4833,F4833))</f>
        <v/>
      </c>
    </row>
    <row r="4834">
      <c r="A4834" t="inlineStr">
        <is>
          <t>2026-08-17</t>
        </is>
      </c>
      <c r="B4834" t="inlineStr">
        <is>
          <t>F267527</t>
        </is>
      </c>
      <c r="C4834" t="inlineStr">
        <is>
          <t>C10397</t>
        </is>
      </c>
      <c r="D4834" t="inlineStr">
        <is>
          <t>SKU-10260</t>
        </is>
      </c>
      <c r="E4834" t="inlineStr">
        <is>
          <t>AM03</t>
        </is>
      </c>
      <c r="F4834" s="5" t="n">
        <v>217.12</v>
      </c>
      <c r="G4834">
        <f>IF(LEFT(B4834,1)="C","Credit","Factuur")</f>
        <v/>
      </c>
      <c r="H4834">
        <f>IF(AND(B4834=B4833,D4834=D4833,A4834=A4833,F4834=F4833),1,0)</f>
        <v/>
      </c>
      <c r="I4834">
        <f>IF(C4834="C99999",1,0)</f>
        <v/>
      </c>
      <c r="J4834" s="5">
        <f>IF(OR(H4834=1,I4834=1),0,IF(G4834="Credit",-F4834,F4834))</f>
        <v/>
      </c>
    </row>
    <row r="4835">
      <c r="A4835" t="inlineStr">
        <is>
          <t>2026-08-17</t>
        </is>
      </c>
      <c r="B4835" t="inlineStr">
        <is>
          <t>F268877</t>
        </is>
      </c>
      <c r="C4835" t="inlineStr">
        <is>
          <t>C10463</t>
        </is>
      </c>
      <c r="D4835" t="inlineStr">
        <is>
          <t>SKU-10011</t>
        </is>
      </c>
      <c r="E4835" t="inlineStr">
        <is>
          <t>AM01</t>
        </is>
      </c>
      <c r="F4835" s="5" t="n">
        <v>121.8</v>
      </c>
      <c r="G4835">
        <f>IF(LEFT(B4835,1)="C","Credit","Factuur")</f>
        <v/>
      </c>
      <c r="H4835">
        <f>IF(AND(B4835=B4834,D4835=D4834,A4835=A4834,F4835=F4834),1,0)</f>
        <v/>
      </c>
      <c r="I4835">
        <f>IF(C4835="C99999",1,0)</f>
        <v/>
      </c>
      <c r="J4835" s="5">
        <f>IF(OR(H4835=1,I4835=1),0,IF(G4835="Credit",-F4835,F4835))</f>
        <v/>
      </c>
    </row>
    <row r="4836">
      <c r="A4836" t="inlineStr">
        <is>
          <t>2026-08-17</t>
        </is>
      </c>
      <c r="B4836" t="inlineStr">
        <is>
          <t>F268877</t>
        </is>
      </c>
      <c r="C4836" t="inlineStr">
        <is>
          <t>C10463</t>
        </is>
      </c>
      <c r="D4836" t="inlineStr">
        <is>
          <t>SKU-10140</t>
        </is>
      </c>
      <c r="E4836" t="inlineStr">
        <is>
          <t>AM01</t>
        </is>
      </c>
      <c r="F4836" s="5" t="n">
        <v>104.92</v>
      </c>
      <c r="G4836">
        <f>IF(LEFT(B4836,1)="C","Credit","Factuur")</f>
        <v/>
      </c>
      <c r="H4836">
        <f>IF(AND(B4836=B4835,D4836=D4835,A4836=A4835,F4836=F4835),1,0)</f>
        <v/>
      </c>
      <c r="I4836">
        <f>IF(C4836="C99999",1,0)</f>
        <v/>
      </c>
      <c r="J4836" s="5">
        <f>IF(OR(H4836=1,I4836=1),0,IF(G4836="Credit",-F4836,F4836))</f>
        <v/>
      </c>
    </row>
    <row r="4837">
      <c r="A4837" t="inlineStr">
        <is>
          <t>2026-08-17</t>
        </is>
      </c>
      <c r="B4837" t="inlineStr">
        <is>
          <t>F268877</t>
        </is>
      </c>
      <c r="C4837" t="inlineStr">
        <is>
          <t>C10463</t>
        </is>
      </c>
      <c r="D4837" t="inlineStr">
        <is>
          <t>SKU-10220</t>
        </is>
      </c>
      <c r="E4837" t="inlineStr">
        <is>
          <t>AM01</t>
        </is>
      </c>
      <c r="F4837" s="5" t="n">
        <v>130.39</v>
      </c>
      <c r="G4837">
        <f>IF(LEFT(B4837,1)="C","Credit","Factuur")</f>
        <v/>
      </c>
      <c r="H4837">
        <f>IF(AND(B4837=B4836,D4837=D4836,A4837=A4836,F4837=F4836),1,0)</f>
        <v/>
      </c>
      <c r="I4837">
        <f>IF(C4837="C99999",1,0)</f>
        <v/>
      </c>
      <c r="J4837" s="5">
        <f>IF(OR(H4837=1,I4837=1),0,IF(G4837="Credit",-F4837,F4837))</f>
        <v/>
      </c>
    </row>
    <row r="4838">
      <c r="A4838" t="inlineStr">
        <is>
          <t>2026-08-17</t>
        </is>
      </c>
      <c r="B4838" t="inlineStr">
        <is>
          <t>F268877</t>
        </is>
      </c>
      <c r="C4838" t="inlineStr">
        <is>
          <t>C10463</t>
        </is>
      </c>
      <c r="D4838" t="inlineStr">
        <is>
          <t>SKU-10236</t>
        </is>
      </c>
      <c r="E4838" t="inlineStr">
        <is>
          <t>AM01</t>
        </is>
      </c>
      <c r="F4838" s="5" t="n">
        <v>133.76</v>
      </c>
      <c r="G4838">
        <f>IF(LEFT(B4838,1)="C","Credit","Factuur")</f>
        <v/>
      </c>
      <c r="H4838">
        <f>IF(AND(B4838=B4837,D4838=D4837,A4838=A4837,F4838=F4837),1,0)</f>
        <v/>
      </c>
      <c r="I4838">
        <f>IF(C4838="C99999",1,0)</f>
        <v/>
      </c>
      <c r="J4838" s="5">
        <f>IF(OR(H4838=1,I4838=1),0,IF(G4838="Credit",-F4838,F4838))</f>
        <v/>
      </c>
    </row>
    <row r="4839">
      <c r="A4839" t="inlineStr">
        <is>
          <t>2026-08-17</t>
        </is>
      </c>
      <c r="B4839" t="inlineStr">
        <is>
          <t>F268877</t>
        </is>
      </c>
      <c r="C4839" t="inlineStr">
        <is>
          <t>C10463</t>
        </is>
      </c>
      <c r="D4839" t="inlineStr">
        <is>
          <t>SKU-10237</t>
        </is>
      </c>
      <c r="E4839" t="inlineStr">
        <is>
          <t>AM01</t>
        </is>
      </c>
      <c r="F4839" s="5" t="n">
        <v>123.3</v>
      </c>
      <c r="G4839">
        <f>IF(LEFT(B4839,1)="C","Credit","Factuur")</f>
        <v/>
      </c>
      <c r="H4839">
        <f>IF(AND(B4839=B4838,D4839=D4838,A4839=A4838,F4839=F4838),1,0)</f>
        <v/>
      </c>
      <c r="I4839">
        <f>IF(C4839="C99999",1,0)</f>
        <v/>
      </c>
      <c r="J4839" s="5">
        <f>IF(OR(H4839=1,I4839=1),0,IF(G4839="Credit",-F4839,F4839))</f>
        <v/>
      </c>
    </row>
    <row r="4840">
      <c r="A4840" t="inlineStr">
        <is>
          <t>2026-08-17</t>
        </is>
      </c>
      <c r="B4840" t="inlineStr">
        <is>
          <t>F268877</t>
        </is>
      </c>
      <c r="C4840" t="inlineStr">
        <is>
          <t>C10463</t>
        </is>
      </c>
      <c r="D4840" t="inlineStr">
        <is>
          <t>SKU-10295</t>
        </is>
      </c>
      <c r="E4840" t="inlineStr">
        <is>
          <t>AM01</t>
        </is>
      </c>
      <c r="F4840" s="5" t="n">
        <v>117.76</v>
      </c>
      <c r="G4840">
        <f>IF(LEFT(B4840,1)="C","Credit","Factuur")</f>
        <v/>
      </c>
      <c r="H4840">
        <f>IF(AND(B4840=B4839,D4840=D4839,A4840=A4839,F4840=F4839),1,0)</f>
        <v/>
      </c>
      <c r="I4840">
        <f>IF(C4840="C99999",1,0)</f>
        <v/>
      </c>
      <c r="J4840" s="5">
        <f>IF(OR(H4840=1,I4840=1),0,IF(G4840="Credit",-F4840,F4840))</f>
        <v/>
      </c>
    </row>
    <row r="4841">
      <c r="A4841" t="inlineStr">
        <is>
          <t>2026-08-17</t>
        </is>
      </c>
      <c r="B4841" t="inlineStr">
        <is>
          <t>F268942</t>
        </is>
      </c>
      <c r="C4841" t="inlineStr">
        <is>
          <t>C10465</t>
        </is>
      </c>
      <c r="D4841" t="inlineStr">
        <is>
          <t>SKU-10347</t>
        </is>
      </c>
      <c r="E4841" t="inlineStr">
        <is>
          <t>AM06</t>
        </is>
      </c>
      <c r="F4841" s="5" t="n">
        <v>3962.4</v>
      </c>
      <c r="G4841">
        <f>IF(LEFT(B4841,1)="C","Credit","Factuur")</f>
        <v/>
      </c>
      <c r="H4841">
        <f>IF(AND(B4841=B4840,D4841=D4840,A4841=A4840,F4841=F4840),1,0)</f>
        <v/>
      </c>
      <c r="I4841">
        <f>IF(C4841="C99999",1,0)</f>
        <v/>
      </c>
      <c r="J4841" s="5">
        <f>IF(OR(H4841=1,I4841=1),0,IF(G4841="Credit",-F4841,F4841))</f>
        <v/>
      </c>
    </row>
    <row r="4842">
      <c r="A4842" t="inlineStr">
        <is>
          <t>2026-08-17</t>
        </is>
      </c>
      <c r="B4842" t="inlineStr">
        <is>
          <t>F269228</t>
        </is>
      </c>
      <c r="C4842" t="inlineStr">
        <is>
          <t>C10485</t>
        </is>
      </c>
      <c r="D4842" t="inlineStr">
        <is>
          <t>SKU-10042</t>
        </is>
      </c>
      <c r="E4842" t="inlineStr">
        <is>
          <t>AM01</t>
        </is>
      </c>
      <c r="F4842" s="5" t="n">
        <v>716.76</v>
      </c>
      <c r="G4842">
        <f>IF(LEFT(B4842,1)="C","Credit","Factuur")</f>
        <v/>
      </c>
      <c r="H4842">
        <f>IF(AND(B4842=B4841,D4842=D4841,A4842=A4841,F4842=F4841),1,0)</f>
        <v/>
      </c>
      <c r="I4842">
        <f>IF(C4842="C99999",1,0)</f>
        <v/>
      </c>
      <c r="J4842" s="5">
        <f>IF(OR(H4842=1,I4842=1),0,IF(G4842="Credit",-F4842,F4842))</f>
        <v/>
      </c>
    </row>
    <row r="4843">
      <c r="A4843" t="inlineStr">
        <is>
          <t>2026-08-17</t>
        </is>
      </c>
      <c r="B4843" t="inlineStr">
        <is>
          <t>F271110</t>
        </is>
      </c>
      <c r="C4843" t="inlineStr">
        <is>
          <t>C10579</t>
        </is>
      </c>
      <c r="D4843" t="inlineStr">
        <is>
          <t>SKU-10323</t>
        </is>
      </c>
      <c r="E4843" t="inlineStr">
        <is>
          <t>AM06</t>
        </is>
      </c>
      <c r="F4843" s="5" t="n">
        <v>511.85</v>
      </c>
      <c r="G4843">
        <f>IF(LEFT(B4843,1)="C","Credit","Factuur")</f>
        <v/>
      </c>
      <c r="H4843">
        <f>IF(AND(B4843=B4842,D4843=D4842,A4843=A4842,F4843=F4842),1,0)</f>
        <v/>
      </c>
      <c r="I4843">
        <f>IF(C4843="C99999",1,0)</f>
        <v/>
      </c>
      <c r="J4843" s="5">
        <f>IF(OR(H4843=1,I4843=1),0,IF(G4843="Credit",-F4843,F4843))</f>
        <v/>
      </c>
    </row>
    <row r="4844">
      <c r="A4844" t="inlineStr">
        <is>
          <t>2026-08-17</t>
        </is>
      </c>
      <c r="B4844" t="inlineStr">
        <is>
          <t>F272600</t>
        </is>
      </c>
      <c r="C4844" t="inlineStr">
        <is>
          <t>C10654</t>
        </is>
      </c>
      <c r="D4844" t="inlineStr">
        <is>
          <t>SKU-10085</t>
        </is>
      </c>
      <c r="E4844" t="inlineStr">
        <is>
          <t>AM02</t>
        </is>
      </c>
      <c r="F4844" s="5" t="n">
        <v>2025.1</v>
      </c>
      <c r="G4844">
        <f>IF(LEFT(B4844,1)="C","Credit","Factuur")</f>
        <v/>
      </c>
      <c r="H4844">
        <f>IF(AND(B4844=B4843,D4844=D4843,A4844=A4843,F4844=F4843),1,0)</f>
        <v/>
      </c>
      <c r="I4844">
        <f>IF(C4844="C99999",1,0)</f>
        <v/>
      </c>
      <c r="J4844" s="5">
        <f>IF(OR(H4844=1,I4844=1),0,IF(G4844="Credit",-F4844,F4844))</f>
        <v/>
      </c>
    </row>
    <row r="4845">
      <c r="A4845" t="inlineStr">
        <is>
          <t>2026-08-17</t>
        </is>
      </c>
      <c r="B4845" t="inlineStr">
        <is>
          <t>F273942</t>
        </is>
      </c>
      <c r="C4845" t="inlineStr">
        <is>
          <t>C10736</t>
        </is>
      </c>
      <c r="D4845" t="inlineStr">
        <is>
          <t>SKU-10031</t>
        </is>
      </c>
      <c r="E4845" t="inlineStr">
        <is>
          <t>AM02</t>
        </is>
      </c>
      <c r="F4845" s="5" t="n">
        <v>233.36</v>
      </c>
      <c r="G4845">
        <f>IF(LEFT(B4845,1)="C","Credit","Factuur")</f>
        <v/>
      </c>
      <c r="H4845">
        <f>IF(AND(B4845=B4844,D4845=D4844,A4845=A4844,F4845=F4844),1,0)</f>
        <v/>
      </c>
      <c r="I4845">
        <f>IF(C4845="C99999",1,0)</f>
        <v/>
      </c>
      <c r="J4845" s="5">
        <f>IF(OR(H4845=1,I4845=1),0,IF(G4845="Credit",-F4845,F4845))</f>
        <v/>
      </c>
    </row>
    <row r="4846">
      <c r="A4846" t="inlineStr">
        <is>
          <t>2026-08-17</t>
        </is>
      </c>
      <c r="B4846" t="inlineStr">
        <is>
          <t>F273942</t>
        </is>
      </c>
      <c r="C4846" t="inlineStr">
        <is>
          <t>C10736</t>
        </is>
      </c>
      <c r="D4846" t="inlineStr">
        <is>
          <t>SKU-10154</t>
        </is>
      </c>
      <c r="E4846" t="inlineStr">
        <is>
          <t>AM02</t>
        </is>
      </c>
      <c r="F4846" s="5" t="n">
        <v>221.13</v>
      </c>
      <c r="G4846">
        <f>IF(LEFT(B4846,1)="C","Credit","Factuur")</f>
        <v/>
      </c>
      <c r="H4846">
        <f>IF(AND(B4846=B4845,D4846=D4845,A4846=A4845,F4846=F4845),1,0)</f>
        <v/>
      </c>
      <c r="I4846">
        <f>IF(C4846="C99999",1,0)</f>
        <v/>
      </c>
      <c r="J4846" s="5">
        <f>IF(OR(H4846=1,I4846=1),0,IF(G4846="Credit",-F4846,F4846))</f>
        <v/>
      </c>
    </row>
    <row r="4847">
      <c r="A4847" t="inlineStr">
        <is>
          <t>2026-08-17</t>
        </is>
      </c>
      <c r="B4847" t="inlineStr">
        <is>
          <t>F273942</t>
        </is>
      </c>
      <c r="C4847" t="inlineStr">
        <is>
          <t>C10736</t>
        </is>
      </c>
      <c r="D4847" t="inlineStr">
        <is>
          <t>SKU-10155</t>
        </is>
      </c>
      <c r="E4847" t="inlineStr">
        <is>
          <t>AM02</t>
        </is>
      </c>
      <c r="F4847" s="5" t="n">
        <v>227.24</v>
      </c>
      <c r="G4847">
        <f>IF(LEFT(B4847,1)="C","Credit","Factuur")</f>
        <v/>
      </c>
      <c r="H4847">
        <f>IF(AND(B4847=B4846,D4847=D4846,A4847=A4846,F4847=F4846),1,0)</f>
        <v/>
      </c>
      <c r="I4847">
        <f>IF(C4847="C99999",1,0)</f>
        <v/>
      </c>
      <c r="J4847" s="5">
        <f>IF(OR(H4847=1,I4847=1),0,IF(G4847="Credit",-F4847,F4847))</f>
        <v/>
      </c>
    </row>
    <row r="4848">
      <c r="A4848" t="inlineStr">
        <is>
          <t>2026-08-17</t>
        </is>
      </c>
      <c r="B4848" t="inlineStr">
        <is>
          <t>F273942</t>
        </is>
      </c>
      <c r="C4848" t="inlineStr">
        <is>
          <t>C10736</t>
        </is>
      </c>
      <c r="D4848" t="inlineStr">
        <is>
          <t>SKU-10286</t>
        </is>
      </c>
      <c r="E4848" t="inlineStr">
        <is>
          <t>AM02</t>
        </is>
      </c>
      <c r="F4848" s="5" t="n">
        <v>219</v>
      </c>
      <c r="G4848">
        <f>IF(LEFT(B4848,1)="C","Credit","Factuur")</f>
        <v/>
      </c>
      <c r="H4848">
        <f>IF(AND(B4848=B4847,D4848=D4847,A4848=A4847,F4848=F4847),1,0)</f>
        <v/>
      </c>
      <c r="I4848">
        <f>IF(C4848="C99999",1,0)</f>
        <v/>
      </c>
      <c r="J4848" s="5">
        <f>IF(OR(H4848=1,I4848=1),0,IF(G4848="Credit",-F4848,F4848))</f>
        <v/>
      </c>
    </row>
    <row r="4849">
      <c r="A4849" t="inlineStr">
        <is>
          <t>2026-08-17</t>
        </is>
      </c>
      <c r="B4849" t="inlineStr">
        <is>
          <t>F273942</t>
        </is>
      </c>
      <c r="C4849" t="inlineStr">
        <is>
          <t>C10736</t>
        </is>
      </c>
      <c r="D4849" t="inlineStr">
        <is>
          <t>SKU-10309</t>
        </is>
      </c>
      <c r="E4849" t="inlineStr">
        <is>
          <t>AM02</t>
        </is>
      </c>
      <c r="F4849" s="5" t="n">
        <v>231.05</v>
      </c>
      <c r="G4849">
        <f>IF(LEFT(B4849,1)="C","Credit","Factuur")</f>
        <v/>
      </c>
      <c r="H4849">
        <f>IF(AND(B4849=B4848,D4849=D4848,A4849=A4848,F4849=F4848),1,0)</f>
        <v/>
      </c>
      <c r="I4849">
        <f>IF(C4849="C99999",1,0)</f>
        <v/>
      </c>
      <c r="J4849" s="5">
        <f>IF(OR(H4849=1,I4849=1),0,IF(G4849="Credit",-F4849,F4849))</f>
        <v/>
      </c>
    </row>
    <row r="4850">
      <c r="A4850" t="inlineStr">
        <is>
          <t>2026-08-17</t>
        </is>
      </c>
      <c r="B4850" t="inlineStr">
        <is>
          <t>F273942</t>
        </is>
      </c>
      <c r="C4850" t="inlineStr">
        <is>
          <t>C10736</t>
        </is>
      </c>
      <c r="D4850" t="inlineStr">
        <is>
          <t>SKU-10325</t>
        </is>
      </c>
      <c r="E4850" t="inlineStr">
        <is>
          <t>AM02</t>
        </is>
      </c>
      <c r="F4850" s="5" t="n">
        <v>235.5</v>
      </c>
      <c r="G4850">
        <f>IF(LEFT(B4850,1)="C","Credit","Factuur")</f>
        <v/>
      </c>
      <c r="H4850">
        <f>IF(AND(B4850=B4849,D4850=D4849,A4850=A4849,F4850=F4849),1,0)</f>
        <v/>
      </c>
      <c r="I4850">
        <f>IF(C4850="C99999",1,0)</f>
        <v/>
      </c>
      <c r="J4850" s="5">
        <f>IF(OR(H4850=1,I4850=1),0,IF(G4850="Credit",-F4850,F4850))</f>
        <v/>
      </c>
    </row>
    <row r="4851">
      <c r="A4851" t="inlineStr">
        <is>
          <t>2026-08-17</t>
        </is>
      </c>
      <c r="B4851" t="inlineStr">
        <is>
          <t>F273950</t>
        </is>
      </c>
      <c r="C4851" t="inlineStr">
        <is>
          <t>C10736</t>
        </is>
      </c>
      <c r="D4851" t="inlineStr">
        <is>
          <t>SKU-10169</t>
        </is>
      </c>
      <c r="E4851" t="inlineStr">
        <is>
          <t>AM02</t>
        </is>
      </c>
      <c r="F4851" s="5" t="n">
        <v>996.78</v>
      </c>
      <c r="G4851">
        <f>IF(LEFT(B4851,1)="C","Credit","Factuur")</f>
        <v/>
      </c>
      <c r="H4851">
        <f>IF(AND(B4851=B4850,D4851=D4850,A4851=A4850,F4851=F4850),1,0)</f>
        <v/>
      </c>
      <c r="I4851">
        <f>IF(C4851="C99999",1,0)</f>
        <v/>
      </c>
      <c r="J4851" s="5">
        <f>IF(OR(H4851=1,I4851=1),0,IF(G4851="Credit",-F4851,F4851))</f>
        <v/>
      </c>
    </row>
    <row r="4852">
      <c r="A4852" t="inlineStr">
        <is>
          <t>2026-08-17</t>
        </is>
      </c>
      <c r="B4852" t="inlineStr">
        <is>
          <t>F274296</t>
        </is>
      </c>
      <c r="C4852" t="inlineStr">
        <is>
          <t>C10756</t>
        </is>
      </c>
      <c r="D4852" t="inlineStr">
        <is>
          <t>SKU-10092</t>
        </is>
      </c>
      <c r="E4852" t="inlineStr">
        <is>
          <t>AM06</t>
        </is>
      </c>
      <c r="F4852" s="5" t="n">
        <v>617.58</v>
      </c>
      <c r="G4852">
        <f>IF(LEFT(B4852,1)="C","Credit","Factuur")</f>
        <v/>
      </c>
      <c r="H4852">
        <f>IF(AND(B4852=B4851,D4852=D4851,A4852=A4851,F4852=F4851),1,0)</f>
        <v/>
      </c>
      <c r="I4852">
        <f>IF(C4852="C99999",1,0)</f>
        <v/>
      </c>
      <c r="J4852" s="5">
        <f>IF(OR(H4852=1,I4852=1),0,IF(G4852="Credit",-F4852,F4852))</f>
        <v/>
      </c>
    </row>
    <row r="4853">
      <c r="A4853" t="inlineStr">
        <is>
          <t>2026-08-17</t>
        </is>
      </c>
      <c r="B4853" t="inlineStr">
        <is>
          <t>F274296</t>
        </is>
      </c>
      <c r="C4853" t="inlineStr">
        <is>
          <t>C10756</t>
        </is>
      </c>
      <c r="D4853" t="inlineStr">
        <is>
          <t>SKU-10152</t>
        </is>
      </c>
      <c r="E4853" t="inlineStr">
        <is>
          <t>AM06</t>
        </is>
      </c>
      <c r="F4853" s="5" t="n">
        <v>629.64</v>
      </c>
      <c r="G4853">
        <f>IF(LEFT(B4853,1)="C","Credit","Factuur")</f>
        <v/>
      </c>
      <c r="H4853">
        <f>IF(AND(B4853=B4852,D4853=D4852,A4853=A4852,F4853=F4852),1,0)</f>
        <v/>
      </c>
      <c r="I4853">
        <f>IF(C4853="C99999",1,0)</f>
        <v/>
      </c>
      <c r="J4853" s="5">
        <f>IF(OR(H4853=1,I4853=1),0,IF(G4853="Credit",-F4853,F4853))</f>
        <v/>
      </c>
    </row>
    <row r="4854">
      <c r="A4854" t="inlineStr">
        <is>
          <t>2026-08-17</t>
        </is>
      </c>
      <c r="B4854" t="inlineStr">
        <is>
          <t>F274296</t>
        </is>
      </c>
      <c r="C4854" t="inlineStr">
        <is>
          <t>C10756</t>
        </is>
      </c>
      <c r="D4854" t="inlineStr">
        <is>
          <t>SKU-10173</t>
        </is>
      </c>
      <c r="E4854" t="inlineStr">
        <is>
          <t>AM06</t>
        </is>
      </c>
      <c r="F4854" s="5" t="n">
        <v>623.5</v>
      </c>
      <c r="G4854">
        <f>IF(LEFT(B4854,1)="C","Credit","Factuur")</f>
        <v/>
      </c>
      <c r="H4854">
        <f>IF(AND(B4854=B4853,D4854=D4853,A4854=A4853,F4854=F4853),1,0)</f>
        <v/>
      </c>
      <c r="I4854">
        <f>IF(C4854="C99999",1,0)</f>
        <v/>
      </c>
      <c r="J4854" s="5">
        <f>IF(OR(H4854=1,I4854=1),0,IF(G4854="Credit",-F4854,F4854))</f>
        <v/>
      </c>
    </row>
    <row r="4855">
      <c r="A4855" t="inlineStr">
        <is>
          <t>2026-08-17</t>
        </is>
      </c>
      <c r="B4855" t="inlineStr">
        <is>
          <t>F274296</t>
        </is>
      </c>
      <c r="C4855" t="inlineStr">
        <is>
          <t>C10756</t>
        </is>
      </c>
      <c r="D4855" t="inlineStr">
        <is>
          <t>SKU-10285</t>
        </is>
      </c>
      <c r="E4855" t="inlineStr">
        <is>
          <t>AM06</t>
        </is>
      </c>
      <c r="F4855" s="5" t="n">
        <v>631.62</v>
      </c>
      <c r="G4855">
        <f>IF(LEFT(B4855,1)="C","Credit","Factuur")</f>
        <v/>
      </c>
      <c r="H4855">
        <f>IF(AND(B4855=B4854,D4855=D4854,A4855=A4854,F4855=F4854),1,0)</f>
        <v/>
      </c>
      <c r="I4855">
        <f>IF(C4855="C99999",1,0)</f>
        <v/>
      </c>
      <c r="J4855" s="5">
        <f>IF(OR(H4855=1,I4855=1),0,IF(G4855="Credit",-F4855,F4855))</f>
        <v/>
      </c>
    </row>
    <row r="4856">
      <c r="A4856" t="inlineStr">
        <is>
          <t>2026-08-17</t>
        </is>
      </c>
      <c r="B4856" t="inlineStr">
        <is>
          <t>F274296</t>
        </is>
      </c>
      <c r="C4856" t="inlineStr">
        <is>
          <t>C10756</t>
        </is>
      </c>
      <c r="D4856" t="inlineStr">
        <is>
          <t>SKU-10312</t>
        </is>
      </c>
      <c r="E4856" t="inlineStr">
        <is>
          <t>AM06</t>
        </is>
      </c>
      <c r="F4856" s="5" t="n">
        <v>619.2</v>
      </c>
      <c r="G4856">
        <f>IF(LEFT(B4856,1)="C","Credit","Factuur")</f>
        <v/>
      </c>
      <c r="H4856">
        <f>IF(AND(B4856=B4855,D4856=D4855,A4856=A4855,F4856=F4855),1,0)</f>
        <v/>
      </c>
      <c r="I4856">
        <f>IF(C4856="C99999",1,0)</f>
        <v/>
      </c>
      <c r="J4856" s="5">
        <f>IF(OR(H4856=1,I4856=1),0,IF(G4856="Credit",-F4856,F4856))</f>
        <v/>
      </c>
    </row>
    <row r="4857">
      <c r="A4857" t="inlineStr">
        <is>
          <t>2026-08-17</t>
        </is>
      </c>
      <c r="B4857" t="inlineStr">
        <is>
          <t>F274605</t>
        </is>
      </c>
      <c r="C4857" t="inlineStr">
        <is>
          <t>C10773</t>
        </is>
      </c>
      <c r="D4857" t="inlineStr">
        <is>
          <t>SKU-10027</t>
        </is>
      </c>
      <c r="E4857" t="inlineStr">
        <is>
          <t>AM06</t>
        </is>
      </c>
      <c r="F4857" s="5" t="n">
        <v>608.74</v>
      </c>
      <c r="G4857">
        <f>IF(LEFT(B4857,1)="C","Credit","Factuur")</f>
        <v/>
      </c>
      <c r="H4857">
        <f>IF(AND(B4857=B4856,D4857=D4856,A4857=A4856,F4857=F4856),1,0)</f>
        <v/>
      </c>
      <c r="I4857">
        <f>IF(C4857="C99999",1,0)</f>
        <v/>
      </c>
      <c r="J4857" s="5">
        <f>IF(OR(H4857=1,I4857=1),0,IF(G4857="Credit",-F4857,F4857))</f>
        <v/>
      </c>
    </row>
    <row r="4858">
      <c r="A4858" t="inlineStr">
        <is>
          <t>2026-08-17</t>
        </is>
      </c>
      <c r="B4858" t="inlineStr">
        <is>
          <t>F274605</t>
        </is>
      </c>
      <c r="C4858" t="inlineStr">
        <is>
          <t>C10773</t>
        </is>
      </c>
      <c r="D4858" t="inlineStr">
        <is>
          <t>SKU-10133</t>
        </is>
      </c>
      <c r="E4858" t="inlineStr">
        <is>
          <t>AM06</t>
        </is>
      </c>
      <c r="F4858" s="5" t="n">
        <v>661.7</v>
      </c>
      <c r="G4858">
        <f>IF(LEFT(B4858,1)="C","Credit","Factuur")</f>
        <v/>
      </c>
      <c r="H4858">
        <f>IF(AND(B4858=B4857,D4858=D4857,A4858=A4857,F4858=F4857),1,0)</f>
        <v/>
      </c>
      <c r="I4858">
        <f>IF(C4858="C99999",1,0)</f>
        <v/>
      </c>
      <c r="J4858" s="5">
        <f>IF(OR(H4858=1,I4858=1),0,IF(G4858="Credit",-F4858,F4858))</f>
        <v/>
      </c>
    </row>
    <row r="4859">
      <c r="A4859" t="inlineStr">
        <is>
          <t>2026-08-17</t>
        </is>
      </c>
      <c r="B4859" t="inlineStr">
        <is>
          <t>F274605</t>
        </is>
      </c>
      <c r="C4859" t="inlineStr">
        <is>
          <t>C10773</t>
        </is>
      </c>
      <c r="D4859" t="inlineStr">
        <is>
          <t>SKU-10286</t>
        </is>
      </c>
      <c r="E4859" t="inlineStr">
        <is>
          <t>AM06</t>
        </is>
      </c>
      <c r="F4859" s="5" t="n">
        <v>638.75</v>
      </c>
      <c r="G4859">
        <f>IF(LEFT(B4859,1)="C","Credit","Factuur")</f>
        <v/>
      </c>
      <c r="H4859">
        <f>IF(AND(B4859=B4858,D4859=D4858,A4859=A4858,F4859=F4858),1,0)</f>
        <v/>
      </c>
      <c r="I4859">
        <f>IF(C4859="C99999",1,0)</f>
        <v/>
      </c>
      <c r="J4859" s="5">
        <f>IF(OR(H4859=1,I4859=1),0,IF(G4859="Credit",-F4859,F4859))</f>
        <v/>
      </c>
    </row>
    <row r="4860">
      <c r="A4860" t="inlineStr">
        <is>
          <t>2026-08-17</t>
        </is>
      </c>
      <c r="B4860" t="inlineStr">
        <is>
          <t>F274605</t>
        </is>
      </c>
      <c r="C4860" t="inlineStr">
        <is>
          <t>C10773</t>
        </is>
      </c>
      <c r="D4860" t="inlineStr">
        <is>
          <t>SKU-10334</t>
        </is>
      </c>
      <c r="E4860" t="inlineStr">
        <is>
          <t>AM06</t>
        </is>
      </c>
      <c r="F4860" s="5" t="n">
        <v>651.72</v>
      </c>
      <c r="G4860">
        <f>IF(LEFT(B4860,1)="C","Credit","Factuur")</f>
        <v/>
      </c>
      <c r="H4860">
        <f>IF(AND(B4860=B4859,D4860=D4859,A4860=A4859,F4860=F4859),1,0)</f>
        <v/>
      </c>
      <c r="I4860">
        <f>IF(C4860="C99999",1,0)</f>
        <v/>
      </c>
      <c r="J4860" s="5">
        <f>IF(OR(H4860=1,I4860=1),0,IF(G4860="Credit",-F4860,F4860))</f>
        <v/>
      </c>
    </row>
    <row r="4861">
      <c r="A4861" t="inlineStr">
        <is>
          <t>2026-08-17</t>
        </is>
      </c>
      <c r="B4861" t="inlineStr">
        <is>
          <t>F274887</t>
        </is>
      </c>
      <c r="C4861" t="inlineStr">
        <is>
          <t>C10786</t>
        </is>
      </c>
      <c r="D4861" t="inlineStr">
        <is>
          <t>SKU-10063</t>
        </is>
      </c>
      <c r="E4861" t="inlineStr">
        <is>
          <t>AM06</t>
        </is>
      </c>
      <c r="F4861" s="5" t="n">
        <v>42.33</v>
      </c>
      <c r="G4861">
        <f>IF(LEFT(B4861,1)="C","Credit","Factuur")</f>
        <v/>
      </c>
      <c r="H4861">
        <f>IF(AND(B4861=B4860,D4861=D4860,A4861=A4860,F4861=F4860),1,0)</f>
        <v/>
      </c>
      <c r="I4861">
        <f>IF(C4861="C99999",1,0)</f>
        <v/>
      </c>
      <c r="J4861" s="5">
        <f>IF(OR(H4861=1,I4861=1),0,IF(G4861="Credit",-F4861,F4861))</f>
        <v/>
      </c>
    </row>
    <row r="4862">
      <c r="A4862" t="inlineStr">
        <is>
          <t>2026-08-17</t>
        </is>
      </c>
      <c r="B4862" t="inlineStr">
        <is>
          <t>F274887</t>
        </is>
      </c>
      <c r="C4862" t="inlineStr">
        <is>
          <t>C10786</t>
        </is>
      </c>
      <c r="D4862" t="inlineStr">
        <is>
          <t>SKU-10216</t>
        </is>
      </c>
      <c r="E4862" t="inlineStr">
        <is>
          <t>AM06</t>
        </is>
      </c>
      <c r="F4862" s="5" t="n">
        <v>72.81</v>
      </c>
      <c r="G4862">
        <f>IF(LEFT(B4862,1)="C","Credit","Factuur")</f>
        <v/>
      </c>
      <c r="H4862">
        <f>IF(AND(B4862=B4861,D4862=D4861,A4862=A4861,F4862=F4861),1,0)</f>
        <v/>
      </c>
      <c r="I4862">
        <f>IF(C4862="C99999",1,0)</f>
        <v/>
      </c>
      <c r="J4862" s="5">
        <f>IF(OR(H4862=1,I4862=1),0,IF(G4862="Credit",-F4862,F4862))</f>
        <v/>
      </c>
    </row>
    <row r="4863">
      <c r="A4863" t="inlineStr">
        <is>
          <t>2026-08-17</t>
        </is>
      </c>
      <c r="B4863" t="inlineStr">
        <is>
          <t>F274887</t>
        </is>
      </c>
      <c r="C4863" t="inlineStr">
        <is>
          <t>C10786</t>
        </is>
      </c>
      <c r="D4863" t="inlineStr">
        <is>
          <t>SKU-10273</t>
        </is>
      </c>
      <c r="E4863" t="inlineStr">
        <is>
          <t>AM06</t>
        </is>
      </c>
      <c r="F4863" s="5" t="n">
        <v>64.23999999999999</v>
      </c>
      <c r="G4863">
        <f>IF(LEFT(B4863,1)="C","Credit","Factuur")</f>
        <v/>
      </c>
      <c r="H4863">
        <f>IF(AND(B4863=B4862,D4863=D4862,A4863=A4862,F4863=F4862),1,0)</f>
        <v/>
      </c>
      <c r="I4863">
        <f>IF(C4863="C99999",1,0)</f>
        <v/>
      </c>
      <c r="J4863" s="5">
        <f>IF(OR(H4863=1,I4863=1),0,IF(G4863="Credit",-F4863,F4863))</f>
        <v/>
      </c>
    </row>
    <row r="4864">
      <c r="A4864" t="inlineStr">
        <is>
          <t>2026-08-17</t>
        </is>
      </c>
      <c r="B4864" t="inlineStr">
        <is>
          <t>F274887</t>
        </is>
      </c>
      <c r="C4864" t="inlineStr">
        <is>
          <t>C10786</t>
        </is>
      </c>
      <c r="D4864" t="inlineStr">
        <is>
          <t>SKU-10284</t>
        </is>
      </c>
      <c r="E4864" t="inlineStr">
        <is>
          <t>AM06</t>
        </is>
      </c>
      <c r="F4864" s="5" t="n">
        <v>64.70999999999999</v>
      </c>
      <c r="G4864">
        <f>IF(LEFT(B4864,1)="C","Credit","Factuur")</f>
        <v/>
      </c>
      <c r="H4864">
        <f>IF(AND(B4864=B4863,D4864=D4863,A4864=A4863,F4864=F4863),1,0)</f>
        <v/>
      </c>
      <c r="I4864">
        <f>IF(C4864="C99999",1,0)</f>
        <v/>
      </c>
      <c r="J4864" s="5">
        <f>IF(OR(H4864=1,I4864=1),0,IF(G4864="Credit",-F4864,F4864))</f>
        <v/>
      </c>
    </row>
    <row r="4865">
      <c r="A4865" t="inlineStr">
        <is>
          <t>2026-08-17</t>
        </is>
      </c>
      <c r="B4865" t="inlineStr">
        <is>
          <t>F274887</t>
        </is>
      </c>
      <c r="C4865" t="inlineStr">
        <is>
          <t>C10786</t>
        </is>
      </c>
      <c r="D4865" t="inlineStr">
        <is>
          <t>SKU-10296</t>
        </is>
      </c>
      <c r="E4865" t="inlineStr">
        <is>
          <t>AM06</t>
        </is>
      </c>
      <c r="F4865" s="5" t="n">
        <v>50.2</v>
      </c>
      <c r="G4865">
        <f>IF(LEFT(B4865,1)="C","Credit","Factuur")</f>
        <v/>
      </c>
      <c r="H4865">
        <f>IF(AND(B4865=B4864,D4865=D4864,A4865=A4864,F4865=F4864),1,0)</f>
        <v/>
      </c>
      <c r="I4865">
        <f>IF(C4865="C99999",1,0)</f>
        <v/>
      </c>
      <c r="J4865" s="5">
        <f>IF(OR(H4865=1,I4865=1),0,IF(G4865="Credit",-F4865,F4865))</f>
        <v/>
      </c>
    </row>
    <row r="4866">
      <c r="A4866" t="inlineStr">
        <is>
          <t>2026-08-17</t>
        </is>
      </c>
      <c r="B4866" t="inlineStr">
        <is>
          <t>F274918</t>
        </is>
      </c>
      <c r="C4866" t="inlineStr">
        <is>
          <t>C10787</t>
        </is>
      </c>
      <c r="D4866" t="inlineStr">
        <is>
          <t>SKU-10038</t>
        </is>
      </c>
      <c r="E4866" t="inlineStr">
        <is>
          <t>AM11</t>
        </is>
      </c>
      <c r="F4866" s="5" t="n">
        <v>104.76</v>
      </c>
      <c r="G4866">
        <f>IF(LEFT(B4866,1)="C","Credit","Factuur")</f>
        <v/>
      </c>
      <c r="H4866">
        <f>IF(AND(B4866=B4865,D4866=D4865,A4866=A4865,F4866=F4865),1,0)</f>
        <v/>
      </c>
      <c r="I4866">
        <f>IF(C4866="C99999",1,0)</f>
        <v/>
      </c>
      <c r="J4866" s="5">
        <f>IF(OR(H4866=1,I4866=1),0,IF(G4866="Credit",-F4866,F4866))</f>
        <v/>
      </c>
    </row>
    <row r="4867">
      <c r="A4867" t="inlineStr">
        <is>
          <t>2026-08-17</t>
        </is>
      </c>
      <c r="B4867" t="inlineStr">
        <is>
          <t>F274918</t>
        </is>
      </c>
      <c r="C4867" t="inlineStr">
        <is>
          <t>C10787</t>
        </is>
      </c>
      <c r="D4867" t="inlineStr">
        <is>
          <t>SKU-10069</t>
        </is>
      </c>
      <c r="E4867" t="inlineStr">
        <is>
          <t>AM11</t>
        </is>
      </c>
      <c r="F4867" s="5" t="n">
        <v>95.34</v>
      </c>
      <c r="G4867">
        <f>IF(LEFT(B4867,1)="C","Credit","Factuur")</f>
        <v/>
      </c>
      <c r="H4867">
        <f>IF(AND(B4867=B4866,D4867=D4866,A4867=A4866,F4867=F4866),1,0)</f>
        <v/>
      </c>
      <c r="I4867">
        <f>IF(C4867="C99999",1,0)</f>
        <v/>
      </c>
      <c r="J4867" s="5">
        <f>IF(OR(H4867=1,I4867=1),0,IF(G4867="Credit",-F4867,F4867))</f>
        <v/>
      </c>
    </row>
    <row r="4868">
      <c r="A4868" t="inlineStr">
        <is>
          <t>2026-08-17</t>
        </is>
      </c>
      <c r="B4868" t="inlineStr">
        <is>
          <t>F274918</t>
        </is>
      </c>
      <c r="C4868" t="inlineStr">
        <is>
          <t>C10787</t>
        </is>
      </c>
      <c r="D4868" t="inlineStr">
        <is>
          <t>SKU-10266</t>
        </is>
      </c>
      <c r="E4868" t="inlineStr">
        <is>
          <t>AM11</t>
        </is>
      </c>
      <c r="F4868" s="5" t="n">
        <v>107.4</v>
      </c>
      <c r="G4868">
        <f>IF(LEFT(B4868,1)="C","Credit","Factuur")</f>
        <v/>
      </c>
      <c r="H4868">
        <f>IF(AND(B4868=B4867,D4868=D4867,A4868=A4867,F4868=F4867),1,0)</f>
        <v/>
      </c>
      <c r="I4868">
        <f>IF(C4868="C99999",1,0)</f>
        <v/>
      </c>
      <c r="J4868" s="5">
        <f>IF(OR(H4868=1,I4868=1),0,IF(G4868="Credit",-F4868,F4868))</f>
        <v/>
      </c>
    </row>
    <row r="4869">
      <c r="A4869" t="inlineStr">
        <is>
          <t>2026-08-17</t>
        </is>
      </c>
      <c r="B4869" t="inlineStr">
        <is>
          <t>F274918</t>
        </is>
      </c>
      <c r="C4869" t="inlineStr">
        <is>
          <t>C10787</t>
        </is>
      </c>
      <c r="D4869" t="inlineStr">
        <is>
          <t>SKU-10304</t>
        </is>
      </c>
      <c r="E4869" t="inlineStr">
        <is>
          <t>AM11</t>
        </is>
      </c>
      <c r="F4869" s="5" t="n">
        <v>106.96</v>
      </c>
      <c r="G4869">
        <f>IF(LEFT(B4869,1)="C","Credit","Factuur")</f>
        <v/>
      </c>
      <c r="H4869">
        <f>IF(AND(B4869=B4868,D4869=D4868,A4869=A4868,F4869=F4868),1,0)</f>
        <v/>
      </c>
      <c r="I4869">
        <f>IF(C4869="C99999",1,0)</f>
        <v/>
      </c>
      <c r="J4869" s="5">
        <f>IF(OR(H4869=1,I4869=1),0,IF(G4869="Credit",-F4869,F4869))</f>
        <v/>
      </c>
    </row>
    <row r="4870">
      <c r="A4870" t="inlineStr">
        <is>
          <t>2026-08-17</t>
        </is>
      </c>
      <c r="B4870" t="inlineStr">
        <is>
          <t>F274918</t>
        </is>
      </c>
      <c r="C4870" t="inlineStr">
        <is>
          <t>C10787</t>
        </is>
      </c>
      <c r="D4870" t="inlineStr">
        <is>
          <t>SKU-10344</t>
        </is>
      </c>
      <c r="E4870" t="inlineStr">
        <is>
          <t>AM11</t>
        </is>
      </c>
      <c r="F4870" s="5" t="n">
        <v>106.4</v>
      </c>
      <c r="G4870">
        <f>IF(LEFT(B4870,1)="C","Credit","Factuur")</f>
        <v/>
      </c>
      <c r="H4870">
        <f>IF(AND(B4870=B4869,D4870=D4869,A4870=A4869,F4870=F4869),1,0)</f>
        <v/>
      </c>
      <c r="I4870">
        <f>IF(C4870="C99999",1,0)</f>
        <v/>
      </c>
      <c r="J4870" s="5">
        <f>IF(OR(H4870=1,I4870=1),0,IF(G4870="Credit",-F4870,F4870))</f>
        <v/>
      </c>
    </row>
    <row r="4871">
      <c r="A4871" t="inlineStr">
        <is>
          <t>2026-08-17</t>
        </is>
      </c>
      <c r="B4871" t="inlineStr">
        <is>
          <t>F275429</t>
        </is>
      </c>
      <c r="C4871" t="inlineStr">
        <is>
          <t>C10815</t>
        </is>
      </c>
      <c r="D4871" t="inlineStr">
        <is>
          <t>SKU-10002</t>
        </is>
      </c>
      <c r="E4871" t="inlineStr">
        <is>
          <t>AM02</t>
        </is>
      </c>
      <c r="F4871" s="5" t="n">
        <v>218.01</v>
      </c>
      <c r="G4871">
        <f>IF(LEFT(B4871,1)="C","Credit","Factuur")</f>
        <v/>
      </c>
      <c r="H4871">
        <f>IF(AND(B4871=B4870,D4871=D4870,A4871=A4870,F4871=F4870),1,0)</f>
        <v/>
      </c>
      <c r="I4871">
        <f>IF(C4871="C99999",1,0)</f>
        <v/>
      </c>
      <c r="J4871" s="5">
        <f>IF(OR(H4871=1,I4871=1),0,IF(G4871="Credit",-F4871,F4871))</f>
        <v/>
      </c>
    </row>
    <row r="4872">
      <c r="A4872" t="inlineStr">
        <is>
          <t>2026-08-17</t>
        </is>
      </c>
      <c r="B4872" t="inlineStr">
        <is>
          <t>F275429</t>
        </is>
      </c>
      <c r="C4872" t="inlineStr">
        <is>
          <t>C10815</t>
        </is>
      </c>
      <c r="D4872" t="inlineStr">
        <is>
          <t>SKU-10030</t>
        </is>
      </c>
      <c r="E4872" t="inlineStr">
        <is>
          <t>AM02</t>
        </is>
      </c>
      <c r="F4872" s="5" t="n">
        <v>247.3</v>
      </c>
      <c r="G4872">
        <f>IF(LEFT(B4872,1)="C","Credit","Factuur")</f>
        <v/>
      </c>
      <c r="H4872">
        <f>IF(AND(B4872=B4871,D4872=D4871,A4872=A4871,F4872=F4871),1,0)</f>
        <v/>
      </c>
      <c r="I4872">
        <f>IF(C4872="C99999",1,0)</f>
        <v/>
      </c>
      <c r="J4872" s="5">
        <f>IF(OR(H4872=1,I4872=1),0,IF(G4872="Credit",-F4872,F4872))</f>
        <v/>
      </c>
    </row>
    <row r="4873">
      <c r="A4873" t="inlineStr">
        <is>
          <t>2026-08-17</t>
        </is>
      </c>
      <c r="B4873" t="inlineStr">
        <is>
          <t>F275429</t>
        </is>
      </c>
      <c r="C4873" t="inlineStr">
        <is>
          <t>C10815</t>
        </is>
      </c>
      <c r="D4873" t="inlineStr">
        <is>
          <t>SKU-10157</t>
        </is>
      </c>
      <c r="E4873" t="inlineStr">
        <is>
          <t>AM02</t>
        </is>
      </c>
      <c r="F4873" s="5" t="n">
        <v>251.62</v>
      </c>
      <c r="G4873">
        <f>IF(LEFT(B4873,1)="C","Credit","Factuur")</f>
        <v/>
      </c>
      <c r="H4873">
        <f>IF(AND(B4873=B4872,D4873=D4872,A4873=A4872,F4873=F4872),1,0)</f>
        <v/>
      </c>
      <c r="I4873">
        <f>IF(C4873="C99999",1,0)</f>
        <v/>
      </c>
      <c r="J4873" s="5">
        <f>IF(OR(H4873=1,I4873=1),0,IF(G4873="Credit",-F4873,F4873))</f>
        <v/>
      </c>
    </row>
    <row r="4874">
      <c r="A4874" t="inlineStr">
        <is>
          <t>2026-08-17</t>
        </is>
      </c>
      <c r="B4874" t="inlineStr">
        <is>
          <t>F275475</t>
        </is>
      </c>
      <c r="C4874" t="inlineStr">
        <is>
          <t>C10818</t>
        </is>
      </c>
      <c r="D4874" t="inlineStr">
        <is>
          <t>SKU-10323</t>
        </is>
      </c>
      <c r="E4874" t="inlineStr">
        <is>
          <t>AM07</t>
        </is>
      </c>
      <c r="F4874" s="5" t="n">
        <v>211.8</v>
      </c>
      <c r="G4874">
        <f>IF(LEFT(B4874,1)="C","Credit","Factuur")</f>
        <v/>
      </c>
      <c r="H4874">
        <f>IF(AND(B4874=B4873,D4874=D4873,A4874=A4873,F4874=F4873),1,0)</f>
        <v/>
      </c>
      <c r="I4874">
        <f>IF(C4874="C99999",1,0)</f>
        <v/>
      </c>
      <c r="J4874" s="5">
        <f>IF(OR(H4874=1,I4874=1),0,IF(G4874="Credit",-F4874,F4874))</f>
        <v/>
      </c>
    </row>
    <row r="4875">
      <c r="A4875" t="inlineStr">
        <is>
          <t>2026-08-17</t>
        </is>
      </c>
      <c r="B4875" t="inlineStr">
        <is>
          <t>F275861</t>
        </is>
      </c>
      <c r="C4875" t="inlineStr">
        <is>
          <t>C10841</t>
        </is>
      </c>
      <c r="D4875" t="inlineStr">
        <is>
          <t>SKU-10019</t>
        </is>
      </c>
      <c r="E4875" t="inlineStr">
        <is>
          <t>AM11</t>
        </is>
      </c>
      <c r="F4875" s="5" t="n">
        <v>792.1799999999999</v>
      </c>
      <c r="G4875">
        <f>IF(LEFT(B4875,1)="C","Credit","Factuur")</f>
        <v/>
      </c>
      <c r="H4875">
        <f>IF(AND(B4875=B4874,D4875=D4874,A4875=A4874,F4875=F4874),1,0)</f>
        <v/>
      </c>
      <c r="I4875">
        <f>IF(C4875="C99999",1,0)</f>
        <v/>
      </c>
      <c r="J4875" s="5">
        <f>IF(OR(H4875=1,I4875=1),0,IF(G4875="Credit",-F4875,F4875))</f>
        <v/>
      </c>
    </row>
    <row r="4876">
      <c r="A4876" t="inlineStr">
        <is>
          <t>2026-08-17</t>
        </is>
      </c>
      <c r="B4876" t="inlineStr">
        <is>
          <t>F275861</t>
        </is>
      </c>
      <c r="C4876" t="inlineStr">
        <is>
          <t>C10841</t>
        </is>
      </c>
      <c r="D4876" t="inlineStr">
        <is>
          <t>SKU-10135</t>
        </is>
      </c>
      <c r="E4876" t="inlineStr">
        <is>
          <t>AM11</t>
        </is>
      </c>
      <c r="F4876" s="5" t="n">
        <v>772.92</v>
      </c>
      <c r="G4876">
        <f>IF(LEFT(B4876,1)="C","Credit","Factuur")</f>
        <v/>
      </c>
      <c r="H4876">
        <f>IF(AND(B4876=B4875,D4876=D4875,A4876=A4875,F4876=F4875),1,0)</f>
        <v/>
      </c>
      <c r="I4876">
        <f>IF(C4876="C99999",1,0)</f>
        <v/>
      </c>
      <c r="J4876" s="5">
        <f>IF(OR(H4876=1,I4876=1),0,IF(G4876="Credit",-F4876,F4876))</f>
        <v/>
      </c>
    </row>
    <row r="4877">
      <c r="A4877" t="inlineStr">
        <is>
          <t>2026-08-17</t>
        </is>
      </c>
      <c r="B4877" t="inlineStr">
        <is>
          <t>F275861</t>
        </is>
      </c>
      <c r="C4877" t="inlineStr">
        <is>
          <t>C10841</t>
        </is>
      </c>
      <c r="D4877" t="inlineStr">
        <is>
          <t>SKU-10185</t>
        </is>
      </c>
      <c r="E4877" t="inlineStr"/>
      <c r="F4877" s="5" t="n">
        <v>817.74</v>
      </c>
      <c r="G4877">
        <f>IF(LEFT(B4877,1)="C","Credit","Factuur")</f>
        <v/>
      </c>
      <c r="H4877">
        <f>IF(AND(B4877=B4876,D4877=D4876,A4877=A4876,F4877=F4876),1,0)</f>
        <v/>
      </c>
      <c r="I4877">
        <f>IF(C4877="C99999",1,0)</f>
        <v/>
      </c>
      <c r="J4877" s="5">
        <f>IF(OR(H4877=1,I4877=1),0,IF(G4877="Credit",-F4877,F4877))</f>
        <v/>
      </c>
    </row>
    <row r="4878">
      <c r="A4878" t="inlineStr">
        <is>
          <t>2026-08-17</t>
        </is>
      </c>
      <c r="B4878" t="inlineStr">
        <is>
          <t>F276026</t>
        </is>
      </c>
      <c r="C4878" t="inlineStr">
        <is>
          <t>C10851</t>
        </is>
      </c>
      <c r="D4878" t="inlineStr">
        <is>
          <t>SKU-10079</t>
        </is>
      </c>
      <c r="E4878" t="inlineStr">
        <is>
          <t>AM02</t>
        </is>
      </c>
      <c r="F4878" s="5" t="n">
        <v>1109.71</v>
      </c>
      <c r="G4878">
        <f>IF(LEFT(B4878,1)="C","Credit","Factuur")</f>
        <v/>
      </c>
      <c r="H4878">
        <f>IF(AND(B4878=B4877,D4878=D4877,A4878=A4877,F4878=F4877),1,0)</f>
        <v/>
      </c>
      <c r="I4878">
        <f>IF(C4878="C99999",1,0)</f>
        <v/>
      </c>
      <c r="J4878" s="5">
        <f>IF(OR(H4878=1,I4878=1),0,IF(G4878="Credit",-F4878,F4878))</f>
        <v/>
      </c>
    </row>
    <row r="4879">
      <c r="A4879" t="inlineStr">
        <is>
          <t>2026-08-17</t>
        </is>
      </c>
      <c r="B4879" t="inlineStr">
        <is>
          <t>F276026</t>
        </is>
      </c>
      <c r="C4879" t="inlineStr">
        <is>
          <t>C10851</t>
        </is>
      </c>
      <c r="D4879" t="inlineStr">
        <is>
          <t>SKU-10374</t>
        </is>
      </c>
      <c r="E4879" t="inlineStr">
        <is>
          <t>AM02</t>
        </is>
      </c>
      <c r="F4879" s="5" t="n">
        <v>1114.83</v>
      </c>
      <c r="G4879">
        <f>IF(LEFT(B4879,1)="C","Credit","Factuur")</f>
        <v/>
      </c>
      <c r="H4879">
        <f>IF(AND(B4879=B4878,D4879=D4878,A4879=A4878,F4879=F4878),1,0)</f>
        <v/>
      </c>
      <c r="I4879">
        <f>IF(C4879="C99999",1,0)</f>
        <v/>
      </c>
      <c r="J4879" s="5">
        <f>IF(OR(H4879=1,I4879=1),0,IF(G4879="Credit",-F4879,F4879))</f>
        <v/>
      </c>
    </row>
    <row r="4880">
      <c r="A4880" t="inlineStr">
        <is>
          <t>2026-08-17</t>
        </is>
      </c>
      <c r="B4880" t="inlineStr">
        <is>
          <t>F276469</t>
        </is>
      </c>
      <c r="C4880" t="inlineStr">
        <is>
          <t>C10872</t>
        </is>
      </c>
      <c r="D4880" t="inlineStr">
        <is>
          <t>SKU-10046</t>
        </is>
      </c>
      <c r="E4880" t="inlineStr">
        <is>
          <t>AM08</t>
        </is>
      </c>
      <c r="F4880" s="5" t="n">
        <v>260.37</v>
      </c>
      <c r="G4880">
        <f>IF(LEFT(B4880,1)="C","Credit","Factuur")</f>
        <v/>
      </c>
      <c r="H4880">
        <f>IF(AND(B4880=B4879,D4880=D4879,A4880=A4879,F4880=F4879),1,0)</f>
        <v/>
      </c>
      <c r="I4880">
        <f>IF(C4880="C99999",1,0)</f>
        <v/>
      </c>
      <c r="J4880" s="5">
        <f>IF(OR(H4880=1,I4880=1),0,IF(G4880="Credit",-F4880,F4880))</f>
        <v/>
      </c>
    </row>
    <row r="4881">
      <c r="A4881" t="inlineStr">
        <is>
          <t>2026-08-17</t>
        </is>
      </c>
      <c r="B4881" t="inlineStr">
        <is>
          <t>F276469</t>
        </is>
      </c>
      <c r="C4881" t="inlineStr">
        <is>
          <t>C10872</t>
        </is>
      </c>
      <c r="D4881" t="inlineStr">
        <is>
          <t>SKU-10227</t>
        </is>
      </c>
      <c r="E4881" t="inlineStr">
        <is>
          <t>AM08</t>
        </is>
      </c>
      <c r="F4881" s="5" t="n">
        <v>234.43</v>
      </c>
      <c r="G4881">
        <f>IF(LEFT(B4881,1)="C","Credit","Factuur")</f>
        <v/>
      </c>
      <c r="H4881">
        <f>IF(AND(B4881=B4880,D4881=D4880,A4881=A4880,F4881=F4880),1,0)</f>
        <v/>
      </c>
      <c r="I4881">
        <f>IF(C4881="C99999",1,0)</f>
        <v/>
      </c>
      <c r="J4881" s="5">
        <f>IF(OR(H4881=1,I4881=1),0,IF(G4881="Credit",-F4881,F4881))</f>
        <v/>
      </c>
    </row>
    <row r="4882">
      <c r="A4882" t="inlineStr">
        <is>
          <t>2026-08-17</t>
        </is>
      </c>
      <c r="B4882" t="inlineStr">
        <is>
          <t>F276469</t>
        </is>
      </c>
      <c r="C4882" t="inlineStr">
        <is>
          <t>C10872</t>
        </is>
      </c>
      <c r="D4882" t="inlineStr">
        <is>
          <t>SKU-10249</t>
        </is>
      </c>
      <c r="E4882" t="inlineStr">
        <is>
          <t>AM08</t>
        </is>
      </c>
      <c r="F4882" s="5" t="n">
        <v>248.8</v>
      </c>
      <c r="G4882">
        <f>IF(LEFT(B4882,1)="C","Credit","Factuur")</f>
        <v/>
      </c>
      <c r="H4882">
        <f>IF(AND(B4882=B4881,D4882=D4881,A4882=A4881,F4882=F4881),1,0)</f>
        <v/>
      </c>
      <c r="I4882">
        <f>IF(C4882="C99999",1,0)</f>
        <v/>
      </c>
      <c r="J4882" s="5">
        <f>IF(OR(H4882=1,I4882=1),0,IF(G4882="Credit",-F4882,F4882))</f>
        <v/>
      </c>
    </row>
    <row r="4883">
      <c r="A4883" t="inlineStr">
        <is>
          <t>2026-08-17</t>
        </is>
      </c>
      <c r="B4883" t="inlineStr">
        <is>
          <t>F276469</t>
        </is>
      </c>
      <c r="C4883" t="inlineStr">
        <is>
          <t>C10872</t>
        </is>
      </c>
      <c r="D4883" t="inlineStr">
        <is>
          <t>SKU-10276</t>
        </is>
      </c>
      <c r="E4883" t="inlineStr">
        <is>
          <t>AM08</t>
        </is>
      </c>
      <c r="F4883" s="5" t="n">
        <v>248.98</v>
      </c>
      <c r="G4883">
        <f>IF(LEFT(B4883,1)="C","Credit","Factuur")</f>
        <v/>
      </c>
      <c r="H4883">
        <f>IF(AND(B4883=B4882,D4883=D4882,A4883=A4882,F4883=F4882),1,0)</f>
        <v/>
      </c>
      <c r="I4883">
        <f>IF(C4883="C99999",1,0)</f>
        <v/>
      </c>
      <c r="J4883" s="5">
        <f>IF(OR(H4883=1,I4883=1),0,IF(G4883="Credit",-F4883,F4883))</f>
        <v/>
      </c>
    </row>
    <row r="4884">
      <c r="A4884" t="inlineStr">
        <is>
          <t>2026-08-17</t>
        </is>
      </c>
      <c r="B4884" t="inlineStr">
        <is>
          <t>F277261</t>
        </is>
      </c>
      <c r="C4884" t="inlineStr">
        <is>
          <t>C10917</t>
        </is>
      </c>
      <c r="D4884" t="inlineStr">
        <is>
          <t>SKU-10007</t>
        </is>
      </c>
      <c r="E4884" t="inlineStr"/>
      <c r="F4884" s="5" t="n">
        <v>63.08</v>
      </c>
      <c r="G4884">
        <f>IF(LEFT(B4884,1)="C","Credit","Factuur")</f>
        <v/>
      </c>
      <c r="H4884">
        <f>IF(AND(B4884=B4883,D4884=D4883,A4884=A4883,F4884=F4883),1,0)</f>
        <v/>
      </c>
      <c r="I4884">
        <f>IF(C4884="C99999",1,0)</f>
        <v/>
      </c>
      <c r="J4884" s="5">
        <f>IF(OR(H4884=1,I4884=1),0,IF(G4884="Credit",-F4884,F4884))</f>
        <v/>
      </c>
    </row>
    <row r="4885">
      <c r="A4885" t="inlineStr">
        <is>
          <t>2026-08-17</t>
        </is>
      </c>
      <c r="B4885" t="inlineStr">
        <is>
          <t>F277261</t>
        </is>
      </c>
      <c r="C4885" t="inlineStr">
        <is>
          <t>C10917</t>
        </is>
      </c>
      <c r="D4885" t="inlineStr">
        <is>
          <t>SKU-10017</t>
        </is>
      </c>
      <c r="E4885" t="inlineStr"/>
      <c r="F4885" s="5" t="n">
        <v>73.81</v>
      </c>
      <c r="G4885">
        <f>IF(LEFT(B4885,1)="C","Credit","Factuur")</f>
        <v/>
      </c>
      <c r="H4885">
        <f>IF(AND(B4885=B4884,D4885=D4884,A4885=A4884,F4885=F4884),1,0)</f>
        <v/>
      </c>
      <c r="I4885">
        <f>IF(C4885="C99999",1,0)</f>
        <v/>
      </c>
      <c r="J4885" s="5">
        <f>IF(OR(H4885=1,I4885=1),0,IF(G4885="Credit",-F4885,F4885))</f>
        <v/>
      </c>
    </row>
    <row r="4886">
      <c r="A4886" t="inlineStr">
        <is>
          <t>2026-08-17</t>
        </is>
      </c>
      <c r="B4886" t="inlineStr">
        <is>
          <t>F277261</t>
        </is>
      </c>
      <c r="C4886" t="inlineStr">
        <is>
          <t>C10917</t>
        </is>
      </c>
      <c r="D4886" t="inlineStr">
        <is>
          <t>SKU-10103</t>
        </is>
      </c>
      <c r="E4886" t="inlineStr">
        <is>
          <t>AM11</t>
        </is>
      </c>
      <c r="F4886" s="5" t="n">
        <v>75.45999999999999</v>
      </c>
      <c r="G4886">
        <f>IF(LEFT(B4886,1)="C","Credit","Factuur")</f>
        <v/>
      </c>
      <c r="H4886">
        <f>IF(AND(B4886=B4885,D4886=D4885,A4886=A4885,F4886=F4885),1,0)</f>
        <v/>
      </c>
      <c r="I4886">
        <f>IF(C4886="C99999",1,0)</f>
        <v/>
      </c>
      <c r="J4886" s="5">
        <f>IF(OR(H4886=1,I4886=1),0,IF(G4886="Credit",-F4886,F4886))</f>
        <v/>
      </c>
    </row>
    <row r="4887">
      <c r="A4887" t="inlineStr">
        <is>
          <t>2026-08-17</t>
        </is>
      </c>
      <c r="B4887" t="inlineStr">
        <is>
          <t>F277261</t>
        </is>
      </c>
      <c r="C4887" t="inlineStr">
        <is>
          <t>C10917</t>
        </is>
      </c>
      <c r="D4887" t="inlineStr">
        <is>
          <t>SKU-10137</t>
        </is>
      </c>
      <c r="E4887" t="inlineStr">
        <is>
          <t>AM11</t>
        </is>
      </c>
      <c r="F4887" s="5" t="n">
        <v>96.84999999999999</v>
      </c>
      <c r="G4887">
        <f>IF(LEFT(B4887,1)="C","Credit","Factuur")</f>
        <v/>
      </c>
      <c r="H4887">
        <f>IF(AND(B4887=B4886,D4887=D4886,A4887=A4886,F4887=F4886),1,0)</f>
        <v/>
      </c>
      <c r="I4887">
        <f>IF(C4887="C99999",1,0)</f>
        <v/>
      </c>
      <c r="J4887" s="5">
        <f>IF(OR(H4887=1,I4887=1),0,IF(G4887="Credit",-F4887,F4887))</f>
        <v/>
      </c>
    </row>
    <row r="4888">
      <c r="A4888" t="inlineStr">
        <is>
          <t>2026-08-17</t>
        </is>
      </c>
      <c r="B4888" t="inlineStr">
        <is>
          <t>F278925</t>
        </is>
      </c>
      <c r="C4888" t="inlineStr">
        <is>
          <t>C11002</t>
        </is>
      </c>
      <c r="D4888" t="inlineStr">
        <is>
          <t>SKU-10272</t>
        </is>
      </c>
      <c r="E4888" t="inlineStr">
        <is>
          <t>AM06</t>
        </is>
      </c>
      <c r="F4888" s="5" t="n">
        <v>226.26</v>
      </c>
      <c r="G4888">
        <f>IF(LEFT(B4888,1)="C","Credit","Factuur")</f>
        <v/>
      </c>
      <c r="H4888">
        <f>IF(AND(B4888=B4887,D4888=D4887,A4888=A4887,F4888=F4887),1,0)</f>
        <v/>
      </c>
      <c r="I4888">
        <f>IF(C4888="C99999",1,0)</f>
        <v/>
      </c>
      <c r="J4888" s="5">
        <f>IF(OR(H4888=1,I4888=1),0,IF(G4888="Credit",-F4888,F4888))</f>
        <v/>
      </c>
    </row>
    <row r="4889">
      <c r="A4889" t="inlineStr">
        <is>
          <t>2026-08-17</t>
        </is>
      </c>
      <c r="B4889" t="inlineStr">
        <is>
          <t>F278925</t>
        </is>
      </c>
      <c r="C4889" t="inlineStr">
        <is>
          <t>C11002</t>
        </is>
      </c>
      <c r="D4889" t="inlineStr">
        <is>
          <t>SKU-10306</t>
        </is>
      </c>
      <c r="E4889" t="inlineStr">
        <is>
          <t>AM06</t>
        </is>
      </c>
      <c r="F4889" s="5" t="n">
        <v>229.7</v>
      </c>
      <c r="G4889">
        <f>IF(LEFT(B4889,1)="C","Credit","Factuur")</f>
        <v/>
      </c>
      <c r="H4889">
        <f>IF(AND(B4889=B4888,D4889=D4888,A4889=A4888,F4889=F4888),1,0)</f>
        <v/>
      </c>
      <c r="I4889">
        <f>IF(C4889="C99999",1,0)</f>
        <v/>
      </c>
      <c r="J4889" s="5">
        <f>IF(OR(H4889=1,I4889=1),0,IF(G4889="Credit",-F4889,F4889))</f>
        <v/>
      </c>
    </row>
    <row r="4890">
      <c r="A4890" t="inlineStr">
        <is>
          <t>2026-08-17</t>
        </is>
      </c>
      <c r="B4890" t="inlineStr">
        <is>
          <t>F278925</t>
        </is>
      </c>
      <c r="C4890" t="inlineStr">
        <is>
          <t>C11002</t>
        </is>
      </c>
      <c r="D4890" t="inlineStr">
        <is>
          <t>SKU-10313</t>
        </is>
      </c>
      <c r="E4890" t="inlineStr">
        <is>
          <t>AM06</t>
        </is>
      </c>
      <c r="F4890" s="5" t="n">
        <v>222.4</v>
      </c>
      <c r="G4890">
        <f>IF(LEFT(B4890,1)="C","Credit","Factuur")</f>
        <v/>
      </c>
      <c r="H4890">
        <f>IF(AND(B4890=B4889,D4890=D4889,A4890=A4889,F4890=F4889),1,0)</f>
        <v/>
      </c>
      <c r="I4890">
        <f>IF(C4890="C99999",1,0)</f>
        <v/>
      </c>
      <c r="J4890" s="5">
        <f>IF(OR(H4890=1,I4890=1),0,IF(G4890="Credit",-F4890,F4890))</f>
        <v/>
      </c>
    </row>
    <row r="4891">
      <c r="A4891" t="inlineStr">
        <is>
          <t>2026-08-17</t>
        </is>
      </c>
      <c r="B4891" t="inlineStr">
        <is>
          <t>F278925</t>
        </is>
      </c>
      <c r="C4891" t="inlineStr">
        <is>
          <t>C11002</t>
        </is>
      </c>
      <c r="D4891" t="inlineStr">
        <is>
          <t>SKU-10327</t>
        </is>
      </c>
      <c r="E4891" t="inlineStr">
        <is>
          <t>AM06</t>
        </is>
      </c>
      <c r="F4891" s="5" t="n">
        <v>231.5</v>
      </c>
      <c r="G4891">
        <f>IF(LEFT(B4891,1)="C","Credit","Factuur")</f>
        <v/>
      </c>
      <c r="H4891">
        <f>IF(AND(B4891=B4890,D4891=D4890,A4891=A4890,F4891=F4890),1,0)</f>
        <v/>
      </c>
      <c r="I4891">
        <f>IF(C4891="C99999",1,0)</f>
        <v/>
      </c>
      <c r="J4891" s="5">
        <f>IF(OR(H4891=1,I4891=1),0,IF(G4891="Credit",-F4891,F4891))</f>
        <v/>
      </c>
    </row>
    <row r="4892">
      <c r="A4892" t="inlineStr">
        <is>
          <t>2026-08-17</t>
        </is>
      </c>
      <c r="B4892" t="inlineStr">
        <is>
          <t>F279606</t>
        </is>
      </c>
      <c r="C4892" t="inlineStr">
        <is>
          <t>C11039</t>
        </is>
      </c>
      <c r="D4892" t="inlineStr">
        <is>
          <t>SKU-10023</t>
        </is>
      </c>
      <c r="E4892" t="inlineStr">
        <is>
          <t>AM05</t>
        </is>
      </c>
      <c r="F4892" s="5" t="n">
        <v>152.16</v>
      </c>
      <c r="G4892">
        <f>IF(LEFT(B4892,1)="C","Credit","Factuur")</f>
        <v/>
      </c>
      <c r="H4892">
        <f>IF(AND(B4892=B4891,D4892=D4891,A4892=A4891,F4892=F4891),1,0)</f>
        <v/>
      </c>
      <c r="I4892">
        <f>IF(C4892="C99999",1,0)</f>
        <v/>
      </c>
      <c r="J4892" s="5">
        <f>IF(OR(H4892=1,I4892=1),0,IF(G4892="Credit",-F4892,F4892))</f>
        <v/>
      </c>
    </row>
    <row r="4893">
      <c r="A4893" t="inlineStr">
        <is>
          <t>2026-08-17</t>
        </is>
      </c>
      <c r="B4893" t="inlineStr">
        <is>
          <t>F279606</t>
        </is>
      </c>
      <c r="C4893" t="inlineStr">
        <is>
          <t>C11039</t>
        </is>
      </c>
      <c r="D4893" t="inlineStr">
        <is>
          <t>SKU-10141</t>
        </is>
      </c>
      <c r="E4893" t="inlineStr">
        <is>
          <t>AM05</t>
        </is>
      </c>
      <c r="F4893" s="5" t="n">
        <v>159.15</v>
      </c>
      <c r="G4893">
        <f>IF(LEFT(B4893,1)="C","Credit","Factuur")</f>
        <v/>
      </c>
      <c r="H4893">
        <f>IF(AND(B4893=B4892,D4893=D4892,A4893=A4892,F4893=F4892),1,0)</f>
        <v/>
      </c>
      <c r="I4893">
        <f>IF(C4893="C99999",1,0)</f>
        <v/>
      </c>
      <c r="J4893" s="5">
        <f>IF(OR(H4893=1,I4893=1),0,IF(G4893="Credit",-F4893,F4893))</f>
        <v/>
      </c>
    </row>
    <row r="4894">
      <c r="A4894" t="inlineStr">
        <is>
          <t>2026-08-17</t>
        </is>
      </c>
      <c r="B4894" t="inlineStr">
        <is>
          <t>F279606</t>
        </is>
      </c>
      <c r="C4894" t="inlineStr">
        <is>
          <t>C11039</t>
        </is>
      </c>
      <c r="D4894" t="inlineStr">
        <is>
          <t>SKU-10194</t>
        </is>
      </c>
      <c r="E4894" t="inlineStr">
        <is>
          <t>AM05</t>
        </is>
      </c>
      <c r="F4894" s="5" t="n">
        <v>195.85</v>
      </c>
      <c r="G4894">
        <f>IF(LEFT(B4894,1)="C","Credit","Factuur")</f>
        <v/>
      </c>
      <c r="H4894">
        <f>IF(AND(B4894=B4893,D4894=D4893,A4894=A4893,F4894=F4893),1,0)</f>
        <v/>
      </c>
      <c r="I4894">
        <f>IF(C4894="C99999",1,0)</f>
        <v/>
      </c>
      <c r="J4894" s="5">
        <f>IF(OR(H4894=1,I4894=1),0,IF(G4894="Credit",-F4894,F4894))</f>
        <v/>
      </c>
    </row>
    <row r="4895">
      <c r="A4895" t="inlineStr">
        <is>
          <t>2026-08-17</t>
        </is>
      </c>
      <c r="B4895" t="inlineStr">
        <is>
          <t>F280565</t>
        </is>
      </c>
      <c r="C4895" t="inlineStr">
        <is>
          <t>C11084</t>
        </is>
      </c>
      <c r="D4895" t="inlineStr">
        <is>
          <t>SKU-10114</t>
        </is>
      </c>
      <c r="E4895" t="inlineStr">
        <is>
          <t>AM12</t>
        </is>
      </c>
      <c r="F4895" s="5" t="n">
        <v>214.24</v>
      </c>
      <c r="G4895">
        <f>IF(LEFT(B4895,1)="C","Credit","Factuur")</f>
        <v/>
      </c>
      <c r="H4895">
        <f>IF(AND(B4895=B4894,D4895=D4894,A4895=A4894,F4895=F4894),1,0)</f>
        <v/>
      </c>
      <c r="I4895">
        <f>IF(C4895="C99999",1,0)</f>
        <v/>
      </c>
      <c r="J4895" s="5">
        <f>IF(OR(H4895=1,I4895=1),0,IF(G4895="Credit",-F4895,F4895))</f>
        <v/>
      </c>
    </row>
    <row r="4896">
      <c r="A4896" t="inlineStr">
        <is>
          <t>2026-08-17</t>
        </is>
      </c>
      <c r="B4896" t="inlineStr">
        <is>
          <t>F280565</t>
        </is>
      </c>
      <c r="C4896" t="inlineStr">
        <is>
          <t>C11084</t>
        </is>
      </c>
      <c r="D4896" t="inlineStr">
        <is>
          <t>SKU-10140</t>
        </is>
      </c>
      <c r="E4896" t="inlineStr">
        <is>
          <t>AM12</t>
        </is>
      </c>
      <c r="F4896" s="5" t="n">
        <v>209.84</v>
      </c>
      <c r="G4896">
        <f>IF(LEFT(B4896,1)="C","Credit","Factuur")</f>
        <v/>
      </c>
      <c r="H4896">
        <f>IF(AND(B4896=B4895,D4896=D4895,A4896=A4895,F4896=F4895),1,0)</f>
        <v/>
      </c>
      <c r="I4896">
        <f>IF(C4896="C99999",1,0)</f>
        <v/>
      </c>
      <c r="J4896" s="5">
        <f>IF(OR(H4896=1,I4896=1),0,IF(G4896="Credit",-F4896,F4896))</f>
        <v/>
      </c>
    </row>
    <row r="4897">
      <c r="A4897" t="inlineStr">
        <is>
          <t>2026-08-17</t>
        </is>
      </c>
      <c r="B4897" t="inlineStr">
        <is>
          <t>F280565</t>
        </is>
      </c>
      <c r="C4897" t="inlineStr">
        <is>
          <t>C11084</t>
        </is>
      </c>
      <c r="D4897" t="inlineStr">
        <is>
          <t>SKU-10380</t>
        </is>
      </c>
      <c r="E4897" t="inlineStr">
        <is>
          <t>AM12</t>
        </is>
      </c>
      <c r="F4897" s="5" t="n">
        <v>165.52</v>
      </c>
      <c r="G4897">
        <f>IF(LEFT(B4897,1)="C","Credit","Factuur")</f>
        <v/>
      </c>
      <c r="H4897">
        <f>IF(AND(B4897=B4896,D4897=D4896,A4897=A4896,F4897=F4896),1,0)</f>
        <v/>
      </c>
      <c r="I4897">
        <f>IF(C4897="C99999",1,0)</f>
        <v/>
      </c>
      <c r="J4897" s="5">
        <f>IF(OR(H4897=1,I4897=1),0,IF(G4897="Credit",-F4897,F4897))</f>
        <v/>
      </c>
    </row>
    <row r="4898">
      <c r="A4898" t="inlineStr">
        <is>
          <t>2026-08-17</t>
        </is>
      </c>
      <c r="B4898" t="inlineStr">
        <is>
          <t>F281703</t>
        </is>
      </c>
      <c r="C4898" t="inlineStr">
        <is>
          <t>C11144</t>
        </is>
      </c>
      <c r="D4898" t="inlineStr">
        <is>
          <t>SKU-10010</t>
        </is>
      </c>
      <c r="E4898" t="inlineStr">
        <is>
          <t>AM02</t>
        </is>
      </c>
      <c r="F4898" s="5" t="n">
        <v>441.2</v>
      </c>
      <c r="G4898">
        <f>IF(LEFT(B4898,1)="C","Credit","Factuur")</f>
        <v/>
      </c>
      <c r="H4898">
        <f>IF(AND(B4898=B4897,D4898=D4897,A4898=A4897,F4898=F4897),1,0)</f>
        <v/>
      </c>
      <c r="I4898">
        <f>IF(C4898="C99999",1,0)</f>
        <v/>
      </c>
      <c r="J4898" s="5">
        <f>IF(OR(H4898=1,I4898=1),0,IF(G4898="Credit",-F4898,F4898))</f>
        <v/>
      </c>
    </row>
    <row r="4899">
      <c r="A4899" t="inlineStr">
        <is>
          <t>2026-08-17</t>
        </is>
      </c>
      <c r="B4899" t="inlineStr">
        <is>
          <t>F281703</t>
        </is>
      </c>
      <c r="C4899" t="inlineStr">
        <is>
          <t>C11144</t>
        </is>
      </c>
      <c r="D4899" t="inlineStr">
        <is>
          <t>SKU-10128</t>
        </is>
      </c>
      <c r="E4899" t="inlineStr">
        <is>
          <t>AM02</t>
        </is>
      </c>
      <c r="F4899" s="5" t="n">
        <v>428.52</v>
      </c>
      <c r="G4899">
        <f>IF(LEFT(B4899,1)="C","Credit","Factuur")</f>
        <v/>
      </c>
      <c r="H4899">
        <f>IF(AND(B4899=B4898,D4899=D4898,A4899=A4898,F4899=F4898),1,0)</f>
        <v/>
      </c>
      <c r="I4899">
        <f>IF(C4899="C99999",1,0)</f>
        <v/>
      </c>
      <c r="J4899" s="5">
        <f>IF(OR(H4899=1,I4899=1),0,IF(G4899="Credit",-F4899,F4899))</f>
        <v/>
      </c>
    </row>
    <row r="4900">
      <c r="A4900" t="inlineStr">
        <is>
          <t>2026-08-17</t>
        </is>
      </c>
      <c r="B4900" t="inlineStr">
        <is>
          <t>F281703</t>
        </is>
      </c>
      <c r="C4900" t="inlineStr">
        <is>
          <t>C11144</t>
        </is>
      </c>
      <c r="D4900" t="inlineStr">
        <is>
          <t>SKU-10274</t>
        </is>
      </c>
      <c r="E4900" t="inlineStr"/>
      <c r="F4900" s="5" t="n">
        <v>436.39</v>
      </c>
      <c r="G4900">
        <f>IF(LEFT(B4900,1)="C","Credit","Factuur")</f>
        <v/>
      </c>
      <c r="H4900">
        <f>IF(AND(B4900=B4899,D4900=D4899,A4900=A4899,F4900=F4899),1,0)</f>
        <v/>
      </c>
      <c r="I4900">
        <f>IF(C4900="C99999",1,0)</f>
        <v/>
      </c>
      <c r="J4900" s="5">
        <f>IF(OR(H4900=1,I4900=1),0,IF(G4900="Credit",-F4900,F4900))</f>
        <v/>
      </c>
    </row>
    <row r="4901">
      <c r="A4901" t="inlineStr">
        <is>
          <t>2026-08-17</t>
        </is>
      </c>
      <c r="B4901" t="inlineStr">
        <is>
          <t>F281703</t>
        </is>
      </c>
      <c r="C4901" t="inlineStr">
        <is>
          <t>C11144</t>
        </is>
      </c>
      <c r="D4901" t="inlineStr">
        <is>
          <t>SKU-10344</t>
        </is>
      </c>
      <c r="E4901" t="inlineStr">
        <is>
          <t>AM02</t>
        </is>
      </c>
      <c r="F4901" s="5" t="n">
        <v>448</v>
      </c>
      <c r="G4901">
        <f>IF(LEFT(B4901,1)="C","Credit","Factuur")</f>
        <v/>
      </c>
      <c r="H4901">
        <f>IF(AND(B4901=B4900,D4901=D4900,A4901=A4900,F4901=F4900),1,0)</f>
        <v/>
      </c>
      <c r="I4901">
        <f>IF(C4901="C99999",1,0)</f>
        <v/>
      </c>
      <c r="J4901" s="5">
        <f>IF(OR(H4901=1,I4901=1),0,IF(G4901="Credit",-F4901,F4901))</f>
        <v/>
      </c>
    </row>
    <row r="4902">
      <c r="A4902" t="inlineStr">
        <is>
          <t>2026-08-17</t>
        </is>
      </c>
      <c r="B4902" t="inlineStr">
        <is>
          <t>F283681</t>
        </is>
      </c>
      <c r="C4902" t="inlineStr">
        <is>
          <t>C11241</t>
        </is>
      </c>
      <c r="D4902" t="inlineStr">
        <is>
          <t>SKU-10067</t>
        </is>
      </c>
      <c r="E4902" t="inlineStr">
        <is>
          <t>AM07</t>
        </is>
      </c>
      <c r="F4902" s="5" t="n">
        <v>580.6</v>
      </c>
      <c r="G4902">
        <f>IF(LEFT(B4902,1)="C","Credit","Factuur")</f>
        <v/>
      </c>
      <c r="H4902">
        <f>IF(AND(B4902=B4901,D4902=D4901,A4902=A4901,F4902=F4901),1,0)</f>
        <v/>
      </c>
      <c r="I4902">
        <f>IF(C4902="C99999",1,0)</f>
        <v/>
      </c>
      <c r="J4902" s="5">
        <f>IF(OR(H4902=1,I4902=1),0,IF(G4902="Credit",-F4902,F4902))</f>
        <v/>
      </c>
    </row>
    <row r="4903">
      <c r="A4903" t="inlineStr">
        <is>
          <t>2026-08-17</t>
        </is>
      </c>
      <c r="B4903" t="inlineStr">
        <is>
          <t>F283681</t>
        </is>
      </c>
      <c r="C4903" t="inlineStr">
        <is>
          <t>C11241</t>
        </is>
      </c>
      <c r="D4903" t="inlineStr">
        <is>
          <t>SKU-10329</t>
        </is>
      </c>
      <c r="E4903" t="inlineStr">
        <is>
          <t>AM07</t>
        </is>
      </c>
      <c r="F4903" s="5" t="n">
        <v>559.66</v>
      </c>
      <c r="G4903">
        <f>IF(LEFT(B4903,1)="C","Credit","Factuur")</f>
        <v/>
      </c>
      <c r="H4903">
        <f>IF(AND(B4903=B4902,D4903=D4902,A4903=A4902,F4903=F4902),1,0)</f>
        <v/>
      </c>
      <c r="I4903">
        <f>IF(C4903="C99999",1,0)</f>
        <v/>
      </c>
      <c r="J4903" s="5">
        <f>IF(OR(H4903=1,I4903=1),0,IF(G4903="Credit",-F4903,F4903))</f>
        <v/>
      </c>
    </row>
    <row r="4904">
      <c r="A4904" t="inlineStr">
        <is>
          <t>2026-08-17</t>
        </is>
      </c>
      <c r="B4904" t="inlineStr">
        <is>
          <t>F283681</t>
        </is>
      </c>
      <c r="C4904" t="inlineStr">
        <is>
          <t>C11241</t>
        </is>
      </c>
      <c r="D4904" t="inlineStr">
        <is>
          <t>SKU-10340</t>
        </is>
      </c>
      <c r="E4904" t="inlineStr">
        <is>
          <t>AM07</t>
        </is>
      </c>
      <c r="F4904" s="5" t="n">
        <v>538.99</v>
      </c>
      <c r="G4904">
        <f>IF(LEFT(B4904,1)="C","Credit","Factuur")</f>
        <v/>
      </c>
      <c r="H4904">
        <f>IF(AND(B4904=B4903,D4904=D4903,A4904=A4903,F4904=F4903),1,0)</f>
        <v/>
      </c>
      <c r="I4904">
        <f>IF(C4904="C99999",1,0)</f>
        <v/>
      </c>
      <c r="J4904" s="5">
        <f>IF(OR(H4904=1,I4904=1),0,IF(G4904="Credit",-F4904,F4904))</f>
        <v/>
      </c>
    </row>
    <row r="4905">
      <c r="A4905" t="inlineStr">
        <is>
          <t>2026-08-17</t>
        </is>
      </c>
      <c r="B4905" t="inlineStr">
        <is>
          <t>F284391</t>
        </is>
      </c>
      <c r="C4905" t="inlineStr">
        <is>
          <t>C11277</t>
        </is>
      </c>
      <c r="D4905" t="inlineStr">
        <is>
          <t>SKU-10095</t>
        </is>
      </c>
      <c r="E4905" t="inlineStr">
        <is>
          <t>AM11</t>
        </is>
      </c>
      <c r="F4905" s="5" t="n">
        <v>326.83</v>
      </c>
      <c r="G4905">
        <f>IF(LEFT(B4905,1)="C","Credit","Factuur")</f>
        <v/>
      </c>
      <c r="H4905">
        <f>IF(AND(B4905=B4904,D4905=D4904,A4905=A4904,F4905=F4904),1,0)</f>
        <v/>
      </c>
      <c r="I4905">
        <f>IF(C4905="C99999",1,0)</f>
        <v/>
      </c>
      <c r="J4905" s="5">
        <f>IF(OR(H4905=1,I4905=1),0,IF(G4905="Credit",-F4905,F4905))</f>
        <v/>
      </c>
    </row>
    <row r="4906">
      <c r="A4906" t="inlineStr">
        <is>
          <t>2026-08-17</t>
        </is>
      </c>
      <c r="B4906" t="inlineStr">
        <is>
          <t>F284391</t>
        </is>
      </c>
      <c r="C4906" t="inlineStr">
        <is>
          <t>C11277</t>
        </is>
      </c>
      <c r="D4906" t="inlineStr">
        <is>
          <t>SKU-10170</t>
        </is>
      </c>
      <c r="E4906" t="inlineStr">
        <is>
          <t>AM11</t>
        </is>
      </c>
      <c r="F4906" s="5" t="n">
        <v>373.2</v>
      </c>
      <c r="G4906">
        <f>IF(LEFT(B4906,1)="C","Credit","Factuur")</f>
        <v/>
      </c>
      <c r="H4906">
        <f>IF(AND(B4906=B4905,D4906=D4905,A4906=A4905,F4906=F4905),1,0)</f>
        <v/>
      </c>
      <c r="I4906">
        <f>IF(C4906="C99999",1,0)</f>
        <v/>
      </c>
      <c r="J4906" s="5">
        <f>IF(OR(H4906=1,I4906=1),0,IF(G4906="Credit",-F4906,F4906))</f>
        <v/>
      </c>
    </row>
    <row r="4907">
      <c r="A4907" t="inlineStr">
        <is>
          <t>2026-08-17</t>
        </is>
      </c>
      <c r="B4907" t="inlineStr">
        <is>
          <t>F284391</t>
        </is>
      </c>
      <c r="C4907" t="inlineStr">
        <is>
          <t>C11277</t>
        </is>
      </c>
      <c r="D4907" t="inlineStr">
        <is>
          <t>SKU-10325</t>
        </is>
      </c>
      <c r="E4907" t="inlineStr">
        <is>
          <t>AM11</t>
        </is>
      </c>
      <c r="F4907" s="5" t="n">
        <v>357.96</v>
      </c>
      <c r="G4907">
        <f>IF(LEFT(B4907,1)="C","Credit","Factuur")</f>
        <v/>
      </c>
      <c r="H4907">
        <f>IF(AND(B4907=B4906,D4907=D4906,A4907=A4906,F4907=F4906),1,0)</f>
        <v/>
      </c>
      <c r="I4907">
        <f>IF(C4907="C99999",1,0)</f>
        <v/>
      </c>
      <c r="J4907" s="5">
        <f>IF(OR(H4907=1,I4907=1),0,IF(G4907="Credit",-F4907,F4907))</f>
        <v/>
      </c>
    </row>
    <row r="4908">
      <c r="A4908" t="inlineStr">
        <is>
          <t>2026-08-17</t>
        </is>
      </c>
      <c r="B4908" t="inlineStr">
        <is>
          <t>F284391</t>
        </is>
      </c>
      <c r="C4908" t="inlineStr">
        <is>
          <t>C11277</t>
        </is>
      </c>
      <c r="D4908" t="inlineStr">
        <is>
          <t>SKU-10327</t>
        </is>
      </c>
      <c r="E4908" t="inlineStr">
        <is>
          <t>AM11</t>
        </is>
      </c>
      <c r="F4908" s="5" t="n">
        <v>351.88</v>
      </c>
      <c r="G4908">
        <f>IF(LEFT(B4908,1)="C","Credit","Factuur")</f>
        <v/>
      </c>
      <c r="H4908">
        <f>IF(AND(B4908=B4907,D4908=D4907,A4908=A4907,F4908=F4907),1,0)</f>
        <v/>
      </c>
      <c r="I4908">
        <f>IF(C4908="C99999",1,0)</f>
        <v/>
      </c>
      <c r="J4908" s="5">
        <f>IF(OR(H4908=1,I4908=1),0,IF(G4908="Credit",-F4908,F4908))</f>
        <v/>
      </c>
    </row>
    <row r="4909">
      <c r="A4909" t="inlineStr">
        <is>
          <t>2026-08-17</t>
        </is>
      </c>
      <c r="B4909" t="inlineStr">
        <is>
          <t>F284391</t>
        </is>
      </c>
      <c r="C4909" t="inlineStr">
        <is>
          <t>C11277</t>
        </is>
      </c>
      <c r="D4909" t="inlineStr">
        <is>
          <t>SKU-10384</t>
        </is>
      </c>
      <c r="E4909" t="inlineStr">
        <is>
          <t>AM11</t>
        </is>
      </c>
      <c r="F4909" s="5" t="n">
        <v>357.06</v>
      </c>
      <c r="G4909">
        <f>IF(LEFT(B4909,1)="C","Credit","Factuur")</f>
        <v/>
      </c>
      <c r="H4909">
        <f>IF(AND(B4909=B4908,D4909=D4908,A4909=A4908,F4909=F4908),1,0)</f>
        <v/>
      </c>
      <c r="I4909">
        <f>IF(C4909="C99999",1,0)</f>
        <v/>
      </c>
      <c r="J4909" s="5">
        <f>IF(OR(H4909=1,I4909=1),0,IF(G4909="Credit",-F4909,F4909))</f>
        <v/>
      </c>
    </row>
    <row r="4910">
      <c r="A4910" t="inlineStr">
        <is>
          <t>2026-08-17</t>
        </is>
      </c>
      <c r="B4910" t="inlineStr">
        <is>
          <t>F286013</t>
        </is>
      </c>
      <c r="C4910" t="inlineStr">
        <is>
          <t>C11362</t>
        </is>
      </c>
      <c r="D4910" t="inlineStr">
        <is>
          <t>SKU-10023</t>
        </is>
      </c>
      <c r="E4910" t="inlineStr">
        <is>
          <t>AM09</t>
        </is>
      </c>
      <c r="F4910" s="5" t="n">
        <v>101.44</v>
      </c>
      <c r="G4910">
        <f>IF(LEFT(B4910,1)="C","Credit","Factuur")</f>
        <v/>
      </c>
      <c r="H4910">
        <f>IF(AND(B4910=B4909,D4910=D4909,A4910=A4909,F4910=F4909),1,0)</f>
        <v/>
      </c>
      <c r="I4910">
        <f>IF(C4910="C99999",1,0)</f>
        <v/>
      </c>
      <c r="J4910" s="5">
        <f>IF(OR(H4910=1,I4910=1),0,IF(G4910="Credit",-F4910,F4910))</f>
        <v/>
      </c>
    </row>
    <row r="4911">
      <c r="A4911" t="inlineStr">
        <is>
          <t>2026-08-17</t>
        </is>
      </c>
      <c r="B4911" t="inlineStr">
        <is>
          <t>F286013</t>
        </is>
      </c>
      <c r="C4911" t="inlineStr">
        <is>
          <t>C11362</t>
        </is>
      </c>
      <c r="D4911" t="inlineStr">
        <is>
          <t>SKU-10034</t>
        </is>
      </c>
      <c r="E4911" t="inlineStr">
        <is>
          <t>AM09</t>
        </is>
      </c>
      <c r="F4911" s="5" t="n">
        <v>122.58</v>
      </c>
      <c r="G4911">
        <f>IF(LEFT(B4911,1)="C","Credit","Factuur")</f>
        <v/>
      </c>
      <c r="H4911">
        <f>IF(AND(B4911=B4910,D4911=D4910,A4911=A4910,F4911=F4910),1,0)</f>
        <v/>
      </c>
      <c r="I4911">
        <f>IF(C4911="C99999",1,0)</f>
        <v/>
      </c>
      <c r="J4911" s="5">
        <f>IF(OR(H4911=1,I4911=1),0,IF(G4911="Credit",-F4911,F4911))</f>
        <v/>
      </c>
    </row>
    <row r="4912">
      <c r="A4912" t="inlineStr">
        <is>
          <t>2026-08-17</t>
        </is>
      </c>
      <c r="B4912" t="inlineStr">
        <is>
          <t>F286013</t>
        </is>
      </c>
      <c r="C4912" t="inlineStr">
        <is>
          <t>C11362</t>
        </is>
      </c>
      <c r="D4912" t="inlineStr">
        <is>
          <t>SKU-10155</t>
        </is>
      </c>
      <c r="E4912" t="inlineStr">
        <is>
          <t>AM09</t>
        </is>
      </c>
      <c r="F4912" s="5" t="n">
        <v>115.37</v>
      </c>
      <c r="G4912">
        <f>IF(LEFT(B4912,1)="C","Credit","Factuur")</f>
        <v/>
      </c>
      <c r="H4912">
        <f>IF(AND(B4912=B4911,D4912=D4911,A4912=A4911,F4912=F4911),1,0)</f>
        <v/>
      </c>
      <c r="I4912">
        <f>IF(C4912="C99999",1,0)</f>
        <v/>
      </c>
      <c r="J4912" s="5">
        <f>IF(OR(H4912=1,I4912=1),0,IF(G4912="Credit",-F4912,F4912))</f>
        <v/>
      </c>
    </row>
    <row r="4913">
      <c r="A4913" t="inlineStr">
        <is>
          <t>2026-08-17</t>
        </is>
      </c>
      <c r="B4913" t="inlineStr">
        <is>
          <t>F286408</t>
        </is>
      </c>
      <c r="C4913" t="inlineStr">
        <is>
          <t>C99999</t>
        </is>
      </c>
      <c r="D4913" t="inlineStr">
        <is>
          <t>SKU-10141</t>
        </is>
      </c>
      <c r="E4913" t="inlineStr">
        <is>
          <t>IS01</t>
        </is>
      </c>
      <c r="F4913" s="5" t="n">
        <v>159.15</v>
      </c>
      <c r="G4913">
        <f>IF(LEFT(B4913,1)="C","Credit","Factuur")</f>
        <v/>
      </c>
      <c r="H4913">
        <f>IF(AND(B4913=B4912,D4913=D4912,A4913=A4912,F4913=F4912),1,0)</f>
        <v/>
      </c>
      <c r="I4913">
        <f>IF(C4913="C99999",1,0)</f>
        <v/>
      </c>
      <c r="J4913" s="5">
        <f>IF(OR(H4913=1,I4913=1),0,IF(G4913="Credit",-F4913,F4913))</f>
        <v/>
      </c>
    </row>
    <row r="4914">
      <c r="A4914" t="inlineStr">
        <is>
          <t>2026-08-18</t>
        </is>
      </c>
      <c r="B4914" t="inlineStr">
        <is>
          <t>C900332</t>
        </is>
      </c>
      <c r="C4914" t="inlineStr">
        <is>
          <t>C10491</t>
        </is>
      </c>
      <c r="D4914" t="inlineStr">
        <is>
          <t>SKU-10151</t>
        </is>
      </c>
      <c r="E4914" t="inlineStr">
        <is>
          <t>AM05</t>
        </is>
      </c>
      <c r="F4914" s="5" t="n">
        <v>626.26</v>
      </c>
      <c r="G4914">
        <f>IF(LEFT(B4914,1)="C","Credit","Factuur")</f>
        <v/>
      </c>
      <c r="H4914">
        <f>IF(AND(B4914=B4913,D4914=D4913,A4914=A4913,F4914=F4913),1,0)</f>
        <v/>
      </c>
      <c r="I4914">
        <f>IF(C4914="C99999",1,0)</f>
        <v/>
      </c>
      <c r="J4914" s="5">
        <f>IF(OR(H4914=1,I4914=1),0,IF(G4914="Credit",-F4914,F4914))</f>
        <v/>
      </c>
    </row>
    <row r="4915">
      <c r="A4915" t="inlineStr">
        <is>
          <t>2026-08-18</t>
        </is>
      </c>
      <c r="B4915" t="inlineStr">
        <is>
          <t>C901599</t>
        </is>
      </c>
      <c r="C4915" t="inlineStr">
        <is>
          <t>C11246</t>
        </is>
      </c>
      <c r="D4915" t="inlineStr">
        <is>
          <t>SKU-10036</t>
        </is>
      </c>
      <c r="E4915" t="inlineStr">
        <is>
          <t>AM02</t>
        </is>
      </c>
      <c r="F4915" s="5" t="n">
        <v>88.7</v>
      </c>
      <c r="G4915">
        <f>IF(LEFT(B4915,1)="C","Credit","Factuur")</f>
        <v/>
      </c>
      <c r="H4915">
        <f>IF(AND(B4915=B4914,D4915=D4914,A4915=A4914,F4915=F4914),1,0)</f>
        <v/>
      </c>
      <c r="I4915">
        <f>IF(C4915="C99999",1,0)</f>
        <v/>
      </c>
      <c r="J4915" s="5">
        <f>IF(OR(H4915=1,I4915=1),0,IF(G4915="Credit",-F4915,F4915))</f>
        <v/>
      </c>
    </row>
    <row r="4916">
      <c r="A4916" t="inlineStr">
        <is>
          <t>2026-08-18</t>
        </is>
      </c>
      <c r="B4916" t="inlineStr">
        <is>
          <t>F260765</t>
        </is>
      </c>
      <c r="C4916" t="inlineStr">
        <is>
          <t>C10046</t>
        </is>
      </c>
      <c r="D4916" t="inlineStr">
        <is>
          <t>SKU-10109</t>
        </is>
      </c>
      <c r="E4916" t="inlineStr">
        <is>
          <t>AM07</t>
        </is>
      </c>
      <c r="F4916" s="5" t="n">
        <v>136.66</v>
      </c>
      <c r="G4916">
        <f>IF(LEFT(B4916,1)="C","Credit","Factuur")</f>
        <v/>
      </c>
      <c r="H4916">
        <f>IF(AND(B4916=B4915,D4916=D4915,A4916=A4915,F4916=F4915),1,0)</f>
        <v/>
      </c>
      <c r="I4916">
        <f>IF(C4916="C99999",1,0)</f>
        <v/>
      </c>
      <c r="J4916" s="5">
        <f>IF(OR(H4916=1,I4916=1),0,IF(G4916="Credit",-F4916,F4916))</f>
        <v/>
      </c>
    </row>
    <row r="4917">
      <c r="A4917" t="inlineStr">
        <is>
          <t>2026-08-18</t>
        </is>
      </c>
      <c r="B4917" t="inlineStr">
        <is>
          <t>F261205</t>
        </is>
      </c>
      <c r="C4917" t="inlineStr">
        <is>
          <t>C10066</t>
        </is>
      </c>
      <c r="D4917" t="inlineStr">
        <is>
          <t>SKU-10036</t>
        </is>
      </c>
      <c r="E4917" t="inlineStr">
        <is>
          <t>AM03</t>
        </is>
      </c>
      <c r="F4917" s="5" t="n">
        <v>266.1</v>
      </c>
      <c r="G4917">
        <f>IF(LEFT(B4917,1)="C","Credit","Factuur")</f>
        <v/>
      </c>
      <c r="H4917">
        <f>IF(AND(B4917=B4916,D4917=D4916,A4917=A4916,F4917=F4916),1,0)</f>
        <v/>
      </c>
      <c r="I4917">
        <f>IF(C4917="C99999",1,0)</f>
        <v/>
      </c>
      <c r="J4917" s="5">
        <f>IF(OR(H4917=1,I4917=1),0,IF(G4917="Credit",-F4917,F4917))</f>
        <v/>
      </c>
    </row>
    <row r="4918">
      <c r="A4918" t="inlineStr">
        <is>
          <t>2026-08-18</t>
        </is>
      </c>
      <c r="B4918" t="inlineStr">
        <is>
          <t>F261205</t>
        </is>
      </c>
      <c r="C4918" t="inlineStr">
        <is>
          <t>C10066</t>
        </is>
      </c>
      <c r="D4918" t="inlineStr">
        <is>
          <t>SKU-10220</t>
        </is>
      </c>
      <c r="E4918" t="inlineStr">
        <is>
          <t>AM03</t>
        </is>
      </c>
      <c r="F4918" s="5" t="n">
        <v>238.21</v>
      </c>
      <c r="G4918">
        <f>IF(LEFT(B4918,1)="C","Credit","Factuur")</f>
        <v/>
      </c>
      <c r="H4918">
        <f>IF(AND(B4918=B4917,D4918=D4917,A4918=A4917,F4918=F4917),1,0)</f>
        <v/>
      </c>
      <c r="I4918">
        <f>IF(C4918="C99999",1,0)</f>
        <v/>
      </c>
      <c r="J4918" s="5">
        <f>IF(OR(H4918=1,I4918=1),0,IF(G4918="Credit",-F4918,F4918))</f>
        <v/>
      </c>
    </row>
    <row r="4919">
      <c r="A4919" t="inlineStr">
        <is>
          <t>2026-08-18</t>
        </is>
      </c>
      <c r="B4919" t="inlineStr">
        <is>
          <t>F263289</t>
        </is>
      </c>
      <c r="C4919" t="inlineStr">
        <is>
          <t>C10174</t>
        </is>
      </c>
      <c r="D4919" t="inlineStr">
        <is>
          <t>SKU-10139</t>
        </is>
      </c>
      <c r="E4919" t="inlineStr">
        <is>
          <t>AM11</t>
        </is>
      </c>
      <c r="F4919" s="5" t="n">
        <v>187.84</v>
      </c>
      <c r="G4919">
        <f>IF(LEFT(B4919,1)="C","Credit","Factuur")</f>
        <v/>
      </c>
      <c r="H4919">
        <f>IF(AND(B4919=B4918,D4919=D4918,A4919=A4918,F4919=F4918),1,0)</f>
        <v/>
      </c>
      <c r="I4919">
        <f>IF(C4919="C99999",1,0)</f>
        <v/>
      </c>
      <c r="J4919" s="5">
        <f>IF(OR(H4919=1,I4919=1),0,IF(G4919="Credit",-F4919,F4919))</f>
        <v/>
      </c>
    </row>
    <row r="4920">
      <c r="A4920" t="inlineStr">
        <is>
          <t>2026-08-18</t>
        </is>
      </c>
      <c r="B4920" t="inlineStr">
        <is>
          <t>F263289</t>
        </is>
      </c>
      <c r="C4920" t="inlineStr">
        <is>
          <t>C10174</t>
        </is>
      </c>
      <c r="D4920" t="inlineStr">
        <is>
          <t>SKU-10151</t>
        </is>
      </c>
      <c r="E4920" t="inlineStr">
        <is>
          <t>AM11</t>
        </is>
      </c>
      <c r="F4920" s="5" t="n">
        <v>173.96</v>
      </c>
      <c r="G4920">
        <f>IF(LEFT(B4920,1)="C","Credit","Factuur")</f>
        <v/>
      </c>
      <c r="H4920">
        <f>IF(AND(B4920=B4919,D4920=D4919,A4920=A4919,F4920=F4919),1,0)</f>
        <v/>
      </c>
      <c r="I4920">
        <f>IF(C4920="C99999",1,0)</f>
        <v/>
      </c>
      <c r="J4920" s="5">
        <f>IF(OR(H4920=1,I4920=1),0,IF(G4920="Credit",-F4920,F4920))</f>
        <v/>
      </c>
    </row>
    <row r="4921">
      <c r="A4921" t="inlineStr">
        <is>
          <t>2026-08-18</t>
        </is>
      </c>
      <c r="B4921" t="inlineStr">
        <is>
          <t>F263289</t>
        </is>
      </c>
      <c r="C4921" t="inlineStr">
        <is>
          <t>C10174</t>
        </is>
      </c>
      <c r="D4921" t="inlineStr">
        <is>
          <t>SKU-10156</t>
        </is>
      </c>
      <c r="E4921" t="inlineStr">
        <is>
          <t>AM11</t>
        </is>
      </c>
      <c r="F4921" s="5" t="n">
        <v>179.52</v>
      </c>
      <c r="G4921">
        <f>IF(LEFT(B4921,1)="C","Credit","Factuur")</f>
        <v/>
      </c>
      <c r="H4921">
        <f>IF(AND(B4921=B4920,D4921=D4920,A4921=A4920,F4921=F4920),1,0)</f>
        <v/>
      </c>
      <c r="I4921">
        <f>IF(C4921="C99999",1,0)</f>
        <v/>
      </c>
      <c r="J4921" s="5">
        <f>IF(OR(H4921=1,I4921=1),0,IF(G4921="Credit",-F4921,F4921))</f>
        <v/>
      </c>
    </row>
    <row r="4922">
      <c r="A4922" t="inlineStr">
        <is>
          <t>2026-08-18</t>
        </is>
      </c>
      <c r="B4922" t="inlineStr">
        <is>
          <t>F263289</t>
        </is>
      </c>
      <c r="C4922" t="inlineStr">
        <is>
          <t>C10174</t>
        </is>
      </c>
      <c r="D4922" t="inlineStr">
        <is>
          <t>SKU-10157</t>
        </is>
      </c>
      <c r="E4922" t="inlineStr">
        <is>
          <t>AM11</t>
        </is>
      </c>
      <c r="F4922" s="5" t="n">
        <v>185.98</v>
      </c>
      <c r="G4922">
        <f>IF(LEFT(B4922,1)="C","Credit","Factuur")</f>
        <v/>
      </c>
      <c r="H4922">
        <f>IF(AND(B4922=B4921,D4922=D4921,A4922=A4921,F4922=F4921),1,0)</f>
        <v/>
      </c>
      <c r="I4922">
        <f>IF(C4922="C99999",1,0)</f>
        <v/>
      </c>
      <c r="J4922" s="5">
        <f>IF(OR(H4922=1,I4922=1),0,IF(G4922="Credit",-F4922,F4922))</f>
        <v/>
      </c>
    </row>
    <row r="4923">
      <c r="A4923" t="inlineStr">
        <is>
          <t>2026-08-18</t>
        </is>
      </c>
      <c r="B4923" t="inlineStr">
        <is>
          <t>F263289</t>
        </is>
      </c>
      <c r="C4923" t="inlineStr">
        <is>
          <t>C10174</t>
        </is>
      </c>
      <c r="D4923" t="inlineStr">
        <is>
          <t>SKU-10186</t>
        </is>
      </c>
      <c r="E4923" t="inlineStr">
        <is>
          <t>AM11</t>
        </is>
      </c>
      <c r="F4923" s="5" t="n">
        <v>175.23</v>
      </c>
      <c r="G4923">
        <f>IF(LEFT(B4923,1)="C","Credit","Factuur")</f>
        <v/>
      </c>
      <c r="H4923">
        <f>IF(AND(B4923=B4922,D4923=D4922,A4923=A4922,F4923=F4922),1,0)</f>
        <v/>
      </c>
      <c r="I4923">
        <f>IF(C4923="C99999",1,0)</f>
        <v/>
      </c>
      <c r="J4923" s="5">
        <f>IF(OR(H4923=1,I4923=1),0,IF(G4923="Credit",-F4923,F4923))</f>
        <v/>
      </c>
    </row>
    <row r="4924">
      <c r="A4924" t="inlineStr">
        <is>
          <t>2026-08-18</t>
        </is>
      </c>
      <c r="B4924" t="inlineStr">
        <is>
          <t>F263771</t>
        </is>
      </c>
      <c r="C4924" t="inlineStr">
        <is>
          <t>C10200</t>
        </is>
      </c>
      <c r="D4924" t="inlineStr">
        <is>
          <t>SKU-10199</t>
        </is>
      </c>
      <c r="E4924" t="inlineStr">
        <is>
          <t>AM01</t>
        </is>
      </c>
      <c r="F4924" s="5" t="n">
        <v>896.49</v>
      </c>
      <c r="G4924">
        <f>IF(LEFT(B4924,1)="C","Credit","Factuur")</f>
        <v/>
      </c>
      <c r="H4924">
        <f>IF(AND(B4924=B4923,D4924=D4923,A4924=A4923,F4924=F4923),1,0)</f>
        <v/>
      </c>
      <c r="I4924">
        <f>IF(C4924="C99999",1,0)</f>
        <v/>
      </c>
      <c r="J4924" s="5">
        <f>IF(OR(H4924=1,I4924=1),0,IF(G4924="Credit",-F4924,F4924))</f>
        <v/>
      </c>
    </row>
    <row r="4925">
      <c r="A4925" t="inlineStr">
        <is>
          <t>2026-08-18</t>
        </is>
      </c>
      <c r="B4925" t="inlineStr">
        <is>
          <t>F264306</t>
        </is>
      </c>
      <c r="C4925" t="inlineStr">
        <is>
          <t>C10226</t>
        </is>
      </c>
      <c r="D4925" t="inlineStr">
        <is>
          <t>SKU-10009</t>
        </is>
      </c>
      <c r="E4925" t="inlineStr">
        <is>
          <t>AM03</t>
        </is>
      </c>
      <c r="F4925" s="5" t="n">
        <v>409.56</v>
      </c>
      <c r="G4925">
        <f>IF(LEFT(B4925,1)="C","Credit","Factuur")</f>
        <v/>
      </c>
      <c r="H4925">
        <f>IF(AND(B4925=B4924,D4925=D4924,A4925=A4924,F4925=F4924),1,0)</f>
        <v/>
      </c>
      <c r="I4925">
        <f>IF(C4925="C99999",1,0)</f>
        <v/>
      </c>
      <c r="J4925" s="5">
        <f>IF(OR(H4925=1,I4925=1),0,IF(G4925="Credit",-F4925,F4925))</f>
        <v/>
      </c>
    </row>
    <row r="4926">
      <c r="A4926" t="inlineStr">
        <is>
          <t>2026-08-18</t>
        </is>
      </c>
      <c r="B4926" t="inlineStr">
        <is>
          <t>F264306</t>
        </is>
      </c>
      <c r="C4926" t="inlineStr">
        <is>
          <t>C10226</t>
        </is>
      </c>
      <c r="D4926" t="inlineStr">
        <is>
          <t>SKU-10120</t>
        </is>
      </c>
      <c r="E4926" t="inlineStr">
        <is>
          <t>AM03</t>
        </is>
      </c>
      <c r="F4926" s="5" t="n">
        <v>425.7</v>
      </c>
      <c r="G4926">
        <f>IF(LEFT(B4926,1)="C","Credit","Factuur")</f>
        <v/>
      </c>
      <c r="H4926">
        <f>IF(AND(B4926=B4925,D4926=D4925,A4926=A4925,F4926=F4925),1,0)</f>
        <v/>
      </c>
      <c r="I4926">
        <f>IF(C4926="C99999",1,0)</f>
        <v/>
      </c>
      <c r="J4926" s="5">
        <f>IF(OR(H4926=1,I4926=1),0,IF(G4926="Credit",-F4926,F4926))</f>
        <v/>
      </c>
    </row>
    <row r="4927">
      <c r="A4927" t="inlineStr">
        <is>
          <t>2026-08-18</t>
        </is>
      </c>
      <c r="B4927" t="inlineStr">
        <is>
          <t>F265001</t>
        </is>
      </c>
      <c r="C4927" t="inlineStr">
        <is>
          <t>C10261</t>
        </is>
      </c>
      <c r="D4927" t="inlineStr">
        <is>
          <t>SKU-10222</t>
        </is>
      </c>
      <c r="E4927" t="inlineStr">
        <is>
          <t>AM03</t>
        </is>
      </c>
      <c r="F4927" s="5" t="n">
        <v>763.28</v>
      </c>
      <c r="G4927">
        <f>IF(LEFT(B4927,1)="C","Credit","Factuur")</f>
        <v/>
      </c>
      <c r="H4927">
        <f>IF(AND(B4927=B4926,D4927=D4926,A4927=A4926,F4927=F4926),1,0)</f>
        <v/>
      </c>
      <c r="I4927">
        <f>IF(C4927="C99999",1,0)</f>
        <v/>
      </c>
      <c r="J4927" s="5">
        <f>IF(OR(H4927=1,I4927=1),0,IF(G4927="Credit",-F4927,F4927))</f>
        <v/>
      </c>
    </row>
    <row r="4928">
      <c r="A4928" t="inlineStr">
        <is>
          <t>2026-08-18</t>
        </is>
      </c>
      <c r="B4928" t="inlineStr">
        <is>
          <t>F265125</t>
        </is>
      </c>
      <c r="C4928" t="inlineStr">
        <is>
          <t>C10270</t>
        </is>
      </c>
      <c r="D4928" t="inlineStr">
        <is>
          <t>SKU-10109</t>
        </is>
      </c>
      <c r="E4928" t="inlineStr">
        <is>
          <t>AM02</t>
        </is>
      </c>
      <c r="F4928" s="5" t="n">
        <v>95.90000000000001</v>
      </c>
      <c r="G4928">
        <f>IF(LEFT(B4928,1)="C","Credit","Factuur")</f>
        <v/>
      </c>
      <c r="H4928">
        <f>IF(AND(B4928=B4927,D4928=D4927,A4928=A4927,F4928=F4927),1,0)</f>
        <v/>
      </c>
      <c r="I4928">
        <f>IF(C4928="C99999",1,0)</f>
        <v/>
      </c>
      <c r="J4928" s="5">
        <f>IF(OR(H4928=1,I4928=1),0,IF(G4928="Credit",-F4928,F4928))</f>
        <v/>
      </c>
    </row>
    <row r="4929">
      <c r="A4929" t="inlineStr">
        <is>
          <t>2026-08-18</t>
        </is>
      </c>
      <c r="B4929" t="inlineStr">
        <is>
          <t>F265125</t>
        </is>
      </c>
      <c r="C4929" t="inlineStr">
        <is>
          <t>C10270</t>
        </is>
      </c>
      <c r="D4929" t="inlineStr">
        <is>
          <t>SKU-10294</t>
        </is>
      </c>
      <c r="E4929" t="inlineStr">
        <is>
          <t>AM02</t>
        </is>
      </c>
      <c r="F4929" s="5" t="n">
        <v>105.08</v>
      </c>
      <c r="G4929">
        <f>IF(LEFT(B4929,1)="C","Credit","Factuur")</f>
        <v/>
      </c>
      <c r="H4929">
        <f>IF(AND(B4929=B4928,D4929=D4928,A4929=A4928,F4929=F4928),1,0)</f>
        <v/>
      </c>
      <c r="I4929">
        <f>IF(C4929="C99999",1,0)</f>
        <v/>
      </c>
      <c r="J4929" s="5">
        <f>IF(OR(H4929=1,I4929=1),0,IF(G4929="Credit",-F4929,F4929))</f>
        <v/>
      </c>
    </row>
    <row r="4930">
      <c r="A4930" t="inlineStr">
        <is>
          <t>2026-08-18</t>
        </is>
      </c>
      <c r="B4930" t="inlineStr">
        <is>
          <t>F265125</t>
        </is>
      </c>
      <c r="C4930" t="inlineStr">
        <is>
          <t>C10270</t>
        </is>
      </c>
      <c r="D4930" t="inlineStr">
        <is>
          <t>SKU-10317</t>
        </is>
      </c>
      <c r="E4930" t="inlineStr">
        <is>
          <t>AM02</t>
        </is>
      </c>
      <c r="F4930" s="5" t="n">
        <v>110.84</v>
      </c>
      <c r="G4930">
        <f>IF(LEFT(B4930,1)="C","Credit","Factuur")</f>
        <v/>
      </c>
      <c r="H4930">
        <f>IF(AND(B4930=B4929,D4930=D4929,A4930=A4929,F4930=F4929),1,0)</f>
        <v/>
      </c>
      <c r="I4930">
        <f>IF(C4930="C99999",1,0)</f>
        <v/>
      </c>
      <c r="J4930" s="5">
        <f>IF(OR(H4930=1,I4930=1),0,IF(G4930="Credit",-F4930,F4930))</f>
        <v/>
      </c>
    </row>
    <row r="4931">
      <c r="A4931" t="inlineStr">
        <is>
          <t>2026-08-18</t>
        </is>
      </c>
      <c r="B4931" t="inlineStr">
        <is>
          <t>F265125</t>
        </is>
      </c>
      <c r="C4931" t="inlineStr">
        <is>
          <t>C10270</t>
        </is>
      </c>
      <c r="D4931" t="inlineStr">
        <is>
          <t>SKU-10319</t>
        </is>
      </c>
      <c r="E4931" t="inlineStr">
        <is>
          <t>AM02</t>
        </is>
      </c>
      <c r="F4931" s="5" t="n">
        <v>115.76</v>
      </c>
      <c r="G4931">
        <f>IF(LEFT(B4931,1)="C","Credit","Factuur")</f>
        <v/>
      </c>
      <c r="H4931">
        <f>IF(AND(B4931=B4930,D4931=D4930,A4931=A4930,F4931=F4930),1,0)</f>
        <v/>
      </c>
      <c r="I4931">
        <f>IF(C4931="C99999",1,0)</f>
        <v/>
      </c>
      <c r="J4931" s="5">
        <f>IF(OR(H4931=1,I4931=1),0,IF(G4931="Credit",-F4931,F4931))</f>
        <v/>
      </c>
    </row>
    <row r="4932">
      <c r="A4932" t="inlineStr">
        <is>
          <t>2026-08-18</t>
        </is>
      </c>
      <c r="B4932" t="inlineStr">
        <is>
          <t>F265772</t>
        </is>
      </c>
      <c r="C4932" t="inlineStr">
        <is>
          <t>C10301</t>
        </is>
      </c>
      <c r="D4932" t="inlineStr">
        <is>
          <t>SKU-10252</t>
        </is>
      </c>
      <c r="E4932" t="inlineStr">
        <is>
          <t>AM08</t>
        </is>
      </c>
      <c r="F4932" s="5" t="n">
        <v>127.2</v>
      </c>
      <c r="G4932">
        <f>IF(LEFT(B4932,1)="C","Credit","Factuur")</f>
        <v/>
      </c>
      <c r="H4932">
        <f>IF(AND(B4932=B4931,D4932=D4931,A4932=A4931,F4932=F4931),1,0)</f>
        <v/>
      </c>
      <c r="I4932">
        <f>IF(C4932="C99999",1,0)</f>
        <v/>
      </c>
      <c r="J4932" s="5">
        <f>IF(OR(H4932=1,I4932=1),0,IF(G4932="Credit",-F4932,F4932))</f>
        <v/>
      </c>
    </row>
    <row r="4933">
      <c r="A4933" t="inlineStr">
        <is>
          <t>2026-08-18</t>
        </is>
      </c>
      <c r="B4933" t="inlineStr">
        <is>
          <t>F265772</t>
        </is>
      </c>
      <c r="C4933" t="inlineStr">
        <is>
          <t>C10301</t>
        </is>
      </c>
      <c r="D4933" t="inlineStr">
        <is>
          <t>SKU-10311</t>
        </is>
      </c>
      <c r="E4933" t="inlineStr">
        <is>
          <t>AM08</t>
        </is>
      </c>
      <c r="F4933" s="5" t="n">
        <v>111.8</v>
      </c>
      <c r="G4933">
        <f>IF(LEFT(B4933,1)="C","Credit","Factuur")</f>
        <v/>
      </c>
      <c r="H4933">
        <f>IF(AND(B4933=B4932,D4933=D4932,A4933=A4932,F4933=F4932),1,0)</f>
        <v/>
      </c>
      <c r="I4933">
        <f>IF(C4933="C99999",1,0)</f>
        <v/>
      </c>
      <c r="J4933" s="5">
        <f>IF(OR(H4933=1,I4933=1),0,IF(G4933="Credit",-F4933,F4933))</f>
        <v/>
      </c>
    </row>
    <row r="4934">
      <c r="A4934" t="inlineStr">
        <is>
          <t>2026-08-18</t>
        </is>
      </c>
      <c r="B4934" t="inlineStr">
        <is>
          <t>F265772</t>
        </is>
      </c>
      <c r="C4934" t="inlineStr">
        <is>
          <t>C10301</t>
        </is>
      </c>
      <c r="D4934" t="inlineStr">
        <is>
          <t>SKU-10334</t>
        </is>
      </c>
      <c r="E4934" t="inlineStr">
        <is>
          <t>AM08</t>
        </is>
      </c>
      <c r="F4934" s="5" t="n">
        <v>108.62</v>
      </c>
      <c r="G4934">
        <f>IF(LEFT(B4934,1)="C","Credit","Factuur")</f>
        <v/>
      </c>
      <c r="H4934">
        <f>IF(AND(B4934=B4933,D4934=D4933,A4934=A4933,F4934=F4933),1,0)</f>
        <v/>
      </c>
      <c r="I4934">
        <f>IF(C4934="C99999",1,0)</f>
        <v/>
      </c>
      <c r="J4934" s="5">
        <f>IF(OR(H4934=1,I4934=1),0,IF(G4934="Credit",-F4934,F4934))</f>
        <v/>
      </c>
    </row>
    <row r="4935">
      <c r="A4935" t="inlineStr">
        <is>
          <t>2026-08-18</t>
        </is>
      </c>
      <c r="B4935" t="inlineStr">
        <is>
          <t>F265772</t>
        </is>
      </c>
      <c r="C4935" t="inlineStr">
        <is>
          <t>C10301</t>
        </is>
      </c>
      <c r="D4935" t="inlineStr">
        <is>
          <t>SKU-10339</t>
        </is>
      </c>
      <c r="E4935" t="inlineStr">
        <is>
          <t>AM08</t>
        </is>
      </c>
      <c r="F4935" s="5" t="n">
        <v>120.4</v>
      </c>
      <c r="G4935">
        <f>IF(LEFT(B4935,1)="C","Credit","Factuur")</f>
        <v/>
      </c>
      <c r="H4935">
        <f>IF(AND(B4935=B4934,D4935=D4934,A4935=A4934,F4935=F4934),1,0)</f>
        <v/>
      </c>
      <c r="I4935">
        <f>IF(C4935="C99999",1,0)</f>
        <v/>
      </c>
      <c r="J4935" s="5">
        <f>IF(OR(H4935=1,I4935=1),0,IF(G4935="Credit",-F4935,F4935))</f>
        <v/>
      </c>
    </row>
    <row r="4936">
      <c r="A4936" t="inlineStr">
        <is>
          <t>2026-08-18</t>
        </is>
      </c>
      <c r="B4936" t="inlineStr">
        <is>
          <t>F266511</t>
        </is>
      </c>
      <c r="C4936" t="inlineStr">
        <is>
          <t>C10342</t>
        </is>
      </c>
      <c r="D4936" t="inlineStr">
        <is>
          <t>SKU-10008</t>
        </is>
      </c>
      <c r="E4936" t="inlineStr">
        <is>
          <t>AM03</t>
        </is>
      </c>
      <c r="F4936" s="5" t="n">
        <v>360.36</v>
      </c>
      <c r="G4936">
        <f>IF(LEFT(B4936,1)="C","Credit","Factuur")</f>
        <v/>
      </c>
      <c r="H4936">
        <f>IF(AND(B4936=B4935,D4936=D4935,A4936=A4935,F4936=F4935),1,0)</f>
        <v/>
      </c>
      <c r="I4936">
        <f>IF(C4936="C99999",1,0)</f>
        <v/>
      </c>
      <c r="J4936" s="5">
        <f>IF(OR(H4936=1,I4936=1),0,IF(G4936="Credit",-F4936,F4936))</f>
        <v/>
      </c>
    </row>
    <row r="4937">
      <c r="A4937" t="inlineStr">
        <is>
          <t>2026-08-18</t>
        </is>
      </c>
      <c r="B4937" t="inlineStr">
        <is>
          <t>F266511</t>
        </is>
      </c>
      <c r="C4937" t="inlineStr">
        <is>
          <t>C10342</t>
        </is>
      </c>
      <c r="D4937" t="inlineStr">
        <is>
          <t>SKU-10026</t>
        </is>
      </c>
      <c r="E4937" t="inlineStr">
        <is>
          <t>AM03</t>
        </is>
      </c>
      <c r="F4937" s="5" t="n">
        <v>333.56</v>
      </c>
      <c r="G4937">
        <f>IF(LEFT(B4937,1)="C","Credit","Factuur")</f>
        <v/>
      </c>
      <c r="H4937">
        <f>IF(AND(B4937=B4936,D4937=D4936,A4937=A4936,F4937=F4936),1,0)</f>
        <v/>
      </c>
      <c r="I4937">
        <f>IF(C4937="C99999",1,0)</f>
        <v/>
      </c>
      <c r="J4937" s="5">
        <f>IF(OR(H4937=1,I4937=1),0,IF(G4937="Credit",-F4937,F4937))</f>
        <v/>
      </c>
    </row>
    <row r="4938">
      <c r="A4938" t="inlineStr">
        <is>
          <t>2026-08-18</t>
        </is>
      </c>
      <c r="B4938" t="inlineStr">
        <is>
          <t>F266511</t>
        </is>
      </c>
      <c r="C4938" t="inlineStr">
        <is>
          <t>C10342</t>
        </is>
      </c>
      <c r="D4938" t="inlineStr">
        <is>
          <t>SKU-10063</t>
        </is>
      </c>
      <c r="E4938" t="inlineStr">
        <is>
          <t>AM03</t>
        </is>
      </c>
      <c r="F4938" s="5" t="n">
        <v>335.25</v>
      </c>
      <c r="G4938">
        <f>IF(LEFT(B4938,1)="C","Credit","Factuur")</f>
        <v/>
      </c>
      <c r="H4938">
        <f>IF(AND(B4938=B4937,D4938=D4937,A4938=A4937,F4938=F4937),1,0)</f>
        <v/>
      </c>
      <c r="I4938">
        <f>IF(C4938="C99999",1,0)</f>
        <v/>
      </c>
      <c r="J4938" s="5">
        <f>IF(OR(H4938=1,I4938=1),0,IF(G4938="Credit",-F4938,F4938))</f>
        <v/>
      </c>
    </row>
    <row r="4939">
      <c r="A4939" t="inlineStr">
        <is>
          <t>2026-08-18</t>
        </is>
      </c>
      <c r="B4939" t="inlineStr">
        <is>
          <t>F266511</t>
        </is>
      </c>
      <c r="C4939" t="inlineStr">
        <is>
          <t>C10342</t>
        </is>
      </c>
      <c r="D4939" t="inlineStr">
        <is>
          <t>SKU-10067</t>
        </is>
      </c>
      <c r="E4939" t="inlineStr">
        <is>
          <t>AM03</t>
        </is>
      </c>
      <c r="F4939" s="5" t="n">
        <v>330.94</v>
      </c>
      <c r="G4939">
        <f>IF(LEFT(B4939,1)="C","Credit","Factuur")</f>
        <v/>
      </c>
      <c r="H4939">
        <f>IF(AND(B4939=B4938,D4939=D4938,A4939=A4938,F4939=F4938),1,0)</f>
        <v/>
      </c>
      <c r="I4939">
        <f>IF(C4939="C99999",1,0)</f>
        <v/>
      </c>
      <c r="J4939" s="5">
        <f>IF(OR(H4939=1,I4939=1),0,IF(G4939="Credit",-F4939,F4939))</f>
        <v/>
      </c>
    </row>
    <row r="4940">
      <c r="A4940" t="inlineStr">
        <is>
          <t>2026-08-18</t>
        </is>
      </c>
      <c r="B4940" t="inlineStr">
        <is>
          <t>F266511</t>
        </is>
      </c>
      <c r="C4940" t="inlineStr">
        <is>
          <t>C10342</t>
        </is>
      </c>
      <c r="D4940" t="inlineStr">
        <is>
          <t>SKU-10175</t>
        </is>
      </c>
      <c r="E4940" t="inlineStr">
        <is>
          <t>AM03</t>
        </is>
      </c>
      <c r="F4940" s="5" t="n">
        <v>335.06</v>
      </c>
      <c r="G4940">
        <f>IF(LEFT(B4940,1)="C","Credit","Factuur")</f>
        <v/>
      </c>
      <c r="H4940">
        <f>IF(AND(B4940=B4939,D4940=D4939,A4940=A4939,F4940=F4939),1,0)</f>
        <v/>
      </c>
      <c r="I4940">
        <f>IF(C4940="C99999",1,0)</f>
        <v/>
      </c>
      <c r="J4940" s="5">
        <f>IF(OR(H4940=1,I4940=1),0,IF(G4940="Credit",-F4940,F4940))</f>
        <v/>
      </c>
    </row>
    <row r="4941">
      <c r="A4941" t="inlineStr">
        <is>
          <t>2026-08-18</t>
        </is>
      </c>
      <c r="B4941" t="inlineStr">
        <is>
          <t>F266511</t>
        </is>
      </c>
      <c r="C4941" t="inlineStr">
        <is>
          <t>C10342</t>
        </is>
      </c>
      <c r="D4941" t="inlineStr">
        <is>
          <t>SKU-10315</t>
        </is>
      </c>
      <c r="E4941" t="inlineStr">
        <is>
          <t>AM03</t>
        </is>
      </c>
      <c r="F4941" s="5" t="n">
        <v>335.41</v>
      </c>
      <c r="G4941">
        <f>IF(LEFT(B4941,1)="C","Credit","Factuur")</f>
        <v/>
      </c>
      <c r="H4941">
        <f>IF(AND(B4941=B4940,D4941=D4940,A4941=A4940,F4941=F4940),1,0)</f>
        <v/>
      </c>
      <c r="I4941">
        <f>IF(C4941="C99999",1,0)</f>
        <v/>
      </c>
      <c r="J4941" s="5">
        <f>IF(OR(H4941=1,I4941=1),0,IF(G4941="Credit",-F4941,F4941))</f>
        <v/>
      </c>
    </row>
    <row r="4942">
      <c r="A4942" t="inlineStr">
        <is>
          <t>2026-08-18</t>
        </is>
      </c>
      <c r="B4942" t="inlineStr">
        <is>
          <t>F266511</t>
        </is>
      </c>
      <c r="C4942" t="inlineStr">
        <is>
          <t>C10342</t>
        </is>
      </c>
      <c r="D4942" t="inlineStr">
        <is>
          <t>SKU-10364</t>
        </is>
      </c>
      <c r="E4942" t="inlineStr">
        <is>
          <t>AM03</t>
        </is>
      </c>
      <c r="F4942" s="5" t="n">
        <v>350.39</v>
      </c>
      <c r="G4942">
        <f>IF(LEFT(B4942,1)="C","Credit","Factuur")</f>
        <v/>
      </c>
      <c r="H4942">
        <f>IF(AND(B4942=B4941,D4942=D4941,A4942=A4941,F4942=F4941),1,0)</f>
        <v/>
      </c>
      <c r="I4942">
        <f>IF(C4942="C99999",1,0)</f>
        <v/>
      </c>
      <c r="J4942" s="5">
        <f>IF(OR(H4942=1,I4942=1),0,IF(G4942="Credit",-F4942,F4942))</f>
        <v/>
      </c>
    </row>
    <row r="4943">
      <c r="A4943" t="inlineStr">
        <is>
          <t>2026-08-18</t>
        </is>
      </c>
      <c r="B4943" t="inlineStr">
        <is>
          <t>F266512</t>
        </is>
      </c>
      <c r="C4943" t="inlineStr">
        <is>
          <t>C10343</t>
        </is>
      </c>
      <c r="D4943" t="inlineStr">
        <is>
          <t>SKU-10041</t>
        </is>
      </c>
      <c r="E4943" t="inlineStr">
        <is>
          <t>AM05</t>
        </is>
      </c>
      <c r="F4943" s="5" t="n">
        <v>997.6</v>
      </c>
      <c r="G4943">
        <f>IF(LEFT(B4943,1)="C","Credit","Factuur")</f>
        <v/>
      </c>
      <c r="H4943">
        <f>IF(AND(B4943=B4942,D4943=D4942,A4943=A4942,F4943=F4942),1,0)</f>
        <v/>
      </c>
      <c r="I4943">
        <f>IF(C4943="C99999",1,0)</f>
        <v/>
      </c>
      <c r="J4943" s="5">
        <f>IF(OR(H4943=1,I4943=1),0,IF(G4943="Credit",-F4943,F4943))</f>
        <v/>
      </c>
    </row>
    <row r="4944">
      <c r="A4944" t="inlineStr">
        <is>
          <t>2026-08-18</t>
        </is>
      </c>
      <c r="B4944" t="inlineStr">
        <is>
          <t>F266512</t>
        </is>
      </c>
      <c r="C4944" t="inlineStr">
        <is>
          <t>C10343</t>
        </is>
      </c>
      <c r="D4944" t="inlineStr">
        <is>
          <t>SKU-10087</t>
        </is>
      </c>
      <c r="E4944" t="inlineStr">
        <is>
          <t>AM05</t>
        </is>
      </c>
      <c r="F4944" s="5" t="n">
        <v>989.23</v>
      </c>
      <c r="G4944">
        <f>IF(LEFT(B4944,1)="C","Credit","Factuur")</f>
        <v/>
      </c>
      <c r="H4944">
        <f>IF(AND(B4944=B4943,D4944=D4943,A4944=A4943,F4944=F4943),1,0)</f>
        <v/>
      </c>
      <c r="I4944">
        <f>IF(C4944="C99999",1,0)</f>
        <v/>
      </c>
      <c r="J4944" s="5">
        <f>IF(OR(H4944=1,I4944=1),0,IF(G4944="Credit",-F4944,F4944))</f>
        <v/>
      </c>
    </row>
    <row r="4945">
      <c r="A4945" t="inlineStr">
        <is>
          <t>2026-08-18</t>
        </is>
      </c>
      <c r="B4945" t="inlineStr">
        <is>
          <t>F266512</t>
        </is>
      </c>
      <c r="C4945" t="inlineStr">
        <is>
          <t>C10343</t>
        </is>
      </c>
      <c r="D4945" t="inlineStr">
        <is>
          <t>SKU-10148</t>
        </is>
      </c>
      <c r="E4945" t="inlineStr">
        <is>
          <t>AM05</t>
        </is>
      </c>
      <c r="F4945" s="5" t="n">
        <v>933.92</v>
      </c>
      <c r="G4945">
        <f>IF(LEFT(B4945,1)="C","Credit","Factuur")</f>
        <v/>
      </c>
      <c r="H4945">
        <f>IF(AND(B4945=B4944,D4945=D4944,A4945=A4944,F4945=F4944),1,0)</f>
        <v/>
      </c>
      <c r="I4945">
        <f>IF(C4945="C99999",1,0)</f>
        <v/>
      </c>
      <c r="J4945" s="5">
        <f>IF(OR(H4945=1,I4945=1),0,IF(G4945="Credit",-F4945,F4945))</f>
        <v/>
      </c>
    </row>
    <row r="4946">
      <c r="A4946" t="inlineStr">
        <is>
          <t>2026-08-18</t>
        </is>
      </c>
      <c r="B4946" t="inlineStr">
        <is>
          <t>F266512</t>
        </is>
      </c>
      <c r="C4946" t="inlineStr">
        <is>
          <t>C10343</t>
        </is>
      </c>
      <c r="D4946" t="inlineStr">
        <is>
          <t>SKU-10154</t>
        </is>
      </c>
      <c r="E4946" t="inlineStr">
        <is>
          <t>AM05</t>
        </is>
      </c>
      <c r="F4946" s="5" t="n">
        <v>1007.37</v>
      </c>
      <c r="G4946">
        <f>IF(LEFT(B4946,1)="C","Credit","Factuur")</f>
        <v/>
      </c>
      <c r="H4946">
        <f>IF(AND(B4946=B4945,D4946=D4945,A4946=A4945,F4946=F4945),1,0)</f>
        <v/>
      </c>
      <c r="I4946">
        <f>IF(C4946="C99999",1,0)</f>
        <v/>
      </c>
      <c r="J4946" s="5">
        <f>IF(OR(H4946=1,I4946=1),0,IF(G4946="Credit",-F4946,F4946))</f>
        <v/>
      </c>
    </row>
    <row r="4947">
      <c r="A4947" t="inlineStr">
        <is>
          <t>2026-08-18</t>
        </is>
      </c>
      <c r="B4947" t="inlineStr">
        <is>
          <t>F266512</t>
        </is>
      </c>
      <c r="C4947" t="inlineStr">
        <is>
          <t>C10343</t>
        </is>
      </c>
      <c r="D4947" t="inlineStr">
        <is>
          <t>SKU-10175</t>
        </is>
      </c>
      <c r="E4947" t="inlineStr">
        <is>
          <t>AM05</t>
        </is>
      </c>
      <c r="F4947" s="5" t="n">
        <v>947.13</v>
      </c>
      <c r="G4947">
        <f>IF(LEFT(B4947,1)="C","Credit","Factuur")</f>
        <v/>
      </c>
      <c r="H4947">
        <f>IF(AND(B4947=B4946,D4947=D4946,A4947=A4946,F4947=F4946),1,0)</f>
        <v/>
      </c>
      <c r="I4947">
        <f>IF(C4947="C99999",1,0)</f>
        <v/>
      </c>
      <c r="J4947" s="5">
        <f>IF(OR(H4947=1,I4947=1),0,IF(G4947="Credit",-F4947,F4947))</f>
        <v/>
      </c>
    </row>
    <row r="4948">
      <c r="A4948" t="inlineStr">
        <is>
          <t>2026-08-18</t>
        </is>
      </c>
      <c r="B4948" t="inlineStr">
        <is>
          <t>F266871</t>
        </is>
      </c>
      <c r="C4948" t="inlineStr">
        <is>
          <t>C10362</t>
        </is>
      </c>
      <c r="D4948" t="inlineStr">
        <is>
          <t>SKU-10152</t>
        </is>
      </c>
      <c r="E4948" t="inlineStr">
        <is>
          <t>AM06</t>
        </is>
      </c>
      <c r="F4948" s="5" t="n">
        <v>3625.2</v>
      </c>
      <c r="G4948">
        <f>IF(LEFT(B4948,1)="C","Credit","Factuur")</f>
        <v/>
      </c>
      <c r="H4948">
        <f>IF(AND(B4948=B4947,D4948=D4947,A4948=A4947,F4948=F4947),1,0)</f>
        <v/>
      </c>
      <c r="I4948">
        <f>IF(C4948="C99999",1,0)</f>
        <v/>
      </c>
      <c r="J4948" s="5">
        <f>IF(OR(H4948=1,I4948=1),0,IF(G4948="Credit",-F4948,F4948))</f>
        <v/>
      </c>
    </row>
    <row r="4949">
      <c r="A4949" t="inlineStr">
        <is>
          <t>2026-08-18</t>
        </is>
      </c>
      <c r="B4949" t="inlineStr">
        <is>
          <t>F266871</t>
        </is>
      </c>
      <c r="C4949" t="inlineStr">
        <is>
          <t>C10362</t>
        </is>
      </c>
      <c r="D4949" t="inlineStr">
        <is>
          <t>SKU-10227</t>
        </is>
      </c>
      <c r="E4949" t="inlineStr">
        <is>
          <t>AM06</t>
        </is>
      </c>
      <c r="F4949" s="5" t="n">
        <v>3428.57</v>
      </c>
      <c r="G4949">
        <f>IF(LEFT(B4949,1)="C","Credit","Factuur")</f>
        <v/>
      </c>
      <c r="H4949">
        <f>IF(AND(B4949=B4948,D4949=D4948,A4949=A4948,F4949=F4948),1,0)</f>
        <v/>
      </c>
      <c r="I4949">
        <f>IF(C4949="C99999",1,0)</f>
        <v/>
      </c>
      <c r="J4949" s="5">
        <f>IF(OR(H4949=1,I4949=1),0,IF(G4949="Credit",-F4949,F4949))</f>
        <v/>
      </c>
    </row>
    <row r="4950">
      <c r="A4950" t="inlineStr">
        <is>
          <t>2026-08-18</t>
        </is>
      </c>
      <c r="B4950" t="inlineStr">
        <is>
          <t>F267655</t>
        </is>
      </c>
      <c r="C4950" t="inlineStr">
        <is>
          <t>C10401</t>
        </is>
      </c>
      <c r="D4950" t="inlineStr">
        <is>
          <t>SKU-10036</t>
        </is>
      </c>
      <c r="E4950" t="inlineStr">
        <is>
          <t>AM02</t>
        </is>
      </c>
      <c r="F4950" s="5" t="n">
        <v>598.73</v>
      </c>
      <c r="G4950">
        <f>IF(LEFT(B4950,1)="C","Credit","Factuur")</f>
        <v/>
      </c>
      <c r="H4950">
        <f>IF(AND(B4950=B4949,D4950=D4949,A4950=A4949,F4950=F4949),1,0)</f>
        <v/>
      </c>
      <c r="I4950">
        <f>IF(C4950="C99999",1,0)</f>
        <v/>
      </c>
      <c r="J4950" s="5">
        <f>IF(OR(H4950=1,I4950=1),0,IF(G4950="Credit",-F4950,F4950))</f>
        <v/>
      </c>
    </row>
    <row r="4951">
      <c r="A4951" t="inlineStr">
        <is>
          <t>2026-08-18</t>
        </is>
      </c>
      <c r="B4951" t="inlineStr">
        <is>
          <t>F267655</t>
        </is>
      </c>
      <c r="C4951" t="inlineStr">
        <is>
          <t>C10401</t>
        </is>
      </c>
      <c r="D4951" t="inlineStr">
        <is>
          <t>SKU-10350</t>
        </is>
      </c>
      <c r="E4951" t="inlineStr">
        <is>
          <t>AM02</t>
        </is>
      </c>
      <c r="F4951" s="5" t="n">
        <v>648.61</v>
      </c>
      <c r="G4951">
        <f>IF(LEFT(B4951,1)="C","Credit","Factuur")</f>
        <v/>
      </c>
      <c r="H4951">
        <f>IF(AND(B4951=B4950,D4951=D4950,A4951=A4950,F4951=F4950),1,0)</f>
        <v/>
      </c>
      <c r="I4951">
        <f>IF(C4951="C99999",1,0)</f>
        <v/>
      </c>
      <c r="J4951" s="5">
        <f>IF(OR(H4951=1,I4951=1),0,IF(G4951="Credit",-F4951,F4951))</f>
        <v/>
      </c>
    </row>
    <row r="4952">
      <c r="A4952" t="inlineStr">
        <is>
          <t>2026-08-18</t>
        </is>
      </c>
      <c r="B4952" t="inlineStr">
        <is>
          <t>F267655</t>
        </is>
      </c>
      <c r="C4952" t="inlineStr">
        <is>
          <t>C10401</t>
        </is>
      </c>
      <c r="D4952" t="inlineStr">
        <is>
          <t>SKU-10364</t>
        </is>
      </c>
      <c r="E4952" t="inlineStr">
        <is>
          <t>AM02</t>
        </is>
      </c>
      <c r="F4952" s="5" t="n">
        <v>665.74</v>
      </c>
      <c r="G4952">
        <f>IF(LEFT(B4952,1)="C","Credit","Factuur")</f>
        <v/>
      </c>
      <c r="H4952">
        <f>IF(AND(B4952=B4951,D4952=D4951,A4952=A4951,F4952=F4951),1,0)</f>
        <v/>
      </c>
      <c r="I4952">
        <f>IF(C4952="C99999",1,0)</f>
        <v/>
      </c>
      <c r="J4952" s="5">
        <f>IF(OR(H4952=1,I4952=1),0,IF(G4952="Credit",-F4952,F4952))</f>
        <v/>
      </c>
    </row>
    <row r="4953">
      <c r="A4953" t="inlineStr">
        <is>
          <t>2026-08-18</t>
        </is>
      </c>
      <c r="B4953" t="inlineStr">
        <is>
          <t>F269144</t>
        </is>
      </c>
      <c r="C4953" t="inlineStr">
        <is>
          <t>C10479</t>
        </is>
      </c>
      <c r="D4953" t="inlineStr">
        <is>
          <t>SKU-10065</t>
        </is>
      </c>
      <c r="E4953" t="inlineStr">
        <is>
          <t>AM11</t>
        </is>
      </c>
      <c r="F4953" s="5" t="n">
        <v>300.17</v>
      </c>
      <c r="G4953">
        <f>IF(LEFT(B4953,1)="C","Credit","Factuur")</f>
        <v/>
      </c>
      <c r="H4953">
        <f>IF(AND(B4953=B4952,D4953=D4952,A4953=A4952,F4953=F4952),1,0)</f>
        <v/>
      </c>
      <c r="I4953">
        <f>IF(C4953="C99999",1,0)</f>
        <v/>
      </c>
      <c r="J4953" s="5">
        <f>IF(OR(H4953=1,I4953=1),0,IF(G4953="Credit",-F4953,F4953))</f>
        <v/>
      </c>
    </row>
    <row r="4954">
      <c r="A4954" t="inlineStr">
        <is>
          <t>2026-08-18</t>
        </is>
      </c>
      <c r="B4954" t="inlineStr">
        <is>
          <t>F269144</t>
        </is>
      </c>
      <c r="C4954" t="inlineStr">
        <is>
          <t>C10479</t>
        </is>
      </c>
      <c r="D4954" t="inlineStr">
        <is>
          <t>SKU-10089</t>
        </is>
      </c>
      <c r="E4954" t="inlineStr">
        <is>
          <t>AM11</t>
        </is>
      </c>
      <c r="F4954" s="5" t="n">
        <v>345.4</v>
      </c>
      <c r="G4954">
        <f>IF(LEFT(B4954,1)="C","Credit","Factuur")</f>
        <v/>
      </c>
      <c r="H4954">
        <f>IF(AND(B4954=B4953,D4954=D4953,A4954=A4953,F4954=F4953),1,0)</f>
        <v/>
      </c>
      <c r="I4954">
        <f>IF(C4954="C99999",1,0)</f>
        <v/>
      </c>
      <c r="J4954" s="5">
        <f>IF(OR(H4954=1,I4954=1),0,IF(G4954="Credit",-F4954,F4954))</f>
        <v/>
      </c>
    </row>
    <row r="4955">
      <c r="A4955" t="inlineStr">
        <is>
          <t>2026-08-18</t>
        </is>
      </c>
      <c r="B4955" t="inlineStr">
        <is>
          <t>F269144</t>
        </is>
      </c>
      <c r="C4955" t="inlineStr">
        <is>
          <t>C10479</t>
        </is>
      </c>
      <c r="D4955" t="inlineStr">
        <is>
          <t>SKU-10286</t>
        </is>
      </c>
      <c r="E4955" t="inlineStr">
        <is>
          <t>AM11</t>
        </is>
      </c>
      <c r="F4955" s="5" t="n">
        <v>329.41</v>
      </c>
      <c r="G4955">
        <f>IF(LEFT(B4955,1)="C","Credit","Factuur")</f>
        <v/>
      </c>
      <c r="H4955">
        <f>IF(AND(B4955=B4954,D4955=D4954,A4955=A4954,F4955=F4954),1,0)</f>
        <v/>
      </c>
      <c r="I4955">
        <f>IF(C4955="C99999",1,0)</f>
        <v/>
      </c>
      <c r="J4955" s="5">
        <f>IF(OR(H4955=1,I4955=1),0,IF(G4955="Credit",-F4955,F4955))</f>
        <v/>
      </c>
    </row>
    <row r="4956">
      <c r="A4956" t="inlineStr">
        <is>
          <t>2026-08-18</t>
        </is>
      </c>
      <c r="B4956" t="inlineStr">
        <is>
          <t>F269145</t>
        </is>
      </c>
      <c r="C4956" t="inlineStr">
        <is>
          <t>C10479</t>
        </is>
      </c>
      <c r="D4956" t="inlineStr">
        <is>
          <t>SKU-10017</t>
        </is>
      </c>
      <c r="E4956" t="inlineStr">
        <is>
          <t>AM11</t>
        </is>
      </c>
      <c r="F4956" s="5" t="n">
        <v>405.98</v>
      </c>
      <c r="G4956">
        <f>IF(LEFT(B4956,1)="C","Credit","Factuur")</f>
        <v/>
      </c>
      <c r="H4956">
        <f>IF(AND(B4956=B4955,D4956=D4955,A4956=A4955,F4956=F4955),1,0)</f>
        <v/>
      </c>
      <c r="I4956">
        <f>IF(C4956="C99999",1,0)</f>
        <v/>
      </c>
      <c r="J4956" s="5">
        <f>IF(OR(H4956=1,I4956=1),0,IF(G4956="Credit",-F4956,F4956))</f>
        <v/>
      </c>
    </row>
    <row r="4957">
      <c r="A4957" t="inlineStr">
        <is>
          <t>2026-08-18</t>
        </is>
      </c>
      <c r="B4957" t="inlineStr">
        <is>
          <t>F269145</t>
        </is>
      </c>
      <c r="C4957" t="inlineStr">
        <is>
          <t>C10479</t>
        </is>
      </c>
      <c r="D4957" t="inlineStr">
        <is>
          <t>SKU-10220</t>
        </is>
      </c>
      <c r="E4957" t="inlineStr">
        <is>
          <t>AM11</t>
        </is>
      </c>
      <c r="F4957" s="5" t="n">
        <v>431.29</v>
      </c>
      <c r="G4957">
        <f>IF(LEFT(B4957,1)="C","Credit","Factuur")</f>
        <v/>
      </c>
      <c r="H4957">
        <f>IF(AND(B4957=B4956,D4957=D4956,A4957=A4956,F4957=F4956),1,0)</f>
        <v/>
      </c>
      <c r="I4957">
        <f>IF(C4957="C99999",1,0)</f>
        <v/>
      </c>
      <c r="J4957" s="5">
        <f>IF(OR(H4957=1,I4957=1),0,IF(G4957="Credit",-F4957,F4957))</f>
        <v/>
      </c>
    </row>
    <row r="4958">
      <c r="A4958" t="inlineStr">
        <is>
          <t>2026-08-18</t>
        </is>
      </c>
      <c r="B4958" t="inlineStr">
        <is>
          <t>F269848</t>
        </is>
      </c>
      <c r="C4958" t="inlineStr">
        <is>
          <t>C10520</t>
        </is>
      </c>
      <c r="D4958" t="inlineStr">
        <is>
          <t>SKU-10288</t>
        </is>
      </c>
      <c r="E4958" t="inlineStr">
        <is>
          <t>AM12</t>
        </is>
      </c>
      <c r="F4958" s="5" t="n">
        <v>868.59</v>
      </c>
      <c r="G4958">
        <f>IF(LEFT(B4958,1)="C","Credit","Factuur")</f>
        <v/>
      </c>
      <c r="H4958">
        <f>IF(AND(B4958=B4957,D4958=D4957,A4958=A4957,F4958=F4957),1,0)</f>
        <v/>
      </c>
      <c r="I4958">
        <f>IF(C4958="C99999",1,0)</f>
        <v/>
      </c>
      <c r="J4958" s="5">
        <f>IF(OR(H4958=1,I4958=1),0,IF(G4958="Credit",-F4958,F4958))</f>
        <v/>
      </c>
    </row>
    <row r="4959">
      <c r="A4959" t="inlineStr">
        <is>
          <t>2026-08-18</t>
        </is>
      </c>
      <c r="B4959" t="inlineStr">
        <is>
          <t>F269848</t>
        </is>
      </c>
      <c r="C4959" t="inlineStr">
        <is>
          <t>C10520</t>
        </is>
      </c>
      <c r="D4959" t="inlineStr">
        <is>
          <t>SKU-10300</t>
        </is>
      </c>
      <c r="E4959" t="inlineStr">
        <is>
          <t>AM12</t>
        </is>
      </c>
      <c r="F4959" s="5" t="n">
        <v>880.9</v>
      </c>
      <c r="G4959">
        <f>IF(LEFT(B4959,1)="C","Credit","Factuur")</f>
        <v/>
      </c>
      <c r="H4959">
        <f>IF(AND(B4959=B4958,D4959=D4958,A4959=A4958,F4959=F4958),1,0)</f>
        <v/>
      </c>
      <c r="I4959">
        <f>IF(C4959="C99999",1,0)</f>
        <v/>
      </c>
      <c r="J4959" s="5">
        <f>IF(OR(H4959=1,I4959=1),0,IF(G4959="Credit",-F4959,F4959))</f>
        <v/>
      </c>
    </row>
    <row r="4960">
      <c r="A4960" t="inlineStr">
        <is>
          <t>2026-08-18</t>
        </is>
      </c>
      <c r="B4960" t="inlineStr">
        <is>
          <t>F269848</t>
        </is>
      </c>
      <c r="C4960" t="inlineStr">
        <is>
          <t>C10520</t>
        </is>
      </c>
      <c r="D4960" t="inlineStr">
        <is>
          <t>SKU-10325</t>
        </is>
      </c>
      <c r="E4960" t="inlineStr">
        <is>
          <t>AM12</t>
        </is>
      </c>
      <c r="F4960" s="5" t="n">
        <v>894.9</v>
      </c>
      <c r="G4960">
        <f>IF(LEFT(B4960,1)="C","Credit","Factuur")</f>
        <v/>
      </c>
      <c r="H4960">
        <f>IF(AND(B4960=B4959,D4960=D4959,A4960=A4959,F4960=F4959),1,0)</f>
        <v/>
      </c>
      <c r="I4960">
        <f>IF(C4960="C99999",1,0)</f>
        <v/>
      </c>
      <c r="J4960" s="5">
        <f>IF(OR(H4960=1,I4960=1),0,IF(G4960="Credit",-F4960,F4960))</f>
        <v/>
      </c>
    </row>
    <row r="4961">
      <c r="A4961" t="inlineStr">
        <is>
          <t>2026-08-18</t>
        </is>
      </c>
      <c r="B4961" t="inlineStr">
        <is>
          <t>F269900</t>
        </is>
      </c>
      <c r="C4961" t="inlineStr">
        <is>
          <t>C10522</t>
        </is>
      </c>
      <c r="D4961" t="inlineStr">
        <is>
          <t>SKU-10074</t>
        </is>
      </c>
      <c r="E4961" t="inlineStr">
        <is>
          <t>AM11</t>
        </is>
      </c>
      <c r="F4961" s="5" t="n">
        <v>106.38</v>
      </c>
      <c r="G4961">
        <f>IF(LEFT(B4961,1)="C","Credit","Factuur")</f>
        <v/>
      </c>
      <c r="H4961">
        <f>IF(AND(B4961=B4960,D4961=D4960,A4961=A4960,F4961=F4960),1,0)</f>
        <v/>
      </c>
      <c r="I4961">
        <f>IF(C4961="C99999",1,0)</f>
        <v/>
      </c>
      <c r="J4961" s="5">
        <f>IF(OR(H4961=1,I4961=1),0,IF(G4961="Credit",-F4961,F4961))</f>
        <v/>
      </c>
    </row>
    <row r="4962">
      <c r="A4962" t="inlineStr">
        <is>
          <t>2026-08-18</t>
        </is>
      </c>
      <c r="B4962" t="inlineStr">
        <is>
          <t>F269900</t>
        </is>
      </c>
      <c r="C4962" t="inlineStr">
        <is>
          <t>C10522</t>
        </is>
      </c>
      <c r="D4962" t="inlineStr">
        <is>
          <t>SKU-10260</t>
        </is>
      </c>
      <c r="E4962" t="inlineStr">
        <is>
          <t>AM11</t>
        </is>
      </c>
      <c r="F4962" s="5" t="n">
        <v>108.56</v>
      </c>
      <c r="G4962">
        <f>IF(LEFT(B4962,1)="C","Credit","Factuur")</f>
        <v/>
      </c>
      <c r="H4962">
        <f>IF(AND(B4962=B4961,D4962=D4961,A4962=A4961,F4962=F4961),1,0)</f>
        <v/>
      </c>
      <c r="I4962">
        <f>IF(C4962="C99999",1,0)</f>
        <v/>
      </c>
      <c r="J4962" s="5">
        <f>IF(OR(H4962=1,I4962=1),0,IF(G4962="Credit",-F4962,F4962))</f>
        <v/>
      </c>
    </row>
    <row r="4963">
      <c r="A4963" t="inlineStr">
        <is>
          <t>2026-08-18</t>
        </is>
      </c>
      <c r="B4963" t="inlineStr">
        <is>
          <t>F269900</t>
        </is>
      </c>
      <c r="C4963" t="inlineStr">
        <is>
          <t>C10522</t>
        </is>
      </c>
      <c r="D4963" t="inlineStr">
        <is>
          <t>SKU-10328</t>
        </is>
      </c>
      <c r="E4963" t="inlineStr">
        <is>
          <t>AM11</t>
        </is>
      </c>
      <c r="F4963" s="5" t="n">
        <v>118.71</v>
      </c>
      <c r="G4963">
        <f>IF(LEFT(B4963,1)="C","Credit","Factuur")</f>
        <v/>
      </c>
      <c r="H4963">
        <f>IF(AND(B4963=B4962,D4963=D4962,A4963=A4962,F4963=F4962),1,0)</f>
        <v/>
      </c>
      <c r="I4963">
        <f>IF(C4963="C99999",1,0)</f>
        <v/>
      </c>
      <c r="J4963" s="5">
        <f>IF(OR(H4963=1,I4963=1),0,IF(G4963="Credit",-F4963,F4963))</f>
        <v/>
      </c>
    </row>
    <row r="4964">
      <c r="A4964" t="inlineStr">
        <is>
          <t>2026-08-18</t>
        </is>
      </c>
      <c r="B4964" t="inlineStr">
        <is>
          <t>F271147</t>
        </is>
      </c>
      <c r="C4964" t="inlineStr">
        <is>
          <t>C10581</t>
        </is>
      </c>
      <c r="D4964" t="inlineStr">
        <is>
          <t>SKU-10341</t>
        </is>
      </c>
      <c r="E4964" t="inlineStr">
        <is>
          <t>AM02</t>
        </is>
      </c>
      <c r="F4964" s="5" t="n">
        <v>305.82</v>
      </c>
      <c r="G4964">
        <f>IF(LEFT(B4964,1)="C","Credit","Factuur")</f>
        <v/>
      </c>
      <c r="H4964">
        <f>IF(AND(B4964=B4963,D4964=D4963,A4964=A4963,F4964=F4963),1,0)</f>
        <v/>
      </c>
      <c r="I4964">
        <f>IF(C4964="C99999",1,0)</f>
        <v/>
      </c>
      <c r="J4964" s="5">
        <f>IF(OR(H4964=1,I4964=1),0,IF(G4964="Credit",-F4964,F4964))</f>
        <v/>
      </c>
    </row>
    <row r="4965">
      <c r="A4965" t="inlineStr">
        <is>
          <t>2026-08-18</t>
        </is>
      </c>
      <c r="B4965" t="inlineStr">
        <is>
          <t>F271381</t>
        </is>
      </c>
      <c r="C4965" t="inlineStr">
        <is>
          <t>C10590</t>
        </is>
      </c>
      <c r="D4965" t="inlineStr">
        <is>
          <t>SKU-10018</t>
        </is>
      </c>
      <c r="E4965" t="inlineStr">
        <is>
          <t>AM02</t>
        </is>
      </c>
      <c r="F4965" s="5" t="n">
        <v>1286.64</v>
      </c>
      <c r="G4965">
        <f>IF(LEFT(B4965,1)="C","Credit","Factuur")</f>
        <v/>
      </c>
      <c r="H4965">
        <f>IF(AND(B4965=B4964,D4965=D4964,A4965=A4964,F4965=F4964),1,0)</f>
        <v/>
      </c>
      <c r="I4965">
        <f>IF(C4965="C99999",1,0)</f>
        <v/>
      </c>
      <c r="J4965" s="5">
        <f>IF(OR(H4965=1,I4965=1),0,IF(G4965="Credit",-F4965,F4965))</f>
        <v/>
      </c>
    </row>
    <row r="4966">
      <c r="A4966" t="inlineStr">
        <is>
          <t>2026-08-18</t>
        </is>
      </c>
      <c r="B4966" t="inlineStr">
        <is>
          <t>F272247</t>
        </is>
      </c>
      <c r="C4966" t="inlineStr">
        <is>
          <t>C10634</t>
        </is>
      </c>
      <c r="D4966" t="inlineStr">
        <is>
          <t>SKU-10106</t>
        </is>
      </c>
      <c r="E4966" t="inlineStr">
        <is>
          <t>AM11</t>
        </is>
      </c>
      <c r="F4966" s="5" t="n">
        <v>929.7</v>
      </c>
      <c r="G4966">
        <f>IF(LEFT(B4966,1)="C","Credit","Factuur")</f>
        <v/>
      </c>
      <c r="H4966">
        <f>IF(AND(B4966=B4965,D4966=D4965,A4966=A4965,F4966=F4965),1,0)</f>
        <v/>
      </c>
      <c r="I4966">
        <f>IF(C4966="C99999",1,0)</f>
        <v/>
      </c>
      <c r="J4966" s="5">
        <f>IF(OR(H4966=1,I4966=1),0,IF(G4966="Credit",-F4966,F4966))</f>
        <v/>
      </c>
    </row>
    <row r="4967">
      <c r="A4967" t="inlineStr">
        <is>
          <t>2026-08-18</t>
        </is>
      </c>
      <c r="B4967" t="inlineStr">
        <is>
          <t>F272247</t>
        </is>
      </c>
      <c r="C4967" t="inlineStr">
        <is>
          <t>C10634</t>
        </is>
      </c>
      <c r="D4967" t="inlineStr">
        <is>
          <t>SKU-10111</t>
        </is>
      </c>
      <c r="E4967" t="inlineStr">
        <is>
          <t>AM11</t>
        </is>
      </c>
      <c r="F4967" s="5" t="n">
        <v>948.08</v>
      </c>
      <c r="G4967">
        <f>IF(LEFT(B4967,1)="C","Credit","Factuur")</f>
        <v/>
      </c>
      <c r="H4967">
        <f>IF(AND(B4967=B4966,D4967=D4966,A4967=A4966,F4967=F4966),1,0)</f>
        <v/>
      </c>
      <c r="I4967">
        <f>IF(C4967="C99999",1,0)</f>
        <v/>
      </c>
      <c r="J4967" s="5">
        <f>IF(OR(H4967=1,I4967=1),0,IF(G4967="Credit",-F4967,F4967))</f>
        <v/>
      </c>
    </row>
    <row r="4968">
      <c r="A4968" t="inlineStr">
        <is>
          <t>2026-08-18</t>
        </is>
      </c>
      <c r="B4968" t="inlineStr">
        <is>
          <t>F272247</t>
        </is>
      </c>
      <c r="C4968" t="inlineStr">
        <is>
          <t>C10634</t>
        </is>
      </c>
      <c r="D4968" t="inlineStr">
        <is>
          <t>SKU-10311</t>
        </is>
      </c>
      <c r="E4968" t="inlineStr">
        <is>
          <t>AM11</t>
        </is>
      </c>
      <c r="F4968" s="5" t="n">
        <v>897.3099999999999</v>
      </c>
      <c r="G4968">
        <f>IF(LEFT(B4968,1)="C","Credit","Factuur")</f>
        <v/>
      </c>
      <c r="H4968">
        <f>IF(AND(B4968=B4967,D4968=D4967,A4968=A4967,F4968=F4967),1,0)</f>
        <v/>
      </c>
      <c r="I4968">
        <f>IF(C4968="C99999",1,0)</f>
        <v/>
      </c>
      <c r="J4968" s="5">
        <f>IF(OR(H4968=1,I4968=1),0,IF(G4968="Credit",-F4968,F4968))</f>
        <v/>
      </c>
    </row>
    <row r="4969">
      <c r="A4969" t="inlineStr">
        <is>
          <t>2026-08-18</t>
        </is>
      </c>
      <c r="B4969" t="inlineStr">
        <is>
          <t>F272247</t>
        </is>
      </c>
      <c r="C4969" t="inlineStr">
        <is>
          <t>C10634</t>
        </is>
      </c>
      <c r="D4969" t="inlineStr">
        <is>
          <t>SKU-10317</t>
        </is>
      </c>
      <c r="E4969" t="inlineStr">
        <is>
          <t>AM11</t>
        </is>
      </c>
      <c r="F4969" s="5" t="n">
        <v>886.72</v>
      </c>
      <c r="G4969">
        <f>IF(LEFT(B4969,1)="C","Credit","Factuur")</f>
        <v/>
      </c>
      <c r="H4969">
        <f>IF(AND(B4969=B4968,D4969=D4968,A4969=A4968,F4969=F4968),1,0)</f>
        <v/>
      </c>
      <c r="I4969">
        <f>IF(C4969="C99999",1,0)</f>
        <v/>
      </c>
      <c r="J4969" s="5">
        <f>IF(OR(H4969=1,I4969=1),0,IF(G4969="Credit",-F4969,F4969))</f>
        <v/>
      </c>
    </row>
    <row r="4970">
      <c r="A4970" t="inlineStr">
        <is>
          <t>2026-08-18</t>
        </is>
      </c>
      <c r="B4970" t="inlineStr">
        <is>
          <t>F272774</t>
        </is>
      </c>
      <c r="C4970" t="inlineStr">
        <is>
          <t>C10667</t>
        </is>
      </c>
      <c r="D4970" t="inlineStr">
        <is>
          <t>SKU-10225</t>
        </is>
      </c>
      <c r="E4970" t="inlineStr">
        <is>
          <t>AM08</t>
        </is>
      </c>
      <c r="F4970" s="5" t="n">
        <v>512.2</v>
      </c>
      <c r="G4970">
        <f>IF(LEFT(B4970,1)="C","Credit","Factuur")</f>
        <v/>
      </c>
      <c r="H4970">
        <f>IF(AND(B4970=B4969,D4970=D4969,A4970=A4969,F4970=F4969),1,0)</f>
        <v/>
      </c>
      <c r="I4970">
        <f>IF(C4970="C99999",1,0)</f>
        <v/>
      </c>
      <c r="J4970" s="5">
        <f>IF(OR(H4970=1,I4970=1),0,IF(G4970="Credit",-F4970,F4970))</f>
        <v/>
      </c>
    </row>
    <row r="4971">
      <c r="A4971" t="inlineStr">
        <is>
          <t>2026-08-18</t>
        </is>
      </c>
      <c r="B4971" t="inlineStr">
        <is>
          <t>F272774</t>
        </is>
      </c>
      <c r="C4971" t="inlineStr">
        <is>
          <t>C10667</t>
        </is>
      </c>
      <c r="D4971" t="inlineStr">
        <is>
          <t>SKU-10241</t>
        </is>
      </c>
      <c r="E4971" t="inlineStr">
        <is>
          <t>AM08</t>
        </is>
      </c>
      <c r="F4971" s="5" t="n">
        <v>509.34</v>
      </c>
      <c r="G4971">
        <f>IF(LEFT(B4971,1)="C","Credit","Factuur")</f>
        <v/>
      </c>
      <c r="H4971">
        <f>IF(AND(B4971=B4970,D4971=D4970,A4971=A4970,F4971=F4970),1,0)</f>
        <v/>
      </c>
      <c r="I4971">
        <f>IF(C4971="C99999",1,0)</f>
        <v/>
      </c>
      <c r="J4971" s="5">
        <f>IF(OR(H4971=1,I4971=1),0,IF(G4971="Credit",-F4971,F4971))</f>
        <v/>
      </c>
    </row>
    <row r="4972">
      <c r="A4972" t="inlineStr">
        <is>
          <t>2026-08-18</t>
        </is>
      </c>
      <c r="B4972" t="inlineStr">
        <is>
          <t>F273155</t>
        </is>
      </c>
      <c r="C4972" t="inlineStr">
        <is>
          <t>C10687</t>
        </is>
      </c>
      <c r="D4972" t="inlineStr">
        <is>
          <t>SKU-10068</t>
        </is>
      </c>
      <c r="E4972" t="inlineStr">
        <is>
          <t>AM05</t>
        </is>
      </c>
      <c r="F4972" s="5" t="n">
        <v>108.9</v>
      </c>
      <c r="G4972">
        <f>IF(LEFT(B4972,1)="C","Credit","Factuur")</f>
        <v/>
      </c>
      <c r="H4972">
        <f>IF(AND(B4972=B4971,D4972=D4971,A4972=A4971,F4972=F4971),1,0)</f>
        <v/>
      </c>
      <c r="I4972">
        <f>IF(C4972="C99999",1,0)</f>
        <v/>
      </c>
      <c r="J4972" s="5">
        <f>IF(OR(H4972=1,I4972=1),0,IF(G4972="Credit",-F4972,F4972))</f>
        <v/>
      </c>
    </row>
    <row r="4973">
      <c r="A4973" t="inlineStr">
        <is>
          <t>2026-08-18</t>
        </is>
      </c>
      <c r="B4973" t="inlineStr">
        <is>
          <t>F273155</t>
        </is>
      </c>
      <c r="C4973" t="inlineStr">
        <is>
          <t>C10687</t>
        </is>
      </c>
      <c r="D4973" t="inlineStr">
        <is>
          <t>SKU-10083</t>
        </is>
      </c>
      <c r="E4973" t="inlineStr">
        <is>
          <t>AM05</t>
        </is>
      </c>
      <c r="F4973" s="5" t="n">
        <v>120.78</v>
      </c>
      <c r="G4973">
        <f>IF(LEFT(B4973,1)="C","Credit","Factuur")</f>
        <v/>
      </c>
      <c r="H4973">
        <f>IF(AND(B4973=B4972,D4973=D4972,A4973=A4972,F4973=F4972),1,0)</f>
        <v/>
      </c>
      <c r="I4973">
        <f>IF(C4973="C99999",1,0)</f>
        <v/>
      </c>
      <c r="J4973" s="5">
        <f>IF(OR(H4973=1,I4973=1),0,IF(G4973="Credit",-F4973,F4973))</f>
        <v/>
      </c>
    </row>
    <row r="4974">
      <c r="A4974" t="inlineStr">
        <is>
          <t>2026-08-18</t>
        </is>
      </c>
      <c r="B4974" t="inlineStr">
        <is>
          <t>F273155</t>
        </is>
      </c>
      <c r="C4974" t="inlineStr">
        <is>
          <t>C10687</t>
        </is>
      </c>
      <c r="D4974" t="inlineStr">
        <is>
          <t>SKU-10270</t>
        </is>
      </c>
      <c r="E4974" t="inlineStr">
        <is>
          <t>AM05</t>
        </is>
      </c>
      <c r="F4974" s="5" t="n">
        <v>108.2</v>
      </c>
      <c r="G4974">
        <f>IF(LEFT(B4974,1)="C","Credit","Factuur")</f>
        <v/>
      </c>
      <c r="H4974">
        <f>IF(AND(B4974=B4973,D4974=D4973,A4974=A4973,F4974=F4973),1,0)</f>
        <v/>
      </c>
      <c r="I4974">
        <f>IF(C4974="C99999",1,0)</f>
        <v/>
      </c>
      <c r="J4974" s="5">
        <f>IF(OR(H4974=1,I4974=1),0,IF(G4974="Credit",-F4974,F4974))</f>
        <v/>
      </c>
    </row>
    <row r="4975">
      <c r="A4975" t="inlineStr">
        <is>
          <t>2026-08-18</t>
        </is>
      </c>
      <c r="B4975" t="inlineStr">
        <is>
          <t>F273155</t>
        </is>
      </c>
      <c r="C4975" t="inlineStr">
        <is>
          <t>C10687</t>
        </is>
      </c>
      <c r="D4975" t="inlineStr">
        <is>
          <t>SKU-10324</t>
        </is>
      </c>
      <c r="E4975" t="inlineStr">
        <is>
          <t>AM05</t>
        </is>
      </c>
      <c r="F4975" s="5" t="n">
        <v>108.6</v>
      </c>
      <c r="G4975">
        <f>IF(LEFT(B4975,1)="C","Credit","Factuur")</f>
        <v/>
      </c>
      <c r="H4975">
        <f>IF(AND(B4975=B4974,D4975=D4974,A4975=A4974,F4975=F4974),1,0)</f>
        <v/>
      </c>
      <c r="I4975">
        <f>IF(C4975="C99999",1,0)</f>
        <v/>
      </c>
      <c r="J4975" s="5">
        <f>IF(OR(H4975=1,I4975=1),0,IF(G4975="Credit",-F4975,F4975))</f>
        <v/>
      </c>
    </row>
    <row r="4976">
      <c r="A4976" t="inlineStr">
        <is>
          <t>2026-08-18</t>
        </is>
      </c>
      <c r="B4976" t="inlineStr">
        <is>
          <t>F273155</t>
        </is>
      </c>
      <c r="C4976" t="inlineStr">
        <is>
          <t>C10687</t>
        </is>
      </c>
      <c r="D4976" t="inlineStr">
        <is>
          <t>SKU-10383</t>
        </is>
      </c>
      <c r="E4976" t="inlineStr"/>
      <c r="F4976" s="5" t="n">
        <v>122.76</v>
      </c>
      <c r="G4976">
        <f>IF(LEFT(B4976,1)="C","Credit","Factuur")</f>
        <v/>
      </c>
      <c r="H4976">
        <f>IF(AND(B4976=B4975,D4976=D4975,A4976=A4975,F4976=F4975),1,0)</f>
        <v/>
      </c>
      <c r="I4976">
        <f>IF(C4976="C99999",1,0)</f>
        <v/>
      </c>
      <c r="J4976" s="5">
        <f>IF(OR(H4976=1,I4976=1),0,IF(G4976="Credit",-F4976,F4976))</f>
        <v/>
      </c>
    </row>
    <row r="4977">
      <c r="A4977" t="inlineStr">
        <is>
          <t>2026-08-18</t>
        </is>
      </c>
      <c r="B4977" t="inlineStr">
        <is>
          <t>F273192</t>
        </is>
      </c>
      <c r="C4977" t="inlineStr">
        <is>
          <t>C10688</t>
        </is>
      </c>
      <c r="D4977" t="inlineStr">
        <is>
          <t>SKU-10056</t>
        </is>
      </c>
      <c r="E4977" t="inlineStr">
        <is>
          <t>AM03</t>
        </is>
      </c>
      <c r="F4977" s="5" t="n">
        <v>192</v>
      </c>
      <c r="G4977">
        <f>IF(LEFT(B4977,1)="C","Credit","Factuur")</f>
        <v/>
      </c>
      <c r="H4977">
        <f>IF(AND(B4977=B4976,D4977=D4976,A4977=A4976,F4977=F4976),1,0)</f>
        <v/>
      </c>
      <c r="I4977">
        <f>IF(C4977="C99999",1,0)</f>
        <v/>
      </c>
      <c r="J4977" s="5">
        <f>IF(OR(H4977=1,I4977=1),0,IF(G4977="Credit",-F4977,F4977))</f>
        <v/>
      </c>
    </row>
    <row r="4978">
      <c r="A4978" t="inlineStr">
        <is>
          <t>2026-08-18</t>
        </is>
      </c>
      <c r="B4978" t="inlineStr">
        <is>
          <t>F273192</t>
        </is>
      </c>
      <c r="C4978" t="inlineStr">
        <is>
          <t>C10688</t>
        </is>
      </c>
      <c r="D4978" t="inlineStr">
        <is>
          <t>SKU-10240</t>
        </is>
      </c>
      <c r="E4978" t="inlineStr">
        <is>
          <t>AM03</t>
        </is>
      </c>
      <c r="F4978" s="5" t="n">
        <v>168.08</v>
      </c>
      <c r="G4978">
        <f>IF(LEFT(B4978,1)="C","Credit","Factuur")</f>
        <v/>
      </c>
      <c r="H4978">
        <f>IF(AND(B4978=B4977,D4978=D4977,A4978=A4977,F4978=F4977),1,0)</f>
        <v/>
      </c>
      <c r="I4978">
        <f>IF(C4978="C99999",1,0)</f>
        <v/>
      </c>
      <c r="J4978" s="5">
        <f>IF(OR(H4978=1,I4978=1),0,IF(G4978="Credit",-F4978,F4978))</f>
        <v/>
      </c>
    </row>
    <row r="4979">
      <c r="A4979" t="inlineStr">
        <is>
          <t>2026-08-18</t>
        </is>
      </c>
      <c r="B4979" t="inlineStr">
        <is>
          <t>F273192</t>
        </is>
      </c>
      <c r="C4979" t="inlineStr">
        <is>
          <t>C10688</t>
        </is>
      </c>
      <c r="D4979" t="inlineStr">
        <is>
          <t>SKU-10310</t>
        </is>
      </c>
      <c r="E4979" t="inlineStr">
        <is>
          <t>AM03</t>
        </is>
      </c>
      <c r="F4979" s="5" t="n">
        <v>157.63</v>
      </c>
      <c r="G4979">
        <f>IF(LEFT(B4979,1)="C","Credit","Factuur")</f>
        <v/>
      </c>
      <c r="H4979">
        <f>IF(AND(B4979=B4978,D4979=D4978,A4979=A4978,F4979=F4978),1,0)</f>
        <v/>
      </c>
      <c r="I4979">
        <f>IF(C4979="C99999",1,0)</f>
        <v/>
      </c>
      <c r="J4979" s="5">
        <f>IF(OR(H4979=1,I4979=1),0,IF(G4979="Credit",-F4979,F4979))</f>
        <v/>
      </c>
    </row>
    <row r="4980">
      <c r="A4980" t="inlineStr">
        <is>
          <t>2026-08-18</t>
        </is>
      </c>
      <c r="B4980" t="inlineStr">
        <is>
          <t>F274666</t>
        </is>
      </c>
      <c r="C4980" t="inlineStr">
        <is>
          <t>C10777</t>
        </is>
      </c>
      <c r="D4980" t="inlineStr">
        <is>
          <t>SKU-10019</t>
        </is>
      </c>
      <c r="E4980" t="inlineStr">
        <is>
          <t>AM07</t>
        </is>
      </c>
      <c r="F4980" s="5" t="n">
        <v>376.29</v>
      </c>
      <c r="G4980">
        <f>IF(LEFT(B4980,1)="C","Credit","Factuur")</f>
        <v/>
      </c>
      <c r="H4980">
        <f>IF(AND(B4980=B4979,D4980=D4979,A4980=A4979,F4980=F4979),1,0)</f>
        <v/>
      </c>
      <c r="I4980">
        <f>IF(C4980="C99999",1,0)</f>
        <v/>
      </c>
      <c r="J4980" s="5">
        <f>IF(OR(H4980=1,I4980=1),0,IF(G4980="Credit",-F4980,F4980))</f>
        <v/>
      </c>
    </row>
    <row r="4981">
      <c r="A4981" t="inlineStr">
        <is>
          <t>2026-08-18</t>
        </is>
      </c>
      <c r="B4981" t="inlineStr">
        <is>
          <t>F274666</t>
        </is>
      </c>
      <c r="C4981" t="inlineStr">
        <is>
          <t>C10777</t>
        </is>
      </c>
      <c r="D4981" t="inlineStr">
        <is>
          <t>SKU-10063</t>
        </is>
      </c>
      <c r="E4981" t="inlineStr">
        <is>
          <t>AM07</t>
        </is>
      </c>
      <c r="F4981" s="5" t="n">
        <v>380.97</v>
      </c>
      <c r="G4981">
        <f>IF(LEFT(B4981,1)="C","Credit","Factuur")</f>
        <v/>
      </c>
      <c r="H4981">
        <f>IF(AND(B4981=B4980,D4981=D4980,A4981=A4980,F4981=F4980),1,0)</f>
        <v/>
      </c>
      <c r="I4981">
        <f>IF(C4981="C99999",1,0)</f>
        <v/>
      </c>
      <c r="J4981" s="5">
        <f>IF(OR(H4981=1,I4981=1),0,IF(G4981="Credit",-F4981,F4981))</f>
        <v/>
      </c>
    </row>
    <row r="4982">
      <c r="A4982" t="inlineStr">
        <is>
          <t>2026-08-18</t>
        </is>
      </c>
      <c r="B4982" t="inlineStr">
        <is>
          <t>F274666</t>
        </is>
      </c>
      <c r="C4982" t="inlineStr">
        <is>
          <t>C10777</t>
        </is>
      </c>
      <c r="D4982" t="inlineStr">
        <is>
          <t>SKU-10103</t>
        </is>
      </c>
      <c r="E4982" t="inlineStr">
        <is>
          <t>AM07</t>
        </is>
      </c>
      <c r="F4982" s="5" t="n">
        <v>349.49</v>
      </c>
      <c r="G4982">
        <f>IF(LEFT(B4982,1)="C","Credit","Factuur")</f>
        <v/>
      </c>
      <c r="H4982">
        <f>IF(AND(B4982=B4981,D4982=D4981,A4982=A4981,F4982=F4981),1,0)</f>
        <v/>
      </c>
      <c r="I4982">
        <f>IF(C4982="C99999",1,0)</f>
        <v/>
      </c>
      <c r="J4982" s="5">
        <f>IF(OR(H4982=1,I4982=1),0,IF(G4982="Credit",-F4982,F4982))</f>
        <v/>
      </c>
    </row>
    <row r="4983">
      <c r="A4983" t="inlineStr">
        <is>
          <t>2026-08-18</t>
        </is>
      </c>
      <c r="B4983" t="inlineStr">
        <is>
          <t>F274666</t>
        </is>
      </c>
      <c r="C4983" t="inlineStr">
        <is>
          <t>C10777</t>
        </is>
      </c>
      <c r="D4983" t="inlineStr">
        <is>
          <t>SKU-10248</t>
        </is>
      </c>
      <c r="E4983" t="inlineStr">
        <is>
          <t>AM07</t>
        </is>
      </c>
      <c r="F4983" s="5" t="n">
        <v>332.75</v>
      </c>
      <c r="G4983">
        <f>IF(LEFT(B4983,1)="C","Credit","Factuur")</f>
        <v/>
      </c>
      <c r="H4983">
        <f>IF(AND(B4983=B4982,D4983=D4982,A4983=A4982,F4983=F4982),1,0)</f>
        <v/>
      </c>
      <c r="I4983">
        <f>IF(C4983="C99999",1,0)</f>
        <v/>
      </c>
      <c r="J4983" s="5">
        <f>IF(OR(H4983=1,I4983=1),0,IF(G4983="Credit",-F4983,F4983))</f>
        <v/>
      </c>
    </row>
    <row r="4984">
      <c r="A4984" t="inlineStr">
        <is>
          <t>2026-08-18</t>
        </is>
      </c>
      <c r="B4984" t="inlineStr">
        <is>
          <t>F274822</t>
        </is>
      </c>
      <c r="C4984" t="inlineStr">
        <is>
          <t>C10784</t>
        </is>
      </c>
      <c r="D4984" t="inlineStr">
        <is>
          <t>SKU-10067</t>
        </is>
      </c>
      <c r="E4984" t="inlineStr">
        <is>
          <t>AM02</t>
        </is>
      </c>
      <c r="F4984" s="5" t="n">
        <v>116.12</v>
      </c>
      <c r="G4984">
        <f>IF(LEFT(B4984,1)="C","Credit","Factuur")</f>
        <v/>
      </c>
      <c r="H4984">
        <f>IF(AND(B4984=B4983,D4984=D4983,A4984=A4983,F4984=F4983),1,0)</f>
        <v/>
      </c>
      <c r="I4984">
        <f>IF(C4984="C99999",1,0)</f>
        <v/>
      </c>
      <c r="J4984" s="5">
        <f>IF(OR(H4984=1,I4984=1),0,IF(G4984="Credit",-F4984,F4984))</f>
        <v/>
      </c>
    </row>
    <row r="4985">
      <c r="A4985" t="inlineStr">
        <is>
          <t>2026-08-18</t>
        </is>
      </c>
      <c r="B4985" t="inlineStr">
        <is>
          <t>F274822</t>
        </is>
      </c>
      <c r="C4985" t="inlineStr">
        <is>
          <t>C10784</t>
        </is>
      </c>
      <c r="D4985" t="inlineStr">
        <is>
          <t>SKU-10078</t>
        </is>
      </c>
      <c r="E4985" t="inlineStr">
        <is>
          <t>AM02</t>
        </is>
      </c>
      <c r="F4985" s="5" t="n">
        <v>108.7</v>
      </c>
      <c r="G4985">
        <f>IF(LEFT(B4985,1)="C","Credit","Factuur")</f>
        <v/>
      </c>
      <c r="H4985">
        <f>IF(AND(B4985=B4984,D4985=D4984,A4985=A4984,F4985=F4984),1,0)</f>
        <v/>
      </c>
      <c r="I4985">
        <f>IF(C4985="C99999",1,0)</f>
        <v/>
      </c>
      <c r="J4985" s="5">
        <f>IF(OR(H4985=1,I4985=1),0,IF(G4985="Credit",-F4985,F4985))</f>
        <v/>
      </c>
    </row>
    <row r="4986">
      <c r="A4986" t="inlineStr">
        <is>
          <t>2026-08-18</t>
        </is>
      </c>
      <c r="B4986" t="inlineStr">
        <is>
          <t>F274822</t>
        </is>
      </c>
      <c r="C4986" t="inlineStr">
        <is>
          <t>C10784</t>
        </is>
      </c>
      <c r="D4986" t="inlineStr">
        <is>
          <t>SKU-10124</t>
        </is>
      </c>
      <c r="E4986" t="inlineStr">
        <is>
          <t>AM02</t>
        </is>
      </c>
      <c r="F4986" s="5" t="n">
        <v>97.08</v>
      </c>
      <c r="G4986">
        <f>IF(LEFT(B4986,1)="C","Credit","Factuur")</f>
        <v/>
      </c>
      <c r="H4986">
        <f>IF(AND(B4986=B4985,D4986=D4985,A4986=A4985,F4986=F4985),1,0)</f>
        <v/>
      </c>
      <c r="I4986">
        <f>IF(C4986="C99999",1,0)</f>
        <v/>
      </c>
      <c r="J4986" s="5">
        <f>IF(OR(H4986=1,I4986=1),0,IF(G4986="Credit",-F4986,F4986))</f>
        <v/>
      </c>
    </row>
    <row r="4987">
      <c r="A4987" t="inlineStr">
        <is>
          <t>2026-08-18</t>
        </is>
      </c>
      <c r="B4987" t="inlineStr">
        <is>
          <t>F274822</t>
        </is>
      </c>
      <c r="C4987" t="inlineStr">
        <is>
          <t>C10784</t>
        </is>
      </c>
      <c r="D4987" t="inlineStr">
        <is>
          <t>SKU-10223</t>
        </is>
      </c>
      <c r="E4987" t="inlineStr">
        <is>
          <t>AM02</t>
        </is>
      </c>
      <c r="F4987" s="5" t="n">
        <v>113.85</v>
      </c>
      <c r="G4987">
        <f>IF(LEFT(B4987,1)="C","Credit","Factuur")</f>
        <v/>
      </c>
      <c r="H4987">
        <f>IF(AND(B4987=B4986,D4987=D4986,A4987=A4986,F4987=F4986),1,0)</f>
        <v/>
      </c>
      <c r="I4987">
        <f>IF(C4987="C99999",1,0)</f>
        <v/>
      </c>
      <c r="J4987" s="5">
        <f>IF(OR(H4987=1,I4987=1),0,IF(G4987="Credit",-F4987,F4987))</f>
        <v/>
      </c>
    </row>
    <row r="4988">
      <c r="A4988" t="inlineStr">
        <is>
          <t>2026-08-18</t>
        </is>
      </c>
      <c r="B4988" t="inlineStr">
        <is>
          <t>F274822</t>
        </is>
      </c>
      <c r="C4988" t="inlineStr">
        <is>
          <t>C10784</t>
        </is>
      </c>
      <c r="D4988" t="inlineStr">
        <is>
          <t>SKU-10227</t>
        </is>
      </c>
      <c r="E4988" t="inlineStr">
        <is>
          <t>AM02</t>
        </is>
      </c>
      <c r="F4988" s="5" t="n">
        <v>106.56</v>
      </c>
      <c r="G4988">
        <f>IF(LEFT(B4988,1)="C","Credit","Factuur")</f>
        <v/>
      </c>
      <c r="H4988">
        <f>IF(AND(B4988=B4987,D4988=D4987,A4988=A4987,F4988=F4987),1,0)</f>
        <v/>
      </c>
      <c r="I4988">
        <f>IF(C4988="C99999",1,0)</f>
        <v/>
      </c>
      <c r="J4988" s="5">
        <f>IF(OR(H4988=1,I4988=1),0,IF(G4988="Credit",-F4988,F4988))</f>
        <v/>
      </c>
    </row>
    <row r="4989">
      <c r="A4989" t="inlineStr">
        <is>
          <t>2026-08-18</t>
        </is>
      </c>
      <c r="B4989" t="inlineStr">
        <is>
          <t>F275054</t>
        </is>
      </c>
      <c r="C4989" t="inlineStr">
        <is>
          <t>C10793</t>
        </is>
      </c>
      <c r="D4989" t="inlineStr">
        <is>
          <t>SKU-10094</t>
        </is>
      </c>
      <c r="E4989" t="inlineStr">
        <is>
          <t>AM01</t>
        </is>
      </c>
      <c r="F4989" s="5" t="n">
        <v>509.4</v>
      </c>
      <c r="G4989">
        <f>IF(LEFT(B4989,1)="C","Credit","Factuur")</f>
        <v/>
      </c>
      <c r="H4989">
        <f>IF(AND(B4989=B4988,D4989=D4988,A4989=A4988,F4989=F4988),1,0)</f>
        <v/>
      </c>
      <c r="I4989">
        <f>IF(C4989="C99999",1,0)</f>
        <v/>
      </c>
      <c r="J4989" s="5">
        <f>IF(OR(H4989=1,I4989=1),0,IF(G4989="Credit",-F4989,F4989))</f>
        <v/>
      </c>
    </row>
    <row r="4990">
      <c r="A4990" t="inlineStr">
        <is>
          <t>2026-08-18</t>
        </is>
      </c>
      <c r="B4990" t="inlineStr">
        <is>
          <t>F275054</t>
        </is>
      </c>
      <c r="C4990" t="inlineStr">
        <is>
          <t>C10793</t>
        </is>
      </c>
      <c r="D4990" t="inlineStr">
        <is>
          <t>SKU-10280</t>
        </is>
      </c>
      <c r="E4990" t="inlineStr">
        <is>
          <t>AM01</t>
        </is>
      </c>
      <c r="F4990" s="5" t="n">
        <v>528.6</v>
      </c>
      <c r="G4990">
        <f>IF(LEFT(B4990,1)="C","Credit","Factuur")</f>
        <v/>
      </c>
      <c r="H4990">
        <f>IF(AND(B4990=B4989,D4990=D4989,A4990=A4989,F4990=F4989),1,0)</f>
        <v/>
      </c>
      <c r="I4990">
        <f>IF(C4990="C99999",1,0)</f>
        <v/>
      </c>
      <c r="J4990" s="5">
        <f>IF(OR(H4990=1,I4990=1),0,IF(G4990="Credit",-F4990,F4990))</f>
        <v/>
      </c>
    </row>
    <row r="4991">
      <c r="A4991" t="inlineStr">
        <is>
          <t>2026-08-18</t>
        </is>
      </c>
      <c r="B4991" t="inlineStr">
        <is>
          <t>F275054</t>
        </is>
      </c>
      <c r="C4991" t="inlineStr">
        <is>
          <t>C10793</t>
        </is>
      </c>
      <c r="D4991" t="inlineStr">
        <is>
          <t>SKU-10320</t>
        </is>
      </c>
      <c r="E4991" t="inlineStr">
        <is>
          <t>AM01</t>
        </is>
      </c>
      <c r="F4991" s="5" t="n">
        <v>490.1</v>
      </c>
      <c r="G4991">
        <f>IF(LEFT(B4991,1)="C","Credit","Factuur")</f>
        <v/>
      </c>
      <c r="H4991">
        <f>IF(AND(B4991=B4990,D4991=D4990,A4991=A4990,F4991=F4990),1,0)</f>
        <v/>
      </c>
      <c r="I4991">
        <f>IF(C4991="C99999",1,0)</f>
        <v/>
      </c>
      <c r="J4991" s="5">
        <f>IF(OR(H4991=1,I4991=1),0,IF(G4991="Credit",-F4991,F4991))</f>
        <v/>
      </c>
    </row>
    <row r="4992">
      <c r="A4992" t="inlineStr">
        <is>
          <t>2026-08-18</t>
        </is>
      </c>
      <c r="B4992" t="inlineStr">
        <is>
          <t>F275090</t>
        </is>
      </c>
      <c r="C4992" t="inlineStr">
        <is>
          <t>C10794</t>
        </is>
      </c>
      <c r="D4992" t="inlineStr">
        <is>
          <t>SKU-10075</t>
        </is>
      </c>
      <c r="E4992" t="inlineStr">
        <is>
          <t>AM08</t>
        </is>
      </c>
      <c r="F4992" s="5" t="n">
        <v>1037.88</v>
      </c>
      <c r="G4992">
        <f>IF(LEFT(B4992,1)="C","Credit","Factuur")</f>
        <v/>
      </c>
      <c r="H4992">
        <f>IF(AND(B4992=B4991,D4992=D4991,A4992=A4991,F4992=F4991),1,0)</f>
        <v/>
      </c>
      <c r="I4992">
        <f>IF(C4992="C99999",1,0)</f>
        <v/>
      </c>
      <c r="J4992" s="5">
        <f>IF(OR(H4992=1,I4992=1),0,IF(G4992="Credit",-F4992,F4992))</f>
        <v/>
      </c>
    </row>
    <row r="4993">
      <c r="A4993" t="inlineStr">
        <is>
          <t>2026-08-18</t>
        </is>
      </c>
      <c r="B4993" t="inlineStr">
        <is>
          <t>F276121</t>
        </is>
      </c>
      <c r="C4993" t="inlineStr">
        <is>
          <t>C10856</t>
        </is>
      </c>
      <c r="D4993" t="inlineStr">
        <is>
          <t>SKU-10020</t>
        </is>
      </c>
      <c r="E4993" t="inlineStr">
        <is>
          <t>AM05</t>
        </is>
      </c>
      <c r="F4993" s="5" t="n">
        <v>1007.76</v>
      </c>
      <c r="G4993">
        <f>IF(LEFT(B4993,1)="C","Credit","Factuur")</f>
        <v/>
      </c>
      <c r="H4993">
        <f>IF(AND(B4993=B4992,D4993=D4992,A4993=A4992,F4993=F4992),1,0)</f>
        <v/>
      </c>
      <c r="I4993">
        <f>IF(C4993="C99999",1,0)</f>
        <v/>
      </c>
      <c r="J4993" s="5">
        <f>IF(OR(H4993=1,I4993=1),0,IF(G4993="Credit",-F4993,F4993))</f>
        <v/>
      </c>
    </row>
    <row r="4994">
      <c r="A4994" t="inlineStr">
        <is>
          <t>2026-08-18</t>
        </is>
      </c>
      <c r="B4994" t="inlineStr">
        <is>
          <t>F276121</t>
        </is>
      </c>
      <c r="C4994" t="inlineStr">
        <is>
          <t>C10856</t>
        </is>
      </c>
      <c r="D4994" t="inlineStr">
        <is>
          <t>SKU-10207</t>
        </is>
      </c>
      <c r="E4994" t="inlineStr">
        <is>
          <t>AM05</t>
        </is>
      </c>
      <c r="F4994" s="5" t="n">
        <v>892.11</v>
      </c>
      <c r="G4994">
        <f>IF(LEFT(B4994,1)="C","Credit","Factuur")</f>
        <v/>
      </c>
      <c r="H4994">
        <f>IF(AND(B4994=B4993,D4994=D4993,A4994=A4993,F4994=F4993),1,0)</f>
        <v/>
      </c>
      <c r="I4994">
        <f>IF(C4994="C99999",1,0)</f>
        <v/>
      </c>
      <c r="J4994" s="5">
        <f>IF(OR(H4994=1,I4994=1),0,IF(G4994="Credit",-F4994,F4994))</f>
        <v/>
      </c>
    </row>
    <row r="4995">
      <c r="A4995" t="inlineStr">
        <is>
          <t>2026-08-18</t>
        </is>
      </c>
      <c r="B4995" t="inlineStr">
        <is>
          <t>F276121</t>
        </is>
      </c>
      <c r="C4995" t="inlineStr">
        <is>
          <t>C10856</t>
        </is>
      </c>
      <c r="D4995" t="inlineStr">
        <is>
          <t>SKU-10310</t>
        </is>
      </c>
      <c r="E4995" t="inlineStr">
        <is>
          <t>AM05</t>
        </is>
      </c>
      <c r="F4995" s="5" t="n">
        <v>957.17</v>
      </c>
      <c r="G4995">
        <f>IF(LEFT(B4995,1)="C","Credit","Factuur")</f>
        <v/>
      </c>
      <c r="H4995">
        <f>IF(AND(B4995=B4994,D4995=D4994,A4995=A4994,F4995=F4994),1,0)</f>
        <v/>
      </c>
      <c r="I4995">
        <f>IF(C4995="C99999",1,0)</f>
        <v/>
      </c>
      <c r="J4995" s="5">
        <f>IF(OR(H4995=1,I4995=1),0,IF(G4995="Credit",-F4995,F4995))</f>
        <v/>
      </c>
    </row>
    <row r="4996">
      <c r="A4996" t="inlineStr">
        <is>
          <t>2026-08-18</t>
        </is>
      </c>
      <c r="B4996" t="inlineStr">
        <is>
          <t>F277234</t>
        </is>
      </c>
      <c r="C4996" t="inlineStr">
        <is>
          <t>C10915</t>
        </is>
      </c>
      <c r="D4996" t="inlineStr">
        <is>
          <t>SKU-10234</t>
        </is>
      </c>
      <c r="E4996" t="inlineStr">
        <is>
          <t>AM01</t>
        </is>
      </c>
      <c r="F4996" s="5" t="n">
        <v>1085.78</v>
      </c>
      <c r="G4996">
        <f>IF(LEFT(B4996,1)="C","Credit","Factuur")</f>
        <v/>
      </c>
      <c r="H4996">
        <f>IF(AND(B4996=B4995,D4996=D4995,A4996=A4995,F4996=F4995),1,0)</f>
        <v/>
      </c>
      <c r="I4996">
        <f>IF(C4996="C99999",1,0)</f>
        <v/>
      </c>
      <c r="J4996" s="5">
        <f>IF(OR(H4996=1,I4996=1),0,IF(G4996="Credit",-F4996,F4996))</f>
        <v/>
      </c>
    </row>
    <row r="4997">
      <c r="A4997" t="inlineStr">
        <is>
          <t>2026-08-18</t>
        </is>
      </c>
      <c r="B4997" t="inlineStr">
        <is>
          <t>F277234</t>
        </is>
      </c>
      <c r="C4997" t="inlineStr">
        <is>
          <t>C10915</t>
        </is>
      </c>
      <c r="D4997" t="inlineStr">
        <is>
          <t>SKU-10379</t>
        </is>
      </c>
      <c r="E4997" t="inlineStr">
        <is>
          <t>AM01</t>
        </is>
      </c>
      <c r="F4997" s="5" t="n">
        <v>1105.54</v>
      </c>
      <c r="G4997">
        <f>IF(LEFT(B4997,1)="C","Credit","Factuur")</f>
        <v/>
      </c>
      <c r="H4997">
        <f>IF(AND(B4997=B4996,D4997=D4996,A4997=A4996,F4997=F4996),1,0)</f>
        <v/>
      </c>
      <c r="I4997">
        <f>IF(C4997="C99999",1,0)</f>
        <v/>
      </c>
      <c r="J4997" s="5">
        <f>IF(OR(H4997=1,I4997=1),0,IF(G4997="Credit",-F4997,F4997))</f>
        <v/>
      </c>
    </row>
    <row r="4998">
      <c r="A4998" t="inlineStr">
        <is>
          <t>2026-08-18</t>
        </is>
      </c>
      <c r="B4998" t="inlineStr">
        <is>
          <t>F278434</t>
        </is>
      </c>
      <c r="C4998" t="inlineStr">
        <is>
          <t>C10978</t>
        </is>
      </c>
      <c r="D4998" t="inlineStr">
        <is>
          <t>SKU-10268</t>
        </is>
      </c>
      <c r="E4998" t="inlineStr">
        <is>
          <t>AM06</t>
        </is>
      </c>
      <c r="F4998" s="5" t="n">
        <v>615.16</v>
      </c>
      <c r="G4998">
        <f>IF(LEFT(B4998,1)="C","Credit","Factuur")</f>
        <v/>
      </c>
      <c r="H4998">
        <f>IF(AND(B4998=B4997,D4998=D4997,A4998=A4997,F4998=F4997),1,0)</f>
        <v/>
      </c>
      <c r="I4998">
        <f>IF(C4998="C99999",1,0)</f>
        <v/>
      </c>
      <c r="J4998" s="5">
        <f>IF(OR(H4998=1,I4998=1),0,IF(G4998="Credit",-F4998,F4998))</f>
        <v/>
      </c>
    </row>
    <row r="4999">
      <c r="A4999" t="inlineStr">
        <is>
          <t>2026-08-18</t>
        </is>
      </c>
      <c r="B4999" t="inlineStr">
        <is>
          <t>F278516</t>
        </is>
      </c>
      <c r="C4999" t="inlineStr">
        <is>
          <t>C10982</t>
        </is>
      </c>
      <c r="D4999" t="inlineStr">
        <is>
          <t>SKU-10274</t>
        </is>
      </c>
      <c r="E4999" t="inlineStr">
        <is>
          <t>AM01</t>
        </is>
      </c>
      <c r="F4999" s="5" t="n">
        <v>847.11</v>
      </c>
      <c r="G4999">
        <f>IF(LEFT(B4999,1)="C","Credit","Factuur")</f>
        <v/>
      </c>
      <c r="H4999">
        <f>IF(AND(B4999=B4998,D4999=D4998,A4999=A4998,F4999=F4998),1,0)</f>
        <v/>
      </c>
      <c r="I4999">
        <f>IF(C4999="C99999",1,0)</f>
        <v/>
      </c>
      <c r="J4999" s="5">
        <f>IF(OR(H4999=1,I4999=1),0,IF(G4999="Credit",-F4999,F4999))</f>
        <v/>
      </c>
    </row>
    <row r="5000">
      <c r="A5000" t="inlineStr">
        <is>
          <t>2026-08-18</t>
        </is>
      </c>
      <c r="B5000" t="inlineStr">
        <is>
          <t>F278569</t>
        </is>
      </c>
      <c r="C5000" t="inlineStr">
        <is>
          <t>C10985</t>
        </is>
      </c>
      <c r="D5000" t="inlineStr">
        <is>
          <t>SKU-10042</t>
        </is>
      </c>
      <c r="E5000" t="inlineStr">
        <is>
          <t>AM12</t>
        </is>
      </c>
      <c r="F5000" s="5" t="n">
        <v>103.17</v>
      </c>
      <c r="G5000">
        <f>IF(LEFT(B5000,1)="C","Credit","Factuur")</f>
        <v/>
      </c>
      <c r="H5000">
        <f>IF(AND(B5000=B4999,D5000=D4999,A5000=A4999,F5000=F4999),1,0)</f>
        <v/>
      </c>
      <c r="I5000">
        <f>IF(C5000="C99999",1,0)</f>
        <v/>
      </c>
      <c r="J5000" s="5">
        <f>IF(OR(H5000=1,I5000=1),0,IF(G5000="Credit",-F5000,F5000))</f>
        <v/>
      </c>
    </row>
    <row r="5001">
      <c r="A5001" t="inlineStr">
        <is>
          <t>2026-08-18</t>
        </is>
      </c>
      <c r="B5001" t="inlineStr">
        <is>
          <t>F278569</t>
        </is>
      </c>
      <c r="C5001" t="inlineStr">
        <is>
          <t>C10985</t>
        </is>
      </c>
      <c r="D5001" t="inlineStr">
        <is>
          <t>SKU-10081</t>
        </is>
      </c>
      <c r="E5001" t="inlineStr">
        <is>
          <t>AM12</t>
        </is>
      </c>
      <c r="F5001" s="5" t="n">
        <v>127.14</v>
      </c>
      <c r="G5001">
        <f>IF(LEFT(B5001,1)="C","Credit","Factuur")</f>
        <v/>
      </c>
      <c r="H5001">
        <f>IF(AND(B5001=B5000,D5001=D5000,A5001=A5000,F5001=F5000),1,0)</f>
        <v/>
      </c>
      <c r="I5001">
        <f>IF(C5001="C99999",1,0)</f>
        <v/>
      </c>
      <c r="J5001" s="5">
        <f>IF(OR(H5001=1,I5001=1),0,IF(G5001="Credit",-F5001,F5001))</f>
        <v/>
      </c>
    </row>
    <row r="5002">
      <c r="A5002" t="inlineStr">
        <is>
          <t>2026-08-18</t>
        </is>
      </c>
      <c r="B5002" t="inlineStr">
        <is>
          <t>F278569</t>
        </is>
      </c>
      <c r="C5002" t="inlineStr">
        <is>
          <t>C10985</t>
        </is>
      </c>
      <c r="D5002" t="inlineStr">
        <is>
          <t>SKU-10191</t>
        </is>
      </c>
      <c r="E5002" t="inlineStr">
        <is>
          <t>AM12</t>
        </is>
      </c>
      <c r="F5002" s="5" t="n">
        <v>99.48</v>
      </c>
      <c r="G5002">
        <f>IF(LEFT(B5002,1)="C","Credit","Factuur")</f>
        <v/>
      </c>
      <c r="H5002">
        <f>IF(AND(B5002=B5001,D5002=D5001,A5002=A5001,F5002=F5001),1,0)</f>
        <v/>
      </c>
      <c r="I5002">
        <f>IF(C5002="C99999",1,0)</f>
        <v/>
      </c>
      <c r="J5002" s="5">
        <f>IF(OR(H5002=1,I5002=1),0,IF(G5002="Credit",-F5002,F5002))</f>
        <v/>
      </c>
    </row>
    <row r="5003">
      <c r="A5003" t="inlineStr">
        <is>
          <t>2026-08-18</t>
        </is>
      </c>
      <c r="B5003" t="inlineStr">
        <is>
          <t>F278569</t>
        </is>
      </c>
      <c r="C5003" t="inlineStr">
        <is>
          <t>C10985</t>
        </is>
      </c>
      <c r="D5003" t="inlineStr">
        <is>
          <t>SKU-10278</t>
        </is>
      </c>
      <c r="E5003" t="inlineStr">
        <is>
          <t>AM12</t>
        </is>
      </c>
      <c r="F5003" s="5" t="n">
        <v>105.1</v>
      </c>
      <c r="G5003">
        <f>IF(LEFT(B5003,1)="C","Credit","Factuur")</f>
        <v/>
      </c>
      <c r="H5003">
        <f>IF(AND(B5003=B5002,D5003=D5002,A5003=A5002,F5003=F5002),1,0)</f>
        <v/>
      </c>
      <c r="I5003">
        <f>IF(C5003="C99999",1,0)</f>
        <v/>
      </c>
      <c r="J5003" s="5">
        <f>IF(OR(H5003=1,I5003=1),0,IF(G5003="Credit",-F5003,F5003))</f>
        <v/>
      </c>
    </row>
    <row r="5004">
      <c r="A5004" t="inlineStr">
        <is>
          <t>2026-08-18</t>
        </is>
      </c>
      <c r="B5004" t="inlineStr">
        <is>
          <t>F278569</t>
        </is>
      </c>
      <c r="C5004" t="inlineStr">
        <is>
          <t>C10985</t>
        </is>
      </c>
      <c r="D5004" t="inlineStr">
        <is>
          <t>SKU-10317</t>
        </is>
      </c>
      <c r="E5004" t="inlineStr">
        <is>
          <t>AM12</t>
        </is>
      </c>
      <c r="F5004" s="5" t="n">
        <v>110.84</v>
      </c>
      <c r="G5004">
        <f>IF(LEFT(B5004,1)="C","Credit","Factuur")</f>
        <v/>
      </c>
      <c r="H5004">
        <f>IF(AND(B5004=B5003,D5004=D5003,A5004=A5003,F5004=F5003),1,0)</f>
        <v/>
      </c>
      <c r="I5004">
        <f>IF(C5004="C99999",1,0)</f>
        <v/>
      </c>
      <c r="J5004" s="5">
        <f>IF(OR(H5004=1,I5004=1),0,IF(G5004="Credit",-F5004,F5004))</f>
        <v/>
      </c>
    </row>
    <row r="5005">
      <c r="A5005" t="inlineStr">
        <is>
          <t>2026-08-18</t>
        </is>
      </c>
      <c r="B5005" t="inlineStr">
        <is>
          <t>F279408</t>
        </is>
      </c>
      <c r="C5005" t="inlineStr">
        <is>
          <t>C11029</t>
        </is>
      </c>
      <c r="D5005" t="inlineStr">
        <is>
          <t>SKU-10036</t>
        </is>
      </c>
      <c r="E5005" t="inlineStr">
        <is>
          <t>AM11</t>
        </is>
      </c>
      <c r="F5005" s="5" t="n">
        <v>221.75</v>
      </c>
      <c r="G5005">
        <f>IF(LEFT(B5005,1)="C","Credit","Factuur")</f>
        <v/>
      </c>
      <c r="H5005">
        <f>IF(AND(B5005=B5004,D5005=D5004,A5005=A5004,F5005=F5004),1,0)</f>
        <v/>
      </c>
      <c r="I5005">
        <f>IF(C5005="C99999",1,0)</f>
        <v/>
      </c>
      <c r="J5005" s="5">
        <f>IF(OR(H5005=1,I5005=1),0,IF(G5005="Credit",-F5005,F5005))</f>
        <v/>
      </c>
    </row>
    <row r="5006">
      <c r="A5006" t="inlineStr">
        <is>
          <t>2026-08-18</t>
        </is>
      </c>
      <c r="B5006" t="inlineStr">
        <is>
          <t>F279408</t>
        </is>
      </c>
      <c r="C5006" t="inlineStr">
        <is>
          <t>C11029</t>
        </is>
      </c>
      <c r="D5006" t="inlineStr">
        <is>
          <t>SKU-10277</t>
        </is>
      </c>
      <c r="E5006" t="inlineStr">
        <is>
          <t>AM11</t>
        </is>
      </c>
      <c r="F5006" s="5" t="n">
        <v>213.3</v>
      </c>
      <c r="G5006">
        <f>IF(LEFT(B5006,1)="C","Credit","Factuur")</f>
        <v/>
      </c>
      <c r="H5006">
        <f>IF(AND(B5006=B5005,D5006=D5005,A5006=A5005,F5006=F5005),1,0)</f>
        <v/>
      </c>
      <c r="I5006">
        <f>IF(C5006="C99999",1,0)</f>
        <v/>
      </c>
      <c r="J5006" s="5">
        <f>IF(OR(H5006=1,I5006=1),0,IF(G5006="Credit",-F5006,F5006))</f>
        <v/>
      </c>
    </row>
    <row r="5007">
      <c r="A5007" t="inlineStr">
        <is>
          <t>2026-08-18</t>
        </is>
      </c>
      <c r="B5007" t="inlineStr">
        <is>
          <t>F279408</t>
        </is>
      </c>
      <c r="C5007" t="inlineStr">
        <is>
          <t>C11029</t>
        </is>
      </c>
      <c r="D5007" t="inlineStr">
        <is>
          <t>SKU-10291</t>
        </is>
      </c>
      <c r="E5007" t="inlineStr">
        <is>
          <t>AM11</t>
        </is>
      </c>
      <c r="F5007" s="5" t="n">
        <v>193.35</v>
      </c>
      <c r="G5007">
        <f>IF(LEFT(B5007,1)="C","Credit","Factuur")</f>
        <v/>
      </c>
      <c r="H5007">
        <f>IF(AND(B5007=B5006,D5007=D5006,A5007=A5006,F5007=F5006),1,0)</f>
        <v/>
      </c>
      <c r="I5007">
        <f>IF(C5007="C99999",1,0)</f>
        <v/>
      </c>
      <c r="J5007" s="5">
        <f>IF(OR(H5007=1,I5007=1),0,IF(G5007="Credit",-F5007,F5007))</f>
        <v/>
      </c>
    </row>
    <row r="5008">
      <c r="A5008" t="inlineStr">
        <is>
          <t>2026-08-18</t>
        </is>
      </c>
      <c r="B5008" t="inlineStr">
        <is>
          <t>F280027</t>
        </is>
      </c>
      <c r="C5008" t="inlineStr">
        <is>
          <t>C11058</t>
        </is>
      </c>
      <c r="D5008" t="inlineStr">
        <is>
          <t>SKU-10104</t>
        </is>
      </c>
      <c r="E5008" t="inlineStr">
        <is>
          <t>IS01</t>
        </is>
      </c>
      <c r="F5008" s="5" t="n">
        <v>364.56</v>
      </c>
      <c r="G5008">
        <f>IF(LEFT(B5008,1)="C","Credit","Factuur")</f>
        <v/>
      </c>
      <c r="H5008">
        <f>IF(AND(B5008=B5007,D5008=D5007,A5008=A5007,F5008=F5007),1,0)</f>
        <v/>
      </c>
      <c r="I5008">
        <f>IF(C5008="C99999",1,0)</f>
        <v/>
      </c>
      <c r="J5008" s="5">
        <f>IF(OR(H5008=1,I5008=1),0,IF(G5008="Credit",-F5008,F5008))</f>
        <v/>
      </c>
    </row>
    <row r="5009">
      <c r="A5009" t="inlineStr">
        <is>
          <t>2026-08-18</t>
        </is>
      </c>
      <c r="B5009" t="inlineStr">
        <is>
          <t>F281166</t>
        </is>
      </c>
      <c r="C5009" t="inlineStr">
        <is>
          <t>C11114</t>
        </is>
      </c>
      <c r="D5009" t="inlineStr">
        <is>
          <t>SKU-10040</t>
        </is>
      </c>
      <c r="E5009" t="inlineStr"/>
      <c r="F5009" s="5" t="n">
        <v>540.72</v>
      </c>
      <c r="G5009">
        <f>IF(LEFT(B5009,1)="C","Credit","Factuur")</f>
        <v/>
      </c>
      <c r="H5009">
        <f>IF(AND(B5009=B5008,D5009=D5008,A5009=A5008,F5009=F5008),1,0)</f>
        <v/>
      </c>
      <c r="I5009">
        <f>IF(C5009="C99999",1,0)</f>
        <v/>
      </c>
      <c r="J5009" s="5">
        <f>IF(OR(H5009=1,I5009=1),0,IF(G5009="Credit",-F5009,F5009))</f>
        <v/>
      </c>
    </row>
    <row r="5010">
      <c r="A5010" t="inlineStr">
        <is>
          <t>2026-08-18</t>
        </is>
      </c>
      <c r="B5010" t="inlineStr">
        <is>
          <t>F281166</t>
        </is>
      </c>
      <c r="C5010" t="inlineStr">
        <is>
          <t>C11114</t>
        </is>
      </c>
      <c r="D5010" t="inlineStr">
        <is>
          <t>SKU-10332</t>
        </is>
      </c>
      <c r="E5010" t="inlineStr">
        <is>
          <t>AM03</t>
        </is>
      </c>
      <c r="F5010" s="5" t="n">
        <v>502.52</v>
      </c>
      <c r="G5010">
        <f>IF(LEFT(B5010,1)="C","Credit","Factuur")</f>
        <v/>
      </c>
      <c r="H5010">
        <f>IF(AND(B5010=B5009,D5010=D5009,A5010=A5009,F5010=F5009),1,0)</f>
        <v/>
      </c>
      <c r="I5010">
        <f>IF(C5010="C99999",1,0)</f>
        <v/>
      </c>
      <c r="J5010" s="5">
        <f>IF(OR(H5010=1,I5010=1),0,IF(G5010="Credit",-F5010,F5010))</f>
        <v/>
      </c>
    </row>
    <row r="5011">
      <c r="A5011" t="inlineStr">
        <is>
          <t>2026-08-18</t>
        </is>
      </c>
      <c r="B5011" t="inlineStr">
        <is>
          <t>F281166</t>
        </is>
      </c>
      <c r="C5011" t="inlineStr">
        <is>
          <t>C11114</t>
        </is>
      </c>
      <c r="D5011" t="inlineStr">
        <is>
          <t>SKU-10340</t>
        </is>
      </c>
      <c r="E5011" t="inlineStr">
        <is>
          <t>AM03</t>
        </is>
      </c>
      <c r="F5011" s="5" t="n">
        <v>535.84</v>
      </c>
      <c r="G5011">
        <f>IF(LEFT(B5011,1)="C","Credit","Factuur")</f>
        <v/>
      </c>
      <c r="H5011">
        <f>IF(AND(B5011=B5010,D5011=D5010,A5011=A5010,F5011=F5010),1,0)</f>
        <v/>
      </c>
      <c r="I5011">
        <f>IF(C5011="C99999",1,0)</f>
        <v/>
      </c>
      <c r="J5011" s="5">
        <f>IF(OR(H5011=1,I5011=1),0,IF(G5011="Credit",-F5011,F5011))</f>
        <v/>
      </c>
    </row>
    <row r="5012">
      <c r="A5012" t="inlineStr">
        <is>
          <t>2026-08-18</t>
        </is>
      </c>
      <c r="B5012" t="inlineStr">
        <is>
          <t>F281357</t>
        </is>
      </c>
      <c r="C5012" t="inlineStr">
        <is>
          <t>C11124</t>
        </is>
      </c>
      <c r="D5012" t="inlineStr">
        <is>
          <t>SKU-10033</t>
        </is>
      </c>
      <c r="E5012" t="inlineStr">
        <is>
          <t>AM07</t>
        </is>
      </c>
      <c r="F5012" s="5" t="n">
        <v>634.35</v>
      </c>
      <c r="G5012">
        <f>IF(LEFT(B5012,1)="C","Credit","Factuur")</f>
        <v/>
      </c>
      <c r="H5012">
        <f>IF(AND(B5012=B5011,D5012=D5011,A5012=A5011,F5012=F5011),1,0)</f>
        <v/>
      </c>
      <c r="I5012">
        <f>IF(C5012="C99999",1,0)</f>
        <v/>
      </c>
      <c r="J5012" s="5">
        <f>IF(OR(H5012=1,I5012=1),0,IF(G5012="Credit",-F5012,F5012))</f>
        <v/>
      </c>
    </row>
    <row r="5013">
      <c r="A5013" t="inlineStr">
        <is>
          <t>2026-08-18</t>
        </is>
      </c>
      <c r="B5013" t="inlineStr">
        <is>
          <t>F281798</t>
        </is>
      </c>
      <c r="C5013" t="inlineStr">
        <is>
          <t>C11147</t>
        </is>
      </c>
      <c r="D5013" t="inlineStr">
        <is>
          <t>SKU-10042</t>
        </is>
      </c>
      <c r="E5013" t="inlineStr">
        <is>
          <t>AM08</t>
        </is>
      </c>
      <c r="F5013" s="5" t="n">
        <v>299.19</v>
      </c>
      <c r="G5013">
        <f>IF(LEFT(B5013,1)="C","Credit","Factuur")</f>
        <v/>
      </c>
      <c r="H5013">
        <f>IF(AND(B5013=B5012,D5013=D5012,A5013=A5012,F5013=F5012),1,0)</f>
        <v/>
      </c>
      <c r="I5013">
        <f>IF(C5013="C99999",1,0)</f>
        <v/>
      </c>
      <c r="J5013" s="5">
        <f>IF(OR(H5013=1,I5013=1),0,IF(G5013="Credit",-F5013,F5013))</f>
        <v/>
      </c>
    </row>
    <row r="5014">
      <c r="A5014" t="inlineStr">
        <is>
          <t>2026-08-18</t>
        </is>
      </c>
      <c r="B5014" t="inlineStr">
        <is>
          <t>F281798</t>
        </is>
      </c>
      <c r="C5014" t="inlineStr">
        <is>
          <t>C11147</t>
        </is>
      </c>
      <c r="D5014" t="inlineStr">
        <is>
          <t>SKU-10242</t>
        </is>
      </c>
      <c r="E5014" t="inlineStr">
        <is>
          <t>AM08</t>
        </is>
      </c>
      <c r="F5014" s="5" t="n">
        <v>296.4</v>
      </c>
      <c r="G5014">
        <f>IF(LEFT(B5014,1)="C","Credit","Factuur")</f>
        <v/>
      </c>
      <c r="H5014">
        <f>IF(AND(B5014=B5013,D5014=D5013,A5014=A5013,F5014=F5013),1,0)</f>
        <v/>
      </c>
      <c r="I5014">
        <f>IF(C5014="C99999",1,0)</f>
        <v/>
      </c>
      <c r="J5014" s="5">
        <f>IF(OR(H5014=1,I5014=1),0,IF(G5014="Credit",-F5014,F5014))</f>
        <v/>
      </c>
    </row>
    <row r="5015">
      <c r="A5015" t="inlineStr">
        <is>
          <t>2026-08-18</t>
        </is>
      </c>
      <c r="B5015" t="inlineStr">
        <is>
          <t>F283290</t>
        </is>
      </c>
      <c r="C5015" t="inlineStr">
        <is>
          <t>C11225</t>
        </is>
      </c>
      <c r="D5015" t="inlineStr">
        <is>
          <t>SKU-10004</t>
        </is>
      </c>
      <c r="E5015" t="inlineStr">
        <is>
          <t>AM03</t>
        </is>
      </c>
      <c r="F5015" s="5" t="n">
        <v>564.12</v>
      </c>
      <c r="G5015">
        <f>IF(LEFT(B5015,1)="C","Credit","Factuur")</f>
        <v/>
      </c>
      <c r="H5015">
        <f>IF(AND(B5015=B5014,D5015=D5014,A5015=A5014,F5015=F5014),1,0)</f>
        <v/>
      </c>
      <c r="I5015">
        <f>IF(C5015="C99999",1,0)</f>
        <v/>
      </c>
      <c r="J5015" s="5">
        <f>IF(OR(H5015=1,I5015=1),0,IF(G5015="Credit",-F5015,F5015))</f>
        <v/>
      </c>
    </row>
    <row r="5016">
      <c r="A5016" t="inlineStr">
        <is>
          <t>2026-08-18</t>
        </is>
      </c>
      <c r="B5016" t="inlineStr">
        <is>
          <t>F284826</t>
        </is>
      </c>
      <c r="C5016" t="inlineStr">
        <is>
          <t>C11300</t>
        </is>
      </c>
      <c r="D5016" t="inlineStr">
        <is>
          <t>SKU-10127</t>
        </is>
      </c>
      <c r="E5016" t="inlineStr">
        <is>
          <t>AM11</t>
        </is>
      </c>
      <c r="F5016" s="5" t="n">
        <v>247.18</v>
      </c>
      <c r="G5016">
        <f>IF(LEFT(B5016,1)="C","Credit","Factuur")</f>
        <v/>
      </c>
      <c r="H5016">
        <f>IF(AND(B5016=B5015,D5016=D5015,A5016=A5015,F5016=F5015),1,0)</f>
        <v/>
      </c>
      <c r="I5016">
        <f>IF(C5016="C99999",1,0)</f>
        <v/>
      </c>
      <c r="J5016" s="5">
        <f>IF(OR(H5016=1,I5016=1),0,IF(G5016="Credit",-F5016,F5016))</f>
        <v/>
      </c>
    </row>
    <row r="5017">
      <c r="A5017" t="inlineStr">
        <is>
          <t>2026-08-18</t>
        </is>
      </c>
      <c r="B5017" t="inlineStr">
        <is>
          <t>F284826</t>
        </is>
      </c>
      <c r="C5017" t="inlineStr">
        <is>
          <t>C11300</t>
        </is>
      </c>
      <c r="D5017" t="inlineStr">
        <is>
          <t>SKU-10263</t>
        </is>
      </c>
      <c r="E5017" t="inlineStr">
        <is>
          <t>AM11</t>
        </is>
      </c>
      <c r="F5017" s="5" t="n">
        <v>301.83</v>
      </c>
      <c r="G5017">
        <f>IF(LEFT(B5017,1)="C","Credit","Factuur")</f>
        <v/>
      </c>
      <c r="H5017">
        <f>IF(AND(B5017=B5016,D5017=D5016,A5017=A5016,F5017=F5016),1,0)</f>
        <v/>
      </c>
      <c r="I5017">
        <f>IF(C5017="C99999",1,0)</f>
        <v/>
      </c>
      <c r="J5017" s="5">
        <f>IF(OR(H5017=1,I5017=1),0,IF(G5017="Credit",-F5017,F5017))</f>
        <v/>
      </c>
    </row>
    <row r="5018">
      <c r="A5018" t="inlineStr">
        <is>
          <t>2026-08-18</t>
        </is>
      </c>
      <c r="B5018" t="inlineStr">
        <is>
          <t>F285146</t>
        </is>
      </c>
      <c r="C5018" t="inlineStr">
        <is>
          <t>C11318</t>
        </is>
      </c>
      <c r="D5018" t="inlineStr">
        <is>
          <t>SKU-10159</t>
        </is>
      </c>
      <c r="E5018" t="inlineStr">
        <is>
          <t>AM01</t>
        </is>
      </c>
      <c r="F5018" s="5" t="n">
        <v>573.71</v>
      </c>
      <c r="G5018">
        <f>IF(LEFT(B5018,1)="C","Credit","Factuur")</f>
        <v/>
      </c>
      <c r="H5018">
        <f>IF(AND(B5018=B5017,D5018=D5017,A5018=A5017,F5018=F5017),1,0)</f>
        <v/>
      </c>
      <c r="I5018">
        <f>IF(C5018="C99999",1,0)</f>
        <v/>
      </c>
      <c r="J5018" s="5">
        <f>IF(OR(H5018=1,I5018=1),0,IF(G5018="Credit",-F5018,F5018))</f>
        <v/>
      </c>
    </row>
    <row r="5019">
      <c r="A5019" t="inlineStr">
        <is>
          <t>2026-08-18</t>
        </is>
      </c>
      <c r="B5019" t="inlineStr">
        <is>
          <t>F285146</t>
        </is>
      </c>
      <c r="C5019" t="inlineStr">
        <is>
          <t>C11318</t>
        </is>
      </c>
      <c r="D5019" t="inlineStr">
        <is>
          <t>SKU-10188</t>
        </is>
      </c>
      <c r="E5019" t="inlineStr">
        <is>
          <t>AM01</t>
        </is>
      </c>
      <c r="F5019" s="5" t="n">
        <v>565.62</v>
      </c>
      <c r="G5019">
        <f>IF(LEFT(B5019,1)="C","Credit","Factuur")</f>
        <v/>
      </c>
      <c r="H5019">
        <f>IF(AND(B5019=B5018,D5019=D5018,A5019=A5018,F5019=F5018),1,0)</f>
        <v/>
      </c>
      <c r="I5019">
        <f>IF(C5019="C99999",1,0)</f>
        <v/>
      </c>
      <c r="J5019" s="5">
        <f>IF(OR(H5019=1,I5019=1),0,IF(G5019="Credit",-F5019,F5019))</f>
        <v/>
      </c>
    </row>
    <row r="5020">
      <c r="A5020" t="inlineStr">
        <is>
          <t>2026-08-18</t>
        </is>
      </c>
      <c r="B5020" t="inlineStr">
        <is>
          <t>F285146</t>
        </is>
      </c>
      <c r="C5020" t="inlineStr">
        <is>
          <t>C11318</t>
        </is>
      </c>
      <c r="D5020" t="inlineStr">
        <is>
          <t>SKU-10282</t>
        </is>
      </c>
      <c r="E5020" t="inlineStr">
        <is>
          <t>AM01</t>
        </is>
      </c>
      <c r="F5020" s="5" t="n">
        <v>564.2</v>
      </c>
      <c r="G5020">
        <f>IF(LEFT(B5020,1)="C","Credit","Factuur")</f>
        <v/>
      </c>
      <c r="H5020">
        <f>IF(AND(B5020=B5019,D5020=D5019,A5020=A5019,F5020=F5019),1,0)</f>
        <v/>
      </c>
      <c r="I5020">
        <f>IF(C5020="C99999",1,0)</f>
        <v/>
      </c>
      <c r="J5020" s="5">
        <f>IF(OR(H5020=1,I5020=1),0,IF(G5020="Credit",-F5020,F5020))</f>
        <v/>
      </c>
    </row>
    <row r="5021">
      <c r="A5021" t="inlineStr">
        <is>
          <t>2026-08-18</t>
        </is>
      </c>
      <c r="B5021" t="inlineStr">
        <is>
          <t>F285146</t>
        </is>
      </c>
      <c r="C5021" t="inlineStr">
        <is>
          <t>C11318</t>
        </is>
      </c>
      <c r="D5021" t="inlineStr">
        <is>
          <t>SKU-10309</t>
        </is>
      </c>
      <c r="E5021" t="inlineStr">
        <is>
          <t>AM01</t>
        </is>
      </c>
      <c r="F5021" s="5" t="n">
        <v>554.52</v>
      </c>
      <c r="G5021">
        <f>IF(LEFT(B5021,1)="C","Credit","Factuur")</f>
        <v/>
      </c>
      <c r="H5021">
        <f>IF(AND(B5021=B5020,D5021=D5020,A5021=A5020,F5021=F5020),1,0)</f>
        <v/>
      </c>
      <c r="I5021">
        <f>IF(C5021="C99999",1,0)</f>
        <v/>
      </c>
      <c r="J5021" s="5">
        <f>IF(OR(H5021=1,I5021=1),0,IF(G5021="Credit",-F5021,F5021))</f>
        <v/>
      </c>
    </row>
    <row r="5022">
      <c r="A5022" t="inlineStr">
        <is>
          <t>2026-08-18</t>
        </is>
      </c>
      <c r="B5022" t="inlineStr">
        <is>
          <t>F285146</t>
        </is>
      </c>
      <c r="C5022" t="inlineStr">
        <is>
          <t>C11318</t>
        </is>
      </c>
      <c r="D5022" t="inlineStr">
        <is>
          <t>SKU-10318</t>
        </is>
      </c>
      <c r="E5022" t="inlineStr">
        <is>
          <t>AM01</t>
        </is>
      </c>
      <c r="F5022" s="5" t="n">
        <v>569.8</v>
      </c>
      <c r="G5022">
        <f>IF(LEFT(B5022,1)="C","Credit","Factuur")</f>
        <v/>
      </c>
      <c r="H5022">
        <f>IF(AND(B5022=B5021,D5022=D5021,A5022=A5021,F5022=F5021),1,0)</f>
        <v/>
      </c>
      <c r="I5022">
        <f>IF(C5022="C99999",1,0)</f>
        <v/>
      </c>
      <c r="J5022" s="5">
        <f>IF(OR(H5022=1,I5022=1),0,IF(G5022="Credit",-F5022,F5022))</f>
        <v/>
      </c>
    </row>
    <row r="5023">
      <c r="A5023" t="inlineStr">
        <is>
          <t>2026-08-19</t>
        </is>
      </c>
      <c r="B5023" t="inlineStr">
        <is>
          <t>C900247</t>
        </is>
      </c>
      <c r="C5023" t="inlineStr">
        <is>
          <t>C11339</t>
        </is>
      </c>
      <c r="D5023" t="inlineStr">
        <is>
          <t>SKU-10095</t>
        </is>
      </c>
      <c r="E5023" t="inlineStr">
        <is>
          <t>AM03</t>
        </is>
      </c>
      <c r="F5023" s="5" t="n">
        <v>371.4</v>
      </c>
      <c r="G5023">
        <f>IF(LEFT(B5023,1)="C","Credit","Factuur")</f>
        <v/>
      </c>
      <c r="H5023">
        <f>IF(AND(B5023=B5022,D5023=D5022,A5023=A5022,F5023=F5022),1,0)</f>
        <v/>
      </c>
      <c r="I5023">
        <f>IF(C5023="C99999",1,0)</f>
        <v/>
      </c>
      <c r="J5023" s="5">
        <f>IF(OR(H5023=1,I5023=1),0,IF(G5023="Credit",-F5023,F5023))</f>
        <v/>
      </c>
    </row>
    <row r="5024">
      <c r="A5024" t="inlineStr">
        <is>
          <t>2026-08-19</t>
        </is>
      </c>
      <c r="B5024" t="inlineStr">
        <is>
          <t>C901446</t>
        </is>
      </c>
      <c r="C5024" t="inlineStr">
        <is>
          <t>C10935</t>
        </is>
      </c>
      <c r="D5024" t="inlineStr">
        <is>
          <t>SKU-10266</t>
        </is>
      </c>
      <c r="E5024" t="inlineStr">
        <is>
          <t>IS01</t>
        </is>
      </c>
      <c r="F5024" s="5" t="n">
        <v>35.8</v>
      </c>
      <c r="G5024">
        <f>IF(LEFT(B5024,1)="C","Credit","Factuur")</f>
        <v/>
      </c>
      <c r="H5024">
        <f>IF(AND(B5024=B5023,D5024=D5023,A5024=A5023,F5024=F5023),1,0)</f>
        <v/>
      </c>
      <c r="I5024">
        <f>IF(C5024="C99999",1,0)</f>
        <v/>
      </c>
      <c r="J5024" s="5">
        <f>IF(OR(H5024=1,I5024=1),0,IF(G5024="Credit",-F5024,F5024))</f>
        <v/>
      </c>
    </row>
    <row r="5025">
      <c r="A5025" t="inlineStr">
        <is>
          <t>2026-08-19</t>
        </is>
      </c>
      <c r="B5025" t="inlineStr">
        <is>
          <t>C901923</t>
        </is>
      </c>
      <c r="C5025" t="inlineStr">
        <is>
          <t>C11152</t>
        </is>
      </c>
      <c r="D5025" t="inlineStr">
        <is>
          <t>SKU-10222</t>
        </is>
      </c>
      <c r="E5025" t="inlineStr">
        <is>
          <t>AM06</t>
        </is>
      </c>
      <c r="F5025" s="5" t="n">
        <v>32.9</v>
      </c>
      <c r="G5025">
        <f>IF(LEFT(B5025,1)="C","Credit","Factuur")</f>
        <v/>
      </c>
      <c r="H5025">
        <f>IF(AND(B5025=B5024,D5025=D5024,A5025=A5024,F5025=F5024),1,0)</f>
        <v/>
      </c>
      <c r="I5025">
        <f>IF(C5025="C99999",1,0)</f>
        <v/>
      </c>
      <c r="J5025" s="5">
        <f>IF(OR(H5025=1,I5025=1),0,IF(G5025="Credit",-F5025,F5025))</f>
        <v/>
      </c>
    </row>
    <row r="5026">
      <c r="A5026" t="inlineStr">
        <is>
          <t>2026-08-19</t>
        </is>
      </c>
      <c r="B5026" t="inlineStr">
        <is>
          <t>F260020</t>
        </is>
      </c>
      <c r="C5026" t="inlineStr">
        <is>
          <t>C10003</t>
        </is>
      </c>
      <c r="D5026" t="inlineStr">
        <is>
          <t>SKU-10023</t>
        </is>
      </c>
      <c r="E5026" t="inlineStr">
        <is>
          <t>AM01</t>
        </is>
      </c>
      <c r="F5026" s="5" t="n">
        <v>373.73</v>
      </c>
      <c r="G5026">
        <f>IF(LEFT(B5026,1)="C","Credit","Factuur")</f>
        <v/>
      </c>
      <c r="H5026">
        <f>IF(AND(B5026=B5025,D5026=D5025,A5026=A5025,F5026=F5025),1,0)</f>
        <v/>
      </c>
      <c r="I5026">
        <f>IF(C5026="C99999",1,0)</f>
        <v/>
      </c>
      <c r="J5026" s="5">
        <f>IF(OR(H5026=1,I5026=1),0,IF(G5026="Credit",-F5026,F5026))</f>
        <v/>
      </c>
    </row>
    <row r="5027">
      <c r="A5027" t="inlineStr">
        <is>
          <t>2026-08-19</t>
        </is>
      </c>
      <c r="B5027" t="inlineStr">
        <is>
          <t>F260399</t>
        </is>
      </c>
      <c r="C5027" t="inlineStr">
        <is>
          <t>C10022</t>
        </is>
      </c>
      <c r="D5027" t="inlineStr">
        <is>
          <t>SKU-10233</t>
        </is>
      </c>
      <c r="E5027" t="inlineStr">
        <is>
          <t>AM08</t>
        </is>
      </c>
      <c r="F5027" s="5" t="n">
        <v>2395.68</v>
      </c>
      <c r="G5027">
        <f>IF(LEFT(B5027,1)="C","Credit","Factuur")</f>
        <v/>
      </c>
      <c r="H5027">
        <f>IF(AND(B5027=B5026,D5027=D5026,A5027=A5026,F5027=F5026),1,0)</f>
        <v/>
      </c>
      <c r="I5027">
        <f>IF(C5027="C99999",1,0)</f>
        <v/>
      </c>
      <c r="J5027" s="5">
        <f>IF(OR(H5027=1,I5027=1),0,IF(G5027="Credit",-F5027,F5027))</f>
        <v/>
      </c>
    </row>
    <row r="5028">
      <c r="A5028" t="inlineStr">
        <is>
          <t>2026-08-19</t>
        </is>
      </c>
      <c r="B5028" t="inlineStr">
        <is>
          <t>F260576</t>
        </is>
      </c>
      <c r="C5028" t="inlineStr">
        <is>
          <t>C10032</t>
        </is>
      </c>
      <c r="D5028" t="inlineStr">
        <is>
          <t>SKU-10028</t>
        </is>
      </c>
      <c r="E5028" t="inlineStr">
        <is>
          <t>AM11</t>
        </is>
      </c>
      <c r="F5028" s="5" t="n">
        <v>2604.6</v>
      </c>
      <c r="G5028">
        <f>IF(LEFT(B5028,1)="C","Credit","Factuur")</f>
        <v/>
      </c>
      <c r="H5028">
        <f>IF(AND(B5028=B5027,D5028=D5027,A5028=A5027,F5028=F5027),1,0)</f>
        <v/>
      </c>
      <c r="I5028">
        <f>IF(C5028="C99999",1,0)</f>
        <v/>
      </c>
      <c r="J5028" s="5">
        <f>IF(OR(H5028=1,I5028=1),0,IF(G5028="Credit",-F5028,F5028))</f>
        <v/>
      </c>
    </row>
    <row r="5029">
      <c r="A5029" t="inlineStr">
        <is>
          <t>2026-08-19</t>
        </is>
      </c>
      <c r="B5029" t="inlineStr">
        <is>
          <t>F260576</t>
        </is>
      </c>
      <c r="C5029" t="inlineStr">
        <is>
          <t>C10032</t>
        </is>
      </c>
      <c r="D5029" t="inlineStr">
        <is>
          <t>SKU-10060</t>
        </is>
      </c>
      <c r="E5029" t="inlineStr">
        <is>
          <t>AM11</t>
        </is>
      </c>
      <c r="F5029" s="5" t="n">
        <v>2471.8</v>
      </c>
      <c r="G5029">
        <f>IF(LEFT(B5029,1)="C","Credit","Factuur")</f>
        <v/>
      </c>
      <c r="H5029">
        <f>IF(AND(B5029=B5028,D5029=D5028,A5029=A5028,F5029=F5028),1,0)</f>
        <v/>
      </c>
      <c r="I5029">
        <f>IF(C5029="C99999",1,0)</f>
        <v/>
      </c>
      <c r="J5029" s="5">
        <f>IF(OR(H5029=1,I5029=1),0,IF(G5029="Credit",-F5029,F5029))</f>
        <v/>
      </c>
    </row>
    <row r="5030">
      <c r="A5030" t="inlineStr">
        <is>
          <t>2026-08-19</t>
        </is>
      </c>
      <c r="B5030" t="inlineStr">
        <is>
          <t>F261648</t>
        </is>
      </c>
      <c r="C5030" t="inlineStr">
        <is>
          <t>C10087</t>
        </is>
      </c>
      <c r="D5030" t="inlineStr">
        <is>
          <t>SKU-10002</t>
        </is>
      </c>
      <c r="E5030" t="inlineStr">
        <is>
          <t>AM11</t>
        </is>
      </c>
      <c r="F5030" s="5" t="n">
        <v>172.11</v>
      </c>
      <c r="G5030">
        <f>IF(LEFT(B5030,1)="C","Credit","Factuur")</f>
        <v/>
      </c>
      <c r="H5030">
        <f>IF(AND(B5030=B5029,D5030=D5029,A5030=A5029,F5030=F5029),1,0)</f>
        <v/>
      </c>
      <c r="I5030">
        <f>IF(C5030="C99999",1,0)</f>
        <v/>
      </c>
      <c r="J5030" s="5">
        <f>IF(OR(H5030=1,I5030=1),0,IF(G5030="Credit",-F5030,F5030))</f>
        <v/>
      </c>
    </row>
    <row r="5031">
      <c r="A5031" t="inlineStr">
        <is>
          <t>2026-08-19</t>
        </is>
      </c>
      <c r="B5031" t="inlineStr">
        <is>
          <t>F261648</t>
        </is>
      </c>
      <c r="C5031" t="inlineStr">
        <is>
          <t>C10087</t>
        </is>
      </c>
      <c r="D5031" t="inlineStr">
        <is>
          <t>SKU-10128</t>
        </is>
      </c>
      <c r="E5031" t="inlineStr">
        <is>
          <t>AM11</t>
        </is>
      </c>
      <c r="F5031" s="5" t="n">
        <v>142.84</v>
      </c>
      <c r="G5031">
        <f>IF(LEFT(B5031,1)="C","Credit","Factuur")</f>
        <v/>
      </c>
      <c r="H5031">
        <f>IF(AND(B5031=B5030,D5031=D5030,A5031=A5030,F5031=F5030),1,0)</f>
        <v/>
      </c>
      <c r="I5031">
        <f>IF(C5031="C99999",1,0)</f>
        <v/>
      </c>
      <c r="J5031" s="5">
        <f>IF(OR(H5031=1,I5031=1),0,IF(G5031="Credit",-F5031,F5031))</f>
        <v/>
      </c>
    </row>
    <row r="5032">
      <c r="A5032" t="inlineStr">
        <is>
          <t>2026-08-19</t>
        </is>
      </c>
      <c r="B5032" t="inlineStr">
        <is>
          <t>F261648</t>
        </is>
      </c>
      <c r="C5032" t="inlineStr">
        <is>
          <t>C10087</t>
        </is>
      </c>
      <c r="D5032" t="inlineStr">
        <is>
          <t>SKU-10269</t>
        </is>
      </c>
      <c r="E5032" t="inlineStr">
        <is>
          <t>AM11</t>
        </is>
      </c>
      <c r="F5032" s="5" t="n">
        <v>150.79</v>
      </c>
      <c r="G5032">
        <f>IF(LEFT(B5032,1)="C","Credit","Factuur")</f>
        <v/>
      </c>
      <c r="H5032">
        <f>IF(AND(B5032=B5031,D5032=D5031,A5032=A5031,F5032=F5031),1,0)</f>
        <v/>
      </c>
      <c r="I5032">
        <f>IF(C5032="C99999",1,0)</f>
        <v/>
      </c>
      <c r="J5032" s="5">
        <f>IF(OR(H5032=1,I5032=1),0,IF(G5032="Credit",-F5032,F5032))</f>
        <v/>
      </c>
    </row>
    <row r="5033">
      <c r="A5033" t="inlineStr">
        <is>
          <t>2026-08-19</t>
        </is>
      </c>
      <c r="B5033" t="inlineStr">
        <is>
          <t>F261648</t>
        </is>
      </c>
      <c r="C5033" t="inlineStr">
        <is>
          <t>C10087</t>
        </is>
      </c>
      <c r="D5033" t="inlineStr">
        <is>
          <t>SKU-10278</t>
        </is>
      </c>
      <c r="E5033" t="inlineStr">
        <is>
          <t>AM11</t>
        </is>
      </c>
      <c r="F5033" s="5" t="n">
        <v>147.14</v>
      </c>
      <c r="G5033">
        <f>IF(LEFT(B5033,1)="C","Credit","Factuur")</f>
        <v/>
      </c>
      <c r="H5033">
        <f>IF(AND(B5033=B5032,D5033=D5032,A5033=A5032,F5033=F5032),1,0)</f>
        <v/>
      </c>
      <c r="I5033">
        <f>IF(C5033="C99999",1,0)</f>
        <v/>
      </c>
      <c r="J5033" s="5">
        <f>IF(OR(H5033=1,I5033=1),0,IF(G5033="Credit",-F5033,F5033))</f>
        <v/>
      </c>
    </row>
    <row r="5034">
      <c r="A5034" t="inlineStr">
        <is>
          <t>2026-08-19</t>
        </is>
      </c>
      <c r="B5034" t="inlineStr">
        <is>
          <t>F261648</t>
        </is>
      </c>
      <c r="C5034" t="inlineStr">
        <is>
          <t>C10087</t>
        </is>
      </c>
      <c r="D5034" t="inlineStr">
        <is>
          <t>SKU-10320</t>
        </is>
      </c>
      <c r="E5034" t="inlineStr">
        <is>
          <t>AM11</t>
        </is>
      </c>
      <c r="F5034" s="5" t="n">
        <v>154.77</v>
      </c>
      <c r="G5034">
        <f>IF(LEFT(B5034,1)="C","Credit","Factuur")</f>
        <v/>
      </c>
      <c r="H5034">
        <f>IF(AND(B5034=B5033,D5034=D5033,A5034=A5033,F5034=F5033),1,0)</f>
        <v/>
      </c>
      <c r="I5034">
        <f>IF(C5034="C99999",1,0)</f>
        <v/>
      </c>
      <c r="J5034" s="5">
        <f>IF(OR(H5034=1,I5034=1),0,IF(G5034="Credit",-F5034,F5034))</f>
        <v/>
      </c>
    </row>
    <row r="5035">
      <c r="A5035" t="inlineStr">
        <is>
          <t>2026-08-19</t>
        </is>
      </c>
      <c r="B5035" t="inlineStr">
        <is>
          <t>F262017</t>
        </is>
      </c>
      <c r="C5035" t="inlineStr">
        <is>
          <t>C10107</t>
        </is>
      </c>
      <c r="D5035" t="inlineStr">
        <is>
          <t>SKU-10060</t>
        </is>
      </c>
      <c r="E5035" t="inlineStr">
        <is>
          <t>AM11</t>
        </is>
      </c>
      <c r="F5035" s="5" t="n">
        <v>754.11</v>
      </c>
      <c r="G5035">
        <f>IF(LEFT(B5035,1)="C","Credit","Factuur")</f>
        <v/>
      </c>
      <c r="H5035">
        <f>IF(AND(B5035=B5034,D5035=D5034,A5035=A5034,F5035=F5034),1,0)</f>
        <v/>
      </c>
      <c r="I5035">
        <f>IF(C5035="C99999",1,0)</f>
        <v/>
      </c>
      <c r="J5035" s="5">
        <f>IF(OR(H5035=1,I5035=1),0,IF(G5035="Credit",-F5035,F5035))</f>
        <v/>
      </c>
    </row>
    <row r="5036">
      <c r="A5036" t="inlineStr">
        <is>
          <t>2026-08-19</t>
        </is>
      </c>
      <c r="B5036" t="inlineStr">
        <is>
          <t>F262017</t>
        </is>
      </c>
      <c r="C5036" t="inlineStr">
        <is>
          <t>C10107</t>
        </is>
      </c>
      <c r="D5036" t="inlineStr">
        <is>
          <t>SKU-10258</t>
        </is>
      </c>
      <c r="E5036" t="inlineStr">
        <is>
          <t>AM11</t>
        </is>
      </c>
      <c r="F5036" s="5" t="n">
        <v>691.8</v>
      </c>
      <c r="G5036">
        <f>IF(LEFT(B5036,1)="C","Credit","Factuur")</f>
        <v/>
      </c>
      <c r="H5036">
        <f>IF(AND(B5036=B5035,D5036=D5035,A5036=A5035,F5036=F5035),1,0)</f>
        <v/>
      </c>
      <c r="I5036">
        <f>IF(C5036="C99999",1,0)</f>
        <v/>
      </c>
      <c r="J5036" s="5">
        <f>IF(OR(H5036=1,I5036=1),0,IF(G5036="Credit",-F5036,F5036))</f>
        <v/>
      </c>
    </row>
    <row r="5037">
      <c r="A5037" t="inlineStr">
        <is>
          <t>2026-08-19</t>
        </is>
      </c>
      <c r="B5037" t="inlineStr">
        <is>
          <t>F262743</t>
        </is>
      </c>
      <c r="C5037" t="inlineStr">
        <is>
          <t>C10148</t>
        </is>
      </c>
      <c r="D5037" t="inlineStr">
        <is>
          <t>SKU-10070</t>
        </is>
      </c>
      <c r="E5037" t="inlineStr">
        <is>
          <t>AM09</t>
        </is>
      </c>
      <c r="F5037" s="5" t="n">
        <v>2029.03</v>
      </c>
      <c r="G5037">
        <f>IF(LEFT(B5037,1)="C","Credit","Factuur")</f>
        <v/>
      </c>
      <c r="H5037">
        <f>IF(AND(B5037=B5036,D5037=D5036,A5037=A5036,F5037=F5036),1,0)</f>
        <v/>
      </c>
      <c r="I5037">
        <f>IF(C5037="C99999",1,0)</f>
        <v/>
      </c>
      <c r="J5037" s="5">
        <f>IF(OR(H5037=1,I5037=1),0,IF(G5037="Credit",-F5037,F5037))</f>
        <v/>
      </c>
    </row>
    <row r="5038">
      <c r="A5038" t="inlineStr">
        <is>
          <t>2026-08-19</t>
        </is>
      </c>
      <c r="B5038" t="inlineStr">
        <is>
          <t>F262743</t>
        </is>
      </c>
      <c r="C5038" t="inlineStr">
        <is>
          <t>C10148</t>
        </is>
      </c>
      <c r="D5038" t="inlineStr">
        <is>
          <t>SKU-10268</t>
        </is>
      </c>
      <c r="E5038" t="inlineStr">
        <is>
          <t>AM09</t>
        </is>
      </c>
      <c r="F5038" s="5" t="n">
        <v>1933.67</v>
      </c>
      <c r="G5038">
        <f>IF(LEFT(B5038,1)="C","Credit","Factuur")</f>
        <v/>
      </c>
      <c r="H5038">
        <f>IF(AND(B5038=B5037,D5038=D5037,A5038=A5037,F5038=F5037),1,0)</f>
        <v/>
      </c>
      <c r="I5038">
        <f>IF(C5038="C99999",1,0)</f>
        <v/>
      </c>
      <c r="J5038" s="5">
        <f>IF(OR(H5038=1,I5038=1),0,IF(G5038="Credit",-F5038,F5038))</f>
        <v/>
      </c>
    </row>
    <row r="5039">
      <c r="A5039" t="inlineStr">
        <is>
          <t>2026-08-19</t>
        </is>
      </c>
      <c r="B5039" t="inlineStr">
        <is>
          <t>F262743</t>
        </is>
      </c>
      <c r="C5039" t="inlineStr">
        <is>
          <t>C10148</t>
        </is>
      </c>
      <c r="D5039" t="inlineStr">
        <is>
          <t>SKU-10299</t>
        </is>
      </c>
      <c r="E5039" t="inlineStr">
        <is>
          <t>AM09</t>
        </is>
      </c>
      <c r="F5039" s="5" t="n">
        <v>1788.65</v>
      </c>
      <c r="G5039">
        <f>IF(LEFT(B5039,1)="C","Credit","Factuur")</f>
        <v/>
      </c>
      <c r="H5039">
        <f>IF(AND(B5039=B5038,D5039=D5038,A5039=A5038,F5039=F5038),1,0)</f>
        <v/>
      </c>
      <c r="I5039">
        <f>IF(C5039="C99999",1,0)</f>
        <v/>
      </c>
      <c r="J5039" s="5">
        <f>IF(OR(H5039=1,I5039=1),0,IF(G5039="Credit",-F5039,F5039))</f>
        <v/>
      </c>
    </row>
    <row r="5040">
      <c r="A5040" t="inlineStr">
        <is>
          <t>2026-08-19</t>
        </is>
      </c>
      <c r="B5040" t="inlineStr">
        <is>
          <t>F263558</t>
        </is>
      </c>
      <c r="C5040" t="inlineStr">
        <is>
          <t>C10192</t>
        </is>
      </c>
      <c r="D5040" t="inlineStr">
        <is>
          <t>SKU-10116</t>
        </is>
      </c>
      <c r="E5040" t="inlineStr">
        <is>
          <t>AM12</t>
        </is>
      </c>
      <c r="F5040" s="5" t="n">
        <v>1171.8</v>
      </c>
      <c r="G5040">
        <f>IF(LEFT(B5040,1)="C","Credit","Factuur")</f>
        <v/>
      </c>
      <c r="H5040">
        <f>IF(AND(B5040=B5039,D5040=D5039,A5040=A5039,F5040=F5039),1,0)</f>
        <v/>
      </c>
      <c r="I5040">
        <f>IF(C5040="C99999",1,0)</f>
        <v/>
      </c>
      <c r="J5040" s="5">
        <f>IF(OR(H5040=1,I5040=1),0,IF(G5040="Credit",-F5040,F5040))</f>
        <v/>
      </c>
    </row>
    <row r="5041">
      <c r="A5041" t="inlineStr">
        <is>
          <t>2026-08-19</t>
        </is>
      </c>
      <c r="B5041" t="inlineStr">
        <is>
          <t>F263558</t>
        </is>
      </c>
      <c r="C5041" t="inlineStr">
        <is>
          <t>C10192</t>
        </is>
      </c>
      <c r="D5041" t="inlineStr">
        <is>
          <t>SKU-10219</t>
        </is>
      </c>
      <c r="E5041" t="inlineStr">
        <is>
          <t>AM12</t>
        </is>
      </c>
      <c r="F5041" s="5" t="n">
        <v>1089.88</v>
      </c>
      <c r="G5041">
        <f>IF(LEFT(B5041,1)="C","Credit","Factuur")</f>
        <v/>
      </c>
      <c r="H5041">
        <f>IF(AND(B5041=B5040,D5041=D5040,A5041=A5040,F5041=F5040),1,0)</f>
        <v/>
      </c>
      <c r="I5041">
        <f>IF(C5041="C99999",1,0)</f>
        <v/>
      </c>
      <c r="J5041" s="5">
        <f>IF(OR(H5041=1,I5041=1),0,IF(G5041="Credit",-F5041,F5041))</f>
        <v/>
      </c>
    </row>
    <row r="5042">
      <c r="A5042" t="inlineStr">
        <is>
          <t>2026-08-19</t>
        </is>
      </c>
      <c r="B5042" t="inlineStr">
        <is>
          <t>F267532</t>
        </is>
      </c>
      <c r="C5042" t="inlineStr">
        <is>
          <t>C10397</t>
        </is>
      </c>
      <c r="D5042" t="inlineStr">
        <is>
          <t>SKU-10005</t>
        </is>
      </c>
      <c r="E5042" t="inlineStr">
        <is>
          <t>AM03</t>
        </is>
      </c>
      <c r="F5042" s="5" t="n">
        <v>157.32</v>
      </c>
      <c r="G5042">
        <f>IF(LEFT(B5042,1)="C","Credit","Factuur")</f>
        <v/>
      </c>
      <c r="H5042">
        <f>IF(AND(B5042=B5041,D5042=D5041,A5042=A5041,F5042=F5041),1,0)</f>
        <v/>
      </c>
      <c r="I5042">
        <f>IF(C5042="C99999",1,0)</f>
        <v/>
      </c>
      <c r="J5042" s="5">
        <f>IF(OR(H5042=1,I5042=1),0,IF(G5042="Credit",-F5042,F5042))</f>
        <v/>
      </c>
    </row>
    <row r="5043">
      <c r="A5043" t="inlineStr">
        <is>
          <t>2026-08-19</t>
        </is>
      </c>
      <c r="B5043" t="inlineStr">
        <is>
          <t>F267532</t>
        </is>
      </c>
      <c r="C5043" t="inlineStr">
        <is>
          <t>C10397</t>
        </is>
      </c>
      <c r="D5043" t="inlineStr">
        <is>
          <t>SKU-10257</t>
        </is>
      </c>
      <c r="E5043" t="inlineStr">
        <is>
          <t>AM03</t>
        </is>
      </c>
      <c r="F5043" s="5" t="n">
        <v>159.27</v>
      </c>
      <c r="G5043">
        <f>IF(LEFT(B5043,1)="C","Credit","Factuur")</f>
        <v/>
      </c>
      <c r="H5043">
        <f>IF(AND(B5043=B5042,D5043=D5042,A5043=A5042,F5043=F5042),1,0)</f>
        <v/>
      </c>
      <c r="I5043">
        <f>IF(C5043="C99999",1,0)</f>
        <v/>
      </c>
      <c r="J5043" s="5">
        <f>IF(OR(H5043=1,I5043=1),0,IF(G5043="Credit",-F5043,F5043))</f>
        <v/>
      </c>
    </row>
    <row r="5044">
      <c r="A5044" t="inlineStr">
        <is>
          <t>2026-08-19</t>
        </is>
      </c>
      <c r="B5044" t="inlineStr">
        <is>
          <t>F267532</t>
        </is>
      </c>
      <c r="C5044" t="inlineStr">
        <is>
          <t>C10397</t>
        </is>
      </c>
      <c r="D5044" t="inlineStr">
        <is>
          <t>SKU-10275</t>
        </is>
      </c>
      <c r="E5044" t="inlineStr">
        <is>
          <t>AM03</t>
        </is>
      </c>
      <c r="F5044" s="5" t="n">
        <v>170.24</v>
      </c>
      <c r="G5044">
        <f>IF(LEFT(B5044,1)="C","Credit","Factuur")</f>
        <v/>
      </c>
      <c r="H5044">
        <f>IF(AND(B5044=B5043,D5044=D5043,A5044=A5043,F5044=F5043),1,0)</f>
        <v/>
      </c>
      <c r="I5044">
        <f>IF(C5044="C99999",1,0)</f>
        <v/>
      </c>
      <c r="J5044" s="5">
        <f>IF(OR(H5044=1,I5044=1),0,IF(G5044="Credit",-F5044,F5044))</f>
        <v/>
      </c>
    </row>
    <row r="5045">
      <c r="A5045" t="inlineStr">
        <is>
          <t>2026-08-19</t>
        </is>
      </c>
      <c r="B5045" t="inlineStr">
        <is>
          <t>F267532</t>
        </is>
      </c>
      <c r="C5045" t="inlineStr">
        <is>
          <t>C10397</t>
        </is>
      </c>
      <c r="D5045" t="inlineStr">
        <is>
          <t>SKU-10330</t>
        </is>
      </c>
      <c r="E5045" t="inlineStr">
        <is>
          <t>AM03</t>
        </is>
      </c>
      <c r="F5045" s="5" t="n">
        <v>149.37</v>
      </c>
      <c r="G5045">
        <f>IF(LEFT(B5045,1)="C","Credit","Factuur")</f>
        <v/>
      </c>
      <c r="H5045">
        <f>IF(AND(B5045=B5044,D5045=D5044,A5045=A5044,F5045=F5044),1,0)</f>
        <v/>
      </c>
      <c r="I5045">
        <f>IF(C5045="C99999",1,0)</f>
        <v/>
      </c>
      <c r="J5045" s="5">
        <f>IF(OR(H5045=1,I5045=1),0,IF(G5045="Credit",-F5045,F5045))</f>
        <v/>
      </c>
    </row>
    <row r="5046">
      <c r="A5046" t="inlineStr">
        <is>
          <t>2026-08-19</t>
        </is>
      </c>
      <c r="B5046" t="inlineStr">
        <is>
          <t>F268492</t>
        </is>
      </c>
      <c r="C5046" t="inlineStr">
        <is>
          <t>C10444</t>
        </is>
      </c>
      <c r="D5046" t="inlineStr">
        <is>
          <t>SKU-10135</t>
        </is>
      </c>
      <c r="E5046" t="inlineStr">
        <is>
          <t>AM01</t>
        </is>
      </c>
      <c r="F5046" s="5" t="n">
        <v>244.08</v>
      </c>
      <c r="G5046">
        <f>IF(LEFT(B5046,1)="C","Credit","Factuur")</f>
        <v/>
      </c>
      <c r="H5046">
        <f>IF(AND(B5046=B5045,D5046=D5045,A5046=A5045,F5046=F5045),1,0)</f>
        <v/>
      </c>
      <c r="I5046">
        <f>IF(C5046="C99999",1,0)</f>
        <v/>
      </c>
      <c r="J5046" s="5">
        <f>IF(OR(H5046=1,I5046=1),0,IF(G5046="Credit",-F5046,F5046))</f>
        <v/>
      </c>
    </row>
    <row r="5047">
      <c r="A5047" t="inlineStr">
        <is>
          <t>2026-08-19</t>
        </is>
      </c>
      <c r="B5047" t="inlineStr">
        <is>
          <t>F269047</t>
        </is>
      </c>
      <c r="C5047" t="inlineStr">
        <is>
          <t>C10471</t>
        </is>
      </c>
      <c r="D5047" t="inlineStr">
        <is>
          <t>SKU-10030</t>
        </is>
      </c>
      <c r="E5047" t="inlineStr">
        <is>
          <t>AM01</t>
        </is>
      </c>
      <c r="F5047" s="5" t="n">
        <v>66.77</v>
      </c>
      <c r="G5047">
        <f>IF(LEFT(B5047,1)="C","Credit","Factuur")</f>
        <v/>
      </c>
      <c r="H5047">
        <f>IF(AND(B5047=B5046,D5047=D5046,A5047=A5046,F5047=F5046),1,0)</f>
        <v/>
      </c>
      <c r="I5047">
        <f>IF(C5047="C99999",1,0)</f>
        <v/>
      </c>
      <c r="J5047" s="5">
        <f>IF(OR(H5047=1,I5047=1),0,IF(G5047="Credit",-F5047,F5047))</f>
        <v/>
      </c>
    </row>
    <row r="5048">
      <c r="A5048" t="inlineStr">
        <is>
          <t>2026-08-19</t>
        </is>
      </c>
      <c r="B5048" t="inlineStr">
        <is>
          <t>F269047</t>
        </is>
      </c>
      <c r="C5048" t="inlineStr">
        <is>
          <t>C10471</t>
        </is>
      </c>
      <c r="D5048" t="inlineStr">
        <is>
          <t>SKU-10213</t>
        </is>
      </c>
      <c r="E5048" t="inlineStr">
        <is>
          <t>AM01</t>
        </is>
      </c>
      <c r="F5048" s="5" t="n">
        <v>76.2</v>
      </c>
      <c r="G5048">
        <f>IF(LEFT(B5048,1)="C","Credit","Factuur")</f>
        <v/>
      </c>
      <c r="H5048">
        <f>IF(AND(B5048=B5047,D5048=D5047,A5048=A5047,F5048=F5047),1,0)</f>
        <v/>
      </c>
      <c r="I5048">
        <f>IF(C5048="C99999",1,0)</f>
        <v/>
      </c>
      <c r="J5048" s="5">
        <f>IF(OR(H5048=1,I5048=1),0,IF(G5048="Credit",-F5048,F5048))</f>
        <v/>
      </c>
    </row>
    <row r="5049">
      <c r="A5049" t="inlineStr">
        <is>
          <t>2026-08-19</t>
        </is>
      </c>
      <c r="B5049" t="inlineStr">
        <is>
          <t>F269047</t>
        </is>
      </c>
      <c r="C5049" t="inlineStr">
        <is>
          <t>C10471</t>
        </is>
      </c>
      <c r="D5049" t="inlineStr">
        <is>
          <t>SKU-10272</t>
        </is>
      </c>
      <c r="E5049" t="inlineStr">
        <is>
          <t>AM01</t>
        </is>
      </c>
      <c r="F5049" s="5" t="n">
        <v>75.42</v>
      </c>
      <c r="G5049">
        <f>IF(LEFT(B5049,1)="C","Credit","Factuur")</f>
        <v/>
      </c>
      <c r="H5049">
        <f>IF(AND(B5049=B5048,D5049=D5048,A5049=A5048,F5049=F5048),1,0)</f>
        <v/>
      </c>
      <c r="I5049">
        <f>IF(C5049="C99999",1,0)</f>
        <v/>
      </c>
      <c r="J5049" s="5">
        <f>IF(OR(H5049=1,I5049=1),0,IF(G5049="Credit",-F5049,F5049))</f>
        <v/>
      </c>
    </row>
    <row r="5050">
      <c r="A5050" t="inlineStr">
        <is>
          <t>2026-08-19</t>
        </is>
      </c>
      <c r="B5050" t="inlineStr">
        <is>
          <t>F269047</t>
        </is>
      </c>
      <c r="C5050" t="inlineStr">
        <is>
          <t>C10471</t>
        </is>
      </c>
      <c r="D5050" t="inlineStr">
        <is>
          <t>SKU-10307</t>
        </is>
      </c>
      <c r="E5050" t="inlineStr">
        <is>
          <t>AM01</t>
        </is>
      </c>
      <c r="F5050" s="5" t="n">
        <v>64.31</v>
      </c>
      <c r="G5050">
        <f>IF(LEFT(B5050,1)="C","Credit","Factuur")</f>
        <v/>
      </c>
      <c r="H5050">
        <f>IF(AND(B5050=B5049,D5050=D5049,A5050=A5049,F5050=F5049),1,0)</f>
        <v/>
      </c>
      <c r="I5050">
        <f>IF(C5050="C99999",1,0)</f>
        <v/>
      </c>
      <c r="J5050" s="5">
        <f>IF(OR(H5050=1,I5050=1),0,IF(G5050="Credit",-F5050,F5050))</f>
        <v/>
      </c>
    </row>
    <row r="5051">
      <c r="A5051" t="inlineStr">
        <is>
          <t>2026-08-19</t>
        </is>
      </c>
      <c r="B5051" t="inlineStr">
        <is>
          <t>F269047</t>
        </is>
      </c>
      <c r="C5051" t="inlineStr">
        <is>
          <t>C10471</t>
        </is>
      </c>
      <c r="D5051" t="inlineStr">
        <is>
          <t>SKU-10316</t>
        </is>
      </c>
      <c r="E5051" t="inlineStr">
        <is>
          <t>AM01</t>
        </is>
      </c>
      <c r="F5051" s="5" t="n">
        <v>54.51</v>
      </c>
      <c r="G5051">
        <f>IF(LEFT(B5051,1)="C","Credit","Factuur")</f>
        <v/>
      </c>
      <c r="H5051">
        <f>IF(AND(B5051=B5050,D5051=D5050,A5051=A5050,F5051=F5050),1,0)</f>
        <v/>
      </c>
      <c r="I5051">
        <f>IF(C5051="C99999",1,0)</f>
        <v/>
      </c>
      <c r="J5051" s="5">
        <f>IF(OR(H5051=1,I5051=1),0,IF(G5051="Credit",-F5051,F5051))</f>
        <v/>
      </c>
    </row>
    <row r="5052">
      <c r="A5052" t="inlineStr">
        <is>
          <t>2026-08-19</t>
        </is>
      </c>
      <c r="B5052" t="inlineStr">
        <is>
          <t>F269047</t>
        </is>
      </c>
      <c r="C5052" t="inlineStr">
        <is>
          <t>C10471</t>
        </is>
      </c>
      <c r="D5052" t="inlineStr">
        <is>
          <t>SKU-10346</t>
        </is>
      </c>
      <c r="E5052" t="inlineStr">
        <is>
          <t>AM01</t>
        </is>
      </c>
      <c r="F5052" s="5" t="n">
        <v>999.11</v>
      </c>
      <c r="G5052">
        <f>IF(LEFT(B5052,1)="C","Credit","Factuur")</f>
        <v/>
      </c>
      <c r="H5052">
        <f>IF(AND(B5052=B5051,D5052=D5051,A5052=A5051,F5052=F5051),1,0)</f>
        <v/>
      </c>
      <c r="I5052">
        <f>IF(C5052="C99999",1,0)</f>
        <v/>
      </c>
      <c r="J5052" s="5">
        <f>IF(OR(H5052=1,I5052=1),0,IF(G5052="Credit",-F5052,F5052))</f>
        <v/>
      </c>
    </row>
    <row r="5053">
      <c r="A5053" t="inlineStr">
        <is>
          <t>2026-08-19</t>
        </is>
      </c>
      <c r="B5053" t="inlineStr">
        <is>
          <t>F269379</t>
        </is>
      </c>
      <c r="C5053" t="inlineStr">
        <is>
          <t>C10492</t>
        </is>
      </c>
      <c r="D5053" t="inlineStr">
        <is>
          <t>SKU-10302</t>
        </is>
      </c>
      <c r="E5053" t="inlineStr">
        <is>
          <t>AM08</t>
        </is>
      </c>
      <c r="F5053" s="5" t="n">
        <v>500.57</v>
      </c>
      <c r="G5053">
        <f>IF(LEFT(B5053,1)="C","Credit","Factuur")</f>
        <v/>
      </c>
      <c r="H5053">
        <f>IF(AND(B5053=B5052,D5053=D5052,A5053=A5052,F5053=F5052),1,0)</f>
        <v/>
      </c>
      <c r="I5053">
        <f>IF(C5053="C99999",1,0)</f>
        <v/>
      </c>
      <c r="J5053" s="5">
        <f>IF(OR(H5053=1,I5053=1),0,IF(G5053="Credit",-F5053,F5053))</f>
        <v/>
      </c>
    </row>
    <row r="5054">
      <c r="A5054" t="inlineStr">
        <is>
          <t>2026-08-19</t>
        </is>
      </c>
      <c r="B5054" t="inlineStr">
        <is>
          <t>F269379</t>
        </is>
      </c>
      <c r="C5054" t="inlineStr">
        <is>
          <t>C10492</t>
        </is>
      </c>
      <c r="D5054" t="inlineStr">
        <is>
          <t>SKU-10336</t>
        </is>
      </c>
      <c r="E5054" t="inlineStr">
        <is>
          <t>AM08</t>
        </is>
      </c>
      <c r="F5054" s="5" t="n">
        <v>516.02</v>
      </c>
      <c r="G5054">
        <f>IF(LEFT(B5054,1)="C","Credit","Factuur")</f>
        <v/>
      </c>
      <c r="H5054">
        <f>IF(AND(B5054=B5053,D5054=D5053,A5054=A5053,F5054=F5053),1,0)</f>
        <v/>
      </c>
      <c r="I5054">
        <f>IF(C5054="C99999",1,0)</f>
        <v/>
      </c>
      <c r="J5054" s="5">
        <f>IF(OR(H5054=1,I5054=1),0,IF(G5054="Credit",-F5054,F5054))</f>
        <v/>
      </c>
    </row>
    <row r="5055">
      <c r="A5055" t="inlineStr">
        <is>
          <t>2026-08-19</t>
        </is>
      </c>
      <c r="B5055" t="inlineStr">
        <is>
          <t>F270543</t>
        </is>
      </c>
      <c r="C5055" t="inlineStr">
        <is>
          <t>C10554</t>
        </is>
      </c>
      <c r="D5055" t="inlineStr">
        <is>
          <t>SKU-10052</t>
        </is>
      </c>
      <c r="E5055" t="inlineStr">
        <is>
          <t>AM09</t>
        </is>
      </c>
      <c r="F5055" s="5" t="n">
        <v>2399.02</v>
      </c>
      <c r="G5055">
        <f>IF(LEFT(B5055,1)="C","Credit","Factuur")</f>
        <v/>
      </c>
      <c r="H5055">
        <f>IF(AND(B5055=B5054,D5055=D5054,A5055=A5054,F5055=F5054),1,0)</f>
        <v/>
      </c>
      <c r="I5055">
        <f>IF(C5055="C99999",1,0)</f>
        <v/>
      </c>
      <c r="J5055" s="5">
        <f>IF(OR(H5055=1,I5055=1),0,IF(G5055="Credit",-F5055,F5055))</f>
        <v/>
      </c>
    </row>
    <row r="5056">
      <c r="A5056" t="inlineStr">
        <is>
          <t>2026-08-19</t>
        </is>
      </c>
      <c r="B5056" t="inlineStr">
        <is>
          <t>F270543</t>
        </is>
      </c>
      <c r="C5056" t="inlineStr">
        <is>
          <t>C10554</t>
        </is>
      </c>
      <c r="D5056" t="inlineStr">
        <is>
          <t>SKU-10313</t>
        </is>
      </c>
      <c r="E5056" t="inlineStr">
        <is>
          <t>AM09</t>
        </is>
      </c>
      <c r="F5056" s="5" t="n">
        <v>2251.8</v>
      </c>
      <c r="G5056">
        <f>IF(LEFT(B5056,1)="C","Credit","Factuur")</f>
        <v/>
      </c>
      <c r="H5056">
        <f>IF(AND(B5056=B5055,D5056=D5055,A5056=A5055,F5056=F5055),1,0)</f>
        <v/>
      </c>
      <c r="I5056">
        <f>IF(C5056="C99999",1,0)</f>
        <v/>
      </c>
      <c r="J5056" s="5">
        <f>IF(OR(H5056=1,I5056=1),0,IF(G5056="Credit",-F5056,F5056))</f>
        <v/>
      </c>
    </row>
    <row r="5057">
      <c r="A5057" t="inlineStr">
        <is>
          <t>2026-08-19</t>
        </is>
      </c>
      <c r="B5057" t="inlineStr">
        <is>
          <t>F270543</t>
        </is>
      </c>
      <c r="C5057" t="inlineStr">
        <is>
          <t>C10554</t>
        </is>
      </c>
      <c r="D5057" t="inlineStr">
        <is>
          <t>SKU-10344</t>
        </is>
      </c>
      <c r="E5057" t="inlineStr">
        <is>
          <t>AM09</t>
        </is>
      </c>
      <c r="F5057" s="5" t="n">
        <v>2367.4</v>
      </c>
      <c r="G5057">
        <f>IF(LEFT(B5057,1)="C","Credit","Factuur")</f>
        <v/>
      </c>
      <c r="H5057">
        <f>IF(AND(B5057=B5056,D5057=D5056,A5057=A5056,F5057=F5056),1,0)</f>
        <v/>
      </c>
      <c r="I5057">
        <f>IF(C5057="C99999",1,0)</f>
        <v/>
      </c>
      <c r="J5057" s="5">
        <f>IF(OR(H5057=1,I5057=1),0,IF(G5057="Credit",-F5057,F5057))</f>
        <v/>
      </c>
    </row>
    <row r="5058">
      <c r="A5058" t="inlineStr">
        <is>
          <t>2026-08-19</t>
        </is>
      </c>
      <c r="B5058" t="inlineStr">
        <is>
          <t>F271077</t>
        </is>
      </c>
      <c r="C5058" t="inlineStr">
        <is>
          <t>C10577</t>
        </is>
      </c>
      <c r="D5058" t="inlineStr">
        <is>
          <t>SKU-10010</t>
        </is>
      </c>
      <c r="E5058" t="inlineStr">
        <is>
          <t>AM05</t>
        </is>
      </c>
      <c r="F5058" s="5" t="n">
        <v>293.4</v>
      </c>
      <c r="G5058">
        <f>IF(LEFT(B5058,1)="C","Credit","Factuur")</f>
        <v/>
      </c>
      <c r="H5058">
        <f>IF(AND(B5058=B5057,D5058=D5057,A5058=A5057,F5058=F5057),1,0)</f>
        <v/>
      </c>
      <c r="I5058">
        <f>IF(C5058="C99999",1,0)</f>
        <v/>
      </c>
      <c r="J5058" s="5">
        <f>IF(OR(H5058=1,I5058=1),0,IF(G5058="Credit",-F5058,F5058))</f>
        <v/>
      </c>
    </row>
    <row r="5059">
      <c r="A5059" t="inlineStr">
        <is>
          <t>2026-08-19</t>
        </is>
      </c>
      <c r="B5059" t="inlineStr">
        <is>
          <t>F271077</t>
        </is>
      </c>
      <c r="C5059" t="inlineStr">
        <is>
          <t>C10577</t>
        </is>
      </c>
      <c r="D5059" t="inlineStr">
        <is>
          <t>SKU-10040</t>
        </is>
      </c>
      <c r="E5059" t="inlineStr">
        <is>
          <t>AM05</t>
        </is>
      </c>
      <c r="F5059" s="5" t="n">
        <v>315.42</v>
      </c>
      <c r="G5059">
        <f>IF(LEFT(B5059,1)="C","Credit","Factuur")</f>
        <v/>
      </c>
      <c r="H5059">
        <f>IF(AND(B5059=B5058,D5059=D5058,A5059=A5058,F5059=F5058),1,0)</f>
        <v/>
      </c>
      <c r="I5059">
        <f>IF(C5059="C99999",1,0)</f>
        <v/>
      </c>
      <c r="J5059" s="5">
        <f>IF(OR(H5059=1,I5059=1),0,IF(G5059="Credit",-F5059,F5059))</f>
        <v/>
      </c>
    </row>
    <row r="5060">
      <c r="A5060" t="inlineStr">
        <is>
          <t>2026-08-19</t>
        </is>
      </c>
      <c r="B5060" t="inlineStr">
        <is>
          <t>F271077</t>
        </is>
      </c>
      <c r="C5060" t="inlineStr">
        <is>
          <t>C10577</t>
        </is>
      </c>
      <c r="D5060" t="inlineStr">
        <is>
          <t>SKU-10247</t>
        </is>
      </c>
      <c r="E5060" t="inlineStr">
        <is>
          <t>AM05</t>
        </is>
      </c>
      <c r="F5060" s="5" t="n">
        <v>315.64</v>
      </c>
      <c r="G5060">
        <f>IF(LEFT(B5060,1)="C","Credit","Factuur")</f>
        <v/>
      </c>
      <c r="H5060">
        <f>IF(AND(B5060=B5059,D5060=D5059,A5060=A5059,F5060=F5059),1,0)</f>
        <v/>
      </c>
      <c r="I5060">
        <f>IF(C5060="C99999",1,0)</f>
        <v/>
      </c>
      <c r="J5060" s="5">
        <f>IF(OR(H5060=1,I5060=1),0,IF(G5060="Credit",-F5060,F5060))</f>
        <v/>
      </c>
    </row>
    <row r="5061">
      <c r="A5061" t="inlineStr">
        <is>
          <t>2026-08-19</t>
        </is>
      </c>
      <c r="B5061" t="inlineStr">
        <is>
          <t>F271077</t>
        </is>
      </c>
      <c r="C5061" t="inlineStr">
        <is>
          <t>C10577</t>
        </is>
      </c>
      <c r="D5061" t="inlineStr">
        <is>
          <t>SKU-10288</t>
        </is>
      </c>
      <c r="E5061" t="inlineStr">
        <is>
          <t>AM05</t>
        </is>
      </c>
      <c r="F5061" s="5" t="n">
        <v>305.62</v>
      </c>
      <c r="G5061">
        <f>IF(LEFT(B5061,1)="C","Credit","Factuur")</f>
        <v/>
      </c>
      <c r="H5061">
        <f>IF(AND(B5061=B5060,D5061=D5060,A5061=A5060,F5061=F5060),1,0)</f>
        <v/>
      </c>
      <c r="I5061">
        <f>IF(C5061="C99999",1,0)</f>
        <v/>
      </c>
      <c r="J5061" s="5">
        <f>IF(OR(H5061=1,I5061=1),0,IF(G5061="Credit",-F5061,F5061))</f>
        <v/>
      </c>
    </row>
    <row r="5062">
      <c r="A5062" t="inlineStr">
        <is>
          <t>2026-08-19</t>
        </is>
      </c>
      <c r="B5062" t="inlineStr">
        <is>
          <t>F271350</t>
        </is>
      </c>
      <c r="C5062" t="inlineStr">
        <is>
          <t>C10590</t>
        </is>
      </c>
      <c r="D5062" t="inlineStr">
        <is>
          <t>SKU-10038</t>
        </is>
      </c>
      <c r="E5062" t="inlineStr">
        <is>
          <t>AM02</t>
        </is>
      </c>
      <c r="F5062" s="5" t="n">
        <v>463.56</v>
      </c>
      <c r="G5062">
        <f>IF(LEFT(B5062,1)="C","Credit","Factuur")</f>
        <v/>
      </c>
      <c r="H5062">
        <f>IF(AND(B5062=B5061,D5062=D5061,A5062=A5061,F5062=F5061),1,0)</f>
        <v/>
      </c>
      <c r="I5062">
        <f>IF(C5062="C99999",1,0)</f>
        <v/>
      </c>
      <c r="J5062" s="5">
        <f>IF(OR(H5062=1,I5062=1),0,IF(G5062="Credit",-F5062,F5062))</f>
        <v/>
      </c>
    </row>
    <row r="5063">
      <c r="A5063" t="inlineStr">
        <is>
          <t>2026-08-19</t>
        </is>
      </c>
      <c r="B5063" t="inlineStr">
        <is>
          <t>F271350</t>
        </is>
      </c>
      <c r="C5063" t="inlineStr">
        <is>
          <t>C10590</t>
        </is>
      </c>
      <c r="D5063" t="inlineStr">
        <is>
          <t>SKU-10225</t>
        </is>
      </c>
      <c r="E5063" t="inlineStr">
        <is>
          <t>AM02</t>
        </is>
      </c>
      <c r="F5063" s="5" t="n">
        <v>486.59</v>
      </c>
      <c r="G5063">
        <f>IF(LEFT(B5063,1)="C","Credit","Factuur")</f>
        <v/>
      </c>
      <c r="H5063">
        <f>IF(AND(B5063=B5062,D5063=D5062,A5063=A5062,F5063=F5062),1,0)</f>
        <v/>
      </c>
      <c r="I5063">
        <f>IF(C5063="C99999",1,0)</f>
        <v/>
      </c>
      <c r="J5063" s="5">
        <f>IF(OR(H5063=1,I5063=1),0,IF(G5063="Credit",-F5063,F5063))</f>
        <v/>
      </c>
    </row>
    <row r="5064">
      <c r="A5064" t="inlineStr">
        <is>
          <t>2026-08-19</t>
        </is>
      </c>
      <c r="B5064" t="inlineStr">
        <is>
          <t>F271350</t>
        </is>
      </c>
      <c r="C5064" t="inlineStr">
        <is>
          <t>C10590</t>
        </is>
      </c>
      <c r="D5064" t="inlineStr">
        <is>
          <t>SKU-10292</t>
        </is>
      </c>
      <c r="E5064" t="inlineStr">
        <is>
          <t>AM02</t>
        </is>
      </c>
      <c r="F5064" s="5" t="n">
        <v>447.96</v>
      </c>
      <c r="G5064">
        <f>IF(LEFT(B5064,1)="C","Credit","Factuur")</f>
        <v/>
      </c>
      <c r="H5064">
        <f>IF(AND(B5064=B5063,D5064=D5063,A5064=A5063,F5064=F5063),1,0)</f>
        <v/>
      </c>
      <c r="I5064">
        <f>IF(C5064="C99999",1,0)</f>
        <v/>
      </c>
      <c r="J5064" s="5">
        <f>IF(OR(H5064=1,I5064=1),0,IF(G5064="Credit",-F5064,F5064))</f>
        <v/>
      </c>
    </row>
    <row r="5065">
      <c r="A5065" t="inlineStr">
        <is>
          <t>2026-08-19</t>
        </is>
      </c>
      <c r="B5065" t="inlineStr">
        <is>
          <t>F272120</t>
        </is>
      </c>
      <c r="C5065" t="inlineStr">
        <is>
          <t>C10627</t>
        </is>
      </c>
      <c r="D5065" t="inlineStr">
        <is>
          <t>SKU-10083</t>
        </is>
      </c>
      <c r="E5065" t="inlineStr">
        <is>
          <t>AM07</t>
        </is>
      </c>
      <c r="F5065" s="5" t="n">
        <v>1811.7</v>
      </c>
      <c r="G5065">
        <f>IF(LEFT(B5065,1)="C","Credit","Factuur")</f>
        <v/>
      </c>
      <c r="H5065">
        <f>IF(AND(B5065=B5064,D5065=D5064,A5065=A5064,F5065=F5064),1,0)</f>
        <v/>
      </c>
      <c r="I5065">
        <f>IF(C5065="C99999",1,0)</f>
        <v/>
      </c>
      <c r="J5065" s="5">
        <f>IF(OR(H5065=1,I5065=1),0,IF(G5065="Credit",-F5065,F5065))</f>
        <v/>
      </c>
    </row>
    <row r="5066">
      <c r="A5066" t="inlineStr">
        <is>
          <t>2026-08-19</t>
        </is>
      </c>
      <c r="B5066" t="inlineStr">
        <is>
          <t>F272120</t>
        </is>
      </c>
      <c r="C5066" t="inlineStr">
        <is>
          <t>C10627</t>
        </is>
      </c>
      <c r="D5066" t="inlineStr">
        <is>
          <t>SKU-10130</t>
        </is>
      </c>
      <c r="E5066" t="inlineStr">
        <is>
          <t>AM07</t>
        </is>
      </c>
      <c r="F5066" s="5" t="n">
        <v>1817.28</v>
      </c>
      <c r="G5066">
        <f>IF(LEFT(B5066,1)="C","Credit","Factuur")</f>
        <v/>
      </c>
      <c r="H5066">
        <f>IF(AND(B5066=B5065,D5066=D5065,A5066=A5065,F5066=F5065),1,0)</f>
        <v/>
      </c>
      <c r="I5066">
        <f>IF(C5066="C99999",1,0)</f>
        <v/>
      </c>
      <c r="J5066" s="5">
        <f>IF(OR(H5066=1,I5066=1),0,IF(G5066="Credit",-F5066,F5066))</f>
        <v/>
      </c>
    </row>
    <row r="5067">
      <c r="A5067" t="inlineStr">
        <is>
          <t>2026-08-19</t>
        </is>
      </c>
      <c r="B5067" t="inlineStr">
        <is>
          <t>F272120</t>
        </is>
      </c>
      <c r="C5067" t="inlineStr">
        <is>
          <t>C10627</t>
        </is>
      </c>
      <c r="D5067" t="inlineStr">
        <is>
          <t>SKU-10164</t>
        </is>
      </c>
      <c r="E5067" t="inlineStr">
        <is>
          <t>AM07</t>
        </is>
      </c>
      <c r="F5067" s="5" t="n">
        <v>1730.08</v>
      </c>
      <c r="G5067">
        <f>IF(LEFT(B5067,1)="C","Credit","Factuur")</f>
        <v/>
      </c>
      <c r="H5067">
        <f>IF(AND(B5067=B5066,D5067=D5066,A5067=A5066,F5067=F5066),1,0)</f>
        <v/>
      </c>
      <c r="I5067">
        <f>IF(C5067="C99999",1,0)</f>
        <v/>
      </c>
      <c r="J5067" s="5">
        <f>IF(OR(H5067=1,I5067=1),0,IF(G5067="Credit",-F5067,F5067))</f>
        <v/>
      </c>
    </row>
    <row r="5068">
      <c r="A5068" t="inlineStr">
        <is>
          <t>2026-08-19</t>
        </is>
      </c>
      <c r="B5068" t="inlineStr">
        <is>
          <t>F272805</t>
        </is>
      </c>
      <c r="C5068" t="inlineStr">
        <is>
          <t>C10668</t>
        </is>
      </c>
      <c r="D5068" t="inlineStr">
        <is>
          <t>SKU-10088</t>
        </is>
      </c>
      <c r="E5068" t="inlineStr">
        <is>
          <t>AM02</t>
        </is>
      </c>
      <c r="F5068" s="5" t="n">
        <v>154.3</v>
      </c>
      <c r="G5068">
        <f>IF(LEFT(B5068,1)="C","Credit","Factuur")</f>
        <v/>
      </c>
      <c r="H5068">
        <f>IF(AND(B5068=B5067,D5068=D5067,A5068=A5067,F5068=F5067),1,0)</f>
        <v/>
      </c>
      <c r="I5068">
        <f>IF(C5068="C99999",1,0)</f>
        <v/>
      </c>
      <c r="J5068" s="5">
        <f>IF(OR(H5068=1,I5068=1),0,IF(G5068="Credit",-F5068,F5068))</f>
        <v/>
      </c>
    </row>
    <row r="5069">
      <c r="A5069" t="inlineStr">
        <is>
          <t>2026-08-19</t>
        </is>
      </c>
      <c r="B5069" t="inlineStr">
        <is>
          <t>F272805</t>
        </is>
      </c>
      <c r="C5069" t="inlineStr">
        <is>
          <t>C10668</t>
        </is>
      </c>
      <c r="D5069" t="inlineStr">
        <is>
          <t>SKU-10120</t>
        </is>
      </c>
      <c r="E5069" t="inlineStr">
        <is>
          <t>AM02</t>
        </is>
      </c>
      <c r="F5069" s="5" t="n">
        <v>141.9</v>
      </c>
      <c r="G5069">
        <f>IF(LEFT(B5069,1)="C","Credit","Factuur")</f>
        <v/>
      </c>
      <c r="H5069">
        <f>IF(AND(B5069=B5068,D5069=D5068,A5069=A5068,F5069=F5068),1,0)</f>
        <v/>
      </c>
      <c r="I5069">
        <f>IF(C5069="C99999",1,0)</f>
        <v/>
      </c>
      <c r="J5069" s="5">
        <f>IF(OR(H5069=1,I5069=1),0,IF(G5069="Credit",-F5069,F5069))</f>
        <v/>
      </c>
    </row>
    <row r="5070">
      <c r="A5070" t="inlineStr">
        <is>
          <t>2026-08-19</t>
        </is>
      </c>
      <c r="B5070" t="inlineStr">
        <is>
          <t>F272805</t>
        </is>
      </c>
      <c r="C5070" t="inlineStr">
        <is>
          <t>C10668</t>
        </is>
      </c>
      <c r="D5070" t="inlineStr">
        <is>
          <t>SKU-10288</t>
        </is>
      </c>
      <c r="E5070" t="inlineStr">
        <is>
          <t>AM02</t>
        </is>
      </c>
      <c r="F5070" s="5" t="n">
        <v>160.85</v>
      </c>
      <c r="G5070">
        <f>IF(LEFT(B5070,1)="C","Credit","Factuur")</f>
        <v/>
      </c>
      <c r="H5070">
        <f>IF(AND(B5070=B5069,D5070=D5069,A5070=A5069,F5070=F5069),1,0)</f>
        <v/>
      </c>
      <c r="I5070">
        <f>IF(C5070="C99999",1,0)</f>
        <v/>
      </c>
      <c r="J5070" s="5">
        <f>IF(OR(H5070=1,I5070=1),0,IF(G5070="Credit",-F5070,F5070))</f>
        <v/>
      </c>
    </row>
    <row r="5071">
      <c r="A5071" t="inlineStr">
        <is>
          <t>2026-08-19</t>
        </is>
      </c>
      <c r="B5071" t="inlineStr">
        <is>
          <t>F272805</t>
        </is>
      </c>
      <c r="C5071" t="inlineStr">
        <is>
          <t>C10668</t>
        </is>
      </c>
      <c r="D5071" t="inlineStr">
        <is>
          <t>SKU-10313</t>
        </is>
      </c>
      <c r="E5071" t="inlineStr">
        <is>
          <t>AM02</t>
        </is>
      </c>
      <c r="F5071" s="5" t="n">
        <v>145.25</v>
      </c>
      <c r="G5071">
        <f>IF(LEFT(B5071,1)="C","Credit","Factuur")</f>
        <v/>
      </c>
      <c r="H5071">
        <f>IF(AND(B5071=B5070,D5071=D5070,A5071=A5070,F5071=F5070),1,0)</f>
        <v/>
      </c>
      <c r="I5071">
        <f>IF(C5071="C99999",1,0)</f>
        <v/>
      </c>
      <c r="J5071" s="5">
        <f>IF(OR(H5071=1,I5071=1),0,IF(G5071="Credit",-F5071,F5071))</f>
        <v/>
      </c>
    </row>
    <row r="5072">
      <c r="A5072" t="inlineStr">
        <is>
          <t>2026-08-19</t>
        </is>
      </c>
      <c r="B5072" t="inlineStr">
        <is>
          <t>F273458</t>
        </is>
      </c>
      <c r="C5072" t="inlineStr">
        <is>
          <t>C10703</t>
        </is>
      </c>
      <c r="D5072" t="inlineStr">
        <is>
          <t>SKU-10063</t>
        </is>
      </c>
      <c r="E5072" t="inlineStr">
        <is>
          <t>AM05</t>
        </is>
      </c>
      <c r="F5072" s="5" t="n">
        <v>522.78</v>
      </c>
      <c r="G5072">
        <f>IF(LEFT(B5072,1)="C","Credit","Factuur")</f>
        <v/>
      </c>
      <c r="H5072">
        <f>IF(AND(B5072=B5071,D5072=D5071,A5072=A5071,F5072=F5071),1,0)</f>
        <v/>
      </c>
      <c r="I5072">
        <f>IF(C5072="C99999",1,0)</f>
        <v/>
      </c>
      <c r="J5072" s="5">
        <f>IF(OR(H5072=1,I5072=1),0,IF(G5072="Credit",-F5072,F5072))</f>
        <v/>
      </c>
    </row>
    <row r="5073">
      <c r="A5073" t="inlineStr">
        <is>
          <t>2026-08-19</t>
        </is>
      </c>
      <c r="B5073" t="inlineStr">
        <is>
          <t>F273458</t>
        </is>
      </c>
      <c r="C5073" t="inlineStr">
        <is>
          <t>C10703</t>
        </is>
      </c>
      <c r="D5073" t="inlineStr">
        <is>
          <t>SKU-10287</t>
        </is>
      </c>
      <c r="E5073" t="inlineStr">
        <is>
          <t>AM05</t>
        </is>
      </c>
      <c r="F5073" s="5" t="n">
        <v>541.98</v>
      </c>
      <c r="G5073">
        <f>IF(LEFT(B5073,1)="C","Credit","Factuur")</f>
        <v/>
      </c>
      <c r="H5073">
        <f>IF(AND(B5073=B5072,D5073=D5072,A5073=A5072,F5073=F5072),1,0)</f>
        <v/>
      </c>
      <c r="I5073">
        <f>IF(C5073="C99999",1,0)</f>
        <v/>
      </c>
      <c r="J5073" s="5">
        <f>IF(OR(H5073=1,I5073=1),0,IF(G5073="Credit",-F5073,F5073))</f>
        <v/>
      </c>
    </row>
    <row r="5074">
      <c r="A5074" t="inlineStr">
        <is>
          <t>2026-08-19</t>
        </is>
      </c>
      <c r="B5074" t="inlineStr">
        <is>
          <t>F273562</t>
        </is>
      </c>
      <c r="C5074" t="inlineStr">
        <is>
          <t>C10711</t>
        </is>
      </c>
      <c r="D5074" t="inlineStr">
        <is>
          <t>SKU-10058</t>
        </is>
      </c>
      <c r="E5074" t="inlineStr">
        <is>
          <t>AM09</t>
        </is>
      </c>
      <c r="F5074" s="5" t="n">
        <v>5493.85</v>
      </c>
      <c r="G5074">
        <f>IF(LEFT(B5074,1)="C","Credit","Factuur")</f>
        <v/>
      </c>
      <c r="H5074">
        <f>IF(AND(B5074=B5073,D5074=D5073,A5074=A5073,F5074=F5073),1,0)</f>
        <v/>
      </c>
      <c r="I5074">
        <f>IF(C5074="C99999",1,0)</f>
        <v/>
      </c>
      <c r="J5074" s="5">
        <f>IF(OR(H5074=1,I5074=1),0,IF(G5074="Credit",-F5074,F5074))</f>
        <v/>
      </c>
    </row>
    <row r="5075">
      <c r="A5075" t="inlineStr">
        <is>
          <t>2026-08-19</t>
        </is>
      </c>
      <c r="B5075" t="inlineStr">
        <is>
          <t>F273562</t>
        </is>
      </c>
      <c r="C5075" t="inlineStr">
        <is>
          <t>C10711</t>
        </is>
      </c>
      <c r="D5075" t="inlineStr">
        <is>
          <t>SKU-10092</t>
        </is>
      </c>
      <c r="E5075" t="inlineStr">
        <is>
          <t>AM09</t>
        </is>
      </c>
      <c r="F5075" s="5" t="n">
        <v>5489.6</v>
      </c>
      <c r="G5075">
        <f>IF(LEFT(B5075,1)="C","Credit","Factuur")</f>
        <v/>
      </c>
      <c r="H5075">
        <f>IF(AND(B5075=B5074,D5075=D5074,A5075=A5074,F5075=F5074),1,0)</f>
        <v/>
      </c>
      <c r="I5075">
        <f>IF(C5075="C99999",1,0)</f>
        <v/>
      </c>
      <c r="J5075" s="5">
        <f>IF(OR(H5075=1,I5075=1),0,IF(G5075="Credit",-F5075,F5075))</f>
        <v/>
      </c>
    </row>
    <row r="5076">
      <c r="A5076" t="inlineStr">
        <is>
          <t>2026-08-19</t>
        </is>
      </c>
      <c r="B5076" t="inlineStr">
        <is>
          <t>F273562</t>
        </is>
      </c>
      <c r="C5076" t="inlineStr">
        <is>
          <t>C10711</t>
        </is>
      </c>
      <c r="D5076" t="inlineStr">
        <is>
          <t>SKU-10135</t>
        </is>
      </c>
      <c r="E5076" t="inlineStr">
        <is>
          <t>AM09</t>
        </is>
      </c>
      <c r="F5076" s="5" t="n">
        <v>5255.86</v>
      </c>
      <c r="G5076">
        <f>IF(LEFT(B5076,1)="C","Credit","Factuur")</f>
        <v/>
      </c>
      <c r="H5076">
        <f>IF(AND(B5076=B5075,D5076=D5075,A5076=A5075,F5076=F5075),1,0)</f>
        <v/>
      </c>
      <c r="I5076">
        <f>IF(C5076="C99999",1,0)</f>
        <v/>
      </c>
      <c r="J5076" s="5">
        <f>IF(OR(H5076=1,I5076=1),0,IF(G5076="Credit",-F5076,F5076))</f>
        <v/>
      </c>
    </row>
    <row r="5077">
      <c r="A5077" t="inlineStr">
        <is>
          <t>2026-08-19</t>
        </is>
      </c>
      <c r="B5077" t="inlineStr">
        <is>
          <t>F273562</t>
        </is>
      </c>
      <c r="C5077" t="inlineStr">
        <is>
          <t>C10711</t>
        </is>
      </c>
      <c r="D5077" t="inlineStr">
        <is>
          <t>SKU-10325</t>
        </is>
      </c>
      <c r="E5077" t="inlineStr">
        <is>
          <t>AM09</t>
        </is>
      </c>
      <c r="F5077" s="5" t="n">
        <v>5235.16</v>
      </c>
      <c r="G5077">
        <f>IF(LEFT(B5077,1)="C","Credit","Factuur")</f>
        <v/>
      </c>
      <c r="H5077">
        <f>IF(AND(B5077=B5076,D5077=D5076,A5077=A5076,F5077=F5076),1,0)</f>
        <v/>
      </c>
      <c r="I5077">
        <f>IF(C5077="C99999",1,0)</f>
        <v/>
      </c>
      <c r="J5077" s="5">
        <f>IF(OR(H5077=1,I5077=1),0,IF(G5077="Credit",-F5077,F5077))</f>
        <v/>
      </c>
    </row>
    <row r="5078">
      <c r="A5078" t="inlineStr">
        <is>
          <t>2026-08-19</t>
        </is>
      </c>
      <c r="B5078" t="inlineStr">
        <is>
          <t>F275743</t>
        </is>
      </c>
      <c r="C5078" t="inlineStr">
        <is>
          <t>C10834</t>
        </is>
      </c>
      <c r="D5078" t="inlineStr">
        <is>
          <t>SKU-10089</t>
        </is>
      </c>
      <c r="E5078" t="inlineStr">
        <is>
          <t>AM02</t>
        </is>
      </c>
      <c r="F5078" s="5" t="n">
        <v>109.9</v>
      </c>
      <c r="G5078">
        <f>IF(LEFT(B5078,1)="C","Credit","Factuur")</f>
        <v/>
      </c>
      <c r="H5078">
        <f>IF(AND(B5078=B5077,D5078=D5077,A5078=A5077,F5078=F5077),1,0)</f>
        <v/>
      </c>
      <c r="I5078">
        <f>IF(C5078="C99999",1,0)</f>
        <v/>
      </c>
      <c r="J5078" s="5">
        <f>IF(OR(H5078=1,I5078=1),0,IF(G5078="Credit",-F5078,F5078))</f>
        <v/>
      </c>
    </row>
    <row r="5079">
      <c r="A5079" t="inlineStr">
        <is>
          <t>2026-08-19</t>
        </is>
      </c>
      <c r="B5079" t="inlineStr">
        <is>
          <t>F275743</t>
        </is>
      </c>
      <c r="C5079" t="inlineStr">
        <is>
          <t>C10834</t>
        </is>
      </c>
      <c r="D5079" t="inlineStr">
        <is>
          <t>SKU-10133</t>
        </is>
      </c>
      <c r="E5079" t="inlineStr">
        <is>
          <t>AM02</t>
        </is>
      </c>
      <c r="F5079" s="5" t="n">
        <v>132.34</v>
      </c>
      <c r="G5079">
        <f>IF(LEFT(B5079,1)="C","Credit","Factuur")</f>
        <v/>
      </c>
      <c r="H5079">
        <f>IF(AND(B5079=B5078,D5079=D5078,A5079=A5078,F5079=F5078),1,0)</f>
        <v/>
      </c>
      <c r="I5079">
        <f>IF(C5079="C99999",1,0)</f>
        <v/>
      </c>
      <c r="J5079" s="5">
        <f>IF(OR(H5079=1,I5079=1),0,IF(G5079="Credit",-F5079,F5079))</f>
        <v/>
      </c>
    </row>
    <row r="5080">
      <c r="A5080" t="inlineStr">
        <is>
          <t>2026-08-19</t>
        </is>
      </c>
      <c r="B5080" t="inlineStr">
        <is>
          <t>F275743</t>
        </is>
      </c>
      <c r="C5080" t="inlineStr">
        <is>
          <t>C10834</t>
        </is>
      </c>
      <c r="D5080" t="inlineStr">
        <is>
          <t>SKU-10186</t>
        </is>
      </c>
      <c r="E5080" t="inlineStr">
        <is>
          <t>AM02</t>
        </is>
      </c>
      <c r="F5080" s="5" t="n">
        <v>113.05</v>
      </c>
      <c r="G5080">
        <f>IF(LEFT(B5080,1)="C","Credit","Factuur")</f>
        <v/>
      </c>
      <c r="H5080">
        <f>IF(AND(B5080=B5079,D5080=D5079,A5080=A5079,F5080=F5079),1,0)</f>
        <v/>
      </c>
      <c r="I5080">
        <f>IF(C5080="C99999",1,0)</f>
        <v/>
      </c>
      <c r="J5080" s="5">
        <f>IF(OR(H5080=1,I5080=1),0,IF(G5080="Credit",-F5080,F5080))</f>
        <v/>
      </c>
    </row>
    <row r="5081">
      <c r="A5081" t="inlineStr">
        <is>
          <t>2026-08-19</t>
        </is>
      </c>
      <c r="B5081" t="inlineStr">
        <is>
          <t>F277106</t>
        </is>
      </c>
      <c r="C5081" t="inlineStr">
        <is>
          <t>C10905</t>
        </is>
      </c>
      <c r="D5081" t="inlineStr">
        <is>
          <t>SKU-10003</t>
        </is>
      </c>
      <c r="E5081" t="inlineStr">
        <is>
          <t>AM05</t>
        </is>
      </c>
      <c r="F5081" s="5" t="n">
        <v>220.4</v>
      </c>
      <c r="G5081">
        <f>IF(LEFT(B5081,1)="C","Credit","Factuur")</f>
        <v/>
      </c>
      <c r="H5081">
        <f>IF(AND(B5081=B5080,D5081=D5080,A5081=A5080,F5081=F5080),1,0)</f>
        <v/>
      </c>
      <c r="I5081">
        <f>IF(C5081="C99999",1,0)</f>
        <v/>
      </c>
      <c r="J5081" s="5">
        <f>IF(OR(H5081=1,I5081=1),0,IF(G5081="Credit",-F5081,F5081))</f>
        <v/>
      </c>
    </row>
    <row r="5082">
      <c r="A5082" t="inlineStr">
        <is>
          <t>2026-08-19</t>
        </is>
      </c>
      <c r="B5082" t="inlineStr">
        <is>
          <t>F277106</t>
        </is>
      </c>
      <c r="C5082" t="inlineStr">
        <is>
          <t>C10905</t>
        </is>
      </c>
      <c r="D5082" t="inlineStr">
        <is>
          <t>SKU-10251</t>
        </is>
      </c>
      <c r="E5082" t="inlineStr">
        <is>
          <t>AM05</t>
        </is>
      </c>
      <c r="F5082" s="5" t="n">
        <v>208.02</v>
      </c>
      <c r="G5082">
        <f>IF(LEFT(B5082,1)="C","Credit","Factuur")</f>
        <v/>
      </c>
      <c r="H5082">
        <f>IF(AND(B5082=B5081,D5082=D5081,A5082=A5081,F5082=F5081),1,0)</f>
        <v/>
      </c>
      <c r="I5082">
        <f>IF(C5082="C99999",1,0)</f>
        <v/>
      </c>
      <c r="J5082" s="5">
        <f>IF(OR(H5082=1,I5082=1),0,IF(G5082="Credit",-F5082,F5082))</f>
        <v/>
      </c>
    </row>
    <row r="5083">
      <c r="A5083" t="inlineStr">
        <is>
          <t>2026-08-19</t>
        </is>
      </c>
      <c r="B5083" t="inlineStr">
        <is>
          <t>F277106</t>
        </is>
      </c>
      <c r="C5083" t="inlineStr">
        <is>
          <t>C10905</t>
        </is>
      </c>
      <c r="D5083" t="inlineStr">
        <is>
          <t>SKU-10328</t>
        </is>
      </c>
      <c r="E5083" t="inlineStr">
        <is>
          <t>AM05</t>
        </is>
      </c>
      <c r="F5083" s="5" t="n">
        <v>207.75</v>
      </c>
      <c r="G5083">
        <f>IF(LEFT(B5083,1)="C","Credit","Factuur")</f>
        <v/>
      </c>
      <c r="H5083">
        <f>IF(AND(B5083=B5082,D5083=D5082,A5083=A5082,F5083=F5082),1,0)</f>
        <v/>
      </c>
      <c r="I5083">
        <f>IF(C5083="C99999",1,0)</f>
        <v/>
      </c>
      <c r="J5083" s="5">
        <f>IF(OR(H5083=1,I5083=1),0,IF(G5083="Credit",-F5083,F5083))</f>
        <v/>
      </c>
    </row>
    <row r="5084">
      <c r="A5084" t="inlineStr">
        <is>
          <t>2026-08-19</t>
        </is>
      </c>
      <c r="B5084" t="inlineStr">
        <is>
          <t>F277106</t>
        </is>
      </c>
      <c r="C5084" t="inlineStr">
        <is>
          <t>C10905</t>
        </is>
      </c>
      <c r="D5084" t="inlineStr">
        <is>
          <t>SKU-10363</t>
        </is>
      </c>
      <c r="E5084" t="inlineStr">
        <is>
          <t>AM05</t>
        </is>
      </c>
      <c r="F5084" s="5" t="n">
        <v>248.08</v>
      </c>
      <c r="G5084">
        <f>IF(LEFT(B5084,1)="C","Credit","Factuur")</f>
        <v/>
      </c>
      <c r="H5084">
        <f>IF(AND(B5084=B5083,D5084=D5083,A5084=A5083,F5084=F5083),1,0)</f>
        <v/>
      </c>
      <c r="I5084">
        <f>IF(C5084="C99999",1,0)</f>
        <v/>
      </c>
      <c r="J5084" s="5">
        <f>IF(OR(H5084=1,I5084=1),0,IF(G5084="Credit",-F5084,F5084))</f>
        <v/>
      </c>
    </row>
    <row r="5085">
      <c r="A5085" t="inlineStr">
        <is>
          <t>2026-08-19</t>
        </is>
      </c>
      <c r="B5085" t="inlineStr">
        <is>
          <t>F277403</t>
        </is>
      </c>
      <c r="C5085" t="inlineStr">
        <is>
          <t>C10926</t>
        </is>
      </c>
      <c r="D5085" t="inlineStr">
        <is>
          <t>SKU-10077</t>
        </is>
      </c>
      <c r="E5085" t="inlineStr">
        <is>
          <t>AM02</t>
        </is>
      </c>
      <c r="F5085" s="5" t="n">
        <v>528.61</v>
      </c>
      <c r="G5085">
        <f>IF(LEFT(B5085,1)="C","Credit","Factuur")</f>
        <v/>
      </c>
      <c r="H5085">
        <f>IF(AND(B5085=B5084,D5085=D5084,A5085=A5084,F5085=F5084),1,0)</f>
        <v/>
      </c>
      <c r="I5085">
        <f>IF(C5085="C99999",1,0)</f>
        <v/>
      </c>
      <c r="J5085" s="5">
        <f>IF(OR(H5085=1,I5085=1),0,IF(G5085="Credit",-F5085,F5085))</f>
        <v/>
      </c>
    </row>
    <row r="5086">
      <c r="A5086" t="inlineStr">
        <is>
          <t>2026-08-19</t>
        </is>
      </c>
      <c r="B5086" t="inlineStr">
        <is>
          <t>F277403</t>
        </is>
      </c>
      <c r="C5086" t="inlineStr">
        <is>
          <t>C10926</t>
        </is>
      </c>
      <c r="D5086" t="inlineStr">
        <is>
          <t>SKU-10257</t>
        </is>
      </c>
      <c r="E5086" t="inlineStr">
        <is>
          <t>AM02</t>
        </is>
      </c>
      <c r="F5086" s="5" t="n">
        <v>584.38</v>
      </c>
      <c r="G5086">
        <f>IF(LEFT(B5086,1)="C","Credit","Factuur")</f>
        <v/>
      </c>
      <c r="H5086">
        <f>IF(AND(B5086=B5085,D5086=D5085,A5086=A5085,F5086=F5085),1,0)</f>
        <v/>
      </c>
      <c r="I5086">
        <f>IF(C5086="C99999",1,0)</f>
        <v/>
      </c>
      <c r="J5086" s="5">
        <f>IF(OR(H5086=1,I5086=1),0,IF(G5086="Credit",-F5086,F5086))</f>
        <v/>
      </c>
    </row>
    <row r="5087">
      <c r="A5087" t="inlineStr">
        <is>
          <t>2026-08-19</t>
        </is>
      </c>
      <c r="B5087" t="inlineStr">
        <is>
          <t>F277403</t>
        </is>
      </c>
      <c r="C5087" t="inlineStr">
        <is>
          <t>C10926</t>
        </is>
      </c>
      <c r="D5087" t="inlineStr">
        <is>
          <t>SKU-10289</t>
        </is>
      </c>
      <c r="E5087" t="inlineStr">
        <is>
          <t>AM02</t>
        </is>
      </c>
      <c r="F5087" s="5" t="n">
        <v>547.0599999999999</v>
      </c>
      <c r="G5087">
        <f>IF(LEFT(B5087,1)="C","Credit","Factuur")</f>
        <v/>
      </c>
      <c r="H5087">
        <f>IF(AND(B5087=B5086,D5087=D5086,A5087=A5086,F5087=F5086),1,0)</f>
        <v/>
      </c>
      <c r="I5087">
        <f>IF(C5087="C99999",1,0)</f>
        <v/>
      </c>
      <c r="J5087" s="5">
        <f>IF(OR(H5087=1,I5087=1),0,IF(G5087="Credit",-F5087,F5087))</f>
        <v/>
      </c>
    </row>
    <row r="5088">
      <c r="A5088" t="inlineStr">
        <is>
          <t>2026-08-19</t>
        </is>
      </c>
      <c r="B5088" t="inlineStr">
        <is>
          <t>F277672</t>
        </is>
      </c>
      <c r="C5088" t="inlineStr">
        <is>
          <t>C10938</t>
        </is>
      </c>
      <c r="D5088" t="inlineStr">
        <is>
          <t>SKU-10142</t>
        </is>
      </c>
      <c r="E5088" t="inlineStr">
        <is>
          <t>AM06</t>
        </is>
      </c>
      <c r="F5088" s="5" t="n">
        <v>72.45999999999999</v>
      </c>
      <c r="G5088">
        <f>IF(LEFT(B5088,1)="C","Credit","Factuur")</f>
        <v/>
      </c>
      <c r="H5088">
        <f>IF(AND(B5088=B5087,D5088=D5087,A5088=A5087,F5088=F5087),1,0)</f>
        <v/>
      </c>
      <c r="I5088">
        <f>IF(C5088="C99999",1,0)</f>
        <v/>
      </c>
      <c r="J5088" s="5">
        <f>IF(OR(H5088=1,I5088=1),0,IF(G5088="Credit",-F5088,F5088))</f>
        <v/>
      </c>
    </row>
    <row r="5089">
      <c r="A5089" t="inlineStr">
        <is>
          <t>2026-08-19</t>
        </is>
      </c>
      <c r="B5089" t="inlineStr">
        <is>
          <t>F277672</t>
        </is>
      </c>
      <c r="C5089" t="inlineStr">
        <is>
          <t>C10938</t>
        </is>
      </c>
      <c r="D5089" t="inlineStr">
        <is>
          <t>SKU-10154</t>
        </is>
      </c>
      <c r="E5089" t="inlineStr">
        <is>
          <t>AM06</t>
        </is>
      </c>
      <c r="F5089" s="5" t="n">
        <v>93.37</v>
      </c>
      <c r="G5089">
        <f>IF(LEFT(B5089,1)="C","Credit","Factuur")</f>
        <v/>
      </c>
      <c r="H5089">
        <f>IF(AND(B5089=B5088,D5089=D5088,A5089=A5088,F5089=F5088),1,0)</f>
        <v/>
      </c>
      <c r="I5089">
        <f>IF(C5089="C99999",1,0)</f>
        <v/>
      </c>
      <c r="J5089" s="5">
        <f>IF(OR(H5089=1,I5089=1),0,IF(G5089="Credit",-F5089,F5089))</f>
        <v/>
      </c>
    </row>
    <row r="5090">
      <c r="A5090" t="inlineStr">
        <is>
          <t>2026-08-19</t>
        </is>
      </c>
      <c r="B5090" t="inlineStr">
        <is>
          <t>F277672</t>
        </is>
      </c>
      <c r="C5090" t="inlineStr">
        <is>
          <t>C10938</t>
        </is>
      </c>
      <c r="D5090" t="inlineStr">
        <is>
          <t>SKU-10239</t>
        </is>
      </c>
      <c r="E5090" t="inlineStr">
        <is>
          <t>AM06</t>
        </is>
      </c>
      <c r="F5090" s="5" t="n">
        <v>104.52</v>
      </c>
      <c r="G5090">
        <f>IF(LEFT(B5090,1)="C","Credit","Factuur")</f>
        <v/>
      </c>
      <c r="H5090">
        <f>IF(AND(B5090=B5089,D5090=D5089,A5090=A5089,F5090=F5089),1,0)</f>
        <v/>
      </c>
      <c r="I5090">
        <f>IF(C5090="C99999",1,0)</f>
        <v/>
      </c>
      <c r="J5090" s="5">
        <f>IF(OR(H5090=1,I5090=1),0,IF(G5090="Credit",-F5090,F5090))</f>
        <v/>
      </c>
    </row>
    <row r="5091">
      <c r="A5091" t="inlineStr">
        <is>
          <t>2026-08-19</t>
        </is>
      </c>
      <c r="B5091" t="inlineStr">
        <is>
          <t>F278442</t>
        </is>
      </c>
      <c r="C5091" t="inlineStr">
        <is>
          <t>C10978</t>
        </is>
      </c>
      <c r="D5091" t="inlineStr">
        <is>
          <t>SKU-10004</t>
        </is>
      </c>
      <c r="E5091" t="inlineStr">
        <is>
          <t>AM06</t>
        </is>
      </c>
      <c r="F5091" s="5" t="n">
        <v>141.03</v>
      </c>
      <c r="G5091">
        <f>IF(LEFT(B5091,1)="C","Credit","Factuur")</f>
        <v/>
      </c>
      <c r="H5091">
        <f>IF(AND(B5091=B5090,D5091=D5090,A5091=A5090,F5091=F5090),1,0)</f>
        <v/>
      </c>
      <c r="I5091">
        <f>IF(C5091="C99999",1,0)</f>
        <v/>
      </c>
      <c r="J5091" s="5">
        <f>IF(OR(H5091=1,I5091=1),0,IF(G5091="Credit",-F5091,F5091))</f>
        <v/>
      </c>
    </row>
    <row r="5092">
      <c r="A5092" t="inlineStr">
        <is>
          <t>2026-08-19</t>
        </is>
      </c>
      <c r="B5092" t="inlineStr">
        <is>
          <t>F278442</t>
        </is>
      </c>
      <c r="C5092" t="inlineStr">
        <is>
          <t>C10978</t>
        </is>
      </c>
      <c r="D5092" t="inlineStr">
        <is>
          <t>SKU-10209</t>
        </is>
      </c>
      <c r="E5092" t="inlineStr">
        <is>
          <t>AM06</t>
        </is>
      </c>
      <c r="F5092" s="5" t="n">
        <v>128.9</v>
      </c>
      <c r="G5092">
        <f>IF(LEFT(B5092,1)="C","Credit","Factuur")</f>
        <v/>
      </c>
      <c r="H5092">
        <f>IF(AND(B5092=B5091,D5092=D5091,A5092=A5091,F5092=F5091),1,0)</f>
        <v/>
      </c>
      <c r="I5092">
        <f>IF(C5092="C99999",1,0)</f>
        <v/>
      </c>
      <c r="J5092" s="5">
        <f>IF(OR(H5092=1,I5092=1),0,IF(G5092="Credit",-F5092,F5092))</f>
        <v/>
      </c>
    </row>
    <row r="5093">
      <c r="A5093" t="inlineStr">
        <is>
          <t>2026-08-19</t>
        </is>
      </c>
      <c r="B5093" t="inlineStr">
        <is>
          <t>F278442</t>
        </is>
      </c>
      <c r="C5093" t="inlineStr">
        <is>
          <t>C10978</t>
        </is>
      </c>
      <c r="D5093" t="inlineStr">
        <is>
          <t>SKU-10212</t>
        </is>
      </c>
      <c r="E5093" t="inlineStr">
        <is>
          <t>AM06</t>
        </is>
      </c>
      <c r="F5093" s="5" t="n">
        <v>118.67</v>
      </c>
      <c r="G5093">
        <f>IF(LEFT(B5093,1)="C","Credit","Factuur")</f>
        <v/>
      </c>
      <c r="H5093">
        <f>IF(AND(B5093=B5092,D5093=D5092,A5093=A5092,F5093=F5092),1,0)</f>
        <v/>
      </c>
      <c r="I5093">
        <f>IF(C5093="C99999",1,0)</f>
        <v/>
      </c>
      <c r="J5093" s="5">
        <f>IF(OR(H5093=1,I5093=1),0,IF(G5093="Credit",-F5093,F5093))</f>
        <v/>
      </c>
    </row>
    <row r="5094">
      <c r="A5094" t="inlineStr">
        <is>
          <t>2026-08-19</t>
        </is>
      </c>
      <c r="B5094" t="inlineStr">
        <is>
          <t>F278442</t>
        </is>
      </c>
      <c r="C5094" t="inlineStr">
        <is>
          <t>C10978</t>
        </is>
      </c>
      <c r="D5094" t="inlineStr">
        <is>
          <t>SKU-10235</t>
        </is>
      </c>
      <c r="E5094" t="inlineStr">
        <is>
          <t>AM06</t>
        </is>
      </c>
      <c r="F5094" s="5" t="n">
        <v>125.25</v>
      </c>
      <c r="G5094">
        <f>IF(LEFT(B5094,1)="C","Credit","Factuur")</f>
        <v/>
      </c>
      <c r="H5094">
        <f>IF(AND(B5094=B5093,D5094=D5093,A5094=A5093,F5094=F5093),1,0)</f>
        <v/>
      </c>
      <c r="I5094">
        <f>IF(C5094="C99999",1,0)</f>
        <v/>
      </c>
      <c r="J5094" s="5">
        <f>IF(OR(H5094=1,I5094=1),0,IF(G5094="Credit",-F5094,F5094))</f>
        <v/>
      </c>
    </row>
    <row r="5095">
      <c r="A5095" t="inlineStr">
        <is>
          <t>2026-08-19</t>
        </is>
      </c>
      <c r="B5095" t="inlineStr">
        <is>
          <t>F278442</t>
        </is>
      </c>
      <c r="C5095" t="inlineStr">
        <is>
          <t>C10978</t>
        </is>
      </c>
      <c r="D5095" t="inlineStr">
        <is>
          <t>SKU-10256</t>
        </is>
      </c>
      <c r="E5095" t="inlineStr">
        <is>
          <t>AM06</t>
        </is>
      </c>
      <c r="F5095" s="5" t="n">
        <v>116.12</v>
      </c>
      <c r="G5095">
        <f>IF(LEFT(B5095,1)="C","Credit","Factuur")</f>
        <v/>
      </c>
      <c r="H5095">
        <f>IF(AND(B5095=B5094,D5095=D5094,A5095=A5094,F5095=F5094),1,0)</f>
        <v/>
      </c>
      <c r="I5095">
        <f>IF(C5095="C99999",1,0)</f>
        <v/>
      </c>
      <c r="J5095" s="5">
        <f>IF(OR(H5095=1,I5095=1),0,IF(G5095="Credit",-F5095,F5095))</f>
        <v/>
      </c>
    </row>
    <row r="5096">
      <c r="A5096" t="inlineStr">
        <is>
          <t>2026-08-19</t>
        </is>
      </c>
      <c r="B5096" t="inlineStr">
        <is>
          <t>F279808</t>
        </is>
      </c>
      <c r="C5096" t="inlineStr">
        <is>
          <t>C11050</t>
        </is>
      </c>
      <c r="D5096" t="inlineStr">
        <is>
          <t>SKU-10039</t>
        </is>
      </c>
      <c r="E5096" t="inlineStr">
        <is>
          <t>AM01</t>
        </is>
      </c>
      <c r="F5096" s="5" t="n">
        <v>421.59</v>
      </c>
      <c r="G5096">
        <f>IF(LEFT(B5096,1)="C","Credit","Factuur")</f>
        <v/>
      </c>
      <c r="H5096">
        <f>IF(AND(B5096=B5095,D5096=D5095,A5096=A5095,F5096=F5095),1,0)</f>
        <v/>
      </c>
      <c r="I5096">
        <f>IF(C5096="C99999",1,0)</f>
        <v/>
      </c>
      <c r="J5096" s="5">
        <f>IF(OR(H5096=1,I5096=1),0,IF(G5096="Credit",-F5096,F5096))</f>
        <v/>
      </c>
    </row>
    <row r="5097">
      <c r="A5097" t="inlineStr">
        <is>
          <t>2026-08-19</t>
        </is>
      </c>
      <c r="B5097" t="inlineStr">
        <is>
          <t>F279808</t>
        </is>
      </c>
      <c r="C5097" t="inlineStr">
        <is>
          <t>C11050</t>
        </is>
      </c>
      <c r="D5097" t="inlineStr">
        <is>
          <t>SKU-10138</t>
        </is>
      </c>
      <c r="E5097" t="inlineStr">
        <is>
          <t>AM01</t>
        </is>
      </c>
      <c r="F5097" s="5" t="n">
        <v>407.84</v>
      </c>
      <c r="G5097">
        <f>IF(LEFT(B5097,1)="C","Credit","Factuur")</f>
        <v/>
      </c>
      <c r="H5097">
        <f>IF(AND(B5097=B5096,D5097=D5096,A5097=A5096,F5097=F5096),1,0)</f>
        <v/>
      </c>
      <c r="I5097">
        <f>IF(C5097="C99999",1,0)</f>
        <v/>
      </c>
      <c r="J5097" s="5">
        <f>IF(OR(H5097=1,I5097=1),0,IF(G5097="Credit",-F5097,F5097))</f>
        <v/>
      </c>
    </row>
    <row r="5098">
      <c r="A5098" t="inlineStr">
        <is>
          <t>2026-08-19</t>
        </is>
      </c>
      <c r="B5098" t="inlineStr">
        <is>
          <t>F279929</t>
        </is>
      </c>
      <c r="C5098" t="inlineStr">
        <is>
          <t>C11054</t>
        </is>
      </c>
      <c r="D5098" t="inlineStr">
        <is>
          <t>SKU-10089</t>
        </is>
      </c>
      <c r="E5098" t="inlineStr">
        <is>
          <t>AM07</t>
        </is>
      </c>
      <c r="F5098" s="5" t="n">
        <v>417.62</v>
      </c>
      <c r="G5098">
        <f>IF(LEFT(B5098,1)="C","Credit","Factuur")</f>
        <v/>
      </c>
      <c r="H5098">
        <f>IF(AND(B5098=B5097,D5098=D5097,A5098=A5097,F5098=F5097),1,0)</f>
        <v/>
      </c>
      <c r="I5098">
        <f>IF(C5098="C99999",1,0)</f>
        <v/>
      </c>
      <c r="J5098" s="5">
        <f>IF(OR(H5098=1,I5098=1),0,IF(G5098="Credit",-F5098,F5098))</f>
        <v/>
      </c>
    </row>
    <row r="5099">
      <c r="A5099" t="inlineStr">
        <is>
          <t>2026-08-19</t>
        </is>
      </c>
      <c r="B5099" t="inlineStr">
        <is>
          <t>F279929</t>
        </is>
      </c>
      <c r="C5099" t="inlineStr">
        <is>
          <t>C11054</t>
        </is>
      </c>
      <c r="D5099" t="inlineStr">
        <is>
          <t>SKU-10096</t>
        </is>
      </c>
      <c r="E5099" t="inlineStr">
        <is>
          <t>AM07</t>
        </is>
      </c>
      <c r="F5099" s="5" t="n">
        <v>434.8</v>
      </c>
      <c r="G5099">
        <f>IF(LEFT(B5099,1)="C","Credit","Factuur")</f>
        <v/>
      </c>
      <c r="H5099">
        <f>IF(AND(B5099=B5098,D5099=D5098,A5099=A5098,F5099=F5098),1,0)</f>
        <v/>
      </c>
      <c r="I5099">
        <f>IF(C5099="C99999",1,0)</f>
        <v/>
      </c>
      <c r="J5099" s="5">
        <f>IF(OR(H5099=1,I5099=1),0,IF(G5099="Credit",-F5099,F5099))</f>
        <v/>
      </c>
    </row>
    <row r="5100">
      <c r="A5100" t="inlineStr">
        <is>
          <t>2026-08-19</t>
        </is>
      </c>
      <c r="B5100" t="inlineStr">
        <is>
          <t>F279929</t>
        </is>
      </c>
      <c r="C5100" t="inlineStr">
        <is>
          <t>C11054</t>
        </is>
      </c>
      <c r="D5100" t="inlineStr">
        <is>
          <t>SKU-10196</t>
        </is>
      </c>
      <c r="E5100" t="inlineStr">
        <is>
          <t>AM07</t>
        </is>
      </c>
      <c r="F5100" s="5" t="n">
        <v>437.19</v>
      </c>
      <c r="G5100">
        <f>IF(LEFT(B5100,1)="C","Credit","Factuur")</f>
        <v/>
      </c>
      <c r="H5100">
        <f>IF(AND(B5100=B5099,D5100=D5099,A5100=A5099,F5100=F5099),1,0)</f>
        <v/>
      </c>
      <c r="I5100">
        <f>IF(C5100="C99999",1,0)</f>
        <v/>
      </c>
      <c r="J5100" s="5">
        <f>IF(OR(H5100=1,I5100=1),0,IF(G5100="Credit",-F5100,F5100))</f>
        <v/>
      </c>
    </row>
    <row r="5101">
      <c r="A5101" t="inlineStr">
        <is>
          <t>2026-08-19</t>
        </is>
      </c>
      <c r="B5101" t="inlineStr">
        <is>
          <t>F282091</t>
        </is>
      </c>
      <c r="C5101" t="inlineStr">
        <is>
          <t>C11161</t>
        </is>
      </c>
      <c r="D5101" t="inlineStr">
        <is>
          <t>SKU-10073</t>
        </is>
      </c>
      <c r="E5101" t="inlineStr">
        <is>
          <t>AM01</t>
        </is>
      </c>
      <c r="F5101" s="5" t="n">
        <v>399.28</v>
      </c>
      <c r="G5101">
        <f>IF(LEFT(B5101,1)="C","Credit","Factuur")</f>
        <v/>
      </c>
      <c r="H5101">
        <f>IF(AND(B5101=B5100,D5101=D5100,A5101=A5100,F5101=F5100),1,0)</f>
        <v/>
      </c>
      <c r="I5101">
        <f>IF(C5101="C99999",1,0)</f>
        <v/>
      </c>
      <c r="J5101" s="5">
        <f>IF(OR(H5101=1,I5101=1),0,IF(G5101="Credit",-F5101,F5101))</f>
        <v/>
      </c>
    </row>
    <row r="5102">
      <c r="A5102" t="inlineStr">
        <is>
          <t>2026-08-19</t>
        </is>
      </c>
      <c r="B5102" t="inlineStr">
        <is>
          <t>F284916</t>
        </is>
      </c>
      <c r="C5102" t="inlineStr">
        <is>
          <t>C11303</t>
        </is>
      </c>
      <c r="D5102" t="inlineStr">
        <is>
          <t>SKU-10032</t>
        </is>
      </c>
      <c r="E5102" t="inlineStr">
        <is>
          <t>AM03</t>
        </is>
      </c>
      <c r="F5102" s="5" t="n">
        <v>380.71</v>
      </c>
      <c r="G5102">
        <f>IF(LEFT(B5102,1)="C","Credit","Factuur")</f>
        <v/>
      </c>
      <c r="H5102">
        <f>IF(AND(B5102=B5101,D5102=D5101,A5102=A5101,F5102=F5101),1,0)</f>
        <v/>
      </c>
      <c r="I5102">
        <f>IF(C5102="C99999",1,0)</f>
        <v/>
      </c>
      <c r="J5102" s="5">
        <f>IF(OR(H5102=1,I5102=1),0,IF(G5102="Credit",-F5102,F5102))</f>
        <v/>
      </c>
    </row>
    <row r="5103">
      <c r="A5103" t="inlineStr">
        <is>
          <t>2026-08-19</t>
        </is>
      </c>
      <c r="B5103" t="inlineStr">
        <is>
          <t>F284916</t>
        </is>
      </c>
      <c r="C5103" t="inlineStr">
        <is>
          <t>C11303</t>
        </is>
      </c>
      <c r="D5103" t="inlineStr">
        <is>
          <t>SKU-10066</t>
        </is>
      </c>
      <c r="E5103" t="inlineStr">
        <is>
          <t>AM03</t>
        </is>
      </c>
      <c r="F5103" s="5" t="n">
        <v>325.99</v>
      </c>
      <c r="G5103">
        <f>IF(LEFT(B5103,1)="C","Credit","Factuur")</f>
        <v/>
      </c>
      <c r="H5103">
        <f>IF(AND(B5103=B5102,D5103=D5102,A5103=A5102,F5103=F5102),1,0)</f>
        <v/>
      </c>
      <c r="I5103">
        <f>IF(C5103="C99999",1,0)</f>
        <v/>
      </c>
      <c r="J5103" s="5">
        <f>IF(OR(H5103=1,I5103=1),0,IF(G5103="Credit",-F5103,F5103))</f>
        <v/>
      </c>
    </row>
    <row r="5104">
      <c r="A5104" t="inlineStr">
        <is>
          <t>2026-08-19</t>
        </is>
      </c>
      <c r="B5104" t="inlineStr">
        <is>
          <t>F284916</t>
        </is>
      </c>
      <c r="C5104" t="inlineStr">
        <is>
          <t>C11303</t>
        </is>
      </c>
      <c r="D5104" t="inlineStr">
        <is>
          <t>SKU-10173</t>
        </is>
      </c>
      <c r="E5104" t="inlineStr">
        <is>
          <t>AM03</t>
        </is>
      </c>
      <c r="F5104" s="5" t="n">
        <v>328.95</v>
      </c>
      <c r="G5104">
        <f>IF(LEFT(B5104,1)="C","Credit","Factuur")</f>
        <v/>
      </c>
      <c r="H5104">
        <f>IF(AND(B5104=B5103,D5104=D5103,A5104=A5103,F5104=F5103),1,0)</f>
        <v/>
      </c>
      <c r="I5104">
        <f>IF(C5104="C99999",1,0)</f>
        <v/>
      </c>
      <c r="J5104" s="5">
        <f>IF(OR(H5104=1,I5104=1),0,IF(G5104="Credit",-F5104,F5104))</f>
        <v/>
      </c>
    </row>
    <row r="5105">
      <c r="A5105" t="inlineStr">
        <is>
          <t>2026-08-19</t>
        </is>
      </c>
      <c r="B5105" t="inlineStr">
        <is>
          <t>F284916</t>
        </is>
      </c>
      <c r="C5105" t="inlineStr">
        <is>
          <t>C11303</t>
        </is>
      </c>
      <c r="D5105" t="inlineStr">
        <is>
          <t>SKU-10260</t>
        </is>
      </c>
      <c r="E5105" t="inlineStr">
        <is>
          <t>AM03</t>
        </is>
      </c>
      <c r="F5105" s="5" t="n">
        <v>360.96</v>
      </c>
      <c r="G5105">
        <f>IF(LEFT(B5105,1)="C","Credit","Factuur")</f>
        <v/>
      </c>
      <c r="H5105">
        <f>IF(AND(B5105=B5104,D5105=D5104,A5105=A5104,F5105=F5104),1,0)</f>
        <v/>
      </c>
      <c r="I5105">
        <f>IF(C5105="C99999",1,0)</f>
        <v/>
      </c>
      <c r="J5105" s="5">
        <f>IF(OR(H5105=1,I5105=1),0,IF(G5105="Credit",-F5105,F5105))</f>
        <v/>
      </c>
    </row>
    <row r="5106">
      <c r="A5106" t="inlineStr">
        <is>
          <t>2026-08-20</t>
        </is>
      </c>
      <c r="B5106" t="inlineStr">
        <is>
          <t>C901497</t>
        </is>
      </c>
      <c r="C5106" t="inlineStr">
        <is>
          <t>C10923</t>
        </is>
      </c>
      <c r="D5106" t="inlineStr">
        <is>
          <t>SKU-10092</t>
        </is>
      </c>
      <c r="E5106" t="inlineStr">
        <is>
          <t>AM08</t>
        </is>
      </c>
      <c r="F5106" s="5" t="n">
        <v>68.62</v>
      </c>
      <c r="G5106">
        <f>IF(LEFT(B5106,1)="C","Credit","Factuur")</f>
        <v/>
      </c>
      <c r="H5106">
        <f>IF(AND(B5106=B5105,D5106=D5105,A5106=A5105,F5106=F5105),1,0)</f>
        <v/>
      </c>
      <c r="I5106">
        <f>IF(C5106="C99999",1,0)</f>
        <v/>
      </c>
      <c r="J5106" s="5">
        <f>IF(OR(H5106=1,I5106=1),0,IF(G5106="Credit",-F5106,F5106))</f>
        <v/>
      </c>
    </row>
    <row r="5107">
      <c r="A5107" t="inlineStr">
        <is>
          <t>2026-08-20</t>
        </is>
      </c>
      <c r="B5107" t="inlineStr">
        <is>
          <t>F260235</t>
        </is>
      </c>
      <c r="C5107" t="inlineStr">
        <is>
          <t>C10015</t>
        </is>
      </c>
      <c r="D5107" t="inlineStr">
        <is>
          <t>SKU-10044</t>
        </is>
      </c>
      <c r="E5107" t="inlineStr">
        <is>
          <t>AM02</t>
        </is>
      </c>
      <c r="F5107" s="5" t="n">
        <v>147.24</v>
      </c>
      <c r="G5107">
        <f>IF(LEFT(B5107,1)="C","Credit","Factuur")</f>
        <v/>
      </c>
      <c r="H5107">
        <f>IF(AND(B5107=B5106,D5107=D5106,A5107=A5106,F5107=F5106),1,0)</f>
        <v/>
      </c>
      <c r="I5107">
        <f>IF(C5107="C99999",1,0)</f>
        <v/>
      </c>
      <c r="J5107" s="5">
        <f>IF(OR(H5107=1,I5107=1),0,IF(G5107="Credit",-F5107,F5107))</f>
        <v/>
      </c>
    </row>
    <row r="5108">
      <c r="A5108" t="inlineStr">
        <is>
          <t>2026-08-20</t>
        </is>
      </c>
      <c r="B5108" t="inlineStr">
        <is>
          <t>F260235</t>
        </is>
      </c>
      <c r="C5108" t="inlineStr">
        <is>
          <t>C10015</t>
        </is>
      </c>
      <c r="D5108" t="inlineStr">
        <is>
          <t>SKU-10119</t>
        </is>
      </c>
      <c r="E5108" t="inlineStr">
        <is>
          <t>AM02</t>
        </is>
      </c>
      <c r="F5108" s="5" t="n">
        <v>162.63</v>
      </c>
      <c r="G5108">
        <f>IF(LEFT(B5108,1)="C","Credit","Factuur")</f>
        <v/>
      </c>
      <c r="H5108">
        <f>IF(AND(B5108=B5107,D5108=D5107,A5108=A5107,F5108=F5107),1,0)</f>
        <v/>
      </c>
      <c r="I5108">
        <f>IF(C5108="C99999",1,0)</f>
        <v/>
      </c>
      <c r="J5108" s="5">
        <f>IF(OR(H5108=1,I5108=1),0,IF(G5108="Credit",-F5108,F5108))</f>
        <v/>
      </c>
    </row>
    <row r="5109">
      <c r="A5109" t="inlineStr">
        <is>
          <t>2026-08-20</t>
        </is>
      </c>
      <c r="B5109" t="inlineStr">
        <is>
          <t>F260733</t>
        </is>
      </c>
      <c r="C5109" t="inlineStr">
        <is>
          <t>C10045</t>
        </is>
      </c>
      <c r="D5109" t="inlineStr">
        <is>
          <t>SKU-10013</t>
        </is>
      </c>
      <c r="E5109" t="inlineStr">
        <is>
          <t>AM12</t>
        </is>
      </c>
      <c r="F5109" s="5" t="n">
        <v>101.55</v>
      </c>
      <c r="G5109">
        <f>IF(LEFT(B5109,1)="C","Credit","Factuur")</f>
        <v/>
      </c>
      <c r="H5109">
        <f>IF(AND(B5109=B5108,D5109=D5108,A5109=A5108,F5109=F5108),1,0)</f>
        <v/>
      </c>
      <c r="I5109">
        <f>IF(C5109="C99999",1,0)</f>
        <v/>
      </c>
      <c r="J5109" s="5">
        <f>IF(OR(H5109=1,I5109=1),0,IF(G5109="Credit",-F5109,F5109))</f>
        <v/>
      </c>
    </row>
    <row r="5110">
      <c r="A5110" t="inlineStr">
        <is>
          <t>2026-08-20</t>
        </is>
      </c>
      <c r="B5110" t="inlineStr">
        <is>
          <t>F260733</t>
        </is>
      </c>
      <c r="C5110" t="inlineStr">
        <is>
          <t>C10045</t>
        </is>
      </c>
      <c r="D5110" t="inlineStr">
        <is>
          <t>SKU-10047</t>
        </is>
      </c>
      <c r="E5110" t="inlineStr">
        <is>
          <t>AM12</t>
        </is>
      </c>
      <c r="F5110" s="5" t="n">
        <v>105.46</v>
      </c>
      <c r="G5110">
        <f>IF(LEFT(B5110,1)="C","Credit","Factuur")</f>
        <v/>
      </c>
      <c r="H5110">
        <f>IF(AND(B5110=B5109,D5110=D5109,A5110=A5109,F5110=F5109),1,0)</f>
        <v/>
      </c>
      <c r="I5110">
        <f>IF(C5110="C99999",1,0)</f>
        <v/>
      </c>
      <c r="J5110" s="5">
        <f>IF(OR(H5110=1,I5110=1),0,IF(G5110="Credit",-F5110,F5110))</f>
        <v/>
      </c>
    </row>
    <row r="5111">
      <c r="A5111" t="inlineStr">
        <is>
          <t>2026-08-20</t>
        </is>
      </c>
      <c r="B5111" t="inlineStr">
        <is>
          <t>F260733</t>
        </is>
      </c>
      <c r="C5111" t="inlineStr">
        <is>
          <t>C10045</t>
        </is>
      </c>
      <c r="D5111" t="inlineStr">
        <is>
          <t>SKU-10067</t>
        </is>
      </c>
      <c r="E5111" t="inlineStr">
        <is>
          <t>AM12</t>
        </is>
      </c>
      <c r="F5111" s="5" t="n">
        <v>102.19</v>
      </c>
      <c r="G5111">
        <f>IF(LEFT(B5111,1)="C","Credit","Factuur")</f>
        <v/>
      </c>
      <c r="H5111">
        <f>IF(AND(B5111=B5110,D5111=D5110,A5111=A5110,F5111=F5110),1,0)</f>
        <v/>
      </c>
      <c r="I5111">
        <f>IF(C5111="C99999",1,0)</f>
        <v/>
      </c>
      <c r="J5111" s="5">
        <f>IF(OR(H5111=1,I5111=1),0,IF(G5111="Credit",-F5111,F5111))</f>
        <v/>
      </c>
    </row>
    <row r="5112">
      <c r="A5112" t="inlineStr">
        <is>
          <t>2026-08-20</t>
        </is>
      </c>
      <c r="B5112" t="inlineStr">
        <is>
          <t>F260733</t>
        </is>
      </c>
      <c r="C5112" t="inlineStr">
        <is>
          <t>C10045</t>
        </is>
      </c>
      <c r="D5112" t="inlineStr">
        <is>
          <t>SKU-10103</t>
        </is>
      </c>
      <c r="E5112" t="inlineStr">
        <is>
          <t>AM12</t>
        </is>
      </c>
      <c r="F5112" s="5" t="n">
        <v>69.90000000000001</v>
      </c>
      <c r="G5112">
        <f>IF(LEFT(B5112,1)="C","Credit","Factuur")</f>
        <v/>
      </c>
      <c r="H5112">
        <f>IF(AND(B5112=B5111,D5112=D5111,A5112=A5111,F5112=F5111),1,0)</f>
        <v/>
      </c>
      <c r="I5112">
        <f>IF(C5112="C99999",1,0)</f>
        <v/>
      </c>
      <c r="J5112" s="5">
        <f>IF(OR(H5112=1,I5112=1),0,IF(G5112="Credit",-F5112,F5112))</f>
        <v/>
      </c>
    </row>
    <row r="5113">
      <c r="A5113" t="inlineStr">
        <is>
          <t>2026-08-20</t>
        </is>
      </c>
      <c r="B5113" t="inlineStr">
        <is>
          <t>F260733</t>
        </is>
      </c>
      <c r="C5113" t="inlineStr">
        <is>
          <t>C10045</t>
        </is>
      </c>
      <c r="D5113" t="inlineStr">
        <is>
          <t>SKU-10243</t>
        </is>
      </c>
      <c r="E5113" t="inlineStr">
        <is>
          <t>AM12</t>
        </is>
      </c>
      <c r="F5113" s="5" t="n">
        <v>91.59999999999999</v>
      </c>
      <c r="G5113">
        <f>IF(LEFT(B5113,1)="C","Credit","Factuur")</f>
        <v/>
      </c>
      <c r="H5113">
        <f>IF(AND(B5113=B5112,D5113=D5112,A5113=A5112,F5113=F5112),1,0)</f>
        <v/>
      </c>
      <c r="I5113">
        <f>IF(C5113="C99999",1,0)</f>
        <v/>
      </c>
      <c r="J5113" s="5">
        <f>IF(OR(H5113=1,I5113=1),0,IF(G5113="Credit",-F5113,F5113))</f>
        <v/>
      </c>
    </row>
    <row r="5114">
      <c r="A5114" t="inlineStr">
        <is>
          <t>2026-08-20</t>
        </is>
      </c>
      <c r="B5114" t="inlineStr">
        <is>
          <t>F260794</t>
        </is>
      </c>
      <c r="C5114" t="inlineStr">
        <is>
          <t>C10047</t>
        </is>
      </c>
      <c r="D5114" t="inlineStr">
        <is>
          <t>SKU-10078</t>
        </is>
      </c>
      <c r="E5114" t="inlineStr">
        <is>
          <t>AM07</t>
        </is>
      </c>
      <c r="F5114" s="5" t="n">
        <v>402.19</v>
      </c>
      <c r="G5114">
        <f>IF(LEFT(B5114,1)="C","Credit","Factuur")</f>
        <v/>
      </c>
      <c r="H5114">
        <f>IF(AND(B5114=B5113,D5114=D5113,A5114=A5113,F5114=F5113),1,0)</f>
        <v/>
      </c>
      <c r="I5114">
        <f>IF(C5114="C99999",1,0)</f>
        <v/>
      </c>
      <c r="J5114" s="5">
        <f>IF(OR(H5114=1,I5114=1),0,IF(G5114="Credit",-F5114,F5114))</f>
        <v/>
      </c>
    </row>
    <row r="5115">
      <c r="A5115" t="inlineStr">
        <is>
          <t>2026-08-20</t>
        </is>
      </c>
      <c r="B5115" t="inlineStr">
        <is>
          <t>F260794</t>
        </is>
      </c>
      <c r="C5115" t="inlineStr">
        <is>
          <t>C10047</t>
        </is>
      </c>
      <c r="D5115" t="inlineStr">
        <is>
          <t>SKU-10109</t>
        </is>
      </c>
      <c r="E5115" t="inlineStr">
        <is>
          <t>AM07</t>
        </is>
      </c>
      <c r="F5115" s="5" t="n">
        <v>364.42</v>
      </c>
      <c r="G5115">
        <f>IF(LEFT(B5115,1)="C","Credit","Factuur")</f>
        <v/>
      </c>
      <c r="H5115">
        <f>IF(AND(B5115=B5114,D5115=D5114,A5115=A5114,F5115=F5114),1,0)</f>
        <v/>
      </c>
      <c r="I5115">
        <f>IF(C5115="C99999",1,0)</f>
        <v/>
      </c>
      <c r="J5115" s="5">
        <f>IF(OR(H5115=1,I5115=1),0,IF(G5115="Credit",-F5115,F5115))</f>
        <v/>
      </c>
    </row>
    <row r="5116">
      <c r="A5116" t="inlineStr">
        <is>
          <t>2026-08-20</t>
        </is>
      </c>
      <c r="B5116" t="inlineStr">
        <is>
          <t>F261224</t>
        </is>
      </c>
      <c r="C5116" t="inlineStr">
        <is>
          <t>C10066</t>
        </is>
      </c>
      <c r="D5116" t="inlineStr">
        <is>
          <t>SKU-10046</t>
        </is>
      </c>
      <c r="E5116" t="inlineStr">
        <is>
          <t>AM03</t>
        </is>
      </c>
      <c r="F5116" s="5" t="n">
        <v>110.46</v>
      </c>
      <c r="G5116">
        <f>IF(LEFT(B5116,1)="C","Credit","Factuur")</f>
        <v/>
      </c>
      <c r="H5116">
        <f>IF(AND(B5116=B5115,D5116=D5115,A5116=A5115,F5116=F5115),1,0)</f>
        <v/>
      </c>
      <c r="I5116">
        <f>IF(C5116="C99999",1,0)</f>
        <v/>
      </c>
      <c r="J5116" s="5">
        <f>IF(OR(H5116=1,I5116=1),0,IF(G5116="Credit",-F5116,F5116))</f>
        <v/>
      </c>
    </row>
    <row r="5117">
      <c r="A5117" t="inlineStr">
        <is>
          <t>2026-08-20</t>
        </is>
      </c>
      <c r="B5117" t="inlineStr">
        <is>
          <t>F261224</t>
        </is>
      </c>
      <c r="C5117" t="inlineStr">
        <is>
          <t>C10066</t>
        </is>
      </c>
      <c r="D5117" t="inlineStr">
        <is>
          <t>SKU-10154</t>
        </is>
      </c>
      <c r="E5117" t="inlineStr">
        <is>
          <t>AM03</t>
        </is>
      </c>
      <c r="F5117" s="5" t="n">
        <v>108.11</v>
      </c>
      <c r="G5117">
        <f>IF(LEFT(B5117,1)="C","Credit","Factuur")</f>
        <v/>
      </c>
      <c r="H5117">
        <f>IF(AND(B5117=B5116,D5117=D5116,A5117=A5116,F5117=F5116),1,0)</f>
        <v/>
      </c>
      <c r="I5117">
        <f>IF(C5117="C99999",1,0)</f>
        <v/>
      </c>
      <c r="J5117" s="5">
        <f>IF(OR(H5117=1,I5117=1),0,IF(G5117="Credit",-F5117,F5117))</f>
        <v/>
      </c>
    </row>
    <row r="5118">
      <c r="A5118" t="inlineStr">
        <is>
          <t>2026-08-20</t>
        </is>
      </c>
      <c r="B5118" t="inlineStr">
        <is>
          <t>F261224</t>
        </is>
      </c>
      <c r="C5118" t="inlineStr">
        <is>
          <t>C10066</t>
        </is>
      </c>
      <c r="D5118" t="inlineStr">
        <is>
          <t>SKU-10222</t>
        </is>
      </c>
      <c r="E5118" t="inlineStr">
        <is>
          <t>AM03</t>
        </is>
      </c>
      <c r="F5118" s="5" t="n">
        <v>106.27</v>
      </c>
      <c r="G5118">
        <f>IF(LEFT(B5118,1)="C","Credit","Factuur")</f>
        <v/>
      </c>
      <c r="H5118">
        <f>IF(AND(B5118=B5117,D5118=D5117,A5118=A5117,F5118=F5117),1,0)</f>
        <v/>
      </c>
      <c r="I5118">
        <f>IF(C5118="C99999",1,0)</f>
        <v/>
      </c>
      <c r="J5118" s="5">
        <f>IF(OR(H5118=1,I5118=1),0,IF(G5118="Credit",-F5118,F5118))</f>
        <v/>
      </c>
    </row>
    <row r="5119">
      <c r="A5119" t="inlineStr">
        <is>
          <t>2026-08-20</t>
        </is>
      </c>
      <c r="B5119" t="inlineStr">
        <is>
          <t>F261224</t>
        </is>
      </c>
      <c r="C5119" t="inlineStr">
        <is>
          <t>C10066</t>
        </is>
      </c>
      <c r="D5119" t="inlineStr">
        <is>
          <t>SKU-10306</t>
        </is>
      </c>
      <c r="E5119" t="inlineStr">
        <is>
          <t>AM03</t>
        </is>
      </c>
      <c r="F5119" s="5" t="n">
        <v>103.36</v>
      </c>
      <c r="G5119">
        <f>IF(LEFT(B5119,1)="C","Credit","Factuur")</f>
        <v/>
      </c>
      <c r="H5119">
        <f>IF(AND(B5119=B5118,D5119=D5118,A5119=A5118,F5119=F5118),1,0)</f>
        <v/>
      </c>
      <c r="I5119">
        <f>IF(C5119="C99999",1,0)</f>
        <v/>
      </c>
      <c r="J5119" s="5">
        <f>IF(OR(H5119=1,I5119=1),0,IF(G5119="Credit",-F5119,F5119))</f>
        <v/>
      </c>
    </row>
    <row r="5120">
      <c r="A5120" t="inlineStr">
        <is>
          <t>2026-08-20</t>
        </is>
      </c>
      <c r="B5120" t="inlineStr">
        <is>
          <t>F262782</t>
        </is>
      </c>
      <c r="C5120" t="inlineStr">
        <is>
          <t>C10150</t>
        </is>
      </c>
      <c r="D5120" t="inlineStr">
        <is>
          <t>SKU-10120</t>
        </is>
      </c>
      <c r="E5120" t="inlineStr">
        <is>
          <t>AM12</t>
        </is>
      </c>
      <c r="F5120" s="5" t="n">
        <v>1873.08</v>
      </c>
      <c r="G5120">
        <f>IF(LEFT(B5120,1)="C","Credit","Factuur")</f>
        <v/>
      </c>
      <c r="H5120">
        <f>IF(AND(B5120=B5119,D5120=D5119,A5120=A5119,F5120=F5119),1,0)</f>
        <v/>
      </c>
      <c r="I5120">
        <f>IF(C5120="C99999",1,0)</f>
        <v/>
      </c>
      <c r="J5120" s="5">
        <f>IF(OR(H5120=1,I5120=1),0,IF(G5120="Credit",-F5120,F5120))</f>
        <v/>
      </c>
    </row>
    <row r="5121">
      <c r="A5121" t="inlineStr">
        <is>
          <t>2026-08-20</t>
        </is>
      </c>
      <c r="B5121" t="inlineStr">
        <is>
          <t>F263960</t>
        </is>
      </c>
      <c r="C5121" t="inlineStr">
        <is>
          <t>C10208</t>
        </is>
      </c>
      <c r="D5121" t="inlineStr">
        <is>
          <t>SKU-10072</t>
        </is>
      </c>
      <c r="E5121" t="inlineStr">
        <is>
          <t>AM01</t>
        </is>
      </c>
      <c r="F5121" s="5" t="n">
        <v>1290.08</v>
      </c>
      <c r="G5121">
        <f>IF(LEFT(B5121,1)="C","Credit","Factuur")</f>
        <v/>
      </c>
      <c r="H5121">
        <f>IF(AND(B5121=B5120,D5121=D5120,A5121=A5120,F5121=F5120),1,0)</f>
        <v/>
      </c>
      <c r="I5121">
        <f>IF(C5121="C99999",1,0)</f>
        <v/>
      </c>
      <c r="J5121" s="5">
        <f>IF(OR(H5121=1,I5121=1),0,IF(G5121="Credit",-F5121,F5121))</f>
        <v/>
      </c>
    </row>
    <row r="5122">
      <c r="A5122" t="inlineStr">
        <is>
          <t>2026-08-20</t>
        </is>
      </c>
      <c r="B5122" t="inlineStr">
        <is>
          <t>F263960</t>
        </is>
      </c>
      <c r="C5122" t="inlineStr">
        <is>
          <t>C10208</t>
        </is>
      </c>
      <c r="D5122" t="inlineStr">
        <is>
          <t>SKU-10160</t>
        </is>
      </c>
      <c r="E5122" t="inlineStr">
        <is>
          <t>AM01</t>
        </is>
      </c>
      <c r="F5122" s="5" t="n">
        <v>1354.59</v>
      </c>
      <c r="G5122">
        <f>IF(LEFT(B5122,1)="C","Credit","Factuur")</f>
        <v/>
      </c>
      <c r="H5122">
        <f>IF(AND(B5122=B5121,D5122=D5121,A5122=A5121,F5122=F5121),1,0)</f>
        <v/>
      </c>
      <c r="I5122">
        <f>IF(C5122="C99999",1,0)</f>
        <v/>
      </c>
      <c r="J5122" s="5">
        <f>IF(OR(H5122=1,I5122=1),0,IF(G5122="Credit",-F5122,F5122))</f>
        <v/>
      </c>
    </row>
    <row r="5123">
      <c r="A5123" t="inlineStr">
        <is>
          <t>2026-08-20</t>
        </is>
      </c>
      <c r="B5123" t="inlineStr">
        <is>
          <t>F264218</t>
        </is>
      </c>
      <c r="C5123" t="inlineStr">
        <is>
          <t>C10221</t>
        </is>
      </c>
      <c r="D5123" t="inlineStr">
        <is>
          <t>SKU-10298</t>
        </is>
      </c>
      <c r="E5123" t="inlineStr">
        <is>
          <t>AM06</t>
        </is>
      </c>
      <c r="F5123" s="5" t="n">
        <v>178.84</v>
      </c>
      <c r="G5123">
        <f>IF(LEFT(B5123,1)="C","Credit","Factuur")</f>
        <v/>
      </c>
      <c r="H5123">
        <f>IF(AND(B5123=B5122,D5123=D5122,A5123=A5122,F5123=F5122),1,0)</f>
        <v/>
      </c>
      <c r="I5123">
        <f>IF(C5123="C99999",1,0)</f>
        <v/>
      </c>
      <c r="J5123" s="5">
        <f>IF(OR(H5123=1,I5123=1),0,IF(G5123="Credit",-F5123,F5123))</f>
        <v/>
      </c>
    </row>
    <row r="5124">
      <c r="A5124" t="inlineStr">
        <is>
          <t>2026-08-20</t>
        </is>
      </c>
      <c r="B5124" t="inlineStr">
        <is>
          <t>F264218</t>
        </is>
      </c>
      <c r="C5124" t="inlineStr">
        <is>
          <t>C10221</t>
        </is>
      </c>
      <c r="D5124" t="inlineStr">
        <is>
          <t>SKU-10318</t>
        </is>
      </c>
      <c r="E5124" t="inlineStr">
        <is>
          <t>AM06</t>
        </is>
      </c>
      <c r="F5124" s="5" t="n">
        <v>155.68</v>
      </c>
      <c r="G5124">
        <f>IF(LEFT(B5124,1)="C","Credit","Factuur")</f>
        <v/>
      </c>
      <c r="H5124">
        <f>IF(AND(B5124=B5123,D5124=D5123,A5124=A5123,F5124=F5123),1,0)</f>
        <v/>
      </c>
      <c r="I5124">
        <f>IF(C5124="C99999",1,0)</f>
        <v/>
      </c>
      <c r="J5124" s="5">
        <f>IF(OR(H5124=1,I5124=1),0,IF(G5124="Credit",-F5124,F5124))</f>
        <v/>
      </c>
    </row>
    <row r="5125">
      <c r="A5125" t="inlineStr">
        <is>
          <t>2026-08-20</t>
        </is>
      </c>
      <c r="B5125" t="inlineStr">
        <is>
          <t>F266412</t>
        </is>
      </c>
      <c r="C5125" t="inlineStr">
        <is>
          <t>C10337</t>
        </is>
      </c>
      <c r="D5125" t="inlineStr">
        <is>
          <t>SKU-10069</t>
        </is>
      </c>
      <c r="E5125" t="inlineStr">
        <is>
          <t>AM07</t>
        </is>
      </c>
      <c r="F5125" s="5" t="n">
        <v>238.35</v>
      </c>
      <c r="G5125">
        <f>IF(LEFT(B5125,1)="C","Credit","Factuur")</f>
        <v/>
      </c>
      <c r="H5125">
        <f>IF(AND(B5125=B5124,D5125=D5124,A5125=A5124,F5125=F5124),1,0)</f>
        <v/>
      </c>
      <c r="I5125">
        <f>IF(C5125="C99999",1,0)</f>
        <v/>
      </c>
      <c r="J5125" s="5">
        <f>IF(OR(H5125=1,I5125=1),0,IF(G5125="Credit",-F5125,F5125))</f>
        <v/>
      </c>
    </row>
    <row r="5126">
      <c r="A5126" t="inlineStr">
        <is>
          <t>2026-08-20</t>
        </is>
      </c>
      <c r="B5126" t="inlineStr">
        <is>
          <t>F266412</t>
        </is>
      </c>
      <c r="C5126" t="inlineStr">
        <is>
          <t>C10337</t>
        </is>
      </c>
      <c r="D5126" t="inlineStr">
        <is>
          <t>SKU-10216</t>
        </is>
      </c>
      <c r="E5126" t="inlineStr">
        <is>
          <t>AM07</t>
        </is>
      </c>
      <c r="F5126" s="5" t="n">
        <v>242.7</v>
      </c>
      <c r="G5126">
        <f>IF(LEFT(B5126,1)="C","Credit","Factuur")</f>
        <v/>
      </c>
      <c r="H5126">
        <f>IF(AND(B5126=B5125,D5126=D5125,A5126=A5125,F5126=F5125),1,0)</f>
        <v/>
      </c>
      <c r="I5126">
        <f>IF(C5126="C99999",1,0)</f>
        <v/>
      </c>
      <c r="J5126" s="5">
        <f>IF(OR(H5126=1,I5126=1),0,IF(G5126="Credit",-F5126,F5126))</f>
        <v/>
      </c>
    </row>
    <row r="5127">
      <c r="A5127" t="inlineStr">
        <is>
          <t>2026-08-20</t>
        </is>
      </c>
      <c r="B5127" t="inlineStr">
        <is>
          <t>F266412</t>
        </is>
      </c>
      <c r="C5127" t="inlineStr">
        <is>
          <t>C10337</t>
        </is>
      </c>
      <c r="D5127" t="inlineStr">
        <is>
          <t>SKU-10326</t>
        </is>
      </c>
      <c r="E5127" t="inlineStr">
        <is>
          <t>AM07</t>
        </is>
      </c>
      <c r="F5127" s="5" t="n">
        <v>237</v>
      </c>
      <c r="G5127">
        <f>IF(LEFT(B5127,1)="C","Credit","Factuur")</f>
        <v/>
      </c>
      <c r="H5127">
        <f>IF(AND(B5127=B5126,D5127=D5126,A5127=A5126,F5127=F5126),1,0)</f>
        <v/>
      </c>
      <c r="I5127">
        <f>IF(C5127="C99999",1,0)</f>
        <v/>
      </c>
      <c r="J5127" s="5">
        <f>IF(OR(H5127=1,I5127=1),0,IF(G5127="Credit",-F5127,F5127))</f>
        <v/>
      </c>
    </row>
    <row r="5128">
      <c r="A5128" t="inlineStr">
        <is>
          <t>2026-08-20</t>
        </is>
      </c>
      <c r="B5128" t="inlineStr">
        <is>
          <t>F266412</t>
        </is>
      </c>
      <c r="C5128" t="inlineStr">
        <is>
          <t>C10337</t>
        </is>
      </c>
      <c r="D5128" t="inlineStr">
        <is>
          <t>SKU-10335</t>
        </is>
      </c>
      <c r="E5128" t="inlineStr">
        <is>
          <t>AM07</t>
        </is>
      </c>
      <c r="F5128" s="5" t="n">
        <v>242.2</v>
      </c>
      <c r="G5128">
        <f>IF(LEFT(B5128,1)="C","Credit","Factuur")</f>
        <v/>
      </c>
      <c r="H5128">
        <f>IF(AND(B5128=B5127,D5128=D5127,A5128=A5127,F5128=F5127),1,0)</f>
        <v/>
      </c>
      <c r="I5128">
        <f>IF(C5128="C99999",1,0)</f>
        <v/>
      </c>
      <c r="J5128" s="5">
        <f>IF(OR(H5128=1,I5128=1),0,IF(G5128="Credit",-F5128,F5128))</f>
        <v/>
      </c>
    </row>
    <row r="5129">
      <c r="A5129" t="inlineStr">
        <is>
          <t>2026-08-20</t>
        </is>
      </c>
      <c r="B5129" t="inlineStr">
        <is>
          <t>F266776</t>
        </is>
      </c>
      <c r="C5129" t="inlineStr">
        <is>
          <t>C10357</t>
        </is>
      </c>
      <c r="D5129" t="inlineStr">
        <is>
          <t>SKU-10010</t>
        </is>
      </c>
      <c r="E5129" t="inlineStr">
        <is>
          <t>AM01</t>
        </is>
      </c>
      <c r="F5129" s="5" t="n">
        <v>441.2</v>
      </c>
      <c r="G5129">
        <f>IF(LEFT(B5129,1)="C","Credit","Factuur")</f>
        <v/>
      </c>
      <c r="H5129">
        <f>IF(AND(B5129=B5128,D5129=D5128,A5129=A5128,F5129=F5128),1,0)</f>
        <v/>
      </c>
      <c r="I5129">
        <f>IF(C5129="C99999",1,0)</f>
        <v/>
      </c>
      <c r="J5129" s="5">
        <f>IF(OR(H5129=1,I5129=1),0,IF(G5129="Credit",-F5129,F5129))</f>
        <v/>
      </c>
    </row>
    <row r="5130">
      <c r="A5130" t="inlineStr">
        <is>
          <t>2026-08-20</t>
        </is>
      </c>
      <c r="B5130" t="inlineStr">
        <is>
          <t>F266776</t>
        </is>
      </c>
      <c r="C5130" t="inlineStr">
        <is>
          <t>C10357</t>
        </is>
      </c>
      <c r="D5130" t="inlineStr">
        <is>
          <t>SKU-10081</t>
        </is>
      </c>
      <c r="E5130" t="inlineStr">
        <is>
          <t>AM01</t>
        </is>
      </c>
      <c r="F5130" s="5" t="n">
        <v>444.99</v>
      </c>
      <c r="G5130">
        <f>IF(LEFT(B5130,1)="C","Credit","Factuur")</f>
        <v/>
      </c>
      <c r="H5130">
        <f>IF(AND(B5130=B5129,D5130=D5129,A5130=A5129,F5130=F5129),1,0)</f>
        <v/>
      </c>
      <c r="I5130">
        <f>IF(C5130="C99999",1,0)</f>
        <v/>
      </c>
      <c r="J5130" s="5">
        <f>IF(OR(H5130=1,I5130=1),0,IF(G5130="Credit",-F5130,F5130))</f>
        <v/>
      </c>
    </row>
    <row r="5131">
      <c r="A5131" t="inlineStr">
        <is>
          <t>2026-08-20</t>
        </is>
      </c>
      <c r="B5131" t="inlineStr">
        <is>
          <t>F266776</t>
        </is>
      </c>
      <c r="C5131" t="inlineStr">
        <is>
          <t>C10357</t>
        </is>
      </c>
      <c r="D5131" t="inlineStr">
        <is>
          <t>SKU-10132</t>
        </is>
      </c>
      <c r="E5131" t="inlineStr">
        <is>
          <t>AM01</t>
        </is>
      </c>
      <c r="F5131" s="5" t="n">
        <v>453.25</v>
      </c>
      <c r="G5131">
        <f>IF(LEFT(B5131,1)="C","Credit","Factuur")</f>
        <v/>
      </c>
      <c r="H5131">
        <f>IF(AND(B5131=B5130,D5131=D5130,A5131=A5130,F5131=F5130),1,0)</f>
        <v/>
      </c>
      <c r="I5131">
        <f>IF(C5131="C99999",1,0)</f>
        <v/>
      </c>
      <c r="J5131" s="5">
        <f>IF(OR(H5131=1,I5131=1),0,IF(G5131="Credit",-F5131,F5131))</f>
        <v/>
      </c>
    </row>
    <row r="5132">
      <c r="A5132" t="inlineStr">
        <is>
          <t>2026-08-20</t>
        </is>
      </c>
      <c r="B5132" t="inlineStr">
        <is>
          <t>F266776</t>
        </is>
      </c>
      <c r="C5132" t="inlineStr">
        <is>
          <t>C10357</t>
        </is>
      </c>
      <c r="D5132" t="inlineStr">
        <is>
          <t>SKU-10270</t>
        </is>
      </c>
      <c r="E5132" t="inlineStr">
        <is>
          <t>AM01</t>
        </is>
      </c>
      <c r="F5132" s="5" t="n">
        <v>421.44</v>
      </c>
      <c r="G5132">
        <f>IF(LEFT(B5132,1)="C","Credit","Factuur")</f>
        <v/>
      </c>
      <c r="H5132">
        <f>IF(AND(B5132=B5131,D5132=D5131,A5132=A5131,F5132=F5131),1,0)</f>
        <v/>
      </c>
      <c r="I5132">
        <f>IF(C5132="C99999",1,0)</f>
        <v/>
      </c>
      <c r="J5132" s="5">
        <f>IF(OR(H5132=1,I5132=1),0,IF(G5132="Credit",-F5132,F5132))</f>
        <v/>
      </c>
    </row>
    <row r="5133">
      <c r="A5133" t="inlineStr">
        <is>
          <t>2026-08-20</t>
        </is>
      </c>
      <c r="B5133" t="inlineStr">
        <is>
          <t>F266776</t>
        </is>
      </c>
      <c r="C5133" t="inlineStr">
        <is>
          <t>C10357</t>
        </is>
      </c>
      <c r="D5133" t="inlineStr">
        <is>
          <t>SKU-10332</t>
        </is>
      </c>
      <c r="E5133" t="inlineStr">
        <is>
          <t>AM01</t>
        </is>
      </c>
      <c r="F5133" s="5" t="n">
        <v>447.59</v>
      </c>
      <c r="G5133">
        <f>IF(LEFT(B5133,1)="C","Credit","Factuur")</f>
        <v/>
      </c>
      <c r="H5133">
        <f>IF(AND(B5133=B5132,D5133=D5132,A5133=A5132,F5133=F5132),1,0)</f>
        <v/>
      </c>
      <c r="I5133">
        <f>IF(C5133="C99999",1,0)</f>
        <v/>
      </c>
      <c r="J5133" s="5">
        <f>IF(OR(H5133=1,I5133=1),0,IF(G5133="Credit",-F5133,F5133))</f>
        <v/>
      </c>
    </row>
    <row r="5134">
      <c r="A5134" t="inlineStr">
        <is>
          <t>2026-08-20</t>
        </is>
      </c>
      <c r="B5134" t="inlineStr">
        <is>
          <t>F266798</t>
        </is>
      </c>
      <c r="C5134" t="inlineStr">
        <is>
          <t>C10358</t>
        </is>
      </c>
      <c r="D5134" t="inlineStr">
        <is>
          <t>SKU-10075</t>
        </is>
      </c>
      <c r="E5134" t="inlineStr">
        <is>
          <t>AM03</t>
        </is>
      </c>
      <c r="F5134" s="5" t="n">
        <v>7957.08</v>
      </c>
      <c r="G5134">
        <f>IF(LEFT(B5134,1)="C","Credit","Factuur")</f>
        <v/>
      </c>
      <c r="H5134">
        <f>IF(AND(B5134=B5133,D5134=D5133,A5134=A5133,F5134=F5133),1,0)</f>
        <v/>
      </c>
      <c r="I5134">
        <f>IF(C5134="C99999",1,0)</f>
        <v/>
      </c>
      <c r="J5134" s="5">
        <f>IF(OR(H5134=1,I5134=1),0,IF(G5134="Credit",-F5134,F5134))</f>
        <v/>
      </c>
    </row>
    <row r="5135">
      <c r="A5135" t="inlineStr">
        <is>
          <t>2026-08-20</t>
        </is>
      </c>
      <c r="B5135" t="inlineStr">
        <is>
          <t>F267327</t>
        </is>
      </c>
      <c r="C5135" t="inlineStr">
        <is>
          <t>C10387</t>
        </is>
      </c>
      <c r="D5135" t="inlineStr">
        <is>
          <t>SKU-10013</t>
        </is>
      </c>
      <c r="E5135" t="inlineStr">
        <is>
          <t>AM06</t>
        </is>
      </c>
      <c r="F5135" s="5" t="n">
        <v>1617.23</v>
      </c>
      <c r="G5135">
        <f>IF(LEFT(B5135,1)="C","Credit","Factuur")</f>
        <v/>
      </c>
      <c r="H5135">
        <f>IF(AND(B5135=B5134,D5135=D5134,A5135=A5134,F5135=F5134),1,0)</f>
        <v/>
      </c>
      <c r="I5135">
        <f>IF(C5135="C99999",1,0)</f>
        <v/>
      </c>
      <c r="J5135" s="5">
        <f>IF(OR(H5135=1,I5135=1),0,IF(G5135="Credit",-F5135,F5135))</f>
        <v/>
      </c>
    </row>
    <row r="5136">
      <c r="A5136" t="inlineStr">
        <is>
          <t>2026-08-20</t>
        </is>
      </c>
      <c r="B5136" t="inlineStr">
        <is>
          <t>F267460</t>
        </is>
      </c>
      <c r="C5136" t="inlineStr">
        <is>
          <t>C10394</t>
        </is>
      </c>
      <c r="D5136" t="inlineStr">
        <is>
          <t>SKU-10197</t>
        </is>
      </c>
      <c r="E5136" t="inlineStr">
        <is>
          <t>AM05</t>
        </is>
      </c>
      <c r="F5136" s="5" t="n">
        <v>405.75</v>
      </c>
      <c r="G5136">
        <f>IF(LEFT(B5136,1)="C","Credit","Factuur")</f>
        <v/>
      </c>
      <c r="H5136">
        <f>IF(AND(B5136=B5135,D5136=D5135,A5136=A5135,F5136=F5135),1,0)</f>
        <v/>
      </c>
      <c r="I5136">
        <f>IF(C5136="C99999",1,0)</f>
        <v/>
      </c>
      <c r="J5136" s="5">
        <f>IF(OR(H5136=1,I5136=1),0,IF(G5136="Credit",-F5136,F5136))</f>
        <v/>
      </c>
    </row>
    <row r="5137">
      <c r="A5137" t="inlineStr">
        <is>
          <t>2026-08-20</t>
        </is>
      </c>
      <c r="B5137" t="inlineStr">
        <is>
          <t>F267460</t>
        </is>
      </c>
      <c r="C5137" t="inlineStr">
        <is>
          <t>C10394</t>
        </is>
      </c>
      <c r="D5137" t="inlineStr">
        <is>
          <t>SKU-10335</t>
        </is>
      </c>
      <c r="E5137" t="inlineStr">
        <is>
          <t>AM05</t>
        </is>
      </c>
      <c r="F5137" s="5" t="n">
        <v>415.2</v>
      </c>
      <c r="G5137">
        <f>IF(LEFT(B5137,1)="C","Credit","Factuur")</f>
        <v/>
      </c>
      <c r="H5137">
        <f>IF(AND(B5137=B5136,D5137=D5136,A5137=A5136,F5137=F5136),1,0)</f>
        <v/>
      </c>
      <c r="I5137">
        <f>IF(C5137="C99999",1,0)</f>
        <v/>
      </c>
      <c r="J5137" s="5">
        <f>IF(OR(H5137=1,I5137=1),0,IF(G5137="Credit",-F5137,F5137))</f>
        <v/>
      </c>
    </row>
    <row r="5138">
      <c r="A5138" t="inlineStr">
        <is>
          <t>2026-08-20</t>
        </is>
      </c>
      <c r="B5138" t="inlineStr">
        <is>
          <t>F268680</t>
        </is>
      </c>
      <c r="C5138" t="inlineStr">
        <is>
          <t>C10454</t>
        </is>
      </c>
      <c r="D5138" t="inlineStr">
        <is>
          <t>SKU-10040</t>
        </is>
      </c>
      <c r="E5138" t="inlineStr">
        <is>
          <t>AM12</t>
        </is>
      </c>
      <c r="F5138" s="5" t="n">
        <v>345.46</v>
      </c>
      <c r="G5138">
        <f>IF(LEFT(B5138,1)="C","Credit","Factuur")</f>
        <v/>
      </c>
      <c r="H5138">
        <f>IF(AND(B5138=B5137,D5138=D5137,A5138=A5137,F5138=F5137),1,0)</f>
        <v/>
      </c>
      <c r="I5138">
        <f>IF(C5138="C99999",1,0)</f>
        <v/>
      </c>
      <c r="J5138" s="5">
        <f>IF(OR(H5138=1,I5138=1),0,IF(G5138="Credit",-F5138,F5138))</f>
        <v/>
      </c>
    </row>
    <row r="5139">
      <c r="A5139" t="inlineStr">
        <is>
          <t>2026-08-20</t>
        </is>
      </c>
      <c r="B5139" t="inlineStr">
        <is>
          <t>F269060</t>
        </is>
      </c>
      <c r="C5139" t="inlineStr">
        <is>
          <t>C10473</t>
        </is>
      </c>
      <c r="D5139" t="inlineStr">
        <is>
          <t>SKU-10016</t>
        </is>
      </c>
      <c r="E5139" t="inlineStr">
        <is>
          <t>AM08</t>
        </is>
      </c>
      <c r="F5139" s="5" t="n">
        <v>204.9</v>
      </c>
      <c r="G5139">
        <f>IF(LEFT(B5139,1)="C","Credit","Factuur")</f>
        <v/>
      </c>
      <c r="H5139">
        <f>IF(AND(B5139=B5138,D5139=D5138,A5139=A5138,F5139=F5138),1,0)</f>
        <v/>
      </c>
      <c r="I5139">
        <f>IF(C5139="C99999",1,0)</f>
        <v/>
      </c>
      <c r="J5139" s="5">
        <f>IF(OR(H5139=1,I5139=1),0,IF(G5139="Credit",-F5139,F5139))</f>
        <v/>
      </c>
    </row>
    <row r="5140">
      <c r="A5140" t="inlineStr">
        <is>
          <t>2026-08-20</t>
        </is>
      </c>
      <c r="B5140" t="inlineStr">
        <is>
          <t>F269060</t>
        </is>
      </c>
      <c r="C5140" t="inlineStr">
        <is>
          <t>C10473</t>
        </is>
      </c>
      <c r="D5140" t="inlineStr">
        <is>
          <t>SKU-10304</t>
        </is>
      </c>
      <c r="E5140" t="inlineStr">
        <is>
          <t>AM08</t>
        </is>
      </c>
      <c r="F5140" s="5" t="n">
        <v>213.92</v>
      </c>
      <c r="G5140">
        <f>IF(LEFT(B5140,1)="C","Credit","Factuur")</f>
        <v/>
      </c>
      <c r="H5140">
        <f>IF(AND(B5140=B5139,D5140=D5139,A5140=A5139,F5140=F5139),1,0)</f>
        <v/>
      </c>
      <c r="I5140">
        <f>IF(C5140="C99999",1,0)</f>
        <v/>
      </c>
      <c r="J5140" s="5">
        <f>IF(OR(H5140=1,I5140=1),0,IF(G5140="Credit",-F5140,F5140))</f>
        <v/>
      </c>
    </row>
    <row r="5141">
      <c r="A5141" t="inlineStr">
        <is>
          <t>2026-08-20</t>
        </is>
      </c>
      <c r="B5141" t="inlineStr">
        <is>
          <t>F270178</t>
        </is>
      </c>
      <c r="C5141" t="inlineStr">
        <is>
          <t>C10537</t>
        </is>
      </c>
      <c r="D5141" t="inlineStr">
        <is>
          <t>SKU-10033</t>
        </is>
      </c>
      <c r="E5141" t="inlineStr">
        <is>
          <t>AM03</t>
        </is>
      </c>
      <c r="F5141" s="5" t="n">
        <v>161.55</v>
      </c>
      <c r="G5141">
        <f>IF(LEFT(B5141,1)="C","Credit","Factuur")</f>
        <v/>
      </c>
      <c r="H5141">
        <f>IF(AND(B5141=B5140,D5141=D5140,A5141=A5140,F5141=F5140),1,0)</f>
        <v/>
      </c>
      <c r="I5141">
        <f>IF(C5141="C99999",1,0)</f>
        <v/>
      </c>
      <c r="J5141" s="5">
        <f>IF(OR(H5141=1,I5141=1),0,IF(G5141="Credit",-F5141,F5141))</f>
        <v/>
      </c>
    </row>
    <row r="5142">
      <c r="A5142" t="inlineStr">
        <is>
          <t>2026-08-20</t>
        </is>
      </c>
      <c r="B5142" t="inlineStr">
        <is>
          <t>F270178</t>
        </is>
      </c>
      <c r="C5142" t="inlineStr">
        <is>
          <t>C10537</t>
        </is>
      </c>
      <c r="D5142" t="inlineStr">
        <is>
          <t>SKU-10052</t>
        </is>
      </c>
      <c r="E5142" t="inlineStr">
        <is>
          <t>AM03</t>
        </is>
      </c>
      <c r="F5142" s="5" t="n">
        <v>157.83</v>
      </c>
      <c r="G5142">
        <f>IF(LEFT(B5142,1)="C","Credit","Factuur")</f>
        <v/>
      </c>
      <c r="H5142">
        <f>IF(AND(B5142=B5141,D5142=D5141,A5142=A5141,F5142=F5141),1,0)</f>
        <v/>
      </c>
      <c r="I5142">
        <f>IF(C5142="C99999",1,0)</f>
        <v/>
      </c>
      <c r="J5142" s="5">
        <f>IF(OR(H5142=1,I5142=1),0,IF(G5142="Credit",-F5142,F5142))</f>
        <v/>
      </c>
    </row>
    <row r="5143">
      <c r="A5143" t="inlineStr">
        <is>
          <t>2026-08-20</t>
        </is>
      </c>
      <c r="B5143" t="inlineStr">
        <is>
          <t>F271344</t>
        </is>
      </c>
      <c r="C5143" t="inlineStr">
        <is>
          <t>C10590</t>
        </is>
      </c>
      <c r="D5143" t="inlineStr">
        <is>
          <t>SKU-10265</t>
        </is>
      </c>
      <c r="E5143" t="inlineStr">
        <is>
          <t>AM02</t>
        </is>
      </c>
      <c r="F5143" s="5" t="n">
        <v>695.13</v>
      </c>
      <c r="G5143">
        <f>IF(LEFT(B5143,1)="C","Credit","Factuur")</f>
        <v/>
      </c>
      <c r="H5143">
        <f>IF(AND(B5143=B5142,D5143=D5142,A5143=A5142,F5143=F5142),1,0)</f>
        <v/>
      </c>
      <c r="I5143">
        <f>IF(C5143="C99999",1,0)</f>
        <v/>
      </c>
      <c r="J5143" s="5">
        <f>IF(OR(H5143=1,I5143=1),0,IF(G5143="Credit",-F5143,F5143))</f>
        <v/>
      </c>
    </row>
    <row r="5144">
      <c r="A5144" t="inlineStr">
        <is>
          <t>2026-08-20</t>
        </is>
      </c>
      <c r="B5144" t="inlineStr">
        <is>
          <t>F271344</t>
        </is>
      </c>
      <c r="C5144" t="inlineStr">
        <is>
          <t>C10590</t>
        </is>
      </c>
      <c r="D5144" t="inlineStr">
        <is>
          <t>SKU-10311</t>
        </is>
      </c>
      <c r="E5144" t="inlineStr">
        <is>
          <t>AM02</t>
        </is>
      </c>
      <c r="F5144" s="5" t="n">
        <v>648.71</v>
      </c>
      <c r="G5144">
        <f>IF(LEFT(B5144,1)="C","Credit","Factuur")</f>
        <v/>
      </c>
      <c r="H5144">
        <f>IF(AND(B5144=B5143,D5144=D5143,A5144=A5143,F5144=F5143),1,0)</f>
        <v/>
      </c>
      <c r="I5144">
        <f>IF(C5144="C99999",1,0)</f>
        <v/>
      </c>
      <c r="J5144" s="5">
        <f>IF(OR(H5144=1,I5144=1),0,IF(G5144="Credit",-F5144,F5144))</f>
        <v/>
      </c>
    </row>
    <row r="5145">
      <c r="A5145" t="inlineStr">
        <is>
          <t>2026-08-20</t>
        </is>
      </c>
      <c r="B5145" t="inlineStr">
        <is>
          <t>F271344</t>
        </is>
      </c>
      <c r="C5145" t="inlineStr">
        <is>
          <t>C10590</t>
        </is>
      </c>
      <c r="D5145" t="inlineStr">
        <is>
          <t>SKU-10341</t>
        </is>
      </c>
      <c r="E5145" t="inlineStr">
        <is>
          <t>AM02</t>
        </is>
      </c>
      <c r="F5145" s="5" t="n">
        <v>724.3200000000001</v>
      </c>
      <c r="G5145">
        <f>IF(LEFT(B5145,1)="C","Credit","Factuur")</f>
        <v/>
      </c>
      <c r="H5145">
        <f>IF(AND(B5145=B5144,D5145=D5144,A5145=A5144,F5145=F5144),1,0)</f>
        <v/>
      </c>
      <c r="I5145">
        <f>IF(C5145="C99999",1,0)</f>
        <v/>
      </c>
      <c r="J5145" s="5">
        <f>IF(OR(H5145=1,I5145=1),0,IF(G5145="Credit",-F5145,F5145))</f>
        <v/>
      </c>
    </row>
    <row r="5146">
      <c r="A5146" t="inlineStr">
        <is>
          <t>2026-08-20</t>
        </is>
      </c>
      <c r="B5146" t="inlineStr">
        <is>
          <t>F271486</t>
        </is>
      </c>
      <c r="C5146" t="inlineStr">
        <is>
          <t>C10593</t>
        </is>
      </c>
      <c r="D5146" t="inlineStr">
        <is>
          <t>SKU-10013</t>
        </is>
      </c>
      <c r="E5146" t="inlineStr">
        <is>
          <t>AM01</t>
        </is>
      </c>
      <c r="F5146" s="5" t="n">
        <v>150.44</v>
      </c>
      <c r="G5146">
        <f>IF(LEFT(B5146,1)="C","Credit","Factuur")</f>
        <v/>
      </c>
      <c r="H5146">
        <f>IF(AND(B5146=B5145,D5146=D5145,A5146=A5145,F5146=F5145),1,0)</f>
        <v/>
      </c>
      <c r="I5146">
        <f>IF(C5146="C99999",1,0)</f>
        <v/>
      </c>
      <c r="J5146" s="5">
        <f>IF(OR(H5146=1,I5146=1),0,IF(G5146="Credit",-F5146,F5146))</f>
        <v/>
      </c>
    </row>
    <row r="5147">
      <c r="A5147" t="inlineStr">
        <is>
          <t>2026-08-20</t>
        </is>
      </c>
      <c r="B5147" t="inlineStr">
        <is>
          <t>F271486</t>
        </is>
      </c>
      <c r="C5147" t="inlineStr">
        <is>
          <t>C10593</t>
        </is>
      </c>
      <c r="D5147" t="inlineStr">
        <is>
          <t>SKU-10026</t>
        </is>
      </c>
      <c r="E5147" t="inlineStr">
        <is>
          <t>AM01</t>
        </is>
      </c>
      <c r="F5147" s="5" t="n">
        <v>164.72</v>
      </c>
      <c r="G5147">
        <f>IF(LEFT(B5147,1)="C","Credit","Factuur")</f>
        <v/>
      </c>
      <c r="H5147">
        <f>IF(AND(B5147=B5146,D5147=D5146,A5147=A5146,F5147=F5146),1,0)</f>
        <v/>
      </c>
      <c r="I5147">
        <f>IF(C5147="C99999",1,0)</f>
        <v/>
      </c>
      <c r="J5147" s="5">
        <f>IF(OR(H5147=1,I5147=1),0,IF(G5147="Credit",-F5147,F5147))</f>
        <v/>
      </c>
    </row>
    <row r="5148">
      <c r="A5148" t="inlineStr">
        <is>
          <t>2026-08-20</t>
        </is>
      </c>
      <c r="B5148" t="inlineStr">
        <is>
          <t>F271486</t>
        </is>
      </c>
      <c r="C5148" t="inlineStr">
        <is>
          <t>C10593</t>
        </is>
      </c>
      <c r="D5148" t="inlineStr">
        <is>
          <t>SKU-10115</t>
        </is>
      </c>
      <c r="E5148" t="inlineStr">
        <is>
          <t>AM01</t>
        </is>
      </c>
      <c r="F5148" s="5" t="n">
        <v>147.57</v>
      </c>
      <c r="G5148">
        <f>IF(LEFT(B5148,1)="C","Credit","Factuur")</f>
        <v/>
      </c>
      <c r="H5148">
        <f>IF(AND(B5148=B5147,D5148=D5147,A5148=A5147,F5148=F5147),1,0)</f>
        <v/>
      </c>
      <c r="I5148">
        <f>IF(C5148="C99999",1,0)</f>
        <v/>
      </c>
      <c r="J5148" s="5">
        <f>IF(OR(H5148=1,I5148=1),0,IF(G5148="Credit",-F5148,F5148))</f>
        <v/>
      </c>
    </row>
    <row r="5149">
      <c r="A5149" t="inlineStr">
        <is>
          <t>2026-08-20</t>
        </is>
      </c>
      <c r="B5149" t="inlineStr">
        <is>
          <t>F271486</t>
        </is>
      </c>
      <c r="C5149" t="inlineStr">
        <is>
          <t>C10593</t>
        </is>
      </c>
      <c r="D5149" t="inlineStr">
        <is>
          <t>SKU-10321</t>
        </is>
      </c>
      <c r="E5149" t="inlineStr">
        <is>
          <t>AM01</t>
        </is>
      </c>
      <c r="F5149" s="5" t="n">
        <v>139.11</v>
      </c>
      <c r="G5149">
        <f>IF(LEFT(B5149,1)="C","Credit","Factuur")</f>
        <v/>
      </c>
      <c r="H5149">
        <f>IF(AND(B5149=B5148,D5149=D5148,A5149=A5148,F5149=F5148),1,0)</f>
        <v/>
      </c>
      <c r="I5149">
        <f>IF(C5149="C99999",1,0)</f>
        <v/>
      </c>
      <c r="J5149" s="5">
        <f>IF(OR(H5149=1,I5149=1),0,IF(G5149="Credit",-F5149,F5149))</f>
        <v/>
      </c>
    </row>
    <row r="5150">
      <c r="A5150" t="inlineStr">
        <is>
          <t>2026-08-20</t>
        </is>
      </c>
      <c r="B5150" t="inlineStr">
        <is>
          <t>F272392</t>
        </is>
      </c>
      <c r="C5150" t="inlineStr">
        <is>
          <t>C10640</t>
        </is>
      </c>
      <c r="D5150" t="inlineStr">
        <is>
          <t>SKU-10002</t>
        </is>
      </c>
      <c r="E5150" t="inlineStr">
        <is>
          <t>AM01</t>
        </is>
      </c>
      <c r="F5150" s="5" t="n">
        <v>57.37</v>
      </c>
      <c r="G5150">
        <f>IF(LEFT(B5150,1)="C","Credit","Factuur")</f>
        <v/>
      </c>
      <c r="H5150">
        <f>IF(AND(B5150=B5149,D5150=D5149,A5150=A5149,F5150=F5149),1,0)</f>
        <v/>
      </c>
      <c r="I5150">
        <f>IF(C5150="C99999",1,0)</f>
        <v/>
      </c>
      <c r="J5150" s="5">
        <f>IF(OR(H5150=1,I5150=1),0,IF(G5150="Credit",-F5150,F5150))</f>
        <v/>
      </c>
    </row>
    <row r="5151">
      <c r="A5151" t="inlineStr">
        <is>
          <t>2026-08-20</t>
        </is>
      </c>
      <c r="B5151" t="inlineStr">
        <is>
          <t>F272392</t>
        </is>
      </c>
      <c r="C5151" t="inlineStr">
        <is>
          <t>C10640</t>
        </is>
      </c>
      <c r="D5151" t="inlineStr">
        <is>
          <t>SKU-10011</t>
        </is>
      </c>
      <c r="E5151" t="inlineStr">
        <is>
          <t>AM01</t>
        </is>
      </c>
      <c r="F5151" s="5" t="n">
        <v>48.72</v>
      </c>
      <c r="G5151">
        <f>IF(LEFT(B5151,1)="C","Credit","Factuur")</f>
        <v/>
      </c>
      <c r="H5151">
        <f>IF(AND(B5151=B5150,D5151=D5150,A5151=A5150,F5151=F5150),1,0)</f>
        <v/>
      </c>
      <c r="I5151">
        <f>IF(C5151="C99999",1,0)</f>
        <v/>
      </c>
      <c r="J5151" s="5">
        <f>IF(OR(H5151=1,I5151=1),0,IF(G5151="Credit",-F5151,F5151))</f>
        <v/>
      </c>
    </row>
    <row r="5152">
      <c r="A5152" t="inlineStr">
        <is>
          <t>2026-08-20</t>
        </is>
      </c>
      <c r="B5152" t="inlineStr">
        <is>
          <t>F272392</t>
        </is>
      </c>
      <c r="C5152" t="inlineStr">
        <is>
          <t>C10640</t>
        </is>
      </c>
      <c r="D5152" t="inlineStr">
        <is>
          <t>SKU-10107</t>
        </is>
      </c>
      <c r="E5152" t="inlineStr">
        <is>
          <t>AM01</t>
        </is>
      </c>
      <c r="F5152" s="5" t="n">
        <v>28.16</v>
      </c>
      <c r="G5152">
        <f>IF(LEFT(B5152,1)="C","Credit","Factuur")</f>
        <v/>
      </c>
      <c r="H5152">
        <f>IF(AND(B5152=B5151,D5152=D5151,A5152=A5151,F5152=F5151),1,0)</f>
        <v/>
      </c>
      <c r="I5152">
        <f>IF(C5152="C99999",1,0)</f>
        <v/>
      </c>
      <c r="J5152" s="5">
        <f>IF(OR(H5152=1,I5152=1),0,IF(G5152="Credit",-F5152,F5152))</f>
        <v/>
      </c>
    </row>
    <row r="5153">
      <c r="A5153" t="inlineStr">
        <is>
          <t>2026-08-20</t>
        </is>
      </c>
      <c r="B5153" t="inlineStr">
        <is>
          <t>F272392</t>
        </is>
      </c>
      <c r="C5153" t="inlineStr">
        <is>
          <t>C10640</t>
        </is>
      </c>
      <c r="D5153" t="inlineStr">
        <is>
          <t>SKU-10195</t>
        </is>
      </c>
      <c r="E5153" t="inlineStr">
        <is>
          <t>AM01</t>
        </is>
      </c>
      <c r="F5153" s="5" t="n">
        <v>28.02</v>
      </c>
      <c r="G5153">
        <f>IF(LEFT(B5153,1)="C","Credit","Factuur")</f>
        <v/>
      </c>
      <c r="H5153">
        <f>IF(AND(B5153=B5152,D5153=D5152,A5153=A5152,F5153=F5152),1,0)</f>
        <v/>
      </c>
      <c r="I5153">
        <f>IF(C5153="C99999",1,0)</f>
        <v/>
      </c>
      <c r="J5153" s="5">
        <f>IF(OR(H5153=1,I5153=1),0,IF(G5153="Credit",-F5153,F5153))</f>
        <v/>
      </c>
    </row>
    <row r="5154">
      <c r="A5154" t="inlineStr">
        <is>
          <t>2026-08-20</t>
        </is>
      </c>
      <c r="B5154" t="inlineStr">
        <is>
          <t>F272435</t>
        </is>
      </c>
      <c r="C5154" t="inlineStr">
        <is>
          <t>C10643</t>
        </is>
      </c>
      <c r="D5154" t="inlineStr">
        <is>
          <t>SKU-10265</t>
        </is>
      </c>
      <c r="E5154" t="inlineStr">
        <is>
          <t>AM05</t>
        </is>
      </c>
      <c r="F5154" s="5" t="n">
        <v>189.58</v>
      </c>
      <c r="G5154">
        <f>IF(LEFT(B5154,1)="C","Credit","Factuur")</f>
        <v/>
      </c>
      <c r="H5154">
        <f>IF(AND(B5154=B5153,D5154=D5153,A5154=A5153,F5154=F5153),1,0)</f>
        <v/>
      </c>
      <c r="I5154">
        <f>IF(C5154="C99999",1,0)</f>
        <v/>
      </c>
      <c r="J5154" s="5">
        <f>IF(OR(H5154=1,I5154=1),0,IF(G5154="Credit",-F5154,F5154))</f>
        <v/>
      </c>
    </row>
    <row r="5155">
      <c r="A5155" t="inlineStr">
        <is>
          <t>2026-08-20</t>
        </is>
      </c>
      <c r="B5155" t="inlineStr">
        <is>
          <t>F272435</t>
        </is>
      </c>
      <c r="C5155" t="inlineStr">
        <is>
          <t>C10643</t>
        </is>
      </c>
      <c r="D5155" t="inlineStr">
        <is>
          <t>SKU-10294</t>
        </is>
      </c>
      <c r="E5155" t="inlineStr">
        <is>
          <t>AM05</t>
        </is>
      </c>
      <c r="F5155" s="5" t="n">
        <v>184.35</v>
      </c>
      <c r="G5155">
        <f>IF(LEFT(B5155,1)="C","Credit","Factuur")</f>
        <v/>
      </c>
      <c r="H5155">
        <f>IF(AND(B5155=B5154,D5155=D5154,A5155=A5154,F5155=F5154),1,0)</f>
        <v/>
      </c>
      <c r="I5155">
        <f>IF(C5155="C99999",1,0)</f>
        <v/>
      </c>
      <c r="J5155" s="5">
        <f>IF(OR(H5155=1,I5155=1),0,IF(G5155="Credit",-F5155,F5155))</f>
        <v/>
      </c>
    </row>
    <row r="5156">
      <c r="A5156" t="inlineStr">
        <is>
          <t>2026-08-20</t>
        </is>
      </c>
      <c r="B5156" t="inlineStr">
        <is>
          <t>F272435</t>
        </is>
      </c>
      <c r="C5156" t="inlineStr">
        <is>
          <t>C10643</t>
        </is>
      </c>
      <c r="D5156" t="inlineStr">
        <is>
          <t>SKU-10312</t>
        </is>
      </c>
      <c r="E5156" t="inlineStr">
        <is>
          <t>AM05</t>
        </is>
      </c>
      <c r="F5156" s="5" t="n">
        <v>206.4</v>
      </c>
      <c r="G5156">
        <f>IF(LEFT(B5156,1)="C","Credit","Factuur")</f>
        <v/>
      </c>
      <c r="H5156">
        <f>IF(AND(B5156=B5155,D5156=D5155,A5156=A5155,F5156=F5155),1,0)</f>
        <v/>
      </c>
      <c r="I5156">
        <f>IF(C5156="C99999",1,0)</f>
        <v/>
      </c>
      <c r="J5156" s="5">
        <f>IF(OR(H5156=1,I5156=1),0,IF(G5156="Credit",-F5156,F5156))</f>
        <v/>
      </c>
    </row>
    <row r="5157">
      <c r="A5157" t="inlineStr">
        <is>
          <t>2026-08-20</t>
        </is>
      </c>
      <c r="B5157" t="inlineStr">
        <is>
          <t>F272654</t>
        </is>
      </c>
      <c r="C5157" t="inlineStr">
        <is>
          <t>C10658</t>
        </is>
      </c>
      <c r="D5157" t="inlineStr">
        <is>
          <t>SKU-10125</t>
        </is>
      </c>
      <c r="E5157" t="inlineStr">
        <is>
          <t>AM11</t>
        </is>
      </c>
      <c r="F5157" s="5" t="n">
        <v>303.65</v>
      </c>
      <c r="G5157">
        <f>IF(LEFT(B5157,1)="C","Credit","Factuur")</f>
        <v/>
      </c>
      <c r="H5157">
        <f>IF(AND(B5157=B5156,D5157=D5156,A5157=A5156,F5157=F5156),1,0)</f>
        <v/>
      </c>
      <c r="I5157">
        <f>IF(C5157="C99999",1,0)</f>
        <v/>
      </c>
      <c r="J5157" s="5">
        <f>IF(OR(H5157=1,I5157=1),0,IF(G5157="Credit",-F5157,F5157))</f>
        <v/>
      </c>
    </row>
    <row r="5158">
      <c r="A5158" t="inlineStr">
        <is>
          <t>2026-08-20</t>
        </is>
      </c>
      <c r="B5158" t="inlineStr">
        <is>
          <t>F272654</t>
        </is>
      </c>
      <c r="C5158" t="inlineStr">
        <is>
          <t>C10658</t>
        </is>
      </c>
      <c r="D5158" t="inlineStr">
        <is>
          <t>SKU-10149</t>
        </is>
      </c>
      <c r="E5158" t="inlineStr">
        <is>
          <t>AM11</t>
        </is>
      </c>
      <c r="F5158" s="5" t="n">
        <v>290.32</v>
      </c>
      <c r="G5158">
        <f>IF(LEFT(B5158,1)="C","Credit","Factuur")</f>
        <v/>
      </c>
      <c r="H5158">
        <f>IF(AND(B5158=B5157,D5158=D5157,A5158=A5157,F5158=F5157),1,0)</f>
        <v/>
      </c>
      <c r="I5158">
        <f>IF(C5158="C99999",1,0)</f>
        <v/>
      </c>
      <c r="J5158" s="5">
        <f>IF(OR(H5158=1,I5158=1),0,IF(G5158="Credit",-F5158,F5158))</f>
        <v/>
      </c>
    </row>
    <row r="5159">
      <c r="A5159" t="inlineStr">
        <is>
          <t>2026-08-20</t>
        </is>
      </c>
      <c r="B5159" t="inlineStr">
        <is>
          <t>F272654</t>
        </is>
      </c>
      <c r="C5159" t="inlineStr">
        <is>
          <t>C10658</t>
        </is>
      </c>
      <c r="D5159" t="inlineStr">
        <is>
          <t>SKU-10261</t>
        </is>
      </c>
      <c r="E5159" t="inlineStr">
        <is>
          <t>AM11</t>
        </is>
      </c>
      <c r="F5159" s="5" t="n">
        <v>295.68</v>
      </c>
      <c r="G5159">
        <f>IF(LEFT(B5159,1)="C","Credit","Factuur")</f>
        <v/>
      </c>
      <c r="H5159">
        <f>IF(AND(B5159=B5158,D5159=D5158,A5159=A5158,F5159=F5158),1,0)</f>
        <v/>
      </c>
      <c r="I5159">
        <f>IF(C5159="C99999",1,0)</f>
        <v/>
      </c>
      <c r="J5159" s="5">
        <f>IF(OR(H5159=1,I5159=1),0,IF(G5159="Credit",-F5159,F5159))</f>
        <v/>
      </c>
    </row>
    <row r="5160">
      <c r="A5160" t="inlineStr">
        <is>
          <t>2026-08-20</t>
        </is>
      </c>
      <c r="B5160" t="inlineStr">
        <is>
          <t>F273436</t>
        </is>
      </c>
      <c r="C5160" t="inlineStr">
        <is>
          <t>C10703</t>
        </is>
      </c>
      <c r="D5160" t="inlineStr">
        <is>
          <t>SKU-10038</t>
        </is>
      </c>
      <c r="E5160" t="inlineStr">
        <is>
          <t>AM05</t>
        </is>
      </c>
      <c r="F5160" s="5" t="n">
        <v>593.64</v>
      </c>
      <c r="G5160">
        <f>IF(LEFT(B5160,1)="C","Credit","Factuur")</f>
        <v/>
      </c>
      <c r="H5160">
        <f>IF(AND(B5160=B5159,D5160=D5159,A5160=A5159,F5160=F5159),1,0)</f>
        <v/>
      </c>
      <c r="I5160">
        <f>IF(C5160="C99999",1,0)</f>
        <v/>
      </c>
      <c r="J5160" s="5">
        <f>IF(OR(H5160=1,I5160=1),0,IF(G5160="Credit",-F5160,F5160))</f>
        <v/>
      </c>
    </row>
    <row r="5161">
      <c r="A5161" t="inlineStr">
        <is>
          <t>2026-08-20</t>
        </is>
      </c>
      <c r="B5161" t="inlineStr">
        <is>
          <t>F273436</t>
        </is>
      </c>
      <c r="C5161" t="inlineStr">
        <is>
          <t>C10703</t>
        </is>
      </c>
      <c r="D5161" t="inlineStr">
        <is>
          <t>SKU-10070</t>
        </is>
      </c>
      <c r="E5161" t="inlineStr">
        <is>
          <t>AM05</t>
        </is>
      </c>
      <c r="F5161" s="5" t="n">
        <v>594.61</v>
      </c>
      <c r="G5161">
        <f>IF(LEFT(B5161,1)="C","Credit","Factuur")</f>
        <v/>
      </c>
      <c r="H5161">
        <f>IF(AND(B5161=B5160,D5161=D5160,A5161=A5160,F5161=F5160),1,0)</f>
        <v/>
      </c>
      <c r="I5161">
        <f>IF(C5161="C99999",1,0)</f>
        <v/>
      </c>
      <c r="J5161" s="5">
        <f>IF(OR(H5161=1,I5161=1),0,IF(G5161="Credit",-F5161,F5161))</f>
        <v/>
      </c>
    </row>
    <row r="5162">
      <c r="A5162" t="inlineStr">
        <is>
          <t>2026-08-20</t>
        </is>
      </c>
      <c r="B5162" t="inlineStr">
        <is>
          <t>F276615</t>
        </is>
      </c>
      <c r="C5162" t="inlineStr">
        <is>
          <t>C10882</t>
        </is>
      </c>
      <c r="D5162" t="inlineStr">
        <is>
          <t>SKU-10044</t>
        </is>
      </c>
      <c r="E5162" t="inlineStr">
        <is>
          <t>AM07</t>
        </is>
      </c>
      <c r="F5162" s="5" t="n">
        <v>559.51</v>
      </c>
      <c r="G5162">
        <f>IF(LEFT(B5162,1)="C","Credit","Factuur")</f>
        <v/>
      </c>
      <c r="H5162">
        <f>IF(AND(B5162=B5161,D5162=D5161,A5162=A5161,F5162=F5161),1,0)</f>
        <v/>
      </c>
      <c r="I5162">
        <f>IF(C5162="C99999",1,0)</f>
        <v/>
      </c>
      <c r="J5162" s="5">
        <f>IF(OR(H5162=1,I5162=1),0,IF(G5162="Credit",-F5162,F5162))</f>
        <v/>
      </c>
    </row>
    <row r="5163">
      <c r="A5163" t="inlineStr">
        <is>
          <t>2026-08-20</t>
        </is>
      </c>
      <c r="B5163" t="inlineStr">
        <is>
          <t>F276615</t>
        </is>
      </c>
      <c r="C5163" t="inlineStr">
        <is>
          <t>C10882</t>
        </is>
      </c>
      <c r="D5163" t="inlineStr">
        <is>
          <t>SKU-10309</t>
        </is>
      </c>
      <c r="E5163" t="inlineStr">
        <is>
          <t>AM07</t>
        </is>
      </c>
      <c r="F5163" s="5" t="n">
        <v>600.73</v>
      </c>
      <c r="G5163">
        <f>IF(LEFT(B5163,1)="C","Credit","Factuur")</f>
        <v/>
      </c>
      <c r="H5163">
        <f>IF(AND(B5163=B5162,D5163=D5162,A5163=A5162,F5163=F5162),1,0)</f>
        <v/>
      </c>
      <c r="I5163">
        <f>IF(C5163="C99999",1,0)</f>
        <v/>
      </c>
      <c r="J5163" s="5">
        <f>IF(OR(H5163=1,I5163=1),0,IF(G5163="Credit",-F5163,F5163))</f>
        <v/>
      </c>
    </row>
    <row r="5164">
      <c r="A5164" t="inlineStr">
        <is>
          <t>2026-08-20</t>
        </is>
      </c>
      <c r="B5164" t="inlineStr">
        <is>
          <t>F276615</t>
        </is>
      </c>
      <c r="C5164" t="inlineStr">
        <is>
          <t>C10882</t>
        </is>
      </c>
      <c r="D5164" t="inlineStr">
        <is>
          <t>SKU-10333</t>
        </is>
      </c>
      <c r="E5164" t="inlineStr">
        <is>
          <t>AM07</t>
        </is>
      </c>
      <c r="F5164" s="5" t="n">
        <v>609.84</v>
      </c>
      <c r="G5164">
        <f>IF(LEFT(B5164,1)="C","Credit","Factuur")</f>
        <v/>
      </c>
      <c r="H5164">
        <f>IF(AND(B5164=B5163,D5164=D5163,A5164=A5163,F5164=F5163),1,0)</f>
        <v/>
      </c>
      <c r="I5164">
        <f>IF(C5164="C99999",1,0)</f>
        <v/>
      </c>
      <c r="J5164" s="5">
        <f>IF(OR(H5164=1,I5164=1),0,IF(G5164="Credit",-F5164,F5164))</f>
        <v/>
      </c>
    </row>
    <row r="5165">
      <c r="A5165" t="inlineStr">
        <is>
          <t>2026-08-20</t>
        </is>
      </c>
      <c r="B5165" t="inlineStr">
        <is>
          <t>F277282</t>
        </is>
      </c>
      <c r="C5165" t="inlineStr">
        <is>
          <t>C10918</t>
        </is>
      </c>
      <c r="D5165" t="inlineStr">
        <is>
          <t>SKU-10046</t>
        </is>
      </c>
      <c r="E5165" t="inlineStr">
        <is>
          <t>AM01</t>
        </is>
      </c>
      <c r="F5165" s="5" t="n">
        <v>717.99</v>
      </c>
      <c r="G5165">
        <f>IF(LEFT(B5165,1)="C","Credit","Factuur")</f>
        <v/>
      </c>
      <c r="H5165">
        <f>IF(AND(B5165=B5164,D5165=D5164,A5165=A5164,F5165=F5164),1,0)</f>
        <v/>
      </c>
      <c r="I5165">
        <f>IF(C5165="C99999",1,0)</f>
        <v/>
      </c>
      <c r="J5165" s="5">
        <f>IF(OR(H5165=1,I5165=1),0,IF(G5165="Credit",-F5165,F5165))</f>
        <v/>
      </c>
    </row>
    <row r="5166">
      <c r="A5166" t="inlineStr">
        <is>
          <t>2026-08-20</t>
        </is>
      </c>
      <c r="B5166" t="inlineStr">
        <is>
          <t>F277282</t>
        </is>
      </c>
      <c r="C5166" t="inlineStr">
        <is>
          <t>C10918</t>
        </is>
      </c>
      <c r="D5166" t="inlineStr">
        <is>
          <t>SKU-10101</t>
        </is>
      </c>
      <c r="E5166" t="inlineStr">
        <is>
          <t>AM01</t>
        </is>
      </c>
      <c r="F5166" s="5" t="n">
        <v>712.5599999999999</v>
      </c>
      <c r="G5166">
        <f>IF(LEFT(B5166,1)="C","Credit","Factuur")</f>
        <v/>
      </c>
      <c r="H5166">
        <f>IF(AND(B5166=B5165,D5166=D5165,A5166=A5165,F5166=F5165),1,0)</f>
        <v/>
      </c>
      <c r="I5166">
        <f>IF(C5166="C99999",1,0)</f>
        <v/>
      </c>
      <c r="J5166" s="5">
        <f>IF(OR(H5166=1,I5166=1),0,IF(G5166="Credit",-F5166,F5166))</f>
        <v/>
      </c>
    </row>
    <row r="5167">
      <c r="A5167" t="inlineStr">
        <is>
          <t>2026-08-20</t>
        </is>
      </c>
      <c r="B5167" t="inlineStr">
        <is>
          <t>F277282</t>
        </is>
      </c>
      <c r="C5167" t="inlineStr">
        <is>
          <t>C10918</t>
        </is>
      </c>
      <c r="D5167" t="inlineStr">
        <is>
          <t>SKU-10152</t>
        </is>
      </c>
      <c r="E5167" t="inlineStr">
        <is>
          <t>AM01</t>
        </is>
      </c>
      <c r="F5167" s="5" t="n">
        <v>705.96</v>
      </c>
      <c r="G5167">
        <f>IF(LEFT(B5167,1)="C","Credit","Factuur")</f>
        <v/>
      </c>
      <c r="H5167">
        <f>IF(AND(B5167=B5166,D5167=D5166,A5167=A5166,F5167=F5166),1,0)</f>
        <v/>
      </c>
      <c r="I5167">
        <f>IF(C5167="C99999",1,0)</f>
        <v/>
      </c>
      <c r="J5167" s="5">
        <f>IF(OR(H5167=1,I5167=1),0,IF(G5167="Credit",-F5167,F5167))</f>
        <v/>
      </c>
    </row>
    <row r="5168">
      <c r="A5168" t="inlineStr">
        <is>
          <t>2026-08-20</t>
        </is>
      </c>
      <c r="B5168" t="inlineStr">
        <is>
          <t>F277282</t>
        </is>
      </c>
      <c r="C5168" t="inlineStr">
        <is>
          <t>C10918</t>
        </is>
      </c>
      <c r="D5168" t="inlineStr">
        <is>
          <t>SKU-10280</t>
        </is>
      </c>
      <c r="E5168" t="inlineStr">
        <is>
          <t>AM01</t>
        </is>
      </c>
      <c r="F5168" s="5" t="n">
        <v>677.9299999999999</v>
      </c>
      <c r="G5168">
        <f>IF(LEFT(B5168,1)="C","Credit","Factuur")</f>
        <v/>
      </c>
      <c r="H5168">
        <f>IF(AND(B5168=B5167,D5168=D5167,A5168=A5167,F5168=F5167),1,0)</f>
        <v/>
      </c>
      <c r="I5168">
        <f>IF(C5168="C99999",1,0)</f>
        <v/>
      </c>
      <c r="J5168" s="5">
        <f>IF(OR(H5168=1,I5168=1),0,IF(G5168="Credit",-F5168,F5168))</f>
        <v/>
      </c>
    </row>
    <row r="5169">
      <c r="A5169" t="inlineStr">
        <is>
          <t>2026-08-20</t>
        </is>
      </c>
      <c r="B5169" t="inlineStr">
        <is>
          <t>F277282</t>
        </is>
      </c>
      <c r="C5169" t="inlineStr">
        <is>
          <t>C10918</t>
        </is>
      </c>
      <c r="D5169" t="inlineStr">
        <is>
          <t>SKU-10329</t>
        </is>
      </c>
      <c r="E5169" t="inlineStr">
        <is>
          <t>AM01</t>
        </is>
      </c>
      <c r="F5169" s="5" t="n">
        <v>664.6</v>
      </c>
      <c r="G5169">
        <f>IF(LEFT(B5169,1)="C","Credit","Factuur")</f>
        <v/>
      </c>
      <c r="H5169">
        <f>IF(AND(B5169=B5168,D5169=D5168,A5169=A5168,F5169=F5168),1,0)</f>
        <v/>
      </c>
      <c r="I5169">
        <f>IF(C5169="C99999",1,0)</f>
        <v/>
      </c>
      <c r="J5169" s="5">
        <f>IF(OR(H5169=1,I5169=1),0,IF(G5169="Credit",-F5169,F5169))</f>
        <v/>
      </c>
    </row>
    <row r="5170">
      <c r="A5170" t="inlineStr">
        <is>
          <t>2026-08-20</t>
        </is>
      </c>
      <c r="B5170" t="inlineStr">
        <is>
          <t>F279057</t>
        </is>
      </c>
      <c r="C5170" t="inlineStr">
        <is>
          <t>C11009</t>
        </is>
      </c>
      <c r="D5170" t="inlineStr">
        <is>
          <t>SKU-10054</t>
        </is>
      </c>
      <c r="E5170" t="inlineStr">
        <is>
          <t>AM02</t>
        </is>
      </c>
      <c r="F5170" s="5" t="n">
        <v>143.4</v>
      </c>
      <c r="G5170">
        <f>IF(LEFT(B5170,1)="C","Credit","Factuur")</f>
        <v/>
      </c>
      <c r="H5170">
        <f>IF(AND(B5170=B5169,D5170=D5169,A5170=A5169,F5170=F5169),1,0)</f>
        <v/>
      </c>
      <c r="I5170">
        <f>IF(C5170="C99999",1,0)</f>
        <v/>
      </c>
      <c r="J5170" s="5">
        <f>IF(OR(H5170=1,I5170=1),0,IF(G5170="Credit",-F5170,F5170))</f>
        <v/>
      </c>
    </row>
    <row r="5171">
      <c r="A5171" t="inlineStr">
        <is>
          <t>2026-08-20</t>
        </is>
      </c>
      <c r="B5171" t="inlineStr">
        <is>
          <t>F279057</t>
        </is>
      </c>
      <c r="C5171" t="inlineStr">
        <is>
          <t>C11009</t>
        </is>
      </c>
      <c r="D5171" t="inlineStr">
        <is>
          <t>SKU-10120</t>
        </is>
      </c>
      <c r="E5171" t="inlineStr">
        <is>
          <t>AM02</t>
        </is>
      </c>
      <c r="F5171" s="5" t="n">
        <v>134.81</v>
      </c>
      <c r="G5171">
        <f>IF(LEFT(B5171,1)="C","Credit","Factuur")</f>
        <v/>
      </c>
      <c r="H5171">
        <f>IF(AND(B5171=B5170,D5171=D5170,A5171=A5170,F5171=F5170),1,0)</f>
        <v/>
      </c>
      <c r="I5171">
        <f>IF(C5171="C99999",1,0)</f>
        <v/>
      </c>
      <c r="J5171" s="5">
        <f>IF(OR(H5171=1,I5171=1),0,IF(G5171="Credit",-F5171,F5171))</f>
        <v/>
      </c>
    </row>
    <row r="5172">
      <c r="A5172" t="inlineStr">
        <is>
          <t>2026-08-20</t>
        </is>
      </c>
      <c r="B5172" t="inlineStr">
        <is>
          <t>F279057</t>
        </is>
      </c>
      <c r="C5172" t="inlineStr">
        <is>
          <t>C11009</t>
        </is>
      </c>
      <c r="D5172" t="inlineStr">
        <is>
          <t>SKU-10316</t>
        </is>
      </c>
      <c r="E5172" t="inlineStr">
        <is>
          <t>AM02</t>
        </is>
      </c>
      <c r="F5172" s="5" t="n">
        <v>129.11</v>
      </c>
      <c r="G5172">
        <f>IF(LEFT(B5172,1)="C","Credit","Factuur")</f>
        <v/>
      </c>
      <c r="H5172">
        <f>IF(AND(B5172=B5171,D5172=D5171,A5172=A5171,F5172=F5171),1,0)</f>
        <v/>
      </c>
      <c r="I5172">
        <f>IF(C5172="C99999",1,0)</f>
        <v/>
      </c>
      <c r="J5172" s="5">
        <f>IF(OR(H5172=1,I5172=1),0,IF(G5172="Credit",-F5172,F5172))</f>
        <v/>
      </c>
    </row>
    <row r="5173">
      <c r="A5173" t="inlineStr">
        <is>
          <t>2026-08-20</t>
        </is>
      </c>
      <c r="B5173" t="inlineStr">
        <is>
          <t>F279707</t>
        </is>
      </c>
      <c r="C5173" t="inlineStr">
        <is>
          <t>C11045</t>
        </is>
      </c>
      <c r="D5173" t="inlineStr">
        <is>
          <t>SKU-10272</t>
        </is>
      </c>
      <c r="E5173" t="inlineStr">
        <is>
          <t>AM02</t>
        </is>
      </c>
      <c r="F5173" s="5" t="n">
        <v>1093.59</v>
      </c>
      <c r="G5173">
        <f>IF(LEFT(B5173,1)="C","Credit","Factuur")</f>
        <v/>
      </c>
      <c r="H5173">
        <f>IF(AND(B5173=B5172,D5173=D5172,A5173=A5172,F5173=F5172),1,0)</f>
        <v/>
      </c>
      <c r="I5173">
        <f>IF(C5173="C99999",1,0)</f>
        <v/>
      </c>
      <c r="J5173" s="5">
        <f>IF(OR(H5173=1,I5173=1),0,IF(G5173="Credit",-F5173,F5173))</f>
        <v/>
      </c>
    </row>
    <row r="5174">
      <c r="A5174" t="inlineStr">
        <is>
          <t>2026-08-20</t>
        </is>
      </c>
      <c r="B5174" t="inlineStr">
        <is>
          <t>F279707</t>
        </is>
      </c>
      <c r="C5174" t="inlineStr">
        <is>
          <t>C11045</t>
        </is>
      </c>
      <c r="D5174" t="inlineStr">
        <is>
          <t>SKU-10309</t>
        </is>
      </c>
      <c r="E5174" t="inlineStr">
        <is>
          <t>AM02</t>
        </is>
      </c>
      <c r="F5174" s="5" t="n">
        <v>1109.04</v>
      </c>
      <c r="G5174">
        <f>IF(LEFT(B5174,1)="C","Credit","Factuur")</f>
        <v/>
      </c>
      <c r="H5174">
        <f>IF(AND(B5174=B5173,D5174=D5173,A5174=A5173,F5174=F5173),1,0)</f>
        <v/>
      </c>
      <c r="I5174">
        <f>IF(C5174="C99999",1,0)</f>
        <v/>
      </c>
      <c r="J5174" s="5">
        <f>IF(OR(H5174=1,I5174=1),0,IF(G5174="Credit",-F5174,F5174))</f>
        <v/>
      </c>
    </row>
    <row r="5175">
      <c r="A5175" t="inlineStr">
        <is>
          <t>2026-08-20</t>
        </is>
      </c>
      <c r="B5175" t="inlineStr">
        <is>
          <t>F279707</t>
        </is>
      </c>
      <c r="C5175" t="inlineStr">
        <is>
          <t>C11045</t>
        </is>
      </c>
      <c r="D5175" t="inlineStr">
        <is>
          <t>SKU-10323</t>
        </is>
      </c>
      <c r="E5175" t="inlineStr">
        <is>
          <t>AM02</t>
        </is>
      </c>
      <c r="F5175" s="5" t="n">
        <v>1056.35</v>
      </c>
      <c r="G5175">
        <f>IF(LEFT(B5175,1)="C","Credit","Factuur")</f>
        <v/>
      </c>
      <c r="H5175">
        <f>IF(AND(B5175=B5174,D5175=D5174,A5175=A5174,F5175=F5174),1,0)</f>
        <v/>
      </c>
      <c r="I5175">
        <f>IF(C5175="C99999",1,0)</f>
        <v/>
      </c>
      <c r="J5175" s="5">
        <f>IF(OR(H5175=1,I5175=1),0,IF(G5175="Credit",-F5175,F5175))</f>
        <v/>
      </c>
    </row>
    <row r="5176">
      <c r="A5176" t="inlineStr">
        <is>
          <t>2026-08-20</t>
        </is>
      </c>
      <c r="B5176" t="inlineStr">
        <is>
          <t>F279707</t>
        </is>
      </c>
      <c r="C5176" t="inlineStr">
        <is>
          <t>C11045</t>
        </is>
      </c>
      <c r="D5176" t="inlineStr">
        <is>
          <t>SKU-10341</t>
        </is>
      </c>
      <c r="E5176" t="inlineStr">
        <is>
          <t>AM02</t>
        </is>
      </c>
      <c r="F5176" s="5" t="n">
        <v>1086.48</v>
      </c>
      <c r="G5176">
        <f>IF(LEFT(B5176,1)="C","Credit","Factuur")</f>
        <v/>
      </c>
      <c r="H5176">
        <f>IF(AND(B5176=B5175,D5176=D5175,A5176=A5175,F5176=F5175),1,0)</f>
        <v/>
      </c>
      <c r="I5176">
        <f>IF(C5176="C99999",1,0)</f>
        <v/>
      </c>
      <c r="J5176" s="5">
        <f>IF(OR(H5176=1,I5176=1),0,IF(G5176="Credit",-F5176,F5176))</f>
        <v/>
      </c>
    </row>
    <row r="5177">
      <c r="A5177" t="inlineStr">
        <is>
          <t>2026-08-20</t>
        </is>
      </c>
      <c r="B5177" t="inlineStr">
        <is>
          <t>F279912</t>
        </is>
      </c>
      <c r="C5177" t="inlineStr">
        <is>
          <t>C11053</t>
        </is>
      </c>
      <c r="D5177" t="inlineStr">
        <is>
          <t>SKU-10013</t>
        </is>
      </c>
      <c r="E5177" t="inlineStr">
        <is>
          <t>AM09</t>
        </is>
      </c>
      <c r="F5177" s="5" t="n">
        <v>1827.85</v>
      </c>
      <c r="G5177">
        <f>IF(LEFT(B5177,1)="C","Credit","Factuur")</f>
        <v/>
      </c>
      <c r="H5177">
        <f>IF(AND(B5177=B5176,D5177=D5176,A5177=A5176,F5177=F5176),1,0)</f>
        <v/>
      </c>
      <c r="I5177">
        <f>IF(C5177="C99999",1,0)</f>
        <v/>
      </c>
      <c r="J5177" s="5">
        <f>IF(OR(H5177=1,I5177=1),0,IF(G5177="Credit",-F5177,F5177))</f>
        <v/>
      </c>
    </row>
    <row r="5178">
      <c r="A5178" t="inlineStr">
        <is>
          <t>2026-08-20</t>
        </is>
      </c>
      <c r="B5178" t="inlineStr">
        <is>
          <t>F279912</t>
        </is>
      </c>
      <c r="C5178" t="inlineStr">
        <is>
          <t>C11053</t>
        </is>
      </c>
      <c r="D5178" t="inlineStr">
        <is>
          <t>SKU-10029</t>
        </is>
      </c>
      <c r="E5178" t="inlineStr">
        <is>
          <t>AM09</t>
        </is>
      </c>
      <c r="F5178" s="5" t="n">
        <v>1772.89</v>
      </c>
      <c r="G5178">
        <f>IF(LEFT(B5178,1)="C","Credit","Factuur")</f>
        <v/>
      </c>
      <c r="H5178">
        <f>IF(AND(B5178=B5177,D5178=D5177,A5178=A5177,F5178=F5177),1,0)</f>
        <v/>
      </c>
      <c r="I5178">
        <f>IF(C5178="C99999",1,0)</f>
        <v/>
      </c>
      <c r="J5178" s="5">
        <f>IF(OR(H5178=1,I5178=1),0,IF(G5178="Credit",-F5178,F5178))</f>
        <v/>
      </c>
    </row>
    <row r="5179">
      <c r="A5179" t="inlineStr">
        <is>
          <t>2026-08-20</t>
        </is>
      </c>
      <c r="B5179" t="inlineStr">
        <is>
          <t>F279912</t>
        </is>
      </c>
      <c r="C5179" t="inlineStr">
        <is>
          <t>C11053</t>
        </is>
      </c>
      <c r="D5179" t="inlineStr">
        <is>
          <t>SKU-10070</t>
        </is>
      </c>
      <c r="E5179" t="inlineStr">
        <is>
          <t>AM09</t>
        </is>
      </c>
      <c r="F5179" s="5" t="n">
        <v>2035.16</v>
      </c>
      <c r="G5179">
        <f>IF(LEFT(B5179,1)="C","Credit","Factuur")</f>
        <v/>
      </c>
      <c r="H5179">
        <f>IF(AND(B5179=B5178,D5179=D5178,A5179=A5178,F5179=F5178),1,0)</f>
        <v/>
      </c>
      <c r="I5179">
        <f>IF(C5179="C99999",1,0)</f>
        <v/>
      </c>
      <c r="J5179" s="5">
        <f>IF(OR(H5179=1,I5179=1),0,IF(G5179="Credit",-F5179,F5179))</f>
        <v/>
      </c>
    </row>
    <row r="5180">
      <c r="A5180" t="inlineStr">
        <is>
          <t>2026-08-20</t>
        </is>
      </c>
      <c r="B5180" t="inlineStr">
        <is>
          <t>F279912</t>
        </is>
      </c>
      <c r="C5180" t="inlineStr">
        <is>
          <t>C11053</t>
        </is>
      </c>
      <c r="D5180" t="inlineStr">
        <is>
          <t>SKU-10217</t>
        </is>
      </c>
      <c r="E5180" t="inlineStr">
        <is>
          <t>AM09</t>
        </is>
      </c>
      <c r="F5180" s="5" t="n">
        <v>2033.46</v>
      </c>
      <c r="G5180">
        <f>IF(LEFT(B5180,1)="C","Credit","Factuur")</f>
        <v/>
      </c>
      <c r="H5180">
        <f>IF(AND(B5180=B5179,D5180=D5179,A5180=A5179,F5180=F5179),1,0)</f>
        <v/>
      </c>
      <c r="I5180">
        <f>IF(C5180="C99999",1,0)</f>
        <v/>
      </c>
      <c r="J5180" s="5">
        <f>IF(OR(H5180=1,I5180=1),0,IF(G5180="Credit",-F5180,F5180))</f>
        <v/>
      </c>
    </row>
    <row r="5181">
      <c r="A5181" t="inlineStr">
        <is>
          <t>2026-08-20</t>
        </is>
      </c>
      <c r="B5181" t="inlineStr">
        <is>
          <t>F279959</t>
        </is>
      </c>
      <c r="C5181" t="inlineStr">
        <is>
          <t>C11055</t>
        </is>
      </c>
      <c r="D5181" t="inlineStr">
        <is>
          <t>SKU-10236</t>
        </is>
      </c>
      <c r="E5181" t="inlineStr">
        <is>
          <t>AM03</t>
        </is>
      </c>
      <c r="F5181" s="5" t="n">
        <v>500.26</v>
      </c>
      <c r="G5181">
        <f>IF(LEFT(B5181,1)="C","Credit","Factuur")</f>
        <v/>
      </c>
      <c r="H5181">
        <f>IF(AND(B5181=B5180,D5181=D5180,A5181=A5180,F5181=F5180),1,0)</f>
        <v/>
      </c>
      <c r="I5181">
        <f>IF(C5181="C99999",1,0)</f>
        <v/>
      </c>
      <c r="J5181" s="5">
        <f>IF(OR(H5181=1,I5181=1),0,IF(G5181="Credit",-F5181,F5181))</f>
        <v/>
      </c>
    </row>
    <row r="5182">
      <c r="A5182" t="inlineStr">
        <is>
          <t>2026-08-20</t>
        </is>
      </c>
      <c r="B5182" t="inlineStr">
        <is>
          <t>F279959</t>
        </is>
      </c>
      <c r="C5182" t="inlineStr">
        <is>
          <t>C11055</t>
        </is>
      </c>
      <c r="D5182" t="inlineStr">
        <is>
          <t>SKU-10256</t>
        </is>
      </c>
      <c r="E5182" t="inlineStr">
        <is>
          <t>AM03</t>
        </is>
      </c>
      <c r="F5182" s="5" t="n">
        <v>560.8200000000001</v>
      </c>
      <c r="G5182">
        <f>IF(LEFT(B5182,1)="C","Credit","Factuur")</f>
        <v/>
      </c>
      <c r="H5182">
        <f>IF(AND(B5182=B5181,D5182=D5181,A5182=A5181,F5182=F5181),1,0)</f>
        <v/>
      </c>
      <c r="I5182">
        <f>IF(C5182="C99999",1,0)</f>
        <v/>
      </c>
      <c r="J5182" s="5">
        <f>IF(OR(H5182=1,I5182=1),0,IF(G5182="Credit",-F5182,F5182))</f>
        <v/>
      </c>
    </row>
    <row r="5183">
      <c r="A5183" t="inlineStr">
        <is>
          <t>2026-08-20</t>
        </is>
      </c>
      <c r="B5183" t="inlineStr">
        <is>
          <t>F279959</t>
        </is>
      </c>
      <c r="C5183" t="inlineStr">
        <is>
          <t>C11055</t>
        </is>
      </c>
      <c r="D5183" t="inlineStr">
        <is>
          <t>SKU-10302</t>
        </is>
      </c>
      <c r="E5183" t="inlineStr">
        <is>
          <t>AM03</t>
        </is>
      </c>
      <c r="F5183" s="5" t="n">
        <v>570.83</v>
      </c>
      <c r="G5183">
        <f>IF(LEFT(B5183,1)="C","Credit","Factuur")</f>
        <v/>
      </c>
      <c r="H5183">
        <f>IF(AND(B5183=B5182,D5183=D5182,A5183=A5182,F5183=F5182),1,0)</f>
        <v/>
      </c>
      <c r="I5183">
        <f>IF(C5183="C99999",1,0)</f>
        <v/>
      </c>
      <c r="J5183" s="5">
        <f>IF(OR(H5183=1,I5183=1),0,IF(G5183="Credit",-F5183,F5183))</f>
        <v/>
      </c>
    </row>
    <row r="5184">
      <c r="A5184" t="inlineStr">
        <is>
          <t>2026-08-20</t>
        </is>
      </c>
      <c r="B5184" t="inlineStr">
        <is>
          <t>F279959</t>
        </is>
      </c>
      <c r="C5184" t="inlineStr">
        <is>
          <t>C11055</t>
        </is>
      </c>
      <c r="D5184" t="inlineStr">
        <is>
          <t>SKU-10342</t>
        </is>
      </c>
      <c r="E5184" t="inlineStr">
        <is>
          <t>AM03</t>
        </is>
      </c>
      <c r="F5184" s="5" t="n">
        <v>491.94</v>
      </c>
      <c r="G5184">
        <f>IF(LEFT(B5184,1)="C","Credit","Factuur")</f>
        <v/>
      </c>
      <c r="H5184">
        <f>IF(AND(B5184=B5183,D5184=D5183,A5184=A5183,F5184=F5183),1,0)</f>
        <v/>
      </c>
      <c r="I5184">
        <f>IF(C5184="C99999",1,0)</f>
        <v/>
      </c>
      <c r="J5184" s="5">
        <f>IF(OR(H5184=1,I5184=1),0,IF(G5184="Credit",-F5184,F5184))</f>
        <v/>
      </c>
    </row>
    <row r="5185">
      <c r="A5185" t="inlineStr">
        <is>
          <t>2026-08-20</t>
        </is>
      </c>
      <c r="B5185" t="inlineStr">
        <is>
          <t>F281912</t>
        </is>
      </c>
      <c r="C5185" t="inlineStr">
        <is>
          <t>C11152</t>
        </is>
      </c>
      <c r="D5185" t="inlineStr">
        <is>
          <t>SKU-10043</t>
        </is>
      </c>
      <c r="E5185" t="inlineStr">
        <is>
          <t>AM06</t>
        </is>
      </c>
      <c r="F5185" s="5" t="n">
        <v>111.3</v>
      </c>
      <c r="G5185">
        <f>IF(LEFT(B5185,1)="C","Credit","Factuur")</f>
        <v/>
      </c>
      <c r="H5185">
        <f>IF(AND(B5185=B5184,D5185=D5184,A5185=A5184,F5185=F5184),1,0)</f>
        <v/>
      </c>
      <c r="I5185">
        <f>IF(C5185="C99999",1,0)</f>
        <v/>
      </c>
      <c r="J5185" s="5">
        <f>IF(OR(H5185=1,I5185=1),0,IF(G5185="Credit",-F5185,F5185))</f>
        <v/>
      </c>
    </row>
    <row r="5186">
      <c r="A5186" t="inlineStr">
        <is>
          <t>2026-08-20</t>
        </is>
      </c>
      <c r="B5186" t="inlineStr">
        <is>
          <t>F281912</t>
        </is>
      </c>
      <c r="C5186" t="inlineStr">
        <is>
          <t>C11152</t>
        </is>
      </c>
      <c r="D5186" t="inlineStr">
        <is>
          <t>SKU-10057</t>
        </is>
      </c>
      <c r="E5186" t="inlineStr">
        <is>
          <t>AM06</t>
        </is>
      </c>
      <c r="F5186" s="5" t="n">
        <v>112.5</v>
      </c>
      <c r="G5186">
        <f>IF(LEFT(B5186,1)="C","Credit","Factuur")</f>
        <v/>
      </c>
      <c r="H5186">
        <f>IF(AND(B5186=B5185,D5186=D5185,A5186=A5185,F5186=F5185),1,0)</f>
        <v/>
      </c>
      <c r="I5186">
        <f>IF(C5186="C99999",1,0)</f>
        <v/>
      </c>
      <c r="J5186" s="5">
        <f>IF(OR(H5186=1,I5186=1),0,IF(G5186="Credit",-F5186,F5186))</f>
        <v/>
      </c>
    </row>
    <row r="5187">
      <c r="A5187" t="inlineStr">
        <is>
          <t>2026-08-20</t>
        </is>
      </c>
      <c r="B5187" t="inlineStr">
        <is>
          <t>F281912</t>
        </is>
      </c>
      <c r="C5187" t="inlineStr">
        <is>
          <t>C11152</t>
        </is>
      </c>
      <c r="D5187" t="inlineStr">
        <is>
          <t>SKU-10309</t>
        </is>
      </c>
      <c r="E5187" t="inlineStr">
        <is>
          <t>AM06</t>
        </is>
      </c>
      <c r="F5187" s="5" t="n">
        <v>92.42</v>
      </c>
      <c r="G5187">
        <f>IF(LEFT(B5187,1)="C","Credit","Factuur")</f>
        <v/>
      </c>
      <c r="H5187">
        <f>IF(AND(B5187=B5186,D5187=D5186,A5187=A5186,F5187=F5186),1,0)</f>
        <v/>
      </c>
      <c r="I5187">
        <f>IF(C5187="C99999",1,0)</f>
        <v/>
      </c>
      <c r="J5187" s="5">
        <f>IF(OR(H5187=1,I5187=1),0,IF(G5187="Credit",-F5187,F5187))</f>
        <v/>
      </c>
    </row>
    <row r="5188">
      <c r="A5188" t="inlineStr">
        <is>
          <t>2026-08-20</t>
        </is>
      </c>
      <c r="B5188" t="inlineStr">
        <is>
          <t>F281912</t>
        </is>
      </c>
      <c r="C5188" t="inlineStr">
        <is>
          <t>C11152</t>
        </is>
      </c>
      <c r="D5188" t="inlineStr">
        <is>
          <t>SKU-10363</t>
        </is>
      </c>
      <c r="E5188" t="inlineStr">
        <is>
          <t>AM06</t>
        </is>
      </c>
      <c r="F5188" s="5" t="n">
        <v>124.04</v>
      </c>
      <c r="G5188">
        <f>IF(LEFT(B5188,1)="C","Credit","Factuur")</f>
        <v/>
      </c>
      <c r="H5188">
        <f>IF(AND(B5188=B5187,D5188=D5187,A5188=A5187,F5188=F5187),1,0)</f>
        <v/>
      </c>
      <c r="I5188">
        <f>IF(C5188="C99999",1,0)</f>
        <v/>
      </c>
      <c r="J5188" s="5">
        <f>IF(OR(H5188=1,I5188=1),0,IF(G5188="Credit",-F5188,F5188))</f>
        <v/>
      </c>
    </row>
    <row r="5189">
      <c r="A5189" t="inlineStr">
        <is>
          <t>2026-08-20</t>
        </is>
      </c>
      <c r="B5189" t="inlineStr">
        <is>
          <t>F283104</t>
        </is>
      </c>
      <c r="C5189" t="inlineStr">
        <is>
          <t>C11216</t>
        </is>
      </c>
      <c r="D5189" t="inlineStr">
        <is>
          <t>SKU-10171</t>
        </is>
      </c>
      <c r="E5189" t="inlineStr">
        <is>
          <t>AM05</t>
        </is>
      </c>
      <c r="F5189" s="5" t="n">
        <v>153.06</v>
      </c>
      <c r="G5189">
        <f>IF(LEFT(B5189,1)="C","Credit","Factuur")</f>
        <v/>
      </c>
      <c r="H5189">
        <f>IF(AND(B5189=B5188,D5189=D5188,A5189=A5188,F5189=F5188),1,0)</f>
        <v/>
      </c>
      <c r="I5189">
        <f>IF(C5189="C99999",1,0)</f>
        <v/>
      </c>
      <c r="J5189" s="5">
        <f>IF(OR(H5189=1,I5189=1),0,IF(G5189="Credit",-F5189,F5189))</f>
        <v/>
      </c>
    </row>
    <row r="5190">
      <c r="A5190" t="inlineStr">
        <is>
          <t>2026-08-20</t>
        </is>
      </c>
      <c r="B5190" t="inlineStr">
        <is>
          <t>F283104</t>
        </is>
      </c>
      <c r="C5190" t="inlineStr">
        <is>
          <t>C11216</t>
        </is>
      </c>
      <c r="D5190" t="inlineStr">
        <is>
          <t>SKU-10193</t>
        </is>
      </c>
      <c r="E5190" t="inlineStr">
        <is>
          <t>AM05</t>
        </is>
      </c>
      <c r="F5190" s="5" t="n">
        <v>162.64</v>
      </c>
      <c r="G5190">
        <f>IF(LEFT(B5190,1)="C","Credit","Factuur")</f>
        <v/>
      </c>
      <c r="H5190">
        <f>IF(AND(B5190=B5189,D5190=D5189,A5190=A5189,F5190=F5189),1,0)</f>
        <v/>
      </c>
      <c r="I5190">
        <f>IF(C5190="C99999",1,0)</f>
        <v/>
      </c>
      <c r="J5190" s="5">
        <f>IF(OR(H5190=1,I5190=1),0,IF(G5190="Credit",-F5190,F5190))</f>
        <v/>
      </c>
    </row>
    <row r="5191">
      <c r="A5191" t="inlineStr">
        <is>
          <t>2026-08-20</t>
        </is>
      </c>
      <c r="B5191" t="inlineStr">
        <is>
          <t>F283104</t>
        </is>
      </c>
      <c r="C5191" t="inlineStr">
        <is>
          <t>C11216</t>
        </is>
      </c>
      <c r="D5191" t="inlineStr">
        <is>
          <t>SKU-10200</t>
        </is>
      </c>
      <c r="E5191" t="inlineStr">
        <is>
          <t>AM05</t>
        </is>
      </c>
      <c r="F5191" s="5" t="n">
        <v>160.65</v>
      </c>
      <c r="G5191">
        <f>IF(LEFT(B5191,1)="C","Credit","Factuur")</f>
        <v/>
      </c>
      <c r="H5191">
        <f>IF(AND(B5191=B5190,D5191=D5190,A5191=A5190,F5191=F5190),1,0)</f>
        <v/>
      </c>
      <c r="I5191">
        <f>IF(C5191="C99999",1,0)</f>
        <v/>
      </c>
      <c r="J5191" s="5">
        <f>IF(OR(H5191=1,I5191=1),0,IF(G5191="Credit",-F5191,F5191))</f>
        <v/>
      </c>
    </row>
    <row r="5192">
      <c r="A5192" t="inlineStr">
        <is>
          <t>2026-08-20</t>
        </is>
      </c>
      <c r="B5192" t="inlineStr">
        <is>
          <t>F283104</t>
        </is>
      </c>
      <c r="C5192" t="inlineStr">
        <is>
          <t>C11216</t>
        </is>
      </c>
      <c r="D5192" t="inlineStr">
        <is>
          <t>SKU-10265</t>
        </is>
      </c>
      <c r="E5192" t="inlineStr">
        <is>
          <t>AM05</t>
        </is>
      </c>
      <c r="F5192" s="5" t="n">
        <v>157.98</v>
      </c>
      <c r="G5192">
        <f>IF(LEFT(B5192,1)="C","Credit","Factuur")</f>
        <v/>
      </c>
      <c r="H5192">
        <f>IF(AND(B5192=B5191,D5192=D5191,A5192=A5191,F5192=F5191),1,0)</f>
        <v/>
      </c>
      <c r="I5192">
        <f>IF(C5192="C99999",1,0)</f>
        <v/>
      </c>
      <c r="J5192" s="5">
        <f>IF(OR(H5192=1,I5192=1),0,IF(G5192="Credit",-F5192,F5192))</f>
        <v/>
      </c>
    </row>
    <row r="5193">
      <c r="A5193" t="inlineStr">
        <is>
          <t>2026-08-20</t>
        </is>
      </c>
      <c r="B5193" t="inlineStr">
        <is>
          <t>F285133</t>
        </is>
      </c>
      <c r="C5193" t="inlineStr">
        <is>
          <t>C11317</t>
        </is>
      </c>
      <c r="D5193" t="inlineStr">
        <is>
          <t>SKU-10088</t>
        </is>
      </c>
      <c r="E5193" t="inlineStr">
        <is>
          <t>AM11</t>
        </is>
      </c>
      <c r="F5193" s="5" t="n">
        <v>493.76</v>
      </c>
      <c r="G5193">
        <f>IF(LEFT(B5193,1)="C","Credit","Factuur")</f>
        <v/>
      </c>
      <c r="H5193">
        <f>IF(AND(B5193=B5192,D5193=D5192,A5193=A5192,F5193=F5192),1,0)</f>
        <v/>
      </c>
      <c r="I5193">
        <f>IF(C5193="C99999",1,0)</f>
        <v/>
      </c>
      <c r="J5193" s="5">
        <f>IF(OR(H5193=1,I5193=1),0,IF(G5193="Credit",-F5193,F5193))</f>
        <v/>
      </c>
    </row>
    <row r="5194">
      <c r="A5194" t="inlineStr">
        <is>
          <t>2026-08-20</t>
        </is>
      </c>
      <c r="B5194" t="inlineStr">
        <is>
          <t>F285133</t>
        </is>
      </c>
      <c r="C5194" t="inlineStr">
        <is>
          <t>C11317</t>
        </is>
      </c>
      <c r="D5194" t="inlineStr">
        <is>
          <t>SKU-10319</t>
        </is>
      </c>
      <c r="E5194" t="inlineStr">
        <is>
          <t>AM11</t>
        </is>
      </c>
      <c r="F5194" s="5" t="n">
        <v>491.98</v>
      </c>
      <c r="G5194">
        <f>IF(LEFT(B5194,1)="C","Credit","Factuur")</f>
        <v/>
      </c>
      <c r="H5194">
        <f>IF(AND(B5194=B5193,D5194=D5193,A5194=A5193,F5194=F5193),1,0)</f>
        <v/>
      </c>
      <c r="I5194">
        <f>IF(C5194="C99999",1,0)</f>
        <v/>
      </c>
      <c r="J5194" s="5">
        <f>IF(OR(H5194=1,I5194=1),0,IF(G5194="Credit",-F5194,F5194))</f>
        <v/>
      </c>
    </row>
    <row r="5195">
      <c r="A5195" t="inlineStr">
        <is>
          <t>2026-08-20</t>
        </is>
      </c>
      <c r="B5195" t="inlineStr">
        <is>
          <t>F285525</t>
        </is>
      </c>
      <c r="C5195" t="inlineStr">
        <is>
          <t>C11335</t>
        </is>
      </c>
      <c r="D5195" t="inlineStr">
        <is>
          <t>SKU-10007</t>
        </is>
      </c>
      <c r="E5195" t="inlineStr">
        <is>
          <t>AM08</t>
        </is>
      </c>
      <c r="F5195" s="5" t="n">
        <v>1561.23</v>
      </c>
      <c r="G5195">
        <f>IF(LEFT(B5195,1)="C","Credit","Factuur")</f>
        <v/>
      </c>
      <c r="H5195">
        <f>IF(AND(B5195=B5194,D5195=D5194,A5195=A5194,F5195=F5194),1,0)</f>
        <v/>
      </c>
      <c r="I5195">
        <f>IF(C5195="C99999",1,0)</f>
        <v/>
      </c>
      <c r="J5195" s="5">
        <f>IF(OR(H5195=1,I5195=1),0,IF(G5195="Credit",-F5195,F5195))</f>
        <v/>
      </c>
    </row>
    <row r="5196">
      <c r="A5196" t="inlineStr">
        <is>
          <t>2026-08-21</t>
        </is>
      </c>
      <c r="B5196" t="inlineStr">
        <is>
          <t>C900396</t>
        </is>
      </c>
      <c r="C5196" t="inlineStr">
        <is>
          <t>C11227</t>
        </is>
      </c>
      <c r="D5196" t="inlineStr">
        <is>
          <t>SKU-10024</t>
        </is>
      </c>
      <c r="E5196" t="inlineStr">
        <is>
          <t>AM11</t>
        </is>
      </c>
      <c r="F5196" s="5" t="n">
        <v>72.48</v>
      </c>
      <c r="G5196">
        <f>IF(LEFT(B5196,1)="C","Credit","Factuur")</f>
        <v/>
      </c>
      <c r="H5196">
        <f>IF(AND(B5196=B5195,D5196=D5195,A5196=A5195,F5196=F5195),1,0)</f>
        <v/>
      </c>
      <c r="I5196">
        <f>IF(C5196="C99999",1,0)</f>
        <v/>
      </c>
      <c r="J5196" s="5">
        <f>IF(OR(H5196=1,I5196=1),0,IF(G5196="Credit",-F5196,F5196))</f>
        <v/>
      </c>
    </row>
    <row r="5197">
      <c r="A5197" t="inlineStr">
        <is>
          <t>2026-08-21</t>
        </is>
      </c>
      <c r="B5197" t="inlineStr">
        <is>
          <t>C900783</t>
        </is>
      </c>
      <c r="C5197" t="inlineStr">
        <is>
          <t>C10153</t>
        </is>
      </c>
      <c r="D5197" t="inlineStr">
        <is>
          <t>SKU-10101</t>
        </is>
      </c>
      <c r="E5197" t="inlineStr">
        <is>
          <t>AM02</t>
        </is>
      </c>
      <c r="F5197" s="5" t="n">
        <v>475.04</v>
      </c>
      <c r="G5197">
        <f>IF(LEFT(B5197,1)="C","Credit","Factuur")</f>
        <v/>
      </c>
      <c r="H5197">
        <f>IF(AND(B5197=B5196,D5197=D5196,A5197=A5196,F5197=F5196),1,0)</f>
        <v/>
      </c>
      <c r="I5197">
        <f>IF(C5197="C99999",1,0)</f>
        <v/>
      </c>
      <c r="J5197" s="5">
        <f>IF(OR(H5197=1,I5197=1),0,IF(G5197="Credit",-F5197,F5197))</f>
        <v/>
      </c>
    </row>
    <row r="5198">
      <c r="A5198" t="inlineStr">
        <is>
          <t>2026-08-21</t>
        </is>
      </c>
      <c r="B5198" t="inlineStr">
        <is>
          <t>C901798</t>
        </is>
      </c>
      <c r="C5198" t="inlineStr">
        <is>
          <t>C10843</t>
        </is>
      </c>
      <c r="D5198" t="inlineStr">
        <is>
          <t>SKU-10329</t>
        </is>
      </c>
      <c r="E5198" t="inlineStr">
        <is>
          <t>AM07</t>
        </is>
      </c>
      <c r="F5198" s="5" t="n">
        <v>110.46</v>
      </c>
      <c r="G5198">
        <f>IF(LEFT(B5198,1)="C","Credit","Factuur")</f>
        <v/>
      </c>
      <c r="H5198">
        <f>IF(AND(B5198=B5197,D5198=D5197,A5198=A5197,F5198=F5197),1,0)</f>
        <v/>
      </c>
      <c r="I5198">
        <f>IF(C5198="C99999",1,0)</f>
        <v/>
      </c>
      <c r="J5198" s="5">
        <f>IF(OR(H5198=1,I5198=1),0,IF(G5198="Credit",-F5198,F5198))</f>
        <v/>
      </c>
    </row>
    <row r="5199">
      <c r="A5199" t="inlineStr">
        <is>
          <t>2026-08-21</t>
        </is>
      </c>
      <c r="B5199" t="inlineStr">
        <is>
          <t>C901868</t>
        </is>
      </c>
      <c r="C5199" t="inlineStr">
        <is>
          <t>C10964</t>
        </is>
      </c>
      <c r="D5199" t="inlineStr">
        <is>
          <t>SKU-10173</t>
        </is>
      </c>
      <c r="E5199" t="inlineStr">
        <is>
          <t>AM02</t>
        </is>
      </c>
      <c r="F5199" s="5" t="n">
        <v>86</v>
      </c>
      <c r="G5199">
        <f>IF(LEFT(B5199,1)="C","Credit","Factuur")</f>
        <v/>
      </c>
      <c r="H5199">
        <f>IF(AND(B5199=B5198,D5199=D5198,A5199=A5198,F5199=F5198),1,0)</f>
        <v/>
      </c>
      <c r="I5199">
        <f>IF(C5199="C99999",1,0)</f>
        <v/>
      </c>
      <c r="J5199" s="5">
        <f>IF(OR(H5199=1,I5199=1),0,IF(G5199="Credit",-F5199,F5199))</f>
        <v/>
      </c>
    </row>
    <row r="5200">
      <c r="A5200" t="inlineStr">
        <is>
          <t>2026-08-21</t>
        </is>
      </c>
      <c r="B5200" t="inlineStr">
        <is>
          <t>F260407</t>
        </is>
      </c>
      <c r="C5200" t="inlineStr">
        <is>
          <t>C10022</t>
        </is>
      </c>
      <c r="D5200" t="inlineStr">
        <is>
          <t>SKU-10019</t>
        </is>
      </c>
      <c r="E5200" t="inlineStr">
        <is>
          <t>AM08</t>
        </is>
      </c>
      <c r="F5200" s="5" t="n">
        <v>1496.34</v>
      </c>
      <c r="G5200">
        <f>IF(LEFT(B5200,1)="C","Credit","Factuur")</f>
        <v/>
      </c>
      <c r="H5200">
        <f>IF(AND(B5200=B5199,D5200=D5199,A5200=A5199,F5200=F5199),1,0)</f>
        <v/>
      </c>
      <c r="I5200">
        <f>IF(C5200="C99999",1,0)</f>
        <v/>
      </c>
      <c r="J5200" s="5">
        <f>IF(OR(H5200=1,I5200=1),0,IF(G5200="Credit",-F5200,F5200))</f>
        <v/>
      </c>
    </row>
    <row r="5201">
      <c r="A5201" t="inlineStr">
        <is>
          <t>2026-08-21</t>
        </is>
      </c>
      <c r="B5201" t="inlineStr">
        <is>
          <t>F260407</t>
        </is>
      </c>
      <c r="C5201" t="inlineStr">
        <is>
          <t>C10022</t>
        </is>
      </c>
      <c r="D5201" t="inlineStr">
        <is>
          <t>SKU-10092</t>
        </is>
      </c>
      <c r="E5201" t="inlineStr">
        <is>
          <t>AM08</t>
        </is>
      </c>
      <c r="F5201" s="5" t="n">
        <v>1434.16</v>
      </c>
      <c r="G5201">
        <f>IF(LEFT(B5201,1)="C","Credit","Factuur")</f>
        <v/>
      </c>
      <c r="H5201">
        <f>IF(AND(B5201=B5200,D5201=D5200,A5201=A5200,F5201=F5200),1,0)</f>
        <v/>
      </c>
      <c r="I5201">
        <f>IF(C5201="C99999",1,0)</f>
        <v/>
      </c>
      <c r="J5201" s="5">
        <f>IF(OR(H5201=1,I5201=1),0,IF(G5201="Credit",-F5201,F5201))</f>
        <v/>
      </c>
    </row>
    <row r="5202">
      <c r="A5202" t="inlineStr">
        <is>
          <t>2026-08-21</t>
        </is>
      </c>
      <c r="B5202" t="inlineStr">
        <is>
          <t>F260949</t>
        </is>
      </c>
      <c r="C5202" t="inlineStr">
        <is>
          <t>C10054</t>
        </is>
      </c>
      <c r="D5202" t="inlineStr">
        <is>
          <t>SKU-10026</t>
        </is>
      </c>
      <c r="E5202" t="inlineStr">
        <is>
          <t>AM01</t>
        </is>
      </c>
      <c r="F5202" s="5" t="n">
        <v>288.26</v>
      </c>
      <c r="G5202">
        <f>IF(LEFT(B5202,1)="C","Credit","Factuur")</f>
        <v/>
      </c>
      <c r="H5202">
        <f>IF(AND(B5202=B5201,D5202=D5201,A5202=A5201,F5202=F5201),1,0)</f>
        <v/>
      </c>
      <c r="I5202">
        <f>IF(C5202="C99999",1,0)</f>
        <v/>
      </c>
      <c r="J5202" s="5">
        <f>IF(OR(H5202=1,I5202=1),0,IF(G5202="Credit",-F5202,F5202))</f>
        <v/>
      </c>
    </row>
    <row r="5203">
      <c r="A5203" t="inlineStr">
        <is>
          <t>2026-08-21</t>
        </is>
      </c>
      <c r="B5203" t="inlineStr">
        <is>
          <t>F260949</t>
        </is>
      </c>
      <c r="C5203" t="inlineStr">
        <is>
          <t>C10054</t>
        </is>
      </c>
      <c r="D5203" t="inlineStr">
        <is>
          <t>SKU-10256</t>
        </is>
      </c>
      <c r="E5203" t="inlineStr">
        <is>
          <t>AM01</t>
        </is>
      </c>
      <c r="F5203" s="5" t="n">
        <v>240.43</v>
      </c>
      <c r="G5203">
        <f>IF(LEFT(B5203,1)="C","Credit","Factuur")</f>
        <v/>
      </c>
      <c r="H5203">
        <f>IF(AND(B5203=B5202,D5203=D5202,A5203=A5202,F5203=F5202),1,0)</f>
        <v/>
      </c>
      <c r="I5203">
        <f>IF(C5203="C99999",1,0)</f>
        <v/>
      </c>
      <c r="J5203" s="5">
        <f>IF(OR(H5203=1,I5203=1),0,IF(G5203="Credit",-F5203,F5203))</f>
        <v/>
      </c>
    </row>
    <row r="5204">
      <c r="A5204" t="inlineStr">
        <is>
          <t>2026-08-21</t>
        </is>
      </c>
      <c r="B5204" t="inlineStr">
        <is>
          <t>F261005</t>
        </is>
      </c>
      <c r="C5204" t="inlineStr">
        <is>
          <t>C10058</t>
        </is>
      </c>
      <c r="D5204" t="inlineStr">
        <is>
          <t>SKU-10005</t>
        </is>
      </c>
      <c r="E5204" t="inlineStr">
        <is>
          <t>IS01</t>
        </is>
      </c>
      <c r="F5204" s="5" t="n">
        <v>27.53</v>
      </c>
      <c r="G5204">
        <f>IF(LEFT(B5204,1)="C","Credit","Factuur")</f>
        <v/>
      </c>
      <c r="H5204">
        <f>IF(AND(B5204=B5203,D5204=D5203,A5204=A5203,F5204=F5203),1,0)</f>
        <v/>
      </c>
      <c r="I5204">
        <f>IF(C5204="C99999",1,0)</f>
        <v/>
      </c>
      <c r="J5204" s="5">
        <f>IF(OR(H5204=1,I5204=1),0,IF(G5204="Credit",-F5204,F5204))</f>
        <v/>
      </c>
    </row>
    <row r="5205">
      <c r="A5205" t="inlineStr">
        <is>
          <t>2026-08-21</t>
        </is>
      </c>
      <c r="B5205" t="inlineStr">
        <is>
          <t>F261005</t>
        </is>
      </c>
      <c r="C5205" t="inlineStr">
        <is>
          <t>C10058</t>
        </is>
      </c>
      <c r="D5205" t="inlineStr">
        <is>
          <t>SKU-10012</t>
        </is>
      </c>
      <c r="E5205" t="inlineStr">
        <is>
          <t>IS01</t>
        </is>
      </c>
      <c r="F5205" s="5" t="n">
        <v>31.91</v>
      </c>
      <c r="G5205">
        <f>IF(LEFT(B5205,1)="C","Credit","Factuur")</f>
        <v/>
      </c>
      <c r="H5205">
        <f>IF(AND(B5205=B5204,D5205=D5204,A5205=A5204,F5205=F5204),1,0)</f>
        <v/>
      </c>
      <c r="I5205">
        <f>IF(C5205="C99999",1,0)</f>
        <v/>
      </c>
      <c r="J5205" s="5">
        <f>IF(OR(H5205=1,I5205=1),0,IF(G5205="Credit",-F5205,F5205))</f>
        <v/>
      </c>
    </row>
    <row r="5206">
      <c r="A5206" t="inlineStr">
        <is>
          <t>2026-08-21</t>
        </is>
      </c>
      <c r="B5206" t="inlineStr">
        <is>
          <t>F261005</t>
        </is>
      </c>
      <c r="C5206" t="inlineStr">
        <is>
          <t>C10058</t>
        </is>
      </c>
      <c r="D5206" t="inlineStr">
        <is>
          <t>SKU-10081</t>
        </is>
      </c>
      <c r="E5206" t="inlineStr">
        <is>
          <t>IS01</t>
        </is>
      </c>
      <c r="F5206" s="5" t="n">
        <v>63.57</v>
      </c>
      <c r="G5206">
        <f>IF(LEFT(B5206,1)="C","Credit","Factuur")</f>
        <v/>
      </c>
      <c r="H5206">
        <f>IF(AND(B5206=B5205,D5206=D5205,A5206=A5205,F5206=F5205),1,0)</f>
        <v/>
      </c>
      <c r="I5206">
        <f>IF(C5206="C99999",1,0)</f>
        <v/>
      </c>
      <c r="J5206" s="5">
        <f>IF(OR(H5206=1,I5206=1),0,IF(G5206="Credit",-F5206,F5206))</f>
        <v/>
      </c>
    </row>
    <row r="5207">
      <c r="A5207" t="inlineStr">
        <is>
          <t>2026-08-21</t>
        </is>
      </c>
      <c r="B5207" t="inlineStr">
        <is>
          <t>F261005</t>
        </is>
      </c>
      <c r="C5207" t="inlineStr">
        <is>
          <t>C10058</t>
        </is>
      </c>
      <c r="D5207" t="inlineStr">
        <is>
          <t>SKU-10199</t>
        </is>
      </c>
      <c r="E5207" t="inlineStr">
        <is>
          <t>IS01</t>
        </is>
      </c>
      <c r="F5207" s="5" t="n">
        <v>28.46</v>
      </c>
      <c r="G5207">
        <f>IF(LEFT(B5207,1)="C","Credit","Factuur")</f>
        <v/>
      </c>
      <c r="H5207">
        <f>IF(AND(B5207=B5206,D5207=D5206,A5207=A5206,F5207=F5206),1,0)</f>
        <v/>
      </c>
      <c r="I5207">
        <f>IF(C5207="C99999",1,0)</f>
        <v/>
      </c>
      <c r="J5207" s="5">
        <f>IF(OR(H5207=1,I5207=1),0,IF(G5207="Credit",-F5207,F5207))</f>
        <v/>
      </c>
    </row>
    <row r="5208">
      <c r="A5208" t="inlineStr">
        <is>
          <t>2026-08-21</t>
        </is>
      </c>
      <c r="B5208" t="inlineStr">
        <is>
          <t>F261480</t>
        </is>
      </c>
      <c r="C5208" t="inlineStr">
        <is>
          <t>C10080</t>
        </is>
      </c>
      <c r="D5208" t="inlineStr">
        <is>
          <t>SKU-10011</t>
        </is>
      </c>
      <c r="E5208" t="inlineStr">
        <is>
          <t>AM05</t>
        </is>
      </c>
      <c r="F5208" s="5" t="n">
        <v>138.85</v>
      </c>
      <c r="G5208">
        <f>IF(LEFT(B5208,1)="C","Credit","Factuur")</f>
        <v/>
      </c>
      <c r="H5208">
        <f>IF(AND(B5208=B5207,D5208=D5207,A5208=A5207,F5208=F5207),1,0)</f>
        <v/>
      </c>
      <c r="I5208">
        <f>IF(C5208="C99999",1,0)</f>
        <v/>
      </c>
      <c r="J5208" s="5">
        <f>IF(OR(H5208=1,I5208=1),0,IF(G5208="Credit",-F5208,F5208))</f>
        <v/>
      </c>
    </row>
    <row r="5209">
      <c r="A5209" t="inlineStr">
        <is>
          <t>2026-08-21</t>
        </is>
      </c>
      <c r="B5209" t="inlineStr">
        <is>
          <t>F261480</t>
        </is>
      </c>
      <c r="C5209" t="inlineStr">
        <is>
          <t>C10080</t>
        </is>
      </c>
      <c r="D5209" t="inlineStr">
        <is>
          <t>SKU-10046</t>
        </is>
      </c>
      <c r="E5209" t="inlineStr">
        <is>
          <t>AM05</t>
        </is>
      </c>
      <c r="F5209" s="5" t="n">
        <v>142.02</v>
      </c>
      <c r="G5209">
        <f>IF(LEFT(B5209,1)="C","Credit","Factuur")</f>
        <v/>
      </c>
      <c r="H5209">
        <f>IF(AND(B5209=B5208,D5209=D5208,A5209=A5208,F5209=F5208),1,0)</f>
        <v/>
      </c>
      <c r="I5209">
        <f>IF(C5209="C99999",1,0)</f>
        <v/>
      </c>
      <c r="J5209" s="5">
        <f>IF(OR(H5209=1,I5209=1),0,IF(G5209="Credit",-F5209,F5209))</f>
        <v/>
      </c>
    </row>
    <row r="5210">
      <c r="A5210" t="inlineStr">
        <is>
          <t>2026-08-21</t>
        </is>
      </c>
      <c r="B5210" t="inlineStr">
        <is>
          <t>F261480</t>
        </is>
      </c>
      <c r="C5210" t="inlineStr">
        <is>
          <t>C10080</t>
        </is>
      </c>
      <c r="D5210" t="inlineStr">
        <is>
          <t>SKU-10087</t>
        </is>
      </c>
      <c r="E5210" t="inlineStr">
        <is>
          <t>AM05</t>
        </is>
      </c>
      <c r="F5210" s="5" t="n">
        <v>129.03</v>
      </c>
      <c r="G5210">
        <f>IF(LEFT(B5210,1)="C","Credit","Factuur")</f>
        <v/>
      </c>
      <c r="H5210">
        <f>IF(AND(B5210=B5209,D5210=D5209,A5210=A5209,F5210=F5209),1,0)</f>
        <v/>
      </c>
      <c r="I5210">
        <f>IF(C5210="C99999",1,0)</f>
        <v/>
      </c>
      <c r="J5210" s="5">
        <f>IF(OR(H5210=1,I5210=1),0,IF(G5210="Credit",-F5210,F5210))</f>
        <v/>
      </c>
    </row>
    <row r="5211">
      <c r="A5211" t="inlineStr">
        <is>
          <t>2026-08-21</t>
        </is>
      </c>
      <c r="B5211" t="inlineStr">
        <is>
          <t>F261480</t>
        </is>
      </c>
      <c r="C5211" t="inlineStr">
        <is>
          <t>C10080</t>
        </is>
      </c>
      <c r="D5211" t="inlineStr">
        <is>
          <t>SKU-10124</t>
        </is>
      </c>
      <c r="E5211" t="inlineStr">
        <is>
          <t>AM05</t>
        </is>
      </c>
      <c r="F5211" s="5" t="n">
        <v>145.62</v>
      </c>
      <c r="G5211">
        <f>IF(LEFT(B5211,1)="C","Credit","Factuur")</f>
        <v/>
      </c>
      <c r="H5211">
        <f>IF(AND(B5211=B5210,D5211=D5210,A5211=A5210,F5211=F5210),1,0)</f>
        <v/>
      </c>
      <c r="I5211">
        <f>IF(C5211="C99999",1,0)</f>
        <v/>
      </c>
      <c r="J5211" s="5">
        <f>IF(OR(H5211=1,I5211=1),0,IF(G5211="Credit",-F5211,F5211))</f>
        <v/>
      </c>
    </row>
    <row r="5212">
      <c r="A5212" t="inlineStr">
        <is>
          <t>2026-08-21</t>
        </is>
      </c>
      <c r="B5212" t="inlineStr">
        <is>
          <t>F261741</t>
        </is>
      </c>
      <c r="C5212" t="inlineStr">
        <is>
          <t>C10091</t>
        </is>
      </c>
      <c r="D5212" t="inlineStr">
        <is>
          <t>SKU-10108</t>
        </is>
      </c>
      <c r="E5212" t="inlineStr">
        <is>
          <t>AM11</t>
        </is>
      </c>
      <c r="F5212" s="5" t="n">
        <v>371.72</v>
      </c>
      <c r="G5212">
        <f>IF(LEFT(B5212,1)="C","Credit","Factuur")</f>
        <v/>
      </c>
      <c r="H5212">
        <f>IF(AND(B5212=B5211,D5212=D5211,A5212=A5211,F5212=F5211),1,0)</f>
        <v/>
      </c>
      <c r="I5212">
        <f>IF(C5212="C99999",1,0)</f>
        <v/>
      </c>
      <c r="J5212" s="5">
        <f>IF(OR(H5212=1,I5212=1),0,IF(G5212="Credit",-F5212,F5212))</f>
        <v/>
      </c>
    </row>
    <row r="5213">
      <c r="A5213" t="inlineStr">
        <is>
          <t>2026-08-21</t>
        </is>
      </c>
      <c r="B5213" t="inlineStr">
        <is>
          <t>F261741</t>
        </is>
      </c>
      <c r="C5213" t="inlineStr">
        <is>
          <t>C10091</t>
        </is>
      </c>
      <c r="D5213" t="inlineStr">
        <is>
          <t>SKU-10152</t>
        </is>
      </c>
      <c r="E5213" t="inlineStr">
        <is>
          <t>AM11</t>
        </is>
      </c>
      <c r="F5213" s="5" t="n">
        <v>400.68</v>
      </c>
      <c r="G5213">
        <f>IF(LEFT(B5213,1)="C","Credit","Factuur")</f>
        <v/>
      </c>
      <c r="H5213">
        <f>IF(AND(B5213=B5212,D5213=D5212,A5213=A5212,F5213=F5212),1,0)</f>
        <v/>
      </c>
      <c r="I5213">
        <f>IF(C5213="C99999",1,0)</f>
        <v/>
      </c>
      <c r="J5213" s="5">
        <f>IF(OR(H5213=1,I5213=1),0,IF(G5213="Credit",-F5213,F5213))</f>
        <v/>
      </c>
    </row>
    <row r="5214">
      <c r="A5214" t="inlineStr">
        <is>
          <t>2026-08-21</t>
        </is>
      </c>
      <c r="B5214" t="inlineStr">
        <is>
          <t>F261741</t>
        </is>
      </c>
      <c r="C5214" t="inlineStr">
        <is>
          <t>C10091</t>
        </is>
      </c>
      <c r="D5214" t="inlineStr">
        <is>
          <t>SKU-10280</t>
        </is>
      </c>
      <c r="E5214" t="inlineStr">
        <is>
          <t>AM11</t>
        </is>
      </c>
      <c r="F5214" s="5" t="n">
        <v>396.45</v>
      </c>
      <c r="G5214">
        <f>IF(LEFT(B5214,1)="C","Credit","Factuur")</f>
        <v/>
      </c>
      <c r="H5214">
        <f>IF(AND(B5214=B5213,D5214=D5213,A5214=A5213,F5214=F5213),1,0)</f>
        <v/>
      </c>
      <c r="I5214">
        <f>IF(C5214="C99999",1,0)</f>
        <v/>
      </c>
      <c r="J5214" s="5">
        <f>IF(OR(H5214=1,I5214=1),0,IF(G5214="Credit",-F5214,F5214))</f>
        <v/>
      </c>
    </row>
    <row r="5215">
      <c r="A5215" t="inlineStr">
        <is>
          <t>2026-08-21</t>
        </is>
      </c>
      <c r="B5215" t="inlineStr">
        <is>
          <t>F261746</t>
        </is>
      </c>
      <c r="C5215" t="inlineStr">
        <is>
          <t>C10091</t>
        </is>
      </c>
      <c r="D5215" t="inlineStr">
        <is>
          <t>SKU-10224</t>
        </is>
      </c>
      <c r="E5215" t="inlineStr">
        <is>
          <t>AM11</t>
        </is>
      </c>
      <c r="F5215" s="5" t="n">
        <v>783.75</v>
      </c>
      <c r="G5215">
        <f>IF(LEFT(B5215,1)="C","Credit","Factuur")</f>
        <v/>
      </c>
      <c r="H5215">
        <f>IF(AND(B5215=B5214,D5215=D5214,A5215=A5214,F5215=F5214),1,0)</f>
        <v/>
      </c>
      <c r="I5215">
        <f>IF(C5215="C99999",1,0)</f>
        <v/>
      </c>
      <c r="J5215" s="5">
        <f>IF(OR(H5215=1,I5215=1),0,IF(G5215="Credit",-F5215,F5215))</f>
        <v/>
      </c>
    </row>
    <row r="5216">
      <c r="A5216" t="inlineStr">
        <is>
          <t>2026-08-21</t>
        </is>
      </c>
      <c r="B5216" t="inlineStr">
        <is>
          <t>F261746</t>
        </is>
      </c>
      <c r="C5216" t="inlineStr">
        <is>
          <t>C10091</t>
        </is>
      </c>
      <c r="D5216" t="inlineStr">
        <is>
          <t>SKU-10324</t>
        </is>
      </c>
      <c r="E5216" t="inlineStr">
        <is>
          <t>AM11</t>
        </is>
      </c>
      <c r="F5216" s="5" t="n">
        <v>781.92</v>
      </c>
      <c r="G5216">
        <f>IF(LEFT(B5216,1)="C","Credit","Factuur")</f>
        <v/>
      </c>
      <c r="H5216">
        <f>IF(AND(B5216=B5215,D5216=D5215,A5216=A5215,F5216=F5215),1,0)</f>
        <v/>
      </c>
      <c r="I5216">
        <f>IF(C5216="C99999",1,0)</f>
        <v/>
      </c>
      <c r="J5216" s="5">
        <f>IF(OR(H5216=1,I5216=1),0,IF(G5216="Credit",-F5216,F5216))</f>
        <v/>
      </c>
    </row>
    <row r="5217">
      <c r="A5217" t="inlineStr">
        <is>
          <t>2026-08-21</t>
        </is>
      </c>
      <c r="B5217" t="inlineStr">
        <is>
          <t>F262347</t>
        </is>
      </c>
      <c r="C5217" t="inlineStr">
        <is>
          <t>C10124</t>
        </is>
      </c>
      <c r="D5217" t="inlineStr">
        <is>
          <t>SKU-10231</t>
        </is>
      </c>
      <c r="E5217" t="inlineStr">
        <is>
          <t>AM05</t>
        </is>
      </c>
      <c r="F5217" s="5" t="n">
        <v>1705.53</v>
      </c>
      <c r="G5217">
        <f>IF(LEFT(B5217,1)="C","Credit","Factuur")</f>
        <v/>
      </c>
      <c r="H5217">
        <f>IF(AND(B5217=B5216,D5217=D5216,A5217=A5216,F5217=F5216),1,0)</f>
        <v/>
      </c>
      <c r="I5217">
        <f>IF(C5217="C99999",1,0)</f>
        <v/>
      </c>
      <c r="J5217" s="5">
        <f>IF(OR(H5217=1,I5217=1),0,IF(G5217="Credit",-F5217,F5217))</f>
        <v/>
      </c>
    </row>
    <row r="5218">
      <c r="A5218" t="inlineStr">
        <is>
          <t>2026-08-21</t>
        </is>
      </c>
      <c r="B5218" t="inlineStr">
        <is>
          <t>F262472</t>
        </is>
      </c>
      <c r="C5218" t="inlineStr">
        <is>
          <t>C10131</t>
        </is>
      </c>
      <c r="D5218" t="inlineStr">
        <is>
          <t>SKU-10024</t>
        </is>
      </c>
      <c r="E5218" t="inlineStr">
        <is>
          <t>AM11</t>
        </is>
      </c>
      <c r="F5218" s="5" t="n">
        <v>183.62</v>
      </c>
      <c r="G5218">
        <f>IF(LEFT(B5218,1)="C","Credit","Factuur")</f>
        <v/>
      </c>
      <c r="H5218">
        <f>IF(AND(B5218=B5217,D5218=D5217,A5218=A5217,F5218=F5217),1,0)</f>
        <v/>
      </c>
      <c r="I5218">
        <f>IF(C5218="C99999",1,0)</f>
        <v/>
      </c>
      <c r="J5218" s="5">
        <f>IF(OR(H5218=1,I5218=1),0,IF(G5218="Credit",-F5218,F5218))</f>
        <v/>
      </c>
    </row>
    <row r="5219">
      <c r="A5219" t="inlineStr">
        <is>
          <t>2026-08-21</t>
        </is>
      </c>
      <c r="B5219" t="inlineStr">
        <is>
          <t>F262472</t>
        </is>
      </c>
      <c r="C5219" t="inlineStr">
        <is>
          <t>C10131</t>
        </is>
      </c>
      <c r="D5219" t="inlineStr">
        <is>
          <t>SKU-10069</t>
        </is>
      </c>
      <c r="E5219" t="inlineStr">
        <is>
          <t>AM11</t>
        </is>
      </c>
      <c r="F5219" s="5" t="n">
        <v>181.15</v>
      </c>
      <c r="G5219">
        <f>IF(LEFT(B5219,1)="C","Credit","Factuur")</f>
        <v/>
      </c>
      <c r="H5219">
        <f>IF(AND(B5219=B5218,D5219=D5218,A5219=A5218,F5219=F5218),1,0)</f>
        <v/>
      </c>
      <c r="I5219">
        <f>IF(C5219="C99999",1,0)</f>
        <v/>
      </c>
      <c r="J5219" s="5">
        <f>IF(OR(H5219=1,I5219=1),0,IF(G5219="Credit",-F5219,F5219))</f>
        <v/>
      </c>
    </row>
    <row r="5220">
      <c r="A5220" t="inlineStr">
        <is>
          <t>2026-08-21</t>
        </is>
      </c>
      <c r="B5220" t="inlineStr">
        <is>
          <t>F262472</t>
        </is>
      </c>
      <c r="C5220" t="inlineStr">
        <is>
          <t>C10131</t>
        </is>
      </c>
      <c r="D5220" t="inlineStr">
        <is>
          <t>SKU-10128</t>
        </is>
      </c>
      <c r="E5220" t="inlineStr">
        <is>
          <t>AM11</t>
        </is>
      </c>
      <c r="F5220" s="5" t="n">
        <v>178.55</v>
      </c>
      <c r="G5220">
        <f>IF(LEFT(B5220,1)="C","Credit","Factuur")</f>
        <v/>
      </c>
      <c r="H5220">
        <f>IF(AND(B5220=B5219,D5220=D5219,A5220=A5219,F5220=F5219),1,0)</f>
        <v/>
      </c>
      <c r="I5220">
        <f>IF(C5220="C99999",1,0)</f>
        <v/>
      </c>
      <c r="J5220" s="5">
        <f>IF(OR(H5220=1,I5220=1),0,IF(G5220="Credit",-F5220,F5220))</f>
        <v/>
      </c>
    </row>
    <row r="5221">
      <c r="A5221" t="inlineStr">
        <is>
          <t>2026-08-21</t>
        </is>
      </c>
      <c r="B5221" t="inlineStr">
        <is>
          <t>F262494</t>
        </is>
      </c>
      <c r="C5221" t="inlineStr">
        <is>
          <t>C10132</t>
        </is>
      </c>
      <c r="D5221" t="inlineStr">
        <is>
          <t>SKU-10008</t>
        </is>
      </c>
      <c r="E5221" t="inlineStr">
        <is>
          <t>AM05</t>
        </is>
      </c>
      <c r="F5221" s="5" t="n">
        <v>591.3200000000001</v>
      </c>
      <c r="G5221">
        <f>IF(LEFT(B5221,1)="C","Credit","Factuur")</f>
        <v/>
      </c>
      <c r="H5221">
        <f>IF(AND(B5221=B5220,D5221=D5220,A5221=A5220,F5221=F5220),1,0)</f>
        <v/>
      </c>
      <c r="I5221">
        <f>IF(C5221="C99999",1,0)</f>
        <v/>
      </c>
      <c r="J5221" s="5">
        <f>IF(OR(H5221=1,I5221=1),0,IF(G5221="Credit",-F5221,F5221))</f>
        <v/>
      </c>
    </row>
    <row r="5222">
      <c r="A5222" t="inlineStr">
        <is>
          <t>2026-08-21</t>
        </is>
      </c>
      <c r="B5222" t="inlineStr">
        <is>
          <t>F262494</t>
        </is>
      </c>
      <c r="C5222" t="inlineStr">
        <is>
          <t>C10132</t>
        </is>
      </c>
      <c r="D5222" t="inlineStr">
        <is>
          <t>SKU-10248</t>
        </is>
      </c>
      <c r="E5222" t="inlineStr">
        <is>
          <t>AM05</t>
        </is>
      </c>
      <c r="F5222" s="5" t="n">
        <v>554.58</v>
      </c>
      <c r="G5222">
        <f>IF(LEFT(B5222,1)="C","Credit","Factuur")</f>
        <v/>
      </c>
      <c r="H5222">
        <f>IF(AND(B5222=B5221,D5222=D5221,A5222=A5221,F5222=F5221),1,0)</f>
        <v/>
      </c>
      <c r="I5222">
        <f>IF(C5222="C99999",1,0)</f>
        <v/>
      </c>
      <c r="J5222" s="5">
        <f>IF(OR(H5222=1,I5222=1),0,IF(G5222="Credit",-F5222,F5222))</f>
        <v/>
      </c>
    </row>
    <row r="5223">
      <c r="A5223" t="inlineStr">
        <is>
          <t>2026-08-21</t>
        </is>
      </c>
      <c r="B5223" t="inlineStr">
        <is>
          <t>F262494</t>
        </is>
      </c>
      <c r="C5223" t="inlineStr">
        <is>
          <t>C10132</t>
        </is>
      </c>
      <c r="D5223" t="inlineStr">
        <is>
          <t>SKU-10266</t>
        </is>
      </c>
      <c r="E5223" t="inlineStr">
        <is>
          <t>AM05</t>
        </is>
      </c>
      <c r="F5223" s="5" t="n">
        <v>535.5700000000001</v>
      </c>
      <c r="G5223">
        <f>IF(LEFT(B5223,1)="C","Credit","Factuur")</f>
        <v/>
      </c>
      <c r="H5223">
        <f>IF(AND(B5223=B5222,D5223=D5222,A5223=A5222,F5223=F5222),1,0)</f>
        <v/>
      </c>
      <c r="I5223">
        <f>IF(C5223="C99999",1,0)</f>
        <v/>
      </c>
      <c r="J5223" s="5">
        <f>IF(OR(H5223=1,I5223=1),0,IF(G5223="Credit",-F5223,F5223))</f>
        <v/>
      </c>
    </row>
    <row r="5224">
      <c r="A5224" t="inlineStr">
        <is>
          <t>2026-08-21</t>
        </is>
      </c>
      <c r="B5224" t="inlineStr">
        <is>
          <t>F262494</t>
        </is>
      </c>
      <c r="C5224" t="inlineStr">
        <is>
          <t>C10132</t>
        </is>
      </c>
      <c r="D5224" t="inlineStr">
        <is>
          <t>SKU-10349</t>
        </is>
      </c>
      <c r="E5224" t="inlineStr">
        <is>
          <t>AM05</t>
        </is>
      </c>
      <c r="F5224" s="5" t="n">
        <v>623.61</v>
      </c>
      <c r="G5224">
        <f>IF(LEFT(B5224,1)="C","Credit","Factuur")</f>
        <v/>
      </c>
      <c r="H5224">
        <f>IF(AND(B5224=B5223,D5224=D5223,A5224=A5223,F5224=F5223),1,0)</f>
        <v/>
      </c>
      <c r="I5224">
        <f>IF(C5224="C99999",1,0)</f>
        <v/>
      </c>
      <c r="J5224" s="5">
        <f>IF(OR(H5224=1,I5224=1),0,IF(G5224="Credit",-F5224,F5224))</f>
        <v/>
      </c>
    </row>
    <row r="5225">
      <c r="A5225" t="inlineStr">
        <is>
          <t>2026-08-21</t>
        </is>
      </c>
      <c r="B5225" t="inlineStr">
        <is>
          <t>F262688</t>
        </is>
      </c>
      <c r="C5225" t="inlineStr">
        <is>
          <t>C10145</t>
        </is>
      </c>
      <c r="D5225" t="inlineStr">
        <is>
          <t>SKU-10010</t>
        </is>
      </c>
      <c r="E5225" t="inlineStr">
        <is>
          <t>AM11</t>
        </is>
      </c>
      <c r="F5225" s="5" t="n">
        <v>220.6</v>
      </c>
      <c r="G5225">
        <f>IF(LEFT(B5225,1)="C","Credit","Factuur")</f>
        <v/>
      </c>
      <c r="H5225">
        <f>IF(AND(B5225=B5224,D5225=D5224,A5225=A5224,F5225=F5224),1,0)</f>
        <v/>
      </c>
      <c r="I5225">
        <f>IF(C5225="C99999",1,0)</f>
        <v/>
      </c>
      <c r="J5225" s="5">
        <f>IF(OR(H5225=1,I5225=1),0,IF(G5225="Credit",-F5225,F5225))</f>
        <v/>
      </c>
    </row>
    <row r="5226">
      <c r="A5226" t="inlineStr">
        <is>
          <t>2026-08-21</t>
        </is>
      </c>
      <c r="B5226" t="inlineStr">
        <is>
          <t>F262688</t>
        </is>
      </c>
      <c r="C5226" t="inlineStr">
        <is>
          <t>C10145</t>
        </is>
      </c>
      <c r="D5226" t="inlineStr">
        <is>
          <t>SKU-10042</t>
        </is>
      </c>
      <c r="E5226" t="inlineStr">
        <is>
          <t>AM11</t>
        </is>
      </c>
      <c r="F5226" s="5" t="n">
        <v>206.34</v>
      </c>
      <c r="G5226">
        <f>IF(LEFT(B5226,1)="C","Credit","Factuur")</f>
        <v/>
      </c>
      <c r="H5226">
        <f>IF(AND(B5226=B5225,D5226=D5225,A5226=A5225,F5226=F5225),1,0)</f>
        <v/>
      </c>
      <c r="I5226">
        <f>IF(C5226="C99999",1,0)</f>
        <v/>
      </c>
      <c r="J5226" s="5">
        <f>IF(OR(H5226=1,I5226=1),0,IF(G5226="Credit",-F5226,F5226))</f>
        <v/>
      </c>
    </row>
    <row r="5227">
      <c r="A5227" t="inlineStr">
        <is>
          <t>2026-08-21</t>
        </is>
      </c>
      <c r="B5227" t="inlineStr">
        <is>
          <t>F262688</t>
        </is>
      </c>
      <c r="C5227" t="inlineStr">
        <is>
          <t>C10145</t>
        </is>
      </c>
      <c r="D5227" t="inlineStr">
        <is>
          <t>SKU-10084</t>
        </is>
      </c>
      <c r="E5227" t="inlineStr">
        <is>
          <t>AM11</t>
        </is>
      </c>
      <c r="F5227" s="5" t="n">
        <v>203.8</v>
      </c>
      <c r="G5227">
        <f>IF(LEFT(B5227,1)="C","Credit","Factuur")</f>
        <v/>
      </c>
      <c r="H5227">
        <f>IF(AND(B5227=B5226,D5227=D5226,A5227=A5226,F5227=F5226),1,0)</f>
        <v/>
      </c>
      <c r="I5227">
        <f>IF(C5227="C99999",1,0)</f>
        <v/>
      </c>
      <c r="J5227" s="5">
        <f>IF(OR(H5227=1,I5227=1),0,IF(G5227="Credit",-F5227,F5227))</f>
        <v/>
      </c>
    </row>
    <row r="5228">
      <c r="A5228" t="inlineStr">
        <is>
          <t>2026-08-21</t>
        </is>
      </c>
      <c r="B5228" t="inlineStr">
        <is>
          <t>F262688</t>
        </is>
      </c>
      <c r="C5228" t="inlineStr">
        <is>
          <t>C10145</t>
        </is>
      </c>
      <c r="D5228" t="inlineStr">
        <is>
          <t>SKU-10284</t>
        </is>
      </c>
      <c r="E5228" t="inlineStr">
        <is>
          <t>AM11</t>
        </is>
      </c>
      <c r="F5228" s="5" t="n">
        <v>204.36</v>
      </c>
      <c r="G5228">
        <f>IF(LEFT(B5228,1)="C","Credit","Factuur")</f>
        <v/>
      </c>
      <c r="H5228">
        <f>IF(AND(B5228=B5227,D5228=D5227,A5228=A5227,F5228=F5227),1,0)</f>
        <v/>
      </c>
      <c r="I5228">
        <f>IF(C5228="C99999",1,0)</f>
        <v/>
      </c>
      <c r="J5228" s="5">
        <f>IF(OR(H5228=1,I5228=1),0,IF(G5228="Credit",-F5228,F5228))</f>
        <v/>
      </c>
    </row>
    <row r="5229">
      <c r="A5229" t="inlineStr">
        <is>
          <t>2026-08-21</t>
        </is>
      </c>
      <c r="B5229" t="inlineStr">
        <is>
          <t>F263207</t>
        </is>
      </c>
      <c r="C5229" t="inlineStr">
        <is>
          <t>C10171</t>
        </is>
      </c>
      <c r="D5229" t="inlineStr">
        <is>
          <t>SKU-10131</t>
        </is>
      </c>
      <c r="E5229" t="inlineStr">
        <is>
          <t>AM07</t>
        </is>
      </c>
      <c r="F5229" s="5" t="n">
        <v>210.37</v>
      </c>
      <c r="G5229">
        <f>IF(LEFT(B5229,1)="C","Credit","Factuur")</f>
        <v/>
      </c>
      <c r="H5229">
        <f>IF(AND(B5229=B5228,D5229=D5228,A5229=A5228,F5229=F5228),1,0)</f>
        <v/>
      </c>
      <c r="I5229">
        <f>IF(C5229="C99999",1,0)</f>
        <v/>
      </c>
      <c r="J5229" s="5">
        <f>IF(OR(H5229=1,I5229=1),0,IF(G5229="Credit",-F5229,F5229))</f>
        <v/>
      </c>
    </row>
    <row r="5230">
      <c r="A5230" t="inlineStr">
        <is>
          <t>2026-08-21</t>
        </is>
      </c>
      <c r="B5230" t="inlineStr">
        <is>
          <t>F263207</t>
        </is>
      </c>
      <c r="C5230" t="inlineStr">
        <is>
          <t>C10171</t>
        </is>
      </c>
      <c r="D5230" t="inlineStr">
        <is>
          <t>SKU-10145</t>
        </is>
      </c>
      <c r="E5230" t="inlineStr">
        <is>
          <t>AM07</t>
        </is>
      </c>
      <c r="F5230" s="5" t="n">
        <v>119.18</v>
      </c>
      <c r="G5230">
        <f>IF(LEFT(B5230,1)="C","Credit","Factuur")</f>
        <v/>
      </c>
      <c r="H5230">
        <f>IF(AND(B5230=B5229,D5230=D5229,A5230=A5229,F5230=F5229),1,0)</f>
        <v/>
      </c>
      <c r="I5230">
        <f>IF(C5230="C99999",1,0)</f>
        <v/>
      </c>
      <c r="J5230" s="5">
        <f>IF(OR(H5230=1,I5230=1),0,IF(G5230="Credit",-F5230,F5230))</f>
        <v/>
      </c>
    </row>
    <row r="5231">
      <c r="A5231" t="inlineStr">
        <is>
          <t>2026-08-21</t>
        </is>
      </c>
      <c r="B5231" t="inlineStr">
        <is>
          <t>F263207</t>
        </is>
      </c>
      <c r="C5231" t="inlineStr">
        <is>
          <t>C10171</t>
        </is>
      </c>
      <c r="D5231" t="inlineStr">
        <is>
          <t>SKU-10212</t>
        </is>
      </c>
      <c r="E5231" t="inlineStr">
        <is>
          <t>AM07</t>
        </is>
      </c>
      <c r="F5231" s="5" t="n">
        <v>187.38</v>
      </c>
      <c r="G5231">
        <f>IF(LEFT(B5231,1)="C","Credit","Factuur")</f>
        <v/>
      </c>
      <c r="H5231">
        <f>IF(AND(B5231=B5230,D5231=D5230,A5231=A5230,F5231=F5230),1,0)</f>
        <v/>
      </c>
      <c r="I5231">
        <f>IF(C5231="C99999",1,0)</f>
        <v/>
      </c>
      <c r="J5231" s="5">
        <f>IF(OR(H5231=1,I5231=1),0,IF(G5231="Credit",-F5231,F5231))</f>
        <v/>
      </c>
    </row>
    <row r="5232">
      <c r="A5232" t="inlineStr">
        <is>
          <t>2026-08-21</t>
        </is>
      </c>
      <c r="B5232" t="inlineStr">
        <is>
          <t>F263586</t>
        </is>
      </c>
      <c r="C5232" t="inlineStr">
        <is>
          <t>C10193</t>
        </is>
      </c>
      <c r="D5232" t="inlineStr">
        <is>
          <t>SKU-10163</t>
        </is>
      </c>
      <c r="E5232" t="inlineStr">
        <is>
          <t>AM02</t>
        </is>
      </c>
      <c r="F5232" s="5" t="n">
        <v>641.52</v>
      </c>
      <c r="G5232">
        <f>IF(LEFT(B5232,1)="C","Credit","Factuur")</f>
        <v/>
      </c>
      <c r="H5232">
        <f>IF(AND(B5232=B5231,D5232=D5231,A5232=A5231,F5232=F5231),1,0)</f>
        <v/>
      </c>
      <c r="I5232">
        <f>IF(C5232="C99999",1,0)</f>
        <v/>
      </c>
      <c r="J5232" s="5">
        <f>IF(OR(H5232=1,I5232=1),0,IF(G5232="Credit",-F5232,F5232))</f>
        <v/>
      </c>
    </row>
    <row r="5233">
      <c r="A5233" t="inlineStr">
        <is>
          <t>2026-08-21</t>
        </is>
      </c>
      <c r="B5233" t="inlineStr">
        <is>
          <t>F263586</t>
        </is>
      </c>
      <c r="C5233" t="inlineStr">
        <is>
          <t>C10193</t>
        </is>
      </c>
      <c r="D5233" t="inlineStr">
        <is>
          <t>SKU-10250</t>
        </is>
      </c>
      <c r="E5233" t="inlineStr">
        <is>
          <t>AM02</t>
        </is>
      </c>
      <c r="F5233" s="5" t="n">
        <v>646.38</v>
      </c>
      <c r="G5233">
        <f>IF(LEFT(B5233,1)="C","Credit","Factuur")</f>
        <v/>
      </c>
      <c r="H5233">
        <f>IF(AND(B5233=B5232,D5233=D5232,A5233=A5232,F5233=F5232),1,0)</f>
        <v/>
      </c>
      <c r="I5233">
        <f>IF(C5233="C99999",1,0)</f>
        <v/>
      </c>
      <c r="J5233" s="5">
        <f>IF(OR(H5233=1,I5233=1),0,IF(G5233="Credit",-F5233,F5233))</f>
        <v/>
      </c>
    </row>
    <row r="5234">
      <c r="A5234" t="inlineStr">
        <is>
          <t>2026-08-21</t>
        </is>
      </c>
      <c r="B5234" t="inlineStr">
        <is>
          <t>F263586</t>
        </is>
      </c>
      <c r="C5234" t="inlineStr">
        <is>
          <t>C10193</t>
        </is>
      </c>
      <c r="D5234" t="inlineStr">
        <is>
          <t>SKU-10328</t>
        </is>
      </c>
      <c r="E5234" t="inlineStr">
        <is>
          <t>AM02</t>
        </is>
      </c>
      <c r="F5234" s="5" t="n">
        <v>593.5599999999999</v>
      </c>
      <c r="G5234">
        <f>IF(LEFT(B5234,1)="C","Credit","Factuur")</f>
        <v/>
      </c>
      <c r="H5234">
        <f>IF(AND(B5234=B5233,D5234=D5233,A5234=A5233,F5234=F5233),1,0)</f>
        <v/>
      </c>
      <c r="I5234">
        <f>IF(C5234="C99999",1,0)</f>
        <v/>
      </c>
      <c r="J5234" s="5">
        <f>IF(OR(H5234=1,I5234=1),0,IF(G5234="Credit",-F5234,F5234))</f>
        <v/>
      </c>
    </row>
    <row r="5235">
      <c r="A5235" t="inlineStr">
        <is>
          <t>2026-08-21</t>
        </is>
      </c>
      <c r="B5235" t="inlineStr">
        <is>
          <t>F263586</t>
        </is>
      </c>
      <c r="C5235" t="inlineStr">
        <is>
          <t>C10193</t>
        </is>
      </c>
      <c r="D5235" t="inlineStr">
        <is>
          <t>SKU-10335</t>
        </is>
      </c>
      <c r="E5235" t="inlineStr">
        <is>
          <t>AM02</t>
        </is>
      </c>
      <c r="F5235" s="5" t="n">
        <v>604.8099999999999</v>
      </c>
      <c r="G5235">
        <f>IF(LEFT(B5235,1)="C","Credit","Factuur")</f>
        <v/>
      </c>
      <c r="H5235">
        <f>IF(AND(B5235=B5234,D5235=D5234,A5235=A5234,F5235=F5234),1,0)</f>
        <v/>
      </c>
      <c r="I5235">
        <f>IF(C5235="C99999",1,0)</f>
        <v/>
      </c>
      <c r="J5235" s="5">
        <f>IF(OR(H5235=1,I5235=1),0,IF(G5235="Credit",-F5235,F5235))</f>
        <v/>
      </c>
    </row>
    <row r="5236">
      <c r="A5236" t="inlineStr">
        <is>
          <t>2026-08-21</t>
        </is>
      </c>
      <c r="B5236" t="inlineStr">
        <is>
          <t>F263586</t>
        </is>
      </c>
      <c r="C5236" t="inlineStr">
        <is>
          <t>C10193</t>
        </is>
      </c>
      <c r="D5236" t="inlineStr">
        <is>
          <t>SKU-10337</t>
        </is>
      </c>
      <c r="E5236" t="inlineStr">
        <is>
          <t>AM02</t>
        </is>
      </c>
      <c r="F5236" s="5" t="n">
        <v>610.71</v>
      </c>
      <c r="G5236">
        <f>IF(LEFT(B5236,1)="C","Credit","Factuur")</f>
        <v/>
      </c>
      <c r="H5236">
        <f>IF(AND(B5236=B5235,D5236=D5235,A5236=A5235,F5236=F5235),1,0)</f>
        <v/>
      </c>
      <c r="I5236">
        <f>IF(C5236="C99999",1,0)</f>
        <v/>
      </c>
      <c r="J5236" s="5">
        <f>IF(OR(H5236=1,I5236=1),0,IF(G5236="Credit",-F5236,F5236))</f>
        <v/>
      </c>
    </row>
    <row r="5237">
      <c r="A5237" t="inlineStr">
        <is>
          <t>2026-08-21</t>
        </is>
      </c>
      <c r="B5237" t="inlineStr">
        <is>
          <t>F263687</t>
        </is>
      </c>
      <c r="C5237" t="inlineStr">
        <is>
          <t>C10197</t>
        </is>
      </c>
      <c r="D5237" t="inlineStr">
        <is>
          <t>SKU-10142</t>
        </is>
      </c>
      <c r="E5237" t="inlineStr">
        <is>
          <t>AM07</t>
        </is>
      </c>
      <c r="F5237" s="5" t="n">
        <v>688.37</v>
      </c>
      <c r="G5237">
        <f>IF(LEFT(B5237,1)="C","Credit","Factuur")</f>
        <v/>
      </c>
      <c r="H5237">
        <f>IF(AND(B5237=B5236,D5237=D5236,A5237=A5236,F5237=F5236),1,0)</f>
        <v/>
      </c>
      <c r="I5237">
        <f>IF(C5237="C99999",1,0)</f>
        <v/>
      </c>
      <c r="J5237" s="5">
        <f>IF(OR(H5237=1,I5237=1),0,IF(G5237="Credit",-F5237,F5237))</f>
        <v/>
      </c>
    </row>
    <row r="5238">
      <c r="A5238" t="inlineStr">
        <is>
          <t>2026-08-21</t>
        </is>
      </c>
      <c r="B5238" t="inlineStr">
        <is>
          <t>F263687</t>
        </is>
      </c>
      <c r="C5238" t="inlineStr">
        <is>
          <t>C10197</t>
        </is>
      </c>
      <c r="D5238" t="inlineStr">
        <is>
          <t>SKU-10276</t>
        </is>
      </c>
      <c r="E5238" t="inlineStr">
        <is>
          <t>AM07</t>
        </is>
      </c>
      <c r="F5238" s="5" t="n">
        <v>705.4299999999999</v>
      </c>
      <c r="G5238">
        <f>IF(LEFT(B5238,1)="C","Credit","Factuur")</f>
        <v/>
      </c>
      <c r="H5238">
        <f>IF(AND(B5238=B5237,D5238=D5237,A5238=A5237,F5238=F5237),1,0)</f>
        <v/>
      </c>
      <c r="I5238">
        <f>IF(C5238="C99999",1,0)</f>
        <v/>
      </c>
      <c r="J5238" s="5">
        <f>IF(OR(H5238=1,I5238=1),0,IF(G5238="Credit",-F5238,F5238))</f>
        <v/>
      </c>
    </row>
    <row r="5239">
      <c r="A5239" t="inlineStr">
        <is>
          <t>2026-08-21</t>
        </is>
      </c>
      <c r="B5239" t="inlineStr">
        <is>
          <t>F263893</t>
        </is>
      </c>
      <c r="C5239" t="inlineStr">
        <is>
          <t>C10206</t>
        </is>
      </c>
      <c r="D5239" t="inlineStr">
        <is>
          <t>SKU-10126</t>
        </is>
      </c>
      <c r="E5239" t="inlineStr">
        <is>
          <t>AM01</t>
        </is>
      </c>
      <c r="F5239" s="5" t="n">
        <v>2518.08</v>
      </c>
      <c r="G5239">
        <f>IF(LEFT(B5239,1)="C","Credit","Factuur")</f>
        <v/>
      </c>
      <c r="H5239">
        <f>IF(AND(B5239=B5238,D5239=D5238,A5239=A5238,F5239=F5238),1,0)</f>
        <v/>
      </c>
      <c r="I5239">
        <f>IF(C5239="C99999",1,0)</f>
        <v/>
      </c>
      <c r="J5239" s="5">
        <f>IF(OR(H5239=1,I5239=1),0,IF(G5239="Credit",-F5239,F5239))</f>
        <v/>
      </c>
    </row>
    <row r="5240">
      <c r="A5240" t="inlineStr">
        <is>
          <t>2026-08-21</t>
        </is>
      </c>
      <c r="B5240" t="inlineStr">
        <is>
          <t>F264264</t>
        </is>
      </c>
      <c r="C5240" t="inlineStr">
        <is>
          <t>C10224</t>
        </is>
      </c>
      <c r="D5240" t="inlineStr">
        <is>
          <t>SKU-10195</t>
        </is>
      </c>
      <c r="E5240" t="inlineStr">
        <is>
          <t>AM12</t>
        </is>
      </c>
      <c r="F5240" s="5" t="n">
        <v>372.67</v>
      </c>
      <c r="G5240">
        <f>IF(LEFT(B5240,1)="C","Credit","Factuur")</f>
        <v/>
      </c>
      <c r="H5240">
        <f>IF(AND(B5240=B5239,D5240=D5239,A5240=A5239,F5240=F5239),1,0)</f>
        <v/>
      </c>
      <c r="I5240">
        <f>IF(C5240="C99999",1,0)</f>
        <v/>
      </c>
      <c r="J5240" s="5">
        <f>IF(OR(H5240=1,I5240=1),0,IF(G5240="Credit",-F5240,F5240))</f>
        <v/>
      </c>
    </row>
    <row r="5241">
      <c r="A5241" t="inlineStr">
        <is>
          <t>2026-08-21</t>
        </is>
      </c>
      <c r="B5241" t="inlineStr">
        <is>
          <t>F264264</t>
        </is>
      </c>
      <c r="C5241" t="inlineStr">
        <is>
          <t>C10224</t>
        </is>
      </c>
      <c r="D5241" t="inlineStr">
        <is>
          <t>SKU-10274</t>
        </is>
      </c>
      <c r="E5241" t="inlineStr">
        <is>
          <t>AM12</t>
        </is>
      </c>
      <c r="F5241" s="5" t="n">
        <v>385.05</v>
      </c>
      <c r="G5241">
        <f>IF(LEFT(B5241,1)="C","Credit","Factuur")</f>
        <v/>
      </c>
      <c r="H5241">
        <f>IF(AND(B5241=B5240,D5241=D5240,A5241=A5240,F5241=F5240),1,0)</f>
        <v/>
      </c>
      <c r="I5241">
        <f>IF(C5241="C99999",1,0)</f>
        <v/>
      </c>
      <c r="J5241" s="5">
        <f>IF(OR(H5241=1,I5241=1),0,IF(G5241="Credit",-F5241,F5241))</f>
        <v/>
      </c>
    </row>
    <row r="5242">
      <c r="A5242" t="inlineStr">
        <is>
          <t>2026-08-21</t>
        </is>
      </c>
      <c r="B5242" t="inlineStr">
        <is>
          <t>F265608</t>
        </is>
      </c>
      <c r="C5242" t="inlineStr">
        <is>
          <t>C10294</t>
        </is>
      </c>
      <c r="D5242" t="inlineStr">
        <is>
          <t>SKU-10065</t>
        </is>
      </c>
      <c r="E5242" t="inlineStr">
        <is>
          <t>AM11</t>
        </is>
      </c>
      <c r="F5242" s="5" t="n">
        <v>38.66</v>
      </c>
      <c r="G5242">
        <f>IF(LEFT(B5242,1)="C","Credit","Factuur")</f>
        <v/>
      </c>
      <c r="H5242">
        <f>IF(AND(B5242=B5241,D5242=D5241,A5242=A5241,F5242=F5241),1,0)</f>
        <v/>
      </c>
      <c r="I5242">
        <f>IF(C5242="C99999",1,0)</f>
        <v/>
      </c>
      <c r="J5242" s="5">
        <f>IF(OR(H5242=1,I5242=1),0,IF(G5242="Credit",-F5242,F5242))</f>
        <v/>
      </c>
    </row>
    <row r="5243">
      <c r="A5243" t="inlineStr">
        <is>
          <t>2026-08-21</t>
        </is>
      </c>
      <c r="B5243" t="inlineStr">
        <is>
          <t>F265608</t>
        </is>
      </c>
      <c r="C5243" t="inlineStr">
        <is>
          <t>C10294</t>
        </is>
      </c>
      <c r="D5243" t="inlineStr">
        <is>
          <t>SKU-10134</t>
        </is>
      </c>
      <c r="E5243" t="inlineStr">
        <is>
          <t>AM11</t>
        </is>
      </c>
      <c r="F5243" s="5" t="n">
        <v>58.09</v>
      </c>
      <c r="G5243">
        <f>IF(LEFT(B5243,1)="C","Credit","Factuur")</f>
        <v/>
      </c>
      <c r="H5243">
        <f>IF(AND(B5243=B5242,D5243=D5242,A5243=A5242,F5243=F5242),1,0)</f>
        <v/>
      </c>
      <c r="I5243">
        <f>IF(C5243="C99999",1,0)</f>
        <v/>
      </c>
      <c r="J5243" s="5">
        <f>IF(OR(H5243=1,I5243=1),0,IF(G5243="Credit",-F5243,F5243))</f>
        <v/>
      </c>
    </row>
    <row r="5244">
      <c r="A5244" t="inlineStr">
        <is>
          <t>2026-08-21</t>
        </is>
      </c>
      <c r="B5244" t="inlineStr">
        <is>
          <t>F265608</t>
        </is>
      </c>
      <c r="C5244" t="inlineStr">
        <is>
          <t>C10294</t>
        </is>
      </c>
      <c r="D5244" t="inlineStr">
        <is>
          <t>SKU-10263</t>
        </is>
      </c>
      <c r="E5244" t="inlineStr">
        <is>
          <t>AM11</t>
        </is>
      </c>
      <c r="F5244" s="5" t="n">
        <v>43.99</v>
      </c>
      <c r="G5244">
        <f>IF(LEFT(B5244,1)="C","Credit","Factuur")</f>
        <v/>
      </c>
      <c r="H5244">
        <f>IF(AND(B5244=B5243,D5244=D5243,A5244=A5243,F5244=F5243),1,0)</f>
        <v/>
      </c>
      <c r="I5244">
        <f>IF(C5244="C99999",1,0)</f>
        <v/>
      </c>
      <c r="J5244" s="5">
        <f>IF(OR(H5244=1,I5244=1),0,IF(G5244="Credit",-F5244,F5244))</f>
        <v/>
      </c>
    </row>
    <row r="5245">
      <c r="A5245" t="inlineStr">
        <is>
          <t>2026-08-21</t>
        </is>
      </c>
      <c r="B5245" t="inlineStr">
        <is>
          <t>F265608</t>
        </is>
      </c>
      <c r="C5245" t="inlineStr">
        <is>
          <t>C10294</t>
        </is>
      </c>
      <c r="D5245" t="inlineStr">
        <is>
          <t>SKU-10300</t>
        </is>
      </c>
      <c r="E5245" t="inlineStr">
        <is>
          <t>AM11</t>
        </is>
      </c>
      <c r="F5245" s="5" t="n">
        <v>45.96</v>
      </c>
      <c r="G5245">
        <f>IF(LEFT(B5245,1)="C","Credit","Factuur")</f>
        <v/>
      </c>
      <c r="H5245">
        <f>IF(AND(B5245=B5244,D5245=D5244,A5245=A5244,F5245=F5244),1,0)</f>
        <v/>
      </c>
      <c r="I5245">
        <f>IF(C5245="C99999",1,0)</f>
        <v/>
      </c>
      <c r="J5245" s="5">
        <f>IF(OR(H5245=1,I5245=1),0,IF(G5245="Credit",-F5245,F5245))</f>
        <v/>
      </c>
    </row>
    <row r="5246">
      <c r="A5246" t="inlineStr">
        <is>
          <t>2026-08-21</t>
        </is>
      </c>
      <c r="B5246" t="inlineStr">
        <is>
          <t>F265608</t>
        </is>
      </c>
      <c r="C5246" t="inlineStr">
        <is>
          <t>C10294</t>
        </is>
      </c>
      <c r="D5246" t="inlineStr">
        <is>
          <t>SKU-10380</t>
        </is>
      </c>
      <c r="E5246" t="inlineStr">
        <is>
          <t>AM11</t>
        </is>
      </c>
      <c r="F5246" s="5" t="n">
        <v>72.83</v>
      </c>
      <c r="G5246">
        <f>IF(LEFT(B5246,1)="C","Credit","Factuur")</f>
        <v/>
      </c>
      <c r="H5246">
        <f>IF(AND(B5246=B5245,D5246=D5245,A5246=A5245,F5246=F5245),1,0)</f>
        <v/>
      </c>
      <c r="I5246">
        <f>IF(C5246="C99999",1,0)</f>
        <v/>
      </c>
      <c r="J5246" s="5">
        <f>IF(OR(H5246=1,I5246=1),0,IF(G5246="Credit",-F5246,F5246))</f>
        <v/>
      </c>
    </row>
    <row r="5247">
      <c r="A5247" t="inlineStr">
        <is>
          <t>2026-08-21</t>
        </is>
      </c>
      <c r="B5247" t="inlineStr">
        <is>
          <t>F265692</t>
        </is>
      </c>
      <c r="C5247" t="inlineStr">
        <is>
          <t>C10298</t>
        </is>
      </c>
      <c r="D5247" t="inlineStr">
        <is>
          <t>SKU-10072</t>
        </is>
      </c>
      <c r="E5247" t="inlineStr">
        <is>
          <t>AM02</t>
        </is>
      </c>
      <c r="F5247" s="5" t="n">
        <v>1096.83</v>
      </c>
      <c r="G5247">
        <f>IF(LEFT(B5247,1)="C","Credit","Factuur")</f>
        <v/>
      </c>
      <c r="H5247">
        <f>IF(AND(B5247=B5246,D5247=D5246,A5247=A5246,F5247=F5246),1,0)</f>
        <v/>
      </c>
      <c r="I5247">
        <f>IF(C5247="C99999",1,0)</f>
        <v/>
      </c>
      <c r="J5247" s="5">
        <f>IF(OR(H5247=1,I5247=1),0,IF(G5247="Credit",-F5247,F5247))</f>
        <v/>
      </c>
    </row>
    <row r="5248">
      <c r="A5248" t="inlineStr">
        <is>
          <t>2026-08-21</t>
        </is>
      </c>
      <c r="B5248" t="inlineStr">
        <is>
          <t>F265692</t>
        </is>
      </c>
      <c r="C5248" t="inlineStr">
        <is>
          <t>C10298</t>
        </is>
      </c>
      <c r="D5248" t="inlineStr">
        <is>
          <t>SKU-10152</t>
        </is>
      </c>
      <c r="E5248" t="inlineStr">
        <is>
          <t>AM02</t>
        </is>
      </c>
      <c r="F5248" s="5" t="n">
        <v>1015.06</v>
      </c>
      <c r="G5248">
        <f>IF(LEFT(B5248,1)="C","Credit","Factuur")</f>
        <v/>
      </c>
      <c r="H5248">
        <f>IF(AND(B5248=B5247,D5248=D5247,A5248=A5247,F5248=F5247),1,0)</f>
        <v/>
      </c>
      <c r="I5248">
        <f>IF(C5248="C99999",1,0)</f>
        <v/>
      </c>
      <c r="J5248" s="5">
        <f>IF(OR(H5248=1,I5248=1),0,IF(G5248="Credit",-F5248,F5248))</f>
        <v/>
      </c>
    </row>
    <row r="5249">
      <c r="A5249" t="inlineStr">
        <is>
          <t>2026-08-21</t>
        </is>
      </c>
      <c r="B5249" t="inlineStr">
        <is>
          <t>F265692</t>
        </is>
      </c>
      <c r="C5249" t="inlineStr">
        <is>
          <t>C10298</t>
        </is>
      </c>
      <c r="D5249" t="inlineStr">
        <is>
          <t>SKU-10171</t>
        </is>
      </c>
      <c r="E5249" t="inlineStr">
        <is>
          <t>AM02</t>
        </is>
      </c>
      <c r="F5249" s="5" t="n">
        <v>1071.42</v>
      </c>
      <c r="G5249">
        <f>IF(LEFT(B5249,1)="C","Credit","Factuur")</f>
        <v/>
      </c>
      <c r="H5249">
        <f>IF(AND(B5249=B5248,D5249=D5248,A5249=A5248,F5249=F5248),1,0)</f>
        <v/>
      </c>
      <c r="I5249">
        <f>IF(C5249="C99999",1,0)</f>
        <v/>
      </c>
      <c r="J5249" s="5">
        <f>IF(OR(H5249=1,I5249=1),0,IF(G5249="Credit",-F5249,F5249))</f>
        <v/>
      </c>
    </row>
    <row r="5250">
      <c r="A5250" t="inlineStr">
        <is>
          <t>2026-08-21</t>
        </is>
      </c>
      <c r="B5250" t="inlineStr">
        <is>
          <t>F265714</t>
        </is>
      </c>
      <c r="C5250" t="inlineStr">
        <is>
          <t>C10299</t>
        </is>
      </c>
      <c r="D5250" t="inlineStr">
        <is>
          <t>SKU-10082</t>
        </is>
      </c>
      <c r="E5250" t="inlineStr">
        <is>
          <t>AM07</t>
        </is>
      </c>
      <c r="F5250" s="5" t="n">
        <v>636.26</v>
      </c>
      <c r="G5250">
        <f>IF(LEFT(B5250,1)="C","Credit","Factuur")</f>
        <v/>
      </c>
      <c r="H5250">
        <f>IF(AND(B5250=B5249,D5250=D5249,A5250=A5249,F5250=F5249),1,0)</f>
        <v/>
      </c>
      <c r="I5250">
        <f>IF(C5250="C99999",1,0)</f>
        <v/>
      </c>
      <c r="J5250" s="5">
        <f>IF(OR(H5250=1,I5250=1),0,IF(G5250="Credit",-F5250,F5250))</f>
        <v/>
      </c>
    </row>
    <row r="5251">
      <c r="A5251" t="inlineStr">
        <is>
          <t>2026-08-21</t>
        </is>
      </c>
      <c r="B5251" t="inlineStr">
        <is>
          <t>F266194</t>
        </is>
      </c>
      <c r="C5251" t="inlineStr">
        <is>
          <t>C10323</t>
        </is>
      </c>
      <c r="D5251" t="inlineStr">
        <is>
          <t>SKU-10006</t>
        </is>
      </c>
      <c r="E5251" t="inlineStr">
        <is>
          <t>AM03</t>
        </is>
      </c>
      <c r="F5251" s="5" t="n">
        <v>287.68</v>
      </c>
      <c r="G5251">
        <f>IF(LEFT(B5251,1)="C","Credit","Factuur")</f>
        <v/>
      </c>
      <c r="H5251">
        <f>IF(AND(B5251=B5250,D5251=D5250,A5251=A5250,F5251=F5250),1,0)</f>
        <v/>
      </c>
      <c r="I5251">
        <f>IF(C5251="C99999",1,0)</f>
        <v/>
      </c>
      <c r="J5251" s="5">
        <f>IF(OR(H5251=1,I5251=1),0,IF(G5251="Credit",-F5251,F5251))</f>
        <v/>
      </c>
    </row>
    <row r="5252">
      <c r="A5252" t="inlineStr">
        <is>
          <t>2026-08-21</t>
        </is>
      </c>
      <c r="B5252" t="inlineStr">
        <is>
          <t>F266194</t>
        </is>
      </c>
      <c r="C5252" t="inlineStr">
        <is>
          <t>C10323</t>
        </is>
      </c>
      <c r="D5252" t="inlineStr">
        <is>
          <t>SKU-10032</t>
        </is>
      </c>
      <c r="E5252" t="inlineStr">
        <is>
          <t>AM03</t>
        </is>
      </c>
      <c r="F5252" s="5" t="n">
        <v>263.04</v>
      </c>
      <c r="G5252">
        <f>IF(LEFT(B5252,1)="C","Credit","Factuur")</f>
        <v/>
      </c>
      <c r="H5252">
        <f>IF(AND(B5252=B5251,D5252=D5251,A5252=A5251,F5252=F5251),1,0)</f>
        <v/>
      </c>
      <c r="I5252">
        <f>IF(C5252="C99999",1,0)</f>
        <v/>
      </c>
      <c r="J5252" s="5">
        <f>IF(OR(H5252=1,I5252=1),0,IF(G5252="Credit",-F5252,F5252))</f>
        <v/>
      </c>
    </row>
    <row r="5253">
      <c r="A5253" t="inlineStr">
        <is>
          <t>2026-08-21</t>
        </is>
      </c>
      <c r="B5253" t="inlineStr">
        <is>
          <t>F266194</t>
        </is>
      </c>
      <c r="C5253" t="inlineStr">
        <is>
          <t>C10323</t>
        </is>
      </c>
      <c r="D5253" t="inlineStr">
        <is>
          <t>SKU-10220</t>
        </is>
      </c>
      <c r="E5253" t="inlineStr">
        <is>
          <t>AM03</t>
        </is>
      </c>
      <c r="F5253" s="5" t="n">
        <v>290.87</v>
      </c>
      <c r="G5253">
        <f>IF(LEFT(B5253,1)="C","Credit","Factuur")</f>
        <v/>
      </c>
      <c r="H5253">
        <f>IF(AND(B5253=B5252,D5253=D5252,A5253=A5252,F5253=F5252),1,0)</f>
        <v/>
      </c>
      <c r="I5253">
        <f>IF(C5253="C99999",1,0)</f>
        <v/>
      </c>
      <c r="J5253" s="5">
        <f>IF(OR(H5253=1,I5253=1),0,IF(G5253="Credit",-F5253,F5253))</f>
        <v/>
      </c>
    </row>
    <row r="5254">
      <c r="A5254" t="inlineStr">
        <is>
          <t>2026-08-21</t>
        </is>
      </c>
      <c r="B5254" t="inlineStr">
        <is>
          <t>F266490</t>
        </is>
      </c>
      <c r="C5254" t="inlineStr">
        <is>
          <t>C10342</t>
        </is>
      </c>
      <c r="D5254" t="inlineStr">
        <is>
          <t>SKU-10039</t>
        </is>
      </c>
      <c r="E5254" t="inlineStr">
        <is>
          <t>AM03</t>
        </is>
      </c>
      <c r="F5254" s="5" t="n">
        <v>985.87</v>
      </c>
      <c r="G5254">
        <f>IF(LEFT(B5254,1)="C","Credit","Factuur")</f>
        <v/>
      </c>
      <c r="H5254">
        <f>IF(AND(B5254=B5253,D5254=D5253,A5254=A5253,F5254=F5253),1,0)</f>
        <v/>
      </c>
      <c r="I5254">
        <f>IF(C5254="C99999",1,0)</f>
        <v/>
      </c>
      <c r="J5254" s="5">
        <f>IF(OR(H5254=1,I5254=1),0,IF(G5254="Credit",-F5254,F5254))</f>
        <v/>
      </c>
    </row>
    <row r="5255">
      <c r="A5255" t="inlineStr">
        <is>
          <t>2026-08-21</t>
        </is>
      </c>
      <c r="B5255" t="inlineStr">
        <is>
          <t>F266490</t>
        </is>
      </c>
      <c r="C5255" t="inlineStr">
        <is>
          <t>C10342</t>
        </is>
      </c>
      <c r="D5255" t="inlineStr">
        <is>
          <t>SKU-10171</t>
        </is>
      </c>
      <c r="E5255" t="inlineStr">
        <is>
          <t>AM03</t>
        </is>
      </c>
      <c r="F5255" s="5" t="n">
        <v>941.3200000000001</v>
      </c>
      <c r="G5255">
        <f>IF(LEFT(B5255,1)="C","Credit","Factuur")</f>
        <v/>
      </c>
      <c r="H5255">
        <f>IF(AND(B5255=B5254,D5255=D5254,A5255=A5254,F5255=F5254),1,0)</f>
        <v/>
      </c>
      <c r="I5255">
        <f>IF(C5255="C99999",1,0)</f>
        <v/>
      </c>
      <c r="J5255" s="5">
        <f>IF(OR(H5255=1,I5255=1),0,IF(G5255="Credit",-F5255,F5255))</f>
        <v/>
      </c>
    </row>
    <row r="5256">
      <c r="A5256" t="inlineStr">
        <is>
          <t>2026-08-21</t>
        </is>
      </c>
      <c r="B5256" t="inlineStr">
        <is>
          <t>F266490</t>
        </is>
      </c>
      <c r="C5256" t="inlineStr">
        <is>
          <t>C10342</t>
        </is>
      </c>
      <c r="D5256" t="inlineStr">
        <is>
          <t>SKU-10253</t>
        </is>
      </c>
      <c r="E5256" t="inlineStr">
        <is>
          <t>AM03</t>
        </is>
      </c>
      <c r="F5256" s="5" t="n">
        <v>1028.89</v>
      </c>
      <c r="G5256">
        <f>IF(LEFT(B5256,1)="C","Credit","Factuur")</f>
        <v/>
      </c>
      <c r="H5256">
        <f>IF(AND(B5256=B5255,D5256=D5255,A5256=A5255,F5256=F5255),1,0)</f>
        <v/>
      </c>
      <c r="I5256">
        <f>IF(C5256="C99999",1,0)</f>
        <v/>
      </c>
      <c r="J5256" s="5">
        <f>IF(OR(H5256=1,I5256=1),0,IF(G5256="Credit",-F5256,F5256))</f>
        <v/>
      </c>
    </row>
    <row r="5257">
      <c r="A5257" t="inlineStr">
        <is>
          <t>2026-08-21</t>
        </is>
      </c>
      <c r="B5257" t="inlineStr">
        <is>
          <t>F266490</t>
        </is>
      </c>
      <c r="C5257" t="inlineStr">
        <is>
          <t>C10342</t>
        </is>
      </c>
      <c r="D5257" t="inlineStr">
        <is>
          <t>SKU-10362</t>
        </is>
      </c>
      <c r="E5257" t="inlineStr">
        <is>
          <t>AM03</t>
        </is>
      </c>
      <c r="F5257" s="5" t="n">
        <v>1012.5</v>
      </c>
      <c r="G5257">
        <f>IF(LEFT(B5257,1)="C","Credit","Factuur")</f>
        <v/>
      </c>
      <c r="H5257">
        <f>IF(AND(B5257=B5256,D5257=D5256,A5257=A5256,F5257=F5256),1,0)</f>
        <v/>
      </c>
      <c r="I5257">
        <f>IF(C5257="C99999",1,0)</f>
        <v/>
      </c>
      <c r="J5257" s="5">
        <f>IF(OR(H5257=1,I5257=1),0,IF(G5257="Credit",-F5257,F5257))</f>
        <v/>
      </c>
    </row>
    <row r="5258">
      <c r="A5258" t="inlineStr">
        <is>
          <t>2026-08-21</t>
        </is>
      </c>
      <c r="B5258" t="inlineStr">
        <is>
          <t>F266501</t>
        </is>
      </c>
      <c r="C5258" t="inlineStr">
        <is>
          <t>C10342</t>
        </is>
      </c>
      <c r="D5258" t="inlineStr">
        <is>
          <t>SKU-10013</t>
        </is>
      </c>
      <c r="E5258" t="inlineStr">
        <is>
          <t>AM03</t>
        </is>
      </c>
      <c r="F5258" s="5" t="n">
        <v>940.25</v>
      </c>
      <c r="G5258">
        <f>IF(LEFT(B5258,1)="C","Credit","Factuur")</f>
        <v/>
      </c>
      <c r="H5258">
        <f>IF(AND(B5258=B5257,D5258=D5257,A5258=A5257,F5258=F5257),1,0)</f>
        <v/>
      </c>
      <c r="I5258">
        <f>IF(C5258="C99999",1,0)</f>
        <v/>
      </c>
      <c r="J5258" s="5">
        <f>IF(OR(H5258=1,I5258=1),0,IF(G5258="Credit",-F5258,F5258))</f>
        <v/>
      </c>
    </row>
    <row r="5259">
      <c r="A5259" t="inlineStr">
        <is>
          <t>2026-08-21</t>
        </is>
      </c>
      <c r="B5259" t="inlineStr">
        <is>
          <t>F266501</t>
        </is>
      </c>
      <c r="C5259" t="inlineStr">
        <is>
          <t>C10342</t>
        </is>
      </c>
      <c r="D5259" t="inlineStr">
        <is>
          <t>SKU-10090</t>
        </is>
      </c>
      <c r="E5259" t="inlineStr">
        <is>
          <t>AM03</t>
        </is>
      </c>
      <c r="F5259" s="5" t="n">
        <v>848.54</v>
      </c>
      <c r="G5259">
        <f>IF(LEFT(B5259,1)="C","Credit","Factuur")</f>
        <v/>
      </c>
      <c r="H5259">
        <f>IF(AND(B5259=B5258,D5259=D5258,A5259=A5258,F5259=F5258),1,0)</f>
        <v/>
      </c>
      <c r="I5259">
        <f>IF(C5259="C99999",1,0)</f>
        <v/>
      </c>
      <c r="J5259" s="5">
        <f>IF(OR(H5259=1,I5259=1),0,IF(G5259="Credit",-F5259,F5259))</f>
        <v/>
      </c>
    </row>
    <row r="5260">
      <c r="A5260" t="inlineStr">
        <is>
          <t>2026-08-21</t>
        </is>
      </c>
      <c r="B5260" t="inlineStr">
        <is>
          <t>F266501</t>
        </is>
      </c>
      <c r="C5260" t="inlineStr">
        <is>
          <t>C10342</t>
        </is>
      </c>
      <c r="D5260" t="inlineStr">
        <is>
          <t>SKU-10253</t>
        </is>
      </c>
      <c r="E5260" t="inlineStr">
        <is>
          <t>AM03</t>
        </is>
      </c>
      <c r="F5260" s="5" t="n">
        <v>929.3200000000001</v>
      </c>
      <c r="G5260">
        <f>IF(LEFT(B5260,1)="C","Credit","Factuur")</f>
        <v/>
      </c>
      <c r="H5260">
        <f>IF(AND(B5260=B5259,D5260=D5259,A5260=A5259,F5260=F5259),1,0)</f>
        <v/>
      </c>
      <c r="I5260">
        <f>IF(C5260="C99999",1,0)</f>
        <v/>
      </c>
      <c r="J5260" s="5">
        <f>IF(OR(H5260=1,I5260=1),0,IF(G5260="Credit",-F5260,F5260))</f>
        <v/>
      </c>
    </row>
    <row r="5261">
      <c r="A5261" t="inlineStr">
        <is>
          <t>2026-08-21</t>
        </is>
      </c>
      <c r="B5261" t="inlineStr">
        <is>
          <t>F266501</t>
        </is>
      </c>
      <c r="C5261" t="inlineStr">
        <is>
          <t>C10342</t>
        </is>
      </c>
      <c r="D5261" t="inlineStr">
        <is>
          <t>SKU-10345</t>
        </is>
      </c>
      <c r="E5261" t="inlineStr">
        <is>
          <t>AM03</t>
        </is>
      </c>
      <c r="F5261" s="5" t="n">
        <v>938.86</v>
      </c>
      <c r="G5261">
        <f>IF(LEFT(B5261,1)="C","Credit","Factuur")</f>
        <v/>
      </c>
      <c r="H5261">
        <f>IF(AND(B5261=B5260,D5261=D5260,A5261=A5260,F5261=F5260),1,0)</f>
        <v/>
      </c>
      <c r="I5261">
        <f>IF(C5261="C99999",1,0)</f>
        <v/>
      </c>
      <c r="J5261" s="5">
        <f>IF(OR(H5261=1,I5261=1),0,IF(G5261="Credit",-F5261,F5261))</f>
        <v/>
      </c>
    </row>
    <row r="5262">
      <c r="A5262" t="inlineStr">
        <is>
          <t>2026-08-21</t>
        </is>
      </c>
      <c r="B5262" t="inlineStr">
        <is>
          <t>F266709</t>
        </is>
      </c>
      <c r="C5262" t="inlineStr">
        <is>
          <t>C10354</t>
        </is>
      </c>
      <c r="D5262" t="inlineStr">
        <is>
          <t>SKU-10304</t>
        </is>
      </c>
      <c r="E5262" t="inlineStr">
        <is>
          <t>AM05</t>
        </is>
      </c>
      <c r="F5262" s="5" t="n">
        <v>909.16</v>
      </c>
      <c r="G5262">
        <f>IF(LEFT(B5262,1)="C","Credit","Factuur")</f>
        <v/>
      </c>
      <c r="H5262">
        <f>IF(AND(B5262=B5261,D5262=D5261,A5262=A5261,F5262=F5261),1,0)</f>
        <v/>
      </c>
      <c r="I5262">
        <f>IF(C5262="C99999",1,0)</f>
        <v/>
      </c>
      <c r="J5262" s="5">
        <f>IF(OR(H5262=1,I5262=1),0,IF(G5262="Credit",-F5262,F5262))</f>
        <v/>
      </c>
    </row>
    <row r="5263">
      <c r="A5263" t="inlineStr">
        <is>
          <t>2026-08-21</t>
        </is>
      </c>
      <c r="B5263" t="inlineStr">
        <is>
          <t>F266709</t>
        </is>
      </c>
      <c r="C5263" t="inlineStr">
        <is>
          <t>C10354</t>
        </is>
      </c>
      <c r="D5263" t="inlineStr">
        <is>
          <t>SKU-10381</t>
        </is>
      </c>
      <c r="E5263" t="inlineStr">
        <is>
          <t>AM05</t>
        </is>
      </c>
      <c r="F5263" s="5" t="n">
        <v>1028.72</v>
      </c>
      <c r="G5263">
        <f>IF(LEFT(B5263,1)="C","Credit","Factuur")</f>
        <v/>
      </c>
      <c r="H5263">
        <f>IF(AND(B5263=B5262,D5263=D5262,A5263=A5262,F5263=F5262),1,0)</f>
        <v/>
      </c>
      <c r="I5263">
        <f>IF(C5263="C99999",1,0)</f>
        <v/>
      </c>
      <c r="J5263" s="5">
        <f>IF(OR(H5263=1,I5263=1),0,IF(G5263="Credit",-F5263,F5263))</f>
        <v/>
      </c>
    </row>
    <row r="5264">
      <c r="A5264" t="inlineStr">
        <is>
          <t>2026-08-21</t>
        </is>
      </c>
      <c r="B5264" t="inlineStr">
        <is>
          <t>F267076</t>
        </is>
      </c>
      <c r="C5264" t="inlineStr">
        <is>
          <t>C10373</t>
        </is>
      </c>
      <c r="D5264" t="inlineStr">
        <is>
          <t>SKU-10071</t>
        </is>
      </c>
      <c r="E5264" t="inlineStr">
        <is>
          <t>AM08</t>
        </is>
      </c>
      <c r="F5264" s="5" t="n">
        <v>539.88</v>
      </c>
      <c r="G5264">
        <f>IF(LEFT(B5264,1)="C","Credit","Factuur")</f>
        <v/>
      </c>
      <c r="H5264">
        <f>IF(AND(B5264=B5263,D5264=D5263,A5264=A5263,F5264=F5263),1,0)</f>
        <v/>
      </c>
      <c r="I5264">
        <f>IF(C5264="C99999",1,0)</f>
        <v/>
      </c>
      <c r="J5264" s="5">
        <f>IF(OR(H5264=1,I5264=1),0,IF(G5264="Credit",-F5264,F5264))</f>
        <v/>
      </c>
    </row>
    <row r="5265">
      <c r="A5265" t="inlineStr">
        <is>
          <t>2026-08-21</t>
        </is>
      </c>
      <c r="B5265" t="inlineStr">
        <is>
          <t>F267076</t>
        </is>
      </c>
      <c r="C5265" t="inlineStr">
        <is>
          <t>C10373</t>
        </is>
      </c>
      <c r="D5265" t="inlineStr">
        <is>
          <t>SKU-10206</t>
        </is>
      </c>
      <c r="E5265" t="inlineStr">
        <is>
          <t>AM08</t>
        </is>
      </c>
      <c r="F5265" s="5" t="n">
        <v>582.36</v>
      </c>
      <c r="G5265">
        <f>IF(LEFT(B5265,1)="C","Credit","Factuur")</f>
        <v/>
      </c>
      <c r="H5265">
        <f>IF(AND(B5265=B5264,D5265=D5264,A5265=A5264,F5265=F5264),1,0)</f>
        <v/>
      </c>
      <c r="I5265">
        <f>IF(C5265="C99999",1,0)</f>
        <v/>
      </c>
      <c r="J5265" s="5">
        <f>IF(OR(H5265=1,I5265=1),0,IF(G5265="Credit",-F5265,F5265))</f>
        <v/>
      </c>
    </row>
    <row r="5266">
      <c r="A5266" t="inlineStr">
        <is>
          <t>2026-08-21</t>
        </is>
      </c>
      <c r="B5266" t="inlineStr">
        <is>
          <t>F267417</t>
        </is>
      </c>
      <c r="C5266" t="inlineStr">
        <is>
          <t>C10392</t>
        </is>
      </c>
      <c r="D5266" t="inlineStr">
        <is>
          <t>SKU-10027</t>
        </is>
      </c>
      <c r="E5266" t="inlineStr"/>
      <c r="F5266" s="5" t="n">
        <v>298.84</v>
      </c>
      <c r="G5266">
        <f>IF(LEFT(B5266,1)="C","Credit","Factuur")</f>
        <v/>
      </c>
      <c r="H5266">
        <f>IF(AND(B5266=B5265,D5266=D5265,A5266=A5265,F5266=F5265),1,0)</f>
        <v/>
      </c>
      <c r="I5266">
        <f>IF(C5266="C99999",1,0)</f>
        <v/>
      </c>
      <c r="J5266" s="5">
        <f>IF(OR(H5266=1,I5266=1),0,IF(G5266="Credit",-F5266,F5266))</f>
        <v/>
      </c>
    </row>
    <row r="5267">
      <c r="A5267" t="inlineStr">
        <is>
          <t>2026-08-21</t>
        </is>
      </c>
      <c r="B5267" t="inlineStr">
        <is>
          <t>F267417</t>
        </is>
      </c>
      <c r="C5267" t="inlineStr">
        <is>
          <t>C10392</t>
        </is>
      </c>
      <c r="D5267" t="inlineStr">
        <is>
          <t>SKU-10084</t>
        </is>
      </c>
      <c r="E5267" t="inlineStr">
        <is>
          <t>AM02</t>
        </is>
      </c>
      <c r="F5267" s="5" t="n">
        <v>309.78</v>
      </c>
      <c r="G5267">
        <f>IF(LEFT(B5267,1)="C","Credit","Factuur")</f>
        <v/>
      </c>
      <c r="H5267">
        <f>IF(AND(B5267=B5266,D5267=D5266,A5267=A5266,F5267=F5266),1,0)</f>
        <v/>
      </c>
      <c r="I5267">
        <f>IF(C5267="C99999",1,0)</f>
        <v/>
      </c>
      <c r="J5267" s="5">
        <f>IF(OR(H5267=1,I5267=1),0,IF(G5267="Credit",-F5267,F5267))</f>
        <v/>
      </c>
    </row>
    <row r="5268">
      <c r="A5268" t="inlineStr">
        <is>
          <t>2026-08-21</t>
        </is>
      </c>
      <c r="B5268" t="inlineStr">
        <is>
          <t>F267417</t>
        </is>
      </c>
      <c r="C5268" t="inlineStr">
        <is>
          <t>C10392</t>
        </is>
      </c>
      <c r="D5268" t="inlineStr">
        <is>
          <t>SKU-10224</t>
        </is>
      </c>
      <c r="E5268" t="inlineStr">
        <is>
          <t>AM02</t>
        </is>
      </c>
      <c r="F5268" s="5" t="n">
        <v>278.59</v>
      </c>
      <c r="G5268">
        <f>IF(LEFT(B5268,1)="C","Credit","Factuur")</f>
        <v/>
      </c>
      <c r="H5268">
        <f>IF(AND(B5268=B5267,D5268=D5267,A5268=A5267,F5268=F5267),1,0)</f>
        <v/>
      </c>
      <c r="I5268">
        <f>IF(C5268="C99999",1,0)</f>
        <v/>
      </c>
      <c r="J5268" s="5">
        <f>IF(OR(H5268=1,I5268=1),0,IF(G5268="Credit",-F5268,F5268))</f>
        <v/>
      </c>
    </row>
    <row r="5269">
      <c r="A5269" t="inlineStr">
        <is>
          <t>2026-08-21</t>
        </is>
      </c>
      <c r="B5269" t="inlineStr">
        <is>
          <t>F267417</t>
        </is>
      </c>
      <c r="C5269" t="inlineStr">
        <is>
          <t>C10392</t>
        </is>
      </c>
      <c r="D5269" t="inlineStr">
        <is>
          <t>SKU-10226</t>
        </is>
      </c>
      <c r="E5269" t="inlineStr">
        <is>
          <t>AM02</t>
        </is>
      </c>
      <c r="F5269" s="5" t="n">
        <v>289.05</v>
      </c>
      <c r="G5269">
        <f>IF(LEFT(B5269,1)="C","Credit","Factuur")</f>
        <v/>
      </c>
      <c r="H5269">
        <f>IF(AND(B5269=B5268,D5269=D5268,A5269=A5268,F5269=F5268),1,0)</f>
        <v/>
      </c>
      <c r="I5269">
        <f>IF(C5269="C99999",1,0)</f>
        <v/>
      </c>
      <c r="J5269" s="5">
        <f>IF(OR(H5269=1,I5269=1),0,IF(G5269="Credit",-F5269,F5269))</f>
        <v/>
      </c>
    </row>
    <row r="5270">
      <c r="A5270" t="inlineStr">
        <is>
          <t>2026-08-21</t>
        </is>
      </c>
      <c r="B5270" t="inlineStr">
        <is>
          <t>F267417</t>
        </is>
      </c>
      <c r="C5270" t="inlineStr">
        <is>
          <t>C10392</t>
        </is>
      </c>
      <c r="D5270" t="inlineStr">
        <is>
          <t>SKU-10314</t>
        </is>
      </c>
      <c r="E5270" t="inlineStr"/>
      <c r="F5270" s="5" t="n">
        <v>312.82</v>
      </c>
      <c r="G5270">
        <f>IF(LEFT(B5270,1)="C","Credit","Factuur")</f>
        <v/>
      </c>
      <c r="H5270">
        <f>IF(AND(B5270=B5269,D5270=D5269,A5270=A5269,F5270=F5269),1,0)</f>
        <v/>
      </c>
      <c r="I5270">
        <f>IF(C5270="C99999",1,0)</f>
        <v/>
      </c>
      <c r="J5270" s="5">
        <f>IF(OR(H5270=1,I5270=1),0,IF(G5270="Credit",-F5270,F5270))</f>
        <v/>
      </c>
    </row>
    <row r="5271">
      <c r="A5271" t="inlineStr">
        <is>
          <t>2026-08-21</t>
        </is>
      </c>
      <c r="B5271" t="inlineStr">
        <is>
          <t>F267417</t>
        </is>
      </c>
      <c r="C5271" t="inlineStr">
        <is>
          <t>C10392</t>
        </is>
      </c>
      <c r="D5271" t="inlineStr">
        <is>
          <t>SKU-10316</t>
        </is>
      </c>
      <c r="E5271" t="inlineStr">
        <is>
          <t>AM02</t>
        </is>
      </c>
      <c r="F5271" s="5" t="n">
        <v>315.59</v>
      </c>
      <c r="G5271">
        <f>IF(LEFT(B5271,1)="C","Credit","Factuur")</f>
        <v/>
      </c>
      <c r="H5271">
        <f>IF(AND(B5271=B5270,D5271=D5270,A5271=A5270,F5271=F5270),1,0)</f>
        <v/>
      </c>
      <c r="I5271">
        <f>IF(C5271="C99999",1,0)</f>
        <v/>
      </c>
      <c r="J5271" s="5">
        <f>IF(OR(H5271=1,I5271=1),0,IF(G5271="Credit",-F5271,F5271))</f>
        <v/>
      </c>
    </row>
    <row r="5272">
      <c r="A5272" t="inlineStr">
        <is>
          <t>2026-08-21</t>
        </is>
      </c>
      <c r="B5272" t="inlineStr">
        <is>
          <t>F267468</t>
        </is>
      </c>
      <c r="C5272" t="inlineStr">
        <is>
          <t>C10395</t>
        </is>
      </c>
      <c r="D5272" t="inlineStr">
        <is>
          <t>SKU-10100</t>
        </is>
      </c>
      <c r="E5272" t="inlineStr">
        <is>
          <t>AM07</t>
        </is>
      </c>
      <c r="F5272" s="5" t="n">
        <v>1529.58</v>
      </c>
      <c r="G5272">
        <f>IF(LEFT(B5272,1)="C","Credit","Factuur")</f>
        <v/>
      </c>
      <c r="H5272">
        <f>IF(AND(B5272=B5271,D5272=D5271,A5272=A5271,F5272=F5271),1,0)</f>
        <v/>
      </c>
      <c r="I5272">
        <f>IF(C5272="C99999",1,0)</f>
        <v/>
      </c>
      <c r="J5272" s="5">
        <f>IF(OR(H5272=1,I5272=1),0,IF(G5272="Credit",-F5272,F5272))</f>
        <v/>
      </c>
    </row>
    <row r="5273">
      <c r="A5273" t="inlineStr">
        <is>
          <t>2026-08-21</t>
        </is>
      </c>
      <c r="B5273" t="inlineStr">
        <is>
          <t>F267468</t>
        </is>
      </c>
      <c r="C5273" t="inlineStr">
        <is>
          <t>C10395</t>
        </is>
      </c>
      <c r="D5273" t="inlineStr">
        <is>
          <t>SKU-10183</t>
        </is>
      </c>
      <c r="E5273" t="inlineStr">
        <is>
          <t>AM07</t>
        </is>
      </c>
      <c r="F5273" s="5" t="n">
        <v>1534.4</v>
      </c>
      <c r="G5273">
        <f>IF(LEFT(B5273,1)="C","Credit","Factuur")</f>
        <v/>
      </c>
      <c r="H5273">
        <f>IF(AND(B5273=B5272,D5273=D5272,A5273=A5272,F5273=F5272),1,0)</f>
        <v/>
      </c>
      <c r="I5273">
        <f>IF(C5273="C99999",1,0)</f>
        <v/>
      </c>
      <c r="J5273" s="5">
        <f>IF(OR(H5273=1,I5273=1),0,IF(G5273="Credit",-F5273,F5273))</f>
        <v/>
      </c>
    </row>
    <row r="5274">
      <c r="A5274" t="inlineStr">
        <is>
          <t>2026-08-21</t>
        </is>
      </c>
      <c r="B5274" t="inlineStr">
        <is>
          <t>F268063</t>
        </is>
      </c>
      <c r="C5274" t="inlineStr">
        <is>
          <t>C10424</t>
        </is>
      </c>
      <c r="D5274" t="inlineStr">
        <is>
          <t>SKU-10259</t>
        </is>
      </c>
      <c r="E5274" t="inlineStr">
        <is>
          <t>AM01</t>
        </is>
      </c>
      <c r="F5274" s="5" t="n">
        <v>89.72</v>
      </c>
      <c r="G5274">
        <f>IF(LEFT(B5274,1)="C","Credit","Factuur")</f>
        <v/>
      </c>
      <c r="H5274">
        <f>IF(AND(B5274=B5273,D5274=D5273,A5274=A5273,F5274=F5273),1,0)</f>
        <v/>
      </c>
      <c r="I5274">
        <f>IF(C5274="C99999",1,0)</f>
        <v/>
      </c>
      <c r="J5274" s="5">
        <f>IF(OR(H5274=1,I5274=1),0,IF(G5274="Credit",-F5274,F5274))</f>
        <v/>
      </c>
    </row>
    <row r="5275">
      <c r="A5275" t="inlineStr">
        <is>
          <t>2026-08-21</t>
        </is>
      </c>
      <c r="B5275" t="inlineStr">
        <is>
          <t>F268063</t>
        </is>
      </c>
      <c r="C5275" t="inlineStr">
        <is>
          <t>C10424</t>
        </is>
      </c>
      <c r="D5275" t="inlineStr">
        <is>
          <t>SKU-10306</t>
        </is>
      </c>
      <c r="E5275" t="inlineStr">
        <is>
          <t>AM01</t>
        </is>
      </c>
      <c r="F5275" s="5" t="n">
        <v>91.88</v>
      </c>
      <c r="G5275">
        <f>IF(LEFT(B5275,1)="C","Credit","Factuur")</f>
        <v/>
      </c>
      <c r="H5275">
        <f>IF(AND(B5275=B5274,D5275=D5274,A5275=A5274,F5275=F5274),1,0)</f>
        <v/>
      </c>
      <c r="I5275">
        <f>IF(C5275="C99999",1,0)</f>
        <v/>
      </c>
      <c r="J5275" s="5">
        <f>IF(OR(H5275=1,I5275=1),0,IF(G5275="Credit",-F5275,F5275))</f>
        <v/>
      </c>
    </row>
    <row r="5276">
      <c r="A5276" t="inlineStr">
        <is>
          <t>2026-08-21</t>
        </is>
      </c>
      <c r="B5276" t="inlineStr">
        <is>
          <t>F268063</t>
        </is>
      </c>
      <c r="C5276" t="inlineStr">
        <is>
          <t>C10424</t>
        </is>
      </c>
      <c r="D5276" t="inlineStr">
        <is>
          <t>SKU-10323</t>
        </is>
      </c>
      <c r="E5276" t="inlineStr">
        <is>
          <t>AM01</t>
        </is>
      </c>
      <c r="F5276" s="5" t="n">
        <v>95.31</v>
      </c>
      <c r="G5276">
        <f>IF(LEFT(B5276,1)="C","Credit","Factuur")</f>
        <v/>
      </c>
      <c r="H5276">
        <f>IF(AND(B5276=B5275,D5276=D5275,A5276=A5275,F5276=F5275),1,0)</f>
        <v/>
      </c>
      <c r="I5276">
        <f>IF(C5276="C99999",1,0)</f>
        <v/>
      </c>
      <c r="J5276" s="5">
        <f>IF(OR(H5276=1,I5276=1),0,IF(G5276="Credit",-F5276,F5276))</f>
        <v/>
      </c>
    </row>
    <row r="5277">
      <c r="A5277" t="inlineStr">
        <is>
          <t>2026-08-21</t>
        </is>
      </c>
      <c r="B5277" t="inlineStr">
        <is>
          <t>F268063</t>
        </is>
      </c>
      <c r="C5277" t="inlineStr">
        <is>
          <t>C10424</t>
        </is>
      </c>
      <c r="D5277" t="inlineStr">
        <is>
          <t>SKU-10342</t>
        </is>
      </c>
      <c r="E5277" t="inlineStr">
        <is>
          <t>AM01</t>
        </is>
      </c>
      <c r="F5277" s="5" t="n">
        <v>89.44</v>
      </c>
      <c r="G5277">
        <f>IF(LEFT(B5277,1)="C","Credit","Factuur")</f>
        <v/>
      </c>
      <c r="H5277">
        <f>IF(AND(B5277=B5276,D5277=D5276,A5277=A5276,F5277=F5276),1,0)</f>
        <v/>
      </c>
      <c r="I5277">
        <f>IF(C5277="C99999",1,0)</f>
        <v/>
      </c>
      <c r="J5277" s="5">
        <f>IF(OR(H5277=1,I5277=1),0,IF(G5277="Credit",-F5277,F5277))</f>
        <v/>
      </c>
    </row>
    <row r="5278">
      <c r="A5278" t="inlineStr">
        <is>
          <t>2026-08-21</t>
        </is>
      </c>
      <c r="B5278" t="inlineStr">
        <is>
          <t>F268236</t>
        </is>
      </c>
      <c r="C5278" t="inlineStr">
        <is>
          <t>C10430</t>
        </is>
      </c>
      <c r="D5278" t="inlineStr">
        <is>
          <t>SKU-10075</t>
        </is>
      </c>
      <c r="E5278" t="inlineStr">
        <is>
          <t>AM05</t>
        </is>
      </c>
      <c r="F5278" s="5" t="n">
        <v>164.33</v>
      </c>
      <c r="G5278">
        <f>IF(LEFT(B5278,1)="C","Credit","Factuur")</f>
        <v/>
      </c>
      <c r="H5278">
        <f>IF(AND(B5278=B5277,D5278=D5277,A5278=A5277,F5278=F5277),1,0)</f>
        <v/>
      </c>
      <c r="I5278">
        <f>IF(C5278="C99999",1,0)</f>
        <v/>
      </c>
      <c r="J5278" s="5">
        <f>IF(OR(H5278=1,I5278=1),0,IF(G5278="Credit",-F5278,F5278))</f>
        <v/>
      </c>
    </row>
    <row r="5279">
      <c r="A5279" t="inlineStr">
        <is>
          <t>2026-08-21</t>
        </is>
      </c>
      <c r="B5279" t="inlineStr">
        <is>
          <t>F268236</t>
        </is>
      </c>
      <c r="C5279" t="inlineStr">
        <is>
          <t>C10430</t>
        </is>
      </c>
      <c r="D5279" t="inlineStr">
        <is>
          <t>SKU-10327</t>
        </is>
      </c>
      <c r="E5279" t="inlineStr">
        <is>
          <t>AM05</t>
        </is>
      </c>
      <c r="F5279" s="5" t="n">
        <v>162.05</v>
      </c>
      <c r="G5279">
        <f>IF(LEFT(B5279,1)="C","Credit","Factuur")</f>
        <v/>
      </c>
      <c r="H5279">
        <f>IF(AND(B5279=B5278,D5279=D5278,A5279=A5278,F5279=F5278),1,0)</f>
        <v/>
      </c>
      <c r="I5279">
        <f>IF(C5279="C99999",1,0)</f>
        <v/>
      </c>
      <c r="J5279" s="5">
        <f>IF(OR(H5279=1,I5279=1),0,IF(G5279="Credit",-F5279,F5279))</f>
        <v/>
      </c>
    </row>
    <row r="5280">
      <c r="A5280" t="inlineStr">
        <is>
          <t>2026-08-21</t>
        </is>
      </c>
      <c r="B5280" t="inlineStr">
        <is>
          <t>F268236</t>
        </is>
      </c>
      <c r="C5280" t="inlineStr">
        <is>
          <t>C10430</t>
        </is>
      </c>
      <c r="D5280" t="inlineStr">
        <is>
          <t>SKU-10332</t>
        </is>
      </c>
      <c r="E5280" t="inlineStr">
        <is>
          <t>AM05</t>
        </is>
      </c>
      <c r="F5280" s="5" t="n">
        <v>162.76</v>
      </c>
      <c r="G5280">
        <f>IF(LEFT(B5280,1)="C","Credit","Factuur")</f>
        <v/>
      </c>
      <c r="H5280">
        <f>IF(AND(B5280=B5279,D5280=D5279,A5280=A5279,F5280=F5279),1,0)</f>
        <v/>
      </c>
      <c r="I5280">
        <f>IF(C5280="C99999",1,0)</f>
        <v/>
      </c>
      <c r="J5280" s="5">
        <f>IF(OR(H5280=1,I5280=1),0,IF(G5280="Credit",-F5280,F5280))</f>
        <v/>
      </c>
    </row>
    <row r="5281">
      <c r="A5281" t="inlineStr">
        <is>
          <t>2026-08-21</t>
        </is>
      </c>
      <c r="B5281" t="inlineStr">
        <is>
          <t>F268401</t>
        </is>
      </c>
      <c r="C5281" t="inlineStr">
        <is>
          <t>C10438</t>
        </is>
      </c>
      <c r="D5281" t="inlineStr">
        <is>
          <t>SKU-10001</t>
        </is>
      </c>
      <c r="E5281" t="inlineStr">
        <is>
          <t>AM08</t>
        </is>
      </c>
      <c r="F5281" s="5" t="n">
        <v>202.73</v>
      </c>
      <c r="G5281">
        <f>IF(LEFT(B5281,1)="C","Credit","Factuur")</f>
        <v/>
      </c>
      <c r="H5281">
        <f>IF(AND(B5281=B5280,D5281=D5280,A5281=A5280,F5281=F5280),1,0)</f>
        <v/>
      </c>
      <c r="I5281">
        <f>IF(C5281="C99999",1,0)</f>
        <v/>
      </c>
      <c r="J5281" s="5">
        <f>IF(OR(H5281=1,I5281=1),0,IF(G5281="Credit",-F5281,F5281))</f>
        <v/>
      </c>
    </row>
    <row r="5282">
      <c r="A5282" t="inlineStr">
        <is>
          <t>2026-08-21</t>
        </is>
      </c>
      <c r="B5282" t="inlineStr">
        <is>
          <t>F268401</t>
        </is>
      </c>
      <c r="C5282" t="inlineStr">
        <is>
          <t>C10438</t>
        </is>
      </c>
      <c r="D5282" t="inlineStr">
        <is>
          <t>SKU-10208</t>
        </is>
      </c>
      <c r="E5282" t="inlineStr">
        <is>
          <t>AM08</t>
        </is>
      </c>
      <c r="F5282" s="5" t="n">
        <v>168.53</v>
      </c>
      <c r="G5282">
        <f>IF(LEFT(B5282,1)="C","Credit","Factuur")</f>
        <v/>
      </c>
      <c r="H5282">
        <f>IF(AND(B5282=B5281,D5282=D5281,A5282=A5281,F5282=F5281),1,0)</f>
        <v/>
      </c>
      <c r="I5282">
        <f>IF(C5282="C99999",1,0)</f>
        <v/>
      </c>
      <c r="J5282" s="5">
        <f>IF(OR(H5282=1,I5282=1),0,IF(G5282="Credit",-F5282,F5282))</f>
        <v/>
      </c>
    </row>
    <row r="5283">
      <c r="A5283" t="inlineStr">
        <is>
          <t>2026-08-21</t>
        </is>
      </c>
      <c r="B5283" t="inlineStr">
        <is>
          <t>F268401</t>
        </is>
      </c>
      <c r="C5283" t="inlineStr">
        <is>
          <t>C10438</t>
        </is>
      </c>
      <c r="D5283" t="inlineStr">
        <is>
          <t>SKU-10293</t>
        </is>
      </c>
      <c r="E5283" t="inlineStr">
        <is>
          <t>AM08</t>
        </is>
      </c>
      <c r="F5283" s="5" t="n">
        <v>174.24</v>
      </c>
      <c r="G5283">
        <f>IF(LEFT(B5283,1)="C","Credit","Factuur")</f>
        <v/>
      </c>
      <c r="H5283">
        <f>IF(AND(B5283=B5282,D5283=D5282,A5283=A5282,F5283=F5282),1,0)</f>
        <v/>
      </c>
      <c r="I5283">
        <f>IF(C5283="C99999",1,0)</f>
        <v/>
      </c>
      <c r="J5283" s="5">
        <f>IF(OR(H5283=1,I5283=1),0,IF(G5283="Credit",-F5283,F5283))</f>
        <v/>
      </c>
    </row>
    <row r="5284">
      <c r="A5284" t="inlineStr">
        <is>
          <t>2026-08-21</t>
        </is>
      </c>
      <c r="B5284" t="inlineStr">
        <is>
          <t>F268401</t>
        </is>
      </c>
      <c r="C5284" t="inlineStr">
        <is>
          <t>C10438</t>
        </is>
      </c>
      <c r="D5284" t="inlineStr">
        <is>
          <t>SKU-10304</t>
        </is>
      </c>
      <c r="E5284" t="inlineStr">
        <is>
          <t>AM08</t>
        </is>
      </c>
      <c r="F5284" s="5" t="n">
        <v>188.71</v>
      </c>
      <c r="G5284">
        <f>IF(LEFT(B5284,1)="C","Credit","Factuur")</f>
        <v/>
      </c>
      <c r="H5284">
        <f>IF(AND(B5284=B5283,D5284=D5283,A5284=A5283,F5284=F5283),1,0)</f>
        <v/>
      </c>
      <c r="I5284">
        <f>IF(C5284="C99999",1,0)</f>
        <v/>
      </c>
      <c r="J5284" s="5">
        <f>IF(OR(H5284=1,I5284=1),0,IF(G5284="Credit",-F5284,F5284))</f>
        <v/>
      </c>
    </row>
    <row r="5285">
      <c r="A5285" t="inlineStr">
        <is>
          <t>2026-08-21</t>
        </is>
      </c>
      <c r="B5285" t="inlineStr">
        <is>
          <t>F268401</t>
        </is>
      </c>
      <c r="C5285" t="inlineStr">
        <is>
          <t>C10438</t>
        </is>
      </c>
      <c r="D5285" t="inlineStr">
        <is>
          <t>SKU-10337</t>
        </is>
      </c>
      <c r="E5285" t="inlineStr">
        <is>
          <t>AM08</t>
        </is>
      </c>
      <c r="F5285" s="5" t="n">
        <v>174.91</v>
      </c>
      <c r="G5285">
        <f>IF(LEFT(B5285,1)="C","Credit","Factuur")</f>
        <v/>
      </c>
      <c r="H5285">
        <f>IF(AND(B5285=B5284,D5285=D5284,A5285=A5284,F5285=F5284),1,0)</f>
        <v/>
      </c>
      <c r="I5285">
        <f>IF(C5285="C99999",1,0)</f>
        <v/>
      </c>
      <c r="J5285" s="5">
        <f>IF(OR(H5285=1,I5285=1),0,IF(G5285="Credit",-F5285,F5285))</f>
        <v/>
      </c>
    </row>
    <row r="5286">
      <c r="A5286" t="inlineStr">
        <is>
          <t>2026-08-21</t>
        </is>
      </c>
      <c r="B5286" t="inlineStr">
        <is>
          <t>F268738</t>
        </is>
      </c>
      <c r="C5286" t="inlineStr">
        <is>
          <t>C10456</t>
        </is>
      </c>
      <c r="D5286" t="inlineStr">
        <is>
          <t>SKU-10049</t>
        </is>
      </c>
      <c r="E5286" t="inlineStr">
        <is>
          <t>AM07</t>
        </is>
      </c>
      <c r="F5286" s="5" t="n">
        <v>159.48</v>
      </c>
      <c r="G5286">
        <f>IF(LEFT(B5286,1)="C","Credit","Factuur")</f>
        <v/>
      </c>
      <c r="H5286">
        <f>IF(AND(B5286=B5285,D5286=D5285,A5286=A5285,F5286=F5285),1,0)</f>
        <v/>
      </c>
      <c r="I5286">
        <f>IF(C5286="C99999",1,0)</f>
        <v/>
      </c>
      <c r="J5286" s="5">
        <f>IF(OR(H5286=1,I5286=1),0,IF(G5286="Credit",-F5286,F5286))</f>
        <v/>
      </c>
    </row>
    <row r="5287">
      <c r="A5287" t="inlineStr">
        <is>
          <t>2026-08-21</t>
        </is>
      </c>
      <c r="B5287" t="inlineStr">
        <is>
          <t>F268738</t>
        </is>
      </c>
      <c r="C5287" t="inlineStr">
        <is>
          <t>C10456</t>
        </is>
      </c>
      <c r="D5287" t="inlineStr">
        <is>
          <t>SKU-10144</t>
        </is>
      </c>
      <c r="E5287" t="inlineStr">
        <is>
          <t>AM07</t>
        </is>
      </c>
      <c r="F5287" s="5" t="n">
        <v>106.58</v>
      </c>
      <c r="G5287">
        <f>IF(LEFT(B5287,1)="C","Credit","Factuur")</f>
        <v/>
      </c>
      <c r="H5287">
        <f>IF(AND(B5287=B5286,D5287=D5286,A5287=A5286,F5287=F5286),1,0)</f>
        <v/>
      </c>
      <c r="I5287">
        <f>IF(C5287="C99999",1,0)</f>
        <v/>
      </c>
      <c r="J5287" s="5">
        <f>IF(OR(H5287=1,I5287=1),0,IF(G5287="Credit",-F5287,F5287))</f>
        <v/>
      </c>
    </row>
    <row r="5288">
      <c r="A5288" t="inlineStr">
        <is>
          <t>2026-08-21</t>
        </is>
      </c>
      <c r="B5288" t="inlineStr">
        <is>
          <t>F268738</t>
        </is>
      </c>
      <c r="C5288" t="inlineStr">
        <is>
          <t>C10456</t>
        </is>
      </c>
      <c r="D5288" t="inlineStr">
        <is>
          <t>SKU-10301</t>
        </is>
      </c>
      <c r="E5288" t="inlineStr">
        <is>
          <t>AM07</t>
        </is>
      </c>
      <c r="F5288" s="5" t="n">
        <v>144.5</v>
      </c>
      <c r="G5288">
        <f>IF(LEFT(B5288,1)="C","Credit","Factuur")</f>
        <v/>
      </c>
      <c r="H5288">
        <f>IF(AND(B5288=B5287,D5288=D5287,A5288=A5287,F5288=F5287),1,0)</f>
        <v/>
      </c>
      <c r="I5288">
        <f>IF(C5288="C99999",1,0)</f>
        <v/>
      </c>
      <c r="J5288" s="5">
        <f>IF(OR(H5288=1,I5288=1),0,IF(G5288="Credit",-F5288,F5288))</f>
        <v/>
      </c>
    </row>
    <row r="5289">
      <c r="A5289" t="inlineStr">
        <is>
          <t>2026-08-21</t>
        </is>
      </c>
      <c r="B5289" t="inlineStr">
        <is>
          <t>F268738</t>
        </is>
      </c>
      <c r="C5289" t="inlineStr">
        <is>
          <t>C10456</t>
        </is>
      </c>
      <c r="D5289" t="inlineStr">
        <is>
          <t>SKU-10331</t>
        </is>
      </c>
      <c r="E5289" t="inlineStr">
        <is>
          <t>AM07</t>
        </is>
      </c>
      <c r="F5289" s="5" t="n">
        <v>121.63</v>
      </c>
      <c r="G5289">
        <f>IF(LEFT(B5289,1)="C","Credit","Factuur")</f>
        <v/>
      </c>
      <c r="H5289">
        <f>IF(AND(B5289=B5288,D5289=D5288,A5289=A5288,F5289=F5288),1,0)</f>
        <v/>
      </c>
      <c r="I5289">
        <f>IF(C5289="C99999",1,0)</f>
        <v/>
      </c>
      <c r="J5289" s="5">
        <f>IF(OR(H5289=1,I5289=1),0,IF(G5289="Credit",-F5289,F5289))</f>
        <v/>
      </c>
    </row>
    <row r="5290">
      <c r="A5290" t="inlineStr">
        <is>
          <t>2026-08-21</t>
        </is>
      </c>
      <c r="B5290" t="inlineStr">
        <is>
          <t>F268770</t>
        </is>
      </c>
      <c r="C5290" t="inlineStr">
        <is>
          <t>C10457</t>
        </is>
      </c>
      <c r="D5290" t="inlineStr">
        <is>
          <t>SKU-10244</t>
        </is>
      </c>
      <c r="E5290" t="inlineStr">
        <is>
          <t>AM11</t>
        </is>
      </c>
      <c r="F5290" s="5" t="n">
        <v>420.75</v>
      </c>
      <c r="G5290">
        <f>IF(LEFT(B5290,1)="C","Credit","Factuur")</f>
        <v/>
      </c>
      <c r="H5290">
        <f>IF(AND(B5290=B5289,D5290=D5289,A5290=A5289,F5290=F5289),1,0)</f>
        <v/>
      </c>
      <c r="I5290">
        <f>IF(C5290="C99999",1,0)</f>
        <v/>
      </c>
      <c r="J5290" s="5">
        <f>IF(OR(H5290=1,I5290=1),0,IF(G5290="Credit",-F5290,F5290))</f>
        <v/>
      </c>
    </row>
    <row r="5291">
      <c r="A5291" t="inlineStr">
        <is>
          <t>2026-08-21</t>
        </is>
      </c>
      <c r="B5291" t="inlineStr">
        <is>
          <t>F268770</t>
        </is>
      </c>
      <c r="C5291" t="inlineStr">
        <is>
          <t>C10457</t>
        </is>
      </c>
      <c r="D5291" t="inlineStr">
        <is>
          <t>SKU-10338</t>
        </is>
      </c>
      <c r="E5291" t="inlineStr">
        <is>
          <t>AM11</t>
        </is>
      </c>
      <c r="F5291" s="5" t="n">
        <v>428.62</v>
      </c>
      <c r="G5291">
        <f>IF(LEFT(B5291,1)="C","Credit","Factuur")</f>
        <v/>
      </c>
      <c r="H5291">
        <f>IF(AND(B5291=B5290,D5291=D5290,A5291=A5290,F5291=F5290),1,0)</f>
        <v/>
      </c>
      <c r="I5291">
        <f>IF(C5291="C99999",1,0)</f>
        <v/>
      </c>
      <c r="J5291" s="5">
        <f>IF(OR(H5291=1,I5291=1),0,IF(G5291="Credit",-F5291,F5291))</f>
        <v/>
      </c>
    </row>
    <row r="5292">
      <c r="A5292" t="inlineStr">
        <is>
          <t>2026-08-21</t>
        </is>
      </c>
      <c r="B5292" t="inlineStr">
        <is>
          <t>F269178</t>
        </is>
      </c>
      <c r="C5292" t="inlineStr">
        <is>
          <t>C10481</t>
        </is>
      </c>
      <c r="D5292" t="inlineStr">
        <is>
          <t>SKU-10109</t>
        </is>
      </c>
      <c r="E5292" t="inlineStr">
        <is>
          <t>AM02</t>
        </is>
      </c>
      <c r="F5292" s="5" t="n">
        <v>671.3</v>
      </c>
      <c r="G5292">
        <f>IF(LEFT(B5292,1)="C","Credit","Factuur")</f>
        <v/>
      </c>
      <c r="H5292">
        <f>IF(AND(B5292=B5291,D5292=D5291,A5292=A5291,F5292=F5291),1,0)</f>
        <v/>
      </c>
      <c r="I5292">
        <f>IF(C5292="C99999",1,0)</f>
        <v/>
      </c>
      <c r="J5292" s="5">
        <f>IF(OR(H5292=1,I5292=1),0,IF(G5292="Credit",-F5292,F5292))</f>
        <v/>
      </c>
    </row>
    <row r="5293">
      <c r="A5293" t="inlineStr">
        <is>
          <t>2026-08-21</t>
        </is>
      </c>
      <c r="B5293" t="inlineStr">
        <is>
          <t>F269300</t>
        </is>
      </c>
      <c r="C5293" t="inlineStr">
        <is>
          <t>C10489</t>
        </is>
      </c>
      <c r="D5293" t="inlineStr">
        <is>
          <t>SKU-10059</t>
        </is>
      </c>
      <c r="E5293" t="inlineStr">
        <is>
          <t>AM08</t>
        </is>
      </c>
      <c r="F5293" s="5" t="n">
        <v>382.32</v>
      </c>
      <c r="G5293">
        <f>IF(LEFT(B5293,1)="C","Credit","Factuur")</f>
        <v/>
      </c>
      <c r="H5293">
        <f>IF(AND(B5293=B5292,D5293=D5292,A5293=A5292,F5293=F5292),1,0)</f>
        <v/>
      </c>
      <c r="I5293">
        <f>IF(C5293="C99999",1,0)</f>
        <v/>
      </c>
      <c r="J5293" s="5">
        <f>IF(OR(H5293=1,I5293=1),0,IF(G5293="Credit",-F5293,F5293))</f>
        <v/>
      </c>
    </row>
    <row r="5294">
      <c r="A5294" t="inlineStr">
        <is>
          <t>2026-08-21</t>
        </is>
      </c>
      <c r="B5294" t="inlineStr">
        <is>
          <t>F269300</t>
        </is>
      </c>
      <c r="C5294" t="inlineStr">
        <is>
          <t>C10489</t>
        </is>
      </c>
      <c r="D5294" t="inlineStr">
        <is>
          <t>SKU-10298</t>
        </is>
      </c>
      <c r="E5294" t="inlineStr">
        <is>
          <t>AM08</t>
        </is>
      </c>
      <c r="F5294" s="5" t="n">
        <v>376.5</v>
      </c>
      <c r="G5294">
        <f>IF(LEFT(B5294,1)="C","Credit","Factuur")</f>
        <v/>
      </c>
      <c r="H5294">
        <f>IF(AND(B5294=B5293,D5294=D5293,A5294=A5293,F5294=F5293),1,0)</f>
        <v/>
      </c>
      <c r="I5294">
        <f>IF(C5294="C99999",1,0)</f>
        <v/>
      </c>
      <c r="J5294" s="5">
        <f>IF(OR(H5294=1,I5294=1),0,IF(G5294="Credit",-F5294,F5294))</f>
        <v/>
      </c>
    </row>
    <row r="5295">
      <c r="A5295" t="inlineStr">
        <is>
          <t>2026-08-21</t>
        </is>
      </c>
      <c r="B5295" t="inlineStr">
        <is>
          <t>F269300</t>
        </is>
      </c>
      <c r="C5295" t="inlineStr">
        <is>
          <t>C10489</t>
        </is>
      </c>
      <c r="D5295" t="inlineStr">
        <is>
          <t>SKU-10305</t>
        </is>
      </c>
      <c r="E5295" t="inlineStr">
        <is>
          <t>AM08</t>
        </is>
      </c>
      <c r="F5295" s="5" t="n">
        <v>366.8</v>
      </c>
      <c r="G5295">
        <f>IF(LEFT(B5295,1)="C","Credit","Factuur")</f>
        <v/>
      </c>
      <c r="H5295">
        <f>IF(AND(B5295=B5294,D5295=D5294,A5295=A5294,F5295=F5294),1,0)</f>
        <v/>
      </c>
      <c r="I5295">
        <f>IF(C5295="C99999",1,0)</f>
        <v/>
      </c>
      <c r="J5295" s="5">
        <f>IF(OR(H5295=1,I5295=1),0,IF(G5295="Credit",-F5295,F5295))</f>
        <v/>
      </c>
    </row>
    <row r="5296">
      <c r="A5296" t="inlineStr">
        <is>
          <t>2026-08-21</t>
        </is>
      </c>
      <c r="B5296" t="inlineStr">
        <is>
          <t>F269300</t>
        </is>
      </c>
      <c r="C5296" t="inlineStr">
        <is>
          <t>C10489</t>
        </is>
      </c>
      <c r="D5296" t="inlineStr">
        <is>
          <t>SKU-10326</t>
        </is>
      </c>
      <c r="E5296" t="inlineStr">
        <is>
          <t>AM08</t>
        </is>
      </c>
      <c r="F5296" s="5" t="n">
        <v>355.5</v>
      </c>
      <c r="G5296">
        <f>IF(LEFT(B5296,1)="C","Credit","Factuur")</f>
        <v/>
      </c>
      <c r="H5296">
        <f>IF(AND(B5296=B5295,D5296=D5295,A5296=A5295,F5296=F5295),1,0)</f>
        <v/>
      </c>
      <c r="I5296">
        <f>IF(C5296="C99999",1,0)</f>
        <v/>
      </c>
      <c r="J5296" s="5">
        <f>IF(OR(H5296=1,I5296=1),0,IF(G5296="Credit",-F5296,F5296))</f>
        <v/>
      </c>
    </row>
    <row r="5297">
      <c r="A5297" t="inlineStr">
        <is>
          <t>2026-08-21</t>
        </is>
      </c>
      <c r="B5297" t="inlineStr">
        <is>
          <t>F269300</t>
        </is>
      </c>
      <c r="C5297" t="inlineStr">
        <is>
          <t>C10489</t>
        </is>
      </c>
      <c r="D5297" t="inlineStr">
        <is>
          <t>SKU-10329</t>
        </is>
      </c>
      <c r="E5297" t="inlineStr">
        <is>
          <t>AM08</t>
        </is>
      </c>
      <c r="F5297" s="5" t="n">
        <v>368.2</v>
      </c>
      <c r="G5297">
        <f>IF(LEFT(B5297,1)="C","Credit","Factuur")</f>
        <v/>
      </c>
      <c r="H5297">
        <f>IF(AND(B5297=B5296,D5297=D5296,A5297=A5296,F5297=F5296),1,0)</f>
        <v/>
      </c>
      <c r="I5297">
        <f>IF(C5297="C99999",1,0)</f>
        <v/>
      </c>
      <c r="J5297" s="5">
        <f>IF(OR(H5297=1,I5297=1),0,IF(G5297="Credit",-F5297,F5297))</f>
        <v/>
      </c>
    </row>
    <row r="5298">
      <c r="A5298" t="inlineStr">
        <is>
          <t>2026-08-21</t>
        </is>
      </c>
      <c r="B5298" t="inlineStr">
        <is>
          <t>F269637</t>
        </is>
      </c>
      <c r="C5298" t="inlineStr">
        <is>
          <t>C10507</t>
        </is>
      </c>
      <c r="D5298" t="inlineStr">
        <is>
          <t>SKU-10031</t>
        </is>
      </c>
      <c r="E5298" t="inlineStr">
        <is>
          <t>AM03</t>
        </is>
      </c>
      <c r="F5298" s="5" t="n">
        <v>526.52</v>
      </c>
      <c r="G5298">
        <f>IF(LEFT(B5298,1)="C","Credit","Factuur")</f>
        <v/>
      </c>
      <c r="H5298">
        <f>IF(AND(B5298=B5297,D5298=D5297,A5298=A5297,F5298=F5297),1,0)</f>
        <v/>
      </c>
      <c r="I5298">
        <f>IF(C5298="C99999",1,0)</f>
        <v/>
      </c>
      <c r="J5298" s="5">
        <f>IF(OR(H5298=1,I5298=1),0,IF(G5298="Credit",-F5298,F5298))</f>
        <v/>
      </c>
    </row>
    <row r="5299">
      <c r="A5299" t="inlineStr">
        <is>
          <t>2026-08-21</t>
        </is>
      </c>
      <c r="B5299" t="inlineStr">
        <is>
          <t>F269637</t>
        </is>
      </c>
      <c r="C5299" t="inlineStr">
        <is>
          <t>C10507</t>
        </is>
      </c>
      <c r="D5299" t="inlineStr">
        <is>
          <t>SKU-10120</t>
        </is>
      </c>
      <c r="E5299" t="inlineStr">
        <is>
          <t>AM03</t>
        </is>
      </c>
      <c r="F5299" s="5" t="n">
        <v>567.6</v>
      </c>
      <c r="G5299">
        <f>IF(LEFT(B5299,1)="C","Credit","Factuur")</f>
        <v/>
      </c>
      <c r="H5299">
        <f>IF(AND(B5299=B5298,D5299=D5298,A5299=A5298,F5299=F5298),1,0)</f>
        <v/>
      </c>
      <c r="I5299">
        <f>IF(C5299="C99999",1,0)</f>
        <v/>
      </c>
      <c r="J5299" s="5">
        <f>IF(OR(H5299=1,I5299=1),0,IF(G5299="Credit",-F5299,F5299))</f>
        <v/>
      </c>
    </row>
    <row r="5300">
      <c r="A5300" t="inlineStr">
        <is>
          <t>2026-08-21</t>
        </is>
      </c>
      <c r="B5300" t="inlineStr">
        <is>
          <t>F269637</t>
        </is>
      </c>
      <c r="C5300" t="inlineStr">
        <is>
          <t>C10507</t>
        </is>
      </c>
      <c r="D5300" t="inlineStr">
        <is>
          <t>SKU-10136</t>
        </is>
      </c>
      <c r="E5300" t="inlineStr">
        <is>
          <t>AM03</t>
        </is>
      </c>
      <c r="F5300" s="5" t="n">
        <v>571.4</v>
      </c>
      <c r="G5300">
        <f>IF(LEFT(B5300,1)="C","Credit","Factuur")</f>
        <v/>
      </c>
      <c r="H5300">
        <f>IF(AND(B5300=B5299,D5300=D5299,A5300=A5299,F5300=F5299),1,0)</f>
        <v/>
      </c>
      <c r="I5300">
        <f>IF(C5300="C99999",1,0)</f>
        <v/>
      </c>
      <c r="J5300" s="5">
        <f>IF(OR(H5300=1,I5300=1),0,IF(G5300="Credit",-F5300,F5300))</f>
        <v/>
      </c>
    </row>
    <row r="5301">
      <c r="A5301" t="inlineStr">
        <is>
          <t>2026-08-21</t>
        </is>
      </c>
      <c r="B5301" t="inlineStr">
        <is>
          <t>F269637</t>
        </is>
      </c>
      <c r="C5301" t="inlineStr">
        <is>
          <t>C10507</t>
        </is>
      </c>
      <c r="D5301" t="inlineStr">
        <is>
          <t>SKU-10302</t>
        </is>
      </c>
      <c r="E5301" t="inlineStr"/>
      <c r="F5301" s="5" t="n">
        <v>570.83</v>
      </c>
      <c r="G5301">
        <f>IF(LEFT(B5301,1)="C","Credit","Factuur")</f>
        <v/>
      </c>
      <c r="H5301">
        <f>IF(AND(B5301=B5300,D5301=D5300,A5301=A5300,F5301=F5300),1,0)</f>
        <v/>
      </c>
      <c r="I5301">
        <f>IF(C5301="C99999",1,0)</f>
        <v/>
      </c>
      <c r="J5301" s="5">
        <f>IF(OR(H5301=1,I5301=1),0,IF(G5301="Credit",-F5301,F5301))</f>
        <v/>
      </c>
    </row>
    <row r="5302">
      <c r="A5302" t="inlineStr">
        <is>
          <t>2026-08-21</t>
        </is>
      </c>
      <c r="B5302" t="inlineStr">
        <is>
          <t>F269637</t>
        </is>
      </c>
      <c r="C5302" t="inlineStr">
        <is>
          <t>C10507</t>
        </is>
      </c>
      <c r="D5302" t="inlineStr">
        <is>
          <t>SKU-10334</t>
        </is>
      </c>
      <c r="E5302" t="inlineStr">
        <is>
          <t>AM03</t>
        </is>
      </c>
      <c r="F5302" s="5" t="n">
        <v>543.1</v>
      </c>
      <c r="G5302">
        <f>IF(LEFT(B5302,1)="C","Credit","Factuur")</f>
        <v/>
      </c>
      <c r="H5302">
        <f>IF(AND(B5302=B5301,D5302=D5301,A5302=A5301,F5302=F5301),1,0)</f>
        <v/>
      </c>
      <c r="I5302">
        <f>IF(C5302="C99999",1,0)</f>
        <v/>
      </c>
      <c r="J5302" s="5">
        <f>IF(OR(H5302=1,I5302=1),0,IF(G5302="Credit",-F5302,F5302))</f>
        <v/>
      </c>
    </row>
    <row r="5303">
      <c r="A5303" t="inlineStr">
        <is>
          <t>2026-08-21</t>
        </is>
      </c>
      <c r="B5303" t="inlineStr">
        <is>
          <t>F269645</t>
        </is>
      </c>
      <c r="C5303" t="inlineStr">
        <is>
          <t>C10507</t>
        </is>
      </c>
      <c r="D5303" t="inlineStr">
        <is>
          <t>SKU-10014</t>
        </is>
      </c>
      <c r="E5303" t="inlineStr">
        <is>
          <t>AM03</t>
        </is>
      </c>
      <c r="F5303" s="5" t="n">
        <v>908.16</v>
      </c>
      <c r="G5303">
        <f>IF(LEFT(B5303,1)="C","Credit","Factuur")</f>
        <v/>
      </c>
      <c r="H5303">
        <f>IF(AND(B5303=B5302,D5303=D5302,A5303=A5302,F5303=F5302),1,0)</f>
        <v/>
      </c>
      <c r="I5303">
        <f>IF(C5303="C99999",1,0)</f>
        <v/>
      </c>
      <c r="J5303" s="5">
        <f>IF(OR(H5303=1,I5303=1),0,IF(G5303="Credit",-F5303,F5303))</f>
        <v/>
      </c>
    </row>
    <row r="5304">
      <c r="A5304" t="inlineStr">
        <is>
          <t>2026-08-21</t>
        </is>
      </c>
      <c r="B5304" t="inlineStr">
        <is>
          <t>F269645</t>
        </is>
      </c>
      <c r="C5304" t="inlineStr">
        <is>
          <t>C10507</t>
        </is>
      </c>
      <c r="D5304" t="inlineStr">
        <is>
          <t>SKU-10083</t>
        </is>
      </c>
      <c r="E5304" t="inlineStr">
        <is>
          <t>AM03</t>
        </is>
      </c>
      <c r="F5304" s="5" t="n">
        <v>905.85</v>
      </c>
      <c r="G5304">
        <f>IF(LEFT(B5304,1)="C","Credit","Factuur")</f>
        <v/>
      </c>
      <c r="H5304">
        <f>IF(AND(B5304=B5303,D5304=D5303,A5304=A5303,F5304=F5303),1,0)</f>
        <v/>
      </c>
      <c r="I5304">
        <f>IF(C5304="C99999",1,0)</f>
        <v/>
      </c>
      <c r="J5304" s="5">
        <f>IF(OR(H5304=1,I5304=1),0,IF(G5304="Credit",-F5304,F5304))</f>
        <v/>
      </c>
    </row>
    <row r="5305">
      <c r="A5305" t="inlineStr">
        <is>
          <t>2026-08-21</t>
        </is>
      </c>
      <c r="B5305" t="inlineStr">
        <is>
          <t>F269645</t>
        </is>
      </c>
      <c r="C5305" t="inlineStr">
        <is>
          <t>C10507</t>
        </is>
      </c>
      <c r="D5305" t="inlineStr">
        <is>
          <t>SKU-10167</t>
        </is>
      </c>
      <c r="E5305" t="inlineStr">
        <is>
          <t>AM03</t>
        </is>
      </c>
      <c r="F5305" s="5" t="n">
        <v>911.13</v>
      </c>
      <c r="G5305">
        <f>IF(LEFT(B5305,1)="C","Credit","Factuur")</f>
        <v/>
      </c>
      <c r="H5305">
        <f>IF(AND(B5305=B5304,D5305=D5304,A5305=A5304,F5305=F5304),1,0)</f>
        <v/>
      </c>
      <c r="I5305">
        <f>IF(C5305="C99999",1,0)</f>
        <v/>
      </c>
      <c r="J5305" s="5">
        <f>IF(OR(H5305=1,I5305=1),0,IF(G5305="Credit",-F5305,F5305))</f>
        <v/>
      </c>
    </row>
    <row r="5306">
      <c r="A5306" t="inlineStr">
        <is>
          <t>2026-08-21</t>
        </is>
      </c>
      <c r="B5306" t="inlineStr">
        <is>
          <t>F269645</t>
        </is>
      </c>
      <c r="C5306" t="inlineStr">
        <is>
          <t>C10507</t>
        </is>
      </c>
      <c r="D5306" t="inlineStr">
        <is>
          <t>SKU-10328</t>
        </is>
      </c>
      <c r="E5306" t="inlineStr">
        <is>
          <t>AM03</t>
        </is>
      </c>
      <c r="F5306" s="5" t="n">
        <v>905.96</v>
      </c>
      <c r="G5306">
        <f>IF(LEFT(B5306,1)="C","Credit","Factuur")</f>
        <v/>
      </c>
      <c r="H5306">
        <f>IF(AND(B5306=B5305,D5306=D5305,A5306=A5305,F5306=F5305),1,0)</f>
        <v/>
      </c>
      <c r="I5306">
        <f>IF(C5306="C99999",1,0)</f>
        <v/>
      </c>
      <c r="J5306" s="5">
        <f>IF(OR(H5306=1,I5306=1),0,IF(G5306="Credit",-F5306,F5306))</f>
        <v/>
      </c>
    </row>
    <row r="5307">
      <c r="A5307" t="inlineStr">
        <is>
          <t>2026-08-21</t>
        </is>
      </c>
      <c r="B5307" t="inlineStr">
        <is>
          <t>F269766</t>
        </is>
      </c>
      <c r="C5307" t="inlineStr">
        <is>
          <t>C10515</t>
        </is>
      </c>
      <c r="D5307" t="inlineStr">
        <is>
          <t>SKU-10032</t>
        </is>
      </c>
      <c r="E5307" t="inlineStr">
        <is>
          <t>AM07</t>
        </is>
      </c>
      <c r="F5307" s="5" t="n">
        <v>657.59</v>
      </c>
      <c r="G5307">
        <f>IF(LEFT(B5307,1)="C","Credit","Factuur")</f>
        <v/>
      </c>
      <c r="H5307">
        <f>IF(AND(B5307=B5306,D5307=D5306,A5307=A5306,F5307=F5306),1,0)</f>
        <v/>
      </c>
      <c r="I5307">
        <f>IF(C5307="C99999",1,0)</f>
        <v/>
      </c>
      <c r="J5307" s="5">
        <f>IF(OR(H5307=1,I5307=1),0,IF(G5307="Credit",-F5307,F5307))</f>
        <v/>
      </c>
    </row>
    <row r="5308">
      <c r="A5308" t="inlineStr">
        <is>
          <t>2026-08-21</t>
        </is>
      </c>
      <c r="B5308" t="inlineStr">
        <is>
          <t>F269766</t>
        </is>
      </c>
      <c r="C5308" t="inlineStr">
        <is>
          <t>C10515</t>
        </is>
      </c>
      <c r="D5308" t="inlineStr">
        <is>
          <t>SKU-10067</t>
        </is>
      </c>
      <c r="E5308" t="inlineStr">
        <is>
          <t>AM07</t>
        </is>
      </c>
      <c r="F5308" s="5" t="n">
        <v>696.72</v>
      </c>
      <c r="G5308">
        <f>IF(LEFT(B5308,1)="C","Credit","Factuur")</f>
        <v/>
      </c>
      <c r="H5308">
        <f>IF(AND(B5308=B5307,D5308=D5307,A5308=A5307,F5308=F5307),1,0)</f>
        <v/>
      </c>
      <c r="I5308">
        <f>IF(C5308="C99999",1,0)</f>
        <v/>
      </c>
      <c r="J5308" s="5">
        <f>IF(OR(H5308=1,I5308=1),0,IF(G5308="Credit",-F5308,F5308))</f>
        <v/>
      </c>
    </row>
    <row r="5309">
      <c r="A5309" t="inlineStr">
        <is>
          <t>2026-08-21</t>
        </is>
      </c>
      <c r="B5309" t="inlineStr">
        <is>
          <t>F269766</t>
        </is>
      </c>
      <c r="C5309" t="inlineStr">
        <is>
          <t>C10515</t>
        </is>
      </c>
      <c r="D5309" t="inlineStr">
        <is>
          <t>SKU-10197</t>
        </is>
      </c>
      <c r="E5309" t="inlineStr">
        <is>
          <t>AM07</t>
        </is>
      </c>
      <c r="F5309" s="5" t="n">
        <v>683.36</v>
      </c>
      <c r="G5309">
        <f>IF(LEFT(B5309,1)="C","Credit","Factuur")</f>
        <v/>
      </c>
      <c r="H5309">
        <f>IF(AND(B5309=B5308,D5309=D5308,A5309=A5308,F5309=F5308),1,0)</f>
        <v/>
      </c>
      <c r="I5309">
        <f>IF(C5309="C99999",1,0)</f>
        <v/>
      </c>
      <c r="J5309" s="5">
        <f>IF(OR(H5309=1,I5309=1),0,IF(G5309="Credit",-F5309,F5309))</f>
        <v/>
      </c>
    </row>
    <row r="5310">
      <c r="A5310" t="inlineStr">
        <is>
          <t>2026-08-21</t>
        </is>
      </c>
      <c r="B5310" t="inlineStr">
        <is>
          <t>F269766</t>
        </is>
      </c>
      <c r="C5310" t="inlineStr">
        <is>
          <t>C10515</t>
        </is>
      </c>
      <c r="D5310" t="inlineStr">
        <is>
          <t>SKU-10303</t>
        </is>
      </c>
      <c r="E5310" t="inlineStr">
        <is>
          <t>AM07</t>
        </is>
      </c>
      <c r="F5310" s="5" t="n">
        <v>665.64</v>
      </c>
      <c r="G5310">
        <f>IF(LEFT(B5310,1)="C","Credit","Factuur")</f>
        <v/>
      </c>
      <c r="H5310">
        <f>IF(AND(B5310=B5309,D5310=D5309,A5310=A5309,F5310=F5309),1,0)</f>
        <v/>
      </c>
      <c r="I5310">
        <f>IF(C5310="C99999",1,0)</f>
        <v/>
      </c>
      <c r="J5310" s="5">
        <f>IF(OR(H5310=1,I5310=1),0,IF(G5310="Credit",-F5310,F5310))</f>
        <v/>
      </c>
    </row>
    <row r="5311">
      <c r="A5311" t="inlineStr">
        <is>
          <t>2026-08-21</t>
        </is>
      </c>
      <c r="B5311" t="inlineStr">
        <is>
          <t>F269876</t>
        </is>
      </c>
      <c r="C5311" t="inlineStr">
        <is>
          <t>C10521</t>
        </is>
      </c>
      <c r="D5311" t="inlineStr">
        <is>
          <t>SKU-10068</t>
        </is>
      </c>
      <c r="E5311" t="inlineStr">
        <is>
          <t>AM12</t>
        </is>
      </c>
      <c r="F5311" s="5" t="n">
        <v>87.12</v>
      </c>
      <c r="G5311">
        <f>IF(LEFT(B5311,1)="C","Credit","Factuur")</f>
        <v/>
      </c>
      <c r="H5311">
        <f>IF(AND(B5311=B5310,D5311=D5310,A5311=A5310,F5311=F5310),1,0)</f>
        <v/>
      </c>
      <c r="I5311">
        <f>IF(C5311="C99999",1,0)</f>
        <v/>
      </c>
      <c r="J5311" s="5">
        <f>IF(OR(H5311=1,I5311=1),0,IF(G5311="Credit",-F5311,F5311))</f>
        <v/>
      </c>
    </row>
    <row r="5312">
      <c r="A5312" t="inlineStr">
        <is>
          <t>2026-08-21</t>
        </is>
      </c>
      <c r="B5312" t="inlineStr">
        <is>
          <t>F269876</t>
        </is>
      </c>
      <c r="C5312" t="inlineStr">
        <is>
          <t>C10521</t>
        </is>
      </c>
      <c r="D5312" t="inlineStr">
        <is>
          <t>SKU-10103</t>
        </is>
      </c>
      <c r="E5312" t="inlineStr">
        <is>
          <t>AM12</t>
        </is>
      </c>
      <c r="F5312" s="5" t="n">
        <v>79.43000000000001</v>
      </c>
      <c r="G5312">
        <f>IF(LEFT(B5312,1)="C","Credit","Factuur")</f>
        <v/>
      </c>
      <c r="H5312">
        <f>IF(AND(B5312=B5311,D5312=D5311,A5312=A5311,F5312=F5311),1,0)</f>
        <v/>
      </c>
      <c r="I5312">
        <f>IF(C5312="C99999",1,0)</f>
        <v/>
      </c>
      <c r="J5312" s="5">
        <f>IF(OR(H5312=1,I5312=1),0,IF(G5312="Credit",-F5312,F5312))</f>
        <v/>
      </c>
    </row>
    <row r="5313">
      <c r="A5313" t="inlineStr">
        <is>
          <t>2026-08-21</t>
        </is>
      </c>
      <c r="B5313" t="inlineStr">
        <is>
          <t>F269876</t>
        </is>
      </c>
      <c r="C5313" t="inlineStr">
        <is>
          <t>C10521</t>
        </is>
      </c>
      <c r="D5313" t="inlineStr">
        <is>
          <t>SKU-10114</t>
        </is>
      </c>
      <c r="E5313" t="inlineStr">
        <is>
          <t>AM12</t>
        </is>
      </c>
      <c r="F5313" s="5" t="n">
        <v>107.12</v>
      </c>
      <c r="G5313">
        <f>IF(LEFT(B5313,1)="C","Credit","Factuur")</f>
        <v/>
      </c>
      <c r="H5313">
        <f>IF(AND(B5313=B5312,D5313=D5312,A5313=A5312,F5313=F5312),1,0)</f>
        <v/>
      </c>
      <c r="I5313">
        <f>IF(C5313="C99999",1,0)</f>
        <v/>
      </c>
      <c r="J5313" s="5">
        <f>IF(OR(H5313=1,I5313=1),0,IF(G5313="Credit",-F5313,F5313))</f>
        <v/>
      </c>
    </row>
    <row r="5314">
      <c r="A5314" t="inlineStr">
        <is>
          <t>2026-08-21</t>
        </is>
      </c>
      <c r="B5314" t="inlineStr">
        <is>
          <t>F269876</t>
        </is>
      </c>
      <c r="C5314" t="inlineStr">
        <is>
          <t>C10521</t>
        </is>
      </c>
      <c r="D5314" t="inlineStr">
        <is>
          <t>SKU-10302</t>
        </is>
      </c>
      <c r="E5314" t="inlineStr">
        <is>
          <t>AM12</t>
        </is>
      </c>
      <c r="F5314" s="5" t="n">
        <v>87.81999999999999</v>
      </c>
      <c r="G5314">
        <f>IF(LEFT(B5314,1)="C","Credit","Factuur")</f>
        <v/>
      </c>
      <c r="H5314">
        <f>IF(AND(B5314=B5313,D5314=D5313,A5314=A5313,F5314=F5313),1,0)</f>
        <v/>
      </c>
      <c r="I5314">
        <f>IF(C5314="C99999",1,0)</f>
        <v/>
      </c>
      <c r="J5314" s="5">
        <f>IF(OR(H5314=1,I5314=1),0,IF(G5314="Credit",-F5314,F5314))</f>
        <v/>
      </c>
    </row>
    <row r="5315">
      <c r="A5315" t="inlineStr">
        <is>
          <t>2026-08-21</t>
        </is>
      </c>
      <c r="B5315" t="inlineStr">
        <is>
          <t>F269876</t>
        </is>
      </c>
      <c r="C5315" t="inlineStr">
        <is>
          <t>C10521</t>
        </is>
      </c>
      <c r="D5315" t="inlineStr">
        <is>
          <t>SKU-10323</t>
        </is>
      </c>
      <c r="E5315" t="inlineStr">
        <is>
          <t>AM12</t>
        </is>
      </c>
      <c r="F5315" s="5" t="n">
        <v>88.25</v>
      </c>
      <c r="G5315">
        <f>IF(LEFT(B5315,1)="C","Credit","Factuur")</f>
        <v/>
      </c>
      <c r="H5315">
        <f>IF(AND(B5315=B5314,D5315=D5314,A5315=A5314,F5315=F5314),1,0)</f>
        <v/>
      </c>
      <c r="I5315">
        <f>IF(C5315="C99999",1,0)</f>
        <v/>
      </c>
      <c r="J5315" s="5">
        <f>IF(OR(H5315=1,I5315=1),0,IF(G5315="Credit",-F5315,F5315))</f>
        <v/>
      </c>
    </row>
    <row r="5316">
      <c r="A5316" t="inlineStr">
        <is>
          <t>2026-08-21</t>
        </is>
      </c>
      <c r="B5316" t="inlineStr">
        <is>
          <t>F270034</t>
        </is>
      </c>
      <c r="C5316" t="inlineStr">
        <is>
          <t>C10528</t>
        </is>
      </c>
      <c r="D5316" t="inlineStr">
        <is>
          <t>SKU-10240</t>
        </is>
      </c>
      <c r="E5316" t="inlineStr">
        <is>
          <t>AM09</t>
        </is>
      </c>
      <c r="F5316" s="5" t="n">
        <v>3122.46</v>
      </c>
      <c r="G5316">
        <f>IF(LEFT(B5316,1)="C","Credit","Factuur")</f>
        <v/>
      </c>
      <c r="H5316">
        <f>IF(AND(B5316=B5315,D5316=D5315,A5316=A5315,F5316=F5315),1,0)</f>
        <v/>
      </c>
      <c r="I5316">
        <f>IF(C5316="C99999",1,0)</f>
        <v/>
      </c>
      <c r="J5316" s="5">
        <f>IF(OR(H5316=1,I5316=1),0,IF(G5316="Credit",-F5316,F5316))</f>
        <v/>
      </c>
    </row>
    <row r="5317">
      <c r="A5317" t="inlineStr">
        <is>
          <t>2026-08-21</t>
        </is>
      </c>
      <c r="B5317" t="inlineStr">
        <is>
          <t>F270034</t>
        </is>
      </c>
      <c r="C5317" t="inlineStr">
        <is>
          <t>C10528</t>
        </is>
      </c>
      <c r="D5317" t="inlineStr">
        <is>
          <t>SKU-10340</t>
        </is>
      </c>
      <c r="E5317" t="inlineStr">
        <is>
          <t>AM09</t>
        </is>
      </c>
      <c r="F5317" s="5" t="n">
        <v>2964.46</v>
      </c>
      <c r="G5317">
        <f>IF(LEFT(B5317,1)="C","Credit","Factuur")</f>
        <v/>
      </c>
      <c r="H5317">
        <f>IF(AND(B5317=B5316,D5317=D5316,A5317=A5316,F5317=F5316),1,0)</f>
        <v/>
      </c>
      <c r="I5317">
        <f>IF(C5317="C99999",1,0)</f>
        <v/>
      </c>
      <c r="J5317" s="5">
        <f>IF(OR(H5317=1,I5317=1),0,IF(G5317="Credit",-F5317,F5317))</f>
        <v/>
      </c>
    </row>
    <row r="5318">
      <c r="A5318" t="inlineStr">
        <is>
          <t>2026-08-21</t>
        </is>
      </c>
      <c r="B5318" t="inlineStr">
        <is>
          <t>F270034</t>
        </is>
      </c>
      <c r="C5318" t="inlineStr">
        <is>
          <t>C10528</t>
        </is>
      </c>
      <c r="D5318" t="inlineStr">
        <is>
          <t>SKU-10344</t>
        </is>
      </c>
      <c r="E5318" t="inlineStr">
        <is>
          <t>AM09</t>
        </is>
      </c>
      <c r="F5318" s="5" t="n">
        <v>2665.6</v>
      </c>
      <c r="G5318">
        <f>IF(LEFT(B5318,1)="C","Credit","Factuur")</f>
        <v/>
      </c>
      <c r="H5318">
        <f>IF(AND(B5318=B5317,D5318=D5317,A5318=A5317,F5318=F5317),1,0)</f>
        <v/>
      </c>
      <c r="I5318">
        <f>IF(C5318="C99999",1,0)</f>
        <v/>
      </c>
      <c r="J5318" s="5">
        <f>IF(OR(H5318=1,I5318=1),0,IF(G5318="Credit",-F5318,F5318))</f>
        <v/>
      </c>
    </row>
    <row r="5319">
      <c r="A5319" t="inlineStr">
        <is>
          <t>2026-08-21</t>
        </is>
      </c>
      <c r="B5319" t="inlineStr">
        <is>
          <t>F270087</t>
        </is>
      </c>
      <c r="C5319" t="inlineStr">
        <is>
          <t>C10531</t>
        </is>
      </c>
      <c r="D5319" t="inlineStr">
        <is>
          <t>SKU-10058</t>
        </is>
      </c>
      <c r="E5319" t="inlineStr">
        <is>
          <t>AM03</t>
        </is>
      </c>
      <c r="F5319" s="5" t="n">
        <v>462.64</v>
      </c>
      <c r="G5319">
        <f>IF(LEFT(B5319,1)="C","Credit","Factuur")</f>
        <v/>
      </c>
      <c r="H5319">
        <f>IF(AND(B5319=B5318,D5319=D5318,A5319=A5318,F5319=F5318),1,0)</f>
        <v/>
      </c>
      <c r="I5319">
        <f>IF(C5319="C99999",1,0)</f>
        <v/>
      </c>
      <c r="J5319" s="5">
        <f>IF(OR(H5319=1,I5319=1),0,IF(G5319="Credit",-F5319,F5319))</f>
        <v/>
      </c>
    </row>
    <row r="5320">
      <c r="A5320" t="inlineStr">
        <is>
          <t>2026-08-21</t>
        </is>
      </c>
      <c r="B5320" t="inlineStr">
        <is>
          <t>F270087</t>
        </is>
      </c>
      <c r="C5320" t="inlineStr">
        <is>
          <t>C10531</t>
        </is>
      </c>
      <c r="D5320" t="inlineStr">
        <is>
          <t>SKU-10273</t>
        </is>
      </c>
      <c r="E5320" t="inlineStr">
        <is>
          <t>AM03</t>
        </is>
      </c>
      <c r="F5320" s="5" t="n">
        <v>457.71</v>
      </c>
      <c r="G5320">
        <f>IF(LEFT(B5320,1)="C","Credit","Factuur")</f>
        <v/>
      </c>
      <c r="H5320">
        <f>IF(AND(B5320=B5319,D5320=D5319,A5320=A5319,F5320=F5319),1,0)</f>
        <v/>
      </c>
      <c r="I5320">
        <f>IF(C5320="C99999",1,0)</f>
        <v/>
      </c>
      <c r="J5320" s="5">
        <f>IF(OR(H5320=1,I5320=1),0,IF(G5320="Credit",-F5320,F5320))</f>
        <v/>
      </c>
    </row>
    <row r="5321">
      <c r="A5321" t="inlineStr">
        <is>
          <t>2026-08-21</t>
        </is>
      </c>
      <c r="B5321" t="inlineStr">
        <is>
          <t>F270087</t>
        </is>
      </c>
      <c r="C5321" t="inlineStr">
        <is>
          <t>C10531</t>
        </is>
      </c>
      <c r="D5321" t="inlineStr">
        <is>
          <t>SKU-10278</t>
        </is>
      </c>
      <c r="E5321" t="inlineStr">
        <is>
          <t>AM03</t>
        </is>
      </c>
      <c r="F5321" s="5" t="n">
        <v>483.46</v>
      </c>
      <c r="G5321">
        <f>IF(LEFT(B5321,1)="C","Credit","Factuur")</f>
        <v/>
      </c>
      <c r="H5321">
        <f>IF(AND(B5321=B5320,D5321=D5320,A5321=A5320,F5321=F5320),1,0)</f>
        <v/>
      </c>
      <c r="I5321">
        <f>IF(C5321="C99999",1,0)</f>
        <v/>
      </c>
      <c r="J5321" s="5">
        <f>IF(OR(H5321=1,I5321=1),0,IF(G5321="Credit",-F5321,F5321))</f>
        <v/>
      </c>
    </row>
    <row r="5322">
      <c r="A5322" t="inlineStr">
        <is>
          <t>2026-08-21</t>
        </is>
      </c>
      <c r="B5322" t="inlineStr">
        <is>
          <t>F270087</t>
        </is>
      </c>
      <c r="C5322" t="inlineStr">
        <is>
          <t>C10531</t>
        </is>
      </c>
      <c r="D5322" t="inlineStr">
        <is>
          <t>SKU-10281</t>
        </is>
      </c>
      <c r="E5322" t="inlineStr">
        <is>
          <t>AM03</t>
        </is>
      </c>
      <c r="F5322" s="5" t="n">
        <v>477.99</v>
      </c>
      <c r="G5322">
        <f>IF(LEFT(B5322,1)="C","Credit","Factuur")</f>
        <v/>
      </c>
      <c r="H5322">
        <f>IF(AND(B5322=B5321,D5322=D5321,A5322=A5321,F5322=F5321),1,0)</f>
        <v/>
      </c>
      <c r="I5322">
        <f>IF(C5322="C99999",1,0)</f>
        <v/>
      </c>
      <c r="J5322" s="5">
        <f>IF(OR(H5322=1,I5322=1),0,IF(G5322="Credit",-F5322,F5322))</f>
        <v/>
      </c>
    </row>
    <row r="5323">
      <c r="A5323" t="inlineStr">
        <is>
          <t>2026-08-21</t>
        </is>
      </c>
      <c r="B5323" t="inlineStr">
        <is>
          <t>F270087</t>
        </is>
      </c>
      <c r="C5323" t="inlineStr">
        <is>
          <t>C10531</t>
        </is>
      </c>
      <c r="D5323" t="inlineStr">
        <is>
          <t>SKU-10345</t>
        </is>
      </c>
      <c r="E5323" t="inlineStr">
        <is>
          <t>AM03</t>
        </is>
      </c>
      <c r="F5323" s="5" t="n">
        <v>469.43</v>
      </c>
      <c r="G5323">
        <f>IF(LEFT(B5323,1)="C","Credit","Factuur")</f>
        <v/>
      </c>
      <c r="H5323">
        <f>IF(AND(B5323=B5322,D5323=D5322,A5323=A5322,F5323=F5322),1,0)</f>
        <v/>
      </c>
      <c r="I5323">
        <f>IF(C5323="C99999",1,0)</f>
        <v/>
      </c>
      <c r="J5323" s="5">
        <f>IF(OR(H5323=1,I5323=1),0,IF(G5323="Credit",-F5323,F5323))</f>
        <v/>
      </c>
    </row>
    <row r="5324">
      <c r="A5324" t="inlineStr">
        <is>
          <t>2026-08-21</t>
        </is>
      </c>
      <c r="B5324" t="inlineStr">
        <is>
          <t>F270101</t>
        </is>
      </c>
      <c r="C5324" t="inlineStr">
        <is>
          <t>C10532</t>
        </is>
      </c>
      <c r="D5324" t="inlineStr">
        <is>
          <t>SKU-10028</t>
        </is>
      </c>
      <c r="E5324" t="inlineStr">
        <is>
          <t>AM02</t>
        </is>
      </c>
      <c r="F5324" s="5" t="n">
        <v>347.28</v>
      </c>
      <c r="G5324">
        <f>IF(LEFT(B5324,1)="C","Credit","Factuur")</f>
        <v/>
      </c>
      <c r="H5324">
        <f>IF(AND(B5324=B5323,D5324=D5323,A5324=A5323,F5324=F5323),1,0)</f>
        <v/>
      </c>
      <c r="I5324">
        <f>IF(C5324="C99999",1,0)</f>
        <v/>
      </c>
      <c r="J5324" s="5">
        <f>IF(OR(H5324=1,I5324=1),0,IF(G5324="Credit",-F5324,F5324))</f>
        <v/>
      </c>
    </row>
    <row r="5325">
      <c r="A5325" t="inlineStr">
        <is>
          <t>2026-08-21</t>
        </is>
      </c>
      <c r="B5325" t="inlineStr">
        <is>
          <t>F270101</t>
        </is>
      </c>
      <c r="C5325" t="inlineStr">
        <is>
          <t>C10532</t>
        </is>
      </c>
      <c r="D5325" t="inlineStr">
        <is>
          <t>SKU-10183</t>
        </is>
      </c>
      <c r="E5325" t="inlineStr">
        <is>
          <t>AM02</t>
        </is>
      </c>
      <c r="F5325" s="5" t="n">
        <v>369.9</v>
      </c>
      <c r="G5325">
        <f>IF(LEFT(B5325,1)="C","Credit","Factuur")</f>
        <v/>
      </c>
      <c r="H5325">
        <f>IF(AND(B5325=B5324,D5325=D5324,A5325=A5324,F5325=F5324),1,0)</f>
        <v/>
      </c>
      <c r="I5325">
        <f>IF(C5325="C99999",1,0)</f>
        <v/>
      </c>
      <c r="J5325" s="5">
        <f>IF(OR(H5325=1,I5325=1),0,IF(G5325="Credit",-F5325,F5325))</f>
        <v/>
      </c>
    </row>
    <row r="5326">
      <c r="A5326" t="inlineStr">
        <is>
          <t>2026-08-21</t>
        </is>
      </c>
      <c r="B5326" t="inlineStr">
        <is>
          <t>F270101</t>
        </is>
      </c>
      <c r="C5326" t="inlineStr">
        <is>
          <t>C10532</t>
        </is>
      </c>
      <c r="D5326" t="inlineStr">
        <is>
          <t>SKU-10320</t>
        </is>
      </c>
      <c r="E5326" t="inlineStr">
        <is>
          <t>AM02</t>
        </is>
      </c>
      <c r="F5326" s="5" t="n">
        <v>375.87</v>
      </c>
      <c r="G5326">
        <f>IF(LEFT(B5326,1)="C","Credit","Factuur")</f>
        <v/>
      </c>
      <c r="H5326">
        <f>IF(AND(B5326=B5325,D5326=D5325,A5326=A5325,F5326=F5325),1,0)</f>
        <v/>
      </c>
      <c r="I5326">
        <f>IF(C5326="C99999",1,0)</f>
        <v/>
      </c>
      <c r="J5326" s="5">
        <f>IF(OR(H5326=1,I5326=1),0,IF(G5326="Credit",-F5326,F5326))</f>
        <v/>
      </c>
    </row>
    <row r="5327">
      <c r="A5327" t="inlineStr">
        <is>
          <t>2026-08-21</t>
        </is>
      </c>
      <c r="B5327" t="inlineStr">
        <is>
          <t>F270101</t>
        </is>
      </c>
      <c r="C5327" t="inlineStr">
        <is>
          <t>C10532</t>
        </is>
      </c>
      <c r="D5327" t="inlineStr">
        <is>
          <t>SKU-10323</t>
        </is>
      </c>
      <c r="E5327" t="inlineStr">
        <is>
          <t>AM02</t>
        </is>
      </c>
      <c r="F5327" s="5" t="n">
        <v>370.65</v>
      </c>
      <c r="G5327">
        <f>IF(LEFT(B5327,1)="C","Credit","Factuur")</f>
        <v/>
      </c>
      <c r="H5327">
        <f>IF(AND(B5327=B5326,D5327=D5326,A5327=A5326,F5327=F5326),1,0)</f>
        <v/>
      </c>
      <c r="I5327">
        <f>IF(C5327="C99999",1,0)</f>
        <v/>
      </c>
      <c r="J5327" s="5">
        <f>IF(OR(H5327=1,I5327=1),0,IF(G5327="Credit",-F5327,F5327))</f>
        <v/>
      </c>
    </row>
    <row r="5328">
      <c r="A5328" t="inlineStr">
        <is>
          <t>2026-08-21</t>
        </is>
      </c>
      <c r="B5328" t="inlineStr">
        <is>
          <t>F270635</t>
        </is>
      </c>
      <c r="C5328" t="inlineStr">
        <is>
          <t>C10559</t>
        </is>
      </c>
      <c r="D5328" t="inlineStr">
        <is>
          <t>SKU-10086</t>
        </is>
      </c>
      <c r="E5328" t="inlineStr">
        <is>
          <t>AM11</t>
        </is>
      </c>
      <c r="F5328" s="5" t="n">
        <v>690.0599999999999</v>
      </c>
      <c r="G5328">
        <f>IF(LEFT(B5328,1)="C","Credit","Factuur")</f>
        <v/>
      </c>
      <c r="H5328">
        <f>IF(AND(B5328=B5327,D5328=D5327,A5328=A5327,F5328=F5327),1,0)</f>
        <v/>
      </c>
      <c r="I5328">
        <f>IF(C5328="C99999",1,0)</f>
        <v/>
      </c>
      <c r="J5328" s="5">
        <f>IF(OR(H5328=1,I5328=1),0,IF(G5328="Credit",-F5328,F5328))</f>
        <v/>
      </c>
    </row>
    <row r="5329">
      <c r="A5329" t="inlineStr">
        <is>
          <t>2026-08-21</t>
        </is>
      </c>
      <c r="B5329" t="inlineStr">
        <is>
          <t>F270635</t>
        </is>
      </c>
      <c r="C5329" t="inlineStr">
        <is>
          <t>C10559</t>
        </is>
      </c>
      <c r="D5329" t="inlineStr">
        <is>
          <t>SKU-10314</t>
        </is>
      </c>
      <c r="E5329" t="inlineStr">
        <is>
          <t>AM11</t>
        </is>
      </c>
      <c r="F5329" s="5" t="n">
        <v>682.08</v>
      </c>
      <c r="G5329">
        <f>IF(LEFT(B5329,1)="C","Credit","Factuur")</f>
        <v/>
      </c>
      <c r="H5329">
        <f>IF(AND(B5329=B5328,D5329=D5328,A5329=A5328,F5329=F5328),1,0)</f>
        <v/>
      </c>
      <c r="I5329">
        <f>IF(C5329="C99999",1,0)</f>
        <v/>
      </c>
      <c r="J5329" s="5">
        <f>IF(OR(H5329=1,I5329=1),0,IF(G5329="Credit",-F5329,F5329))</f>
        <v/>
      </c>
    </row>
    <row r="5330">
      <c r="A5330" t="inlineStr">
        <is>
          <t>2026-08-21</t>
        </is>
      </c>
      <c r="B5330" t="inlineStr">
        <is>
          <t>F271632</t>
        </is>
      </c>
      <c r="C5330" t="inlineStr">
        <is>
          <t>C10598</t>
        </is>
      </c>
      <c r="D5330" t="inlineStr">
        <is>
          <t>SKU-10235</t>
        </is>
      </c>
      <c r="E5330" t="inlineStr">
        <is>
          <t>AM03</t>
        </is>
      </c>
      <c r="F5330" s="5" t="n">
        <v>192.82</v>
      </c>
      <c r="G5330">
        <f>IF(LEFT(B5330,1)="C","Credit","Factuur")</f>
        <v/>
      </c>
      <c r="H5330">
        <f>IF(AND(B5330=B5329,D5330=D5329,A5330=A5329,F5330=F5329),1,0)</f>
        <v/>
      </c>
      <c r="I5330">
        <f>IF(C5330="C99999",1,0)</f>
        <v/>
      </c>
      <c r="J5330" s="5">
        <f>IF(OR(H5330=1,I5330=1),0,IF(G5330="Credit",-F5330,F5330))</f>
        <v/>
      </c>
    </row>
    <row r="5331">
      <c r="A5331" t="inlineStr">
        <is>
          <t>2026-08-21</t>
        </is>
      </c>
      <c r="B5331" t="inlineStr">
        <is>
          <t>F271721</t>
        </is>
      </c>
      <c r="C5331" t="inlineStr">
        <is>
          <t>C10602</t>
        </is>
      </c>
      <c r="D5331" t="inlineStr">
        <is>
          <t>SKU-10019</t>
        </is>
      </c>
      <c r="E5331" t="inlineStr">
        <is>
          <t>AM05</t>
        </is>
      </c>
      <c r="F5331" s="5" t="n">
        <v>528.12</v>
      </c>
      <c r="G5331">
        <f>IF(LEFT(B5331,1)="C","Credit","Factuur")</f>
        <v/>
      </c>
      <c r="H5331">
        <f>IF(AND(B5331=B5330,D5331=D5330,A5331=A5330,F5331=F5330),1,0)</f>
        <v/>
      </c>
      <c r="I5331">
        <f>IF(C5331="C99999",1,0)</f>
        <v/>
      </c>
      <c r="J5331" s="5">
        <f>IF(OR(H5331=1,I5331=1),0,IF(G5331="Credit",-F5331,F5331))</f>
        <v/>
      </c>
    </row>
    <row r="5332">
      <c r="A5332" t="inlineStr">
        <is>
          <t>2026-08-21</t>
        </is>
      </c>
      <c r="B5332" t="inlineStr">
        <is>
          <t>F271721</t>
        </is>
      </c>
      <c r="C5332" t="inlineStr">
        <is>
          <t>C10602</t>
        </is>
      </c>
      <c r="D5332" t="inlineStr">
        <is>
          <t>SKU-10091</t>
        </is>
      </c>
      <c r="E5332" t="inlineStr">
        <is>
          <t>AM05</t>
        </is>
      </c>
      <c r="F5332" s="5" t="n">
        <v>469.72</v>
      </c>
      <c r="G5332">
        <f>IF(LEFT(B5332,1)="C","Credit","Factuur")</f>
        <v/>
      </c>
      <c r="H5332">
        <f>IF(AND(B5332=B5331,D5332=D5331,A5332=A5331,F5332=F5331),1,0)</f>
        <v/>
      </c>
      <c r="I5332">
        <f>IF(C5332="C99999",1,0)</f>
        <v/>
      </c>
      <c r="J5332" s="5">
        <f>IF(OR(H5332=1,I5332=1),0,IF(G5332="Credit",-F5332,F5332))</f>
        <v/>
      </c>
    </row>
    <row r="5333">
      <c r="A5333" t="inlineStr">
        <is>
          <t>2026-08-21</t>
        </is>
      </c>
      <c r="B5333" t="inlineStr">
        <is>
          <t>F271721</t>
        </is>
      </c>
      <c r="C5333" t="inlineStr">
        <is>
          <t>C10602</t>
        </is>
      </c>
      <c r="D5333" t="inlineStr">
        <is>
          <t>SKU-10140</t>
        </is>
      </c>
      <c r="E5333" t="inlineStr">
        <is>
          <t>AM05</t>
        </is>
      </c>
      <c r="F5333" s="5" t="n">
        <v>472.14</v>
      </c>
      <c r="G5333">
        <f>IF(LEFT(B5333,1)="C","Credit","Factuur")</f>
        <v/>
      </c>
      <c r="H5333">
        <f>IF(AND(B5333=B5332,D5333=D5332,A5333=A5332,F5333=F5332),1,0)</f>
        <v/>
      </c>
      <c r="I5333">
        <f>IF(C5333="C99999",1,0)</f>
        <v/>
      </c>
      <c r="J5333" s="5">
        <f>IF(OR(H5333=1,I5333=1),0,IF(G5333="Credit",-F5333,F5333))</f>
        <v/>
      </c>
    </row>
    <row r="5334">
      <c r="A5334" t="inlineStr">
        <is>
          <t>2026-08-21</t>
        </is>
      </c>
      <c r="B5334" t="inlineStr">
        <is>
          <t>F271721</t>
        </is>
      </c>
      <c r="C5334" t="inlineStr">
        <is>
          <t>C10602</t>
        </is>
      </c>
      <c r="D5334" t="inlineStr">
        <is>
          <t>SKU-10290</t>
        </is>
      </c>
      <c r="E5334" t="inlineStr">
        <is>
          <t>AM05</t>
        </is>
      </c>
      <c r="F5334" s="5" t="n">
        <v>484.83</v>
      </c>
      <c r="G5334">
        <f>IF(LEFT(B5334,1)="C","Credit","Factuur")</f>
        <v/>
      </c>
      <c r="H5334">
        <f>IF(AND(B5334=B5333,D5334=D5333,A5334=A5333,F5334=F5333),1,0)</f>
        <v/>
      </c>
      <c r="I5334">
        <f>IF(C5334="C99999",1,0)</f>
        <v/>
      </c>
      <c r="J5334" s="5">
        <f>IF(OR(H5334=1,I5334=1),0,IF(G5334="Credit",-F5334,F5334))</f>
        <v/>
      </c>
    </row>
    <row r="5335">
      <c r="A5335" t="inlineStr">
        <is>
          <t>2026-08-21</t>
        </is>
      </c>
      <c r="B5335" t="inlineStr">
        <is>
          <t>F272304</t>
        </is>
      </c>
      <c r="C5335" t="inlineStr">
        <is>
          <t>C10637</t>
        </is>
      </c>
      <c r="D5335" t="inlineStr">
        <is>
          <t>SKU-10101</t>
        </is>
      </c>
      <c r="E5335" t="inlineStr">
        <is>
          <t>AM02</t>
        </is>
      </c>
      <c r="F5335" s="5" t="n">
        <v>118.76</v>
      </c>
      <c r="G5335">
        <f>IF(LEFT(B5335,1)="C","Credit","Factuur")</f>
        <v/>
      </c>
      <c r="H5335">
        <f>IF(AND(B5335=B5334,D5335=D5334,A5335=A5334,F5335=F5334),1,0)</f>
        <v/>
      </c>
      <c r="I5335">
        <f>IF(C5335="C99999",1,0)</f>
        <v/>
      </c>
      <c r="J5335" s="5">
        <f>IF(OR(H5335=1,I5335=1),0,IF(G5335="Credit",-F5335,F5335))</f>
        <v/>
      </c>
    </row>
    <row r="5336">
      <c r="A5336" t="inlineStr">
        <is>
          <t>2026-08-21</t>
        </is>
      </c>
      <c r="B5336" t="inlineStr">
        <is>
          <t>F272304</t>
        </is>
      </c>
      <c r="C5336" t="inlineStr">
        <is>
          <t>C10637</t>
        </is>
      </c>
      <c r="D5336" t="inlineStr">
        <is>
          <t>SKU-10116</t>
        </is>
      </c>
      <c r="E5336" t="inlineStr">
        <is>
          <t>AM02</t>
        </is>
      </c>
      <c r="F5336" s="5" t="n">
        <v>130.2</v>
      </c>
      <c r="G5336">
        <f>IF(LEFT(B5336,1)="C","Credit","Factuur")</f>
        <v/>
      </c>
      <c r="H5336">
        <f>IF(AND(B5336=B5335,D5336=D5335,A5336=A5335,F5336=F5335),1,0)</f>
        <v/>
      </c>
      <c r="I5336">
        <f>IF(C5336="C99999",1,0)</f>
        <v/>
      </c>
      <c r="J5336" s="5">
        <f>IF(OR(H5336=1,I5336=1),0,IF(G5336="Credit",-F5336,F5336))</f>
        <v/>
      </c>
    </row>
    <row r="5337">
      <c r="A5337" t="inlineStr">
        <is>
          <t>2026-08-21</t>
        </is>
      </c>
      <c r="B5337" t="inlineStr">
        <is>
          <t>F272304</t>
        </is>
      </c>
      <c r="C5337" t="inlineStr">
        <is>
          <t>C10637</t>
        </is>
      </c>
      <c r="D5337" t="inlineStr">
        <is>
          <t>SKU-10338</t>
        </is>
      </c>
      <c r="E5337" t="inlineStr">
        <is>
          <t>AM02</t>
        </is>
      </c>
      <c r="F5337" s="5" t="n">
        <v>106.16</v>
      </c>
      <c r="G5337">
        <f>IF(LEFT(B5337,1)="C","Credit","Factuur")</f>
        <v/>
      </c>
      <c r="H5337">
        <f>IF(AND(B5337=B5336,D5337=D5336,A5337=A5336,F5337=F5336),1,0)</f>
        <v/>
      </c>
      <c r="I5337">
        <f>IF(C5337="C99999",1,0)</f>
        <v/>
      </c>
      <c r="J5337" s="5">
        <f>IF(OR(H5337=1,I5337=1),0,IF(G5337="Credit",-F5337,F5337))</f>
        <v/>
      </c>
    </row>
    <row r="5338">
      <c r="A5338" t="inlineStr">
        <is>
          <t>2026-08-21</t>
        </is>
      </c>
      <c r="B5338" t="inlineStr">
        <is>
          <t>F272501</t>
        </is>
      </c>
      <c r="C5338" t="inlineStr">
        <is>
          <t>C10647</t>
        </is>
      </c>
      <c r="D5338" t="inlineStr">
        <is>
          <t>SKU-10061</t>
        </is>
      </c>
      <c r="E5338" t="inlineStr">
        <is>
          <t>AM07</t>
        </is>
      </c>
      <c r="F5338" s="5" t="n">
        <v>545.83</v>
      </c>
      <c r="G5338">
        <f>IF(LEFT(B5338,1)="C","Credit","Factuur")</f>
        <v/>
      </c>
      <c r="H5338">
        <f>IF(AND(B5338=B5337,D5338=D5337,A5338=A5337,F5338=F5337),1,0)</f>
        <v/>
      </c>
      <c r="I5338">
        <f>IF(C5338="C99999",1,0)</f>
        <v/>
      </c>
      <c r="J5338" s="5">
        <f>IF(OR(H5338=1,I5338=1),0,IF(G5338="Credit",-F5338,F5338))</f>
        <v/>
      </c>
    </row>
    <row r="5339">
      <c r="A5339" t="inlineStr">
        <is>
          <t>2026-08-21</t>
        </is>
      </c>
      <c r="B5339" t="inlineStr">
        <is>
          <t>F272905</t>
        </is>
      </c>
      <c r="C5339" t="inlineStr">
        <is>
          <t>C10672</t>
        </is>
      </c>
      <c r="D5339" t="inlineStr">
        <is>
          <t>SKU-10171</t>
        </is>
      </c>
      <c r="E5339" t="inlineStr">
        <is>
          <t>AM08</t>
        </is>
      </c>
      <c r="F5339" s="5" t="n">
        <v>76.53</v>
      </c>
      <c r="G5339">
        <f>IF(LEFT(B5339,1)="C","Credit","Factuur")</f>
        <v/>
      </c>
      <c r="H5339">
        <f>IF(AND(B5339=B5338,D5339=D5338,A5339=A5338,F5339=F5338),1,0)</f>
        <v/>
      </c>
      <c r="I5339">
        <f>IF(C5339="C99999",1,0)</f>
        <v/>
      </c>
      <c r="J5339" s="5">
        <f>IF(OR(H5339=1,I5339=1),0,IF(G5339="Credit",-F5339,F5339))</f>
        <v/>
      </c>
    </row>
    <row r="5340">
      <c r="A5340" t="inlineStr">
        <is>
          <t>2026-08-21</t>
        </is>
      </c>
      <c r="B5340" t="inlineStr">
        <is>
          <t>F272905</t>
        </is>
      </c>
      <c r="C5340" t="inlineStr">
        <is>
          <t>C10672</t>
        </is>
      </c>
      <c r="D5340" t="inlineStr">
        <is>
          <t>SKU-10325</t>
        </is>
      </c>
      <c r="E5340" t="inlineStr">
        <is>
          <t>AM08</t>
        </is>
      </c>
      <c r="F5340" s="5" t="n">
        <v>40.04</v>
      </c>
      <c r="G5340">
        <f>IF(LEFT(B5340,1)="C","Credit","Factuur")</f>
        <v/>
      </c>
      <c r="H5340">
        <f>IF(AND(B5340=B5339,D5340=D5339,A5340=A5339,F5340=F5339),1,0)</f>
        <v/>
      </c>
      <c r="I5340">
        <f>IF(C5340="C99999",1,0)</f>
        <v/>
      </c>
      <c r="J5340" s="5">
        <f>IF(OR(H5340=1,I5340=1),0,IF(G5340="Credit",-F5340,F5340))</f>
        <v/>
      </c>
    </row>
    <row r="5341">
      <c r="A5341" t="inlineStr">
        <is>
          <t>2026-08-21</t>
        </is>
      </c>
      <c r="B5341" t="inlineStr">
        <is>
          <t>F272905</t>
        </is>
      </c>
      <c r="C5341" t="inlineStr">
        <is>
          <t>C10672</t>
        </is>
      </c>
      <c r="D5341" t="inlineStr">
        <is>
          <t>SKU-10339</t>
        </is>
      </c>
      <c r="E5341" t="inlineStr">
        <is>
          <t>AM08</t>
        </is>
      </c>
      <c r="F5341" s="5" t="n">
        <v>52.98</v>
      </c>
      <c r="G5341">
        <f>IF(LEFT(B5341,1)="C","Credit","Factuur")</f>
        <v/>
      </c>
      <c r="H5341">
        <f>IF(AND(B5341=B5340,D5341=D5340,A5341=A5340,F5341=F5340),1,0)</f>
        <v/>
      </c>
      <c r="I5341">
        <f>IF(C5341="C99999",1,0)</f>
        <v/>
      </c>
      <c r="J5341" s="5">
        <f>IF(OR(H5341=1,I5341=1),0,IF(G5341="Credit",-F5341,F5341))</f>
        <v/>
      </c>
    </row>
    <row r="5342">
      <c r="A5342" t="inlineStr">
        <is>
          <t>2026-08-21</t>
        </is>
      </c>
      <c r="B5342" t="inlineStr">
        <is>
          <t>F273187</t>
        </is>
      </c>
      <c r="C5342" t="inlineStr">
        <is>
          <t>C10688</t>
        </is>
      </c>
      <c r="D5342" t="inlineStr">
        <is>
          <t>SKU-10015</t>
        </is>
      </c>
      <c r="E5342" t="inlineStr">
        <is>
          <t>AM03</t>
        </is>
      </c>
      <c r="F5342" s="5" t="n">
        <v>294.54</v>
      </c>
      <c r="G5342">
        <f>IF(LEFT(B5342,1)="C","Credit","Factuur")</f>
        <v/>
      </c>
      <c r="H5342">
        <f>IF(AND(B5342=B5341,D5342=D5341,A5342=A5341,F5342=F5341),1,0)</f>
        <v/>
      </c>
      <c r="I5342">
        <f>IF(C5342="C99999",1,0)</f>
        <v/>
      </c>
      <c r="J5342" s="5">
        <f>IF(OR(H5342=1,I5342=1),0,IF(G5342="Credit",-F5342,F5342))</f>
        <v/>
      </c>
    </row>
    <row r="5343">
      <c r="A5343" t="inlineStr">
        <is>
          <t>2026-08-21</t>
        </is>
      </c>
      <c r="B5343" t="inlineStr">
        <is>
          <t>F273187</t>
        </is>
      </c>
      <c r="C5343" t="inlineStr">
        <is>
          <t>C10688</t>
        </is>
      </c>
      <c r="D5343" t="inlineStr">
        <is>
          <t>SKU-10276</t>
        </is>
      </c>
      <c r="E5343" t="inlineStr">
        <is>
          <t>AM03</t>
        </is>
      </c>
      <c r="F5343" s="5" t="n">
        <v>256.26</v>
      </c>
      <c r="G5343">
        <f>IF(LEFT(B5343,1)="C","Credit","Factuur")</f>
        <v/>
      </c>
      <c r="H5343">
        <f>IF(AND(B5343=B5342,D5343=D5342,A5343=A5342,F5343=F5342),1,0)</f>
        <v/>
      </c>
      <c r="I5343">
        <f>IF(C5343="C99999",1,0)</f>
        <v/>
      </c>
      <c r="J5343" s="5">
        <f>IF(OR(H5343=1,I5343=1),0,IF(G5343="Credit",-F5343,F5343))</f>
        <v/>
      </c>
    </row>
    <row r="5344">
      <c r="A5344" t="inlineStr">
        <is>
          <t>2026-08-21</t>
        </is>
      </c>
      <c r="B5344" t="inlineStr">
        <is>
          <t>F273197</t>
        </is>
      </c>
      <c r="C5344" t="inlineStr">
        <is>
          <t>C10689</t>
        </is>
      </c>
      <c r="D5344" t="inlineStr">
        <is>
          <t>SKU-10256</t>
        </is>
      </c>
      <c r="E5344" t="inlineStr">
        <is>
          <t>AM07</t>
        </is>
      </c>
      <c r="F5344" s="5" t="n">
        <v>1121.64</v>
      </c>
      <c r="G5344">
        <f>IF(LEFT(B5344,1)="C","Credit","Factuur")</f>
        <v/>
      </c>
      <c r="H5344">
        <f>IF(AND(B5344=B5343,D5344=D5343,A5344=A5343,F5344=F5343),1,0)</f>
        <v/>
      </c>
      <c r="I5344">
        <f>IF(C5344="C99999",1,0)</f>
        <v/>
      </c>
      <c r="J5344" s="5">
        <f>IF(OR(H5344=1,I5344=1),0,IF(G5344="Credit",-F5344,F5344))</f>
        <v/>
      </c>
    </row>
    <row r="5345">
      <c r="A5345" t="inlineStr">
        <is>
          <t>2026-08-21</t>
        </is>
      </c>
      <c r="B5345" t="inlineStr">
        <is>
          <t>F273341</t>
        </is>
      </c>
      <c r="C5345" t="inlineStr">
        <is>
          <t>C10699</t>
        </is>
      </c>
      <c r="D5345" t="inlineStr">
        <is>
          <t>SKU-10004</t>
        </is>
      </c>
      <c r="E5345" t="inlineStr">
        <is>
          <t>AM12</t>
        </is>
      </c>
      <c r="F5345" s="5" t="n">
        <v>282.06</v>
      </c>
      <c r="G5345">
        <f>IF(LEFT(B5345,1)="C","Credit","Factuur")</f>
        <v/>
      </c>
      <c r="H5345">
        <f>IF(AND(B5345=B5344,D5345=D5344,A5345=A5344,F5345=F5344),1,0)</f>
        <v/>
      </c>
      <c r="I5345">
        <f>IF(C5345="C99999",1,0)</f>
        <v/>
      </c>
      <c r="J5345" s="5">
        <f>IF(OR(H5345=1,I5345=1),0,IF(G5345="Credit",-F5345,F5345))</f>
        <v/>
      </c>
    </row>
    <row r="5346">
      <c r="A5346" t="inlineStr">
        <is>
          <t>2026-08-21</t>
        </is>
      </c>
      <c r="B5346" t="inlineStr">
        <is>
          <t>F273341</t>
        </is>
      </c>
      <c r="C5346" t="inlineStr">
        <is>
          <t>C10699</t>
        </is>
      </c>
      <c r="D5346" t="inlineStr">
        <is>
          <t>SKU-10032</t>
        </is>
      </c>
      <c r="E5346" t="inlineStr">
        <is>
          <t>AM12</t>
        </is>
      </c>
      <c r="F5346" s="5" t="n">
        <v>276.88</v>
      </c>
      <c r="G5346">
        <f>IF(LEFT(B5346,1)="C","Credit","Factuur")</f>
        <v/>
      </c>
      <c r="H5346">
        <f>IF(AND(B5346=B5345,D5346=D5345,A5346=A5345,F5346=F5345),1,0)</f>
        <v/>
      </c>
      <c r="I5346">
        <f>IF(C5346="C99999",1,0)</f>
        <v/>
      </c>
      <c r="J5346" s="5">
        <f>IF(OR(H5346=1,I5346=1),0,IF(G5346="Credit",-F5346,F5346))</f>
        <v/>
      </c>
    </row>
    <row r="5347">
      <c r="A5347" t="inlineStr">
        <is>
          <t>2026-08-21</t>
        </is>
      </c>
      <c r="B5347" t="inlineStr">
        <is>
          <t>F273341</t>
        </is>
      </c>
      <c r="C5347" t="inlineStr">
        <is>
          <t>C10699</t>
        </is>
      </c>
      <c r="D5347" t="inlineStr">
        <is>
          <t>SKU-10080</t>
        </is>
      </c>
      <c r="E5347" t="inlineStr">
        <is>
          <t>AM12</t>
        </is>
      </c>
      <c r="F5347" s="5" t="n">
        <v>287.82</v>
      </c>
      <c r="G5347">
        <f>IF(LEFT(B5347,1)="C","Credit","Factuur")</f>
        <v/>
      </c>
      <c r="H5347">
        <f>IF(AND(B5347=B5346,D5347=D5346,A5347=A5346,F5347=F5346),1,0)</f>
        <v/>
      </c>
      <c r="I5347">
        <f>IF(C5347="C99999",1,0)</f>
        <v/>
      </c>
      <c r="J5347" s="5">
        <f>IF(OR(H5347=1,I5347=1),0,IF(G5347="Credit",-F5347,F5347))</f>
        <v/>
      </c>
    </row>
    <row r="5348">
      <c r="A5348" t="inlineStr">
        <is>
          <t>2026-08-21</t>
        </is>
      </c>
      <c r="B5348" t="inlineStr">
        <is>
          <t>F273341</t>
        </is>
      </c>
      <c r="C5348" t="inlineStr">
        <is>
          <t>C10699</t>
        </is>
      </c>
      <c r="D5348" t="inlineStr">
        <is>
          <t>SKU-10286</t>
        </is>
      </c>
      <c r="E5348" t="inlineStr">
        <is>
          <t>AM12</t>
        </is>
      </c>
      <c r="F5348" s="5" t="n">
        <v>292</v>
      </c>
      <c r="G5348">
        <f>IF(LEFT(B5348,1)="C","Credit","Factuur")</f>
        <v/>
      </c>
      <c r="H5348">
        <f>IF(AND(B5348=B5347,D5348=D5347,A5348=A5347,F5348=F5347),1,0)</f>
        <v/>
      </c>
      <c r="I5348">
        <f>IF(C5348="C99999",1,0)</f>
        <v/>
      </c>
      <c r="J5348" s="5">
        <f>IF(OR(H5348=1,I5348=1),0,IF(G5348="Credit",-F5348,F5348))</f>
        <v/>
      </c>
    </row>
    <row r="5349">
      <c r="A5349" t="inlineStr">
        <is>
          <t>2026-08-21</t>
        </is>
      </c>
      <c r="B5349" t="inlineStr">
        <is>
          <t>F273627</t>
        </is>
      </c>
      <c r="C5349" t="inlineStr">
        <is>
          <t>C10715</t>
        </is>
      </c>
      <c r="D5349" t="inlineStr">
        <is>
          <t>SKU-10024</t>
        </is>
      </c>
      <c r="E5349" t="inlineStr">
        <is>
          <t>AM02</t>
        </is>
      </c>
      <c r="F5349" s="5" t="n">
        <v>1763.68</v>
      </c>
      <c r="G5349">
        <f>IF(LEFT(B5349,1)="C","Credit","Factuur")</f>
        <v/>
      </c>
      <c r="H5349">
        <f>IF(AND(B5349=B5348,D5349=D5348,A5349=A5348,F5349=F5348),1,0)</f>
        <v/>
      </c>
      <c r="I5349">
        <f>IF(C5349="C99999",1,0)</f>
        <v/>
      </c>
      <c r="J5349" s="5">
        <f>IF(OR(H5349=1,I5349=1),0,IF(G5349="Credit",-F5349,F5349))</f>
        <v/>
      </c>
    </row>
    <row r="5350">
      <c r="A5350" t="inlineStr">
        <is>
          <t>2026-08-21</t>
        </is>
      </c>
      <c r="B5350" t="inlineStr">
        <is>
          <t>F273627</t>
        </is>
      </c>
      <c r="C5350" t="inlineStr">
        <is>
          <t>C10715</t>
        </is>
      </c>
      <c r="D5350" t="inlineStr">
        <is>
          <t>SKU-10187</t>
        </is>
      </c>
      <c r="E5350" t="inlineStr">
        <is>
          <t>AM02</t>
        </is>
      </c>
      <c r="F5350" s="5" t="n">
        <v>1754.88</v>
      </c>
      <c r="G5350">
        <f>IF(LEFT(B5350,1)="C","Credit","Factuur")</f>
        <v/>
      </c>
      <c r="H5350">
        <f>IF(AND(B5350=B5349,D5350=D5349,A5350=A5349,F5350=F5349),1,0)</f>
        <v/>
      </c>
      <c r="I5350">
        <f>IF(C5350="C99999",1,0)</f>
        <v/>
      </c>
      <c r="J5350" s="5">
        <f>IF(OR(H5350=1,I5350=1),0,IF(G5350="Credit",-F5350,F5350))</f>
        <v/>
      </c>
    </row>
    <row r="5351">
      <c r="A5351" t="inlineStr">
        <is>
          <t>2026-08-21</t>
        </is>
      </c>
      <c r="B5351" t="inlineStr">
        <is>
          <t>F273627</t>
        </is>
      </c>
      <c r="C5351" t="inlineStr">
        <is>
          <t>C10715</t>
        </is>
      </c>
      <c r="D5351" t="inlineStr">
        <is>
          <t>SKU-10319</t>
        </is>
      </c>
      <c r="E5351" t="inlineStr">
        <is>
          <t>AM02</t>
        </is>
      </c>
      <c r="F5351" s="5" t="n">
        <v>1765.34</v>
      </c>
      <c r="G5351">
        <f>IF(LEFT(B5351,1)="C","Credit","Factuur")</f>
        <v/>
      </c>
      <c r="H5351">
        <f>IF(AND(B5351=B5350,D5351=D5350,A5351=A5350,F5351=F5350),1,0)</f>
        <v/>
      </c>
      <c r="I5351">
        <f>IF(C5351="C99999",1,0)</f>
        <v/>
      </c>
      <c r="J5351" s="5">
        <f>IF(OR(H5351=1,I5351=1),0,IF(G5351="Credit",-F5351,F5351))</f>
        <v/>
      </c>
    </row>
    <row r="5352">
      <c r="A5352" t="inlineStr">
        <is>
          <t>2026-08-21</t>
        </is>
      </c>
      <c r="B5352" t="inlineStr">
        <is>
          <t>F273627</t>
        </is>
      </c>
      <c r="C5352" t="inlineStr">
        <is>
          <t>C10715</t>
        </is>
      </c>
      <c r="D5352" t="inlineStr">
        <is>
          <t>SKU-10335</t>
        </is>
      </c>
      <c r="E5352" t="inlineStr">
        <is>
          <t>AM02</t>
        </is>
      </c>
      <c r="F5352" s="5" t="n">
        <v>1757.68</v>
      </c>
      <c r="G5352">
        <f>IF(LEFT(B5352,1)="C","Credit","Factuur")</f>
        <v/>
      </c>
      <c r="H5352">
        <f>IF(AND(B5352=B5351,D5352=D5351,A5352=A5351,F5352=F5351),1,0)</f>
        <v/>
      </c>
      <c r="I5352">
        <f>IF(C5352="C99999",1,0)</f>
        <v/>
      </c>
      <c r="J5352" s="5">
        <f>IF(OR(H5352=1,I5352=1),0,IF(G5352="Credit",-F5352,F5352))</f>
        <v/>
      </c>
    </row>
    <row r="5353">
      <c r="A5353" t="inlineStr">
        <is>
          <t>2026-08-21</t>
        </is>
      </c>
      <c r="B5353" t="inlineStr">
        <is>
          <t>F274311</t>
        </is>
      </c>
      <c r="C5353" t="inlineStr">
        <is>
          <t>C10757</t>
        </is>
      </c>
      <c r="D5353" t="inlineStr">
        <is>
          <t>SKU-10106</t>
        </is>
      </c>
      <c r="E5353" t="inlineStr">
        <is>
          <t>AM06</t>
        </is>
      </c>
      <c r="F5353" s="5" t="n">
        <v>87.8</v>
      </c>
      <c r="G5353">
        <f>IF(LEFT(B5353,1)="C","Credit","Factuur")</f>
        <v/>
      </c>
      <c r="H5353">
        <f>IF(AND(B5353=B5352,D5353=D5352,A5353=A5352,F5353=F5352),1,0)</f>
        <v/>
      </c>
      <c r="I5353">
        <f>IF(C5353="C99999",1,0)</f>
        <v/>
      </c>
      <c r="J5353" s="5">
        <f>IF(OR(H5353=1,I5353=1),0,IF(G5353="Credit",-F5353,F5353))</f>
        <v/>
      </c>
    </row>
    <row r="5354">
      <c r="A5354" t="inlineStr">
        <is>
          <t>2026-08-21</t>
        </is>
      </c>
      <c r="B5354" t="inlineStr">
        <is>
          <t>F274311</t>
        </is>
      </c>
      <c r="C5354" t="inlineStr">
        <is>
          <t>C10757</t>
        </is>
      </c>
      <c r="D5354" t="inlineStr">
        <is>
          <t>SKU-10244</t>
        </is>
      </c>
      <c r="E5354" t="inlineStr">
        <is>
          <t>AM06</t>
        </is>
      </c>
      <c r="F5354" s="5" t="n">
        <v>75.41</v>
      </c>
      <c r="G5354">
        <f>IF(LEFT(B5354,1)="C","Credit","Factuur")</f>
        <v/>
      </c>
      <c r="H5354">
        <f>IF(AND(B5354=B5353,D5354=D5353,A5354=A5353,F5354=F5353),1,0)</f>
        <v/>
      </c>
      <c r="I5354">
        <f>IF(C5354="C99999",1,0)</f>
        <v/>
      </c>
      <c r="J5354" s="5">
        <f>IF(OR(H5354=1,I5354=1),0,IF(G5354="Credit",-F5354,F5354))</f>
        <v/>
      </c>
    </row>
    <row r="5355">
      <c r="A5355" t="inlineStr">
        <is>
          <t>2026-08-21</t>
        </is>
      </c>
      <c r="B5355" t="inlineStr">
        <is>
          <t>F274311</t>
        </is>
      </c>
      <c r="C5355" t="inlineStr">
        <is>
          <t>C10757</t>
        </is>
      </c>
      <c r="D5355" t="inlineStr">
        <is>
          <t>SKU-10263</t>
        </is>
      </c>
      <c r="E5355" t="inlineStr">
        <is>
          <t>AM06</t>
        </is>
      </c>
      <c r="F5355" s="5" t="n">
        <v>79.43000000000001</v>
      </c>
      <c r="G5355">
        <f>IF(LEFT(B5355,1)="C","Credit","Factuur")</f>
        <v/>
      </c>
      <c r="H5355">
        <f>IF(AND(B5355=B5354,D5355=D5354,A5355=A5354,F5355=F5354),1,0)</f>
        <v/>
      </c>
      <c r="I5355">
        <f>IF(C5355="C99999",1,0)</f>
        <v/>
      </c>
      <c r="J5355" s="5">
        <f>IF(OR(H5355=1,I5355=1),0,IF(G5355="Credit",-F5355,F5355))</f>
        <v/>
      </c>
    </row>
    <row r="5356">
      <c r="A5356" t="inlineStr">
        <is>
          <t>2026-08-21</t>
        </is>
      </c>
      <c r="B5356" t="inlineStr">
        <is>
          <t>F274311</t>
        </is>
      </c>
      <c r="C5356" t="inlineStr">
        <is>
          <t>C10757</t>
        </is>
      </c>
      <c r="D5356" t="inlineStr">
        <is>
          <t>SKU-10285</t>
        </is>
      </c>
      <c r="E5356" t="inlineStr">
        <is>
          <t>AM06</t>
        </is>
      </c>
      <c r="F5356" s="5" t="n">
        <v>76.56</v>
      </c>
      <c r="G5356">
        <f>IF(LEFT(B5356,1)="C","Credit","Factuur")</f>
        <v/>
      </c>
      <c r="H5356">
        <f>IF(AND(B5356=B5355,D5356=D5355,A5356=A5355,F5356=F5355),1,0)</f>
        <v/>
      </c>
      <c r="I5356">
        <f>IF(C5356="C99999",1,0)</f>
        <v/>
      </c>
      <c r="J5356" s="5">
        <f>IF(OR(H5356=1,I5356=1),0,IF(G5356="Credit",-F5356,F5356))</f>
        <v/>
      </c>
    </row>
    <row r="5357">
      <c r="A5357" t="inlineStr">
        <is>
          <t>2026-08-21</t>
        </is>
      </c>
      <c r="B5357" t="inlineStr">
        <is>
          <t>F274311</t>
        </is>
      </c>
      <c r="C5357" t="inlineStr">
        <is>
          <t>C10757</t>
        </is>
      </c>
      <c r="D5357" t="inlineStr">
        <is>
          <t>SKU-10358</t>
        </is>
      </c>
      <c r="E5357" t="inlineStr">
        <is>
          <t>AM06</t>
        </is>
      </c>
      <c r="F5357" s="5" t="n">
        <v>194.31</v>
      </c>
      <c r="G5357">
        <f>IF(LEFT(B5357,1)="C","Credit","Factuur")</f>
        <v/>
      </c>
      <c r="H5357">
        <f>IF(AND(B5357=B5356,D5357=D5356,A5357=A5356,F5357=F5356),1,0)</f>
        <v/>
      </c>
      <c r="I5357">
        <f>IF(C5357="C99999",1,0)</f>
        <v/>
      </c>
      <c r="J5357" s="5">
        <f>IF(OR(H5357=1,I5357=1),0,IF(G5357="Credit",-F5357,F5357))</f>
        <v/>
      </c>
    </row>
    <row r="5358">
      <c r="A5358" t="inlineStr">
        <is>
          <t>2026-08-21</t>
        </is>
      </c>
      <c r="B5358" t="inlineStr">
        <is>
          <t>F274450</t>
        </is>
      </c>
      <c r="C5358" t="inlineStr">
        <is>
          <t>C10762</t>
        </is>
      </c>
      <c r="D5358" t="inlineStr">
        <is>
          <t>SKU-10013</t>
        </is>
      </c>
      <c r="E5358" t="inlineStr">
        <is>
          <t>AM03</t>
        </is>
      </c>
      <c r="F5358" s="5" t="n">
        <v>75.22</v>
      </c>
      <c r="G5358">
        <f>IF(LEFT(B5358,1)="C","Credit","Factuur")</f>
        <v/>
      </c>
      <c r="H5358">
        <f>IF(AND(B5358=B5357,D5358=D5357,A5358=A5357,F5358=F5357),1,0)</f>
        <v/>
      </c>
      <c r="I5358">
        <f>IF(C5358="C99999",1,0)</f>
        <v/>
      </c>
      <c r="J5358" s="5">
        <f>IF(OR(H5358=1,I5358=1),0,IF(G5358="Credit",-F5358,F5358))</f>
        <v/>
      </c>
    </row>
    <row r="5359">
      <c r="A5359" t="inlineStr">
        <is>
          <t>2026-08-21</t>
        </is>
      </c>
      <c r="B5359" t="inlineStr">
        <is>
          <t>F274450</t>
        </is>
      </c>
      <c r="C5359" t="inlineStr">
        <is>
          <t>C10762</t>
        </is>
      </c>
      <c r="D5359" t="inlineStr">
        <is>
          <t>SKU-10047</t>
        </is>
      </c>
      <c r="E5359" t="inlineStr">
        <is>
          <t>AM03</t>
        </is>
      </c>
      <c r="F5359" s="5" t="n">
        <v>68.23999999999999</v>
      </c>
      <c r="G5359">
        <f>IF(LEFT(B5359,1)="C","Credit","Factuur")</f>
        <v/>
      </c>
      <c r="H5359">
        <f>IF(AND(B5359=B5358,D5359=D5358,A5359=A5358,F5359=F5358),1,0)</f>
        <v/>
      </c>
      <c r="I5359">
        <f>IF(C5359="C99999",1,0)</f>
        <v/>
      </c>
      <c r="J5359" s="5">
        <f>IF(OR(H5359=1,I5359=1),0,IF(G5359="Credit",-F5359,F5359))</f>
        <v/>
      </c>
    </row>
    <row r="5360">
      <c r="A5360" t="inlineStr">
        <is>
          <t>2026-08-21</t>
        </is>
      </c>
      <c r="B5360" t="inlineStr">
        <is>
          <t>F274450</t>
        </is>
      </c>
      <c r="C5360" t="inlineStr">
        <is>
          <t>C10762</t>
        </is>
      </c>
      <c r="D5360" t="inlineStr">
        <is>
          <t>SKU-10126</t>
        </is>
      </c>
      <c r="E5360" t="inlineStr">
        <is>
          <t>AM03</t>
        </is>
      </c>
      <c r="F5360" s="5" t="n">
        <v>49.84</v>
      </c>
      <c r="G5360">
        <f>IF(LEFT(B5360,1)="C","Credit","Factuur")</f>
        <v/>
      </c>
      <c r="H5360">
        <f>IF(AND(B5360=B5359,D5360=D5359,A5360=A5359,F5360=F5359),1,0)</f>
        <v/>
      </c>
      <c r="I5360">
        <f>IF(C5360="C99999",1,0)</f>
        <v/>
      </c>
      <c r="J5360" s="5">
        <f>IF(OR(H5360=1,I5360=1),0,IF(G5360="Credit",-F5360,F5360))</f>
        <v/>
      </c>
    </row>
    <row r="5361">
      <c r="A5361" t="inlineStr">
        <is>
          <t>2026-08-21</t>
        </is>
      </c>
      <c r="B5361" t="inlineStr">
        <is>
          <t>F274450</t>
        </is>
      </c>
      <c r="C5361" t="inlineStr">
        <is>
          <t>C10762</t>
        </is>
      </c>
      <c r="D5361" t="inlineStr">
        <is>
          <t>SKU-10254</t>
        </is>
      </c>
      <c r="E5361" t="inlineStr">
        <is>
          <t>AM03</t>
        </is>
      </c>
      <c r="F5361" s="5" t="n">
        <v>51.85</v>
      </c>
      <c r="G5361">
        <f>IF(LEFT(B5361,1)="C","Credit","Factuur")</f>
        <v/>
      </c>
      <c r="H5361">
        <f>IF(AND(B5361=B5360,D5361=D5360,A5361=A5360,F5361=F5360),1,0)</f>
        <v/>
      </c>
      <c r="I5361">
        <f>IF(C5361="C99999",1,0)</f>
        <v/>
      </c>
      <c r="J5361" s="5">
        <f>IF(OR(H5361=1,I5361=1),0,IF(G5361="Credit",-F5361,F5361))</f>
        <v/>
      </c>
    </row>
    <row r="5362">
      <c r="A5362" t="inlineStr">
        <is>
          <t>2026-08-21</t>
        </is>
      </c>
      <c r="B5362" t="inlineStr">
        <is>
          <t>F274450</t>
        </is>
      </c>
      <c r="C5362" t="inlineStr">
        <is>
          <t>C10762</t>
        </is>
      </c>
      <c r="D5362" t="inlineStr">
        <is>
          <t>SKU-10278</t>
        </is>
      </c>
      <c r="E5362" t="inlineStr">
        <is>
          <t>AM03</t>
        </is>
      </c>
      <c r="F5362" s="5" t="n">
        <v>63.06</v>
      </c>
      <c r="G5362">
        <f>IF(LEFT(B5362,1)="C","Credit","Factuur")</f>
        <v/>
      </c>
      <c r="H5362">
        <f>IF(AND(B5362=B5361,D5362=D5361,A5362=A5361,F5362=F5361),1,0)</f>
        <v/>
      </c>
      <c r="I5362">
        <f>IF(C5362="C99999",1,0)</f>
        <v/>
      </c>
      <c r="J5362" s="5">
        <f>IF(OR(H5362=1,I5362=1),0,IF(G5362="Credit",-F5362,F5362))</f>
        <v/>
      </c>
    </row>
    <row r="5363">
      <c r="A5363" t="inlineStr">
        <is>
          <t>2026-08-21</t>
        </is>
      </c>
      <c r="B5363" t="inlineStr">
        <is>
          <t>F274450</t>
        </is>
      </c>
      <c r="C5363" t="inlineStr">
        <is>
          <t>C10762</t>
        </is>
      </c>
      <c r="D5363" t="inlineStr">
        <is>
          <t>SKU-10297</t>
        </is>
      </c>
      <c r="E5363" t="inlineStr">
        <is>
          <t>AM03</t>
        </is>
      </c>
      <c r="F5363" s="5" t="n">
        <v>63.51</v>
      </c>
      <c r="G5363">
        <f>IF(LEFT(B5363,1)="C","Credit","Factuur")</f>
        <v/>
      </c>
      <c r="H5363">
        <f>IF(AND(B5363=B5362,D5363=D5362,A5363=A5362,F5363=F5362),1,0)</f>
        <v/>
      </c>
      <c r="I5363">
        <f>IF(C5363="C99999",1,0)</f>
        <v/>
      </c>
      <c r="J5363" s="5">
        <f>IF(OR(H5363=1,I5363=1),0,IF(G5363="Credit",-F5363,F5363))</f>
        <v/>
      </c>
    </row>
    <row r="5364">
      <c r="A5364" t="inlineStr">
        <is>
          <t>2026-08-21</t>
        </is>
      </c>
      <c r="B5364" t="inlineStr">
        <is>
          <t>F274524</t>
        </is>
      </c>
      <c r="C5364" t="inlineStr">
        <is>
          <t>C10766</t>
        </is>
      </c>
      <c r="D5364" t="inlineStr">
        <is>
          <t>SKU-10112</t>
        </is>
      </c>
      <c r="E5364" t="inlineStr">
        <is>
          <t>AM05</t>
        </is>
      </c>
      <c r="F5364" s="5" t="n">
        <v>280.44</v>
      </c>
      <c r="G5364">
        <f>IF(LEFT(B5364,1)="C","Credit","Factuur")</f>
        <v/>
      </c>
      <c r="H5364">
        <f>IF(AND(B5364=B5363,D5364=D5363,A5364=A5363,F5364=F5363),1,0)</f>
        <v/>
      </c>
      <c r="I5364">
        <f>IF(C5364="C99999",1,0)</f>
        <v/>
      </c>
      <c r="J5364" s="5">
        <f>IF(OR(H5364=1,I5364=1),0,IF(G5364="Credit",-F5364,F5364))</f>
        <v/>
      </c>
    </row>
    <row r="5365">
      <c r="A5365" t="inlineStr">
        <is>
          <t>2026-08-21</t>
        </is>
      </c>
      <c r="B5365" t="inlineStr">
        <is>
          <t>F274746</t>
        </is>
      </c>
      <c r="C5365" t="inlineStr">
        <is>
          <t>C10779</t>
        </is>
      </c>
      <c r="D5365" t="inlineStr">
        <is>
          <t>SKU-10143</t>
        </is>
      </c>
      <c r="E5365" t="inlineStr">
        <is>
          <t>AM09</t>
        </is>
      </c>
      <c r="F5365" s="5" t="n">
        <v>10233.34</v>
      </c>
      <c r="G5365">
        <f>IF(LEFT(B5365,1)="C","Credit","Factuur")</f>
        <v/>
      </c>
      <c r="H5365">
        <f>IF(AND(B5365=B5364,D5365=D5364,A5365=A5364,F5365=F5364),1,0)</f>
        <v/>
      </c>
      <c r="I5365">
        <f>IF(C5365="C99999",1,0)</f>
        <v/>
      </c>
      <c r="J5365" s="5">
        <f>IF(OR(H5365=1,I5365=1),0,IF(G5365="Credit",-F5365,F5365))</f>
        <v/>
      </c>
    </row>
    <row r="5366">
      <c r="A5366" t="inlineStr">
        <is>
          <t>2026-08-21</t>
        </is>
      </c>
      <c r="B5366" t="inlineStr">
        <is>
          <t>F274753</t>
        </is>
      </c>
      <c r="C5366" t="inlineStr">
        <is>
          <t>C10780</t>
        </is>
      </c>
      <c r="D5366" t="inlineStr">
        <is>
          <t>SKU-10005</t>
        </is>
      </c>
      <c r="E5366" t="inlineStr"/>
      <c r="F5366" s="5" t="n">
        <v>169.74</v>
      </c>
      <c r="G5366">
        <f>IF(LEFT(B5366,1)="C","Credit","Factuur")</f>
        <v/>
      </c>
      <c r="H5366">
        <f>IF(AND(B5366=B5365,D5366=D5365,A5366=A5365,F5366=F5365),1,0)</f>
        <v/>
      </c>
      <c r="I5366">
        <f>IF(C5366="C99999",1,0)</f>
        <v/>
      </c>
      <c r="J5366" s="5">
        <f>IF(OR(H5366=1,I5366=1),0,IF(G5366="Credit",-F5366,F5366))</f>
        <v/>
      </c>
    </row>
    <row r="5367">
      <c r="A5367" t="inlineStr">
        <is>
          <t>2026-08-21</t>
        </is>
      </c>
      <c r="B5367" t="inlineStr">
        <is>
          <t>F274753</t>
        </is>
      </c>
      <c r="C5367" t="inlineStr">
        <is>
          <t>C10780</t>
        </is>
      </c>
      <c r="D5367" t="inlineStr">
        <is>
          <t>SKU-10060</t>
        </is>
      </c>
      <c r="E5367" t="inlineStr">
        <is>
          <t>AM01</t>
        </is>
      </c>
      <c r="F5367" s="5" t="n">
        <v>167.58</v>
      </c>
      <c r="G5367">
        <f>IF(LEFT(B5367,1)="C","Credit","Factuur")</f>
        <v/>
      </c>
      <c r="H5367">
        <f>IF(AND(B5367=B5366,D5367=D5366,A5367=A5366,F5367=F5366),1,0)</f>
        <v/>
      </c>
      <c r="I5367">
        <f>IF(C5367="C99999",1,0)</f>
        <v/>
      </c>
      <c r="J5367" s="5">
        <f>IF(OR(H5367=1,I5367=1),0,IF(G5367="Credit",-F5367,F5367))</f>
        <v/>
      </c>
    </row>
    <row r="5368">
      <c r="A5368" t="inlineStr">
        <is>
          <t>2026-08-21</t>
        </is>
      </c>
      <c r="B5368" t="inlineStr">
        <is>
          <t>F274753</t>
        </is>
      </c>
      <c r="C5368" t="inlineStr">
        <is>
          <t>C10780</t>
        </is>
      </c>
      <c r="D5368" t="inlineStr">
        <is>
          <t>SKU-10288</t>
        </is>
      </c>
      <c r="E5368" t="inlineStr">
        <is>
          <t>AM01</t>
        </is>
      </c>
      <c r="F5368" s="5" t="n">
        <v>160.85</v>
      </c>
      <c r="G5368">
        <f>IF(LEFT(B5368,1)="C","Credit","Factuur")</f>
        <v/>
      </c>
      <c r="H5368">
        <f>IF(AND(B5368=B5367,D5368=D5367,A5368=A5367,F5368=F5367),1,0)</f>
        <v/>
      </c>
      <c r="I5368">
        <f>IF(C5368="C99999",1,0)</f>
        <v/>
      </c>
      <c r="J5368" s="5">
        <f>IF(OR(H5368=1,I5368=1),0,IF(G5368="Credit",-F5368,F5368))</f>
        <v/>
      </c>
    </row>
    <row r="5369">
      <c r="A5369" t="inlineStr">
        <is>
          <t>2026-08-21</t>
        </is>
      </c>
      <c r="B5369" t="inlineStr">
        <is>
          <t>F274877</t>
        </is>
      </c>
      <c r="C5369" t="inlineStr">
        <is>
          <t>C10786</t>
        </is>
      </c>
      <c r="D5369" t="inlineStr">
        <is>
          <t>SKU-10038</t>
        </is>
      </c>
      <c r="E5369" t="inlineStr">
        <is>
          <t>AM06</t>
        </is>
      </c>
      <c r="F5369" s="5" t="n">
        <v>104.76</v>
      </c>
      <c r="G5369">
        <f>IF(LEFT(B5369,1)="C","Credit","Factuur")</f>
        <v/>
      </c>
      <c r="H5369">
        <f>IF(AND(B5369=B5368,D5369=D5368,A5369=A5368,F5369=F5368),1,0)</f>
        <v/>
      </c>
      <c r="I5369">
        <f>IF(C5369="C99999",1,0)</f>
        <v/>
      </c>
      <c r="J5369" s="5">
        <f>IF(OR(H5369=1,I5369=1),0,IF(G5369="Credit",-F5369,F5369))</f>
        <v/>
      </c>
    </row>
    <row r="5370">
      <c r="A5370" t="inlineStr">
        <is>
          <t>2026-08-21</t>
        </is>
      </c>
      <c r="B5370" t="inlineStr">
        <is>
          <t>F274877</t>
        </is>
      </c>
      <c r="C5370" t="inlineStr">
        <is>
          <t>C10786</t>
        </is>
      </c>
      <c r="D5370" t="inlineStr">
        <is>
          <t>SKU-10233</t>
        </is>
      </c>
      <c r="E5370" t="inlineStr">
        <is>
          <t>AM06</t>
        </is>
      </c>
      <c r="F5370" s="5" t="n">
        <v>98.95</v>
      </c>
      <c r="G5370">
        <f>IF(LEFT(B5370,1)="C","Credit","Factuur")</f>
        <v/>
      </c>
      <c r="H5370">
        <f>IF(AND(B5370=B5369,D5370=D5369,A5370=A5369,F5370=F5369),1,0)</f>
        <v/>
      </c>
      <c r="I5370">
        <f>IF(C5370="C99999",1,0)</f>
        <v/>
      </c>
      <c r="J5370" s="5">
        <f>IF(OR(H5370=1,I5370=1),0,IF(G5370="Credit",-F5370,F5370))</f>
        <v/>
      </c>
    </row>
    <row r="5371">
      <c r="A5371" t="inlineStr">
        <is>
          <t>2026-08-21</t>
        </is>
      </c>
      <c r="B5371" t="inlineStr">
        <is>
          <t>F274877</t>
        </is>
      </c>
      <c r="C5371" t="inlineStr">
        <is>
          <t>C10786</t>
        </is>
      </c>
      <c r="D5371" t="inlineStr">
        <is>
          <t>SKU-10339</t>
        </is>
      </c>
      <c r="E5371" t="inlineStr">
        <is>
          <t>AM06</t>
        </is>
      </c>
      <c r="F5371" s="5" t="n">
        <v>89.55</v>
      </c>
      <c r="G5371">
        <f>IF(LEFT(B5371,1)="C","Credit","Factuur")</f>
        <v/>
      </c>
      <c r="H5371">
        <f>IF(AND(B5371=B5370,D5371=D5370,A5371=A5370,F5371=F5370),1,0)</f>
        <v/>
      </c>
      <c r="I5371">
        <f>IF(C5371="C99999",1,0)</f>
        <v/>
      </c>
      <c r="J5371" s="5">
        <f>IF(OR(H5371=1,I5371=1),0,IF(G5371="Credit",-F5371,F5371))</f>
        <v/>
      </c>
    </row>
    <row r="5372">
      <c r="A5372" t="inlineStr">
        <is>
          <t>2026-08-21</t>
        </is>
      </c>
      <c r="B5372" t="inlineStr">
        <is>
          <t>F275050</t>
        </is>
      </c>
      <c r="C5372" t="inlineStr">
        <is>
          <t>C10793</t>
        </is>
      </c>
      <c r="D5372" t="inlineStr">
        <is>
          <t>SKU-10131</t>
        </is>
      </c>
      <c r="E5372" t="inlineStr">
        <is>
          <t>AM01</t>
        </is>
      </c>
      <c r="F5372" s="5" t="n">
        <v>1217.92</v>
      </c>
      <c r="G5372">
        <f>IF(LEFT(B5372,1)="C","Credit","Factuur")</f>
        <v/>
      </c>
      <c r="H5372">
        <f>IF(AND(B5372=B5371,D5372=D5371,A5372=A5371,F5372=F5371),1,0)</f>
        <v/>
      </c>
      <c r="I5372">
        <f>IF(C5372="C99999",1,0)</f>
        <v/>
      </c>
      <c r="J5372" s="5">
        <f>IF(OR(H5372=1,I5372=1),0,IF(G5372="Credit",-F5372,F5372))</f>
        <v/>
      </c>
    </row>
    <row r="5373">
      <c r="A5373" t="inlineStr">
        <is>
          <t>2026-08-21</t>
        </is>
      </c>
      <c r="B5373" t="inlineStr">
        <is>
          <t>F275365</t>
        </is>
      </c>
      <c r="C5373" t="inlineStr">
        <is>
          <t>C10809</t>
        </is>
      </c>
      <c r="D5373" t="inlineStr">
        <is>
          <t>SKU-10151</t>
        </is>
      </c>
      <c r="E5373" t="inlineStr">
        <is>
          <t>AM02</t>
        </is>
      </c>
      <c r="F5373" s="5" t="n">
        <v>2348.46</v>
      </c>
      <c r="G5373">
        <f>IF(LEFT(B5373,1)="C","Credit","Factuur")</f>
        <v/>
      </c>
      <c r="H5373">
        <f>IF(AND(B5373=B5372,D5373=D5372,A5373=A5372,F5373=F5372),1,0)</f>
        <v/>
      </c>
      <c r="I5373">
        <f>IF(C5373="C99999",1,0)</f>
        <v/>
      </c>
      <c r="J5373" s="5">
        <f>IF(OR(H5373=1,I5373=1),0,IF(G5373="Credit",-F5373,F5373))</f>
        <v/>
      </c>
    </row>
    <row r="5374">
      <c r="A5374" t="inlineStr">
        <is>
          <t>2026-08-21</t>
        </is>
      </c>
      <c r="B5374" t="inlineStr">
        <is>
          <t>F275365</t>
        </is>
      </c>
      <c r="C5374" t="inlineStr">
        <is>
          <t>C10809</t>
        </is>
      </c>
      <c r="D5374" t="inlineStr">
        <is>
          <t>SKU-10219</t>
        </is>
      </c>
      <c r="E5374" t="inlineStr">
        <is>
          <t>AM02</t>
        </is>
      </c>
      <c r="F5374" s="5" t="n">
        <v>1995.66</v>
      </c>
      <c r="G5374">
        <f>IF(LEFT(B5374,1)="C","Credit","Factuur")</f>
        <v/>
      </c>
      <c r="H5374">
        <f>IF(AND(B5374=B5373,D5374=D5373,A5374=A5373,F5374=F5373),1,0)</f>
        <v/>
      </c>
      <c r="I5374">
        <f>IF(C5374="C99999",1,0)</f>
        <v/>
      </c>
      <c r="J5374" s="5">
        <f>IF(OR(H5374=1,I5374=1),0,IF(G5374="Credit",-F5374,F5374))</f>
        <v/>
      </c>
    </row>
    <row r="5375">
      <c r="A5375" t="inlineStr">
        <is>
          <t>2026-08-21</t>
        </is>
      </c>
      <c r="B5375" t="inlineStr">
        <is>
          <t>F275716</t>
        </is>
      </c>
      <c r="C5375" t="inlineStr">
        <is>
          <t>C10832</t>
        </is>
      </c>
      <c r="D5375" t="inlineStr">
        <is>
          <t>SKU-10163</t>
        </is>
      </c>
      <c r="E5375" t="inlineStr">
        <is>
          <t>AM05</t>
        </is>
      </c>
      <c r="F5375" s="5" t="n">
        <v>233.28</v>
      </c>
      <c r="G5375">
        <f>IF(LEFT(B5375,1)="C","Credit","Factuur")</f>
        <v/>
      </c>
      <c r="H5375">
        <f>IF(AND(B5375=B5374,D5375=D5374,A5375=A5374,F5375=F5374),1,0)</f>
        <v/>
      </c>
      <c r="I5375">
        <f>IF(C5375="C99999",1,0)</f>
        <v/>
      </c>
      <c r="J5375" s="5">
        <f>IF(OR(H5375=1,I5375=1),0,IF(G5375="Credit",-F5375,F5375))</f>
        <v/>
      </c>
    </row>
    <row r="5376">
      <c r="A5376" t="inlineStr">
        <is>
          <t>2026-08-21</t>
        </is>
      </c>
      <c r="B5376" t="inlineStr">
        <is>
          <t>F275716</t>
        </is>
      </c>
      <c r="C5376" t="inlineStr">
        <is>
          <t>C10832</t>
        </is>
      </c>
      <c r="D5376" t="inlineStr">
        <is>
          <t>SKU-10181</t>
        </is>
      </c>
      <c r="E5376" t="inlineStr">
        <is>
          <t>AM05</t>
        </is>
      </c>
      <c r="F5376" s="5" t="n">
        <v>218.65</v>
      </c>
      <c r="G5376">
        <f>IF(LEFT(B5376,1)="C","Credit","Factuur")</f>
        <v/>
      </c>
      <c r="H5376">
        <f>IF(AND(B5376=B5375,D5376=D5375,A5376=A5375,F5376=F5375),1,0)</f>
        <v/>
      </c>
      <c r="I5376">
        <f>IF(C5376="C99999",1,0)</f>
        <v/>
      </c>
      <c r="J5376" s="5">
        <f>IF(OR(H5376=1,I5376=1),0,IF(G5376="Credit",-F5376,F5376))</f>
        <v/>
      </c>
    </row>
    <row r="5377">
      <c r="A5377" t="inlineStr">
        <is>
          <t>2026-08-21</t>
        </is>
      </c>
      <c r="B5377" t="inlineStr">
        <is>
          <t>F275716</t>
        </is>
      </c>
      <c r="C5377" t="inlineStr">
        <is>
          <t>C10832</t>
        </is>
      </c>
      <c r="D5377" t="inlineStr">
        <is>
          <t>SKU-10324</t>
        </is>
      </c>
      <c r="E5377" t="inlineStr">
        <is>
          <t>AM05</t>
        </is>
      </c>
      <c r="F5377" s="5" t="n">
        <v>226.97</v>
      </c>
      <c r="G5377">
        <f>IF(LEFT(B5377,1)="C","Credit","Factuur")</f>
        <v/>
      </c>
      <c r="H5377">
        <f>IF(AND(B5377=B5376,D5377=D5376,A5377=A5376,F5377=F5376),1,0)</f>
        <v/>
      </c>
      <c r="I5377">
        <f>IF(C5377="C99999",1,0)</f>
        <v/>
      </c>
      <c r="J5377" s="5">
        <f>IF(OR(H5377=1,I5377=1),0,IF(G5377="Credit",-F5377,F5377))</f>
        <v/>
      </c>
    </row>
    <row r="5378">
      <c r="A5378" t="inlineStr">
        <is>
          <t>2026-08-21</t>
        </is>
      </c>
      <c r="B5378" t="inlineStr">
        <is>
          <t>F275716</t>
        </is>
      </c>
      <c r="C5378" t="inlineStr">
        <is>
          <t>C10832</t>
        </is>
      </c>
      <c r="D5378" t="inlineStr">
        <is>
          <t>SKU-10339</t>
        </is>
      </c>
      <c r="E5378" t="inlineStr">
        <is>
          <t>AM05</t>
        </is>
      </c>
      <c r="F5378" s="5" t="n">
        <v>240.8</v>
      </c>
      <c r="G5378">
        <f>IF(LEFT(B5378,1)="C","Credit","Factuur")</f>
        <v/>
      </c>
      <c r="H5378">
        <f>IF(AND(B5378=B5377,D5378=D5377,A5378=A5377,F5378=F5377),1,0)</f>
        <v/>
      </c>
      <c r="I5378">
        <f>IF(C5378="C99999",1,0)</f>
        <v/>
      </c>
      <c r="J5378" s="5">
        <f>IF(OR(H5378=1,I5378=1),0,IF(G5378="Credit",-F5378,F5378))</f>
        <v/>
      </c>
    </row>
    <row r="5379">
      <c r="A5379" t="inlineStr">
        <is>
          <t>2026-08-21</t>
        </is>
      </c>
      <c r="B5379" t="inlineStr">
        <is>
          <t>F275761</t>
        </is>
      </c>
      <c r="C5379" t="inlineStr">
        <is>
          <t>C10835</t>
        </is>
      </c>
      <c r="D5379" t="inlineStr">
        <is>
          <t>SKU-10005</t>
        </is>
      </c>
      <c r="E5379" t="inlineStr">
        <is>
          <t>AM03</t>
        </is>
      </c>
      <c r="F5379" s="5" t="n">
        <v>786.1900000000001</v>
      </c>
      <c r="G5379">
        <f>IF(LEFT(B5379,1)="C","Credit","Factuur")</f>
        <v/>
      </c>
      <c r="H5379">
        <f>IF(AND(B5379=B5378,D5379=D5378,A5379=A5378,F5379=F5378),1,0)</f>
        <v/>
      </c>
      <c r="I5379">
        <f>IF(C5379="C99999",1,0)</f>
        <v/>
      </c>
      <c r="J5379" s="5">
        <f>IF(OR(H5379=1,I5379=1),0,IF(G5379="Credit",-F5379,F5379))</f>
        <v/>
      </c>
    </row>
    <row r="5380">
      <c r="A5380" t="inlineStr">
        <is>
          <t>2026-08-21</t>
        </is>
      </c>
      <c r="B5380" t="inlineStr">
        <is>
          <t>F275761</t>
        </is>
      </c>
      <c r="C5380" t="inlineStr">
        <is>
          <t>C10835</t>
        </is>
      </c>
      <c r="D5380" t="inlineStr">
        <is>
          <t>SKU-10262</t>
        </is>
      </c>
      <c r="E5380" t="inlineStr">
        <is>
          <t>AM03</t>
        </is>
      </c>
      <c r="F5380" s="5" t="n">
        <v>834.3200000000001</v>
      </c>
      <c r="G5380">
        <f>IF(LEFT(B5380,1)="C","Credit","Factuur")</f>
        <v/>
      </c>
      <c r="H5380">
        <f>IF(AND(B5380=B5379,D5380=D5379,A5380=A5379,F5380=F5379),1,0)</f>
        <v/>
      </c>
      <c r="I5380">
        <f>IF(C5380="C99999",1,0)</f>
        <v/>
      </c>
      <c r="J5380" s="5">
        <f>IF(OR(H5380=1,I5380=1),0,IF(G5380="Credit",-F5380,F5380))</f>
        <v/>
      </c>
    </row>
    <row r="5381">
      <c r="A5381" t="inlineStr">
        <is>
          <t>2026-08-21</t>
        </is>
      </c>
      <c r="B5381" t="inlineStr">
        <is>
          <t>F275793</t>
        </is>
      </c>
      <c r="C5381" t="inlineStr">
        <is>
          <t>C10836</t>
        </is>
      </c>
      <c r="D5381" t="inlineStr">
        <is>
          <t>SKU-10020</t>
        </is>
      </c>
      <c r="E5381" t="inlineStr">
        <is>
          <t>AM06</t>
        </is>
      </c>
      <c r="F5381" s="5" t="n">
        <v>932.1799999999999</v>
      </c>
      <c r="G5381">
        <f>IF(LEFT(B5381,1)="C","Credit","Factuur")</f>
        <v/>
      </c>
      <c r="H5381">
        <f>IF(AND(B5381=B5380,D5381=D5380,A5381=A5380,F5381=F5380),1,0)</f>
        <v/>
      </c>
      <c r="I5381">
        <f>IF(C5381="C99999",1,0)</f>
        <v/>
      </c>
      <c r="J5381" s="5">
        <f>IF(OR(H5381=1,I5381=1),0,IF(G5381="Credit",-F5381,F5381))</f>
        <v/>
      </c>
    </row>
    <row r="5382">
      <c r="A5382" t="inlineStr">
        <is>
          <t>2026-08-21</t>
        </is>
      </c>
      <c r="B5382" t="inlineStr">
        <is>
          <t>F275793</t>
        </is>
      </c>
      <c r="C5382" t="inlineStr">
        <is>
          <t>C10836</t>
        </is>
      </c>
      <c r="D5382" t="inlineStr">
        <is>
          <t>SKU-10029</t>
        </is>
      </c>
      <c r="E5382" t="inlineStr">
        <is>
          <t>AM06</t>
        </is>
      </c>
      <c r="F5382" s="5" t="n">
        <v>935.6900000000001</v>
      </c>
      <c r="G5382">
        <f>IF(LEFT(B5382,1)="C","Credit","Factuur")</f>
        <v/>
      </c>
      <c r="H5382">
        <f>IF(AND(B5382=B5381,D5382=D5381,A5382=A5381,F5382=F5381),1,0)</f>
        <v/>
      </c>
      <c r="I5382">
        <f>IF(C5382="C99999",1,0)</f>
        <v/>
      </c>
      <c r="J5382" s="5">
        <f>IF(OR(H5382=1,I5382=1),0,IF(G5382="Credit",-F5382,F5382))</f>
        <v/>
      </c>
    </row>
    <row r="5383">
      <c r="A5383" t="inlineStr">
        <is>
          <t>2026-08-21</t>
        </is>
      </c>
      <c r="B5383" t="inlineStr">
        <is>
          <t>F275793</t>
        </is>
      </c>
      <c r="C5383" t="inlineStr">
        <is>
          <t>C10836</t>
        </is>
      </c>
      <c r="D5383" t="inlineStr">
        <is>
          <t>SKU-10054</t>
        </is>
      </c>
      <c r="E5383" t="inlineStr">
        <is>
          <t>AM06</t>
        </is>
      </c>
      <c r="F5383" s="5" t="n">
        <v>966.08</v>
      </c>
      <c r="G5383">
        <f>IF(LEFT(B5383,1)="C","Credit","Factuur")</f>
        <v/>
      </c>
      <c r="H5383">
        <f>IF(AND(B5383=B5382,D5383=D5382,A5383=A5382,F5383=F5382),1,0)</f>
        <v/>
      </c>
      <c r="I5383">
        <f>IF(C5383="C99999",1,0)</f>
        <v/>
      </c>
      <c r="J5383" s="5">
        <f>IF(OR(H5383=1,I5383=1),0,IF(G5383="Credit",-F5383,F5383))</f>
        <v/>
      </c>
    </row>
    <row r="5384">
      <c r="A5384" t="inlineStr">
        <is>
          <t>2026-08-21</t>
        </is>
      </c>
      <c r="B5384" t="inlineStr">
        <is>
          <t>F275793</t>
        </is>
      </c>
      <c r="C5384" t="inlineStr">
        <is>
          <t>C10836</t>
        </is>
      </c>
      <c r="D5384" t="inlineStr">
        <is>
          <t>SKU-10073</t>
        </is>
      </c>
      <c r="E5384" t="inlineStr">
        <is>
          <t>AM06</t>
        </is>
      </c>
      <c r="F5384" s="5" t="n">
        <v>969.6799999999999</v>
      </c>
      <c r="G5384">
        <f>IF(LEFT(B5384,1)="C","Credit","Factuur")</f>
        <v/>
      </c>
      <c r="H5384">
        <f>IF(AND(B5384=B5383,D5384=D5383,A5384=A5383,F5384=F5383),1,0)</f>
        <v/>
      </c>
      <c r="I5384">
        <f>IF(C5384="C99999",1,0)</f>
        <v/>
      </c>
      <c r="J5384" s="5">
        <f>IF(OR(H5384=1,I5384=1),0,IF(G5384="Credit",-F5384,F5384))</f>
        <v/>
      </c>
    </row>
    <row r="5385">
      <c r="A5385" t="inlineStr">
        <is>
          <t>2026-08-21</t>
        </is>
      </c>
      <c r="B5385" t="inlineStr">
        <is>
          <t>F275793</t>
        </is>
      </c>
      <c r="C5385" t="inlineStr">
        <is>
          <t>C10836</t>
        </is>
      </c>
      <c r="D5385" t="inlineStr">
        <is>
          <t>SKU-10077</t>
        </is>
      </c>
      <c r="E5385" t="inlineStr">
        <is>
          <t>AM06</t>
        </is>
      </c>
      <c r="F5385" s="5" t="n">
        <v>978.9</v>
      </c>
      <c r="G5385">
        <f>IF(LEFT(B5385,1)="C","Credit","Factuur")</f>
        <v/>
      </c>
      <c r="H5385">
        <f>IF(AND(B5385=B5384,D5385=D5384,A5385=A5384,F5385=F5384),1,0)</f>
        <v/>
      </c>
      <c r="I5385">
        <f>IF(C5385="C99999",1,0)</f>
        <v/>
      </c>
      <c r="J5385" s="5">
        <f>IF(OR(H5385=1,I5385=1),0,IF(G5385="Credit",-F5385,F5385))</f>
        <v/>
      </c>
    </row>
    <row r="5386">
      <c r="A5386" t="inlineStr">
        <is>
          <t>2026-08-21</t>
        </is>
      </c>
      <c r="B5386" t="inlineStr">
        <is>
          <t>F275908</t>
        </is>
      </c>
      <c r="C5386" t="inlineStr">
        <is>
          <t>C10845</t>
        </is>
      </c>
      <c r="D5386" t="inlineStr">
        <is>
          <t>SKU-10140</t>
        </is>
      </c>
      <c r="E5386" t="inlineStr">
        <is>
          <t>AM06</t>
        </is>
      </c>
      <c r="F5386" s="5" t="n">
        <v>419.68</v>
      </c>
      <c r="G5386">
        <f>IF(LEFT(B5386,1)="C","Credit","Factuur")</f>
        <v/>
      </c>
      <c r="H5386">
        <f>IF(AND(B5386=B5385,D5386=D5385,A5386=A5385,F5386=F5385),1,0)</f>
        <v/>
      </c>
      <c r="I5386">
        <f>IF(C5386="C99999",1,0)</f>
        <v/>
      </c>
      <c r="J5386" s="5">
        <f>IF(OR(H5386=1,I5386=1),0,IF(G5386="Credit",-F5386,F5386))</f>
        <v/>
      </c>
    </row>
    <row r="5387">
      <c r="A5387" t="inlineStr">
        <is>
          <t>2026-08-21</t>
        </is>
      </c>
      <c r="B5387" t="inlineStr">
        <is>
          <t>F276500</t>
        </is>
      </c>
      <c r="C5387" t="inlineStr">
        <is>
          <t>C10873</t>
        </is>
      </c>
      <c r="D5387" t="inlineStr">
        <is>
          <t>SKU-10151</t>
        </is>
      </c>
      <c r="E5387" t="inlineStr">
        <is>
          <t>AM08</t>
        </is>
      </c>
      <c r="F5387" s="5" t="n">
        <v>260.94</v>
      </c>
      <c r="G5387">
        <f>IF(LEFT(B5387,1)="C","Credit","Factuur")</f>
        <v/>
      </c>
      <c r="H5387">
        <f>IF(AND(B5387=B5386,D5387=D5386,A5387=A5386,F5387=F5386),1,0)</f>
        <v/>
      </c>
      <c r="I5387">
        <f>IF(C5387="C99999",1,0)</f>
        <v/>
      </c>
      <c r="J5387" s="5">
        <f>IF(OR(H5387=1,I5387=1),0,IF(G5387="Credit",-F5387,F5387))</f>
        <v/>
      </c>
    </row>
    <row r="5388">
      <c r="A5388" t="inlineStr">
        <is>
          <t>2026-08-21</t>
        </is>
      </c>
      <c r="B5388" t="inlineStr">
        <is>
          <t>F276500</t>
        </is>
      </c>
      <c r="C5388" t="inlineStr">
        <is>
          <t>C10873</t>
        </is>
      </c>
      <c r="D5388" t="inlineStr">
        <is>
          <t>SKU-10188</t>
        </is>
      </c>
      <c r="E5388" t="inlineStr">
        <is>
          <t>AM08</t>
        </is>
      </c>
      <c r="F5388" s="5" t="n">
        <v>282.81</v>
      </c>
      <c r="G5388">
        <f>IF(LEFT(B5388,1)="C","Credit","Factuur")</f>
        <v/>
      </c>
      <c r="H5388">
        <f>IF(AND(B5388=B5387,D5388=D5387,A5388=A5387,F5388=F5387),1,0)</f>
        <v/>
      </c>
      <c r="I5388">
        <f>IF(C5388="C99999",1,0)</f>
        <v/>
      </c>
      <c r="J5388" s="5">
        <f>IF(OR(H5388=1,I5388=1),0,IF(G5388="Credit",-F5388,F5388))</f>
        <v/>
      </c>
    </row>
    <row r="5389">
      <c r="A5389" t="inlineStr">
        <is>
          <t>2026-08-21</t>
        </is>
      </c>
      <c r="B5389" t="inlineStr">
        <is>
          <t>F276500</t>
        </is>
      </c>
      <c r="C5389" t="inlineStr">
        <is>
          <t>C10873</t>
        </is>
      </c>
      <c r="D5389" t="inlineStr">
        <is>
          <t>SKU-10288</t>
        </is>
      </c>
      <c r="E5389" t="inlineStr">
        <is>
          <t>AM08</t>
        </is>
      </c>
      <c r="F5389" s="5" t="n">
        <v>257.36</v>
      </c>
      <c r="G5389">
        <f>IF(LEFT(B5389,1)="C","Credit","Factuur")</f>
        <v/>
      </c>
      <c r="H5389">
        <f>IF(AND(B5389=B5388,D5389=D5388,A5389=A5388,F5389=F5388),1,0)</f>
        <v/>
      </c>
      <c r="I5389">
        <f>IF(C5389="C99999",1,0)</f>
        <v/>
      </c>
      <c r="J5389" s="5">
        <f>IF(OR(H5389=1,I5389=1),0,IF(G5389="Credit",-F5389,F5389))</f>
        <v/>
      </c>
    </row>
    <row r="5390">
      <c r="A5390" t="inlineStr">
        <is>
          <t>2026-08-21</t>
        </is>
      </c>
      <c r="B5390" t="inlineStr">
        <is>
          <t>F276500</t>
        </is>
      </c>
      <c r="C5390" t="inlineStr">
        <is>
          <t>C10873</t>
        </is>
      </c>
      <c r="D5390" t="inlineStr">
        <is>
          <t>SKU-10322</t>
        </is>
      </c>
      <c r="E5390" t="inlineStr">
        <is>
          <t>AM08</t>
        </is>
      </c>
      <c r="F5390" s="5" t="n">
        <v>257.55</v>
      </c>
      <c r="G5390">
        <f>IF(LEFT(B5390,1)="C","Credit","Factuur")</f>
        <v/>
      </c>
      <c r="H5390">
        <f>IF(AND(B5390=B5389,D5390=D5389,A5390=A5389,F5390=F5389),1,0)</f>
        <v/>
      </c>
      <c r="I5390">
        <f>IF(C5390="C99999",1,0)</f>
        <v/>
      </c>
      <c r="J5390" s="5">
        <f>IF(OR(H5390=1,I5390=1),0,IF(G5390="Credit",-F5390,F5390))</f>
        <v/>
      </c>
    </row>
    <row r="5391">
      <c r="A5391" t="inlineStr">
        <is>
          <t>2026-08-21</t>
        </is>
      </c>
      <c r="B5391" t="inlineStr">
        <is>
          <t>F276500</t>
        </is>
      </c>
      <c r="C5391" t="inlineStr">
        <is>
          <t>C10873</t>
        </is>
      </c>
      <c r="D5391" t="inlineStr">
        <is>
          <t>SKU-10333</t>
        </is>
      </c>
      <c r="E5391" t="inlineStr">
        <is>
          <t>AM08</t>
        </is>
      </c>
      <c r="F5391" s="5" t="n">
        <v>272.25</v>
      </c>
      <c r="G5391">
        <f>IF(LEFT(B5391,1)="C","Credit","Factuur")</f>
        <v/>
      </c>
      <c r="H5391">
        <f>IF(AND(B5391=B5390,D5391=D5390,A5391=A5390,F5391=F5390),1,0)</f>
        <v/>
      </c>
      <c r="I5391">
        <f>IF(C5391="C99999",1,0)</f>
        <v/>
      </c>
      <c r="J5391" s="5">
        <f>IF(OR(H5391=1,I5391=1),0,IF(G5391="Credit",-F5391,F5391))</f>
        <v/>
      </c>
    </row>
    <row r="5392">
      <c r="A5392" t="inlineStr">
        <is>
          <t>2026-08-21</t>
        </is>
      </c>
      <c r="B5392" t="inlineStr">
        <is>
          <t>F276500</t>
        </is>
      </c>
      <c r="C5392" t="inlineStr">
        <is>
          <t>C10873</t>
        </is>
      </c>
      <c r="D5392" t="inlineStr">
        <is>
          <t>SKU-10337</t>
        </is>
      </c>
      <c r="E5392" t="inlineStr">
        <is>
          <t>AM08</t>
        </is>
      </c>
      <c r="F5392" s="5" t="n">
        <v>269.1</v>
      </c>
      <c r="G5392">
        <f>IF(LEFT(B5392,1)="C","Credit","Factuur")</f>
        <v/>
      </c>
      <c r="H5392">
        <f>IF(AND(B5392=B5391,D5392=D5391,A5392=A5391,F5392=F5391),1,0)</f>
        <v/>
      </c>
      <c r="I5392">
        <f>IF(C5392="C99999",1,0)</f>
        <v/>
      </c>
      <c r="J5392" s="5">
        <f>IF(OR(H5392=1,I5392=1),0,IF(G5392="Credit",-F5392,F5392))</f>
        <v/>
      </c>
    </row>
    <row r="5393">
      <c r="A5393" t="inlineStr">
        <is>
          <t>2026-08-21</t>
        </is>
      </c>
      <c r="B5393" t="inlineStr">
        <is>
          <t>F277294</t>
        </is>
      </c>
      <c r="C5393" t="inlineStr">
        <is>
          <t>C10920</t>
        </is>
      </c>
      <c r="D5393" t="inlineStr">
        <is>
          <t>SKU-10133</t>
        </is>
      </c>
      <c r="E5393" t="inlineStr">
        <is>
          <t>AM06</t>
        </is>
      </c>
      <c r="F5393" s="5" t="n">
        <v>794.04</v>
      </c>
      <c r="G5393">
        <f>IF(LEFT(B5393,1)="C","Credit","Factuur")</f>
        <v/>
      </c>
      <c r="H5393">
        <f>IF(AND(B5393=B5392,D5393=D5392,A5393=A5392,F5393=F5392),1,0)</f>
        <v/>
      </c>
      <c r="I5393">
        <f>IF(C5393="C99999",1,0)</f>
        <v/>
      </c>
      <c r="J5393" s="5">
        <f>IF(OR(H5393=1,I5393=1),0,IF(G5393="Credit",-F5393,F5393))</f>
        <v/>
      </c>
    </row>
    <row r="5394">
      <c r="A5394" t="inlineStr">
        <is>
          <t>2026-08-21</t>
        </is>
      </c>
      <c r="B5394" t="inlineStr">
        <is>
          <t>F277515</t>
        </is>
      </c>
      <c r="C5394" t="inlineStr">
        <is>
          <t>C10931</t>
        </is>
      </c>
      <c r="D5394" t="inlineStr">
        <is>
          <t>SKU-10207</t>
        </is>
      </c>
      <c r="E5394" t="inlineStr">
        <is>
          <t>AM11</t>
        </is>
      </c>
      <c r="F5394" s="5" t="n">
        <v>2471.04</v>
      </c>
      <c r="G5394">
        <f>IF(LEFT(B5394,1)="C","Credit","Factuur")</f>
        <v/>
      </c>
      <c r="H5394">
        <f>IF(AND(B5394=B5393,D5394=D5393,A5394=A5393,F5394=F5393),1,0)</f>
        <v/>
      </c>
      <c r="I5394">
        <f>IF(C5394="C99999",1,0)</f>
        <v/>
      </c>
      <c r="J5394" s="5">
        <f>IF(OR(H5394=1,I5394=1),0,IF(G5394="Credit",-F5394,F5394))</f>
        <v/>
      </c>
    </row>
    <row r="5395">
      <c r="A5395" t="inlineStr">
        <is>
          <t>2026-08-21</t>
        </is>
      </c>
      <c r="B5395" t="inlineStr">
        <is>
          <t>F277567</t>
        </is>
      </c>
      <c r="C5395" t="inlineStr">
        <is>
          <t>C10933</t>
        </is>
      </c>
      <c r="D5395" t="inlineStr">
        <is>
          <t>SKU-10132</t>
        </is>
      </c>
      <c r="E5395" t="inlineStr">
        <is>
          <t>AM02</t>
        </is>
      </c>
      <c r="F5395" s="5" t="n">
        <v>751.1</v>
      </c>
      <c r="G5395">
        <f>IF(LEFT(B5395,1)="C","Credit","Factuur")</f>
        <v/>
      </c>
      <c r="H5395">
        <f>IF(AND(B5395=B5394,D5395=D5394,A5395=A5394,F5395=F5394),1,0)</f>
        <v/>
      </c>
      <c r="I5395">
        <f>IF(C5395="C99999",1,0)</f>
        <v/>
      </c>
      <c r="J5395" s="5">
        <f>IF(OR(H5395=1,I5395=1),0,IF(G5395="Credit",-F5395,F5395))</f>
        <v/>
      </c>
    </row>
    <row r="5396">
      <c r="A5396" t="inlineStr">
        <is>
          <t>2026-08-21</t>
        </is>
      </c>
      <c r="B5396" t="inlineStr">
        <is>
          <t>F277567</t>
        </is>
      </c>
      <c r="C5396" t="inlineStr">
        <is>
          <t>C10933</t>
        </is>
      </c>
      <c r="D5396" t="inlineStr">
        <is>
          <t>SKU-10228</t>
        </is>
      </c>
      <c r="E5396" t="inlineStr">
        <is>
          <t>AM02</t>
        </is>
      </c>
      <c r="F5396" s="5" t="n">
        <v>710.45</v>
      </c>
      <c r="G5396">
        <f>IF(LEFT(B5396,1)="C","Credit","Factuur")</f>
        <v/>
      </c>
      <c r="H5396">
        <f>IF(AND(B5396=B5395,D5396=D5395,A5396=A5395,F5396=F5395),1,0)</f>
        <v/>
      </c>
      <c r="I5396">
        <f>IF(C5396="C99999",1,0)</f>
        <v/>
      </c>
      <c r="J5396" s="5">
        <f>IF(OR(H5396=1,I5396=1),0,IF(G5396="Credit",-F5396,F5396))</f>
        <v/>
      </c>
    </row>
    <row r="5397">
      <c r="A5397" t="inlineStr">
        <is>
          <t>2026-08-21</t>
        </is>
      </c>
      <c r="B5397" t="inlineStr">
        <is>
          <t>F277696</t>
        </is>
      </c>
      <c r="C5397" t="inlineStr">
        <is>
          <t>C10940</t>
        </is>
      </c>
      <c r="D5397" t="inlineStr">
        <is>
          <t>SKU-10051</t>
        </is>
      </c>
      <c r="E5397" t="inlineStr">
        <is>
          <t>AM06</t>
        </is>
      </c>
      <c r="F5397" s="5" t="n">
        <v>461.52</v>
      </c>
      <c r="G5397">
        <f>IF(LEFT(B5397,1)="C","Credit","Factuur")</f>
        <v/>
      </c>
      <c r="H5397">
        <f>IF(AND(B5397=B5396,D5397=D5396,A5397=A5396,F5397=F5396),1,0)</f>
        <v/>
      </c>
      <c r="I5397">
        <f>IF(C5397="C99999",1,0)</f>
        <v/>
      </c>
      <c r="J5397" s="5">
        <f>IF(OR(H5397=1,I5397=1),0,IF(G5397="Credit",-F5397,F5397))</f>
        <v/>
      </c>
    </row>
    <row r="5398">
      <c r="A5398" t="inlineStr">
        <is>
          <t>2026-08-21</t>
        </is>
      </c>
      <c r="B5398" t="inlineStr">
        <is>
          <t>F277696</t>
        </is>
      </c>
      <c r="C5398" t="inlineStr">
        <is>
          <t>C10940</t>
        </is>
      </c>
      <c r="D5398" t="inlineStr">
        <is>
          <t>SKU-10229</t>
        </is>
      </c>
      <c r="E5398" t="inlineStr">
        <is>
          <t>AM06</t>
        </is>
      </c>
      <c r="F5398" s="5" t="n">
        <v>491.68</v>
      </c>
      <c r="G5398">
        <f>IF(LEFT(B5398,1)="C","Credit","Factuur")</f>
        <v/>
      </c>
      <c r="H5398">
        <f>IF(AND(B5398=B5397,D5398=D5397,A5398=A5397,F5398=F5397),1,0)</f>
        <v/>
      </c>
      <c r="I5398">
        <f>IF(C5398="C99999",1,0)</f>
        <v/>
      </c>
      <c r="J5398" s="5">
        <f>IF(OR(H5398=1,I5398=1),0,IF(G5398="Credit",-F5398,F5398))</f>
        <v/>
      </c>
    </row>
    <row r="5399">
      <c r="A5399" t="inlineStr">
        <is>
          <t>2026-08-21</t>
        </is>
      </c>
      <c r="B5399" t="inlineStr">
        <is>
          <t>F277696</t>
        </is>
      </c>
      <c r="C5399" t="inlineStr">
        <is>
          <t>C10940</t>
        </is>
      </c>
      <c r="D5399" t="inlineStr">
        <is>
          <t>SKU-10232</t>
        </is>
      </c>
      <c r="E5399" t="inlineStr">
        <is>
          <t>AM06</t>
        </is>
      </c>
      <c r="F5399" s="5" t="n">
        <v>412.9</v>
      </c>
      <c r="G5399">
        <f>IF(LEFT(B5399,1)="C","Credit","Factuur")</f>
        <v/>
      </c>
      <c r="H5399">
        <f>IF(AND(B5399=B5398,D5399=D5398,A5399=A5398,F5399=F5398),1,0)</f>
        <v/>
      </c>
      <c r="I5399">
        <f>IF(C5399="C99999",1,0)</f>
        <v/>
      </c>
      <c r="J5399" s="5">
        <f>IF(OR(H5399=1,I5399=1),0,IF(G5399="Credit",-F5399,F5399))</f>
        <v/>
      </c>
    </row>
    <row r="5400">
      <c r="A5400" t="inlineStr">
        <is>
          <t>2026-08-21</t>
        </is>
      </c>
      <c r="B5400" t="inlineStr">
        <is>
          <t>F277708</t>
        </is>
      </c>
      <c r="C5400" t="inlineStr">
        <is>
          <t>C10940</t>
        </is>
      </c>
      <c r="D5400" t="inlineStr">
        <is>
          <t>SKU-10049</t>
        </is>
      </c>
      <c r="E5400" t="inlineStr">
        <is>
          <t>AM06</t>
        </is>
      </c>
      <c r="F5400" s="5" t="n">
        <v>514.59</v>
      </c>
      <c r="G5400">
        <f>IF(LEFT(B5400,1)="C","Credit","Factuur")</f>
        <v/>
      </c>
      <c r="H5400">
        <f>IF(AND(B5400=B5399,D5400=D5399,A5400=A5399,F5400=F5399),1,0)</f>
        <v/>
      </c>
      <c r="I5400">
        <f>IF(C5400="C99999",1,0)</f>
        <v/>
      </c>
      <c r="J5400" s="5">
        <f>IF(OR(H5400=1,I5400=1),0,IF(G5400="Credit",-F5400,F5400))</f>
        <v/>
      </c>
    </row>
    <row r="5401">
      <c r="A5401" t="inlineStr">
        <is>
          <t>2026-08-21</t>
        </is>
      </c>
      <c r="B5401" t="inlineStr">
        <is>
          <t>F277708</t>
        </is>
      </c>
      <c r="C5401" t="inlineStr">
        <is>
          <t>C10940</t>
        </is>
      </c>
      <c r="D5401" t="inlineStr">
        <is>
          <t>SKU-10177</t>
        </is>
      </c>
      <c r="E5401" t="inlineStr">
        <is>
          <t>AM06</t>
        </is>
      </c>
      <c r="F5401" s="5" t="n">
        <v>573.52</v>
      </c>
      <c r="G5401">
        <f>IF(LEFT(B5401,1)="C","Credit","Factuur")</f>
        <v/>
      </c>
      <c r="H5401">
        <f>IF(AND(B5401=B5400,D5401=D5400,A5401=A5400,F5401=F5400),1,0)</f>
        <v/>
      </c>
      <c r="I5401">
        <f>IF(C5401="C99999",1,0)</f>
        <v/>
      </c>
      <c r="J5401" s="5">
        <f>IF(OR(H5401=1,I5401=1),0,IF(G5401="Credit",-F5401,F5401))</f>
        <v/>
      </c>
    </row>
    <row r="5402">
      <c r="A5402" t="inlineStr">
        <is>
          <t>2026-08-21</t>
        </is>
      </c>
      <c r="B5402" t="inlineStr">
        <is>
          <t>F277732</t>
        </is>
      </c>
      <c r="C5402" t="inlineStr">
        <is>
          <t>C10941</t>
        </is>
      </c>
      <c r="D5402" t="inlineStr">
        <is>
          <t>SKU-10004</t>
        </is>
      </c>
      <c r="E5402" t="inlineStr">
        <is>
          <t>AM03</t>
        </is>
      </c>
      <c r="F5402" s="5" t="n">
        <v>235.05</v>
      </c>
      <c r="G5402">
        <f>IF(LEFT(B5402,1)="C","Credit","Factuur")</f>
        <v/>
      </c>
      <c r="H5402">
        <f>IF(AND(B5402=B5401,D5402=D5401,A5402=A5401,F5402=F5401),1,0)</f>
        <v/>
      </c>
      <c r="I5402">
        <f>IF(C5402="C99999",1,0)</f>
        <v/>
      </c>
      <c r="J5402" s="5">
        <f>IF(OR(H5402=1,I5402=1),0,IF(G5402="Credit",-F5402,F5402))</f>
        <v/>
      </c>
    </row>
    <row r="5403">
      <c r="A5403" t="inlineStr">
        <is>
          <t>2026-08-21</t>
        </is>
      </c>
      <c r="B5403" t="inlineStr">
        <is>
          <t>F277741</t>
        </is>
      </c>
      <c r="C5403" t="inlineStr">
        <is>
          <t>C10942</t>
        </is>
      </c>
      <c r="D5403" t="inlineStr">
        <is>
          <t>SKU-10039</t>
        </is>
      </c>
      <c r="E5403" t="inlineStr">
        <is>
          <t>AM08</t>
        </is>
      </c>
      <c r="F5403" s="5" t="n">
        <v>129.72</v>
      </c>
      <c r="G5403">
        <f>IF(LEFT(B5403,1)="C","Credit","Factuur")</f>
        <v/>
      </c>
      <c r="H5403">
        <f>IF(AND(B5403=B5402,D5403=D5402,A5403=A5402,F5403=F5402),1,0)</f>
        <v/>
      </c>
      <c r="I5403">
        <f>IF(C5403="C99999",1,0)</f>
        <v/>
      </c>
      <c r="J5403" s="5">
        <f>IF(OR(H5403=1,I5403=1),0,IF(G5403="Credit",-F5403,F5403))</f>
        <v/>
      </c>
    </row>
    <row r="5404">
      <c r="A5404" t="inlineStr">
        <is>
          <t>2026-08-21</t>
        </is>
      </c>
      <c r="B5404" t="inlineStr">
        <is>
          <t>F277741</t>
        </is>
      </c>
      <c r="C5404" t="inlineStr">
        <is>
          <t>C10942</t>
        </is>
      </c>
      <c r="D5404" t="inlineStr">
        <is>
          <t>SKU-10070</t>
        </is>
      </c>
      <c r="E5404" t="inlineStr">
        <is>
          <t>AM08</t>
        </is>
      </c>
      <c r="F5404" s="5" t="n">
        <v>134.86</v>
      </c>
      <c r="G5404">
        <f>IF(LEFT(B5404,1)="C","Credit","Factuur")</f>
        <v/>
      </c>
      <c r="H5404">
        <f>IF(AND(B5404=B5403,D5404=D5403,A5404=A5403,F5404=F5403),1,0)</f>
        <v/>
      </c>
      <c r="I5404">
        <f>IF(C5404="C99999",1,0)</f>
        <v/>
      </c>
      <c r="J5404" s="5">
        <f>IF(OR(H5404=1,I5404=1),0,IF(G5404="Credit",-F5404,F5404))</f>
        <v/>
      </c>
    </row>
    <row r="5405">
      <c r="A5405" t="inlineStr">
        <is>
          <t>2026-08-21</t>
        </is>
      </c>
      <c r="B5405" t="inlineStr">
        <is>
          <t>F277741</t>
        </is>
      </c>
      <c r="C5405" t="inlineStr">
        <is>
          <t>C10942</t>
        </is>
      </c>
      <c r="D5405" t="inlineStr">
        <is>
          <t>SKU-10085</t>
        </is>
      </c>
      <c r="E5405" t="inlineStr">
        <is>
          <t>AM08</t>
        </is>
      </c>
      <c r="F5405" s="5" t="n">
        <v>131.5</v>
      </c>
      <c r="G5405">
        <f>IF(LEFT(B5405,1)="C","Credit","Factuur")</f>
        <v/>
      </c>
      <c r="H5405">
        <f>IF(AND(B5405=B5404,D5405=D5404,A5405=A5404,F5405=F5404),1,0)</f>
        <v/>
      </c>
      <c r="I5405">
        <f>IF(C5405="C99999",1,0)</f>
        <v/>
      </c>
      <c r="J5405" s="5">
        <f>IF(OR(H5405=1,I5405=1),0,IF(G5405="Credit",-F5405,F5405))</f>
        <v/>
      </c>
    </row>
    <row r="5406">
      <c r="A5406" t="inlineStr">
        <is>
          <t>2026-08-21</t>
        </is>
      </c>
      <c r="B5406" t="inlineStr">
        <is>
          <t>F277779</t>
        </is>
      </c>
      <c r="C5406" t="inlineStr">
        <is>
          <t>C10945</t>
        </is>
      </c>
      <c r="D5406" t="inlineStr">
        <is>
          <t>SKU-10004</t>
        </is>
      </c>
      <c r="E5406" t="inlineStr">
        <is>
          <t>AM03</t>
        </is>
      </c>
      <c r="F5406" s="5" t="n">
        <v>235.05</v>
      </c>
      <c r="G5406">
        <f>IF(LEFT(B5406,1)="C","Credit","Factuur")</f>
        <v/>
      </c>
      <c r="H5406">
        <f>IF(AND(B5406=B5405,D5406=D5405,A5406=A5405,F5406=F5405),1,0)</f>
        <v/>
      </c>
      <c r="I5406">
        <f>IF(C5406="C99999",1,0)</f>
        <v/>
      </c>
      <c r="J5406" s="5">
        <f>IF(OR(H5406=1,I5406=1),0,IF(G5406="Credit",-F5406,F5406))</f>
        <v/>
      </c>
    </row>
    <row r="5407">
      <c r="A5407" t="inlineStr">
        <is>
          <t>2026-08-21</t>
        </is>
      </c>
      <c r="B5407" t="inlineStr">
        <is>
          <t>F277779</t>
        </is>
      </c>
      <c r="C5407" t="inlineStr">
        <is>
          <t>C10945</t>
        </is>
      </c>
      <c r="D5407" t="inlineStr">
        <is>
          <t>SKU-10013</t>
        </is>
      </c>
      <c r="E5407" t="inlineStr">
        <is>
          <t>AM03</t>
        </is>
      </c>
      <c r="F5407" s="5" t="n">
        <v>214.38</v>
      </c>
      <c r="G5407">
        <f>IF(LEFT(B5407,1)="C","Credit","Factuur")</f>
        <v/>
      </c>
      <c r="H5407">
        <f>IF(AND(B5407=B5406,D5407=D5406,A5407=A5406,F5407=F5406),1,0)</f>
        <v/>
      </c>
      <c r="I5407">
        <f>IF(C5407="C99999",1,0)</f>
        <v/>
      </c>
      <c r="J5407" s="5">
        <f>IF(OR(H5407=1,I5407=1),0,IF(G5407="Credit",-F5407,F5407))</f>
        <v/>
      </c>
    </row>
    <row r="5408">
      <c r="A5408" t="inlineStr">
        <is>
          <t>2026-08-21</t>
        </is>
      </c>
      <c r="B5408" t="inlineStr">
        <is>
          <t>F277779</t>
        </is>
      </c>
      <c r="C5408" t="inlineStr">
        <is>
          <t>C10945</t>
        </is>
      </c>
      <c r="D5408" t="inlineStr">
        <is>
          <t>SKU-10169</t>
        </is>
      </c>
      <c r="E5408" t="inlineStr">
        <is>
          <t>AM03</t>
        </is>
      </c>
      <c r="F5408" s="5" t="n">
        <v>216.02</v>
      </c>
      <c r="G5408">
        <f>IF(LEFT(B5408,1)="C","Credit","Factuur")</f>
        <v/>
      </c>
      <c r="H5408">
        <f>IF(AND(B5408=B5407,D5408=D5407,A5408=A5407,F5408=F5407),1,0)</f>
        <v/>
      </c>
      <c r="I5408">
        <f>IF(C5408="C99999",1,0)</f>
        <v/>
      </c>
      <c r="J5408" s="5">
        <f>IF(OR(H5408=1,I5408=1),0,IF(G5408="Credit",-F5408,F5408))</f>
        <v/>
      </c>
    </row>
    <row r="5409">
      <c r="A5409" t="inlineStr">
        <is>
          <t>2026-08-21</t>
        </is>
      </c>
      <c r="B5409" t="inlineStr">
        <is>
          <t>F277779</t>
        </is>
      </c>
      <c r="C5409" t="inlineStr">
        <is>
          <t>C10945</t>
        </is>
      </c>
      <c r="D5409" t="inlineStr">
        <is>
          <t>SKU-10307</t>
        </is>
      </c>
      <c r="E5409" t="inlineStr">
        <is>
          <t>AM03</t>
        </is>
      </c>
      <c r="F5409" s="5" t="n">
        <v>236.95</v>
      </c>
      <c r="G5409">
        <f>IF(LEFT(B5409,1)="C","Credit","Factuur")</f>
        <v/>
      </c>
      <c r="H5409">
        <f>IF(AND(B5409=B5408,D5409=D5408,A5409=A5408,F5409=F5408),1,0)</f>
        <v/>
      </c>
      <c r="I5409">
        <f>IF(C5409="C99999",1,0)</f>
        <v/>
      </c>
      <c r="J5409" s="5">
        <f>IF(OR(H5409=1,I5409=1),0,IF(G5409="Credit",-F5409,F5409))</f>
        <v/>
      </c>
    </row>
    <row r="5410">
      <c r="A5410" t="inlineStr">
        <is>
          <t>2026-08-21</t>
        </is>
      </c>
      <c r="B5410" t="inlineStr">
        <is>
          <t>F277875</t>
        </is>
      </c>
      <c r="C5410" t="inlineStr">
        <is>
          <t>C10949</t>
        </is>
      </c>
      <c r="D5410" t="inlineStr">
        <is>
          <t>SKU-10090</t>
        </is>
      </c>
      <c r="E5410" t="inlineStr">
        <is>
          <t>AM01</t>
        </is>
      </c>
      <c r="F5410" s="5" t="n">
        <v>108.46</v>
      </c>
      <c r="G5410">
        <f>IF(LEFT(B5410,1)="C","Credit","Factuur")</f>
        <v/>
      </c>
      <c r="H5410">
        <f>IF(AND(B5410=B5409,D5410=D5409,A5410=A5409,F5410=F5409),1,0)</f>
        <v/>
      </c>
      <c r="I5410">
        <f>IF(C5410="C99999",1,0)</f>
        <v/>
      </c>
      <c r="J5410" s="5">
        <f>IF(OR(H5410=1,I5410=1),0,IF(G5410="Credit",-F5410,F5410))</f>
        <v/>
      </c>
    </row>
    <row r="5411">
      <c r="A5411" t="inlineStr">
        <is>
          <t>2026-08-21</t>
        </is>
      </c>
      <c r="B5411" t="inlineStr">
        <is>
          <t>F277875</t>
        </is>
      </c>
      <c r="C5411" t="inlineStr">
        <is>
          <t>C10949</t>
        </is>
      </c>
      <c r="D5411" t="inlineStr">
        <is>
          <t>SKU-10249</t>
        </is>
      </c>
      <c r="E5411" t="inlineStr">
        <is>
          <t>AM01</t>
        </is>
      </c>
      <c r="F5411" s="5" t="n">
        <v>59.09</v>
      </c>
      <c r="G5411">
        <f>IF(LEFT(B5411,1)="C","Credit","Factuur")</f>
        <v/>
      </c>
      <c r="H5411">
        <f>IF(AND(B5411=B5410,D5411=D5410,A5411=A5410,F5411=F5410),1,0)</f>
        <v/>
      </c>
      <c r="I5411">
        <f>IF(C5411="C99999",1,0)</f>
        <v/>
      </c>
      <c r="J5411" s="5">
        <f>IF(OR(H5411=1,I5411=1),0,IF(G5411="Credit",-F5411,F5411))</f>
        <v/>
      </c>
    </row>
    <row r="5412">
      <c r="A5412" t="inlineStr">
        <is>
          <t>2026-08-21</t>
        </is>
      </c>
      <c r="B5412" t="inlineStr">
        <is>
          <t>F277875</t>
        </is>
      </c>
      <c r="C5412" t="inlineStr">
        <is>
          <t>C10949</t>
        </is>
      </c>
      <c r="D5412" t="inlineStr">
        <is>
          <t>SKU-10254</t>
        </is>
      </c>
      <c r="E5412" t="inlineStr">
        <is>
          <t>AM01</t>
        </is>
      </c>
      <c r="F5412" s="5" t="n">
        <v>57.95</v>
      </c>
      <c r="G5412">
        <f>IF(LEFT(B5412,1)="C","Credit","Factuur")</f>
        <v/>
      </c>
      <c r="H5412">
        <f>IF(AND(B5412=B5411,D5412=D5411,A5412=A5411,F5412=F5411),1,0)</f>
        <v/>
      </c>
      <c r="I5412">
        <f>IF(C5412="C99999",1,0)</f>
        <v/>
      </c>
      <c r="J5412" s="5">
        <f>IF(OR(H5412=1,I5412=1),0,IF(G5412="Credit",-F5412,F5412))</f>
        <v/>
      </c>
    </row>
    <row r="5413">
      <c r="A5413" t="inlineStr">
        <is>
          <t>2026-08-21</t>
        </is>
      </c>
      <c r="B5413" t="inlineStr">
        <is>
          <t>F277875</t>
        </is>
      </c>
      <c r="C5413" t="inlineStr">
        <is>
          <t>C10949</t>
        </is>
      </c>
      <c r="D5413" t="inlineStr">
        <is>
          <t>SKU-10335</t>
        </is>
      </c>
      <c r="E5413" t="inlineStr">
        <is>
          <t>AM01</t>
        </is>
      </c>
      <c r="F5413" s="5" t="n">
        <v>55.36</v>
      </c>
      <c r="G5413">
        <f>IF(LEFT(B5413,1)="C","Credit","Factuur")</f>
        <v/>
      </c>
      <c r="H5413">
        <f>IF(AND(B5413=B5412,D5413=D5412,A5413=A5412,F5413=F5412),1,0)</f>
        <v/>
      </c>
      <c r="I5413">
        <f>IF(C5413="C99999",1,0)</f>
        <v/>
      </c>
      <c r="J5413" s="5">
        <f>IF(OR(H5413=1,I5413=1),0,IF(G5413="Credit",-F5413,F5413))</f>
        <v/>
      </c>
    </row>
    <row r="5414">
      <c r="A5414" t="inlineStr">
        <is>
          <t>2026-08-21</t>
        </is>
      </c>
      <c r="B5414" t="inlineStr">
        <is>
          <t>F278086</t>
        </is>
      </c>
      <c r="C5414" t="inlineStr">
        <is>
          <t>C10961</t>
        </is>
      </c>
      <c r="D5414" t="inlineStr">
        <is>
          <t>SKU-10079</t>
        </is>
      </c>
      <c r="E5414" t="inlineStr">
        <is>
          <t>AM03</t>
        </is>
      </c>
      <c r="F5414" s="5" t="n">
        <v>1415.84</v>
      </c>
      <c r="G5414">
        <f>IF(LEFT(B5414,1)="C","Credit","Factuur")</f>
        <v/>
      </c>
      <c r="H5414">
        <f>IF(AND(B5414=B5413,D5414=D5413,A5414=A5413,F5414=F5413),1,0)</f>
        <v/>
      </c>
      <c r="I5414">
        <f>IF(C5414="C99999",1,0)</f>
        <v/>
      </c>
      <c r="J5414" s="5">
        <f>IF(OR(H5414=1,I5414=1),0,IF(G5414="Credit",-F5414,F5414))</f>
        <v/>
      </c>
    </row>
    <row r="5415">
      <c r="A5415" t="inlineStr">
        <is>
          <t>2026-08-21</t>
        </is>
      </c>
      <c r="B5415" t="inlineStr">
        <is>
          <t>F278086</t>
        </is>
      </c>
      <c r="C5415" t="inlineStr">
        <is>
          <t>C10961</t>
        </is>
      </c>
      <c r="D5415" t="inlineStr">
        <is>
          <t>SKU-10157</t>
        </is>
      </c>
      <c r="E5415" t="inlineStr">
        <is>
          <t>AM03</t>
        </is>
      </c>
      <c r="F5415" s="5" t="n">
        <v>1465.96</v>
      </c>
      <c r="G5415">
        <f>IF(LEFT(B5415,1)="C","Credit","Factuur")</f>
        <v/>
      </c>
      <c r="H5415">
        <f>IF(AND(B5415=B5414,D5415=D5414,A5415=A5414,F5415=F5414),1,0)</f>
        <v/>
      </c>
      <c r="I5415">
        <f>IF(C5415="C99999",1,0)</f>
        <v/>
      </c>
      <c r="J5415" s="5">
        <f>IF(OR(H5415=1,I5415=1),0,IF(G5415="Credit",-F5415,F5415))</f>
        <v/>
      </c>
    </row>
    <row r="5416">
      <c r="A5416" t="inlineStr">
        <is>
          <t>2026-08-21</t>
        </is>
      </c>
      <c r="B5416" t="inlineStr">
        <is>
          <t>F278086</t>
        </is>
      </c>
      <c r="C5416" t="inlineStr">
        <is>
          <t>C10961</t>
        </is>
      </c>
      <c r="D5416" t="inlineStr">
        <is>
          <t>SKU-10291</t>
        </is>
      </c>
      <c r="E5416" t="inlineStr">
        <is>
          <t>AM03</t>
        </is>
      </c>
      <c r="F5416" s="5" t="n">
        <v>1469.46</v>
      </c>
      <c r="G5416">
        <f>IF(LEFT(B5416,1)="C","Credit","Factuur")</f>
        <v/>
      </c>
      <c r="H5416">
        <f>IF(AND(B5416=B5415,D5416=D5415,A5416=A5415,F5416=F5415),1,0)</f>
        <v/>
      </c>
      <c r="I5416">
        <f>IF(C5416="C99999",1,0)</f>
        <v/>
      </c>
      <c r="J5416" s="5">
        <f>IF(OR(H5416=1,I5416=1),0,IF(G5416="Credit",-F5416,F5416))</f>
        <v/>
      </c>
    </row>
    <row r="5417">
      <c r="A5417" t="inlineStr">
        <is>
          <t>2026-08-21</t>
        </is>
      </c>
      <c r="B5417" t="inlineStr">
        <is>
          <t>F278192</t>
        </is>
      </c>
      <c r="C5417" t="inlineStr">
        <is>
          <t>C10965</t>
        </is>
      </c>
      <c r="D5417" t="inlineStr">
        <is>
          <t>SKU-10141</t>
        </is>
      </c>
      <c r="E5417" t="inlineStr">
        <is>
          <t>AM01</t>
        </is>
      </c>
      <c r="F5417" s="5" t="n">
        <v>53.05</v>
      </c>
      <c r="G5417">
        <f>IF(LEFT(B5417,1)="C","Credit","Factuur")</f>
        <v/>
      </c>
      <c r="H5417">
        <f>IF(AND(B5417=B5416,D5417=D5416,A5417=A5416,F5417=F5416),1,0)</f>
        <v/>
      </c>
      <c r="I5417">
        <f>IF(C5417="C99999",1,0)</f>
        <v/>
      </c>
      <c r="J5417" s="5">
        <f>IF(OR(H5417=1,I5417=1),0,IF(G5417="Credit",-F5417,F5417))</f>
        <v/>
      </c>
    </row>
    <row r="5418">
      <c r="A5418" t="inlineStr">
        <is>
          <t>2026-08-21</t>
        </is>
      </c>
      <c r="B5418" t="inlineStr">
        <is>
          <t>F278192</t>
        </is>
      </c>
      <c r="C5418" t="inlineStr">
        <is>
          <t>C10965</t>
        </is>
      </c>
      <c r="D5418" t="inlineStr">
        <is>
          <t>SKU-10192</t>
        </is>
      </c>
      <c r="E5418" t="inlineStr">
        <is>
          <t>AM01</t>
        </is>
      </c>
      <c r="F5418" s="5" t="n">
        <v>62.78</v>
      </c>
      <c r="G5418">
        <f>IF(LEFT(B5418,1)="C","Credit","Factuur")</f>
        <v/>
      </c>
      <c r="H5418">
        <f>IF(AND(B5418=B5417,D5418=D5417,A5418=A5417,F5418=F5417),1,0)</f>
        <v/>
      </c>
      <c r="I5418">
        <f>IF(C5418="C99999",1,0)</f>
        <v/>
      </c>
      <c r="J5418" s="5">
        <f>IF(OR(H5418=1,I5418=1),0,IF(G5418="Credit",-F5418,F5418))</f>
        <v/>
      </c>
    </row>
    <row r="5419">
      <c r="A5419" t="inlineStr">
        <is>
          <t>2026-08-21</t>
        </is>
      </c>
      <c r="B5419" t="inlineStr">
        <is>
          <t>F278192</t>
        </is>
      </c>
      <c r="C5419" t="inlineStr">
        <is>
          <t>C10965</t>
        </is>
      </c>
      <c r="D5419" t="inlineStr">
        <is>
          <t>SKU-10328</t>
        </is>
      </c>
      <c r="E5419" t="inlineStr">
        <is>
          <t>AM01</t>
        </is>
      </c>
      <c r="F5419" s="5" t="n">
        <v>62.48</v>
      </c>
      <c r="G5419">
        <f>IF(LEFT(B5419,1)="C","Credit","Factuur")</f>
        <v/>
      </c>
      <c r="H5419">
        <f>IF(AND(B5419=B5418,D5419=D5418,A5419=A5418,F5419=F5418),1,0)</f>
        <v/>
      </c>
      <c r="I5419">
        <f>IF(C5419="C99999",1,0)</f>
        <v/>
      </c>
      <c r="J5419" s="5">
        <f>IF(OR(H5419=1,I5419=1),0,IF(G5419="Credit",-F5419,F5419))</f>
        <v/>
      </c>
    </row>
    <row r="5420">
      <c r="A5420" t="inlineStr">
        <is>
          <t>2026-08-21</t>
        </is>
      </c>
      <c r="B5420" t="inlineStr">
        <is>
          <t>F278282</t>
        </is>
      </c>
      <c r="C5420" t="inlineStr">
        <is>
          <t>C10970</t>
        </is>
      </c>
      <c r="D5420" t="inlineStr">
        <is>
          <t>SKU-10177</t>
        </is>
      </c>
      <c r="E5420" t="inlineStr">
        <is>
          <t>AM02</t>
        </is>
      </c>
      <c r="F5420" s="5" t="n">
        <v>359.52</v>
      </c>
      <c r="G5420">
        <f>IF(LEFT(B5420,1)="C","Credit","Factuur")</f>
        <v/>
      </c>
      <c r="H5420">
        <f>IF(AND(B5420=B5419,D5420=D5419,A5420=A5419,F5420=F5419),1,0)</f>
        <v/>
      </c>
      <c r="I5420">
        <f>IF(C5420="C99999",1,0)</f>
        <v/>
      </c>
      <c r="J5420" s="5">
        <f>IF(OR(H5420=1,I5420=1),0,IF(G5420="Credit",-F5420,F5420))</f>
        <v/>
      </c>
    </row>
    <row r="5421">
      <c r="A5421" t="inlineStr">
        <is>
          <t>2026-08-21</t>
        </is>
      </c>
      <c r="B5421" t="inlineStr">
        <is>
          <t>F278282</t>
        </is>
      </c>
      <c r="C5421" t="inlineStr">
        <is>
          <t>C10970</t>
        </is>
      </c>
      <c r="D5421" t="inlineStr">
        <is>
          <t>SKU-10201</t>
        </is>
      </c>
      <c r="E5421" t="inlineStr">
        <is>
          <t>AM02</t>
        </is>
      </c>
      <c r="F5421" s="5" t="n">
        <v>372.96</v>
      </c>
      <c r="G5421">
        <f>IF(LEFT(B5421,1)="C","Credit","Factuur")</f>
        <v/>
      </c>
      <c r="H5421">
        <f>IF(AND(B5421=B5420,D5421=D5420,A5421=A5420,F5421=F5420),1,0)</f>
        <v/>
      </c>
      <c r="I5421">
        <f>IF(C5421="C99999",1,0)</f>
        <v/>
      </c>
      <c r="J5421" s="5">
        <f>IF(OR(H5421=1,I5421=1),0,IF(G5421="Credit",-F5421,F5421))</f>
        <v/>
      </c>
    </row>
    <row r="5422">
      <c r="A5422" t="inlineStr">
        <is>
          <t>2026-08-21</t>
        </is>
      </c>
      <c r="B5422" t="inlineStr">
        <is>
          <t>F278282</t>
        </is>
      </c>
      <c r="C5422" t="inlineStr">
        <is>
          <t>C10970</t>
        </is>
      </c>
      <c r="D5422" t="inlineStr">
        <is>
          <t>SKU-10334</t>
        </is>
      </c>
      <c r="E5422" t="inlineStr">
        <is>
          <t>AM02</t>
        </is>
      </c>
      <c r="F5422" s="5" t="n">
        <v>361.16</v>
      </c>
      <c r="G5422">
        <f>IF(LEFT(B5422,1)="C","Credit","Factuur")</f>
        <v/>
      </c>
      <c r="H5422">
        <f>IF(AND(B5422=B5421,D5422=D5421,A5422=A5421,F5422=F5421),1,0)</f>
        <v/>
      </c>
      <c r="I5422">
        <f>IF(C5422="C99999",1,0)</f>
        <v/>
      </c>
      <c r="J5422" s="5">
        <f>IF(OR(H5422=1,I5422=1),0,IF(G5422="Credit",-F5422,F5422))</f>
        <v/>
      </c>
    </row>
    <row r="5423">
      <c r="A5423" t="inlineStr">
        <is>
          <t>2026-08-21</t>
        </is>
      </c>
      <c r="B5423" t="inlineStr">
        <is>
          <t>F278653</t>
        </is>
      </c>
      <c r="C5423" t="inlineStr">
        <is>
          <t>C10989</t>
        </is>
      </c>
      <c r="D5423" t="inlineStr">
        <is>
          <t>SKU-10225</t>
        </is>
      </c>
      <c r="E5423" t="inlineStr">
        <is>
          <t>AM02</t>
        </is>
      </c>
      <c r="F5423" s="5" t="n">
        <v>102.93</v>
      </c>
      <c r="G5423">
        <f>IF(LEFT(B5423,1)="C","Credit","Factuur")</f>
        <v/>
      </c>
      <c r="H5423">
        <f>IF(AND(B5423=B5422,D5423=D5422,A5423=A5422,F5423=F5422),1,0)</f>
        <v/>
      </c>
      <c r="I5423">
        <f>IF(C5423="C99999",1,0)</f>
        <v/>
      </c>
      <c r="J5423" s="5">
        <f>IF(OR(H5423=1,I5423=1),0,IF(G5423="Credit",-F5423,F5423))</f>
        <v/>
      </c>
    </row>
    <row r="5424">
      <c r="A5424" t="inlineStr">
        <is>
          <t>2026-08-21</t>
        </is>
      </c>
      <c r="B5424" t="inlineStr">
        <is>
          <t>F278653</t>
        </is>
      </c>
      <c r="C5424" t="inlineStr">
        <is>
          <t>C10989</t>
        </is>
      </c>
      <c r="D5424" t="inlineStr">
        <is>
          <t>SKU-10244</t>
        </is>
      </c>
      <c r="E5424" t="inlineStr"/>
      <c r="F5424" s="5" t="n">
        <v>102.34</v>
      </c>
      <c r="G5424">
        <f>IF(LEFT(B5424,1)="C","Credit","Factuur")</f>
        <v/>
      </c>
      <c r="H5424">
        <f>IF(AND(B5424=B5423,D5424=D5423,A5424=A5423,F5424=F5423),1,0)</f>
        <v/>
      </c>
      <c r="I5424">
        <f>IF(C5424="C99999",1,0)</f>
        <v/>
      </c>
      <c r="J5424" s="5">
        <f>IF(OR(H5424=1,I5424=1),0,IF(G5424="Credit",-F5424,F5424))</f>
        <v/>
      </c>
    </row>
    <row r="5425">
      <c r="A5425" t="inlineStr">
        <is>
          <t>2026-08-21</t>
        </is>
      </c>
      <c r="B5425" t="inlineStr">
        <is>
          <t>F278745</t>
        </is>
      </c>
      <c r="C5425" t="inlineStr">
        <is>
          <t>C10994</t>
        </is>
      </c>
      <c r="D5425" t="inlineStr">
        <is>
          <t>SKU-10097</t>
        </is>
      </c>
      <c r="E5425" t="inlineStr">
        <is>
          <t>AM01</t>
        </is>
      </c>
      <c r="F5425" s="5" t="n">
        <v>191.7</v>
      </c>
      <c r="G5425">
        <f>IF(LEFT(B5425,1)="C","Credit","Factuur")</f>
        <v/>
      </c>
      <c r="H5425">
        <f>IF(AND(B5425=B5424,D5425=D5424,A5425=A5424,F5425=F5424),1,0)</f>
        <v/>
      </c>
      <c r="I5425">
        <f>IF(C5425="C99999",1,0)</f>
        <v/>
      </c>
      <c r="J5425" s="5">
        <f>IF(OR(H5425=1,I5425=1),0,IF(G5425="Credit",-F5425,F5425))</f>
        <v/>
      </c>
    </row>
    <row r="5426">
      <c r="A5426" t="inlineStr">
        <is>
          <t>2026-08-21</t>
        </is>
      </c>
      <c r="B5426" t="inlineStr">
        <is>
          <t>F278745</t>
        </is>
      </c>
      <c r="C5426" t="inlineStr">
        <is>
          <t>C10994</t>
        </is>
      </c>
      <c r="D5426" t="inlineStr">
        <is>
          <t>SKU-10291</t>
        </is>
      </c>
      <c r="E5426" t="inlineStr">
        <is>
          <t>AM01</t>
        </is>
      </c>
      <c r="F5426" s="5" t="n">
        <v>183.68</v>
      </c>
      <c r="G5426">
        <f>IF(LEFT(B5426,1)="C","Credit","Factuur")</f>
        <v/>
      </c>
      <c r="H5426">
        <f>IF(AND(B5426=B5425,D5426=D5425,A5426=A5425,F5426=F5425),1,0)</f>
        <v/>
      </c>
      <c r="I5426">
        <f>IF(C5426="C99999",1,0)</f>
        <v/>
      </c>
      <c r="J5426" s="5">
        <f>IF(OR(H5426=1,I5426=1),0,IF(G5426="Credit",-F5426,F5426))</f>
        <v/>
      </c>
    </row>
    <row r="5427">
      <c r="A5427" t="inlineStr">
        <is>
          <t>2026-08-21</t>
        </is>
      </c>
      <c r="B5427" t="inlineStr">
        <is>
          <t>F279051</t>
        </is>
      </c>
      <c r="C5427" t="inlineStr">
        <is>
          <t>C11008</t>
        </is>
      </c>
      <c r="D5427" t="inlineStr">
        <is>
          <t>SKU-10016</t>
        </is>
      </c>
      <c r="E5427" t="inlineStr">
        <is>
          <t>AM02</t>
        </is>
      </c>
      <c r="F5427" s="5" t="n">
        <v>498.76</v>
      </c>
      <c r="G5427">
        <f>IF(LEFT(B5427,1)="C","Credit","Factuur")</f>
        <v/>
      </c>
      <c r="H5427">
        <f>IF(AND(B5427=B5426,D5427=D5426,A5427=A5426,F5427=F5426),1,0)</f>
        <v/>
      </c>
      <c r="I5427">
        <f>IF(C5427="C99999",1,0)</f>
        <v/>
      </c>
      <c r="J5427" s="5">
        <f>IF(OR(H5427=1,I5427=1),0,IF(G5427="Credit",-F5427,F5427))</f>
        <v/>
      </c>
    </row>
    <row r="5428">
      <c r="A5428" t="inlineStr">
        <is>
          <t>2026-08-21</t>
        </is>
      </c>
      <c r="B5428" t="inlineStr">
        <is>
          <t>F279356</t>
        </is>
      </c>
      <c r="C5428" t="inlineStr">
        <is>
          <t>C11027</t>
        </is>
      </c>
      <c r="D5428" t="inlineStr">
        <is>
          <t>SKU-10070</t>
        </is>
      </c>
      <c r="E5428" t="inlineStr">
        <is>
          <t>AM01</t>
        </is>
      </c>
      <c r="F5428" s="5" t="n">
        <v>349.41</v>
      </c>
      <c r="G5428">
        <f>IF(LEFT(B5428,1)="C","Credit","Factuur")</f>
        <v/>
      </c>
      <c r="H5428">
        <f>IF(AND(B5428=B5427,D5428=D5427,A5428=A5427,F5428=F5427),1,0)</f>
        <v/>
      </c>
      <c r="I5428">
        <f>IF(C5428="C99999",1,0)</f>
        <v/>
      </c>
      <c r="J5428" s="5">
        <f>IF(OR(H5428=1,I5428=1),0,IF(G5428="Credit",-F5428,F5428))</f>
        <v/>
      </c>
    </row>
    <row r="5429">
      <c r="A5429" t="inlineStr">
        <is>
          <t>2026-08-21</t>
        </is>
      </c>
      <c r="B5429" t="inlineStr">
        <is>
          <t>F279356</t>
        </is>
      </c>
      <c r="C5429" t="inlineStr">
        <is>
          <t>C11027</t>
        </is>
      </c>
      <c r="D5429" t="inlineStr">
        <is>
          <t>SKU-10167</t>
        </is>
      </c>
      <c r="E5429" t="inlineStr">
        <is>
          <t>AM01</t>
        </is>
      </c>
      <c r="F5429" s="5" t="n">
        <v>340.98</v>
      </c>
      <c r="G5429">
        <f>IF(LEFT(B5429,1)="C","Credit","Factuur")</f>
        <v/>
      </c>
      <c r="H5429">
        <f>IF(AND(B5429=B5428,D5429=D5428,A5429=A5428,F5429=F5428),1,0)</f>
        <v/>
      </c>
      <c r="I5429">
        <f>IF(C5429="C99999",1,0)</f>
        <v/>
      </c>
      <c r="J5429" s="5">
        <f>IF(OR(H5429=1,I5429=1),0,IF(G5429="Credit",-F5429,F5429))</f>
        <v/>
      </c>
    </row>
    <row r="5430">
      <c r="A5430" t="inlineStr">
        <is>
          <t>2026-08-21</t>
        </is>
      </c>
      <c r="B5430" t="inlineStr">
        <is>
          <t>F279356</t>
        </is>
      </c>
      <c r="C5430" t="inlineStr">
        <is>
          <t>C11027</t>
        </is>
      </c>
      <c r="D5430" t="inlineStr">
        <is>
          <t>SKU-10170</t>
        </is>
      </c>
      <c r="E5430" t="inlineStr">
        <is>
          <t>AM01</t>
        </is>
      </c>
      <c r="F5430" s="5" t="n">
        <v>330.9</v>
      </c>
      <c r="G5430">
        <f>IF(LEFT(B5430,1)="C","Credit","Factuur")</f>
        <v/>
      </c>
      <c r="H5430">
        <f>IF(AND(B5430=B5429,D5430=D5429,A5430=A5429,F5430=F5429),1,0)</f>
        <v/>
      </c>
      <c r="I5430">
        <f>IF(C5430="C99999",1,0)</f>
        <v/>
      </c>
      <c r="J5430" s="5">
        <f>IF(OR(H5430=1,I5430=1),0,IF(G5430="Credit",-F5430,F5430))</f>
        <v/>
      </c>
    </row>
    <row r="5431">
      <c r="A5431" t="inlineStr">
        <is>
          <t>2026-08-21</t>
        </is>
      </c>
      <c r="B5431" t="inlineStr">
        <is>
          <t>F279356</t>
        </is>
      </c>
      <c r="C5431" t="inlineStr">
        <is>
          <t>C11027</t>
        </is>
      </c>
      <c r="D5431" t="inlineStr">
        <is>
          <t>SKU-10184</t>
        </is>
      </c>
      <c r="E5431" t="inlineStr">
        <is>
          <t>AM01</t>
        </is>
      </c>
      <c r="F5431" s="5" t="n">
        <v>337.22</v>
      </c>
      <c r="G5431">
        <f>IF(LEFT(B5431,1)="C","Credit","Factuur")</f>
        <v/>
      </c>
      <c r="H5431">
        <f>IF(AND(B5431=B5430,D5431=D5430,A5431=A5430,F5431=F5430),1,0)</f>
        <v/>
      </c>
      <c r="I5431">
        <f>IF(C5431="C99999",1,0)</f>
        <v/>
      </c>
      <c r="J5431" s="5">
        <f>IF(OR(H5431=1,I5431=1),0,IF(G5431="Credit",-F5431,F5431))</f>
        <v/>
      </c>
    </row>
    <row r="5432">
      <c r="A5432" t="inlineStr">
        <is>
          <t>2026-08-21</t>
        </is>
      </c>
      <c r="B5432" t="inlineStr">
        <is>
          <t>F279356</t>
        </is>
      </c>
      <c r="C5432" t="inlineStr">
        <is>
          <t>C11027</t>
        </is>
      </c>
      <c r="D5432" t="inlineStr">
        <is>
          <t>SKU-10241</t>
        </is>
      </c>
      <c r="E5432" t="inlineStr">
        <is>
          <t>AM01</t>
        </is>
      </c>
      <c r="F5432" s="5" t="n">
        <v>352.62</v>
      </c>
      <c r="G5432">
        <f>IF(LEFT(B5432,1)="C","Credit","Factuur")</f>
        <v/>
      </c>
      <c r="H5432">
        <f>IF(AND(B5432=B5431,D5432=D5431,A5432=A5431,F5432=F5431),1,0)</f>
        <v/>
      </c>
      <c r="I5432">
        <f>IF(C5432="C99999",1,0)</f>
        <v/>
      </c>
      <c r="J5432" s="5">
        <f>IF(OR(H5432=1,I5432=1),0,IF(G5432="Credit",-F5432,F5432))</f>
        <v/>
      </c>
    </row>
    <row r="5433">
      <c r="A5433" t="inlineStr">
        <is>
          <t>2026-08-21</t>
        </is>
      </c>
      <c r="B5433" t="inlineStr">
        <is>
          <t>F279672</t>
        </is>
      </c>
      <c r="C5433" t="inlineStr">
        <is>
          <t>C11043</t>
        </is>
      </c>
      <c r="D5433" t="inlineStr">
        <is>
          <t>SKU-10301</t>
        </is>
      </c>
      <c r="E5433" t="inlineStr">
        <is>
          <t>AM02</t>
        </is>
      </c>
      <c r="F5433" s="5" t="n">
        <v>202.3</v>
      </c>
      <c r="G5433">
        <f>IF(LEFT(B5433,1)="C","Credit","Factuur")</f>
        <v/>
      </c>
      <c r="H5433">
        <f>IF(AND(B5433=B5432,D5433=D5432,A5433=A5432,F5433=F5432),1,0)</f>
        <v/>
      </c>
      <c r="I5433">
        <f>IF(C5433="C99999",1,0)</f>
        <v/>
      </c>
      <c r="J5433" s="5">
        <f>IF(OR(H5433=1,I5433=1),0,IF(G5433="Credit",-F5433,F5433))</f>
        <v/>
      </c>
    </row>
    <row r="5434">
      <c r="A5434" t="inlineStr">
        <is>
          <t>2026-08-21</t>
        </is>
      </c>
      <c r="B5434" t="inlineStr">
        <is>
          <t>F280060</t>
        </is>
      </c>
      <c r="C5434" t="inlineStr">
        <is>
          <t>C11060</t>
        </is>
      </c>
      <c r="D5434" t="inlineStr">
        <is>
          <t>SKU-10071</t>
        </is>
      </c>
      <c r="E5434" t="inlineStr">
        <is>
          <t>AM08</t>
        </is>
      </c>
      <c r="F5434" s="5" t="n">
        <v>483.05</v>
      </c>
      <c r="G5434">
        <f>IF(LEFT(B5434,1)="C","Credit","Factuur")</f>
        <v/>
      </c>
      <c r="H5434">
        <f>IF(AND(B5434=B5433,D5434=D5433,A5434=A5433,F5434=F5433),1,0)</f>
        <v/>
      </c>
      <c r="I5434">
        <f>IF(C5434="C99999",1,0)</f>
        <v/>
      </c>
      <c r="J5434" s="5">
        <f>IF(OR(H5434=1,I5434=1),0,IF(G5434="Credit",-F5434,F5434))</f>
        <v/>
      </c>
    </row>
    <row r="5435">
      <c r="A5435" t="inlineStr">
        <is>
          <t>2026-08-21</t>
        </is>
      </c>
      <c r="B5435" t="inlineStr">
        <is>
          <t>F280196</t>
        </is>
      </c>
      <c r="C5435" t="inlineStr">
        <is>
          <t>C11066</t>
        </is>
      </c>
      <c r="D5435" t="inlineStr">
        <is>
          <t>SKU-10181</t>
        </is>
      </c>
      <c r="E5435" t="inlineStr">
        <is>
          <t>AM08</t>
        </is>
      </c>
      <c r="F5435" s="5" t="n">
        <v>612.22</v>
      </c>
      <c r="G5435">
        <f>IF(LEFT(B5435,1)="C","Credit","Factuur")</f>
        <v/>
      </c>
      <c r="H5435">
        <f>IF(AND(B5435=B5434,D5435=D5434,A5435=A5434,F5435=F5434),1,0)</f>
        <v/>
      </c>
      <c r="I5435">
        <f>IF(C5435="C99999",1,0)</f>
        <v/>
      </c>
      <c r="J5435" s="5">
        <f>IF(OR(H5435=1,I5435=1),0,IF(G5435="Credit",-F5435,F5435))</f>
        <v/>
      </c>
    </row>
    <row r="5436">
      <c r="A5436" t="inlineStr">
        <is>
          <t>2026-08-21</t>
        </is>
      </c>
      <c r="B5436" t="inlineStr">
        <is>
          <t>F280196</t>
        </is>
      </c>
      <c r="C5436" t="inlineStr">
        <is>
          <t>C11066</t>
        </is>
      </c>
      <c r="D5436" t="inlineStr">
        <is>
          <t>SKU-10187</t>
        </is>
      </c>
      <c r="E5436" t="inlineStr">
        <is>
          <t>AM08</t>
        </is>
      </c>
      <c r="F5436" s="5" t="n">
        <v>590.4400000000001</v>
      </c>
      <c r="G5436">
        <f>IF(LEFT(B5436,1)="C","Credit","Factuur")</f>
        <v/>
      </c>
      <c r="H5436">
        <f>IF(AND(B5436=B5435,D5436=D5435,A5436=A5435,F5436=F5435),1,0)</f>
        <v/>
      </c>
      <c r="I5436">
        <f>IF(C5436="C99999",1,0)</f>
        <v/>
      </c>
      <c r="J5436" s="5">
        <f>IF(OR(H5436=1,I5436=1),0,IF(G5436="Credit",-F5436,F5436))</f>
        <v/>
      </c>
    </row>
    <row r="5437">
      <c r="A5437" t="inlineStr">
        <is>
          <t>2026-08-21</t>
        </is>
      </c>
      <c r="B5437" t="inlineStr">
        <is>
          <t>F280196</t>
        </is>
      </c>
      <c r="C5437" t="inlineStr">
        <is>
          <t>C11066</t>
        </is>
      </c>
      <c r="D5437" t="inlineStr">
        <is>
          <t>SKU-10279</t>
        </is>
      </c>
      <c r="E5437" t="inlineStr">
        <is>
          <t>AM08</t>
        </is>
      </c>
      <c r="F5437" s="5" t="n">
        <v>598.54</v>
      </c>
      <c r="G5437">
        <f>IF(LEFT(B5437,1)="C","Credit","Factuur")</f>
        <v/>
      </c>
      <c r="H5437">
        <f>IF(AND(B5437=B5436,D5437=D5436,A5437=A5436,F5437=F5436),1,0)</f>
        <v/>
      </c>
      <c r="I5437">
        <f>IF(C5437="C99999",1,0)</f>
        <v/>
      </c>
      <c r="J5437" s="5">
        <f>IF(OR(H5437=1,I5437=1),0,IF(G5437="Credit",-F5437,F5437))</f>
        <v/>
      </c>
    </row>
    <row r="5438">
      <c r="A5438" t="inlineStr">
        <is>
          <t>2026-08-21</t>
        </is>
      </c>
      <c r="B5438" t="inlineStr">
        <is>
          <t>F280196</t>
        </is>
      </c>
      <c r="C5438" t="inlineStr">
        <is>
          <t>C11066</t>
        </is>
      </c>
      <c r="D5438" t="inlineStr">
        <is>
          <t>SKU-10323</t>
        </is>
      </c>
      <c r="E5438" t="inlineStr">
        <is>
          <t>AM08</t>
        </is>
      </c>
      <c r="F5438" s="5" t="n">
        <v>617.75</v>
      </c>
      <c r="G5438">
        <f>IF(LEFT(B5438,1)="C","Credit","Factuur")</f>
        <v/>
      </c>
      <c r="H5438">
        <f>IF(AND(B5438=B5437,D5438=D5437,A5438=A5437,F5438=F5437),1,0)</f>
        <v/>
      </c>
      <c r="I5438">
        <f>IF(C5438="C99999",1,0)</f>
        <v/>
      </c>
      <c r="J5438" s="5">
        <f>IF(OR(H5438=1,I5438=1),0,IF(G5438="Credit",-F5438,F5438))</f>
        <v/>
      </c>
    </row>
    <row r="5439">
      <c r="A5439" t="inlineStr">
        <is>
          <t>2026-08-21</t>
        </is>
      </c>
      <c r="B5439" t="inlineStr">
        <is>
          <t>F280644</t>
        </is>
      </c>
      <c r="C5439" t="inlineStr">
        <is>
          <t>C11090</t>
        </is>
      </c>
      <c r="D5439" t="inlineStr">
        <is>
          <t>SKU-10090</t>
        </is>
      </c>
      <c r="E5439" t="inlineStr">
        <is>
          <t>AM02</t>
        </is>
      </c>
      <c r="F5439" s="5" t="n">
        <v>4606.36</v>
      </c>
      <c r="G5439">
        <f>IF(LEFT(B5439,1)="C","Credit","Factuur")</f>
        <v/>
      </c>
      <c r="H5439">
        <f>IF(AND(B5439=B5438,D5439=D5438,A5439=A5438,F5439=F5438),1,0)</f>
        <v/>
      </c>
      <c r="I5439">
        <f>IF(C5439="C99999",1,0)</f>
        <v/>
      </c>
      <c r="J5439" s="5">
        <f>IF(OR(H5439=1,I5439=1),0,IF(G5439="Credit",-F5439,F5439))</f>
        <v/>
      </c>
    </row>
    <row r="5440">
      <c r="A5440" t="inlineStr">
        <is>
          <t>2026-08-21</t>
        </is>
      </c>
      <c r="B5440" t="inlineStr">
        <is>
          <t>F280771</t>
        </is>
      </c>
      <c r="C5440" t="inlineStr">
        <is>
          <t>C11095</t>
        </is>
      </c>
      <c r="D5440" t="inlineStr">
        <is>
          <t>SKU-10042</t>
        </is>
      </c>
      <c r="E5440" t="inlineStr">
        <is>
          <t>AM05</t>
        </is>
      </c>
      <c r="F5440" s="5" t="n">
        <v>461.55</v>
      </c>
      <c r="G5440">
        <f>IF(LEFT(B5440,1)="C","Credit","Factuur")</f>
        <v/>
      </c>
      <c r="H5440">
        <f>IF(AND(B5440=B5439,D5440=D5439,A5440=A5439,F5440=F5439),1,0)</f>
        <v/>
      </c>
      <c r="I5440">
        <f>IF(C5440="C99999",1,0)</f>
        <v/>
      </c>
      <c r="J5440" s="5">
        <f>IF(OR(H5440=1,I5440=1),0,IF(G5440="Credit",-F5440,F5440))</f>
        <v/>
      </c>
    </row>
    <row r="5441">
      <c r="A5441" t="inlineStr">
        <is>
          <t>2026-08-21</t>
        </is>
      </c>
      <c r="B5441" t="inlineStr">
        <is>
          <t>F280771</t>
        </is>
      </c>
      <c r="C5441" t="inlineStr">
        <is>
          <t>C11095</t>
        </is>
      </c>
      <c r="D5441" t="inlineStr">
        <is>
          <t>SKU-10275</t>
        </is>
      </c>
      <c r="E5441" t="inlineStr">
        <is>
          <t>AM05</t>
        </is>
      </c>
      <c r="F5441" s="5" t="n">
        <v>462.08</v>
      </c>
      <c r="G5441">
        <f>IF(LEFT(B5441,1)="C","Credit","Factuur")</f>
        <v/>
      </c>
      <c r="H5441">
        <f>IF(AND(B5441=B5440,D5441=D5440,A5441=A5440,F5441=F5440),1,0)</f>
        <v/>
      </c>
      <c r="I5441">
        <f>IF(C5441="C99999",1,0)</f>
        <v/>
      </c>
      <c r="J5441" s="5">
        <f>IF(OR(H5441=1,I5441=1),0,IF(G5441="Credit",-F5441,F5441))</f>
        <v/>
      </c>
    </row>
    <row r="5442">
      <c r="A5442" t="inlineStr">
        <is>
          <t>2026-08-21</t>
        </is>
      </c>
      <c r="B5442" t="inlineStr">
        <is>
          <t>F280771</t>
        </is>
      </c>
      <c r="C5442" t="inlineStr">
        <is>
          <t>C11095</t>
        </is>
      </c>
      <c r="D5442" t="inlineStr">
        <is>
          <t>SKU-10277</t>
        </is>
      </c>
      <c r="E5442" t="inlineStr">
        <is>
          <t>AM05</t>
        </is>
      </c>
      <c r="F5442" s="5" t="n">
        <v>439.04</v>
      </c>
      <c r="G5442">
        <f>IF(LEFT(B5442,1)="C","Credit","Factuur")</f>
        <v/>
      </c>
      <c r="H5442">
        <f>IF(AND(B5442=B5441,D5442=D5441,A5442=A5441,F5442=F5441),1,0)</f>
        <v/>
      </c>
      <c r="I5442">
        <f>IF(C5442="C99999",1,0)</f>
        <v/>
      </c>
      <c r="J5442" s="5">
        <f>IF(OR(H5442=1,I5442=1),0,IF(G5442="Credit",-F5442,F5442))</f>
        <v/>
      </c>
    </row>
    <row r="5443">
      <c r="A5443" t="inlineStr">
        <is>
          <t>2026-08-21</t>
        </is>
      </c>
      <c r="B5443" t="inlineStr">
        <is>
          <t>F281188</t>
        </is>
      </c>
      <c r="C5443" t="inlineStr">
        <is>
          <t>C11117</t>
        </is>
      </c>
      <c r="D5443" t="inlineStr">
        <is>
          <t>SKU-10057</t>
        </is>
      </c>
      <c r="E5443" t="inlineStr">
        <is>
          <t>AM03</t>
        </is>
      </c>
      <c r="F5443" s="5" t="n">
        <v>607.5</v>
      </c>
      <c r="G5443">
        <f>IF(LEFT(B5443,1)="C","Credit","Factuur")</f>
        <v/>
      </c>
      <c r="H5443">
        <f>IF(AND(B5443=B5442,D5443=D5442,A5443=A5442,F5443=F5442),1,0)</f>
        <v/>
      </c>
      <c r="I5443">
        <f>IF(C5443="C99999",1,0)</f>
        <v/>
      </c>
      <c r="J5443" s="5">
        <f>IF(OR(H5443=1,I5443=1),0,IF(G5443="Credit",-F5443,F5443))</f>
        <v/>
      </c>
    </row>
    <row r="5444">
      <c r="A5444" t="inlineStr">
        <is>
          <t>2026-08-21</t>
        </is>
      </c>
      <c r="B5444" t="inlineStr">
        <is>
          <t>F281534</t>
        </is>
      </c>
      <c r="C5444" t="inlineStr">
        <is>
          <t>C11135</t>
        </is>
      </c>
      <c r="D5444" t="inlineStr">
        <is>
          <t>SKU-10039</t>
        </is>
      </c>
      <c r="E5444" t="inlineStr">
        <is>
          <t>AM05</t>
        </is>
      </c>
      <c r="F5444" s="5" t="n">
        <v>324.3</v>
      </c>
      <c r="G5444">
        <f>IF(LEFT(B5444,1)="C","Credit","Factuur")</f>
        <v/>
      </c>
      <c r="H5444">
        <f>IF(AND(B5444=B5443,D5444=D5443,A5444=A5443,F5444=F5443),1,0)</f>
        <v/>
      </c>
      <c r="I5444">
        <f>IF(C5444="C99999",1,0)</f>
        <v/>
      </c>
      <c r="J5444" s="5">
        <f>IF(OR(H5444=1,I5444=1),0,IF(G5444="Credit",-F5444,F5444))</f>
        <v/>
      </c>
    </row>
    <row r="5445">
      <c r="A5445" t="inlineStr">
        <is>
          <t>2026-08-21</t>
        </is>
      </c>
      <c r="B5445" t="inlineStr">
        <is>
          <t>F281861</t>
        </is>
      </c>
      <c r="C5445" t="inlineStr">
        <is>
          <t>C11152</t>
        </is>
      </c>
      <c r="D5445" t="inlineStr">
        <is>
          <t>SKU-10079</t>
        </is>
      </c>
      <c r="E5445" t="inlineStr">
        <is>
          <t>AM06</t>
        </is>
      </c>
      <c r="F5445" s="5" t="n">
        <v>354.46</v>
      </c>
      <c r="G5445">
        <f>IF(LEFT(B5445,1)="C","Credit","Factuur")</f>
        <v/>
      </c>
      <c r="H5445">
        <f>IF(AND(B5445=B5444,D5445=D5444,A5445=A5444,F5445=F5444),1,0)</f>
        <v/>
      </c>
      <c r="I5445">
        <f>IF(C5445="C99999",1,0)</f>
        <v/>
      </c>
      <c r="J5445" s="5">
        <f>IF(OR(H5445=1,I5445=1),0,IF(G5445="Credit",-F5445,F5445))</f>
        <v/>
      </c>
    </row>
    <row r="5446">
      <c r="A5446" t="inlineStr">
        <is>
          <t>2026-08-21</t>
        </is>
      </c>
      <c r="B5446" t="inlineStr">
        <is>
          <t>F281950</t>
        </is>
      </c>
      <c r="C5446" t="inlineStr">
        <is>
          <t>C11153</t>
        </is>
      </c>
      <c r="D5446" t="inlineStr">
        <is>
          <t>SKU-10011</t>
        </is>
      </c>
      <c r="E5446" t="inlineStr">
        <is>
          <t>AM03</t>
        </is>
      </c>
      <c r="F5446" s="5" t="n">
        <v>146.16</v>
      </c>
      <c r="G5446">
        <f>IF(LEFT(B5446,1)="C","Credit","Factuur")</f>
        <v/>
      </c>
      <c r="H5446">
        <f>IF(AND(B5446=B5445,D5446=D5445,A5446=A5445,F5446=F5445),1,0)</f>
        <v/>
      </c>
      <c r="I5446">
        <f>IF(C5446="C99999",1,0)</f>
        <v/>
      </c>
      <c r="J5446" s="5">
        <f>IF(OR(H5446=1,I5446=1),0,IF(G5446="Credit",-F5446,F5446))</f>
        <v/>
      </c>
    </row>
    <row r="5447">
      <c r="A5447" t="inlineStr">
        <is>
          <t>2026-08-21</t>
        </is>
      </c>
      <c r="B5447" t="inlineStr">
        <is>
          <t>F281950</t>
        </is>
      </c>
      <c r="C5447" t="inlineStr">
        <is>
          <t>C11153</t>
        </is>
      </c>
      <c r="D5447" t="inlineStr">
        <is>
          <t>SKU-10146</t>
        </is>
      </c>
      <c r="E5447" t="inlineStr">
        <is>
          <t>AM03</t>
        </is>
      </c>
      <c r="F5447" s="5" t="n">
        <v>115.57</v>
      </c>
      <c r="G5447">
        <f>IF(LEFT(B5447,1)="C","Credit","Factuur")</f>
        <v/>
      </c>
      <c r="H5447">
        <f>IF(AND(B5447=B5446,D5447=D5446,A5447=A5446,F5447=F5446),1,0)</f>
        <v/>
      </c>
      <c r="I5447">
        <f>IF(C5447="C99999",1,0)</f>
        <v/>
      </c>
      <c r="J5447" s="5">
        <f>IF(OR(H5447=1,I5447=1),0,IF(G5447="Credit",-F5447,F5447))</f>
        <v/>
      </c>
    </row>
    <row r="5448">
      <c r="A5448" t="inlineStr">
        <is>
          <t>2026-08-21</t>
        </is>
      </c>
      <c r="B5448" t="inlineStr">
        <is>
          <t>F281950</t>
        </is>
      </c>
      <c r="C5448" t="inlineStr">
        <is>
          <t>C11153</t>
        </is>
      </c>
      <c r="D5448" t="inlineStr">
        <is>
          <t>SKU-10149</t>
        </is>
      </c>
      <c r="E5448" t="inlineStr">
        <is>
          <t>AM03</t>
        </is>
      </c>
      <c r="F5448" s="5" t="n">
        <v>145.16</v>
      </c>
      <c r="G5448">
        <f>IF(LEFT(B5448,1)="C","Credit","Factuur")</f>
        <v/>
      </c>
      <c r="H5448">
        <f>IF(AND(B5448=B5447,D5448=D5447,A5448=A5447,F5448=F5447),1,0)</f>
        <v/>
      </c>
      <c r="I5448">
        <f>IF(C5448="C99999",1,0)</f>
        <v/>
      </c>
      <c r="J5448" s="5">
        <f>IF(OR(H5448=1,I5448=1),0,IF(G5448="Credit",-F5448,F5448))</f>
        <v/>
      </c>
    </row>
    <row r="5449">
      <c r="A5449" t="inlineStr">
        <is>
          <t>2026-08-21</t>
        </is>
      </c>
      <c r="B5449" t="inlineStr">
        <is>
          <t>F281950</t>
        </is>
      </c>
      <c r="C5449" t="inlineStr">
        <is>
          <t>C11153</t>
        </is>
      </c>
      <c r="D5449" t="inlineStr">
        <is>
          <t>SKU-10299</t>
        </is>
      </c>
      <c r="E5449" t="inlineStr">
        <is>
          <t>AM03</t>
        </is>
      </c>
      <c r="F5449" s="5" t="n">
        <v>150.56</v>
      </c>
      <c r="G5449">
        <f>IF(LEFT(B5449,1)="C","Credit","Factuur")</f>
        <v/>
      </c>
      <c r="H5449">
        <f>IF(AND(B5449=B5448,D5449=D5448,A5449=A5448,F5449=F5448),1,0)</f>
        <v/>
      </c>
      <c r="I5449">
        <f>IF(C5449="C99999",1,0)</f>
        <v/>
      </c>
      <c r="J5449" s="5">
        <f>IF(OR(H5449=1,I5449=1),0,IF(G5449="Credit",-F5449,F5449))</f>
        <v/>
      </c>
    </row>
    <row r="5450">
      <c r="A5450" t="inlineStr">
        <is>
          <t>2026-08-21</t>
        </is>
      </c>
      <c r="B5450" t="inlineStr">
        <is>
          <t>F282322</t>
        </is>
      </c>
      <c r="C5450" t="inlineStr">
        <is>
          <t>C11170</t>
        </is>
      </c>
      <c r="D5450" t="inlineStr">
        <is>
          <t>SKU-10086</t>
        </is>
      </c>
      <c r="E5450" t="inlineStr">
        <is>
          <t>AM07</t>
        </is>
      </c>
      <c r="F5450" s="5" t="n">
        <v>655.5599999999999</v>
      </c>
      <c r="G5450">
        <f>IF(LEFT(B5450,1)="C","Credit","Factuur")</f>
        <v/>
      </c>
      <c r="H5450">
        <f>IF(AND(B5450=B5449,D5450=D5449,A5450=A5449,F5450=F5449),1,0)</f>
        <v/>
      </c>
      <c r="I5450">
        <f>IF(C5450="C99999",1,0)</f>
        <v/>
      </c>
      <c r="J5450" s="5">
        <f>IF(OR(H5450=1,I5450=1),0,IF(G5450="Credit",-F5450,F5450))</f>
        <v/>
      </c>
    </row>
    <row r="5451">
      <c r="A5451" t="inlineStr">
        <is>
          <t>2026-08-21</t>
        </is>
      </c>
      <c r="B5451" t="inlineStr">
        <is>
          <t>F282473</t>
        </is>
      </c>
      <c r="C5451" t="inlineStr">
        <is>
          <t>C11181</t>
        </is>
      </c>
      <c r="D5451" t="inlineStr">
        <is>
          <t>SKU-10050</t>
        </is>
      </c>
      <c r="E5451" t="inlineStr">
        <is>
          <t>AM08</t>
        </is>
      </c>
      <c r="F5451" s="5" t="n">
        <v>1228.89</v>
      </c>
      <c r="G5451">
        <f>IF(LEFT(B5451,1)="C","Credit","Factuur")</f>
        <v/>
      </c>
      <c r="H5451">
        <f>IF(AND(B5451=B5450,D5451=D5450,A5451=A5450,F5451=F5450),1,0)</f>
        <v/>
      </c>
      <c r="I5451">
        <f>IF(C5451="C99999",1,0)</f>
        <v/>
      </c>
      <c r="J5451" s="5">
        <f>IF(OR(H5451=1,I5451=1),0,IF(G5451="Credit",-F5451,F5451))</f>
        <v/>
      </c>
    </row>
    <row r="5452">
      <c r="A5452" t="inlineStr">
        <is>
          <t>2026-08-21</t>
        </is>
      </c>
      <c r="B5452" t="inlineStr">
        <is>
          <t>F282473</t>
        </is>
      </c>
      <c r="C5452" t="inlineStr">
        <is>
          <t>C11181</t>
        </is>
      </c>
      <c r="D5452" t="inlineStr">
        <is>
          <t>SKU-10201</t>
        </is>
      </c>
      <c r="E5452" t="inlineStr">
        <is>
          <t>AM08</t>
        </is>
      </c>
      <c r="F5452" s="5" t="n">
        <v>1225.44</v>
      </c>
      <c r="G5452">
        <f>IF(LEFT(B5452,1)="C","Credit","Factuur")</f>
        <v/>
      </c>
      <c r="H5452">
        <f>IF(AND(B5452=B5451,D5452=D5451,A5452=A5451,F5452=F5451),1,0)</f>
        <v/>
      </c>
      <c r="I5452">
        <f>IF(C5452="C99999",1,0)</f>
        <v/>
      </c>
      <c r="J5452" s="5">
        <f>IF(OR(H5452=1,I5452=1),0,IF(G5452="Credit",-F5452,F5452))</f>
        <v/>
      </c>
    </row>
    <row r="5453">
      <c r="A5453" t="inlineStr">
        <is>
          <t>2026-08-21</t>
        </is>
      </c>
      <c r="B5453" t="inlineStr">
        <is>
          <t>F282691</t>
        </is>
      </c>
      <c r="C5453" t="inlineStr">
        <is>
          <t>C11191</t>
        </is>
      </c>
      <c r="D5453" t="inlineStr">
        <is>
          <t>SKU-10148</t>
        </is>
      </c>
      <c r="E5453" t="inlineStr">
        <is>
          <t>AM06</t>
        </is>
      </c>
      <c r="F5453" s="5" t="n">
        <v>268.11</v>
      </c>
      <c r="G5453">
        <f>IF(LEFT(B5453,1)="C","Credit","Factuur")</f>
        <v/>
      </c>
      <c r="H5453">
        <f>IF(AND(B5453=B5452,D5453=D5452,A5453=A5452,F5453=F5452),1,0)</f>
        <v/>
      </c>
      <c r="I5453">
        <f>IF(C5453="C99999",1,0)</f>
        <v/>
      </c>
      <c r="J5453" s="5">
        <f>IF(OR(H5453=1,I5453=1),0,IF(G5453="Credit",-F5453,F5453))</f>
        <v/>
      </c>
    </row>
    <row r="5454">
      <c r="A5454" t="inlineStr">
        <is>
          <t>2026-08-21</t>
        </is>
      </c>
      <c r="B5454" t="inlineStr">
        <is>
          <t>F282691</t>
        </is>
      </c>
      <c r="C5454" t="inlineStr">
        <is>
          <t>C11191</t>
        </is>
      </c>
      <c r="D5454" t="inlineStr">
        <is>
          <t>SKU-10187</t>
        </is>
      </c>
      <c r="E5454" t="inlineStr">
        <is>
          <t>AM06</t>
        </is>
      </c>
      <c r="F5454" s="5" t="n">
        <v>225.21</v>
      </c>
      <c r="G5454">
        <f>IF(LEFT(B5454,1)="C","Credit","Factuur")</f>
        <v/>
      </c>
      <c r="H5454">
        <f>IF(AND(B5454=B5453,D5454=D5453,A5454=A5453,F5454=F5453),1,0)</f>
        <v/>
      </c>
      <c r="I5454">
        <f>IF(C5454="C99999",1,0)</f>
        <v/>
      </c>
      <c r="J5454" s="5">
        <f>IF(OR(H5454=1,I5454=1),0,IF(G5454="Credit",-F5454,F5454))</f>
        <v/>
      </c>
    </row>
    <row r="5455">
      <c r="A5455" t="inlineStr">
        <is>
          <t>2026-08-21</t>
        </is>
      </c>
      <c r="B5455" t="inlineStr">
        <is>
          <t>F282691</t>
        </is>
      </c>
      <c r="C5455" t="inlineStr">
        <is>
          <t>C11191</t>
        </is>
      </c>
      <c r="D5455" t="inlineStr">
        <is>
          <t>SKU-10239</t>
        </is>
      </c>
      <c r="E5455" t="inlineStr">
        <is>
          <t>AM06</t>
        </is>
      </c>
      <c r="F5455" s="5" t="n">
        <v>243.88</v>
      </c>
      <c r="G5455">
        <f>IF(LEFT(B5455,1)="C","Credit","Factuur")</f>
        <v/>
      </c>
      <c r="H5455">
        <f>IF(AND(B5455=B5454,D5455=D5454,A5455=A5454,F5455=F5454),1,0)</f>
        <v/>
      </c>
      <c r="I5455">
        <f>IF(C5455="C99999",1,0)</f>
        <v/>
      </c>
      <c r="J5455" s="5">
        <f>IF(OR(H5455=1,I5455=1),0,IF(G5455="Credit",-F5455,F5455))</f>
        <v/>
      </c>
    </row>
    <row r="5456">
      <c r="A5456" t="inlineStr">
        <is>
          <t>2026-08-21</t>
        </is>
      </c>
      <c r="B5456" t="inlineStr">
        <is>
          <t>F282691</t>
        </is>
      </c>
      <c r="C5456" t="inlineStr">
        <is>
          <t>C11191</t>
        </is>
      </c>
      <c r="D5456" t="inlineStr">
        <is>
          <t>SKU-10320</t>
        </is>
      </c>
      <c r="E5456" t="inlineStr">
        <is>
          <t>AM06</t>
        </is>
      </c>
      <c r="F5456" s="5" t="n">
        <v>243.21</v>
      </c>
      <c r="G5456">
        <f>IF(LEFT(B5456,1)="C","Credit","Factuur")</f>
        <v/>
      </c>
      <c r="H5456">
        <f>IF(AND(B5456=B5455,D5456=D5455,A5456=A5455,F5456=F5455),1,0)</f>
        <v/>
      </c>
      <c r="I5456">
        <f>IF(C5456="C99999",1,0)</f>
        <v/>
      </c>
      <c r="J5456" s="5">
        <f>IF(OR(H5456=1,I5456=1),0,IF(G5456="Credit",-F5456,F5456))</f>
        <v/>
      </c>
    </row>
    <row r="5457">
      <c r="A5457" t="inlineStr">
        <is>
          <t>2026-08-21</t>
        </is>
      </c>
      <c r="B5457" t="inlineStr">
        <is>
          <t>F283340</t>
        </is>
      </c>
      <c r="C5457" t="inlineStr">
        <is>
          <t>C11226</t>
        </is>
      </c>
      <c r="D5457" t="inlineStr">
        <is>
          <t>SKU-10004</t>
        </is>
      </c>
      <c r="E5457" t="inlineStr">
        <is>
          <t>AM07</t>
        </is>
      </c>
      <c r="F5457" s="5" t="n">
        <v>372.32</v>
      </c>
      <c r="G5457">
        <f>IF(LEFT(B5457,1)="C","Credit","Factuur")</f>
        <v/>
      </c>
      <c r="H5457">
        <f>IF(AND(B5457=B5456,D5457=D5456,A5457=A5456,F5457=F5456),1,0)</f>
        <v/>
      </c>
      <c r="I5457">
        <f>IF(C5457="C99999",1,0)</f>
        <v/>
      </c>
      <c r="J5457" s="5">
        <f>IF(OR(H5457=1,I5457=1),0,IF(G5457="Credit",-F5457,F5457))</f>
        <v/>
      </c>
    </row>
    <row r="5458">
      <c r="A5458" t="inlineStr">
        <is>
          <t>2026-08-21</t>
        </is>
      </c>
      <c r="B5458" t="inlineStr">
        <is>
          <t>F283340</t>
        </is>
      </c>
      <c r="C5458" t="inlineStr">
        <is>
          <t>C11226</t>
        </is>
      </c>
      <c r="D5458" t="inlineStr">
        <is>
          <t>SKU-10077</t>
        </is>
      </c>
      <c r="E5458" t="inlineStr">
        <is>
          <t>AM07</t>
        </is>
      </c>
      <c r="F5458" s="5" t="n">
        <v>371.08</v>
      </c>
      <c r="G5458">
        <f>IF(LEFT(B5458,1)="C","Credit","Factuur")</f>
        <v/>
      </c>
      <c r="H5458">
        <f>IF(AND(B5458=B5457,D5458=D5457,A5458=A5457,F5458=F5457),1,0)</f>
        <v/>
      </c>
      <c r="I5458">
        <f>IF(C5458="C99999",1,0)</f>
        <v/>
      </c>
      <c r="J5458" s="5">
        <f>IF(OR(H5458=1,I5458=1),0,IF(G5458="Credit",-F5458,F5458))</f>
        <v/>
      </c>
    </row>
    <row r="5459">
      <c r="A5459" t="inlineStr">
        <is>
          <t>2026-08-21</t>
        </is>
      </c>
      <c r="B5459" t="inlineStr">
        <is>
          <t>F284372</t>
        </is>
      </c>
      <c r="C5459" t="inlineStr">
        <is>
          <t>C11275</t>
        </is>
      </c>
      <c r="D5459" t="inlineStr">
        <is>
          <t>SKU-10143</t>
        </is>
      </c>
      <c r="E5459" t="inlineStr">
        <is>
          <t>AM01</t>
        </is>
      </c>
      <c r="F5459" s="5" t="n">
        <v>145.36</v>
      </c>
      <c r="G5459">
        <f>IF(LEFT(B5459,1)="C","Credit","Factuur")</f>
        <v/>
      </c>
      <c r="H5459">
        <f>IF(AND(B5459=B5458,D5459=D5458,A5459=A5458,F5459=F5458),1,0)</f>
        <v/>
      </c>
      <c r="I5459">
        <f>IF(C5459="C99999",1,0)</f>
        <v/>
      </c>
      <c r="J5459" s="5">
        <f>IF(OR(H5459=1,I5459=1),0,IF(G5459="Credit",-F5459,F5459))</f>
        <v/>
      </c>
    </row>
    <row r="5460">
      <c r="A5460" t="inlineStr">
        <is>
          <t>2026-08-21</t>
        </is>
      </c>
      <c r="B5460" t="inlineStr">
        <is>
          <t>F284372</t>
        </is>
      </c>
      <c r="C5460" t="inlineStr">
        <is>
          <t>C11275</t>
        </is>
      </c>
      <c r="D5460" t="inlineStr">
        <is>
          <t>SKU-10330</t>
        </is>
      </c>
      <c r="E5460" t="inlineStr">
        <is>
          <t>AM01</t>
        </is>
      </c>
      <c r="F5460" s="5" t="n">
        <v>141.45</v>
      </c>
      <c r="G5460">
        <f>IF(LEFT(B5460,1)="C","Credit","Factuur")</f>
        <v/>
      </c>
      <c r="H5460">
        <f>IF(AND(B5460=B5459,D5460=D5459,A5460=A5459,F5460=F5459),1,0)</f>
        <v/>
      </c>
      <c r="I5460">
        <f>IF(C5460="C99999",1,0)</f>
        <v/>
      </c>
      <c r="J5460" s="5">
        <f>IF(OR(H5460=1,I5460=1),0,IF(G5460="Credit",-F5460,F5460))</f>
        <v/>
      </c>
    </row>
    <row r="5461">
      <c r="A5461" t="inlineStr">
        <is>
          <t>2026-08-21</t>
        </is>
      </c>
      <c r="B5461" t="inlineStr">
        <is>
          <t>F284372</t>
        </is>
      </c>
      <c r="C5461" t="inlineStr">
        <is>
          <t>C11275</t>
        </is>
      </c>
      <c r="D5461" t="inlineStr">
        <is>
          <t>SKU-10365</t>
        </is>
      </c>
      <c r="E5461" t="inlineStr">
        <is>
          <t>AM01</t>
        </is>
      </c>
      <c r="F5461" s="5" t="n">
        <v>318.02</v>
      </c>
      <c r="G5461">
        <f>IF(LEFT(B5461,1)="C","Credit","Factuur")</f>
        <v/>
      </c>
      <c r="H5461">
        <f>IF(AND(B5461=B5460,D5461=D5460,A5461=A5460,F5461=F5460),1,0)</f>
        <v/>
      </c>
      <c r="I5461">
        <f>IF(C5461="C99999",1,0)</f>
        <v/>
      </c>
      <c r="J5461" s="5">
        <f>IF(OR(H5461=1,I5461=1),0,IF(G5461="Credit",-F5461,F5461))</f>
        <v/>
      </c>
    </row>
    <row r="5462">
      <c r="A5462" t="inlineStr">
        <is>
          <t>2026-08-21</t>
        </is>
      </c>
      <c r="B5462" t="inlineStr">
        <is>
          <t>F284383</t>
        </is>
      </c>
      <c r="C5462" t="inlineStr">
        <is>
          <t>C11277</t>
        </is>
      </c>
      <c r="D5462" t="inlineStr">
        <is>
          <t>SKU-10117</t>
        </is>
      </c>
      <c r="E5462" t="inlineStr">
        <is>
          <t>AM11</t>
        </is>
      </c>
      <c r="F5462" s="5" t="n">
        <v>230.2</v>
      </c>
      <c r="G5462">
        <f>IF(LEFT(B5462,1)="C","Credit","Factuur")</f>
        <v/>
      </c>
      <c r="H5462">
        <f>IF(AND(B5462=B5461,D5462=D5461,A5462=A5461,F5462=F5461),1,0)</f>
        <v/>
      </c>
      <c r="I5462">
        <f>IF(C5462="C99999",1,0)</f>
        <v/>
      </c>
      <c r="J5462" s="5">
        <f>IF(OR(H5462=1,I5462=1),0,IF(G5462="Credit",-F5462,F5462))</f>
        <v/>
      </c>
    </row>
    <row r="5463">
      <c r="A5463" t="inlineStr">
        <is>
          <t>2026-08-21</t>
        </is>
      </c>
      <c r="B5463" t="inlineStr">
        <is>
          <t>F284383</t>
        </is>
      </c>
      <c r="C5463" t="inlineStr">
        <is>
          <t>C11277</t>
        </is>
      </c>
      <c r="D5463" t="inlineStr">
        <is>
          <t>SKU-10209</t>
        </is>
      </c>
      <c r="E5463" t="inlineStr">
        <is>
          <t>AM11</t>
        </is>
      </c>
      <c r="F5463" s="5" t="n">
        <v>203.52</v>
      </c>
      <c r="G5463">
        <f>IF(LEFT(B5463,1)="C","Credit","Factuur")</f>
        <v/>
      </c>
      <c r="H5463">
        <f>IF(AND(B5463=B5462,D5463=D5462,A5463=A5462,F5463=F5462),1,0)</f>
        <v/>
      </c>
      <c r="I5463">
        <f>IF(C5463="C99999",1,0)</f>
        <v/>
      </c>
      <c r="J5463" s="5">
        <f>IF(OR(H5463=1,I5463=1),0,IF(G5463="Credit",-F5463,F5463))</f>
        <v/>
      </c>
    </row>
    <row r="5464">
      <c r="A5464" t="inlineStr">
        <is>
          <t>2026-08-21</t>
        </is>
      </c>
      <c r="B5464" t="inlineStr">
        <is>
          <t>F284383</t>
        </is>
      </c>
      <c r="C5464" t="inlineStr">
        <is>
          <t>C11277</t>
        </is>
      </c>
      <c r="D5464" t="inlineStr">
        <is>
          <t>SKU-10217</t>
        </is>
      </c>
      <c r="E5464" t="inlineStr">
        <is>
          <t>AM11</t>
        </is>
      </c>
      <c r="F5464" s="5" t="n">
        <v>188.76</v>
      </c>
      <c r="G5464">
        <f>IF(LEFT(B5464,1)="C","Credit","Factuur")</f>
        <v/>
      </c>
      <c r="H5464">
        <f>IF(AND(B5464=B5463,D5464=D5463,A5464=A5463,F5464=F5463),1,0)</f>
        <v/>
      </c>
      <c r="I5464">
        <f>IF(C5464="C99999",1,0)</f>
        <v/>
      </c>
      <c r="J5464" s="5">
        <f>IF(OR(H5464=1,I5464=1),0,IF(G5464="Credit",-F5464,F5464))</f>
        <v/>
      </c>
    </row>
    <row r="5465">
      <c r="A5465" t="inlineStr">
        <is>
          <t>2026-08-21</t>
        </is>
      </c>
      <c r="B5465" t="inlineStr">
        <is>
          <t>F284383</t>
        </is>
      </c>
      <c r="C5465" t="inlineStr">
        <is>
          <t>C11277</t>
        </is>
      </c>
      <c r="D5465" t="inlineStr">
        <is>
          <t>SKU-10250</t>
        </is>
      </c>
      <c r="E5465" t="inlineStr">
        <is>
          <t>AM11</t>
        </is>
      </c>
      <c r="F5465" s="5" t="n">
        <v>183.14</v>
      </c>
      <c r="G5465">
        <f>IF(LEFT(B5465,1)="C","Credit","Factuur")</f>
        <v/>
      </c>
      <c r="H5465">
        <f>IF(AND(B5465=B5464,D5465=D5464,A5465=A5464,F5465=F5464),1,0)</f>
        <v/>
      </c>
      <c r="I5465">
        <f>IF(C5465="C99999",1,0)</f>
        <v/>
      </c>
      <c r="J5465" s="5">
        <f>IF(OR(H5465=1,I5465=1),0,IF(G5465="Credit",-F5465,F5465))</f>
        <v/>
      </c>
    </row>
    <row r="5466">
      <c r="A5466" t="inlineStr">
        <is>
          <t>2026-08-21</t>
        </is>
      </c>
      <c r="B5466" t="inlineStr">
        <is>
          <t>F284383</t>
        </is>
      </c>
      <c r="C5466" t="inlineStr">
        <is>
          <t>C11277</t>
        </is>
      </c>
      <c r="D5466" t="inlineStr">
        <is>
          <t>SKU-10377</t>
        </is>
      </c>
      <c r="E5466" t="inlineStr">
        <is>
          <t>AM11</t>
        </is>
      </c>
      <c r="F5466" s="5" t="n">
        <v>177.74</v>
      </c>
      <c r="G5466">
        <f>IF(LEFT(B5466,1)="C","Credit","Factuur")</f>
        <v/>
      </c>
      <c r="H5466">
        <f>IF(AND(B5466=B5465,D5466=D5465,A5466=A5465,F5466=F5465),1,0)</f>
        <v/>
      </c>
      <c r="I5466">
        <f>IF(C5466="C99999",1,0)</f>
        <v/>
      </c>
      <c r="J5466" s="5">
        <f>IF(OR(H5466=1,I5466=1),0,IF(G5466="Credit",-F5466,F5466))</f>
        <v/>
      </c>
    </row>
    <row r="5467">
      <c r="A5467" t="inlineStr">
        <is>
          <t>2026-08-21</t>
        </is>
      </c>
      <c r="B5467" t="inlineStr">
        <is>
          <t>F284408</t>
        </is>
      </c>
      <c r="C5467" t="inlineStr">
        <is>
          <t>C11277</t>
        </is>
      </c>
      <c r="D5467" t="inlineStr">
        <is>
          <t>SKU-10258</t>
        </is>
      </c>
      <c r="E5467" t="inlineStr">
        <is>
          <t>AM11</t>
        </is>
      </c>
      <c r="F5467" s="5" t="n">
        <v>427.25</v>
      </c>
      <c r="G5467">
        <f>IF(LEFT(B5467,1)="C","Credit","Factuur")</f>
        <v/>
      </c>
      <c r="H5467">
        <f>IF(AND(B5467=B5466,D5467=D5466,A5467=A5466,F5467=F5466),1,0)</f>
        <v/>
      </c>
      <c r="I5467">
        <f>IF(C5467="C99999",1,0)</f>
        <v/>
      </c>
      <c r="J5467" s="5">
        <f>IF(OR(H5467=1,I5467=1),0,IF(G5467="Credit",-F5467,F5467))</f>
        <v/>
      </c>
    </row>
    <row r="5468">
      <c r="A5468" t="inlineStr">
        <is>
          <t>2026-08-21</t>
        </is>
      </c>
      <c r="B5468" t="inlineStr">
        <is>
          <t>F284408</t>
        </is>
      </c>
      <c r="C5468" t="inlineStr">
        <is>
          <t>C11277</t>
        </is>
      </c>
      <c r="D5468" t="inlineStr">
        <is>
          <t>SKU-10331</t>
        </is>
      </c>
      <c r="E5468" t="inlineStr">
        <is>
          <t>AM11</t>
        </is>
      </c>
      <c r="F5468" s="5" t="n">
        <v>429.3</v>
      </c>
      <c r="G5468">
        <f>IF(LEFT(B5468,1)="C","Credit","Factuur")</f>
        <v/>
      </c>
      <c r="H5468">
        <f>IF(AND(B5468=B5467,D5468=D5467,A5468=A5467,F5468=F5467),1,0)</f>
        <v/>
      </c>
      <c r="I5468">
        <f>IF(C5468="C99999",1,0)</f>
        <v/>
      </c>
      <c r="J5468" s="5">
        <f>IF(OR(H5468=1,I5468=1),0,IF(G5468="Credit",-F5468,F5468))</f>
        <v/>
      </c>
    </row>
    <row r="5469">
      <c r="A5469" t="inlineStr">
        <is>
          <t>2026-08-21</t>
        </is>
      </c>
      <c r="B5469" t="inlineStr">
        <is>
          <t>F284408</t>
        </is>
      </c>
      <c r="C5469" t="inlineStr">
        <is>
          <t>C11277</t>
        </is>
      </c>
      <c r="D5469" t="inlineStr">
        <is>
          <t>SKU-10378</t>
        </is>
      </c>
      <c r="E5469" t="inlineStr">
        <is>
          <t>AM11</t>
        </is>
      </c>
      <c r="F5469" s="5" t="n">
        <v>403.79</v>
      </c>
      <c r="G5469">
        <f>IF(LEFT(B5469,1)="C","Credit","Factuur")</f>
        <v/>
      </c>
      <c r="H5469">
        <f>IF(AND(B5469=B5468,D5469=D5468,A5469=A5468,F5469=F5468),1,0)</f>
        <v/>
      </c>
      <c r="I5469">
        <f>IF(C5469="C99999",1,0)</f>
        <v/>
      </c>
      <c r="J5469" s="5">
        <f>IF(OR(H5469=1,I5469=1),0,IF(G5469="Credit",-F5469,F5469))</f>
        <v/>
      </c>
    </row>
    <row r="5470">
      <c r="A5470" t="inlineStr">
        <is>
          <t>2026-08-21</t>
        </is>
      </c>
      <c r="B5470" t="inlineStr">
        <is>
          <t>F284641</t>
        </is>
      </c>
      <c r="C5470" t="inlineStr">
        <is>
          <t>C11292</t>
        </is>
      </c>
      <c r="D5470" t="inlineStr">
        <is>
          <t>SKU-10324</t>
        </is>
      </c>
      <c r="E5470" t="inlineStr">
        <is>
          <t>AM07</t>
        </is>
      </c>
      <c r="F5470" s="5" t="n">
        <v>1671.35</v>
      </c>
      <c r="G5470">
        <f>IF(LEFT(B5470,1)="C","Credit","Factuur")</f>
        <v/>
      </c>
      <c r="H5470">
        <f>IF(AND(B5470=B5469,D5470=D5469,A5470=A5469,F5470=F5469),1,0)</f>
        <v/>
      </c>
      <c r="I5470">
        <f>IF(C5470="C99999",1,0)</f>
        <v/>
      </c>
      <c r="J5470" s="5">
        <f>IF(OR(H5470=1,I5470=1),0,IF(G5470="Credit",-F5470,F5470))</f>
        <v/>
      </c>
    </row>
    <row r="5471">
      <c r="A5471" t="inlineStr">
        <is>
          <t>2026-08-21</t>
        </is>
      </c>
      <c r="B5471" t="inlineStr">
        <is>
          <t>F284746</t>
        </is>
      </c>
      <c r="C5471" t="inlineStr">
        <is>
          <t>C11296</t>
        </is>
      </c>
      <c r="D5471" t="inlineStr">
        <is>
          <t>SKU-10207</t>
        </is>
      </c>
      <c r="E5471" t="inlineStr">
        <is>
          <t>AM11</t>
        </is>
      </c>
      <c r="F5471" s="5" t="n">
        <v>3009.6</v>
      </c>
      <c r="G5471">
        <f>IF(LEFT(B5471,1)="C","Credit","Factuur")</f>
        <v/>
      </c>
      <c r="H5471">
        <f>IF(AND(B5471=B5470,D5471=D5470,A5471=A5470,F5471=F5470),1,0)</f>
        <v/>
      </c>
      <c r="I5471">
        <f>IF(C5471="C99999",1,0)</f>
        <v/>
      </c>
      <c r="J5471" s="5">
        <f>IF(OR(H5471=1,I5471=1),0,IF(G5471="Credit",-F5471,F5471))</f>
        <v/>
      </c>
    </row>
    <row r="5472">
      <c r="A5472" t="inlineStr">
        <is>
          <t>2026-08-21</t>
        </is>
      </c>
      <c r="B5472" t="inlineStr">
        <is>
          <t>F284746</t>
        </is>
      </c>
      <c r="C5472" t="inlineStr">
        <is>
          <t>C11296</t>
        </is>
      </c>
      <c r="D5472" t="inlineStr">
        <is>
          <t>SKU-10310</t>
        </is>
      </c>
      <c r="E5472" t="inlineStr">
        <is>
          <t>AM11</t>
        </is>
      </c>
      <c r="F5472" s="5" t="n">
        <v>2720.39</v>
      </c>
      <c r="G5472">
        <f>IF(LEFT(B5472,1)="C","Credit","Factuur")</f>
        <v/>
      </c>
      <c r="H5472">
        <f>IF(AND(B5472=B5471,D5472=D5471,A5472=A5471,F5472=F5471),1,0)</f>
        <v/>
      </c>
      <c r="I5472">
        <f>IF(C5472="C99999",1,0)</f>
        <v/>
      </c>
      <c r="J5472" s="5">
        <f>IF(OR(H5472=1,I5472=1),0,IF(G5472="Credit",-F5472,F5472))</f>
        <v/>
      </c>
    </row>
    <row r="5473">
      <c r="A5473" t="inlineStr">
        <is>
          <t>2026-08-21</t>
        </is>
      </c>
      <c r="B5473" t="inlineStr">
        <is>
          <t>F285447</t>
        </is>
      </c>
      <c r="C5473" t="inlineStr">
        <is>
          <t>C11330</t>
        </is>
      </c>
      <c r="D5473" t="inlineStr">
        <is>
          <t>SKU-10007</t>
        </is>
      </c>
      <c r="E5473" t="inlineStr">
        <is>
          <t>AM12</t>
        </is>
      </c>
      <c r="F5473" s="5" t="n">
        <v>2247.22</v>
      </c>
      <c r="G5473">
        <f>IF(LEFT(B5473,1)="C","Credit","Factuur")</f>
        <v/>
      </c>
      <c r="H5473">
        <f>IF(AND(B5473=B5472,D5473=D5472,A5473=A5472,F5473=F5472),1,0)</f>
        <v/>
      </c>
      <c r="I5473">
        <f>IF(C5473="C99999",1,0)</f>
        <v/>
      </c>
      <c r="J5473" s="5">
        <f>IF(OR(H5473=1,I5473=1),0,IF(G5473="Credit",-F5473,F5473))</f>
        <v/>
      </c>
    </row>
    <row r="5474">
      <c r="A5474" t="inlineStr">
        <is>
          <t>2026-08-21</t>
        </is>
      </c>
      <c r="B5474" t="inlineStr">
        <is>
          <t>F285497</t>
        </is>
      </c>
      <c r="C5474" t="inlineStr">
        <is>
          <t>C11331</t>
        </is>
      </c>
      <c r="D5474" t="inlineStr">
        <is>
          <t>SKU-10091</t>
        </is>
      </c>
      <c r="E5474" t="inlineStr">
        <is>
          <t>AM01</t>
        </is>
      </c>
      <c r="F5474" s="5" t="n">
        <v>469.72</v>
      </c>
      <c r="G5474">
        <f>IF(LEFT(B5474,1)="C","Credit","Factuur")</f>
        <v/>
      </c>
      <c r="H5474">
        <f>IF(AND(B5474=B5473,D5474=D5473,A5474=A5473,F5474=F5473),1,0)</f>
        <v/>
      </c>
      <c r="I5474">
        <f>IF(C5474="C99999",1,0)</f>
        <v/>
      </c>
      <c r="J5474" s="5">
        <f>IF(OR(H5474=1,I5474=1),0,IF(G5474="Credit",-F5474,F5474))</f>
        <v/>
      </c>
    </row>
    <row r="5475">
      <c r="A5475" t="inlineStr">
        <is>
          <t>2026-08-21</t>
        </is>
      </c>
      <c r="B5475" t="inlineStr">
        <is>
          <t>F285497</t>
        </is>
      </c>
      <c r="C5475" t="inlineStr">
        <is>
          <t>C11331</t>
        </is>
      </c>
      <c r="D5475" t="inlineStr">
        <is>
          <t>SKU-10114</t>
        </is>
      </c>
      <c r="E5475" t="inlineStr">
        <is>
          <t>AM01</t>
        </is>
      </c>
      <c r="F5475" s="5" t="n">
        <v>428.48</v>
      </c>
      <c r="G5475">
        <f>IF(LEFT(B5475,1)="C","Credit","Factuur")</f>
        <v/>
      </c>
      <c r="H5475">
        <f>IF(AND(B5475=B5474,D5475=D5474,A5475=A5474,F5475=F5474),1,0)</f>
        <v/>
      </c>
      <c r="I5475">
        <f>IF(C5475="C99999",1,0)</f>
        <v/>
      </c>
      <c r="J5475" s="5">
        <f>IF(OR(H5475=1,I5475=1),0,IF(G5475="Credit",-F5475,F5475))</f>
        <v/>
      </c>
    </row>
    <row r="5476">
      <c r="A5476" t="inlineStr">
        <is>
          <t>2026-08-21</t>
        </is>
      </c>
      <c r="B5476" t="inlineStr">
        <is>
          <t>F285497</t>
        </is>
      </c>
      <c r="C5476" t="inlineStr">
        <is>
          <t>C11331</t>
        </is>
      </c>
      <c r="D5476" t="inlineStr">
        <is>
          <t>SKU-10182</t>
        </is>
      </c>
      <c r="E5476" t="inlineStr">
        <is>
          <t>AM01</t>
        </is>
      </c>
      <c r="F5476" s="5" t="n">
        <v>432.58</v>
      </c>
      <c r="G5476">
        <f>IF(LEFT(B5476,1)="C","Credit","Factuur")</f>
        <v/>
      </c>
      <c r="H5476">
        <f>IF(AND(B5476=B5475,D5476=D5475,A5476=A5475,F5476=F5475),1,0)</f>
        <v/>
      </c>
      <c r="I5476">
        <f>IF(C5476="C99999",1,0)</f>
        <v/>
      </c>
      <c r="J5476" s="5">
        <f>IF(OR(H5476=1,I5476=1),0,IF(G5476="Credit",-F5476,F5476))</f>
        <v/>
      </c>
    </row>
    <row r="5477">
      <c r="A5477" t="inlineStr">
        <is>
          <t>2026-08-21</t>
        </is>
      </c>
      <c r="B5477" t="inlineStr">
        <is>
          <t>F285497</t>
        </is>
      </c>
      <c r="C5477" t="inlineStr">
        <is>
          <t>C11331</t>
        </is>
      </c>
      <c r="D5477" t="inlineStr">
        <is>
          <t>SKU-10320</t>
        </is>
      </c>
      <c r="E5477" t="inlineStr"/>
      <c r="F5477" s="5" t="n">
        <v>413.09</v>
      </c>
      <c r="G5477">
        <f>IF(LEFT(B5477,1)="C","Credit","Factuur")</f>
        <v/>
      </c>
      <c r="H5477">
        <f>IF(AND(B5477=B5476,D5477=D5476,A5477=A5476,F5477=F5476),1,0)</f>
        <v/>
      </c>
      <c r="I5477">
        <f>IF(C5477="C99999",1,0)</f>
        <v/>
      </c>
      <c r="J5477" s="5">
        <f>IF(OR(H5477=1,I5477=1),0,IF(G5477="Credit",-F5477,F5477))</f>
        <v/>
      </c>
    </row>
    <row r="5478">
      <c r="A5478" t="inlineStr">
        <is>
          <t>2026-08-21</t>
        </is>
      </c>
      <c r="B5478" t="inlineStr">
        <is>
          <t>F286153</t>
        </is>
      </c>
      <c r="C5478" t="inlineStr">
        <is>
          <t>C11368</t>
        </is>
      </c>
      <c r="D5478" t="inlineStr">
        <is>
          <t>SKU-10044</t>
        </is>
      </c>
      <c r="E5478" t="inlineStr">
        <is>
          <t>AM09</t>
        </is>
      </c>
      <c r="F5478" s="5" t="n">
        <v>46.63</v>
      </c>
      <c r="G5478">
        <f>IF(LEFT(B5478,1)="C","Credit","Factuur")</f>
        <v/>
      </c>
      <c r="H5478">
        <f>IF(AND(B5478=B5477,D5478=D5477,A5478=A5477,F5478=F5477),1,0)</f>
        <v/>
      </c>
      <c r="I5478">
        <f>IF(C5478="C99999",1,0)</f>
        <v/>
      </c>
      <c r="J5478" s="5">
        <f>IF(OR(H5478=1,I5478=1),0,IF(G5478="Credit",-F5478,F5478))</f>
        <v/>
      </c>
    </row>
    <row r="5479">
      <c r="A5479" t="inlineStr">
        <is>
          <t>2026-08-21</t>
        </is>
      </c>
      <c r="B5479" t="inlineStr">
        <is>
          <t>F286153</t>
        </is>
      </c>
      <c r="C5479" t="inlineStr">
        <is>
          <t>C11368</t>
        </is>
      </c>
      <c r="D5479" t="inlineStr">
        <is>
          <t>SKU-10110</t>
        </is>
      </c>
      <c r="E5479" t="inlineStr">
        <is>
          <t>AM09</t>
        </is>
      </c>
      <c r="F5479" s="5" t="n">
        <v>46.93</v>
      </c>
      <c r="G5479">
        <f>IF(LEFT(B5479,1)="C","Credit","Factuur")</f>
        <v/>
      </c>
      <c r="H5479">
        <f>IF(AND(B5479=B5478,D5479=D5478,A5479=A5478,F5479=F5478),1,0)</f>
        <v/>
      </c>
      <c r="I5479">
        <f>IF(C5479="C99999",1,0)</f>
        <v/>
      </c>
      <c r="J5479" s="5">
        <f>IF(OR(H5479=1,I5479=1),0,IF(G5479="Credit",-F5479,F5479))</f>
        <v/>
      </c>
    </row>
    <row r="5480">
      <c r="A5480" t="inlineStr">
        <is>
          <t>2026-08-21</t>
        </is>
      </c>
      <c r="B5480" t="inlineStr">
        <is>
          <t>F286153</t>
        </is>
      </c>
      <c r="C5480" t="inlineStr">
        <is>
          <t>C11368</t>
        </is>
      </c>
      <c r="D5480" t="inlineStr">
        <is>
          <t>SKU-10133</t>
        </is>
      </c>
      <c r="E5480" t="inlineStr">
        <is>
          <t>AM09</t>
        </is>
      </c>
      <c r="F5480" s="5" t="n">
        <v>132.34</v>
      </c>
      <c r="G5480">
        <f>IF(LEFT(B5480,1)="C","Credit","Factuur")</f>
        <v/>
      </c>
      <c r="H5480">
        <f>IF(AND(B5480=B5479,D5480=D5479,A5480=A5479,F5480=F5479),1,0)</f>
        <v/>
      </c>
      <c r="I5480">
        <f>IF(C5480="C99999",1,0)</f>
        <v/>
      </c>
      <c r="J5480" s="5">
        <f>IF(OR(H5480=1,I5480=1),0,IF(G5480="Credit",-F5480,F5480))</f>
        <v/>
      </c>
    </row>
    <row r="5481">
      <c r="A5481" t="inlineStr">
        <is>
          <t>2026-08-21</t>
        </is>
      </c>
      <c r="B5481" t="inlineStr">
        <is>
          <t>F286153</t>
        </is>
      </c>
      <c r="C5481" t="inlineStr">
        <is>
          <t>C11368</t>
        </is>
      </c>
      <c r="D5481" t="inlineStr">
        <is>
          <t>SKU-10336</t>
        </is>
      </c>
      <c r="E5481" t="inlineStr">
        <is>
          <t>AM09</t>
        </is>
      </c>
      <c r="F5481" s="5" t="n">
        <v>46.91</v>
      </c>
      <c r="G5481">
        <f>IF(LEFT(B5481,1)="C","Credit","Factuur")</f>
        <v/>
      </c>
      <c r="H5481">
        <f>IF(AND(B5481=B5480,D5481=D5480,A5481=A5480,F5481=F5480),1,0)</f>
        <v/>
      </c>
      <c r="I5481">
        <f>IF(C5481="C99999",1,0)</f>
        <v/>
      </c>
      <c r="J5481" s="5">
        <f>IF(OR(H5481=1,I5481=1),0,IF(G5481="Credit",-F5481,F5481))</f>
        <v/>
      </c>
    </row>
    <row r="5482">
      <c r="A5482" t="inlineStr">
        <is>
          <t>2026-08-21</t>
        </is>
      </c>
      <c r="B5482" t="inlineStr">
        <is>
          <t>F286286</t>
        </is>
      </c>
      <c r="C5482" t="inlineStr">
        <is>
          <t>C11374</t>
        </is>
      </c>
      <c r="D5482" t="inlineStr">
        <is>
          <t>SKU-10064</t>
        </is>
      </c>
      <c r="E5482" t="inlineStr">
        <is>
          <t>AM09</t>
        </is>
      </c>
      <c r="F5482" s="5" t="n">
        <v>2103.44</v>
      </c>
      <c r="G5482">
        <f>IF(LEFT(B5482,1)="C","Credit","Factuur")</f>
        <v/>
      </c>
      <c r="H5482">
        <f>IF(AND(B5482=B5481,D5482=D5481,A5482=A5481,F5482=F5481),1,0)</f>
        <v/>
      </c>
      <c r="I5482">
        <f>IF(C5482="C99999",1,0)</f>
        <v/>
      </c>
      <c r="J5482" s="5">
        <f>IF(OR(H5482=1,I5482=1),0,IF(G5482="Credit",-F5482,F5482))</f>
        <v/>
      </c>
    </row>
    <row r="5483">
      <c r="A5483" t="inlineStr">
        <is>
          <t>2026-08-21</t>
        </is>
      </c>
      <c r="B5483" t="inlineStr">
        <is>
          <t>F286286</t>
        </is>
      </c>
      <c r="C5483" t="inlineStr">
        <is>
          <t>C11374</t>
        </is>
      </c>
      <c r="D5483" t="inlineStr">
        <is>
          <t>SKU-10199</t>
        </is>
      </c>
      <c r="E5483" t="inlineStr">
        <is>
          <t>AM09</t>
        </is>
      </c>
      <c r="F5483" s="5" t="n">
        <v>2476.02</v>
      </c>
      <c r="G5483">
        <f>IF(LEFT(B5483,1)="C","Credit","Factuur")</f>
        <v/>
      </c>
      <c r="H5483">
        <f>IF(AND(B5483=B5482,D5483=D5482,A5483=A5482,F5483=F5482),1,0)</f>
        <v/>
      </c>
      <c r="I5483">
        <f>IF(C5483="C99999",1,0)</f>
        <v/>
      </c>
      <c r="J5483" s="5">
        <f>IF(OR(H5483=1,I5483=1),0,IF(G5483="Credit",-F5483,F5483))</f>
        <v/>
      </c>
    </row>
    <row r="5484">
      <c r="A5484" t="inlineStr">
        <is>
          <t>2026-08-21</t>
        </is>
      </c>
      <c r="B5484" t="inlineStr">
        <is>
          <t>F286335</t>
        </is>
      </c>
      <c r="C5484" t="inlineStr">
        <is>
          <t>C11376</t>
        </is>
      </c>
      <c r="D5484" t="inlineStr">
        <is>
          <t>SKU-10309</t>
        </is>
      </c>
      <c r="E5484" t="inlineStr">
        <is>
          <t>AM09</t>
        </is>
      </c>
      <c r="F5484" s="5" t="n">
        <v>813.3</v>
      </c>
      <c r="G5484">
        <f>IF(LEFT(B5484,1)="C","Credit","Factuur")</f>
        <v/>
      </c>
      <c r="H5484">
        <f>IF(AND(B5484=B5483,D5484=D5483,A5484=A5483,F5484=F5483),1,0)</f>
        <v/>
      </c>
      <c r="I5484">
        <f>IF(C5484="C99999",1,0)</f>
        <v/>
      </c>
      <c r="J5484" s="5">
        <f>IF(OR(H5484=1,I5484=1),0,IF(G5484="Credit",-F5484,F5484))</f>
        <v/>
      </c>
    </row>
    <row r="5485">
      <c r="A5485" t="inlineStr">
        <is>
          <t>2026-08-22</t>
        </is>
      </c>
      <c r="B5485" t="inlineStr">
        <is>
          <t>C900655</t>
        </is>
      </c>
      <c r="C5485" t="inlineStr">
        <is>
          <t>C10583</t>
        </is>
      </c>
      <c r="D5485" t="inlineStr">
        <is>
          <t>SKU-10080</t>
        </is>
      </c>
      <c r="E5485" t="inlineStr">
        <is>
          <t>AM01</t>
        </is>
      </c>
      <c r="F5485" s="5" t="n">
        <v>166.05</v>
      </c>
      <c r="G5485">
        <f>IF(LEFT(B5485,1)="C","Credit","Factuur")</f>
        <v/>
      </c>
      <c r="H5485">
        <f>IF(AND(B5485=B5484,D5485=D5484,A5485=A5484,F5485=F5484),1,0)</f>
        <v/>
      </c>
      <c r="I5485">
        <f>IF(C5485="C99999",1,0)</f>
        <v/>
      </c>
      <c r="J5485" s="5">
        <f>IF(OR(H5485=1,I5485=1),0,IF(G5485="Credit",-F5485,F5485))</f>
        <v/>
      </c>
    </row>
    <row r="5486">
      <c r="A5486" t="inlineStr">
        <is>
          <t>2026-08-22</t>
        </is>
      </c>
      <c r="B5486" t="inlineStr">
        <is>
          <t>C900715</t>
        </is>
      </c>
      <c r="C5486" t="inlineStr">
        <is>
          <t>C11303</t>
        </is>
      </c>
      <c r="D5486" t="inlineStr">
        <is>
          <t>SKU-10066</t>
        </is>
      </c>
      <c r="E5486" t="inlineStr">
        <is>
          <t>AM03</t>
        </is>
      </c>
      <c r="F5486" s="5" t="n">
        <v>166.19</v>
      </c>
      <c r="G5486">
        <f>IF(LEFT(B5486,1)="C","Credit","Factuur")</f>
        <v/>
      </c>
      <c r="H5486">
        <f>IF(AND(B5486=B5485,D5486=D5485,A5486=A5485,F5486=F5485),1,0)</f>
        <v/>
      </c>
      <c r="I5486">
        <f>IF(C5486="C99999",1,0)</f>
        <v/>
      </c>
      <c r="J5486" s="5">
        <f>IF(OR(H5486=1,I5486=1),0,IF(G5486="Credit",-F5486,F5486))</f>
        <v/>
      </c>
    </row>
    <row r="5487">
      <c r="A5487" t="inlineStr">
        <is>
          <t>2026-08-22</t>
        </is>
      </c>
      <c r="B5487" t="inlineStr">
        <is>
          <t>C901492</t>
        </is>
      </c>
      <c r="C5487" t="inlineStr">
        <is>
          <t>C10352</t>
        </is>
      </c>
      <c r="D5487" t="inlineStr">
        <is>
          <t>SKU-10006</t>
        </is>
      </c>
      <c r="E5487" t="inlineStr">
        <is>
          <t>IS01</t>
        </is>
      </c>
      <c r="F5487" s="5" t="n">
        <v>4.64</v>
      </c>
      <c r="G5487">
        <f>IF(LEFT(B5487,1)="C","Credit","Factuur")</f>
        <v/>
      </c>
      <c r="H5487">
        <f>IF(AND(B5487=B5486,D5487=D5486,A5487=A5486,F5487=F5486),1,0)</f>
        <v/>
      </c>
      <c r="I5487">
        <f>IF(C5487="C99999",1,0)</f>
        <v/>
      </c>
      <c r="J5487" s="5">
        <f>IF(OR(H5487=1,I5487=1),0,IF(G5487="Credit",-F5487,F5487))</f>
        <v/>
      </c>
    </row>
    <row r="5488">
      <c r="A5488" t="inlineStr">
        <is>
          <t>2026-08-22</t>
        </is>
      </c>
      <c r="B5488" t="inlineStr">
        <is>
          <t>C901723</t>
        </is>
      </c>
      <c r="C5488" t="inlineStr">
        <is>
          <t>C10839</t>
        </is>
      </c>
      <c r="D5488" t="inlineStr">
        <is>
          <t>SKU-10084</t>
        </is>
      </c>
      <c r="E5488" t="inlineStr">
        <is>
          <t>AM06</t>
        </is>
      </c>
      <c r="F5488" s="5" t="n">
        <v>305.7</v>
      </c>
      <c r="G5488">
        <f>IF(LEFT(B5488,1)="C","Credit","Factuur")</f>
        <v/>
      </c>
      <c r="H5488">
        <f>IF(AND(B5488=B5487,D5488=D5487,A5488=A5487,F5488=F5487),1,0)</f>
        <v/>
      </c>
      <c r="I5488">
        <f>IF(C5488="C99999",1,0)</f>
        <v/>
      </c>
      <c r="J5488" s="5">
        <f>IF(OR(H5488=1,I5488=1),0,IF(G5488="Credit",-F5488,F5488))</f>
        <v/>
      </c>
    </row>
    <row r="5489">
      <c r="A5489" t="inlineStr">
        <is>
          <t>2026-08-23</t>
        </is>
      </c>
      <c r="B5489" t="inlineStr">
        <is>
          <t>C900225</t>
        </is>
      </c>
      <c r="C5489" t="inlineStr">
        <is>
          <t>C10172</t>
        </is>
      </c>
      <c r="D5489" t="inlineStr">
        <is>
          <t>SKU-10077</t>
        </is>
      </c>
      <c r="E5489" t="inlineStr">
        <is>
          <t>AM02</t>
        </is>
      </c>
      <c r="F5489" s="5" t="n">
        <v>30.12</v>
      </c>
      <c r="G5489">
        <f>IF(LEFT(B5489,1)="C","Credit","Factuur")</f>
        <v/>
      </c>
      <c r="H5489">
        <f>IF(AND(B5489=B5488,D5489=D5488,A5489=A5488,F5489=F5488),1,0)</f>
        <v/>
      </c>
      <c r="I5489">
        <f>IF(C5489="C99999",1,0)</f>
        <v/>
      </c>
      <c r="J5489" s="5">
        <f>IF(OR(H5489=1,I5489=1),0,IF(G5489="Credit",-F5489,F5489))</f>
        <v/>
      </c>
    </row>
    <row r="5490">
      <c r="A5490" t="inlineStr">
        <is>
          <t>2026-08-23</t>
        </is>
      </c>
      <c r="B5490" t="inlineStr">
        <is>
          <t>C900526</t>
        </is>
      </c>
      <c r="C5490" t="inlineStr">
        <is>
          <t>C11152</t>
        </is>
      </c>
      <c r="D5490" t="inlineStr">
        <is>
          <t>SKU-10363</t>
        </is>
      </c>
      <c r="E5490" t="inlineStr">
        <is>
          <t>AM06</t>
        </is>
      </c>
      <c r="F5490" s="5" t="n">
        <v>124.04</v>
      </c>
      <c r="G5490">
        <f>IF(LEFT(B5490,1)="C","Credit","Factuur")</f>
        <v/>
      </c>
      <c r="H5490">
        <f>IF(AND(B5490=B5489,D5490=D5489,A5490=A5489,F5490=F5489),1,0)</f>
        <v/>
      </c>
      <c r="I5490">
        <f>IF(C5490="C99999",1,0)</f>
        <v/>
      </c>
      <c r="J5490" s="5">
        <f>IF(OR(H5490=1,I5490=1),0,IF(G5490="Credit",-F5490,F5490))</f>
        <v/>
      </c>
    </row>
    <row r="5491">
      <c r="A5491" t="inlineStr">
        <is>
          <t>2026-08-23</t>
        </is>
      </c>
      <c r="B5491" t="inlineStr">
        <is>
          <t>C901847</t>
        </is>
      </c>
      <c r="C5491" t="inlineStr">
        <is>
          <t>C10541</t>
        </is>
      </c>
      <c r="D5491" t="inlineStr">
        <is>
          <t>SKU-10142</t>
        </is>
      </c>
      <c r="E5491" t="inlineStr">
        <is>
          <t>AM01</t>
        </is>
      </c>
      <c r="F5491" s="5" t="n">
        <v>65.20999999999999</v>
      </c>
      <c r="G5491">
        <f>IF(LEFT(B5491,1)="C","Credit","Factuur")</f>
        <v/>
      </c>
      <c r="H5491">
        <f>IF(AND(B5491=B5490,D5491=D5490,A5491=A5490,F5491=F5490),1,0)</f>
        <v/>
      </c>
      <c r="I5491">
        <f>IF(C5491="C99999",1,0)</f>
        <v/>
      </c>
      <c r="J5491" s="5">
        <f>IF(OR(H5491=1,I5491=1),0,IF(G5491="Credit",-F5491,F5491))</f>
        <v/>
      </c>
    </row>
    <row r="5492">
      <c r="A5492" t="inlineStr">
        <is>
          <t>2026-08-24</t>
        </is>
      </c>
      <c r="B5492" t="inlineStr">
        <is>
          <t>C900609</t>
        </is>
      </c>
      <c r="C5492" t="inlineStr">
        <is>
          <t>C11216</t>
        </is>
      </c>
      <c r="D5492" t="inlineStr">
        <is>
          <t>SKU-10273</t>
        </is>
      </c>
      <c r="E5492" t="inlineStr">
        <is>
          <t>AM05</t>
        </is>
      </c>
      <c r="F5492" s="5" t="n">
        <v>224.84</v>
      </c>
      <c r="G5492">
        <f>IF(LEFT(B5492,1)="C","Credit","Factuur")</f>
        <v/>
      </c>
      <c r="H5492">
        <f>IF(AND(B5492=B5491,D5492=D5491,A5492=A5491,F5492=F5491),1,0)</f>
        <v/>
      </c>
      <c r="I5492">
        <f>IF(C5492="C99999",1,0)</f>
        <v/>
      </c>
      <c r="J5492" s="5">
        <f>IF(OR(H5492=1,I5492=1),0,IF(G5492="Credit",-F5492,F5492))</f>
        <v/>
      </c>
    </row>
    <row r="5493">
      <c r="A5493" t="inlineStr">
        <is>
          <t>2026-08-24</t>
        </is>
      </c>
      <c r="B5493" t="inlineStr">
        <is>
          <t>C901264</t>
        </is>
      </c>
      <c r="C5493" t="inlineStr">
        <is>
          <t>C11075</t>
        </is>
      </c>
      <c r="D5493" t="inlineStr">
        <is>
          <t>SKU-10028</t>
        </is>
      </c>
      <c r="E5493" t="inlineStr">
        <is>
          <t>AM05</t>
        </is>
      </c>
      <c r="F5493" s="5" t="n">
        <v>231.52</v>
      </c>
      <c r="G5493">
        <f>IF(LEFT(B5493,1)="C","Credit","Factuur")</f>
        <v/>
      </c>
      <c r="H5493">
        <f>IF(AND(B5493=B5492,D5493=D5492,A5493=A5492,F5493=F5492),1,0)</f>
        <v/>
      </c>
      <c r="I5493">
        <f>IF(C5493="C99999",1,0)</f>
        <v/>
      </c>
      <c r="J5493" s="5">
        <f>IF(OR(H5493=1,I5493=1),0,IF(G5493="Credit",-F5493,F5493))</f>
        <v/>
      </c>
    </row>
    <row r="5494">
      <c r="A5494" t="inlineStr">
        <is>
          <t>2026-08-24</t>
        </is>
      </c>
      <c r="B5494" t="inlineStr">
        <is>
          <t>F261353</t>
        </is>
      </c>
      <c r="C5494" t="inlineStr">
        <is>
          <t>C10074</t>
        </is>
      </c>
      <c r="D5494" t="inlineStr">
        <is>
          <t>SKU-10005</t>
        </is>
      </c>
      <c r="E5494" t="inlineStr">
        <is>
          <t>AM06</t>
        </is>
      </c>
      <c r="F5494" s="5" t="n">
        <v>160.3</v>
      </c>
      <c r="G5494">
        <f>IF(LEFT(B5494,1)="C","Credit","Factuur")</f>
        <v/>
      </c>
      <c r="H5494">
        <f>IF(AND(B5494=B5493,D5494=D5493,A5494=A5493,F5494=F5493),1,0)</f>
        <v/>
      </c>
      <c r="I5494">
        <f>IF(C5494="C99999",1,0)</f>
        <v/>
      </c>
      <c r="J5494" s="5">
        <f>IF(OR(H5494=1,I5494=1),0,IF(G5494="Credit",-F5494,F5494))</f>
        <v/>
      </c>
    </row>
    <row r="5495">
      <c r="A5495" t="inlineStr">
        <is>
          <t>2026-08-24</t>
        </is>
      </c>
      <c r="B5495" t="inlineStr">
        <is>
          <t>F261353</t>
        </is>
      </c>
      <c r="C5495" t="inlineStr">
        <is>
          <t>C10074</t>
        </is>
      </c>
      <c r="D5495" t="inlineStr">
        <is>
          <t>SKU-10030</t>
        </is>
      </c>
      <c r="E5495" t="inlineStr">
        <is>
          <t>AM06</t>
        </is>
      </c>
      <c r="F5495" s="5" t="n">
        <v>147.14</v>
      </c>
      <c r="G5495">
        <f>IF(LEFT(B5495,1)="C","Credit","Factuur")</f>
        <v/>
      </c>
      <c r="H5495">
        <f>IF(AND(B5495=B5494,D5495=D5494,A5495=A5494,F5495=F5494),1,0)</f>
        <v/>
      </c>
      <c r="I5495">
        <f>IF(C5495="C99999",1,0)</f>
        <v/>
      </c>
      <c r="J5495" s="5">
        <f>IF(OR(H5495=1,I5495=1),0,IF(G5495="Credit",-F5495,F5495))</f>
        <v/>
      </c>
    </row>
    <row r="5496">
      <c r="A5496" t="inlineStr">
        <is>
          <t>2026-08-24</t>
        </is>
      </c>
      <c r="B5496" t="inlineStr">
        <is>
          <t>F261596</t>
        </is>
      </c>
      <c r="C5496" t="inlineStr">
        <is>
          <t>C10085</t>
        </is>
      </c>
      <c r="D5496" t="inlineStr">
        <is>
          <t>SKU-10052</t>
        </is>
      </c>
      <c r="E5496" t="inlineStr">
        <is>
          <t>AM01</t>
        </is>
      </c>
      <c r="F5496" s="5" t="n">
        <v>799.67</v>
      </c>
      <c r="G5496">
        <f>IF(LEFT(B5496,1)="C","Credit","Factuur")</f>
        <v/>
      </c>
      <c r="H5496">
        <f>IF(AND(B5496=B5495,D5496=D5495,A5496=A5495,F5496=F5495),1,0)</f>
        <v/>
      </c>
      <c r="I5496">
        <f>IF(C5496="C99999",1,0)</f>
        <v/>
      </c>
      <c r="J5496" s="5">
        <f>IF(OR(H5496=1,I5496=1),0,IF(G5496="Credit",-F5496,F5496))</f>
        <v/>
      </c>
    </row>
    <row r="5497">
      <c r="A5497" t="inlineStr">
        <is>
          <t>2026-08-24</t>
        </is>
      </c>
      <c r="B5497" t="inlineStr">
        <is>
          <t>F261596</t>
        </is>
      </c>
      <c r="C5497" t="inlineStr">
        <is>
          <t>C10085</t>
        </is>
      </c>
      <c r="D5497" t="inlineStr">
        <is>
          <t>SKU-10210</t>
        </is>
      </c>
      <c r="E5497" t="inlineStr">
        <is>
          <t>AM01</t>
        </is>
      </c>
      <c r="F5497" s="5" t="n">
        <v>780.5599999999999</v>
      </c>
      <c r="G5497">
        <f>IF(LEFT(B5497,1)="C","Credit","Factuur")</f>
        <v/>
      </c>
      <c r="H5497">
        <f>IF(AND(B5497=B5496,D5497=D5496,A5497=A5496,F5497=F5496),1,0)</f>
        <v/>
      </c>
      <c r="I5497">
        <f>IF(C5497="C99999",1,0)</f>
        <v/>
      </c>
      <c r="J5497" s="5">
        <f>IF(OR(H5497=1,I5497=1),0,IF(G5497="Credit",-F5497,F5497))</f>
        <v/>
      </c>
    </row>
    <row r="5498">
      <c r="A5498" t="inlineStr">
        <is>
          <t>2026-08-24</t>
        </is>
      </c>
      <c r="B5498" t="inlineStr">
        <is>
          <t>F261596</t>
        </is>
      </c>
      <c r="C5498" t="inlineStr">
        <is>
          <t>C10085</t>
        </is>
      </c>
      <c r="D5498" t="inlineStr">
        <is>
          <t>SKU-10257</t>
        </is>
      </c>
      <c r="E5498" t="inlineStr">
        <is>
          <t>AM01</t>
        </is>
      </c>
      <c r="F5498" s="5" t="n">
        <v>823.88</v>
      </c>
      <c r="G5498">
        <f>IF(LEFT(B5498,1)="C","Credit","Factuur")</f>
        <v/>
      </c>
      <c r="H5498">
        <f>IF(AND(B5498=B5497,D5498=D5497,A5498=A5497,F5498=F5497),1,0)</f>
        <v/>
      </c>
      <c r="I5498">
        <f>IF(C5498="C99999",1,0)</f>
        <v/>
      </c>
      <c r="J5498" s="5">
        <f>IF(OR(H5498=1,I5498=1),0,IF(G5498="Credit",-F5498,F5498))</f>
        <v/>
      </c>
    </row>
    <row r="5499">
      <c r="A5499" t="inlineStr">
        <is>
          <t>2026-08-24</t>
        </is>
      </c>
      <c r="B5499" t="inlineStr">
        <is>
          <t>F261596</t>
        </is>
      </c>
      <c r="C5499" t="inlineStr">
        <is>
          <t>C10085</t>
        </is>
      </c>
      <c r="D5499" t="inlineStr">
        <is>
          <t>SKU-10265</t>
        </is>
      </c>
      <c r="E5499" t="inlineStr">
        <is>
          <t>AM01</t>
        </is>
      </c>
      <c r="F5499" s="5" t="n">
        <v>789.92</v>
      </c>
      <c r="G5499">
        <f>IF(LEFT(B5499,1)="C","Credit","Factuur")</f>
        <v/>
      </c>
      <c r="H5499">
        <f>IF(AND(B5499=B5498,D5499=D5498,A5499=A5498,F5499=F5498),1,0)</f>
        <v/>
      </c>
      <c r="I5499">
        <f>IF(C5499="C99999",1,0)</f>
        <v/>
      </c>
      <c r="J5499" s="5">
        <f>IF(OR(H5499=1,I5499=1),0,IF(G5499="Credit",-F5499,F5499))</f>
        <v/>
      </c>
    </row>
    <row r="5500">
      <c r="A5500" t="inlineStr">
        <is>
          <t>2026-08-24</t>
        </is>
      </c>
      <c r="B5500" t="inlineStr">
        <is>
          <t>F261596</t>
        </is>
      </c>
      <c r="C5500" t="inlineStr">
        <is>
          <t>C10085</t>
        </is>
      </c>
      <c r="D5500" t="inlineStr">
        <is>
          <t>SKU-10318</t>
        </is>
      </c>
      <c r="E5500" t="inlineStr">
        <is>
          <t>AM01</t>
        </is>
      </c>
      <c r="F5500" s="5" t="n">
        <v>716.3200000000001</v>
      </c>
      <c r="G5500">
        <f>IF(LEFT(B5500,1)="C","Credit","Factuur")</f>
        <v/>
      </c>
      <c r="H5500">
        <f>IF(AND(B5500=B5499,D5500=D5499,A5500=A5499,F5500=F5499),1,0)</f>
        <v/>
      </c>
      <c r="I5500">
        <f>IF(C5500="C99999",1,0)</f>
        <v/>
      </c>
      <c r="J5500" s="5">
        <f>IF(OR(H5500=1,I5500=1),0,IF(G5500="Credit",-F5500,F5500))</f>
        <v/>
      </c>
    </row>
    <row r="5501">
      <c r="A5501" t="inlineStr">
        <is>
          <t>2026-08-24</t>
        </is>
      </c>
      <c r="B5501" t="inlineStr">
        <is>
          <t>F261713</t>
        </is>
      </c>
      <c r="C5501" t="inlineStr">
        <is>
          <t>C10089</t>
        </is>
      </c>
      <c r="D5501" t="inlineStr">
        <is>
          <t>SKU-10046</t>
        </is>
      </c>
      <c r="E5501" t="inlineStr">
        <is>
          <t>IS02</t>
        </is>
      </c>
      <c r="F5501" s="5" t="n">
        <v>165.69</v>
      </c>
      <c r="G5501">
        <f>IF(LEFT(B5501,1)="C","Credit","Factuur")</f>
        <v/>
      </c>
      <c r="H5501">
        <f>IF(AND(B5501=B5500,D5501=D5500,A5501=A5500,F5501=F5500),1,0)</f>
        <v/>
      </c>
      <c r="I5501">
        <f>IF(C5501="C99999",1,0)</f>
        <v/>
      </c>
      <c r="J5501" s="5">
        <f>IF(OR(H5501=1,I5501=1),0,IF(G5501="Credit",-F5501,F5501))</f>
        <v/>
      </c>
    </row>
    <row r="5502">
      <c r="A5502" t="inlineStr">
        <is>
          <t>2026-08-24</t>
        </is>
      </c>
      <c r="B5502" t="inlineStr">
        <is>
          <t>F261713</t>
        </is>
      </c>
      <c r="C5502" t="inlineStr">
        <is>
          <t>C10089</t>
        </is>
      </c>
      <c r="D5502" t="inlineStr">
        <is>
          <t>SKU-10280</t>
        </is>
      </c>
      <c r="E5502" t="inlineStr">
        <is>
          <t>IS02</t>
        </is>
      </c>
      <c r="F5502" s="5" t="n">
        <v>150.65</v>
      </c>
      <c r="G5502">
        <f>IF(LEFT(B5502,1)="C","Credit","Factuur")</f>
        <v/>
      </c>
      <c r="H5502">
        <f>IF(AND(B5502=B5501,D5502=D5501,A5502=A5501,F5502=F5501),1,0)</f>
        <v/>
      </c>
      <c r="I5502">
        <f>IF(C5502="C99999",1,0)</f>
        <v/>
      </c>
      <c r="J5502" s="5">
        <f>IF(OR(H5502=1,I5502=1),0,IF(G5502="Credit",-F5502,F5502))</f>
        <v/>
      </c>
    </row>
    <row r="5503">
      <c r="A5503" t="inlineStr">
        <is>
          <t>2026-08-24</t>
        </is>
      </c>
      <c r="B5503" t="inlineStr">
        <is>
          <t>F264246</t>
        </is>
      </c>
      <c r="C5503" t="inlineStr">
        <is>
          <t>C10223</t>
        </is>
      </c>
      <c r="D5503" t="inlineStr">
        <is>
          <t>SKU-10012</t>
        </is>
      </c>
      <c r="E5503" t="inlineStr">
        <is>
          <t>AM07</t>
        </is>
      </c>
      <c r="F5503" s="5" t="n">
        <v>365.05</v>
      </c>
      <c r="G5503">
        <f>IF(LEFT(B5503,1)="C","Credit","Factuur")</f>
        <v/>
      </c>
      <c r="H5503">
        <f>IF(AND(B5503=B5502,D5503=D5502,A5503=A5502,F5503=F5502),1,0)</f>
        <v/>
      </c>
      <c r="I5503">
        <f>IF(C5503="C99999",1,0)</f>
        <v/>
      </c>
      <c r="J5503" s="5">
        <f>IF(OR(H5503=1,I5503=1),0,IF(G5503="Credit",-F5503,F5503))</f>
        <v/>
      </c>
    </row>
    <row r="5504">
      <c r="A5504" t="inlineStr">
        <is>
          <t>2026-08-24</t>
        </is>
      </c>
      <c r="B5504" t="inlineStr">
        <is>
          <t>F264246</t>
        </is>
      </c>
      <c r="C5504" t="inlineStr">
        <is>
          <t>C10223</t>
        </is>
      </c>
      <c r="D5504" t="inlineStr">
        <is>
          <t>SKU-10053</t>
        </is>
      </c>
      <c r="E5504" t="inlineStr">
        <is>
          <t>AM07</t>
        </is>
      </c>
      <c r="F5504" s="5" t="n">
        <v>412.5</v>
      </c>
      <c r="G5504">
        <f>IF(LEFT(B5504,1)="C","Credit","Factuur")</f>
        <v/>
      </c>
      <c r="H5504">
        <f>IF(AND(B5504=B5503,D5504=D5503,A5504=A5503,F5504=F5503),1,0)</f>
        <v/>
      </c>
      <c r="I5504">
        <f>IF(C5504="C99999",1,0)</f>
        <v/>
      </c>
      <c r="J5504" s="5">
        <f>IF(OR(H5504=1,I5504=1),0,IF(G5504="Credit",-F5504,F5504))</f>
        <v/>
      </c>
    </row>
    <row r="5505">
      <c r="A5505" t="inlineStr">
        <is>
          <t>2026-08-24</t>
        </is>
      </c>
      <c r="B5505" t="inlineStr">
        <is>
          <t>F264246</t>
        </is>
      </c>
      <c r="C5505" t="inlineStr">
        <is>
          <t>C10223</t>
        </is>
      </c>
      <c r="D5505" t="inlineStr">
        <is>
          <t>SKU-10095</t>
        </is>
      </c>
      <c r="E5505" t="inlineStr">
        <is>
          <t>AM07</t>
        </is>
      </c>
      <c r="F5505" s="5" t="n">
        <v>381.3</v>
      </c>
      <c r="G5505">
        <f>IF(LEFT(B5505,1)="C","Credit","Factuur")</f>
        <v/>
      </c>
      <c r="H5505">
        <f>IF(AND(B5505=B5504,D5505=D5504,A5505=A5504,F5505=F5504),1,0)</f>
        <v/>
      </c>
      <c r="I5505">
        <f>IF(C5505="C99999",1,0)</f>
        <v/>
      </c>
      <c r="J5505" s="5">
        <f>IF(OR(H5505=1,I5505=1),0,IF(G5505="Credit",-F5505,F5505))</f>
        <v/>
      </c>
    </row>
    <row r="5506">
      <c r="A5506" t="inlineStr">
        <is>
          <t>2026-08-24</t>
        </is>
      </c>
      <c r="B5506" t="inlineStr">
        <is>
          <t>F264246</t>
        </is>
      </c>
      <c r="C5506" t="inlineStr">
        <is>
          <t>C10223</t>
        </is>
      </c>
      <c r="D5506" t="inlineStr">
        <is>
          <t>SKU-10252</t>
        </is>
      </c>
      <c r="E5506" t="inlineStr">
        <is>
          <t>AM07</t>
        </is>
      </c>
      <c r="F5506" s="5" t="n">
        <v>392.73</v>
      </c>
      <c r="G5506">
        <f>IF(LEFT(B5506,1)="C","Credit","Factuur")</f>
        <v/>
      </c>
      <c r="H5506">
        <f>IF(AND(B5506=B5505,D5506=D5505,A5506=A5505,F5506=F5505),1,0)</f>
        <v/>
      </c>
      <c r="I5506">
        <f>IF(C5506="C99999",1,0)</f>
        <v/>
      </c>
      <c r="J5506" s="5">
        <f>IF(OR(H5506=1,I5506=1),0,IF(G5506="Credit",-F5506,F5506))</f>
        <v/>
      </c>
    </row>
    <row r="5507">
      <c r="A5507" t="inlineStr">
        <is>
          <t>2026-08-24</t>
        </is>
      </c>
      <c r="B5507" t="inlineStr">
        <is>
          <t>F264246</t>
        </is>
      </c>
      <c r="C5507" t="inlineStr">
        <is>
          <t>C10223</t>
        </is>
      </c>
      <c r="D5507" t="inlineStr">
        <is>
          <t>SKU-10373</t>
        </is>
      </c>
      <c r="E5507" t="inlineStr">
        <is>
          <t>AM07</t>
        </is>
      </c>
      <c r="F5507" s="5" t="n">
        <v>323.17</v>
      </c>
      <c r="G5507">
        <f>IF(LEFT(B5507,1)="C","Credit","Factuur")</f>
        <v/>
      </c>
      <c r="H5507">
        <f>IF(AND(B5507=B5506,D5507=D5506,A5507=A5506,F5507=F5506),1,0)</f>
        <v/>
      </c>
      <c r="I5507">
        <f>IF(C5507="C99999",1,0)</f>
        <v/>
      </c>
      <c r="J5507" s="5">
        <f>IF(OR(H5507=1,I5507=1),0,IF(G5507="Credit",-F5507,F5507))</f>
        <v/>
      </c>
    </row>
    <row r="5508">
      <c r="A5508" t="inlineStr">
        <is>
          <t>2026-08-24</t>
        </is>
      </c>
      <c r="B5508" t="inlineStr">
        <is>
          <t>F265702</t>
        </is>
      </c>
      <c r="C5508" t="inlineStr">
        <is>
          <t>C10299</t>
        </is>
      </c>
      <c r="D5508" t="inlineStr">
        <is>
          <t>SKU-10063</t>
        </is>
      </c>
      <c r="E5508" t="inlineStr">
        <is>
          <t>AM07</t>
        </is>
      </c>
      <c r="F5508" s="5" t="n">
        <v>507.96</v>
      </c>
      <c r="G5508">
        <f>IF(LEFT(B5508,1)="C","Credit","Factuur")</f>
        <v/>
      </c>
      <c r="H5508">
        <f>IF(AND(B5508=B5507,D5508=D5507,A5508=A5507,F5508=F5507),1,0)</f>
        <v/>
      </c>
      <c r="I5508">
        <f>IF(C5508="C99999",1,0)</f>
        <v/>
      </c>
      <c r="J5508" s="5">
        <f>IF(OR(H5508=1,I5508=1),0,IF(G5508="Credit",-F5508,F5508))</f>
        <v/>
      </c>
    </row>
    <row r="5509">
      <c r="A5509" t="inlineStr">
        <is>
          <t>2026-08-24</t>
        </is>
      </c>
      <c r="B5509" t="inlineStr">
        <is>
          <t>F265702</t>
        </is>
      </c>
      <c r="C5509" t="inlineStr">
        <is>
          <t>C10299</t>
        </is>
      </c>
      <c r="D5509" t="inlineStr">
        <is>
          <t>SKU-10329</t>
        </is>
      </c>
      <c r="E5509" t="inlineStr">
        <is>
          <t>AM07</t>
        </is>
      </c>
      <c r="F5509" s="5" t="n">
        <v>438.16</v>
      </c>
      <c r="G5509">
        <f>IF(LEFT(B5509,1)="C","Credit","Factuur")</f>
        <v/>
      </c>
      <c r="H5509">
        <f>IF(AND(B5509=B5508,D5509=D5508,A5509=A5508,F5509=F5508),1,0)</f>
        <v/>
      </c>
      <c r="I5509">
        <f>IF(C5509="C99999",1,0)</f>
        <v/>
      </c>
      <c r="J5509" s="5">
        <f>IF(OR(H5509=1,I5509=1),0,IF(G5509="Credit",-F5509,F5509))</f>
        <v/>
      </c>
    </row>
    <row r="5510">
      <c r="A5510" t="inlineStr">
        <is>
          <t>2026-08-24</t>
        </is>
      </c>
      <c r="B5510" t="inlineStr">
        <is>
          <t>F266288</t>
        </is>
      </c>
      <c r="C5510" t="inlineStr">
        <is>
          <t>C10331</t>
        </is>
      </c>
      <c r="D5510" t="inlineStr">
        <is>
          <t>SKU-10140</t>
        </is>
      </c>
      <c r="E5510" t="inlineStr">
        <is>
          <t>AM06</t>
        </is>
      </c>
      <c r="F5510" s="5" t="n">
        <v>1794.13</v>
      </c>
      <c r="G5510">
        <f>IF(LEFT(B5510,1)="C","Credit","Factuur")</f>
        <v/>
      </c>
      <c r="H5510">
        <f>IF(AND(B5510=B5509,D5510=D5509,A5510=A5509,F5510=F5509),1,0)</f>
        <v/>
      </c>
      <c r="I5510">
        <f>IF(C5510="C99999",1,0)</f>
        <v/>
      </c>
      <c r="J5510" s="5">
        <f>IF(OR(H5510=1,I5510=1),0,IF(G5510="Credit",-F5510,F5510))</f>
        <v/>
      </c>
    </row>
    <row r="5511">
      <c r="A5511" t="inlineStr">
        <is>
          <t>2026-08-24</t>
        </is>
      </c>
      <c r="B5511" t="inlineStr">
        <is>
          <t>F266288</t>
        </is>
      </c>
      <c r="C5511" t="inlineStr">
        <is>
          <t>C10331</t>
        </is>
      </c>
      <c r="D5511" t="inlineStr">
        <is>
          <t>SKU-10242</t>
        </is>
      </c>
      <c r="E5511" t="inlineStr">
        <is>
          <t>AM06</t>
        </is>
      </c>
      <c r="F5511" s="5" t="n">
        <v>1908</v>
      </c>
      <c r="G5511">
        <f>IF(LEFT(B5511,1)="C","Credit","Factuur")</f>
        <v/>
      </c>
      <c r="H5511">
        <f>IF(AND(B5511=B5510,D5511=D5510,A5511=A5510,F5511=F5510),1,0)</f>
        <v/>
      </c>
      <c r="I5511">
        <f>IF(C5511="C99999",1,0)</f>
        <v/>
      </c>
      <c r="J5511" s="5">
        <f>IF(OR(H5511=1,I5511=1),0,IF(G5511="Credit",-F5511,F5511))</f>
        <v/>
      </c>
    </row>
    <row r="5512">
      <c r="A5512" t="inlineStr">
        <is>
          <t>2026-08-24</t>
        </is>
      </c>
      <c r="B5512" t="inlineStr">
        <is>
          <t>F266859</t>
        </is>
      </c>
      <c r="C5512" t="inlineStr">
        <is>
          <t>C10361</t>
        </is>
      </c>
      <c r="D5512" t="inlineStr">
        <is>
          <t>SKU-10102</t>
        </is>
      </c>
      <c r="E5512" t="inlineStr">
        <is>
          <t>AM05</t>
        </is>
      </c>
      <c r="F5512" s="5" t="n">
        <v>431.2</v>
      </c>
      <c r="G5512">
        <f>IF(LEFT(B5512,1)="C","Credit","Factuur")</f>
        <v/>
      </c>
      <c r="H5512">
        <f>IF(AND(B5512=B5511,D5512=D5511,A5512=A5511,F5512=F5511),1,0)</f>
        <v/>
      </c>
      <c r="I5512">
        <f>IF(C5512="C99999",1,0)</f>
        <v/>
      </c>
      <c r="J5512" s="5">
        <f>IF(OR(H5512=1,I5512=1),0,IF(G5512="Credit",-F5512,F5512))</f>
        <v/>
      </c>
    </row>
    <row r="5513">
      <c r="A5513" t="inlineStr">
        <is>
          <t>2026-08-24</t>
        </is>
      </c>
      <c r="B5513" t="inlineStr">
        <is>
          <t>F266859</t>
        </is>
      </c>
      <c r="C5513" t="inlineStr">
        <is>
          <t>C10361</t>
        </is>
      </c>
      <c r="D5513" t="inlineStr">
        <is>
          <t>SKU-10269</t>
        </is>
      </c>
      <c r="E5513" t="inlineStr">
        <is>
          <t>AM05</t>
        </is>
      </c>
      <c r="F5513" s="5" t="n">
        <v>418.47</v>
      </c>
      <c r="G5513">
        <f>IF(LEFT(B5513,1)="C","Credit","Factuur")</f>
        <v/>
      </c>
      <c r="H5513">
        <f>IF(AND(B5513=B5512,D5513=D5512,A5513=A5512,F5513=F5512),1,0)</f>
        <v/>
      </c>
      <c r="I5513">
        <f>IF(C5513="C99999",1,0)</f>
        <v/>
      </c>
      <c r="J5513" s="5">
        <f>IF(OR(H5513=1,I5513=1),0,IF(G5513="Credit",-F5513,F5513))</f>
        <v/>
      </c>
    </row>
    <row r="5514">
      <c r="A5514" t="inlineStr">
        <is>
          <t>2026-08-24</t>
        </is>
      </c>
      <c r="B5514" t="inlineStr">
        <is>
          <t>F266859</t>
        </is>
      </c>
      <c r="C5514" t="inlineStr">
        <is>
          <t>C10361</t>
        </is>
      </c>
      <c r="D5514" t="inlineStr">
        <is>
          <t>SKU-10342</t>
        </is>
      </c>
      <c r="E5514" t="inlineStr">
        <is>
          <t>AM05</t>
        </is>
      </c>
      <c r="F5514" s="5" t="n">
        <v>423.5</v>
      </c>
      <c r="G5514">
        <f>IF(LEFT(B5514,1)="C","Credit","Factuur")</f>
        <v/>
      </c>
      <c r="H5514">
        <f>IF(AND(B5514=B5513,D5514=D5513,A5514=A5513,F5514=F5513),1,0)</f>
        <v/>
      </c>
      <c r="I5514">
        <f>IF(C5514="C99999",1,0)</f>
        <v/>
      </c>
      <c r="J5514" s="5">
        <f>IF(OR(H5514=1,I5514=1),0,IF(G5514="Credit",-F5514,F5514))</f>
        <v/>
      </c>
    </row>
    <row r="5515">
      <c r="A5515" t="inlineStr">
        <is>
          <t>2026-08-24</t>
        </is>
      </c>
      <c r="B5515" t="inlineStr">
        <is>
          <t>F266859</t>
        </is>
      </c>
      <c r="C5515" t="inlineStr">
        <is>
          <t>C10361</t>
        </is>
      </c>
      <c r="D5515" t="inlineStr">
        <is>
          <t>SKU-10369</t>
        </is>
      </c>
      <c r="E5515" t="inlineStr">
        <is>
          <t>AM05</t>
        </is>
      </c>
      <c r="F5515" s="5" t="n">
        <v>426.17</v>
      </c>
      <c r="G5515">
        <f>IF(LEFT(B5515,1)="C","Credit","Factuur")</f>
        <v/>
      </c>
      <c r="H5515">
        <f>IF(AND(B5515=B5514,D5515=D5514,A5515=A5514,F5515=F5514),1,0)</f>
        <v/>
      </c>
      <c r="I5515">
        <f>IF(C5515="C99999",1,0)</f>
        <v/>
      </c>
      <c r="J5515" s="5">
        <f>IF(OR(H5515=1,I5515=1),0,IF(G5515="Credit",-F5515,F5515))</f>
        <v/>
      </c>
    </row>
    <row r="5516">
      <c r="A5516" t="inlineStr">
        <is>
          <t>2026-08-24</t>
        </is>
      </c>
      <c r="B5516" t="inlineStr">
        <is>
          <t>F268095</t>
        </is>
      </c>
      <c r="C5516" t="inlineStr">
        <is>
          <t>C10426</t>
        </is>
      </c>
      <c r="D5516" t="inlineStr">
        <is>
          <t>SKU-10016</t>
        </is>
      </c>
      <c r="E5516" t="inlineStr">
        <is>
          <t>AM06</t>
        </is>
      </c>
      <c r="F5516" s="5" t="n">
        <v>1062.9</v>
      </c>
      <c r="G5516">
        <f>IF(LEFT(B5516,1)="C","Credit","Factuur")</f>
        <v/>
      </c>
      <c r="H5516">
        <f>IF(AND(B5516=B5515,D5516=D5515,A5516=A5515,F5516=F5515),1,0)</f>
        <v/>
      </c>
      <c r="I5516">
        <f>IF(C5516="C99999",1,0)</f>
        <v/>
      </c>
      <c r="J5516" s="5">
        <f>IF(OR(H5516=1,I5516=1),0,IF(G5516="Credit",-F5516,F5516))</f>
        <v/>
      </c>
    </row>
    <row r="5517">
      <c r="A5517" t="inlineStr">
        <is>
          <t>2026-08-24</t>
        </is>
      </c>
      <c r="B5517" t="inlineStr">
        <is>
          <t>F268095</t>
        </is>
      </c>
      <c r="C5517" t="inlineStr">
        <is>
          <t>C10426</t>
        </is>
      </c>
      <c r="D5517" t="inlineStr">
        <is>
          <t>SKU-10120</t>
        </is>
      </c>
      <c r="E5517" t="inlineStr">
        <is>
          <t>AM06</t>
        </is>
      </c>
      <c r="F5517" s="5" t="n">
        <v>1106.82</v>
      </c>
      <c r="G5517">
        <f>IF(LEFT(B5517,1)="C","Credit","Factuur")</f>
        <v/>
      </c>
      <c r="H5517">
        <f>IF(AND(B5517=B5516,D5517=D5516,A5517=A5516,F5517=F5516),1,0)</f>
        <v/>
      </c>
      <c r="I5517">
        <f>IF(C5517="C99999",1,0)</f>
        <v/>
      </c>
      <c r="J5517" s="5">
        <f>IF(OR(H5517=1,I5517=1),0,IF(G5517="Credit",-F5517,F5517))</f>
        <v/>
      </c>
    </row>
    <row r="5518">
      <c r="A5518" t="inlineStr">
        <is>
          <t>2026-08-24</t>
        </is>
      </c>
      <c r="B5518" t="inlineStr">
        <is>
          <t>F268095</t>
        </is>
      </c>
      <c r="C5518" t="inlineStr">
        <is>
          <t>C10426</t>
        </is>
      </c>
      <c r="D5518" t="inlineStr">
        <is>
          <t>SKU-10155</t>
        </is>
      </c>
      <c r="E5518" t="inlineStr">
        <is>
          <t>AM06</t>
        </is>
      </c>
      <c r="F5518" s="5" t="n">
        <v>1062.78</v>
      </c>
      <c r="G5518">
        <f>IF(LEFT(B5518,1)="C","Credit","Factuur")</f>
        <v/>
      </c>
      <c r="H5518">
        <f>IF(AND(B5518=B5517,D5518=D5517,A5518=A5517,F5518=F5517),1,0)</f>
        <v/>
      </c>
      <c r="I5518">
        <f>IF(C5518="C99999",1,0)</f>
        <v/>
      </c>
      <c r="J5518" s="5">
        <f>IF(OR(H5518=1,I5518=1),0,IF(G5518="Credit",-F5518,F5518))</f>
        <v/>
      </c>
    </row>
    <row r="5519">
      <c r="A5519" t="inlineStr">
        <is>
          <t>2026-08-24</t>
        </is>
      </c>
      <c r="B5519" t="inlineStr">
        <is>
          <t>F269092</t>
        </is>
      </c>
      <c r="C5519" t="inlineStr">
        <is>
          <t>C10475</t>
        </is>
      </c>
      <c r="D5519" t="inlineStr">
        <is>
          <t>SKU-10028</t>
        </is>
      </c>
      <c r="E5519" t="inlineStr">
        <is>
          <t>IS02</t>
        </is>
      </c>
      <c r="F5519" s="5" t="n">
        <v>54.99</v>
      </c>
      <c r="G5519">
        <f>IF(LEFT(B5519,1)="C","Credit","Factuur")</f>
        <v/>
      </c>
      <c r="H5519">
        <f>IF(AND(B5519=B5518,D5519=D5518,A5519=A5518,F5519=F5518),1,0)</f>
        <v/>
      </c>
      <c r="I5519">
        <f>IF(C5519="C99999",1,0)</f>
        <v/>
      </c>
      <c r="J5519" s="5">
        <f>IF(OR(H5519=1,I5519=1),0,IF(G5519="Credit",-F5519,F5519))</f>
        <v/>
      </c>
    </row>
    <row r="5520">
      <c r="A5520" t="inlineStr">
        <is>
          <t>2026-08-24</t>
        </is>
      </c>
      <c r="B5520" t="inlineStr">
        <is>
          <t>F269092</t>
        </is>
      </c>
      <c r="C5520" t="inlineStr">
        <is>
          <t>C10475</t>
        </is>
      </c>
      <c r="D5520" t="inlineStr">
        <is>
          <t>SKU-10076</t>
        </is>
      </c>
      <c r="E5520" t="inlineStr">
        <is>
          <t>IS02</t>
        </is>
      </c>
      <c r="F5520" s="5" t="n">
        <v>25.96</v>
      </c>
      <c r="G5520">
        <f>IF(LEFT(B5520,1)="C","Credit","Factuur")</f>
        <v/>
      </c>
      <c r="H5520">
        <f>IF(AND(B5520=B5519,D5520=D5519,A5520=A5519,F5520=F5519),1,0)</f>
        <v/>
      </c>
      <c r="I5520">
        <f>IF(C5520="C99999",1,0)</f>
        <v/>
      </c>
      <c r="J5520" s="5">
        <f>IF(OR(H5520=1,I5520=1),0,IF(G5520="Credit",-F5520,F5520))</f>
        <v/>
      </c>
    </row>
    <row r="5521">
      <c r="A5521" t="inlineStr">
        <is>
          <t>2026-08-24</t>
        </is>
      </c>
      <c r="B5521" t="inlineStr">
        <is>
          <t>F269092</t>
        </is>
      </c>
      <c r="C5521" t="inlineStr">
        <is>
          <t>C10475</t>
        </is>
      </c>
      <c r="D5521" t="inlineStr">
        <is>
          <t>SKU-10157</t>
        </is>
      </c>
      <c r="E5521" t="inlineStr">
        <is>
          <t>IS02</t>
        </is>
      </c>
      <c r="F5521" s="5" t="n">
        <v>31.18</v>
      </c>
      <c r="G5521">
        <f>IF(LEFT(B5521,1)="C","Credit","Factuur")</f>
        <v/>
      </c>
      <c r="H5521">
        <f>IF(AND(B5521=B5520,D5521=D5520,A5521=A5520,F5521=F5520),1,0)</f>
        <v/>
      </c>
      <c r="I5521">
        <f>IF(C5521="C99999",1,0)</f>
        <v/>
      </c>
      <c r="J5521" s="5">
        <f>IF(OR(H5521=1,I5521=1),0,IF(G5521="Credit",-F5521,F5521))</f>
        <v/>
      </c>
    </row>
    <row r="5522">
      <c r="A5522" t="inlineStr">
        <is>
          <t>2026-08-24</t>
        </is>
      </c>
      <c r="B5522" t="inlineStr">
        <is>
          <t>F269092</t>
        </is>
      </c>
      <c r="C5522" t="inlineStr">
        <is>
          <t>C10475</t>
        </is>
      </c>
      <c r="D5522" t="inlineStr">
        <is>
          <t>SKU-10248</t>
        </is>
      </c>
      <c r="E5522" t="inlineStr">
        <is>
          <t>IS02</t>
        </is>
      </c>
      <c r="F5522" s="5" t="n">
        <v>41.08</v>
      </c>
      <c r="G5522">
        <f>IF(LEFT(B5522,1)="C","Credit","Factuur")</f>
        <v/>
      </c>
      <c r="H5522">
        <f>IF(AND(B5522=B5521,D5522=D5521,A5522=A5521,F5522=F5521),1,0)</f>
        <v/>
      </c>
      <c r="I5522">
        <f>IF(C5522="C99999",1,0)</f>
        <v/>
      </c>
      <c r="J5522" s="5">
        <f>IF(OR(H5522=1,I5522=1),0,IF(G5522="Credit",-F5522,F5522))</f>
        <v/>
      </c>
    </row>
    <row r="5523">
      <c r="A5523" t="inlineStr">
        <is>
          <t>2026-08-24</t>
        </is>
      </c>
      <c r="B5523" t="inlineStr">
        <is>
          <t>F269211</t>
        </is>
      </c>
      <c r="C5523" t="inlineStr">
        <is>
          <t>C10484</t>
        </is>
      </c>
      <c r="D5523" t="inlineStr">
        <is>
          <t>SKU-10020</t>
        </is>
      </c>
      <c r="E5523" t="inlineStr">
        <is>
          <t>AM02</t>
        </is>
      </c>
      <c r="F5523" s="5" t="n">
        <v>185.64</v>
      </c>
      <c r="G5523">
        <f>IF(LEFT(B5523,1)="C","Credit","Factuur")</f>
        <v/>
      </c>
      <c r="H5523">
        <f>IF(AND(B5523=B5522,D5523=D5522,A5523=A5522,F5523=F5522),1,0)</f>
        <v/>
      </c>
      <c r="I5523">
        <f>IF(C5523="C99999",1,0)</f>
        <v/>
      </c>
      <c r="J5523" s="5">
        <f>IF(OR(H5523=1,I5523=1),0,IF(G5523="Credit",-F5523,F5523))</f>
        <v/>
      </c>
    </row>
    <row r="5524">
      <c r="A5524" t="inlineStr">
        <is>
          <t>2026-08-24</t>
        </is>
      </c>
      <c r="B5524" t="inlineStr">
        <is>
          <t>F269211</t>
        </is>
      </c>
      <c r="C5524" t="inlineStr">
        <is>
          <t>C10484</t>
        </is>
      </c>
      <c r="D5524" t="inlineStr">
        <is>
          <t>SKU-10032</t>
        </is>
      </c>
      <c r="E5524" t="inlineStr">
        <is>
          <t>AM02</t>
        </is>
      </c>
      <c r="F5524" s="5" t="n">
        <v>197.28</v>
      </c>
      <c r="G5524">
        <f>IF(LEFT(B5524,1)="C","Credit","Factuur")</f>
        <v/>
      </c>
      <c r="H5524">
        <f>IF(AND(B5524=B5523,D5524=D5523,A5524=A5523,F5524=F5523),1,0)</f>
        <v/>
      </c>
      <c r="I5524">
        <f>IF(C5524="C99999",1,0)</f>
        <v/>
      </c>
      <c r="J5524" s="5">
        <f>IF(OR(H5524=1,I5524=1),0,IF(G5524="Credit",-F5524,F5524))</f>
        <v/>
      </c>
    </row>
    <row r="5525">
      <c r="A5525" t="inlineStr">
        <is>
          <t>2026-08-24</t>
        </is>
      </c>
      <c r="B5525" t="inlineStr">
        <is>
          <t>F269211</t>
        </is>
      </c>
      <c r="C5525" t="inlineStr">
        <is>
          <t>C10484</t>
        </is>
      </c>
      <c r="D5525" t="inlineStr">
        <is>
          <t>SKU-10271</t>
        </is>
      </c>
      <c r="E5525" t="inlineStr">
        <is>
          <t>AM02</t>
        </is>
      </c>
      <c r="F5525" s="5" t="n">
        <v>199.5</v>
      </c>
      <c r="G5525">
        <f>IF(LEFT(B5525,1)="C","Credit","Factuur")</f>
        <v/>
      </c>
      <c r="H5525">
        <f>IF(AND(B5525=B5524,D5525=D5524,A5525=A5524,F5525=F5524),1,0)</f>
        <v/>
      </c>
      <c r="I5525">
        <f>IF(C5525="C99999",1,0)</f>
        <v/>
      </c>
      <c r="J5525" s="5">
        <f>IF(OR(H5525=1,I5525=1),0,IF(G5525="Credit",-F5525,F5525))</f>
        <v/>
      </c>
    </row>
    <row r="5526">
      <c r="A5526" t="inlineStr">
        <is>
          <t>2026-08-24</t>
        </is>
      </c>
      <c r="B5526" t="inlineStr">
        <is>
          <t>F269211</t>
        </is>
      </c>
      <c r="C5526" t="inlineStr">
        <is>
          <t>C10484</t>
        </is>
      </c>
      <c r="D5526" t="inlineStr">
        <is>
          <t>SKU-10329</t>
        </is>
      </c>
      <c r="E5526" t="inlineStr">
        <is>
          <t>AM02</t>
        </is>
      </c>
      <c r="F5526" s="5" t="n">
        <v>184.1</v>
      </c>
      <c r="G5526">
        <f>IF(LEFT(B5526,1)="C","Credit","Factuur")</f>
        <v/>
      </c>
      <c r="H5526">
        <f>IF(AND(B5526=B5525,D5526=D5525,A5526=A5525,F5526=F5525),1,0)</f>
        <v/>
      </c>
      <c r="I5526">
        <f>IF(C5526="C99999",1,0)</f>
        <v/>
      </c>
      <c r="J5526" s="5">
        <f>IF(OR(H5526=1,I5526=1),0,IF(G5526="Credit",-F5526,F5526))</f>
        <v/>
      </c>
    </row>
    <row r="5527">
      <c r="A5527" t="inlineStr">
        <is>
          <t>2026-08-24</t>
        </is>
      </c>
      <c r="B5527" t="inlineStr">
        <is>
          <t>F269982</t>
        </is>
      </c>
      <c r="C5527" t="inlineStr">
        <is>
          <t>C10525</t>
        </is>
      </c>
      <c r="D5527" t="inlineStr">
        <is>
          <t>SKU-10003</t>
        </is>
      </c>
      <c r="E5527" t="inlineStr">
        <is>
          <t>AM02</t>
        </is>
      </c>
      <c r="F5527" s="5" t="n">
        <v>497.28</v>
      </c>
      <c r="G5527">
        <f>IF(LEFT(B5527,1)="C","Credit","Factuur")</f>
        <v/>
      </c>
      <c r="H5527">
        <f>IF(AND(B5527=B5526,D5527=D5526,A5527=A5526,F5527=F5526),1,0)</f>
        <v/>
      </c>
      <c r="I5527">
        <f>IF(C5527="C99999",1,0)</f>
        <v/>
      </c>
      <c r="J5527" s="5">
        <f>IF(OR(H5527=1,I5527=1),0,IF(G5527="Credit",-F5527,F5527))</f>
        <v/>
      </c>
    </row>
    <row r="5528">
      <c r="A5528" t="inlineStr">
        <is>
          <t>2026-08-24</t>
        </is>
      </c>
      <c r="B5528" t="inlineStr">
        <is>
          <t>F269982</t>
        </is>
      </c>
      <c r="C5528" t="inlineStr">
        <is>
          <t>C10525</t>
        </is>
      </c>
      <c r="D5528" t="inlineStr">
        <is>
          <t>SKU-10091</t>
        </is>
      </c>
      <c r="E5528" t="inlineStr">
        <is>
          <t>AM02</t>
        </is>
      </c>
      <c r="F5528" s="5" t="n">
        <v>469.72</v>
      </c>
      <c r="G5528">
        <f>IF(LEFT(B5528,1)="C","Credit","Factuur")</f>
        <v/>
      </c>
      <c r="H5528">
        <f>IF(AND(B5528=B5527,D5528=D5527,A5528=A5527,F5528=F5527),1,0)</f>
        <v/>
      </c>
      <c r="I5528">
        <f>IF(C5528="C99999",1,0)</f>
        <v/>
      </c>
      <c r="J5528" s="5">
        <f>IF(OR(H5528=1,I5528=1),0,IF(G5528="Credit",-F5528,F5528))</f>
        <v/>
      </c>
    </row>
    <row r="5529">
      <c r="A5529" t="inlineStr">
        <is>
          <t>2026-08-24</t>
        </is>
      </c>
      <c r="B5529" t="inlineStr">
        <is>
          <t>F269982</t>
        </is>
      </c>
      <c r="C5529" t="inlineStr">
        <is>
          <t>C10525</t>
        </is>
      </c>
      <c r="D5529" t="inlineStr">
        <is>
          <t>SKU-10260</t>
        </is>
      </c>
      <c r="E5529" t="inlineStr">
        <is>
          <t>AM02</t>
        </is>
      </c>
      <c r="F5529" s="5" t="n">
        <v>438.31</v>
      </c>
      <c r="G5529">
        <f>IF(LEFT(B5529,1)="C","Credit","Factuur")</f>
        <v/>
      </c>
      <c r="H5529">
        <f>IF(AND(B5529=B5528,D5529=D5528,A5529=A5528,F5529=F5528),1,0)</f>
        <v/>
      </c>
      <c r="I5529">
        <f>IF(C5529="C99999",1,0)</f>
        <v/>
      </c>
      <c r="J5529" s="5">
        <f>IF(OR(H5529=1,I5529=1),0,IF(G5529="Credit",-F5529,F5529))</f>
        <v/>
      </c>
    </row>
    <row r="5530">
      <c r="A5530" t="inlineStr">
        <is>
          <t>2026-08-24</t>
        </is>
      </c>
      <c r="B5530" t="inlineStr">
        <is>
          <t>F269982</t>
        </is>
      </c>
      <c r="C5530" t="inlineStr">
        <is>
          <t>C10525</t>
        </is>
      </c>
      <c r="D5530" t="inlineStr">
        <is>
          <t>SKU-10280</t>
        </is>
      </c>
      <c r="E5530" t="inlineStr">
        <is>
          <t>AM02</t>
        </is>
      </c>
      <c r="F5530" s="5" t="n">
        <v>528.6</v>
      </c>
      <c r="G5530">
        <f>IF(LEFT(B5530,1)="C","Credit","Factuur")</f>
        <v/>
      </c>
      <c r="H5530">
        <f>IF(AND(B5530=B5529,D5530=D5529,A5530=A5529,F5530=F5529),1,0)</f>
        <v/>
      </c>
      <c r="I5530">
        <f>IF(C5530="C99999",1,0)</f>
        <v/>
      </c>
      <c r="J5530" s="5">
        <f>IF(OR(H5530=1,I5530=1),0,IF(G5530="Credit",-F5530,F5530))</f>
        <v/>
      </c>
    </row>
    <row r="5531">
      <c r="A5531" t="inlineStr">
        <is>
          <t>2026-08-24</t>
        </is>
      </c>
      <c r="B5531" t="inlineStr">
        <is>
          <t>F269982</t>
        </is>
      </c>
      <c r="C5531" t="inlineStr">
        <is>
          <t>C10525</t>
        </is>
      </c>
      <c r="D5531" t="inlineStr">
        <is>
          <t>SKU-10318</t>
        </is>
      </c>
      <c r="E5531" t="inlineStr"/>
      <c r="F5531" s="5" t="n">
        <v>447.7</v>
      </c>
      <c r="G5531">
        <f>IF(LEFT(B5531,1)="C","Credit","Factuur")</f>
        <v/>
      </c>
      <c r="H5531">
        <f>IF(AND(B5531=B5530,D5531=D5530,A5531=A5530,F5531=F5530),1,0)</f>
        <v/>
      </c>
      <c r="I5531">
        <f>IF(C5531="C99999",1,0)</f>
        <v/>
      </c>
      <c r="J5531" s="5">
        <f>IF(OR(H5531=1,I5531=1),0,IF(G5531="Credit",-F5531,F5531))</f>
        <v/>
      </c>
    </row>
    <row r="5532">
      <c r="A5532" t="inlineStr">
        <is>
          <t>2026-08-24</t>
        </is>
      </c>
      <c r="B5532" t="inlineStr">
        <is>
          <t>F269982</t>
        </is>
      </c>
      <c r="C5532" t="inlineStr">
        <is>
          <t>C10525</t>
        </is>
      </c>
      <c r="D5532" t="inlineStr">
        <is>
          <t>SKU-10333</t>
        </is>
      </c>
      <c r="E5532" t="inlineStr">
        <is>
          <t>AM02</t>
        </is>
      </c>
      <c r="F5532" s="5" t="n">
        <v>459.99</v>
      </c>
      <c r="G5532">
        <f>IF(LEFT(B5532,1)="C","Credit","Factuur")</f>
        <v/>
      </c>
      <c r="H5532">
        <f>IF(AND(B5532=B5531,D5532=D5531,A5532=A5531,F5532=F5531),1,0)</f>
        <v/>
      </c>
      <c r="I5532">
        <f>IF(C5532="C99999",1,0)</f>
        <v/>
      </c>
      <c r="J5532" s="5">
        <f>IF(OR(H5532=1,I5532=1),0,IF(G5532="Credit",-F5532,F5532))</f>
        <v/>
      </c>
    </row>
    <row r="5533">
      <c r="A5533" t="inlineStr">
        <is>
          <t>2026-08-24</t>
        </is>
      </c>
      <c r="B5533" t="inlineStr">
        <is>
          <t>F270033</t>
        </is>
      </c>
      <c r="C5533" t="inlineStr">
        <is>
          <t>C10528</t>
        </is>
      </c>
      <c r="D5533" t="inlineStr">
        <is>
          <t>SKU-10101</t>
        </is>
      </c>
      <c r="E5533" t="inlineStr">
        <is>
          <t>AM09</t>
        </is>
      </c>
      <c r="F5533" s="5" t="n">
        <v>3159.02</v>
      </c>
      <c r="G5533">
        <f>IF(LEFT(B5533,1)="C","Credit","Factuur")</f>
        <v/>
      </c>
      <c r="H5533">
        <f>IF(AND(B5533=B5532,D5533=D5532,A5533=A5532,F5533=F5532),1,0)</f>
        <v/>
      </c>
      <c r="I5533">
        <f>IF(C5533="C99999",1,0)</f>
        <v/>
      </c>
      <c r="J5533" s="5">
        <f>IF(OR(H5533=1,I5533=1),0,IF(G5533="Credit",-F5533,F5533))</f>
        <v/>
      </c>
    </row>
    <row r="5534">
      <c r="A5534" t="inlineStr">
        <is>
          <t>2026-08-24</t>
        </is>
      </c>
      <c r="B5534" t="inlineStr">
        <is>
          <t>F270033</t>
        </is>
      </c>
      <c r="C5534" t="inlineStr">
        <is>
          <t>C10528</t>
        </is>
      </c>
      <c r="D5534" t="inlineStr">
        <is>
          <t>SKU-10217</t>
        </is>
      </c>
      <c r="E5534" t="inlineStr">
        <is>
          <t>AM09</t>
        </is>
      </c>
      <c r="F5534" s="5" t="n">
        <v>3178.89</v>
      </c>
      <c r="G5534">
        <f>IF(LEFT(B5534,1)="C","Credit","Factuur")</f>
        <v/>
      </c>
      <c r="H5534">
        <f>IF(AND(B5534=B5533,D5534=D5533,A5534=A5533,F5534=F5533),1,0)</f>
        <v/>
      </c>
      <c r="I5534">
        <f>IF(C5534="C99999",1,0)</f>
        <v/>
      </c>
      <c r="J5534" s="5">
        <f>IF(OR(H5534=1,I5534=1),0,IF(G5534="Credit",-F5534,F5534))</f>
        <v/>
      </c>
    </row>
    <row r="5535">
      <c r="A5535" t="inlineStr">
        <is>
          <t>2026-08-24</t>
        </is>
      </c>
      <c r="B5535" t="inlineStr">
        <is>
          <t>F270033</t>
        </is>
      </c>
      <c r="C5535" t="inlineStr">
        <is>
          <t>C10528</t>
        </is>
      </c>
      <c r="D5535" t="inlineStr">
        <is>
          <t>SKU-10271</t>
        </is>
      </c>
      <c r="E5535" t="inlineStr">
        <is>
          <t>AM09</t>
        </is>
      </c>
      <c r="F5535" s="5" t="n">
        <v>3358.25</v>
      </c>
      <c r="G5535">
        <f>IF(LEFT(B5535,1)="C","Credit","Factuur")</f>
        <v/>
      </c>
      <c r="H5535">
        <f>IF(AND(B5535=B5534,D5535=D5534,A5535=A5534,F5535=F5534),1,0)</f>
        <v/>
      </c>
      <c r="I5535">
        <f>IF(C5535="C99999",1,0)</f>
        <v/>
      </c>
      <c r="J5535" s="5">
        <f>IF(OR(H5535=1,I5535=1),0,IF(G5535="Credit",-F5535,F5535))</f>
        <v/>
      </c>
    </row>
    <row r="5536">
      <c r="A5536" t="inlineStr">
        <is>
          <t>2026-08-24</t>
        </is>
      </c>
      <c r="B5536" t="inlineStr">
        <is>
          <t>F270435</t>
        </is>
      </c>
      <c r="C5536" t="inlineStr">
        <is>
          <t>C10549</t>
        </is>
      </c>
      <c r="D5536" t="inlineStr">
        <is>
          <t>SKU-10121</t>
        </is>
      </c>
      <c r="E5536" t="inlineStr">
        <is>
          <t>AM08</t>
        </is>
      </c>
      <c r="F5536" s="5" t="n">
        <v>616.84</v>
      </c>
      <c r="G5536">
        <f>IF(LEFT(B5536,1)="C","Credit","Factuur")</f>
        <v/>
      </c>
      <c r="H5536">
        <f>IF(AND(B5536=B5535,D5536=D5535,A5536=A5535,F5536=F5535),1,0)</f>
        <v/>
      </c>
      <c r="I5536">
        <f>IF(C5536="C99999",1,0)</f>
        <v/>
      </c>
      <c r="J5536" s="5">
        <f>IF(OR(H5536=1,I5536=1),0,IF(G5536="Credit",-F5536,F5536))</f>
        <v/>
      </c>
    </row>
    <row r="5537">
      <c r="A5537" t="inlineStr">
        <is>
          <t>2026-08-24</t>
        </is>
      </c>
      <c r="B5537" t="inlineStr">
        <is>
          <t>F270435</t>
        </is>
      </c>
      <c r="C5537" t="inlineStr">
        <is>
          <t>C10549</t>
        </is>
      </c>
      <c r="D5537" t="inlineStr">
        <is>
          <t>SKU-10147</t>
        </is>
      </c>
      <c r="E5537" t="inlineStr">
        <is>
          <t>AM08</t>
        </is>
      </c>
      <c r="F5537" s="5" t="n">
        <v>666.89</v>
      </c>
      <c r="G5537">
        <f>IF(LEFT(B5537,1)="C","Credit","Factuur")</f>
        <v/>
      </c>
      <c r="H5537">
        <f>IF(AND(B5537=B5536,D5537=D5536,A5537=A5536,F5537=F5536),1,0)</f>
        <v/>
      </c>
      <c r="I5537">
        <f>IF(C5537="C99999",1,0)</f>
        <v/>
      </c>
      <c r="J5537" s="5">
        <f>IF(OR(H5537=1,I5537=1),0,IF(G5537="Credit",-F5537,F5537))</f>
        <v/>
      </c>
    </row>
    <row r="5538">
      <c r="A5538" t="inlineStr">
        <is>
          <t>2026-08-24</t>
        </is>
      </c>
      <c r="B5538" t="inlineStr">
        <is>
          <t>F270435</t>
        </is>
      </c>
      <c r="C5538" t="inlineStr">
        <is>
          <t>C10549</t>
        </is>
      </c>
      <c r="D5538" t="inlineStr">
        <is>
          <t>SKU-10266</t>
        </is>
      </c>
      <c r="E5538" t="inlineStr">
        <is>
          <t>AM08</t>
        </is>
      </c>
      <c r="F5538" s="5" t="n">
        <v>608.6</v>
      </c>
      <c r="G5538">
        <f>IF(LEFT(B5538,1)="C","Credit","Factuur")</f>
        <v/>
      </c>
      <c r="H5538">
        <f>IF(AND(B5538=B5537,D5538=D5537,A5538=A5537,F5538=F5537),1,0)</f>
        <v/>
      </c>
      <c r="I5538">
        <f>IF(C5538="C99999",1,0)</f>
        <v/>
      </c>
      <c r="J5538" s="5">
        <f>IF(OR(H5538=1,I5538=1),0,IF(G5538="Credit",-F5538,F5538))</f>
        <v/>
      </c>
    </row>
    <row r="5539">
      <c r="A5539" t="inlineStr">
        <is>
          <t>2026-08-24</t>
        </is>
      </c>
      <c r="B5539" t="inlineStr">
        <is>
          <t>F272315</t>
        </is>
      </c>
      <c r="C5539" t="inlineStr">
        <is>
          <t>C10638</t>
        </is>
      </c>
      <c r="D5539" t="inlineStr">
        <is>
          <t>SKU-10336</t>
        </is>
      </c>
      <c r="E5539" t="inlineStr">
        <is>
          <t>AM02</t>
        </is>
      </c>
      <c r="F5539" s="5" t="n">
        <v>2237.9</v>
      </c>
      <c r="G5539">
        <f>IF(LEFT(B5539,1)="C","Credit","Factuur")</f>
        <v/>
      </c>
      <c r="H5539">
        <f>IF(AND(B5539=B5538,D5539=D5538,A5539=A5538,F5539=F5538),1,0)</f>
        <v/>
      </c>
      <c r="I5539">
        <f>IF(C5539="C99999",1,0)</f>
        <v/>
      </c>
      <c r="J5539" s="5">
        <f>IF(OR(H5539=1,I5539=1),0,IF(G5539="Credit",-F5539,F5539))</f>
        <v/>
      </c>
    </row>
    <row r="5540">
      <c r="A5540" t="inlineStr">
        <is>
          <t>2026-08-24</t>
        </is>
      </c>
      <c r="B5540" t="inlineStr">
        <is>
          <t>F273294</t>
        </is>
      </c>
      <c r="C5540" t="inlineStr">
        <is>
          <t>C10695</t>
        </is>
      </c>
      <c r="D5540" t="inlineStr">
        <is>
          <t>SKU-10001</t>
        </is>
      </c>
      <c r="E5540" t="inlineStr">
        <is>
          <t>AM07</t>
        </is>
      </c>
      <c r="F5540" s="5" t="n">
        <v>277.42</v>
      </c>
      <c r="G5540">
        <f>IF(LEFT(B5540,1)="C","Credit","Factuur")</f>
        <v/>
      </c>
      <c r="H5540">
        <f>IF(AND(B5540=B5539,D5540=D5539,A5540=A5539,F5540=F5539),1,0)</f>
        <v/>
      </c>
      <c r="I5540">
        <f>IF(C5540="C99999",1,0)</f>
        <v/>
      </c>
      <c r="J5540" s="5">
        <f>IF(OR(H5540=1,I5540=1),0,IF(G5540="Credit",-F5540,F5540))</f>
        <v/>
      </c>
    </row>
    <row r="5541">
      <c r="A5541" t="inlineStr">
        <is>
          <t>2026-08-24</t>
        </is>
      </c>
      <c r="B5541" t="inlineStr">
        <is>
          <t>F273294</t>
        </is>
      </c>
      <c r="C5541" t="inlineStr">
        <is>
          <t>C10695</t>
        </is>
      </c>
      <c r="D5541" t="inlineStr">
        <is>
          <t>SKU-10100</t>
        </is>
      </c>
      <c r="E5541" t="inlineStr">
        <is>
          <t>AM07</t>
        </is>
      </c>
      <c r="F5541" s="5" t="n">
        <v>288.6</v>
      </c>
      <c r="G5541">
        <f>IF(LEFT(B5541,1)="C","Credit","Factuur")</f>
        <v/>
      </c>
      <c r="H5541">
        <f>IF(AND(B5541=B5540,D5541=D5540,A5541=A5540,F5541=F5540),1,0)</f>
        <v/>
      </c>
      <c r="I5541">
        <f>IF(C5541="C99999",1,0)</f>
        <v/>
      </c>
      <c r="J5541" s="5">
        <f>IF(OR(H5541=1,I5541=1),0,IF(G5541="Credit",-F5541,F5541))</f>
        <v/>
      </c>
    </row>
    <row r="5542">
      <c r="A5542" t="inlineStr">
        <is>
          <t>2026-08-24</t>
        </is>
      </c>
      <c r="B5542" t="inlineStr">
        <is>
          <t>F273294</t>
        </is>
      </c>
      <c r="C5542" t="inlineStr">
        <is>
          <t>C10695</t>
        </is>
      </c>
      <c r="D5542" t="inlineStr">
        <is>
          <t>SKU-10174</t>
        </is>
      </c>
      <c r="E5542" t="inlineStr">
        <is>
          <t>AM07</t>
        </is>
      </c>
      <c r="F5542" s="5" t="n">
        <v>265.4</v>
      </c>
      <c r="G5542">
        <f>IF(LEFT(B5542,1)="C","Credit","Factuur")</f>
        <v/>
      </c>
      <c r="H5542">
        <f>IF(AND(B5542=B5541,D5542=D5541,A5542=A5541,F5542=F5541),1,0)</f>
        <v/>
      </c>
      <c r="I5542">
        <f>IF(C5542="C99999",1,0)</f>
        <v/>
      </c>
      <c r="J5542" s="5">
        <f>IF(OR(H5542=1,I5542=1),0,IF(G5542="Credit",-F5542,F5542))</f>
        <v/>
      </c>
    </row>
    <row r="5543">
      <c r="A5543" t="inlineStr">
        <is>
          <t>2026-08-24</t>
        </is>
      </c>
      <c r="B5543" t="inlineStr">
        <is>
          <t>F273294</t>
        </is>
      </c>
      <c r="C5543" t="inlineStr">
        <is>
          <t>C10695</t>
        </is>
      </c>
      <c r="D5543" t="inlineStr">
        <is>
          <t>SKU-10188</t>
        </is>
      </c>
      <c r="E5543" t="inlineStr">
        <is>
          <t>AM07</t>
        </is>
      </c>
      <c r="F5543" s="5" t="n">
        <v>282.81</v>
      </c>
      <c r="G5543">
        <f>IF(LEFT(B5543,1)="C","Credit","Factuur")</f>
        <v/>
      </c>
      <c r="H5543">
        <f>IF(AND(B5543=B5542,D5543=D5542,A5543=A5542,F5543=F5542),1,0)</f>
        <v/>
      </c>
      <c r="I5543">
        <f>IF(C5543="C99999",1,0)</f>
        <v/>
      </c>
      <c r="J5543" s="5">
        <f>IF(OR(H5543=1,I5543=1),0,IF(G5543="Credit",-F5543,F5543))</f>
        <v/>
      </c>
    </row>
    <row r="5544">
      <c r="A5544" t="inlineStr">
        <is>
          <t>2026-08-24</t>
        </is>
      </c>
      <c r="B5544" t="inlineStr">
        <is>
          <t>F274803</t>
        </is>
      </c>
      <c r="C5544" t="inlineStr">
        <is>
          <t>C10782</t>
        </is>
      </c>
      <c r="D5544" t="inlineStr">
        <is>
          <t>SKU-10047</t>
        </is>
      </c>
      <c r="E5544" t="inlineStr">
        <is>
          <t>AM03</t>
        </is>
      </c>
      <c r="F5544" s="5" t="n">
        <v>2487.93</v>
      </c>
      <c r="G5544">
        <f>IF(LEFT(B5544,1)="C","Credit","Factuur")</f>
        <v/>
      </c>
      <c r="H5544">
        <f>IF(AND(B5544=B5543,D5544=D5543,A5544=A5543,F5544=F5543),1,0)</f>
        <v/>
      </c>
      <c r="I5544">
        <f>IF(C5544="C99999",1,0)</f>
        <v/>
      </c>
      <c r="J5544" s="5">
        <f>IF(OR(H5544=1,I5544=1),0,IF(G5544="Credit",-F5544,F5544))</f>
        <v/>
      </c>
    </row>
    <row r="5545">
      <c r="A5545" t="inlineStr">
        <is>
          <t>2026-08-24</t>
        </is>
      </c>
      <c r="B5545" t="inlineStr">
        <is>
          <t>F275012</t>
        </is>
      </c>
      <c r="C5545" t="inlineStr">
        <is>
          <t>C10792</t>
        </is>
      </c>
      <c r="D5545" t="inlineStr">
        <is>
          <t>SKU-10076</t>
        </is>
      </c>
      <c r="E5545" t="inlineStr">
        <is>
          <t>AM12</t>
        </is>
      </c>
      <c r="F5545" s="5" t="n">
        <v>737.91</v>
      </c>
      <c r="G5545">
        <f>IF(LEFT(B5545,1)="C","Credit","Factuur")</f>
        <v/>
      </c>
      <c r="H5545">
        <f>IF(AND(B5545=B5544,D5545=D5544,A5545=A5544,F5545=F5544),1,0)</f>
        <v/>
      </c>
      <c r="I5545">
        <f>IF(C5545="C99999",1,0)</f>
        <v/>
      </c>
      <c r="J5545" s="5">
        <f>IF(OR(H5545=1,I5545=1),0,IF(G5545="Credit",-F5545,F5545))</f>
        <v/>
      </c>
    </row>
    <row r="5546">
      <c r="A5546" t="inlineStr">
        <is>
          <t>2026-08-24</t>
        </is>
      </c>
      <c r="B5546" t="inlineStr">
        <is>
          <t>F275012</t>
        </is>
      </c>
      <c r="C5546" t="inlineStr">
        <is>
          <t>C10792</t>
        </is>
      </c>
      <c r="D5546" t="inlineStr">
        <is>
          <t>SKU-10317</t>
        </is>
      </c>
      <c r="E5546" t="inlineStr">
        <is>
          <t>AM12</t>
        </is>
      </c>
      <c r="F5546" s="5" t="n">
        <v>710.76</v>
      </c>
      <c r="G5546">
        <f>IF(LEFT(B5546,1)="C","Credit","Factuur")</f>
        <v/>
      </c>
      <c r="H5546">
        <f>IF(AND(B5546=B5545,D5546=D5545,A5546=A5545,F5546=F5545),1,0)</f>
        <v/>
      </c>
      <c r="I5546">
        <f>IF(C5546="C99999",1,0)</f>
        <v/>
      </c>
      <c r="J5546" s="5">
        <f>IF(OR(H5546=1,I5546=1),0,IF(G5546="Credit",-F5546,F5546))</f>
        <v/>
      </c>
    </row>
    <row r="5547">
      <c r="A5547" t="inlineStr">
        <is>
          <t>2026-08-24</t>
        </is>
      </c>
      <c r="B5547" t="inlineStr">
        <is>
          <t>F275012</t>
        </is>
      </c>
      <c r="C5547" t="inlineStr">
        <is>
          <t>C10792</t>
        </is>
      </c>
      <c r="D5547" t="inlineStr">
        <is>
          <t>SKU-10384</t>
        </is>
      </c>
      <c r="E5547" t="inlineStr">
        <is>
          <t>AM12</t>
        </is>
      </c>
      <c r="F5547" s="5" t="n">
        <v>714.12</v>
      </c>
      <c r="G5547">
        <f>IF(LEFT(B5547,1)="C","Credit","Factuur")</f>
        <v/>
      </c>
      <c r="H5547">
        <f>IF(AND(B5547=B5546,D5547=D5546,A5547=A5546,F5547=F5546),1,0)</f>
        <v/>
      </c>
      <c r="I5547">
        <f>IF(C5547="C99999",1,0)</f>
        <v/>
      </c>
      <c r="J5547" s="5">
        <f>IF(OR(H5547=1,I5547=1),0,IF(G5547="Credit",-F5547,F5547))</f>
        <v/>
      </c>
    </row>
    <row r="5548">
      <c r="A5548" t="inlineStr">
        <is>
          <t>2026-08-24</t>
        </is>
      </c>
      <c r="B5548" t="inlineStr">
        <is>
          <t>F275024</t>
        </is>
      </c>
      <c r="C5548" t="inlineStr">
        <is>
          <t>C10792</t>
        </is>
      </c>
      <c r="D5548" t="inlineStr">
        <is>
          <t>SKU-10066</t>
        </is>
      </c>
      <c r="E5548" t="inlineStr">
        <is>
          <t>AM12</t>
        </is>
      </c>
      <c r="F5548" s="5" t="n">
        <v>696.73</v>
      </c>
      <c r="G5548">
        <f>IF(LEFT(B5548,1)="C","Credit","Factuur")</f>
        <v/>
      </c>
      <c r="H5548">
        <f>IF(AND(B5548=B5547,D5548=D5547,A5548=A5547,F5548=F5547),1,0)</f>
        <v/>
      </c>
      <c r="I5548">
        <f>IF(C5548="C99999",1,0)</f>
        <v/>
      </c>
      <c r="J5548" s="5">
        <f>IF(OR(H5548=1,I5548=1),0,IF(G5548="Credit",-F5548,F5548))</f>
        <v/>
      </c>
    </row>
    <row r="5549">
      <c r="A5549" t="inlineStr">
        <is>
          <t>2026-08-24</t>
        </is>
      </c>
      <c r="B5549" t="inlineStr">
        <is>
          <t>F275024</t>
        </is>
      </c>
      <c r="C5549" t="inlineStr">
        <is>
          <t>C10792</t>
        </is>
      </c>
      <c r="D5549" t="inlineStr">
        <is>
          <t>SKU-10341</t>
        </is>
      </c>
      <c r="E5549" t="inlineStr">
        <is>
          <t>AM12</t>
        </is>
      </c>
      <c r="F5549" s="5" t="n">
        <v>804.8</v>
      </c>
      <c r="G5549">
        <f>IF(LEFT(B5549,1)="C","Credit","Factuur")</f>
        <v/>
      </c>
      <c r="H5549">
        <f>IF(AND(B5549=B5548,D5549=D5548,A5549=A5548,F5549=F5548),1,0)</f>
        <v/>
      </c>
      <c r="I5549">
        <f>IF(C5549="C99999",1,0)</f>
        <v/>
      </c>
      <c r="J5549" s="5">
        <f>IF(OR(H5549=1,I5549=1),0,IF(G5549="Credit",-F5549,F5549))</f>
        <v/>
      </c>
    </row>
    <row r="5550">
      <c r="A5550" t="inlineStr">
        <is>
          <t>2026-08-24</t>
        </is>
      </c>
      <c r="B5550" t="inlineStr">
        <is>
          <t>F275024</t>
        </is>
      </c>
      <c r="C5550" t="inlineStr">
        <is>
          <t>C10792</t>
        </is>
      </c>
      <c r="D5550" t="inlineStr">
        <is>
          <t>SKU-10349</t>
        </is>
      </c>
      <c r="E5550" t="inlineStr">
        <is>
          <t>AM12</t>
        </is>
      </c>
      <c r="F5550" s="5" t="n">
        <v>831.48</v>
      </c>
      <c r="G5550">
        <f>IF(LEFT(B5550,1)="C","Credit","Factuur")</f>
        <v/>
      </c>
      <c r="H5550">
        <f>IF(AND(B5550=B5549,D5550=D5549,A5550=A5549,F5550=F5549),1,0)</f>
        <v/>
      </c>
      <c r="I5550">
        <f>IF(C5550="C99999",1,0)</f>
        <v/>
      </c>
      <c r="J5550" s="5">
        <f>IF(OR(H5550=1,I5550=1),0,IF(G5550="Credit",-F5550,F5550))</f>
        <v/>
      </c>
    </row>
    <row r="5551">
      <c r="A5551" t="inlineStr">
        <is>
          <t>2026-08-24</t>
        </is>
      </c>
      <c r="B5551" t="inlineStr">
        <is>
          <t>F275278</t>
        </is>
      </c>
      <c r="C5551" t="inlineStr">
        <is>
          <t>C10804</t>
        </is>
      </c>
      <c r="D5551" t="inlineStr">
        <is>
          <t>SKU-10024</t>
        </is>
      </c>
      <c r="E5551" t="inlineStr">
        <is>
          <t>AM03</t>
        </is>
      </c>
      <c r="F5551" s="5" t="n">
        <v>652.3200000000001</v>
      </c>
      <c r="G5551">
        <f>IF(LEFT(B5551,1)="C","Credit","Factuur")</f>
        <v/>
      </c>
      <c r="H5551">
        <f>IF(AND(B5551=B5550,D5551=D5550,A5551=A5550,F5551=F5550),1,0)</f>
        <v/>
      </c>
      <c r="I5551">
        <f>IF(C5551="C99999",1,0)</f>
        <v/>
      </c>
      <c r="J5551" s="5">
        <f>IF(OR(H5551=1,I5551=1),0,IF(G5551="Credit",-F5551,F5551))</f>
        <v/>
      </c>
    </row>
    <row r="5552">
      <c r="A5552" t="inlineStr">
        <is>
          <t>2026-08-24</t>
        </is>
      </c>
      <c r="B5552" t="inlineStr">
        <is>
          <t>F275278</t>
        </is>
      </c>
      <c r="C5552" t="inlineStr">
        <is>
          <t>C10804</t>
        </is>
      </c>
      <c r="D5552" t="inlineStr">
        <is>
          <t>SKU-10095</t>
        </is>
      </c>
      <c r="E5552" t="inlineStr">
        <is>
          <t>AM03</t>
        </is>
      </c>
      <c r="F5552" s="5" t="n">
        <v>646.85</v>
      </c>
      <c r="G5552">
        <f>IF(LEFT(B5552,1)="C","Credit","Factuur")</f>
        <v/>
      </c>
      <c r="H5552">
        <f>IF(AND(B5552=B5551,D5552=D5551,A5552=A5551,F5552=F5551),1,0)</f>
        <v/>
      </c>
      <c r="I5552">
        <f>IF(C5552="C99999",1,0)</f>
        <v/>
      </c>
      <c r="J5552" s="5">
        <f>IF(OR(H5552=1,I5552=1),0,IF(G5552="Credit",-F5552,F5552))</f>
        <v/>
      </c>
    </row>
    <row r="5553">
      <c r="A5553" t="inlineStr">
        <is>
          <t>2026-08-24</t>
        </is>
      </c>
      <c r="B5553" t="inlineStr">
        <is>
          <t>F275648</t>
        </is>
      </c>
      <c r="C5553" t="inlineStr">
        <is>
          <t>C10829</t>
        </is>
      </c>
      <c r="D5553" t="inlineStr">
        <is>
          <t>SKU-10098</t>
        </is>
      </c>
      <c r="E5553" t="inlineStr">
        <is>
          <t>AM05</t>
        </is>
      </c>
      <c r="F5553" s="5" t="n">
        <v>714.1799999999999</v>
      </c>
      <c r="G5553">
        <f>IF(LEFT(B5553,1)="C","Credit","Factuur")</f>
        <v/>
      </c>
      <c r="H5553">
        <f>IF(AND(B5553=B5552,D5553=D5552,A5553=A5552,F5553=F5552),1,0)</f>
        <v/>
      </c>
      <c r="I5553">
        <f>IF(C5553="C99999",1,0)</f>
        <v/>
      </c>
      <c r="J5553" s="5">
        <f>IF(OR(H5553=1,I5553=1),0,IF(G5553="Credit",-F5553,F5553))</f>
        <v/>
      </c>
    </row>
    <row r="5554">
      <c r="A5554" t="inlineStr">
        <is>
          <t>2026-08-24</t>
        </is>
      </c>
      <c r="B5554" t="inlineStr">
        <is>
          <t>F275648</t>
        </is>
      </c>
      <c r="C5554" t="inlineStr">
        <is>
          <t>C10829</t>
        </is>
      </c>
      <c r="D5554" t="inlineStr">
        <is>
          <t>SKU-10262</t>
        </is>
      </c>
      <c r="E5554" t="inlineStr">
        <is>
          <t>AM05</t>
        </is>
      </c>
      <c r="F5554" s="5" t="n">
        <v>807.4</v>
      </c>
      <c r="G5554">
        <f>IF(LEFT(B5554,1)="C","Credit","Factuur")</f>
        <v/>
      </c>
      <c r="H5554">
        <f>IF(AND(B5554=B5553,D5554=D5553,A5554=A5553,F5554=F5553),1,0)</f>
        <v/>
      </c>
      <c r="I5554">
        <f>IF(C5554="C99999",1,0)</f>
        <v/>
      </c>
      <c r="J5554" s="5">
        <f>IF(OR(H5554=1,I5554=1),0,IF(G5554="Credit",-F5554,F5554))</f>
        <v/>
      </c>
    </row>
    <row r="5555">
      <c r="A5555" t="inlineStr">
        <is>
          <t>2026-08-24</t>
        </is>
      </c>
      <c r="B5555" t="inlineStr">
        <is>
          <t>F277107</t>
        </is>
      </c>
      <c r="C5555" t="inlineStr">
        <is>
          <t>C10905</t>
        </is>
      </c>
      <c r="D5555" t="inlineStr">
        <is>
          <t>SKU-10200</t>
        </is>
      </c>
      <c r="E5555" t="inlineStr">
        <is>
          <t>AM05</t>
        </is>
      </c>
      <c r="F5555" s="5" t="n">
        <v>1195.95</v>
      </c>
      <c r="G5555">
        <f>IF(LEFT(B5555,1)="C","Credit","Factuur")</f>
        <v/>
      </c>
      <c r="H5555">
        <f>IF(AND(B5555=B5554,D5555=D5554,A5555=A5554,F5555=F5554),1,0)</f>
        <v/>
      </c>
      <c r="I5555">
        <f>IF(C5555="C99999",1,0)</f>
        <v/>
      </c>
      <c r="J5555" s="5">
        <f>IF(OR(H5555=1,I5555=1),0,IF(G5555="Credit",-F5555,F5555))</f>
        <v/>
      </c>
    </row>
    <row r="5556">
      <c r="A5556" t="inlineStr">
        <is>
          <t>2026-08-24</t>
        </is>
      </c>
      <c r="B5556" t="inlineStr">
        <is>
          <t>F277958</t>
        </is>
      </c>
      <c r="C5556" t="inlineStr">
        <is>
          <t>C10952</t>
        </is>
      </c>
      <c r="D5556" t="inlineStr">
        <is>
          <t>SKU-10038</t>
        </is>
      </c>
      <c r="E5556" t="inlineStr">
        <is>
          <t>AM01</t>
        </is>
      </c>
      <c r="F5556" s="5" t="n">
        <v>122.22</v>
      </c>
      <c r="G5556">
        <f>IF(LEFT(B5556,1)="C","Credit","Factuur")</f>
        <v/>
      </c>
      <c r="H5556">
        <f>IF(AND(B5556=B5555,D5556=D5555,A5556=A5555,F5556=F5555),1,0)</f>
        <v/>
      </c>
      <c r="I5556">
        <f>IF(C5556="C99999",1,0)</f>
        <v/>
      </c>
      <c r="J5556" s="5">
        <f>IF(OR(H5556=1,I5556=1),0,IF(G5556="Credit",-F5556,F5556))</f>
        <v/>
      </c>
    </row>
    <row r="5557">
      <c r="A5557" t="inlineStr">
        <is>
          <t>2026-08-24</t>
        </is>
      </c>
      <c r="B5557" t="inlineStr">
        <is>
          <t>F277958</t>
        </is>
      </c>
      <c r="C5557" t="inlineStr">
        <is>
          <t>C10952</t>
        </is>
      </c>
      <c r="D5557" t="inlineStr">
        <is>
          <t>SKU-10056</t>
        </is>
      </c>
      <c r="E5557" t="inlineStr">
        <is>
          <t>AM01</t>
        </is>
      </c>
      <c r="F5557" s="5" t="n">
        <v>115.2</v>
      </c>
      <c r="G5557">
        <f>IF(LEFT(B5557,1)="C","Credit","Factuur")</f>
        <v/>
      </c>
      <c r="H5557">
        <f>IF(AND(B5557=B5556,D5557=D5556,A5557=A5556,F5557=F5556),1,0)</f>
        <v/>
      </c>
      <c r="I5557">
        <f>IF(C5557="C99999",1,0)</f>
        <v/>
      </c>
      <c r="J5557" s="5">
        <f>IF(OR(H5557=1,I5557=1),0,IF(G5557="Credit",-F5557,F5557))</f>
        <v/>
      </c>
    </row>
    <row r="5558">
      <c r="A5558" t="inlineStr">
        <is>
          <t>2026-08-24</t>
        </is>
      </c>
      <c r="B5558" t="inlineStr">
        <is>
          <t>F277958</t>
        </is>
      </c>
      <c r="C5558" t="inlineStr">
        <is>
          <t>C10952</t>
        </is>
      </c>
      <c r="D5558" t="inlineStr">
        <is>
          <t>SKU-10067</t>
        </is>
      </c>
      <c r="E5558" t="inlineStr">
        <is>
          <t>AM01</t>
        </is>
      </c>
      <c r="F5558" s="5" t="n">
        <v>104.51</v>
      </c>
      <c r="G5558">
        <f>IF(LEFT(B5558,1)="C","Credit","Factuur")</f>
        <v/>
      </c>
      <c r="H5558">
        <f>IF(AND(B5558=B5557,D5558=D5557,A5558=A5557,F5558=F5557),1,0)</f>
        <v/>
      </c>
      <c r="I5558">
        <f>IF(C5558="C99999",1,0)</f>
        <v/>
      </c>
      <c r="J5558" s="5">
        <f>IF(OR(H5558=1,I5558=1),0,IF(G5558="Credit",-F5558,F5558))</f>
        <v/>
      </c>
    </row>
    <row r="5559">
      <c r="A5559" t="inlineStr">
        <is>
          <t>2026-08-24</t>
        </is>
      </c>
      <c r="B5559" t="inlineStr">
        <is>
          <t>F277958</t>
        </is>
      </c>
      <c r="C5559" t="inlineStr">
        <is>
          <t>C10952</t>
        </is>
      </c>
      <c r="D5559" t="inlineStr">
        <is>
          <t>SKU-10089</t>
        </is>
      </c>
      <c r="E5559" t="inlineStr">
        <is>
          <t>AM01</t>
        </is>
      </c>
      <c r="F5559" s="5" t="n">
        <v>125.6</v>
      </c>
      <c r="G5559">
        <f>IF(LEFT(B5559,1)="C","Credit","Factuur")</f>
        <v/>
      </c>
      <c r="H5559">
        <f>IF(AND(B5559=B5558,D5559=D5558,A5559=A5558,F5559=F5558),1,0)</f>
        <v/>
      </c>
      <c r="I5559">
        <f>IF(C5559="C99999",1,0)</f>
        <v/>
      </c>
      <c r="J5559" s="5">
        <f>IF(OR(H5559=1,I5559=1),0,IF(G5559="Credit",-F5559,F5559))</f>
        <v/>
      </c>
    </row>
    <row r="5560">
      <c r="A5560" t="inlineStr">
        <is>
          <t>2026-08-24</t>
        </is>
      </c>
      <c r="B5560" t="inlineStr">
        <is>
          <t>F277958</t>
        </is>
      </c>
      <c r="C5560" t="inlineStr">
        <is>
          <t>C10952</t>
        </is>
      </c>
      <c r="D5560" t="inlineStr">
        <is>
          <t>SKU-10275</t>
        </is>
      </c>
      <c r="E5560" t="inlineStr">
        <is>
          <t>AM01</t>
        </is>
      </c>
      <c r="F5560" s="5" t="n">
        <v>115.52</v>
      </c>
      <c r="G5560">
        <f>IF(LEFT(B5560,1)="C","Credit","Factuur")</f>
        <v/>
      </c>
      <c r="H5560">
        <f>IF(AND(B5560=B5559,D5560=D5559,A5560=A5559,F5560=F5559),1,0)</f>
        <v/>
      </c>
      <c r="I5560">
        <f>IF(C5560="C99999",1,0)</f>
        <v/>
      </c>
      <c r="J5560" s="5">
        <f>IF(OR(H5560=1,I5560=1),0,IF(G5560="Credit",-F5560,F5560))</f>
        <v/>
      </c>
    </row>
    <row r="5561">
      <c r="A5561" t="inlineStr">
        <is>
          <t>2026-08-24</t>
        </is>
      </c>
      <c r="B5561" t="inlineStr">
        <is>
          <t>F277958</t>
        </is>
      </c>
      <c r="C5561" t="inlineStr">
        <is>
          <t>C10952</t>
        </is>
      </c>
      <c r="D5561" t="inlineStr">
        <is>
          <t>SKU-10341</t>
        </is>
      </c>
      <c r="E5561" t="inlineStr">
        <is>
          <t>AM01</t>
        </is>
      </c>
      <c r="F5561" s="5" t="n">
        <v>120.72</v>
      </c>
      <c r="G5561">
        <f>IF(LEFT(B5561,1)="C","Credit","Factuur")</f>
        <v/>
      </c>
      <c r="H5561">
        <f>IF(AND(B5561=B5560,D5561=D5560,A5561=A5560,F5561=F5560),1,0)</f>
        <v/>
      </c>
      <c r="I5561">
        <f>IF(C5561="C99999",1,0)</f>
        <v/>
      </c>
      <c r="J5561" s="5">
        <f>IF(OR(H5561=1,I5561=1),0,IF(G5561="Credit",-F5561,F5561))</f>
        <v/>
      </c>
    </row>
    <row r="5562">
      <c r="A5562" t="inlineStr">
        <is>
          <t>2026-08-24</t>
        </is>
      </c>
      <c r="B5562" t="inlineStr">
        <is>
          <t>F279807</t>
        </is>
      </c>
      <c r="C5562" t="inlineStr">
        <is>
          <t>C11050</t>
        </is>
      </c>
      <c r="D5562" t="inlineStr">
        <is>
          <t>SKU-10002</t>
        </is>
      </c>
      <c r="E5562" t="inlineStr">
        <is>
          <t>AM01</t>
        </is>
      </c>
      <c r="F5562" s="5" t="n">
        <v>229.48</v>
      </c>
      <c r="G5562">
        <f>IF(LEFT(B5562,1)="C","Credit","Factuur")</f>
        <v/>
      </c>
      <c r="H5562">
        <f>IF(AND(B5562=B5561,D5562=D5561,A5562=A5561,F5562=F5561),1,0)</f>
        <v/>
      </c>
      <c r="I5562">
        <f>IF(C5562="C99999",1,0)</f>
        <v/>
      </c>
      <c r="J5562" s="5">
        <f>IF(OR(H5562=1,I5562=1),0,IF(G5562="Credit",-F5562,F5562))</f>
        <v/>
      </c>
    </row>
    <row r="5563">
      <c r="A5563" t="inlineStr">
        <is>
          <t>2026-08-24</t>
        </is>
      </c>
      <c r="B5563" t="inlineStr">
        <is>
          <t>F279807</t>
        </is>
      </c>
      <c r="C5563" t="inlineStr">
        <is>
          <t>C11050</t>
        </is>
      </c>
      <c r="D5563" t="inlineStr">
        <is>
          <t>SKU-10011</t>
        </is>
      </c>
      <c r="E5563" t="inlineStr">
        <is>
          <t>AM01</t>
        </is>
      </c>
      <c r="F5563" s="5" t="n">
        <v>186.35</v>
      </c>
      <c r="G5563">
        <f>IF(LEFT(B5563,1)="C","Credit","Factuur")</f>
        <v/>
      </c>
      <c r="H5563">
        <f>IF(AND(B5563=B5562,D5563=D5562,A5563=A5562,F5563=F5562),1,0)</f>
        <v/>
      </c>
      <c r="I5563">
        <f>IF(C5563="C99999",1,0)</f>
        <v/>
      </c>
      <c r="J5563" s="5">
        <f>IF(OR(H5563=1,I5563=1),0,IF(G5563="Credit",-F5563,F5563))</f>
        <v/>
      </c>
    </row>
    <row r="5564">
      <c r="A5564" t="inlineStr">
        <is>
          <t>2026-08-24</t>
        </is>
      </c>
      <c r="B5564" t="inlineStr">
        <is>
          <t>F279807</t>
        </is>
      </c>
      <c r="C5564" t="inlineStr">
        <is>
          <t>C11050</t>
        </is>
      </c>
      <c r="D5564" t="inlineStr">
        <is>
          <t>SKU-10064</t>
        </is>
      </c>
      <c r="E5564" t="inlineStr">
        <is>
          <t>AM01</t>
        </is>
      </c>
      <c r="F5564" s="5" t="n">
        <v>235.68</v>
      </c>
      <c r="G5564">
        <f>IF(LEFT(B5564,1)="C","Credit","Factuur")</f>
        <v/>
      </c>
      <c r="H5564">
        <f>IF(AND(B5564=B5563,D5564=D5563,A5564=A5563,F5564=F5563),1,0)</f>
        <v/>
      </c>
      <c r="I5564">
        <f>IF(C5564="C99999",1,0)</f>
        <v/>
      </c>
      <c r="J5564" s="5">
        <f>IF(OR(H5564=1,I5564=1),0,IF(G5564="Credit",-F5564,F5564))</f>
        <v/>
      </c>
    </row>
    <row r="5565">
      <c r="A5565" t="inlineStr">
        <is>
          <t>2026-08-24</t>
        </is>
      </c>
      <c r="B5565" t="inlineStr">
        <is>
          <t>F279807</t>
        </is>
      </c>
      <c r="C5565" t="inlineStr">
        <is>
          <t>C11050</t>
        </is>
      </c>
      <c r="D5565" t="inlineStr">
        <is>
          <t>SKU-10128</t>
        </is>
      </c>
      <c r="E5565" t="inlineStr">
        <is>
          <t>AM01</t>
        </is>
      </c>
      <c r="F5565" s="5" t="n">
        <v>214.26</v>
      </c>
      <c r="G5565">
        <f>IF(LEFT(B5565,1)="C","Credit","Factuur")</f>
        <v/>
      </c>
      <c r="H5565">
        <f>IF(AND(B5565=B5564,D5565=D5564,A5565=A5564,F5565=F5564),1,0)</f>
        <v/>
      </c>
      <c r="I5565">
        <f>IF(C5565="C99999",1,0)</f>
        <v/>
      </c>
      <c r="J5565" s="5">
        <f>IF(OR(H5565=1,I5565=1),0,IF(G5565="Credit",-F5565,F5565))</f>
        <v/>
      </c>
    </row>
    <row r="5566">
      <c r="A5566" t="inlineStr">
        <is>
          <t>2026-08-24</t>
        </is>
      </c>
      <c r="B5566" t="inlineStr">
        <is>
          <t>F279807</t>
        </is>
      </c>
      <c r="C5566" t="inlineStr">
        <is>
          <t>C11050</t>
        </is>
      </c>
      <c r="D5566" t="inlineStr">
        <is>
          <t>SKU-10344</t>
        </is>
      </c>
      <c r="E5566" t="inlineStr">
        <is>
          <t>AM01</t>
        </is>
      </c>
      <c r="F5566" s="5" t="n">
        <v>224</v>
      </c>
      <c r="G5566">
        <f>IF(LEFT(B5566,1)="C","Credit","Factuur")</f>
        <v/>
      </c>
      <c r="H5566">
        <f>IF(AND(B5566=B5565,D5566=D5565,A5566=A5565,F5566=F5565),1,0)</f>
        <v/>
      </c>
      <c r="I5566">
        <f>IF(C5566="C99999",1,0)</f>
        <v/>
      </c>
      <c r="J5566" s="5">
        <f>IF(OR(H5566=1,I5566=1),0,IF(G5566="Credit",-F5566,F5566))</f>
        <v/>
      </c>
    </row>
    <row r="5567">
      <c r="A5567" t="inlineStr">
        <is>
          <t>2026-08-24</t>
        </is>
      </c>
      <c r="B5567" t="inlineStr">
        <is>
          <t>F280601</t>
        </is>
      </c>
      <c r="C5567" t="inlineStr">
        <is>
          <t>C11085</t>
        </is>
      </c>
      <c r="D5567" t="inlineStr">
        <is>
          <t>SKU-10116</t>
        </is>
      </c>
      <c r="E5567" t="inlineStr">
        <is>
          <t>AM06</t>
        </is>
      </c>
      <c r="F5567" s="5" t="n">
        <v>130.2</v>
      </c>
      <c r="G5567">
        <f>IF(LEFT(B5567,1)="C","Credit","Factuur")</f>
        <v/>
      </c>
      <c r="H5567">
        <f>IF(AND(B5567=B5566,D5567=D5566,A5567=A5566,F5567=F5566),1,0)</f>
        <v/>
      </c>
      <c r="I5567">
        <f>IF(C5567="C99999",1,0)</f>
        <v/>
      </c>
      <c r="J5567" s="5">
        <f>IF(OR(H5567=1,I5567=1),0,IF(G5567="Credit",-F5567,F5567))</f>
        <v/>
      </c>
    </row>
    <row r="5568">
      <c r="A5568" t="inlineStr">
        <is>
          <t>2026-08-24</t>
        </is>
      </c>
      <c r="B5568" t="inlineStr">
        <is>
          <t>F280601</t>
        </is>
      </c>
      <c r="C5568" t="inlineStr">
        <is>
          <t>C11085</t>
        </is>
      </c>
      <c r="D5568" t="inlineStr">
        <is>
          <t>SKU-10222</t>
        </is>
      </c>
      <c r="E5568" t="inlineStr">
        <is>
          <t>AM06</t>
        </is>
      </c>
      <c r="F5568" s="5" t="n">
        <v>151.34</v>
      </c>
      <c r="G5568">
        <f>IF(LEFT(B5568,1)="C","Credit","Factuur")</f>
        <v/>
      </c>
      <c r="H5568">
        <f>IF(AND(B5568=B5567,D5568=D5567,A5568=A5567,F5568=F5567),1,0)</f>
        <v/>
      </c>
      <c r="I5568">
        <f>IF(C5568="C99999",1,0)</f>
        <v/>
      </c>
      <c r="J5568" s="5">
        <f>IF(OR(H5568=1,I5568=1),0,IF(G5568="Credit",-F5568,F5568))</f>
        <v/>
      </c>
    </row>
    <row r="5569">
      <c r="A5569" t="inlineStr">
        <is>
          <t>2026-08-24</t>
        </is>
      </c>
      <c r="B5569" t="inlineStr">
        <is>
          <t>F280601</t>
        </is>
      </c>
      <c r="C5569" t="inlineStr">
        <is>
          <t>C11085</t>
        </is>
      </c>
      <c r="D5569" t="inlineStr">
        <is>
          <t>SKU-10258</t>
        </is>
      </c>
      <c r="E5569" t="inlineStr">
        <is>
          <t>AM06</t>
        </is>
      </c>
      <c r="F5569" s="5" t="n">
        <v>153.81</v>
      </c>
      <c r="G5569">
        <f>IF(LEFT(B5569,1)="C","Credit","Factuur")</f>
        <v/>
      </c>
      <c r="H5569">
        <f>IF(AND(B5569=B5568,D5569=D5568,A5569=A5568,F5569=F5568),1,0)</f>
        <v/>
      </c>
      <c r="I5569">
        <f>IF(C5569="C99999",1,0)</f>
        <v/>
      </c>
      <c r="J5569" s="5">
        <f>IF(OR(H5569=1,I5569=1),0,IF(G5569="Credit",-F5569,F5569))</f>
        <v/>
      </c>
    </row>
    <row r="5570">
      <c r="A5570" t="inlineStr">
        <is>
          <t>2026-08-24</t>
        </is>
      </c>
      <c r="B5570" t="inlineStr">
        <is>
          <t>F280601</t>
        </is>
      </c>
      <c r="C5570" t="inlineStr">
        <is>
          <t>C11085</t>
        </is>
      </c>
      <c r="D5570" t="inlineStr">
        <is>
          <t>SKU-10266</t>
        </is>
      </c>
      <c r="E5570" t="inlineStr">
        <is>
          <t>AM06</t>
        </is>
      </c>
      <c r="F5570" s="5" t="n">
        <v>143.2</v>
      </c>
      <c r="G5570">
        <f>IF(LEFT(B5570,1)="C","Credit","Factuur")</f>
        <v/>
      </c>
      <c r="H5570">
        <f>IF(AND(B5570=B5569,D5570=D5569,A5570=A5569,F5570=F5569),1,0)</f>
        <v/>
      </c>
      <c r="I5570">
        <f>IF(C5570="C99999",1,0)</f>
        <v/>
      </c>
      <c r="J5570" s="5">
        <f>IF(OR(H5570=1,I5570=1),0,IF(G5570="Credit",-F5570,F5570))</f>
        <v/>
      </c>
    </row>
    <row r="5571">
      <c r="A5571" t="inlineStr">
        <is>
          <t>2026-08-24</t>
        </is>
      </c>
      <c r="B5571" t="inlineStr">
        <is>
          <t>F280601</t>
        </is>
      </c>
      <c r="C5571" t="inlineStr">
        <is>
          <t>C11085</t>
        </is>
      </c>
      <c r="D5571" t="inlineStr">
        <is>
          <t>SKU-10294</t>
        </is>
      </c>
      <c r="E5571" t="inlineStr">
        <is>
          <t>AM06</t>
        </is>
      </c>
      <c r="F5571" s="5" t="n">
        <v>125.36</v>
      </c>
      <c r="G5571">
        <f>IF(LEFT(B5571,1)="C","Credit","Factuur")</f>
        <v/>
      </c>
      <c r="H5571">
        <f>IF(AND(B5571=B5570,D5571=D5570,A5571=A5570,F5571=F5570),1,0)</f>
        <v/>
      </c>
      <c r="I5571">
        <f>IF(C5571="C99999",1,0)</f>
        <v/>
      </c>
      <c r="J5571" s="5">
        <f>IF(OR(H5571=1,I5571=1),0,IF(G5571="Credit",-F5571,F5571))</f>
        <v/>
      </c>
    </row>
    <row r="5572">
      <c r="A5572" t="inlineStr">
        <is>
          <t>2026-08-24</t>
        </is>
      </c>
      <c r="B5572" t="inlineStr">
        <is>
          <t>F280601</t>
        </is>
      </c>
      <c r="C5572" t="inlineStr">
        <is>
          <t>C11085</t>
        </is>
      </c>
      <c r="D5572" t="inlineStr">
        <is>
          <t>SKU-10302</t>
        </is>
      </c>
      <c r="E5572" t="inlineStr">
        <is>
          <t>AM06</t>
        </is>
      </c>
      <c r="F5572" s="5" t="n">
        <v>125.14</v>
      </c>
      <c r="G5572">
        <f>IF(LEFT(B5572,1)="C","Credit","Factuur")</f>
        <v/>
      </c>
      <c r="H5572">
        <f>IF(AND(B5572=B5571,D5572=D5571,A5572=A5571,F5572=F5571),1,0)</f>
        <v/>
      </c>
      <c r="I5572">
        <f>IF(C5572="C99999",1,0)</f>
        <v/>
      </c>
      <c r="J5572" s="5">
        <f>IF(OR(H5572=1,I5572=1),0,IF(G5572="Credit",-F5572,F5572))</f>
        <v/>
      </c>
    </row>
    <row r="5573">
      <c r="A5573" t="inlineStr">
        <is>
          <t>2026-08-24</t>
        </is>
      </c>
      <c r="B5573" t="inlineStr">
        <is>
          <t>F280601</t>
        </is>
      </c>
      <c r="C5573" t="inlineStr">
        <is>
          <t>C11085</t>
        </is>
      </c>
      <c r="D5573" t="inlineStr">
        <is>
          <t>SKU-10330</t>
        </is>
      </c>
      <c r="E5573" t="inlineStr">
        <is>
          <t>AM06</t>
        </is>
      </c>
      <c r="F5573" s="5" t="n">
        <v>134.38</v>
      </c>
      <c r="G5573">
        <f>IF(LEFT(B5573,1)="C","Credit","Factuur")</f>
        <v/>
      </c>
      <c r="H5573">
        <f>IF(AND(B5573=B5572,D5573=D5572,A5573=A5572,F5573=F5572),1,0)</f>
        <v/>
      </c>
      <c r="I5573">
        <f>IF(C5573="C99999",1,0)</f>
        <v/>
      </c>
      <c r="J5573" s="5">
        <f>IF(OR(H5573=1,I5573=1),0,IF(G5573="Credit",-F5573,F5573))</f>
        <v/>
      </c>
    </row>
    <row r="5574">
      <c r="A5574" t="inlineStr">
        <is>
          <t>2026-08-24</t>
        </is>
      </c>
      <c r="B5574" t="inlineStr">
        <is>
          <t>F280729</t>
        </is>
      </c>
      <c r="C5574" t="inlineStr">
        <is>
          <t>C11094</t>
        </is>
      </c>
      <c r="D5574" t="inlineStr">
        <is>
          <t>SKU-10064</t>
        </is>
      </c>
      <c r="E5574" t="inlineStr">
        <is>
          <t>AM12</t>
        </is>
      </c>
      <c r="F5574" s="5" t="n">
        <v>314.24</v>
      </c>
      <c r="G5574">
        <f>IF(LEFT(B5574,1)="C","Credit","Factuur")</f>
        <v/>
      </c>
      <c r="H5574">
        <f>IF(AND(B5574=B5573,D5574=D5573,A5574=A5573,F5574=F5573),1,0)</f>
        <v/>
      </c>
      <c r="I5574">
        <f>IF(C5574="C99999",1,0)</f>
        <v/>
      </c>
      <c r="J5574" s="5">
        <f>IF(OR(H5574=1,I5574=1),0,IF(G5574="Credit",-F5574,F5574))</f>
        <v/>
      </c>
    </row>
    <row r="5575">
      <c r="A5575" t="inlineStr">
        <is>
          <t>2026-08-24</t>
        </is>
      </c>
      <c r="B5575" t="inlineStr">
        <is>
          <t>F280729</t>
        </is>
      </c>
      <c r="C5575" t="inlineStr">
        <is>
          <t>C11094</t>
        </is>
      </c>
      <c r="D5575" t="inlineStr">
        <is>
          <t>SKU-10111</t>
        </is>
      </c>
      <c r="E5575" t="inlineStr">
        <is>
          <t>AM12</t>
        </is>
      </c>
      <c r="F5575" s="5" t="n">
        <v>302.2</v>
      </c>
      <c r="G5575">
        <f>IF(LEFT(B5575,1)="C","Credit","Factuur")</f>
        <v/>
      </c>
      <c r="H5575">
        <f>IF(AND(B5575=B5574,D5575=D5574,A5575=A5574,F5575=F5574),1,0)</f>
        <v/>
      </c>
      <c r="I5575">
        <f>IF(C5575="C99999",1,0)</f>
        <v/>
      </c>
      <c r="J5575" s="5">
        <f>IF(OR(H5575=1,I5575=1),0,IF(G5575="Credit",-F5575,F5575))</f>
        <v/>
      </c>
    </row>
    <row r="5576">
      <c r="A5576" t="inlineStr">
        <is>
          <t>2026-08-24</t>
        </is>
      </c>
      <c r="B5576" t="inlineStr">
        <is>
          <t>F280729</t>
        </is>
      </c>
      <c r="C5576" t="inlineStr">
        <is>
          <t>C11094</t>
        </is>
      </c>
      <c r="D5576" t="inlineStr">
        <is>
          <t>SKU-10225</t>
        </is>
      </c>
      <c r="E5576" t="inlineStr">
        <is>
          <t>AM12</t>
        </is>
      </c>
      <c r="F5576" s="5" t="n">
        <v>299.44</v>
      </c>
      <c r="G5576">
        <f>IF(LEFT(B5576,1)="C","Credit","Factuur")</f>
        <v/>
      </c>
      <c r="H5576">
        <f>IF(AND(B5576=B5575,D5576=D5575,A5576=A5575,F5576=F5575),1,0)</f>
        <v/>
      </c>
      <c r="I5576">
        <f>IF(C5576="C99999",1,0)</f>
        <v/>
      </c>
      <c r="J5576" s="5">
        <f>IF(OR(H5576=1,I5576=1),0,IF(G5576="Credit",-F5576,F5576))</f>
        <v/>
      </c>
    </row>
    <row r="5577">
      <c r="A5577" t="inlineStr">
        <is>
          <t>2026-08-24</t>
        </is>
      </c>
      <c r="B5577" t="inlineStr">
        <is>
          <t>F280729</t>
        </is>
      </c>
      <c r="C5577" t="inlineStr">
        <is>
          <t>C11094</t>
        </is>
      </c>
      <c r="D5577" t="inlineStr">
        <is>
          <t>SKU-10248</t>
        </is>
      </c>
      <c r="E5577" t="inlineStr">
        <is>
          <t>AM12</t>
        </is>
      </c>
      <c r="F5577" s="5" t="n">
        <v>308.1</v>
      </c>
      <c r="G5577">
        <f>IF(LEFT(B5577,1)="C","Credit","Factuur")</f>
        <v/>
      </c>
      <c r="H5577">
        <f>IF(AND(B5577=B5576,D5577=D5576,A5577=A5576,F5577=F5576),1,0)</f>
        <v/>
      </c>
      <c r="I5577">
        <f>IF(C5577="C99999",1,0)</f>
        <v/>
      </c>
      <c r="J5577" s="5">
        <f>IF(OR(H5577=1,I5577=1),0,IF(G5577="Credit",-F5577,F5577))</f>
        <v/>
      </c>
    </row>
    <row r="5578">
      <c r="A5578" t="inlineStr">
        <is>
          <t>2026-08-24</t>
        </is>
      </c>
      <c r="B5578" t="inlineStr">
        <is>
          <t>F280729</t>
        </is>
      </c>
      <c r="C5578" t="inlineStr">
        <is>
          <t>C11094</t>
        </is>
      </c>
      <c r="D5578" t="inlineStr">
        <is>
          <t>SKU-10270</t>
        </is>
      </c>
      <c r="E5578" t="inlineStr">
        <is>
          <t>AM12</t>
        </is>
      </c>
      <c r="F5578" s="5" t="n">
        <v>282.4</v>
      </c>
      <c r="G5578">
        <f>IF(LEFT(B5578,1)="C","Credit","Factuur")</f>
        <v/>
      </c>
      <c r="H5578">
        <f>IF(AND(B5578=B5577,D5578=D5577,A5578=A5577,F5578=F5577),1,0)</f>
        <v/>
      </c>
      <c r="I5578">
        <f>IF(C5578="C99999",1,0)</f>
        <v/>
      </c>
      <c r="J5578" s="5">
        <f>IF(OR(H5578=1,I5578=1),0,IF(G5578="Credit",-F5578,F5578))</f>
        <v/>
      </c>
    </row>
    <row r="5579">
      <c r="A5579" t="inlineStr">
        <is>
          <t>2026-08-24</t>
        </is>
      </c>
      <c r="B5579" t="inlineStr">
        <is>
          <t>F282137</t>
        </is>
      </c>
      <c r="C5579" t="inlineStr">
        <is>
          <t>C11163</t>
        </is>
      </c>
      <c r="D5579" t="inlineStr">
        <is>
          <t>SKU-10060</t>
        </is>
      </c>
      <c r="E5579" t="inlineStr">
        <is>
          <t>AM01</t>
        </is>
      </c>
      <c r="F5579" s="5" t="n">
        <v>176.4</v>
      </c>
      <c r="G5579">
        <f>IF(LEFT(B5579,1)="C","Credit","Factuur")</f>
        <v/>
      </c>
      <c r="H5579">
        <f>IF(AND(B5579=B5578,D5579=D5578,A5579=A5578,F5579=F5578),1,0)</f>
        <v/>
      </c>
      <c r="I5579">
        <f>IF(C5579="C99999",1,0)</f>
        <v/>
      </c>
      <c r="J5579" s="5">
        <f>IF(OR(H5579=1,I5579=1),0,IF(G5579="Credit",-F5579,F5579))</f>
        <v/>
      </c>
    </row>
    <row r="5580">
      <c r="A5580" t="inlineStr">
        <is>
          <t>2026-08-24</t>
        </is>
      </c>
      <c r="B5580" t="inlineStr">
        <is>
          <t>F282820</t>
        </is>
      </c>
      <c r="C5580" t="inlineStr">
        <is>
          <t>C11199</t>
        </is>
      </c>
      <c r="D5580" t="inlineStr">
        <is>
          <t>SKU-10003</t>
        </is>
      </c>
      <c r="E5580" t="inlineStr">
        <is>
          <t>AM11</t>
        </is>
      </c>
      <c r="F5580" s="5" t="n">
        <v>523.45</v>
      </c>
      <c r="G5580">
        <f>IF(LEFT(B5580,1)="C","Credit","Factuur")</f>
        <v/>
      </c>
      <c r="H5580">
        <f>IF(AND(B5580=B5579,D5580=D5579,A5580=A5579,F5580=F5579),1,0)</f>
        <v/>
      </c>
      <c r="I5580">
        <f>IF(C5580="C99999",1,0)</f>
        <v/>
      </c>
      <c r="J5580" s="5">
        <f>IF(OR(H5580=1,I5580=1),0,IF(G5580="Credit",-F5580,F5580))</f>
        <v/>
      </c>
    </row>
    <row r="5581">
      <c r="A5581" t="inlineStr">
        <is>
          <t>2026-08-24</t>
        </is>
      </c>
      <c r="B5581" t="inlineStr">
        <is>
          <t>F282820</t>
        </is>
      </c>
      <c r="C5581" t="inlineStr">
        <is>
          <t>C11199</t>
        </is>
      </c>
      <c r="D5581" t="inlineStr">
        <is>
          <t>SKU-10356</t>
        </is>
      </c>
      <c r="E5581" t="inlineStr">
        <is>
          <t>AM11</t>
        </is>
      </c>
      <c r="F5581" s="5" t="n">
        <v>510.86</v>
      </c>
      <c r="G5581">
        <f>IF(LEFT(B5581,1)="C","Credit","Factuur")</f>
        <v/>
      </c>
      <c r="H5581">
        <f>IF(AND(B5581=B5580,D5581=D5580,A5581=A5580,F5581=F5580),1,0)</f>
        <v/>
      </c>
      <c r="I5581">
        <f>IF(C5581="C99999",1,0)</f>
        <v/>
      </c>
      <c r="J5581" s="5">
        <f>IF(OR(H5581=1,I5581=1),0,IF(G5581="Credit",-F5581,F5581))</f>
        <v/>
      </c>
    </row>
    <row r="5582">
      <c r="A5582" t="inlineStr">
        <is>
          <t>2026-08-24</t>
        </is>
      </c>
      <c r="B5582" t="inlineStr">
        <is>
          <t>F282820</t>
        </is>
      </c>
      <c r="C5582" t="inlineStr">
        <is>
          <t>C11199</t>
        </is>
      </c>
      <c r="D5582" t="inlineStr">
        <is>
          <t>SKU-10360</t>
        </is>
      </c>
      <c r="E5582" t="inlineStr">
        <is>
          <t>AM11</t>
        </is>
      </c>
      <c r="F5582" s="5" t="n">
        <v>589.92</v>
      </c>
      <c r="G5582">
        <f>IF(LEFT(B5582,1)="C","Credit","Factuur")</f>
        <v/>
      </c>
      <c r="H5582">
        <f>IF(AND(B5582=B5581,D5582=D5581,A5582=A5581,F5582=F5581),1,0)</f>
        <v/>
      </c>
      <c r="I5582">
        <f>IF(C5582="C99999",1,0)</f>
        <v/>
      </c>
      <c r="J5582" s="5">
        <f>IF(OR(H5582=1,I5582=1),0,IF(G5582="Credit",-F5582,F5582))</f>
        <v/>
      </c>
    </row>
    <row r="5583">
      <c r="A5583" t="inlineStr">
        <is>
          <t>2026-08-24</t>
        </is>
      </c>
      <c r="B5583" t="inlineStr">
        <is>
          <t>F283680</t>
        </is>
      </c>
      <c r="C5583" t="inlineStr">
        <is>
          <t>C11241</t>
        </is>
      </c>
      <c r="D5583" t="inlineStr">
        <is>
          <t>SKU-10001</t>
        </is>
      </c>
      <c r="E5583" t="inlineStr">
        <is>
          <t>AM07</t>
        </is>
      </c>
      <c r="F5583" s="5" t="n">
        <v>277.42</v>
      </c>
      <c r="G5583">
        <f>IF(LEFT(B5583,1)="C","Credit","Factuur")</f>
        <v/>
      </c>
      <c r="H5583">
        <f>IF(AND(B5583=B5582,D5583=D5582,A5583=A5582,F5583=F5582),1,0)</f>
        <v/>
      </c>
      <c r="I5583">
        <f>IF(C5583="C99999",1,0)</f>
        <v/>
      </c>
      <c r="J5583" s="5">
        <f>IF(OR(H5583=1,I5583=1),0,IF(G5583="Credit",-F5583,F5583))</f>
        <v/>
      </c>
    </row>
    <row r="5584">
      <c r="A5584" t="inlineStr">
        <is>
          <t>2026-08-24</t>
        </is>
      </c>
      <c r="B5584" t="inlineStr">
        <is>
          <t>F283680</t>
        </is>
      </c>
      <c r="C5584" t="inlineStr">
        <is>
          <t>C11241</t>
        </is>
      </c>
      <c r="D5584" t="inlineStr">
        <is>
          <t>SKU-10278</t>
        </is>
      </c>
      <c r="E5584" t="inlineStr">
        <is>
          <t>AM07</t>
        </is>
      </c>
      <c r="F5584" s="5" t="n">
        <v>259.6</v>
      </c>
      <c r="G5584">
        <f>IF(LEFT(B5584,1)="C","Credit","Factuur")</f>
        <v/>
      </c>
      <c r="H5584">
        <f>IF(AND(B5584=B5583,D5584=D5583,A5584=A5583,F5584=F5583),1,0)</f>
        <v/>
      </c>
      <c r="I5584">
        <f>IF(C5584="C99999",1,0)</f>
        <v/>
      </c>
      <c r="J5584" s="5">
        <f>IF(OR(H5584=1,I5584=1),0,IF(G5584="Credit",-F5584,F5584))</f>
        <v/>
      </c>
    </row>
    <row r="5585">
      <c r="A5585" t="inlineStr">
        <is>
          <t>2026-08-24</t>
        </is>
      </c>
      <c r="B5585" t="inlineStr">
        <is>
          <t>F283680</t>
        </is>
      </c>
      <c r="C5585" t="inlineStr">
        <is>
          <t>C11241</t>
        </is>
      </c>
      <c r="D5585" t="inlineStr">
        <is>
          <t>SKU-10318</t>
        </is>
      </c>
      <c r="E5585" t="inlineStr">
        <is>
          <t>AM07</t>
        </is>
      </c>
      <c r="F5585" s="5" t="n">
        <v>251.32</v>
      </c>
      <c r="G5585">
        <f>IF(LEFT(B5585,1)="C","Credit","Factuur")</f>
        <v/>
      </c>
      <c r="H5585">
        <f>IF(AND(B5585=B5584,D5585=D5584,A5585=A5584,F5585=F5584),1,0)</f>
        <v/>
      </c>
      <c r="I5585">
        <f>IF(C5585="C99999",1,0)</f>
        <v/>
      </c>
      <c r="J5585" s="5">
        <f>IF(OR(H5585=1,I5585=1),0,IF(G5585="Credit",-F5585,F5585))</f>
        <v/>
      </c>
    </row>
    <row r="5586">
      <c r="A5586" t="inlineStr">
        <is>
          <t>2026-08-24</t>
        </is>
      </c>
      <c r="B5586" t="inlineStr">
        <is>
          <t>F283680</t>
        </is>
      </c>
      <c r="C5586" t="inlineStr">
        <is>
          <t>C11241</t>
        </is>
      </c>
      <c r="D5586" t="inlineStr">
        <is>
          <t>SKU-10385</t>
        </is>
      </c>
      <c r="E5586" t="inlineStr">
        <is>
          <t>AM07</t>
        </is>
      </c>
      <c r="F5586" s="5" t="n">
        <v>259.18</v>
      </c>
      <c r="G5586">
        <f>IF(LEFT(B5586,1)="C","Credit","Factuur")</f>
        <v/>
      </c>
      <c r="H5586">
        <f>IF(AND(B5586=B5585,D5586=D5585,A5586=A5585,F5586=F5585),1,0)</f>
        <v/>
      </c>
      <c r="I5586">
        <f>IF(C5586="C99999",1,0)</f>
        <v/>
      </c>
      <c r="J5586" s="5">
        <f>IF(OR(H5586=1,I5586=1),0,IF(G5586="Credit",-F5586,F5586))</f>
        <v/>
      </c>
    </row>
    <row r="5587">
      <c r="A5587" t="inlineStr">
        <is>
          <t>2026-08-24</t>
        </is>
      </c>
      <c r="B5587" t="inlineStr">
        <is>
          <t>F284044</t>
        </is>
      </c>
      <c r="C5587" t="inlineStr">
        <is>
          <t>C11256</t>
        </is>
      </c>
      <c r="D5587" t="inlineStr">
        <is>
          <t>SKU-10072</t>
        </is>
      </c>
      <c r="E5587" t="inlineStr">
        <is>
          <t>AM08</t>
        </is>
      </c>
      <c r="F5587" s="5" t="n">
        <v>595.42</v>
      </c>
      <c r="G5587">
        <f>IF(LEFT(B5587,1)="C","Credit","Factuur")</f>
        <v/>
      </c>
      <c r="H5587">
        <f>IF(AND(B5587=B5586,D5587=D5586,A5587=A5586,F5587=F5586),1,0)</f>
        <v/>
      </c>
      <c r="I5587">
        <f>IF(C5587="C99999",1,0)</f>
        <v/>
      </c>
      <c r="J5587" s="5">
        <f>IF(OR(H5587=1,I5587=1),0,IF(G5587="Credit",-F5587,F5587))</f>
        <v/>
      </c>
    </row>
    <row r="5588">
      <c r="A5588" t="inlineStr">
        <is>
          <t>2026-08-24</t>
        </is>
      </c>
      <c r="B5588" t="inlineStr">
        <is>
          <t>F284044</t>
        </is>
      </c>
      <c r="C5588" t="inlineStr">
        <is>
          <t>C11256</t>
        </is>
      </c>
      <c r="D5588" t="inlineStr">
        <is>
          <t>SKU-10169</t>
        </is>
      </c>
      <c r="E5588" t="inlineStr">
        <is>
          <t>AM08</t>
        </is>
      </c>
      <c r="F5588" s="5" t="n">
        <v>615.66</v>
      </c>
      <c r="G5588">
        <f>IF(LEFT(B5588,1)="C","Credit","Factuur")</f>
        <v/>
      </c>
      <c r="H5588">
        <f>IF(AND(B5588=B5587,D5588=D5587,A5588=A5587,F5588=F5587),1,0)</f>
        <v/>
      </c>
      <c r="I5588">
        <f>IF(C5588="C99999",1,0)</f>
        <v/>
      </c>
      <c r="J5588" s="5">
        <f>IF(OR(H5588=1,I5588=1),0,IF(G5588="Credit",-F5588,F5588))</f>
        <v/>
      </c>
    </row>
    <row r="5589">
      <c r="A5589" t="inlineStr">
        <is>
          <t>2026-08-24</t>
        </is>
      </c>
      <c r="B5589" t="inlineStr">
        <is>
          <t>F284044</t>
        </is>
      </c>
      <c r="C5589" t="inlineStr">
        <is>
          <t>C11256</t>
        </is>
      </c>
      <c r="D5589" t="inlineStr">
        <is>
          <t>SKU-10210</t>
        </is>
      </c>
      <c r="E5589" t="inlineStr">
        <is>
          <t>AM08</t>
        </is>
      </c>
      <c r="F5589" s="5" t="n">
        <v>651.3</v>
      </c>
      <c r="G5589">
        <f>IF(LEFT(B5589,1)="C","Credit","Factuur")</f>
        <v/>
      </c>
      <c r="H5589">
        <f>IF(AND(B5589=B5588,D5589=D5588,A5589=A5588,F5589=F5588),1,0)</f>
        <v/>
      </c>
      <c r="I5589">
        <f>IF(C5589="C99999",1,0)</f>
        <v/>
      </c>
      <c r="J5589" s="5">
        <f>IF(OR(H5589=1,I5589=1),0,IF(G5589="Credit",-F5589,F5589))</f>
        <v/>
      </c>
    </row>
    <row r="5590">
      <c r="A5590" t="inlineStr">
        <is>
          <t>2026-08-24</t>
        </is>
      </c>
      <c r="B5590" t="inlineStr">
        <is>
          <t>F284044</t>
        </is>
      </c>
      <c r="C5590" t="inlineStr">
        <is>
          <t>C11256</t>
        </is>
      </c>
      <c r="D5590" t="inlineStr">
        <is>
          <t>SKU-10243</t>
        </is>
      </c>
      <c r="E5590" t="inlineStr">
        <is>
          <t>AM08</t>
        </is>
      </c>
      <c r="F5590" s="5" t="n">
        <v>646.5599999999999</v>
      </c>
      <c r="G5590">
        <f>IF(LEFT(B5590,1)="C","Credit","Factuur")</f>
        <v/>
      </c>
      <c r="H5590">
        <f>IF(AND(B5590=B5589,D5590=D5589,A5590=A5589,F5590=F5589),1,0)</f>
        <v/>
      </c>
      <c r="I5590">
        <f>IF(C5590="C99999",1,0)</f>
        <v/>
      </c>
      <c r="J5590" s="5">
        <f>IF(OR(H5590=1,I5590=1),0,IF(G5590="Credit",-F5590,F5590))</f>
        <v/>
      </c>
    </row>
    <row r="5591">
      <c r="A5591" t="inlineStr">
        <is>
          <t>2026-08-24</t>
        </is>
      </c>
      <c r="B5591" t="inlineStr">
        <is>
          <t>F284044</t>
        </is>
      </c>
      <c r="C5591" t="inlineStr">
        <is>
          <t>C11256</t>
        </is>
      </c>
      <c r="D5591" t="inlineStr">
        <is>
          <t>SKU-10315</t>
        </is>
      </c>
      <c r="E5591" t="inlineStr">
        <is>
          <t>AM08</t>
        </is>
      </c>
      <c r="F5591" s="5" t="n">
        <v>620.73</v>
      </c>
      <c r="G5591">
        <f>IF(LEFT(B5591,1)="C","Credit","Factuur")</f>
        <v/>
      </c>
      <c r="H5591">
        <f>IF(AND(B5591=B5590,D5591=D5590,A5591=A5590,F5591=F5590),1,0)</f>
        <v/>
      </c>
      <c r="I5591">
        <f>IF(C5591="C99999",1,0)</f>
        <v/>
      </c>
      <c r="J5591" s="5">
        <f>IF(OR(H5591=1,I5591=1),0,IF(G5591="Credit",-F5591,F5591))</f>
        <v/>
      </c>
    </row>
    <row r="5592">
      <c r="A5592" t="inlineStr">
        <is>
          <t>2026-08-24</t>
        </is>
      </c>
      <c r="B5592" t="inlineStr">
        <is>
          <t>F285030</t>
        </is>
      </c>
      <c r="C5592" t="inlineStr">
        <is>
          <t>C11309</t>
        </is>
      </c>
      <c r="D5592" t="inlineStr">
        <is>
          <t>SKU-10136</t>
        </is>
      </c>
      <c r="E5592" t="inlineStr">
        <is>
          <t>AM05</t>
        </is>
      </c>
      <c r="F5592" s="5" t="n">
        <v>799.96</v>
      </c>
      <c r="G5592">
        <f>IF(LEFT(B5592,1)="C","Credit","Factuur")</f>
        <v/>
      </c>
      <c r="H5592">
        <f>IF(AND(B5592=B5591,D5592=D5591,A5592=A5591,F5592=F5591),1,0)</f>
        <v/>
      </c>
      <c r="I5592">
        <f>IF(C5592="C99999",1,0)</f>
        <v/>
      </c>
      <c r="J5592" s="5">
        <f>IF(OR(H5592=1,I5592=1),0,IF(G5592="Credit",-F5592,F5592))</f>
        <v/>
      </c>
    </row>
    <row r="5593">
      <c r="A5593" t="inlineStr">
        <is>
          <t>2026-08-24</t>
        </is>
      </c>
      <c r="B5593" t="inlineStr">
        <is>
          <t>F285129</t>
        </is>
      </c>
      <c r="C5593" t="inlineStr">
        <is>
          <t>C11317</t>
        </is>
      </c>
      <c r="D5593" t="inlineStr">
        <is>
          <t>SKU-10010</t>
        </is>
      </c>
      <c r="E5593" t="inlineStr">
        <is>
          <t>AM11</t>
        </is>
      </c>
      <c r="F5593" s="5" t="n">
        <v>485.32</v>
      </c>
      <c r="G5593">
        <f>IF(LEFT(B5593,1)="C","Credit","Factuur")</f>
        <v/>
      </c>
      <c r="H5593">
        <f>IF(AND(B5593=B5592,D5593=D5592,A5593=A5592,F5593=F5592),1,0)</f>
        <v/>
      </c>
      <c r="I5593">
        <f>IF(C5593="C99999",1,0)</f>
        <v/>
      </c>
      <c r="J5593" s="5">
        <f>IF(OR(H5593=1,I5593=1),0,IF(G5593="Credit",-F5593,F5593))</f>
        <v/>
      </c>
    </row>
    <row r="5594">
      <c r="A5594" t="inlineStr">
        <is>
          <t>2026-08-24</t>
        </is>
      </c>
      <c r="B5594" t="inlineStr">
        <is>
          <t>F285129</t>
        </is>
      </c>
      <c r="C5594" t="inlineStr">
        <is>
          <t>C11317</t>
        </is>
      </c>
      <c r="D5594" t="inlineStr">
        <is>
          <t>SKU-10294</t>
        </is>
      </c>
      <c r="E5594" t="inlineStr">
        <is>
          <t>AM11</t>
        </is>
      </c>
      <c r="F5594" s="5" t="n">
        <v>516.1799999999999</v>
      </c>
      <c r="G5594">
        <f>IF(LEFT(B5594,1)="C","Credit","Factuur")</f>
        <v/>
      </c>
      <c r="H5594">
        <f>IF(AND(B5594=B5593,D5594=D5593,A5594=A5593,F5594=F5593),1,0)</f>
        <v/>
      </c>
      <c r="I5594">
        <f>IF(C5594="C99999",1,0)</f>
        <v/>
      </c>
      <c r="J5594" s="5">
        <f>IF(OR(H5594=1,I5594=1),0,IF(G5594="Credit",-F5594,F5594))</f>
        <v/>
      </c>
    </row>
    <row r="5595">
      <c r="A5595" t="inlineStr">
        <is>
          <t>2026-08-24</t>
        </is>
      </c>
      <c r="B5595" t="inlineStr">
        <is>
          <t>F285129</t>
        </is>
      </c>
      <c r="C5595" t="inlineStr">
        <is>
          <t>C11317</t>
        </is>
      </c>
      <c r="D5595" t="inlineStr">
        <is>
          <t>SKU-10320</t>
        </is>
      </c>
      <c r="E5595" t="inlineStr">
        <is>
          <t>AM11</t>
        </is>
      </c>
      <c r="F5595" s="5" t="n">
        <v>508.53</v>
      </c>
      <c r="G5595">
        <f>IF(LEFT(B5595,1)="C","Credit","Factuur")</f>
        <v/>
      </c>
      <c r="H5595">
        <f>IF(AND(B5595=B5594,D5595=D5594,A5595=A5594,F5595=F5594),1,0)</f>
        <v/>
      </c>
      <c r="I5595">
        <f>IF(C5595="C99999",1,0)</f>
        <v/>
      </c>
      <c r="J5595" s="5">
        <f>IF(OR(H5595=1,I5595=1),0,IF(G5595="Credit",-F5595,F5595))</f>
        <v/>
      </c>
    </row>
    <row r="5596">
      <c r="A5596" t="inlineStr">
        <is>
          <t>2026-08-24</t>
        </is>
      </c>
      <c r="B5596" t="inlineStr">
        <is>
          <t>F285919</t>
        </is>
      </c>
      <c r="C5596" t="inlineStr">
        <is>
          <t>C11357</t>
        </is>
      </c>
      <c r="D5596" t="inlineStr">
        <is>
          <t>SKU-10209</t>
        </is>
      </c>
      <c r="E5596" t="inlineStr">
        <is>
          <t>AM02</t>
        </is>
      </c>
      <c r="F5596" s="5" t="n">
        <v>1450.08</v>
      </c>
      <c r="G5596">
        <f>IF(LEFT(B5596,1)="C","Credit","Factuur")</f>
        <v/>
      </c>
      <c r="H5596">
        <f>IF(AND(B5596=B5595,D5596=D5595,A5596=A5595,F5596=F5595),1,0)</f>
        <v/>
      </c>
      <c r="I5596">
        <f>IF(C5596="C99999",1,0)</f>
        <v/>
      </c>
      <c r="J5596" s="5">
        <f>IF(OR(H5596=1,I5596=1),0,IF(G5596="Credit",-F5596,F5596))</f>
        <v/>
      </c>
    </row>
    <row r="5597">
      <c r="A5597" t="inlineStr">
        <is>
          <t>2026-08-24</t>
        </is>
      </c>
      <c r="B5597" t="inlineStr">
        <is>
          <t>F285919</t>
        </is>
      </c>
      <c r="C5597" t="inlineStr">
        <is>
          <t>C11357</t>
        </is>
      </c>
      <c r="D5597" t="inlineStr">
        <is>
          <t>SKU-10219</t>
        </is>
      </c>
      <c r="E5597" t="inlineStr">
        <is>
          <t>AM02</t>
        </is>
      </c>
      <c r="F5597" s="5" t="n">
        <v>1520.76</v>
      </c>
      <c r="G5597">
        <f>IF(LEFT(B5597,1)="C","Credit","Factuur")</f>
        <v/>
      </c>
      <c r="H5597">
        <f>IF(AND(B5597=B5596,D5597=D5596,A5597=A5596,F5597=F5596),1,0)</f>
        <v/>
      </c>
      <c r="I5597">
        <f>IF(C5597="C99999",1,0)</f>
        <v/>
      </c>
      <c r="J5597" s="5">
        <f>IF(OR(H5597=1,I5597=1),0,IF(G5597="Credit",-F5597,F5597))</f>
        <v/>
      </c>
    </row>
    <row r="5598">
      <c r="A5598" t="inlineStr">
        <is>
          <t>2026-08-24</t>
        </is>
      </c>
      <c r="B5598" t="inlineStr">
        <is>
          <t>F285919</t>
        </is>
      </c>
      <c r="C5598" t="inlineStr">
        <is>
          <t>C11357</t>
        </is>
      </c>
      <c r="D5598" t="inlineStr">
        <is>
          <t>SKU-10268</t>
        </is>
      </c>
      <c r="E5598" t="inlineStr">
        <is>
          <t>AM02</t>
        </is>
      </c>
      <c r="F5598" s="5" t="n">
        <v>1521.44</v>
      </c>
      <c r="G5598">
        <f>IF(LEFT(B5598,1)="C","Credit","Factuur")</f>
        <v/>
      </c>
      <c r="H5598">
        <f>IF(AND(B5598=B5597,D5598=D5597,A5598=A5597,F5598=F5597),1,0)</f>
        <v/>
      </c>
      <c r="I5598">
        <f>IF(C5598="C99999",1,0)</f>
        <v/>
      </c>
      <c r="J5598" s="5">
        <f>IF(OR(H5598=1,I5598=1),0,IF(G5598="Credit",-F5598,F5598))</f>
        <v/>
      </c>
    </row>
    <row r="5599">
      <c r="A5599" t="inlineStr">
        <is>
          <t>2026-08-25</t>
        </is>
      </c>
      <c r="B5599" t="inlineStr">
        <is>
          <t>C901260</t>
        </is>
      </c>
      <c r="C5599" t="inlineStr">
        <is>
          <t>C10205</t>
        </is>
      </c>
      <c r="D5599" t="inlineStr">
        <is>
          <t>SKU-10238</t>
        </is>
      </c>
      <c r="E5599" t="inlineStr">
        <is>
          <t>AM12</t>
        </is>
      </c>
      <c r="F5599" s="5" t="n">
        <v>236.25</v>
      </c>
      <c r="G5599">
        <f>IF(LEFT(B5599,1)="C","Credit","Factuur")</f>
        <v/>
      </c>
      <c r="H5599">
        <f>IF(AND(B5599=B5598,D5599=D5598,A5599=A5598,F5599=F5598),1,0)</f>
        <v/>
      </c>
      <c r="I5599">
        <f>IF(C5599="C99999",1,0)</f>
        <v/>
      </c>
      <c r="J5599" s="5">
        <f>IF(OR(H5599=1,I5599=1),0,IF(G5599="Credit",-F5599,F5599))</f>
        <v/>
      </c>
    </row>
    <row r="5600">
      <c r="A5600" t="inlineStr">
        <is>
          <t>2026-08-25</t>
        </is>
      </c>
      <c r="B5600" t="inlineStr">
        <is>
          <t>C901465</t>
        </is>
      </c>
      <c r="C5600" t="inlineStr">
        <is>
          <t>C10711</t>
        </is>
      </c>
      <c r="D5600" t="inlineStr">
        <is>
          <t>SKU-10092</t>
        </is>
      </c>
      <c r="E5600" t="inlineStr">
        <is>
          <t>AM09</t>
        </is>
      </c>
      <c r="F5600" s="5" t="n">
        <v>2744.8</v>
      </c>
      <c r="G5600">
        <f>IF(LEFT(B5600,1)="C","Credit","Factuur")</f>
        <v/>
      </c>
      <c r="H5600">
        <f>IF(AND(B5600=B5599,D5600=D5599,A5600=A5599,F5600=F5599),1,0)</f>
        <v/>
      </c>
      <c r="I5600">
        <f>IF(C5600="C99999",1,0)</f>
        <v/>
      </c>
      <c r="J5600" s="5">
        <f>IF(OR(H5600=1,I5600=1),0,IF(G5600="Credit",-F5600,F5600))</f>
        <v/>
      </c>
    </row>
    <row r="5601">
      <c r="A5601" t="inlineStr">
        <is>
          <t>2026-08-25</t>
        </is>
      </c>
      <c r="B5601" t="inlineStr">
        <is>
          <t>C901672</t>
        </is>
      </c>
      <c r="C5601" t="inlineStr">
        <is>
          <t>C11190</t>
        </is>
      </c>
      <c r="D5601" t="inlineStr">
        <is>
          <t>SKU-10220</t>
        </is>
      </c>
      <c r="E5601" t="inlineStr">
        <is>
          <t>AM07</t>
        </is>
      </c>
      <c r="F5601" s="5" t="n">
        <v>421.26</v>
      </c>
      <c r="G5601">
        <f>IF(LEFT(B5601,1)="C","Credit","Factuur")</f>
        <v/>
      </c>
      <c r="H5601">
        <f>IF(AND(B5601=B5600,D5601=D5600,A5601=A5600,F5601=F5600),1,0)</f>
        <v/>
      </c>
      <c r="I5601">
        <f>IF(C5601="C99999",1,0)</f>
        <v/>
      </c>
      <c r="J5601" s="5">
        <f>IF(OR(H5601=1,I5601=1),0,IF(G5601="Credit",-F5601,F5601))</f>
        <v/>
      </c>
    </row>
    <row r="5602">
      <c r="A5602" t="inlineStr">
        <is>
          <t>2026-08-25</t>
        </is>
      </c>
      <c r="B5602" t="inlineStr">
        <is>
          <t>F261043</t>
        </is>
      </c>
      <c r="C5602" t="inlineStr">
        <is>
          <t>C10060</t>
        </is>
      </c>
      <c r="D5602" t="inlineStr">
        <is>
          <t>SKU-10039</t>
        </is>
      </c>
      <c r="E5602" t="inlineStr">
        <is>
          <t>AM05</t>
        </is>
      </c>
      <c r="F5602" s="5" t="n">
        <v>421.59</v>
      </c>
      <c r="G5602">
        <f>IF(LEFT(B5602,1)="C","Credit","Factuur")</f>
        <v/>
      </c>
      <c r="H5602">
        <f>IF(AND(B5602=B5601,D5602=D5601,A5602=A5601,F5602=F5601),1,0)</f>
        <v/>
      </c>
      <c r="I5602">
        <f>IF(C5602="C99999",1,0)</f>
        <v/>
      </c>
      <c r="J5602" s="5">
        <f>IF(OR(H5602=1,I5602=1),0,IF(G5602="Credit",-F5602,F5602))</f>
        <v/>
      </c>
    </row>
    <row r="5603">
      <c r="A5603" t="inlineStr">
        <is>
          <t>2026-08-25</t>
        </is>
      </c>
      <c r="B5603" t="inlineStr">
        <is>
          <t>F261043</t>
        </is>
      </c>
      <c r="C5603" t="inlineStr">
        <is>
          <t>C10060</t>
        </is>
      </c>
      <c r="D5603" t="inlineStr">
        <is>
          <t>SKU-10128</t>
        </is>
      </c>
      <c r="E5603" t="inlineStr">
        <is>
          <t>AM05</t>
        </is>
      </c>
      <c r="F5603" s="5" t="n">
        <v>428.52</v>
      </c>
      <c r="G5603">
        <f>IF(LEFT(B5603,1)="C","Credit","Factuur")</f>
        <v/>
      </c>
      <c r="H5603">
        <f>IF(AND(B5603=B5602,D5603=D5602,A5603=A5602,F5603=F5602),1,0)</f>
        <v/>
      </c>
      <c r="I5603">
        <f>IF(C5603="C99999",1,0)</f>
        <v/>
      </c>
      <c r="J5603" s="5">
        <f>IF(OR(H5603=1,I5603=1),0,IF(G5603="Credit",-F5603,F5603))</f>
        <v/>
      </c>
    </row>
    <row r="5604">
      <c r="A5604" t="inlineStr">
        <is>
          <t>2026-08-25</t>
        </is>
      </c>
      <c r="B5604" t="inlineStr">
        <is>
          <t>F261043</t>
        </is>
      </c>
      <c r="C5604" t="inlineStr">
        <is>
          <t>C10060</t>
        </is>
      </c>
      <c r="D5604" t="inlineStr">
        <is>
          <t>SKU-10327</t>
        </is>
      </c>
      <c r="E5604" t="inlineStr">
        <is>
          <t>AM05</t>
        </is>
      </c>
      <c r="F5604" s="5" t="n">
        <v>416.7</v>
      </c>
      <c r="G5604">
        <f>IF(LEFT(B5604,1)="C","Credit","Factuur")</f>
        <v/>
      </c>
      <c r="H5604">
        <f>IF(AND(B5604=B5603,D5604=D5603,A5604=A5603,F5604=F5603),1,0)</f>
        <v/>
      </c>
      <c r="I5604">
        <f>IF(C5604="C99999",1,0)</f>
        <v/>
      </c>
      <c r="J5604" s="5">
        <f>IF(OR(H5604=1,I5604=1),0,IF(G5604="Credit",-F5604,F5604))</f>
        <v/>
      </c>
    </row>
    <row r="5605">
      <c r="A5605" t="inlineStr">
        <is>
          <t>2026-08-25</t>
        </is>
      </c>
      <c r="B5605" t="inlineStr">
        <is>
          <t>F262256</t>
        </is>
      </c>
      <c r="C5605" t="inlineStr">
        <is>
          <t>C10120</t>
        </is>
      </c>
      <c r="D5605" t="inlineStr">
        <is>
          <t>SKU-10254</t>
        </is>
      </c>
      <c r="E5605" t="inlineStr">
        <is>
          <t>AM02</t>
        </is>
      </c>
      <c r="F5605" s="5" t="n">
        <v>260.77</v>
      </c>
      <c r="G5605">
        <f>IF(LEFT(B5605,1)="C","Credit","Factuur")</f>
        <v/>
      </c>
      <c r="H5605">
        <f>IF(AND(B5605=B5604,D5605=D5604,A5605=A5604,F5605=F5604),1,0)</f>
        <v/>
      </c>
      <c r="I5605">
        <f>IF(C5605="C99999",1,0)</f>
        <v/>
      </c>
      <c r="J5605" s="5">
        <f>IF(OR(H5605=1,I5605=1),0,IF(G5605="Credit",-F5605,F5605))</f>
        <v/>
      </c>
    </row>
    <row r="5606">
      <c r="A5606" t="inlineStr">
        <is>
          <t>2026-08-25</t>
        </is>
      </c>
      <c r="B5606" t="inlineStr">
        <is>
          <t>F262256</t>
        </is>
      </c>
      <c r="C5606" t="inlineStr">
        <is>
          <t>C10120</t>
        </is>
      </c>
      <c r="D5606" t="inlineStr">
        <is>
          <t>SKU-10257</t>
        </is>
      </c>
      <c r="E5606" t="inlineStr">
        <is>
          <t>AM02</t>
        </is>
      </c>
      <c r="F5606" s="5" t="n">
        <v>277.82</v>
      </c>
      <c r="G5606">
        <f>IF(LEFT(B5606,1)="C","Credit","Factuur")</f>
        <v/>
      </c>
      <c r="H5606">
        <f>IF(AND(B5606=B5605,D5606=D5605,A5606=A5605,F5606=F5605),1,0)</f>
        <v/>
      </c>
      <c r="I5606">
        <f>IF(C5606="C99999",1,0)</f>
        <v/>
      </c>
      <c r="J5606" s="5">
        <f>IF(OR(H5606=1,I5606=1),0,IF(G5606="Credit",-F5606,F5606))</f>
        <v/>
      </c>
    </row>
    <row r="5607">
      <c r="A5607" t="inlineStr">
        <is>
          <t>2026-08-25</t>
        </is>
      </c>
      <c r="B5607" t="inlineStr">
        <is>
          <t>F264947</t>
        </is>
      </c>
      <c r="C5607" t="inlineStr">
        <is>
          <t>C10257</t>
        </is>
      </c>
      <c r="D5607" t="inlineStr">
        <is>
          <t>SKU-10047</t>
        </is>
      </c>
      <c r="E5607" t="inlineStr">
        <is>
          <t>AM03</t>
        </is>
      </c>
      <c r="F5607" s="5" t="n">
        <v>208.96</v>
      </c>
      <c r="G5607">
        <f>IF(LEFT(B5607,1)="C","Credit","Factuur")</f>
        <v/>
      </c>
      <c r="H5607">
        <f>IF(AND(B5607=B5606,D5607=D5606,A5607=A5606,F5607=F5606),1,0)</f>
        <v/>
      </c>
      <c r="I5607">
        <f>IF(C5607="C99999",1,0)</f>
        <v/>
      </c>
      <c r="J5607" s="5">
        <f>IF(OR(H5607=1,I5607=1),0,IF(G5607="Credit",-F5607,F5607))</f>
        <v/>
      </c>
    </row>
    <row r="5608">
      <c r="A5608" t="inlineStr">
        <is>
          <t>2026-08-25</t>
        </is>
      </c>
      <c r="B5608" t="inlineStr">
        <is>
          <t>F264947</t>
        </is>
      </c>
      <c r="C5608" t="inlineStr">
        <is>
          <t>C10257</t>
        </is>
      </c>
      <c r="D5608" t="inlineStr">
        <is>
          <t>SKU-10070</t>
        </is>
      </c>
      <c r="E5608" t="inlineStr">
        <is>
          <t>AM03</t>
        </is>
      </c>
      <c r="F5608" s="5" t="n">
        <v>208.42</v>
      </c>
      <c r="G5608">
        <f>IF(LEFT(B5608,1)="C","Credit","Factuur")</f>
        <v/>
      </c>
      <c r="H5608">
        <f>IF(AND(B5608=B5607,D5608=D5607,A5608=A5607,F5608=F5607),1,0)</f>
        <v/>
      </c>
      <c r="I5608">
        <f>IF(C5608="C99999",1,0)</f>
        <v/>
      </c>
      <c r="J5608" s="5">
        <f>IF(OR(H5608=1,I5608=1),0,IF(G5608="Credit",-F5608,F5608))</f>
        <v/>
      </c>
    </row>
    <row r="5609">
      <c r="A5609" t="inlineStr">
        <is>
          <t>2026-08-25</t>
        </is>
      </c>
      <c r="B5609" t="inlineStr">
        <is>
          <t>F264947</t>
        </is>
      </c>
      <c r="C5609" t="inlineStr">
        <is>
          <t>C10257</t>
        </is>
      </c>
      <c r="D5609" t="inlineStr">
        <is>
          <t>SKU-10279</t>
        </is>
      </c>
      <c r="E5609" t="inlineStr">
        <is>
          <t>AM03</t>
        </is>
      </c>
      <c r="F5609" s="5" t="n">
        <v>215.54</v>
      </c>
      <c r="G5609">
        <f>IF(LEFT(B5609,1)="C","Credit","Factuur")</f>
        <v/>
      </c>
      <c r="H5609">
        <f>IF(AND(B5609=B5608,D5609=D5608,A5609=A5608,F5609=F5608),1,0)</f>
        <v/>
      </c>
      <c r="I5609">
        <f>IF(C5609="C99999",1,0)</f>
        <v/>
      </c>
      <c r="J5609" s="5">
        <f>IF(OR(H5609=1,I5609=1),0,IF(G5609="Credit",-F5609,F5609))</f>
        <v/>
      </c>
    </row>
    <row r="5610">
      <c r="A5610" t="inlineStr">
        <is>
          <t>2026-08-25</t>
        </is>
      </c>
      <c r="B5610" t="inlineStr">
        <is>
          <t>F265502</t>
        </is>
      </c>
      <c r="C5610" t="inlineStr">
        <is>
          <t>C10289</t>
        </is>
      </c>
      <c r="D5610" t="inlineStr">
        <is>
          <t>SKU-10018</t>
        </is>
      </c>
      <c r="E5610" t="inlineStr">
        <is>
          <t>AM07</t>
        </is>
      </c>
      <c r="F5610" s="5" t="n">
        <v>2626.89</v>
      </c>
      <c r="G5610">
        <f>IF(LEFT(B5610,1)="C","Credit","Factuur")</f>
        <v/>
      </c>
      <c r="H5610">
        <f>IF(AND(B5610=B5609,D5610=D5609,A5610=A5609,F5610=F5609),1,0)</f>
        <v/>
      </c>
      <c r="I5610">
        <f>IF(C5610="C99999",1,0)</f>
        <v/>
      </c>
      <c r="J5610" s="5">
        <f>IF(OR(H5610=1,I5610=1),0,IF(G5610="Credit",-F5610,F5610))</f>
        <v/>
      </c>
    </row>
    <row r="5611">
      <c r="A5611" t="inlineStr">
        <is>
          <t>2026-08-25</t>
        </is>
      </c>
      <c r="B5611" t="inlineStr">
        <is>
          <t>F265502</t>
        </is>
      </c>
      <c r="C5611" t="inlineStr">
        <is>
          <t>C10289</t>
        </is>
      </c>
      <c r="D5611" t="inlineStr">
        <is>
          <t>SKU-10345</t>
        </is>
      </c>
      <c r="E5611" t="inlineStr">
        <is>
          <t>AM07</t>
        </is>
      </c>
      <c r="F5611" s="5" t="n">
        <v>2504.23</v>
      </c>
      <c r="G5611">
        <f>IF(LEFT(B5611,1)="C","Credit","Factuur")</f>
        <v/>
      </c>
      <c r="H5611">
        <f>IF(AND(B5611=B5610,D5611=D5610,A5611=A5610,F5611=F5610),1,0)</f>
        <v/>
      </c>
      <c r="I5611">
        <f>IF(C5611="C99999",1,0)</f>
        <v/>
      </c>
      <c r="J5611" s="5">
        <f>IF(OR(H5611=1,I5611=1),0,IF(G5611="Credit",-F5611,F5611))</f>
        <v/>
      </c>
    </row>
    <row r="5612">
      <c r="A5612" t="inlineStr">
        <is>
          <t>2026-08-25</t>
        </is>
      </c>
      <c r="B5612" t="inlineStr">
        <is>
          <t>F268078</t>
        </is>
      </c>
      <c r="C5612" t="inlineStr">
        <is>
          <t>C10424</t>
        </is>
      </c>
      <c r="D5612" t="inlineStr">
        <is>
          <t>SKU-10024</t>
        </is>
      </c>
      <c r="E5612" t="inlineStr">
        <is>
          <t>AM01</t>
        </is>
      </c>
      <c r="F5612" s="5" t="n">
        <v>478.37</v>
      </c>
      <c r="G5612">
        <f>IF(LEFT(B5612,1)="C","Credit","Factuur")</f>
        <v/>
      </c>
      <c r="H5612">
        <f>IF(AND(B5612=B5611,D5612=D5611,A5612=A5611,F5612=F5611),1,0)</f>
        <v/>
      </c>
      <c r="I5612">
        <f>IF(C5612="C99999",1,0)</f>
        <v/>
      </c>
      <c r="J5612" s="5">
        <f>IF(OR(H5612=1,I5612=1),0,IF(G5612="Credit",-F5612,F5612))</f>
        <v/>
      </c>
    </row>
    <row r="5613">
      <c r="A5613" t="inlineStr">
        <is>
          <t>2026-08-25</t>
        </is>
      </c>
      <c r="B5613" t="inlineStr">
        <is>
          <t>F269443</t>
        </is>
      </c>
      <c r="C5613" t="inlineStr">
        <is>
          <t>C10496</t>
        </is>
      </c>
      <c r="D5613" t="inlineStr">
        <is>
          <t>SKU-10035</t>
        </is>
      </c>
      <c r="E5613" t="inlineStr">
        <is>
          <t>AM09</t>
        </is>
      </c>
      <c r="F5613" s="5" t="n">
        <v>7133.92</v>
      </c>
      <c r="G5613">
        <f>IF(LEFT(B5613,1)="C","Credit","Factuur")</f>
        <v/>
      </c>
      <c r="H5613">
        <f>IF(AND(B5613=B5612,D5613=D5612,A5613=A5612,F5613=F5612),1,0)</f>
        <v/>
      </c>
      <c r="I5613">
        <f>IF(C5613="C99999",1,0)</f>
        <v/>
      </c>
      <c r="J5613" s="5">
        <f>IF(OR(H5613=1,I5613=1),0,IF(G5613="Credit",-F5613,F5613))</f>
        <v/>
      </c>
    </row>
    <row r="5614">
      <c r="A5614" t="inlineStr">
        <is>
          <t>2026-08-25</t>
        </is>
      </c>
      <c r="B5614" t="inlineStr">
        <is>
          <t>F269443</t>
        </is>
      </c>
      <c r="C5614" t="inlineStr">
        <is>
          <t>C10496</t>
        </is>
      </c>
      <c r="D5614" t="inlineStr">
        <is>
          <t>SKU-10044</t>
        </is>
      </c>
      <c r="E5614" t="inlineStr">
        <is>
          <t>AM09</t>
        </is>
      </c>
      <c r="F5614" s="5" t="n">
        <v>8392.68</v>
      </c>
      <c r="G5614">
        <f>IF(LEFT(B5614,1)="C","Credit","Factuur")</f>
        <v/>
      </c>
      <c r="H5614">
        <f>IF(AND(B5614=B5613,D5614=D5613,A5614=A5613,F5614=F5613),1,0)</f>
        <v/>
      </c>
      <c r="I5614">
        <f>IF(C5614="C99999",1,0)</f>
        <v/>
      </c>
      <c r="J5614" s="5">
        <f>IF(OR(H5614=1,I5614=1),0,IF(G5614="Credit",-F5614,F5614))</f>
        <v/>
      </c>
    </row>
    <row r="5615">
      <c r="A5615" t="inlineStr">
        <is>
          <t>2026-08-25</t>
        </is>
      </c>
      <c r="B5615" t="inlineStr">
        <is>
          <t>F269443</t>
        </is>
      </c>
      <c r="C5615" t="inlineStr">
        <is>
          <t>C10496</t>
        </is>
      </c>
      <c r="D5615" t="inlineStr">
        <is>
          <t>SKU-10342</t>
        </is>
      </c>
      <c r="E5615" t="inlineStr">
        <is>
          <t>AM09</t>
        </is>
      </c>
      <c r="F5615" s="5" t="n">
        <v>7982.13</v>
      </c>
      <c r="G5615">
        <f>IF(LEFT(B5615,1)="C","Credit","Factuur")</f>
        <v/>
      </c>
      <c r="H5615">
        <f>IF(AND(B5615=B5614,D5615=D5614,A5615=A5614,F5615=F5614),1,0)</f>
        <v/>
      </c>
      <c r="I5615">
        <f>IF(C5615="C99999",1,0)</f>
        <v/>
      </c>
      <c r="J5615" s="5">
        <f>IF(OR(H5615=1,I5615=1),0,IF(G5615="Credit",-F5615,F5615))</f>
        <v/>
      </c>
    </row>
    <row r="5616">
      <c r="A5616" t="inlineStr">
        <is>
          <t>2026-08-25</t>
        </is>
      </c>
      <c r="B5616" t="inlineStr">
        <is>
          <t>F269676</t>
        </is>
      </c>
      <c r="C5616" t="inlineStr">
        <is>
          <t>C10509</t>
        </is>
      </c>
      <c r="D5616" t="inlineStr">
        <is>
          <t>SKU-10014</t>
        </is>
      </c>
      <c r="E5616" t="inlineStr">
        <is>
          <t>AM03</t>
        </is>
      </c>
      <c r="F5616" s="5" t="n">
        <v>688</v>
      </c>
      <c r="G5616">
        <f>IF(LEFT(B5616,1)="C","Credit","Factuur")</f>
        <v/>
      </c>
      <c r="H5616">
        <f>IF(AND(B5616=B5615,D5616=D5615,A5616=A5615,F5616=F5615),1,0)</f>
        <v/>
      </c>
      <c r="I5616">
        <f>IF(C5616="C99999",1,0)</f>
        <v/>
      </c>
      <c r="J5616" s="5">
        <f>IF(OR(H5616=1,I5616=1),0,IF(G5616="Credit",-F5616,F5616))</f>
        <v/>
      </c>
    </row>
    <row r="5617">
      <c r="A5617" t="inlineStr">
        <is>
          <t>2026-08-25</t>
        </is>
      </c>
      <c r="B5617" t="inlineStr">
        <is>
          <t>F269676</t>
        </is>
      </c>
      <c r="C5617" t="inlineStr">
        <is>
          <t>C10509</t>
        </is>
      </c>
      <c r="D5617" t="inlineStr">
        <is>
          <t>SKU-10169</t>
        </is>
      </c>
      <c r="E5617" t="inlineStr">
        <is>
          <t>AM03</t>
        </is>
      </c>
      <c r="F5617" s="5" t="n">
        <v>709.78</v>
      </c>
      <c r="G5617">
        <f>IF(LEFT(B5617,1)="C","Credit","Factuur")</f>
        <v/>
      </c>
      <c r="H5617">
        <f>IF(AND(B5617=B5616,D5617=D5616,A5617=A5616,F5617=F5616),1,0)</f>
        <v/>
      </c>
      <c r="I5617">
        <f>IF(C5617="C99999",1,0)</f>
        <v/>
      </c>
      <c r="J5617" s="5">
        <f>IF(OR(H5617=1,I5617=1),0,IF(G5617="Credit",-F5617,F5617))</f>
        <v/>
      </c>
    </row>
    <row r="5618">
      <c r="A5618" t="inlineStr">
        <is>
          <t>2026-08-25</t>
        </is>
      </c>
      <c r="B5618" t="inlineStr">
        <is>
          <t>F269859</t>
        </is>
      </c>
      <c r="C5618" t="inlineStr">
        <is>
          <t>C10520</t>
        </is>
      </c>
      <c r="D5618" t="inlineStr">
        <is>
          <t>SKU-10121</t>
        </is>
      </c>
      <c r="E5618" t="inlineStr">
        <is>
          <t>AM12</t>
        </is>
      </c>
      <c r="F5618" s="5" t="n">
        <v>519.4400000000001</v>
      </c>
      <c r="G5618">
        <f>IF(LEFT(B5618,1)="C","Credit","Factuur")</f>
        <v/>
      </c>
      <c r="H5618">
        <f>IF(AND(B5618=B5617,D5618=D5617,A5618=A5617,F5618=F5617),1,0)</f>
        <v/>
      </c>
      <c r="I5618">
        <f>IF(C5618="C99999",1,0)</f>
        <v/>
      </c>
      <c r="J5618" s="5">
        <f>IF(OR(H5618=1,I5618=1),0,IF(G5618="Credit",-F5618,F5618))</f>
        <v/>
      </c>
    </row>
    <row r="5619">
      <c r="A5619" t="inlineStr">
        <is>
          <t>2026-08-25</t>
        </is>
      </c>
      <c r="B5619" t="inlineStr">
        <is>
          <t>F269859</t>
        </is>
      </c>
      <c r="C5619" t="inlineStr">
        <is>
          <t>C10520</t>
        </is>
      </c>
      <c r="D5619" t="inlineStr">
        <is>
          <t>SKU-10175</t>
        </is>
      </c>
      <c r="E5619" t="inlineStr">
        <is>
          <t>AM12</t>
        </is>
      </c>
      <c r="F5619" s="5" t="n">
        <v>473.57</v>
      </c>
      <c r="G5619">
        <f>IF(LEFT(B5619,1)="C","Credit","Factuur")</f>
        <v/>
      </c>
      <c r="H5619">
        <f>IF(AND(B5619=B5618,D5619=D5618,A5619=A5618,F5619=F5618),1,0)</f>
        <v/>
      </c>
      <c r="I5619">
        <f>IF(C5619="C99999",1,0)</f>
        <v/>
      </c>
      <c r="J5619" s="5">
        <f>IF(OR(H5619=1,I5619=1),0,IF(G5619="Credit",-F5619,F5619))</f>
        <v/>
      </c>
    </row>
    <row r="5620">
      <c r="A5620" t="inlineStr">
        <is>
          <t>2026-08-25</t>
        </is>
      </c>
      <c r="B5620" t="inlineStr">
        <is>
          <t>F269859</t>
        </is>
      </c>
      <c r="C5620" t="inlineStr">
        <is>
          <t>C10520</t>
        </is>
      </c>
      <c r="D5620" t="inlineStr">
        <is>
          <t>SKU-10254</t>
        </is>
      </c>
      <c r="E5620" t="inlineStr">
        <is>
          <t>AM12</t>
        </is>
      </c>
      <c r="F5620" s="5" t="n">
        <v>488</v>
      </c>
      <c r="G5620">
        <f>IF(LEFT(B5620,1)="C","Credit","Factuur")</f>
        <v/>
      </c>
      <c r="H5620">
        <f>IF(AND(B5620=B5619,D5620=D5619,A5620=A5619,F5620=F5619),1,0)</f>
        <v/>
      </c>
      <c r="I5620">
        <f>IF(C5620="C99999",1,0)</f>
        <v/>
      </c>
      <c r="J5620" s="5">
        <f>IF(OR(H5620=1,I5620=1),0,IF(G5620="Credit",-F5620,F5620))</f>
        <v/>
      </c>
    </row>
    <row r="5621">
      <c r="A5621" t="inlineStr">
        <is>
          <t>2026-08-25</t>
        </is>
      </c>
      <c r="B5621" t="inlineStr">
        <is>
          <t>F269859</t>
        </is>
      </c>
      <c r="C5621" t="inlineStr">
        <is>
          <t>C10520</t>
        </is>
      </c>
      <c r="D5621" t="inlineStr">
        <is>
          <t>SKU-10292</t>
        </is>
      </c>
      <c r="E5621" t="inlineStr">
        <is>
          <t>AM12</t>
        </is>
      </c>
      <c r="F5621" s="5" t="n">
        <v>509.04</v>
      </c>
      <c r="G5621">
        <f>IF(LEFT(B5621,1)="C","Credit","Factuur")</f>
        <v/>
      </c>
      <c r="H5621">
        <f>IF(AND(B5621=B5620,D5621=D5620,A5621=A5620,F5621=F5620),1,0)</f>
        <v/>
      </c>
      <c r="I5621">
        <f>IF(C5621="C99999",1,0)</f>
        <v/>
      </c>
      <c r="J5621" s="5">
        <f>IF(OR(H5621=1,I5621=1),0,IF(G5621="Credit",-F5621,F5621))</f>
        <v/>
      </c>
    </row>
    <row r="5622">
      <c r="A5622" t="inlineStr">
        <is>
          <t>2026-08-25</t>
        </is>
      </c>
      <c r="B5622" t="inlineStr">
        <is>
          <t>F269859</t>
        </is>
      </c>
      <c r="C5622" t="inlineStr">
        <is>
          <t>C10520</t>
        </is>
      </c>
      <c r="D5622" t="inlineStr">
        <is>
          <t>SKU-10300</t>
        </is>
      </c>
      <c r="E5622" t="inlineStr">
        <is>
          <t>AM12</t>
        </is>
      </c>
      <c r="F5622" s="5" t="n">
        <v>497.9</v>
      </c>
      <c r="G5622">
        <f>IF(LEFT(B5622,1)="C","Credit","Factuur")</f>
        <v/>
      </c>
      <c r="H5622">
        <f>IF(AND(B5622=B5621,D5622=D5621,A5622=A5621,F5622=F5621),1,0)</f>
        <v/>
      </c>
      <c r="I5622">
        <f>IF(C5622="C99999",1,0)</f>
        <v/>
      </c>
      <c r="J5622" s="5">
        <f>IF(OR(H5622=1,I5622=1),0,IF(G5622="Credit",-F5622,F5622))</f>
        <v/>
      </c>
    </row>
    <row r="5623">
      <c r="A5623" t="inlineStr">
        <is>
          <t>2026-08-25</t>
        </is>
      </c>
      <c r="B5623" t="inlineStr">
        <is>
          <t>F269859</t>
        </is>
      </c>
      <c r="C5623" t="inlineStr">
        <is>
          <t>C10520</t>
        </is>
      </c>
      <c r="D5623" t="inlineStr">
        <is>
          <t>SKU-10326</t>
        </is>
      </c>
      <c r="E5623" t="inlineStr">
        <is>
          <t>AM12</t>
        </is>
      </c>
      <c r="F5623" s="5" t="n">
        <v>513.5</v>
      </c>
      <c r="G5623">
        <f>IF(LEFT(B5623,1)="C","Credit","Factuur")</f>
        <v/>
      </c>
      <c r="H5623">
        <f>IF(AND(B5623=B5622,D5623=D5622,A5623=A5622,F5623=F5622),1,0)</f>
        <v/>
      </c>
      <c r="I5623">
        <f>IF(C5623="C99999",1,0)</f>
        <v/>
      </c>
      <c r="J5623" s="5">
        <f>IF(OR(H5623=1,I5623=1),0,IF(G5623="Credit",-F5623,F5623))</f>
        <v/>
      </c>
    </row>
    <row r="5624">
      <c r="A5624" t="inlineStr">
        <is>
          <t>2026-08-25</t>
        </is>
      </c>
      <c r="B5624" t="inlineStr">
        <is>
          <t>F270838</t>
        </is>
      </c>
      <c r="C5624" t="inlineStr">
        <is>
          <t>C10567</t>
        </is>
      </c>
      <c r="D5624" t="inlineStr">
        <is>
          <t>SKU-10270</t>
        </is>
      </c>
      <c r="E5624" t="inlineStr">
        <is>
          <t>AM08</t>
        </is>
      </c>
      <c r="F5624" s="5" t="n">
        <v>308.37</v>
      </c>
      <c r="G5624">
        <f>IF(LEFT(B5624,1)="C","Credit","Factuur")</f>
        <v/>
      </c>
      <c r="H5624">
        <f>IF(AND(B5624=B5623,D5624=D5623,A5624=A5623,F5624=F5623),1,0)</f>
        <v/>
      </c>
      <c r="I5624">
        <f>IF(C5624="C99999",1,0)</f>
        <v/>
      </c>
      <c r="J5624" s="5">
        <f>IF(OR(H5624=1,I5624=1),0,IF(G5624="Credit",-F5624,F5624))</f>
        <v/>
      </c>
    </row>
    <row r="5625">
      <c r="A5625" t="inlineStr">
        <is>
          <t>2026-08-25</t>
        </is>
      </c>
      <c r="B5625" t="inlineStr">
        <is>
          <t>F271901</t>
        </is>
      </c>
      <c r="C5625" t="inlineStr">
        <is>
          <t>C10613</t>
        </is>
      </c>
      <c r="D5625" t="inlineStr">
        <is>
          <t>SKU-10121</t>
        </is>
      </c>
      <c r="E5625" t="inlineStr">
        <is>
          <t>AM11</t>
        </is>
      </c>
      <c r="F5625" s="5" t="n">
        <v>324.65</v>
      </c>
      <c r="G5625">
        <f>IF(LEFT(B5625,1)="C","Credit","Factuur")</f>
        <v/>
      </c>
      <c r="H5625">
        <f>IF(AND(B5625=B5624,D5625=D5624,A5625=A5624,F5625=F5624),1,0)</f>
        <v/>
      </c>
      <c r="I5625">
        <f>IF(C5625="C99999",1,0)</f>
        <v/>
      </c>
      <c r="J5625" s="5">
        <f>IF(OR(H5625=1,I5625=1),0,IF(G5625="Credit",-F5625,F5625))</f>
        <v/>
      </c>
    </row>
    <row r="5626">
      <c r="A5626" t="inlineStr">
        <is>
          <t>2026-08-25</t>
        </is>
      </c>
      <c r="B5626" t="inlineStr">
        <is>
          <t>F271901</t>
        </is>
      </c>
      <c r="C5626" t="inlineStr">
        <is>
          <t>C10613</t>
        </is>
      </c>
      <c r="D5626" t="inlineStr">
        <is>
          <t>SKU-10158</t>
        </is>
      </c>
      <c r="E5626" t="inlineStr">
        <is>
          <t>AM11</t>
        </is>
      </c>
      <c r="F5626" s="5" t="n">
        <v>298.65</v>
      </c>
      <c r="G5626">
        <f>IF(LEFT(B5626,1)="C","Credit","Factuur")</f>
        <v/>
      </c>
      <c r="H5626">
        <f>IF(AND(B5626=B5625,D5626=D5625,A5626=A5625,F5626=F5625),1,0)</f>
        <v/>
      </c>
      <c r="I5626">
        <f>IF(C5626="C99999",1,0)</f>
        <v/>
      </c>
      <c r="J5626" s="5">
        <f>IF(OR(H5626=1,I5626=1),0,IF(G5626="Credit",-F5626,F5626))</f>
        <v/>
      </c>
    </row>
    <row r="5627">
      <c r="A5627" t="inlineStr">
        <is>
          <t>2026-08-25</t>
        </is>
      </c>
      <c r="B5627" t="inlineStr">
        <is>
          <t>F271901</t>
        </is>
      </c>
      <c r="C5627" t="inlineStr">
        <is>
          <t>C10613</t>
        </is>
      </c>
      <c r="D5627" t="inlineStr">
        <is>
          <t>SKU-10218</t>
        </is>
      </c>
      <c r="E5627" t="inlineStr">
        <is>
          <t>AM11</t>
        </is>
      </c>
      <c r="F5627" s="5" t="n">
        <v>307.19</v>
      </c>
      <c r="G5627">
        <f>IF(LEFT(B5627,1)="C","Credit","Factuur")</f>
        <v/>
      </c>
      <c r="H5627">
        <f>IF(AND(B5627=B5626,D5627=D5626,A5627=A5626,F5627=F5626),1,0)</f>
        <v/>
      </c>
      <c r="I5627">
        <f>IF(C5627="C99999",1,0)</f>
        <v/>
      </c>
      <c r="J5627" s="5">
        <f>IF(OR(H5627=1,I5627=1),0,IF(G5627="Credit",-F5627,F5627))</f>
        <v/>
      </c>
    </row>
    <row r="5628">
      <c r="A5628" t="inlineStr">
        <is>
          <t>2026-08-25</t>
        </is>
      </c>
      <c r="B5628" t="inlineStr">
        <is>
          <t>F271901</t>
        </is>
      </c>
      <c r="C5628" t="inlineStr">
        <is>
          <t>C10613</t>
        </is>
      </c>
      <c r="D5628" t="inlineStr">
        <is>
          <t>SKU-10309</t>
        </is>
      </c>
      <c r="E5628" t="inlineStr">
        <is>
          <t>AM11</t>
        </is>
      </c>
      <c r="F5628" s="5" t="n">
        <v>323.47</v>
      </c>
      <c r="G5628">
        <f>IF(LEFT(B5628,1)="C","Credit","Factuur")</f>
        <v/>
      </c>
      <c r="H5628">
        <f>IF(AND(B5628=B5627,D5628=D5627,A5628=A5627,F5628=F5627),1,0)</f>
        <v/>
      </c>
      <c r="I5628">
        <f>IF(C5628="C99999",1,0)</f>
        <v/>
      </c>
      <c r="J5628" s="5">
        <f>IF(OR(H5628=1,I5628=1),0,IF(G5628="Credit",-F5628,F5628))</f>
        <v/>
      </c>
    </row>
    <row r="5629">
      <c r="A5629" t="inlineStr">
        <is>
          <t>2026-08-25</t>
        </is>
      </c>
      <c r="B5629" t="inlineStr">
        <is>
          <t>F273570</t>
        </is>
      </c>
      <c r="C5629" t="inlineStr">
        <is>
          <t>C10713</t>
        </is>
      </c>
      <c r="D5629" t="inlineStr">
        <is>
          <t>SKU-10072</t>
        </is>
      </c>
      <c r="E5629" t="inlineStr">
        <is>
          <t>AM08</t>
        </is>
      </c>
      <c r="F5629" s="5" t="n">
        <v>183.85</v>
      </c>
      <c r="G5629">
        <f>IF(LEFT(B5629,1)="C","Credit","Factuur")</f>
        <v/>
      </c>
      <c r="H5629">
        <f>IF(AND(B5629=B5628,D5629=D5628,A5629=A5628,F5629=F5628),1,0)</f>
        <v/>
      </c>
      <c r="I5629">
        <f>IF(C5629="C99999",1,0)</f>
        <v/>
      </c>
      <c r="J5629" s="5">
        <f>IF(OR(H5629=1,I5629=1),0,IF(G5629="Credit",-F5629,F5629))</f>
        <v/>
      </c>
    </row>
    <row r="5630">
      <c r="A5630" t="inlineStr">
        <is>
          <t>2026-08-25</t>
        </is>
      </c>
      <c r="B5630" t="inlineStr">
        <is>
          <t>F273570</t>
        </is>
      </c>
      <c r="C5630" t="inlineStr">
        <is>
          <t>C10713</t>
        </is>
      </c>
      <c r="D5630" t="inlineStr">
        <is>
          <t>SKU-10079</t>
        </is>
      </c>
      <c r="E5630" t="inlineStr">
        <is>
          <t>AM08</t>
        </is>
      </c>
      <c r="F5630" s="5" t="n">
        <v>171.19</v>
      </c>
      <c r="G5630">
        <f>IF(LEFT(B5630,1)="C","Credit","Factuur")</f>
        <v/>
      </c>
      <c r="H5630">
        <f>IF(AND(B5630=B5629,D5630=D5629,A5630=A5629,F5630=F5629),1,0)</f>
        <v/>
      </c>
      <c r="I5630">
        <f>IF(C5630="C99999",1,0)</f>
        <v/>
      </c>
      <c r="J5630" s="5">
        <f>IF(OR(H5630=1,I5630=1),0,IF(G5630="Credit",-F5630,F5630))</f>
        <v/>
      </c>
    </row>
    <row r="5631">
      <c r="A5631" t="inlineStr">
        <is>
          <t>2026-08-25</t>
        </is>
      </c>
      <c r="B5631" t="inlineStr">
        <is>
          <t>F273570</t>
        </is>
      </c>
      <c r="C5631" t="inlineStr">
        <is>
          <t>C10713</t>
        </is>
      </c>
      <c r="D5631" t="inlineStr">
        <is>
          <t>SKU-10317</t>
        </is>
      </c>
      <c r="E5631" t="inlineStr">
        <is>
          <t>AM08</t>
        </is>
      </c>
      <c r="F5631" s="5" t="n">
        <v>184.27</v>
      </c>
      <c r="G5631">
        <f>IF(LEFT(B5631,1)="C","Credit","Factuur")</f>
        <v/>
      </c>
      <c r="H5631">
        <f>IF(AND(B5631=B5630,D5631=D5630,A5631=A5630,F5631=F5630),1,0)</f>
        <v/>
      </c>
      <c r="I5631">
        <f>IF(C5631="C99999",1,0)</f>
        <v/>
      </c>
      <c r="J5631" s="5">
        <f>IF(OR(H5631=1,I5631=1),0,IF(G5631="Credit",-F5631,F5631))</f>
        <v/>
      </c>
    </row>
    <row r="5632">
      <c r="A5632" t="inlineStr">
        <is>
          <t>2026-08-25</t>
        </is>
      </c>
      <c r="B5632" t="inlineStr">
        <is>
          <t>F274477</t>
        </is>
      </c>
      <c r="C5632" t="inlineStr">
        <is>
          <t>C10763</t>
        </is>
      </c>
      <c r="D5632" t="inlineStr">
        <is>
          <t>SKU-10079</t>
        </is>
      </c>
      <c r="E5632" t="inlineStr">
        <is>
          <t>AM08</t>
        </is>
      </c>
      <c r="F5632" s="5" t="n">
        <v>483.36</v>
      </c>
      <c r="G5632">
        <f>IF(LEFT(B5632,1)="C","Credit","Factuur")</f>
        <v/>
      </c>
      <c r="H5632">
        <f>IF(AND(B5632=B5631,D5632=D5631,A5632=A5631,F5632=F5631),1,0)</f>
        <v/>
      </c>
      <c r="I5632">
        <f>IF(C5632="C99999",1,0)</f>
        <v/>
      </c>
      <c r="J5632" s="5">
        <f>IF(OR(H5632=1,I5632=1),0,IF(G5632="Credit",-F5632,F5632))</f>
        <v/>
      </c>
    </row>
    <row r="5633">
      <c r="A5633" t="inlineStr">
        <is>
          <t>2026-08-25</t>
        </is>
      </c>
      <c r="B5633" t="inlineStr">
        <is>
          <t>F274477</t>
        </is>
      </c>
      <c r="C5633" t="inlineStr">
        <is>
          <t>C10763</t>
        </is>
      </c>
      <c r="D5633" t="inlineStr">
        <is>
          <t>SKU-10098</t>
        </is>
      </c>
      <c r="E5633" t="inlineStr">
        <is>
          <t>AM08</t>
        </is>
      </c>
      <c r="F5633" s="5" t="n">
        <v>480.12</v>
      </c>
      <c r="G5633">
        <f>IF(LEFT(B5633,1)="C","Credit","Factuur")</f>
        <v/>
      </c>
      <c r="H5633">
        <f>IF(AND(B5633=B5632,D5633=D5632,A5633=A5632,F5633=F5632),1,0)</f>
        <v/>
      </c>
      <c r="I5633">
        <f>IF(C5633="C99999",1,0)</f>
        <v/>
      </c>
      <c r="J5633" s="5">
        <f>IF(OR(H5633=1,I5633=1),0,IF(G5633="Credit",-F5633,F5633))</f>
        <v/>
      </c>
    </row>
    <row r="5634">
      <c r="A5634" t="inlineStr">
        <is>
          <t>2026-08-25</t>
        </is>
      </c>
      <c r="B5634" t="inlineStr">
        <is>
          <t>F274477</t>
        </is>
      </c>
      <c r="C5634" t="inlineStr">
        <is>
          <t>C10763</t>
        </is>
      </c>
      <c r="D5634" t="inlineStr">
        <is>
          <t>SKU-10100</t>
        </is>
      </c>
      <c r="E5634" t="inlineStr">
        <is>
          <t>AM08</t>
        </is>
      </c>
      <c r="F5634" s="5" t="n">
        <v>490.62</v>
      </c>
      <c r="G5634">
        <f>IF(LEFT(B5634,1)="C","Credit","Factuur")</f>
        <v/>
      </c>
      <c r="H5634">
        <f>IF(AND(B5634=B5633,D5634=D5633,A5634=A5633,F5634=F5633),1,0)</f>
        <v/>
      </c>
      <c r="I5634">
        <f>IF(C5634="C99999",1,0)</f>
        <v/>
      </c>
      <c r="J5634" s="5">
        <f>IF(OR(H5634=1,I5634=1),0,IF(G5634="Credit",-F5634,F5634))</f>
        <v/>
      </c>
    </row>
    <row r="5635">
      <c r="A5635" t="inlineStr">
        <is>
          <t>2026-08-25</t>
        </is>
      </c>
      <c r="B5635" t="inlineStr">
        <is>
          <t>F274532</t>
        </is>
      </c>
      <c r="C5635" t="inlineStr">
        <is>
          <t>C10767</t>
        </is>
      </c>
      <c r="D5635" t="inlineStr">
        <is>
          <t>SKU-10115</t>
        </is>
      </c>
      <c r="E5635" t="inlineStr">
        <is>
          <t>AM12</t>
        </is>
      </c>
      <c r="F5635" s="5" t="n">
        <v>344.33</v>
      </c>
      <c r="G5635">
        <f>IF(LEFT(B5635,1)="C","Credit","Factuur")</f>
        <v/>
      </c>
      <c r="H5635">
        <f>IF(AND(B5635=B5634,D5635=D5634,A5635=A5634,F5635=F5634),1,0)</f>
        <v/>
      </c>
      <c r="I5635">
        <f>IF(C5635="C99999",1,0)</f>
        <v/>
      </c>
      <c r="J5635" s="5">
        <f>IF(OR(H5635=1,I5635=1),0,IF(G5635="Credit",-F5635,F5635))</f>
        <v/>
      </c>
    </row>
    <row r="5636">
      <c r="A5636" t="inlineStr">
        <is>
          <t>2026-08-25</t>
        </is>
      </c>
      <c r="B5636" t="inlineStr">
        <is>
          <t>F274532</t>
        </is>
      </c>
      <c r="C5636" t="inlineStr">
        <is>
          <t>C10767</t>
        </is>
      </c>
      <c r="D5636" t="inlineStr">
        <is>
          <t>SKU-10298</t>
        </is>
      </c>
      <c r="E5636" t="inlineStr">
        <is>
          <t>AM12</t>
        </is>
      </c>
      <c r="F5636" s="5" t="n">
        <v>338.85</v>
      </c>
      <c r="G5636">
        <f>IF(LEFT(B5636,1)="C","Credit","Factuur")</f>
        <v/>
      </c>
      <c r="H5636">
        <f>IF(AND(B5636=B5635,D5636=D5635,A5636=A5635,F5636=F5635),1,0)</f>
        <v/>
      </c>
      <c r="I5636">
        <f>IF(C5636="C99999",1,0)</f>
        <v/>
      </c>
      <c r="J5636" s="5">
        <f>IF(OR(H5636=1,I5636=1),0,IF(G5636="Credit",-F5636,F5636))</f>
        <v/>
      </c>
    </row>
    <row r="5637">
      <c r="A5637" t="inlineStr">
        <is>
          <t>2026-08-25</t>
        </is>
      </c>
      <c r="B5637" t="inlineStr">
        <is>
          <t>F275521</t>
        </is>
      </c>
      <c r="C5637" t="inlineStr">
        <is>
          <t>C10820</t>
        </is>
      </c>
      <c r="D5637" t="inlineStr">
        <is>
          <t>SKU-10012</t>
        </is>
      </c>
      <c r="E5637" t="inlineStr">
        <is>
          <t>AM02</t>
        </is>
      </c>
      <c r="F5637" s="5" t="n">
        <v>333.46</v>
      </c>
      <c r="G5637">
        <f>IF(LEFT(B5637,1)="C","Credit","Factuur")</f>
        <v/>
      </c>
      <c r="H5637">
        <f>IF(AND(B5637=B5636,D5637=D5636,A5637=A5636,F5637=F5636),1,0)</f>
        <v/>
      </c>
      <c r="I5637">
        <f>IF(C5637="C99999",1,0)</f>
        <v/>
      </c>
      <c r="J5637" s="5">
        <f>IF(OR(H5637=1,I5637=1),0,IF(G5637="Credit",-F5637,F5637))</f>
        <v/>
      </c>
    </row>
    <row r="5638">
      <c r="A5638" t="inlineStr">
        <is>
          <t>2026-08-25</t>
        </is>
      </c>
      <c r="B5638" t="inlineStr">
        <is>
          <t>F275521</t>
        </is>
      </c>
      <c r="C5638" t="inlineStr">
        <is>
          <t>C10820</t>
        </is>
      </c>
      <c r="D5638" t="inlineStr">
        <is>
          <t>SKU-10298</t>
        </is>
      </c>
      <c r="E5638" t="inlineStr">
        <is>
          <t>AM02</t>
        </is>
      </c>
      <c r="F5638" s="5" t="n">
        <v>376.5</v>
      </c>
      <c r="G5638">
        <f>IF(LEFT(B5638,1)="C","Credit","Factuur")</f>
        <v/>
      </c>
      <c r="H5638">
        <f>IF(AND(B5638=B5637,D5638=D5637,A5638=A5637,F5638=F5637),1,0)</f>
        <v/>
      </c>
      <c r="I5638">
        <f>IF(C5638="C99999",1,0)</f>
        <v/>
      </c>
      <c r="J5638" s="5">
        <f>IF(OR(H5638=1,I5638=1),0,IF(G5638="Credit",-F5638,F5638))</f>
        <v/>
      </c>
    </row>
    <row r="5639">
      <c r="A5639" t="inlineStr">
        <is>
          <t>2026-08-25</t>
        </is>
      </c>
      <c r="B5639" t="inlineStr">
        <is>
          <t>F275521</t>
        </is>
      </c>
      <c r="C5639" t="inlineStr">
        <is>
          <t>C10820</t>
        </is>
      </c>
      <c r="D5639" t="inlineStr">
        <is>
          <t>SKU-10300</t>
        </is>
      </c>
      <c r="E5639" t="inlineStr">
        <is>
          <t>AM02</t>
        </is>
      </c>
      <c r="F5639" s="5" t="n">
        <v>330.91</v>
      </c>
      <c r="G5639">
        <f>IF(LEFT(B5639,1)="C","Credit","Factuur")</f>
        <v/>
      </c>
      <c r="H5639">
        <f>IF(AND(B5639=B5638,D5639=D5638,A5639=A5638,F5639=F5638),1,0)</f>
        <v/>
      </c>
      <c r="I5639">
        <f>IF(C5639="C99999",1,0)</f>
        <v/>
      </c>
      <c r="J5639" s="5">
        <f>IF(OR(H5639=1,I5639=1),0,IF(G5639="Credit",-F5639,F5639))</f>
        <v/>
      </c>
    </row>
    <row r="5640">
      <c r="A5640" t="inlineStr">
        <is>
          <t>2026-08-25</t>
        </is>
      </c>
      <c r="B5640" t="inlineStr">
        <is>
          <t>F275521</t>
        </is>
      </c>
      <c r="C5640" t="inlineStr">
        <is>
          <t>C10820</t>
        </is>
      </c>
      <c r="D5640" t="inlineStr">
        <is>
          <t>SKU-10359</t>
        </is>
      </c>
      <c r="E5640" t="inlineStr">
        <is>
          <t>AM02</t>
        </is>
      </c>
      <c r="F5640" s="5" t="n">
        <v>358.17</v>
      </c>
      <c r="G5640">
        <f>IF(LEFT(B5640,1)="C","Credit","Factuur")</f>
        <v/>
      </c>
      <c r="H5640">
        <f>IF(AND(B5640=B5639,D5640=D5639,A5640=A5639,F5640=F5639),1,0)</f>
        <v/>
      </c>
      <c r="I5640">
        <f>IF(C5640="C99999",1,0)</f>
        <v/>
      </c>
      <c r="J5640" s="5">
        <f>IF(OR(H5640=1,I5640=1),0,IF(G5640="Credit",-F5640,F5640))</f>
        <v/>
      </c>
    </row>
    <row r="5641">
      <c r="A5641" t="inlineStr">
        <is>
          <t>2026-08-25</t>
        </is>
      </c>
      <c r="B5641" t="inlineStr">
        <is>
          <t>F276532</t>
        </is>
      </c>
      <c r="C5641" t="inlineStr">
        <is>
          <t>C10877</t>
        </is>
      </c>
      <c r="D5641" t="inlineStr">
        <is>
          <t>SKU-10125</t>
        </is>
      </c>
      <c r="E5641" t="inlineStr">
        <is>
          <t>AM03</t>
        </is>
      </c>
      <c r="F5641" s="5" t="n">
        <v>242.92</v>
      </c>
      <c r="G5641">
        <f>IF(LEFT(B5641,1)="C","Credit","Factuur")</f>
        <v/>
      </c>
      <c r="H5641">
        <f>IF(AND(B5641=B5640,D5641=D5640,A5641=A5640,F5641=F5640),1,0)</f>
        <v/>
      </c>
      <c r="I5641">
        <f>IF(C5641="C99999",1,0)</f>
        <v/>
      </c>
      <c r="J5641" s="5">
        <f>IF(OR(H5641=1,I5641=1),0,IF(G5641="Credit",-F5641,F5641))</f>
        <v/>
      </c>
    </row>
    <row r="5642">
      <c r="A5642" t="inlineStr">
        <is>
          <t>2026-08-25</t>
        </is>
      </c>
      <c r="B5642" t="inlineStr">
        <is>
          <t>F276532</t>
        </is>
      </c>
      <c r="C5642" t="inlineStr">
        <is>
          <t>C10877</t>
        </is>
      </c>
      <c r="D5642" t="inlineStr">
        <is>
          <t>SKU-10149</t>
        </is>
      </c>
      <c r="E5642" t="inlineStr">
        <is>
          <t>AM03</t>
        </is>
      </c>
      <c r="F5642" s="5" t="n">
        <v>290.32</v>
      </c>
      <c r="G5642">
        <f>IF(LEFT(B5642,1)="C","Credit","Factuur")</f>
        <v/>
      </c>
      <c r="H5642">
        <f>IF(AND(B5642=B5641,D5642=D5641,A5642=A5641,F5642=F5641),1,0)</f>
        <v/>
      </c>
      <c r="I5642">
        <f>IF(C5642="C99999",1,0)</f>
        <v/>
      </c>
      <c r="J5642" s="5">
        <f>IF(OR(H5642=1,I5642=1),0,IF(G5642="Credit",-F5642,F5642))</f>
        <v/>
      </c>
    </row>
    <row r="5643">
      <c r="A5643" t="inlineStr">
        <is>
          <t>2026-08-25</t>
        </is>
      </c>
      <c r="B5643" t="inlineStr">
        <is>
          <t>F276532</t>
        </is>
      </c>
      <c r="C5643" t="inlineStr">
        <is>
          <t>C10877</t>
        </is>
      </c>
      <c r="D5643" t="inlineStr">
        <is>
          <t>SKU-10274</t>
        </is>
      </c>
      <c r="E5643" t="inlineStr">
        <is>
          <t>AM03</t>
        </is>
      </c>
      <c r="F5643" s="5" t="n">
        <v>243.87</v>
      </c>
      <c r="G5643">
        <f>IF(LEFT(B5643,1)="C","Credit","Factuur")</f>
        <v/>
      </c>
      <c r="H5643">
        <f>IF(AND(B5643=B5642,D5643=D5642,A5643=A5642,F5643=F5642),1,0)</f>
        <v/>
      </c>
      <c r="I5643">
        <f>IF(C5643="C99999",1,0)</f>
        <v/>
      </c>
      <c r="J5643" s="5">
        <f>IF(OR(H5643=1,I5643=1),0,IF(G5643="Credit",-F5643,F5643))</f>
        <v/>
      </c>
    </row>
    <row r="5644">
      <c r="A5644" t="inlineStr">
        <is>
          <t>2026-08-25</t>
        </is>
      </c>
      <c r="B5644" t="inlineStr">
        <is>
          <t>F276532</t>
        </is>
      </c>
      <c r="C5644" t="inlineStr">
        <is>
          <t>C10877</t>
        </is>
      </c>
      <c r="D5644" t="inlineStr">
        <is>
          <t>SKU-10308</t>
        </is>
      </c>
      <c r="E5644" t="inlineStr">
        <is>
          <t>AM03</t>
        </is>
      </c>
      <c r="F5644" s="5" t="n">
        <v>264.12</v>
      </c>
      <c r="G5644">
        <f>IF(LEFT(B5644,1)="C","Credit","Factuur")</f>
        <v/>
      </c>
      <c r="H5644">
        <f>IF(AND(B5644=B5643,D5644=D5643,A5644=A5643,F5644=F5643),1,0)</f>
        <v/>
      </c>
      <c r="I5644">
        <f>IF(C5644="C99999",1,0)</f>
        <v/>
      </c>
      <c r="J5644" s="5">
        <f>IF(OR(H5644=1,I5644=1),0,IF(G5644="Credit",-F5644,F5644))</f>
        <v/>
      </c>
    </row>
    <row r="5645">
      <c r="A5645" t="inlineStr">
        <is>
          <t>2026-08-25</t>
        </is>
      </c>
      <c r="B5645" t="inlineStr">
        <is>
          <t>F277271</t>
        </is>
      </c>
      <c r="C5645" t="inlineStr">
        <is>
          <t>C10918</t>
        </is>
      </c>
      <c r="D5645" t="inlineStr">
        <is>
          <t>SKU-10141</t>
        </is>
      </c>
      <c r="E5645" t="inlineStr">
        <is>
          <t>AM01</t>
        </is>
      </c>
      <c r="F5645" s="5" t="n">
        <v>1713.51</v>
      </c>
      <c r="G5645">
        <f>IF(LEFT(B5645,1)="C","Credit","Factuur")</f>
        <v/>
      </c>
      <c r="H5645">
        <f>IF(AND(B5645=B5644,D5645=D5644,A5645=A5644,F5645=F5644),1,0)</f>
        <v/>
      </c>
      <c r="I5645">
        <f>IF(C5645="C99999",1,0)</f>
        <v/>
      </c>
      <c r="J5645" s="5">
        <f>IF(OR(H5645=1,I5645=1),0,IF(G5645="Credit",-F5645,F5645))</f>
        <v/>
      </c>
    </row>
    <row r="5646">
      <c r="A5646" t="inlineStr">
        <is>
          <t>2026-08-25</t>
        </is>
      </c>
      <c r="B5646" t="inlineStr">
        <is>
          <t>F277271</t>
        </is>
      </c>
      <c r="C5646" t="inlineStr">
        <is>
          <t>C10918</t>
        </is>
      </c>
      <c r="D5646" t="inlineStr">
        <is>
          <t>SKU-10188</t>
        </is>
      </c>
      <c r="E5646" t="inlineStr">
        <is>
          <t>AM01</t>
        </is>
      </c>
      <c r="F5646" s="5" t="n">
        <v>1709.71</v>
      </c>
      <c r="G5646">
        <f>IF(LEFT(B5646,1)="C","Credit","Factuur")</f>
        <v/>
      </c>
      <c r="H5646">
        <f>IF(AND(B5646=B5645,D5646=D5645,A5646=A5645,F5646=F5645),1,0)</f>
        <v/>
      </c>
      <c r="I5646">
        <f>IF(C5646="C99999",1,0)</f>
        <v/>
      </c>
      <c r="J5646" s="5">
        <f>IF(OR(H5646=1,I5646=1),0,IF(G5646="Credit",-F5646,F5646))</f>
        <v/>
      </c>
    </row>
    <row r="5647">
      <c r="A5647" t="inlineStr">
        <is>
          <t>2026-08-25</t>
        </is>
      </c>
      <c r="B5647" t="inlineStr">
        <is>
          <t>F277291</t>
        </is>
      </c>
      <c r="C5647" t="inlineStr">
        <is>
          <t>C10919</t>
        </is>
      </c>
      <c r="D5647" t="inlineStr">
        <is>
          <t>SKU-10026</t>
        </is>
      </c>
      <c r="E5647" t="inlineStr">
        <is>
          <t>AM01</t>
        </is>
      </c>
      <c r="F5647" s="5" t="n">
        <v>860.66</v>
      </c>
      <c r="G5647">
        <f>IF(LEFT(B5647,1)="C","Credit","Factuur")</f>
        <v/>
      </c>
      <c r="H5647">
        <f>IF(AND(B5647=B5646,D5647=D5646,A5647=A5646,F5647=F5646),1,0)</f>
        <v/>
      </c>
      <c r="I5647">
        <f>IF(C5647="C99999",1,0)</f>
        <v/>
      </c>
      <c r="J5647" s="5">
        <f>IF(OR(H5647=1,I5647=1),0,IF(G5647="Credit",-F5647,F5647))</f>
        <v/>
      </c>
    </row>
    <row r="5648">
      <c r="A5648" t="inlineStr">
        <is>
          <t>2026-08-25</t>
        </is>
      </c>
      <c r="B5648" t="inlineStr">
        <is>
          <t>F277423</t>
        </is>
      </c>
      <c r="C5648" t="inlineStr">
        <is>
          <t>C10926</t>
        </is>
      </c>
      <c r="D5648" t="inlineStr">
        <is>
          <t>SKU-10019</t>
        </is>
      </c>
      <c r="E5648" t="inlineStr">
        <is>
          <t>AM02</t>
        </is>
      </c>
      <c r="F5648" s="5" t="n">
        <v>334.48</v>
      </c>
      <c r="G5648">
        <f>IF(LEFT(B5648,1)="C","Credit","Factuur")</f>
        <v/>
      </c>
      <c r="H5648">
        <f>IF(AND(B5648=B5647,D5648=D5647,A5648=A5647,F5648=F5647),1,0)</f>
        <v/>
      </c>
      <c r="I5648">
        <f>IF(C5648="C99999",1,0)</f>
        <v/>
      </c>
      <c r="J5648" s="5">
        <f>IF(OR(H5648=1,I5648=1),0,IF(G5648="Credit",-F5648,F5648))</f>
        <v/>
      </c>
    </row>
    <row r="5649">
      <c r="A5649" t="inlineStr">
        <is>
          <t>2026-08-25</t>
        </is>
      </c>
      <c r="B5649" t="inlineStr">
        <is>
          <t>F277423</t>
        </is>
      </c>
      <c r="C5649" t="inlineStr">
        <is>
          <t>C10926</t>
        </is>
      </c>
      <c r="D5649" t="inlineStr">
        <is>
          <t>SKU-10040</t>
        </is>
      </c>
      <c r="E5649" t="inlineStr"/>
      <c r="F5649" s="5" t="n">
        <v>356.72</v>
      </c>
      <c r="G5649">
        <f>IF(LEFT(B5649,1)="C","Credit","Factuur")</f>
        <v/>
      </c>
      <c r="H5649">
        <f>IF(AND(B5649=B5648,D5649=D5648,A5649=A5648,F5649=F5648),1,0)</f>
        <v/>
      </c>
      <c r="I5649">
        <f>IF(C5649="C99999",1,0)</f>
        <v/>
      </c>
      <c r="J5649" s="5">
        <f>IF(OR(H5649=1,I5649=1),0,IF(G5649="Credit",-F5649,F5649))</f>
        <v/>
      </c>
    </row>
    <row r="5650">
      <c r="A5650" t="inlineStr">
        <is>
          <t>2026-08-25</t>
        </is>
      </c>
      <c r="B5650" t="inlineStr">
        <is>
          <t>F277423</t>
        </is>
      </c>
      <c r="C5650" t="inlineStr">
        <is>
          <t>C10926</t>
        </is>
      </c>
      <c r="D5650" t="inlineStr">
        <is>
          <t>SKU-10105</t>
        </is>
      </c>
      <c r="E5650" t="inlineStr">
        <is>
          <t>AM02</t>
        </is>
      </c>
      <c r="F5650" s="5" t="n">
        <v>338.49</v>
      </c>
      <c r="G5650">
        <f>IF(LEFT(B5650,1)="C","Credit","Factuur")</f>
        <v/>
      </c>
      <c r="H5650">
        <f>IF(AND(B5650=B5649,D5650=D5649,A5650=A5649,F5650=F5649),1,0)</f>
        <v/>
      </c>
      <c r="I5650">
        <f>IF(C5650="C99999",1,0)</f>
        <v/>
      </c>
      <c r="J5650" s="5">
        <f>IF(OR(H5650=1,I5650=1),0,IF(G5650="Credit",-F5650,F5650))</f>
        <v/>
      </c>
    </row>
    <row r="5651">
      <c r="A5651" t="inlineStr">
        <is>
          <t>2026-08-25</t>
        </is>
      </c>
      <c r="B5651" t="inlineStr">
        <is>
          <t>F277423</t>
        </is>
      </c>
      <c r="C5651" t="inlineStr">
        <is>
          <t>C10926</t>
        </is>
      </c>
      <c r="D5651" t="inlineStr">
        <is>
          <t>SKU-10239</t>
        </is>
      </c>
      <c r="E5651" t="inlineStr">
        <is>
          <t>AM02</t>
        </is>
      </c>
      <c r="F5651" s="5" t="n">
        <v>325.75</v>
      </c>
      <c r="G5651">
        <f>IF(LEFT(B5651,1)="C","Credit","Factuur")</f>
        <v/>
      </c>
      <c r="H5651">
        <f>IF(AND(B5651=B5650,D5651=D5650,A5651=A5650,F5651=F5650),1,0)</f>
        <v/>
      </c>
      <c r="I5651">
        <f>IF(C5651="C99999",1,0)</f>
        <v/>
      </c>
      <c r="J5651" s="5">
        <f>IF(OR(H5651=1,I5651=1),0,IF(G5651="Credit",-F5651,F5651))</f>
        <v/>
      </c>
    </row>
    <row r="5652">
      <c r="A5652" t="inlineStr">
        <is>
          <t>2026-08-25</t>
        </is>
      </c>
      <c r="B5652" t="inlineStr">
        <is>
          <t>F277873</t>
        </is>
      </c>
      <c r="C5652" t="inlineStr">
        <is>
          <t>C10949</t>
        </is>
      </c>
      <c r="D5652" t="inlineStr">
        <is>
          <t>SKU-10073</t>
        </is>
      </c>
      <c r="E5652" t="inlineStr">
        <is>
          <t>AM01</t>
        </is>
      </c>
      <c r="F5652" s="5" t="n">
        <v>57.04</v>
      </c>
      <c r="G5652">
        <f>IF(LEFT(B5652,1)="C","Credit","Factuur")</f>
        <v/>
      </c>
      <c r="H5652">
        <f>IF(AND(B5652=B5651,D5652=D5651,A5652=A5651,F5652=F5651),1,0)</f>
        <v/>
      </c>
      <c r="I5652">
        <f>IF(C5652="C99999",1,0)</f>
        <v/>
      </c>
      <c r="J5652" s="5">
        <f>IF(OR(H5652=1,I5652=1),0,IF(G5652="Credit",-F5652,F5652))</f>
        <v/>
      </c>
    </row>
    <row r="5653">
      <c r="A5653" t="inlineStr">
        <is>
          <t>2026-08-25</t>
        </is>
      </c>
      <c r="B5653" t="inlineStr">
        <is>
          <t>F277873</t>
        </is>
      </c>
      <c r="C5653" t="inlineStr">
        <is>
          <t>C10949</t>
        </is>
      </c>
      <c r="D5653" t="inlineStr">
        <is>
          <t>SKU-10210</t>
        </is>
      </c>
      <c r="E5653" t="inlineStr">
        <is>
          <t>AM01</t>
        </is>
      </c>
      <c r="F5653" s="5" t="n">
        <v>44.09</v>
      </c>
      <c r="G5653">
        <f>IF(LEFT(B5653,1)="C","Credit","Factuur")</f>
        <v/>
      </c>
      <c r="H5653">
        <f>IF(AND(B5653=B5652,D5653=D5652,A5653=A5652,F5653=F5652),1,0)</f>
        <v/>
      </c>
      <c r="I5653">
        <f>IF(C5653="C99999",1,0)</f>
        <v/>
      </c>
      <c r="J5653" s="5">
        <f>IF(OR(H5653=1,I5653=1),0,IF(G5653="Credit",-F5653,F5653))</f>
        <v/>
      </c>
    </row>
    <row r="5654">
      <c r="A5654" t="inlineStr">
        <is>
          <t>2026-08-25</t>
        </is>
      </c>
      <c r="B5654" t="inlineStr">
        <is>
          <t>F277873</t>
        </is>
      </c>
      <c r="C5654" t="inlineStr">
        <is>
          <t>C10949</t>
        </is>
      </c>
      <c r="D5654" t="inlineStr">
        <is>
          <t>SKU-10319</t>
        </is>
      </c>
      <c r="E5654" t="inlineStr">
        <is>
          <t>AM01</t>
        </is>
      </c>
      <c r="F5654" s="5" t="n">
        <v>57.88</v>
      </c>
      <c r="G5654">
        <f>IF(LEFT(B5654,1)="C","Credit","Factuur")</f>
        <v/>
      </c>
      <c r="H5654">
        <f>IF(AND(B5654=B5653,D5654=D5653,A5654=A5653,F5654=F5653),1,0)</f>
        <v/>
      </c>
      <c r="I5654">
        <f>IF(C5654="C99999",1,0)</f>
        <v/>
      </c>
      <c r="J5654" s="5">
        <f>IF(OR(H5654=1,I5654=1),0,IF(G5654="Credit",-F5654,F5654))</f>
        <v/>
      </c>
    </row>
    <row r="5655">
      <c r="A5655" t="inlineStr">
        <is>
          <t>2026-08-25</t>
        </is>
      </c>
      <c r="B5655" t="inlineStr">
        <is>
          <t>F277873</t>
        </is>
      </c>
      <c r="C5655" t="inlineStr">
        <is>
          <t>C10949</t>
        </is>
      </c>
      <c r="D5655" t="inlineStr">
        <is>
          <t>SKU-10344</t>
        </is>
      </c>
      <c r="E5655" t="inlineStr">
        <is>
          <t>AM01</t>
        </is>
      </c>
      <c r="F5655" s="5" t="n">
        <v>50.4</v>
      </c>
      <c r="G5655">
        <f>IF(LEFT(B5655,1)="C","Credit","Factuur")</f>
        <v/>
      </c>
      <c r="H5655">
        <f>IF(AND(B5655=B5654,D5655=D5654,A5655=A5654,F5655=F5654),1,0)</f>
        <v/>
      </c>
      <c r="I5655">
        <f>IF(C5655="C99999",1,0)</f>
        <v/>
      </c>
      <c r="J5655" s="5">
        <f>IF(OR(H5655=1,I5655=1),0,IF(G5655="Credit",-F5655,F5655))</f>
        <v/>
      </c>
    </row>
    <row r="5656">
      <c r="A5656" t="inlineStr">
        <is>
          <t>2026-08-25</t>
        </is>
      </c>
      <c r="B5656" t="inlineStr">
        <is>
          <t>F277954</t>
        </is>
      </c>
      <c r="C5656" t="inlineStr">
        <is>
          <t>C10952</t>
        </is>
      </c>
      <c r="D5656" t="inlineStr">
        <is>
          <t>SKU-10069</t>
        </is>
      </c>
      <c r="E5656" t="inlineStr">
        <is>
          <t>AM01</t>
        </is>
      </c>
      <c r="F5656" s="5" t="n">
        <v>162.08</v>
      </c>
      <c r="G5656">
        <f>IF(LEFT(B5656,1)="C","Credit","Factuur")</f>
        <v/>
      </c>
      <c r="H5656">
        <f>IF(AND(B5656=B5655,D5656=D5655,A5656=A5655,F5656=F5655),1,0)</f>
        <v/>
      </c>
      <c r="I5656">
        <f>IF(C5656="C99999",1,0)</f>
        <v/>
      </c>
      <c r="J5656" s="5">
        <f>IF(OR(H5656=1,I5656=1),0,IF(G5656="Credit",-F5656,F5656))</f>
        <v/>
      </c>
    </row>
    <row r="5657">
      <c r="A5657" t="inlineStr">
        <is>
          <t>2026-08-25</t>
        </is>
      </c>
      <c r="B5657" t="inlineStr">
        <is>
          <t>F277954</t>
        </is>
      </c>
      <c r="C5657" t="inlineStr">
        <is>
          <t>C10952</t>
        </is>
      </c>
      <c r="D5657" t="inlineStr">
        <is>
          <t>SKU-10189</t>
        </is>
      </c>
      <c r="E5657" t="inlineStr">
        <is>
          <t>AM01</t>
        </is>
      </c>
      <c r="F5657" s="5" t="n">
        <v>160.27</v>
      </c>
      <c r="G5657">
        <f>IF(LEFT(B5657,1)="C","Credit","Factuur")</f>
        <v/>
      </c>
      <c r="H5657">
        <f>IF(AND(B5657=B5656,D5657=D5656,A5657=A5656,F5657=F5656),1,0)</f>
        <v/>
      </c>
      <c r="I5657">
        <f>IF(C5657="C99999",1,0)</f>
        <v/>
      </c>
      <c r="J5657" s="5">
        <f>IF(OR(H5657=1,I5657=1),0,IF(G5657="Credit",-F5657,F5657))</f>
        <v/>
      </c>
    </row>
    <row r="5658">
      <c r="A5658" t="inlineStr">
        <is>
          <t>2026-08-25</t>
        </is>
      </c>
      <c r="B5658" t="inlineStr">
        <is>
          <t>F277954</t>
        </is>
      </c>
      <c r="C5658" t="inlineStr">
        <is>
          <t>C10952</t>
        </is>
      </c>
      <c r="D5658" t="inlineStr">
        <is>
          <t>SKU-10321</t>
        </is>
      </c>
      <c r="E5658" t="inlineStr">
        <is>
          <t>AM01</t>
        </is>
      </c>
      <c r="F5658" s="5" t="n">
        <v>185.48</v>
      </c>
      <c r="G5658">
        <f>IF(LEFT(B5658,1)="C","Credit","Factuur")</f>
        <v/>
      </c>
      <c r="H5658">
        <f>IF(AND(B5658=B5657,D5658=D5657,A5658=A5657,F5658=F5657),1,0)</f>
        <v/>
      </c>
      <c r="I5658">
        <f>IF(C5658="C99999",1,0)</f>
        <v/>
      </c>
      <c r="J5658" s="5">
        <f>IF(OR(H5658=1,I5658=1),0,IF(G5658="Credit",-F5658,F5658))</f>
        <v/>
      </c>
    </row>
    <row r="5659">
      <c r="A5659" t="inlineStr">
        <is>
          <t>2026-08-25</t>
        </is>
      </c>
      <c r="B5659" t="inlineStr">
        <is>
          <t>F278639</t>
        </is>
      </c>
      <c r="C5659" t="inlineStr">
        <is>
          <t>C10987</t>
        </is>
      </c>
      <c r="D5659" t="inlineStr">
        <is>
          <t>SKU-10086</t>
        </is>
      </c>
      <c r="E5659" t="inlineStr">
        <is>
          <t>AM06</t>
        </is>
      </c>
      <c r="F5659" s="5" t="n">
        <v>457</v>
      </c>
      <c r="G5659">
        <f>IF(LEFT(B5659,1)="C","Credit","Factuur")</f>
        <v/>
      </c>
      <c r="H5659">
        <f>IF(AND(B5659=B5658,D5659=D5658,A5659=A5658,F5659=F5658),1,0)</f>
        <v/>
      </c>
      <c r="I5659">
        <f>IF(C5659="C99999",1,0)</f>
        <v/>
      </c>
      <c r="J5659" s="5">
        <f>IF(OR(H5659=1,I5659=1),0,IF(G5659="Credit",-F5659,F5659))</f>
        <v/>
      </c>
    </row>
    <row r="5660">
      <c r="A5660" t="inlineStr">
        <is>
          <t>2026-08-25</t>
        </is>
      </c>
      <c r="B5660" t="inlineStr">
        <is>
          <t>F280941</t>
        </is>
      </c>
      <c r="C5660" t="inlineStr">
        <is>
          <t>C11105</t>
        </is>
      </c>
      <c r="D5660" t="inlineStr">
        <is>
          <t>SKU-10020</t>
        </is>
      </c>
      <c r="E5660" t="inlineStr">
        <is>
          <t>AM12</t>
        </is>
      </c>
      <c r="F5660" s="5" t="n">
        <v>95.47</v>
      </c>
      <c r="G5660">
        <f>IF(LEFT(B5660,1)="C","Credit","Factuur")</f>
        <v/>
      </c>
      <c r="H5660">
        <f>IF(AND(B5660=B5659,D5660=D5659,A5660=A5659,F5660=F5659),1,0)</f>
        <v/>
      </c>
      <c r="I5660">
        <f>IF(C5660="C99999",1,0)</f>
        <v/>
      </c>
      <c r="J5660" s="5">
        <f>IF(OR(H5660=1,I5660=1),0,IF(G5660="Credit",-F5660,F5660))</f>
        <v/>
      </c>
    </row>
    <row r="5661">
      <c r="A5661" t="inlineStr">
        <is>
          <t>2026-08-25</t>
        </is>
      </c>
      <c r="B5661" t="inlineStr">
        <is>
          <t>F280941</t>
        </is>
      </c>
      <c r="C5661" t="inlineStr">
        <is>
          <t>C11105</t>
        </is>
      </c>
      <c r="D5661" t="inlineStr">
        <is>
          <t>SKU-10047</t>
        </is>
      </c>
      <c r="E5661" t="inlineStr">
        <is>
          <t>AM12</t>
        </is>
      </c>
      <c r="F5661" s="5" t="n">
        <v>105.46</v>
      </c>
      <c r="G5661">
        <f>IF(LEFT(B5661,1)="C","Credit","Factuur")</f>
        <v/>
      </c>
      <c r="H5661">
        <f>IF(AND(B5661=B5660,D5661=D5660,A5661=A5660,F5661=F5660),1,0)</f>
        <v/>
      </c>
      <c r="I5661">
        <f>IF(C5661="C99999",1,0)</f>
        <v/>
      </c>
      <c r="J5661" s="5">
        <f>IF(OR(H5661=1,I5661=1),0,IF(G5661="Credit",-F5661,F5661))</f>
        <v/>
      </c>
    </row>
    <row r="5662">
      <c r="A5662" t="inlineStr">
        <is>
          <t>2026-08-25</t>
        </is>
      </c>
      <c r="B5662" t="inlineStr">
        <is>
          <t>F280941</t>
        </is>
      </c>
      <c r="C5662" t="inlineStr">
        <is>
          <t>C11105</t>
        </is>
      </c>
      <c r="D5662" t="inlineStr">
        <is>
          <t>SKU-10304</t>
        </is>
      </c>
      <c r="E5662" t="inlineStr">
        <is>
          <t>AM12</t>
        </is>
      </c>
      <c r="F5662" s="5" t="n">
        <v>106.96</v>
      </c>
      <c r="G5662">
        <f>IF(LEFT(B5662,1)="C","Credit","Factuur")</f>
        <v/>
      </c>
      <c r="H5662">
        <f>IF(AND(B5662=B5661,D5662=D5661,A5662=A5661,F5662=F5661),1,0)</f>
        <v/>
      </c>
      <c r="I5662">
        <f>IF(C5662="C99999",1,0)</f>
        <v/>
      </c>
      <c r="J5662" s="5">
        <f>IF(OR(H5662=1,I5662=1),0,IF(G5662="Credit",-F5662,F5662))</f>
        <v/>
      </c>
    </row>
    <row r="5663">
      <c r="A5663" t="inlineStr">
        <is>
          <t>2026-08-25</t>
        </is>
      </c>
      <c r="B5663" t="inlineStr">
        <is>
          <t>F281982</t>
        </is>
      </c>
      <c r="C5663" t="inlineStr">
        <is>
          <t>C11155</t>
        </is>
      </c>
      <c r="D5663" t="inlineStr">
        <is>
          <t>SKU-10139</t>
        </is>
      </c>
      <c r="E5663" t="inlineStr">
        <is>
          <t>AM05</t>
        </is>
      </c>
      <c r="F5663" s="5" t="n">
        <v>535.34</v>
      </c>
      <c r="G5663">
        <f>IF(LEFT(B5663,1)="C","Credit","Factuur")</f>
        <v/>
      </c>
      <c r="H5663">
        <f>IF(AND(B5663=B5662,D5663=D5662,A5663=A5662,F5663=F5662),1,0)</f>
        <v/>
      </c>
      <c r="I5663">
        <f>IF(C5663="C99999",1,0)</f>
        <v/>
      </c>
      <c r="J5663" s="5">
        <f>IF(OR(H5663=1,I5663=1),0,IF(G5663="Credit",-F5663,F5663))</f>
        <v/>
      </c>
    </row>
    <row r="5664">
      <c r="A5664" t="inlineStr">
        <is>
          <t>2026-08-25</t>
        </is>
      </c>
      <c r="B5664" t="inlineStr">
        <is>
          <t>F282080</t>
        </is>
      </c>
      <c r="C5664" t="inlineStr">
        <is>
          <t>C11160</t>
        </is>
      </c>
      <c r="D5664" t="inlineStr">
        <is>
          <t>SKU-10146</t>
        </is>
      </c>
      <c r="E5664" t="inlineStr">
        <is>
          <t>AM08</t>
        </is>
      </c>
      <c r="F5664" s="5" t="n">
        <v>115.57</v>
      </c>
      <c r="G5664">
        <f>IF(LEFT(B5664,1)="C","Credit","Factuur")</f>
        <v/>
      </c>
      <c r="H5664">
        <f>IF(AND(B5664=B5663,D5664=D5663,A5664=A5663,F5664=F5663),1,0)</f>
        <v/>
      </c>
      <c r="I5664">
        <f>IF(C5664="C99999",1,0)</f>
        <v/>
      </c>
      <c r="J5664" s="5">
        <f>IF(OR(H5664=1,I5664=1),0,IF(G5664="Credit",-F5664,F5664))</f>
        <v/>
      </c>
    </row>
    <row r="5665">
      <c r="A5665" t="inlineStr">
        <is>
          <t>2026-08-25</t>
        </is>
      </c>
      <c r="B5665" t="inlineStr">
        <is>
          <t>F282080</t>
        </is>
      </c>
      <c r="C5665" t="inlineStr">
        <is>
          <t>C11160</t>
        </is>
      </c>
      <c r="D5665" t="inlineStr">
        <is>
          <t>SKU-10184</t>
        </is>
      </c>
      <c r="E5665" t="inlineStr">
        <is>
          <t>AM08</t>
        </is>
      </c>
      <c r="F5665" s="5" t="n">
        <v>129.7</v>
      </c>
      <c r="G5665">
        <f>IF(LEFT(B5665,1)="C","Credit","Factuur")</f>
        <v/>
      </c>
      <c r="H5665">
        <f>IF(AND(B5665=B5664,D5665=D5664,A5665=A5664,F5665=F5664),1,0)</f>
        <v/>
      </c>
      <c r="I5665">
        <f>IF(C5665="C99999",1,0)</f>
        <v/>
      </c>
      <c r="J5665" s="5">
        <f>IF(OR(H5665=1,I5665=1),0,IF(G5665="Credit",-F5665,F5665))</f>
        <v/>
      </c>
    </row>
    <row r="5666">
      <c r="A5666" t="inlineStr">
        <is>
          <t>2026-08-25</t>
        </is>
      </c>
      <c r="B5666" t="inlineStr">
        <is>
          <t>F282080</t>
        </is>
      </c>
      <c r="C5666" t="inlineStr">
        <is>
          <t>C11160</t>
        </is>
      </c>
      <c r="D5666" t="inlineStr">
        <is>
          <t>SKU-10286</t>
        </is>
      </c>
      <c r="E5666" t="inlineStr">
        <is>
          <t>AM08</t>
        </is>
      </c>
      <c r="F5666" s="5" t="n">
        <v>146</v>
      </c>
      <c r="G5666">
        <f>IF(LEFT(B5666,1)="C","Credit","Factuur")</f>
        <v/>
      </c>
      <c r="H5666">
        <f>IF(AND(B5666=B5665,D5666=D5665,A5666=A5665,F5666=F5665),1,0)</f>
        <v/>
      </c>
      <c r="I5666">
        <f>IF(C5666="C99999",1,0)</f>
        <v/>
      </c>
      <c r="J5666" s="5">
        <f>IF(OR(H5666=1,I5666=1),0,IF(G5666="Credit",-F5666,F5666))</f>
        <v/>
      </c>
    </row>
    <row r="5667">
      <c r="A5667" t="inlineStr">
        <is>
          <t>2026-08-25</t>
        </is>
      </c>
      <c r="B5667" t="inlineStr">
        <is>
          <t>F282080</t>
        </is>
      </c>
      <c r="C5667" t="inlineStr">
        <is>
          <t>C11160</t>
        </is>
      </c>
      <c r="D5667" t="inlineStr">
        <is>
          <t>SKU-10348</t>
        </is>
      </c>
      <c r="E5667" t="inlineStr">
        <is>
          <t>AM08</t>
        </is>
      </c>
      <c r="F5667" s="5" t="n">
        <v>152.99</v>
      </c>
      <c r="G5667">
        <f>IF(LEFT(B5667,1)="C","Credit","Factuur")</f>
        <v/>
      </c>
      <c r="H5667">
        <f>IF(AND(B5667=B5666,D5667=D5666,A5667=A5666,F5667=F5666),1,0)</f>
        <v/>
      </c>
      <c r="I5667">
        <f>IF(C5667="C99999",1,0)</f>
        <v/>
      </c>
      <c r="J5667" s="5">
        <f>IF(OR(H5667=1,I5667=1),0,IF(G5667="Credit",-F5667,F5667))</f>
        <v/>
      </c>
    </row>
    <row r="5668">
      <c r="A5668" t="inlineStr">
        <is>
          <t>2026-08-25</t>
        </is>
      </c>
      <c r="B5668" t="inlineStr">
        <is>
          <t>F282080</t>
        </is>
      </c>
      <c r="C5668" t="inlineStr">
        <is>
          <t>C11160</t>
        </is>
      </c>
      <c r="D5668" t="inlineStr">
        <is>
          <t>SKU-10369</t>
        </is>
      </c>
      <c r="E5668" t="inlineStr"/>
      <c r="F5668" s="5" t="n">
        <v>224.3</v>
      </c>
      <c r="G5668">
        <f>IF(LEFT(B5668,1)="C","Credit","Factuur")</f>
        <v/>
      </c>
      <c r="H5668">
        <f>IF(AND(B5668=B5667,D5668=D5667,A5668=A5667,F5668=F5667),1,0)</f>
        <v/>
      </c>
      <c r="I5668">
        <f>IF(C5668="C99999",1,0)</f>
        <v/>
      </c>
      <c r="J5668" s="5">
        <f>IF(OR(H5668=1,I5668=1),0,IF(G5668="Credit",-F5668,F5668))</f>
        <v/>
      </c>
    </row>
    <row r="5669">
      <c r="A5669" t="inlineStr">
        <is>
          <t>2026-08-25</t>
        </is>
      </c>
      <c r="B5669" t="inlineStr">
        <is>
          <t>F282394</t>
        </is>
      </c>
      <c r="C5669" t="inlineStr">
        <is>
          <t>C11175</t>
        </is>
      </c>
      <c r="D5669" t="inlineStr">
        <is>
          <t>SKU-10042</t>
        </is>
      </c>
      <c r="E5669" t="inlineStr">
        <is>
          <t>AM03</t>
        </is>
      </c>
      <c r="F5669" s="5" t="n">
        <v>428.16</v>
      </c>
      <c r="G5669">
        <f>IF(LEFT(B5669,1)="C","Credit","Factuur")</f>
        <v/>
      </c>
      <c r="H5669">
        <f>IF(AND(B5669=B5668,D5669=D5668,A5669=A5668,F5669=F5668),1,0)</f>
        <v/>
      </c>
      <c r="I5669">
        <f>IF(C5669="C99999",1,0)</f>
        <v/>
      </c>
      <c r="J5669" s="5">
        <f>IF(OR(H5669=1,I5669=1),0,IF(G5669="Credit",-F5669,F5669))</f>
        <v/>
      </c>
    </row>
    <row r="5670">
      <c r="A5670" t="inlineStr">
        <is>
          <t>2026-08-25</t>
        </is>
      </c>
      <c r="B5670" t="inlineStr">
        <is>
          <t>F282394</t>
        </is>
      </c>
      <c r="C5670" t="inlineStr">
        <is>
          <t>C11175</t>
        </is>
      </c>
      <c r="D5670" t="inlineStr">
        <is>
          <t>SKU-10191</t>
        </is>
      </c>
      <c r="E5670" t="inlineStr">
        <is>
          <t>AM03</t>
        </is>
      </c>
      <c r="F5670" s="5" t="n">
        <v>425.28</v>
      </c>
      <c r="G5670">
        <f>IF(LEFT(B5670,1)="C","Credit","Factuur")</f>
        <v/>
      </c>
      <c r="H5670">
        <f>IF(AND(B5670=B5669,D5670=D5669,A5670=A5669,F5670=F5669),1,0)</f>
        <v/>
      </c>
      <c r="I5670">
        <f>IF(C5670="C99999",1,0)</f>
        <v/>
      </c>
      <c r="J5670" s="5">
        <f>IF(OR(H5670=1,I5670=1),0,IF(G5670="Credit",-F5670,F5670))</f>
        <v/>
      </c>
    </row>
    <row r="5671">
      <c r="A5671" t="inlineStr">
        <is>
          <t>2026-08-25</t>
        </is>
      </c>
      <c r="B5671" t="inlineStr">
        <is>
          <t>F282394</t>
        </is>
      </c>
      <c r="C5671" t="inlineStr">
        <is>
          <t>C11175</t>
        </is>
      </c>
      <c r="D5671" t="inlineStr">
        <is>
          <t>SKU-10214</t>
        </is>
      </c>
      <c r="E5671" t="inlineStr">
        <is>
          <t>AM03</t>
        </is>
      </c>
      <c r="F5671" s="5" t="n">
        <v>404.51</v>
      </c>
      <c r="G5671">
        <f>IF(LEFT(B5671,1)="C","Credit","Factuur")</f>
        <v/>
      </c>
      <c r="H5671">
        <f>IF(AND(B5671=B5670,D5671=D5670,A5671=A5670,F5671=F5670),1,0)</f>
        <v/>
      </c>
      <c r="I5671">
        <f>IF(C5671="C99999",1,0)</f>
        <v/>
      </c>
      <c r="J5671" s="5">
        <f>IF(OR(H5671=1,I5671=1),0,IF(G5671="Credit",-F5671,F5671))</f>
        <v/>
      </c>
    </row>
    <row r="5672">
      <c r="A5672" t="inlineStr">
        <is>
          <t>2026-08-25</t>
        </is>
      </c>
      <c r="B5672" t="inlineStr">
        <is>
          <t>F282394</t>
        </is>
      </c>
      <c r="C5672" t="inlineStr">
        <is>
          <t>C11175</t>
        </is>
      </c>
      <c r="D5672" t="inlineStr">
        <is>
          <t>SKU-10272</t>
        </is>
      </c>
      <c r="E5672" t="inlineStr">
        <is>
          <t>AM03</t>
        </is>
      </c>
      <c r="F5672" s="5" t="n">
        <v>452.52</v>
      </c>
      <c r="G5672">
        <f>IF(LEFT(B5672,1)="C","Credit","Factuur")</f>
        <v/>
      </c>
      <c r="H5672">
        <f>IF(AND(B5672=B5671,D5672=D5671,A5672=A5671,F5672=F5671),1,0)</f>
        <v/>
      </c>
      <c r="I5672">
        <f>IF(C5672="C99999",1,0)</f>
        <v/>
      </c>
      <c r="J5672" s="5">
        <f>IF(OR(H5672=1,I5672=1),0,IF(G5672="Credit",-F5672,F5672))</f>
        <v/>
      </c>
    </row>
    <row r="5673">
      <c r="A5673" t="inlineStr">
        <is>
          <t>2026-08-25</t>
        </is>
      </c>
      <c r="B5673" t="inlineStr">
        <is>
          <t>F282394</t>
        </is>
      </c>
      <c r="C5673" t="inlineStr">
        <is>
          <t>C11175</t>
        </is>
      </c>
      <c r="D5673" t="inlineStr">
        <is>
          <t>SKU-10274</t>
        </is>
      </c>
      <c r="E5673" t="inlineStr">
        <is>
          <t>AM03</t>
        </is>
      </c>
      <c r="F5673" s="5" t="n">
        <v>392.75</v>
      </c>
      <c r="G5673">
        <f>IF(LEFT(B5673,1)="C","Credit","Factuur")</f>
        <v/>
      </c>
      <c r="H5673">
        <f>IF(AND(B5673=B5672,D5673=D5672,A5673=A5672,F5673=F5672),1,0)</f>
        <v/>
      </c>
      <c r="I5673">
        <f>IF(C5673="C99999",1,0)</f>
        <v/>
      </c>
      <c r="J5673" s="5">
        <f>IF(OR(H5673=1,I5673=1),0,IF(G5673="Credit",-F5673,F5673))</f>
        <v/>
      </c>
    </row>
    <row r="5674">
      <c r="A5674" t="inlineStr">
        <is>
          <t>2026-08-25</t>
        </is>
      </c>
      <c r="B5674" t="inlineStr">
        <is>
          <t>F284720</t>
        </is>
      </c>
      <c r="C5674" t="inlineStr">
        <is>
          <t>C11294</t>
        </is>
      </c>
      <c r="D5674" t="inlineStr">
        <is>
          <t>SKU-10240</t>
        </is>
      </c>
      <c r="E5674" t="inlineStr">
        <is>
          <t>AM01</t>
        </is>
      </c>
      <c r="F5674" s="5" t="n">
        <v>776.88</v>
      </c>
      <c r="G5674">
        <f>IF(LEFT(B5674,1)="C","Credit","Factuur")</f>
        <v/>
      </c>
      <c r="H5674">
        <f>IF(AND(B5674=B5673,D5674=D5673,A5674=A5673,F5674=F5673),1,0)</f>
        <v/>
      </c>
      <c r="I5674">
        <f>IF(C5674="C99999",1,0)</f>
        <v/>
      </c>
      <c r="J5674" s="5">
        <f>IF(OR(H5674=1,I5674=1),0,IF(G5674="Credit",-F5674,F5674))</f>
        <v/>
      </c>
    </row>
    <row r="5675">
      <c r="A5675" t="inlineStr">
        <is>
          <t>2026-08-25</t>
        </is>
      </c>
      <c r="B5675" t="inlineStr">
        <is>
          <t>F284720</t>
        </is>
      </c>
      <c r="C5675" t="inlineStr">
        <is>
          <t>C11294</t>
        </is>
      </c>
      <c r="D5675" t="inlineStr">
        <is>
          <t>SKU-10309</t>
        </is>
      </c>
      <c r="E5675" t="inlineStr">
        <is>
          <t>AM01</t>
        </is>
      </c>
      <c r="F5675" s="5" t="n">
        <v>691.3</v>
      </c>
      <c r="G5675">
        <f>IF(LEFT(B5675,1)="C","Credit","Factuur")</f>
        <v/>
      </c>
      <c r="H5675">
        <f>IF(AND(B5675=B5674,D5675=D5674,A5675=A5674,F5675=F5674),1,0)</f>
        <v/>
      </c>
      <c r="I5675">
        <f>IF(C5675="C99999",1,0)</f>
        <v/>
      </c>
      <c r="J5675" s="5">
        <f>IF(OR(H5675=1,I5675=1),0,IF(G5675="Credit",-F5675,F5675))</f>
        <v/>
      </c>
    </row>
    <row r="5676">
      <c r="A5676" t="inlineStr">
        <is>
          <t>2026-08-26</t>
        </is>
      </c>
      <c r="B5676" t="inlineStr">
        <is>
          <t>C900130</t>
        </is>
      </c>
      <c r="C5676" t="inlineStr">
        <is>
          <t>C10145</t>
        </is>
      </c>
      <c r="D5676" t="inlineStr">
        <is>
          <t>SKU-10224</t>
        </is>
      </c>
      <c r="E5676" t="inlineStr">
        <is>
          <t>AM11</t>
        </is>
      </c>
      <c r="F5676" s="5" t="n">
        <v>152</v>
      </c>
      <c r="G5676">
        <f>IF(LEFT(B5676,1)="C","Credit","Factuur")</f>
        <v/>
      </c>
      <c r="H5676">
        <f>IF(AND(B5676=B5675,D5676=D5675,A5676=A5675,F5676=F5675),1,0)</f>
        <v/>
      </c>
      <c r="I5676">
        <f>IF(C5676="C99999",1,0)</f>
        <v/>
      </c>
      <c r="J5676" s="5">
        <f>IF(OR(H5676=1,I5676=1),0,IF(G5676="Credit",-F5676,F5676))</f>
        <v/>
      </c>
    </row>
    <row r="5677">
      <c r="A5677" t="inlineStr">
        <is>
          <t>2026-08-26</t>
        </is>
      </c>
      <c r="B5677" t="inlineStr">
        <is>
          <t>C900401</t>
        </is>
      </c>
      <c r="C5677" t="inlineStr">
        <is>
          <t>C10821</t>
        </is>
      </c>
      <c r="D5677" t="inlineStr">
        <is>
          <t>SKU-10039</t>
        </is>
      </c>
      <c r="E5677" t="inlineStr">
        <is>
          <t>AM02</t>
        </is>
      </c>
      <c r="F5677" s="5" t="n">
        <v>708.6</v>
      </c>
      <c r="G5677">
        <f>IF(LEFT(B5677,1)="C","Credit","Factuur")</f>
        <v/>
      </c>
      <c r="H5677">
        <f>IF(AND(B5677=B5676,D5677=D5676,A5677=A5676,F5677=F5676),1,0)</f>
        <v/>
      </c>
      <c r="I5677">
        <f>IF(C5677="C99999",1,0)</f>
        <v/>
      </c>
      <c r="J5677" s="5">
        <f>IF(OR(H5677=1,I5677=1),0,IF(G5677="Credit",-F5677,F5677))</f>
        <v/>
      </c>
    </row>
    <row r="5678">
      <c r="A5678" t="inlineStr">
        <is>
          <t>2026-08-26</t>
        </is>
      </c>
      <c r="B5678" t="inlineStr">
        <is>
          <t>F260026</t>
        </is>
      </c>
      <c r="C5678" t="inlineStr">
        <is>
          <t>C10003</t>
        </is>
      </c>
      <c r="D5678" t="inlineStr">
        <is>
          <t>SKU-10048</t>
        </is>
      </c>
      <c r="E5678" t="inlineStr">
        <is>
          <t>AM01</t>
        </is>
      </c>
      <c r="F5678" s="5" t="n">
        <v>99.95999999999999</v>
      </c>
      <c r="G5678">
        <f>IF(LEFT(B5678,1)="C","Credit","Factuur")</f>
        <v/>
      </c>
      <c r="H5678">
        <f>IF(AND(B5678=B5677,D5678=D5677,A5678=A5677,F5678=F5677),1,0)</f>
        <v/>
      </c>
      <c r="I5678">
        <f>IF(C5678="C99999",1,0)</f>
        <v/>
      </c>
      <c r="J5678" s="5">
        <f>IF(OR(H5678=1,I5678=1),0,IF(G5678="Credit",-F5678,F5678))</f>
        <v/>
      </c>
    </row>
    <row r="5679">
      <c r="A5679" t="inlineStr">
        <is>
          <t>2026-08-26</t>
        </is>
      </c>
      <c r="B5679" t="inlineStr">
        <is>
          <t>F260026</t>
        </is>
      </c>
      <c r="C5679" t="inlineStr">
        <is>
          <t>C10003</t>
        </is>
      </c>
      <c r="D5679" t="inlineStr">
        <is>
          <t>SKU-10323</t>
        </is>
      </c>
      <c r="E5679" t="inlineStr">
        <is>
          <t>AM01</t>
        </is>
      </c>
      <c r="F5679" s="5" t="n">
        <v>123.55</v>
      </c>
      <c r="G5679">
        <f>IF(LEFT(B5679,1)="C","Credit","Factuur")</f>
        <v/>
      </c>
      <c r="H5679">
        <f>IF(AND(B5679=B5678,D5679=D5678,A5679=A5678,F5679=F5678),1,0)</f>
        <v/>
      </c>
      <c r="I5679">
        <f>IF(C5679="C99999",1,0)</f>
        <v/>
      </c>
      <c r="J5679" s="5">
        <f>IF(OR(H5679=1,I5679=1),0,IF(G5679="Credit",-F5679,F5679))</f>
        <v/>
      </c>
    </row>
    <row r="5680">
      <c r="A5680" t="inlineStr">
        <is>
          <t>2026-08-26</t>
        </is>
      </c>
      <c r="B5680" t="inlineStr">
        <is>
          <t>F260026</t>
        </is>
      </c>
      <c r="C5680" t="inlineStr">
        <is>
          <t>C10003</t>
        </is>
      </c>
      <c r="D5680" t="inlineStr">
        <is>
          <t>SKU-10336</t>
        </is>
      </c>
      <c r="E5680" t="inlineStr">
        <is>
          <t>AM01</t>
        </is>
      </c>
      <c r="F5680" s="5" t="n">
        <v>123.45</v>
      </c>
      <c r="G5680">
        <f>IF(LEFT(B5680,1)="C","Credit","Factuur")</f>
        <v/>
      </c>
      <c r="H5680">
        <f>IF(AND(B5680=B5679,D5680=D5679,A5680=A5679,F5680=F5679),1,0)</f>
        <v/>
      </c>
      <c r="I5680">
        <f>IF(C5680="C99999",1,0)</f>
        <v/>
      </c>
      <c r="J5680" s="5">
        <f>IF(OR(H5680=1,I5680=1),0,IF(G5680="Credit",-F5680,F5680))</f>
        <v/>
      </c>
    </row>
    <row r="5681">
      <c r="A5681" t="inlineStr">
        <is>
          <t>2026-08-26</t>
        </is>
      </c>
      <c r="B5681" t="inlineStr">
        <is>
          <t>F260026</t>
        </is>
      </c>
      <c r="C5681" t="inlineStr">
        <is>
          <t>C10003</t>
        </is>
      </c>
      <c r="D5681" t="inlineStr">
        <is>
          <t>SKU-10344</t>
        </is>
      </c>
      <c r="E5681" t="inlineStr">
        <is>
          <t>AM01</t>
        </is>
      </c>
      <c r="F5681" s="5" t="n">
        <v>106.4</v>
      </c>
      <c r="G5681">
        <f>IF(LEFT(B5681,1)="C","Credit","Factuur")</f>
        <v/>
      </c>
      <c r="H5681">
        <f>IF(AND(B5681=B5680,D5681=D5680,A5681=A5680,F5681=F5680),1,0)</f>
        <v/>
      </c>
      <c r="I5681">
        <f>IF(C5681="C99999",1,0)</f>
        <v/>
      </c>
      <c r="J5681" s="5">
        <f>IF(OR(H5681=1,I5681=1),0,IF(G5681="Credit",-F5681,F5681))</f>
        <v/>
      </c>
    </row>
    <row r="5682">
      <c r="A5682" t="inlineStr">
        <is>
          <t>2026-08-26</t>
        </is>
      </c>
      <c r="B5682" t="inlineStr">
        <is>
          <t>F260760</t>
        </is>
      </c>
      <c r="C5682" t="inlineStr">
        <is>
          <t>C10046</t>
        </is>
      </c>
      <c r="D5682" t="inlineStr">
        <is>
          <t>SKU-10130</t>
        </is>
      </c>
      <c r="E5682" t="inlineStr">
        <is>
          <t>AM07</t>
        </is>
      </c>
      <c r="F5682" s="5" t="n">
        <v>75.72</v>
      </c>
      <c r="G5682">
        <f>IF(LEFT(B5682,1)="C","Credit","Factuur")</f>
        <v/>
      </c>
      <c r="H5682">
        <f>IF(AND(B5682=B5681,D5682=D5681,A5682=A5681,F5682=F5681),1,0)</f>
        <v/>
      </c>
      <c r="I5682">
        <f>IF(C5682="C99999",1,0)</f>
        <v/>
      </c>
      <c r="J5682" s="5">
        <f>IF(OR(H5682=1,I5682=1),0,IF(G5682="Credit",-F5682,F5682))</f>
        <v/>
      </c>
    </row>
    <row r="5683">
      <c r="A5683" t="inlineStr">
        <is>
          <t>2026-08-26</t>
        </is>
      </c>
      <c r="B5683" t="inlineStr">
        <is>
          <t>F260760</t>
        </is>
      </c>
      <c r="C5683" t="inlineStr">
        <is>
          <t>C10046</t>
        </is>
      </c>
      <c r="D5683" t="inlineStr">
        <is>
          <t>SKU-10256</t>
        </is>
      </c>
      <c r="E5683" t="inlineStr">
        <is>
          <t>AM07</t>
        </is>
      </c>
      <c r="F5683" s="5" t="n">
        <v>81.97</v>
      </c>
      <c r="G5683">
        <f>IF(LEFT(B5683,1)="C","Credit","Factuur")</f>
        <v/>
      </c>
      <c r="H5683">
        <f>IF(AND(B5683=B5682,D5683=D5682,A5683=A5682,F5683=F5682),1,0)</f>
        <v/>
      </c>
      <c r="I5683">
        <f>IF(C5683="C99999",1,0)</f>
        <v/>
      </c>
      <c r="J5683" s="5">
        <f>IF(OR(H5683=1,I5683=1),0,IF(G5683="Credit",-F5683,F5683))</f>
        <v/>
      </c>
    </row>
    <row r="5684">
      <c r="A5684" t="inlineStr">
        <is>
          <t>2026-08-26</t>
        </is>
      </c>
      <c r="B5684" t="inlineStr">
        <is>
          <t>F260760</t>
        </is>
      </c>
      <c r="C5684" t="inlineStr">
        <is>
          <t>C10046</t>
        </is>
      </c>
      <c r="D5684" t="inlineStr">
        <is>
          <t>SKU-10281</t>
        </is>
      </c>
      <c r="E5684" t="inlineStr">
        <is>
          <t>AM07</t>
        </is>
      </c>
      <c r="F5684" s="5" t="n">
        <v>91.53</v>
      </c>
      <c r="G5684">
        <f>IF(LEFT(B5684,1)="C","Credit","Factuur")</f>
        <v/>
      </c>
      <c r="H5684">
        <f>IF(AND(B5684=B5683,D5684=D5683,A5684=A5683,F5684=F5683),1,0)</f>
        <v/>
      </c>
      <c r="I5684">
        <f>IF(C5684="C99999",1,0)</f>
        <v/>
      </c>
      <c r="J5684" s="5">
        <f>IF(OR(H5684=1,I5684=1),0,IF(G5684="Credit",-F5684,F5684))</f>
        <v/>
      </c>
    </row>
    <row r="5685">
      <c r="A5685" t="inlineStr">
        <is>
          <t>2026-08-26</t>
        </is>
      </c>
      <c r="B5685" t="inlineStr">
        <is>
          <t>F261261</t>
        </is>
      </c>
      <c r="C5685" t="inlineStr">
        <is>
          <t>C10070</t>
        </is>
      </c>
      <c r="D5685" t="inlineStr">
        <is>
          <t>SKU-10027</t>
        </is>
      </c>
      <c r="E5685" t="inlineStr">
        <is>
          <t>AM11</t>
        </is>
      </c>
      <c r="F5685" s="5" t="n">
        <v>110.68</v>
      </c>
      <c r="G5685">
        <f>IF(LEFT(B5685,1)="C","Credit","Factuur")</f>
        <v/>
      </c>
      <c r="H5685">
        <f>IF(AND(B5685=B5684,D5685=D5684,A5685=A5684,F5685=F5684),1,0)</f>
        <v/>
      </c>
      <c r="I5685">
        <f>IF(C5685="C99999",1,0)</f>
        <v/>
      </c>
      <c r="J5685" s="5">
        <f>IF(OR(H5685=1,I5685=1),0,IF(G5685="Credit",-F5685,F5685))</f>
        <v/>
      </c>
    </row>
    <row r="5686">
      <c r="A5686" t="inlineStr">
        <is>
          <t>2026-08-26</t>
        </is>
      </c>
      <c r="B5686" t="inlineStr">
        <is>
          <t>F261261</t>
        </is>
      </c>
      <c r="C5686" t="inlineStr">
        <is>
          <t>C10070</t>
        </is>
      </c>
      <c r="D5686" t="inlineStr">
        <is>
          <t>SKU-10073</t>
        </is>
      </c>
      <c r="E5686" t="inlineStr">
        <is>
          <t>AM11</t>
        </is>
      </c>
      <c r="F5686" s="5" t="n">
        <v>114.08</v>
      </c>
      <c r="G5686">
        <f>IF(LEFT(B5686,1)="C","Credit","Factuur")</f>
        <v/>
      </c>
      <c r="H5686">
        <f>IF(AND(B5686=B5685,D5686=D5685,A5686=A5685,F5686=F5685),1,0)</f>
        <v/>
      </c>
      <c r="I5686">
        <f>IF(C5686="C99999",1,0)</f>
        <v/>
      </c>
      <c r="J5686" s="5">
        <f>IF(OR(H5686=1,I5686=1),0,IF(G5686="Credit",-F5686,F5686))</f>
        <v/>
      </c>
    </row>
    <row r="5687">
      <c r="A5687" t="inlineStr">
        <is>
          <t>2026-08-26</t>
        </is>
      </c>
      <c r="B5687" t="inlineStr">
        <is>
          <t>F261261</t>
        </is>
      </c>
      <c r="C5687" t="inlineStr">
        <is>
          <t>C10070</t>
        </is>
      </c>
      <c r="D5687" t="inlineStr">
        <is>
          <t>SKU-10317</t>
        </is>
      </c>
      <c r="E5687" t="inlineStr">
        <is>
          <t>AM11</t>
        </is>
      </c>
      <c r="F5687" s="5" t="n">
        <v>110.84</v>
      </c>
      <c r="G5687">
        <f>IF(LEFT(B5687,1)="C","Credit","Factuur")</f>
        <v/>
      </c>
      <c r="H5687">
        <f>IF(AND(B5687=B5686,D5687=D5686,A5687=A5686,F5687=F5686),1,0)</f>
        <v/>
      </c>
      <c r="I5687">
        <f>IF(C5687="C99999",1,0)</f>
        <v/>
      </c>
      <c r="J5687" s="5">
        <f>IF(OR(H5687=1,I5687=1),0,IF(G5687="Credit",-F5687,F5687))</f>
        <v/>
      </c>
    </row>
    <row r="5688">
      <c r="A5688" t="inlineStr">
        <is>
          <t>2026-08-26</t>
        </is>
      </c>
      <c r="B5688" t="inlineStr">
        <is>
          <t>F261640</t>
        </is>
      </c>
      <c r="C5688" t="inlineStr">
        <is>
          <t>C10086</t>
        </is>
      </c>
      <c r="D5688" t="inlineStr">
        <is>
          <t>SKU-10332</t>
        </is>
      </c>
      <c r="E5688" t="inlineStr">
        <is>
          <t>AM02</t>
        </is>
      </c>
      <c r="F5688" s="5" t="n">
        <v>366.21</v>
      </c>
      <c r="G5688">
        <f>IF(LEFT(B5688,1)="C","Credit","Factuur")</f>
        <v/>
      </c>
      <c r="H5688">
        <f>IF(AND(B5688=B5687,D5688=D5687,A5688=A5687,F5688=F5687),1,0)</f>
        <v/>
      </c>
      <c r="I5688">
        <f>IF(C5688="C99999",1,0)</f>
        <v/>
      </c>
      <c r="J5688" s="5">
        <f>IF(OR(H5688=1,I5688=1),0,IF(G5688="Credit",-F5688,F5688))</f>
        <v/>
      </c>
    </row>
    <row r="5689">
      <c r="A5689" t="inlineStr">
        <is>
          <t>2026-08-26</t>
        </is>
      </c>
      <c r="B5689" t="inlineStr">
        <is>
          <t>F261640</t>
        </is>
      </c>
      <c r="C5689" t="inlineStr">
        <is>
          <t>C10086</t>
        </is>
      </c>
      <c r="D5689" t="inlineStr">
        <is>
          <t>SKU-10339</t>
        </is>
      </c>
      <c r="E5689" t="inlineStr">
        <is>
          <t>AM02</t>
        </is>
      </c>
      <c r="F5689" s="5" t="n">
        <v>361.2</v>
      </c>
      <c r="G5689">
        <f>IF(LEFT(B5689,1)="C","Credit","Factuur")</f>
        <v/>
      </c>
      <c r="H5689">
        <f>IF(AND(B5689=B5688,D5689=D5688,A5689=A5688,F5689=F5688),1,0)</f>
        <v/>
      </c>
      <c r="I5689">
        <f>IF(C5689="C99999",1,0)</f>
        <v/>
      </c>
      <c r="J5689" s="5">
        <f>IF(OR(H5689=1,I5689=1),0,IF(G5689="Credit",-F5689,F5689))</f>
        <v/>
      </c>
    </row>
    <row r="5690">
      <c r="A5690" t="inlineStr">
        <is>
          <t>2026-08-26</t>
        </is>
      </c>
      <c r="B5690" t="inlineStr">
        <is>
          <t>F262529</t>
        </is>
      </c>
      <c r="C5690" t="inlineStr">
        <is>
          <t>C10133</t>
        </is>
      </c>
      <c r="D5690" t="inlineStr">
        <is>
          <t>SKU-10133</t>
        </is>
      </c>
      <c r="E5690" t="inlineStr">
        <is>
          <t>AM02</t>
        </is>
      </c>
      <c r="F5690" s="5" t="n">
        <v>397.02</v>
      </c>
      <c r="G5690">
        <f>IF(LEFT(B5690,1)="C","Credit","Factuur")</f>
        <v/>
      </c>
      <c r="H5690">
        <f>IF(AND(B5690=B5689,D5690=D5689,A5690=A5689,F5690=F5689),1,0)</f>
        <v/>
      </c>
      <c r="I5690">
        <f>IF(C5690="C99999",1,0)</f>
        <v/>
      </c>
      <c r="J5690" s="5">
        <f>IF(OR(H5690=1,I5690=1),0,IF(G5690="Credit",-F5690,F5690))</f>
        <v/>
      </c>
    </row>
    <row r="5691">
      <c r="A5691" t="inlineStr">
        <is>
          <t>2026-08-26</t>
        </is>
      </c>
      <c r="B5691" t="inlineStr">
        <is>
          <t>F262529</t>
        </is>
      </c>
      <c r="C5691" t="inlineStr">
        <is>
          <t>C10133</t>
        </is>
      </c>
      <c r="D5691" t="inlineStr">
        <is>
          <t>SKU-10221</t>
        </is>
      </c>
      <c r="E5691" t="inlineStr">
        <is>
          <t>AM02</t>
        </is>
      </c>
      <c r="F5691" s="5" t="n">
        <v>355.1</v>
      </c>
      <c r="G5691">
        <f>IF(LEFT(B5691,1)="C","Credit","Factuur")</f>
        <v/>
      </c>
      <c r="H5691">
        <f>IF(AND(B5691=B5690,D5691=D5690,A5691=A5690,F5691=F5690),1,0)</f>
        <v/>
      </c>
      <c r="I5691">
        <f>IF(C5691="C99999",1,0)</f>
        <v/>
      </c>
      <c r="J5691" s="5">
        <f>IF(OR(H5691=1,I5691=1),0,IF(G5691="Credit",-F5691,F5691))</f>
        <v/>
      </c>
    </row>
    <row r="5692">
      <c r="A5692" t="inlineStr">
        <is>
          <t>2026-08-26</t>
        </is>
      </c>
      <c r="B5692" t="inlineStr">
        <is>
          <t>F262529</t>
        </is>
      </c>
      <c r="C5692" t="inlineStr">
        <is>
          <t>C10133</t>
        </is>
      </c>
      <c r="D5692" t="inlineStr">
        <is>
          <t>SKU-10233</t>
        </is>
      </c>
      <c r="E5692" t="inlineStr">
        <is>
          <t>AM02</t>
        </is>
      </c>
      <c r="F5692" s="5" t="n">
        <v>390.6</v>
      </c>
      <c r="G5692">
        <f>IF(LEFT(B5692,1)="C","Credit","Factuur")</f>
        <v/>
      </c>
      <c r="H5692">
        <f>IF(AND(B5692=B5691,D5692=D5691,A5692=A5691,F5692=F5691),1,0)</f>
        <v/>
      </c>
      <c r="I5692">
        <f>IF(C5692="C99999",1,0)</f>
        <v/>
      </c>
      <c r="J5692" s="5">
        <f>IF(OR(H5692=1,I5692=1),0,IF(G5692="Credit",-F5692,F5692))</f>
        <v/>
      </c>
    </row>
    <row r="5693">
      <c r="A5693" t="inlineStr">
        <is>
          <t>2026-08-26</t>
        </is>
      </c>
      <c r="B5693" t="inlineStr">
        <is>
          <t>F263497</t>
        </is>
      </c>
      <c r="C5693" t="inlineStr">
        <is>
          <t>C10187</t>
        </is>
      </c>
      <c r="D5693" t="inlineStr">
        <is>
          <t>SKU-10015</t>
        </is>
      </c>
      <c r="E5693" t="inlineStr">
        <is>
          <t>AM12</t>
        </is>
      </c>
      <c r="F5693" s="5" t="n">
        <v>245.45</v>
      </c>
      <c r="G5693">
        <f>IF(LEFT(B5693,1)="C","Credit","Factuur")</f>
        <v/>
      </c>
      <c r="H5693">
        <f>IF(AND(B5693=B5692,D5693=D5692,A5693=A5692,F5693=F5692),1,0)</f>
        <v/>
      </c>
      <c r="I5693">
        <f>IF(C5693="C99999",1,0)</f>
        <v/>
      </c>
      <c r="J5693" s="5">
        <f>IF(OR(H5693=1,I5693=1),0,IF(G5693="Credit",-F5693,F5693))</f>
        <v/>
      </c>
    </row>
    <row r="5694">
      <c r="A5694" t="inlineStr">
        <is>
          <t>2026-08-26</t>
        </is>
      </c>
      <c r="B5694" t="inlineStr">
        <is>
          <t>F263497</t>
        </is>
      </c>
      <c r="C5694" t="inlineStr">
        <is>
          <t>C10187</t>
        </is>
      </c>
      <c r="D5694" t="inlineStr">
        <is>
          <t>SKU-10143</t>
        </is>
      </c>
      <c r="E5694" t="inlineStr">
        <is>
          <t>AM12</t>
        </is>
      </c>
      <c r="F5694" s="5" t="n">
        <v>218.04</v>
      </c>
      <c r="G5694">
        <f>IF(LEFT(B5694,1)="C","Credit","Factuur")</f>
        <v/>
      </c>
      <c r="H5694">
        <f>IF(AND(B5694=B5693,D5694=D5693,A5694=A5693,F5694=F5693),1,0)</f>
        <v/>
      </c>
      <c r="I5694">
        <f>IF(C5694="C99999",1,0)</f>
        <v/>
      </c>
      <c r="J5694" s="5">
        <f>IF(OR(H5694=1,I5694=1),0,IF(G5694="Credit",-F5694,F5694))</f>
        <v/>
      </c>
    </row>
    <row r="5695">
      <c r="A5695" t="inlineStr">
        <is>
          <t>2026-08-26</t>
        </is>
      </c>
      <c r="B5695" t="inlineStr">
        <is>
          <t>F263497</t>
        </is>
      </c>
      <c r="C5695" t="inlineStr">
        <is>
          <t>C10187</t>
        </is>
      </c>
      <c r="D5695" t="inlineStr">
        <is>
          <t>SKU-10303</t>
        </is>
      </c>
      <c r="E5695" t="inlineStr">
        <is>
          <t>AM12</t>
        </is>
      </c>
      <c r="F5695" s="5" t="n">
        <v>240.37</v>
      </c>
      <c r="G5695">
        <f>IF(LEFT(B5695,1)="C","Credit","Factuur")</f>
        <v/>
      </c>
      <c r="H5695">
        <f>IF(AND(B5695=B5694,D5695=D5694,A5695=A5694,F5695=F5694),1,0)</f>
        <v/>
      </c>
      <c r="I5695">
        <f>IF(C5695="C99999",1,0)</f>
        <v/>
      </c>
      <c r="J5695" s="5">
        <f>IF(OR(H5695=1,I5695=1),0,IF(G5695="Credit",-F5695,F5695))</f>
        <v/>
      </c>
    </row>
    <row r="5696">
      <c r="A5696" t="inlineStr">
        <is>
          <t>2026-08-26</t>
        </is>
      </c>
      <c r="B5696" t="inlineStr">
        <is>
          <t>F263497</t>
        </is>
      </c>
      <c r="C5696" t="inlineStr">
        <is>
          <t>C10187</t>
        </is>
      </c>
      <c r="D5696" t="inlineStr">
        <is>
          <t>SKU-10344</t>
        </is>
      </c>
      <c r="E5696" t="inlineStr">
        <is>
          <t>AM12</t>
        </is>
      </c>
      <c r="F5696" s="5" t="n">
        <v>212.8</v>
      </c>
      <c r="G5696">
        <f>IF(LEFT(B5696,1)="C","Credit","Factuur")</f>
        <v/>
      </c>
      <c r="H5696">
        <f>IF(AND(B5696=B5695,D5696=D5695,A5696=A5695,F5696=F5695),1,0)</f>
        <v/>
      </c>
      <c r="I5696">
        <f>IF(C5696="C99999",1,0)</f>
        <v/>
      </c>
      <c r="J5696" s="5">
        <f>IF(OR(H5696=1,I5696=1),0,IF(G5696="Credit",-F5696,F5696))</f>
        <v/>
      </c>
    </row>
    <row r="5697">
      <c r="A5697" t="inlineStr">
        <is>
          <t>2026-08-26</t>
        </is>
      </c>
      <c r="B5697" t="inlineStr">
        <is>
          <t>F263572</t>
        </is>
      </c>
      <c r="C5697" t="inlineStr">
        <is>
          <t>C10192</t>
        </is>
      </c>
      <c r="D5697" t="inlineStr">
        <is>
          <t>SKU-10061</t>
        </is>
      </c>
      <c r="E5697" t="inlineStr">
        <is>
          <t>AM12</t>
        </is>
      </c>
      <c r="F5697" s="5" t="n">
        <v>341.14</v>
      </c>
      <c r="G5697">
        <f>IF(LEFT(B5697,1)="C","Credit","Factuur")</f>
        <v/>
      </c>
      <c r="H5697">
        <f>IF(AND(B5697=B5696,D5697=D5696,A5697=A5696,F5697=F5696),1,0)</f>
        <v/>
      </c>
      <c r="I5697">
        <f>IF(C5697="C99999",1,0)</f>
        <v/>
      </c>
      <c r="J5697" s="5">
        <f>IF(OR(H5697=1,I5697=1),0,IF(G5697="Credit",-F5697,F5697))</f>
        <v/>
      </c>
    </row>
    <row r="5698">
      <c r="A5698" t="inlineStr">
        <is>
          <t>2026-08-26</t>
        </is>
      </c>
      <c r="B5698" t="inlineStr">
        <is>
          <t>F263572</t>
        </is>
      </c>
      <c r="C5698" t="inlineStr">
        <is>
          <t>C10192</t>
        </is>
      </c>
      <c r="D5698" t="inlineStr">
        <is>
          <t>SKU-10207</t>
        </is>
      </c>
      <c r="E5698" t="inlineStr">
        <is>
          <t>AM12</t>
        </is>
      </c>
      <c r="F5698" s="5" t="n">
        <v>348.48</v>
      </c>
      <c r="G5698">
        <f>IF(LEFT(B5698,1)="C","Credit","Factuur")</f>
        <v/>
      </c>
      <c r="H5698">
        <f>IF(AND(B5698=B5697,D5698=D5697,A5698=A5697,F5698=F5697),1,0)</f>
        <v/>
      </c>
      <c r="I5698">
        <f>IF(C5698="C99999",1,0)</f>
        <v/>
      </c>
      <c r="J5698" s="5">
        <f>IF(OR(H5698=1,I5698=1),0,IF(G5698="Credit",-F5698,F5698))</f>
        <v/>
      </c>
    </row>
    <row r="5699">
      <c r="A5699" t="inlineStr">
        <is>
          <t>2026-08-26</t>
        </is>
      </c>
      <c r="B5699" t="inlineStr">
        <is>
          <t>F263572</t>
        </is>
      </c>
      <c r="C5699" t="inlineStr">
        <is>
          <t>C10192</t>
        </is>
      </c>
      <c r="D5699" t="inlineStr">
        <is>
          <t>SKU-10282</t>
        </is>
      </c>
      <c r="E5699" t="inlineStr">
        <is>
          <t>AM12</t>
        </is>
      </c>
      <c r="F5699" s="5" t="n">
        <v>347.2</v>
      </c>
      <c r="G5699">
        <f>IF(LEFT(B5699,1)="C","Credit","Factuur")</f>
        <v/>
      </c>
      <c r="H5699">
        <f>IF(AND(B5699=B5698,D5699=D5698,A5699=A5698,F5699=F5698),1,0)</f>
        <v/>
      </c>
      <c r="I5699">
        <f>IF(C5699="C99999",1,0)</f>
        <v/>
      </c>
      <c r="J5699" s="5">
        <f>IF(OR(H5699=1,I5699=1),0,IF(G5699="Credit",-F5699,F5699))</f>
        <v/>
      </c>
    </row>
    <row r="5700">
      <c r="A5700" t="inlineStr">
        <is>
          <t>2026-08-26</t>
        </is>
      </c>
      <c r="B5700" t="inlineStr">
        <is>
          <t>F263572</t>
        </is>
      </c>
      <c r="C5700" t="inlineStr">
        <is>
          <t>C10192</t>
        </is>
      </c>
      <c r="D5700" t="inlineStr">
        <is>
          <t>SKU-10302</t>
        </is>
      </c>
      <c r="E5700" t="inlineStr">
        <is>
          <t>AM12</t>
        </is>
      </c>
      <c r="F5700" s="5" t="n">
        <v>333.72</v>
      </c>
      <c r="G5700">
        <f>IF(LEFT(B5700,1)="C","Credit","Factuur")</f>
        <v/>
      </c>
      <c r="H5700">
        <f>IF(AND(B5700=B5699,D5700=D5699,A5700=A5699,F5700=F5699),1,0)</f>
        <v/>
      </c>
      <c r="I5700">
        <f>IF(C5700="C99999",1,0)</f>
        <v/>
      </c>
      <c r="J5700" s="5">
        <f>IF(OR(H5700=1,I5700=1),0,IF(G5700="Credit",-F5700,F5700))</f>
        <v/>
      </c>
    </row>
    <row r="5701">
      <c r="A5701" t="inlineStr">
        <is>
          <t>2026-08-26</t>
        </is>
      </c>
      <c r="B5701" t="inlineStr">
        <is>
          <t>F263713</t>
        </is>
      </c>
      <c r="C5701" t="inlineStr">
        <is>
          <t>C10198</t>
        </is>
      </c>
      <c r="D5701" t="inlineStr">
        <is>
          <t>SKU-10029</t>
        </is>
      </c>
      <c r="E5701" t="inlineStr">
        <is>
          <t>AM11</t>
        </is>
      </c>
      <c r="F5701" s="5" t="n">
        <v>2175.82</v>
      </c>
      <c r="G5701">
        <f>IF(LEFT(B5701,1)="C","Credit","Factuur")</f>
        <v/>
      </c>
      <c r="H5701">
        <f>IF(AND(B5701=B5700,D5701=D5700,A5701=A5700,F5701=F5700),1,0)</f>
        <v/>
      </c>
      <c r="I5701">
        <f>IF(C5701="C99999",1,0)</f>
        <v/>
      </c>
      <c r="J5701" s="5">
        <f>IF(OR(H5701=1,I5701=1),0,IF(G5701="Credit",-F5701,F5701))</f>
        <v/>
      </c>
    </row>
    <row r="5702">
      <c r="A5702" t="inlineStr">
        <is>
          <t>2026-08-26</t>
        </is>
      </c>
      <c r="B5702" t="inlineStr">
        <is>
          <t>F263713</t>
        </is>
      </c>
      <c r="C5702" t="inlineStr">
        <is>
          <t>C10198</t>
        </is>
      </c>
      <c r="D5702" t="inlineStr">
        <is>
          <t>SKU-10074</t>
        </is>
      </c>
      <c r="E5702" t="inlineStr">
        <is>
          <t>AM11</t>
        </is>
      </c>
      <c r="F5702" s="5" t="n">
        <v>2079.73</v>
      </c>
      <c r="G5702">
        <f>IF(LEFT(B5702,1)="C","Credit","Factuur")</f>
        <v/>
      </c>
      <c r="H5702">
        <f>IF(AND(B5702=B5701,D5702=D5701,A5702=A5701,F5702=F5701),1,0)</f>
        <v/>
      </c>
      <c r="I5702">
        <f>IF(C5702="C99999",1,0)</f>
        <v/>
      </c>
      <c r="J5702" s="5">
        <f>IF(OR(H5702=1,I5702=1),0,IF(G5702="Credit",-F5702,F5702))</f>
        <v/>
      </c>
    </row>
    <row r="5703">
      <c r="A5703" t="inlineStr">
        <is>
          <t>2026-08-26</t>
        </is>
      </c>
      <c r="B5703" t="inlineStr">
        <is>
          <t>F263713</t>
        </is>
      </c>
      <c r="C5703" t="inlineStr">
        <is>
          <t>C10198</t>
        </is>
      </c>
      <c r="D5703" t="inlineStr">
        <is>
          <t>SKU-10226</t>
        </is>
      </c>
      <c r="E5703" t="inlineStr">
        <is>
          <t>AM11</t>
        </is>
      </c>
      <c r="F5703" s="5" t="n">
        <v>2307.55</v>
      </c>
      <c r="G5703">
        <f>IF(LEFT(B5703,1)="C","Credit","Factuur")</f>
        <v/>
      </c>
      <c r="H5703">
        <f>IF(AND(B5703=B5702,D5703=D5702,A5703=A5702,F5703=F5702),1,0)</f>
        <v/>
      </c>
      <c r="I5703">
        <f>IF(C5703="C99999",1,0)</f>
        <v/>
      </c>
      <c r="J5703" s="5">
        <f>IF(OR(H5703=1,I5703=1),0,IF(G5703="Credit",-F5703,F5703))</f>
        <v/>
      </c>
    </row>
    <row r="5704">
      <c r="A5704" t="inlineStr">
        <is>
          <t>2026-08-26</t>
        </is>
      </c>
      <c r="B5704" t="inlineStr">
        <is>
          <t>F263713</t>
        </is>
      </c>
      <c r="C5704" t="inlineStr">
        <is>
          <t>C10198</t>
        </is>
      </c>
      <c r="D5704" t="inlineStr">
        <is>
          <t>SKU-10243</t>
        </is>
      </c>
      <c r="E5704" t="inlineStr">
        <is>
          <t>AM11</t>
        </is>
      </c>
      <c r="F5704" s="5" t="n">
        <v>2438.07</v>
      </c>
      <c r="G5704">
        <f>IF(LEFT(B5704,1)="C","Credit","Factuur")</f>
        <v/>
      </c>
      <c r="H5704">
        <f>IF(AND(B5704=B5703,D5704=D5703,A5704=A5703,F5704=F5703),1,0)</f>
        <v/>
      </c>
      <c r="I5704">
        <f>IF(C5704="C99999",1,0)</f>
        <v/>
      </c>
      <c r="J5704" s="5">
        <f>IF(OR(H5704=1,I5704=1),0,IF(G5704="Credit",-F5704,F5704))</f>
        <v/>
      </c>
    </row>
    <row r="5705">
      <c r="A5705" t="inlineStr">
        <is>
          <t>2026-08-26</t>
        </is>
      </c>
      <c r="B5705" t="inlineStr">
        <is>
          <t>F265340</t>
        </is>
      </c>
      <c r="C5705" t="inlineStr">
        <is>
          <t>C10282</t>
        </is>
      </c>
      <c r="D5705" t="inlineStr">
        <is>
          <t>SKU-10096</t>
        </is>
      </c>
      <c r="E5705" t="inlineStr">
        <is>
          <t>AM03</t>
        </is>
      </c>
      <c r="F5705" s="5" t="n">
        <v>228.84</v>
      </c>
      <c r="G5705">
        <f>IF(LEFT(B5705,1)="C","Credit","Factuur")</f>
        <v/>
      </c>
      <c r="H5705">
        <f>IF(AND(B5705=B5704,D5705=D5704,A5705=A5704,F5705=F5704),1,0)</f>
        <v/>
      </c>
      <c r="I5705">
        <f>IF(C5705="C99999",1,0)</f>
        <v/>
      </c>
      <c r="J5705" s="5">
        <f>IF(OR(H5705=1,I5705=1),0,IF(G5705="Credit",-F5705,F5705))</f>
        <v/>
      </c>
    </row>
    <row r="5706">
      <c r="A5706" t="inlineStr">
        <is>
          <t>2026-08-26</t>
        </is>
      </c>
      <c r="B5706" t="inlineStr">
        <is>
          <t>F266596</t>
        </is>
      </c>
      <c r="C5706" t="inlineStr">
        <is>
          <t>C10346</t>
        </is>
      </c>
      <c r="D5706" t="inlineStr">
        <is>
          <t>SKU-10082</t>
        </is>
      </c>
      <c r="E5706" t="inlineStr">
        <is>
          <t>AM12</t>
        </is>
      </c>
      <c r="F5706" s="5" t="n">
        <v>178.6</v>
      </c>
      <c r="G5706">
        <f>IF(LEFT(B5706,1)="C","Credit","Factuur")</f>
        <v/>
      </c>
      <c r="H5706">
        <f>IF(AND(B5706=B5705,D5706=D5705,A5706=A5705,F5706=F5705),1,0)</f>
        <v/>
      </c>
      <c r="I5706">
        <f>IF(C5706="C99999",1,0)</f>
        <v/>
      </c>
      <c r="J5706" s="5">
        <f>IF(OR(H5706=1,I5706=1),0,IF(G5706="Credit",-F5706,F5706))</f>
        <v/>
      </c>
    </row>
    <row r="5707">
      <c r="A5707" t="inlineStr">
        <is>
          <t>2026-08-26</t>
        </is>
      </c>
      <c r="B5707" t="inlineStr">
        <is>
          <t>F266596</t>
        </is>
      </c>
      <c r="C5707" t="inlineStr">
        <is>
          <t>C10346</t>
        </is>
      </c>
      <c r="D5707" t="inlineStr">
        <is>
          <t>SKU-10115</t>
        </is>
      </c>
      <c r="E5707" t="inlineStr">
        <is>
          <t>AM12</t>
        </is>
      </c>
      <c r="F5707" s="5" t="n">
        <v>196.76</v>
      </c>
      <c r="G5707">
        <f>IF(LEFT(B5707,1)="C","Credit","Factuur")</f>
        <v/>
      </c>
      <c r="H5707">
        <f>IF(AND(B5707=B5706,D5707=D5706,A5707=A5706,F5707=F5706),1,0)</f>
        <v/>
      </c>
      <c r="I5707">
        <f>IF(C5707="C99999",1,0)</f>
        <v/>
      </c>
      <c r="J5707" s="5">
        <f>IF(OR(H5707=1,I5707=1),0,IF(G5707="Credit",-F5707,F5707))</f>
        <v/>
      </c>
    </row>
    <row r="5708">
      <c r="A5708" t="inlineStr">
        <is>
          <t>2026-08-26</t>
        </is>
      </c>
      <c r="B5708" t="inlineStr">
        <is>
          <t>F266596</t>
        </is>
      </c>
      <c r="C5708" t="inlineStr">
        <is>
          <t>C10346</t>
        </is>
      </c>
      <c r="D5708" t="inlineStr">
        <is>
          <t>SKU-10139</t>
        </is>
      </c>
      <c r="E5708" t="inlineStr">
        <is>
          <t>AM12</t>
        </is>
      </c>
      <c r="F5708" s="5" t="n">
        <v>178.45</v>
      </c>
      <c r="G5708">
        <f>IF(LEFT(B5708,1)="C","Credit","Factuur")</f>
        <v/>
      </c>
      <c r="H5708">
        <f>IF(AND(B5708=B5707,D5708=D5707,A5708=A5707,F5708=F5707),1,0)</f>
        <v/>
      </c>
      <c r="I5708">
        <f>IF(C5708="C99999",1,0)</f>
        <v/>
      </c>
      <c r="J5708" s="5">
        <f>IF(OR(H5708=1,I5708=1),0,IF(G5708="Credit",-F5708,F5708))</f>
        <v/>
      </c>
    </row>
    <row r="5709">
      <c r="A5709" t="inlineStr">
        <is>
          <t>2026-08-26</t>
        </is>
      </c>
      <c r="B5709" t="inlineStr">
        <is>
          <t>F266596</t>
        </is>
      </c>
      <c r="C5709" t="inlineStr">
        <is>
          <t>C10346</t>
        </is>
      </c>
      <c r="D5709" t="inlineStr">
        <is>
          <t>SKU-10268</t>
        </is>
      </c>
      <c r="E5709" t="inlineStr">
        <is>
          <t>AM12</t>
        </is>
      </c>
      <c r="F5709" s="5" t="n">
        <v>185.04</v>
      </c>
      <c r="G5709">
        <f>IF(LEFT(B5709,1)="C","Credit","Factuur")</f>
        <v/>
      </c>
      <c r="H5709">
        <f>IF(AND(B5709=B5708,D5709=D5708,A5709=A5708,F5709=F5708),1,0)</f>
        <v/>
      </c>
      <c r="I5709">
        <f>IF(C5709="C99999",1,0)</f>
        <v/>
      </c>
      <c r="J5709" s="5">
        <f>IF(OR(H5709=1,I5709=1),0,IF(G5709="Credit",-F5709,F5709))</f>
        <v/>
      </c>
    </row>
    <row r="5710">
      <c r="A5710" t="inlineStr">
        <is>
          <t>2026-08-26</t>
        </is>
      </c>
      <c r="B5710" t="inlineStr">
        <is>
          <t>F266631</t>
        </is>
      </c>
      <c r="C5710" t="inlineStr">
        <is>
          <t>C10349</t>
        </is>
      </c>
      <c r="D5710" t="inlineStr">
        <is>
          <t>SKU-10140</t>
        </is>
      </c>
      <c r="E5710" t="inlineStr">
        <is>
          <t>AM05</t>
        </is>
      </c>
      <c r="F5710" s="5" t="n">
        <v>524.6</v>
      </c>
      <c r="G5710">
        <f>IF(LEFT(B5710,1)="C","Credit","Factuur")</f>
        <v/>
      </c>
      <c r="H5710">
        <f>IF(AND(B5710=B5709,D5710=D5709,A5710=A5709,F5710=F5709),1,0)</f>
        <v/>
      </c>
      <c r="I5710">
        <f>IF(C5710="C99999",1,0)</f>
        <v/>
      </c>
      <c r="J5710" s="5">
        <f>IF(OR(H5710=1,I5710=1),0,IF(G5710="Credit",-F5710,F5710))</f>
        <v/>
      </c>
    </row>
    <row r="5711">
      <c r="A5711" t="inlineStr">
        <is>
          <t>2026-08-26</t>
        </is>
      </c>
      <c r="B5711" t="inlineStr">
        <is>
          <t>F266631</t>
        </is>
      </c>
      <c r="C5711" t="inlineStr">
        <is>
          <t>C10349</t>
        </is>
      </c>
      <c r="D5711" t="inlineStr">
        <is>
          <t>SKU-10181</t>
        </is>
      </c>
      <c r="E5711" t="inlineStr">
        <is>
          <t>AM05</t>
        </is>
      </c>
      <c r="F5711" s="5" t="n">
        <v>481.03</v>
      </c>
      <c r="G5711">
        <f>IF(LEFT(B5711,1)="C","Credit","Factuur")</f>
        <v/>
      </c>
      <c r="H5711">
        <f>IF(AND(B5711=B5710,D5711=D5710,A5711=A5710,F5711=F5710),1,0)</f>
        <v/>
      </c>
      <c r="I5711">
        <f>IF(C5711="C99999",1,0)</f>
        <v/>
      </c>
      <c r="J5711" s="5">
        <f>IF(OR(H5711=1,I5711=1),0,IF(G5711="Credit",-F5711,F5711))</f>
        <v/>
      </c>
    </row>
    <row r="5712">
      <c r="A5712" t="inlineStr">
        <is>
          <t>2026-08-26</t>
        </is>
      </c>
      <c r="B5712" t="inlineStr">
        <is>
          <t>F266631</t>
        </is>
      </c>
      <c r="C5712" t="inlineStr">
        <is>
          <t>C10349</t>
        </is>
      </c>
      <c r="D5712" t="inlineStr">
        <is>
          <t>SKU-10247</t>
        </is>
      </c>
      <c r="E5712" t="inlineStr">
        <is>
          <t>AM05</t>
        </is>
      </c>
      <c r="F5712" s="5" t="n">
        <v>472.85</v>
      </c>
      <c r="G5712">
        <f>IF(LEFT(B5712,1)="C","Credit","Factuur")</f>
        <v/>
      </c>
      <c r="H5712">
        <f>IF(AND(B5712=B5711,D5712=D5711,A5712=A5711,F5712=F5711),1,0)</f>
        <v/>
      </c>
      <c r="I5712">
        <f>IF(C5712="C99999",1,0)</f>
        <v/>
      </c>
      <c r="J5712" s="5">
        <f>IF(OR(H5712=1,I5712=1),0,IF(G5712="Credit",-F5712,F5712))</f>
        <v/>
      </c>
    </row>
    <row r="5713">
      <c r="A5713" t="inlineStr">
        <is>
          <t>2026-08-26</t>
        </is>
      </c>
      <c r="B5713" t="inlineStr">
        <is>
          <t>F266831</t>
        </is>
      </c>
      <c r="C5713" t="inlineStr">
        <is>
          <t>C10360</t>
        </is>
      </c>
      <c r="D5713" t="inlineStr">
        <is>
          <t>SKU-10009</t>
        </is>
      </c>
      <c r="E5713" t="inlineStr">
        <is>
          <t>AM05</t>
        </is>
      </c>
      <c r="F5713" s="5" t="n">
        <v>300.34</v>
      </c>
      <c r="G5713">
        <f>IF(LEFT(B5713,1)="C","Credit","Factuur")</f>
        <v/>
      </c>
      <c r="H5713">
        <f>IF(AND(B5713=B5712,D5713=D5712,A5713=A5712,F5713=F5712),1,0)</f>
        <v/>
      </c>
      <c r="I5713">
        <f>IF(C5713="C99999",1,0)</f>
        <v/>
      </c>
      <c r="J5713" s="5">
        <f>IF(OR(H5713=1,I5713=1),0,IF(G5713="Credit",-F5713,F5713))</f>
        <v/>
      </c>
    </row>
    <row r="5714">
      <c r="A5714" t="inlineStr">
        <is>
          <t>2026-08-26</t>
        </is>
      </c>
      <c r="B5714" t="inlineStr">
        <is>
          <t>F266831</t>
        </is>
      </c>
      <c r="C5714" t="inlineStr">
        <is>
          <t>C10360</t>
        </is>
      </c>
      <c r="D5714" t="inlineStr">
        <is>
          <t>SKU-10100</t>
        </is>
      </c>
      <c r="E5714" t="inlineStr">
        <is>
          <t>AM05</t>
        </is>
      </c>
      <c r="F5714" s="5" t="n">
        <v>304.76</v>
      </c>
      <c r="G5714">
        <f>IF(LEFT(B5714,1)="C","Credit","Factuur")</f>
        <v/>
      </c>
      <c r="H5714">
        <f>IF(AND(B5714=B5713,D5714=D5713,A5714=A5713,F5714=F5713),1,0)</f>
        <v/>
      </c>
      <c r="I5714">
        <f>IF(C5714="C99999",1,0)</f>
        <v/>
      </c>
      <c r="J5714" s="5">
        <f>IF(OR(H5714=1,I5714=1),0,IF(G5714="Credit",-F5714,F5714))</f>
        <v/>
      </c>
    </row>
    <row r="5715">
      <c r="A5715" t="inlineStr">
        <is>
          <t>2026-08-26</t>
        </is>
      </c>
      <c r="B5715" t="inlineStr">
        <is>
          <t>F267120</t>
        </is>
      </c>
      <c r="C5715" t="inlineStr">
        <is>
          <t>C10376</t>
        </is>
      </c>
      <c r="D5715" t="inlineStr">
        <is>
          <t>SKU-10159</t>
        </is>
      </c>
      <c r="E5715" t="inlineStr">
        <is>
          <t>AM01</t>
        </is>
      </c>
      <c r="F5715" s="5" t="n">
        <v>122.54</v>
      </c>
      <c r="G5715">
        <f>IF(LEFT(B5715,1)="C","Credit","Factuur")</f>
        <v/>
      </c>
      <c r="H5715">
        <f>IF(AND(B5715=B5714,D5715=D5714,A5715=A5714,F5715=F5714),1,0)</f>
        <v/>
      </c>
      <c r="I5715">
        <f>IF(C5715="C99999",1,0)</f>
        <v/>
      </c>
      <c r="J5715" s="5">
        <f>IF(OR(H5715=1,I5715=1),0,IF(G5715="Credit",-F5715,F5715))</f>
        <v/>
      </c>
    </row>
    <row r="5716">
      <c r="A5716" t="inlineStr">
        <is>
          <t>2026-08-26</t>
        </is>
      </c>
      <c r="B5716" t="inlineStr">
        <is>
          <t>F267120</t>
        </is>
      </c>
      <c r="C5716" t="inlineStr">
        <is>
          <t>C10376</t>
        </is>
      </c>
      <c r="D5716" t="inlineStr">
        <is>
          <t>SKU-10283</t>
        </is>
      </c>
      <c r="E5716" t="inlineStr">
        <is>
          <t>AM01</t>
        </is>
      </c>
      <c r="F5716" s="5" t="n">
        <v>136.04</v>
      </c>
      <c r="G5716">
        <f>IF(LEFT(B5716,1)="C","Credit","Factuur")</f>
        <v/>
      </c>
      <c r="H5716">
        <f>IF(AND(B5716=B5715,D5716=D5715,A5716=A5715,F5716=F5715),1,0)</f>
        <v/>
      </c>
      <c r="I5716">
        <f>IF(C5716="C99999",1,0)</f>
        <v/>
      </c>
      <c r="J5716" s="5">
        <f>IF(OR(H5716=1,I5716=1),0,IF(G5716="Credit",-F5716,F5716))</f>
        <v/>
      </c>
    </row>
    <row r="5717">
      <c r="A5717" t="inlineStr">
        <is>
          <t>2026-08-26</t>
        </is>
      </c>
      <c r="B5717" t="inlineStr">
        <is>
          <t>F267120</t>
        </is>
      </c>
      <c r="C5717" t="inlineStr">
        <is>
          <t>C10376</t>
        </is>
      </c>
      <c r="D5717" t="inlineStr">
        <is>
          <t>SKU-10354</t>
        </is>
      </c>
      <c r="E5717" t="inlineStr">
        <is>
          <t>AM01</t>
        </is>
      </c>
      <c r="F5717" s="5" t="n">
        <v>341.3</v>
      </c>
      <c r="G5717">
        <f>IF(LEFT(B5717,1)="C","Credit","Factuur")</f>
        <v/>
      </c>
      <c r="H5717">
        <f>IF(AND(B5717=B5716,D5717=D5716,A5717=A5716,F5717=F5716),1,0)</f>
        <v/>
      </c>
      <c r="I5717">
        <f>IF(C5717="C99999",1,0)</f>
        <v/>
      </c>
      <c r="J5717" s="5">
        <f>IF(OR(H5717=1,I5717=1),0,IF(G5717="Credit",-F5717,F5717))</f>
        <v/>
      </c>
    </row>
    <row r="5718">
      <c r="A5718" t="inlineStr">
        <is>
          <t>2026-08-26</t>
        </is>
      </c>
      <c r="B5718" t="inlineStr">
        <is>
          <t>F267294</t>
        </is>
      </c>
      <c r="C5718" t="inlineStr">
        <is>
          <t>C10386</t>
        </is>
      </c>
      <c r="D5718" t="inlineStr">
        <is>
          <t>SKU-10136</t>
        </is>
      </c>
      <c r="E5718" t="inlineStr">
        <is>
          <t>AM08</t>
        </is>
      </c>
      <c r="F5718" s="5" t="n">
        <v>1371.36</v>
      </c>
      <c r="G5718">
        <f>IF(LEFT(B5718,1)="C","Credit","Factuur")</f>
        <v/>
      </c>
      <c r="H5718">
        <f>IF(AND(B5718=B5717,D5718=D5717,A5718=A5717,F5718=F5717),1,0)</f>
        <v/>
      </c>
      <c r="I5718">
        <f>IF(C5718="C99999",1,0)</f>
        <v/>
      </c>
      <c r="J5718" s="5">
        <f>IF(OR(H5718=1,I5718=1),0,IF(G5718="Credit",-F5718,F5718))</f>
        <v/>
      </c>
    </row>
    <row r="5719">
      <c r="A5719" t="inlineStr">
        <is>
          <t>2026-08-26</t>
        </is>
      </c>
      <c r="B5719" t="inlineStr">
        <is>
          <t>F268330</t>
        </is>
      </c>
      <c r="C5719" t="inlineStr">
        <is>
          <t>C10436</t>
        </is>
      </c>
      <c r="D5719" t="inlineStr">
        <is>
          <t>SKU-10029</t>
        </is>
      </c>
      <c r="E5719" t="inlineStr">
        <is>
          <t>AM06</t>
        </is>
      </c>
      <c r="F5719" s="5" t="n">
        <v>134.31</v>
      </c>
      <c r="G5719">
        <f>IF(LEFT(B5719,1)="C","Credit","Factuur")</f>
        <v/>
      </c>
      <c r="H5719">
        <f>IF(AND(B5719=B5718,D5719=D5718,A5719=A5718,F5719=F5718),1,0)</f>
        <v/>
      </c>
      <c r="I5719">
        <f>IF(C5719="C99999",1,0)</f>
        <v/>
      </c>
      <c r="J5719" s="5">
        <f>IF(OR(H5719=1,I5719=1),0,IF(G5719="Credit",-F5719,F5719))</f>
        <v/>
      </c>
    </row>
    <row r="5720">
      <c r="A5720" t="inlineStr">
        <is>
          <t>2026-08-26</t>
        </is>
      </c>
      <c r="B5720" t="inlineStr">
        <is>
          <t>F268330</t>
        </is>
      </c>
      <c r="C5720" t="inlineStr">
        <is>
          <t>C10436</t>
        </is>
      </c>
      <c r="D5720" t="inlineStr">
        <is>
          <t>SKU-10036</t>
        </is>
      </c>
      <c r="E5720" t="inlineStr">
        <is>
          <t>AM06</t>
        </is>
      </c>
      <c r="F5720" s="5" t="n">
        <v>133.05</v>
      </c>
      <c r="G5720">
        <f>IF(LEFT(B5720,1)="C","Credit","Factuur")</f>
        <v/>
      </c>
      <c r="H5720">
        <f>IF(AND(B5720=B5719,D5720=D5719,A5720=A5719,F5720=F5719),1,0)</f>
        <v/>
      </c>
      <c r="I5720">
        <f>IF(C5720="C99999",1,0)</f>
        <v/>
      </c>
      <c r="J5720" s="5">
        <f>IF(OR(H5720=1,I5720=1),0,IF(G5720="Credit",-F5720,F5720))</f>
        <v/>
      </c>
    </row>
    <row r="5721">
      <c r="A5721" t="inlineStr">
        <is>
          <t>2026-08-26</t>
        </is>
      </c>
      <c r="B5721" t="inlineStr">
        <is>
          <t>F268330</t>
        </is>
      </c>
      <c r="C5721" t="inlineStr">
        <is>
          <t>C10436</t>
        </is>
      </c>
      <c r="D5721" t="inlineStr">
        <is>
          <t>SKU-10047</t>
        </is>
      </c>
      <c r="E5721" t="inlineStr">
        <is>
          <t>AM06</t>
        </is>
      </c>
      <c r="F5721" s="5" t="n">
        <v>117.54</v>
      </c>
      <c r="G5721">
        <f>IF(LEFT(B5721,1)="C","Credit","Factuur")</f>
        <v/>
      </c>
      <c r="H5721">
        <f>IF(AND(B5721=B5720,D5721=D5720,A5721=A5720,F5721=F5720),1,0)</f>
        <v/>
      </c>
      <c r="I5721">
        <f>IF(C5721="C99999",1,0)</f>
        <v/>
      </c>
      <c r="J5721" s="5">
        <f>IF(OR(H5721=1,I5721=1),0,IF(G5721="Credit",-F5721,F5721))</f>
        <v/>
      </c>
    </row>
    <row r="5722">
      <c r="A5722" t="inlineStr">
        <is>
          <t>2026-08-26</t>
        </is>
      </c>
      <c r="B5722" t="inlineStr">
        <is>
          <t>F268330</t>
        </is>
      </c>
      <c r="C5722" t="inlineStr">
        <is>
          <t>C10436</t>
        </is>
      </c>
      <c r="D5722" t="inlineStr">
        <is>
          <t>SKU-10048</t>
        </is>
      </c>
      <c r="E5722" t="inlineStr">
        <is>
          <t>AM06</t>
        </is>
      </c>
      <c r="F5722" s="5" t="n">
        <v>89.44</v>
      </c>
      <c r="G5722">
        <f>IF(LEFT(B5722,1)="C","Credit","Factuur")</f>
        <v/>
      </c>
      <c r="H5722">
        <f>IF(AND(B5722=B5721,D5722=D5721,A5722=A5721,F5722=F5721),1,0)</f>
        <v/>
      </c>
      <c r="I5722">
        <f>IF(C5722="C99999",1,0)</f>
        <v/>
      </c>
      <c r="J5722" s="5">
        <f>IF(OR(H5722=1,I5722=1),0,IF(G5722="Credit",-F5722,F5722))</f>
        <v/>
      </c>
    </row>
    <row r="5723">
      <c r="A5723" t="inlineStr">
        <is>
          <t>2026-08-26</t>
        </is>
      </c>
      <c r="B5723" t="inlineStr">
        <is>
          <t>F268330</t>
        </is>
      </c>
      <c r="C5723" t="inlineStr">
        <is>
          <t>C10436</t>
        </is>
      </c>
      <c r="D5723" t="inlineStr">
        <is>
          <t>SKU-10056</t>
        </is>
      </c>
      <c r="E5723" t="inlineStr">
        <is>
          <t>AM06</t>
        </is>
      </c>
      <c r="F5723" s="5" t="n">
        <v>112</v>
      </c>
      <c r="G5723">
        <f>IF(LEFT(B5723,1)="C","Credit","Factuur")</f>
        <v/>
      </c>
      <c r="H5723">
        <f>IF(AND(B5723=B5722,D5723=D5722,A5723=A5722,F5723=F5722),1,0)</f>
        <v/>
      </c>
      <c r="I5723">
        <f>IF(C5723="C99999",1,0)</f>
        <v/>
      </c>
      <c r="J5723" s="5">
        <f>IF(OR(H5723=1,I5723=1),0,IF(G5723="Credit",-F5723,F5723))</f>
        <v/>
      </c>
    </row>
    <row r="5724">
      <c r="A5724" t="inlineStr">
        <is>
          <t>2026-08-26</t>
        </is>
      </c>
      <c r="B5724" t="inlineStr">
        <is>
          <t>F268330</t>
        </is>
      </c>
      <c r="C5724" t="inlineStr">
        <is>
          <t>C10436</t>
        </is>
      </c>
      <c r="D5724" t="inlineStr">
        <is>
          <t>SKU-10231</t>
        </is>
      </c>
      <c r="E5724" t="inlineStr">
        <is>
          <t>AM06</t>
        </is>
      </c>
      <c r="F5724" s="5" t="n">
        <v>104.91</v>
      </c>
      <c r="G5724">
        <f>IF(LEFT(B5724,1)="C","Credit","Factuur")</f>
        <v/>
      </c>
      <c r="H5724">
        <f>IF(AND(B5724=B5723,D5724=D5723,A5724=A5723,F5724=F5723),1,0)</f>
        <v/>
      </c>
      <c r="I5724">
        <f>IF(C5724="C99999",1,0)</f>
        <v/>
      </c>
      <c r="J5724" s="5">
        <f>IF(OR(H5724=1,I5724=1),0,IF(G5724="Credit",-F5724,F5724))</f>
        <v/>
      </c>
    </row>
    <row r="5725">
      <c r="A5725" t="inlineStr">
        <is>
          <t>2026-08-26</t>
        </is>
      </c>
      <c r="B5725" t="inlineStr">
        <is>
          <t>F268330</t>
        </is>
      </c>
      <c r="C5725" t="inlineStr">
        <is>
          <t>C10436</t>
        </is>
      </c>
      <c r="D5725" t="inlineStr">
        <is>
          <t>SKU-10255</t>
        </is>
      </c>
      <c r="E5725" t="inlineStr">
        <is>
          <t>AM06</t>
        </is>
      </c>
      <c r="F5725" s="5" t="n">
        <v>118.43</v>
      </c>
      <c r="G5725">
        <f>IF(LEFT(B5725,1)="C","Credit","Factuur")</f>
        <v/>
      </c>
      <c r="H5725">
        <f>IF(AND(B5725=B5724,D5725=D5724,A5725=A5724,F5725=F5724),1,0)</f>
        <v/>
      </c>
      <c r="I5725">
        <f>IF(C5725="C99999",1,0)</f>
        <v/>
      </c>
      <c r="J5725" s="5">
        <f>IF(OR(H5725=1,I5725=1),0,IF(G5725="Credit",-F5725,F5725))</f>
        <v/>
      </c>
    </row>
    <row r="5726">
      <c r="A5726" t="inlineStr">
        <is>
          <t>2026-08-26</t>
        </is>
      </c>
      <c r="B5726" t="inlineStr">
        <is>
          <t>F268330</t>
        </is>
      </c>
      <c r="C5726" t="inlineStr">
        <is>
          <t>C10436</t>
        </is>
      </c>
      <c r="D5726" t="inlineStr">
        <is>
          <t>SKU-10286</t>
        </is>
      </c>
      <c r="E5726" t="inlineStr">
        <is>
          <t>AM06</t>
        </is>
      </c>
      <c r="F5726" s="5" t="n">
        <v>104.02</v>
      </c>
      <c r="G5726">
        <f>IF(LEFT(B5726,1)="C","Credit","Factuur")</f>
        <v/>
      </c>
      <c r="H5726">
        <f>IF(AND(B5726=B5725,D5726=D5725,A5726=A5725,F5726=F5725),1,0)</f>
        <v/>
      </c>
      <c r="I5726">
        <f>IF(C5726="C99999",1,0)</f>
        <v/>
      </c>
      <c r="J5726" s="5">
        <f>IF(OR(H5726=1,I5726=1),0,IF(G5726="Credit",-F5726,F5726))</f>
        <v/>
      </c>
    </row>
    <row r="5727">
      <c r="A5727" t="inlineStr">
        <is>
          <t>2026-08-26</t>
        </is>
      </c>
      <c r="B5727" t="inlineStr">
        <is>
          <t>F268330</t>
        </is>
      </c>
      <c r="C5727" t="inlineStr">
        <is>
          <t>C10436</t>
        </is>
      </c>
      <c r="D5727" t="inlineStr">
        <is>
          <t>SKU-10321</t>
        </is>
      </c>
      <c r="E5727" t="inlineStr">
        <is>
          <t>AM06</t>
        </is>
      </c>
      <c r="F5727" s="5" t="n">
        <v>92.73999999999999</v>
      </c>
      <c r="G5727">
        <f>IF(LEFT(B5727,1)="C","Credit","Factuur")</f>
        <v/>
      </c>
      <c r="H5727">
        <f>IF(AND(B5727=B5726,D5727=D5726,A5727=A5726,F5727=F5726),1,0)</f>
        <v/>
      </c>
      <c r="I5727">
        <f>IF(C5727="C99999",1,0)</f>
        <v/>
      </c>
      <c r="J5727" s="5">
        <f>IF(OR(H5727=1,I5727=1),0,IF(G5727="Credit",-F5727,F5727))</f>
        <v/>
      </c>
    </row>
    <row r="5728">
      <c r="A5728" t="inlineStr">
        <is>
          <t>2026-08-26</t>
        </is>
      </c>
      <c r="B5728" t="inlineStr">
        <is>
          <t>F269166</t>
        </is>
      </c>
      <c r="C5728" t="inlineStr">
        <is>
          <t>C10480</t>
        </is>
      </c>
      <c r="D5728" t="inlineStr">
        <is>
          <t>SKU-10052</t>
        </is>
      </c>
      <c r="E5728" t="inlineStr">
        <is>
          <t>AM07</t>
        </is>
      </c>
      <c r="F5728" s="5" t="n">
        <v>599.75</v>
      </c>
      <c r="G5728">
        <f>IF(LEFT(B5728,1)="C","Credit","Factuur")</f>
        <v/>
      </c>
      <c r="H5728">
        <f>IF(AND(B5728=B5727,D5728=D5727,A5728=A5727,F5728=F5727),1,0)</f>
        <v/>
      </c>
      <c r="I5728">
        <f>IF(C5728="C99999",1,0)</f>
        <v/>
      </c>
      <c r="J5728" s="5">
        <f>IF(OR(H5728=1,I5728=1),0,IF(G5728="Credit",-F5728,F5728))</f>
        <v/>
      </c>
    </row>
    <row r="5729">
      <c r="A5729" t="inlineStr">
        <is>
          <t>2026-08-26</t>
        </is>
      </c>
      <c r="B5729" t="inlineStr">
        <is>
          <t>F269166</t>
        </is>
      </c>
      <c r="C5729" t="inlineStr">
        <is>
          <t>C10480</t>
        </is>
      </c>
      <c r="D5729" t="inlineStr">
        <is>
          <t>SKU-10136</t>
        </is>
      </c>
      <c r="E5729" t="inlineStr">
        <is>
          <t>AM07</t>
        </is>
      </c>
      <c r="F5729" s="5" t="n">
        <v>657.11</v>
      </c>
      <c r="G5729">
        <f>IF(LEFT(B5729,1)="C","Credit","Factuur")</f>
        <v/>
      </c>
      <c r="H5729">
        <f>IF(AND(B5729=B5728,D5729=D5728,A5729=A5728,F5729=F5728),1,0)</f>
        <v/>
      </c>
      <c r="I5729">
        <f>IF(C5729="C99999",1,0)</f>
        <v/>
      </c>
      <c r="J5729" s="5">
        <f>IF(OR(H5729=1,I5729=1),0,IF(G5729="Credit",-F5729,F5729))</f>
        <v/>
      </c>
    </row>
    <row r="5730">
      <c r="A5730" t="inlineStr">
        <is>
          <t>2026-08-26</t>
        </is>
      </c>
      <c r="B5730" t="inlineStr">
        <is>
          <t>F269166</t>
        </is>
      </c>
      <c r="C5730" t="inlineStr">
        <is>
          <t>C10480</t>
        </is>
      </c>
      <c r="D5730" t="inlineStr">
        <is>
          <t>SKU-10276</t>
        </is>
      </c>
      <c r="E5730" t="inlineStr">
        <is>
          <t>AM07</t>
        </is>
      </c>
      <c r="F5730" s="5" t="n">
        <v>640.64</v>
      </c>
      <c r="G5730">
        <f>IF(LEFT(B5730,1)="C","Credit","Factuur")</f>
        <v/>
      </c>
      <c r="H5730">
        <f>IF(AND(B5730=B5729,D5730=D5729,A5730=A5729,F5730=F5729),1,0)</f>
        <v/>
      </c>
      <c r="I5730">
        <f>IF(C5730="C99999",1,0)</f>
        <v/>
      </c>
      <c r="J5730" s="5">
        <f>IF(OR(H5730=1,I5730=1),0,IF(G5730="Credit",-F5730,F5730))</f>
        <v/>
      </c>
    </row>
    <row r="5731">
      <c r="A5731" t="inlineStr">
        <is>
          <t>2026-08-26</t>
        </is>
      </c>
      <c r="B5731" t="inlineStr">
        <is>
          <t>F269166</t>
        </is>
      </c>
      <c r="C5731" t="inlineStr">
        <is>
          <t>C10480</t>
        </is>
      </c>
      <c r="D5731" t="inlineStr">
        <is>
          <t>SKU-10301</t>
        </is>
      </c>
      <c r="E5731" t="inlineStr">
        <is>
          <t>AM07</t>
        </is>
      </c>
      <c r="F5731" s="5" t="n">
        <v>635.8</v>
      </c>
      <c r="G5731">
        <f>IF(LEFT(B5731,1)="C","Credit","Factuur")</f>
        <v/>
      </c>
      <c r="H5731">
        <f>IF(AND(B5731=B5730,D5731=D5730,A5731=A5730,F5731=F5730),1,0)</f>
        <v/>
      </c>
      <c r="I5731">
        <f>IF(C5731="C99999",1,0)</f>
        <v/>
      </c>
      <c r="J5731" s="5">
        <f>IF(OR(H5731=1,I5731=1),0,IF(G5731="Credit",-F5731,F5731))</f>
        <v/>
      </c>
    </row>
    <row r="5732">
      <c r="A5732" t="inlineStr">
        <is>
          <t>2026-08-26</t>
        </is>
      </c>
      <c r="B5732" t="inlineStr">
        <is>
          <t>F269532</t>
        </is>
      </c>
      <c r="C5732" t="inlineStr">
        <is>
          <t>C10500</t>
        </is>
      </c>
      <c r="D5732" t="inlineStr">
        <is>
          <t>SKU-10249</t>
        </is>
      </c>
      <c r="E5732" t="inlineStr">
        <is>
          <t>AM02</t>
        </is>
      </c>
      <c r="F5732" s="5" t="n">
        <v>62.2</v>
      </c>
      <c r="G5732">
        <f>IF(LEFT(B5732,1)="C","Credit","Factuur")</f>
        <v/>
      </c>
      <c r="H5732">
        <f>IF(AND(B5732=B5731,D5732=D5731,A5732=A5731,F5732=F5731),1,0)</f>
        <v/>
      </c>
      <c r="I5732">
        <f>IF(C5732="C99999",1,0)</f>
        <v/>
      </c>
      <c r="J5732" s="5">
        <f>IF(OR(H5732=1,I5732=1),0,IF(G5732="Credit",-F5732,F5732))</f>
        <v/>
      </c>
    </row>
    <row r="5733">
      <c r="A5733" t="inlineStr">
        <is>
          <t>2026-08-26</t>
        </is>
      </c>
      <c r="B5733" t="inlineStr">
        <is>
          <t>F269532</t>
        </is>
      </c>
      <c r="C5733" t="inlineStr">
        <is>
          <t>C10500</t>
        </is>
      </c>
      <c r="D5733" t="inlineStr">
        <is>
          <t>SKU-10278</t>
        </is>
      </c>
      <c r="E5733" t="inlineStr">
        <is>
          <t>AM02</t>
        </is>
      </c>
      <c r="F5733" s="5" t="n">
        <v>59.91</v>
      </c>
      <c r="G5733">
        <f>IF(LEFT(B5733,1)="C","Credit","Factuur")</f>
        <v/>
      </c>
      <c r="H5733">
        <f>IF(AND(B5733=B5732,D5733=D5732,A5733=A5732,F5733=F5732),1,0)</f>
        <v/>
      </c>
      <c r="I5733">
        <f>IF(C5733="C99999",1,0)</f>
        <v/>
      </c>
      <c r="J5733" s="5">
        <f>IF(OR(H5733=1,I5733=1),0,IF(G5733="Credit",-F5733,F5733))</f>
        <v/>
      </c>
    </row>
    <row r="5734">
      <c r="A5734" t="inlineStr">
        <is>
          <t>2026-08-26</t>
        </is>
      </c>
      <c r="B5734" t="inlineStr">
        <is>
          <t>F269532</t>
        </is>
      </c>
      <c r="C5734" t="inlineStr">
        <is>
          <t>C10500</t>
        </is>
      </c>
      <c r="D5734" t="inlineStr">
        <is>
          <t>SKU-10288</t>
        </is>
      </c>
      <c r="E5734" t="inlineStr">
        <is>
          <t>AM02</t>
        </is>
      </c>
      <c r="F5734" s="5" t="n">
        <v>64.34</v>
      </c>
      <c r="G5734">
        <f>IF(LEFT(B5734,1)="C","Credit","Factuur")</f>
        <v/>
      </c>
      <c r="H5734">
        <f>IF(AND(B5734=B5733,D5734=D5733,A5734=A5733,F5734=F5733),1,0)</f>
        <v/>
      </c>
      <c r="I5734">
        <f>IF(C5734="C99999",1,0)</f>
        <v/>
      </c>
      <c r="J5734" s="5">
        <f>IF(OR(H5734=1,I5734=1),0,IF(G5734="Credit",-F5734,F5734))</f>
        <v/>
      </c>
    </row>
    <row r="5735">
      <c r="A5735" t="inlineStr">
        <is>
          <t>2026-08-26</t>
        </is>
      </c>
      <c r="B5735" t="inlineStr">
        <is>
          <t>F269532</t>
        </is>
      </c>
      <c r="C5735" t="inlineStr">
        <is>
          <t>C10500</t>
        </is>
      </c>
      <c r="D5735" t="inlineStr">
        <is>
          <t>SKU-10289</t>
        </is>
      </c>
      <c r="E5735" t="inlineStr">
        <is>
          <t>AM02</t>
        </is>
      </c>
      <c r="F5735" s="5" t="n">
        <v>76.78</v>
      </c>
      <c r="G5735">
        <f>IF(LEFT(B5735,1)="C","Credit","Factuur")</f>
        <v/>
      </c>
      <c r="H5735">
        <f>IF(AND(B5735=B5734,D5735=D5734,A5735=A5734,F5735=F5734),1,0)</f>
        <v/>
      </c>
      <c r="I5735">
        <f>IF(C5735="C99999",1,0)</f>
        <v/>
      </c>
      <c r="J5735" s="5">
        <f>IF(OR(H5735=1,I5735=1),0,IF(G5735="Credit",-F5735,F5735))</f>
        <v/>
      </c>
    </row>
    <row r="5736">
      <c r="A5736" t="inlineStr">
        <is>
          <t>2026-08-26</t>
        </is>
      </c>
      <c r="B5736" t="inlineStr">
        <is>
          <t>F271164</t>
        </is>
      </c>
      <c r="C5736" t="inlineStr">
        <is>
          <t>C10581</t>
        </is>
      </c>
      <c r="D5736" t="inlineStr">
        <is>
          <t>SKU-10129</t>
        </is>
      </c>
      <c r="E5736" t="inlineStr">
        <is>
          <t>AM02</t>
        </is>
      </c>
      <c r="F5736" s="5" t="n">
        <v>207.26</v>
      </c>
      <c r="G5736">
        <f>IF(LEFT(B5736,1)="C","Credit","Factuur")</f>
        <v/>
      </c>
      <c r="H5736">
        <f>IF(AND(B5736=B5735,D5736=D5735,A5736=A5735,F5736=F5735),1,0)</f>
        <v/>
      </c>
      <c r="I5736">
        <f>IF(C5736="C99999",1,0)</f>
        <v/>
      </c>
      <c r="J5736" s="5">
        <f>IF(OR(H5736=1,I5736=1),0,IF(G5736="Credit",-F5736,F5736))</f>
        <v/>
      </c>
    </row>
    <row r="5737">
      <c r="A5737" t="inlineStr">
        <is>
          <t>2026-08-26</t>
        </is>
      </c>
      <c r="B5737" t="inlineStr">
        <is>
          <t>F271164</t>
        </is>
      </c>
      <c r="C5737" t="inlineStr">
        <is>
          <t>C10581</t>
        </is>
      </c>
      <c r="D5737" t="inlineStr">
        <is>
          <t>SKU-10279</t>
        </is>
      </c>
      <c r="E5737" t="inlineStr">
        <is>
          <t>AM02</t>
        </is>
      </c>
      <c r="F5737" s="5" t="n">
        <v>157.51</v>
      </c>
      <c r="G5737">
        <f>IF(LEFT(B5737,1)="C","Credit","Factuur")</f>
        <v/>
      </c>
      <c r="H5737">
        <f>IF(AND(B5737=B5736,D5737=D5736,A5737=A5736,F5737=F5736),1,0)</f>
        <v/>
      </c>
      <c r="I5737">
        <f>IF(C5737="C99999",1,0)</f>
        <v/>
      </c>
      <c r="J5737" s="5">
        <f>IF(OR(H5737=1,I5737=1),0,IF(G5737="Credit",-F5737,F5737))</f>
        <v/>
      </c>
    </row>
    <row r="5738">
      <c r="A5738" t="inlineStr">
        <is>
          <t>2026-08-26</t>
        </is>
      </c>
      <c r="B5738" t="inlineStr">
        <is>
          <t>F271164</t>
        </is>
      </c>
      <c r="C5738" t="inlineStr">
        <is>
          <t>C10581</t>
        </is>
      </c>
      <c r="D5738" t="inlineStr">
        <is>
          <t>SKU-10322</t>
        </is>
      </c>
      <c r="E5738" t="inlineStr">
        <is>
          <t>AM02</t>
        </is>
      </c>
      <c r="F5738" s="5" t="n">
        <v>162.66</v>
      </c>
      <c r="G5738">
        <f>IF(LEFT(B5738,1)="C","Credit","Factuur")</f>
        <v/>
      </c>
      <c r="H5738">
        <f>IF(AND(B5738=B5737,D5738=D5737,A5738=A5737,F5738=F5737),1,0)</f>
        <v/>
      </c>
      <c r="I5738">
        <f>IF(C5738="C99999",1,0)</f>
        <v/>
      </c>
      <c r="J5738" s="5">
        <f>IF(OR(H5738=1,I5738=1),0,IF(G5738="Credit",-F5738,F5738))</f>
        <v/>
      </c>
    </row>
    <row r="5739">
      <c r="A5739" t="inlineStr">
        <is>
          <t>2026-08-26</t>
        </is>
      </c>
      <c r="B5739" t="inlineStr">
        <is>
          <t>F272008</t>
        </is>
      </c>
      <c r="C5739" t="inlineStr">
        <is>
          <t>C10618</t>
        </is>
      </c>
      <c r="D5739" t="inlineStr">
        <is>
          <t>SKU-10035</t>
        </is>
      </c>
      <c r="E5739" t="inlineStr">
        <is>
          <t>AM02</t>
        </is>
      </c>
      <c r="F5739" s="5" t="n">
        <v>146.6</v>
      </c>
      <c r="G5739">
        <f>IF(LEFT(B5739,1)="C","Credit","Factuur")</f>
        <v/>
      </c>
      <c r="H5739">
        <f>IF(AND(B5739=B5738,D5739=D5738,A5739=A5738,F5739=F5738),1,0)</f>
        <v/>
      </c>
      <c r="I5739">
        <f>IF(C5739="C99999",1,0)</f>
        <v/>
      </c>
      <c r="J5739" s="5">
        <f>IF(OR(H5739=1,I5739=1),0,IF(G5739="Credit",-F5739,F5739))</f>
        <v/>
      </c>
    </row>
    <row r="5740">
      <c r="A5740" t="inlineStr">
        <is>
          <t>2026-08-26</t>
        </is>
      </c>
      <c r="B5740" t="inlineStr">
        <is>
          <t>F272008</t>
        </is>
      </c>
      <c r="C5740" t="inlineStr">
        <is>
          <t>C10618</t>
        </is>
      </c>
      <c r="D5740" t="inlineStr">
        <is>
          <t>SKU-10195</t>
        </is>
      </c>
      <c r="E5740" t="inlineStr">
        <is>
          <t>AM02</t>
        </is>
      </c>
      <c r="F5740" s="5" t="n">
        <v>140.1</v>
      </c>
      <c r="G5740">
        <f>IF(LEFT(B5740,1)="C","Credit","Factuur")</f>
        <v/>
      </c>
      <c r="H5740">
        <f>IF(AND(B5740=B5739,D5740=D5739,A5740=A5739,F5740=F5739),1,0)</f>
        <v/>
      </c>
      <c r="I5740">
        <f>IF(C5740="C99999",1,0)</f>
        <v/>
      </c>
      <c r="J5740" s="5">
        <f>IF(OR(H5740=1,I5740=1),0,IF(G5740="Credit",-F5740,F5740))</f>
        <v/>
      </c>
    </row>
    <row r="5741">
      <c r="A5741" t="inlineStr">
        <is>
          <t>2026-08-26</t>
        </is>
      </c>
      <c r="B5741" t="inlineStr">
        <is>
          <t>F272008</t>
        </is>
      </c>
      <c r="C5741" t="inlineStr">
        <is>
          <t>C10618</t>
        </is>
      </c>
      <c r="D5741" t="inlineStr">
        <is>
          <t>SKU-10303</t>
        </is>
      </c>
      <c r="E5741" t="inlineStr">
        <is>
          <t>AM02</t>
        </is>
      </c>
      <c r="F5741" s="5" t="n">
        <v>129.43</v>
      </c>
      <c r="G5741">
        <f>IF(LEFT(B5741,1)="C","Credit","Factuur")</f>
        <v/>
      </c>
      <c r="H5741">
        <f>IF(AND(B5741=B5740,D5741=D5740,A5741=A5740,F5741=F5740),1,0)</f>
        <v/>
      </c>
      <c r="I5741">
        <f>IF(C5741="C99999",1,0)</f>
        <v/>
      </c>
      <c r="J5741" s="5">
        <f>IF(OR(H5741=1,I5741=1),0,IF(G5741="Credit",-F5741,F5741))</f>
        <v/>
      </c>
    </row>
    <row r="5742">
      <c r="A5742" t="inlineStr">
        <is>
          <t>2026-08-26</t>
        </is>
      </c>
      <c r="B5742" t="inlineStr">
        <is>
          <t>F272008</t>
        </is>
      </c>
      <c r="C5742" t="inlineStr">
        <is>
          <t>C10618</t>
        </is>
      </c>
      <c r="D5742" t="inlineStr">
        <is>
          <t>SKU-10344</t>
        </is>
      </c>
      <c r="E5742" t="inlineStr">
        <is>
          <t>AM02</t>
        </is>
      </c>
      <c r="F5742" s="5" t="n">
        <v>140</v>
      </c>
      <c r="G5742">
        <f>IF(LEFT(B5742,1)="C","Credit","Factuur")</f>
        <v/>
      </c>
      <c r="H5742">
        <f>IF(AND(B5742=B5741,D5742=D5741,A5742=A5741,F5742=F5741),1,0)</f>
        <v/>
      </c>
      <c r="I5742">
        <f>IF(C5742="C99999",1,0)</f>
        <v/>
      </c>
      <c r="J5742" s="5">
        <f>IF(OR(H5742=1,I5742=1),0,IF(G5742="Credit",-F5742,F5742))</f>
        <v/>
      </c>
    </row>
    <row r="5743">
      <c r="A5743" t="inlineStr">
        <is>
          <t>2026-08-26</t>
        </is>
      </c>
      <c r="B5743" t="inlineStr">
        <is>
          <t>F272008</t>
        </is>
      </c>
      <c r="C5743" t="inlineStr">
        <is>
          <t>C10618</t>
        </is>
      </c>
      <c r="D5743" t="inlineStr">
        <is>
          <t>SKU-10345</t>
        </is>
      </c>
      <c r="E5743" t="inlineStr">
        <is>
          <t>AM02</t>
        </is>
      </c>
      <c r="F5743" s="5" t="n">
        <v>144.44</v>
      </c>
      <c r="G5743">
        <f>IF(LEFT(B5743,1)="C","Credit","Factuur")</f>
        <v/>
      </c>
      <c r="H5743">
        <f>IF(AND(B5743=B5742,D5743=D5742,A5743=A5742,F5743=F5742),1,0)</f>
        <v/>
      </c>
      <c r="I5743">
        <f>IF(C5743="C99999",1,0)</f>
        <v/>
      </c>
      <c r="J5743" s="5">
        <f>IF(OR(H5743=1,I5743=1),0,IF(G5743="Credit",-F5743,F5743))</f>
        <v/>
      </c>
    </row>
    <row r="5744">
      <c r="A5744" t="inlineStr">
        <is>
          <t>2026-08-26</t>
        </is>
      </c>
      <c r="B5744" t="inlineStr">
        <is>
          <t>F272938</t>
        </is>
      </c>
      <c r="C5744" t="inlineStr">
        <is>
          <t>C10674</t>
        </is>
      </c>
      <c r="D5744" t="inlineStr">
        <is>
          <t>SKU-10022</t>
        </is>
      </c>
      <c r="E5744" t="inlineStr">
        <is>
          <t>AM05</t>
        </is>
      </c>
      <c r="F5744" s="5" t="n">
        <v>719.87</v>
      </c>
      <c r="G5744">
        <f>IF(LEFT(B5744,1)="C","Credit","Factuur")</f>
        <v/>
      </c>
      <c r="H5744">
        <f>IF(AND(B5744=B5743,D5744=D5743,A5744=A5743,F5744=F5743),1,0)</f>
        <v/>
      </c>
      <c r="I5744">
        <f>IF(C5744="C99999",1,0)</f>
        <v/>
      </c>
      <c r="J5744" s="5">
        <f>IF(OR(H5744=1,I5744=1),0,IF(G5744="Credit",-F5744,F5744))</f>
        <v/>
      </c>
    </row>
    <row r="5745">
      <c r="A5745" t="inlineStr">
        <is>
          <t>2026-08-26</t>
        </is>
      </c>
      <c r="B5745" t="inlineStr">
        <is>
          <t>F274747</t>
        </is>
      </c>
      <c r="C5745" t="inlineStr">
        <is>
          <t>C10779</t>
        </is>
      </c>
      <c r="D5745" t="inlineStr">
        <is>
          <t>SKU-10295</t>
        </is>
      </c>
      <c r="E5745" t="inlineStr">
        <is>
          <t>AM09</t>
        </is>
      </c>
      <c r="F5745" s="5" t="n">
        <v>5387.61</v>
      </c>
      <c r="G5745">
        <f>IF(LEFT(B5745,1)="C","Credit","Factuur")</f>
        <v/>
      </c>
      <c r="H5745">
        <f>IF(AND(B5745=B5744,D5745=D5744,A5745=A5744,F5745=F5744),1,0)</f>
        <v/>
      </c>
      <c r="I5745">
        <f>IF(C5745="C99999",1,0)</f>
        <v/>
      </c>
      <c r="J5745" s="5">
        <f>IF(OR(H5745=1,I5745=1),0,IF(G5745="Credit",-F5745,F5745))</f>
        <v/>
      </c>
    </row>
    <row r="5746">
      <c r="A5746" t="inlineStr">
        <is>
          <t>2026-08-26</t>
        </is>
      </c>
      <c r="B5746" t="inlineStr">
        <is>
          <t>F274747</t>
        </is>
      </c>
      <c r="C5746" t="inlineStr">
        <is>
          <t>C10779</t>
        </is>
      </c>
      <c r="D5746" t="inlineStr">
        <is>
          <t>SKU-10345</t>
        </is>
      </c>
      <c r="E5746" t="inlineStr">
        <is>
          <t>AM09</t>
        </is>
      </c>
      <c r="F5746" s="5" t="n">
        <v>5669.27</v>
      </c>
      <c r="G5746">
        <f>IF(LEFT(B5746,1)="C","Credit","Factuur")</f>
        <v/>
      </c>
      <c r="H5746">
        <f>IF(AND(B5746=B5745,D5746=D5745,A5746=A5745,F5746=F5745),1,0)</f>
        <v/>
      </c>
      <c r="I5746">
        <f>IF(C5746="C99999",1,0)</f>
        <v/>
      </c>
      <c r="J5746" s="5">
        <f>IF(OR(H5746=1,I5746=1),0,IF(G5746="Credit",-F5746,F5746))</f>
        <v/>
      </c>
    </row>
    <row r="5747">
      <c r="A5747" t="inlineStr">
        <is>
          <t>2026-08-26</t>
        </is>
      </c>
      <c r="B5747" t="inlineStr">
        <is>
          <t>F275876</t>
        </is>
      </c>
      <c r="C5747" t="inlineStr">
        <is>
          <t>C10842</t>
        </is>
      </c>
      <c r="D5747" t="inlineStr">
        <is>
          <t>SKU-10038</t>
        </is>
      </c>
      <c r="E5747" t="inlineStr">
        <is>
          <t>IS02</t>
        </is>
      </c>
      <c r="F5747" s="5" t="n">
        <v>96.03</v>
      </c>
      <c r="G5747">
        <f>IF(LEFT(B5747,1)="C","Credit","Factuur")</f>
        <v/>
      </c>
      <c r="H5747">
        <f>IF(AND(B5747=B5746,D5747=D5746,A5747=A5746,F5747=F5746),1,0)</f>
        <v/>
      </c>
      <c r="I5747">
        <f>IF(C5747="C99999",1,0)</f>
        <v/>
      </c>
      <c r="J5747" s="5">
        <f>IF(OR(H5747=1,I5747=1),0,IF(G5747="Credit",-F5747,F5747))</f>
        <v/>
      </c>
    </row>
    <row r="5748">
      <c r="A5748" t="inlineStr">
        <is>
          <t>2026-08-26</t>
        </is>
      </c>
      <c r="B5748" t="inlineStr">
        <is>
          <t>F277718</t>
        </is>
      </c>
      <c r="C5748" t="inlineStr">
        <is>
          <t>C10940</t>
        </is>
      </c>
      <c r="D5748" t="inlineStr">
        <is>
          <t>SKU-10038</t>
        </is>
      </c>
      <c r="E5748" t="inlineStr">
        <is>
          <t>AM06</t>
        </is>
      </c>
      <c r="F5748" s="5" t="n">
        <v>733.3200000000001</v>
      </c>
      <c r="G5748">
        <f>IF(LEFT(B5748,1)="C","Credit","Factuur")</f>
        <v/>
      </c>
      <c r="H5748">
        <f>IF(AND(B5748=B5747,D5748=D5747,A5748=A5747,F5748=F5747),1,0)</f>
        <v/>
      </c>
      <c r="I5748">
        <f>IF(C5748="C99999",1,0)</f>
        <v/>
      </c>
      <c r="J5748" s="5">
        <f>IF(OR(H5748=1,I5748=1),0,IF(G5748="Credit",-F5748,F5748))</f>
        <v/>
      </c>
    </row>
    <row r="5749">
      <c r="A5749" t="inlineStr">
        <is>
          <t>2026-08-26</t>
        </is>
      </c>
      <c r="B5749" t="inlineStr">
        <is>
          <t>F277718</t>
        </is>
      </c>
      <c r="C5749" t="inlineStr">
        <is>
          <t>C10940</t>
        </is>
      </c>
      <c r="D5749" t="inlineStr">
        <is>
          <t>SKU-10077</t>
        </is>
      </c>
      <c r="E5749" t="inlineStr">
        <is>
          <t>AM06</t>
        </is>
      </c>
      <c r="F5749" s="5" t="n">
        <v>737.9400000000001</v>
      </c>
      <c r="G5749">
        <f>IF(LEFT(B5749,1)="C","Credit","Factuur")</f>
        <v/>
      </c>
      <c r="H5749">
        <f>IF(AND(B5749=B5748,D5749=D5748,A5749=A5748,F5749=F5748),1,0)</f>
        <v/>
      </c>
      <c r="I5749">
        <f>IF(C5749="C99999",1,0)</f>
        <v/>
      </c>
      <c r="J5749" s="5">
        <f>IF(OR(H5749=1,I5749=1),0,IF(G5749="Credit",-F5749,F5749))</f>
        <v/>
      </c>
    </row>
    <row r="5750">
      <c r="A5750" t="inlineStr">
        <is>
          <t>2026-08-26</t>
        </is>
      </c>
      <c r="B5750" t="inlineStr">
        <is>
          <t>F277718</t>
        </is>
      </c>
      <c r="C5750" t="inlineStr">
        <is>
          <t>C10940</t>
        </is>
      </c>
      <c r="D5750" t="inlineStr">
        <is>
          <t>SKU-10325</t>
        </is>
      </c>
      <c r="E5750" t="inlineStr">
        <is>
          <t>AM06</t>
        </is>
      </c>
      <c r="F5750" s="5" t="n">
        <v>753.6</v>
      </c>
      <c r="G5750">
        <f>IF(LEFT(B5750,1)="C","Credit","Factuur")</f>
        <v/>
      </c>
      <c r="H5750">
        <f>IF(AND(B5750=B5749,D5750=D5749,A5750=A5749,F5750=F5749),1,0)</f>
        <v/>
      </c>
      <c r="I5750">
        <f>IF(C5750="C99999",1,0)</f>
        <v/>
      </c>
      <c r="J5750" s="5">
        <f>IF(OR(H5750=1,I5750=1),0,IF(G5750="Credit",-F5750,F5750))</f>
        <v/>
      </c>
    </row>
    <row r="5751">
      <c r="A5751" t="inlineStr">
        <is>
          <t>2026-08-26</t>
        </is>
      </c>
      <c r="B5751" t="inlineStr">
        <is>
          <t>F277718</t>
        </is>
      </c>
      <c r="C5751" t="inlineStr">
        <is>
          <t>C10940</t>
        </is>
      </c>
      <c r="D5751" t="inlineStr">
        <is>
          <t>SKU-10360</t>
        </is>
      </c>
      <c r="E5751" t="inlineStr">
        <is>
          <t>AM06</t>
        </is>
      </c>
      <c r="F5751" s="5" t="n">
        <v>692.17</v>
      </c>
      <c r="G5751">
        <f>IF(LEFT(B5751,1)="C","Credit","Factuur")</f>
        <v/>
      </c>
      <c r="H5751">
        <f>IF(AND(B5751=B5750,D5751=D5750,A5751=A5750,F5751=F5750),1,0)</f>
        <v/>
      </c>
      <c r="I5751">
        <f>IF(C5751="C99999",1,0)</f>
        <v/>
      </c>
      <c r="J5751" s="5">
        <f>IF(OR(H5751=1,I5751=1),0,IF(G5751="Credit",-F5751,F5751))</f>
        <v/>
      </c>
    </row>
    <row r="5752">
      <c r="A5752" t="inlineStr">
        <is>
          <t>2026-08-26</t>
        </is>
      </c>
      <c r="B5752" t="inlineStr">
        <is>
          <t>F277740</t>
        </is>
      </c>
      <c r="C5752" t="inlineStr">
        <is>
          <t>C10942</t>
        </is>
      </c>
      <c r="D5752" t="inlineStr">
        <is>
          <t>SKU-10080</t>
        </is>
      </c>
      <c r="E5752" t="inlineStr">
        <is>
          <t>AM08</t>
        </is>
      </c>
      <c r="F5752" s="5" t="n">
        <v>210.33</v>
      </c>
      <c r="G5752">
        <f>IF(LEFT(B5752,1)="C","Credit","Factuur")</f>
        <v/>
      </c>
      <c r="H5752">
        <f>IF(AND(B5752=B5751,D5752=D5751,A5752=A5751,F5752=F5751),1,0)</f>
        <v/>
      </c>
      <c r="I5752">
        <f>IF(C5752="C99999",1,0)</f>
        <v/>
      </c>
      <c r="J5752" s="5">
        <f>IF(OR(H5752=1,I5752=1),0,IF(G5752="Credit",-F5752,F5752))</f>
        <v/>
      </c>
    </row>
    <row r="5753">
      <c r="A5753" t="inlineStr">
        <is>
          <t>2026-08-26</t>
        </is>
      </c>
      <c r="B5753" t="inlineStr">
        <is>
          <t>F277740</t>
        </is>
      </c>
      <c r="C5753" t="inlineStr">
        <is>
          <t>C10942</t>
        </is>
      </c>
      <c r="D5753" t="inlineStr">
        <is>
          <t>SKU-10148</t>
        </is>
      </c>
      <c r="E5753" t="inlineStr">
        <is>
          <t>AM08</t>
        </is>
      </c>
      <c r="F5753" s="5" t="n">
        <v>178.74</v>
      </c>
      <c r="G5753">
        <f>IF(LEFT(B5753,1)="C","Credit","Factuur")</f>
        <v/>
      </c>
      <c r="H5753">
        <f>IF(AND(B5753=B5752,D5753=D5752,A5753=A5752,F5753=F5752),1,0)</f>
        <v/>
      </c>
      <c r="I5753">
        <f>IF(C5753="C99999",1,0)</f>
        <v/>
      </c>
      <c r="J5753" s="5">
        <f>IF(OR(H5753=1,I5753=1),0,IF(G5753="Credit",-F5753,F5753))</f>
        <v/>
      </c>
    </row>
    <row r="5754">
      <c r="A5754" t="inlineStr">
        <is>
          <t>2026-08-26</t>
        </is>
      </c>
      <c r="B5754" t="inlineStr">
        <is>
          <t>F278163</t>
        </is>
      </c>
      <c r="C5754" t="inlineStr">
        <is>
          <t>C10965</t>
        </is>
      </c>
      <c r="D5754" t="inlineStr">
        <is>
          <t>SKU-10006</t>
        </is>
      </c>
      <c r="E5754" t="inlineStr">
        <is>
          <t>AM01</t>
        </is>
      </c>
      <c r="F5754" s="5" t="n">
        <v>46.4</v>
      </c>
      <c r="G5754">
        <f>IF(LEFT(B5754,1)="C","Credit","Factuur")</f>
        <v/>
      </c>
      <c r="H5754">
        <f>IF(AND(B5754=B5753,D5754=D5753,A5754=A5753,F5754=F5753),1,0)</f>
        <v/>
      </c>
      <c r="I5754">
        <f>IF(C5754="C99999",1,0)</f>
        <v/>
      </c>
      <c r="J5754" s="5">
        <f>IF(OR(H5754=1,I5754=1),0,IF(G5754="Credit",-F5754,F5754))</f>
        <v/>
      </c>
    </row>
    <row r="5755">
      <c r="A5755" t="inlineStr">
        <is>
          <t>2026-08-26</t>
        </is>
      </c>
      <c r="B5755" t="inlineStr">
        <is>
          <t>F278163</t>
        </is>
      </c>
      <c r="C5755" t="inlineStr">
        <is>
          <t>C10965</t>
        </is>
      </c>
      <c r="D5755" t="inlineStr">
        <is>
          <t>SKU-10028</t>
        </is>
      </c>
      <c r="E5755" t="inlineStr">
        <is>
          <t>AM01</t>
        </is>
      </c>
      <c r="F5755" s="5" t="n">
        <v>54.99</v>
      </c>
      <c r="G5755">
        <f>IF(LEFT(B5755,1)="C","Credit","Factuur")</f>
        <v/>
      </c>
      <c r="H5755">
        <f>IF(AND(B5755=B5754,D5755=D5754,A5755=A5754,F5755=F5754),1,0)</f>
        <v/>
      </c>
      <c r="I5755">
        <f>IF(C5755="C99999",1,0)</f>
        <v/>
      </c>
      <c r="J5755" s="5">
        <f>IF(OR(H5755=1,I5755=1),0,IF(G5755="Credit",-F5755,F5755))</f>
        <v/>
      </c>
    </row>
    <row r="5756">
      <c r="A5756" t="inlineStr">
        <is>
          <t>2026-08-26</t>
        </is>
      </c>
      <c r="B5756" t="inlineStr">
        <is>
          <t>F278163</t>
        </is>
      </c>
      <c r="C5756" t="inlineStr">
        <is>
          <t>C10965</t>
        </is>
      </c>
      <c r="D5756" t="inlineStr">
        <is>
          <t>SKU-10137</t>
        </is>
      </c>
      <c r="E5756" t="inlineStr">
        <is>
          <t>AM01</t>
        </is>
      </c>
      <c r="F5756" s="5" t="n">
        <v>96.84999999999999</v>
      </c>
      <c r="G5756">
        <f>IF(LEFT(B5756,1)="C","Credit","Factuur")</f>
        <v/>
      </c>
      <c r="H5756">
        <f>IF(AND(B5756=B5755,D5756=D5755,A5756=A5755,F5756=F5755),1,0)</f>
        <v/>
      </c>
      <c r="I5756">
        <f>IF(C5756="C99999",1,0)</f>
        <v/>
      </c>
      <c r="J5756" s="5">
        <f>IF(OR(H5756=1,I5756=1),0,IF(G5756="Credit",-F5756,F5756))</f>
        <v/>
      </c>
    </row>
    <row r="5757">
      <c r="A5757" t="inlineStr">
        <is>
          <t>2026-08-26</t>
        </is>
      </c>
      <c r="B5757" t="inlineStr">
        <is>
          <t>F278163</t>
        </is>
      </c>
      <c r="C5757" t="inlineStr">
        <is>
          <t>C10965</t>
        </is>
      </c>
      <c r="D5757" t="inlineStr">
        <is>
          <t>SKU-10312</t>
        </is>
      </c>
      <c r="E5757" t="inlineStr">
        <is>
          <t>AM01</t>
        </is>
      </c>
      <c r="F5757" s="5" t="n">
        <v>34.4</v>
      </c>
      <c r="G5757">
        <f>IF(LEFT(B5757,1)="C","Credit","Factuur")</f>
        <v/>
      </c>
      <c r="H5757">
        <f>IF(AND(B5757=B5756,D5757=D5756,A5757=A5756,F5757=F5756),1,0)</f>
        <v/>
      </c>
      <c r="I5757">
        <f>IF(C5757="C99999",1,0)</f>
        <v/>
      </c>
      <c r="J5757" s="5">
        <f>IF(OR(H5757=1,I5757=1),0,IF(G5757="Credit",-F5757,F5757))</f>
        <v/>
      </c>
    </row>
    <row r="5758">
      <c r="A5758" t="inlineStr">
        <is>
          <t>2026-08-26</t>
        </is>
      </c>
      <c r="B5758" t="inlineStr">
        <is>
          <t>F278163</t>
        </is>
      </c>
      <c r="C5758" t="inlineStr">
        <is>
          <t>C10965</t>
        </is>
      </c>
      <c r="D5758" t="inlineStr">
        <is>
          <t>SKU-10341</t>
        </is>
      </c>
      <c r="E5758" t="inlineStr">
        <is>
          <t>AM01</t>
        </is>
      </c>
      <c r="F5758" s="5" t="n">
        <v>40.24</v>
      </c>
      <c r="G5758">
        <f>IF(LEFT(B5758,1)="C","Credit","Factuur")</f>
        <v/>
      </c>
      <c r="H5758">
        <f>IF(AND(B5758=B5757,D5758=D5757,A5758=A5757,F5758=F5757),1,0)</f>
        <v/>
      </c>
      <c r="I5758">
        <f>IF(C5758="C99999",1,0)</f>
        <v/>
      </c>
      <c r="J5758" s="5">
        <f>IF(OR(H5758=1,I5758=1),0,IF(G5758="Credit",-F5758,F5758))</f>
        <v/>
      </c>
    </row>
    <row r="5759">
      <c r="A5759" t="inlineStr">
        <is>
          <t>2026-08-26</t>
        </is>
      </c>
      <c r="B5759" t="inlineStr">
        <is>
          <t>F278347</t>
        </is>
      </c>
      <c r="C5759" t="inlineStr">
        <is>
          <t>C10973</t>
        </is>
      </c>
      <c r="D5759" t="inlineStr">
        <is>
          <t>SKU-10057</t>
        </is>
      </c>
      <c r="E5759" t="inlineStr">
        <is>
          <t>AM08</t>
        </is>
      </c>
      <c r="F5759" s="5" t="n">
        <v>662.62</v>
      </c>
      <c r="G5759">
        <f>IF(LEFT(B5759,1)="C","Credit","Factuur")</f>
        <v/>
      </c>
      <c r="H5759">
        <f>IF(AND(B5759=B5758,D5759=D5758,A5759=A5758,F5759=F5758),1,0)</f>
        <v/>
      </c>
      <c r="I5759">
        <f>IF(C5759="C99999",1,0)</f>
        <v/>
      </c>
      <c r="J5759" s="5">
        <f>IF(OR(H5759=1,I5759=1),0,IF(G5759="Credit",-F5759,F5759))</f>
        <v/>
      </c>
    </row>
    <row r="5760">
      <c r="A5760" t="inlineStr">
        <is>
          <t>2026-08-26</t>
        </is>
      </c>
      <c r="B5760" t="inlineStr">
        <is>
          <t>F278347</t>
        </is>
      </c>
      <c r="C5760" t="inlineStr">
        <is>
          <t>C10973</t>
        </is>
      </c>
      <c r="D5760" t="inlineStr">
        <is>
          <t>SKU-10104</t>
        </is>
      </c>
      <c r="E5760" t="inlineStr">
        <is>
          <t>AM08</t>
        </is>
      </c>
      <c r="F5760" s="5" t="n">
        <v>729.12</v>
      </c>
      <c r="G5760">
        <f>IF(LEFT(B5760,1)="C","Credit","Factuur")</f>
        <v/>
      </c>
      <c r="H5760">
        <f>IF(AND(B5760=B5759,D5760=D5759,A5760=A5759,F5760=F5759),1,0)</f>
        <v/>
      </c>
      <c r="I5760">
        <f>IF(C5760="C99999",1,0)</f>
        <v/>
      </c>
      <c r="J5760" s="5">
        <f>IF(OR(H5760=1,I5760=1),0,IF(G5760="Credit",-F5760,F5760))</f>
        <v/>
      </c>
    </row>
    <row r="5761">
      <c r="A5761" t="inlineStr">
        <is>
          <t>2026-08-26</t>
        </is>
      </c>
      <c r="B5761" t="inlineStr">
        <is>
          <t>F278347</t>
        </is>
      </c>
      <c r="C5761" t="inlineStr">
        <is>
          <t>C10973</t>
        </is>
      </c>
      <c r="D5761" t="inlineStr">
        <is>
          <t>SKU-10180</t>
        </is>
      </c>
      <c r="E5761" t="inlineStr">
        <is>
          <t>AM08</t>
        </is>
      </c>
      <c r="F5761" s="5" t="n">
        <v>709.76</v>
      </c>
      <c r="G5761">
        <f>IF(LEFT(B5761,1)="C","Credit","Factuur")</f>
        <v/>
      </c>
      <c r="H5761">
        <f>IF(AND(B5761=B5760,D5761=D5760,A5761=A5760,F5761=F5760),1,0)</f>
        <v/>
      </c>
      <c r="I5761">
        <f>IF(C5761="C99999",1,0)</f>
        <v/>
      </c>
      <c r="J5761" s="5">
        <f>IF(OR(H5761=1,I5761=1),0,IF(G5761="Credit",-F5761,F5761))</f>
        <v/>
      </c>
    </row>
    <row r="5762">
      <c r="A5762" t="inlineStr">
        <is>
          <t>2026-08-26</t>
        </is>
      </c>
      <c r="B5762" t="inlineStr">
        <is>
          <t>F280976</t>
        </is>
      </c>
      <c r="C5762" t="inlineStr">
        <is>
          <t>C11105</t>
        </is>
      </c>
      <c r="D5762" t="inlineStr">
        <is>
          <t>SKU-10282</t>
        </is>
      </c>
      <c r="E5762" t="inlineStr">
        <is>
          <t>AM12</t>
        </is>
      </c>
      <c r="F5762" s="5" t="n">
        <v>494.76</v>
      </c>
      <c r="G5762">
        <f>IF(LEFT(B5762,1)="C","Credit","Factuur")</f>
        <v/>
      </c>
      <c r="H5762">
        <f>IF(AND(B5762=B5761,D5762=D5761,A5762=A5761,F5762=F5761),1,0)</f>
        <v/>
      </c>
      <c r="I5762">
        <f>IF(C5762="C99999",1,0)</f>
        <v/>
      </c>
      <c r="J5762" s="5">
        <f>IF(OR(H5762=1,I5762=1),0,IF(G5762="Credit",-F5762,F5762))</f>
        <v/>
      </c>
    </row>
    <row r="5763">
      <c r="A5763" t="inlineStr">
        <is>
          <t>2026-08-26</t>
        </is>
      </c>
      <c r="B5763" t="inlineStr">
        <is>
          <t>F281503</t>
        </is>
      </c>
      <c r="C5763" t="inlineStr">
        <is>
          <t>C11134</t>
        </is>
      </c>
      <c r="D5763" t="inlineStr">
        <is>
          <t>SKU-10189</t>
        </is>
      </c>
      <c r="E5763" t="inlineStr">
        <is>
          <t>AM02</t>
        </is>
      </c>
      <c r="F5763" s="5" t="n">
        <v>118.72</v>
      </c>
      <c r="G5763">
        <f>IF(LEFT(B5763,1)="C","Credit","Factuur")</f>
        <v/>
      </c>
      <c r="H5763">
        <f>IF(AND(B5763=B5762,D5763=D5762,A5763=A5762,F5763=F5762),1,0)</f>
        <v/>
      </c>
      <c r="I5763">
        <f>IF(C5763="C99999",1,0)</f>
        <v/>
      </c>
      <c r="J5763" s="5">
        <f>IF(OR(H5763=1,I5763=1),0,IF(G5763="Credit",-F5763,F5763))</f>
        <v/>
      </c>
    </row>
    <row r="5764">
      <c r="A5764" t="inlineStr">
        <is>
          <t>2026-08-26</t>
        </is>
      </c>
      <c r="B5764" t="inlineStr">
        <is>
          <t>F281503</t>
        </is>
      </c>
      <c r="C5764" t="inlineStr">
        <is>
          <t>C11134</t>
        </is>
      </c>
      <c r="D5764" t="inlineStr">
        <is>
          <t>SKU-10201</t>
        </is>
      </c>
      <c r="E5764" t="inlineStr">
        <is>
          <t>AM02</t>
        </is>
      </c>
      <c r="F5764" s="5" t="n">
        <v>106.56</v>
      </c>
      <c r="G5764">
        <f>IF(LEFT(B5764,1)="C","Credit","Factuur")</f>
        <v/>
      </c>
      <c r="H5764">
        <f>IF(AND(B5764=B5763,D5764=D5763,A5764=A5763,F5764=F5763),1,0)</f>
        <v/>
      </c>
      <c r="I5764">
        <f>IF(C5764="C99999",1,0)</f>
        <v/>
      </c>
      <c r="J5764" s="5">
        <f>IF(OR(H5764=1,I5764=1),0,IF(G5764="Credit",-F5764,F5764))</f>
        <v/>
      </c>
    </row>
    <row r="5765">
      <c r="A5765" t="inlineStr">
        <is>
          <t>2026-08-26</t>
        </is>
      </c>
      <c r="B5765" t="inlineStr">
        <is>
          <t>F281503</t>
        </is>
      </c>
      <c r="C5765" t="inlineStr">
        <is>
          <t>C11134</t>
        </is>
      </c>
      <c r="D5765" t="inlineStr">
        <is>
          <t>SKU-10274</t>
        </is>
      </c>
      <c r="E5765" t="inlineStr">
        <is>
          <t>AM02</t>
        </is>
      </c>
      <c r="F5765" s="5" t="n">
        <v>128.35</v>
      </c>
      <c r="G5765">
        <f>IF(LEFT(B5765,1)="C","Credit","Factuur")</f>
        <v/>
      </c>
      <c r="H5765">
        <f>IF(AND(B5765=B5764,D5765=D5764,A5765=A5764,F5765=F5764),1,0)</f>
        <v/>
      </c>
      <c r="I5765">
        <f>IF(C5765="C99999",1,0)</f>
        <v/>
      </c>
      <c r="J5765" s="5">
        <f>IF(OR(H5765=1,I5765=1),0,IF(G5765="Credit",-F5765,F5765))</f>
        <v/>
      </c>
    </row>
    <row r="5766">
      <c r="A5766" t="inlineStr">
        <is>
          <t>2026-08-26</t>
        </is>
      </c>
      <c r="B5766" t="inlineStr">
        <is>
          <t>F281503</t>
        </is>
      </c>
      <c r="C5766" t="inlineStr">
        <is>
          <t>C11134</t>
        </is>
      </c>
      <c r="D5766" t="inlineStr">
        <is>
          <t>SKU-10341</t>
        </is>
      </c>
      <c r="E5766" t="inlineStr">
        <is>
          <t>AM02</t>
        </is>
      </c>
      <c r="F5766" s="5" t="n">
        <v>120.72</v>
      </c>
      <c r="G5766">
        <f>IF(LEFT(B5766,1)="C","Credit","Factuur")</f>
        <v/>
      </c>
      <c r="H5766">
        <f>IF(AND(B5766=B5765,D5766=D5765,A5766=A5765,F5766=F5765),1,0)</f>
        <v/>
      </c>
      <c r="I5766">
        <f>IF(C5766="C99999",1,0)</f>
        <v/>
      </c>
      <c r="J5766" s="5">
        <f>IF(OR(H5766=1,I5766=1),0,IF(G5766="Credit",-F5766,F5766))</f>
        <v/>
      </c>
    </row>
    <row r="5767">
      <c r="A5767" t="inlineStr">
        <is>
          <t>2026-08-26</t>
        </is>
      </c>
      <c r="B5767" t="inlineStr">
        <is>
          <t>F281503</t>
        </is>
      </c>
      <c r="C5767" t="inlineStr">
        <is>
          <t>C11134</t>
        </is>
      </c>
      <c r="D5767" t="inlineStr">
        <is>
          <t>SKU-10367</t>
        </is>
      </c>
      <c r="E5767" t="inlineStr">
        <is>
          <t>AM02</t>
        </is>
      </c>
      <c r="F5767" s="5" t="n">
        <v>191.45</v>
      </c>
      <c r="G5767">
        <f>IF(LEFT(B5767,1)="C","Credit","Factuur")</f>
        <v/>
      </c>
      <c r="H5767">
        <f>IF(AND(B5767=B5766,D5767=D5766,A5767=A5766,F5767=F5766),1,0)</f>
        <v/>
      </c>
      <c r="I5767">
        <f>IF(C5767="C99999",1,0)</f>
        <v/>
      </c>
      <c r="J5767" s="5">
        <f>IF(OR(H5767=1,I5767=1),0,IF(G5767="Credit",-F5767,F5767))</f>
        <v/>
      </c>
    </row>
    <row r="5768">
      <c r="A5768" t="inlineStr">
        <is>
          <t>2026-08-26</t>
        </is>
      </c>
      <c r="B5768" t="inlineStr">
        <is>
          <t>F281622</t>
        </is>
      </c>
      <c r="C5768" t="inlineStr">
        <is>
          <t>C11140</t>
        </is>
      </c>
      <c r="D5768" t="inlineStr">
        <is>
          <t>SKU-10028</t>
        </is>
      </c>
      <c r="E5768" t="inlineStr">
        <is>
          <t>AM11</t>
        </is>
      </c>
      <c r="F5768" s="5" t="n">
        <v>289.4</v>
      </c>
      <c r="G5768">
        <f>IF(LEFT(B5768,1)="C","Credit","Factuur")</f>
        <v/>
      </c>
      <c r="H5768">
        <f>IF(AND(B5768=B5767,D5768=D5767,A5768=A5767,F5768=F5767),1,0)</f>
        <v/>
      </c>
      <c r="I5768">
        <f>IF(C5768="C99999",1,0)</f>
        <v/>
      </c>
      <c r="J5768" s="5">
        <f>IF(OR(H5768=1,I5768=1),0,IF(G5768="Credit",-F5768,F5768))</f>
        <v/>
      </c>
    </row>
    <row r="5769">
      <c r="A5769" t="inlineStr">
        <is>
          <t>2026-08-26</t>
        </is>
      </c>
      <c r="B5769" t="inlineStr">
        <is>
          <t>F281622</t>
        </is>
      </c>
      <c r="C5769" t="inlineStr">
        <is>
          <t>C11140</t>
        </is>
      </c>
      <c r="D5769" t="inlineStr">
        <is>
          <t>SKU-10052</t>
        </is>
      </c>
      <c r="E5769" t="inlineStr">
        <is>
          <t>AM11</t>
        </is>
      </c>
      <c r="F5769" s="5" t="n">
        <v>315.66</v>
      </c>
      <c r="G5769">
        <f>IF(LEFT(B5769,1)="C","Credit","Factuur")</f>
        <v/>
      </c>
      <c r="H5769">
        <f>IF(AND(B5769=B5768,D5769=D5768,A5769=A5768,F5769=F5768),1,0)</f>
        <v/>
      </c>
      <c r="I5769">
        <f>IF(C5769="C99999",1,0)</f>
        <v/>
      </c>
      <c r="J5769" s="5">
        <f>IF(OR(H5769=1,I5769=1),0,IF(G5769="Credit",-F5769,F5769))</f>
        <v/>
      </c>
    </row>
    <row r="5770">
      <c r="A5770" t="inlineStr">
        <is>
          <t>2026-08-26</t>
        </is>
      </c>
      <c r="B5770" t="inlineStr">
        <is>
          <t>F284305</t>
        </is>
      </c>
      <c r="C5770" t="inlineStr">
        <is>
          <t>C11271</t>
        </is>
      </c>
      <c r="D5770" t="inlineStr">
        <is>
          <t>SKU-10373</t>
        </is>
      </c>
      <c r="E5770" t="inlineStr"/>
      <c r="F5770" s="5" t="n">
        <v>969.51</v>
      </c>
      <c r="G5770">
        <f>IF(LEFT(B5770,1)="C","Credit","Factuur")</f>
        <v/>
      </c>
      <c r="H5770">
        <f>IF(AND(B5770=B5769,D5770=D5769,A5770=A5769,F5770=F5769),1,0)</f>
        <v/>
      </c>
      <c r="I5770">
        <f>IF(C5770="C99999",1,0)</f>
        <v/>
      </c>
      <c r="J5770" s="5">
        <f>IF(OR(H5770=1,I5770=1),0,IF(G5770="Credit",-F5770,F5770))</f>
        <v/>
      </c>
    </row>
    <row r="5771">
      <c r="A5771" t="inlineStr">
        <is>
          <t>2026-08-26</t>
        </is>
      </c>
      <c r="B5771" t="inlineStr">
        <is>
          <t>F285535</t>
        </is>
      </c>
      <c r="C5771" t="inlineStr">
        <is>
          <t>C11335</t>
        </is>
      </c>
      <c r="D5771" t="inlineStr">
        <is>
          <t>SKU-10196</t>
        </is>
      </c>
      <c r="E5771" t="inlineStr">
        <is>
          <t>AM08</t>
        </is>
      </c>
      <c r="F5771" s="5" t="n">
        <v>345.15</v>
      </c>
      <c r="G5771">
        <f>IF(LEFT(B5771,1)="C","Credit","Factuur")</f>
        <v/>
      </c>
      <c r="H5771">
        <f>IF(AND(B5771=B5770,D5771=D5770,A5771=A5770,F5771=F5770),1,0)</f>
        <v/>
      </c>
      <c r="I5771">
        <f>IF(C5771="C99999",1,0)</f>
        <v/>
      </c>
      <c r="J5771" s="5">
        <f>IF(OR(H5771=1,I5771=1),0,IF(G5771="Credit",-F5771,F5771))</f>
        <v/>
      </c>
    </row>
    <row r="5772">
      <c r="A5772" t="inlineStr">
        <is>
          <t>2026-08-26</t>
        </is>
      </c>
      <c r="B5772" t="inlineStr">
        <is>
          <t>F285535</t>
        </is>
      </c>
      <c r="C5772" t="inlineStr">
        <is>
          <t>C11335</t>
        </is>
      </c>
      <c r="D5772" t="inlineStr">
        <is>
          <t>SKU-10274</t>
        </is>
      </c>
      <c r="E5772" t="inlineStr">
        <is>
          <t>AM08</t>
        </is>
      </c>
      <c r="F5772" s="5" t="n">
        <v>359.38</v>
      </c>
      <c r="G5772">
        <f>IF(LEFT(B5772,1)="C","Credit","Factuur")</f>
        <v/>
      </c>
      <c r="H5772">
        <f>IF(AND(B5772=B5771,D5772=D5771,A5772=A5771,F5772=F5771),1,0)</f>
        <v/>
      </c>
      <c r="I5772">
        <f>IF(C5772="C99999",1,0)</f>
        <v/>
      </c>
      <c r="J5772" s="5">
        <f>IF(OR(H5772=1,I5772=1),0,IF(G5772="Credit",-F5772,F5772))</f>
        <v/>
      </c>
    </row>
    <row r="5773">
      <c r="A5773" t="inlineStr">
        <is>
          <t>2026-08-26</t>
        </is>
      </c>
      <c r="B5773" t="inlineStr">
        <is>
          <t>F285535</t>
        </is>
      </c>
      <c r="C5773" t="inlineStr">
        <is>
          <t>C11335</t>
        </is>
      </c>
      <c r="D5773" t="inlineStr">
        <is>
          <t>SKU-10285</t>
        </is>
      </c>
      <c r="E5773" t="inlineStr">
        <is>
          <t>AM08</t>
        </is>
      </c>
      <c r="F5773" s="5" t="n">
        <v>327.29</v>
      </c>
      <c r="G5773">
        <f>IF(LEFT(B5773,1)="C","Credit","Factuur")</f>
        <v/>
      </c>
      <c r="H5773">
        <f>IF(AND(B5773=B5772,D5773=D5772,A5773=A5772,F5773=F5772),1,0)</f>
        <v/>
      </c>
      <c r="I5773">
        <f>IF(C5773="C99999",1,0)</f>
        <v/>
      </c>
      <c r="J5773" s="5">
        <f>IF(OR(H5773=1,I5773=1),0,IF(G5773="Credit",-F5773,F5773))</f>
        <v/>
      </c>
    </row>
    <row r="5774">
      <c r="A5774" t="inlineStr">
        <is>
          <t>2026-08-26</t>
        </is>
      </c>
      <c r="B5774" t="inlineStr">
        <is>
          <t>F285535</t>
        </is>
      </c>
      <c r="C5774" t="inlineStr">
        <is>
          <t>C11335</t>
        </is>
      </c>
      <c r="D5774" t="inlineStr">
        <is>
          <t>SKU-10333</t>
        </is>
      </c>
      <c r="E5774" t="inlineStr">
        <is>
          <t>AM08</t>
        </is>
      </c>
      <c r="F5774" s="5" t="n">
        <v>348.48</v>
      </c>
      <c r="G5774">
        <f>IF(LEFT(B5774,1)="C","Credit","Factuur")</f>
        <v/>
      </c>
      <c r="H5774">
        <f>IF(AND(B5774=B5773,D5774=D5773,A5774=A5773,F5774=F5773),1,0)</f>
        <v/>
      </c>
      <c r="I5774">
        <f>IF(C5774="C99999",1,0)</f>
        <v/>
      </c>
      <c r="J5774" s="5">
        <f>IF(OR(H5774=1,I5774=1),0,IF(G5774="Credit",-F5774,F5774))</f>
        <v/>
      </c>
    </row>
    <row r="5775">
      <c r="A5775" t="inlineStr">
        <is>
          <t>2026-08-26</t>
        </is>
      </c>
      <c r="B5775" t="inlineStr">
        <is>
          <t>F285903</t>
        </is>
      </c>
      <c r="C5775" t="inlineStr">
        <is>
          <t>C11357</t>
        </is>
      </c>
      <c r="D5775" t="inlineStr">
        <is>
          <t>SKU-10331</t>
        </is>
      </c>
      <c r="E5775" t="inlineStr">
        <is>
          <t>AM02</t>
        </is>
      </c>
      <c r="F5775" s="5" t="n">
        <v>3348.54</v>
      </c>
      <c r="G5775">
        <f>IF(LEFT(B5775,1)="C","Credit","Factuur")</f>
        <v/>
      </c>
      <c r="H5775">
        <f>IF(AND(B5775=B5774,D5775=D5774,A5775=A5774,F5775=F5774),1,0)</f>
        <v/>
      </c>
      <c r="I5775">
        <f>IF(C5775="C99999",1,0)</f>
        <v/>
      </c>
      <c r="J5775" s="5">
        <f>IF(OR(H5775=1,I5775=1),0,IF(G5775="Credit",-F5775,F5775))</f>
        <v/>
      </c>
    </row>
    <row r="5776">
      <c r="A5776" t="inlineStr">
        <is>
          <t>2026-08-26</t>
        </is>
      </c>
      <c r="B5776" t="inlineStr">
        <is>
          <t>F286193</t>
        </is>
      </c>
      <c r="C5776" t="inlineStr">
        <is>
          <t>C11369</t>
        </is>
      </c>
      <c r="D5776" t="inlineStr">
        <is>
          <t>SKU-10010</t>
        </is>
      </c>
      <c r="E5776" t="inlineStr">
        <is>
          <t>AM09</t>
        </is>
      </c>
      <c r="F5776" s="5" t="n">
        <v>1802.3</v>
      </c>
      <c r="G5776">
        <f>IF(LEFT(B5776,1)="C","Credit","Factuur")</f>
        <v/>
      </c>
      <c r="H5776">
        <f>IF(AND(B5776=B5775,D5776=D5775,A5776=A5775,F5776=F5775),1,0)</f>
        <v/>
      </c>
      <c r="I5776">
        <f>IF(C5776="C99999",1,0)</f>
        <v/>
      </c>
      <c r="J5776" s="5">
        <f>IF(OR(H5776=1,I5776=1),0,IF(G5776="Credit",-F5776,F5776))</f>
        <v/>
      </c>
    </row>
    <row r="5777">
      <c r="A5777" t="inlineStr">
        <is>
          <t>2026-08-26</t>
        </is>
      </c>
      <c r="B5777" t="inlineStr">
        <is>
          <t>F286193</t>
        </is>
      </c>
      <c r="C5777" t="inlineStr">
        <is>
          <t>C11369</t>
        </is>
      </c>
      <c r="D5777" t="inlineStr">
        <is>
          <t>SKU-10073</t>
        </is>
      </c>
      <c r="E5777" t="inlineStr">
        <is>
          <t>AM09</t>
        </is>
      </c>
      <c r="F5777" s="5" t="n">
        <v>1656.44</v>
      </c>
      <c r="G5777">
        <f>IF(LEFT(B5777,1)="C","Credit","Factuur")</f>
        <v/>
      </c>
      <c r="H5777">
        <f>IF(AND(B5777=B5776,D5777=D5776,A5777=A5776,F5777=F5776),1,0)</f>
        <v/>
      </c>
      <c r="I5777">
        <f>IF(C5777="C99999",1,0)</f>
        <v/>
      </c>
      <c r="J5777" s="5">
        <f>IF(OR(H5777=1,I5777=1),0,IF(G5777="Credit",-F5777,F5777))</f>
        <v/>
      </c>
    </row>
    <row r="5778">
      <c r="A5778" t="inlineStr">
        <is>
          <t>2026-08-26</t>
        </is>
      </c>
      <c r="B5778" t="inlineStr">
        <is>
          <t>F286193</t>
        </is>
      </c>
      <c r="C5778" t="inlineStr">
        <is>
          <t>C11369</t>
        </is>
      </c>
      <c r="D5778" t="inlineStr">
        <is>
          <t>SKU-10263</t>
        </is>
      </c>
      <c r="E5778" t="inlineStr">
        <is>
          <t>AM09</t>
        </is>
      </c>
      <c r="F5778" s="5" t="n">
        <v>1805.2</v>
      </c>
      <c r="G5778">
        <f>IF(LEFT(B5778,1)="C","Credit","Factuur")</f>
        <v/>
      </c>
      <c r="H5778">
        <f>IF(AND(B5778=B5777,D5778=D5777,A5778=A5777,F5778=F5777),1,0)</f>
        <v/>
      </c>
      <c r="I5778">
        <f>IF(C5778="C99999",1,0)</f>
        <v/>
      </c>
      <c r="J5778" s="5">
        <f>IF(OR(H5778=1,I5778=1),0,IF(G5778="Credit",-F5778,F5778))</f>
        <v/>
      </c>
    </row>
    <row r="5779">
      <c r="A5779" t="inlineStr">
        <is>
          <t>2026-08-26</t>
        </is>
      </c>
      <c r="B5779" t="inlineStr">
        <is>
          <t>F286193</t>
        </is>
      </c>
      <c r="C5779" t="inlineStr">
        <is>
          <t>C11369</t>
        </is>
      </c>
      <c r="D5779" t="inlineStr">
        <is>
          <t>SKU-10295</t>
        </is>
      </c>
      <c r="E5779" t="inlineStr">
        <is>
          <t>AM09</t>
        </is>
      </c>
      <c r="F5779" s="5" t="n">
        <v>1890.39</v>
      </c>
      <c r="G5779">
        <f>IF(LEFT(B5779,1)="C","Credit","Factuur")</f>
        <v/>
      </c>
      <c r="H5779">
        <f>IF(AND(B5779=B5778,D5779=D5778,A5779=A5778,F5779=F5778),1,0)</f>
        <v/>
      </c>
      <c r="I5779">
        <f>IF(C5779="C99999",1,0)</f>
        <v/>
      </c>
      <c r="J5779" s="5">
        <f>IF(OR(H5779=1,I5779=1),0,IF(G5779="Credit",-F5779,F5779))</f>
        <v/>
      </c>
    </row>
    <row r="5780">
      <c r="A5780" t="inlineStr">
        <is>
          <t>2026-08-27</t>
        </is>
      </c>
      <c r="B5780" t="inlineStr">
        <is>
          <t>C901224</t>
        </is>
      </c>
      <c r="C5780" t="inlineStr">
        <is>
          <t>C10020</t>
        </is>
      </c>
      <c r="D5780" t="inlineStr">
        <is>
          <t>SKU-10096</t>
        </is>
      </c>
      <c r="E5780" t="inlineStr">
        <is>
          <t>AM09</t>
        </is>
      </c>
      <c r="F5780" s="5" t="n">
        <v>2970.34</v>
      </c>
      <c r="G5780">
        <f>IF(LEFT(B5780,1)="C","Credit","Factuur")</f>
        <v/>
      </c>
      <c r="H5780">
        <f>IF(AND(B5780=B5779,D5780=D5779,A5780=A5779,F5780=F5779),1,0)</f>
        <v/>
      </c>
      <c r="I5780">
        <f>IF(C5780="C99999",1,0)</f>
        <v/>
      </c>
      <c r="J5780" s="5">
        <f>IF(OR(H5780=1,I5780=1),0,IF(G5780="Credit",-F5780,F5780))</f>
        <v/>
      </c>
    </row>
    <row r="5781">
      <c r="A5781" t="inlineStr">
        <is>
          <t>2026-08-27</t>
        </is>
      </c>
      <c r="B5781" t="inlineStr">
        <is>
          <t>C901341</t>
        </is>
      </c>
      <c r="C5781" t="inlineStr">
        <is>
          <t>C11317</t>
        </is>
      </c>
      <c r="D5781" t="inlineStr">
        <is>
          <t>SKU-10319</t>
        </is>
      </c>
      <c r="E5781" t="inlineStr">
        <is>
          <t>AM11</t>
        </is>
      </c>
      <c r="F5781" s="5" t="n">
        <v>491.98</v>
      </c>
      <c r="G5781">
        <f>IF(LEFT(B5781,1)="C","Credit","Factuur")</f>
        <v/>
      </c>
      <c r="H5781">
        <f>IF(AND(B5781=B5780,D5781=D5780,A5781=A5780,F5781=F5780),1,0)</f>
        <v/>
      </c>
      <c r="I5781">
        <f>IF(C5781="C99999",1,0)</f>
        <v/>
      </c>
      <c r="J5781" s="5">
        <f>IF(OR(H5781=1,I5781=1),0,IF(G5781="Credit",-F5781,F5781))</f>
        <v/>
      </c>
    </row>
    <row r="5782">
      <c r="A5782" t="inlineStr">
        <is>
          <t>2026-08-27</t>
        </is>
      </c>
      <c r="B5782" t="inlineStr">
        <is>
          <t>F260940</t>
        </is>
      </c>
      <c r="C5782" t="inlineStr">
        <is>
          <t>C10054</t>
        </is>
      </c>
      <c r="D5782" t="inlineStr">
        <is>
          <t>SKU-10006</t>
        </is>
      </c>
      <c r="E5782" t="inlineStr">
        <is>
          <t>AM01</t>
        </is>
      </c>
      <c r="F5782" s="5" t="n">
        <v>75.17</v>
      </c>
      <c r="G5782">
        <f>IF(LEFT(B5782,1)="C","Credit","Factuur")</f>
        <v/>
      </c>
      <c r="H5782">
        <f>IF(AND(B5782=B5781,D5782=D5781,A5782=A5781,F5782=F5781),1,0)</f>
        <v/>
      </c>
      <c r="I5782">
        <f>IF(C5782="C99999",1,0)</f>
        <v/>
      </c>
      <c r="J5782" s="5">
        <f>IF(OR(H5782=1,I5782=1),0,IF(G5782="Credit",-F5782,F5782))</f>
        <v/>
      </c>
    </row>
    <row r="5783">
      <c r="A5783" t="inlineStr">
        <is>
          <t>2026-08-27</t>
        </is>
      </c>
      <c r="B5783" t="inlineStr">
        <is>
          <t>F260940</t>
        </is>
      </c>
      <c r="C5783" t="inlineStr">
        <is>
          <t>C10054</t>
        </is>
      </c>
      <c r="D5783" t="inlineStr">
        <is>
          <t>SKU-10025</t>
        </is>
      </c>
      <c r="E5783" t="inlineStr">
        <is>
          <t>AM01</t>
        </is>
      </c>
      <c r="F5783" s="5" t="n">
        <v>93</v>
      </c>
      <c r="G5783">
        <f>IF(LEFT(B5783,1)="C","Credit","Factuur")</f>
        <v/>
      </c>
      <c r="H5783">
        <f>IF(AND(B5783=B5782,D5783=D5782,A5783=A5782,F5783=F5782),1,0)</f>
        <v/>
      </c>
      <c r="I5783">
        <f>IF(C5783="C99999",1,0)</f>
        <v/>
      </c>
      <c r="J5783" s="5">
        <f>IF(OR(H5783=1,I5783=1),0,IF(G5783="Credit",-F5783,F5783))</f>
        <v/>
      </c>
    </row>
    <row r="5784">
      <c r="A5784" t="inlineStr">
        <is>
          <t>2026-08-27</t>
        </is>
      </c>
      <c r="B5784" t="inlineStr">
        <is>
          <t>F260940</t>
        </is>
      </c>
      <c r="C5784" t="inlineStr">
        <is>
          <t>C10054</t>
        </is>
      </c>
      <c r="D5784" t="inlineStr">
        <is>
          <t>SKU-10235</t>
        </is>
      </c>
      <c r="E5784" t="inlineStr">
        <is>
          <t>AM01</t>
        </is>
      </c>
      <c r="F5784" s="5" t="n">
        <v>70.04000000000001</v>
      </c>
      <c r="G5784">
        <f>IF(LEFT(B5784,1)="C","Credit","Factuur")</f>
        <v/>
      </c>
      <c r="H5784">
        <f>IF(AND(B5784=B5783,D5784=D5783,A5784=A5783,F5784=F5783),1,0)</f>
        <v/>
      </c>
      <c r="I5784">
        <f>IF(C5784="C99999",1,0)</f>
        <v/>
      </c>
      <c r="J5784" s="5">
        <f>IF(OR(H5784=1,I5784=1),0,IF(G5784="Credit",-F5784,F5784))</f>
        <v/>
      </c>
    </row>
    <row r="5785">
      <c r="A5785" t="inlineStr">
        <is>
          <t>2026-08-27</t>
        </is>
      </c>
      <c r="B5785" t="inlineStr">
        <is>
          <t>F260940</t>
        </is>
      </c>
      <c r="C5785" t="inlineStr">
        <is>
          <t>C10054</t>
        </is>
      </c>
      <c r="D5785" t="inlineStr">
        <is>
          <t>SKU-10268</t>
        </is>
      </c>
      <c r="E5785" t="inlineStr">
        <is>
          <t>AM01</t>
        </is>
      </c>
      <c r="F5785" s="5" t="n">
        <v>69.90000000000001</v>
      </c>
      <c r="G5785">
        <f>IF(LEFT(B5785,1)="C","Credit","Factuur")</f>
        <v/>
      </c>
      <c r="H5785">
        <f>IF(AND(B5785=B5784,D5785=D5784,A5785=A5784,F5785=F5784),1,0)</f>
        <v/>
      </c>
      <c r="I5785">
        <f>IF(C5785="C99999",1,0)</f>
        <v/>
      </c>
      <c r="J5785" s="5">
        <f>IF(OR(H5785=1,I5785=1),0,IF(G5785="Credit",-F5785,F5785))</f>
        <v/>
      </c>
    </row>
    <row r="5786">
      <c r="A5786" t="inlineStr">
        <is>
          <t>2026-08-27</t>
        </is>
      </c>
      <c r="B5786" t="inlineStr">
        <is>
          <t>F262439</t>
        </is>
      </c>
      <c r="C5786" t="inlineStr">
        <is>
          <t>C10130</t>
        </is>
      </c>
      <c r="D5786" t="inlineStr">
        <is>
          <t>SKU-10027</t>
        </is>
      </c>
      <c r="E5786" t="inlineStr">
        <is>
          <t>AM01</t>
        </is>
      </c>
      <c r="F5786" s="5" t="n">
        <v>276.7</v>
      </c>
      <c r="G5786">
        <f>IF(LEFT(B5786,1)="C","Credit","Factuur")</f>
        <v/>
      </c>
      <c r="H5786">
        <f>IF(AND(B5786=B5785,D5786=D5785,A5786=A5785,F5786=F5785),1,0)</f>
        <v/>
      </c>
      <c r="I5786">
        <f>IF(C5786="C99999",1,0)</f>
        <v/>
      </c>
      <c r="J5786" s="5">
        <f>IF(OR(H5786=1,I5786=1),0,IF(G5786="Credit",-F5786,F5786))</f>
        <v/>
      </c>
    </row>
    <row r="5787">
      <c r="A5787" t="inlineStr">
        <is>
          <t>2026-08-27</t>
        </is>
      </c>
      <c r="B5787" t="inlineStr">
        <is>
          <t>F262439</t>
        </is>
      </c>
      <c r="C5787" t="inlineStr">
        <is>
          <t>C10130</t>
        </is>
      </c>
      <c r="D5787" t="inlineStr">
        <is>
          <t>SKU-10088</t>
        </is>
      </c>
      <c r="E5787" t="inlineStr">
        <is>
          <t>AM01</t>
        </is>
      </c>
      <c r="F5787" s="5" t="n">
        <v>230.83</v>
      </c>
      <c r="G5787">
        <f>IF(LEFT(B5787,1)="C","Credit","Factuur")</f>
        <v/>
      </c>
      <c r="H5787">
        <f>IF(AND(B5787=B5786,D5787=D5786,A5787=A5786,F5787=F5786),1,0)</f>
        <v/>
      </c>
      <c r="I5787">
        <f>IF(C5787="C99999",1,0)</f>
        <v/>
      </c>
      <c r="J5787" s="5">
        <f>IF(OR(H5787=1,I5787=1),0,IF(G5787="Credit",-F5787,F5787))</f>
        <v/>
      </c>
    </row>
    <row r="5788">
      <c r="A5788" t="inlineStr">
        <is>
          <t>2026-08-27</t>
        </is>
      </c>
      <c r="B5788" t="inlineStr">
        <is>
          <t>F262439</t>
        </is>
      </c>
      <c r="C5788" t="inlineStr">
        <is>
          <t>C10130</t>
        </is>
      </c>
      <c r="D5788" t="inlineStr">
        <is>
          <t>SKU-10106</t>
        </is>
      </c>
      <c r="E5788" t="inlineStr">
        <is>
          <t>AM01</t>
        </is>
      </c>
      <c r="F5788" s="5" t="n">
        <v>294.4</v>
      </c>
      <c r="G5788">
        <f>IF(LEFT(B5788,1)="C","Credit","Factuur")</f>
        <v/>
      </c>
      <c r="H5788">
        <f>IF(AND(B5788=B5787,D5788=D5787,A5788=A5787,F5788=F5787),1,0)</f>
        <v/>
      </c>
      <c r="I5788">
        <f>IF(C5788="C99999",1,0)</f>
        <v/>
      </c>
      <c r="J5788" s="5">
        <f>IF(OR(H5788=1,I5788=1),0,IF(G5788="Credit",-F5788,F5788))</f>
        <v/>
      </c>
    </row>
    <row r="5789">
      <c r="A5789" t="inlineStr">
        <is>
          <t>2026-08-27</t>
        </is>
      </c>
      <c r="B5789" t="inlineStr">
        <is>
          <t>F262922</t>
        </is>
      </c>
      <c r="C5789" t="inlineStr">
        <is>
          <t>C10157</t>
        </is>
      </c>
      <c r="D5789" t="inlineStr">
        <is>
          <t>SKU-10005</t>
        </is>
      </c>
      <c r="E5789" t="inlineStr">
        <is>
          <t>AM07</t>
        </is>
      </c>
      <c r="F5789" s="5" t="n">
        <v>255.64</v>
      </c>
      <c r="G5789">
        <f>IF(LEFT(B5789,1)="C","Credit","Factuur")</f>
        <v/>
      </c>
      <c r="H5789">
        <f>IF(AND(B5789=B5788,D5789=D5788,A5789=A5788,F5789=F5788),1,0)</f>
        <v/>
      </c>
      <c r="I5789">
        <f>IF(C5789="C99999",1,0)</f>
        <v/>
      </c>
      <c r="J5789" s="5">
        <f>IF(OR(H5789=1,I5789=1),0,IF(G5789="Credit",-F5789,F5789))</f>
        <v/>
      </c>
    </row>
    <row r="5790">
      <c r="A5790" t="inlineStr">
        <is>
          <t>2026-08-27</t>
        </is>
      </c>
      <c r="B5790" t="inlineStr">
        <is>
          <t>F262922</t>
        </is>
      </c>
      <c r="C5790" t="inlineStr">
        <is>
          <t>C10157</t>
        </is>
      </c>
      <c r="D5790" t="inlineStr">
        <is>
          <t>SKU-10070</t>
        </is>
      </c>
      <c r="E5790" t="inlineStr">
        <is>
          <t>AM07</t>
        </is>
      </c>
      <c r="F5790" s="5" t="n">
        <v>256.23</v>
      </c>
      <c r="G5790">
        <f>IF(LEFT(B5790,1)="C","Credit","Factuur")</f>
        <v/>
      </c>
      <c r="H5790">
        <f>IF(AND(B5790=B5789,D5790=D5789,A5790=A5789,F5790=F5789),1,0)</f>
        <v/>
      </c>
      <c r="I5790">
        <f>IF(C5790="C99999",1,0)</f>
        <v/>
      </c>
      <c r="J5790" s="5">
        <f>IF(OR(H5790=1,I5790=1),0,IF(G5790="Credit",-F5790,F5790))</f>
        <v/>
      </c>
    </row>
    <row r="5791">
      <c r="A5791" t="inlineStr">
        <is>
          <t>2026-08-27</t>
        </is>
      </c>
      <c r="B5791" t="inlineStr">
        <is>
          <t>F263079</t>
        </is>
      </c>
      <c r="C5791" t="inlineStr">
        <is>
          <t>C10165</t>
        </is>
      </c>
      <c r="D5791" t="inlineStr">
        <is>
          <t>SKU-10106</t>
        </is>
      </c>
      <c r="E5791" t="inlineStr">
        <is>
          <t>AM05</t>
        </is>
      </c>
      <c r="F5791" s="5" t="n">
        <v>439.02</v>
      </c>
      <c r="G5791">
        <f>IF(LEFT(B5791,1)="C","Credit","Factuur")</f>
        <v/>
      </c>
      <c r="H5791">
        <f>IF(AND(B5791=B5790,D5791=D5790,A5791=A5790,F5791=F5790),1,0)</f>
        <v/>
      </c>
      <c r="I5791">
        <f>IF(C5791="C99999",1,0)</f>
        <v/>
      </c>
      <c r="J5791" s="5">
        <f>IF(OR(H5791=1,I5791=1),0,IF(G5791="Credit",-F5791,F5791))</f>
        <v/>
      </c>
    </row>
    <row r="5792">
      <c r="A5792" t="inlineStr">
        <is>
          <t>2026-08-27</t>
        </is>
      </c>
      <c r="B5792" t="inlineStr">
        <is>
          <t>F263401</t>
        </is>
      </c>
      <c r="C5792" t="inlineStr">
        <is>
          <t>C10181</t>
        </is>
      </c>
      <c r="D5792" t="inlineStr">
        <is>
          <t>SKU-10014</t>
        </is>
      </c>
      <c r="E5792" t="inlineStr">
        <is>
          <t>AM02</t>
        </is>
      </c>
      <c r="F5792" s="5" t="n">
        <v>55.04</v>
      </c>
      <c r="G5792">
        <f>IF(LEFT(B5792,1)="C","Credit","Factuur")</f>
        <v/>
      </c>
      <c r="H5792">
        <f>IF(AND(B5792=B5791,D5792=D5791,A5792=A5791,F5792=F5791),1,0)</f>
        <v/>
      </c>
      <c r="I5792">
        <f>IF(C5792="C99999",1,0)</f>
        <v/>
      </c>
      <c r="J5792" s="5">
        <f>IF(OR(H5792=1,I5792=1),0,IF(G5792="Credit",-F5792,F5792))</f>
        <v/>
      </c>
    </row>
    <row r="5793">
      <c r="A5793" t="inlineStr">
        <is>
          <t>2026-08-27</t>
        </is>
      </c>
      <c r="B5793" t="inlineStr">
        <is>
          <t>F263401</t>
        </is>
      </c>
      <c r="C5793" t="inlineStr">
        <is>
          <t>C10181</t>
        </is>
      </c>
      <c r="D5793" t="inlineStr">
        <is>
          <t>SKU-10089</t>
        </is>
      </c>
      <c r="E5793" t="inlineStr">
        <is>
          <t>AM02</t>
        </is>
      </c>
      <c r="F5793" s="5" t="n">
        <v>47.1</v>
      </c>
      <c r="G5793">
        <f>IF(LEFT(B5793,1)="C","Credit","Factuur")</f>
        <v/>
      </c>
      <c r="H5793">
        <f>IF(AND(B5793=B5792,D5793=D5792,A5793=A5792,F5793=F5792),1,0)</f>
        <v/>
      </c>
      <c r="I5793">
        <f>IF(C5793="C99999",1,0)</f>
        <v/>
      </c>
      <c r="J5793" s="5">
        <f>IF(OR(H5793=1,I5793=1),0,IF(G5793="Credit",-F5793,F5793))</f>
        <v/>
      </c>
    </row>
    <row r="5794">
      <c r="A5794" t="inlineStr">
        <is>
          <t>2026-08-27</t>
        </is>
      </c>
      <c r="B5794" t="inlineStr">
        <is>
          <t>F263401</t>
        </is>
      </c>
      <c r="C5794" t="inlineStr">
        <is>
          <t>C10181</t>
        </is>
      </c>
      <c r="D5794" t="inlineStr">
        <is>
          <t>SKU-10273</t>
        </is>
      </c>
      <c r="E5794" t="inlineStr">
        <is>
          <t>AM02</t>
        </is>
      </c>
      <c r="F5794" s="5" t="n">
        <v>64.23999999999999</v>
      </c>
      <c r="G5794">
        <f>IF(LEFT(B5794,1)="C","Credit","Factuur")</f>
        <v/>
      </c>
      <c r="H5794">
        <f>IF(AND(B5794=B5793,D5794=D5793,A5794=A5793,F5794=F5793),1,0)</f>
        <v/>
      </c>
      <c r="I5794">
        <f>IF(C5794="C99999",1,0)</f>
        <v/>
      </c>
      <c r="J5794" s="5">
        <f>IF(OR(H5794=1,I5794=1),0,IF(G5794="Credit",-F5794,F5794))</f>
        <v/>
      </c>
    </row>
    <row r="5795">
      <c r="A5795" t="inlineStr">
        <is>
          <t>2026-08-27</t>
        </is>
      </c>
      <c r="B5795" t="inlineStr">
        <is>
          <t>F265582</t>
        </is>
      </c>
      <c r="C5795" t="inlineStr">
        <is>
          <t>C10294</t>
        </is>
      </c>
      <c r="D5795" t="inlineStr">
        <is>
          <t>SKU-10011</t>
        </is>
      </c>
      <c r="E5795" t="inlineStr">
        <is>
          <t>AM11</t>
        </is>
      </c>
      <c r="F5795" s="5" t="n">
        <v>73.08</v>
      </c>
      <c r="G5795">
        <f>IF(LEFT(B5795,1)="C","Credit","Factuur")</f>
        <v/>
      </c>
      <c r="H5795">
        <f>IF(AND(B5795=B5794,D5795=D5794,A5795=A5794,F5795=F5794),1,0)</f>
        <v/>
      </c>
      <c r="I5795">
        <f>IF(C5795="C99999",1,0)</f>
        <v/>
      </c>
      <c r="J5795" s="5">
        <f>IF(OR(H5795=1,I5795=1),0,IF(G5795="Credit",-F5795,F5795))</f>
        <v/>
      </c>
    </row>
    <row r="5796">
      <c r="A5796" t="inlineStr">
        <is>
          <t>2026-08-27</t>
        </is>
      </c>
      <c r="B5796" t="inlineStr">
        <is>
          <t>F265582</t>
        </is>
      </c>
      <c r="C5796" t="inlineStr">
        <is>
          <t>C10294</t>
        </is>
      </c>
      <c r="D5796" t="inlineStr">
        <is>
          <t>SKU-10019</t>
        </is>
      </c>
      <c r="E5796" t="inlineStr">
        <is>
          <t>AM11</t>
        </is>
      </c>
      <c r="F5796" s="5" t="n">
        <v>83.62</v>
      </c>
      <c r="G5796">
        <f>IF(LEFT(B5796,1)="C","Credit","Factuur")</f>
        <v/>
      </c>
      <c r="H5796">
        <f>IF(AND(B5796=B5795,D5796=D5795,A5796=A5795,F5796=F5795),1,0)</f>
        <v/>
      </c>
      <c r="I5796">
        <f>IF(C5796="C99999",1,0)</f>
        <v/>
      </c>
      <c r="J5796" s="5">
        <f>IF(OR(H5796=1,I5796=1),0,IF(G5796="Credit",-F5796,F5796))</f>
        <v/>
      </c>
    </row>
    <row r="5797">
      <c r="A5797" t="inlineStr">
        <is>
          <t>2026-08-27</t>
        </is>
      </c>
      <c r="B5797" t="inlineStr">
        <is>
          <t>F265582</t>
        </is>
      </c>
      <c r="C5797" t="inlineStr">
        <is>
          <t>C10294</t>
        </is>
      </c>
      <c r="D5797" t="inlineStr">
        <is>
          <t>SKU-10095</t>
        </is>
      </c>
      <c r="E5797" t="inlineStr">
        <is>
          <t>AM11</t>
        </is>
      </c>
      <c r="F5797" s="5" t="n">
        <v>52.61</v>
      </c>
      <c r="G5797">
        <f>IF(LEFT(B5797,1)="C","Credit","Factuur")</f>
        <v/>
      </c>
      <c r="H5797">
        <f>IF(AND(B5797=B5796,D5797=D5796,A5797=A5796,F5797=F5796),1,0)</f>
        <v/>
      </c>
      <c r="I5797">
        <f>IF(C5797="C99999",1,0)</f>
        <v/>
      </c>
      <c r="J5797" s="5">
        <f>IF(OR(H5797=1,I5797=1),0,IF(G5797="Credit",-F5797,F5797))</f>
        <v/>
      </c>
    </row>
    <row r="5798">
      <c r="A5798" t="inlineStr">
        <is>
          <t>2026-08-27</t>
        </is>
      </c>
      <c r="B5798" t="inlineStr">
        <is>
          <t>F265582</t>
        </is>
      </c>
      <c r="C5798" t="inlineStr">
        <is>
          <t>C10294</t>
        </is>
      </c>
      <c r="D5798" t="inlineStr">
        <is>
          <t>SKU-10361</t>
        </is>
      </c>
      <c r="E5798" t="inlineStr">
        <is>
          <t>AM11</t>
        </is>
      </c>
      <c r="F5798" s="5" t="n">
        <v>90.14</v>
      </c>
      <c r="G5798">
        <f>IF(LEFT(B5798,1)="C","Credit","Factuur")</f>
        <v/>
      </c>
      <c r="H5798">
        <f>IF(AND(B5798=B5797,D5798=D5797,A5798=A5797,F5798=F5797),1,0)</f>
        <v/>
      </c>
      <c r="I5798">
        <f>IF(C5798="C99999",1,0)</f>
        <v/>
      </c>
      <c r="J5798" s="5">
        <f>IF(OR(H5798=1,I5798=1),0,IF(G5798="Credit",-F5798,F5798))</f>
        <v/>
      </c>
    </row>
    <row r="5799">
      <c r="A5799" t="inlineStr">
        <is>
          <t>2026-08-27</t>
        </is>
      </c>
      <c r="B5799" t="inlineStr">
        <is>
          <t>F265975</t>
        </is>
      </c>
      <c r="C5799" t="inlineStr">
        <is>
          <t>C10314</t>
        </is>
      </c>
      <c r="D5799" t="inlineStr">
        <is>
          <t>SKU-10058</t>
        </is>
      </c>
      <c r="E5799" t="inlineStr">
        <is>
          <t>AM11</t>
        </is>
      </c>
      <c r="F5799" s="5" t="n">
        <v>115.66</v>
      </c>
      <c r="G5799">
        <f>IF(LEFT(B5799,1)="C","Credit","Factuur")</f>
        <v/>
      </c>
      <c r="H5799">
        <f>IF(AND(B5799=B5798,D5799=D5798,A5799=A5798,F5799=F5798),1,0)</f>
        <v/>
      </c>
      <c r="I5799">
        <f>IF(C5799="C99999",1,0)</f>
        <v/>
      </c>
      <c r="J5799" s="5">
        <f>IF(OR(H5799=1,I5799=1),0,IF(G5799="Credit",-F5799,F5799))</f>
        <v/>
      </c>
    </row>
    <row r="5800">
      <c r="A5800" t="inlineStr">
        <is>
          <t>2026-08-27</t>
        </is>
      </c>
      <c r="B5800" t="inlineStr">
        <is>
          <t>F265975</t>
        </is>
      </c>
      <c r="C5800" t="inlineStr">
        <is>
          <t>C10314</t>
        </is>
      </c>
      <c r="D5800" t="inlineStr">
        <is>
          <t>SKU-10158</t>
        </is>
      </c>
      <c r="E5800" t="inlineStr">
        <is>
          <t>AM11</t>
        </is>
      </c>
      <c r="F5800" s="5" t="n">
        <v>126.7</v>
      </c>
      <c r="G5800">
        <f>IF(LEFT(B5800,1)="C","Credit","Factuur")</f>
        <v/>
      </c>
      <c r="H5800">
        <f>IF(AND(B5800=B5799,D5800=D5799,A5800=A5799,F5800=F5799),1,0)</f>
        <v/>
      </c>
      <c r="I5800">
        <f>IF(C5800="C99999",1,0)</f>
        <v/>
      </c>
      <c r="J5800" s="5">
        <f>IF(OR(H5800=1,I5800=1),0,IF(G5800="Credit",-F5800,F5800))</f>
        <v/>
      </c>
    </row>
    <row r="5801">
      <c r="A5801" t="inlineStr">
        <is>
          <t>2026-08-27</t>
        </is>
      </c>
      <c r="B5801" t="inlineStr">
        <is>
          <t>F268199</t>
        </is>
      </c>
      <c r="C5801" t="inlineStr">
        <is>
          <t>C10429</t>
        </is>
      </c>
      <c r="D5801" t="inlineStr">
        <is>
          <t>SKU-10068</t>
        </is>
      </c>
      <c r="E5801" t="inlineStr">
        <is>
          <t>AM05</t>
        </is>
      </c>
      <c r="F5801" s="5" t="n">
        <v>46.28</v>
      </c>
      <c r="G5801">
        <f>IF(LEFT(B5801,1)="C","Credit","Factuur")</f>
        <v/>
      </c>
      <c r="H5801">
        <f>IF(AND(B5801=B5800,D5801=D5800,A5801=A5800,F5801=F5800),1,0)</f>
        <v/>
      </c>
      <c r="I5801">
        <f>IF(C5801="C99999",1,0)</f>
        <v/>
      </c>
      <c r="J5801" s="5">
        <f>IF(OR(H5801=1,I5801=1),0,IF(G5801="Credit",-F5801,F5801))</f>
        <v/>
      </c>
    </row>
    <row r="5802">
      <c r="A5802" t="inlineStr">
        <is>
          <t>2026-08-27</t>
        </is>
      </c>
      <c r="B5802" t="inlineStr">
        <is>
          <t>F268199</t>
        </is>
      </c>
      <c r="C5802" t="inlineStr">
        <is>
          <t>C10429</t>
        </is>
      </c>
      <c r="D5802" t="inlineStr">
        <is>
          <t>SKU-10085</t>
        </is>
      </c>
      <c r="E5802" t="inlineStr">
        <is>
          <t>AM05</t>
        </is>
      </c>
      <c r="F5802" s="5" t="n">
        <v>47.34</v>
      </c>
      <c r="G5802">
        <f>IF(LEFT(B5802,1)="C","Credit","Factuur")</f>
        <v/>
      </c>
      <c r="H5802">
        <f>IF(AND(B5802=B5801,D5802=D5801,A5802=A5801,F5802=F5801),1,0)</f>
        <v/>
      </c>
      <c r="I5802">
        <f>IF(C5802="C99999",1,0)</f>
        <v/>
      </c>
      <c r="J5802" s="5">
        <f>IF(OR(H5802=1,I5802=1),0,IF(G5802="Credit",-F5802,F5802))</f>
        <v/>
      </c>
    </row>
    <row r="5803">
      <c r="A5803" t="inlineStr">
        <is>
          <t>2026-08-27</t>
        </is>
      </c>
      <c r="B5803" t="inlineStr">
        <is>
          <t>F268199</t>
        </is>
      </c>
      <c r="C5803" t="inlineStr">
        <is>
          <t>C10429</t>
        </is>
      </c>
      <c r="D5803" t="inlineStr">
        <is>
          <t>SKU-10109</t>
        </is>
      </c>
      <c r="E5803" t="inlineStr">
        <is>
          <t>AM05</t>
        </is>
      </c>
      <c r="F5803" s="5" t="n">
        <v>40.76</v>
      </c>
      <c r="G5803">
        <f>IF(LEFT(B5803,1)="C","Credit","Factuur")</f>
        <v/>
      </c>
      <c r="H5803">
        <f>IF(AND(B5803=B5802,D5803=D5802,A5803=A5802,F5803=F5802),1,0)</f>
        <v/>
      </c>
      <c r="I5803">
        <f>IF(C5803="C99999",1,0)</f>
        <v/>
      </c>
      <c r="J5803" s="5">
        <f>IF(OR(H5803=1,I5803=1),0,IF(G5803="Credit",-F5803,F5803))</f>
        <v/>
      </c>
    </row>
    <row r="5804">
      <c r="A5804" t="inlineStr">
        <is>
          <t>2026-08-27</t>
        </is>
      </c>
      <c r="B5804" t="inlineStr">
        <is>
          <t>F268199</t>
        </is>
      </c>
      <c r="C5804" t="inlineStr">
        <is>
          <t>C10429</t>
        </is>
      </c>
      <c r="D5804" t="inlineStr">
        <is>
          <t>SKU-10353</t>
        </is>
      </c>
      <c r="E5804" t="inlineStr">
        <is>
          <t>AM05</t>
        </is>
      </c>
      <c r="F5804" s="5" t="n">
        <v>110.96</v>
      </c>
      <c r="G5804">
        <f>IF(LEFT(B5804,1)="C","Credit","Factuur")</f>
        <v/>
      </c>
      <c r="H5804">
        <f>IF(AND(B5804=B5803,D5804=D5803,A5804=A5803,F5804=F5803),1,0)</f>
        <v/>
      </c>
      <c r="I5804">
        <f>IF(C5804="C99999",1,0)</f>
        <v/>
      </c>
      <c r="J5804" s="5">
        <f>IF(OR(H5804=1,I5804=1),0,IF(G5804="Credit",-F5804,F5804))</f>
        <v/>
      </c>
    </row>
    <row r="5805">
      <c r="A5805" t="inlineStr">
        <is>
          <t>2026-08-27</t>
        </is>
      </c>
      <c r="B5805" t="inlineStr">
        <is>
          <t>F269125</t>
        </is>
      </c>
      <c r="C5805" t="inlineStr">
        <is>
          <t>C10478</t>
        </is>
      </c>
      <c r="D5805" t="inlineStr">
        <is>
          <t>SKU-10094</t>
        </is>
      </c>
      <c r="E5805" t="inlineStr">
        <is>
          <t>AM12</t>
        </is>
      </c>
      <c r="F5805" s="5" t="n">
        <v>962.2</v>
      </c>
      <c r="G5805">
        <f>IF(LEFT(B5805,1)="C","Credit","Factuur")</f>
        <v/>
      </c>
      <c r="H5805">
        <f>IF(AND(B5805=B5804,D5805=D5804,A5805=A5804,F5805=F5804),1,0)</f>
        <v/>
      </c>
      <c r="I5805">
        <f>IF(C5805="C99999",1,0)</f>
        <v/>
      </c>
      <c r="J5805" s="5">
        <f>IF(OR(H5805=1,I5805=1),0,IF(G5805="Credit",-F5805,F5805))</f>
        <v/>
      </c>
    </row>
    <row r="5806">
      <c r="A5806" t="inlineStr">
        <is>
          <t>2026-08-27</t>
        </is>
      </c>
      <c r="B5806" t="inlineStr">
        <is>
          <t>F269125</t>
        </is>
      </c>
      <c r="C5806" t="inlineStr">
        <is>
          <t>C10478</t>
        </is>
      </c>
      <c r="D5806" t="inlineStr">
        <is>
          <t>SKU-10188</t>
        </is>
      </c>
      <c r="E5806" t="inlineStr">
        <is>
          <t>AM12</t>
        </is>
      </c>
      <c r="F5806" s="5" t="n">
        <v>903.71</v>
      </c>
      <c r="G5806">
        <f>IF(LEFT(B5806,1)="C","Credit","Factuur")</f>
        <v/>
      </c>
      <c r="H5806">
        <f>IF(AND(B5806=B5805,D5806=D5805,A5806=A5805,F5806=F5805),1,0)</f>
        <v/>
      </c>
      <c r="I5806">
        <f>IF(C5806="C99999",1,0)</f>
        <v/>
      </c>
      <c r="J5806" s="5">
        <f>IF(OR(H5806=1,I5806=1),0,IF(G5806="Credit",-F5806,F5806))</f>
        <v/>
      </c>
    </row>
    <row r="5807">
      <c r="A5807" t="inlineStr">
        <is>
          <t>2026-08-27</t>
        </is>
      </c>
      <c r="B5807" t="inlineStr">
        <is>
          <t>F269125</t>
        </is>
      </c>
      <c r="C5807" t="inlineStr">
        <is>
          <t>C10478</t>
        </is>
      </c>
      <c r="D5807" t="inlineStr">
        <is>
          <t>SKU-10315</t>
        </is>
      </c>
      <c r="E5807" t="inlineStr">
        <is>
          <t>AM12</t>
        </is>
      </c>
      <c r="F5807" s="5" t="n">
        <v>980.1</v>
      </c>
      <c r="G5807">
        <f>IF(LEFT(B5807,1)="C","Credit","Factuur")</f>
        <v/>
      </c>
      <c r="H5807">
        <f>IF(AND(B5807=B5806,D5807=D5806,A5807=A5806,F5807=F5806),1,0)</f>
        <v/>
      </c>
      <c r="I5807">
        <f>IF(C5807="C99999",1,0)</f>
        <v/>
      </c>
      <c r="J5807" s="5">
        <f>IF(OR(H5807=1,I5807=1),0,IF(G5807="Credit",-F5807,F5807))</f>
        <v/>
      </c>
    </row>
    <row r="5808">
      <c r="A5808" t="inlineStr">
        <is>
          <t>2026-08-27</t>
        </is>
      </c>
      <c r="B5808" t="inlineStr">
        <is>
          <t>F269775</t>
        </is>
      </c>
      <c r="C5808" t="inlineStr">
        <is>
          <t>C10515</t>
        </is>
      </c>
      <c r="D5808" t="inlineStr">
        <is>
          <t>SKU-10032</t>
        </is>
      </c>
      <c r="E5808" t="inlineStr">
        <is>
          <t>AM07</t>
        </is>
      </c>
      <c r="F5808" s="5" t="n">
        <v>311.49</v>
      </c>
      <c r="G5808">
        <f>IF(LEFT(B5808,1)="C","Credit","Factuur")</f>
        <v/>
      </c>
      <c r="H5808">
        <f>IF(AND(B5808=B5807,D5808=D5807,A5808=A5807,F5808=F5807),1,0)</f>
        <v/>
      </c>
      <c r="I5808">
        <f>IF(C5808="C99999",1,0)</f>
        <v/>
      </c>
      <c r="J5808" s="5">
        <f>IF(OR(H5808=1,I5808=1),0,IF(G5808="Credit",-F5808,F5808))</f>
        <v/>
      </c>
    </row>
    <row r="5809">
      <c r="A5809" t="inlineStr">
        <is>
          <t>2026-08-27</t>
        </is>
      </c>
      <c r="B5809" t="inlineStr">
        <is>
          <t>F269775</t>
        </is>
      </c>
      <c r="C5809" t="inlineStr">
        <is>
          <t>C10515</t>
        </is>
      </c>
      <c r="D5809" t="inlineStr">
        <is>
          <t>SKU-10073</t>
        </is>
      </c>
      <c r="E5809" t="inlineStr">
        <is>
          <t>AM07</t>
        </is>
      </c>
      <c r="F5809" s="5" t="n">
        <v>325.13</v>
      </c>
      <c r="G5809">
        <f>IF(LEFT(B5809,1)="C","Credit","Factuur")</f>
        <v/>
      </c>
      <c r="H5809">
        <f>IF(AND(B5809=B5808,D5809=D5808,A5809=A5808,F5809=F5808),1,0)</f>
        <v/>
      </c>
      <c r="I5809">
        <f>IF(C5809="C99999",1,0)</f>
        <v/>
      </c>
      <c r="J5809" s="5">
        <f>IF(OR(H5809=1,I5809=1),0,IF(G5809="Credit",-F5809,F5809))</f>
        <v/>
      </c>
    </row>
    <row r="5810">
      <c r="A5810" t="inlineStr">
        <is>
          <t>2026-08-27</t>
        </is>
      </c>
      <c r="B5810" t="inlineStr">
        <is>
          <t>F269775</t>
        </is>
      </c>
      <c r="C5810" t="inlineStr">
        <is>
          <t>C10515</t>
        </is>
      </c>
      <c r="D5810" t="inlineStr">
        <is>
          <t>SKU-10175</t>
        </is>
      </c>
      <c r="E5810" t="inlineStr">
        <is>
          <t>AM07</t>
        </is>
      </c>
      <c r="F5810" s="5" t="n">
        <v>305.72</v>
      </c>
      <c r="G5810">
        <f>IF(LEFT(B5810,1)="C","Credit","Factuur")</f>
        <v/>
      </c>
      <c r="H5810">
        <f>IF(AND(B5810=B5809,D5810=D5809,A5810=A5809,F5810=F5809),1,0)</f>
        <v/>
      </c>
      <c r="I5810">
        <f>IF(C5810="C99999",1,0)</f>
        <v/>
      </c>
      <c r="J5810" s="5">
        <f>IF(OR(H5810=1,I5810=1),0,IF(G5810="Credit",-F5810,F5810))</f>
        <v/>
      </c>
    </row>
    <row r="5811">
      <c r="A5811" t="inlineStr">
        <is>
          <t>2026-08-27</t>
        </is>
      </c>
      <c r="B5811" t="inlineStr">
        <is>
          <t>F269775</t>
        </is>
      </c>
      <c r="C5811" t="inlineStr">
        <is>
          <t>C10515</t>
        </is>
      </c>
      <c r="D5811" t="inlineStr">
        <is>
          <t>SKU-10329</t>
        </is>
      </c>
      <c r="E5811" t="inlineStr">
        <is>
          <t>AM07</t>
        </is>
      </c>
      <c r="F5811" s="5" t="n">
        <v>331.38</v>
      </c>
      <c r="G5811">
        <f>IF(LEFT(B5811,1)="C","Credit","Factuur")</f>
        <v/>
      </c>
      <c r="H5811">
        <f>IF(AND(B5811=B5810,D5811=D5810,A5811=A5810,F5811=F5810),1,0)</f>
        <v/>
      </c>
      <c r="I5811">
        <f>IF(C5811="C99999",1,0)</f>
        <v/>
      </c>
      <c r="J5811" s="5">
        <f>IF(OR(H5811=1,I5811=1),0,IF(G5811="Credit",-F5811,F5811))</f>
        <v/>
      </c>
    </row>
    <row r="5812">
      <c r="A5812" t="inlineStr">
        <is>
          <t>2026-08-27</t>
        </is>
      </c>
      <c r="B5812" t="inlineStr">
        <is>
          <t>F269775</t>
        </is>
      </c>
      <c r="C5812" t="inlineStr">
        <is>
          <t>C10515</t>
        </is>
      </c>
      <c r="D5812" t="inlineStr">
        <is>
          <t>SKU-10359</t>
        </is>
      </c>
      <c r="E5812" t="inlineStr">
        <is>
          <t>AM07</t>
        </is>
      </c>
      <c r="F5812" s="5" t="n">
        <v>358.17</v>
      </c>
      <c r="G5812">
        <f>IF(LEFT(B5812,1)="C","Credit","Factuur")</f>
        <v/>
      </c>
      <c r="H5812">
        <f>IF(AND(B5812=B5811,D5812=D5811,A5812=A5811,F5812=F5811),1,0)</f>
        <v/>
      </c>
      <c r="I5812">
        <f>IF(C5812="C99999",1,0)</f>
        <v/>
      </c>
      <c r="J5812" s="5">
        <f>IF(OR(H5812=1,I5812=1),0,IF(G5812="Credit",-F5812,F5812))</f>
        <v/>
      </c>
    </row>
    <row r="5813">
      <c r="A5813" t="inlineStr">
        <is>
          <t>2026-08-27</t>
        </is>
      </c>
      <c r="B5813" t="inlineStr">
        <is>
          <t>F269836</t>
        </is>
      </c>
      <c r="C5813" t="inlineStr">
        <is>
          <t>C10519</t>
        </is>
      </c>
      <c r="D5813" t="inlineStr">
        <is>
          <t>SKU-10169</t>
        </is>
      </c>
      <c r="E5813" t="inlineStr">
        <is>
          <t>AM01</t>
        </is>
      </c>
      <c r="F5813" s="5" t="n">
        <v>1543</v>
      </c>
      <c r="G5813">
        <f>IF(LEFT(B5813,1)="C","Credit","Factuur")</f>
        <v/>
      </c>
      <c r="H5813">
        <f>IF(AND(B5813=B5812,D5813=D5812,A5813=A5812,F5813=F5812),1,0)</f>
        <v/>
      </c>
      <c r="I5813">
        <f>IF(C5813="C99999",1,0)</f>
        <v/>
      </c>
      <c r="J5813" s="5">
        <f>IF(OR(H5813=1,I5813=1),0,IF(G5813="Credit",-F5813,F5813))</f>
        <v/>
      </c>
    </row>
    <row r="5814">
      <c r="A5814" t="inlineStr">
        <is>
          <t>2026-08-27</t>
        </is>
      </c>
      <c r="B5814" t="inlineStr">
        <is>
          <t>F269836</t>
        </is>
      </c>
      <c r="C5814" t="inlineStr">
        <is>
          <t>C10519</t>
        </is>
      </c>
      <c r="D5814" t="inlineStr">
        <is>
          <t>SKU-10234</t>
        </is>
      </c>
      <c r="E5814" t="inlineStr"/>
      <c r="F5814" s="5" t="n">
        <v>1373.76</v>
      </c>
      <c r="G5814">
        <f>IF(LEFT(B5814,1)="C","Credit","Factuur")</f>
        <v/>
      </c>
      <c r="H5814">
        <f>IF(AND(B5814=B5813,D5814=D5813,A5814=A5813,F5814=F5813),1,0)</f>
        <v/>
      </c>
      <c r="I5814">
        <f>IF(C5814="C99999",1,0)</f>
        <v/>
      </c>
      <c r="J5814" s="5">
        <f>IF(OR(H5814=1,I5814=1),0,IF(G5814="Credit",-F5814,F5814))</f>
        <v/>
      </c>
    </row>
    <row r="5815">
      <c r="A5815" t="inlineStr">
        <is>
          <t>2026-08-27</t>
        </is>
      </c>
      <c r="B5815" t="inlineStr">
        <is>
          <t>F269836</t>
        </is>
      </c>
      <c r="C5815" t="inlineStr">
        <is>
          <t>C10519</t>
        </is>
      </c>
      <c r="D5815" t="inlineStr">
        <is>
          <t>SKU-10313</t>
        </is>
      </c>
      <c r="E5815" t="inlineStr">
        <is>
          <t>AM01</t>
        </is>
      </c>
      <c r="F5815" s="5" t="n">
        <v>1345.52</v>
      </c>
      <c r="G5815">
        <f>IF(LEFT(B5815,1)="C","Credit","Factuur")</f>
        <v/>
      </c>
      <c r="H5815">
        <f>IF(AND(B5815=B5814,D5815=D5814,A5815=A5814,F5815=F5814),1,0)</f>
        <v/>
      </c>
      <c r="I5815">
        <f>IF(C5815="C99999",1,0)</f>
        <v/>
      </c>
      <c r="J5815" s="5">
        <f>IF(OR(H5815=1,I5815=1),0,IF(G5815="Credit",-F5815,F5815))</f>
        <v/>
      </c>
    </row>
    <row r="5816">
      <c r="A5816" t="inlineStr">
        <is>
          <t>2026-08-27</t>
        </is>
      </c>
      <c r="B5816" t="inlineStr">
        <is>
          <t>F269940</t>
        </is>
      </c>
      <c r="C5816" t="inlineStr">
        <is>
          <t>C10523</t>
        </is>
      </c>
      <c r="D5816" t="inlineStr">
        <is>
          <t>SKU-10005</t>
        </is>
      </c>
      <c r="E5816" t="inlineStr">
        <is>
          <t>AM02</t>
        </is>
      </c>
      <c r="F5816" s="5" t="n">
        <v>448.36</v>
      </c>
      <c r="G5816">
        <f>IF(LEFT(B5816,1)="C","Credit","Factuur")</f>
        <v/>
      </c>
      <c r="H5816">
        <f>IF(AND(B5816=B5815,D5816=D5815,A5816=A5815,F5816=F5815),1,0)</f>
        <v/>
      </c>
      <c r="I5816">
        <f>IF(C5816="C99999",1,0)</f>
        <v/>
      </c>
      <c r="J5816" s="5">
        <f>IF(OR(H5816=1,I5816=1),0,IF(G5816="Credit",-F5816,F5816))</f>
        <v/>
      </c>
    </row>
    <row r="5817">
      <c r="A5817" t="inlineStr">
        <is>
          <t>2026-08-27</t>
        </is>
      </c>
      <c r="B5817" t="inlineStr">
        <is>
          <t>F269940</t>
        </is>
      </c>
      <c r="C5817" t="inlineStr">
        <is>
          <t>C10523</t>
        </is>
      </c>
      <c r="D5817" t="inlineStr">
        <is>
          <t>SKU-10007</t>
        </is>
      </c>
      <c r="E5817" t="inlineStr">
        <is>
          <t>AM02</t>
        </is>
      </c>
      <c r="F5817" s="5" t="n">
        <v>473.1</v>
      </c>
      <c r="G5817">
        <f>IF(LEFT(B5817,1)="C","Credit","Factuur")</f>
        <v/>
      </c>
      <c r="H5817">
        <f>IF(AND(B5817=B5816,D5817=D5816,A5817=A5816,F5817=F5816),1,0)</f>
        <v/>
      </c>
      <c r="I5817">
        <f>IF(C5817="C99999",1,0)</f>
        <v/>
      </c>
      <c r="J5817" s="5">
        <f>IF(OR(H5817=1,I5817=1),0,IF(G5817="Credit",-F5817,F5817))</f>
        <v/>
      </c>
    </row>
    <row r="5818">
      <c r="A5818" t="inlineStr">
        <is>
          <t>2026-08-27</t>
        </is>
      </c>
      <c r="B5818" t="inlineStr">
        <is>
          <t>F269940</t>
        </is>
      </c>
      <c r="C5818" t="inlineStr">
        <is>
          <t>C10523</t>
        </is>
      </c>
      <c r="D5818" t="inlineStr">
        <is>
          <t>SKU-10234</t>
        </is>
      </c>
      <c r="E5818" t="inlineStr">
        <is>
          <t>AM02</t>
        </is>
      </c>
      <c r="F5818" s="5" t="n">
        <v>447.11</v>
      </c>
      <c r="G5818">
        <f>IF(LEFT(B5818,1)="C","Credit","Factuur")</f>
        <v/>
      </c>
      <c r="H5818">
        <f>IF(AND(B5818=B5817,D5818=D5817,A5818=A5817,F5818=F5817),1,0)</f>
        <v/>
      </c>
      <c r="I5818">
        <f>IF(C5818="C99999",1,0)</f>
        <v/>
      </c>
      <c r="J5818" s="5">
        <f>IF(OR(H5818=1,I5818=1),0,IF(G5818="Credit",-F5818,F5818))</f>
        <v/>
      </c>
    </row>
    <row r="5819">
      <c r="A5819" t="inlineStr">
        <is>
          <t>2026-08-27</t>
        </is>
      </c>
      <c r="B5819" t="inlineStr">
        <is>
          <t>F270086</t>
        </is>
      </c>
      <c r="C5819" t="inlineStr">
        <is>
          <t>C10531</t>
        </is>
      </c>
      <c r="D5819" t="inlineStr">
        <is>
          <t>SKU-10016</t>
        </is>
      </c>
      <c r="E5819" t="inlineStr">
        <is>
          <t>AM03</t>
        </is>
      </c>
      <c r="F5819" s="5" t="n">
        <v>710.73</v>
      </c>
      <c r="G5819">
        <f>IF(LEFT(B5819,1)="C","Credit","Factuur")</f>
        <v/>
      </c>
      <c r="H5819">
        <f>IF(AND(B5819=B5818,D5819=D5818,A5819=A5818,F5819=F5818),1,0)</f>
        <v/>
      </c>
      <c r="I5819">
        <f>IF(C5819="C99999",1,0)</f>
        <v/>
      </c>
      <c r="J5819" s="5">
        <f>IF(OR(H5819=1,I5819=1),0,IF(G5819="Credit",-F5819,F5819))</f>
        <v/>
      </c>
    </row>
    <row r="5820">
      <c r="A5820" t="inlineStr">
        <is>
          <t>2026-08-27</t>
        </is>
      </c>
      <c r="B5820" t="inlineStr">
        <is>
          <t>F270086</t>
        </is>
      </c>
      <c r="C5820" t="inlineStr">
        <is>
          <t>C10531</t>
        </is>
      </c>
      <c r="D5820" t="inlineStr">
        <is>
          <t>SKU-10059</t>
        </is>
      </c>
      <c r="E5820" t="inlineStr">
        <is>
          <t>AM03</t>
        </is>
      </c>
      <c r="F5820" s="5" t="n">
        <v>726.41</v>
      </c>
      <c r="G5820">
        <f>IF(LEFT(B5820,1)="C","Credit","Factuur")</f>
        <v/>
      </c>
      <c r="H5820">
        <f>IF(AND(B5820=B5819,D5820=D5819,A5820=A5819,F5820=F5819),1,0)</f>
        <v/>
      </c>
      <c r="I5820">
        <f>IF(C5820="C99999",1,0)</f>
        <v/>
      </c>
      <c r="J5820" s="5">
        <f>IF(OR(H5820=1,I5820=1),0,IF(G5820="Credit",-F5820,F5820))</f>
        <v/>
      </c>
    </row>
    <row r="5821">
      <c r="A5821" t="inlineStr">
        <is>
          <t>2026-08-27</t>
        </is>
      </c>
      <c r="B5821" t="inlineStr">
        <is>
          <t>F270086</t>
        </is>
      </c>
      <c r="C5821" t="inlineStr">
        <is>
          <t>C10531</t>
        </is>
      </c>
      <c r="D5821" t="inlineStr">
        <is>
          <t>SKU-10326</t>
        </is>
      </c>
      <c r="E5821" t="inlineStr">
        <is>
          <t>AM03</t>
        </is>
      </c>
      <c r="F5821" s="5" t="n">
        <v>750.5</v>
      </c>
      <c r="G5821">
        <f>IF(LEFT(B5821,1)="C","Credit","Factuur")</f>
        <v/>
      </c>
      <c r="H5821">
        <f>IF(AND(B5821=B5820,D5821=D5820,A5821=A5820,F5821=F5820),1,0)</f>
        <v/>
      </c>
      <c r="I5821">
        <f>IF(C5821="C99999",1,0)</f>
        <v/>
      </c>
      <c r="J5821" s="5">
        <f>IF(OR(H5821=1,I5821=1),0,IF(G5821="Credit",-F5821,F5821))</f>
        <v/>
      </c>
    </row>
    <row r="5822">
      <c r="A5822" t="inlineStr">
        <is>
          <t>2026-08-27</t>
        </is>
      </c>
      <c r="B5822" t="inlineStr">
        <is>
          <t>F271738</t>
        </is>
      </c>
      <c r="C5822" t="inlineStr">
        <is>
          <t>C10602</t>
        </is>
      </c>
      <c r="D5822" t="inlineStr">
        <is>
          <t>SKU-10090</t>
        </is>
      </c>
      <c r="E5822" t="inlineStr">
        <is>
          <t>AM05</t>
        </is>
      </c>
      <c r="F5822" s="5" t="n">
        <v>2041.6</v>
      </c>
      <c r="G5822">
        <f>IF(LEFT(B5822,1)="C","Credit","Factuur")</f>
        <v/>
      </c>
      <c r="H5822">
        <f>IF(AND(B5822=B5821,D5822=D5821,A5822=A5821,F5822=F5821),1,0)</f>
        <v/>
      </c>
      <c r="I5822">
        <f>IF(C5822="C99999",1,0)</f>
        <v/>
      </c>
      <c r="J5822" s="5">
        <f>IF(OR(H5822=1,I5822=1),0,IF(G5822="Credit",-F5822,F5822))</f>
        <v/>
      </c>
    </row>
    <row r="5823">
      <c r="A5823" t="inlineStr">
        <is>
          <t>2026-08-27</t>
        </is>
      </c>
      <c r="B5823" t="inlineStr">
        <is>
          <t>F272041</t>
        </is>
      </c>
      <c r="C5823" t="inlineStr">
        <is>
          <t>C10621</t>
        </is>
      </c>
      <c r="D5823" t="inlineStr">
        <is>
          <t>SKU-10270</t>
        </is>
      </c>
      <c r="E5823" t="inlineStr">
        <is>
          <t>AM09</t>
        </is>
      </c>
      <c r="F5823" s="5" t="n">
        <v>3227.61</v>
      </c>
      <c r="G5823">
        <f>IF(LEFT(B5823,1)="C","Credit","Factuur")</f>
        <v/>
      </c>
      <c r="H5823">
        <f>IF(AND(B5823=B5822,D5823=D5822,A5823=A5822,F5823=F5822),1,0)</f>
        <v/>
      </c>
      <c r="I5823">
        <f>IF(C5823="C99999",1,0)</f>
        <v/>
      </c>
      <c r="J5823" s="5">
        <f>IF(OR(H5823=1,I5823=1),0,IF(G5823="Credit",-F5823,F5823))</f>
        <v/>
      </c>
    </row>
    <row r="5824">
      <c r="A5824" t="inlineStr">
        <is>
          <t>2026-08-27</t>
        </is>
      </c>
      <c r="B5824" t="inlineStr">
        <is>
          <t>F272041</t>
        </is>
      </c>
      <c r="C5824" t="inlineStr">
        <is>
          <t>C10621</t>
        </is>
      </c>
      <c r="D5824" t="inlineStr">
        <is>
          <t>SKU-10320</t>
        </is>
      </c>
      <c r="E5824" t="inlineStr">
        <is>
          <t>AM09</t>
        </is>
      </c>
      <c r="F5824" s="5" t="n">
        <v>3397.57</v>
      </c>
      <c r="G5824">
        <f>IF(LEFT(B5824,1)="C","Credit","Factuur")</f>
        <v/>
      </c>
      <c r="H5824">
        <f>IF(AND(B5824=B5823,D5824=D5823,A5824=A5823,F5824=F5823),1,0)</f>
        <v/>
      </c>
      <c r="I5824">
        <f>IF(C5824="C99999",1,0)</f>
        <v/>
      </c>
      <c r="J5824" s="5">
        <f>IF(OR(H5824=1,I5824=1),0,IF(G5824="Credit",-F5824,F5824))</f>
        <v/>
      </c>
    </row>
    <row r="5825">
      <c r="A5825" t="inlineStr">
        <is>
          <t>2026-08-27</t>
        </is>
      </c>
      <c r="B5825" t="inlineStr">
        <is>
          <t>F272041</t>
        </is>
      </c>
      <c r="C5825" t="inlineStr">
        <is>
          <t>C10621</t>
        </is>
      </c>
      <c r="D5825" t="inlineStr">
        <is>
          <t>SKU-10340</t>
        </is>
      </c>
      <c r="E5825" t="inlineStr">
        <is>
          <t>AM09</t>
        </is>
      </c>
      <c r="F5825" s="5" t="n">
        <v>3404.16</v>
      </c>
      <c r="G5825">
        <f>IF(LEFT(B5825,1)="C","Credit","Factuur")</f>
        <v/>
      </c>
      <c r="H5825">
        <f>IF(AND(B5825=B5824,D5825=D5824,A5825=A5824,F5825=F5824),1,0)</f>
        <v/>
      </c>
      <c r="I5825">
        <f>IF(C5825="C99999",1,0)</f>
        <v/>
      </c>
      <c r="J5825" s="5">
        <f>IF(OR(H5825=1,I5825=1),0,IF(G5825="Credit",-F5825,F5825))</f>
        <v/>
      </c>
    </row>
    <row r="5826">
      <c r="A5826" t="inlineStr">
        <is>
          <t>2026-08-27</t>
        </is>
      </c>
      <c r="B5826" t="inlineStr">
        <is>
          <t>F274741</t>
        </is>
      </c>
      <c r="C5826" t="inlineStr">
        <is>
          <t>C10779</t>
        </is>
      </c>
      <c r="D5826" t="inlineStr">
        <is>
          <t>SKU-10171</t>
        </is>
      </c>
      <c r="E5826" t="inlineStr">
        <is>
          <t>AM09</t>
        </is>
      </c>
      <c r="F5826" s="5" t="n">
        <v>6147.91</v>
      </c>
      <c r="G5826">
        <f>IF(LEFT(B5826,1)="C","Credit","Factuur")</f>
        <v/>
      </c>
      <c r="H5826">
        <f>IF(AND(B5826=B5825,D5826=D5825,A5826=A5825,F5826=F5825),1,0)</f>
        <v/>
      </c>
      <c r="I5826">
        <f>IF(C5826="C99999",1,0)</f>
        <v/>
      </c>
      <c r="J5826" s="5">
        <f>IF(OR(H5826=1,I5826=1),0,IF(G5826="Credit",-F5826,F5826))</f>
        <v/>
      </c>
    </row>
    <row r="5827">
      <c r="A5827" t="inlineStr">
        <is>
          <t>2026-08-27</t>
        </is>
      </c>
      <c r="B5827" t="inlineStr">
        <is>
          <t>F274741</t>
        </is>
      </c>
      <c r="C5827" t="inlineStr">
        <is>
          <t>C10779</t>
        </is>
      </c>
      <c r="D5827" t="inlineStr">
        <is>
          <t>SKU-10207</t>
        </is>
      </c>
      <c r="E5827" t="inlineStr">
        <is>
          <t>AM09</t>
        </is>
      </c>
      <c r="F5827" s="5" t="n">
        <v>6145.92</v>
      </c>
      <c r="G5827">
        <f>IF(LEFT(B5827,1)="C","Credit","Factuur")</f>
        <v/>
      </c>
      <c r="H5827">
        <f>IF(AND(B5827=B5826,D5827=D5826,A5827=A5826,F5827=F5826),1,0)</f>
        <v/>
      </c>
      <c r="I5827">
        <f>IF(C5827="C99999",1,0)</f>
        <v/>
      </c>
      <c r="J5827" s="5">
        <f>IF(OR(H5827=1,I5827=1),0,IF(G5827="Credit",-F5827,F5827))</f>
        <v/>
      </c>
    </row>
    <row r="5828">
      <c r="A5828" t="inlineStr">
        <is>
          <t>2026-08-27</t>
        </is>
      </c>
      <c r="B5828" t="inlineStr">
        <is>
          <t>F274741</t>
        </is>
      </c>
      <c r="C5828" t="inlineStr">
        <is>
          <t>C10779</t>
        </is>
      </c>
      <c r="D5828" t="inlineStr">
        <is>
          <t>SKU-10252</t>
        </is>
      </c>
      <c r="E5828" t="inlineStr">
        <is>
          <t>AM09</t>
        </is>
      </c>
      <c r="F5828" s="5" t="n">
        <v>5537.97</v>
      </c>
      <c r="G5828">
        <f>IF(LEFT(B5828,1)="C","Credit","Factuur")</f>
        <v/>
      </c>
      <c r="H5828">
        <f>IF(AND(B5828=B5827,D5828=D5827,A5828=A5827,F5828=F5827),1,0)</f>
        <v/>
      </c>
      <c r="I5828">
        <f>IF(C5828="C99999",1,0)</f>
        <v/>
      </c>
      <c r="J5828" s="5">
        <f>IF(OR(H5828=1,I5828=1),0,IF(G5828="Credit",-F5828,F5828))</f>
        <v/>
      </c>
    </row>
    <row r="5829">
      <c r="A5829" t="inlineStr">
        <is>
          <t>2026-08-27</t>
        </is>
      </c>
      <c r="B5829" t="inlineStr">
        <is>
          <t>F274937</t>
        </is>
      </c>
      <c r="C5829" t="inlineStr">
        <is>
          <t>C10788</t>
        </is>
      </c>
      <c r="D5829" t="inlineStr">
        <is>
          <t>SKU-10026</t>
        </is>
      </c>
      <c r="E5829" t="inlineStr">
        <is>
          <t>AM07</t>
        </is>
      </c>
      <c r="F5829" s="5" t="n">
        <v>123.54</v>
      </c>
      <c r="G5829">
        <f>IF(LEFT(B5829,1)="C","Credit","Factuur")</f>
        <v/>
      </c>
      <c r="H5829">
        <f>IF(AND(B5829=B5828,D5829=D5828,A5829=A5828,F5829=F5828),1,0)</f>
        <v/>
      </c>
      <c r="I5829">
        <f>IF(C5829="C99999",1,0)</f>
        <v/>
      </c>
      <c r="J5829" s="5">
        <f>IF(OR(H5829=1,I5829=1),0,IF(G5829="Credit",-F5829,F5829))</f>
        <v/>
      </c>
    </row>
    <row r="5830">
      <c r="A5830" t="inlineStr">
        <is>
          <t>2026-08-27</t>
        </is>
      </c>
      <c r="B5830" t="inlineStr">
        <is>
          <t>F274937</t>
        </is>
      </c>
      <c r="C5830" t="inlineStr">
        <is>
          <t>C10788</t>
        </is>
      </c>
      <c r="D5830" t="inlineStr">
        <is>
          <t>SKU-10033</t>
        </is>
      </c>
      <c r="E5830" t="inlineStr">
        <is>
          <t>AM07</t>
        </is>
      </c>
      <c r="F5830" s="5" t="n">
        <v>118.47</v>
      </c>
      <c r="G5830">
        <f>IF(LEFT(B5830,1)="C","Credit","Factuur")</f>
        <v/>
      </c>
      <c r="H5830">
        <f>IF(AND(B5830=B5829,D5830=D5829,A5830=A5829,F5830=F5829),1,0)</f>
        <v/>
      </c>
      <c r="I5830">
        <f>IF(C5830="C99999",1,0)</f>
        <v/>
      </c>
      <c r="J5830" s="5">
        <f>IF(OR(H5830=1,I5830=1),0,IF(G5830="Credit",-F5830,F5830))</f>
        <v/>
      </c>
    </row>
    <row r="5831">
      <c r="A5831" t="inlineStr">
        <is>
          <t>2026-08-27</t>
        </is>
      </c>
      <c r="B5831" t="inlineStr">
        <is>
          <t>F274937</t>
        </is>
      </c>
      <c r="C5831" t="inlineStr">
        <is>
          <t>C10788</t>
        </is>
      </c>
      <c r="D5831" t="inlineStr">
        <is>
          <t>SKU-10098</t>
        </is>
      </c>
      <c r="E5831" t="inlineStr">
        <is>
          <t>AM07</t>
        </is>
      </c>
      <c r="F5831" s="5" t="n">
        <v>120.03</v>
      </c>
      <c r="G5831">
        <f>IF(LEFT(B5831,1)="C","Credit","Factuur")</f>
        <v/>
      </c>
      <c r="H5831">
        <f>IF(AND(B5831=B5830,D5831=D5830,A5831=A5830,F5831=F5830),1,0)</f>
        <v/>
      </c>
      <c r="I5831">
        <f>IF(C5831="C99999",1,0)</f>
        <v/>
      </c>
      <c r="J5831" s="5">
        <f>IF(OR(H5831=1,I5831=1),0,IF(G5831="Credit",-F5831,F5831))</f>
        <v/>
      </c>
    </row>
    <row r="5832">
      <c r="A5832" t="inlineStr">
        <is>
          <t>2026-08-27</t>
        </is>
      </c>
      <c r="B5832" t="inlineStr">
        <is>
          <t>F274937</t>
        </is>
      </c>
      <c r="C5832" t="inlineStr">
        <is>
          <t>C10788</t>
        </is>
      </c>
      <c r="D5832" t="inlineStr">
        <is>
          <t>SKU-10231</t>
        </is>
      </c>
      <c r="E5832" t="inlineStr">
        <is>
          <t>AM07</t>
        </is>
      </c>
      <c r="F5832" s="5" t="n">
        <v>110.43</v>
      </c>
      <c r="G5832">
        <f>IF(LEFT(B5832,1)="C","Credit","Factuur")</f>
        <v/>
      </c>
      <c r="H5832">
        <f>IF(AND(B5832=B5831,D5832=D5831,A5832=A5831,F5832=F5831),1,0)</f>
        <v/>
      </c>
      <c r="I5832">
        <f>IF(C5832="C99999",1,0)</f>
        <v/>
      </c>
      <c r="J5832" s="5">
        <f>IF(OR(H5832=1,I5832=1),0,IF(G5832="Credit",-F5832,F5832))</f>
        <v/>
      </c>
    </row>
    <row r="5833">
      <c r="A5833" t="inlineStr">
        <is>
          <t>2026-08-27</t>
        </is>
      </c>
      <c r="B5833" t="inlineStr">
        <is>
          <t>F274937</t>
        </is>
      </c>
      <c r="C5833" t="inlineStr">
        <is>
          <t>C10788</t>
        </is>
      </c>
      <c r="D5833" t="inlineStr">
        <is>
          <t>SKU-10269</t>
        </is>
      </c>
      <c r="E5833" t="inlineStr">
        <is>
          <t>AM07</t>
        </is>
      </c>
      <c r="F5833" s="5" t="n">
        <v>109.67</v>
      </c>
      <c r="G5833">
        <f>IF(LEFT(B5833,1)="C","Credit","Factuur")</f>
        <v/>
      </c>
      <c r="H5833">
        <f>IF(AND(B5833=B5832,D5833=D5832,A5833=A5832,F5833=F5832),1,0)</f>
        <v/>
      </c>
      <c r="I5833">
        <f>IF(C5833="C99999",1,0)</f>
        <v/>
      </c>
      <c r="J5833" s="5">
        <f>IF(OR(H5833=1,I5833=1),0,IF(G5833="Credit",-F5833,F5833))</f>
        <v/>
      </c>
    </row>
    <row r="5834">
      <c r="A5834" t="inlineStr">
        <is>
          <t>2026-08-27</t>
        </is>
      </c>
      <c r="B5834" t="inlineStr">
        <is>
          <t>F275415</t>
        </is>
      </c>
      <c r="C5834" t="inlineStr">
        <is>
          <t>C10815</t>
        </is>
      </c>
      <c r="D5834" t="inlineStr">
        <is>
          <t>SKU-10156</t>
        </is>
      </c>
      <c r="E5834" t="inlineStr">
        <is>
          <t>AM02</t>
        </is>
      </c>
      <c r="F5834" s="5" t="n">
        <v>852.72</v>
      </c>
      <c r="G5834">
        <f>IF(LEFT(B5834,1)="C","Credit","Factuur")</f>
        <v/>
      </c>
      <c r="H5834">
        <f>IF(AND(B5834=B5833,D5834=D5833,A5834=A5833,F5834=F5833),1,0)</f>
        <v/>
      </c>
      <c r="I5834">
        <f>IF(C5834="C99999",1,0)</f>
        <v/>
      </c>
      <c r="J5834" s="5">
        <f>IF(OR(H5834=1,I5834=1),0,IF(G5834="Credit",-F5834,F5834))</f>
        <v/>
      </c>
    </row>
    <row r="5835">
      <c r="A5835" t="inlineStr">
        <is>
          <t>2026-08-27</t>
        </is>
      </c>
      <c r="B5835" t="inlineStr">
        <is>
          <t>F275681</t>
        </is>
      </c>
      <c r="C5835" t="inlineStr">
        <is>
          <t>C10830</t>
        </is>
      </c>
      <c r="D5835" t="inlineStr">
        <is>
          <t>SKU-10230</t>
        </is>
      </c>
      <c r="E5835" t="inlineStr">
        <is>
          <t>AM07</t>
        </is>
      </c>
      <c r="F5835" s="5" t="n">
        <v>528.96</v>
      </c>
      <c r="G5835">
        <f>IF(LEFT(B5835,1)="C","Credit","Factuur")</f>
        <v/>
      </c>
      <c r="H5835">
        <f>IF(AND(B5835=B5834,D5835=D5834,A5835=A5834,F5835=F5834),1,0)</f>
        <v/>
      </c>
      <c r="I5835">
        <f>IF(C5835="C99999",1,0)</f>
        <v/>
      </c>
      <c r="J5835" s="5">
        <f>IF(OR(H5835=1,I5835=1),0,IF(G5835="Credit",-F5835,F5835))</f>
        <v/>
      </c>
    </row>
    <row r="5836">
      <c r="A5836" t="inlineStr">
        <is>
          <t>2026-08-27</t>
        </is>
      </c>
      <c r="B5836" t="inlineStr">
        <is>
          <t>F275681</t>
        </is>
      </c>
      <c r="C5836" t="inlineStr">
        <is>
          <t>C10830</t>
        </is>
      </c>
      <c r="D5836" t="inlineStr">
        <is>
          <t>SKU-10271</t>
        </is>
      </c>
      <c r="E5836" t="inlineStr">
        <is>
          <t>AM07</t>
        </is>
      </c>
      <c r="F5836" s="5" t="n">
        <v>536.99</v>
      </c>
      <c r="G5836">
        <f>IF(LEFT(B5836,1)="C","Credit","Factuur")</f>
        <v/>
      </c>
      <c r="H5836">
        <f>IF(AND(B5836=B5835,D5836=D5835,A5836=A5835,F5836=F5835),1,0)</f>
        <v/>
      </c>
      <c r="I5836">
        <f>IF(C5836="C99999",1,0)</f>
        <v/>
      </c>
      <c r="J5836" s="5">
        <f>IF(OR(H5836=1,I5836=1),0,IF(G5836="Credit",-F5836,F5836))</f>
        <v/>
      </c>
    </row>
    <row r="5837">
      <c r="A5837" t="inlineStr">
        <is>
          <t>2026-08-27</t>
        </is>
      </c>
      <c r="B5837" t="inlineStr">
        <is>
          <t>F275980</t>
        </is>
      </c>
      <c r="C5837" t="inlineStr">
        <is>
          <t>C10848</t>
        </is>
      </c>
      <c r="D5837" t="inlineStr">
        <is>
          <t>SKU-10053</t>
        </is>
      </c>
      <c r="E5837" t="inlineStr">
        <is>
          <t>AM02</t>
        </is>
      </c>
      <c r="F5837" s="5" t="n">
        <v>249.38</v>
      </c>
      <c r="G5837">
        <f>IF(LEFT(B5837,1)="C","Credit","Factuur")</f>
        <v/>
      </c>
      <c r="H5837">
        <f>IF(AND(B5837=B5836,D5837=D5836,A5837=A5836,F5837=F5836),1,0)</f>
        <v/>
      </c>
      <c r="I5837">
        <f>IF(C5837="C99999",1,0)</f>
        <v/>
      </c>
      <c r="J5837" s="5">
        <f>IF(OR(H5837=1,I5837=1),0,IF(G5837="Credit",-F5837,F5837))</f>
        <v/>
      </c>
    </row>
    <row r="5838">
      <c r="A5838" t="inlineStr">
        <is>
          <t>2026-08-27</t>
        </is>
      </c>
      <c r="B5838" t="inlineStr">
        <is>
          <t>F275980</t>
        </is>
      </c>
      <c r="C5838" t="inlineStr">
        <is>
          <t>C10848</t>
        </is>
      </c>
      <c r="D5838" t="inlineStr">
        <is>
          <t>SKU-10081</t>
        </is>
      </c>
      <c r="E5838" t="inlineStr">
        <is>
          <t>AM02</t>
        </is>
      </c>
      <c r="F5838" s="5" t="n">
        <v>254.28</v>
      </c>
      <c r="G5838">
        <f>IF(LEFT(B5838,1)="C","Credit","Factuur")</f>
        <v/>
      </c>
      <c r="H5838">
        <f>IF(AND(B5838=B5837,D5838=D5837,A5838=A5837,F5838=F5837),1,0)</f>
        <v/>
      </c>
      <c r="I5838">
        <f>IF(C5838="C99999",1,0)</f>
        <v/>
      </c>
      <c r="J5838" s="5">
        <f>IF(OR(H5838=1,I5838=1),0,IF(G5838="Credit",-F5838,F5838))</f>
        <v/>
      </c>
    </row>
    <row r="5839">
      <c r="A5839" t="inlineStr">
        <is>
          <t>2026-08-27</t>
        </is>
      </c>
      <c r="B5839" t="inlineStr">
        <is>
          <t>F276058</t>
        </is>
      </c>
      <c r="C5839" t="inlineStr">
        <is>
          <t>C10852</t>
        </is>
      </c>
      <c r="D5839" t="inlineStr">
        <is>
          <t>SKU-10142</t>
        </is>
      </c>
      <c r="E5839" t="inlineStr">
        <is>
          <t>IS02</t>
        </is>
      </c>
      <c r="F5839" s="5" t="n">
        <v>217.38</v>
      </c>
      <c r="G5839">
        <f>IF(LEFT(B5839,1)="C","Credit","Factuur")</f>
        <v/>
      </c>
      <c r="H5839">
        <f>IF(AND(B5839=B5838,D5839=D5838,A5839=A5838,F5839=F5838),1,0)</f>
        <v/>
      </c>
      <c r="I5839">
        <f>IF(C5839="C99999",1,0)</f>
        <v/>
      </c>
      <c r="J5839" s="5">
        <f>IF(OR(H5839=1,I5839=1),0,IF(G5839="Credit",-F5839,F5839))</f>
        <v/>
      </c>
    </row>
    <row r="5840">
      <c r="A5840" t="inlineStr">
        <is>
          <t>2026-08-27</t>
        </is>
      </c>
      <c r="B5840" t="inlineStr">
        <is>
          <t>F276058</t>
        </is>
      </c>
      <c r="C5840" t="inlineStr">
        <is>
          <t>C10852</t>
        </is>
      </c>
      <c r="D5840" t="inlineStr">
        <is>
          <t>SKU-10284</t>
        </is>
      </c>
      <c r="E5840" t="inlineStr">
        <is>
          <t>IS02</t>
        </is>
      </c>
      <c r="F5840" s="5" t="n">
        <v>221.39</v>
      </c>
      <c r="G5840">
        <f>IF(LEFT(B5840,1)="C","Credit","Factuur")</f>
        <v/>
      </c>
      <c r="H5840">
        <f>IF(AND(B5840=B5839,D5840=D5839,A5840=A5839,F5840=F5839),1,0)</f>
        <v/>
      </c>
      <c r="I5840">
        <f>IF(C5840="C99999",1,0)</f>
        <v/>
      </c>
      <c r="J5840" s="5">
        <f>IF(OR(H5840=1,I5840=1),0,IF(G5840="Credit",-F5840,F5840))</f>
        <v/>
      </c>
    </row>
    <row r="5841">
      <c r="A5841" t="inlineStr">
        <is>
          <t>2026-08-27</t>
        </is>
      </c>
      <c r="B5841" t="inlineStr">
        <is>
          <t>F276058</t>
        </is>
      </c>
      <c r="C5841" t="inlineStr">
        <is>
          <t>C10852</t>
        </is>
      </c>
      <c r="D5841" t="inlineStr">
        <is>
          <t>SKU-10345</t>
        </is>
      </c>
      <c r="E5841" t="inlineStr">
        <is>
          <t>IS02</t>
        </is>
      </c>
      <c r="F5841" s="5" t="n">
        <v>216.66</v>
      </c>
      <c r="G5841">
        <f>IF(LEFT(B5841,1)="C","Credit","Factuur")</f>
        <v/>
      </c>
      <c r="H5841">
        <f>IF(AND(B5841=B5840,D5841=D5840,A5841=A5840,F5841=F5840),1,0)</f>
        <v/>
      </c>
      <c r="I5841">
        <f>IF(C5841="C99999",1,0)</f>
        <v/>
      </c>
      <c r="J5841" s="5">
        <f>IF(OR(H5841=1,I5841=1),0,IF(G5841="Credit",-F5841,F5841))</f>
        <v/>
      </c>
    </row>
    <row r="5842">
      <c r="A5842" t="inlineStr">
        <is>
          <t>2026-08-27</t>
        </is>
      </c>
      <c r="B5842" t="inlineStr">
        <is>
          <t>F276794</t>
        </is>
      </c>
      <c r="C5842" t="inlineStr">
        <is>
          <t>C10891</t>
        </is>
      </c>
      <c r="D5842" t="inlineStr">
        <is>
          <t>SKU-10190</t>
        </is>
      </c>
      <c r="E5842" t="inlineStr">
        <is>
          <t>AM12</t>
        </is>
      </c>
      <c r="F5842" s="5" t="n">
        <v>262.92</v>
      </c>
      <c r="G5842">
        <f>IF(LEFT(B5842,1)="C","Credit","Factuur")</f>
        <v/>
      </c>
      <c r="H5842">
        <f>IF(AND(B5842=B5841,D5842=D5841,A5842=A5841,F5842=F5841),1,0)</f>
        <v/>
      </c>
      <c r="I5842">
        <f>IF(C5842="C99999",1,0)</f>
        <v/>
      </c>
      <c r="J5842" s="5">
        <f>IF(OR(H5842=1,I5842=1),0,IF(G5842="Credit",-F5842,F5842))</f>
        <v/>
      </c>
    </row>
    <row r="5843">
      <c r="A5843" t="inlineStr">
        <is>
          <t>2026-08-27</t>
        </is>
      </c>
      <c r="B5843" t="inlineStr">
        <is>
          <t>F276794</t>
        </is>
      </c>
      <c r="C5843" t="inlineStr">
        <is>
          <t>C10891</t>
        </is>
      </c>
      <c r="D5843" t="inlineStr">
        <is>
          <t>SKU-10205</t>
        </is>
      </c>
      <c r="E5843" t="inlineStr"/>
      <c r="F5843" s="5" t="n">
        <v>247.86</v>
      </c>
      <c r="G5843">
        <f>IF(LEFT(B5843,1)="C","Credit","Factuur")</f>
        <v/>
      </c>
      <c r="H5843">
        <f>IF(AND(B5843=B5842,D5843=D5842,A5843=A5842,F5843=F5842),1,0)</f>
        <v/>
      </c>
      <c r="I5843">
        <f>IF(C5843="C99999",1,0)</f>
        <v/>
      </c>
      <c r="J5843" s="5">
        <f>IF(OR(H5843=1,I5843=1),0,IF(G5843="Credit",-F5843,F5843))</f>
        <v/>
      </c>
    </row>
    <row r="5844">
      <c r="A5844" t="inlineStr">
        <is>
          <t>2026-08-27</t>
        </is>
      </c>
      <c r="B5844" t="inlineStr">
        <is>
          <t>F276794</t>
        </is>
      </c>
      <c r="C5844" t="inlineStr">
        <is>
          <t>C10891</t>
        </is>
      </c>
      <c r="D5844" t="inlineStr">
        <is>
          <t>SKU-10307</t>
        </is>
      </c>
      <c r="E5844" t="inlineStr">
        <is>
          <t>AM12</t>
        </is>
      </c>
      <c r="F5844" s="5" t="n">
        <v>270.8</v>
      </c>
      <c r="G5844">
        <f>IF(LEFT(B5844,1)="C","Credit","Factuur")</f>
        <v/>
      </c>
      <c r="H5844">
        <f>IF(AND(B5844=B5843,D5844=D5843,A5844=A5843,F5844=F5843),1,0)</f>
        <v/>
      </c>
      <c r="I5844">
        <f>IF(C5844="C99999",1,0)</f>
        <v/>
      </c>
      <c r="J5844" s="5">
        <f>IF(OR(H5844=1,I5844=1),0,IF(G5844="Credit",-F5844,F5844))</f>
        <v/>
      </c>
    </row>
    <row r="5845">
      <c r="A5845" t="inlineStr">
        <is>
          <t>2026-08-27</t>
        </is>
      </c>
      <c r="B5845" t="inlineStr">
        <is>
          <t>F276794</t>
        </is>
      </c>
      <c r="C5845" t="inlineStr">
        <is>
          <t>C10891</t>
        </is>
      </c>
      <c r="D5845" t="inlineStr">
        <is>
          <t>SKU-10337</t>
        </is>
      </c>
      <c r="E5845" t="inlineStr">
        <is>
          <t>AM12</t>
        </is>
      </c>
      <c r="F5845" s="5" t="n">
        <v>241.44</v>
      </c>
      <c r="G5845">
        <f>IF(LEFT(B5845,1)="C","Credit","Factuur")</f>
        <v/>
      </c>
      <c r="H5845">
        <f>IF(AND(B5845=B5844,D5845=D5844,A5845=A5844,F5845=F5844),1,0)</f>
        <v/>
      </c>
      <c r="I5845">
        <f>IF(C5845="C99999",1,0)</f>
        <v/>
      </c>
      <c r="J5845" s="5">
        <f>IF(OR(H5845=1,I5845=1),0,IF(G5845="Credit",-F5845,F5845))</f>
        <v/>
      </c>
    </row>
    <row r="5846">
      <c r="A5846" t="inlineStr">
        <is>
          <t>2026-08-27</t>
        </is>
      </c>
      <c r="B5846" t="inlineStr">
        <is>
          <t>F276920</t>
        </is>
      </c>
      <c r="C5846" t="inlineStr">
        <is>
          <t>C10896</t>
        </is>
      </c>
      <c r="D5846" t="inlineStr">
        <is>
          <t>SKU-10132</t>
        </is>
      </c>
      <c r="E5846" t="inlineStr">
        <is>
          <t>AM01</t>
        </is>
      </c>
      <c r="F5846" s="5" t="n">
        <v>271.95</v>
      </c>
      <c r="G5846">
        <f>IF(LEFT(B5846,1)="C","Credit","Factuur")</f>
        <v/>
      </c>
      <c r="H5846">
        <f>IF(AND(B5846=B5845,D5846=D5845,A5846=A5845,F5846=F5845),1,0)</f>
        <v/>
      </c>
      <c r="I5846">
        <f>IF(C5846="C99999",1,0)</f>
        <v/>
      </c>
      <c r="J5846" s="5">
        <f>IF(OR(H5846=1,I5846=1),0,IF(G5846="Credit",-F5846,F5846))</f>
        <v/>
      </c>
    </row>
    <row r="5847">
      <c r="A5847" t="inlineStr">
        <is>
          <t>2026-08-27</t>
        </is>
      </c>
      <c r="B5847" t="inlineStr">
        <is>
          <t>F276920</t>
        </is>
      </c>
      <c r="C5847" t="inlineStr">
        <is>
          <t>C10896</t>
        </is>
      </c>
      <c r="D5847" t="inlineStr">
        <is>
          <t>SKU-10317</t>
        </is>
      </c>
      <c r="E5847" t="inlineStr">
        <is>
          <t>AM01</t>
        </is>
      </c>
      <c r="F5847" s="5" t="n">
        <v>263.25</v>
      </c>
      <c r="G5847">
        <f>IF(LEFT(B5847,1)="C","Credit","Factuur")</f>
        <v/>
      </c>
      <c r="H5847">
        <f>IF(AND(B5847=B5846,D5847=D5846,A5847=A5846,F5847=F5846),1,0)</f>
        <v/>
      </c>
      <c r="I5847">
        <f>IF(C5847="C99999",1,0)</f>
        <v/>
      </c>
      <c r="J5847" s="5">
        <f>IF(OR(H5847=1,I5847=1),0,IF(G5847="Credit",-F5847,F5847))</f>
        <v/>
      </c>
    </row>
    <row r="5848">
      <c r="A5848" t="inlineStr">
        <is>
          <t>2026-08-27</t>
        </is>
      </c>
      <c r="B5848" t="inlineStr">
        <is>
          <t>F276920</t>
        </is>
      </c>
      <c r="C5848" t="inlineStr">
        <is>
          <t>C10896</t>
        </is>
      </c>
      <c r="D5848" t="inlineStr">
        <is>
          <t>SKU-10319</t>
        </is>
      </c>
      <c r="E5848" t="inlineStr">
        <is>
          <t>AM01</t>
        </is>
      </c>
      <c r="F5848" s="5" t="n">
        <v>260.46</v>
      </c>
      <c r="G5848">
        <f>IF(LEFT(B5848,1)="C","Credit","Factuur")</f>
        <v/>
      </c>
      <c r="H5848">
        <f>IF(AND(B5848=B5847,D5848=D5847,A5848=A5847,F5848=F5847),1,0)</f>
        <v/>
      </c>
      <c r="I5848">
        <f>IF(C5848="C99999",1,0)</f>
        <v/>
      </c>
      <c r="J5848" s="5">
        <f>IF(OR(H5848=1,I5848=1),0,IF(G5848="Credit",-F5848,F5848))</f>
        <v/>
      </c>
    </row>
    <row r="5849">
      <c r="A5849" t="inlineStr">
        <is>
          <t>2026-08-27</t>
        </is>
      </c>
      <c r="B5849" t="inlineStr">
        <is>
          <t>F277453</t>
        </is>
      </c>
      <c r="C5849" t="inlineStr">
        <is>
          <t>C10928</t>
        </is>
      </c>
      <c r="D5849" t="inlineStr">
        <is>
          <t>SKU-10039</t>
        </is>
      </c>
      <c r="E5849" t="inlineStr">
        <is>
          <t>AM12</t>
        </is>
      </c>
      <c r="F5849" s="5" t="n">
        <v>61.62</v>
      </c>
      <c r="G5849">
        <f>IF(LEFT(B5849,1)="C","Credit","Factuur")</f>
        <v/>
      </c>
      <c r="H5849">
        <f>IF(AND(B5849=B5848,D5849=D5848,A5849=A5848,F5849=F5848),1,0)</f>
        <v/>
      </c>
      <c r="I5849">
        <f>IF(C5849="C99999",1,0)</f>
        <v/>
      </c>
      <c r="J5849" s="5">
        <f>IF(OR(H5849=1,I5849=1),0,IF(G5849="Credit",-F5849,F5849))</f>
        <v/>
      </c>
    </row>
    <row r="5850">
      <c r="A5850" t="inlineStr">
        <is>
          <t>2026-08-27</t>
        </is>
      </c>
      <c r="B5850" t="inlineStr">
        <is>
          <t>F277453</t>
        </is>
      </c>
      <c r="C5850" t="inlineStr">
        <is>
          <t>C10928</t>
        </is>
      </c>
      <c r="D5850" t="inlineStr">
        <is>
          <t>SKU-10131</t>
        </is>
      </c>
      <c r="E5850" t="inlineStr">
        <is>
          <t>AM12</t>
        </is>
      </c>
      <c r="F5850" s="5" t="n">
        <v>110.72</v>
      </c>
      <c r="G5850">
        <f>IF(LEFT(B5850,1)="C","Credit","Factuur")</f>
        <v/>
      </c>
      <c r="H5850">
        <f>IF(AND(B5850=B5849,D5850=D5849,A5850=A5849,F5850=F5849),1,0)</f>
        <v/>
      </c>
      <c r="I5850">
        <f>IF(C5850="C99999",1,0)</f>
        <v/>
      </c>
      <c r="J5850" s="5">
        <f>IF(OR(H5850=1,I5850=1),0,IF(G5850="Credit",-F5850,F5850))</f>
        <v/>
      </c>
    </row>
    <row r="5851">
      <c r="A5851" t="inlineStr">
        <is>
          <t>2026-08-27</t>
        </is>
      </c>
      <c r="B5851" t="inlineStr">
        <is>
          <t>F277453</t>
        </is>
      </c>
      <c r="C5851" t="inlineStr">
        <is>
          <t>C10928</t>
        </is>
      </c>
      <c r="D5851" t="inlineStr">
        <is>
          <t>SKU-10217</t>
        </is>
      </c>
      <c r="E5851" t="inlineStr">
        <is>
          <t>AM12</t>
        </is>
      </c>
      <c r="F5851" s="5" t="n">
        <v>67.95</v>
      </c>
      <c r="G5851">
        <f>IF(LEFT(B5851,1)="C","Credit","Factuur")</f>
        <v/>
      </c>
      <c r="H5851">
        <f>IF(AND(B5851=B5850,D5851=D5850,A5851=A5850,F5851=F5850),1,0)</f>
        <v/>
      </c>
      <c r="I5851">
        <f>IF(C5851="C99999",1,0)</f>
        <v/>
      </c>
      <c r="J5851" s="5">
        <f>IF(OR(H5851=1,I5851=1),0,IF(G5851="Credit",-F5851,F5851))</f>
        <v/>
      </c>
    </row>
    <row r="5852">
      <c r="A5852" t="inlineStr">
        <is>
          <t>2026-08-27</t>
        </is>
      </c>
      <c r="B5852" t="inlineStr">
        <is>
          <t>F277453</t>
        </is>
      </c>
      <c r="C5852" t="inlineStr">
        <is>
          <t>C10928</t>
        </is>
      </c>
      <c r="D5852" t="inlineStr">
        <is>
          <t>SKU-10271</t>
        </is>
      </c>
      <c r="E5852" t="inlineStr">
        <is>
          <t>AM12</t>
        </is>
      </c>
      <c r="F5852" s="5" t="n">
        <v>66.5</v>
      </c>
      <c r="G5852">
        <f>IF(LEFT(B5852,1)="C","Credit","Factuur")</f>
        <v/>
      </c>
      <c r="H5852">
        <f>IF(AND(B5852=B5851,D5852=D5851,A5852=A5851,F5852=F5851),1,0)</f>
        <v/>
      </c>
      <c r="I5852">
        <f>IF(C5852="C99999",1,0)</f>
        <v/>
      </c>
      <c r="J5852" s="5">
        <f>IF(OR(H5852=1,I5852=1),0,IF(G5852="Credit",-F5852,F5852))</f>
        <v/>
      </c>
    </row>
    <row r="5853">
      <c r="A5853" t="inlineStr">
        <is>
          <t>2026-08-27</t>
        </is>
      </c>
      <c r="B5853" t="inlineStr">
        <is>
          <t>F278183</t>
        </is>
      </c>
      <c r="C5853" t="inlineStr">
        <is>
          <t>C10965</t>
        </is>
      </c>
      <c r="D5853" t="inlineStr">
        <is>
          <t>SKU-10294</t>
        </is>
      </c>
      <c r="E5853" t="inlineStr">
        <is>
          <t>AM01</t>
        </is>
      </c>
      <c r="F5853" s="5" t="n">
        <v>110.61</v>
      </c>
      <c r="G5853">
        <f>IF(LEFT(B5853,1)="C","Credit","Factuur")</f>
        <v/>
      </c>
      <c r="H5853">
        <f>IF(AND(B5853=B5852,D5853=D5852,A5853=A5852,F5853=F5852),1,0)</f>
        <v/>
      </c>
      <c r="I5853">
        <f>IF(C5853="C99999",1,0)</f>
        <v/>
      </c>
      <c r="J5853" s="5">
        <f>IF(OR(H5853=1,I5853=1),0,IF(G5853="Credit",-F5853,F5853))</f>
        <v/>
      </c>
    </row>
    <row r="5854">
      <c r="A5854" t="inlineStr">
        <is>
          <t>2026-08-27</t>
        </is>
      </c>
      <c r="B5854" t="inlineStr">
        <is>
          <t>F278183</t>
        </is>
      </c>
      <c r="C5854" t="inlineStr">
        <is>
          <t>C10965</t>
        </is>
      </c>
      <c r="D5854" t="inlineStr">
        <is>
          <t>SKU-10300</t>
        </is>
      </c>
      <c r="E5854" t="inlineStr">
        <is>
          <t>AM01</t>
        </is>
      </c>
      <c r="F5854" s="5" t="n">
        <v>87.31999999999999</v>
      </c>
      <c r="G5854">
        <f>IF(LEFT(B5854,1)="C","Credit","Factuur")</f>
        <v/>
      </c>
      <c r="H5854">
        <f>IF(AND(B5854=B5853,D5854=D5853,A5854=A5853,F5854=F5853),1,0)</f>
        <v/>
      </c>
      <c r="I5854">
        <f>IF(C5854="C99999",1,0)</f>
        <v/>
      </c>
      <c r="J5854" s="5">
        <f>IF(OR(H5854=1,I5854=1),0,IF(G5854="Credit",-F5854,F5854))</f>
        <v/>
      </c>
    </row>
    <row r="5855">
      <c r="A5855" t="inlineStr">
        <is>
          <t>2026-08-27</t>
        </is>
      </c>
      <c r="B5855" t="inlineStr">
        <is>
          <t>F278183</t>
        </is>
      </c>
      <c r="C5855" t="inlineStr">
        <is>
          <t>C10965</t>
        </is>
      </c>
      <c r="D5855" t="inlineStr">
        <is>
          <t>SKU-10329</t>
        </is>
      </c>
      <c r="E5855" t="inlineStr">
        <is>
          <t>AM01</t>
        </is>
      </c>
      <c r="F5855" s="5" t="n">
        <v>110.46</v>
      </c>
      <c r="G5855">
        <f>IF(LEFT(B5855,1)="C","Credit","Factuur")</f>
        <v/>
      </c>
      <c r="H5855">
        <f>IF(AND(B5855=B5854,D5855=D5854,A5855=A5854,F5855=F5854),1,0)</f>
        <v/>
      </c>
      <c r="I5855">
        <f>IF(C5855="C99999",1,0)</f>
        <v/>
      </c>
      <c r="J5855" s="5">
        <f>IF(OR(H5855=1,I5855=1),0,IF(G5855="Credit",-F5855,F5855))</f>
        <v/>
      </c>
    </row>
    <row r="5856">
      <c r="A5856" t="inlineStr">
        <is>
          <t>2026-08-27</t>
        </is>
      </c>
      <c r="B5856" t="inlineStr">
        <is>
          <t>F278186</t>
        </is>
      </c>
      <c r="C5856" t="inlineStr">
        <is>
          <t>C10965</t>
        </is>
      </c>
      <c r="D5856" t="inlineStr">
        <is>
          <t>SKU-10188</t>
        </is>
      </c>
      <c r="E5856" t="inlineStr">
        <is>
          <t>AM01</t>
        </is>
      </c>
      <c r="F5856" s="5" t="n">
        <v>102.84</v>
      </c>
      <c r="G5856">
        <f>IF(LEFT(B5856,1)="C","Credit","Factuur")</f>
        <v/>
      </c>
      <c r="H5856">
        <f>IF(AND(B5856=B5855,D5856=D5855,A5856=A5855,F5856=F5855),1,0)</f>
        <v/>
      </c>
      <c r="I5856">
        <f>IF(C5856="C99999",1,0)</f>
        <v/>
      </c>
      <c r="J5856" s="5">
        <f>IF(OR(H5856=1,I5856=1),0,IF(G5856="Credit",-F5856,F5856))</f>
        <v/>
      </c>
    </row>
    <row r="5857">
      <c r="A5857" t="inlineStr">
        <is>
          <t>2026-08-27</t>
        </is>
      </c>
      <c r="B5857" t="inlineStr">
        <is>
          <t>F278186</t>
        </is>
      </c>
      <c r="C5857" t="inlineStr">
        <is>
          <t>C10965</t>
        </is>
      </c>
      <c r="D5857" t="inlineStr">
        <is>
          <t>SKU-10301</t>
        </is>
      </c>
      <c r="E5857" t="inlineStr">
        <is>
          <t>AM01</t>
        </is>
      </c>
      <c r="F5857" s="5" t="n">
        <v>109.82</v>
      </c>
      <c r="G5857">
        <f>IF(LEFT(B5857,1)="C","Credit","Factuur")</f>
        <v/>
      </c>
      <c r="H5857">
        <f>IF(AND(B5857=B5856,D5857=D5856,A5857=A5856,F5857=F5856),1,0)</f>
        <v/>
      </c>
      <c r="I5857">
        <f>IF(C5857="C99999",1,0)</f>
        <v/>
      </c>
      <c r="J5857" s="5">
        <f>IF(OR(H5857=1,I5857=1),0,IF(G5857="Credit",-F5857,F5857))</f>
        <v/>
      </c>
    </row>
    <row r="5858">
      <c r="A5858" t="inlineStr">
        <is>
          <t>2026-08-27</t>
        </is>
      </c>
      <c r="B5858" t="inlineStr">
        <is>
          <t>F278186</t>
        </is>
      </c>
      <c r="C5858" t="inlineStr">
        <is>
          <t>C10965</t>
        </is>
      </c>
      <c r="D5858" t="inlineStr">
        <is>
          <t>SKU-10316</t>
        </is>
      </c>
      <c r="E5858" t="inlineStr">
        <is>
          <t>AM01</t>
        </is>
      </c>
      <c r="F5858" s="5" t="n">
        <v>114.76</v>
      </c>
      <c r="G5858">
        <f>IF(LEFT(B5858,1)="C","Credit","Factuur")</f>
        <v/>
      </c>
      <c r="H5858">
        <f>IF(AND(B5858=B5857,D5858=D5857,A5858=A5857,F5858=F5857),1,0)</f>
        <v/>
      </c>
      <c r="I5858">
        <f>IF(C5858="C99999",1,0)</f>
        <v/>
      </c>
      <c r="J5858" s="5">
        <f>IF(OR(H5858=1,I5858=1),0,IF(G5858="Credit",-F5858,F5858))</f>
        <v/>
      </c>
    </row>
    <row r="5859">
      <c r="A5859" t="inlineStr">
        <is>
          <t>2026-08-27</t>
        </is>
      </c>
      <c r="B5859" t="inlineStr">
        <is>
          <t>F278975</t>
        </is>
      </c>
      <c r="C5859" t="inlineStr">
        <is>
          <t>C11005</t>
        </is>
      </c>
      <c r="D5859" t="inlineStr">
        <is>
          <t>SKU-10299</t>
        </is>
      </c>
      <c r="E5859" t="inlineStr">
        <is>
          <t>AM03</t>
        </is>
      </c>
      <c r="F5859" s="5" t="n">
        <v>1053.92</v>
      </c>
      <c r="G5859">
        <f>IF(LEFT(B5859,1)="C","Credit","Factuur")</f>
        <v/>
      </c>
      <c r="H5859">
        <f>IF(AND(B5859=B5858,D5859=D5858,A5859=A5858,F5859=F5858),1,0)</f>
        <v/>
      </c>
      <c r="I5859">
        <f>IF(C5859="C99999",1,0)</f>
        <v/>
      </c>
      <c r="J5859" s="5">
        <f>IF(OR(H5859=1,I5859=1),0,IF(G5859="Credit",-F5859,F5859))</f>
        <v/>
      </c>
    </row>
    <row r="5860">
      <c r="A5860" t="inlineStr">
        <is>
          <t>2026-08-27</t>
        </is>
      </c>
      <c r="B5860" t="inlineStr">
        <is>
          <t>F279086</t>
        </is>
      </c>
      <c r="C5860" t="inlineStr">
        <is>
          <t>C11010</t>
        </is>
      </c>
      <c r="D5860" t="inlineStr">
        <is>
          <t>SKU-10232</t>
        </is>
      </c>
      <c r="E5860" t="inlineStr">
        <is>
          <t>AM07</t>
        </is>
      </c>
      <c r="F5860" s="5" t="n">
        <v>640.3200000000001</v>
      </c>
      <c r="G5860">
        <f>IF(LEFT(B5860,1)="C","Credit","Factuur")</f>
        <v/>
      </c>
      <c r="H5860">
        <f>IF(AND(B5860=B5859,D5860=D5859,A5860=A5859,F5860=F5859),1,0)</f>
        <v/>
      </c>
      <c r="I5860">
        <f>IF(C5860="C99999",1,0)</f>
        <v/>
      </c>
      <c r="J5860" s="5">
        <f>IF(OR(H5860=1,I5860=1),0,IF(G5860="Credit",-F5860,F5860))</f>
        <v/>
      </c>
    </row>
    <row r="5861">
      <c r="A5861" t="inlineStr">
        <is>
          <t>2026-08-27</t>
        </is>
      </c>
      <c r="B5861" t="inlineStr">
        <is>
          <t>F279086</t>
        </is>
      </c>
      <c r="C5861" t="inlineStr">
        <is>
          <t>C11010</t>
        </is>
      </c>
      <c r="D5861" t="inlineStr">
        <is>
          <t>SKU-10264</t>
        </is>
      </c>
      <c r="E5861" t="inlineStr">
        <is>
          <t>AM07</t>
        </is>
      </c>
      <c r="F5861" s="5" t="n">
        <v>538.9299999999999</v>
      </c>
      <c r="G5861">
        <f>IF(LEFT(B5861,1)="C","Credit","Factuur")</f>
        <v/>
      </c>
      <c r="H5861">
        <f>IF(AND(B5861=B5860,D5861=D5860,A5861=A5860,F5861=F5860),1,0)</f>
        <v/>
      </c>
      <c r="I5861">
        <f>IF(C5861="C99999",1,0)</f>
        <v/>
      </c>
      <c r="J5861" s="5">
        <f>IF(OR(H5861=1,I5861=1),0,IF(G5861="Credit",-F5861,F5861))</f>
        <v/>
      </c>
    </row>
    <row r="5862">
      <c r="A5862" t="inlineStr">
        <is>
          <t>2026-08-27</t>
        </is>
      </c>
      <c r="B5862" t="inlineStr">
        <is>
          <t>F279457</t>
        </is>
      </c>
      <c r="C5862" t="inlineStr">
        <is>
          <t>C11032</t>
        </is>
      </c>
      <c r="D5862" t="inlineStr">
        <is>
          <t>SKU-10035</t>
        </is>
      </c>
      <c r="E5862" t="inlineStr">
        <is>
          <t>AM11</t>
        </is>
      </c>
      <c r="F5862" s="5" t="n">
        <v>366.5</v>
      </c>
      <c r="G5862">
        <f>IF(LEFT(B5862,1)="C","Credit","Factuur")</f>
        <v/>
      </c>
      <c r="H5862">
        <f>IF(AND(B5862=B5861,D5862=D5861,A5862=A5861,F5862=F5861),1,0)</f>
        <v/>
      </c>
      <c r="I5862">
        <f>IF(C5862="C99999",1,0)</f>
        <v/>
      </c>
      <c r="J5862" s="5">
        <f>IF(OR(H5862=1,I5862=1),0,IF(G5862="Credit",-F5862,F5862))</f>
        <v/>
      </c>
    </row>
    <row r="5863">
      <c r="A5863" t="inlineStr">
        <is>
          <t>2026-08-27</t>
        </is>
      </c>
      <c r="B5863" t="inlineStr">
        <is>
          <t>F279457</t>
        </is>
      </c>
      <c r="C5863" t="inlineStr">
        <is>
          <t>C11032</t>
        </is>
      </c>
      <c r="D5863" t="inlineStr">
        <is>
          <t>SKU-10092</t>
        </is>
      </c>
      <c r="E5863" t="inlineStr">
        <is>
          <t>AM11</t>
        </is>
      </c>
      <c r="F5863" s="5" t="n">
        <v>343.1</v>
      </c>
      <c r="G5863">
        <f>IF(LEFT(B5863,1)="C","Credit","Factuur")</f>
        <v/>
      </c>
      <c r="H5863">
        <f>IF(AND(B5863=B5862,D5863=D5862,A5863=A5862,F5863=F5862),1,0)</f>
        <v/>
      </c>
      <c r="I5863">
        <f>IF(C5863="C99999",1,0)</f>
        <v/>
      </c>
      <c r="J5863" s="5">
        <f>IF(OR(H5863=1,I5863=1),0,IF(G5863="Credit",-F5863,F5863))</f>
        <v/>
      </c>
    </row>
    <row r="5864">
      <c r="A5864" t="inlineStr">
        <is>
          <t>2026-08-27</t>
        </is>
      </c>
      <c r="B5864" t="inlineStr">
        <is>
          <t>F279457</t>
        </is>
      </c>
      <c r="C5864" t="inlineStr">
        <is>
          <t>C11032</t>
        </is>
      </c>
      <c r="D5864" t="inlineStr">
        <is>
          <t>SKU-10245</t>
        </is>
      </c>
      <c r="E5864" t="inlineStr">
        <is>
          <t>AM11</t>
        </is>
      </c>
      <c r="F5864" s="5" t="n">
        <v>349.6</v>
      </c>
      <c r="G5864">
        <f>IF(LEFT(B5864,1)="C","Credit","Factuur")</f>
        <v/>
      </c>
      <c r="H5864">
        <f>IF(AND(B5864=B5863,D5864=D5863,A5864=A5863,F5864=F5863),1,0)</f>
        <v/>
      </c>
      <c r="I5864">
        <f>IF(C5864="C99999",1,0)</f>
        <v/>
      </c>
      <c r="J5864" s="5">
        <f>IF(OR(H5864=1,I5864=1),0,IF(G5864="Credit",-F5864,F5864))</f>
        <v/>
      </c>
    </row>
    <row r="5865">
      <c r="A5865" t="inlineStr">
        <is>
          <t>2026-08-27</t>
        </is>
      </c>
      <c r="B5865" t="inlineStr">
        <is>
          <t>F280751</t>
        </is>
      </c>
      <c r="C5865" t="inlineStr">
        <is>
          <t>C11094</t>
        </is>
      </c>
      <c r="D5865" t="inlineStr">
        <is>
          <t>SKU-10225</t>
        </is>
      </c>
      <c r="E5865" t="inlineStr">
        <is>
          <t>AM12</t>
        </is>
      </c>
      <c r="F5865" s="5" t="n">
        <v>478.71</v>
      </c>
      <c r="G5865">
        <f>IF(LEFT(B5865,1)="C","Credit","Factuur")</f>
        <v/>
      </c>
      <c r="H5865">
        <f>IF(AND(B5865=B5864,D5865=D5864,A5865=A5864,F5865=F5864),1,0)</f>
        <v/>
      </c>
      <c r="I5865">
        <f>IF(C5865="C99999",1,0)</f>
        <v/>
      </c>
      <c r="J5865" s="5">
        <f>IF(OR(H5865=1,I5865=1),0,IF(G5865="Credit",-F5865,F5865))</f>
        <v/>
      </c>
    </row>
    <row r="5866">
      <c r="A5866" t="inlineStr">
        <is>
          <t>2026-08-27</t>
        </is>
      </c>
      <c r="B5866" t="inlineStr">
        <is>
          <t>F280751</t>
        </is>
      </c>
      <c r="C5866" t="inlineStr">
        <is>
          <t>C11094</t>
        </is>
      </c>
      <c r="D5866" t="inlineStr">
        <is>
          <t>SKU-10229</t>
        </is>
      </c>
      <c r="E5866" t="inlineStr">
        <is>
          <t>AM12</t>
        </is>
      </c>
      <c r="F5866" s="5" t="n">
        <v>474.12</v>
      </c>
      <c r="G5866">
        <f>IF(LEFT(B5866,1)="C","Credit","Factuur")</f>
        <v/>
      </c>
      <c r="H5866">
        <f>IF(AND(B5866=B5865,D5866=D5865,A5866=A5865,F5866=F5865),1,0)</f>
        <v/>
      </c>
      <c r="I5866">
        <f>IF(C5866="C99999",1,0)</f>
        <v/>
      </c>
      <c r="J5866" s="5">
        <f>IF(OR(H5866=1,I5866=1),0,IF(G5866="Credit",-F5866,F5866))</f>
        <v/>
      </c>
    </row>
    <row r="5867">
      <c r="A5867" t="inlineStr">
        <is>
          <t>2026-08-27</t>
        </is>
      </c>
      <c r="B5867" t="inlineStr">
        <is>
          <t>F280751</t>
        </is>
      </c>
      <c r="C5867" t="inlineStr">
        <is>
          <t>C11094</t>
        </is>
      </c>
      <c r="D5867" t="inlineStr">
        <is>
          <t>SKU-10239</t>
        </is>
      </c>
      <c r="E5867" t="inlineStr">
        <is>
          <t>AM12</t>
        </is>
      </c>
      <c r="F5867" s="5" t="n">
        <v>496.47</v>
      </c>
      <c r="G5867">
        <f>IF(LEFT(B5867,1)="C","Credit","Factuur")</f>
        <v/>
      </c>
      <c r="H5867">
        <f>IF(AND(B5867=B5866,D5867=D5866,A5867=A5866,F5867=F5866),1,0)</f>
        <v/>
      </c>
      <c r="I5867">
        <f>IF(C5867="C99999",1,0)</f>
        <v/>
      </c>
      <c r="J5867" s="5">
        <f>IF(OR(H5867=1,I5867=1),0,IF(G5867="Credit",-F5867,F5867))</f>
        <v/>
      </c>
    </row>
    <row r="5868">
      <c r="A5868" t="inlineStr">
        <is>
          <t>2026-08-27</t>
        </is>
      </c>
      <c r="B5868" t="inlineStr">
        <is>
          <t>F280959</t>
        </is>
      </c>
      <c r="C5868" t="inlineStr">
        <is>
          <t>C11105</t>
        </is>
      </c>
      <c r="D5868" t="inlineStr">
        <is>
          <t>SKU-10010</t>
        </is>
      </c>
      <c r="E5868" t="inlineStr">
        <is>
          <t>AM12</t>
        </is>
      </c>
      <c r="F5868" s="5" t="n">
        <v>461.05</v>
      </c>
      <c r="G5868">
        <f>IF(LEFT(B5868,1)="C","Credit","Factuur")</f>
        <v/>
      </c>
      <c r="H5868">
        <f>IF(AND(B5868=B5867,D5868=D5867,A5868=A5867,F5868=F5867),1,0)</f>
        <v/>
      </c>
      <c r="I5868">
        <f>IF(C5868="C99999",1,0)</f>
        <v/>
      </c>
      <c r="J5868" s="5">
        <f>IF(OR(H5868=1,I5868=1),0,IF(G5868="Credit",-F5868,F5868))</f>
        <v/>
      </c>
    </row>
    <row r="5869">
      <c r="A5869" t="inlineStr">
        <is>
          <t>2026-08-27</t>
        </is>
      </c>
      <c r="B5869" t="inlineStr">
        <is>
          <t>F282073</t>
        </is>
      </c>
      <c r="C5869" t="inlineStr">
        <is>
          <t>C11159</t>
        </is>
      </c>
      <c r="D5869" t="inlineStr">
        <is>
          <t>SKU-10157</t>
        </is>
      </c>
      <c r="E5869" t="inlineStr">
        <is>
          <t>AM05</t>
        </is>
      </c>
      <c r="F5869" s="5" t="n">
        <v>93.54000000000001</v>
      </c>
      <c r="G5869">
        <f>IF(LEFT(B5869,1)="C","Credit","Factuur")</f>
        <v/>
      </c>
      <c r="H5869">
        <f>IF(AND(B5869=B5868,D5869=D5868,A5869=A5868,F5869=F5868),1,0)</f>
        <v/>
      </c>
      <c r="I5869">
        <f>IF(C5869="C99999",1,0)</f>
        <v/>
      </c>
      <c r="J5869" s="5">
        <f>IF(OR(H5869=1,I5869=1),0,IF(G5869="Credit",-F5869,F5869))</f>
        <v/>
      </c>
    </row>
    <row r="5870">
      <c r="A5870" t="inlineStr">
        <is>
          <t>2026-08-27</t>
        </is>
      </c>
      <c r="B5870" t="inlineStr">
        <is>
          <t>F282073</t>
        </is>
      </c>
      <c r="C5870" t="inlineStr">
        <is>
          <t>C11159</t>
        </is>
      </c>
      <c r="D5870" t="inlineStr">
        <is>
          <t>SKU-10199</t>
        </is>
      </c>
      <c r="E5870" t="inlineStr">
        <is>
          <t>AM05</t>
        </is>
      </c>
      <c r="F5870" s="5" t="n">
        <v>99.61</v>
      </c>
      <c r="G5870">
        <f>IF(LEFT(B5870,1)="C","Credit","Factuur")</f>
        <v/>
      </c>
      <c r="H5870">
        <f>IF(AND(B5870=B5869,D5870=D5869,A5870=A5869,F5870=F5869),1,0)</f>
        <v/>
      </c>
      <c r="I5870">
        <f>IF(C5870="C99999",1,0)</f>
        <v/>
      </c>
      <c r="J5870" s="5">
        <f>IF(OR(H5870=1,I5870=1),0,IF(G5870="Credit",-F5870,F5870))</f>
        <v/>
      </c>
    </row>
    <row r="5871">
      <c r="A5871" t="inlineStr">
        <is>
          <t>2026-08-27</t>
        </is>
      </c>
      <c r="B5871" t="inlineStr">
        <is>
          <t>F282073</t>
        </is>
      </c>
      <c r="C5871" t="inlineStr">
        <is>
          <t>C11159</t>
        </is>
      </c>
      <c r="D5871" t="inlineStr">
        <is>
          <t>SKU-10313</t>
        </is>
      </c>
      <c r="E5871" t="inlineStr">
        <is>
          <t>AM05</t>
        </is>
      </c>
      <c r="F5871" s="5" t="n">
        <v>97.3</v>
      </c>
      <c r="G5871">
        <f>IF(LEFT(B5871,1)="C","Credit","Factuur")</f>
        <v/>
      </c>
      <c r="H5871">
        <f>IF(AND(B5871=B5870,D5871=D5870,A5871=A5870,F5871=F5870),1,0)</f>
        <v/>
      </c>
      <c r="I5871">
        <f>IF(C5871="C99999",1,0)</f>
        <v/>
      </c>
      <c r="J5871" s="5">
        <f>IF(OR(H5871=1,I5871=1),0,IF(G5871="Credit",-F5871,F5871))</f>
        <v/>
      </c>
    </row>
    <row r="5872">
      <c r="A5872" t="inlineStr">
        <is>
          <t>2026-08-27</t>
        </is>
      </c>
      <c r="B5872" t="inlineStr">
        <is>
          <t>F282073</t>
        </is>
      </c>
      <c r="C5872" t="inlineStr">
        <is>
          <t>C11159</t>
        </is>
      </c>
      <c r="D5872" t="inlineStr">
        <is>
          <t>SKU-10331</t>
        </is>
      </c>
      <c r="E5872" t="inlineStr">
        <is>
          <t>AM05</t>
        </is>
      </c>
      <c r="F5872" s="5" t="n">
        <v>81.56999999999999</v>
      </c>
      <c r="G5872">
        <f>IF(LEFT(B5872,1)="C","Credit","Factuur")</f>
        <v/>
      </c>
      <c r="H5872">
        <f>IF(AND(B5872=B5871,D5872=D5871,A5872=A5871,F5872=F5871),1,0)</f>
        <v/>
      </c>
      <c r="I5872">
        <f>IF(C5872="C99999",1,0)</f>
        <v/>
      </c>
      <c r="J5872" s="5">
        <f>IF(OR(H5872=1,I5872=1),0,IF(G5872="Credit",-F5872,F5872))</f>
        <v/>
      </c>
    </row>
    <row r="5873">
      <c r="A5873" t="inlineStr">
        <is>
          <t>2026-08-27</t>
        </is>
      </c>
      <c r="B5873" t="inlineStr">
        <is>
          <t>F282073</t>
        </is>
      </c>
      <c r="C5873" t="inlineStr">
        <is>
          <t>C11159</t>
        </is>
      </c>
      <c r="D5873" t="inlineStr">
        <is>
          <t>SKU-10343</t>
        </is>
      </c>
      <c r="E5873" t="inlineStr">
        <is>
          <t>AM05</t>
        </is>
      </c>
      <c r="F5873" s="5" t="n">
        <v>94.40000000000001</v>
      </c>
      <c r="G5873">
        <f>IF(LEFT(B5873,1)="C","Credit","Factuur")</f>
        <v/>
      </c>
      <c r="H5873">
        <f>IF(AND(B5873=B5872,D5873=D5872,A5873=A5872,F5873=F5872),1,0)</f>
        <v/>
      </c>
      <c r="I5873">
        <f>IF(C5873="C99999",1,0)</f>
        <v/>
      </c>
      <c r="J5873" s="5">
        <f>IF(OR(H5873=1,I5873=1),0,IF(G5873="Credit",-F5873,F5873))</f>
        <v/>
      </c>
    </row>
    <row r="5874">
      <c r="A5874" t="inlineStr">
        <is>
          <t>2026-08-27</t>
        </is>
      </c>
      <c r="B5874" t="inlineStr">
        <is>
          <t>F282154</t>
        </is>
      </c>
      <c r="C5874" t="inlineStr">
        <is>
          <t>C11164</t>
        </is>
      </c>
      <c r="D5874" t="inlineStr">
        <is>
          <t>SKU-10074</t>
        </is>
      </c>
      <c r="E5874" t="inlineStr">
        <is>
          <t>IS02</t>
        </is>
      </c>
      <c r="F5874" s="5" t="n">
        <v>53.19</v>
      </c>
      <c r="G5874">
        <f>IF(LEFT(B5874,1)="C","Credit","Factuur")</f>
        <v/>
      </c>
      <c r="H5874">
        <f>IF(AND(B5874=B5873,D5874=D5873,A5874=A5873,F5874=F5873),1,0)</f>
        <v/>
      </c>
      <c r="I5874">
        <f>IF(C5874="C99999",1,0)</f>
        <v/>
      </c>
      <c r="J5874" s="5">
        <f>IF(OR(H5874=1,I5874=1),0,IF(G5874="Credit",-F5874,F5874))</f>
        <v/>
      </c>
    </row>
    <row r="5875">
      <c r="A5875" t="inlineStr">
        <is>
          <t>2026-08-27</t>
        </is>
      </c>
      <c r="B5875" t="inlineStr">
        <is>
          <t>F282154</t>
        </is>
      </c>
      <c r="C5875" t="inlineStr">
        <is>
          <t>C11164</t>
        </is>
      </c>
      <c r="D5875" t="inlineStr">
        <is>
          <t>SKU-10077</t>
        </is>
      </c>
      <c r="E5875" t="inlineStr">
        <is>
          <t>IS02</t>
        </is>
      </c>
      <c r="F5875" s="5" t="n">
        <v>60.24</v>
      </c>
      <c r="G5875">
        <f>IF(LEFT(B5875,1)="C","Credit","Factuur")</f>
        <v/>
      </c>
      <c r="H5875">
        <f>IF(AND(B5875=B5874,D5875=D5874,A5875=A5874,F5875=F5874),1,0)</f>
        <v/>
      </c>
      <c r="I5875">
        <f>IF(C5875="C99999",1,0)</f>
        <v/>
      </c>
      <c r="J5875" s="5">
        <f>IF(OR(H5875=1,I5875=1),0,IF(G5875="Credit",-F5875,F5875))</f>
        <v/>
      </c>
    </row>
    <row r="5876">
      <c r="A5876" t="inlineStr">
        <is>
          <t>2026-08-27</t>
        </is>
      </c>
      <c r="B5876" t="inlineStr">
        <is>
          <t>F282154</t>
        </is>
      </c>
      <c r="C5876" t="inlineStr">
        <is>
          <t>C11164</t>
        </is>
      </c>
      <c r="D5876" t="inlineStr">
        <is>
          <t>SKU-10318</t>
        </is>
      </c>
      <c r="E5876" t="inlineStr">
        <is>
          <t>IS02</t>
        </is>
      </c>
      <c r="F5876" s="5" t="n">
        <v>61.05</v>
      </c>
      <c r="G5876">
        <f>IF(LEFT(B5876,1)="C","Credit","Factuur")</f>
        <v/>
      </c>
      <c r="H5876">
        <f>IF(AND(B5876=B5875,D5876=D5875,A5876=A5875,F5876=F5875),1,0)</f>
        <v/>
      </c>
      <c r="I5876">
        <f>IF(C5876="C99999",1,0)</f>
        <v/>
      </c>
      <c r="J5876" s="5">
        <f>IF(OR(H5876=1,I5876=1),0,IF(G5876="Credit",-F5876,F5876))</f>
        <v/>
      </c>
    </row>
    <row r="5877">
      <c r="A5877" t="inlineStr">
        <is>
          <t>2026-08-27</t>
        </is>
      </c>
      <c r="B5877" t="inlineStr">
        <is>
          <t>F282395</t>
        </is>
      </c>
      <c r="C5877" t="inlineStr">
        <is>
          <t>C11175</t>
        </is>
      </c>
      <c r="D5877" t="inlineStr">
        <is>
          <t>SKU-10003</t>
        </is>
      </c>
      <c r="E5877" t="inlineStr">
        <is>
          <t>AM03</t>
        </is>
      </c>
      <c r="F5877" s="5" t="n">
        <v>771.4</v>
      </c>
      <c r="G5877">
        <f>IF(LEFT(B5877,1)="C","Credit","Factuur")</f>
        <v/>
      </c>
      <c r="H5877">
        <f>IF(AND(B5877=B5876,D5877=D5876,A5877=A5876,F5877=F5876),1,0)</f>
        <v/>
      </c>
      <c r="I5877">
        <f>IF(C5877="C99999",1,0)</f>
        <v/>
      </c>
      <c r="J5877" s="5">
        <f>IF(OR(H5877=1,I5877=1),0,IF(G5877="Credit",-F5877,F5877))</f>
        <v/>
      </c>
    </row>
    <row r="5878">
      <c r="A5878" t="inlineStr">
        <is>
          <t>2026-08-27</t>
        </is>
      </c>
      <c r="B5878" t="inlineStr">
        <is>
          <t>F282395</t>
        </is>
      </c>
      <c r="C5878" t="inlineStr">
        <is>
          <t>C11175</t>
        </is>
      </c>
      <c r="D5878" t="inlineStr">
        <is>
          <t>SKU-10156</t>
        </is>
      </c>
      <c r="E5878" t="inlineStr">
        <is>
          <t>AM03</t>
        </is>
      </c>
      <c r="F5878" s="5" t="n">
        <v>686.66</v>
      </c>
      <c r="G5878">
        <f>IF(LEFT(B5878,1)="C","Credit","Factuur")</f>
        <v/>
      </c>
      <c r="H5878">
        <f>IF(AND(B5878=B5877,D5878=D5877,A5878=A5877,F5878=F5877),1,0)</f>
        <v/>
      </c>
      <c r="I5878">
        <f>IF(C5878="C99999",1,0)</f>
        <v/>
      </c>
      <c r="J5878" s="5">
        <f>IF(OR(H5878=1,I5878=1),0,IF(G5878="Credit",-F5878,F5878))</f>
        <v/>
      </c>
    </row>
    <row r="5879">
      <c r="A5879" t="inlineStr">
        <is>
          <t>2026-08-27</t>
        </is>
      </c>
      <c r="B5879" t="inlineStr">
        <is>
          <t>F282395</t>
        </is>
      </c>
      <c r="C5879" t="inlineStr">
        <is>
          <t>C11175</t>
        </is>
      </c>
      <c r="D5879" t="inlineStr">
        <is>
          <t>SKU-10223</t>
        </is>
      </c>
      <c r="E5879" t="inlineStr">
        <is>
          <t>AM03</t>
        </is>
      </c>
      <c r="F5879" s="5" t="n">
        <v>681.28</v>
      </c>
      <c r="G5879">
        <f>IF(LEFT(B5879,1)="C","Credit","Factuur")</f>
        <v/>
      </c>
      <c r="H5879">
        <f>IF(AND(B5879=B5878,D5879=D5878,A5879=A5878,F5879=F5878),1,0)</f>
        <v/>
      </c>
      <c r="I5879">
        <f>IF(C5879="C99999",1,0)</f>
        <v/>
      </c>
      <c r="J5879" s="5">
        <f>IF(OR(H5879=1,I5879=1),0,IF(G5879="Credit",-F5879,F5879))</f>
        <v/>
      </c>
    </row>
    <row r="5880">
      <c r="A5880" t="inlineStr">
        <is>
          <t>2026-08-27</t>
        </is>
      </c>
      <c r="B5880" t="inlineStr">
        <is>
          <t>F282395</t>
        </is>
      </c>
      <c r="C5880" t="inlineStr">
        <is>
          <t>C11175</t>
        </is>
      </c>
      <c r="D5880" t="inlineStr">
        <is>
          <t>SKU-10256</t>
        </is>
      </c>
      <c r="E5880" t="inlineStr">
        <is>
          <t>AM03</t>
        </is>
      </c>
      <c r="F5880" s="5" t="n">
        <v>769.33</v>
      </c>
      <c r="G5880">
        <f>IF(LEFT(B5880,1)="C","Credit","Factuur")</f>
        <v/>
      </c>
      <c r="H5880">
        <f>IF(AND(B5880=B5879,D5880=D5879,A5880=A5879,F5880=F5879),1,0)</f>
        <v/>
      </c>
      <c r="I5880">
        <f>IF(C5880="C99999",1,0)</f>
        <v/>
      </c>
      <c r="J5880" s="5">
        <f>IF(OR(H5880=1,I5880=1),0,IF(G5880="Credit",-F5880,F5880))</f>
        <v/>
      </c>
    </row>
    <row r="5881">
      <c r="A5881" t="inlineStr">
        <is>
          <t>2026-08-27</t>
        </is>
      </c>
      <c r="B5881" t="inlineStr">
        <is>
          <t>F282417</t>
        </is>
      </c>
      <c r="C5881" t="inlineStr">
        <is>
          <t>C11176</t>
        </is>
      </c>
      <c r="D5881" t="inlineStr">
        <is>
          <t>SKU-10133</t>
        </is>
      </c>
      <c r="E5881" t="inlineStr">
        <is>
          <t>AM03</t>
        </is>
      </c>
      <c r="F5881" s="5" t="n">
        <v>794.04</v>
      </c>
      <c r="G5881">
        <f>IF(LEFT(B5881,1)="C","Credit","Factuur")</f>
        <v/>
      </c>
      <c r="H5881">
        <f>IF(AND(B5881=B5880,D5881=D5880,A5881=A5880,F5881=F5880),1,0)</f>
        <v/>
      </c>
      <c r="I5881">
        <f>IF(C5881="C99999",1,0)</f>
        <v/>
      </c>
      <c r="J5881" s="5">
        <f>IF(OR(H5881=1,I5881=1),0,IF(G5881="Credit",-F5881,F5881))</f>
        <v/>
      </c>
    </row>
    <row r="5882">
      <c r="A5882" t="inlineStr">
        <is>
          <t>2026-08-27</t>
        </is>
      </c>
      <c r="B5882" t="inlineStr">
        <is>
          <t>F282417</t>
        </is>
      </c>
      <c r="C5882" t="inlineStr">
        <is>
          <t>C11176</t>
        </is>
      </c>
      <c r="D5882" t="inlineStr">
        <is>
          <t>SKU-10281</t>
        </is>
      </c>
      <c r="E5882" t="inlineStr">
        <is>
          <t>AM03</t>
        </is>
      </c>
      <c r="F5882" s="5" t="n">
        <v>854.28</v>
      </c>
      <c r="G5882">
        <f>IF(LEFT(B5882,1)="C","Credit","Factuur")</f>
        <v/>
      </c>
      <c r="H5882">
        <f>IF(AND(B5882=B5881,D5882=D5881,A5882=A5881,F5882=F5881),1,0)</f>
        <v/>
      </c>
      <c r="I5882">
        <f>IF(C5882="C99999",1,0)</f>
        <v/>
      </c>
      <c r="J5882" s="5">
        <f>IF(OR(H5882=1,I5882=1),0,IF(G5882="Credit",-F5882,F5882))</f>
        <v/>
      </c>
    </row>
    <row r="5883">
      <c r="A5883" t="inlineStr">
        <is>
          <t>2026-08-27</t>
        </is>
      </c>
      <c r="B5883" t="inlineStr">
        <is>
          <t>F282775</t>
        </is>
      </c>
      <c r="C5883" t="inlineStr">
        <is>
          <t>C11196</t>
        </is>
      </c>
      <c r="D5883" t="inlineStr">
        <is>
          <t>SKU-10090</t>
        </is>
      </c>
      <c r="E5883" t="inlineStr">
        <is>
          <t>AM08</t>
        </is>
      </c>
      <c r="F5883" s="5" t="n">
        <v>121.22</v>
      </c>
      <c r="G5883">
        <f>IF(LEFT(B5883,1)="C","Credit","Factuur")</f>
        <v/>
      </c>
      <c r="H5883">
        <f>IF(AND(B5883=B5882,D5883=D5882,A5883=A5882,F5883=F5882),1,0)</f>
        <v/>
      </c>
      <c r="I5883">
        <f>IF(C5883="C99999",1,0)</f>
        <v/>
      </c>
      <c r="J5883" s="5">
        <f>IF(OR(H5883=1,I5883=1),0,IF(G5883="Credit",-F5883,F5883))</f>
        <v/>
      </c>
    </row>
    <row r="5884">
      <c r="A5884" t="inlineStr">
        <is>
          <t>2026-08-27</t>
        </is>
      </c>
      <c r="B5884" t="inlineStr">
        <is>
          <t>F282775</t>
        </is>
      </c>
      <c r="C5884" t="inlineStr">
        <is>
          <t>C11196</t>
        </is>
      </c>
      <c r="D5884" t="inlineStr">
        <is>
          <t>SKU-10092</t>
        </is>
      </c>
      <c r="E5884" t="inlineStr"/>
      <c r="F5884" s="5" t="n">
        <v>137.24</v>
      </c>
      <c r="G5884">
        <f>IF(LEFT(B5884,1)="C","Credit","Factuur")</f>
        <v/>
      </c>
      <c r="H5884">
        <f>IF(AND(B5884=B5883,D5884=D5883,A5884=A5883,F5884=F5883),1,0)</f>
        <v/>
      </c>
      <c r="I5884">
        <f>IF(C5884="C99999",1,0)</f>
        <v/>
      </c>
      <c r="J5884" s="5">
        <f>IF(OR(H5884=1,I5884=1),0,IF(G5884="Credit",-F5884,F5884))</f>
        <v/>
      </c>
    </row>
    <row r="5885">
      <c r="A5885" t="inlineStr">
        <is>
          <t>2026-08-27</t>
        </is>
      </c>
      <c r="B5885" t="inlineStr">
        <is>
          <t>F282997</t>
        </is>
      </c>
      <c r="C5885" t="inlineStr">
        <is>
          <t>C11209</t>
        </is>
      </c>
      <c r="D5885" t="inlineStr">
        <is>
          <t>SKU-10001</t>
        </is>
      </c>
      <c r="E5885" t="inlineStr">
        <is>
          <t>AM08</t>
        </is>
      </c>
      <c r="F5885" s="5" t="n">
        <v>653</v>
      </c>
      <c r="G5885">
        <f>IF(LEFT(B5885,1)="C","Credit","Factuur")</f>
        <v/>
      </c>
      <c r="H5885">
        <f>IF(AND(B5885=B5884,D5885=D5884,A5885=A5884,F5885=F5884),1,0)</f>
        <v/>
      </c>
      <c r="I5885">
        <f>IF(C5885="C99999",1,0)</f>
        <v/>
      </c>
      <c r="J5885" s="5">
        <f>IF(OR(H5885=1,I5885=1),0,IF(G5885="Credit",-F5885,F5885))</f>
        <v/>
      </c>
    </row>
    <row r="5886">
      <c r="A5886" t="inlineStr">
        <is>
          <t>2026-08-27</t>
        </is>
      </c>
      <c r="B5886" t="inlineStr">
        <is>
          <t>F282997</t>
        </is>
      </c>
      <c r="C5886" t="inlineStr">
        <is>
          <t>C11209</t>
        </is>
      </c>
      <c r="D5886" t="inlineStr">
        <is>
          <t>SKU-10040</t>
        </is>
      </c>
      <c r="E5886" t="inlineStr">
        <is>
          <t>AM08</t>
        </is>
      </c>
      <c r="F5886" s="5" t="n">
        <v>674.1</v>
      </c>
      <c r="G5886">
        <f>IF(LEFT(B5886,1)="C","Credit","Factuur")</f>
        <v/>
      </c>
      <c r="H5886">
        <f>IF(AND(B5886=B5885,D5886=D5885,A5886=A5885,F5886=F5885),1,0)</f>
        <v/>
      </c>
      <c r="I5886">
        <f>IF(C5886="C99999",1,0)</f>
        <v/>
      </c>
      <c r="J5886" s="5">
        <f>IF(OR(H5886=1,I5886=1),0,IF(G5886="Credit",-F5886,F5886))</f>
        <v/>
      </c>
    </row>
    <row r="5887">
      <c r="A5887" t="inlineStr">
        <is>
          <t>2026-08-27</t>
        </is>
      </c>
      <c r="B5887" t="inlineStr">
        <is>
          <t>F282997</t>
        </is>
      </c>
      <c r="C5887" t="inlineStr">
        <is>
          <t>C11209</t>
        </is>
      </c>
      <c r="D5887" t="inlineStr">
        <is>
          <t>SKU-10317</t>
        </is>
      </c>
      <c r="E5887" t="inlineStr">
        <is>
          <t>AM08</t>
        </is>
      </c>
      <c r="F5887" s="5" t="n">
        <v>698.29</v>
      </c>
      <c r="G5887">
        <f>IF(LEFT(B5887,1)="C","Credit","Factuur")</f>
        <v/>
      </c>
      <c r="H5887">
        <f>IF(AND(B5887=B5886,D5887=D5886,A5887=A5886,F5887=F5886),1,0)</f>
        <v/>
      </c>
      <c r="I5887">
        <f>IF(C5887="C99999",1,0)</f>
        <v/>
      </c>
      <c r="J5887" s="5">
        <f>IF(OR(H5887=1,I5887=1),0,IF(G5887="Credit",-F5887,F5887))</f>
        <v/>
      </c>
    </row>
    <row r="5888">
      <c r="A5888" t="inlineStr">
        <is>
          <t>2026-08-27</t>
        </is>
      </c>
      <c r="B5888" t="inlineStr">
        <is>
          <t>F283102</t>
        </is>
      </c>
      <c r="C5888" t="inlineStr">
        <is>
          <t>C11216</t>
        </is>
      </c>
      <c r="D5888" t="inlineStr">
        <is>
          <t>SKU-10206</t>
        </is>
      </c>
      <c r="E5888" t="inlineStr">
        <is>
          <t>AM05</t>
        </is>
      </c>
      <c r="F5888" s="5" t="n">
        <v>288.65</v>
      </c>
      <c r="G5888">
        <f>IF(LEFT(B5888,1)="C","Credit","Factuur")</f>
        <v/>
      </c>
      <c r="H5888">
        <f>IF(AND(B5888=B5887,D5888=D5887,A5888=A5887,F5888=F5887),1,0)</f>
        <v/>
      </c>
      <c r="I5888">
        <f>IF(C5888="C99999",1,0)</f>
        <v/>
      </c>
      <c r="J5888" s="5">
        <f>IF(OR(H5888=1,I5888=1),0,IF(G5888="Credit",-F5888,F5888))</f>
        <v/>
      </c>
    </row>
    <row r="5889">
      <c r="A5889" t="inlineStr">
        <is>
          <t>2026-08-27</t>
        </is>
      </c>
      <c r="B5889" t="inlineStr">
        <is>
          <t>F283102</t>
        </is>
      </c>
      <c r="C5889" t="inlineStr">
        <is>
          <t>C11216</t>
        </is>
      </c>
      <c r="D5889" t="inlineStr">
        <is>
          <t>SKU-10235</t>
        </is>
      </c>
      <c r="E5889" t="inlineStr">
        <is>
          <t>AM05</t>
        </is>
      </c>
      <c r="F5889" s="5" t="n">
        <v>313.12</v>
      </c>
      <c r="G5889">
        <f>IF(LEFT(B5889,1)="C","Credit","Factuur")</f>
        <v/>
      </c>
      <c r="H5889">
        <f>IF(AND(B5889=B5888,D5889=D5888,A5889=A5888,F5889=F5888),1,0)</f>
        <v/>
      </c>
      <c r="I5889">
        <f>IF(C5889="C99999",1,0)</f>
        <v/>
      </c>
      <c r="J5889" s="5">
        <f>IF(OR(H5889=1,I5889=1),0,IF(G5889="Credit",-F5889,F5889))</f>
        <v/>
      </c>
    </row>
    <row r="5890">
      <c r="A5890" t="inlineStr">
        <is>
          <t>2026-08-27</t>
        </is>
      </c>
      <c r="B5890" t="inlineStr">
        <is>
          <t>F283962</t>
        </is>
      </c>
      <c r="C5890" t="inlineStr">
        <is>
          <t>C11254</t>
        </is>
      </c>
      <c r="D5890" t="inlineStr">
        <is>
          <t>SKU-10247</t>
        </is>
      </c>
      <c r="E5890" t="inlineStr">
        <is>
          <t>AM11</t>
        </is>
      </c>
      <c r="F5890" s="5" t="n">
        <v>400.62</v>
      </c>
      <c r="G5890">
        <f>IF(LEFT(B5890,1)="C","Credit","Factuur")</f>
        <v/>
      </c>
      <c r="H5890">
        <f>IF(AND(B5890=B5889,D5890=D5889,A5890=A5889,F5890=F5889),1,0)</f>
        <v/>
      </c>
      <c r="I5890">
        <f>IF(C5890="C99999",1,0)</f>
        <v/>
      </c>
      <c r="J5890" s="5">
        <f>IF(OR(H5890=1,I5890=1),0,IF(G5890="Credit",-F5890,F5890))</f>
        <v/>
      </c>
    </row>
    <row r="5891">
      <c r="A5891" t="inlineStr">
        <is>
          <t>2026-08-27</t>
        </is>
      </c>
      <c r="B5891" t="inlineStr">
        <is>
          <t>F283962</t>
        </is>
      </c>
      <c r="C5891" t="inlineStr">
        <is>
          <t>C11254</t>
        </is>
      </c>
      <c r="D5891" t="inlineStr">
        <is>
          <t>SKU-10263</t>
        </is>
      </c>
      <c r="E5891" t="inlineStr">
        <is>
          <t>AM11</t>
        </is>
      </c>
      <c r="F5891" s="5" t="n">
        <v>377.29</v>
      </c>
      <c r="G5891">
        <f>IF(LEFT(B5891,1)="C","Credit","Factuur")</f>
        <v/>
      </c>
      <c r="H5891">
        <f>IF(AND(B5891=B5890,D5891=D5890,A5891=A5890,F5891=F5890),1,0)</f>
        <v/>
      </c>
      <c r="I5891">
        <f>IF(C5891="C99999",1,0)</f>
        <v/>
      </c>
      <c r="J5891" s="5">
        <f>IF(OR(H5891=1,I5891=1),0,IF(G5891="Credit",-F5891,F5891))</f>
        <v/>
      </c>
    </row>
    <row r="5892">
      <c r="A5892" t="inlineStr">
        <is>
          <t>2026-08-27</t>
        </is>
      </c>
      <c r="B5892" t="inlineStr">
        <is>
          <t>F283962</t>
        </is>
      </c>
      <c r="C5892" t="inlineStr">
        <is>
          <t>C11254</t>
        </is>
      </c>
      <c r="D5892" t="inlineStr">
        <is>
          <t>SKU-10326</t>
        </is>
      </c>
      <c r="E5892" t="inlineStr">
        <is>
          <t>AM11</t>
        </is>
      </c>
      <c r="F5892" s="5" t="n">
        <v>395</v>
      </c>
      <c r="G5892">
        <f>IF(LEFT(B5892,1)="C","Credit","Factuur")</f>
        <v/>
      </c>
      <c r="H5892">
        <f>IF(AND(B5892=B5891,D5892=D5891,A5892=A5891,F5892=F5891),1,0)</f>
        <v/>
      </c>
      <c r="I5892">
        <f>IF(C5892="C99999",1,0)</f>
        <v/>
      </c>
      <c r="J5892" s="5">
        <f>IF(OR(H5892=1,I5892=1),0,IF(G5892="Credit",-F5892,F5892))</f>
        <v/>
      </c>
    </row>
    <row r="5893">
      <c r="A5893" t="inlineStr">
        <is>
          <t>2026-08-27</t>
        </is>
      </c>
      <c r="B5893" t="inlineStr">
        <is>
          <t>F283962</t>
        </is>
      </c>
      <c r="C5893" t="inlineStr">
        <is>
          <t>C11254</t>
        </is>
      </c>
      <c r="D5893" t="inlineStr">
        <is>
          <t>SKU-10340</t>
        </is>
      </c>
      <c r="E5893" t="inlineStr"/>
      <c r="F5893" s="5" t="n">
        <v>334.9</v>
      </c>
      <c r="G5893">
        <f>IF(LEFT(B5893,1)="C","Credit","Factuur")</f>
        <v/>
      </c>
      <c r="H5893">
        <f>IF(AND(B5893=B5892,D5893=D5892,A5893=A5892,F5893=F5892),1,0)</f>
        <v/>
      </c>
      <c r="I5893">
        <f>IF(C5893="C99999",1,0)</f>
        <v/>
      </c>
      <c r="J5893" s="5">
        <f>IF(OR(H5893=1,I5893=1),0,IF(G5893="Credit",-F5893,F5893))</f>
        <v/>
      </c>
    </row>
    <row r="5894">
      <c r="A5894" t="inlineStr">
        <is>
          <t>2026-08-27</t>
        </is>
      </c>
      <c r="B5894" t="inlineStr">
        <is>
          <t>F284134</t>
        </is>
      </c>
      <c r="C5894" t="inlineStr">
        <is>
          <t>C11260</t>
        </is>
      </c>
      <c r="D5894" t="inlineStr">
        <is>
          <t>SKU-10107</t>
        </is>
      </c>
      <c r="E5894" t="inlineStr">
        <is>
          <t>AM08</t>
        </is>
      </c>
      <c r="F5894" s="5" t="n">
        <v>207.48</v>
      </c>
      <c r="G5894">
        <f>IF(LEFT(B5894,1)="C","Credit","Factuur")</f>
        <v/>
      </c>
      <c r="H5894">
        <f>IF(AND(B5894=B5893,D5894=D5893,A5894=A5893,F5894=F5893),1,0)</f>
        <v/>
      </c>
      <c r="I5894">
        <f>IF(C5894="C99999",1,0)</f>
        <v/>
      </c>
      <c r="J5894" s="5">
        <f>IF(OR(H5894=1,I5894=1),0,IF(G5894="Credit",-F5894,F5894))</f>
        <v/>
      </c>
    </row>
    <row r="5895">
      <c r="A5895" t="inlineStr">
        <is>
          <t>2026-08-27</t>
        </is>
      </c>
      <c r="B5895" t="inlineStr">
        <is>
          <t>F284134</t>
        </is>
      </c>
      <c r="C5895" t="inlineStr">
        <is>
          <t>C11260</t>
        </is>
      </c>
      <c r="D5895" t="inlineStr">
        <is>
          <t>SKU-10179</t>
        </is>
      </c>
      <c r="E5895" t="inlineStr">
        <is>
          <t>AM08</t>
        </is>
      </c>
      <c r="F5895" s="5" t="n">
        <v>223.92</v>
      </c>
      <c r="G5895">
        <f>IF(LEFT(B5895,1)="C","Credit","Factuur")</f>
        <v/>
      </c>
      <c r="H5895">
        <f>IF(AND(B5895=B5894,D5895=D5894,A5895=A5894,F5895=F5894),1,0)</f>
        <v/>
      </c>
      <c r="I5895">
        <f>IF(C5895="C99999",1,0)</f>
        <v/>
      </c>
      <c r="J5895" s="5">
        <f>IF(OR(H5895=1,I5895=1),0,IF(G5895="Credit",-F5895,F5895))</f>
        <v/>
      </c>
    </row>
    <row r="5896">
      <c r="A5896" t="inlineStr">
        <is>
          <t>2026-08-27</t>
        </is>
      </c>
      <c r="B5896" t="inlineStr">
        <is>
          <t>F284134</t>
        </is>
      </c>
      <c r="C5896" t="inlineStr">
        <is>
          <t>C11260</t>
        </is>
      </c>
      <c r="D5896" t="inlineStr">
        <is>
          <t>SKU-10230</t>
        </is>
      </c>
      <c r="E5896" t="inlineStr">
        <is>
          <t>AM08</t>
        </is>
      </c>
      <c r="F5896" s="5" t="n">
        <v>213.36</v>
      </c>
      <c r="G5896">
        <f>IF(LEFT(B5896,1)="C","Credit","Factuur")</f>
        <v/>
      </c>
      <c r="H5896">
        <f>IF(AND(B5896=B5895,D5896=D5895,A5896=A5895,F5896=F5895),1,0)</f>
        <v/>
      </c>
      <c r="I5896">
        <f>IF(C5896="C99999",1,0)</f>
        <v/>
      </c>
      <c r="J5896" s="5">
        <f>IF(OR(H5896=1,I5896=1),0,IF(G5896="Credit",-F5896,F5896))</f>
        <v/>
      </c>
    </row>
    <row r="5897">
      <c r="A5897" t="inlineStr">
        <is>
          <t>2026-08-27</t>
        </is>
      </c>
      <c r="B5897" t="inlineStr">
        <is>
          <t>F284134</t>
        </is>
      </c>
      <c r="C5897" t="inlineStr">
        <is>
          <t>C11260</t>
        </is>
      </c>
      <c r="D5897" t="inlineStr">
        <is>
          <t>SKU-10291</t>
        </is>
      </c>
      <c r="E5897" t="inlineStr">
        <is>
          <t>AM08</t>
        </is>
      </c>
      <c r="F5897" s="5" t="n">
        <v>232.02</v>
      </c>
      <c r="G5897">
        <f>IF(LEFT(B5897,1)="C","Credit","Factuur")</f>
        <v/>
      </c>
      <c r="H5897">
        <f>IF(AND(B5897=B5896,D5897=D5896,A5897=A5896,F5897=F5896),1,0)</f>
        <v/>
      </c>
      <c r="I5897">
        <f>IF(C5897="C99999",1,0)</f>
        <v/>
      </c>
      <c r="J5897" s="5">
        <f>IF(OR(H5897=1,I5897=1),0,IF(G5897="Credit",-F5897,F5897))</f>
        <v/>
      </c>
    </row>
    <row r="5898">
      <c r="A5898" t="inlineStr">
        <is>
          <t>2026-08-27</t>
        </is>
      </c>
      <c r="B5898" t="inlineStr">
        <is>
          <t>F284537</t>
        </is>
      </c>
      <c r="C5898" t="inlineStr">
        <is>
          <t>C11287</t>
        </is>
      </c>
      <c r="D5898" t="inlineStr">
        <is>
          <t>SKU-10284</t>
        </is>
      </c>
      <c r="E5898" t="inlineStr">
        <is>
          <t>AM03</t>
        </is>
      </c>
      <c r="F5898" s="5" t="n">
        <v>550.0700000000001</v>
      </c>
      <c r="G5898">
        <f>IF(LEFT(B5898,1)="C","Credit","Factuur")</f>
        <v/>
      </c>
      <c r="H5898">
        <f>IF(AND(B5898=B5897,D5898=D5897,A5898=A5897,F5898=F5897),1,0)</f>
        <v/>
      </c>
      <c r="I5898">
        <f>IF(C5898="C99999",1,0)</f>
        <v/>
      </c>
      <c r="J5898" s="5">
        <f>IF(OR(H5898=1,I5898=1),0,IF(G5898="Credit",-F5898,F5898))</f>
        <v/>
      </c>
    </row>
    <row r="5899">
      <c r="A5899" t="inlineStr">
        <is>
          <t>2026-08-27</t>
        </is>
      </c>
      <c r="B5899" t="inlineStr">
        <is>
          <t>F285120</t>
        </is>
      </c>
      <c r="C5899" t="inlineStr">
        <is>
          <t>C11317</t>
        </is>
      </c>
      <c r="D5899" t="inlineStr">
        <is>
          <t>SKU-10088</t>
        </is>
      </c>
      <c r="E5899" t="inlineStr">
        <is>
          <t>AM11</t>
        </is>
      </c>
      <c r="F5899" s="5" t="n">
        <v>277.74</v>
      </c>
      <c r="G5899">
        <f>IF(LEFT(B5899,1)="C","Credit","Factuur")</f>
        <v/>
      </c>
      <c r="H5899">
        <f>IF(AND(B5899=B5898,D5899=D5898,A5899=A5898,F5899=F5898),1,0)</f>
        <v/>
      </c>
      <c r="I5899">
        <f>IF(C5899="C99999",1,0)</f>
        <v/>
      </c>
      <c r="J5899" s="5">
        <f>IF(OR(H5899=1,I5899=1),0,IF(G5899="Credit",-F5899,F5899))</f>
        <v/>
      </c>
    </row>
    <row r="5900">
      <c r="A5900" t="inlineStr">
        <is>
          <t>2026-08-27</t>
        </is>
      </c>
      <c r="B5900" t="inlineStr">
        <is>
          <t>F285120</t>
        </is>
      </c>
      <c r="C5900" t="inlineStr">
        <is>
          <t>C11317</t>
        </is>
      </c>
      <c r="D5900" t="inlineStr">
        <is>
          <t>SKU-10115</t>
        </is>
      </c>
      <c r="E5900" t="inlineStr">
        <is>
          <t>AM11</t>
        </is>
      </c>
      <c r="F5900" s="5" t="n">
        <v>295.14</v>
      </c>
      <c r="G5900">
        <f>IF(LEFT(B5900,1)="C","Credit","Factuur")</f>
        <v/>
      </c>
      <c r="H5900">
        <f>IF(AND(B5900=B5899,D5900=D5899,A5900=A5899,F5900=F5899),1,0)</f>
        <v/>
      </c>
      <c r="I5900">
        <f>IF(C5900="C99999",1,0)</f>
        <v/>
      </c>
      <c r="J5900" s="5">
        <f>IF(OR(H5900=1,I5900=1),0,IF(G5900="Credit",-F5900,F5900))</f>
        <v/>
      </c>
    </row>
    <row r="5901">
      <c r="A5901" t="inlineStr">
        <is>
          <t>2026-08-27</t>
        </is>
      </c>
      <c r="B5901" t="inlineStr">
        <is>
          <t>F285120</t>
        </is>
      </c>
      <c r="C5901" t="inlineStr">
        <is>
          <t>C11317</t>
        </is>
      </c>
      <c r="D5901" t="inlineStr">
        <is>
          <t>SKU-10191</t>
        </is>
      </c>
      <c r="E5901" t="inlineStr">
        <is>
          <t>AM11</t>
        </is>
      </c>
      <c r="F5901" s="5" t="n">
        <v>273.57</v>
      </c>
      <c r="G5901">
        <f>IF(LEFT(B5901,1)="C","Credit","Factuur")</f>
        <v/>
      </c>
      <c r="H5901">
        <f>IF(AND(B5901=B5900,D5901=D5900,A5901=A5900,F5901=F5900),1,0)</f>
        <v/>
      </c>
      <c r="I5901">
        <f>IF(C5901="C99999",1,0)</f>
        <v/>
      </c>
      <c r="J5901" s="5">
        <f>IF(OR(H5901=1,I5901=1),0,IF(G5901="Credit",-F5901,F5901))</f>
        <v/>
      </c>
    </row>
    <row r="5902">
      <c r="A5902" t="inlineStr">
        <is>
          <t>2026-08-27</t>
        </is>
      </c>
      <c r="B5902" t="inlineStr">
        <is>
          <t>F285120</t>
        </is>
      </c>
      <c r="C5902" t="inlineStr">
        <is>
          <t>C11317</t>
        </is>
      </c>
      <c r="D5902" t="inlineStr">
        <is>
          <t>SKU-10340</t>
        </is>
      </c>
      <c r="E5902" t="inlineStr">
        <is>
          <t>AM11</t>
        </is>
      </c>
      <c r="F5902" s="5" t="n">
        <v>267.92</v>
      </c>
      <c r="G5902">
        <f>IF(LEFT(B5902,1)="C","Credit","Factuur")</f>
        <v/>
      </c>
      <c r="H5902">
        <f>IF(AND(B5902=B5901,D5902=D5901,A5902=A5901,F5902=F5901),1,0)</f>
        <v/>
      </c>
      <c r="I5902">
        <f>IF(C5902="C99999",1,0)</f>
        <v/>
      </c>
      <c r="J5902" s="5">
        <f>IF(OR(H5902=1,I5902=1),0,IF(G5902="Credit",-F5902,F5902))</f>
        <v/>
      </c>
    </row>
    <row r="5903">
      <c r="A5903" t="inlineStr">
        <is>
          <t>2026-08-27</t>
        </is>
      </c>
      <c r="B5903" t="inlineStr">
        <is>
          <t>F285585</t>
        </is>
      </c>
      <c r="C5903" t="inlineStr">
        <is>
          <t>C11337</t>
        </is>
      </c>
      <c r="D5903" t="inlineStr">
        <is>
          <t>SKU-10242</t>
        </is>
      </c>
      <c r="E5903" t="inlineStr">
        <is>
          <t>AM08</t>
        </is>
      </c>
      <c r="F5903" s="5" t="n">
        <v>478.8</v>
      </c>
      <c r="G5903">
        <f>IF(LEFT(B5903,1)="C","Credit","Factuur")</f>
        <v/>
      </c>
      <c r="H5903">
        <f>IF(AND(B5903=B5902,D5903=D5902,A5903=A5902,F5903=F5902),1,0)</f>
        <v/>
      </c>
      <c r="I5903">
        <f>IF(C5903="C99999",1,0)</f>
        <v/>
      </c>
      <c r="J5903" s="5">
        <f>IF(OR(H5903=1,I5903=1),0,IF(G5903="Credit",-F5903,F5903))</f>
        <v/>
      </c>
    </row>
    <row r="5904">
      <c r="A5904" t="inlineStr">
        <is>
          <t>2026-08-27</t>
        </is>
      </c>
      <c r="B5904" t="inlineStr">
        <is>
          <t>F285585</t>
        </is>
      </c>
      <c r="C5904" t="inlineStr">
        <is>
          <t>C11337</t>
        </is>
      </c>
      <c r="D5904" t="inlineStr">
        <is>
          <t>SKU-10288</t>
        </is>
      </c>
      <c r="E5904" t="inlineStr">
        <is>
          <t>AM08</t>
        </is>
      </c>
      <c r="F5904" s="5" t="n">
        <v>488.98</v>
      </c>
      <c r="G5904">
        <f>IF(LEFT(B5904,1)="C","Credit","Factuur")</f>
        <v/>
      </c>
      <c r="H5904">
        <f>IF(AND(B5904=B5903,D5904=D5903,A5904=A5903,F5904=F5903),1,0)</f>
        <v/>
      </c>
      <c r="I5904">
        <f>IF(C5904="C99999",1,0)</f>
        <v/>
      </c>
      <c r="J5904" s="5">
        <f>IF(OR(H5904=1,I5904=1),0,IF(G5904="Credit",-F5904,F5904))</f>
        <v/>
      </c>
    </row>
    <row r="5905">
      <c r="A5905" t="inlineStr">
        <is>
          <t>2026-08-27</t>
        </is>
      </c>
      <c r="B5905" t="inlineStr">
        <is>
          <t>F285585</t>
        </is>
      </c>
      <c r="C5905" t="inlineStr">
        <is>
          <t>C11337</t>
        </is>
      </c>
      <c r="D5905" t="inlineStr">
        <is>
          <t>SKU-10320</t>
        </is>
      </c>
      <c r="E5905" t="inlineStr">
        <is>
          <t>AM08</t>
        </is>
      </c>
      <c r="F5905" s="5" t="n">
        <v>501.16</v>
      </c>
      <c r="G5905">
        <f>IF(LEFT(B5905,1)="C","Credit","Factuur")</f>
        <v/>
      </c>
      <c r="H5905">
        <f>IF(AND(B5905=B5904,D5905=D5904,A5905=A5904,F5905=F5904),1,0)</f>
        <v/>
      </c>
      <c r="I5905">
        <f>IF(C5905="C99999",1,0)</f>
        <v/>
      </c>
      <c r="J5905" s="5">
        <f>IF(OR(H5905=1,I5905=1),0,IF(G5905="Credit",-F5905,F5905))</f>
        <v/>
      </c>
    </row>
    <row r="5906">
      <c r="A5906" t="inlineStr">
        <is>
          <t>2026-08-27</t>
        </is>
      </c>
      <c r="B5906" t="inlineStr">
        <is>
          <t>F285697</t>
        </is>
      </c>
      <c r="C5906" t="inlineStr">
        <is>
          <t>C11342</t>
        </is>
      </c>
      <c r="D5906" t="inlineStr">
        <is>
          <t>SKU-10126</t>
        </is>
      </c>
      <c r="E5906" t="inlineStr">
        <is>
          <t>AM01</t>
        </is>
      </c>
      <c r="F5906" s="5" t="n">
        <v>472.14</v>
      </c>
      <c r="G5906">
        <f>IF(LEFT(B5906,1)="C","Credit","Factuur")</f>
        <v/>
      </c>
      <c r="H5906">
        <f>IF(AND(B5906=B5905,D5906=D5905,A5906=A5905,F5906=F5905),1,0)</f>
        <v/>
      </c>
      <c r="I5906">
        <f>IF(C5906="C99999",1,0)</f>
        <v/>
      </c>
      <c r="J5906" s="5">
        <f>IF(OR(H5906=1,I5906=1),0,IF(G5906="Credit",-F5906,F5906))</f>
        <v/>
      </c>
    </row>
    <row r="5907">
      <c r="A5907" t="inlineStr">
        <is>
          <t>2026-08-27</t>
        </is>
      </c>
      <c r="B5907" t="inlineStr">
        <is>
          <t>F285697</t>
        </is>
      </c>
      <c r="C5907" t="inlineStr">
        <is>
          <t>C11342</t>
        </is>
      </c>
      <c r="D5907" t="inlineStr">
        <is>
          <t>SKU-10160</t>
        </is>
      </c>
      <c r="E5907" t="inlineStr">
        <is>
          <t>AM01</t>
        </is>
      </c>
      <c r="F5907" s="5" t="n">
        <v>467.1</v>
      </c>
      <c r="G5907">
        <f>IF(LEFT(B5907,1)="C","Credit","Factuur")</f>
        <v/>
      </c>
      <c r="H5907">
        <f>IF(AND(B5907=B5906,D5907=D5906,A5907=A5906,F5907=F5906),1,0)</f>
        <v/>
      </c>
      <c r="I5907">
        <f>IF(C5907="C99999",1,0)</f>
        <v/>
      </c>
      <c r="J5907" s="5">
        <f>IF(OR(H5907=1,I5907=1),0,IF(G5907="Credit",-F5907,F5907))</f>
        <v/>
      </c>
    </row>
    <row r="5908">
      <c r="A5908" t="inlineStr">
        <is>
          <t>2026-08-27</t>
        </is>
      </c>
      <c r="B5908" t="inlineStr">
        <is>
          <t>F285697</t>
        </is>
      </c>
      <c r="C5908" t="inlineStr">
        <is>
          <t>C11342</t>
        </is>
      </c>
      <c r="D5908" t="inlineStr">
        <is>
          <t>SKU-10204</t>
        </is>
      </c>
      <c r="E5908" t="inlineStr">
        <is>
          <t>AM01</t>
        </is>
      </c>
      <c r="F5908" s="5" t="n">
        <v>445.22</v>
      </c>
      <c r="G5908">
        <f>IF(LEFT(B5908,1)="C","Credit","Factuur")</f>
        <v/>
      </c>
      <c r="H5908">
        <f>IF(AND(B5908=B5907,D5908=D5907,A5908=A5907,F5908=F5907),1,0)</f>
        <v/>
      </c>
      <c r="I5908">
        <f>IF(C5908="C99999",1,0)</f>
        <v/>
      </c>
      <c r="J5908" s="5">
        <f>IF(OR(H5908=1,I5908=1),0,IF(G5908="Credit",-F5908,F5908))</f>
        <v/>
      </c>
    </row>
    <row r="5909">
      <c r="A5909" t="inlineStr">
        <is>
          <t>2026-08-28</t>
        </is>
      </c>
      <c r="B5909" t="inlineStr">
        <is>
          <t>C901138</t>
        </is>
      </c>
      <c r="C5909" t="inlineStr">
        <is>
          <t>C10357</t>
        </is>
      </c>
      <c r="D5909" t="inlineStr">
        <is>
          <t>SKU-10270</t>
        </is>
      </c>
      <c r="E5909" t="inlineStr">
        <is>
          <t>AM01</t>
        </is>
      </c>
      <c r="F5909" s="5" t="n">
        <v>102.79</v>
      </c>
      <c r="G5909">
        <f>IF(LEFT(B5909,1)="C","Credit","Factuur")</f>
        <v/>
      </c>
      <c r="H5909">
        <f>IF(AND(B5909=B5908,D5909=D5908,A5909=A5908,F5909=F5908),1,0)</f>
        <v/>
      </c>
      <c r="I5909">
        <f>IF(C5909="C99999",1,0)</f>
        <v/>
      </c>
      <c r="J5909" s="5">
        <f>IF(OR(H5909=1,I5909=1),0,IF(G5909="Credit",-F5909,F5909))</f>
        <v/>
      </c>
    </row>
    <row r="5910">
      <c r="A5910" t="inlineStr">
        <is>
          <t>2026-08-28</t>
        </is>
      </c>
      <c r="B5910" t="inlineStr">
        <is>
          <t>F260694</t>
        </is>
      </c>
      <c r="C5910" t="inlineStr">
        <is>
          <t>C10041</t>
        </is>
      </c>
      <c r="D5910" t="inlineStr">
        <is>
          <t>SKU-10003</t>
        </is>
      </c>
      <c r="E5910" t="inlineStr">
        <is>
          <t>AM06</t>
        </is>
      </c>
      <c r="F5910" s="5" t="n">
        <v>495.9</v>
      </c>
      <c r="G5910">
        <f>IF(LEFT(B5910,1)="C","Credit","Factuur")</f>
        <v/>
      </c>
      <c r="H5910">
        <f>IF(AND(B5910=B5909,D5910=D5909,A5910=A5909,F5910=F5909),1,0)</f>
        <v/>
      </c>
      <c r="I5910">
        <f>IF(C5910="C99999",1,0)</f>
        <v/>
      </c>
      <c r="J5910" s="5">
        <f>IF(OR(H5910=1,I5910=1),0,IF(G5910="Credit",-F5910,F5910))</f>
        <v/>
      </c>
    </row>
    <row r="5911">
      <c r="A5911" t="inlineStr">
        <is>
          <t>2026-08-28</t>
        </is>
      </c>
      <c r="B5911" t="inlineStr">
        <is>
          <t>F260694</t>
        </is>
      </c>
      <c r="C5911" t="inlineStr">
        <is>
          <t>C10041</t>
        </is>
      </c>
      <c r="D5911" t="inlineStr">
        <is>
          <t>SKU-10276</t>
        </is>
      </c>
      <c r="E5911" t="inlineStr">
        <is>
          <t>AM06</t>
        </is>
      </c>
      <c r="F5911" s="5" t="n">
        <v>495.04</v>
      </c>
      <c r="G5911">
        <f>IF(LEFT(B5911,1)="C","Credit","Factuur")</f>
        <v/>
      </c>
      <c r="H5911">
        <f>IF(AND(B5911=B5910,D5911=D5910,A5911=A5910,F5911=F5910),1,0)</f>
        <v/>
      </c>
      <c r="I5911">
        <f>IF(C5911="C99999",1,0)</f>
        <v/>
      </c>
      <c r="J5911" s="5">
        <f>IF(OR(H5911=1,I5911=1),0,IF(G5911="Credit",-F5911,F5911))</f>
        <v/>
      </c>
    </row>
    <row r="5912">
      <c r="A5912" t="inlineStr">
        <is>
          <t>2026-08-28</t>
        </is>
      </c>
      <c r="B5912" t="inlineStr">
        <is>
          <t>F260694</t>
        </is>
      </c>
      <c r="C5912" t="inlineStr">
        <is>
          <t>C10041</t>
        </is>
      </c>
      <c r="D5912" t="inlineStr">
        <is>
          <t>SKU-10314</t>
        </is>
      </c>
      <c r="E5912" t="inlineStr">
        <is>
          <t>AM06</t>
        </is>
      </c>
      <c r="F5912" s="5" t="n">
        <v>493.92</v>
      </c>
      <c r="G5912">
        <f>IF(LEFT(B5912,1)="C","Credit","Factuur")</f>
        <v/>
      </c>
      <c r="H5912">
        <f>IF(AND(B5912=B5911,D5912=D5911,A5912=A5911,F5912=F5911),1,0)</f>
        <v/>
      </c>
      <c r="I5912">
        <f>IF(C5912="C99999",1,0)</f>
        <v/>
      </c>
      <c r="J5912" s="5">
        <f>IF(OR(H5912=1,I5912=1),0,IF(G5912="Credit",-F5912,F5912))</f>
        <v/>
      </c>
    </row>
    <row r="5913">
      <c r="A5913" t="inlineStr">
        <is>
          <t>2026-08-28</t>
        </is>
      </c>
      <c r="B5913" t="inlineStr">
        <is>
          <t>F260694</t>
        </is>
      </c>
      <c r="C5913" t="inlineStr">
        <is>
          <t>C10041</t>
        </is>
      </c>
      <c r="D5913" t="inlineStr">
        <is>
          <t>SKU-10324</t>
        </is>
      </c>
      <c r="E5913" t="inlineStr">
        <is>
          <t>AM06</t>
        </is>
      </c>
      <c r="F5913" s="5" t="n">
        <v>499.56</v>
      </c>
      <c r="G5913">
        <f>IF(LEFT(B5913,1)="C","Credit","Factuur")</f>
        <v/>
      </c>
      <c r="H5913">
        <f>IF(AND(B5913=B5912,D5913=D5912,A5913=A5912,F5913=F5912),1,0)</f>
        <v/>
      </c>
      <c r="I5913">
        <f>IF(C5913="C99999",1,0)</f>
        <v/>
      </c>
      <c r="J5913" s="5">
        <f>IF(OR(H5913=1,I5913=1),0,IF(G5913="Credit",-F5913,F5913))</f>
        <v/>
      </c>
    </row>
    <row r="5914">
      <c r="A5914" t="inlineStr">
        <is>
          <t>2026-08-28</t>
        </is>
      </c>
      <c r="B5914" t="inlineStr">
        <is>
          <t>F260953</t>
        </is>
      </c>
      <c r="C5914" t="inlineStr">
        <is>
          <t>C10054</t>
        </is>
      </c>
      <c r="D5914" t="inlineStr">
        <is>
          <t>SKU-10249</t>
        </is>
      </c>
      <c r="E5914" t="inlineStr">
        <is>
          <t>AM01</t>
        </is>
      </c>
      <c r="F5914" s="5" t="n">
        <v>622</v>
      </c>
      <c r="G5914">
        <f>IF(LEFT(B5914,1)="C","Credit","Factuur")</f>
        <v/>
      </c>
      <c r="H5914">
        <f>IF(AND(B5914=B5913,D5914=D5913,A5914=A5913,F5914=F5913),1,0)</f>
        <v/>
      </c>
      <c r="I5914">
        <f>IF(C5914="C99999",1,0)</f>
        <v/>
      </c>
      <c r="J5914" s="5">
        <f>IF(OR(H5914=1,I5914=1),0,IF(G5914="Credit",-F5914,F5914))</f>
        <v/>
      </c>
    </row>
    <row r="5915">
      <c r="A5915" t="inlineStr">
        <is>
          <t>2026-08-28</t>
        </is>
      </c>
      <c r="B5915" t="inlineStr">
        <is>
          <t>F261048</t>
        </is>
      </c>
      <c r="C5915" t="inlineStr">
        <is>
          <t>C10060</t>
        </is>
      </c>
      <c r="D5915" t="inlineStr">
        <is>
          <t>SKU-10125</t>
        </is>
      </c>
      <c r="E5915" t="inlineStr">
        <is>
          <t>AM05</t>
        </is>
      </c>
      <c r="F5915" s="5" t="n">
        <v>1336.06</v>
      </c>
      <c r="G5915">
        <f>IF(LEFT(B5915,1)="C","Credit","Factuur")</f>
        <v/>
      </c>
      <c r="H5915">
        <f>IF(AND(B5915=B5914,D5915=D5914,A5915=A5914,F5915=F5914),1,0)</f>
        <v/>
      </c>
      <c r="I5915">
        <f>IF(C5915="C99999",1,0)</f>
        <v/>
      </c>
      <c r="J5915" s="5">
        <f>IF(OR(H5915=1,I5915=1),0,IF(G5915="Credit",-F5915,F5915))</f>
        <v/>
      </c>
    </row>
    <row r="5916">
      <c r="A5916" t="inlineStr">
        <is>
          <t>2026-08-28</t>
        </is>
      </c>
      <c r="B5916" t="inlineStr">
        <is>
          <t>F261048</t>
        </is>
      </c>
      <c r="C5916" t="inlineStr">
        <is>
          <t>C10060</t>
        </is>
      </c>
      <c r="D5916" t="inlineStr">
        <is>
          <t>SKU-10322</t>
        </is>
      </c>
      <c r="E5916" t="inlineStr">
        <is>
          <t>AM05</t>
        </is>
      </c>
      <c r="F5916" s="5" t="n">
        <v>1301.28</v>
      </c>
      <c r="G5916">
        <f>IF(LEFT(B5916,1)="C","Credit","Factuur")</f>
        <v/>
      </c>
      <c r="H5916">
        <f>IF(AND(B5916=B5915,D5916=D5915,A5916=A5915,F5916=F5915),1,0)</f>
        <v/>
      </c>
      <c r="I5916">
        <f>IF(C5916="C99999",1,0)</f>
        <v/>
      </c>
      <c r="J5916" s="5">
        <f>IF(OR(H5916=1,I5916=1),0,IF(G5916="Credit",-F5916,F5916))</f>
        <v/>
      </c>
    </row>
    <row r="5917">
      <c r="A5917" t="inlineStr">
        <is>
          <t>2026-08-28</t>
        </is>
      </c>
      <c r="B5917" t="inlineStr">
        <is>
          <t>F261279</t>
        </is>
      </c>
      <c r="C5917" t="inlineStr">
        <is>
          <t>C10070</t>
        </is>
      </c>
      <c r="D5917" t="inlineStr">
        <is>
          <t>SKU-10057</t>
        </is>
      </c>
      <c r="E5917" t="inlineStr">
        <is>
          <t>AM11</t>
        </is>
      </c>
      <c r="F5917" s="5" t="n">
        <v>45</v>
      </c>
      <c r="G5917">
        <f>IF(LEFT(B5917,1)="C","Credit","Factuur")</f>
        <v/>
      </c>
      <c r="H5917">
        <f>IF(AND(B5917=B5916,D5917=D5916,A5917=A5916,F5917=F5916),1,0)</f>
        <v/>
      </c>
      <c r="I5917">
        <f>IF(C5917="C99999",1,0)</f>
        <v/>
      </c>
      <c r="J5917" s="5">
        <f>IF(OR(H5917=1,I5917=1),0,IF(G5917="Credit",-F5917,F5917))</f>
        <v/>
      </c>
    </row>
    <row r="5918">
      <c r="A5918" t="inlineStr">
        <is>
          <t>2026-08-28</t>
        </is>
      </c>
      <c r="B5918" t="inlineStr">
        <is>
          <t>F261279</t>
        </is>
      </c>
      <c r="C5918" t="inlineStr">
        <is>
          <t>C10070</t>
        </is>
      </c>
      <c r="D5918" t="inlineStr">
        <is>
          <t>SKU-10079</t>
        </is>
      </c>
      <c r="E5918" t="inlineStr">
        <is>
          <t>AM11</t>
        </is>
      </c>
      <c r="F5918" s="5" t="n">
        <v>40.28</v>
      </c>
      <c r="G5918">
        <f>IF(LEFT(B5918,1)="C","Credit","Factuur")</f>
        <v/>
      </c>
      <c r="H5918">
        <f>IF(AND(B5918=B5917,D5918=D5917,A5918=A5917,F5918=F5917),1,0)</f>
        <v/>
      </c>
      <c r="I5918">
        <f>IF(C5918="C99999",1,0)</f>
        <v/>
      </c>
      <c r="J5918" s="5">
        <f>IF(OR(H5918=1,I5918=1),0,IF(G5918="Credit",-F5918,F5918))</f>
        <v/>
      </c>
    </row>
    <row r="5919">
      <c r="A5919" t="inlineStr">
        <is>
          <t>2026-08-28</t>
        </is>
      </c>
      <c r="B5919" t="inlineStr">
        <is>
          <t>F261279</t>
        </is>
      </c>
      <c r="C5919" t="inlineStr">
        <is>
          <t>C10070</t>
        </is>
      </c>
      <c r="D5919" t="inlineStr">
        <is>
          <t>SKU-10191</t>
        </is>
      </c>
      <c r="E5919" t="inlineStr">
        <is>
          <t>AM11</t>
        </is>
      </c>
      <c r="F5919" s="5" t="n">
        <v>47.25</v>
      </c>
      <c r="G5919">
        <f>IF(LEFT(B5919,1)="C","Credit","Factuur")</f>
        <v/>
      </c>
      <c r="H5919">
        <f>IF(AND(B5919=B5918,D5919=D5918,A5919=A5918,F5919=F5918),1,0)</f>
        <v/>
      </c>
      <c r="I5919">
        <f>IF(C5919="C99999",1,0)</f>
        <v/>
      </c>
      <c r="J5919" s="5">
        <f>IF(OR(H5919=1,I5919=1),0,IF(G5919="Credit",-F5919,F5919))</f>
        <v/>
      </c>
    </row>
    <row r="5920">
      <c r="A5920" t="inlineStr">
        <is>
          <t>2026-08-28</t>
        </is>
      </c>
      <c r="B5920" t="inlineStr">
        <is>
          <t>F261279</t>
        </is>
      </c>
      <c r="C5920" t="inlineStr">
        <is>
          <t>C10070</t>
        </is>
      </c>
      <c r="D5920" t="inlineStr">
        <is>
          <t>SKU-10194</t>
        </is>
      </c>
      <c r="E5920" t="inlineStr">
        <is>
          <t>AM11</t>
        </is>
      </c>
      <c r="F5920" s="5" t="n">
        <v>39.17</v>
      </c>
      <c r="G5920">
        <f>IF(LEFT(B5920,1)="C","Credit","Factuur")</f>
        <v/>
      </c>
      <c r="H5920">
        <f>IF(AND(B5920=B5919,D5920=D5919,A5920=A5919,F5920=F5919),1,0)</f>
        <v/>
      </c>
      <c r="I5920">
        <f>IF(C5920="C99999",1,0)</f>
        <v/>
      </c>
      <c r="J5920" s="5">
        <f>IF(OR(H5920=1,I5920=1),0,IF(G5920="Credit",-F5920,F5920))</f>
        <v/>
      </c>
    </row>
    <row r="5921">
      <c r="A5921" t="inlineStr">
        <is>
          <t>2026-08-28</t>
        </is>
      </c>
      <c r="B5921" t="inlineStr">
        <is>
          <t>F261605</t>
        </is>
      </c>
      <c r="C5921" t="inlineStr">
        <is>
          <t>C10085</t>
        </is>
      </c>
      <c r="D5921" t="inlineStr">
        <is>
          <t>SKU-10012</t>
        </is>
      </c>
      <c r="E5921" t="inlineStr">
        <is>
          <t>AM01</t>
        </is>
      </c>
      <c r="F5921" s="5" t="n">
        <v>2297.52</v>
      </c>
      <c r="G5921">
        <f>IF(LEFT(B5921,1)="C","Credit","Factuur")</f>
        <v/>
      </c>
      <c r="H5921">
        <f>IF(AND(B5921=B5920,D5921=D5920,A5921=A5920,F5921=F5920),1,0)</f>
        <v/>
      </c>
      <c r="I5921">
        <f>IF(C5921="C99999",1,0)</f>
        <v/>
      </c>
      <c r="J5921" s="5">
        <f>IF(OR(H5921=1,I5921=1),0,IF(G5921="Credit",-F5921,F5921))</f>
        <v/>
      </c>
    </row>
    <row r="5922">
      <c r="A5922" t="inlineStr">
        <is>
          <t>2026-08-28</t>
        </is>
      </c>
      <c r="B5922" t="inlineStr">
        <is>
          <t>F261605</t>
        </is>
      </c>
      <c r="C5922" t="inlineStr">
        <is>
          <t>C10085</t>
        </is>
      </c>
      <c r="D5922" t="inlineStr">
        <is>
          <t>SKU-10214</t>
        </is>
      </c>
      <c r="E5922" t="inlineStr">
        <is>
          <t>AM01</t>
        </is>
      </c>
      <c r="F5922" s="5" t="n">
        <v>2173.75</v>
      </c>
      <c r="G5922">
        <f>IF(LEFT(B5922,1)="C","Credit","Factuur")</f>
        <v/>
      </c>
      <c r="H5922">
        <f>IF(AND(B5922=B5921,D5922=D5921,A5922=A5921,F5922=F5921),1,0)</f>
        <v/>
      </c>
      <c r="I5922">
        <f>IF(C5922="C99999",1,0)</f>
        <v/>
      </c>
      <c r="J5922" s="5">
        <f>IF(OR(H5922=1,I5922=1),0,IF(G5922="Credit",-F5922,F5922))</f>
        <v/>
      </c>
    </row>
    <row r="5923">
      <c r="A5923" t="inlineStr">
        <is>
          <t>2026-08-28</t>
        </is>
      </c>
      <c r="B5923" t="inlineStr">
        <is>
          <t>F261711</t>
        </is>
      </c>
      <c r="C5923" t="inlineStr">
        <is>
          <t>C10089</t>
        </is>
      </c>
      <c r="D5923" t="inlineStr">
        <is>
          <t>SKU-10045</t>
        </is>
      </c>
      <c r="E5923" t="inlineStr"/>
      <c r="F5923" s="5" t="n">
        <v>77.81999999999999</v>
      </c>
      <c r="G5923">
        <f>IF(LEFT(B5923,1)="C","Credit","Factuur")</f>
        <v/>
      </c>
      <c r="H5923">
        <f>IF(AND(B5923=B5922,D5923=D5922,A5923=A5922,F5923=F5922),1,0)</f>
        <v/>
      </c>
      <c r="I5923">
        <f>IF(C5923="C99999",1,0)</f>
        <v/>
      </c>
      <c r="J5923" s="5">
        <f>IF(OR(H5923=1,I5923=1),0,IF(G5923="Credit",-F5923,F5923))</f>
        <v/>
      </c>
    </row>
    <row r="5924">
      <c r="A5924" t="inlineStr">
        <is>
          <t>2026-08-28</t>
        </is>
      </c>
      <c r="B5924" t="inlineStr">
        <is>
          <t>F261711</t>
        </is>
      </c>
      <c r="C5924" t="inlineStr">
        <is>
          <t>C10089</t>
        </is>
      </c>
      <c r="D5924" t="inlineStr">
        <is>
          <t>SKU-10144</t>
        </is>
      </c>
      <c r="E5924" t="inlineStr">
        <is>
          <t>IS02</t>
        </is>
      </c>
      <c r="F5924" s="5" t="n">
        <v>112.5</v>
      </c>
      <c r="G5924">
        <f>IF(LEFT(B5924,1)="C","Credit","Factuur")</f>
        <v/>
      </c>
      <c r="H5924">
        <f>IF(AND(B5924=B5923,D5924=D5923,A5924=A5923,F5924=F5923),1,0)</f>
        <v/>
      </c>
      <c r="I5924">
        <f>IF(C5924="C99999",1,0)</f>
        <v/>
      </c>
      <c r="J5924" s="5">
        <f>IF(OR(H5924=1,I5924=1),0,IF(G5924="Credit",-F5924,F5924))</f>
        <v/>
      </c>
    </row>
    <row r="5925">
      <c r="A5925" t="inlineStr">
        <is>
          <t>2026-08-28</t>
        </is>
      </c>
      <c r="B5925" t="inlineStr">
        <is>
          <t>F261711</t>
        </is>
      </c>
      <c r="C5925" t="inlineStr">
        <is>
          <t>C10089</t>
        </is>
      </c>
      <c r="D5925" t="inlineStr">
        <is>
          <t>SKU-10215</t>
        </is>
      </c>
      <c r="E5925" t="inlineStr">
        <is>
          <t>IS02</t>
        </is>
      </c>
      <c r="F5925" s="5" t="n">
        <v>82.08</v>
      </c>
      <c r="G5925">
        <f>IF(LEFT(B5925,1)="C","Credit","Factuur")</f>
        <v/>
      </c>
      <c r="H5925">
        <f>IF(AND(B5925=B5924,D5925=D5924,A5925=A5924,F5925=F5924),1,0)</f>
        <v/>
      </c>
      <c r="I5925">
        <f>IF(C5925="C99999",1,0)</f>
        <v/>
      </c>
      <c r="J5925" s="5">
        <f>IF(OR(H5925=1,I5925=1),0,IF(G5925="Credit",-F5925,F5925))</f>
        <v/>
      </c>
    </row>
    <row r="5926">
      <c r="A5926" t="inlineStr">
        <is>
          <t>2026-08-28</t>
        </is>
      </c>
      <c r="B5926" t="inlineStr">
        <is>
          <t>F261711</t>
        </is>
      </c>
      <c r="C5926" t="inlineStr">
        <is>
          <t>C10089</t>
        </is>
      </c>
      <c r="D5926" t="inlineStr">
        <is>
          <t>SKU-10317</t>
        </is>
      </c>
      <c r="E5926" t="inlineStr">
        <is>
          <t>IS02</t>
        </is>
      </c>
      <c r="F5926" s="5" t="n">
        <v>83.13</v>
      </c>
      <c r="G5926">
        <f>IF(LEFT(B5926,1)="C","Credit","Factuur")</f>
        <v/>
      </c>
      <c r="H5926">
        <f>IF(AND(B5926=B5925,D5926=D5925,A5926=A5925,F5926=F5925),1,0)</f>
        <v/>
      </c>
      <c r="I5926">
        <f>IF(C5926="C99999",1,0)</f>
        <v/>
      </c>
      <c r="J5926" s="5">
        <f>IF(OR(H5926=1,I5926=1),0,IF(G5926="Credit",-F5926,F5926))</f>
        <v/>
      </c>
    </row>
    <row r="5927">
      <c r="A5927" t="inlineStr">
        <is>
          <t>2026-08-28</t>
        </is>
      </c>
      <c r="B5927" t="inlineStr">
        <is>
          <t>F262259</t>
        </is>
      </c>
      <c r="C5927" t="inlineStr">
        <is>
          <t>C10120</t>
        </is>
      </c>
      <c r="D5927" t="inlineStr">
        <is>
          <t>SKU-10019</t>
        </is>
      </c>
      <c r="E5927" t="inlineStr">
        <is>
          <t>AM02</t>
        </is>
      </c>
      <c r="F5927" s="5" t="n">
        <v>232.37</v>
      </c>
      <c r="G5927">
        <f>IF(LEFT(B5927,1)="C","Credit","Factuur")</f>
        <v/>
      </c>
      <c r="H5927">
        <f>IF(AND(B5927=B5926,D5927=D5926,A5927=A5926,F5927=F5926),1,0)</f>
        <v/>
      </c>
      <c r="I5927">
        <f>IF(C5927="C99999",1,0)</f>
        <v/>
      </c>
      <c r="J5927" s="5">
        <f>IF(OR(H5927=1,I5927=1),0,IF(G5927="Credit",-F5927,F5927))</f>
        <v/>
      </c>
    </row>
    <row r="5928">
      <c r="A5928" t="inlineStr">
        <is>
          <t>2026-08-28</t>
        </is>
      </c>
      <c r="B5928" t="inlineStr">
        <is>
          <t>F262259</t>
        </is>
      </c>
      <c r="C5928" t="inlineStr">
        <is>
          <t>C10120</t>
        </is>
      </c>
      <c r="D5928" t="inlineStr">
        <is>
          <t>SKU-10307</t>
        </is>
      </c>
      <c r="E5928" t="inlineStr">
        <is>
          <t>AM02</t>
        </is>
      </c>
      <c r="F5928" s="5" t="n">
        <v>257.26</v>
      </c>
      <c r="G5928">
        <f>IF(LEFT(B5928,1)="C","Credit","Factuur")</f>
        <v/>
      </c>
      <c r="H5928">
        <f>IF(AND(B5928=B5927,D5928=D5927,A5928=A5927,F5928=F5927),1,0)</f>
        <v/>
      </c>
      <c r="I5928">
        <f>IF(C5928="C99999",1,0)</f>
        <v/>
      </c>
      <c r="J5928" s="5">
        <f>IF(OR(H5928=1,I5928=1),0,IF(G5928="Credit",-F5928,F5928))</f>
        <v/>
      </c>
    </row>
    <row r="5929">
      <c r="A5929" t="inlineStr">
        <is>
          <t>2026-08-28</t>
        </is>
      </c>
      <c r="B5929" t="inlineStr">
        <is>
          <t>F262352</t>
        </is>
      </c>
      <c r="C5929" t="inlineStr">
        <is>
          <t>C10125</t>
        </is>
      </c>
      <c r="D5929" t="inlineStr">
        <is>
          <t>SKU-10004</t>
        </is>
      </c>
      <c r="E5929" t="inlineStr">
        <is>
          <t>AM03</t>
        </is>
      </c>
      <c r="F5929" s="5" t="n">
        <v>94.02</v>
      </c>
      <c r="G5929">
        <f>IF(LEFT(B5929,1)="C","Credit","Factuur")</f>
        <v/>
      </c>
      <c r="H5929">
        <f>IF(AND(B5929=B5928,D5929=D5928,A5929=A5928,F5929=F5928),1,0)</f>
        <v/>
      </c>
      <c r="I5929">
        <f>IF(C5929="C99999",1,0)</f>
        <v/>
      </c>
      <c r="J5929" s="5">
        <f>IF(OR(H5929=1,I5929=1),0,IF(G5929="Credit",-F5929,F5929))</f>
        <v/>
      </c>
    </row>
    <row r="5930">
      <c r="A5930" t="inlineStr">
        <is>
          <t>2026-08-28</t>
        </is>
      </c>
      <c r="B5930" t="inlineStr">
        <is>
          <t>F262352</t>
        </is>
      </c>
      <c r="C5930" t="inlineStr">
        <is>
          <t>C10125</t>
        </is>
      </c>
      <c r="D5930" t="inlineStr">
        <is>
          <t>SKU-10053</t>
        </is>
      </c>
      <c r="E5930" t="inlineStr">
        <is>
          <t>AM03</t>
        </is>
      </c>
      <c r="F5930" s="5" t="n">
        <v>75</v>
      </c>
      <c r="G5930">
        <f>IF(LEFT(B5930,1)="C","Credit","Factuur")</f>
        <v/>
      </c>
      <c r="H5930">
        <f>IF(AND(B5930=B5929,D5930=D5929,A5930=A5929,F5930=F5929),1,0)</f>
        <v/>
      </c>
      <c r="I5930">
        <f>IF(C5930="C99999",1,0)</f>
        <v/>
      </c>
      <c r="J5930" s="5">
        <f>IF(OR(H5930=1,I5930=1),0,IF(G5930="Credit",-F5930,F5930))</f>
        <v/>
      </c>
    </row>
    <row r="5931">
      <c r="A5931" t="inlineStr">
        <is>
          <t>2026-08-28</t>
        </is>
      </c>
      <c r="B5931" t="inlineStr">
        <is>
          <t>F262352</t>
        </is>
      </c>
      <c r="C5931" t="inlineStr">
        <is>
          <t>C10125</t>
        </is>
      </c>
      <c r="D5931" t="inlineStr">
        <is>
          <t>SKU-10074</t>
        </is>
      </c>
      <c r="E5931" t="inlineStr">
        <is>
          <t>AM03</t>
        </is>
      </c>
      <c r="F5931" s="5" t="n">
        <v>50.53</v>
      </c>
      <c r="G5931">
        <f>IF(LEFT(B5931,1)="C","Credit","Factuur")</f>
        <v/>
      </c>
      <c r="H5931">
        <f>IF(AND(B5931=B5930,D5931=D5930,A5931=A5930,F5931=F5930),1,0)</f>
        <v/>
      </c>
      <c r="I5931">
        <f>IF(C5931="C99999",1,0)</f>
        <v/>
      </c>
      <c r="J5931" s="5">
        <f>IF(OR(H5931=1,I5931=1),0,IF(G5931="Credit",-F5931,F5931))</f>
        <v/>
      </c>
    </row>
    <row r="5932">
      <c r="A5932" t="inlineStr">
        <is>
          <t>2026-08-28</t>
        </is>
      </c>
      <c r="B5932" t="inlineStr">
        <is>
          <t>F262352</t>
        </is>
      </c>
      <c r="C5932" t="inlineStr">
        <is>
          <t>C10125</t>
        </is>
      </c>
      <c r="D5932" t="inlineStr">
        <is>
          <t>SKU-10196</t>
        </is>
      </c>
      <c r="E5932" t="inlineStr">
        <is>
          <t>AM03</t>
        </is>
      </c>
      <c r="F5932" s="5" t="n">
        <v>69.03</v>
      </c>
      <c r="G5932">
        <f>IF(LEFT(B5932,1)="C","Credit","Factuur")</f>
        <v/>
      </c>
      <c r="H5932">
        <f>IF(AND(B5932=B5931,D5932=D5931,A5932=A5931,F5932=F5931),1,0)</f>
        <v/>
      </c>
      <c r="I5932">
        <f>IF(C5932="C99999",1,0)</f>
        <v/>
      </c>
      <c r="J5932" s="5">
        <f>IF(OR(H5932=1,I5932=1),0,IF(G5932="Credit",-F5932,F5932))</f>
        <v/>
      </c>
    </row>
    <row r="5933">
      <c r="A5933" t="inlineStr">
        <is>
          <t>2026-08-28</t>
        </is>
      </c>
      <c r="B5933" t="inlineStr">
        <is>
          <t>F262352</t>
        </is>
      </c>
      <c r="C5933" t="inlineStr">
        <is>
          <t>C10125</t>
        </is>
      </c>
      <c r="D5933" t="inlineStr">
        <is>
          <t>SKU-10271</t>
        </is>
      </c>
      <c r="E5933" t="inlineStr">
        <is>
          <t>AM03</t>
        </is>
      </c>
      <c r="F5933" s="5" t="n">
        <v>66.5</v>
      </c>
      <c r="G5933">
        <f>IF(LEFT(B5933,1)="C","Credit","Factuur")</f>
        <v/>
      </c>
      <c r="H5933">
        <f>IF(AND(B5933=B5932,D5933=D5932,A5933=A5932,F5933=F5932),1,0)</f>
        <v/>
      </c>
      <c r="I5933">
        <f>IF(C5933="C99999",1,0)</f>
        <v/>
      </c>
      <c r="J5933" s="5">
        <f>IF(OR(H5933=1,I5933=1),0,IF(G5933="Credit",-F5933,F5933))</f>
        <v/>
      </c>
    </row>
    <row r="5934">
      <c r="A5934" t="inlineStr">
        <is>
          <t>2026-08-28</t>
        </is>
      </c>
      <c r="B5934" t="inlineStr">
        <is>
          <t>F262460</t>
        </is>
      </c>
      <c r="C5934" t="inlineStr">
        <is>
          <t>C10130</t>
        </is>
      </c>
      <c r="D5934" t="inlineStr">
        <is>
          <t>SKU-10271</t>
        </is>
      </c>
      <c r="E5934" t="inlineStr">
        <is>
          <t>AM01</t>
        </is>
      </c>
      <c r="F5934" s="5" t="n">
        <v>442.22</v>
      </c>
      <c r="G5934">
        <f>IF(LEFT(B5934,1)="C","Credit","Factuur")</f>
        <v/>
      </c>
      <c r="H5934">
        <f>IF(AND(B5934=B5933,D5934=D5933,A5934=A5933,F5934=F5933),1,0)</f>
        <v/>
      </c>
      <c r="I5934">
        <f>IF(C5934="C99999",1,0)</f>
        <v/>
      </c>
      <c r="J5934" s="5">
        <f>IF(OR(H5934=1,I5934=1),0,IF(G5934="Credit",-F5934,F5934))</f>
        <v/>
      </c>
    </row>
    <row r="5935">
      <c r="A5935" t="inlineStr">
        <is>
          <t>2026-08-28</t>
        </is>
      </c>
      <c r="B5935" t="inlineStr">
        <is>
          <t>F262460</t>
        </is>
      </c>
      <c r="C5935" t="inlineStr">
        <is>
          <t>C10130</t>
        </is>
      </c>
      <c r="D5935" t="inlineStr">
        <is>
          <t>SKU-10308</t>
        </is>
      </c>
      <c r="E5935" t="inlineStr">
        <is>
          <t>AM01</t>
        </is>
      </c>
      <c r="F5935" s="5" t="n">
        <v>415.99</v>
      </c>
      <c r="G5935">
        <f>IF(LEFT(B5935,1)="C","Credit","Factuur")</f>
        <v/>
      </c>
      <c r="H5935">
        <f>IF(AND(B5935=B5934,D5935=D5934,A5935=A5934,F5935=F5934),1,0)</f>
        <v/>
      </c>
      <c r="I5935">
        <f>IF(C5935="C99999",1,0)</f>
        <v/>
      </c>
      <c r="J5935" s="5">
        <f>IF(OR(H5935=1,I5935=1),0,IF(G5935="Credit",-F5935,F5935))</f>
        <v/>
      </c>
    </row>
    <row r="5936">
      <c r="A5936" t="inlineStr">
        <is>
          <t>2026-08-28</t>
        </is>
      </c>
      <c r="B5936" t="inlineStr">
        <is>
          <t>F262553</t>
        </is>
      </c>
      <c r="C5936" t="inlineStr">
        <is>
          <t>C10136</t>
        </is>
      </c>
      <c r="D5936" t="inlineStr">
        <is>
          <t>SKU-10020</t>
        </is>
      </c>
      <c r="E5936" t="inlineStr">
        <is>
          <t>AM11</t>
        </is>
      </c>
      <c r="F5936" s="5" t="n">
        <v>663</v>
      </c>
      <c r="G5936">
        <f>IF(LEFT(B5936,1)="C","Credit","Factuur")</f>
        <v/>
      </c>
      <c r="H5936">
        <f>IF(AND(B5936=B5935,D5936=D5935,A5936=A5935,F5936=F5935),1,0)</f>
        <v/>
      </c>
      <c r="I5936">
        <f>IF(C5936="C99999",1,0)</f>
        <v/>
      </c>
      <c r="J5936" s="5">
        <f>IF(OR(H5936=1,I5936=1),0,IF(G5936="Credit",-F5936,F5936))</f>
        <v/>
      </c>
    </row>
    <row r="5937">
      <c r="A5937" t="inlineStr">
        <is>
          <t>2026-08-28</t>
        </is>
      </c>
      <c r="B5937" t="inlineStr">
        <is>
          <t>F262553</t>
        </is>
      </c>
      <c r="C5937" t="inlineStr">
        <is>
          <t>C10136</t>
        </is>
      </c>
      <c r="D5937" t="inlineStr">
        <is>
          <t>SKU-10123</t>
        </is>
      </c>
      <c r="E5937" t="inlineStr">
        <is>
          <t>AM11</t>
        </is>
      </c>
      <c r="F5937" s="5" t="n">
        <v>651</v>
      </c>
      <c r="G5937">
        <f>IF(LEFT(B5937,1)="C","Credit","Factuur")</f>
        <v/>
      </c>
      <c r="H5937">
        <f>IF(AND(B5937=B5936,D5937=D5936,A5937=A5936,F5937=F5936),1,0)</f>
        <v/>
      </c>
      <c r="I5937">
        <f>IF(C5937="C99999",1,0)</f>
        <v/>
      </c>
      <c r="J5937" s="5">
        <f>IF(OR(H5937=1,I5937=1),0,IF(G5937="Credit",-F5937,F5937))</f>
        <v/>
      </c>
    </row>
    <row r="5938">
      <c r="A5938" t="inlineStr">
        <is>
          <t>2026-08-28</t>
        </is>
      </c>
      <c r="B5938" t="inlineStr">
        <is>
          <t>F262844</t>
        </is>
      </c>
      <c r="C5938" t="inlineStr">
        <is>
          <t>C10153</t>
        </is>
      </c>
      <c r="D5938" t="inlineStr">
        <is>
          <t>SKU-10267</t>
        </is>
      </c>
      <c r="E5938" t="inlineStr">
        <is>
          <t>AM02</t>
        </is>
      </c>
      <c r="F5938" s="5" t="n">
        <v>695.03</v>
      </c>
      <c r="G5938">
        <f>IF(LEFT(B5938,1)="C","Credit","Factuur")</f>
        <v/>
      </c>
      <c r="H5938">
        <f>IF(AND(B5938=B5937,D5938=D5937,A5938=A5937,F5938=F5937),1,0)</f>
        <v/>
      </c>
      <c r="I5938">
        <f>IF(C5938="C99999",1,0)</f>
        <v/>
      </c>
      <c r="J5938" s="5">
        <f>IF(OR(H5938=1,I5938=1),0,IF(G5938="Credit",-F5938,F5938))</f>
        <v/>
      </c>
    </row>
    <row r="5939">
      <c r="A5939" t="inlineStr">
        <is>
          <t>2026-08-28</t>
        </is>
      </c>
      <c r="B5939" t="inlineStr">
        <is>
          <t>F262844</t>
        </is>
      </c>
      <c r="C5939" t="inlineStr">
        <is>
          <t>C10153</t>
        </is>
      </c>
      <c r="D5939" t="inlineStr">
        <is>
          <t>SKU-10294</t>
        </is>
      </c>
      <c r="E5939" t="inlineStr">
        <is>
          <t>AM02</t>
        </is>
      </c>
      <c r="F5939" s="5" t="n">
        <v>737.4</v>
      </c>
      <c r="G5939">
        <f>IF(LEFT(B5939,1)="C","Credit","Factuur")</f>
        <v/>
      </c>
      <c r="H5939">
        <f>IF(AND(B5939=B5938,D5939=D5938,A5939=A5938,F5939=F5938),1,0)</f>
        <v/>
      </c>
      <c r="I5939">
        <f>IF(C5939="C99999",1,0)</f>
        <v/>
      </c>
      <c r="J5939" s="5">
        <f>IF(OR(H5939=1,I5939=1),0,IF(G5939="Credit",-F5939,F5939))</f>
        <v/>
      </c>
    </row>
    <row r="5940">
      <c r="A5940" t="inlineStr">
        <is>
          <t>2026-08-28</t>
        </is>
      </c>
      <c r="B5940" t="inlineStr">
        <is>
          <t>F262849</t>
        </is>
      </c>
      <c r="C5940" t="inlineStr">
        <is>
          <t>C10153</t>
        </is>
      </c>
      <c r="D5940" t="inlineStr">
        <is>
          <t>SKU-10211</t>
        </is>
      </c>
      <c r="E5940" t="inlineStr">
        <is>
          <t>AM02</t>
        </is>
      </c>
      <c r="F5940" s="5" t="n">
        <v>370.48</v>
      </c>
      <c r="G5940">
        <f>IF(LEFT(B5940,1)="C","Credit","Factuur")</f>
        <v/>
      </c>
      <c r="H5940">
        <f>IF(AND(B5940=B5939,D5940=D5939,A5940=A5939,F5940=F5939),1,0)</f>
        <v/>
      </c>
      <c r="I5940">
        <f>IF(C5940="C99999",1,0)</f>
        <v/>
      </c>
      <c r="J5940" s="5">
        <f>IF(OR(H5940=1,I5940=1),0,IF(G5940="Credit",-F5940,F5940))</f>
        <v/>
      </c>
    </row>
    <row r="5941">
      <c r="A5941" t="inlineStr">
        <is>
          <t>2026-08-28</t>
        </is>
      </c>
      <c r="B5941" t="inlineStr">
        <is>
          <t>F262849</t>
        </is>
      </c>
      <c r="C5941" t="inlineStr">
        <is>
          <t>C10153</t>
        </is>
      </c>
      <c r="D5941" t="inlineStr">
        <is>
          <t>SKU-10264</t>
        </is>
      </c>
      <c r="E5941" t="inlineStr">
        <is>
          <t>AM02</t>
        </is>
      </c>
      <c r="F5941" s="5" t="n">
        <v>400.44</v>
      </c>
      <c r="G5941">
        <f>IF(LEFT(B5941,1)="C","Credit","Factuur")</f>
        <v/>
      </c>
      <c r="H5941">
        <f>IF(AND(B5941=B5940,D5941=D5940,A5941=A5940,F5941=F5940),1,0)</f>
        <v/>
      </c>
      <c r="I5941">
        <f>IF(C5941="C99999",1,0)</f>
        <v/>
      </c>
      <c r="J5941" s="5">
        <f>IF(OR(H5941=1,I5941=1),0,IF(G5941="Credit",-F5941,F5941))</f>
        <v/>
      </c>
    </row>
    <row r="5942">
      <c r="A5942" t="inlineStr">
        <is>
          <t>2026-08-28</t>
        </is>
      </c>
      <c r="B5942" t="inlineStr">
        <is>
          <t>F262849</t>
        </is>
      </c>
      <c r="C5942" t="inlineStr">
        <is>
          <t>C10153</t>
        </is>
      </c>
      <c r="D5942" t="inlineStr">
        <is>
          <t>SKU-10274</t>
        </is>
      </c>
      <c r="E5942" t="inlineStr">
        <is>
          <t>AM02</t>
        </is>
      </c>
      <c r="F5942" s="5" t="n">
        <v>385.05</v>
      </c>
      <c r="G5942">
        <f>IF(LEFT(B5942,1)="C","Credit","Factuur")</f>
        <v/>
      </c>
      <c r="H5942">
        <f>IF(AND(B5942=B5941,D5942=D5941,A5942=A5941,F5942=F5941),1,0)</f>
        <v/>
      </c>
      <c r="I5942">
        <f>IF(C5942="C99999",1,0)</f>
        <v/>
      </c>
      <c r="J5942" s="5">
        <f>IF(OR(H5942=1,I5942=1),0,IF(G5942="Credit",-F5942,F5942))</f>
        <v/>
      </c>
    </row>
    <row r="5943">
      <c r="A5943" t="inlineStr">
        <is>
          <t>2026-08-28</t>
        </is>
      </c>
      <c r="B5943" t="inlineStr">
        <is>
          <t>F262855</t>
        </is>
      </c>
      <c r="C5943" t="inlineStr">
        <is>
          <t>C10153</t>
        </is>
      </c>
      <c r="D5943" t="inlineStr">
        <is>
          <t>SKU-10122</t>
        </is>
      </c>
      <c r="E5943" t="inlineStr">
        <is>
          <t>AM02</t>
        </is>
      </c>
      <c r="F5943" s="5" t="n">
        <v>1190.4</v>
      </c>
      <c r="G5943">
        <f>IF(LEFT(B5943,1)="C","Credit","Factuur")</f>
        <v/>
      </c>
      <c r="H5943">
        <f>IF(AND(B5943=B5942,D5943=D5942,A5943=A5942,F5943=F5942),1,0)</f>
        <v/>
      </c>
      <c r="I5943">
        <f>IF(C5943="C99999",1,0)</f>
        <v/>
      </c>
      <c r="J5943" s="5">
        <f>IF(OR(H5943=1,I5943=1),0,IF(G5943="Credit",-F5943,F5943))</f>
        <v/>
      </c>
    </row>
    <row r="5944">
      <c r="A5944" t="inlineStr">
        <is>
          <t>2026-08-28</t>
        </is>
      </c>
      <c r="B5944" t="inlineStr">
        <is>
          <t>F262864</t>
        </is>
      </c>
      <c r="C5944" t="inlineStr">
        <is>
          <t>C10155</t>
        </is>
      </c>
      <c r="D5944" t="inlineStr">
        <is>
          <t>SKU-10067</t>
        </is>
      </c>
      <c r="E5944" t="inlineStr">
        <is>
          <t>AM06</t>
        </is>
      </c>
      <c r="F5944" s="5" t="n">
        <v>1741.8</v>
      </c>
      <c r="G5944">
        <f>IF(LEFT(B5944,1)="C","Credit","Factuur")</f>
        <v/>
      </c>
      <c r="H5944">
        <f>IF(AND(B5944=B5943,D5944=D5943,A5944=A5943,F5944=F5943),1,0)</f>
        <v/>
      </c>
      <c r="I5944">
        <f>IF(C5944="C99999",1,0)</f>
        <v/>
      </c>
      <c r="J5944" s="5">
        <f>IF(OR(H5944=1,I5944=1),0,IF(G5944="Credit",-F5944,F5944))</f>
        <v/>
      </c>
    </row>
    <row r="5945">
      <c r="A5945" t="inlineStr">
        <is>
          <t>2026-08-28</t>
        </is>
      </c>
      <c r="B5945" t="inlineStr">
        <is>
          <t>F263037</t>
        </is>
      </c>
      <c r="C5945" t="inlineStr">
        <is>
          <t>C10163</t>
        </is>
      </c>
      <c r="D5945" t="inlineStr">
        <is>
          <t>SKU-10054</t>
        </is>
      </c>
      <c r="E5945" t="inlineStr">
        <is>
          <t>AM03</t>
        </is>
      </c>
      <c r="F5945" s="5" t="n">
        <v>845.3200000000001</v>
      </c>
      <c r="G5945">
        <f>IF(LEFT(B5945,1)="C","Credit","Factuur")</f>
        <v/>
      </c>
      <c r="H5945">
        <f>IF(AND(B5945=B5944,D5945=D5944,A5945=A5944,F5945=F5944),1,0)</f>
        <v/>
      </c>
      <c r="I5945">
        <f>IF(C5945="C99999",1,0)</f>
        <v/>
      </c>
      <c r="J5945" s="5">
        <f>IF(OR(H5945=1,I5945=1),0,IF(G5945="Credit",-F5945,F5945))</f>
        <v/>
      </c>
    </row>
    <row r="5946">
      <c r="A5946" t="inlineStr">
        <is>
          <t>2026-08-28</t>
        </is>
      </c>
      <c r="B5946" t="inlineStr">
        <is>
          <t>F263037</t>
        </is>
      </c>
      <c r="C5946" t="inlineStr">
        <is>
          <t>C10163</t>
        </is>
      </c>
      <c r="D5946" t="inlineStr">
        <is>
          <t>SKU-10325</t>
        </is>
      </c>
      <c r="E5946" t="inlineStr">
        <is>
          <t>AM03</t>
        </is>
      </c>
      <c r="F5946" s="5" t="n">
        <v>805.41</v>
      </c>
      <c r="G5946">
        <f>IF(LEFT(B5946,1)="C","Credit","Factuur")</f>
        <v/>
      </c>
      <c r="H5946">
        <f>IF(AND(B5946=B5945,D5946=D5945,A5946=A5945,F5946=F5945),1,0)</f>
        <v/>
      </c>
      <c r="I5946">
        <f>IF(C5946="C99999",1,0)</f>
        <v/>
      </c>
      <c r="J5946" s="5">
        <f>IF(OR(H5946=1,I5946=1),0,IF(G5946="Credit",-F5946,F5946))</f>
        <v/>
      </c>
    </row>
    <row r="5947">
      <c r="A5947" t="inlineStr">
        <is>
          <t>2026-08-28</t>
        </is>
      </c>
      <c r="B5947" t="inlineStr">
        <is>
          <t>F263151</t>
        </is>
      </c>
      <c r="C5947" t="inlineStr">
        <is>
          <t>C10168</t>
        </is>
      </c>
      <c r="D5947" t="inlineStr">
        <is>
          <t>SKU-10307</t>
        </is>
      </c>
      <c r="E5947" t="inlineStr">
        <is>
          <t>AM02</t>
        </is>
      </c>
      <c r="F5947" s="5" t="n">
        <v>1015.5</v>
      </c>
      <c r="G5947">
        <f>IF(LEFT(B5947,1)="C","Credit","Factuur")</f>
        <v/>
      </c>
      <c r="H5947">
        <f>IF(AND(B5947=B5946,D5947=D5946,A5947=A5946,F5947=F5946),1,0)</f>
        <v/>
      </c>
      <c r="I5947">
        <f>IF(C5947="C99999",1,0)</f>
        <v/>
      </c>
      <c r="J5947" s="5">
        <f>IF(OR(H5947=1,I5947=1),0,IF(G5947="Credit",-F5947,F5947))</f>
        <v/>
      </c>
    </row>
    <row r="5948">
      <c r="A5948" t="inlineStr">
        <is>
          <t>2026-08-28</t>
        </is>
      </c>
      <c r="B5948" t="inlineStr">
        <is>
          <t>F263844</t>
        </is>
      </c>
      <c r="C5948" t="inlineStr">
        <is>
          <t>C10205</t>
        </is>
      </c>
      <c r="D5948" t="inlineStr">
        <is>
          <t>SKU-10182</t>
        </is>
      </c>
      <c r="E5948" t="inlineStr">
        <is>
          <t>AM12</t>
        </is>
      </c>
      <c r="F5948" s="5" t="n">
        <v>558.33</v>
      </c>
      <c r="G5948">
        <f>IF(LEFT(B5948,1)="C","Credit","Factuur")</f>
        <v/>
      </c>
      <c r="H5948">
        <f>IF(AND(B5948=B5947,D5948=D5947,A5948=A5947,F5948=F5947),1,0)</f>
        <v/>
      </c>
      <c r="I5948">
        <f>IF(C5948="C99999",1,0)</f>
        <v/>
      </c>
      <c r="J5948" s="5">
        <f>IF(OR(H5948=1,I5948=1),0,IF(G5948="Credit",-F5948,F5948))</f>
        <v/>
      </c>
    </row>
    <row r="5949">
      <c r="A5949" t="inlineStr">
        <is>
          <t>2026-08-28</t>
        </is>
      </c>
      <c r="B5949" t="inlineStr">
        <is>
          <t>F263844</t>
        </is>
      </c>
      <c r="C5949" t="inlineStr">
        <is>
          <t>C10205</t>
        </is>
      </c>
      <c r="D5949" t="inlineStr">
        <is>
          <t>SKU-10192</t>
        </is>
      </c>
      <c r="E5949" t="inlineStr">
        <is>
          <t>AM12</t>
        </is>
      </c>
      <c r="F5949" s="5" t="n">
        <v>556.96</v>
      </c>
      <c r="G5949">
        <f>IF(LEFT(B5949,1)="C","Credit","Factuur")</f>
        <v/>
      </c>
      <c r="H5949">
        <f>IF(AND(B5949=B5948,D5949=D5948,A5949=A5948,F5949=F5948),1,0)</f>
        <v/>
      </c>
      <c r="I5949">
        <f>IF(C5949="C99999",1,0)</f>
        <v/>
      </c>
      <c r="J5949" s="5">
        <f>IF(OR(H5949=1,I5949=1),0,IF(G5949="Credit",-F5949,F5949))</f>
        <v/>
      </c>
    </row>
    <row r="5950">
      <c r="A5950" t="inlineStr">
        <is>
          <t>2026-08-28</t>
        </is>
      </c>
      <c r="B5950" t="inlineStr">
        <is>
          <t>F263864</t>
        </is>
      </c>
      <c r="C5950" t="inlineStr">
        <is>
          <t>C10205</t>
        </is>
      </c>
      <c r="D5950" t="inlineStr">
        <is>
          <t>SKU-10197</t>
        </is>
      </c>
      <c r="E5950" t="inlineStr">
        <is>
          <t>AM12</t>
        </is>
      </c>
      <c r="F5950" s="5" t="n">
        <v>162.3</v>
      </c>
      <c r="G5950">
        <f>IF(LEFT(B5950,1)="C","Credit","Factuur")</f>
        <v/>
      </c>
      <c r="H5950">
        <f>IF(AND(B5950=B5949,D5950=D5949,A5950=A5949,F5950=F5949),1,0)</f>
        <v/>
      </c>
      <c r="I5950">
        <f>IF(C5950="C99999",1,0)</f>
        <v/>
      </c>
      <c r="J5950" s="5">
        <f>IF(OR(H5950=1,I5950=1),0,IF(G5950="Credit",-F5950,F5950))</f>
        <v/>
      </c>
    </row>
    <row r="5951">
      <c r="A5951" t="inlineStr">
        <is>
          <t>2026-08-28</t>
        </is>
      </c>
      <c r="B5951" t="inlineStr">
        <is>
          <t>F263864</t>
        </is>
      </c>
      <c r="C5951" t="inlineStr">
        <is>
          <t>C10205</t>
        </is>
      </c>
      <c r="D5951" t="inlineStr">
        <is>
          <t>SKU-10204</t>
        </is>
      </c>
      <c r="E5951" t="inlineStr"/>
      <c r="F5951" s="5" t="n">
        <v>156.56</v>
      </c>
      <c r="G5951">
        <f>IF(LEFT(B5951,1)="C","Credit","Factuur")</f>
        <v/>
      </c>
      <c r="H5951">
        <f>IF(AND(B5951=B5950,D5951=D5950,A5951=A5950,F5951=F5950),1,0)</f>
        <v/>
      </c>
      <c r="I5951">
        <f>IF(C5951="C99999",1,0)</f>
        <v/>
      </c>
      <c r="J5951" s="5">
        <f>IF(OR(H5951=1,I5951=1),0,IF(G5951="Credit",-F5951,F5951))</f>
        <v/>
      </c>
    </row>
    <row r="5952">
      <c r="A5952" t="inlineStr">
        <is>
          <t>2026-08-28</t>
        </is>
      </c>
      <c r="B5952" t="inlineStr">
        <is>
          <t>F263864</t>
        </is>
      </c>
      <c r="C5952" t="inlineStr">
        <is>
          <t>C10205</t>
        </is>
      </c>
      <c r="D5952" t="inlineStr">
        <is>
          <t>SKU-10315</t>
        </is>
      </c>
      <c r="E5952" t="inlineStr">
        <is>
          <t>AM12</t>
        </is>
      </c>
      <c r="F5952" s="5" t="n">
        <v>163.35</v>
      </c>
      <c r="G5952">
        <f>IF(LEFT(B5952,1)="C","Credit","Factuur")</f>
        <v/>
      </c>
      <c r="H5952">
        <f>IF(AND(B5952=B5951,D5952=D5951,A5952=A5951,F5952=F5951),1,0)</f>
        <v/>
      </c>
      <c r="I5952">
        <f>IF(C5952="C99999",1,0)</f>
        <v/>
      </c>
      <c r="J5952" s="5">
        <f>IF(OR(H5952=1,I5952=1),0,IF(G5952="Credit",-F5952,F5952))</f>
        <v/>
      </c>
    </row>
    <row r="5953">
      <c r="A5953" t="inlineStr">
        <is>
          <t>2026-08-28</t>
        </is>
      </c>
      <c r="B5953" t="inlineStr">
        <is>
          <t>F263864</t>
        </is>
      </c>
      <c r="C5953" t="inlineStr">
        <is>
          <t>C10205</t>
        </is>
      </c>
      <c r="D5953" t="inlineStr">
        <is>
          <t>SKU-10343</t>
        </is>
      </c>
      <c r="E5953" t="inlineStr">
        <is>
          <t>AM12</t>
        </is>
      </c>
      <c r="F5953" s="5" t="n">
        <v>160.48</v>
      </c>
      <c r="G5953">
        <f>IF(LEFT(B5953,1)="C","Credit","Factuur")</f>
        <v/>
      </c>
      <c r="H5953">
        <f>IF(AND(B5953=B5952,D5953=D5952,A5953=A5952,F5953=F5952),1,0)</f>
        <v/>
      </c>
      <c r="I5953">
        <f>IF(C5953="C99999",1,0)</f>
        <v/>
      </c>
      <c r="J5953" s="5">
        <f>IF(OR(H5953=1,I5953=1),0,IF(G5953="Credit",-F5953,F5953))</f>
        <v/>
      </c>
    </row>
    <row r="5954">
      <c r="A5954" t="inlineStr">
        <is>
          <t>2026-08-28</t>
        </is>
      </c>
      <c r="B5954" t="inlineStr">
        <is>
          <t>F264596</t>
        </is>
      </c>
      <c r="C5954" t="inlineStr">
        <is>
          <t>C10239</t>
        </is>
      </c>
      <c r="D5954" t="inlineStr">
        <is>
          <t>SKU-10120</t>
        </is>
      </c>
      <c r="E5954" t="inlineStr">
        <is>
          <t>AM02</t>
        </is>
      </c>
      <c r="F5954" s="5" t="n">
        <v>134.81</v>
      </c>
      <c r="G5954">
        <f>IF(LEFT(B5954,1)="C","Credit","Factuur")</f>
        <v/>
      </c>
      <c r="H5954">
        <f>IF(AND(B5954=B5953,D5954=D5953,A5954=A5953,F5954=F5953),1,0)</f>
        <v/>
      </c>
      <c r="I5954">
        <f>IF(C5954="C99999",1,0)</f>
        <v/>
      </c>
      <c r="J5954" s="5">
        <f>IF(OR(H5954=1,I5954=1),0,IF(G5954="Credit",-F5954,F5954))</f>
        <v/>
      </c>
    </row>
    <row r="5955">
      <c r="A5955" t="inlineStr">
        <is>
          <t>2026-08-28</t>
        </is>
      </c>
      <c r="B5955" t="inlineStr">
        <is>
          <t>F264596</t>
        </is>
      </c>
      <c r="C5955" t="inlineStr">
        <is>
          <t>C10239</t>
        </is>
      </c>
      <c r="D5955" t="inlineStr">
        <is>
          <t>SKU-10340</t>
        </is>
      </c>
      <c r="E5955" t="inlineStr">
        <is>
          <t>AM02</t>
        </is>
      </c>
      <c r="F5955" s="5" t="n">
        <v>126.08</v>
      </c>
      <c r="G5955">
        <f>IF(LEFT(B5955,1)="C","Credit","Factuur")</f>
        <v/>
      </c>
      <c r="H5955">
        <f>IF(AND(B5955=B5954,D5955=D5954,A5955=A5954,F5955=F5954),1,0)</f>
        <v/>
      </c>
      <c r="I5955">
        <f>IF(C5955="C99999",1,0)</f>
        <v/>
      </c>
      <c r="J5955" s="5">
        <f>IF(OR(H5955=1,I5955=1),0,IF(G5955="Credit",-F5955,F5955))</f>
        <v/>
      </c>
    </row>
    <row r="5956">
      <c r="A5956" t="inlineStr">
        <is>
          <t>2026-08-28</t>
        </is>
      </c>
      <c r="B5956" t="inlineStr">
        <is>
          <t>F264649</t>
        </is>
      </c>
      <c r="C5956" t="inlineStr">
        <is>
          <t>C10242</t>
        </is>
      </c>
      <c r="D5956" t="inlineStr">
        <is>
          <t>SKU-10290</t>
        </is>
      </c>
      <c r="E5956" t="inlineStr">
        <is>
          <t>AM02</t>
        </is>
      </c>
      <c r="F5956" s="5" t="n">
        <v>640.1</v>
      </c>
      <c r="G5956">
        <f>IF(LEFT(B5956,1)="C","Credit","Factuur")</f>
        <v/>
      </c>
      <c r="H5956">
        <f>IF(AND(B5956=B5955,D5956=D5955,A5956=A5955,F5956=F5955),1,0)</f>
        <v/>
      </c>
      <c r="I5956">
        <f>IF(C5956="C99999",1,0)</f>
        <v/>
      </c>
      <c r="J5956" s="5">
        <f>IF(OR(H5956=1,I5956=1),0,IF(G5956="Credit",-F5956,F5956))</f>
        <v/>
      </c>
    </row>
    <row r="5957">
      <c r="A5957" t="inlineStr">
        <is>
          <t>2026-08-28</t>
        </is>
      </c>
      <c r="B5957" t="inlineStr">
        <is>
          <t>F264649</t>
        </is>
      </c>
      <c r="C5957" t="inlineStr">
        <is>
          <t>C10242</t>
        </is>
      </c>
      <c r="D5957" t="inlineStr">
        <is>
          <t>SKU-10296</t>
        </is>
      </c>
      <c r="E5957" t="inlineStr">
        <is>
          <t>AM02</t>
        </is>
      </c>
      <c r="F5957" s="5" t="n">
        <v>652.6</v>
      </c>
      <c r="G5957">
        <f>IF(LEFT(B5957,1)="C","Credit","Factuur")</f>
        <v/>
      </c>
      <c r="H5957">
        <f>IF(AND(B5957=B5956,D5957=D5956,A5957=A5956,F5957=F5956),1,0)</f>
        <v/>
      </c>
      <c r="I5957">
        <f>IF(C5957="C99999",1,0)</f>
        <v/>
      </c>
      <c r="J5957" s="5">
        <f>IF(OR(H5957=1,I5957=1),0,IF(G5957="Credit",-F5957,F5957))</f>
        <v/>
      </c>
    </row>
    <row r="5958">
      <c r="A5958" t="inlineStr">
        <is>
          <t>2026-08-28</t>
        </is>
      </c>
      <c r="B5958" t="inlineStr">
        <is>
          <t>F264649</t>
        </is>
      </c>
      <c r="C5958" t="inlineStr">
        <is>
          <t>C10242</t>
        </is>
      </c>
      <c r="D5958" t="inlineStr">
        <is>
          <t>SKU-10332</t>
        </is>
      </c>
      <c r="E5958" t="inlineStr">
        <is>
          <t>AM02</t>
        </is>
      </c>
      <c r="F5958" s="5" t="n">
        <v>651.04</v>
      </c>
      <c r="G5958">
        <f>IF(LEFT(B5958,1)="C","Credit","Factuur")</f>
        <v/>
      </c>
      <c r="H5958">
        <f>IF(AND(B5958=B5957,D5958=D5957,A5958=A5957,F5958=F5957),1,0)</f>
        <v/>
      </c>
      <c r="I5958">
        <f>IF(C5958="C99999",1,0)</f>
        <v/>
      </c>
      <c r="J5958" s="5">
        <f>IF(OR(H5958=1,I5958=1),0,IF(G5958="Credit",-F5958,F5958))</f>
        <v/>
      </c>
    </row>
    <row r="5959">
      <c r="A5959" t="inlineStr">
        <is>
          <t>2026-08-28</t>
        </is>
      </c>
      <c r="B5959" t="inlineStr">
        <is>
          <t>F264708</t>
        </is>
      </c>
      <c r="C5959" t="inlineStr">
        <is>
          <t>C10245</t>
        </is>
      </c>
      <c r="D5959" t="inlineStr">
        <is>
          <t>SKU-10258</t>
        </is>
      </c>
      <c r="E5959" t="inlineStr">
        <is>
          <t>IS01</t>
        </is>
      </c>
      <c r="F5959" s="5" t="n">
        <v>205.08</v>
      </c>
      <c r="G5959">
        <f>IF(LEFT(B5959,1)="C","Credit","Factuur")</f>
        <v/>
      </c>
      <c r="H5959">
        <f>IF(AND(B5959=B5958,D5959=D5958,A5959=A5958,F5959=F5958),1,0)</f>
        <v/>
      </c>
      <c r="I5959">
        <f>IF(C5959="C99999",1,0)</f>
        <v/>
      </c>
      <c r="J5959" s="5">
        <f>IF(OR(H5959=1,I5959=1),0,IF(G5959="Credit",-F5959,F5959))</f>
        <v/>
      </c>
    </row>
    <row r="5960">
      <c r="A5960" t="inlineStr">
        <is>
          <t>2026-08-28</t>
        </is>
      </c>
      <c r="B5960" t="inlineStr">
        <is>
          <t>F264837</t>
        </is>
      </c>
      <c r="C5960" t="inlineStr">
        <is>
          <t>C10252</t>
        </is>
      </c>
      <c r="D5960" t="inlineStr">
        <is>
          <t>SKU-10047</t>
        </is>
      </c>
      <c r="E5960" t="inlineStr">
        <is>
          <t>AM09</t>
        </is>
      </c>
      <c r="F5960" s="5" t="n">
        <v>7986.84</v>
      </c>
      <c r="G5960">
        <f>IF(LEFT(B5960,1)="C","Credit","Factuur")</f>
        <v/>
      </c>
      <c r="H5960">
        <f>IF(AND(B5960=B5959,D5960=D5959,A5960=A5959,F5960=F5959),1,0)</f>
        <v/>
      </c>
      <c r="I5960">
        <f>IF(C5960="C99999",1,0)</f>
        <v/>
      </c>
      <c r="J5960" s="5">
        <f>IF(OR(H5960=1,I5960=1),0,IF(G5960="Credit",-F5960,F5960))</f>
        <v/>
      </c>
    </row>
    <row r="5961">
      <c r="A5961" t="inlineStr">
        <is>
          <t>2026-08-28</t>
        </is>
      </c>
      <c r="B5961" t="inlineStr">
        <is>
          <t>F264837</t>
        </is>
      </c>
      <c r="C5961" t="inlineStr">
        <is>
          <t>C10252</t>
        </is>
      </c>
      <c r="D5961" t="inlineStr">
        <is>
          <t>SKU-10326</t>
        </is>
      </c>
      <c r="E5961" t="inlineStr">
        <is>
          <t>AM09</t>
        </is>
      </c>
      <c r="F5961" s="5" t="n">
        <v>7821</v>
      </c>
      <c r="G5961">
        <f>IF(LEFT(B5961,1)="C","Credit","Factuur")</f>
        <v/>
      </c>
      <c r="H5961">
        <f>IF(AND(B5961=B5960,D5961=D5960,A5961=A5960,F5961=F5960),1,0)</f>
        <v/>
      </c>
      <c r="I5961">
        <f>IF(C5961="C99999",1,0)</f>
        <v/>
      </c>
      <c r="J5961" s="5">
        <f>IF(OR(H5961=1,I5961=1),0,IF(G5961="Credit",-F5961,F5961))</f>
        <v/>
      </c>
    </row>
    <row r="5962">
      <c r="A5962" t="inlineStr">
        <is>
          <t>2026-08-28</t>
        </is>
      </c>
      <c r="B5962" t="inlineStr">
        <is>
          <t>F266061</t>
        </is>
      </c>
      <c r="C5962" t="inlineStr">
        <is>
          <t>C10317</t>
        </is>
      </c>
      <c r="D5962" t="inlineStr">
        <is>
          <t>SKU-10310</t>
        </is>
      </c>
      <c r="E5962" t="inlineStr">
        <is>
          <t>AM03</t>
        </is>
      </c>
      <c r="F5962" s="5" t="n">
        <v>223.9</v>
      </c>
      <c r="G5962">
        <f>IF(LEFT(B5962,1)="C","Credit","Factuur")</f>
        <v/>
      </c>
      <c r="H5962">
        <f>IF(AND(B5962=B5961,D5962=D5961,A5962=A5961,F5962=F5961),1,0)</f>
        <v/>
      </c>
      <c r="I5962">
        <f>IF(C5962="C99999",1,0)</f>
        <v/>
      </c>
      <c r="J5962" s="5">
        <f>IF(OR(H5962=1,I5962=1),0,IF(G5962="Credit",-F5962,F5962))</f>
        <v/>
      </c>
    </row>
    <row r="5963">
      <c r="A5963" t="inlineStr">
        <is>
          <t>2026-08-28</t>
        </is>
      </c>
      <c r="B5963" t="inlineStr">
        <is>
          <t>F266061</t>
        </is>
      </c>
      <c r="C5963" t="inlineStr">
        <is>
          <t>C10317</t>
        </is>
      </c>
      <c r="D5963" t="inlineStr">
        <is>
          <t>SKU-10358</t>
        </is>
      </c>
      <c r="E5963" t="inlineStr">
        <is>
          <t>AM03</t>
        </is>
      </c>
      <c r="F5963" s="5" t="n">
        <v>174.88</v>
      </c>
      <c r="G5963">
        <f>IF(LEFT(B5963,1)="C","Credit","Factuur")</f>
        <v/>
      </c>
      <c r="H5963">
        <f>IF(AND(B5963=B5962,D5963=D5962,A5963=A5962,F5963=F5962),1,0)</f>
        <v/>
      </c>
      <c r="I5963">
        <f>IF(C5963="C99999",1,0)</f>
        <v/>
      </c>
      <c r="J5963" s="5">
        <f>IF(OR(H5963=1,I5963=1),0,IF(G5963="Credit",-F5963,F5963))</f>
        <v/>
      </c>
    </row>
    <row r="5964">
      <c r="A5964" t="inlineStr">
        <is>
          <t>2026-08-28</t>
        </is>
      </c>
      <c r="B5964" t="inlineStr">
        <is>
          <t>F266365</t>
        </is>
      </c>
      <c r="C5964" t="inlineStr">
        <is>
          <t>C10335</t>
        </is>
      </c>
      <c r="D5964" t="inlineStr">
        <is>
          <t>SKU-10119</t>
        </is>
      </c>
      <c r="E5964" t="inlineStr">
        <is>
          <t>AM02</t>
        </is>
      </c>
      <c r="F5964" s="5" t="n">
        <v>978.49</v>
      </c>
      <c r="G5964">
        <f>IF(LEFT(B5964,1)="C","Credit","Factuur")</f>
        <v/>
      </c>
      <c r="H5964">
        <f>IF(AND(B5964=B5963,D5964=D5963,A5964=A5963,F5964=F5963),1,0)</f>
        <v/>
      </c>
      <c r="I5964">
        <f>IF(C5964="C99999",1,0)</f>
        <v/>
      </c>
      <c r="J5964" s="5">
        <f>IF(OR(H5964=1,I5964=1),0,IF(G5964="Credit",-F5964,F5964))</f>
        <v/>
      </c>
    </row>
    <row r="5965">
      <c r="A5965" t="inlineStr">
        <is>
          <t>2026-08-28</t>
        </is>
      </c>
      <c r="B5965" t="inlineStr">
        <is>
          <t>F266365</t>
        </is>
      </c>
      <c r="C5965" t="inlineStr">
        <is>
          <t>C10335</t>
        </is>
      </c>
      <c r="D5965" t="inlineStr">
        <is>
          <t>SKU-10306</t>
        </is>
      </c>
      <c r="E5965" t="inlineStr">
        <is>
          <t>AM02</t>
        </is>
      </c>
      <c r="F5965" s="5" t="n">
        <v>1056.62</v>
      </c>
      <c r="G5965">
        <f>IF(LEFT(B5965,1)="C","Credit","Factuur")</f>
        <v/>
      </c>
      <c r="H5965">
        <f>IF(AND(B5965=B5964,D5965=D5964,A5965=A5964,F5965=F5964),1,0)</f>
        <v/>
      </c>
      <c r="I5965">
        <f>IF(C5965="C99999",1,0)</f>
        <v/>
      </c>
      <c r="J5965" s="5">
        <f>IF(OR(H5965=1,I5965=1),0,IF(G5965="Credit",-F5965,F5965))</f>
        <v/>
      </c>
    </row>
    <row r="5966">
      <c r="A5966" t="inlineStr">
        <is>
          <t>2026-08-28</t>
        </is>
      </c>
      <c r="B5966" t="inlineStr">
        <is>
          <t>F266365</t>
        </is>
      </c>
      <c r="C5966" t="inlineStr">
        <is>
          <t>C10335</t>
        </is>
      </c>
      <c r="D5966" t="inlineStr">
        <is>
          <t>SKU-10330</t>
        </is>
      </c>
      <c r="E5966" t="inlineStr">
        <is>
          <t>AM02</t>
        </is>
      </c>
      <c r="F5966" s="5" t="n">
        <v>1046.73</v>
      </c>
      <c r="G5966">
        <f>IF(LEFT(B5966,1)="C","Credit","Factuur")</f>
        <v/>
      </c>
      <c r="H5966">
        <f>IF(AND(B5966=B5965,D5966=D5965,A5966=A5965,F5966=F5965),1,0)</f>
        <v/>
      </c>
      <c r="I5966">
        <f>IF(C5966="C99999",1,0)</f>
        <v/>
      </c>
      <c r="J5966" s="5">
        <f>IF(OR(H5966=1,I5966=1),0,IF(G5966="Credit",-F5966,F5966))</f>
        <v/>
      </c>
    </row>
    <row r="5967">
      <c r="A5967" t="inlineStr">
        <is>
          <t>2026-08-28</t>
        </is>
      </c>
      <c r="B5967" t="inlineStr">
        <is>
          <t>F266397</t>
        </is>
      </c>
      <c r="C5967" t="inlineStr">
        <is>
          <t>C10336</t>
        </is>
      </c>
      <c r="D5967" t="inlineStr">
        <is>
          <t>SKU-10040</t>
        </is>
      </c>
      <c r="E5967" t="inlineStr">
        <is>
          <t>AM01</t>
        </is>
      </c>
      <c r="F5967" s="5" t="n">
        <v>120.16</v>
      </c>
      <c r="G5967">
        <f>IF(LEFT(B5967,1)="C","Credit","Factuur")</f>
        <v/>
      </c>
      <c r="H5967">
        <f>IF(AND(B5967=B5966,D5967=D5966,A5967=A5966,F5967=F5966),1,0)</f>
        <v/>
      </c>
      <c r="I5967">
        <f>IF(C5967="C99999",1,0)</f>
        <v/>
      </c>
      <c r="J5967" s="5">
        <f>IF(OR(H5967=1,I5967=1),0,IF(G5967="Credit",-F5967,F5967))</f>
        <v/>
      </c>
    </row>
    <row r="5968">
      <c r="A5968" t="inlineStr">
        <is>
          <t>2026-08-28</t>
        </is>
      </c>
      <c r="B5968" t="inlineStr">
        <is>
          <t>F266397</t>
        </is>
      </c>
      <c r="C5968" t="inlineStr">
        <is>
          <t>C10336</t>
        </is>
      </c>
      <c r="D5968" t="inlineStr">
        <is>
          <t>SKU-10220</t>
        </is>
      </c>
      <c r="E5968" t="inlineStr">
        <is>
          <t>AM01</t>
        </is>
      </c>
      <c r="F5968" s="5" t="n">
        <v>120.36</v>
      </c>
      <c r="G5968">
        <f>IF(LEFT(B5968,1)="C","Credit","Factuur")</f>
        <v/>
      </c>
      <c r="H5968">
        <f>IF(AND(B5968=B5967,D5968=D5967,A5968=A5967,F5968=F5967),1,0)</f>
        <v/>
      </c>
      <c r="I5968">
        <f>IF(C5968="C99999",1,0)</f>
        <v/>
      </c>
      <c r="J5968" s="5">
        <f>IF(OR(H5968=1,I5968=1),0,IF(G5968="Credit",-F5968,F5968))</f>
        <v/>
      </c>
    </row>
    <row r="5969">
      <c r="A5969" t="inlineStr">
        <is>
          <t>2026-08-28</t>
        </is>
      </c>
      <c r="B5969" t="inlineStr">
        <is>
          <t>F266397</t>
        </is>
      </c>
      <c r="C5969" t="inlineStr">
        <is>
          <t>C10336</t>
        </is>
      </c>
      <c r="D5969" t="inlineStr">
        <is>
          <t>SKU-10335</t>
        </is>
      </c>
      <c r="E5969" t="inlineStr">
        <is>
          <t>AM01</t>
        </is>
      </c>
      <c r="F5969" s="5" t="n">
        <v>103.52</v>
      </c>
      <c r="G5969">
        <f>IF(LEFT(B5969,1)="C","Credit","Factuur")</f>
        <v/>
      </c>
      <c r="H5969">
        <f>IF(AND(B5969=B5968,D5969=D5968,A5969=A5968,F5969=F5968),1,0)</f>
        <v/>
      </c>
      <c r="I5969">
        <f>IF(C5969="C99999",1,0)</f>
        <v/>
      </c>
      <c r="J5969" s="5">
        <f>IF(OR(H5969=1,I5969=1),0,IF(G5969="Credit",-F5969,F5969))</f>
        <v/>
      </c>
    </row>
    <row r="5970">
      <c r="A5970" t="inlineStr">
        <is>
          <t>2026-08-28</t>
        </is>
      </c>
      <c r="B5970" t="inlineStr">
        <is>
          <t>F266397</t>
        </is>
      </c>
      <c r="C5970" t="inlineStr">
        <is>
          <t>C10336</t>
        </is>
      </c>
      <c r="D5970" t="inlineStr">
        <is>
          <t>SKU-10357</t>
        </is>
      </c>
      <c r="E5970" t="inlineStr">
        <is>
          <t>AM01</t>
        </is>
      </c>
      <c r="F5970" s="5" t="n">
        <v>115.41</v>
      </c>
      <c r="G5970">
        <f>IF(LEFT(B5970,1)="C","Credit","Factuur")</f>
        <v/>
      </c>
      <c r="H5970">
        <f>IF(AND(B5970=B5969,D5970=D5969,A5970=A5969,F5970=F5969),1,0)</f>
        <v/>
      </c>
      <c r="I5970">
        <f>IF(C5970="C99999",1,0)</f>
        <v/>
      </c>
      <c r="J5970" s="5">
        <f>IF(OR(H5970=1,I5970=1),0,IF(G5970="Credit",-F5970,F5970))</f>
        <v/>
      </c>
    </row>
    <row r="5971">
      <c r="A5971" t="inlineStr">
        <is>
          <t>2026-08-28</t>
        </is>
      </c>
      <c r="B5971" t="inlineStr">
        <is>
          <t>F266846</t>
        </is>
      </c>
      <c r="C5971" t="inlineStr">
        <is>
          <t>C10360</t>
        </is>
      </c>
      <c r="D5971" t="inlineStr">
        <is>
          <t>SKU-10007</t>
        </is>
      </c>
      <c r="E5971" t="inlineStr">
        <is>
          <t>AM05</t>
        </is>
      </c>
      <c r="F5971" s="5" t="n">
        <v>119.85</v>
      </c>
      <c r="G5971">
        <f>IF(LEFT(B5971,1)="C","Credit","Factuur")</f>
        <v/>
      </c>
      <c r="H5971">
        <f>IF(AND(B5971=B5970,D5971=D5970,A5971=A5970,F5971=F5970),1,0)</f>
        <v/>
      </c>
      <c r="I5971">
        <f>IF(C5971="C99999",1,0)</f>
        <v/>
      </c>
      <c r="J5971" s="5">
        <f>IF(OR(H5971=1,I5971=1),0,IF(G5971="Credit",-F5971,F5971))</f>
        <v/>
      </c>
    </row>
    <row r="5972">
      <c r="A5972" t="inlineStr">
        <is>
          <t>2026-08-28</t>
        </is>
      </c>
      <c r="B5972" t="inlineStr">
        <is>
          <t>F266846</t>
        </is>
      </c>
      <c r="C5972" t="inlineStr">
        <is>
          <t>C10360</t>
        </is>
      </c>
      <c r="D5972" t="inlineStr">
        <is>
          <t>SKU-10055</t>
        </is>
      </c>
      <c r="E5972" t="inlineStr">
        <is>
          <t>AM05</t>
        </is>
      </c>
      <c r="F5972" s="5" t="n">
        <v>134.12</v>
      </c>
      <c r="G5972">
        <f>IF(LEFT(B5972,1)="C","Credit","Factuur")</f>
        <v/>
      </c>
      <c r="H5972">
        <f>IF(AND(B5972=B5971,D5972=D5971,A5972=A5971,F5972=F5971),1,0)</f>
        <v/>
      </c>
      <c r="I5972">
        <f>IF(C5972="C99999",1,0)</f>
        <v/>
      </c>
      <c r="J5972" s="5">
        <f>IF(OR(H5972=1,I5972=1),0,IF(G5972="Credit",-F5972,F5972))</f>
        <v/>
      </c>
    </row>
    <row r="5973">
      <c r="A5973" t="inlineStr">
        <is>
          <t>2026-08-28</t>
        </is>
      </c>
      <c r="B5973" t="inlineStr">
        <is>
          <t>F266846</t>
        </is>
      </c>
      <c r="C5973" t="inlineStr">
        <is>
          <t>C10360</t>
        </is>
      </c>
      <c r="D5973" t="inlineStr">
        <is>
          <t>SKU-10062</t>
        </is>
      </c>
      <c r="E5973" t="inlineStr">
        <is>
          <t>AM05</t>
        </is>
      </c>
      <c r="F5973" s="5" t="n">
        <v>125.84</v>
      </c>
      <c r="G5973">
        <f>IF(LEFT(B5973,1)="C","Credit","Factuur")</f>
        <v/>
      </c>
      <c r="H5973">
        <f>IF(AND(B5973=B5972,D5973=D5972,A5973=A5972,F5973=F5972),1,0)</f>
        <v/>
      </c>
      <c r="I5973">
        <f>IF(C5973="C99999",1,0)</f>
        <v/>
      </c>
      <c r="J5973" s="5">
        <f>IF(OR(H5973=1,I5973=1),0,IF(G5973="Credit",-F5973,F5973))</f>
        <v/>
      </c>
    </row>
    <row r="5974">
      <c r="A5974" t="inlineStr">
        <is>
          <t>2026-08-28</t>
        </is>
      </c>
      <c r="B5974" t="inlineStr">
        <is>
          <t>F266846</t>
        </is>
      </c>
      <c r="C5974" t="inlineStr">
        <is>
          <t>C10360</t>
        </is>
      </c>
      <c r="D5974" t="inlineStr">
        <is>
          <t>SKU-10080</t>
        </is>
      </c>
      <c r="E5974" t="inlineStr">
        <is>
          <t>AM05</t>
        </is>
      </c>
      <c r="F5974" s="5" t="n">
        <v>112.91</v>
      </c>
      <c r="G5974">
        <f>IF(LEFT(B5974,1)="C","Credit","Factuur")</f>
        <v/>
      </c>
      <c r="H5974">
        <f>IF(AND(B5974=B5973,D5974=D5973,A5974=A5973,F5974=F5973),1,0)</f>
        <v/>
      </c>
      <c r="I5974">
        <f>IF(C5974="C99999",1,0)</f>
        <v/>
      </c>
      <c r="J5974" s="5">
        <f>IF(OR(H5974=1,I5974=1),0,IF(G5974="Credit",-F5974,F5974))</f>
        <v/>
      </c>
    </row>
    <row r="5975">
      <c r="A5975" t="inlineStr">
        <is>
          <t>2026-08-28</t>
        </is>
      </c>
      <c r="B5975" t="inlineStr">
        <is>
          <t>F266846</t>
        </is>
      </c>
      <c r="C5975" t="inlineStr">
        <is>
          <t>C10360</t>
        </is>
      </c>
      <c r="D5975" t="inlineStr">
        <is>
          <t>SKU-10286</t>
        </is>
      </c>
      <c r="E5975" t="inlineStr">
        <is>
          <t>AM05</t>
        </is>
      </c>
      <c r="F5975" s="5" t="n">
        <v>121.36</v>
      </c>
      <c r="G5975">
        <f>IF(LEFT(B5975,1)="C","Credit","Factuur")</f>
        <v/>
      </c>
      <c r="H5975">
        <f>IF(AND(B5975=B5974,D5975=D5974,A5975=A5974,F5975=F5974),1,0)</f>
        <v/>
      </c>
      <c r="I5975">
        <f>IF(C5975="C99999",1,0)</f>
        <v/>
      </c>
      <c r="J5975" s="5">
        <f>IF(OR(H5975=1,I5975=1),0,IF(G5975="Credit",-F5975,F5975))</f>
        <v/>
      </c>
    </row>
    <row r="5976">
      <c r="A5976" t="inlineStr">
        <is>
          <t>2026-08-28</t>
        </is>
      </c>
      <c r="B5976" t="inlineStr">
        <is>
          <t>F267044</t>
        </is>
      </c>
      <c r="C5976" t="inlineStr">
        <is>
          <t>C10371</t>
        </is>
      </c>
      <c r="D5976" t="inlineStr">
        <is>
          <t>SKU-10036</t>
        </is>
      </c>
      <c r="E5976" t="inlineStr">
        <is>
          <t>AM02</t>
        </is>
      </c>
      <c r="F5976" s="5" t="n">
        <v>443.5</v>
      </c>
      <c r="G5976">
        <f>IF(LEFT(B5976,1)="C","Credit","Factuur")</f>
        <v/>
      </c>
      <c r="H5976">
        <f>IF(AND(B5976=B5975,D5976=D5975,A5976=A5975,F5976=F5975),1,0)</f>
        <v/>
      </c>
      <c r="I5976">
        <f>IF(C5976="C99999",1,0)</f>
        <v/>
      </c>
      <c r="J5976" s="5">
        <f>IF(OR(H5976=1,I5976=1),0,IF(G5976="Credit",-F5976,F5976))</f>
        <v/>
      </c>
    </row>
    <row r="5977">
      <c r="A5977" t="inlineStr">
        <is>
          <t>2026-08-28</t>
        </is>
      </c>
      <c r="B5977" t="inlineStr">
        <is>
          <t>F267044</t>
        </is>
      </c>
      <c r="C5977" t="inlineStr">
        <is>
          <t>C10371</t>
        </is>
      </c>
      <c r="D5977" t="inlineStr">
        <is>
          <t>SKU-10341</t>
        </is>
      </c>
      <c r="E5977" t="inlineStr">
        <is>
          <t>AM02</t>
        </is>
      </c>
      <c r="F5977" s="5" t="n">
        <v>442.64</v>
      </c>
      <c r="G5977">
        <f>IF(LEFT(B5977,1)="C","Credit","Factuur")</f>
        <v/>
      </c>
      <c r="H5977">
        <f>IF(AND(B5977=B5976,D5977=D5976,A5977=A5976,F5977=F5976),1,0)</f>
        <v/>
      </c>
      <c r="I5977">
        <f>IF(C5977="C99999",1,0)</f>
        <v/>
      </c>
      <c r="J5977" s="5">
        <f>IF(OR(H5977=1,I5977=1),0,IF(G5977="Credit",-F5977,F5977))</f>
        <v/>
      </c>
    </row>
    <row r="5978">
      <c r="A5978" t="inlineStr">
        <is>
          <t>2026-08-28</t>
        </is>
      </c>
      <c r="B5978" t="inlineStr">
        <is>
          <t>F267427</t>
        </is>
      </c>
      <c r="C5978" t="inlineStr">
        <is>
          <t>C10392</t>
        </is>
      </c>
      <c r="D5978" t="inlineStr">
        <is>
          <t>SKU-10335</t>
        </is>
      </c>
      <c r="E5978" t="inlineStr">
        <is>
          <t>AM02</t>
        </is>
      </c>
      <c r="F5978" s="5" t="n">
        <v>2192.26</v>
      </c>
      <c r="G5978">
        <f>IF(LEFT(B5978,1)="C","Credit","Factuur")</f>
        <v/>
      </c>
      <c r="H5978">
        <f>IF(AND(B5978=B5977,D5978=D5977,A5978=A5977,F5978=F5977),1,0)</f>
        <v/>
      </c>
      <c r="I5978">
        <f>IF(C5978="C99999",1,0)</f>
        <v/>
      </c>
      <c r="J5978" s="5">
        <f>IF(OR(H5978=1,I5978=1),0,IF(G5978="Credit",-F5978,F5978))</f>
        <v/>
      </c>
    </row>
    <row r="5979">
      <c r="A5979" t="inlineStr">
        <is>
          <t>2026-08-28</t>
        </is>
      </c>
      <c r="B5979" t="inlineStr">
        <is>
          <t>F267570</t>
        </is>
      </c>
      <c r="C5979" t="inlineStr">
        <is>
          <t>C10398</t>
        </is>
      </c>
      <c r="D5979" t="inlineStr">
        <is>
          <t>SKU-10270</t>
        </is>
      </c>
      <c r="E5979" t="inlineStr">
        <is>
          <t>AM03</t>
        </is>
      </c>
      <c r="F5979" s="5" t="n">
        <v>5691.32</v>
      </c>
      <c r="G5979">
        <f>IF(LEFT(B5979,1)="C","Credit","Factuur")</f>
        <v/>
      </c>
      <c r="H5979">
        <f>IF(AND(B5979=B5978,D5979=D5978,A5979=A5978,F5979=F5978),1,0)</f>
        <v/>
      </c>
      <c r="I5979">
        <f>IF(C5979="C99999",1,0)</f>
        <v/>
      </c>
      <c r="J5979" s="5">
        <f>IF(OR(H5979=1,I5979=1),0,IF(G5979="Credit",-F5979,F5979))</f>
        <v/>
      </c>
    </row>
    <row r="5980">
      <c r="A5980" t="inlineStr">
        <is>
          <t>2026-08-28</t>
        </is>
      </c>
      <c r="B5980" t="inlineStr">
        <is>
          <t>F267578</t>
        </is>
      </c>
      <c r="C5980" t="inlineStr">
        <is>
          <t>C10399</t>
        </is>
      </c>
      <c r="D5980" t="inlineStr">
        <is>
          <t>SKU-10065</t>
        </is>
      </c>
      <c r="E5980" t="inlineStr">
        <is>
          <t>AM08</t>
        </is>
      </c>
      <c r="F5980" s="5" t="n">
        <v>598.8200000000001</v>
      </c>
      <c r="G5980">
        <f>IF(LEFT(B5980,1)="C","Credit","Factuur")</f>
        <v/>
      </c>
      <c r="H5980">
        <f>IF(AND(B5980=B5979,D5980=D5979,A5980=A5979,F5980=F5979),1,0)</f>
        <v/>
      </c>
      <c r="I5980">
        <f>IF(C5980="C99999",1,0)</f>
        <v/>
      </c>
      <c r="J5980" s="5">
        <f>IF(OR(H5980=1,I5980=1),0,IF(G5980="Credit",-F5980,F5980))</f>
        <v/>
      </c>
    </row>
    <row r="5981">
      <c r="A5981" t="inlineStr">
        <is>
          <t>2026-08-28</t>
        </is>
      </c>
      <c r="B5981" t="inlineStr">
        <is>
          <t>F267578</t>
        </is>
      </c>
      <c r="C5981" t="inlineStr">
        <is>
          <t>C10399</t>
        </is>
      </c>
      <c r="D5981" t="inlineStr">
        <is>
          <t>SKU-10236</t>
        </is>
      </c>
      <c r="E5981" t="inlineStr">
        <is>
          <t>AM08</t>
        </is>
      </c>
      <c r="F5981" s="5" t="n">
        <v>511.63</v>
      </c>
      <c r="G5981">
        <f>IF(LEFT(B5981,1)="C","Credit","Factuur")</f>
        <v/>
      </c>
      <c r="H5981">
        <f>IF(AND(B5981=B5980,D5981=D5980,A5981=A5980,F5981=F5980),1,0)</f>
        <v/>
      </c>
      <c r="I5981">
        <f>IF(C5981="C99999",1,0)</f>
        <v/>
      </c>
      <c r="J5981" s="5">
        <f>IF(OR(H5981=1,I5981=1),0,IF(G5981="Credit",-F5981,F5981))</f>
        <v/>
      </c>
    </row>
    <row r="5982">
      <c r="A5982" t="inlineStr">
        <is>
          <t>2026-08-28</t>
        </is>
      </c>
      <c r="B5982" t="inlineStr">
        <is>
          <t>F267578</t>
        </is>
      </c>
      <c r="C5982" t="inlineStr">
        <is>
          <t>C10399</t>
        </is>
      </c>
      <c r="D5982" t="inlineStr">
        <is>
          <t>SKU-10310</t>
        </is>
      </c>
      <c r="E5982" t="inlineStr">
        <is>
          <t>AM08</t>
        </is>
      </c>
      <c r="F5982" s="5" t="n">
        <v>513.85</v>
      </c>
      <c r="G5982">
        <f>IF(LEFT(B5982,1)="C","Credit","Factuur")</f>
        <v/>
      </c>
      <c r="H5982">
        <f>IF(AND(B5982=B5981,D5982=D5981,A5982=A5981,F5982=F5981),1,0)</f>
        <v/>
      </c>
      <c r="I5982">
        <f>IF(C5982="C99999",1,0)</f>
        <v/>
      </c>
      <c r="J5982" s="5">
        <f>IF(OR(H5982=1,I5982=1),0,IF(G5982="Credit",-F5982,F5982))</f>
        <v/>
      </c>
    </row>
    <row r="5983">
      <c r="A5983" t="inlineStr">
        <is>
          <t>2026-08-28</t>
        </is>
      </c>
      <c r="B5983" t="inlineStr">
        <is>
          <t>F267578</t>
        </is>
      </c>
      <c r="C5983" t="inlineStr">
        <is>
          <t>C10399</t>
        </is>
      </c>
      <c r="D5983" t="inlineStr">
        <is>
          <t>SKU-10376</t>
        </is>
      </c>
      <c r="E5983" t="inlineStr">
        <is>
          <t>AM08</t>
        </is>
      </c>
      <c r="F5983" s="5" t="n">
        <v>578.48</v>
      </c>
      <c r="G5983">
        <f>IF(LEFT(B5983,1)="C","Credit","Factuur")</f>
        <v/>
      </c>
      <c r="H5983">
        <f>IF(AND(B5983=B5982,D5983=D5982,A5983=A5982,F5983=F5982),1,0)</f>
        <v/>
      </c>
      <c r="I5983">
        <f>IF(C5983="C99999",1,0)</f>
        <v/>
      </c>
      <c r="J5983" s="5">
        <f>IF(OR(H5983=1,I5983=1),0,IF(G5983="Credit",-F5983,F5983))</f>
        <v/>
      </c>
    </row>
    <row r="5984">
      <c r="A5984" t="inlineStr">
        <is>
          <t>2026-08-28</t>
        </is>
      </c>
      <c r="B5984" t="inlineStr">
        <is>
          <t>F268354</t>
        </is>
      </c>
      <c r="C5984" t="inlineStr">
        <is>
          <t>C10436</t>
        </is>
      </c>
      <c r="D5984" t="inlineStr">
        <is>
          <t>SKU-10001</t>
        </is>
      </c>
      <c r="E5984" t="inlineStr">
        <is>
          <t>AM06</t>
        </is>
      </c>
      <c r="F5984" s="5" t="n">
        <v>779.98</v>
      </c>
      <c r="G5984">
        <f>IF(LEFT(B5984,1)="C","Credit","Factuur")</f>
        <v/>
      </c>
      <c r="H5984">
        <f>IF(AND(B5984=B5983,D5984=D5983,A5984=A5983,F5984=F5983),1,0)</f>
        <v/>
      </c>
      <c r="I5984">
        <f>IF(C5984="C99999",1,0)</f>
        <v/>
      </c>
      <c r="J5984" s="5">
        <f>IF(OR(H5984=1,I5984=1),0,IF(G5984="Credit",-F5984,F5984))</f>
        <v/>
      </c>
    </row>
    <row r="5985">
      <c r="A5985" t="inlineStr">
        <is>
          <t>2026-08-28</t>
        </is>
      </c>
      <c r="B5985" t="inlineStr">
        <is>
          <t>F269428</t>
        </is>
      </c>
      <c r="C5985" t="inlineStr">
        <is>
          <t>C10494</t>
        </is>
      </c>
      <c r="D5985" t="inlineStr">
        <is>
          <t>SKU-10329</t>
        </is>
      </c>
      <c r="E5985" t="inlineStr">
        <is>
          <t>AM12</t>
        </is>
      </c>
      <c r="F5985" s="5" t="n">
        <v>773.22</v>
      </c>
      <c r="G5985">
        <f>IF(LEFT(B5985,1)="C","Credit","Factuur")</f>
        <v/>
      </c>
      <c r="H5985">
        <f>IF(AND(B5985=B5984,D5985=D5984,A5985=A5984,F5985=F5984),1,0)</f>
        <v/>
      </c>
      <c r="I5985">
        <f>IF(C5985="C99999",1,0)</f>
        <v/>
      </c>
      <c r="J5985" s="5">
        <f>IF(OR(H5985=1,I5985=1),0,IF(G5985="Credit",-F5985,F5985))</f>
        <v/>
      </c>
    </row>
    <row r="5986">
      <c r="A5986" t="inlineStr">
        <is>
          <t>2026-08-28</t>
        </is>
      </c>
      <c r="B5986" t="inlineStr">
        <is>
          <t>F270177</t>
        </is>
      </c>
      <c r="C5986" t="inlineStr">
        <is>
          <t>C10537</t>
        </is>
      </c>
      <c r="D5986" t="inlineStr">
        <is>
          <t>SKU-10164</t>
        </is>
      </c>
      <c r="E5986" t="inlineStr">
        <is>
          <t>AM03</t>
        </is>
      </c>
      <c r="F5986" s="5" t="n">
        <v>369.15</v>
      </c>
      <c r="G5986">
        <f>IF(LEFT(B5986,1)="C","Credit","Factuur")</f>
        <v/>
      </c>
      <c r="H5986">
        <f>IF(AND(B5986=B5985,D5986=D5985,A5986=A5985,F5986=F5985),1,0)</f>
        <v/>
      </c>
      <c r="I5986">
        <f>IF(C5986="C99999",1,0)</f>
        <v/>
      </c>
      <c r="J5986" s="5">
        <f>IF(OR(H5986=1,I5986=1),0,IF(G5986="Credit",-F5986,F5986))</f>
        <v/>
      </c>
    </row>
    <row r="5987">
      <c r="A5987" t="inlineStr">
        <is>
          <t>2026-08-28</t>
        </is>
      </c>
      <c r="B5987" t="inlineStr">
        <is>
          <t>F270434</t>
        </is>
      </c>
      <c r="C5987" t="inlineStr">
        <is>
          <t>C10549</t>
        </is>
      </c>
      <c r="D5987" t="inlineStr">
        <is>
          <t>SKU-10137</t>
        </is>
      </c>
      <c r="E5987" t="inlineStr">
        <is>
          <t>AM08</t>
        </is>
      </c>
      <c r="F5987" s="5" t="n">
        <v>677.95</v>
      </c>
      <c r="G5987">
        <f>IF(LEFT(B5987,1)="C","Credit","Factuur")</f>
        <v/>
      </c>
      <c r="H5987">
        <f>IF(AND(B5987=B5986,D5987=D5986,A5987=A5986,F5987=F5986),1,0)</f>
        <v/>
      </c>
      <c r="I5987">
        <f>IF(C5987="C99999",1,0)</f>
        <v/>
      </c>
      <c r="J5987" s="5">
        <f>IF(OR(H5987=1,I5987=1),0,IF(G5987="Credit",-F5987,F5987))</f>
        <v/>
      </c>
    </row>
    <row r="5988">
      <c r="A5988" t="inlineStr">
        <is>
          <t>2026-08-28</t>
        </is>
      </c>
      <c r="B5988" t="inlineStr">
        <is>
          <t>F270434</t>
        </is>
      </c>
      <c r="C5988" t="inlineStr">
        <is>
          <t>C10549</t>
        </is>
      </c>
      <c r="D5988" t="inlineStr">
        <is>
          <t>SKU-10307</t>
        </is>
      </c>
      <c r="E5988" t="inlineStr">
        <is>
          <t>AM08</t>
        </is>
      </c>
      <c r="F5988" s="5" t="n">
        <v>710.85</v>
      </c>
      <c r="G5988">
        <f>IF(LEFT(B5988,1)="C","Credit","Factuur")</f>
        <v/>
      </c>
      <c r="H5988">
        <f>IF(AND(B5988=B5987,D5988=D5987,A5988=A5987,F5988=F5987),1,0)</f>
        <v/>
      </c>
      <c r="I5988">
        <f>IF(C5988="C99999",1,0)</f>
        <v/>
      </c>
      <c r="J5988" s="5">
        <f>IF(OR(H5988=1,I5988=1),0,IF(G5988="Credit",-F5988,F5988))</f>
        <v/>
      </c>
    </row>
    <row r="5989">
      <c r="A5989" t="inlineStr">
        <is>
          <t>2026-08-28</t>
        </is>
      </c>
      <c r="B5989" t="inlineStr">
        <is>
          <t>F270434</t>
        </is>
      </c>
      <c r="C5989" t="inlineStr">
        <is>
          <t>C10549</t>
        </is>
      </c>
      <c r="D5989" t="inlineStr">
        <is>
          <t>SKU-10315</t>
        </is>
      </c>
      <c r="E5989" t="inlineStr">
        <is>
          <t>AM08</t>
        </is>
      </c>
      <c r="F5989" s="5" t="n">
        <v>707.85</v>
      </c>
      <c r="G5989">
        <f>IF(LEFT(B5989,1)="C","Credit","Factuur")</f>
        <v/>
      </c>
      <c r="H5989">
        <f>IF(AND(B5989=B5988,D5989=D5988,A5989=A5988,F5989=F5988),1,0)</f>
        <v/>
      </c>
      <c r="I5989">
        <f>IF(C5989="C99999",1,0)</f>
        <v/>
      </c>
      <c r="J5989" s="5">
        <f>IF(OR(H5989=1,I5989=1),0,IF(G5989="Credit",-F5989,F5989))</f>
        <v/>
      </c>
    </row>
    <row r="5990">
      <c r="A5990" t="inlineStr">
        <is>
          <t>2026-08-28</t>
        </is>
      </c>
      <c r="B5990" t="inlineStr">
        <is>
          <t>F270434</t>
        </is>
      </c>
      <c r="C5990" t="inlineStr">
        <is>
          <t>C10549</t>
        </is>
      </c>
      <c r="D5990" t="inlineStr">
        <is>
          <t>SKU-10333</t>
        </is>
      </c>
      <c r="E5990" t="inlineStr">
        <is>
          <t>AM08</t>
        </is>
      </c>
      <c r="F5990" s="5" t="n">
        <v>707.85</v>
      </c>
      <c r="G5990">
        <f>IF(LEFT(B5990,1)="C","Credit","Factuur")</f>
        <v/>
      </c>
      <c r="H5990">
        <f>IF(AND(B5990=B5989,D5990=D5989,A5990=A5989,F5990=F5989),1,0)</f>
        <v/>
      </c>
      <c r="I5990">
        <f>IF(C5990="C99999",1,0)</f>
        <v/>
      </c>
      <c r="J5990" s="5">
        <f>IF(OR(H5990=1,I5990=1),0,IF(G5990="Credit",-F5990,F5990))</f>
        <v/>
      </c>
    </row>
    <row r="5991">
      <c r="A5991" t="inlineStr">
        <is>
          <t>2026-08-28</t>
        </is>
      </c>
      <c r="B5991" t="inlineStr">
        <is>
          <t>F270434</t>
        </is>
      </c>
      <c r="C5991" t="inlineStr">
        <is>
          <t>C10549</t>
        </is>
      </c>
      <c r="D5991" t="inlineStr">
        <is>
          <t>SKU-10339</t>
        </is>
      </c>
      <c r="E5991" t="inlineStr">
        <is>
          <t>AM08</t>
        </is>
      </c>
      <c r="F5991" s="5" t="n">
        <v>707.35</v>
      </c>
      <c r="G5991">
        <f>IF(LEFT(B5991,1)="C","Credit","Factuur")</f>
        <v/>
      </c>
      <c r="H5991">
        <f>IF(AND(B5991=B5990,D5991=D5990,A5991=A5990,F5991=F5990),1,0)</f>
        <v/>
      </c>
      <c r="I5991">
        <f>IF(C5991="C99999",1,0)</f>
        <v/>
      </c>
      <c r="J5991" s="5">
        <f>IF(OR(H5991=1,I5991=1),0,IF(G5991="Credit",-F5991,F5991))</f>
        <v/>
      </c>
    </row>
    <row r="5992">
      <c r="A5992" t="inlineStr">
        <is>
          <t>2026-08-28</t>
        </is>
      </c>
      <c r="B5992" t="inlineStr">
        <is>
          <t>F270556</t>
        </is>
      </c>
      <c r="C5992" t="inlineStr">
        <is>
          <t>C10554</t>
        </is>
      </c>
      <c r="D5992" t="inlineStr">
        <is>
          <t>SKU-10200</t>
        </is>
      </c>
      <c r="E5992" t="inlineStr">
        <is>
          <t>AM09</t>
        </is>
      </c>
      <c r="F5992" s="5" t="n">
        <v>2284.8</v>
      </c>
      <c r="G5992">
        <f>IF(LEFT(B5992,1)="C","Credit","Factuur")</f>
        <v/>
      </c>
      <c r="H5992">
        <f>IF(AND(B5992=B5991,D5992=D5991,A5992=A5991,F5992=F5991),1,0)</f>
        <v/>
      </c>
      <c r="I5992">
        <f>IF(C5992="C99999",1,0)</f>
        <v/>
      </c>
      <c r="J5992" s="5">
        <f>IF(OR(H5992=1,I5992=1),0,IF(G5992="Credit",-F5992,F5992))</f>
        <v/>
      </c>
    </row>
    <row r="5993">
      <c r="A5993" t="inlineStr">
        <is>
          <t>2026-08-28</t>
        </is>
      </c>
      <c r="B5993" t="inlineStr">
        <is>
          <t>F270556</t>
        </is>
      </c>
      <c r="C5993" t="inlineStr">
        <is>
          <t>C10554</t>
        </is>
      </c>
      <c r="D5993" t="inlineStr">
        <is>
          <t>SKU-10377</t>
        </is>
      </c>
      <c r="E5993" t="inlineStr">
        <is>
          <t>AM09</t>
        </is>
      </c>
      <c r="F5993" s="5" t="n">
        <v>1964.03</v>
      </c>
      <c r="G5993">
        <f>IF(LEFT(B5993,1)="C","Credit","Factuur")</f>
        <v/>
      </c>
      <c r="H5993">
        <f>IF(AND(B5993=B5992,D5993=D5992,A5993=A5992,F5993=F5992),1,0)</f>
        <v/>
      </c>
      <c r="I5993">
        <f>IF(C5993="C99999",1,0)</f>
        <v/>
      </c>
      <c r="J5993" s="5">
        <f>IF(OR(H5993=1,I5993=1),0,IF(G5993="Credit",-F5993,F5993))</f>
        <v/>
      </c>
    </row>
    <row r="5994">
      <c r="A5994" t="inlineStr">
        <is>
          <t>2026-08-28</t>
        </is>
      </c>
      <c r="B5994" t="inlineStr">
        <is>
          <t>F271496</t>
        </is>
      </c>
      <c r="C5994" t="inlineStr">
        <is>
          <t>C10594</t>
        </is>
      </c>
      <c r="D5994" t="inlineStr">
        <is>
          <t>SKU-10110</t>
        </is>
      </c>
      <c r="E5994" t="inlineStr">
        <is>
          <t>AM05</t>
        </is>
      </c>
      <c r="F5994" s="5" t="n">
        <v>247</v>
      </c>
      <c r="G5994">
        <f>IF(LEFT(B5994,1)="C","Credit","Factuur")</f>
        <v/>
      </c>
      <c r="H5994">
        <f>IF(AND(B5994=B5993,D5994=D5993,A5994=A5993,F5994=F5993),1,0)</f>
        <v/>
      </c>
      <c r="I5994">
        <f>IF(C5994="C99999",1,0)</f>
        <v/>
      </c>
      <c r="J5994" s="5">
        <f>IF(OR(H5994=1,I5994=1),0,IF(G5994="Credit",-F5994,F5994))</f>
        <v/>
      </c>
    </row>
    <row r="5995">
      <c r="A5995" t="inlineStr">
        <is>
          <t>2026-08-28</t>
        </is>
      </c>
      <c r="B5995" t="inlineStr">
        <is>
          <t>F271496</t>
        </is>
      </c>
      <c r="C5995" t="inlineStr">
        <is>
          <t>C10594</t>
        </is>
      </c>
      <c r="D5995" t="inlineStr">
        <is>
          <t>SKU-10163</t>
        </is>
      </c>
      <c r="E5995" t="inlineStr">
        <is>
          <t>AM05</t>
        </is>
      </c>
      <c r="F5995" s="5" t="n">
        <v>249.32</v>
      </c>
      <c r="G5995">
        <f>IF(LEFT(B5995,1)="C","Credit","Factuur")</f>
        <v/>
      </c>
      <c r="H5995">
        <f>IF(AND(B5995=B5994,D5995=D5994,A5995=A5994,F5995=F5994),1,0)</f>
        <v/>
      </c>
      <c r="I5995">
        <f>IF(C5995="C99999",1,0)</f>
        <v/>
      </c>
      <c r="J5995" s="5">
        <f>IF(OR(H5995=1,I5995=1),0,IF(G5995="Credit",-F5995,F5995))</f>
        <v/>
      </c>
    </row>
    <row r="5996">
      <c r="A5996" t="inlineStr">
        <is>
          <t>2026-08-28</t>
        </is>
      </c>
      <c r="B5996" t="inlineStr">
        <is>
          <t>F271496</t>
        </is>
      </c>
      <c r="C5996" t="inlineStr">
        <is>
          <t>C10594</t>
        </is>
      </c>
      <c r="D5996" t="inlineStr">
        <is>
          <t>SKU-10167</t>
        </is>
      </c>
      <c r="E5996" t="inlineStr">
        <is>
          <t>AM05</t>
        </is>
      </c>
      <c r="F5996" s="5" t="n">
        <v>248.49</v>
      </c>
      <c r="G5996">
        <f>IF(LEFT(B5996,1)="C","Credit","Factuur")</f>
        <v/>
      </c>
      <c r="H5996">
        <f>IF(AND(B5996=B5995,D5996=D5995,A5996=A5995,F5996=F5995),1,0)</f>
        <v/>
      </c>
      <c r="I5996">
        <f>IF(C5996="C99999",1,0)</f>
        <v/>
      </c>
      <c r="J5996" s="5">
        <f>IF(OR(H5996=1,I5996=1),0,IF(G5996="Credit",-F5996,F5996))</f>
        <v/>
      </c>
    </row>
    <row r="5997">
      <c r="A5997" t="inlineStr">
        <is>
          <t>2026-08-28</t>
        </is>
      </c>
      <c r="B5997" t="inlineStr">
        <is>
          <t>F271496</t>
        </is>
      </c>
      <c r="C5997" t="inlineStr">
        <is>
          <t>C10594</t>
        </is>
      </c>
      <c r="D5997" t="inlineStr">
        <is>
          <t>SKU-10258</t>
        </is>
      </c>
      <c r="E5997" t="inlineStr">
        <is>
          <t>AM05</t>
        </is>
      </c>
      <c r="F5997" s="5" t="n">
        <v>256.35</v>
      </c>
      <c r="G5997">
        <f>IF(LEFT(B5997,1)="C","Credit","Factuur")</f>
        <v/>
      </c>
      <c r="H5997">
        <f>IF(AND(B5997=B5996,D5997=D5996,A5997=A5996,F5997=F5996),1,0)</f>
        <v/>
      </c>
      <c r="I5997">
        <f>IF(C5997="C99999",1,0)</f>
        <v/>
      </c>
      <c r="J5997" s="5">
        <f>IF(OR(H5997=1,I5997=1),0,IF(G5997="Credit",-F5997,F5997))</f>
        <v/>
      </c>
    </row>
    <row r="5998">
      <c r="A5998" t="inlineStr">
        <is>
          <t>2026-08-28</t>
        </is>
      </c>
      <c r="B5998" t="inlineStr">
        <is>
          <t>F271496</t>
        </is>
      </c>
      <c r="C5998" t="inlineStr">
        <is>
          <t>C10594</t>
        </is>
      </c>
      <c r="D5998" t="inlineStr">
        <is>
          <t>SKU-10273</t>
        </is>
      </c>
      <c r="E5998" t="inlineStr">
        <is>
          <t>AM05</t>
        </is>
      </c>
      <c r="F5998" s="5" t="n">
        <v>256.96</v>
      </c>
      <c r="G5998">
        <f>IF(LEFT(B5998,1)="C","Credit","Factuur")</f>
        <v/>
      </c>
      <c r="H5998">
        <f>IF(AND(B5998=B5997,D5998=D5997,A5998=A5997,F5998=F5997),1,0)</f>
        <v/>
      </c>
      <c r="I5998">
        <f>IF(C5998="C99999",1,0)</f>
        <v/>
      </c>
      <c r="J5998" s="5">
        <f>IF(OR(H5998=1,I5998=1),0,IF(G5998="Credit",-F5998,F5998))</f>
        <v/>
      </c>
    </row>
    <row r="5999">
      <c r="A5999" t="inlineStr">
        <is>
          <t>2026-08-28</t>
        </is>
      </c>
      <c r="B5999" t="inlineStr">
        <is>
          <t>F271496</t>
        </is>
      </c>
      <c r="C5999" t="inlineStr">
        <is>
          <t>C10594</t>
        </is>
      </c>
      <c r="D5999" t="inlineStr">
        <is>
          <t>SKU-10312</t>
        </is>
      </c>
      <c r="E5999" t="inlineStr">
        <is>
          <t>AM05</t>
        </is>
      </c>
      <c r="F5999" s="5" t="n">
        <v>240.8</v>
      </c>
      <c r="G5999">
        <f>IF(LEFT(B5999,1)="C","Credit","Factuur")</f>
        <v/>
      </c>
      <c r="H5999">
        <f>IF(AND(B5999=B5998,D5999=D5998,A5999=A5998,F5999=F5998),1,0)</f>
        <v/>
      </c>
      <c r="I5999">
        <f>IF(C5999="C99999",1,0)</f>
        <v/>
      </c>
      <c r="J5999" s="5">
        <f>IF(OR(H5999=1,I5999=1),0,IF(G5999="Credit",-F5999,F5999))</f>
        <v/>
      </c>
    </row>
    <row r="6000">
      <c r="A6000" t="inlineStr">
        <is>
          <t>2026-08-28</t>
        </is>
      </c>
      <c r="B6000" t="inlineStr">
        <is>
          <t>F271814</t>
        </is>
      </c>
      <c r="C6000" t="inlineStr">
        <is>
          <t>C10607</t>
        </is>
      </c>
      <c r="D6000" t="inlineStr">
        <is>
          <t>SKU-10153</t>
        </is>
      </c>
      <c r="E6000" t="inlineStr"/>
      <c r="F6000" s="5" t="n">
        <v>1258.88</v>
      </c>
      <c r="G6000">
        <f>IF(LEFT(B6000,1)="C","Credit","Factuur")</f>
        <v/>
      </c>
      <c r="H6000">
        <f>IF(AND(B6000=B5999,D6000=D5999,A6000=A5999,F6000=F5999),1,0)</f>
        <v/>
      </c>
      <c r="I6000">
        <f>IF(C6000="C99999",1,0)</f>
        <v/>
      </c>
      <c r="J6000" s="5">
        <f>IF(OR(H6000=1,I6000=1),0,IF(G6000="Credit",-F6000,F6000))</f>
        <v/>
      </c>
    </row>
    <row r="6001">
      <c r="A6001" t="inlineStr">
        <is>
          <t>2026-08-28</t>
        </is>
      </c>
      <c r="B6001" t="inlineStr">
        <is>
          <t>F271814</t>
        </is>
      </c>
      <c r="C6001" t="inlineStr">
        <is>
          <t>C10607</t>
        </is>
      </c>
      <c r="D6001" t="inlineStr">
        <is>
          <t>SKU-10197</t>
        </is>
      </c>
      <c r="E6001" t="inlineStr">
        <is>
          <t>AM08</t>
        </is>
      </c>
      <c r="F6001" s="5" t="n">
        <v>1217.23</v>
      </c>
      <c r="G6001">
        <f>IF(LEFT(B6001,1)="C","Credit","Factuur")</f>
        <v/>
      </c>
      <c r="H6001">
        <f>IF(AND(B6001=B6000,D6001=D6000,A6001=A6000,F6001=F6000),1,0)</f>
        <v/>
      </c>
      <c r="I6001">
        <f>IF(C6001="C99999",1,0)</f>
        <v/>
      </c>
      <c r="J6001" s="5">
        <f>IF(OR(H6001=1,I6001=1),0,IF(G6001="Credit",-F6001,F6001))</f>
        <v/>
      </c>
    </row>
    <row r="6002">
      <c r="A6002" t="inlineStr">
        <is>
          <t>2026-08-28</t>
        </is>
      </c>
      <c r="B6002" t="inlineStr">
        <is>
          <t>F271814</t>
        </is>
      </c>
      <c r="C6002" t="inlineStr">
        <is>
          <t>C10607</t>
        </is>
      </c>
      <c r="D6002" t="inlineStr">
        <is>
          <t>SKU-10322</t>
        </is>
      </c>
      <c r="E6002" t="inlineStr">
        <is>
          <t>AM08</t>
        </is>
      </c>
      <c r="F6002" s="5" t="n">
        <v>1247.06</v>
      </c>
      <c r="G6002">
        <f>IF(LEFT(B6002,1)="C","Credit","Factuur")</f>
        <v/>
      </c>
      <c r="H6002">
        <f>IF(AND(B6002=B6001,D6002=D6001,A6002=A6001,F6002=F6001),1,0)</f>
        <v/>
      </c>
      <c r="I6002">
        <f>IF(C6002="C99999",1,0)</f>
        <v/>
      </c>
      <c r="J6002" s="5">
        <f>IF(OR(H6002=1,I6002=1),0,IF(G6002="Credit",-F6002,F6002))</f>
        <v/>
      </c>
    </row>
    <row r="6003">
      <c r="A6003" t="inlineStr">
        <is>
          <t>2026-08-28</t>
        </is>
      </c>
      <c r="B6003" t="inlineStr">
        <is>
          <t>F271814</t>
        </is>
      </c>
      <c r="C6003" t="inlineStr">
        <is>
          <t>C10607</t>
        </is>
      </c>
      <c r="D6003" t="inlineStr">
        <is>
          <t>SKU-10333</t>
        </is>
      </c>
      <c r="E6003" t="inlineStr">
        <is>
          <t>AM08</t>
        </is>
      </c>
      <c r="F6003" s="5" t="n">
        <v>1263.24</v>
      </c>
      <c r="G6003">
        <f>IF(LEFT(B6003,1)="C","Credit","Factuur")</f>
        <v/>
      </c>
      <c r="H6003">
        <f>IF(AND(B6003=B6002,D6003=D6002,A6003=A6002,F6003=F6002),1,0)</f>
        <v/>
      </c>
      <c r="I6003">
        <f>IF(C6003="C99999",1,0)</f>
        <v/>
      </c>
      <c r="J6003" s="5">
        <f>IF(OR(H6003=1,I6003=1),0,IF(G6003="Credit",-F6003,F6003))</f>
        <v/>
      </c>
    </row>
    <row r="6004">
      <c r="A6004" t="inlineStr">
        <is>
          <t>2026-08-28</t>
        </is>
      </c>
      <c r="B6004" t="inlineStr">
        <is>
          <t>F271972</t>
        </is>
      </c>
      <c r="C6004" t="inlineStr">
        <is>
          <t>C10616</t>
        </is>
      </c>
      <c r="D6004" t="inlineStr">
        <is>
          <t>SKU-10273</t>
        </is>
      </c>
      <c r="E6004" t="inlineStr">
        <is>
          <t>AM07</t>
        </is>
      </c>
      <c r="F6004" s="5" t="n">
        <v>4943.27</v>
      </c>
      <c r="G6004">
        <f>IF(LEFT(B6004,1)="C","Credit","Factuur")</f>
        <v/>
      </c>
      <c r="H6004">
        <f>IF(AND(B6004=B6003,D6004=D6003,A6004=A6003,F6004=F6003),1,0)</f>
        <v/>
      </c>
      <c r="I6004">
        <f>IF(C6004="C99999",1,0)</f>
        <v/>
      </c>
      <c r="J6004" s="5">
        <f>IF(OR(H6004=1,I6004=1),0,IF(G6004="Credit",-F6004,F6004))</f>
        <v/>
      </c>
    </row>
    <row r="6005">
      <c r="A6005" t="inlineStr">
        <is>
          <t>2026-08-28</t>
        </is>
      </c>
      <c r="B6005" t="inlineStr">
        <is>
          <t>F272169</t>
        </is>
      </c>
      <c r="C6005" t="inlineStr">
        <is>
          <t>C10630</t>
        </is>
      </c>
      <c r="D6005" t="inlineStr">
        <is>
          <t>SKU-10156</t>
        </is>
      </c>
      <c r="E6005" t="inlineStr">
        <is>
          <t>IS02</t>
        </is>
      </c>
      <c r="F6005" s="5" t="n">
        <v>89.76000000000001</v>
      </c>
      <c r="G6005">
        <f>IF(LEFT(B6005,1)="C","Credit","Factuur")</f>
        <v/>
      </c>
      <c r="H6005">
        <f>IF(AND(B6005=B6004,D6005=D6004,A6005=A6004,F6005=F6004),1,0)</f>
        <v/>
      </c>
      <c r="I6005">
        <f>IF(C6005="C99999",1,0)</f>
        <v/>
      </c>
      <c r="J6005" s="5">
        <f>IF(OR(H6005=1,I6005=1),0,IF(G6005="Credit",-F6005,F6005))</f>
        <v/>
      </c>
    </row>
    <row r="6006">
      <c r="A6006" t="inlineStr">
        <is>
          <t>2026-08-28</t>
        </is>
      </c>
      <c r="B6006" t="inlineStr">
        <is>
          <t>F272169</t>
        </is>
      </c>
      <c r="C6006" t="inlineStr">
        <is>
          <t>C10630</t>
        </is>
      </c>
      <c r="D6006" t="inlineStr">
        <is>
          <t>SKU-10213</t>
        </is>
      </c>
      <c r="E6006" t="inlineStr">
        <is>
          <t>IS02</t>
        </is>
      </c>
      <c r="F6006" s="5" t="n">
        <v>76.2</v>
      </c>
      <c r="G6006">
        <f>IF(LEFT(B6006,1)="C","Credit","Factuur")</f>
        <v/>
      </c>
      <c r="H6006">
        <f>IF(AND(B6006=B6005,D6006=D6005,A6006=A6005,F6006=F6005),1,0)</f>
        <v/>
      </c>
      <c r="I6006">
        <f>IF(C6006="C99999",1,0)</f>
        <v/>
      </c>
      <c r="J6006" s="5">
        <f>IF(OR(H6006=1,I6006=1),0,IF(G6006="Credit",-F6006,F6006))</f>
        <v/>
      </c>
    </row>
    <row r="6007">
      <c r="A6007" t="inlineStr">
        <is>
          <t>2026-08-28</t>
        </is>
      </c>
      <c r="B6007" t="inlineStr">
        <is>
          <t>F272169</t>
        </is>
      </c>
      <c r="C6007" t="inlineStr">
        <is>
          <t>C10630</t>
        </is>
      </c>
      <c r="D6007" t="inlineStr">
        <is>
          <t>SKU-10282</t>
        </is>
      </c>
      <c r="E6007" t="inlineStr">
        <is>
          <t>IS02</t>
        </is>
      </c>
      <c r="F6007" s="5" t="n">
        <v>86.8</v>
      </c>
      <c r="G6007">
        <f>IF(LEFT(B6007,1)="C","Credit","Factuur")</f>
        <v/>
      </c>
      <c r="H6007">
        <f>IF(AND(B6007=B6006,D6007=D6006,A6007=A6006,F6007=F6006),1,0)</f>
        <v/>
      </c>
      <c r="I6007">
        <f>IF(C6007="C99999",1,0)</f>
        <v/>
      </c>
      <c r="J6007" s="5">
        <f>IF(OR(H6007=1,I6007=1),0,IF(G6007="Credit",-F6007,F6007))</f>
        <v/>
      </c>
    </row>
    <row r="6008">
      <c r="A6008" t="inlineStr">
        <is>
          <t>2026-08-28</t>
        </is>
      </c>
      <c r="B6008" t="inlineStr">
        <is>
          <t>F272169</t>
        </is>
      </c>
      <c r="C6008" t="inlineStr">
        <is>
          <t>C10630</t>
        </is>
      </c>
      <c r="D6008" t="inlineStr">
        <is>
          <t>SKU-10306</t>
        </is>
      </c>
      <c r="E6008" t="inlineStr">
        <is>
          <t>IS02</t>
        </is>
      </c>
      <c r="F6008" s="5" t="n">
        <v>91.88</v>
      </c>
      <c r="G6008">
        <f>IF(LEFT(B6008,1)="C","Credit","Factuur")</f>
        <v/>
      </c>
      <c r="H6008">
        <f>IF(AND(B6008=B6007,D6008=D6007,A6008=A6007,F6008=F6007),1,0)</f>
        <v/>
      </c>
      <c r="I6008">
        <f>IF(C6008="C99999",1,0)</f>
        <v/>
      </c>
      <c r="J6008" s="5">
        <f>IF(OR(H6008=1,I6008=1),0,IF(G6008="Credit",-F6008,F6008))</f>
        <v/>
      </c>
    </row>
    <row r="6009">
      <c r="A6009" t="inlineStr">
        <is>
          <t>2026-08-28</t>
        </is>
      </c>
      <c r="B6009" t="inlineStr">
        <is>
          <t>F272174</t>
        </is>
      </c>
      <c r="C6009" t="inlineStr">
        <is>
          <t>C10631</t>
        </is>
      </c>
      <c r="D6009" t="inlineStr">
        <is>
          <t>SKU-10090</t>
        </is>
      </c>
      <c r="E6009" t="inlineStr">
        <is>
          <t>AM07</t>
        </is>
      </c>
      <c r="F6009" s="5" t="n">
        <v>255.2</v>
      </c>
      <c r="G6009">
        <f>IF(LEFT(B6009,1)="C","Credit","Factuur")</f>
        <v/>
      </c>
      <c r="H6009">
        <f>IF(AND(B6009=B6008,D6009=D6008,A6009=A6008,F6009=F6008),1,0)</f>
        <v/>
      </c>
      <c r="I6009">
        <f>IF(C6009="C99999",1,0)</f>
        <v/>
      </c>
      <c r="J6009" s="5">
        <f>IF(OR(H6009=1,I6009=1),0,IF(G6009="Credit",-F6009,F6009))</f>
        <v/>
      </c>
    </row>
    <row r="6010">
      <c r="A6010" t="inlineStr">
        <is>
          <t>2026-08-28</t>
        </is>
      </c>
      <c r="B6010" t="inlineStr">
        <is>
          <t>F272174</t>
        </is>
      </c>
      <c r="C6010" t="inlineStr">
        <is>
          <t>C10631</t>
        </is>
      </c>
      <c r="D6010" t="inlineStr">
        <is>
          <t>SKU-10132</t>
        </is>
      </c>
      <c r="E6010" t="inlineStr">
        <is>
          <t>AM07</t>
        </is>
      </c>
      <c r="F6010" s="5" t="n">
        <v>220.15</v>
      </c>
      <c r="G6010">
        <f>IF(LEFT(B6010,1)="C","Credit","Factuur")</f>
        <v/>
      </c>
      <c r="H6010">
        <f>IF(AND(B6010=B6009,D6010=D6009,A6010=A6009,F6010=F6009),1,0)</f>
        <v/>
      </c>
      <c r="I6010">
        <f>IF(C6010="C99999",1,0)</f>
        <v/>
      </c>
      <c r="J6010" s="5">
        <f>IF(OR(H6010=1,I6010=1),0,IF(G6010="Credit",-F6010,F6010))</f>
        <v/>
      </c>
    </row>
    <row r="6011">
      <c r="A6011" t="inlineStr">
        <is>
          <t>2026-08-28</t>
        </is>
      </c>
      <c r="B6011" t="inlineStr">
        <is>
          <t>F272174</t>
        </is>
      </c>
      <c r="C6011" t="inlineStr">
        <is>
          <t>C10631</t>
        </is>
      </c>
      <c r="D6011" t="inlineStr">
        <is>
          <t>SKU-10138</t>
        </is>
      </c>
      <c r="E6011" t="inlineStr">
        <is>
          <t>AM07</t>
        </is>
      </c>
      <c r="F6011" s="5" t="n">
        <v>203.92</v>
      </c>
      <c r="G6011">
        <f>IF(LEFT(B6011,1)="C","Credit","Factuur")</f>
        <v/>
      </c>
      <c r="H6011">
        <f>IF(AND(B6011=B6010,D6011=D6010,A6011=A6010,F6011=F6010),1,0)</f>
        <v/>
      </c>
      <c r="I6011">
        <f>IF(C6011="C99999",1,0)</f>
        <v/>
      </c>
      <c r="J6011" s="5">
        <f>IF(OR(H6011=1,I6011=1),0,IF(G6011="Credit",-F6011,F6011))</f>
        <v/>
      </c>
    </row>
    <row r="6012">
      <c r="A6012" t="inlineStr">
        <is>
          <t>2026-08-28</t>
        </is>
      </c>
      <c r="B6012" t="inlineStr">
        <is>
          <t>F272174</t>
        </is>
      </c>
      <c r="C6012" t="inlineStr">
        <is>
          <t>C10631</t>
        </is>
      </c>
      <c r="D6012" t="inlineStr">
        <is>
          <t>SKU-10269</t>
        </is>
      </c>
      <c r="E6012" t="inlineStr">
        <is>
          <t>AM07</t>
        </is>
      </c>
      <c r="F6012" s="5" t="n">
        <v>205.63</v>
      </c>
      <c r="G6012">
        <f>IF(LEFT(B6012,1)="C","Credit","Factuur")</f>
        <v/>
      </c>
      <c r="H6012">
        <f>IF(AND(B6012=B6011,D6012=D6011,A6012=A6011,F6012=F6011),1,0)</f>
        <v/>
      </c>
      <c r="I6012">
        <f>IF(C6012="C99999",1,0)</f>
        <v/>
      </c>
      <c r="J6012" s="5">
        <f>IF(OR(H6012=1,I6012=1),0,IF(G6012="Credit",-F6012,F6012))</f>
        <v/>
      </c>
    </row>
    <row r="6013">
      <c r="A6013" t="inlineStr">
        <is>
          <t>2026-08-28</t>
        </is>
      </c>
      <c r="B6013" t="inlineStr">
        <is>
          <t>F272266</t>
        </is>
      </c>
      <c r="C6013" t="inlineStr">
        <is>
          <t>C10635</t>
        </is>
      </c>
      <c r="D6013" t="inlineStr">
        <is>
          <t>SKU-10055</t>
        </is>
      </c>
      <c r="E6013" t="inlineStr">
        <is>
          <t>AM06</t>
        </is>
      </c>
      <c r="F6013" s="5" t="n">
        <v>335.3</v>
      </c>
      <c r="G6013">
        <f>IF(LEFT(B6013,1)="C","Credit","Factuur")</f>
        <v/>
      </c>
      <c r="H6013">
        <f>IF(AND(B6013=B6012,D6013=D6012,A6013=A6012,F6013=F6012),1,0)</f>
        <v/>
      </c>
      <c r="I6013">
        <f>IF(C6013="C99999",1,0)</f>
        <v/>
      </c>
      <c r="J6013" s="5">
        <f>IF(OR(H6013=1,I6013=1),0,IF(G6013="Credit",-F6013,F6013))</f>
        <v/>
      </c>
    </row>
    <row r="6014">
      <c r="A6014" t="inlineStr">
        <is>
          <t>2026-08-28</t>
        </is>
      </c>
      <c r="B6014" t="inlineStr">
        <is>
          <t>F272266</t>
        </is>
      </c>
      <c r="C6014" t="inlineStr">
        <is>
          <t>C10635</t>
        </is>
      </c>
      <c r="D6014" t="inlineStr">
        <is>
          <t>SKU-10173</t>
        </is>
      </c>
      <c r="E6014" t="inlineStr"/>
      <c r="F6014" s="5" t="n">
        <v>322.5</v>
      </c>
      <c r="G6014">
        <f>IF(LEFT(B6014,1)="C","Credit","Factuur")</f>
        <v/>
      </c>
      <c r="H6014">
        <f>IF(AND(B6014=B6013,D6014=D6013,A6014=A6013,F6014=F6013),1,0)</f>
        <v/>
      </c>
      <c r="I6014">
        <f>IF(C6014="C99999",1,0)</f>
        <v/>
      </c>
      <c r="J6014" s="5">
        <f>IF(OR(H6014=1,I6014=1),0,IF(G6014="Credit",-F6014,F6014))</f>
        <v/>
      </c>
    </row>
    <row r="6015">
      <c r="A6015" t="inlineStr">
        <is>
          <t>2026-08-28</t>
        </is>
      </c>
      <c r="B6015" t="inlineStr">
        <is>
          <t>F272672</t>
        </is>
      </c>
      <c r="C6015" t="inlineStr">
        <is>
          <t>C10660</t>
        </is>
      </c>
      <c r="D6015" t="inlineStr">
        <is>
          <t>SKU-10029</t>
        </is>
      </c>
      <c r="E6015" t="inlineStr">
        <is>
          <t>AM02</t>
        </is>
      </c>
      <c r="F6015" s="5" t="n">
        <v>268.62</v>
      </c>
      <c r="G6015">
        <f>IF(LEFT(B6015,1)="C","Credit","Factuur")</f>
        <v/>
      </c>
      <c r="H6015">
        <f>IF(AND(B6015=B6014,D6015=D6014,A6015=A6014,F6015=F6014),1,0)</f>
        <v/>
      </c>
      <c r="I6015">
        <f>IF(C6015="C99999",1,0)</f>
        <v/>
      </c>
      <c r="J6015" s="5">
        <f>IF(OR(H6015=1,I6015=1),0,IF(G6015="Credit",-F6015,F6015))</f>
        <v/>
      </c>
    </row>
    <row r="6016">
      <c r="A6016" t="inlineStr">
        <is>
          <t>2026-08-28</t>
        </is>
      </c>
      <c r="B6016" t="inlineStr">
        <is>
          <t>F272672</t>
        </is>
      </c>
      <c r="C6016" t="inlineStr">
        <is>
          <t>C10660</t>
        </is>
      </c>
      <c r="D6016" t="inlineStr">
        <is>
          <t>SKU-10279</t>
        </is>
      </c>
      <c r="E6016" t="inlineStr">
        <is>
          <t>AM02</t>
        </is>
      </c>
      <c r="F6016" s="5" t="n">
        <v>281.86</v>
      </c>
      <c r="G6016">
        <f>IF(LEFT(B6016,1)="C","Credit","Factuur")</f>
        <v/>
      </c>
      <c r="H6016">
        <f>IF(AND(B6016=B6015,D6016=D6015,A6016=A6015,F6016=F6015),1,0)</f>
        <v/>
      </c>
      <c r="I6016">
        <f>IF(C6016="C99999",1,0)</f>
        <v/>
      </c>
      <c r="J6016" s="5">
        <f>IF(OR(H6016=1,I6016=1),0,IF(G6016="Credit",-F6016,F6016))</f>
        <v/>
      </c>
    </row>
    <row r="6017">
      <c r="A6017" t="inlineStr">
        <is>
          <t>2026-08-28</t>
        </is>
      </c>
      <c r="B6017" t="inlineStr">
        <is>
          <t>F272876</t>
        </is>
      </c>
      <c r="C6017" t="inlineStr">
        <is>
          <t>C10670</t>
        </is>
      </c>
      <c r="D6017" t="inlineStr">
        <is>
          <t>SKU-10131</t>
        </is>
      </c>
      <c r="E6017" t="inlineStr">
        <is>
          <t>AM03</t>
        </is>
      </c>
      <c r="F6017" s="5" t="n">
        <v>210.37</v>
      </c>
      <c r="G6017">
        <f>IF(LEFT(B6017,1)="C","Credit","Factuur")</f>
        <v/>
      </c>
      <c r="H6017">
        <f>IF(AND(B6017=B6016,D6017=D6016,A6017=A6016,F6017=F6016),1,0)</f>
        <v/>
      </c>
      <c r="I6017">
        <f>IF(C6017="C99999",1,0)</f>
        <v/>
      </c>
      <c r="J6017" s="5">
        <f>IF(OR(H6017=1,I6017=1),0,IF(G6017="Credit",-F6017,F6017))</f>
        <v/>
      </c>
    </row>
    <row r="6018">
      <c r="A6018" t="inlineStr">
        <is>
          <t>2026-08-28</t>
        </is>
      </c>
      <c r="B6018" t="inlineStr">
        <is>
          <t>F272876</t>
        </is>
      </c>
      <c r="C6018" t="inlineStr">
        <is>
          <t>C10670</t>
        </is>
      </c>
      <c r="D6018" t="inlineStr">
        <is>
          <t>SKU-10200</t>
        </is>
      </c>
      <c r="E6018" t="inlineStr">
        <is>
          <t>AM03</t>
        </is>
      </c>
      <c r="F6018" s="5" t="n">
        <v>186.53</v>
      </c>
      <c r="G6018">
        <f>IF(LEFT(B6018,1)="C","Credit","Factuur")</f>
        <v/>
      </c>
      <c r="H6018">
        <f>IF(AND(B6018=B6017,D6018=D6017,A6018=A6017,F6018=F6017),1,0)</f>
        <v/>
      </c>
      <c r="I6018">
        <f>IF(C6018="C99999",1,0)</f>
        <v/>
      </c>
      <c r="J6018" s="5">
        <f>IF(OR(H6018=1,I6018=1),0,IF(G6018="Credit",-F6018,F6018))</f>
        <v/>
      </c>
    </row>
    <row r="6019">
      <c r="A6019" t="inlineStr">
        <is>
          <t>2026-08-28</t>
        </is>
      </c>
      <c r="B6019" t="inlineStr">
        <is>
          <t>F272876</t>
        </is>
      </c>
      <c r="C6019" t="inlineStr">
        <is>
          <t>C10670</t>
        </is>
      </c>
      <c r="D6019" t="inlineStr">
        <is>
          <t>SKU-10295</t>
        </is>
      </c>
      <c r="E6019" t="inlineStr">
        <is>
          <t>AM03</t>
        </is>
      </c>
      <c r="F6019" s="5" t="n">
        <v>216.93</v>
      </c>
      <c r="G6019">
        <f>IF(LEFT(B6019,1)="C","Credit","Factuur")</f>
        <v/>
      </c>
      <c r="H6019">
        <f>IF(AND(B6019=B6018,D6019=D6018,A6019=A6018,F6019=F6018),1,0)</f>
        <v/>
      </c>
      <c r="I6019">
        <f>IF(C6019="C99999",1,0)</f>
        <v/>
      </c>
      <c r="J6019" s="5">
        <f>IF(OR(H6019=1,I6019=1),0,IF(G6019="Credit",-F6019,F6019))</f>
        <v/>
      </c>
    </row>
    <row r="6020">
      <c r="A6020" t="inlineStr">
        <is>
          <t>2026-08-28</t>
        </is>
      </c>
      <c r="B6020" t="inlineStr">
        <is>
          <t>F272978</t>
        </is>
      </c>
      <c r="C6020" t="inlineStr">
        <is>
          <t>C10676</t>
        </is>
      </c>
      <c r="D6020" t="inlineStr">
        <is>
          <t>SKU-10312</t>
        </is>
      </c>
      <c r="E6020" t="inlineStr">
        <is>
          <t>AM05</t>
        </is>
      </c>
      <c r="F6020" s="5" t="n">
        <v>240.8</v>
      </c>
      <c r="G6020">
        <f>IF(LEFT(B6020,1)="C","Credit","Factuur")</f>
        <v/>
      </c>
      <c r="H6020">
        <f>IF(AND(B6020=B6019,D6020=D6019,A6020=A6019,F6020=F6019),1,0)</f>
        <v/>
      </c>
      <c r="I6020">
        <f>IF(C6020="C99999",1,0)</f>
        <v/>
      </c>
      <c r="J6020" s="5">
        <f>IF(OR(H6020=1,I6020=1),0,IF(G6020="Credit",-F6020,F6020))</f>
        <v/>
      </c>
    </row>
    <row r="6021">
      <c r="A6021" t="inlineStr">
        <is>
          <t>2026-08-28</t>
        </is>
      </c>
      <c r="B6021" t="inlineStr">
        <is>
          <t>F273420</t>
        </is>
      </c>
      <c r="C6021" t="inlineStr">
        <is>
          <t>C10702</t>
        </is>
      </c>
      <c r="D6021" t="inlineStr">
        <is>
          <t>SKU-10322</t>
        </is>
      </c>
      <c r="E6021" t="inlineStr">
        <is>
          <t>AM03</t>
        </is>
      </c>
      <c r="F6021" s="5" t="n">
        <v>1735.04</v>
      </c>
      <c r="G6021">
        <f>IF(LEFT(B6021,1)="C","Credit","Factuur")</f>
        <v/>
      </c>
      <c r="H6021">
        <f>IF(AND(B6021=B6020,D6021=D6020,A6021=A6020,F6021=F6020),1,0)</f>
        <v/>
      </c>
      <c r="I6021">
        <f>IF(C6021="C99999",1,0)</f>
        <v/>
      </c>
      <c r="J6021" s="5">
        <f>IF(OR(H6021=1,I6021=1),0,IF(G6021="Credit",-F6021,F6021))</f>
        <v/>
      </c>
    </row>
    <row r="6022">
      <c r="A6022" t="inlineStr">
        <is>
          <t>2026-08-28</t>
        </is>
      </c>
      <c r="B6022" t="inlineStr">
        <is>
          <t>F273545</t>
        </is>
      </c>
      <c r="C6022" t="inlineStr">
        <is>
          <t>C10710</t>
        </is>
      </c>
      <c r="D6022" t="inlineStr">
        <is>
          <t>SKU-10031</t>
        </is>
      </c>
      <c r="E6022" t="inlineStr">
        <is>
          <t>IS02</t>
        </is>
      </c>
      <c r="F6022" s="5" t="n">
        <v>58.34</v>
      </c>
      <c r="G6022">
        <f>IF(LEFT(B6022,1)="C","Credit","Factuur")</f>
        <v/>
      </c>
      <c r="H6022">
        <f>IF(AND(B6022=B6021,D6022=D6021,A6022=A6021,F6022=F6021),1,0)</f>
        <v/>
      </c>
      <c r="I6022">
        <f>IF(C6022="C99999",1,0)</f>
        <v/>
      </c>
      <c r="J6022" s="5">
        <f>IF(OR(H6022=1,I6022=1),0,IF(G6022="Credit",-F6022,F6022))</f>
        <v/>
      </c>
    </row>
    <row r="6023">
      <c r="A6023" t="inlineStr">
        <is>
          <t>2026-08-28</t>
        </is>
      </c>
      <c r="B6023" t="inlineStr">
        <is>
          <t>F273545</t>
        </is>
      </c>
      <c r="C6023" t="inlineStr">
        <is>
          <t>C10710</t>
        </is>
      </c>
      <c r="D6023" t="inlineStr">
        <is>
          <t>SKU-10062</t>
        </is>
      </c>
      <c r="E6023" t="inlineStr">
        <is>
          <t>IS02</t>
        </is>
      </c>
      <c r="F6023" s="5" t="n">
        <v>67.76000000000001</v>
      </c>
      <c r="G6023">
        <f>IF(LEFT(B6023,1)="C","Credit","Factuur")</f>
        <v/>
      </c>
      <c r="H6023">
        <f>IF(AND(B6023=B6022,D6023=D6022,A6023=A6022,F6023=F6022),1,0)</f>
        <v/>
      </c>
      <c r="I6023">
        <f>IF(C6023="C99999",1,0)</f>
        <v/>
      </c>
      <c r="J6023" s="5">
        <f>IF(OR(H6023=1,I6023=1),0,IF(G6023="Credit",-F6023,F6023))</f>
        <v/>
      </c>
    </row>
    <row r="6024">
      <c r="A6024" t="inlineStr">
        <is>
          <t>2026-08-28</t>
        </is>
      </c>
      <c r="B6024" t="inlineStr">
        <is>
          <t>F273545</t>
        </is>
      </c>
      <c r="C6024" t="inlineStr">
        <is>
          <t>C10710</t>
        </is>
      </c>
      <c r="D6024" t="inlineStr">
        <is>
          <t>SKU-10278</t>
        </is>
      </c>
      <c r="E6024" t="inlineStr">
        <is>
          <t>IS02</t>
        </is>
      </c>
      <c r="F6024" s="5" t="n">
        <v>63.06</v>
      </c>
      <c r="G6024">
        <f>IF(LEFT(B6024,1)="C","Credit","Factuur")</f>
        <v/>
      </c>
      <c r="H6024">
        <f>IF(AND(B6024=B6023,D6024=D6023,A6024=A6023,F6024=F6023),1,0)</f>
        <v/>
      </c>
      <c r="I6024">
        <f>IF(C6024="C99999",1,0)</f>
        <v/>
      </c>
      <c r="J6024" s="5">
        <f>IF(OR(H6024=1,I6024=1),0,IF(G6024="Credit",-F6024,F6024))</f>
        <v/>
      </c>
    </row>
    <row r="6025">
      <c r="A6025" t="inlineStr">
        <is>
          <t>2026-08-28</t>
        </is>
      </c>
      <c r="B6025" t="inlineStr">
        <is>
          <t>F273557</t>
        </is>
      </c>
      <c r="C6025" t="inlineStr">
        <is>
          <t>C10711</t>
        </is>
      </c>
      <c r="D6025" t="inlineStr">
        <is>
          <t>SKU-10089</t>
        </is>
      </c>
      <c r="E6025" t="inlineStr">
        <is>
          <t>AM09</t>
        </is>
      </c>
      <c r="F6025" s="5" t="n">
        <v>6782.4</v>
      </c>
      <c r="G6025">
        <f>IF(LEFT(B6025,1)="C","Credit","Factuur")</f>
        <v/>
      </c>
      <c r="H6025">
        <f>IF(AND(B6025=B6024,D6025=D6024,A6025=A6024,F6025=F6024),1,0)</f>
        <v/>
      </c>
      <c r="I6025">
        <f>IF(C6025="C99999",1,0)</f>
        <v/>
      </c>
      <c r="J6025" s="5">
        <f>IF(OR(H6025=1,I6025=1),0,IF(G6025="Credit",-F6025,F6025))</f>
        <v/>
      </c>
    </row>
    <row r="6026">
      <c r="A6026" t="inlineStr">
        <is>
          <t>2026-08-28</t>
        </is>
      </c>
      <c r="B6026" t="inlineStr">
        <is>
          <t>F273557</t>
        </is>
      </c>
      <c r="C6026" t="inlineStr">
        <is>
          <t>C10711</t>
        </is>
      </c>
      <c r="D6026" t="inlineStr">
        <is>
          <t>SKU-10142</t>
        </is>
      </c>
      <c r="E6026" t="inlineStr">
        <is>
          <t>AM09</t>
        </is>
      </c>
      <c r="F6026" s="5" t="n">
        <v>6130.12</v>
      </c>
      <c r="G6026">
        <f>IF(LEFT(B6026,1)="C","Credit","Factuur")</f>
        <v/>
      </c>
      <c r="H6026">
        <f>IF(AND(B6026=B6025,D6026=D6025,A6026=A6025,F6026=F6025),1,0)</f>
        <v/>
      </c>
      <c r="I6026">
        <f>IF(C6026="C99999",1,0)</f>
        <v/>
      </c>
      <c r="J6026" s="5">
        <f>IF(OR(H6026=1,I6026=1),0,IF(G6026="Credit",-F6026,F6026))</f>
        <v/>
      </c>
    </row>
    <row r="6027">
      <c r="A6027" t="inlineStr">
        <is>
          <t>2026-08-28</t>
        </is>
      </c>
      <c r="B6027" t="inlineStr">
        <is>
          <t>F273557</t>
        </is>
      </c>
      <c r="C6027" t="inlineStr">
        <is>
          <t>C10711</t>
        </is>
      </c>
      <c r="D6027" t="inlineStr">
        <is>
          <t>SKU-10242</t>
        </is>
      </c>
      <c r="E6027" t="inlineStr">
        <is>
          <t>AM09</t>
        </is>
      </c>
      <c r="F6027" s="5" t="n">
        <v>6102</v>
      </c>
      <c r="G6027">
        <f>IF(LEFT(B6027,1)="C","Credit","Factuur")</f>
        <v/>
      </c>
      <c r="H6027">
        <f>IF(AND(B6027=B6026,D6027=D6026,A6027=A6026,F6027=F6026),1,0)</f>
        <v/>
      </c>
      <c r="I6027">
        <f>IF(C6027="C99999",1,0)</f>
        <v/>
      </c>
      <c r="J6027" s="5">
        <f>IF(OR(H6027=1,I6027=1),0,IF(G6027="Credit",-F6027,F6027))</f>
        <v/>
      </c>
    </row>
    <row r="6028">
      <c r="A6028" t="inlineStr">
        <is>
          <t>2026-08-28</t>
        </is>
      </c>
      <c r="B6028" t="inlineStr">
        <is>
          <t>F273636</t>
        </is>
      </c>
      <c r="C6028" t="inlineStr">
        <is>
          <t>C10715</t>
        </is>
      </c>
      <c r="D6028" t="inlineStr">
        <is>
          <t>SKU-10081</t>
        </is>
      </c>
      <c r="E6028" t="inlineStr">
        <is>
          <t>AM02</t>
        </is>
      </c>
      <c r="F6028" s="5" t="n">
        <v>826.41</v>
      </c>
      <c r="G6028">
        <f>IF(LEFT(B6028,1)="C","Credit","Factuur")</f>
        <v/>
      </c>
      <c r="H6028">
        <f>IF(AND(B6028=B6027,D6028=D6027,A6028=A6027,F6028=F6027),1,0)</f>
        <v/>
      </c>
      <c r="I6028">
        <f>IF(C6028="C99999",1,0)</f>
        <v/>
      </c>
      <c r="J6028" s="5">
        <f>IF(OR(H6028=1,I6028=1),0,IF(G6028="Credit",-F6028,F6028))</f>
        <v/>
      </c>
    </row>
    <row r="6029">
      <c r="A6029" t="inlineStr">
        <is>
          <t>2026-08-28</t>
        </is>
      </c>
      <c r="B6029" t="inlineStr">
        <is>
          <t>F273636</t>
        </is>
      </c>
      <c r="C6029" t="inlineStr">
        <is>
          <t>C10715</t>
        </is>
      </c>
      <c r="D6029" t="inlineStr">
        <is>
          <t>SKU-10196</t>
        </is>
      </c>
      <c r="E6029" t="inlineStr">
        <is>
          <t>AM02</t>
        </is>
      </c>
      <c r="F6029" s="5" t="n">
        <v>805.35</v>
      </c>
      <c r="G6029">
        <f>IF(LEFT(B6029,1)="C","Credit","Factuur")</f>
        <v/>
      </c>
      <c r="H6029">
        <f>IF(AND(B6029=B6028,D6029=D6028,A6029=A6028,F6029=F6028),1,0)</f>
        <v/>
      </c>
      <c r="I6029">
        <f>IF(C6029="C99999",1,0)</f>
        <v/>
      </c>
      <c r="J6029" s="5">
        <f>IF(OR(H6029=1,I6029=1),0,IF(G6029="Credit",-F6029,F6029))</f>
        <v/>
      </c>
    </row>
    <row r="6030">
      <c r="A6030" t="inlineStr">
        <is>
          <t>2026-08-28</t>
        </is>
      </c>
      <c r="B6030" t="inlineStr">
        <is>
          <t>F273636</t>
        </is>
      </c>
      <c r="C6030" t="inlineStr">
        <is>
          <t>C10715</t>
        </is>
      </c>
      <c r="D6030" t="inlineStr">
        <is>
          <t>SKU-10263</t>
        </is>
      </c>
      <c r="E6030" t="inlineStr">
        <is>
          <t>AM02</t>
        </is>
      </c>
      <c r="F6030" s="5" t="n">
        <v>818.74</v>
      </c>
      <c r="G6030">
        <f>IF(LEFT(B6030,1)="C","Credit","Factuur")</f>
        <v/>
      </c>
      <c r="H6030">
        <f>IF(AND(B6030=B6029,D6030=D6029,A6030=A6029,F6030=F6029),1,0)</f>
        <v/>
      </c>
      <c r="I6030">
        <f>IF(C6030="C99999",1,0)</f>
        <v/>
      </c>
      <c r="J6030" s="5">
        <f>IF(OR(H6030=1,I6030=1),0,IF(G6030="Credit",-F6030,F6030))</f>
        <v/>
      </c>
    </row>
    <row r="6031">
      <c r="A6031" t="inlineStr">
        <is>
          <t>2026-08-28</t>
        </is>
      </c>
      <c r="B6031" t="inlineStr">
        <is>
          <t>F273636</t>
        </is>
      </c>
      <c r="C6031" t="inlineStr">
        <is>
          <t>C10715</t>
        </is>
      </c>
      <c r="D6031" t="inlineStr">
        <is>
          <t>SKU-10284</t>
        </is>
      </c>
      <c r="E6031" t="inlineStr">
        <is>
          <t>AM02</t>
        </is>
      </c>
      <c r="F6031" s="5" t="n">
        <v>776.5700000000001</v>
      </c>
      <c r="G6031">
        <f>IF(LEFT(B6031,1)="C","Credit","Factuur")</f>
        <v/>
      </c>
      <c r="H6031">
        <f>IF(AND(B6031=B6030,D6031=D6030,A6031=A6030,F6031=F6030),1,0)</f>
        <v/>
      </c>
      <c r="I6031">
        <f>IF(C6031="C99999",1,0)</f>
        <v/>
      </c>
      <c r="J6031" s="5">
        <f>IF(OR(H6031=1,I6031=1),0,IF(G6031="Credit",-F6031,F6031))</f>
        <v/>
      </c>
    </row>
    <row r="6032">
      <c r="A6032" t="inlineStr">
        <is>
          <t>2026-08-28</t>
        </is>
      </c>
      <c r="B6032" t="inlineStr">
        <is>
          <t>F273636</t>
        </is>
      </c>
      <c r="C6032" t="inlineStr">
        <is>
          <t>C10715</t>
        </is>
      </c>
      <c r="D6032" t="inlineStr">
        <is>
          <t>SKU-10299</t>
        </is>
      </c>
      <c r="E6032" t="inlineStr">
        <is>
          <t>AM02</t>
        </is>
      </c>
      <c r="F6032" s="5" t="n">
        <v>828.08</v>
      </c>
      <c r="G6032">
        <f>IF(LEFT(B6032,1)="C","Credit","Factuur")</f>
        <v/>
      </c>
      <c r="H6032">
        <f>IF(AND(B6032=B6031,D6032=D6031,A6032=A6031,F6032=F6031),1,0)</f>
        <v/>
      </c>
      <c r="I6032">
        <f>IF(C6032="C99999",1,0)</f>
        <v/>
      </c>
      <c r="J6032" s="5">
        <f>IF(OR(H6032=1,I6032=1),0,IF(G6032="Credit",-F6032,F6032))</f>
        <v/>
      </c>
    </row>
    <row r="6033">
      <c r="A6033" t="inlineStr">
        <is>
          <t>2026-08-28</t>
        </is>
      </c>
      <c r="B6033" t="inlineStr">
        <is>
          <t>F273925</t>
        </is>
      </c>
      <c r="C6033" t="inlineStr">
        <is>
          <t>C10735</t>
        </is>
      </c>
      <c r="D6033" t="inlineStr">
        <is>
          <t>SKU-10003</t>
        </is>
      </c>
      <c r="E6033" t="inlineStr">
        <is>
          <t>AM01</t>
        </is>
      </c>
      <c r="F6033" s="5" t="n">
        <v>523.45</v>
      </c>
      <c r="G6033">
        <f>IF(LEFT(B6033,1)="C","Credit","Factuur")</f>
        <v/>
      </c>
      <c r="H6033">
        <f>IF(AND(B6033=B6032,D6033=D6032,A6033=A6032,F6033=F6032),1,0)</f>
        <v/>
      </c>
      <c r="I6033">
        <f>IF(C6033="C99999",1,0)</f>
        <v/>
      </c>
      <c r="J6033" s="5">
        <f>IF(OR(H6033=1,I6033=1),0,IF(G6033="Credit",-F6033,F6033))</f>
        <v/>
      </c>
    </row>
    <row r="6034">
      <c r="A6034" t="inlineStr">
        <is>
          <t>2026-08-28</t>
        </is>
      </c>
      <c r="B6034" t="inlineStr">
        <is>
          <t>F273925</t>
        </is>
      </c>
      <c r="C6034" t="inlineStr">
        <is>
          <t>C10735</t>
        </is>
      </c>
      <c r="D6034" t="inlineStr">
        <is>
          <t>SKU-10056</t>
        </is>
      </c>
      <c r="E6034" t="inlineStr">
        <is>
          <t>AM01</t>
        </is>
      </c>
      <c r="F6034" s="5" t="n">
        <v>528</v>
      </c>
      <c r="G6034">
        <f>IF(LEFT(B6034,1)="C","Credit","Factuur")</f>
        <v/>
      </c>
      <c r="H6034">
        <f>IF(AND(B6034=B6033,D6034=D6033,A6034=A6033,F6034=F6033),1,0)</f>
        <v/>
      </c>
      <c r="I6034">
        <f>IF(C6034="C99999",1,0)</f>
        <v/>
      </c>
      <c r="J6034" s="5">
        <f>IF(OR(H6034=1,I6034=1),0,IF(G6034="Credit",-F6034,F6034))</f>
        <v/>
      </c>
    </row>
    <row r="6035">
      <c r="A6035" t="inlineStr">
        <is>
          <t>2026-08-28</t>
        </is>
      </c>
      <c r="B6035" t="inlineStr">
        <is>
          <t>F273925</t>
        </is>
      </c>
      <c r="C6035" t="inlineStr">
        <is>
          <t>C10735</t>
        </is>
      </c>
      <c r="D6035" t="inlineStr">
        <is>
          <t>SKU-10183</t>
        </is>
      </c>
      <c r="E6035" t="inlineStr">
        <is>
          <t>AM01</t>
        </is>
      </c>
      <c r="F6035" s="5" t="n">
        <v>520.6</v>
      </c>
      <c r="G6035">
        <f>IF(LEFT(B6035,1)="C","Credit","Factuur")</f>
        <v/>
      </c>
      <c r="H6035">
        <f>IF(AND(B6035=B6034,D6035=D6034,A6035=A6034,F6035=F6034),1,0)</f>
        <v/>
      </c>
      <c r="I6035">
        <f>IF(C6035="C99999",1,0)</f>
        <v/>
      </c>
      <c r="J6035" s="5">
        <f>IF(OR(H6035=1,I6035=1),0,IF(G6035="Credit",-F6035,F6035))</f>
        <v/>
      </c>
    </row>
    <row r="6036">
      <c r="A6036" t="inlineStr">
        <is>
          <t>2026-08-28</t>
        </is>
      </c>
      <c r="B6036" t="inlineStr">
        <is>
          <t>F273973</t>
        </is>
      </c>
      <c r="C6036" t="inlineStr">
        <is>
          <t>C10737</t>
        </is>
      </c>
      <c r="D6036" t="inlineStr">
        <is>
          <t>SKU-10212</t>
        </is>
      </c>
      <c r="E6036" t="inlineStr">
        <is>
          <t>AM03</t>
        </is>
      </c>
      <c r="F6036" s="5" t="n">
        <v>504.36</v>
      </c>
      <c r="G6036">
        <f>IF(LEFT(B6036,1)="C","Credit","Factuur")</f>
        <v/>
      </c>
      <c r="H6036">
        <f>IF(AND(B6036=B6035,D6036=D6035,A6036=A6035,F6036=F6035),1,0)</f>
        <v/>
      </c>
      <c r="I6036">
        <f>IF(C6036="C99999",1,0)</f>
        <v/>
      </c>
      <c r="J6036" s="5">
        <f>IF(OR(H6036=1,I6036=1),0,IF(G6036="Credit",-F6036,F6036))</f>
        <v/>
      </c>
    </row>
    <row r="6037">
      <c r="A6037" t="inlineStr">
        <is>
          <t>2026-08-28</t>
        </is>
      </c>
      <c r="B6037" t="inlineStr">
        <is>
          <t>F274057</t>
        </is>
      </c>
      <c r="C6037" t="inlineStr">
        <is>
          <t>C10743</t>
        </is>
      </c>
      <c r="D6037" t="inlineStr">
        <is>
          <t>SKU-10029</t>
        </is>
      </c>
      <c r="E6037" t="inlineStr">
        <is>
          <t>AM11</t>
        </is>
      </c>
      <c r="F6037" s="5" t="n">
        <v>89.54000000000001</v>
      </c>
      <c r="G6037">
        <f>IF(LEFT(B6037,1)="C","Credit","Factuur")</f>
        <v/>
      </c>
      <c r="H6037">
        <f>IF(AND(B6037=B6036,D6037=D6036,A6037=A6036,F6037=F6036),1,0)</f>
        <v/>
      </c>
      <c r="I6037">
        <f>IF(C6037="C99999",1,0)</f>
        <v/>
      </c>
      <c r="J6037" s="5">
        <f>IF(OR(H6037=1,I6037=1),0,IF(G6037="Credit",-F6037,F6037))</f>
        <v/>
      </c>
    </row>
    <row r="6038">
      <c r="A6038" t="inlineStr">
        <is>
          <t>2026-08-28</t>
        </is>
      </c>
      <c r="B6038" t="inlineStr">
        <is>
          <t>F274057</t>
        </is>
      </c>
      <c r="C6038" t="inlineStr">
        <is>
          <t>C10743</t>
        </is>
      </c>
      <c r="D6038" t="inlineStr">
        <is>
          <t>SKU-10075</t>
        </is>
      </c>
      <c r="E6038" t="inlineStr">
        <is>
          <t>AM11</t>
        </is>
      </c>
      <c r="F6038" s="5" t="n">
        <v>109.55</v>
      </c>
      <c r="G6038">
        <f>IF(LEFT(B6038,1)="C","Credit","Factuur")</f>
        <v/>
      </c>
      <c r="H6038">
        <f>IF(AND(B6038=B6037,D6038=D6037,A6038=A6037,F6038=F6037),1,0)</f>
        <v/>
      </c>
      <c r="I6038">
        <f>IF(C6038="C99999",1,0)</f>
        <v/>
      </c>
      <c r="J6038" s="5">
        <f>IF(OR(H6038=1,I6038=1),0,IF(G6038="Credit",-F6038,F6038))</f>
        <v/>
      </c>
    </row>
    <row r="6039">
      <c r="A6039" t="inlineStr">
        <is>
          <t>2026-08-28</t>
        </is>
      </c>
      <c r="B6039" t="inlineStr">
        <is>
          <t>F274057</t>
        </is>
      </c>
      <c r="C6039" t="inlineStr">
        <is>
          <t>C10743</t>
        </is>
      </c>
      <c r="D6039" t="inlineStr">
        <is>
          <t>SKU-10183</t>
        </is>
      </c>
      <c r="E6039" t="inlineStr">
        <is>
          <t>AM11</t>
        </is>
      </c>
      <c r="F6039" s="5" t="n">
        <v>109.6</v>
      </c>
      <c r="G6039">
        <f>IF(LEFT(B6039,1)="C","Credit","Factuur")</f>
        <v/>
      </c>
      <c r="H6039">
        <f>IF(AND(B6039=B6038,D6039=D6038,A6039=A6038,F6039=F6038),1,0)</f>
        <v/>
      </c>
      <c r="I6039">
        <f>IF(C6039="C99999",1,0)</f>
        <v/>
      </c>
      <c r="J6039" s="5">
        <f>IF(OR(H6039=1,I6039=1),0,IF(G6039="Credit",-F6039,F6039))</f>
        <v/>
      </c>
    </row>
    <row r="6040">
      <c r="A6040" t="inlineStr">
        <is>
          <t>2026-08-28</t>
        </is>
      </c>
      <c r="B6040" t="inlineStr">
        <is>
          <t>F274057</t>
        </is>
      </c>
      <c r="C6040" t="inlineStr">
        <is>
          <t>C10743</t>
        </is>
      </c>
      <c r="D6040" t="inlineStr">
        <is>
          <t>SKU-10323</t>
        </is>
      </c>
      <c r="E6040" t="inlineStr">
        <is>
          <t>AM11</t>
        </is>
      </c>
      <c r="F6040" s="5" t="n">
        <v>105.9</v>
      </c>
      <c r="G6040">
        <f>IF(LEFT(B6040,1)="C","Credit","Factuur")</f>
        <v/>
      </c>
      <c r="H6040">
        <f>IF(AND(B6040=B6039,D6040=D6039,A6040=A6039,F6040=F6039),1,0)</f>
        <v/>
      </c>
      <c r="I6040">
        <f>IF(C6040="C99999",1,0)</f>
        <v/>
      </c>
      <c r="J6040" s="5">
        <f>IF(OR(H6040=1,I6040=1),0,IF(G6040="Credit",-F6040,F6040))</f>
        <v/>
      </c>
    </row>
    <row r="6041">
      <c r="A6041" t="inlineStr">
        <is>
          <t>2026-08-28</t>
        </is>
      </c>
      <c r="B6041" t="inlineStr">
        <is>
          <t>F275206</t>
        </is>
      </c>
      <c r="C6041" t="inlineStr">
        <is>
          <t>C10801</t>
        </is>
      </c>
      <c r="D6041" t="inlineStr">
        <is>
          <t>SKU-10229</t>
        </is>
      </c>
      <c r="E6041" t="inlineStr">
        <is>
          <t>AM01</t>
        </is>
      </c>
      <c r="F6041" s="5" t="n">
        <v>122.92</v>
      </c>
      <c r="G6041">
        <f>IF(LEFT(B6041,1)="C","Credit","Factuur")</f>
        <v/>
      </c>
      <c r="H6041">
        <f>IF(AND(B6041=B6040,D6041=D6040,A6041=A6040,F6041=F6040),1,0)</f>
        <v/>
      </c>
      <c r="I6041">
        <f>IF(C6041="C99999",1,0)</f>
        <v/>
      </c>
      <c r="J6041" s="5">
        <f>IF(OR(H6041=1,I6041=1),0,IF(G6041="Credit",-F6041,F6041))</f>
        <v/>
      </c>
    </row>
    <row r="6042">
      <c r="A6042" t="inlineStr">
        <is>
          <t>2026-08-28</t>
        </is>
      </c>
      <c r="B6042" t="inlineStr">
        <is>
          <t>F275602</t>
        </is>
      </c>
      <c r="C6042" t="inlineStr">
        <is>
          <t>C10825</t>
        </is>
      </c>
      <c r="D6042" t="inlineStr">
        <is>
          <t>SKU-10102</t>
        </is>
      </c>
      <c r="E6042" t="inlineStr">
        <is>
          <t>AM05</t>
        </is>
      </c>
      <c r="F6042" s="5" t="n">
        <v>86.23999999999999</v>
      </c>
      <c r="G6042">
        <f>IF(LEFT(B6042,1)="C","Credit","Factuur")</f>
        <v/>
      </c>
      <c r="H6042">
        <f>IF(AND(B6042=B6041,D6042=D6041,A6042=A6041,F6042=F6041),1,0)</f>
        <v/>
      </c>
      <c r="I6042">
        <f>IF(C6042="C99999",1,0)</f>
        <v/>
      </c>
      <c r="J6042" s="5">
        <f>IF(OR(H6042=1,I6042=1),0,IF(G6042="Credit",-F6042,F6042))</f>
        <v/>
      </c>
    </row>
    <row r="6043">
      <c r="A6043" t="inlineStr">
        <is>
          <t>2026-08-28</t>
        </is>
      </c>
      <c r="B6043" t="inlineStr">
        <is>
          <t>F275602</t>
        </is>
      </c>
      <c r="C6043" t="inlineStr">
        <is>
          <t>C10825</t>
        </is>
      </c>
      <c r="D6043" t="inlineStr">
        <is>
          <t>SKU-10120</t>
        </is>
      </c>
      <c r="E6043" t="inlineStr">
        <is>
          <t>AM05</t>
        </is>
      </c>
      <c r="F6043" s="5" t="n">
        <v>53.92</v>
      </c>
      <c r="G6043">
        <f>IF(LEFT(B6043,1)="C","Credit","Factuur")</f>
        <v/>
      </c>
      <c r="H6043">
        <f>IF(AND(B6043=B6042,D6043=D6042,A6043=A6042,F6043=F6042),1,0)</f>
        <v/>
      </c>
      <c r="I6043">
        <f>IF(C6043="C99999",1,0)</f>
        <v/>
      </c>
      <c r="J6043" s="5">
        <f>IF(OR(H6043=1,I6043=1),0,IF(G6043="Credit",-F6043,F6043))</f>
        <v/>
      </c>
    </row>
    <row r="6044">
      <c r="A6044" t="inlineStr">
        <is>
          <t>2026-08-28</t>
        </is>
      </c>
      <c r="B6044" t="inlineStr">
        <is>
          <t>F275602</t>
        </is>
      </c>
      <c r="C6044" t="inlineStr">
        <is>
          <t>C10825</t>
        </is>
      </c>
      <c r="D6044" t="inlineStr">
        <is>
          <t>SKU-10141</t>
        </is>
      </c>
      <c r="E6044" t="inlineStr">
        <is>
          <t>AM05</t>
        </is>
      </c>
      <c r="F6044" s="5" t="n">
        <v>53.05</v>
      </c>
      <c r="G6044">
        <f>IF(LEFT(B6044,1)="C","Credit","Factuur")</f>
        <v/>
      </c>
      <c r="H6044">
        <f>IF(AND(B6044=B6043,D6044=D6043,A6044=A6043,F6044=F6043),1,0)</f>
        <v/>
      </c>
      <c r="I6044">
        <f>IF(C6044="C99999",1,0)</f>
        <v/>
      </c>
      <c r="J6044" s="5">
        <f>IF(OR(H6044=1,I6044=1),0,IF(G6044="Credit",-F6044,F6044))</f>
        <v/>
      </c>
    </row>
    <row r="6045">
      <c r="A6045" t="inlineStr">
        <is>
          <t>2026-08-28</t>
        </is>
      </c>
      <c r="B6045" t="inlineStr">
        <is>
          <t>F275602</t>
        </is>
      </c>
      <c r="C6045" t="inlineStr">
        <is>
          <t>C10825</t>
        </is>
      </c>
      <c r="D6045" t="inlineStr">
        <is>
          <t>SKU-10179</t>
        </is>
      </c>
      <c r="E6045" t="inlineStr">
        <is>
          <t>AM05</t>
        </is>
      </c>
      <c r="F6045" s="5" t="n">
        <v>49.76</v>
      </c>
      <c r="G6045">
        <f>IF(LEFT(B6045,1)="C","Credit","Factuur")</f>
        <v/>
      </c>
      <c r="H6045">
        <f>IF(AND(B6045=B6044,D6045=D6044,A6045=A6044,F6045=F6044),1,0)</f>
        <v/>
      </c>
      <c r="I6045">
        <f>IF(C6045="C99999",1,0)</f>
        <v/>
      </c>
      <c r="J6045" s="5">
        <f>IF(OR(H6045=1,I6045=1),0,IF(G6045="Credit",-F6045,F6045))</f>
        <v/>
      </c>
    </row>
    <row r="6046">
      <c r="A6046" t="inlineStr">
        <is>
          <t>2026-08-28</t>
        </is>
      </c>
      <c r="B6046" t="inlineStr">
        <is>
          <t>F275602</t>
        </is>
      </c>
      <c r="C6046" t="inlineStr">
        <is>
          <t>C10825</t>
        </is>
      </c>
      <c r="D6046" t="inlineStr">
        <is>
          <t>SKU-10257</t>
        </is>
      </c>
      <c r="E6046" t="inlineStr">
        <is>
          <t>AM05</t>
        </is>
      </c>
      <c r="F6046" s="5" t="n">
        <v>50.06</v>
      </c>
      <c r="G6046">
        <f>IF(LEFT(B6046,1)="C","Credit","Factuur")</f>
        <v/>
      </c>
      <c r="H6046">
        <f>IF(AND(B6046=B6045,D6046=D6045,A6046=A6045,F6046=F6045),1,0)</f>
        <v/>
      </c>
      <c r="I6046">
        <f>IF(C6046="C99999",1,0)</f>
        <v/>
      </c>
      <c r="J6046" s="5">
        <f>IF(OR(H6046=1,I6046=1),0,IF(G6046="Credit",-F6046,F6046))</f>
        <v/>
      </c>
    </row>
    <row r="6047">
      <c r="A6047" t="inlineStr">
        <is>
          <t>2026-08-28</t>
        </is>
      </c>
      <c r="B6047" t="inlineStr">
        <is>
          <t>F275602</t>
        </is>
      </c>
      <c r="C6047" t="inlineStr">
        <is>
          <t>C10825</t>
        </is>
      </c>
      <c r="D6047" t="inlineStr">
        <is>
          <t>SKU-10295</t>
        </is>
      </c>
      <c r="E6047" t="inlineStr">
        <is>
          <t>AM05</t>
        </is>
      </c>
      <c r="F6047" s="5" t="n">
        <v>61.98</v>
      </c>
      <c r="G6047">
        <f>IF(LEFT(B6047,1)="C","Credit","Factuur")</f>
        <v/>
      </c>
      <c r="H6047">
        <f>IF(AND(B6047=B6046,D6047=D6046,A6047=A6046,F6047=F6046),1,0)</f>
        <v/>
      </c>
      <c r="I6047">
        <f>IF(C6047="C99999",1,0)</f>
        <v/>
      </c>
      <c r="J6047" s="5">
        <f>IF(OR(H6047=1,I6047=1),0,IF(G6047="Credit",-F6047,F6047))</f>
        <v/>
      </c>
    </row>
    <row r="6048">
      <c r="A6048" t="inlineStr">
        <is>
          <t>2026-08-28</t>
        </is>
      </c>
      <c r="B6048" t="inlineStr">
        <is>
          <t>F275602</t>
        </is>
      </c>
      <c r="C6048" t="inlineStr">
        <is>
          <t>C10825</t>
        </is>
      </c>
      <c r="D6048" t="inlineStr">
        <is>
          <t>SKU-10318</t>
        </is>
      </c>
      <c r="E6048" t="inlineStr">
        <is>
          <t>AM05</t>
        </is>
      </c>
      <c r="F6048" s="5" t="n">
        <v>61.05</v>
      </c>
      <c r="G6048">
        <f>IF(LEFT(B6048,1)="C","Credit","Factuur")</f>
        <v/>
      </c>
      <c r="H6048">
        <f>IF(AND(B6048=B6047,D6048=D6047,A6048=A6047,F6048=F6047),1,0)</f>
        <v/>
      </c>
      <c r="I6048">
        <f>IF(C6048="C99999",1,0)</f>
        <v/>
      </c>
      <c r="J6048" s="5">
        <f>IF(OR(H6048=1,I6048=1),0,IF(G6048="Credit",-F6048,F6048))</f>
        <v/>
      </c>
    </row>
    <row r="6049">
      <c r="A6049" t="inlineStr">
        <is>
          <t>2026-08-28</t>
        </is>
      </c>
      <c r="B6049" t="inlineStr">
        <is>
          <t>F275602</t>
        </is>
      </c>
      <c r="C6049" t="inlineStr">
        <is>
          <t>C10825</t>
        </is>
      </c>
      <c r="D6049" t="inlineStr">
        <is>
          <t>SKU-10341</t>
        </is>
      </c>
      <c r="E6049" t="inlineStr">
        <is>
          <t>AM05</t>
        </is>
      </c>
      <c r="F6049" s="5" t="n">
        <v>38.23</v>
      </c>
      <c r="G6049">
        <f>IF(LEFT(B6049,1)="C","Credit","Factuur")</f>
        <v/>
      </c>
      <c r="H6049">
        <f>IF(AND(B6049=B6048,D6049=D6048,A6049=A6048,F6049=F6048),1,0)</f>
        <v/>
      </c>
      <c r="I6049">
        <f>IF(C6049="C99999",1,0)</f>
        <v/>
      </c>
      <c r="J6049" s="5">
        <f>IF(OR(H6049=1,I6049=1),0,IF(G6049="Credit",-F6049,F6049))</f>
        <v/>
      </c>
    </row>
    <row r="6050">
      <c r="A6050" t="inlineStr">
        <is>
          <t>2026-08-28</t>
        </is>
      </c>
      <c r="B6050" t="inlineStr">
        <is>
          <t>F275745</t>
        </is>
      </c>
      <c r="C6050" t="inlineStr">
        <is>
          <t>C10834</t>
        </is>
      </c>
      <c r="D6050" t="inlineStr">
        <is>
          <t>SKU-10045</t>
        </is>
      </c>
      <c r="E6050" t="inlineStr">
        <is>
          <t>AM02</t>
        </is>
      </c>
      <c r="F6050" s="5" t="n">
        <v>311.28</v>
      </c>
      <c r="G6050">
        <f>IF(LEFT(B6050,1)="C","Credit","Factuur")</f>
        <v/>
      </c>
      <c r="H6050">
        <f>IF(AND(B6050=B6049,D6050=D6049,A6050=A6049,F6050=F6049),1,0)</f>
        <v/>
      </c>
      <c r="I6050">
        <f>IF(C6050="C99999",1,0)</f>
        <v/>
      </c>
      <c r="J6050" s="5">
        <f>IF(OR(H6050=1,I6050=1),0,IF(G6050="Credit",-F6050,F6050))</f>
        <v/>
      </c>
    </row>
    <row r="6051">
      <c r="A6051" t="inlineStr">
        <is>
          <t>2026-08-28</t>
        </is>
      </c>
      <c r="B6051" t="inlineStr">
        <is>
          <t>F275745</t>
        </is>
      </c>
      <c r="C6051" t="inlineStr">
        <is>
          <t>C10834</t>
        </is>
      </c>
      <c r="D6051" t="inlineStr">
        <is>
          <t>SKU-10276</t>
        </is>
      </c>
      <c r="E6051" t="inlineStr">
        <is>
          <t>AM02</t>
        </is>
      </c>
      <c r="F6051" s="5" t="n">
        <v>304.3</v>
      </c>
      <c r="G6051">
        <f>IF(LEFT(B6051,1)="C","Credit","Factuur")</f>
        <v/>
      </c>
      <c r="H6051">
        <f>IF(AND(B6051=B6050,D6051=D6050,A6051=A6050,F6051=F6050),1,0)</f>
        <v/>
      </c>
      <c r="I6051">
        <f>IF(C6051="C99999",1,0)</f>
        <v/>
      </c>
      <c r="J6051" s="5">
        <f>IF(OR(H6051=1,I6051=1),0,IF(G6051="Credit",-F6051,F6051))</f>
        <v/>
      </c>
    </row>
    <row r="6052">
      <c r="A6052" t="inlineStr">
        <is>
          <t>2026-08-28</t>
        </is>
      </c>
      <c r="B6052" t="inlineStr">
        <is>
          <t>F276043</t>
        </is>
      </c>
      <c r="C6052" t="inlineStr">
        <is>
          <t>C10851</t>
        </is>
      </c>
      <c r="D6052" t="inlineStr">
        <is>
          <t>SKU-10022</t>
        </is>
      </c>
      <c r="E6052" t="inlineStr">
        <is>
          <t>AM02</t>
        </is>
      </c>
      <c r="F6052" s="5" t="n">
        <v>184.32</v>
      </c>
      <c r="G6052">
        <f>IF(LEFT(B6052,1)="C","Credit","Factuur")</f>
        <v/>
      </c>
      <c r="H6052">
        <f>IF(AND(B6052=B6051,D6052=D6051,A6052=A6051,F6052=F6051),1,0)</f>
        <v/>
      </c>
      <c r="I6052">
        <f>IF(C6052="C99999",1,0)</f>
        <v/>
      </c>
      <c r="J6052" s="5">
        <f>IF(OR(H6052=1,I6052=1),0,IF(G6052="Credit",-F6052,F6052))</f>
        <v/>
      </c>
    </row>
    <row r="6053">
      <c r="A6053" t="inlineStr">
        <is>
          <t>2026-08-28</t>
        </is>
      </c>
      <c r="B6053" t="inlineStr">
        <is>
          <t>F276043</t>
        </is>
      </c>
      <c r="C6053" t="inlineStr">
        <is>
          <t>C10851</t>
        </is>
      </c>
      <c r="D6053" t="inlineStr">
        <is>
          <t>SKU-10037</t>
        </is>
      </c>
      <c r="E6053" t="inlineStr">
        <is>
          <t>AM02</t>
        </is>
      </c>
      <c r="F6053" s="5" t="n">
        <v>194.08</v>
      </c>
      <c r="G6053">
        <f>IF(LEFT(B6053,1)="C","Credit","Factuur")</f>
        <v/>
      </c>
      <c r="H6053">
        <f>IF(AND(B6053=B6052,D6053=D6052,A6053=A6052,F6053=F6052),1,0)</f>
        <v/>
      </c>
      <c r="I6053">
        <f>IF(C6053="C99999",1,0)</f>
        <v/>
      </c>
      <c r="J6053" s="5">
        <f>IF(OR(H6053=1,I6053=1),0,IF(G6053="Credit",-F6053,F6053))</f>
        <v/>
      </c>
    </row>
    <row r="6054">
      <c r="A6054" t="inlineStr">
        <is>
          <t>2026-08-28</t>
        </is>
      </c>
      <c r="B6054" t="inlineStr">
        <is>
          <t>F276043</t>
        </is>
      </c>
      <c r="C6054" t="inlineStr">
        <is>
          <t>C10851</t>
        </is>
      </c>
      <c r="D6054" t="inlineStr">
        <is>
          <t>SKU-10071</t>
        </is>
      </c>
      <c r="E6054" t="inlineStr">
        <is>
          <t>AM02</t>
        </is>
      </c>
      <c r="F6054" s="5" t="n">
        <v>209.37</v>
      </c>
      <c r="G6054">
        <f>IF(LEFT(B6054,1)="C","Credit","Factuur")</f>
        <v/>
      </c>
      <c r="H6054">
        <f>IF(AND(B6054=B6053,D6054=D6053,A6054=A6053,F6054=F6053),1,0)</f>
        <v/>
      </c>
      <c r="I6054">
        <f>IF(C6054="C99999",1,0)</f>
        <v/>
      </c>
      <c r="J6054" s="5">
        <f>IF(OR(H6054=1,I6054=1),0,IF(G6054="Credit",-F6054,F6054))</f>
        <v/>
      </c>
    </row>
    <row r="6055">
      <c r="A6055" t="inlineStr">
        <is>
          <t>2026-08-28</t>
        </is>
      </c>
      <c r="B6055" t="inlineStr">
        <is>
          <t>F276043</t>
        </is>
      </c>
      <c r="C6055" t="inlineStr">
        <is>
          <t>C10851</t>
        </is>
      </c>
      <c r="D6055" t="inlineStr">
        <is>
          <t>SKU-10091</t>
        </is>
      </c>
      <c r="E6055" t="inlineStr">
        <is>
          <t>AM02</t>
        </is>
      </c>
      <c r="F6055" s="5" t="n">
        <v>223.12</v>
      </c>
      <c r="G6055">
        <f>IF(LEFT(B6055,1)="C","Credit","Factuur")</f>
        <v/>
      </c>
      <c r="H6055">
        <f>IF(AND(B6055=B6054,D6055=D6054,A6055=A6054,F6055=F6054),1,0)</f>
        <v/>
      </c>
      <c r="I6055">
        <f>IF(C6055="C99999",1,0)</f>
        <v/>
      </c>
      <c r="J6055" s="5">
        <f>IF(OR(H6055=1,I6055=1),0,IF(G6055="Credit",-F6055,F6055))</f>
        <v/>
      </c>
    </row>
    <row r="6056">
      <c r="A6056" t="inlineStr">
        <is>
          <t>2026-08-28</t>
        </is>
      </c>
      <c r="B6056" t="inlineStr">
        <is>
          <t>F276043</t>
        </is>
      </c>
      <c r="C6056" t="inlineStr">
        <is>
          <t>C10851</t>
        </is>
      </c>
      <c r="D6056" t="inlineStr">
        <is>
          <t>SKU-10134</t>
        </is>
      </c>
      <c r="E6056" t="inlineStr">
        <is>
          <t>AM02</t>
        </is>
      </c>
      <c r="F6056" s="5" t="n">
        <v>174.27</v>
      </c>
      <c r="G6056">
        <f>IF(LEFT(B6056,1)="C","Credit","Factuur")</f>
        <v/>
      </c>
      <c r="H6056">
        <f>IF(AND(B6056=B6055,D6056=D6055,A6056=A6055,F6056=F6055),1,0)</f>
        <v/>
      </c>
      <c r="I6056">
        <f>IF(C6056="C99999",1,0)</f>
        <v/>
      </c>
      <c r="J6056" s="5">
        <f>IF(OR(H6056=1,I6056=1),0,IF(G6056="Credit",-F6056,F6056))</f>
        <v/>
      </c>
    </row>
    <row r="6057">
      <c r="A6057" t="inlineStr">
        <is>
          <t>2026-08-28</t>
        </is>
      </c>
      <c r="B6057" t="inlineStr">
        <is>
          <t>F276043</t>
        </is>
      </c>
      <c r="C6057" t="inlineStr">
        <is>
          <t>C10851</t>
        </is>
      </c>
      <c r="D6057" t="inlineStr">
        <is>
          <t>SKU-10163</t>
        </is>
      </c>
      <c r="E6057" t="inlineStr">
        <is>
          <t>AM02</t>
        </is>
      </c>
      <c r="F6057" s="5" t="n">
        <v>173.5</v>
      </c>
      <c r="G6057">
        <f>IF(LEFT(B6057,1)="C","Credit","Factuur")</f>
        <v/>
      </c>
      <c r="H6057">
        <f>IF(AND(B6057=B6056,D6057=D6056,A6057=A6056,F6057=F6056),1,0)</f>
        <v/>
      </c>
      <c r="I6057">
        <f>IF(C6057="C99999",1,0)</f>
        <v/>
      </c>
      <c r="J6057" s="5">
        <f>IF(OR(H6057=1,I6057=1),0,IF(G6057="Credit",-F6057,F6057))</f>
        <v/>
      </c>
    </row>
    <row r="6058">
      <c r="A6058" t="inlineStr">
        <is>
          <t>2026-08-28</t>
        </is>
      </c>
      <c r="B6058" t="inlineStr">
        <is>
          <t>F276043</t>
        </is>
      </c>
      <c r="C6058" t="inlineStr">
        <is>
          <t>C10851</t>
        </is>
      </c>
      <c r="D6058" t="inlineStr">
        <is>
          <t>SKU-10342</t>
        </is>
      </c>
      <c r="E6058" t="inlineStr">
        <is>
          <t>AM02</t>
        </is>
      </c>
      <c r="F6058" s="5" t="n">
        <v>193.12</v>
      </c>
      <c r="G6058">
        <f>IF(LEFT(B6058,1)="C","Credit","Factuur")</f>
        <v/>
      </c>
      <c r="H6058">
        <f>IF(AND(B6058=B6057,D6058=D6057,A6058=A6057,F6058=F6057),1,0)</f>
        <v/>
      </c>
      <c r="I6058">
        <f>IF(C6058="C99999",1,0)</f>
        <v/>
      </c>
      <c r="J6058" s="5">
        <f>IF(OR(H6058=1,I6058=1),0,IF(G6058="Credit",-F6058,F6058))</f>
        <v/>
      </c>
    </row>
    <row r="6059">
      <c r="A6059" t="inlineStr">
        <is>
          <t>2026-08-28</t>
        </is>
      </c>
      <c r="B6059" t="inlineStr">
        <is>
          <t>F276043</t>
        </is>
      </c>
      <c r="C6059" t="inlineStr">
        <is>
          <t>C10851</t>
        </is>
      </c>
      <c r="D6059" t="inlineStr">
        <is>
          <t>SKU-10379</t>
        </is>
      </c>
      <c r="E6059" t="inlineStr">
        <is>
          <t>AM02</t>
        </is>
      </c>
      <c r="F6059" s="5" t="n">
        <v>146.32</v>
      </c>
      <c r="G6059">
        <f>IF(LEFT(B6059,1)="C","Credit","Factuur")</f>
        <v/>
      </c>
      <c r="H6059">
        <f>IF(AND(B6059=B6058,D6059=D6058,A6059=A6058,F6059=F6058),1,0)</f>
        <v/>
      </c>
      <c r="I6059">
        <f>IF(C6059="C99999",1,0)</f>
        <v/>
      </c>
      <c r="J6059" s="5">
        <f>IF(OR(H6059=1,I6059=1),0,IF(G6059="Credit",-F6059,F6059))</f>
        <v/>
      </c>
    </row>
    <row r="6060">
      <c r="A6060" t="inlineStr">
        <is>
          <t>2026-08-28</t>
        </is>
      </c>
      <c r="B6060" t="inlineStr">
        <is>
          <t>F276092</t>
        </is>
      </c>
      <c r="C6060" t="inlineStr">
        <is>
          <t>C10855</t>
        </is>
      </c>
      <c r="D6060" t="inlineStr">
        <is>
          <t>SKU-10114</t>
        </is>
      </c>
      <c r="E6060" t="inlineStr">
        <is>
          <t>AM08</t>
        </is>
      </c>
      <c r="F6060" s="5" t="n">
        <v>321.36</v>
      </c>
      <c r="G6060">
        <f>IF(LEFT(B6060,1)="C","Credit","Factuur")</f>
        <v/>
      </c>
      <c r="H6060">
        <f>IF(AND(B6060=B6059,D6060=D6059,A6060=A6059,F6060=F6059),1,0)</f>
        <v/>
      </c>
      <c r="I6060">
        <f>IF(C6060="C99999",1,0)</f>
        <v/>
      </c>
      <c r="J6060" s="5">
        <f>IF(OR(H6060=1,I6060=1),0,IF(G6060="Credit",-F6060,F6060))</f>
        <v/>
      </c>
    </row>
    <row r="6061">
      <c r="A6061" t="inlineStr">
        <is>
          <t>2026-08-28</t>
        </is>
      </c>
      <c r="B6061" t="inlineStr">
        <is>
          <t>F276092</t>
        </is>
      </c>
      <c r="C6061" t="inlineStr">
        <is>
          <t>C10855</t>
        </is>
      </c>
      <c r="D6061" t="inlineStr">
        <is>
          <t>SKU-10270</t>
        </is>
      </c>
      <c r="E6061" t="inlineStr">
        <is>
          <t>AM08</t>
        </is>
      </c>
      <c r="F6061" s="5" t="n">
        <v>302.96</v>
      </c>
      <c r="G6061">
        <f>IF(LEFT(B6061,1)="C","Credit","Factuur")</f>
        <v/>
      </c>
      <c r="H6061">
        <f>IF(AND(B6061=B6060,D6061=D6060,A6061=A6060,F6061=F6060),1,0)</f>
        <v/>
      </c>
      <c r="I6061">
        <f>IF(C6061="C99999",1,0)</f>
        <v/>
      </c>
      <c r="J6061" s="5">
        <f>IF(OR(H6061=1,I6061=1),0,IF(G6061="Credit",-F6061,F6061))</f>
        <v/>
      </c>
    </row>
    <row r="6062">
      <c r="A6062" t="inlineStr">
        <is>
          <t>2026-08-28</t>
        </is>
      </c>
      <c r="B6062" t="inlineStr">
        <is>
          <t>F276888</t>
        </is>
      </c>
      <c r="C6062" t="inlineStr">
        <is>
          <t>C10894</t>
        </is>
      </c>
      <c r="D6062" t="inlineStr">
        <is>
          <t>SKU-10158</t>
        </is>
      </c>
      <c r="E6062" t="inlineStr">
        <is>
          <t>AM02</t>
        </is>
      </c>
      <c r="F6062" s="5" t="n">
        <v>343.9</v>
      </c>
      <c r="G6062">
        <f>IF(LEFT(B6062,1)="C","Credit","Factuur")</f>
        <v/>
      </c>
      <c r="H6062">
        <f>IF(AND(B6062=B6061,D6062=D6061,A6062=A6061,F6062=F6061),1,0)</f>
        <v/>
      </c>
      <c r="I6062">
        <f>IF(C6062="C99999",1,0)</f>
        <v/>
      </c>
      <c r="J6062" s="5">
        <f>IF(OR(H6062=1,I6062=1),0,IF(G6062="Credit",-F6062,F6062))</f>
        <v/>
      </c>
    </row>
    <row r="6063">
      <c r="A6063" t="inlineStr">
        <is>
          <t>2026-08-28</t>
        </is>
      </c>
      <c r="B6063" t="inlineStr">
        <is>
          <t>F276888</t>
        </is>
      </c>
      <c r="C6063" t="inlineStr">
        <is>
          <t>C10894</t>
        </is>
      </c>
      <c r="D6063" t="inlineStr">
        <is>
          <t>SKU-10159</t>
        </is>
      </c>
      <c r="E6063" t="inlineStr">
        <is>
          <t>AM02</t>
        </is>
      </c>
      <c r="F6063" s="5" t="n">
        <v>345.34</v>
      </c>
      <c r="G6063">
        <f>IF(LEFT(B6063,1)="C","Credit","Factuur")</f>
        <v/>
      </c>
      <c r="H6063">
        <f>IF(AND(B6063=B6062,D6063=D6062,A6063=A6062,F6063=F6062),1,0)</f>
        <v/>
      </c>
      <c r="I6063">
        <f>IF(C6063="C99999",1,0)</f>
        <v/>
      </c>
      <c r="J6063" s="5">
        <f>IF(OR(H6063=1,I6063=1),0,IF(G6063="Credit",-F6063,F6063))</f>
        <v/>
      </c>
    </row>
    <row r="6064">
      <c r="A6064" t="inlineStr">
        <is>
          <t>2026-08-28</t>
        </is>
      </c>
      <c r="B6064" t="inlineStr">
        <is>
          <t>F276888</t>
        </is>
      </c>
      <c r="C6064" t="inlineStr">
        <is>
          <t>C10894</t>
        </is>
      </c>
      <c r="D6064" t="inlineStr">
        <is>
          <t>SKU-10328</t>
        </is>
      </c>
      <c r="E6064" t="inlineStr">
        <is>
          <t>AM02</t>
        </is>
      </c>
      <c r="F6064" s="5" t="n">
        <v>326.46</v>
      </c>
      <c r="G6064">
        <f>IF(LEFT(B6064,1)="C","Credit","Factuur")</f>
        <v/>
      </c>
      <c r="H6064">
        <f>IF(AND(B6064=B6063,D6064=D6063,A6064=A6063,F6064=F6063),1,0)</f>
        <v/>
      </c>
      <c r="I6064">
        <f>IF(C6064="C99999",1,0)</f>
        <v/>
      </c>
      <c r="J6064" s="5">
        <f>IF(OR(H6064=1,I6064=1),0,IF(G6064="Credit",-F6064,F6064))</f>
        <v/>
      </c>
    </row>
    <row r="6065">
      <c r="A6065" t="inlineStr">
        <is>
          <t>2026-08-28</t>
        </is>
      </c>
      <c r="B6065" t="inlineStr">
        <is>
          <t>F277007</t>
        </is>
      </c>
      <c r="C6065" t="inlineStr">
        <is>
          <t>C10901</t>
        </is>
      </c>
      <c r="D6065" t="inlineStr">
        <is>
          <t>SKU-10010</t>
        </is>
      </c>
      <c r="E6065" t="inlineStr">
        <is>
          <t>AM02</t>
        </is>
      </c>
      <c r="F6065" s="5" t="n">
        <v>176.48</v>
      </c>
      <c r="G6065">
        <f>IF(LEFT(B6065,1)="C","Credit","Factuur")</f>
        <v/>
      </c>
      <c r="H6065">
        <f>IF(AND(B6065=B6064,D6065=D6064,A6065=A6064,F6065=F6064),1,0)</f>
        <v/>
      </c>
      <c r="I6065">
        <f>IF(C6065="C99999",1,0)</f>
        <v/>
      </c>
      <c r="J6065" s="5">
        <f>IF(OR(H6065=1,I6065=1),0,IF(G6065="Credit",-F6065,F6065))</f>
        <v/>
      </c>
    </row>
    <row r="6066">
      <c r="A6066" t="inlineStr">
        <is>
          <t>2026-08-28</t>
        </is>
      </c>
      <c r="B6066" t="inlineStr">
        <is>
          <t>F277007</t>
        </is>
      </c>
      <c r="C6066" t="inlineStr">
        <is>
          <t>C10901</t>
        </is>
      </c>
      <c r="D6066" t="inlineStr">
        <is>
          <t>SKU-10185</t>
        </is>
      </c>
      <c r="E6066" t="inlineStr">
        <is>
          <t>AM02</t>
        </is>
      </c>
      <c r="F6066" s="5" t="n">
        <v>176.56</v>
      </c>
      <c r="G6066">
        <f>IF(LEFT(B6066,1)="C","Credit","Factuur")</f>
        <v/>
      </c>
      <c r="H6066">
        <f>IF(AND(B6066=B6065,D6066=D6065,A6066=A6065,F6066=F6065),1,0)</f>
        <v/>
      </c>
      <c r="I6066">
        <f>IF(C6066="C99999",1,0)</f>
        <v/>
      </c>
      <c r="J6066" s="5">
        <f>IF(OR(H6066=1,I6066=1),0,IF(G6066="Credit",-F6066,F6066))</f>
        <v/>
      </c>
    </row>
    <row r="6067">
      <c r="A6067" t="inlineStr">
        <is>
          <t>2026-08-28</t>
        </is>
      </c>
      <c r="B6067" t="inlineStr">
        <is>
          <t>F277007</t>
        </is>
      </c>
      <c r="C6067" t="inlineStr">
        <is>
          <t>C10901</t>
        </is>
      </c>
      <c r="D6067" t="inlineStr">
        <is>
          <t>SKU-10295</t>
        </is>
      </c>
      <c r="E6067" t="inlineStr">
        <is>
          <t>AM02</t>
        </is>
      </c>
      <c r="F6067" s="5" t="n">
        <v>176.64</v>
      </c>
      <c r="G6067">
        <f>IF(LEFT(B6067,1)="C","Credit","Factuur")</f>
        <v/>
      </c>
      <c r="H6067">
        <f>IF(AND(B6067=B6066,D6067=D6066,A6067=A6066,F6067=F6066),1,0)</f>
        <v/>
      </c>
      <c r="I6067">
        <f>IF(C6067="C99999",1,0)</f>
        <v/>
      </c>
      <c r="J6067" s="5">
        <f>IF(OR(H6067=1,I6067=1),0,IF(G6067="Credit",-F6067,F6067))</f>
        <v/>
      </c>
    </row>
    <row r="6068">
      <c r="A6068" t="inlineStr">
        <is>
          <t>2026-08-28</t>
        </is>
      </c>
      <c r="B6068" t="inlineStr">
        <is>
          <t>F277230</t>
        </is>
      </c>
      <c r="C6068" t="inlineStr">
        <is>
          <t>C10915</t>
        </is>
      </c>
      <c r="D6068" t="inlineStr">
        <is>
          <t>SKU-10161</t>
        </is>
      </c>
      <c r="E6068" t="inlineStr">
        <is>
          <t>AM01</t>
        </is>
      </c>
      <c r="F6068" s="5" t="n">
        <v>3537.42</v>
      </c>
      <c r="G6068">
        <f>IF(LEFT(B6068,1)="C","Credit","Factuur")</f>
        <v/>
      </c>
      <c r="H6068">
        <f>IF(AND(B6068=B6067,D6068=D6067,A6068=A6067,F6068=F6067),1,0)</f>
        <v/>
      </c>
      <c r="I6068">
        <f>IF(C6068="C99999",1,0)</f>
        <v/>
      </c>
      <c r="J6068" s="5">
        <f>IF(OR(H6068=1,I6068=1),0,IF(G6068="Credit",-F6068,F6068))</f>
        <v/>
      </c>
    </row>
    <row r="6069">
      <c r="A6069" t="inlineStr">
        <is>
          <t>2026-08-28</t>
        </is>
      </c>
      <c r="B6069" t="inlineStr">
        <is>
          <t>F277304</t>
        </is>
      </c>
      <c r="C6069" t="inlineStr">
        <is>
          <t>C10920</t>
        </is>
      </c>
      <c r="D6069" t="inlineStr">
        <is>
          <t>SKU-10009</t>
        </is>
      </c>
      <c r="E6069" t="inlineStr">
        <is>
          <t>AM06</t>
        </is>
      </c>
      <c r="F6069" s="5" t="n">
        <v>291.81</v>
      </c>
      <c r="G6069">
        <f>IF(LEFT(B6069,1)="C","Credit","Factuur")</f>
        <v/>
      </c>
      <c r="H6069">
        <f>IF(AND(B6069=B6068,D6069=D6068,A6069=A6068,F6069=F6068),1,0)</f>
        <v/>
      </c>
      <c r="I6069">
        <f>IF(C6069="C99999",1,0)</f>
        <v/>
      </c>
      <c r="J6069" s="5">
        <f>IF(OR(H6069=1,I6069=1),0,IF(G6069="Credit",-F6069,F6069))</f>
        <v/>
      </c>
    </row>
    <row r="6070">
      <c r="A6070" t="inlineStr">
        <is>
          <t>2026-08-28</t>
        </is>
      </c>
      <c r="B6070" t="inlineStr">
        <is>
          <t>F277304</t>
        </is>
      </c>
      <c r="C6070" t="inlineStr">
        <is>
          <t>C10920</t>
        </is>
      </c>
      <c r="D6070" t="inlineStr">
        <is>
          <t>SKU-10108</t>
        </is>
      </c>
      <c r="E6070" t="inlineStr">
        <is>
          <t>AM06</t>
        </is>
      </c>
      <c r="F6070" s="5" t="n">
        <v>278.79</v>
      </c>
      <c r="G6070">
        <f>IF(LEFT(B6070,1)="C","Credit","Factuur")</f>
        <v/>
      </c>
      <c r="H6070">
        <f>IF(AND(B6070=B6069,D6070=D6069,A6070=A6069,F6070=F6069),1,0)</f>
        <v/>
      </c>
      <c r="I6070">
        <f>IF(C6070="C99999",1,0)</f>
        <v/>
      </c>
      <c r="J6070" s="5">
        <f>IF(OR(H6070=1,I6070=1),0,IF(G6070="Credit",-F6070,F6070))</f>
        <v/>
      </c>
    </row>
    <row r="6071">
      <c r="A6071" t="inlineStr">
        <is>
          <t>2026-08-28</t>
        </is>
      </c>
      <c r="B6071" t="inlineStr">
        <is>
          <t>F277371</t>
        </is>
      </c>
      <c r="C6071" t="inlineStr">
        <is>
          <t>C10923</t>
        </is>
      </c>
      <c r="D6071" t="inlineStr">
        <is>
          <t>SKU-10040</t>
        </is>
      </c>
      <c r="E6071" t="inlineStr">
        <is>
          <t>AM08</t>
        </is>
      </c>
      <c r="F6071" s="5" t="n">
        <v>135.18</v>
      </c>
      <c r="G6071">
        <f>IF(LEFT(B6071,1)="C","Credit","Factuur")</f>
        <v/>
      </c>
      <c r="H6071">
        <f>IF(AND(B6071=B6070,D6071=D6070,A6071=A6070,F6071=F6070),1,0)</f>
        <v/>
      </c>
      <c r="I6071">
        <f>IF(C6071="C99999",1,0)</f>
        <v/>
      </c>
      <c r="J6071" s="5">
        <f>IF(OR(H6071=1,I6071=1),0,IF(G6071="Credit",-F6071,F6071))</f>
        <v/>
      </c>
    </row>
    <row r="6072">
      <c r="A6072" t="inlineStr">
        <is>
          <t>2026-08-28</t>
        </is>
      </c>
      <c r="B6072" t="inlineStr">
        <is>
          <t>F277371</t>
        </is>
      </c>
      <c r="C6072" t="inlineStr">
        <is>
          <t>C10923</t>
        </is>
      </c>
      <c r="D6072" t="inlineStr">
        <is>
          <t>SKU-10070</t>
        </is>
      </c>
      <c r="E6072" t="inlineStr"/>
      <c r="F6072" s="5" t="n">
        <v>134.86</v>
      </c>
      <c r="G6072">
        <f>IF(LEFT(B6072,1)="C","Credit","Factuur")</f>
        <v/>
      </c>
      <c r="H6072">
        <f>IF(AND(B6072=B6071,D6072=D6071,A6072=A6071,F6072=F6071),1,0)</f>
        <v/>
      </c>
      <c r="I6072">
        <f>IF(C6072="C99999",1,0)</f>
        <v/>
      </c>
      <c r="J6072" s="5">
        <f>IF(OR(H6072=1,I6072=1),0,IF(G6072="Credit",-F6072,F6072))</f>
        <v/>
      </c>
    </row>
    <row r="6073">
      <c r="A6073" t="inlineStr">
        <is>
          <t>2026-08-28</t>
        </is>
      </c>
      <c r="B6073" t="inlineStr">
        <is>
          <t>F277576</t>
        </is>
      </c>
      <c r="C6073" t="inlineStr">
        <is>
          <t>C10933</t>
        </is>
      </c>
      <c r="D6073" t="inlineStr">
        <is>
          <t>SKU-10218</t>
        </is>
      </c>
      <c r="E6073" t="inlineStr">
        <is>
          <t>AM02</t>
        </is>
      </c>
      <c r="F6073" s="5" t="n">
        <v>659.28</v>
      </c>
      <c r="G6073">
        <f>IF(LEFT(B6073,1)="C","Credit","Factuur")</f>
        <v/>
      </c>
      <c r="H6073">
        <f>IF(AND(B6073=B6072,D6073=D6072,A6073=A6072,F6073=F6072),1,0)</f>
        <v/>
      </c>
      <c r="I6073">
        <f>IF(C6073="C99999",1,0)</f>
        <v/>
      </c>
      <c r="J6073" s="5">
        <f>IF(OR(H6073=1,I6073=1),0,IF(G6073="Credit",-F6073,F6073))</f>
        <v/>
      </c>
    </row>
    <row r="6074">
      <c r="A6074" t="inlineStr">
        <is>
          <t>2026-08-28</t>
        </is>
      </c>
      <c r="B6074" t="inlineStr">
        <is>
          <t>F277576</t>
        </is>
      </c>
      <c r="C6074" t="inlineStr">
        <is>
          <t>C10933</t>
        </is>
      </c>
      <c r="D6074" t="inlineStr">
        <is>
          <t>SKU-10248</t>
        </is>
      </c>
      <c r="E6074" t="inlineStr">
        <is>
          <t>AM02</t>
        </is>
      </c>
      <c r="F6074" s="5" t="n">
        <v>682.95</v>
      </c>
      <c r="G6074">
        <f>IF(LEFT(B6074,1)="C","Credit","Factuur")</f>
        <v/>
      </c>
      <c r="H6074">
        <f>IF(AND(B6074=B6073,D6074=D6073,A6074=A6073,F6074=F6073),1,0)</f>
        <v/>
      </c>
      <c r="I6074">
        <f>IF(C6074="C99999",1,0)</f>
        <v/>
      </c>
      <c r="J6074" s="5">
        <f>IF(OR(H6074=1,I6074=1),0,IF(G6074="Credit",-F6074,F6074))</f>
        <v/>
      </c>
    </row>
    <row r="6075">
      <c r="A6075" t="inlineStr">
        <is>
          <t>2026-08-28</t>
        </is>
      </c>
      <c r="B6075" t="inlineStr">
        <is>
          <t>F278044</t>
        </is>
      </c>
      <c r="C6075" t="inlineStr">
        <is>
          <t>C10957</t>
        </is>
      </c>
      <c r="D6075" t="inlineStr">
        <is>
          <t>SKU-10293</t>
        </is>
      </c>
      <c r="E6075" t="inlineStr">
        <is>
          <t>AM06</t>
        </is>
      </c>
      <c r="F6075" s="5" t="n">
        <v>505.78</v>
      </c>
      <c r="G6075">
        <f>IF(LEFT(B6075,1)="C","Credit","Factuur")</f>
        <v/>
      </c>
      <c r="H6075">
        <f>IF(AND(B6075=B6074,D6075=D6074,A6075=A6074,F6075=F6074),1,0)</f>
        <v/>
      </c>
      <c r="I6075">
        <f>IF(C6075="C99999",1,0)</f>
        <v/>
      </c>
      <c r="J6075" s="5">
        <f>IF(OR(H6075=1,I6075=1),0,IF(G6075="Credit",-F6075,F6075))</f>
        <v/>
      </c>
    </row>
    <row r="6076">
      <c r="A6076" t="inlineStr">
        <is>
          <t>2026-08-28</t>
        </is>
      </c>
      <c r="B6076" t="inlineStr">
        <is>
          <t>F278356</t>
        </is>
      </c>
      <c r="C6076" t="inlineStr">
        <is>
          <t>C10973</t>
        </is>
      </c>
      <c r="D6076" t="inlineStr">
        <is>
          <t>SKU-10188</t>
        </is>
      </c>
      <c r="E6076" t="inlineStr">
        <is>
          <t>AM08</t>
        </is>
      </c>
      <c r="F6076" s="5" t="n">
        <v>524.48</v>
      </c>
      <c r="G6076">
        <f>IF(LEFT(B6076,1)="C","Credit","Factuur")</f>
        <v/>
      </c>
      <c r="H6076">
        <f>IF(AND(B6076=B6075,D6076=D6075,A6076=A6075,F6076=F6075),1,0)</f>
        <v/>
      </c>
      <c r="I6076">
        <f>IF(C6076="C99999",1,0)</f>
        <v/>
      </c>
      <c r="J6076" s="5">
        <f>IF(OR(H6076=1,I6076=1),0,IF(G6076="Credit",-F6076,F6076))</f>
        <v/>
      </c>
    </row>
    <row r="6077">
      <c r="A6077" t="inlineStr">
        <is>
          <t>2026-08-28</t>
        </is>
      </c>
      <c r="B6077" t="inlineStr">
        <is>
          <t>F278356</t>
        </is>
      </c>
      <c r="C6077" t="inlineStr">
        <is>
          <t>C10973</t>
        </is>
      </c>
      <c r="D6077" t="inlineStr">
        <is>
          <t>SKU-10254</t>
        </is>
      </c>
      <c r="E6077" t="inlineStr">
        <is>
          <t>AM08</t>
        </is>
      </c>
      <c r="F6077" s="5" t="n">
        <v>536.8</v>
      </c>
      <c r="G6077">
        <f>IF(LEFT(B6077,1)="C","Credit","Factuur")</f>
        <v/>
      </c>
      <c r="H6077">
        <f>IF(AND(B6077=B6076,D6077=D6076,A6077=A6076,F6077=F6076),1,0)</f>
        <v/>
      </c>
      <c r="I6077">
        <f>IF(C6077="C99999",1,0)</f>
        <v/>
      </c>
      <c r="J6077" s="5">
        <f>IF(OR(H6077=1,I6077=1),0,IF(G6077="Credit",-F6077,F6077))</f>
        <v/>
      </c>
    </row>
    <row r="6078">
      <c r="A6078" t="inlineStr">
        <is>
          <t>2026-08-28</t>
        </is>
      </c>
      <c r="B6078" t="inlineStr">
        <is>
          <t>F278356</t>
        </is>
      </c>
      <c r="C6078" t="inlineStr">
        <is>
          <t>C10973</t>
        </is>
      </c>
      <c r="D6078" t="inlineStr">
        <is>
          <t>SKU-10256</t>
        </is>
      </c>
      <c r="E6078" t="inlineStr">
        <is>
          <t>AM08</t>
        </is>
      </c>
      <c r="F6078" s="5" t="n">
        <v>580.59</v>
      </c>
      <c r="G6078">
        <f>IF(LEFT(B6078,1)="C","Credit","Factuur")</f>
        <v/>
      </c>
      <c r="H6078">
        <f>IF(AND(B6078=B6077,D6078=D6077,A6078=A6077,F6078=F6077),1,0)</f>
        <v/>
      </c>
      <c r="I6078">
        <f>IF(C6078="C99999",1,0)</f>
        <v/>
      </c>
      <c r="J6078" s="5">
        <f>IF(OR(H6078=1,I6078=1),0,IF(G6078="Credit",-F6078,F6078))</f>
        <v/>
      </c>
    </row>
    <row r="6079">
      <c r="A6079" t="inlineStr">
        <is>
          <t>2026-08-28</t>
        </is>
      </c>
      <c r="B6079" t="inlineStr">
        <is>
          <t>F278356</t>
        </is>
      </c>
      <c r="C6079" t="inlineStr">
        <is>
          <t>C10973</t>
        </is>
      </c>
      <c r="D6079" t="inlineStr">
        <is>
          <t>SKU-10298</t>
        </is>
      </c>
      <c r="E6079" t="inlineStr">
        <is>
          <t>AM08</t>
        </is>
      </c>
      <c r="F6079" s="5" t="n">
        <v>602.4</v>
      </c>
      <c r="G6079">
        <f>IF(LEFT(B6079,1)="C","Credit","Factuur")</f>
        <v/>
      </c>
      <c r="H6079">
        <f>IF(AND(B6079=B6078,D6079=D6078,A6079=A6078,F6079=F6078),1,0)</f>
        <v/>
      </c>
      <c r="I6079">
        <f>IF(C6079="C99999",1,0)</f>
        <v/>
      </c>
      <c r="J6079" s="5">
        <f>IF(OR(H6079=1,I6079=1),0,IF(G6079="Credit",-F6079,F6079))</f>
        <v/>
      </c>
    </row>
    <row r="6080">
      <c r="A6080" t="inlineStr">
        <is>
          <t>2026-08-28</t>
        </is>
      </c>
      <c r="B6080" t="inlineStr">
        <is>
          <t>F278875</t>
        </is>
      </c>
      <c r="C6080" t="inlineStr">
        <is>
          <t>C11000</t>
        </is>
      </c>
      <c r="D6080" t="inlineStr">
        <is>
          <t>SKU-10105</t>
        </is>
      </c>
      <c r="E6080" t="inlineStr">
        <is>
          <t>AM12</t>
        </is>
      </c>
      <c r="F6080" s="5" t="n">
        <v>329.7</v>
      </c>
      <c r="G6080">
        <f>IF(LEFT(B6080,1)="C","Credit","Factuur")</f>
        <v/>
      </c>
      <c r="H6080">
        <f>IF(AND(B6080=B6079,D6080=D6079,A6080=A6079,F6080=F6079),1,0)</f>
        <v/>
      </c>
      <c r="I6080">
        <f>IF(C6080="C99999",1,0)</f>
        <v/>
      </c>
      <c r="J6080" s="5">
        <f>IF(OR(H6080=1,I6080=1),0,IF(G6080="Credit",-F6080,F6080))</f>
        <v/>
      </c>
    </row>
    <row r="6081">
      <c r="A6081" t="inlineStr">
        <is>
          <t>2026-08-28</t>
        </is>
      </c>
      <c r="B6081" t="inlineStr">
        <is>
          <t>F278875</t>
        </is>
      </c>
      <c r="C6081" t="inlineStr">
        <is>
          <t>C11000</t>
        </is>
      </c>
      <c r="D6081" t="inlineStr">
        <is>
          <t>SKU-10182</t>
        </is>
      </c>
      <c r="E6081" t="inlineStr">
        <is>
          <t>AM12</t>
        </is>
      </c>
      <c r="F6081" s="5" t="n">
        <v>311.86</v>
      </c>
      <c r="G6081">
        <f>IF(LEFT(B6081,1)="C","Credit","Factuur")</f>
        <v/>
      </c>
      <c r="H6081">
        <f>IF(AND(B6081=B6080,D6081=D6080,A6081=A6080,F6081=F6080),1,0)</f>
        <v/>
      </c>
      <c r="I6081">
        <f>IF(C6081="C99999",1,0)</f>
        <v/>
      </c>
      <c r="J6081" s="5">
        <f>IF(OR(H6081=1,I6081=1),0,IF(G6081="Credit",-F6081,F6081))</f>
        <v/>
      </c>
    </row>
    <row r="6082">
      <c r="A6082" t="inlineStr">
        <is>
          <t>2026-08-28</t>
        </is>
      </c>
      <c r="B6082" t="inlineStr">
        <is>
          <t>F279330</t>
        </is>
      </c>
      <c r="C6082" t="inlineStr">
        <is>
          <t>C11026</t>
        </is>
      </c>
      <c r="D6082" t="inlineStr">
        <is>
          <t>SKU-10012</t>
        </is>
      </c>
      <c r="E6082" t="inlineStr">
        <is>
          <t>AM11</t>
        </is>
      </c>
      <c r="F6082" s="5" t="n">
        <v>127.64</v>
      </c>
      <c r="G6082">
        <f>IF(LEFT(B6082,1)="C","Credit","Factuur")</f>
        <v/>
      </c>
      <c r="H6082">
        <f>IF(AND(B6082=B6081,D6082=D6081,A6082=A6081,F6082=F6081),1,0)</f>
        <v/>
      </c>
      <c r="I6082">
        <f>IF(C6082="C99999",1,0)</f>
        <v/>
      </c>
      <c r="J6082" s="5">
        <f>IF(OR(H6082=1,I6082=1),0,IF(G6082="Credit",-F6082,F6082))</f>
        <v/>
      </c>
    </row>
    <row r="6083">
      <c r="A6083" t="inlineStr">
        <is>
          <t>2026-08-28</t>
        </is>
      </c>
      <c r="B6083" t="inlineStr">
        <is>
          <t>F279330</t>
        </is>
      </c>
      <c r="C6083" t="inlineStr">
        <is>
          <t>C11026</t>
        </is>
      </c>
      <c r="D6083" t="inlineStr">
        <is>
          <t>SKU-10090</t>
        </is>
      </c>
      <c r="E6083" t="inlineStr">
        <is>
          <t>AM11</t>
        </is>
      </c>
      <c r="F6083" s="5" t="n">
        <v>121.22</v>
      </c>
      <c r="G6083">
        <f>IF(LEFT(B6083,1)="C","Credit","Factuur")</f>
        <v/>
      </c>
      <c r="H6083">
        <f>IF(AND(B6083=B6082,D6083=D6082,A6083=A6082,F6083=F6082),1,0)</f>
        <v/>
      </c>
      <c r="I6083">
        <f>IF(C6083="C99999",1,0)</f>
        <v/>
      </c>
      <c r="J6083" s="5">
        <f>IF(OR(H6083=1,I6083=1),0,IF(G6083="Credit",-F6083,F6083))</f>
        <v/>
      </c>
    </row>
    <row r="6084">
      <c r="A6084" t="inlineStr">
        <is>
          <t>2026-08-28</t>
        </is>
      </c>
      <c r="B6084" t="inlineStr">
        <is>
          <t>F279330</t>
        </is>
      </c>
      <c r="C6084" t="inlineStr">
        <is>
          <t>C11026</t>
        </is>
      </c>
      <c r="D6084" t="inlineStr">
        <is>
          <t>SKU-10121</t>
        </is>
      </c>
      <c r="E6084" t="inlineStr">
        <is>
          <t>AM11</t>
        </is>
      </c>
      <c r="F6084" s="5" t="n">
        <v>116.87</v>
      </c>
      <c r="G6084">
        <f>IF(LEFT(B6084,1)="C","Credit","Factuur")</f>
        <v/>
      </c>
      <c r="H6084">
        <f>IF(AND(B6084=B6083,D6084=D6083,A6084=A6083,F6084=F6083),1,0)</f>
        <v/>
      </c>
      <c r="I6084">
        <f>IF(C6084="C99999",1,0)</f>
        <v/>
      </c>
      <c r="J6084" s="5">
        <f>IF(OR(H6084=1,I6084=1),0,IF(G6084="Credit",-F6084,F6084))</f>
        <v/>
      </c>
    </row>
    <row r="6085">
      <c r="A6085" t="inlineStr">
        <is>
          <t>2026-08-28</t>
        </is>
      </c>
      <c r="B6085" t="inlineStr">
        <is>
          <t>F279330</t>
        </is>
      </c>
      <c r="C6085" t="inlineStr">
        <is>
          <t>C11026</t>
        </is>
      </c>
      <c r="D6085" t="inlineStr">
        <is>
          <t>SKU-10233</t>
        </is>
      </c>
      <c r="E6085" t="inlineStr">
        <is>
          <t>AM11</t>
        </is>
      </c>
      <c r="F6085" s="5" t="n">
        <v>117.18</v>
      </c>
      <c r="G6085">
        <f>IF(LEFT(B6085,1)="C","Credit","Factuur")</f>
        <v/>
      </c>
      <c r="H6085">
        <f>IF(AND(B6085=B6084,D6085=D6084,A6085=A6084,F6085=F6084),1,0)</f>
        <v/>
      </c>
      <c r="I6085">
        <f>IF(C6085="C99999",1,0)</f>
        <v/>
      </c>
      <c r="J6085" s="5">
        <f>IF(OR(H6085=1,I6085=1),0,IF(G6085="Credit",-F6085,F6085))</f>
        <v/>
      </c>
    </row>
    <row r="6086">
      <c r="A6086" t="inlineStr">
        <is>
          <t>2026-08-28</t>
        </is>
      </c>
      <c r="B6086" t="inlineStr">
        <is>
          <t>F279330</t>
        </is>
      </c>
      <c r="C6086" t="inlineStr">
        <is>
          <t>C11026</t>
        </is>
      </c>
      <c r="D6086" t="inlineStr">
        <is>
          <t>SKU-10302</t>
        </is>
      </c>
      <c r="E6086" t="inlineStr">
        <is>
          <t>AM11</t>
        </is>
      </c>
      <c r="F6086" s="5" t="n">
        <v>131.73</v>
      </c>
      <c r="G6086">
        <f>IF(LEFT(B6086,1)="C","Credit","Factuur")</f>
        <v/>
      </c>
      <c r="H6086">
        <f>IF(AND(B6086=B6085,D6086=D6085,A6086=A6085,F6086=F6085),1,0)</f>
        <v/>
      </c>
      <c r="I6086">
        <f>IF(C6086="C99999",1,0)</f>
        <v/>
      </c>
      <c r="J6086" s="5">
        <f>IF(OR(H6086=1,I6086=1),0,IF(G6086="Credit",-F6086,F6086))</f>
        <v/>
      </c>
    </row>
    <row r="6087">
      <c r="A6087" t="inlineStr">
        <is>
          <t>2026-08-28</t>
        </is>
      </c>
      <c r="B6087" t="inlineStr">
        <is>
          <t>F280166</t>
        </is>
      </c>
      <c r="C6087" t="inlineStr">
        <is>
          <t>C11064</t>
        </is>
      </c>
      <c r="D6087" t="inlineStr">
        <is>
          <t>SKU-10274</t>
        </is>
      </c>
      <c r="E6087" t="inlineStr">
        <is>
          <t>AM08</t>
        </is>
      </c>
      <c r="F6087" s="5" t="n">
        <v>317.02</v>
      </c>
      <c r="G6087">
        <f>IF(LEFT(B6087,1)="C","Credit","Factuur")</f>
        <v/>
      </c>
      <c r="H6087">
        <f>IF(AND(B6087=B6086,D6087=D6086,A6087=A6086,F6087=F6086),1,0)</f>
        <v/>
      </c>
      <c r="I6087">
        <f>IF(C6087="C99999",1,0)</f>
        <v/>
      </c>
      <c r="J6087" s="5">
        <f>IF(OR(H6087=1,I6087=1),0,IF(G6087="Credit",-F6087,F6087))</f>
        <v/>
      </c>
    </row>
    <row r="6088">
      <c r="A6088" t="inlineStr">
        <is>
          <t>2026-08-28</t>
        </is>
      </c>
      <c r="B6088" t="inlineStr">
        <is>
          <t>F280166</t>
        </is>
      </c>
      <c r="C6088" t="inlineStr">
        <is>
          <t>C11064</t>
        </is>
      </c>
      <c r="D6088" t="inlineStr">
        <is>
          <t>SKU-10275</t>
        </is>
      </c>
      <c r="E6088" t="inlineStr">
        <is>
          <t>AM08</t>
        </is>
      </c>
      <c r="F6088" s="5" t="n">
        <v>323.46</v>
      </c>
      <c r="G6088">
        <f>IF(LEFT(B6088,1)="C","Credit","Factuur")</f>
        <v/>
      </c>
      <c r="H6088">
        <f>IF(AND(B6088=B6087,D6088=D6087,A6088=A6087,F6088=F6087),1,0)</f>
        <v/>
      </c>
      <c r="I6088">
        <f>IF(C6088="C99999",1,0)</f>
        <v/>
      </c>
      <c r="J6088" s="5">
        <f>IF(OR(H6088=1,I6088=1),0,IF(G6088="Credit",-F6088,F6088))</f>
        <v/>
      </c>
    </row>
    <row r="6089">
      <c r="A6089" t="inlineStr">
        <is>
          <t>2026-08-28</t>
        </is>
      </c>
      <c r="B6089" t="inlineStr">
        <is>
          <t>F280166</t>
        </is>
      </c>
      <c r="C6089" t="inlineStr">
        <is>
          <t>C11064</t>
        </is>
      </c>
      <c r="D6089" t="inlineStr">
        <is>
          <t>SKU-10320</t>
        </is>
      </c>
      <c r="E6089" t="inlineStr">
        <is>
          <t>AM08</t>
        </is>
      </c>
      <c r="F6089" s="5" t="n">
        <v>346.39</v>
      </c>
      <c r="G6089">
        <f>IF(LEFT(B6089,1)="C","Credit","Factuur")</f>
        <v/>
      </c>
      <c r="H6089">
        <f>IF(AND(B6089=B6088,D6089=D6088,A6089=A6088,F6089=F6088),1,0)</f>
        <v/>
      </c>
      <c r="I6089">
        <f>IF(C6089="C99999",1,0)</f>
        <v/>
      </c>
      <c r="J6089" s="5">
        <f>IF(OR(H6089=1,I6089=1),0,IF(G6089="Credit",-F6089,F6089))</f>
        <v/>
      </c>
    </row>
    <row r="6090">
      <c r="A6090" t="inlineStr">
        <is>
          <t>2026-08-28</t>
        </is>
      </c>
      <c r="B6090" t="inlineStr">
        <is>
          <t>F280506</t>
        </is>
      </c>
      <c r="C6090" t="inlineStr">
        <is>
          <t>C11081</t>
        </is>
      </c>
      <c r="D6090" t="inlineStr">
        <is>
          <t>SKU-10052</t>
        </is>
      </c>
      <c r="E6090" t="inlineStr">
        <is>
          <t>AM05</t>
        </is>
      </c>
      <c r="F6090" s="5" t="n">
        <v>526.1</v>
      </c>
      <c r="G6090">
        <f>IF(LEFT(B6090,1)="C","Credit","Factuur")</f>
        <v/>
      </c>
      <c r="H6090">
        <f>IF(AND(B6090=B6089,D6090=D6089,A6090=A6089,F6090=F6089),1,0)</f>
        <v/>
      </c>
      <c r="I6090">
        <f>IF(C6090="C99999",1,0)</f>
        <v/>
      </c>
      <c r="J6090" s="5">
        <f>IF(OR(H6090=1,I6090=1),0,IF(G6090="Credit",-F6090,F6090))</f>
        <v/>
      </c>
    </row>
    <row r="6091">
      <c r="A6091" t="inlineStr">
        <is>
          <t>2026-08-28</t>
        </is>
      </c>
      <c r="B6091" t="inlineStr">
        <is>
          <t>F280506</t>
        </is>
      </c>
      <c r="C6091" t="inlineStr">
        <is>
          <t>C11081</t>
        </is>
      </c>
      <c r="D6091" t="inlineStr">
        <is>
          <t>SKU-10068</t>
        </is>
      </c>
      <c r="E6091" t="inlineStr">
        <is>
          <t>AM05</t>
        </is>
      </c>
      <c r="F6091" s="5" t="n">
        <v>517.27</v>
      </c>
      <c r="G6091">
        <f>IF(LEFT(B6091,1)="C","Credit","Factuur")</f>
        <v/>
      </c>
      <c r="H6091">
        <f>IF(AND(B6091=B6090,D6091=D6090,A6091=A6090,F6091=F6090),1,0)</f>
        <v/>
      </c>
      <c r="I6091">
        <f>IF(C6091="C99999",1,0)</f>
        <v/>
      </c>
      <c r="J6091" s="5">
        <f>IF(OR(H6091=1,I6091=1),0,IF(G6091="Credit",-F6091,F6091))</f>
        <v/>
      </c>
    </row>
    <row r="6092">
      <c r="A6092" t="inlineStr">
        <is>
          <t>2026-08-28</t>
        </is>
      </c>
      <c r="B6092" t="inlineStr">
        <is>
          <t>F280506</t>
        </is>
      </c>
      <c r="C6092" t="inlineStr">
        <is>
          <t>C11081</t>
        </is>
      </c>
      <c r="D6092" t="inlineStr">
        <is>
          <t>SKU-10142</t>
        </is>
      </c>
      <c r="E6092" t="inlineStr">
        <is>
          <t>AM05</t>
        </is>
      </c>
      <c r="F6092" s="5" t="n">
        <v>579.6799999999999</v>
      </c>
      <c r="G6092">
        <f>IF(LEFT(B6092,1)="C","Credit","Factuur")</f>
        <v/>
      </c>
      <c r="H6092">
        <f>IF(AND(B6092=B6091,D6092=D6091,A6092=A6091,F6092=F6091),1,0)</f>
        <v/>
      </c>
      <c r="I6092">
        <f>IF(C6092="C99999",1,0)</f>
        <v/>
      </c>
      <c r="J6092" s="5">
        <f>IF(OR(H6092=1,I6092=1),0,IF(G6092="Credit",-F6092,F6092))</f>
        <v/>
      </c>
    </row>
    <row r="6093">
      <c r="A6093" t="inlineStr">
        <is>
          <t>2026-08-28</t>
        </is>
      </c>
      <c r="B6093" t="inlineStr">
        <is>
          <t>F280506</t>
        </is>
      </c>
      <c r="C6093" t="inlineStr">
        <is>
          <t>C11081</t>
        </is>
      </c>
      <c r="D6093" t="inlineStr">
        <is>
          <t>SKU-10335</t>
        </is>
      </c>
      <c r="E6093" t="inlineStr">
        <is>
          <t>AM05</t>
        </is>
      </c>
      <c r="F6093" s="5" t="n">
        <v>546.6799999999999</v>
      </c>
      <c r="G6093">
        <f>IF(LEFT(B6093,1)="C","Credit","Factuur")</f>
        <v/>
      </c>
      <c r="H6093">
        <f>IF(AND(B6093=B6092,D6093=D6092,A6093=A6092,F6093=F6092),1,0)</f>
        <v/>
      </c>
      <c r="I6093">
        <f>IF(C6093="C99999",1,0)</f>
        <v/>
      </c>
      <c r="J6093" s="5">
        <f>IF(OR(H6093=1,I6093=1),0,IF(G6093="Credit",-F6093,F6093))</f>
        <v/>
      </c>
    </row>
    <row r="6094">
      <c r="A6094" t="inlineStr">
        <is>
          <t>2026-08-28</t>
        </is>
      </c>
      <c r="B6094" t="inlineStr">
        <is>
          <t>F282191</t>
        </is>
      </c>
      <c r="C6094" t="inlineStr">
        <is>
          <t>C11165</t>
        </is>
      </c>
      <c r="D6094" t="inlineStr">
        <is>
          <t>SKU-10217</t>
        </is>
      </c>
      <c r="E6094" t="inlineStr">
        <is>
          <t>AM03</t>
        </is>
      </c>
      <c r="F6094" s="5" t="n">
        <v>158.56</v>
      </c>
      <c r="G6094">
        <f>IF(LEFT(B6094,1)="C","Credit","Factuur")</f>
        <v/>
      </c>
      <c r="H6094">
        <f>IF(AND(B6094=B6093,D6094=D6093,A6094=A6093,F6094=F6093),1,0)</f>
        <v/>
      </c>
      <c r="I6094">
        <f>IF(C6094="C99999",1,0)</f>
        <v/>
      </c>
      <c r="J6094" s="5">
        <f>IF(OR(H6094=1,I6094=1),0,IF(G6094="Credit",-F6094,F6094))</f>
        <v/>
      </c>
    </row>
    <row r="6095">
      <c r="A6095" t="inlineStr">
        <is>
          <t>2026-08-28</t>
        </is>
      </c>
      <c r="B6095" t="inlineStr">
        <is>
          <t>F282191</t>
        </is>
      </c>
      <c r="C6095" t="inlineStr">
        <is>
          <t>C11165</t>
        </is>
      </c>
      <c r="D6095" t="inlineStr">
        <is>
          <t>SKU-10234</t>
        </is>
      </c>
      <c r="E6095" t="inlineStr">
        <is>
          <t>AM03</t>
        </is>
      </c>
      <c r="F6095" s="5" t="n">
        <v>160.27</v>
      </c>
      <c r="G6095">
        <f>IF(LEFT(B6095,1)="C","Credit","Factuur")</f>
        <v/>
      </c>
      <c r="H6095">
        <f>IF(AND(B6095=B6094,D6095=D6094,A6095=A6094,F6095=F6094),1,0)</f>
        <v/>
      </c>
      <c r="I6095">
        <f>IF(C6095="C99999",1,0)</f>
        <v/>
      </c>
      <c r="J6095" s="5">
        <f>IF(OR(H6095=1,I6095=1),0,IF(G6095="Credit",-F6095,F6095))</f>
        <v/>
      </c>
    </row>
    <row r="6096">
      <c r="A6096" t="inlineStr">
        <is>
          <t>2026-08-28</t>
        </is>
      </c>
      <c r="B6096" t="inlineStr">
        <is>
          <t>F282191</t>
        </is>
      </c>
      <c r="C6096" t="inlineStr">
        <is>
          <t>C11165</t>
        </is>
      </c>
      <c r="D6096" t="inlineStr">
        <is>
          <t>SKU-10274</t>
        </is>
      </c>
      <c r="E6096" t="inlineStr">
        <is>
          <t>AM03</t>
        </is>
      </c>
      <c r="F6096" s="5" t="n">
        <v>179.69</v>
      </c>
      <c r="G6096">
        <f>IF(LEFT(B6096,1)="C","Credit","Factuur")</f>
        <v/>
      </c>
      <c r="H6096">
        <f>IF(AND(B6096=B6095,D6096=D6095,A6096=A6095,F6096=F6095),1,0)</f>
        <v/>
      </c>
      <c r="I6096">
        <f>IF(C6096="C99999",1,0)</f>
        <v/>
      </c>
      <c r="J6096" s="5">
        <f>IF(OR(H6096=1,I6096=1),0,IF(G6096="Credit",-F6096,F6096))</f>
        <v/>
      </c>
    </row>
    <row r="6097">
      <c r="A6097" t="inlineStr">
        <is>
          <t>2026-08-28</t>
        </is>
      </c>
      <c r="B6097" t="inlineStr">
        <is>
          <t>F282191</t>
        </is>
      </c>
      <c r="C6097" t="inlineStr">
        <is>
          <t>C11165</t>
        </is>
      </c>
      <c r="D6097" t="inlineStr">
        <is>
          <t>SKU-10368</t>
        </is>
      </c>
      <c r="E6097" t="inlineStr">
        <is>
          <t>AM03</t>
        </is>
      </c>
      <c r="F6097" s="5" t="n">
        <v>576.3</v>
      </c>
      <c r="G6097">
        <f>IF(LEFT(B6097,1)="C","Credit","Factuur")</f>
        <v/>
      </c>
      <c r="H6097">
        <f>IF(AND(B6097=B6096,D6097=D6096,A6097=A6096,F6097=F6096),1,0)</f>
        <v/>
      </c>
      <c r="I6097">
        <f>IF(C6097="C99999",1,0)</f>
        <v/>
      </c>
      <c r="J6097" s="5">
        <f>IF(OR(H6097=1,I6097=1),0,IF(G6097="Credit",-F6097,F6097))</f>
        <v/>
      </c>
    </row>
    <row r="6098">
      <c r="A6098" t="inlineStr">
        <is>
          <t>2026-08-28</t>
        </is>
      </c>
      <c r="B6098" t="inlineStr">
        <is>
          <t>F282505</t>
        </is>
      </c>
      <c r="C6098" t="inlineStr">
        <is>
          <t>C11181</t>
        </is>
      </c>
      <c r="D6098" t="inlineStr">
        <is>
          <t>SKU-10057</t>
        </is>
      </c>
      <c r="E6098" t="inlineStr">
        <is>
          <t>AM08</t>
        </is>
      </c>
      <c r="F6098" s="5" t="n">
        <v>688.5</v>
      </c>
      <c r="G6098">
        <f>IF(LEFT(B6098,1)="C","Credit","Factuur")</f>
        <v/>
      </c>
      <c r="H6098">
        <f>IF(AND(B6098=B6097,D6098=D6097,A6098=A6097,F6098=F6097),1,0)</f>
        <v/>
      </c>
      <c r="I6098">
        <f>IF(C6098="C99999",1,0)</f>
        <v/>
      </c>
      <c r="J6098" s="5">
        <f>IF(OR(H6098=1,I6098=1),0,IF(G6098="Credit",-F6098,F6098))</f>
        <v/>
      </c>
    </row>
    <row r="6099">
      <c r="A6099" t="inlineStr">
        <is>
          <t>2026-08-28</t>
        </is>
      </c>
      <c r="B6099" t="inlineStr">
        <is>
          <t>F282505</t>
        </is>
      </c>
      <c r="C6099" t="inlineStr">
        <is>
          <t>C11181</t>
        </is>
      </c>
      <c r="D6099" t="inlineStr">
        <is>
          <t>SKU-10131</t>
        </is>
      </c>
      <c r="E6099" t="inlineStr">
        <is>
          <t>AM08</t>
        </is>
      </c>
      <c r="F6099" s="5" t="n">
        <v>775.04</v>
      </c>
      <c r="G6099">
        <f>IF(LEFT(B6099,1)="C","Credit","Factuur")</f>
        <v/>
      </c>
      <c r="H6099">
        <f>IF(AND(B6099=B6098,D6099=D6098,A6099=A6098,F6099=F6098),1,0)</f>
        <v/>
      </c>
      <c r="I6099">
        <f>IF(C6099="C99999",1,0)</f>
        <v/>
      </c>
      <c r="J6099" s="5">
        <f>IF(OR(H6099=1,I6099=1),0,IF(G6099="Credit",-F6099,F6099))</f>
        <v/>
      </c>
    </row>
    <row r="6100">
      <c r="A6100" t="inlineStr">
        <is>
          <t>2026-08-28</t>
        </is>
      </c>
      <c r="B6100" t="inlineStr">
        <is>
          <t>F282505</t>
        </is>
      </c>
      <c r="C6100" t="inlineStr">
        <is>
          <t>C11181</t>
        </is>
      </c>
      <c r="D6100" t="inlineStr">
        <is>
          <t>SKU-10277</t>
        </is>
      </c>
      <c r="E6100" t="inlineStr">
        <is>
          <t>AM08</t>
        </is>
      </c>
      <c r="F6100" s="5" t="n">
        <v>817.65</v>
      </c>
      <c r="G6100">
        <f>IF(LEFT(B6100,1)="C","Credit","Factuur")</f>
        <v/>
      </c>
      <c r="H6100">
        <f>IF(AND(B6100=B6099,D6100=D6099,A6100=A6099,F6100=F6099),1,0)</f>
        <v/>
      </c>
      <c r="I6100">
        <f>IF(C6100="C99999",1,0)</f>
        <v/>
      </c>
      <c r="J6100" s="5">
        <f>IF(OR(H6100=1,I6100=1),0,IF(G6100="Credit",-F6100,F6100))</f>
        <v/>
      </c>
    </row>
    <row r="6101">
      <c r="A6101" t="inlineStr">
        <is>
          <t>2026-08-28</t>
        </is>
      </c>
      <c r="B6101" t="inlineStr">
        <is>
          <t>F282512</t>
        </is>
      </c>
      <c r="C6101" t="inlineStr">
        <is>
          <t>C11182</t>
        </is>
      </c>
      <c r="D6101" t="inlineStr">
        <is>
          <t>SKU-10002</t>
        </is>
      </c>
      <c r="E6101" t="inlineStr">
        <is>
          <t>AM12</t>
        </is>
      </c>
      <c r="F6101" s="5" t="n">
        <v>344.22</v>
      </c>
      <c r="G6101">
        <f>IF(LEFT(B6101,1)="C","Credit","Factuur")</f>
        <v/>
      </c>
      <c r="H6101">
        <f>IF(AND(B6101=B6100,D6101=D6100,A6101=A6100,F6101=F6100),1,0)</f>
        <v/>
      </c>
      <c r="I6101">
        <f>IF(C6101="C99999",1,0)</f>
        <v/>
      </c>
      <c r="J6101" s="5">
        <f>IF(OR(H6101=1,I6101=1),0,IF(G6101="Credit",-F6101,F6101))</f>
        <v/>
      </c>
    </row>
    <row r="6102">
      <c r="A6102" t="inlineStr">
        <is>
          <t>2026-08-28</t>
        </is>
      </c>
      <c r="B6102" t="inlineStr">
        <is>
          <t>F282512</t>
        </is>
      </c>
      <c r="C6102" t="inlineStr">
        <is>
          <t>C11182</t>
        </is>
      </c>
      <c r="D6102" t="inlineStr">
        <is>
          <t>SKU-10196</t>
        </is>
      </c>
      <c r="E6102" t="inlineStr">
        <is>
          <t>AM12</t>
        </is>
      </c>
      <c r="F6102" s="5" t="n">
        <v>322.14</v>
      </c>
      <c r="G6102">
        <f>IF(LEFT(B6102,1)="C","Credit","Factuur")</f>
        <v/>
      </c>
      <c r="H6102">
        <f>IF(AND(B6102=B6101,D6102=D6101,A6102=A6101,F6102=F6101),1,0)</f>
        <v/>
      </c>
      <c r="I6102">
        <f>IF(C6102="C99999",1,0)</f>
        <v/>
      </c>
      <c r="J6102" s="5">
        <f>IF(OR(H6102=1,I6102=1),0,IF(G6102="Credit",-F6102,F6102))</f>
        <v/>
      </c>
    </row>
    <row r="6103">
      <c r="A6103" t="inlineStr">
        <is>
          <t>2026-08-28</t>
        </is>
      </c>
      <c r="B6103" t="inlineStr">
        <is>
          <t>F282512</t>
        </is>
      </c>
      <c r="C6103" t="inlineStr">
        <is>
          <t>C11182</t>
        </is>
      </c>
      <c r="D6103" t="inlineStr">
        <is>
          <t>SKU-10231</t>
        </is>
      </c>
      <c r="E6103" t="inlineStr">
        <is>
          <t>AM12</t>
        </is>
      </c>
      <c r="F6103" s="5" t="n">
        <v>319.02</v>
      </c>
      <c r="G6103">
        <f>IF(LEFT(B6103,1)="C","Credit","Factuur")</f>
        <v/>
      </c>
      <c r="H6103">
        <f>IF(AND(B6103=B6102,D6103=D6102,A6103=A6102,F6103=F6102),1,0)</f>
        <v/>
      </c>
      <c r="I6103">
        <f>IF(C6103="C99999",1,0)</f>
        <v/>
      </c>
      <c r="J6103" s="5">
        <f>IF(OR(H6103=1,I6103=1),0,IF(G6103="Credit",-F6103,F6103))</f>
        <v/>
      </c>
    </row>
    <row r="6104">
      <c r="A6104" t="inlineStr">
        <is>
          <t>2026-08-28</t>
        </is>
      </c>
      <c r="B6104" t="inlineStr">
        <is>
          <t>F282512</t>
        </is>
      </c>
      <c r="C6104" t="inlineStr">
        <is>
          <t>C11182</t>
        </is>
      </c>
      <c r="D6104" t="inlineStr">
        <is>
          <t>SKU-10270</t>
        </is>
      </c>
      <c r="E6104" t="inlineStr">
        <is>
          <t>AM12</t>
        </is>
      </c>
      <c r="F6104" s="5" t="n">
        <v>324.6</v>
      </c>
      <c r="G6104">
        <f>IF(LEFT(B6104,1)="C","Credit","Factuur")</f>
        <v/>
      </c>
      <c r="H6104">
        <f>IF(AND(B6104=B6103,D6104=D6103,A6104=A6103,F6104=F6103),1,0)</f>
        <v/>
      </c>
      <c r="I6104">
        <f>IF(C6104="C99999",1,0)</f>
        <v/>
      </c>
      <c r="J6104" s="5">
        <f>IF(OR(H6104=1,I6104=1),0,IF(G6104="Credit",-F6104,F6104))</f>
        <v/>
      </c>
    </row>
    <row r="6105">
      <c r="A6105" t="inlineStr">
        <is>
          <t>2026-08-28</t>
        </is>
      </c>
      <c r="B6105" t="inlineStr">
        <is>
          <t>F282703</t>
        </is>
      </c>
      <c r="C6105" t="inlineStr">
        <is>
          <t>C11192</t>
        </is>
      </c>
      <c r="D6105" t="inlineStr">
        <is>
          <t>SKU-10001</t>
        </is>
      </c>
      <c r="E6105" t="inlineStr">
        <is>
          <t>AM05</t>
        </is>
      </c>
      <c r="F6105" s="5" t="n">
        <v>224.07</v>
      </c>
      <c r="G6105">
        <f>IF(LEFT(B6105,1)="C","Credit","Factuur")</f>
        <v/>
      </c>
      <c r="H6105">
        <f>IF(AND(B6105=B6104,D6105=D6104,A6105=A6104,F6105=F6104),1,0)</f>
        <v/>
      </c>
      <c r="I6105">
        <f>IF(C6105="C99999",1,0)</f>
        <v/>
      </c>
      <c r="J6105" s="5">
        <f>IF(OR(H6105=1,I6105=1),0,IF(G6105="Credit",-F6105,F6105))</f>
        <v/>
      </c>
    </row>
    <row r="6106">
      <c r="A6106" t="inlineStr">
        <is>
          <t>2026-08-28</t>
        </is>
      </c>
      <c r="B6106" t="inlineStr">
        <is>
          <t>F282703</t>
        </is>
      </c>
      <c r="C6106" t="inlineStr">
        <is>
          <t>C11192</t>
        </is>
      </c>
      <c r="D6106" t="inlineStr">
        <is>
          <t>SKU-10003</t>
        </is>
      </c>
      <c r="E6106" t="inlineStr">
        <is>
          <t>AM05</t>
        </is>
      </c>
      <c r="F6106" s="5" t="n">
        <v>193.95</v>
      </c>
      <c r="G6106">
        <f>IF(LEFT(B6106,1)="C","Credit","Factuur")</f>
        <v/>
      </c>
      <c r="H6106">
        <f>IF(AND(B6106=B6105,D6106=D6105,A6106=A6105,F6106=F6105),1,0)</f>
        <v/>
      </c>
      <c r="I6106">
        <f>IF(C6106="C99999",1,0)</f>
        <v/>
      </c>
      <c r="J6106" s="5">
        <f>IF(OR(H6106=1,I6106=1),0,IF(G6106="Credit",-F6106,F6106))</f>
        <v/>
      </c>
    </row>
    <row r="6107">
      <c r="A6107" t="inlineStr">
        <is>
          <t>2026-08-28</t>
        </is>
      </c>
      <c r="B6107" t="inlineStr">
        <is>
          <t>F282703</t>
        </is>
      </c>
      <c r="C6107" t="inlineStr">
        <is>
          <t>C11192</t>
        </is>
      </c>
      <c r="D6107" t="inlineStr">
        <is>
          <t>SKU-10015</t>
        </is>
      </c>
      <c r="E6107" t="inlineStr">
        <is>
          <t>AM05</t>
        </is>
      </c>
      <c r="F6107" s="5" t="n">
        <v>196.36</v>
      </c>
      <c r="G6107">
        <f>IF(LEFT(B6107,1)="C","Credit","Factuur")</f>
        <v/>
      </c>
      <c r="H6107">
        <f>IF(AND(B6107=B6106,D6107=D6106,A6107=A6106,F6107=F6106),1,0)</f>
        <v/>
      </c>
      <c r="I6107">
        <f>IF(C6107="C99999",1,0)</f>
        <v/>
      </c>
      <c r="J6107" s="5">
        <f>IF(OR(H6107=1,I6107=1),0,IF(G6107="Credit",-F6107,F6107))</f>
        <v/>
      </c>
    </row>
    <row r="6108">
      <c r="A6108" t="inlineStr">
        <is>
          <t>2026-08-28</t>
        </is>
      </c>
      <c r="B6108" t="inlineStr">
        <is>
          <t>F282703</t>
        </is>
      </c>
      <c r="C6108" t="inlineStr">
        <is>
          <t>C11192</t>
        </is>
      </c>
      <c r="D6108" t="inlineStr">
        <is>
          <t>SKU-10241</t>
        </is>
      </c>
      <c r="E6108" t="inlineStr">
        <is>
          <t>AM05</t>
        </is>
      </c>
      <c r="F6108" s="5" t="n">
        <v>195.38</v>
      </c>
      <c r="G6108">
        <f>IF(LEFT(B6108,1)="C","Credit","Factuur")</f>
        <v/>
      </c>
      <c r="H6108">
        <f>IF(AND(B6108=B6107,D6108=D6107,A6108=A6107,F6108=F6107),1,0)</f>
        <v/>
      </c>
      <c r="I6108">
        <f>IF(C6108="C99999",1,0)</f>
        <v/>
      </c>
      <c r="J6108" s="5">
        <f>IF(OR(H6108=1,I6108=1),0,IF(G6108="Credit",-F6108,F6108))</f>
        <v/>
      </c>
    </row>
    <row r="6109">
      <c r="A6109" t="inlineStr">
        <is>
          <t>2026-08-28</t>
        </is>
      </c>
      <c r="B6109" t="inlineStr">
        <is>
          <t>F283009</t>
        </is>
      </c>
      <c r="C6109" t="inlineStr">
        <is>
          <t>C11210</t>
        </is>
      </c>
      <c r="D6109" t="inlineStr">
        <is>
          <t>SKU-10109</t>
        </is>
      </c>
      <c r="E6109" t="inlineStr">
        <is>
          <t>AM05</t>
        </is>
      </c>
      <c r="F6109" s="5" t="n">
        <v>191.8</v>
      </c>
      <c r="G6109">
        <f>IF(LEFT(B6109,1)="C","Credit","Factuur")</f>
        <v/>
      </c>
      <c r="H6109">
        <f>IF(AND(B6109=B6108,D6109=D6108,A6109=A6108,F6109=F6108),1,0)</f>
        <v/>
      </c>
      <c r="I6109">
        <f>IF(C6109="C99999",1,0)</f>
        <v/>
      </c>
      <c r="J6109" s="5">
        <f>IF(OR(H6109=1,I6109=1),0,IF(G6109="Credit",-F6109,F6109))</f>
        <v/>
      </c>
    </row>
    <row r="6110">
      <c r="A6110" t="inlineStr">
        <is>
          <t>2026-08-28</t>
        </is>
      </c>
      <c r="B6110" t="inlineStr">
        <is>
          <t>F283009</t>
        </is>
      </c>
      <c r="C6110" t="inlineStr">
        <is>
          <t>C11210</t>
        </is>
      </c>
      <c r="D6110" t="inlineStr">
        <is>
          <t>SKU-10187</t>
        </is>
      </c>
      <c r="E6110" t="inlineStr">
        <is>
          <t>AM05</t>
        </is>
      </c>
      <c r="F6110" s="5" t="n">
        <v>182.8</v>
      </c>
      <c r="G6110">
        <f>IF(LEFT(B6110,1)="C","Credit","Factuur")</f>
        <v/>
      </c>
      <c r="H6110">
        <f>IF(AND(B6110=B6109,D6110=D6109,A6110=A6109,F6110=F6109),1,0)</f>
        <v/>
      </c>
      <c r="I6110">
        <f>IF(C6110="C99999",1,0)</f>
        <v/>
      </c>
      <c r="J6110" s="5">
        <f>IF(OR(H6110=1,I6110=1),0,IF(G6110="Credit",-F6110,F6110))</f>
        <v/>
      </c>
    </row>
    <row r="6111">
      <c r="A6111" t="inlineStr">
        <is>
          <t>2026-08-28</t>
        </is>
      </c>
      <c r="B6111" t="inlineStr">
        <is>
          <t>F283009</t>
        </is>
      </c>
      <c r="C6111" t="inlineStr">
        <is>
          <t>C11210</t>
        </is>
      </c>
      <c r="D6111" t="inlineStr">
        <is>
          <t>SKU-10292</t>
        </is>
      </c>
      <c r="E6111" t="inlineStr">
        <is>
          <t>AM05</t>
        </is>
      </c>
      <c r="F6111" s="5" t="n">
        <v>169.68</v>
      </c>
      <c r="G6111">
        <f>IF(LEFT(B6111,1)="C","Credit","Factuur")</f>
        <v/>
      </c>
      <c r="H6111">
        <f>IF(AND(B6111=B6110,D6111=D6110,A6111=A6110,F6111=F6110),1,0)</f>
        <v/>
      </c>
      <c r="I6111">
        <f>IF(C6111="C99999",1,0)</f>
        <v/>
      </c>
      <c r="J6111" s="5">
        <f>IF(OR(H6111=1,I6111=1),0,IF(G6111="Credit",-F6111,F6111))</f>
        <v/>
      </c>
    </row>
    <row r="6112">
      <c r="A6112" t="inlineStr">
        <is>
          <t>2026-08-28</t>
        </is>
      </c>
      <c r="B6112" t="inlineStr">
        <is>
          <t>F283009</t>
        </is>
      </c>
      <c r="C6112" t="inlineStr">
        <is>
          <t>C11210</t>
        </is>
      </c>
      <c r="D6112" t="inlineStr">
        <is>
          <t>SKU-10314</t>
        </is>
      </c>
      <c r="E6112" t="inlineStr">
        <is>
          <t>AM05</t>
        </is>
      </c>
      <c r="F6112" s="5" t="n">
        <v>176.4</v>
      </c>
      <c r="G6112">
        <f>IF(LEFT(B6112,1)="C","Credit","Factuur")</f>
        <v/>
      </c>
      <c r="H6112">
        <f>IF(AND(B6112=B6111,D6112=D6111,A6112=A6111,F6112=F6111),1,0)</f>
        <v/>
      </c>
      <c r="I6112">
        <f>IF(C6112="C99999",1,0)</f>
        <v/>
      </c>
      <c r="J6112" s="5">
        <f>IF(OR(H6112=1,I6112=1),0,IF(G6112="Credit",-F6112,F6112))</f>
        <v/>
      </c>
    </row>
    <row r="6113">
      <c r="A6113" t="inlineStr">
        <is>
          <t>2026-08-28</t>
        </is>
      </c>
      <c r="B6113" t="inlineStr">
        <is>
          <t>F283009</t>
        </is>
      </c>
      <c r="C6113" t="inlineStr">
        <is>
          <t>C11210</t>
        </is>
      </c>
      <c r="D6113" t="inlineStr">
        <is>
          <t>SKU-10322</t>
        </is>
      </c>
      <c r="E6113" t="inlineStr">
        <is>
          <t>AM05</t>
        </is>
      </c>
      <c r="F6113" s="5" t="n">
        <v>162.66</v>
      </c>
      <c r="G6113">
        <f>IF(LEFT(B6113,1)="C","Credit","Factuur")</f>
        <v/>
      </c>
      <c r="H6113">
        <f>IF(AND(B6113=B6112,D6113=D6112,A6113=A6112,F6113=F6112),1,0)</f>
        <v/>
      </c>
      <c r="I6113">
        <f>IF(C6113="C99999",1,0)</f>
        <v/>
      </c>
      <c r="J6113" s="5">
        <f>IF(OR(H6113=1,I6113=1),0,IF(G6113="Credit",-F6113,F6113))</f>
        <v/>
      </c>
    </row>
    <row r="6114">
      <c r="A6114" t="inlineStr">
        <is>
          <t>2026-08-28</t>
        </is>
      </c>
      <c r="B6114" t="inlineStr">
        <is>
          <t>F283035</t>
        </is>
      </c>
      <c r="C6114" t="inlineStr">
        <is>
          <t>C11210</t>
        </is>
      </c>
      <c r="D6114" t="inlineStr">
        <is>
          <t>SKU-10146</t>
        </is>
      </c>
      <c r="E6114" t="inlineStr">
        <is>
          <t>AM05</t>
        </is>
      </c>
      <c r="F6114" s="5" t="n">
        <v>924.5599999999999</v>
      </c>
      <c r="G6114">
        <f>IF(LEFT(B6114,1)="C","Credit","Factuur")</f>
        <v/>
      </c>
      <c r="H6114">
        <f>IF(AND(B6114=B6113,D6114=D6113,A6114=A6113,F6114=F6113),1,0)</f>
        <v/>
      </c>
      <c r="I6114">
        <f>IF(C6114="C99999",1,0)</f>
        <v/>
      </c>
      <c r="J6114" s="5">
        <f>IF(OR(H6114=1,I6114=1),0,IF(G6114="Credit",-F6114,F6114))</f>
        <v/>
      </c>
    </row>
    <row r="6115">
      <c r="A6115" t="inlineStr">
        <is>
          <t>2026-08-28</t>
        </is>
      </c>
      <c r="B6115" t="inlineStr">
        <is>
          <t>F283471</t>
        </is>
      </c>
      <c r="C6115" t="inlineStr">
        <is>
          <t>C11233</t>
        </is>
      </c>
      <c r="D6115" t="inlineStr">
        <is>
          <t>SKU-10097</t>
        </is>
      </c>
      <c r="E6115" t="inlineStr">
        <is>
          <t>AM11</t>
        </is>
      </c>
      <c r="F6115" s="5" t="n">
        <v>63.9</v>
      </c>
      <c r="G6115">
        <f>IF(LEFT(B6115,1)="C","Credit","Factuur")</f>
        <v/>
      </c>
      <c r="H6115">
        <f>IF(AND(B6115=B6114,D6115=D6114,A6115=A6114,F6115=F6114),1,0)</f>
        <v/>
      </c>
      <c r="I6115">
        <f>IF(C6115="C99999",1,0)</f>
        <v/>
      </c>
      <c r="J6115" s="5">
        <f>IF(OR(H6115=1,I6115=1),0,IF(G6115="Credit",-F6115,F6115))</f>
        <v/>
      </c>
    </row>
    <row r="6116">
      <c r="A6116" t="inlineStr">
        <is>
          <t>2026-08-28</t>
        </is>
      </c>
      <c r="B6116" t="inlineStr">
        <is>
          <t>F283471</t>
        </is>
      </c>
      <c r="C6116" t="inlineStr">
        <is>
          <t>C11233</t>
        </is>
      </c>
      <c r="D6116" t="inlineStr">
        <is>
          <t>SKU-10128</t>
        </is>
      </c>
      <c r="E6116" t="inlineStr">
        <is>
          <t>AM11</t>
        </is>
      </c>
      <c r="F6116" s="5" t="n">
        <v>67.84999999999999</v>
      </c>
      <c r="G6116">
        <f>IF(LEFT(B6116,1)="C","Credit","Factuur")</f>
        <v/>
      </c>
      <c r="H6116">
        <f>IF(AND(B6116=B6115,D6116=D6115,A6116=A6115,F6116=F6115),1,0)</f>
        <v/>
      </c>
      <c r="I6116">
        <f>IF(C6116="C99999",1,0)</f>
        <v/>
      </c>
      <c r="J6116" s="5">
        <f>IF(OR(H6116=1,I6116=1),0,IF(G6116="Credit",-F6116,F6116))</f>
        <v/>
      </c>
    </row>
    <row r="6117">
      <c r="A6117" t="inlineStr">
        <is>
          <t>2026-08-28</t>
        </is>
      </c>
      <c r="B6117" t="inlineStr">
        <is>
          <t>F283471</t>
        </is>
      </c>
      <c r="C6117" t="inlineStr">
        <is>
          <t>C11233</t>
        </is>
      </c>
      <c r="D6117" t="inlineStr">
        <is>
          <t>SKU-10252</t>
        </is>
      </c>
      <c r="E6117" t="inlineStr">
        <is>
          <t>AM11</t>
        </is>
      </c>
      <c r="F6117" s="5" t="n">
        <v>47.7</v>
      </c>
      <c r="G6117">
        <f>IF(LEFT(B6117,1)="C","Credit","Factuur")</f>
        <v/>
      </c>
      <c r="H6117">
        <f>IF(AND(B6117=B6116,D6117=D6116,A6117=A6116,F6117=F6116),1,0)</f>
        <v/>
      </c>
      <c r="I6117">
        <f>IF(C6117="C99999",1,0)</f>
        <v/>
      </c>
      <c r="J6117" s="5">
        <f>IF(OR(H6117=1,I6117=1),0,IF(G6117="Credit",-F6117,F6117))</f>
        <v/>
      </c>
    </row>
    <row r="6118">
      <c r="A6118" t="inlineStr">
        <is>
          <t>2026-08-28</t>
        </is>
      </c>
      <c r="B6118" t="inlineStr">
        <is>
          <t>F283471</t>
        </is>
      </c>
      <c r="C6118" t="inlineStr">
        <is>
          <t>C11233</t>
        </is>
      </c>
      <c r="D6118" t="inlineStr">
        <is>
          <t>SKU-10301</t>
        </is>
      </c>
      <c r="E6118" t="inlineStr">
        <is>
          <t>AM11</t>
        </is>
      </c>
      <c r="F6118" s="5" t="n">
        <v>54.91</v>
      </c>
      <c r="G6118">
        <f>IF(LEFT(B6118,1)="C","Credit","Factuur")</f>
        <v/>
      </c>
      <c r="H6118">
        <f>IF(AND(B6118=B6117,D6118=D6117,A6118=A6117,F6118=F6117),1,0)</f>
        <v/>
      </c>
      <c r="I6118">
        <f>IF(C6118="C99999",1,0)</f>
        <v/>
      </c>
      <c r="J6118" s="5">
        <f>IF(OR(H6118=1,I6118=1),0,IF(G6118="Credit",-F6118,F6118))</f>
        <v/>
      </c>
    </row>
    <row r="6119">
      <c r="A6119" t="inlineStr">
        <is>
          <t>2026-08-28</t>
        </is>
      </c>
      <c r="B6119" t="inlineStr">
        <is>
          <t>F283471</t>
        </is>
      </c>
      <c r="C6119" t="inlineStr">
        <is>
          <t>C11233</t>
        </is>
      </c>
      <c r="D6119" t="inlineStr">
        <is>
          <t>SKU-10371</t>
        </is>
      </c>
      <c r="E6119" t="inlineStr">
        <is>
          <t>AM11</t>
        </is>
      </c>
      <c r="F6119" s="5" t="n">
        <v>110.04</v>
      </c>
      <c r="G6119">
        <f>IF(LEFT(B6119,1)="C","Credit","Factuur")</f>
        <v/>
      </c>
      <c r="H6119">
        <f>IF(AND(B6119=B6118,D6119=D6118,A6119=A6118,F6119=F6118),1,0)</f>
        <v/>
      </c>
      <c r="I6119">
        <f>IF(C6119="C99999",1,0)</f>
        <v/>
      </c>
      <c r="J6119" s="5">
        <f>IF(OR(H6119=1,I6119=1),0,IF(G6119="Credit",-F6119,F6119))</f>
        <v/>
      </c>
    </row>
    <row r="6120">
      <c r="A6120" t="inlineStr">
        <is>
          <t>2026-08-28</t>
        </is>
      </c>
      <c r="B6120" t="inlineStr">
        <is>
          <t>F283698</t>
        </is>
      </c>
      <c r="C6120" t="inlineStr">
        <is>
          <t>C11242</t>
        </is>
      </c>
      <c r="D6120" t="inlineStr">
        <is>
          <t>SKU-10069</t>
        </is>
      </c>
      <c r="E6120" t="inlineStr">
        <is>
          <t>AM02</t>
        </is>
      </c>
      <c r="F6120" s="5" t="n">
        <v>619.71</v>
      </c>
      <c r="G6120">
        <f>IF(LEFT(B6120,1)="C","Credit","Factuur")</f>
        <v/>
      </c>
      <c r="H6120">
        <f>IF(AND(B6120=B6119,D6120=D6119,A6120=A6119,F6120=F6119),1,0)</f>
        <v/>
      </c>
      <c r="I6120">
        <f>IF(C6120="C99999",1,0)</f>
        <v/>
      </c>
      <c r="J6120" s="5">
        <f>IF(OR(H6120=1,I6120=1),0,IF(G6120="Credit",-F6120,F6120))</f>
        <v/>
      </c>
    </row>
    <row r="6121">
      <c r="A6121" t="inlineStr">
        <is>
          <t>2026-08-28</t>
        </is>
      </c>
      <c r="B6121" t="inlineStr">
        <is>
          <t>F283698</t>
        </is>
      </c>
      <c r="C6121" t="inlineStr">
        <is>
          <t>C11242</t>
        </is>
      </c>
      <c r="D6121" t="inlineStr">
        <is>
          <t>SKU-10097</t>
        </is>
      </c>
      <c r="E6121" t="inlineStr">
        <is>
          <t>AM02</t>
        </is>
      </c>
      <c r="F6121" s="5" t="n">
        <v>586.8200000000001</v>
      </c>
      <c r="G6121">
        <f>IF(LEFT(B6121,1)="C","Credit","Factuur")</f>
        <v/>
      </c>
      <c r="H6121">
        <f>IF(AND(B6121=B6120,D6121=D6120,A6121=A6120,F6121=F6120),1,0)</f>
        <v/>
      </c>
      <c r="I6121">
        <f>IF(C6121="C99999",1,0)</f>
        <v/>
      </c>
      <c r="J6121" s="5">
        <f>IF(OR(H6121=1,I6121=1),0,IF(G6121="Credit",-F6121,F6121))</f>
        <v/>
      </c>
    </row>
    <row r="6122">
      <c r="A6122" t="inlineStr">
        <is>
          <t>2026-08-28</t>
        </is>
      </c>
      <c r="B6122" t="inlineStr">
        <is>
          <t>F283698</t>
        </is>
      </c>
      <c r="C6122" t="inlineStr">
        <is>
          <t>C11242</t>
        </is>
      </c>
      <c r="D6122" t="inlineStr">
        <is>
          <t>SKU-10127</t>
        </is>
      </c>
      <c r="E6122" t="inlineStr">
        <is>
          <t>AM02</t>
        </is>
      </c>
      <c r="F6122" s="5" t="n">
        <v>608.8099999999999</v>
      </c>
      <c r="G6122">
        <f>IF(LEFT(B6122,1)="C","Credit","Factuur")</f>
        <v/>
      </c>
      <c r="H6122">
        <f>IF(AND(B6122=B6121,D6122=D6121,A6122=A6121,F6122=F6121),1,0)</f>
        <v/>
      </c>
      <c r="I6122">
        <f>IF(C6122="C99999",1,0)</f>
        <v/>
      </c>
      <c r="J6122" s="5">
        <f>IF(OR(H6122=1,I6122=1),0,IF(G6122="Credit",-F6122,F6122))</f>
        <v/>
      </c>
    </row>
    <row r="6123">
      <c r="A6123" t="inlineStr">
        <is>
          <t>2026-08-28</t>
        </is>
      </c>
      <c r="B6123" t="inlineStr">
        <is>
          <t>F283698</t>
        </is>
      </c>
      <c r="C6123" t="inlineStr">
        <is>
          <t>C11242</t>
        </is>
      </c>
      <c r="D6123" t="inlineStr">
        <is>
          <t>SKU-10158</t>
        </is>
      </c>
      <c r="E6123" t="inlineStr">
        <is>
          <t>AM02</t>
        </is>
      </c>
      <c r="F6123" s="5" t="n">
        <v>615.4</v>
      </c>
      <c r="G6123">
        <f>IF(LEFT(B6123,1)="C","Credit","Factuur")</f>
        <v/>
      </c>
      <c r="H6123">
        <f>IF(AND(B6123=B6122,D6123=D6122,A6123=A6122,F6123=F6122),1,0)</f>
        <v/>
      </c>
      <c r="I6123">
        <f>IF(C6123="C99999",1,0)</f>
        <v/>
      </c>
      <c r="J6123" s="5">
        <f>IF(OR(H6123=1,I6123=1),0,IF(G6123="Credit",-F6123,F6123))</f>
        <v/>
      </c>
    </row>
    <row r="6124">
      <c r="A6124" t="inlineStr">
        <is>
          <t>2026-08-28</t>
        </is>
      </c>
      <c r="B6124" t="inlineStr">
        <is>
          <t>F283710</t>
        </is>
      </c>
      <c r="C6124" t="inlineStr">
        <is>
          <t>C11242</t>
        </is>
      </c>
      <c r="D6124" t="inlineStr">
        <is>
          <t>SKU-10051</t>
        </is>
      </c>
      <c r="E6124" t="inlineStr">
        <is>
          <t>AM02</t>
        </is>
      </c>
      <c r="F6124" s="5" t="n">
        <v>820.48</v>
      </c>
      <c r="G6124">
        <f>IF(LEFT(B6124,1)="C","Credit","Factuur")</f>
        <v/>
      </c>
      <c r="H6124">
        <f>IF(AND(B6124=B6123,D6124=D6123,A6124=A6123,F6124=F6123),1,0)</f>
        <v/>
      </c>
      <c r="I6124">
        <f>IF(C6124="C99999",1,0)</f>
        <v/>
      </c>
      <c r="J6124" s="5">
        <f>IF(OR(H6124=1,I6124=1),0,IF(G6124="Credit",-F6124,F6124))</f>
        <v/>
      </c>
    </row>
    <row r="6125">
      <c r="A6125" t="inlineStr">
        <is>
          <t>2026-08-28</t>
        </is>
      </c>
      <c r="B6125" t="inlineStr">
        <is>
          <t>F283710</t>
        </is>
      </c>
      <c r="C6125" t="inlineStr">
        <is>
          <t>C11242</t>
        </is>
      </c>
      <c r="D6125" t="inlineStr">
        <is>
          <t>SKU-10091</t>
        </is>
      </c>
      <c r="E6125" t="inlineStr">
        <is>
          <t>AM02</t>
        </is>
      </c>
      <c r="F6125" s="5" t="n">
        <v>822.01</v>
      </c>
      <c r="G6125">
        <f>IF(LEFT(B6125,1)="C","Credit","Factuur")</f>
        <v/>
      </c>
      <c r="H6125">
        <f>IF(AND(B6125=B6124,D6125=D6124,A6125=A6124,F6125=F6124),1,0)</f>
        <v/>
      </c>
      <c r="I6125">
        <f>IF(C6125="C99999",1,0)</f>
        <v/>
      </c>
      <c r="J6125" s="5">
        <f>IF(OR(H6125=1,I6125=1),0,IF(G6125="Credit",-F6125,F6125))</f>
        <v/>
      </c>
    </row>
    <row r="6126">
      <c r="A6126" t="inlineStr">
        <is>
          <t>2026-08-28</t>
        </is>
      </c>
      <c r="B6126" t="inlineStr">
        <is>
          <t>F283710</t>
        </is>
      </c>
      <c r="C6126" t="inlineStr">
        <is>
          <t>C11242</t>
        </is>
      </c>
      <c r="D6126" t="inlineStr">
        <is>
          <t>SKU-10165</t>
        </is>
      </c>
      <c r="E6126" t="inlineStr">
        <is>
          <t>AM02</t>
        </is>
      </c>
      <c r="F6126" s="5" t="n">
        <v>825.12</v>
      </c>
      <c r="G6126">
        <f>IF(LEFT(B6126,1)="C","Credit","Factuur")</f>
        <v/>
      </c>
      <c r="H6126">
        <f>IF(AND(B6126=B6125,D6126=D6125,A6126=A6125,F6126=F6125),1,0)</f>
        <v/>
      </c>
      <c r="I6126">
        <f>IF(C6126="C99999",1,0)</f>
        <v/>
      </c>
      <c r="J6126" s="5">
        <f>IF(OR(H6126=1,I6126=1),0,IF(G6126="Credit",-F6126,F6126))</f>
        <v/>
      </c>
    </row>
    <row r="6127">
      <c r="A6127" t="inlineStr">
        <is>
          <t>2026-08-28</t>
        </is>
      </c>
      <c r="B6127" t="inlineStr">
        <is>
          <t>F283710</t>
        </is>
      </c>
      <c r="C6127" t="inlineStr">
        <is>
          <t>C11242</t>
        </is>
      </c>
      <c r="D6127" t="inlineStr">
        <is>
          <t>SKU-10171</t>
        </is>
      </c>
      <c r="E6127" t="inlineStr"/>
      <c r="F6127" s="5" t="n">
        <v>816.3200000000001</v>
      </c>
      <c r="G6127">
        <f>IF(LEFT(B6127,1)="C","Credit","Factuur")</f>
        <v/>
      </c>
      <c r="H6127">
        <f>IF(AND(B6127=B6126,D6127=D6126,A6127=A6126,F6127=F6126),1,0)</f>
        <v/>
      </c>
      <c r="I6127">
        <f>IF(C6127="C99999",1,0)</f>
        <v/>
      </c>
      <c r="J6127" s="5">
        <f>IF(OR(H6127=1,I6127=1),0,IF(G6127="Credit",-F6127,F6127))</f>
        <v/>
      </c>
    </row>
    <row r="6128">
      <c r="A6128" t="inlineStr">
        <is>
          <t>2026-08-28</t>
        </is>
      </c>
      <c r="B6128" t="inlineStr">
        <is>
          <t>F283999</t>
        </is>
      </c>
      <c r="C6128" t="inlineStr">
        <is>
          <t>C11255</t>
        </is>
      </c>
      <c r="D6128" t="inlineStr">
        <is>
          <t>SKU-10303</t>
        </is>
      </c>
      <c r="E6128" t="inlineStr">
        <is>
          <t>AM07</t>
        </is>
      </c>
      <c r="F6128" s="5" t="n">
        <v>1057.63</v>
      </c>
      <c r="G6128">
        <f>IF(LEFT(B6128,1)="C","Credit","Factuur")</f>
        <v/>
      </c>
      <c r="H6128">
        <f>IF(AND(B6128=B6127,D6128=D6127,A6128=A6127,F6128=F6127),1,0)</f>
        <v/>
      </c>
      <c r="I6128">
        <f>IF(C6128="C99999",1,0)</f>
        <v/>
      </c>
      <c r="J6128" s="5">
        <f>IF(OR(H6128=1,I6128=1),0,IF(G6128="Credit",-F6128,F6128))</f>
        <v/>
      </c>
    </row>
    <row r="6129">
      <c r="A6129" t="inlineStr">
        <is>
          <t>2026-08-28</t>
        </is>
      </c>
      <c r="B6129" t="inlineStr">
        <is>
          <t>F284527</t>
        </is>
      </c>
      <c r="C6129" t="inlineStr">
        <is>
          <t>C11286</t>
        </is>
      </c>
      <c r="D6129" t="inlineStr">
        <is>
          <t>SKU-10059</t>
        </is>
      </c>
      <c r="E6129" t="inlineStr">
        <is>
          <t>AM11</t>
        </is>
      </c>
      <c r="F6129" s="5" t="n">
        <v>524.63</v>
      </c>
      <c r="G6129">
        <f>IF(LEFT(B6129,1)="C","Credit","Factuur")</f>
        <v/>
      </c>
      <c r="H6129">
        <f>IF(AND(B6129=B6128,D6129=D6128,A6129=A6128,F6129=F6128),1,0)</f>
        <v/>
      </c>
      <c r="I6129">
        <f>IF(C6129="C99999",1,0)</f>
        <v/>
      </c>
      <c r="J6129" s="5">
        <f>IF(OR(H6129=1,I6129=1),0,IF(G6129="Credit",-F6129,F6129))</f>
        <v/>
      </c>
    </row>
    <row r="6130">
      <c r="A6130" t="inlineStr">
        <is>
          <t>2026-08-28</t>
        </is>
      </c>
      <c r="B6130" t="inlineStr">
        <is>
          <t>F284527</t>
        </is>
      </c>
      <c r="C6130" t="inlineStr">
        <is>
          <t>C11286</t>
        </is>
      </c>
      <c r="D6130" t="inlineStr">
        <is>
          <t>SKU-10328</t>
        </is>
      </c>
      <c r="E6130" t="inlineStr">
        <is>
          <t>AM11</t>
        </is>
      </c>
      <c r="F6130" s="5" t="n">
        <v>531.08</v>
      </c>
      <c r="G6130">
        <f>IF(LEFT(B6130,1)="C","Credit","Factuur")</f>
        <v/>
      </c>
      <c r="H6130">
        <f>IF(AND(B6130=B6129,D6130=D6129,A6130=A6129,F6130=F6129),1,0)</f>
        <v/>
      </c>
      <c r="I6130">
        <f>IF(C6130="C99999",1,0)</f>
        <v/>
      </c>
      <c r="J6130" s="5">
        <f>IF(OR(H6130=1,I6130=1),0,IF(G6130="Credit",-F6130,F6130))</f>
        <v/>
      </c>
    </row>
    <row r="6131">
      <c r="A6131" t="inlineStr">
        <is>
          <t>2026-08-28</t>
        </is>
      </c>
      <c r="B6131" t="inlineStr">
        <is>
          <t>F284529</t>
        </is>
      </c>
      <c r="C6131" t="inlineStr">
        <is>
          <t>C11286</t>
        </is>
      </c>
      <c r="D6131" t="inlineStr">
        <is>
          <t>SKU-10047</t>
        </is>
      </c>
      <c r="E6131" t="inlineStr">
        <is>
          <t>AM11</t>
        </is>
      </c>
      <c r="F6131" s="5" t="n">
        <v>326.5</v>
      </c>
      <c r="G6131">
        <f>IF(LEFT(B6131,1)="C","Credit","Factuur")</f>
        <v/>
      </c>
      <c r="H6131">
        <f>IF(AND(B6131=B6130,D6131=D6130,A6131=A6130,F6131=F6130),1,0)</f>
        <v/>
      </c>
      <c r="I6131">
        <f>IF(C6131="C99999",1,0)</f>
        <v/>
      </c>
      <c r="J6131" s="5">
        <f>IF(OR(H6131=1,I6131=1),0,IF(G6131="Credit",-F6131,F6131))</f>
        <v/>
      </c>
    </row>
    <row r="6132">
      <c r="A6132" t="inlineStr">
        <is>
          <t>2026-08-28</t>
        </is>
      </c>
      <c r="B6132" t="inlineStr">
        <is>
          <t>F284529</t>
        </is>
      </c>
      <c r="C6132" t="inlineStr">
        <is>
          <t>C11286</t>
        </is>
      </c>
      <c r="D6132" t="inlineStr">
        <is>
          <t>SKU-10054</t>
        </is>
      </c>
      <c r="E6132" t="inlineStr">
        <is>
          <t>AM11</t>
        </is>
      </c>
      <c r="F6132" s="5" t="n">
        <v>332.09</v>
      </c>
      <c r="G6132">
        <f>IF(LEFT(B6132,1)="C","Credit","Factuur")</f>
        <v/>
      </c>
      <c r="H6132">
        <f>IF(AND(B6132=B6131,D6132=D6131,A6132=A6131,F6132=F6131),1,0)</f>
        <v/>
      </c>
      <c r="I6132">
        <f>IF(C6132="C99999",1,0)</f>
        <v/>
      </c>
      <c r="J6132" s="5">
        <f>IF(OR(H6132=1,I6132=1),0,IF(G6132="Credit",-F6132,F6132))</f>
        <v/>
      </c>
    </row>
    <row r="6133">
      <c r="A6133" t="inlineStr">
        <is>
          <t>2026-08-28</t>
        </is>
      </c>
      <c r="B6133" t="inlineStr">
        <is>
          <t>F284529</t>
        </is>
      </c>
      <c r="C6133" t="inlineStr">
        <is>
          <t>C11286</t>
        </is>
      </c>
      <c r="D6133" t="inlineStr">
        <is>
          <t>SKU-10148</t>
        </is>
      </c>
      <c r="E6133" t="inlineStr">
        <is>
          <t>AM11</t>
        </is>
      </c>
      <c r="F6133" s="5" t="n">
        <v>357.48</v>
      </c>
      <c r="G6133">
        <f>IF(LEFT(B6133,1)="C","Credit","Factuur")</f>
        <v/>
      </c>
      <c r="H6133">
        <f>IF(AND(B6133=B6132,D6133=D6132,A6133=A6132,F6133=F6132),1,0)</f>
        <v/>
      </c>
      <c r="I6133">
        <f>IF(C6133="C99999",1,0)</f>
        <v/>
      </c>
      <c r="J6133" s="5">
        <f>IF(OR(H6133=1,I6133=1),0,IF(G6133="Credit",-F6133,F6133))</f>
        <v/>
      </c>
    </row>
    <row r="6134">
      <c r="A6134" t="inlineStr">
        <is>
          <t>2026-08-28</t>
        </is>
      </c>
      <c r="B6134" t="inlineStr">
        <is>
          <t>F284699</t>
        </is>
      </c>
      <c r="C6134" t="inlineStr">
        <is>
          <t>C11294</t>
        </is>
      </c>
      <c r="D6134" t="inlineStr">
        <is>
          <t>SKU-10206</t>
        </is>
      </c>
      <c r="E6134" t="inlineStr">
        <is>
          <t>AM01</t>
        </is>
      </c>
      <c r="F6134" s="5" t="n">
        <v>2392.74</v>
      </c>
      <c r="G6134">
        <f>IF(LEFT(B6134,1)="C","Credit","Factuur")</f>
        <v/>
      </c>
      <c r="H6134">
        <f>IF(AND(B6134=B6133,D6134=D6133,A6134=A6133,F6134=F6133),1,0)</f>
        <v/>
      </c>
      <c r="I6134">
        <f>IF(C6134="C99999",1,0)</f>
        <v/>
      </c>
      <c r="J6134" s="5">
        <f>IF(OR(H6134=1,I6134=1),0,IF(G6134="Credit",-F6134,F6134))</f>
        <v/>
      </c>
    </row>
    <row r="6135">
      <c r="A6135" t="inlineStr">
        <is>
          <t>2026-08-28</t>
        </is>
      </c>
      <c r="B6135" t="inlineStr">
        <is>
          <t>F284792</t>
        </is>
      </c>
      <c r="C6135" t="inlineStr">
        <is>
          <t>C11298</t>
        </is>
      </c>
      <c r="D6135" t="inlineStr">
        <is>
          <t>SKU-10012</t>
        </is>
      </c>
      <c r="E6135" t="inlineStr">
        <is>
          <t>AM01</t>
        </is>
      </c>
      <c r="F6135" s="5" t="n">
        <v>159.55</v>
      </c>
      <c r="G6135">
        <f>IF(LEFT(B6135,1)="C","Credit","Factuur")</f>
        <v/>
      </c>
      <c r="H6135">
        <f>IF(AND(B6135=B6134,D6135=D6134,A6135=A6134,F6135=F6134),1,0)</f>
        <v/>
      </c>
      <c r="I6135">
        <f>IF(C6135="C99999",1,0)</f>
        <v/>
      </c>
      <c r="J6135" s="5">
        <f>IF(OR(H6135=1,I6135=1),0,IF(G6135="Credit",-F6135,F6135))</f>
        <v/>
      </c>
    </row>
    <row r="6136">
      <c r="A6136" t="inlineStr">
        <is>
          <t>2026-08-28</t>
        </is>
      </c>
      <c r="B6136" t="inlineStr">
        <is>
          <t>F284792</t>
        </is>
      </c>
      <c r="C6136" t="inlineStr">
        <is>
          <t>C11298</t>
        </is>
      </c>
      <c r="D6136" t="inlineStr">
        <is>
          <t>SKU-10051</t>
        </is>
      </c>
      <c r="E6136" t="inlineStr">
        <is>
          <t>AM01</t>
        </is>
      </c>
      <c r="F6136" s="5" t="n">
        <v>153.84</v>
      </c>
      <c r="G6136">
        <f>IF(LEFT(B6136,1)="C","Credit","Factuur")</f>
        <v/>
      </c>
      <c r="H6136">
        <f>IF(AND(B6136=B6135,D6136=D6135,A6136=A6135,F6136=F6135),1,0)</f>
        <v/>
      </c>
      <c r="I6136">
        <f>IF(C6136="C99999",1,0)</f>
        <v/>
      </c>
      <c r="J6136" s="5">
        <f>IF(OR(H6136=1,I6136=1),0,IF(G6136="Credit",-F6136,F6136))</f>
        <v/>
      </c>
    </row>
    <row r="6137">
      <c r="A6137" t="inlineStr">
        <is>
          <t>2026-08-28</t>
        </is>
      </c>
      <c r="B6137" t="inlineStr">
        <is>
          <t>F284792</t>
        </is>
      </c>
      <c r="C6137" t="inlineStr">
        <is>
          <t>C11298</t>
        </is>
      </c>
      <c r="D6137" t="inlineStr">
        <is>
          <t>SKU-10223</t>
        </is>
      </c>
      <c r="E6137" t="inlineStr">
        <is>
          <t>AM01</t>
        </is>
      </c>
      <c r="F6137" s="5" t="n">
        <v>159.39</v>
      </c>
      <c r="G6137">
        <f>IF(LEFT(B6137,1)="C","Credit","Factuur")</f>
        <v/>
      </c>
      <c r="H6137">
        <f>IF(AND(B6137=B6136,D6137=D6136,A6137=A6136,F6137=F6136),1,0)</f>
        <v/>
      </c>
      <c r="I6137">
        <f>IF(C6137="C99999",1,0)</f>
        <v/>
      </c>
      <c r="J6137" s="5">
        <f>IF(OR(H6137=1,I6137=1),0,IF(G6137="Credit",-F6137,F6137))</f>
        <v/>
      </c>
    </row>
    <row r="6138">
      <c r="A6138" t="inlineStr">
        <is>
          <t>2026-08-28</t>
        </is>
      </c>
      <c r="B6138" t="inlineStr">
        <is>
          <t>F285145</t>
        </is>
      </c>
      <c r="C6138" t="inlineStr">
        <is>
          <t>C11318</t>
        </is>
      </c>
      <c r="D6138" t="inlineStr">
        <is>
          <t>SKU-10198</t>
        </is>
      </c>
      <c r="E6138" t="inlineStr">
        <is>
          <t>AM01</t>
        </is>
      </c>
      <c r="F6138" s="5" t="n">
        <v>2083.3</v>
      </c>
      <c r="G6138">
        <f>IF(LEFT(B6138,1)="C","Credit","Factuur")</f>
        <v/>
      </c>
      <c r="H6138">
        <f>IF(AND(B6138=B6137,D6138=D6137,A6138=A6137,F6138=F6137),1,0)</f>
        <v/>
      </c>
      <c r="I6138">
        <f>IF(C6138="C99999",1,0)</f>
        <v/>
      </c>
      <c r="J6138" s="5">
        <f>IF(OR(H6138=1,I6138=1),0,IF(G6138="Credit",-F6138,F6138))</f>
        <v/>
      </c>
    </row>
    <row r="6139">
      <c r="A6139" t="inlineStr">
        <is>
          <t>2026-08-28</t>
        </is>
      </c>
      <c r="B6139" t="inlineStr">
        <is>
          <t>F285483</t>
        </is>
      </c>
      <c r="C6139" t="inlineStr">
        <is>
          <t>C11331</t>
        </is>
      </c>
      <c r="D6139" t="inlineStr">
        <is>
          <t>SKU-10292</t>
        </is>
      </c>
      <c r="E6139" t="inlineStr">
        <is>
          <t>AM01</t>
        </is>
      </c>
      <c r="F6139" s="5" t="n">
        <v>1260.48</v>
      </c>
      <c r="G6139">
        <f>IF(LEFT(B6139,1)="C","Credit","Factuur")</f>
        <v/>
      </c>
      <c r="H6139">
        <f>IF(AND(B6139=B6138,D6139=D6138,A6139=A6138,F6139=F6138),1,0)</f>
        <v/>
      </c>
      <c r="I6139">
        <f>IF(C6139="C99999",1,0)</f>
        <v/>
      </c>
      <c r="J6139" s="5">
        <f>IF(OR(H6139=1,I6139=1),0,IF(G6139="Credit",-F6139,F6139))</f>
        <v/>
      </c>
    </row>
    <row r="6140">
      <c r="A6140" t="inlineStr">
        <is>
          <t>2026-08-28</t>
        </is>
      </c>
      <c r="B6140" t="inlineStr">
        <is>
          <t>F285954</t>
        </is>
      </c>
      <c r="C6140" t="inlineStr">
        <is>
          <t>C11359</t>
        </is>
      </c>
      <c r="D6140" t="inlineStr">
        <is>
          <t>SKU-10050</t>
        </is>
      </c>
      <c r="E6140" t="inlineStr">
        <is>
          <t>AM11</t>
        </is>
      </c>
      <c r="F6140" s="5" t="n">
        <v>106.86</v>
      </c>
      <c r="G6140">
        <f>IF(LEFT(B6140,1)="C","Credit","Factuur")</f>
        <v/>
      </c>
      <c r="H6140">
        <f>IF(AND(B6140=B6139,D6140=D6139,A6140=A6139,F6140=F6139),1,0)</f>
        <v/>
      </c>
      <c r="I6140">
        <f>IF(C6140="C99999",1,0)</f>
        <v/>
      </c>
      <c r="J6140" s="5">
        <f>IF(OR(H6140=1,I6140=1),0,IF(G6140="Credit",-F6140,F6140))</f>
        <v/>
      </c>
    </row>
    <row r="6141">
      <c r="A6141" t="inlineStr">
        <is>
          <t>2026-08-28</t>
        </is>
      </c>
      <c r="B6141" t="inlineStr">
        <is>
          <t>F285954</t>
        </is>
      </c>
      <c r="C6141" t="inlineStr">
        <is>
          <t>C11359</t>
        </is>
      </c>
      <c r="D6141" t="inlineStr">
        <is>
          <t>SKU-10281</t>
        </is>
      </c>
      <c r="E6141" t="inlineStr">
        <is>
          <t>AM11</t>
        </is>
      </c>
      <c r="F6141" s="5" t="n">
        <v>111.87</v>
      </c>
      <c r="G6141">
        <f>IF(LEFT(B6141,1)="C","Credit","Factuur")</f>
        <v/>
      </c>
      <c r="H6141">
        <f>IF(AND(B6141=B6140,D6141=D6140,A6141=A6140,F6141=F6140),1,0)</f>
        <v/>
      </c>
      <c r="I6141">
        <f>IF(C6141="C99999",1,0)</f>
        <v/>
      </c>
      <c r="J6141" s="5">
        <f>IF(OR(H6141=1,I6141=1),0,IF(G6141="Credit",-F6141,F6141))</f>
        <v/>
      </c>
    </row>
    <row r="6142">
      <c r="A6142" t="inlineStr">
        <is>
          <t>2026-08-28</t>
        </is>
      </c>
      <c r="B6142" t="inlineStr">
        <is>
          <t>F285954</t>
        </is>
      </c>
      <c r="C6142" t="inlineStr">
        <is>
          <t>C11359</t>
        </is>
      </c>
      <c r="D6142" t="inlineStr">
        <is>
          <t>SKU-10327</t>
        </is>
      </c>
      <c r="E6142" t="inlineStr">
        <is>
          <t>AM11</t>
        </is>
      </c>
      <c r="F6142" s="5" t="n">
        <v>115.75</v>
      </c>
      <c r="G6142">
        <f>IF(LEFT(B6142,1)="C","Credit","Factuur")</f>
        <v/>
      </c>
      <c r="H6142">
        <f>IF(AND(B6142=B6141,D6142=D6141,A6142=A6141,F6142=F6141),1,0)</f>
        <v/>
      </c>
      <c r="I6142">
        <f>IF(C6142="C99999",1,0)</f>
        <v/>
      </c>
      <c r="J6142" s="5">
        <f>IF(OR(H6142=1,I6142=1),0,IF(G6142="Credit",-F6142,F6142))</f>
        <v/>
      </c>
    </row>
    <row r="6143">
      <c r="A6143" t="inlineStr">
        <is>
          <t>2026-08-28</t>
        </is>
      </c>
      <c r="B6143" t="inlineStr">
        <is>
          <t>F286015</t>
        </is>
      </c>
      <c r="C6143" t="inlineStr">
        <is>
          <t>C11362</t>
        </is>
      </c>
      <c r="D6143" t="inlineStr">
        <is>
          <t>SKU-10155</t>
        </is>
      </c>
      <c r="E6143" t="inlineStr">
        <is>
          <t>AM09</t>
        </is>
      </c>
      <c r="F6143" s="5" t="n">
        <v>215.88</v>
      </c>
      <c r="G6143">
        <f>IF(LEFT(B6143,1)="C","Credit","Factuur")</f>
        <v/>
      </c>
      <c r="H6143">
        <f>IF(AND(B6143=B6142,D6143=D6142,A6143=A6142,F6143=F6142),1,0)</f>
        <v/>
      </c>
      <c r="I6143">
        <f>IF(C6143="C99999",1,0)</f>
        <v/>
      </c>
      <c r="J6143" s="5">
        <f>IF(OR(H6143=1,I6143=1),0,IF(G6143="Credit",-F6143,F6143))</f>
        <v/>
      </c>
    </row>
    <row r="6144">
      <c r="A6144" t="inlineStr">
        <is>
          <t>2026-08-28</t>
        </is>
      </c>
      <c r="B6144" t="inlineStr">
        <is>
          <t>F286015</t>
        </is>
      </c>
      <c r="C6144" t="inlineStr">
        <is>
          <t>C11362</t>
        </is>
      </c>
      <c r="D6144" t="inlineStr">
        <is>
          <t>SKU-10269</t>
        </is>
      </c>
      <c r="E6144" t="inlineStr">
        <is>
          <t>AM09</t>
        </is>
      </c>
      <c r="F6144" s="5" t="n">
        <v>230.88</v>
      </c>
      <c r="G6144">
        <f>IF(LEFT(B6144,1)="C","Credit","Factuur")</f>
        <v/>
      </c>
      <c r="H6144">
        <f>IF(AND(B6144=B6143,D6144=D6143,A6144=A6143,F6144=F6143),1,0)</f>
        <v/>
      </c>
      <c r="I6144">
        <f>IF(C6144="C99999",1,0)</f>
        <v/>
      </c>
      <c r="J6144" s="5">
        <f>IF(OR(H6144=1,I6144=1),0,IF(G6144="Credit",-F6144,F6144))</f>
        <v/>
      </c>
    </row>
    <row r="6145">
      <c r="A6145" t="inlineStr">
        <is>
          <t>2026-08-28</t>
        </is>
      </c>
      <c r="B6145" t="inlineStr">
        <is>
          <t>F286015</t>
        </is>
      </c>
      <c r="C6145" t="inlineStr">
        <is>
          <t>C11362</t>
        </is>
      </c>
      <c r="D6145" t="inlineStr">
        <is>
          <t>SKU-10319</t>
        </is>
      </c>
      <c r="E6145" t="inlineStr">
        <is>
          <t>AM09</t>
        </is>
      </c>
      <c r="F6145" s="5" t="n">
        <v>231.52</v>
      </c>
      <c r="G6145">
        <f>IF(LEFT(B6145,1)="C","Credit","Factuur")</f>
        <v/>
      </c>
      <c r="H6145">
        <f>IF(AND(B6145=B6144,D6145=D6144,A6145=A6144,F6145=F6144),1,0)</f>
        <v/>
      </c>
      <c r="I6145">
        <f>IF(C6145="C99999",1,0)</f>
        <v/>
      </c>
      <c r="J6145" s="5">
        <f>IF(OR(H6145=1,I6145=1),0,IF(G6145="Credit",-F6145,F6145))</f>
        <v/>
      </c>
    </row>
    <row r="6146">
      <c r="A6146" t="inlineStr">
        <is>
          <t>2026-08-28</t>
        </is>
      </c>
      <c r="B6146" t="inlineStr">
        <is>
          <t>F286015</t>
        </is>
      </c>
      <c r="C6146" t="inlineStr">
        <is>
          <t>C11362</t>
        </is>
      </c>
      <c r="D6146" t="inlineStr">
        <is>
          <t>SKU-10326</t>
        </is>
      </c>
      <c r="E6146" t="inlineStr">
        <is>
          <t>AM09</t>
        </is>
      </c>
      <c r="F6146" s="5" t="n">
        <v>208.56</v>
      </c>
      <c r="G6146">
        <f>IF(LEFT(B6146,1)="C","Credit","Factuur")</f>
        <v/>
      </c>
      <c r="H6146">
        <f>IF(AND(B6146=B6145,D6146=D6145,A6146=A6145,F6146=F6145),1,0)</f>
        <v/>
      </c>
      <c r="I6146">
        <f>IF(C6146="C99999",1,0)</f>
        <v/>
      </c>
      <c r="J6146" s="5">
        <f>IF(OR(H6146=1,I6146=1),0,IF(G6146="Credit",-F6146,F6146))</f>
        <v/>
      </c>
    </row>
    <row r="6147">
      <c r="A6147" t="inlineStr">
        <is>
          <t>2026-08-28</t>
        </is>
      </c>
      <c r="B6147" t="inlineStr">
        <is>
          <t>F286045</t>
        </is>
      </c>
      <c r="C6147" t="inlineStr">
        <is>
          <t>C11363</t>
        </is>
      </c>
      <c r="D6147" t="inlineStr">
        <is>
          <t>SKU-10170</t>
        </is>
      </c>
      <c r="E6147" t="inlineStr">
        <is>
          <t>AM09</t>
        </is>
      </c>
      <c r="F6147" s="5" t="n">
        <v>422.96</v>
      </c>
      <c r="G6147">
        <f>IF(LEFT(B6147,1)="C","Credit","Factuur")</f>
        <v/>
      </c>
      <c r="H6147">
        <f>IF(AND(B6147=B6146,D6147=D6146,A6147=A6146,F6147=F6146),1,0)</f>
        <v/>
      </c>
      <c r="I6147">
        <f>IF(C6147="C99999",1,0)</f>
        <v/>
      </c>
      <c r="J6147" s="5">
        <f>IF(OR(H6147=1,I6147=1),0,IF(G6147="Credit",-F6147,F6147))</f>
        <v/>
      </c>
    </row>
    <row r="6148">
      <c r="A6148" t="inlineStr">
        <is>
          <t>2026-08-28</t>
        </is>
      </c>
      <c r="B6148" t="inlineStr">
        <is>
          <t>F286097</t>
        </is>
      </c>
      <c r="C6148" t="inlineStr">
        <is>
          <t>C11364</t>
        </is>
      </c>
      <c r="D6148" t="inlineStr">
        <is>
          <t>SKU-10283</t>
        </is>
      </c>
      <c r="E6148" t="inlineStr">
        <is>
          <t>AM09</t>
        </is>
      </c>
      <c r="F6148" s="5" t="n">
        <v>299.29</v>
      </c>
      <c r="G6148">
        <f>IF(LEFT(B6148,1)="C","Credit","Factuur")</f>
        <v/>
      </c>
      <c r="H6148">
        <f>IF(AND(B6148=B6147,D6148=D6147,A6148=A6147,F6148=F6147),1,0)</f>
        <v/>
      </c>
      <c r="I6148">
        <f>IF(C6148="C99999",1,0)</f>
        <v/>
      </c>
      <c r="J6148" s="5">
        <f>IF(OR(H6148=1,I6148=1),0,IF(G6148="Credit",-F6148,F6148))</f>
        <v/>
      </c>
    </row>
    <row r="6149">
      <c r="A6149" t="inlineStr">
        <is>
          <t>2026-08-28</t>
        </is>
      </c>
      <c r="B6149" t="inlineStr">
        <is>
          <t>F286097</t>
        </is>
      </c>
      <c r="C6149" t="inlineStr">
        <is>
          <t>C11364</t>
        </is>
      </c>
      <c r="D6149" t="inlineStr">
        <is>
          <t>SKU-10284</t>
        </is>
      </c>
      <c r="E6149" t="inlineStr">
        <is>
          <t>AM09</t>
        </is>
      </c>
      <c r="F6149" s="5" t="n">
        <v>291.21</v>
      </c>
      <c r="G6149">
        <f>IF(LEFT(B6149,1)="C","Credit","Factuur")</f>
        <v/>
      </c>
      <c r="H6149">
        <f>IF(AND(B6149=B6148,D6149=D6148,A6149=A6148,F6149=F6148),1,0)</f>
        <v/>
      </c>
      <c r="I6149">
        <f>IF(C6149="C99999",1,0)</f>
        <v/>
      </c>
      <c r="J6149" s="5">
        <f>IF(OR(H6149=1,I6149=1),0,IF(G6149="Credit",-F6149,F6149))</f>
        <v/>
      </c>
    </row>
    <row r="6150">
      <c r="A6150" t="inlineStr">
        <is>
          <t>2026-08-28</t>
        </is>
      </c>
      <c r="B6150" t="inlineStr">
        <is>
          <t>F286097</t>
        </is>
      </c>
      <c r="C6150" t="inlineStr">
        <is>
          <t>C11364</t>
        </is>
      </c>
      <c r="D6150" t="inlineStr">
        <is>
          <t>SKU-10300</t>
        </is>
      </c>
      <c r="E6150" t="inlineStr">
        <is>
          <t>AM09</t>
        </is>
      </c>
      <c r="F6150" s="5" t="n">
        <v>329.38</v>
      </c>
      <c r="G6150">
        <f>IF(LEFT(B6150,1)="C","Credit","Factuur")</f>
        <v/>
      </c>
      <c r="H6150">
        <f>IF(AND(B6150=B6149,D6150=D6149,A6150=A6149,F6150=F6149),1,0)</f>
        <v/>
      </c>
      <c r="I6150">
        <f>IF(C6150="C99999",1,0)</f>
        <v/>
      </c>
      <c r="J6150" s="5">
        <f>IF(OR(H6150=1,I6150=1),0,IF(G6150="Credit",-F6150,F6150))</f>
        <v/>
      </c>
    </row>
    <row r="6151">
      <c r="A6151" t="inlineStr">
        <is>
          <t>2026-08-30</t>
        </is>
      </c>
      <c r="B6151" t="inlineStr">
        <is>
          <t>C900091</t>
        </is>
      </c>
      <c r="C6151" t="inlineStr">
        <is>
          <t>C11257</t>
        </is>
      </c>
      <c r="D6151" t="inlineStr">
        <is>
          <t>SKU-10066</t>
        </is>
      </c>
      <c r="E6151" t="inlineStr">
        <is>
          <t>AM06</t>
        </is>
      </c>
      <c r="F6151" s="5" t="n">
        <v>360.96</v>
      </c>
      <c r="G6151">
        <f>IF(LEFT(B6151,1)="C","Credit","Factuur")</f>
        <v/>
      </c>
      <c r="H6151">
        <f>IF(AND(B6151=B6150,D6151=D6150,A6151=A6150,F6151=F6150),1,0)</f>
        <v/>
      </c>
      <c r="I6151">
        <f>IF(C6151="C99999",1,0)</f>
        <v/>
      </c>
      <c r="J6151" s="5">
        <f>IF(OR(H6151=1,I6151=1),0,IF(G6151="Credit",-F6151,F6151))</f>
        <v/>
      </c>
    </row>
    <row r="6152">
      <c r="A6152" t="inlineStr">
        <is>
          <t>2026-08-31</t>
        </is>
      </c>
      <c r="B6152" t="inlineStr">
        <is>
          <t>C900058</t>
        </is>
      </c>
      <c r="C6152" t="inlineStr">
        <is>
          <t>C10697</t>
        </is>
      </c>
      <c r="D6152" t="inlineStr">
        <is>
          <t>SKU-10089</t>
        </is>
      </c>
      <c r="E6152" t="inlineStr">
        <is>
          <t>AM05</t>
        </is>
      </c>
      <c r="F6152" s="5" t="n">
        <v>78.5</v>
      </c>
      <c r="G6152">
        <f>IF(LEFT(B6152,1)="C","Credit","Factuur")</f>
        <v/>
      </c>
      <c r="H6152">
        <f>IF(AND(B6152=B6151,D6152=D6151,A6152=A6151,F6152=F6151),1,0)</f>
        <v/>
      </c>
      <c r="I6152">
        <f>IF(C6152="C99999",1,0)</f>
        <v/>
      </c>
      <c r="J6152" s="5">
        <f>IF(OR(H6152=1,I6152=1),0,IF(G6152="Credit",-F6152,F6152))</f>
        <v/>
      </c>
    </row>
    <row r="6153">
      <c r="A6153" t="inlineStr">
        <is>
          <t>2026-08-31</t>
        </is>
      </c>
      <c r="B6153" t="inlineStr">
        <is>
          <t>C900203</t>
        </is>
      </c>
      <c r="C6153" t="inlineStr">
        <is>
          <t>C11055</t>
        </is>
      </c>
      <c r="D6153" t="inlineStr">
        <is>
          <t>SKU-10256</t>
        </is>
      </c>
      <c r="E6153" t="inlineStr">
        <is>
          <t>AM03</t>
        </is>
      </c>
      <c r="F6153" s="5" t="n">
        <v>560.8200000000001</v>
      </c>
      <c r="G6153">
        <f>IF(LEFT(B6153,1)="C","Credit","Factuur")</f>
        <v/>
      </c>
      <c r="H6153">
        <f>IF(AND(B6153=B6152,D6153=D6152,A6153=A6152,F6153=F6152),1,0)</f>
        <v/>
      </c>
      <c r="I6153">
        <f>IF(C6153="C99999",1,0)</f>
        <v/>
      </c>
      <c r="J6153" s="5">
        <f>IF(OR(H6153=1,I6153=1),0,IF(G6153="Credit",-F6153,F6153))</f>
        <v/>
      </c>
    </row>
    <row r="6154">
      <c r="A6154" t="inlineStr">
        <is>
          <t>2026-08-31</t>
        </is>
      </c>
      <c r="B6154" t="inlineStr">
        <is>
          <t>C901959</t>
        </is>
      </c>
      <c r="C6154" t="inlineStr">
        <is>
          <t>C10507</t>
        </is>
      </c>
      <c r="D6154" t="inlineStr">
        <is>
          <t>SKU-10120</t>
        </is>
      </c>
      <c r="E6154" t="inlineStr">
        <is>
          <t>AM03</t>
        </is>
      </c>
      <c r="F6154" s="5" t="n">
        <v>567.6</v>
      </c>
      <c r="G6154">
        <f>IF(LEFT(B6154,1)="C","Credit","Factuur")</f>
        <v/>
      </c>
      <c r="H6154">
        <f>IF(AND(B6154=B6153,D6154=D6153,A6154=A6153,F6154=F6153),1,0)</f>
        <v/>
      </c>
      <c r="I6154">
        <f>IF(C6154="C99999",1,0)</f>
        <v/>
      </c>
      <c r="J6154" s="5">
        <f>IF(OR(H6154=1,I6154=1),0,IF(G6154="Credit",-F6154,F6154))</f>
        <v/>
      </c>
    </row>
    <row r="6155">
      <c r="A6155" t="inlineStr">
        <is>
          <t>2026-08-31</t>
        </is>
      </c>
      <c r="B6155" t="inlineStr">
        <is>
          <t>F261449</t>
        </is>
      </c>
      <c r="C6155" t="inlineStr">
        <is>
          <t>C10077</t>
        </is>
      </c>
      <c r="D6155" t="inlineStr">
        <is>
          <t>SKU-10040</t>
        </is>
      </c>
      <c r="E6155" t="inlineStr">
        <is>
          <t>AM11</t>
        </is>
      </c>
      <c r="F6155" s="5" t="n">
        <v>1607.14</v>
      </c>
      <c r="G6155">
        <f>IF(LEFT(B6155,1)="C","Credit","Factuur")</f>
        <v/>
      </c>
      <c r="H6155">
        <f>IF(AND(B6155=B6154,D6155=D6154,A6155=A6154,F6155=F6154),1,0)</f>
        <v/>
      </c>
      <c r="I6155">
        <f>IF(C6155="C99999",1,0)</f>
        <v/>
      </c>
      <c r="J6155" s="5">
        <f>IF(OR(H6155=1,I6155=1),0,IF(G6155="Credit",-F6155,F6155))</f>
        <v/>
      </c>
    </row>
    <row r="6156">
      <c r="A6156" t="inlineStr">
        <is>
          <t>2026-08-31</t>
        </is>
      </c>
      <c r="B6156" t="inlineStr">
        <is>
          <t>F261449</t>
        </is>
      </c>
      <c r="C6156" t="inlineStr">
        <is>
          <t>C10077</t>
        </is>
      </c>
      <c r="D6156" t="inlineStr">
        <is>
          <t>SKU-10283</t>
        </is>
      </c>
      <c r="E6156" t="inlineStr">
        <is>
          <t>AM11</t>
        </is>
      </c>
      <c r="F6156" s="5" t="n">
        <v>1518.55</v>
      </c>
      <c r="G6156">
        <f>IF(LEFT(B6156,1)="C","Credit","Factuur")</f>
        <v/>
      </c>
      <c r="H6156">
        <f>IF(AND(B6156=B6155,D6156=D6155,A6156=A6155,F6156=F6155),1,0)</f>
        <v/>
      </c>
      <c r="I6156">
        <f>IF(C6156="C99999",1,0)</f>
        <v/>
      </c>
      <c r="J6156" s="5">
        <f>IF(OR(H6156=1,I6156=1),0,IF(G6156="Credit",-F6156,F6156))</f>
        <v/>
      </c>
    </row>
    <row r="6157">
      <c r="A6157" t="inlineStr">
        <is>
          <t>2026-08-31</t>
        </is>
      </c>
      <c r="B6157" t="inlineStr">
        <is>
          <t>F263322</t>
        </is>
      </c>
      <c r="C6157" t="inlineStr">
        <is>
          <t>C10176</t>
        </is>
      </c>
      <c r="D6157" t="inlineStr">
        <is>
          <t>SKU-10116</t>
        </is>
      </c>
      <c r="E6157" t="inlineStr">
        <is>
          <t>AM07</t>
        </is>
      </c>
      <c r="F6157" s="5" t="n">
        <v>1422.43</v>
      </c>
      <c r="G6157">
        <f>IF(LEFT(B6157,1)="C","Credit","Factuur")</f>
        <v/>
      </c>
      <c r="H6157">
        <f>IF(AND(B6157=B6156,D6157=D6156,A6157=A6156,F6157=F6156),1,0)</f>
        <v/>
      </c>
      <c r="I6157">
        <f>IF(C6157="C99999",1,0)</f>
        <v/>
      </c>
      <c r="J6157" s="5">
        <f>IF(OR(H6157=1,I6157=1),0,IF(G6157="Credit",-F6157,F6157))</f>
        <v/>
      </c>
    </row>
    <row r="6158">
      <c r="A6158" t="inlineStr">
        <is>
          <t>2026-08-31</t>
        </is>
      </c>
      <c r="B6158" t="inlineStr">
        <is>
          <t>F263322</t>
        </is>
      </c>
      <c r="C6158" t="inlineStr">
        <is>
          <t>C10176</t>
        </is>
      </c>
      <c r="D6158" t="inlineStr">
        <is>
          <t>SKU-10123</t>
        </is>
      </c>
      <c r="E6158" t="inlineStr">
        <is>
          <t>AM07</t>
        </is>
      </c>
      <c r="F6158" s="5" t="n">
        <v>1475.6</v>
      </c>
      <c r="G6158">
        <f>IF(LEFT(B6158,1)="C","Credit","Factuur")</f>
        <v/>
      </c>
      <c r="H6158">
        <f>IF(AND(B6158=B6157,D6158=D6157,A6158=A6157,F6158=F6157),1,0)</f>
        <v/>
      </c>
      <c r="I6158">
        <f>IF(C6158="C99999",1,0)</f>
        <v/>
      </c>
      <c r="J6158" s="5">
        <f>IF(OR(H6158=1,I6158=1),0,IF(G6158="Credit",-F6158,F6158))</f>
        <v/>
      </c>
    </row>
    <row r="6159">
      <c r="A6159" t="inlineStr">
        <is>
          <t>2026-08-31</t>
        </is>
      </c>
      <c r="B6159" t="inlineStr">
        <is>
          <t>F263467</t>
        </is>
      </c>
      <c r="C6159" t="inlineStr">
        <is>
          <t>C10186</t>
        </is>
      </c>
      <c r="D6159" t="inlineStr">
        <is>
          <t>SKU-10064</t>
        </is>
      </c>
      <c r="E6159" t="inlineStr"/>
      <c r="F6159" s="5" t="n">
        <v>400.66</v>
      </c>
      <c r="G6159">
        <f>IF(LEFT(B6159,1)="C","Credit","Factuur")</f>
        <v/>
      </c>
      <c r="H6159">
        <f>IF(AND(B6159=B6158,D6159=D6158,A6159=A6158,F6159=F6158),1,0)</f>
        <v/>
      </c>
      <c r="I6159">
        <f>IF(C6159="C99999",1,0)</f>
        <v/>
      </c>
      <c r="J6159" s="5">
        <f>IF(OR(H6159=1,I6159=1),0,IF(G6159="Credit",-F6159,F6159))</f>
        <v/>
      </c>
    </row>
    <row r="6160">
      <c r="A6160" t="inlineStr">
        <is>
          <t>2026-08-31</t>
        </is>
      </c>
      <c r="B6160" t="inlineStr">
        <is>
          <t>F263467</t>
        </is>
      </c>
      <c r="C6160" t="inlineStr">
        <is>
          <t>C10186</t>
        </is>
      </c>
      <c r="D6160" t="inlineStr">
        <is>
          <t>SKU-10143</t>
        </is>
      </c>
      <c r="E6160" t="inlineStr">
        <is>
          <t>AM11</t>
        </is>
      </c>
      <c r="F6160" s="5" t="n">
        <v>508.76</v>
      </c>
      <c r="G6160">
        <f>IF(LEFT(B6160,1)="C","Credit","Factuur")</f>
        <v/>
      </c>
      <c r="H6160">
        <f>IF(AND(B6160=B6159,D6160=D6159,A6160=A6159,F6160=F6159),1,0)</f>
        <v/>
      </c>
      <c r="I6160">
        <f>IF(C6160="C99999",1,0)</f>
        <v/>
      </c>
      <c r="J6160" s="5">
        <f>IF(OR(H6160=1,I6160=1),0,IF(G6160="Credit",-F6160,F6160))</f>
        <v/>
      </c>
    </row>
    <row r="6161">
      <c r="A6161" t="inlineStr">
        <is>
          <t>2026-08-31</t>
        </is>
      </c>
      <c r="B6161" t="inlineStr">
        <is>
          <t>F263467</t>
        </is>
      </c>
      <c r="C6161" t="inlineStr">
        <is>
          <t>C10186</t>
        </is>
      </c>
      <c r="D6161" t="inlineStr">
        <is>
          <t>SKU-10275</t>
        </is>
      </c>
      <c r="E6161" t="inlineStr">
        <is>
          <t>AM11</t>
        </is>
      </c>
      <c r="F6161" s="5" t="n">
        <v>413.44</v>
      </c>
      <c r="G6161">
        <f>IF(LEFT(B6161,1)="C","Credit","Factuur")</f>
        <v/>
      </c>
      <c r="H6161">
        <f>IF(AND(B6161=B6160,D6161=D6160,A6161=A6160,F6161=F6160),1,0)</f>
        <v/>
      </c>
      <c r="I6161">
        <f>IF(C6161="C99999",1,0)</f>
        <v/>
      </c>
      <c r="J6161" s="5">
        <f>IF(OR(H6161=1,I6161=1),0,IF(G6161="Credit",-F6161,F6161))</f>
        <v/>
      </c>
    </row>
    <row r="6162">
      <c r="A6162" t="inlineStr">
        <is>
          <t>2026-08-31</t>
        </is>
      </c>
      <c r="B6162" t="inlineStr">
        <is>
          <t>F263467</t>
        </is>
      </c>
      <c r="C6162" t="inlineStr">
        <is>
          <t>C10186</t>
        </is>
      </c>
      <c r="D6162" t="inlineStr">
        <is>
          <t>SKU-10307</t>
        </is>
      </c>
      <c r="E6162" t="inlineStr">
        <is>
          <t>AM11</t>
        </is>
      </c>
      <c r="F6162" s="5" t="n">
        <v>450.2</v>
      </c>
      <c r="G6162">
        <f>IF(LEFT(B6162,1)="C","Credit","Factuur")</f>
        <v/>
      </c>
      <c r="H6162">
        <f>IF(AND(B6162=B6161,D6162=D6161,A6162=A6161,F6162=F6161),1,0)</f>
        <v/>
      </c>
      <c r="I6162">
        <f>IF(C6162="C99999",1,0)</f>
        <v/>
      </c>
      <c r="J6162" s="5">
        <f>IF(OR(H6162=1,I6162=1),0,IF(G6162="Credit",-F6162,F6162))</f>
        <v/>
      </c>
    </row>
    <row r="6163">
      <c r="A6163" t="inlineStr">
        <is>
          <t>2026-08-31</t>
        </is>
      </c>
      <c r="B6163" t="inlineStr">
        <is>
          <t>F263646</t>
        </is>
      </c>
      <c r="C6163" t="inlineStr">
        <is>
          <t>C10195</t>
        </is>
      </c>
      <c r="D6163" t="inlineStr">
        <is>
          <t>SKU-10232</t>
        </is>
      </c>
      <c r="E6163" t="inlineStr">
        <is>
          <t>AM06</t>
        </is>
      </c>
      <c r="F6163" s="5" t="n">
        <v>574.08</v>
      </c>
      <c r="G6163">
        <f>IF(LEFT(B6163,1)="C","Credit","Factuur")</f>
        <v/>
      </c>
      <c r="H6163">
        <f>IF(AND(B6163=B6162,D6163=D6162,A6163=A6162,F6163=F6162),1,0)</f>
        <v/>
      </c>
      <c r="I6163">
        <f>IF(C6163="C99999",1,0)</f>
        <v/>
      </c>
      <c r="J6163" s="5">
        <f>IF(OR(H6163=1,I6163=1),0,IF(G6163="Credit",-F6163,F6163))</f>
        <v/>
      </c>
    </row>
    <row r="6164">
      <c r="A6164" t="inlineStr">
        <is>
          <t>2026-08-31</t>
        </is>
      </c>
      <c r="B6164" t="inlineStr">
        <is>
          <t>F263646</t>
        </is>
      </c>
      <c r="C6164" t="inlineStr">
        <is>
          <t>C10195</t>
        </is>
      </c>
      <c r="D6164" t="inlineStr">
        <is>
          <t>SKU-10307</t>
        </is>
      </c>
      <c r="E6164" t="inlineStr">
        <is>
          <t>AM06</t>
        </is>
      </c>
      <c r="F6164" s="5" t="n">
        <v>575.45</v>
      </c>
      <c r="G6164">
        <f>IF(LEFT(B6164,1)="C","Credit","Factuur")</f>
        <v/>
      </c>
      <c r="H6164">
        <f>IF(AND(B6164=B6163,D6164=D6163,A6164=A6163,F6164=F6163),1,0)</f>
        <v/>
      </c>
      <c r="I6164">
        <f>IF(C6164="C99999",1,0)</f>
        <v/>
      </c>
      <c r="J6164" s="5">
        <f>IF(OR(H6164=1,I6164=1),0,IF(G6164="Credit",-F6164,F6164))</f>
        <v/>
      </c>
    </row>
    <row r="6165">
      <c r="A6165" t="inlineStr">
        <is>
          <t>2026-08-31</t>
        </is>
      </c>
      <c r="B6165" t="inlineStr">
        <is>
          <t>F264085</t>
        </is>
      </c>
      <c r="C6165" t="inlineStr">
        <is>
          <t>C10217</t>
        </is>
      </c>
      <c r="D6165" t="inlineStr">
        <is>
          <t>SKU-10196</t>
        </is>
      </c>
      <c r="E6165" t="inlineStr">
        <is>
          <t>AM11</t>
        </is>
      </c>
      <c r="F6165" s="5" t="n">
        <v>575.25</v>
      </c>
      <c r="G6165">
        <f>IF(LEFT(B6165,1)="C","Credit","Factuur")</f>
        <v/>
      </c>
      <c r="H6165">
        <f>IF(AND(B6165=B6164,D6165=D6164,A6165=A6164,F6165=F6164),1,0)</f>
        <v/>
      </c>
      <c r="I6165">
        <f>IF(C6165="C99999",1,0)</f>
        <v/>
      </c>
      <c r="J6165" s="5">
        <f>IF(OR(H6165=1,I6165=1),0,IF(G6165="Credit",-F6165,F6165))</f>
        <v/>
      </c>
    </row>
    <row r="6166">
      <c r="A6166" t="inlineStr">
        <is>
          <t>2026-08-31</t>
        </is>
      </c>
      <c r="B6166" t="inlineStr">
        <is>
          <t>F264085</t>
        </is>
      </c>
      <c r="C6166" t="inlineStr">
        <is>
          <t>C10217</t>
        </is>
      </c>
      <c r="D6166" t="inlineStr">
        <is>
          <t>SKU-10226</t>
        </is>
      </c>
      <c r="E6166" t="inlineStr">
        <is>
          <t>AM11</t>
        </is>
      </c>
      <c r="F6166" s="5" t="n">
        <v>582.96</v>
      </c>
      <c r="G6166">
        <f>IF(LEFT(B6166,1)="C","Credit","Factuur")</f>
        <v/>
      </c>
      <c r="H6166">
        <f>IF(AND(B6166=B6165,D6166=D6165,A6166=A6165,F6166=F6165),1,0)</f>
        <v/>
      </c>
      <c r="I6166">
        <f>IF(C6166="C99999",1,0)</f>
        <v/>
      </c>
      <c r="J6166" s="5">
        <f>IF(OR(H6166=1,I6166=1),0,IF(G6166="Credit",-F6166,F6166))</f>
        <v/>
      </c>
    </row>
    <row r="6167">
      <c r="A6167" t="inlineStr">
        <is>
          <t>2026-08-31</t>
        </is>
      </c>
      <c r="B6167" t="inlineStr">
        <is>
          <t>F266269</t>
        </is>
      </c>
      <c r="C6167" t="inlineStr">
        <is>
          <t>C10329</t>
        </is>
      </c>
      <c r="D6167" t="inlineStr">
        <is>
          <t>SKU-10071</t>
        </is>
      </c>
      <c r="E6167" t="inlineStr">
        <is>
          <t>AM08</t>
        </is>
      </c>
      <c r="F6167" s="5" t="n">
        <v>681.95</v>
      </c>
      <c r="G6167">
        <f>IF(LEFT(B6167,1)="C","Credit","Factuur")</f>
        <v/>
      </c>
      <c r="H6167">
        <f>IF(AND(B6167=B6166,D6167=D6166,A6167=A6166,F6167=F6166),1,0)</f>
        <v/>
      </c>
      <c r="I6167">
        <f>IF(C6167="C99999",1,0)</f>
        <v/>
      </c>
      <c r="J6167" s="5">
        <f>IF(OR(H6167=1,I6167=1),0,IF(G6167="Credit",-F6167,F6167))</f>
        <v/>
      </c>
    </row>
    <row r="6168">
      <c r="A6168" t="inlineStr">
        <is>
          <t>2026-08-31</t>
        </is>
      </c>
      <c r="B6168" t="inlineStr">
        <is>
          <t>F266269</t>
        </is>
      </c>
      <c r="C6168" t="inlineStr">
        <is>
          <t>C10329</t>
        </is>
      </c>
      <c r="D6168" t="inlineStr">
        <is>
          <t>SKU-10187</t>
        </is>
      </c>
      <c r="E6168" t="inlineStr">
        <is>
          <t>AM08</t>
        </is>
      </c>
      <c r="F6168" s="5" t="n">
        <v>694.64</v>
      </c>
      <c r="G6168">
        <f>IF(LEFT(B6168,1)="C","Credit","Factuur")</f>
        <v/>
      </c>
      <c r="H6168">
        <f>IF(AND(B6168=B6167,D6168=D6167,A6168=A6167,F6168=F6167),1,0)</f>
        <v/>
      </c>
      <c r="I6168">
        <f>IF(C6168="C99999",1,0)</f>
        <v/>
      </c>
      <c r="J6168" s="5">
        <f>IF(OR(H6168=1,I6168=1),0,IF(G6168="Credit",-F6168,F6168))</f>
        <v/>
      </c>
    </row>
    <row r="6169">
      <c r="A6169" t="inlineStr">
        <is>
          <t>2026-08-31</t>
        </is>
      </c>
      <c r="B6169" t="inlineStr">
        <is>
          <t>F266269</t>
        </is>
      </c>
      <c r="C6169" t="inlineStr">
        <is>
          <t>C10329</t>
        </is>
      </c>
      <c r="D6169" t="inlineStr">
        <is>
          <t>SKU-10226</t>
        </is>
      </c>
      <c r="E6169" t="inlineStr">
        <is>
          <t>AM08</t>
        </is>
      </c>
      <c r="F6169" s="5" t="n">
        <v>669.1900000000001</v>
      </c>
      <c r="G6169">
        <f>IF(LEFT(B6169,1)="C","Credit","Factuur")</f>
        <v/>
      </c>
      <c r="H6169">
        <f>IF(AND(B6169=B6168,D6169=D6168,A6169=A6168,F6169=F6168),1,0)</f>
        <v/>
      </c>
      <c r="I6169">
        <f>IF(C6169="C99999",1,0)</f>
        <v/>
      </c>
      <c r="J6169" s="5">
        <f>IF(OR(H6169=1,I6169=1),0,IF(G6169="Credit",-F6169,F6169))</f>
        <v/>
      </c>
    </row>
    <row r="6170">
      <c r="A6170" t="inlineStr">
        <is>
          <t>2026-08-31</t>
        </is>
      </c>
      <c r="B6170" t="inlineStr">
        <is>
          <t>F266270</t>
        </is>
      </c>
      <c r="C6170" t="inlineStr">
        <is>
          <t>C10329</t>
        </is>
      </c>
      <c r="D6170" t="inlineStr">
        <is>
          <t>SKU-10129</t>
        </is>
      </c>
      <c r="E6170" t="inlineStr">
        <is>
          <t>AM08</t>
        </is>
      </c>
      <c r="F6170" s="5" t="n">
        <v>295.35</v>
      </c>
      <c r="G6170">
        <f>IF(LEFT(B6170,1)="C","Credit","Factuur")</f>
        <v/>
      </c>
      <c r="H6170">
        <f>IF(AND(B6170=B6169,D6170=D6169,A6170=A6169,F6170=F6169),1,0)</f>
        <v/>
      </c>
      <c r="I6170">
        <f>IF(C6170="C99999",1,0)</f>
        <v/>
      </c>
      <c r="J6170" s="5">
        <f>IF(OR(H6170=1,I6170=1),0,IF(G6170="Credit",-F6170,F6170))</f>
        <v/>
      </c>
    </row>
    <row r="6171">
      <c r="A6171" t="inlineStr">
        <is>
          <t>2026-08-31</t>
        </is>
      </c>
      <c r="B6171" t="inlineStr">
        <is>
          <t>F266270</t>
        </is>
      </c>
      <c r="C6171" t="inlineStr">
        <is>
          <t>C10329</t>
        </is>
      </c>
      <c r="D6171" t="inlineStr">
        <is>
          <t>SKU-10146</t>
        </is>
      </c>
      <c r="E6171" t="inlineStr">
        <is>
          <t>AM08</t>
        </is>
      </c>
      <c r="F6171" s="5" t="n">
        <v>346.71</v>
      </c>
      <c r="G6171">
        <f>IF(LEFT(B6171,1)="C","Credit","Factuur")</f>
        <v/>
      </c>
      <c r="H6171">
        <f>IF(AND(B6171=B6170,D6171=D6170,A6171=A6170,F6171=F6170),1,0)</f>
        <v/>
      </c>
      <c r="I6171">
        <f>IF(C6171="C99999",1,0)</f>
        <v/>
      </c>
      <c r="J6171" s="5">
        <f>IF(OR(H6171=1,I6171=1),0,IF(G6171="Credit",-F6171,F6171))</f>
        <v/>
      </c>
    </row>
    <row r="6172">
      <c r="A6172" t="inlineStr">
        <is>
          <t>2026-08-31</t>
        </is>
      </c>
      <c r="B6172" t="inlineStr">
        <is>
          <t>F266270</t>
        </is>
      </c>
      <c r="C6172" t="inlineStr">
        <is>
          <t>C10329</t>
        </is>
      </c>
      <c r="D6172" t="inlineStr">
        <is>
          <t>SKU-10274</t>
        </is>
      </c>
      <c r="E6172" t="inlineStr">
        <is>
          <t>AM08</t>
        </is>
      </c>
      <c r="F6172" s="5" t="n">
        <v>359.38</v>
      </c>
      <c r="G6172">
        <f>IF(LEFT(B6172,1)="C","Credit","Factuur")</f>
        <v/>
      </c>
      <c r="H6172">
        <f>IF(AND(B6172=B6171,D6172=D6171,A6172=A6171,F6172=F6171),1,0)</f>
        <v/>
      </c>
      <c r="I6172">
        <f>IF(C6172="C99999",1,0)</f>
        <v/>
      </c>
      <c r="J6172" s="5">
        <f>IF(OR(H6172=1,I6172=1),0,IF(G6172="Credit",-F6172,F6172))</f>
        <v/>
      </c>
    </row>
    <row r="6173">
      <c r="A6173" t="inlineStr">
        <is>
          <t>2026-08-31</t>
        </is>
      </c>
      <c r="B6173" t="inlineStr">
        <is>
          <t>F266270</t>
        </is>
      </c>
      <c r="C6173" t="inlineStr">
        <is>
          <t>C10329</t>
        </is>
      </c>
      <c r="D6173" t="inlineStr">
        <is>
          <t>SKU-10309</t>
        </is>
      </c>
      <c r="E6173" t="inlineStr">
        <is>
          <t>AM08</t>
        </is>
      </c>
      <c r="F6173" s="5" t="n">
        <v>369.68</v>
      </c>
      <c r="G6173">
        <f>IF(LEFT(B6173,1)="C","Credit","Factuur")</f>
        <v/>
      </c>
      <c r="H6173">
        <f>IF(AND(B6173=B6172,D6173=D6172,A6173=A6172,F6173=F6172),1,0)</f>
        <v/>
      </c>
      <c r="I6173">
        <f>IF(C6173="C99999",1,0)</f>
        <v/>
      </c>
      <c r="J6173" s="5">
        <f>IF(OR(H6173=1,I6173=1),0,IF(G6173="Credit",-F6173,F6173))</f>
        <v/>
      </c>
    </row>
    <row r="6174">
      <c r="A6174" t="inlineStr">
        <is>
          <t>2026-08-31</t>
        </is>
      </c>
      <c r="B6174" t="inlineStr">
        <is>
          <t>F267574</t>
        </is>
      </c>
      <c r="C6174" t="inlineStr">
        <is>
          <t>C10398</t>
        </is>
      </c>
      <c r="D6174" t="inlineStr">
        <is>
          <t>SKU-10108</t>
        </is>
      </c>
      <c r="E6174" t="inlineStr">
        <is>
          <t>AM03</t>
        </is>
      </c>
      <c r="F6174" s="5" t="n">
        <v>1858.6</v>
      </c>
      <c r="G6174">
        <f>IF(LEFT(B6174,1)="C","Credit","Factuur")</f>
        <v/>
      </c>
      <c r="H6174">
        <f>IF(AND(B6174=B6173,D6174=D6173,A6174=A6173,F6174=F6173),1,0)</f>
        <v/>
      </c>
      <c r="I6174">
        <f>IF(C6174="C99999",1,0)</f>
        <v/>
      </c>
      <c r="J6174" s="5">
        <f>IF(OR(H6174=1,I6174=1),0,IF(G6174="Credit",-F6174,F6174))</f>
        <v/>
      </c>
    </row>
    <row r="6175">
      <c r="A6175" t="inlineStr">
        <is>
          <t>2026-08-31</t>
        </is>
      </c>
      <c r="B6175" t="inlineStr">
        <is>
          <t>F267574</t>
        </is>
      </c>
      <c r="C6175" t="inlineStr">
        <is>
          <t>C10398</t>
        </is>
      </c>
      <c r="D6175" t="inlineStr">
        <is>
          <t>SKU-10294</t>
        </is>
      </c>
      <c r="E6175" t="inlineStr">
        <is>
          <t>AM03</t>
        </is>
      </c>
      <c r="F6175" s="5" t="n">
        <v>1806.63</v>
      </c>
      <c r="G6175">
        <f>IF(LEFT(B6175,1)="C","Credit","Factuur")</f>
        <v/>
      </c>
      <c r="H6175">
        <f>IF(AND(B6175=B6174,D6175=D6174,A6175=A6174,F6175=F6174),1,0)</f>
        <v/>
      </c>
      <c r="I6175">
        <f>IF(C6175="C99999",1,0)</f>
        <v/>
      </c>
      <c r="J6175" s="5">
        <f>IF(OR(H6175=1,I6175=1),0,IF(G6175="Credit",-F6175,F6175))</f>
        <v/>
      </c>
    </row>
    <row r="6176">
      <c r="A6176" t="inlineStr">
        <is>
          <t>2026-08-31</t>
        </is>
      </c>
      <c r="B6176" t="inlineStr">
        <is>
          <t>F267574</t>
        </is>
      </c>
      <c r="C6176" t="inlineStr">
        <is>
          <t>C10398</t>
        </is>
      </c>
      <c r="D6176" t="inlineStr">
        <is>
          <t>SKU-10313</t>
        </is>
      </c>
      <c r="E6176" t="inlineStr">
        <is>
          <t>AM03</t>
        </is>
      </c>
      <c r="F6176" s="5" t="n">
        <v>1820.9</v>
      </c>
      <c r="G6176">
        <f>IF(LEFT(B6176,1)="C","Credit","Factuur")</f>
        <v/>
      </c>
      <c r="H6176">
        <f>IF(AND(B6176=B6175,D6176=D6175,A6176=A6175,F6176=F6175),1,0)</f>
        <v/>
      </c>
      <c r="I6176">
        <f>IF(C6176="C99999",1,0)</f>
        <v/>
      </c>
      <c r="J6176" s="5">
        <f>IF(OR(H6176=1,I6176=1),0,IF(G6176="Credit",-F6176,F6176))</f>
        <v/>
      </c>
    </row>
    <row r="6177">
      <c r="A6177" t="inlineStr">
        <is>
          <t>2026-08-31</t>
        </is>
      </c>
      <c r="B6177" t="inlineStr">
        <is>
          <t>F267853</t>
        </is>
      </c>
      <c r="C6177" t="inlineStr">
        <is>
          <t>C10411</t>
        </is>
      </c>
      <c r="D6177" t="inlineStr">
        <is>
          <t>SKU-10277</t>
        </is>
      </c>
      <c r="E6177" t="inlineStr">
        <is>
          <t>AM07</t>
        </is>
      </c>
      <c r="F6177" s="5" t="n">
        <v>462.15</v>
      </c>
      <c r="G6177">
        <f>IF(LEFT(B6177,1)="C","Credit","Factuur")</f>
        <v/>
      </c>
      <c r="H6177">
        <f>IF(AND(B6177=B6176,D6177=D6176,A6177=A6176,F6177=F6176),1,0)</f>
        <v/>
      </c>
      <c r="I6177">
        <f>IF(C6177="C99999",1,0)</f>
        <v/>
      </c>
      <c r="J6177" s="5">
        <f>IF(OR(H6177=1,I6177=1),0,IF(G6177="Credit",-F6177,F6177))</f>
        <v/>
      </c>
    </row>
    <row r="6178">
      <c r="A6178" t="inlineStr">
        <is>
          <t>2026-08-31</t>
        </is>
      </c>
      <c r="B6178" t="inlineStr">
        <is>
          <t>F267853</t>
        </is>
      </c>
      <c r="C6178" t="inlineStr">
        <is>
          <t>C10411</t>
        </is>
      </c>
      <c r="D6178" t="inlineStr">
        <is>
          <t>SKU-10314</t>
        </is>
      </c>
      <c r="E6178" t="inlineStr">
        <is>
          <t>AM07</t>
        </is>
      </c>
      <c r="F6178" s="5" t="n">
        <v>435.71</v>
      </c>
      <c r="G6178">
        <f>IF(LEFT(B6178,1)="C","Credit","Factuur")</f>
        <v/>
      </c>
      <c r="H6178">
        <f>IF(AND(B6178=B6177,D6178=D6177,A6178=A6177,F6178=F6177),1,0)</f>
        <v/>
      </c>
      <c r="I6178">
        <f>IF(C6178="C99999",1,0)</f>
        <v/>
      </c>
      <c r="J6178" s="5">
        <f>IF(OR(H6178=1,I6178=1),0,IF(G6178="Credit",-F6178,F6178))</f>
        <v/>
      </c>
    </row>
    <row r="6179">
      <c r="A6179" t="inlineStr">
        <is>
          <t>2026-08-31</t>
        </is>
      </c>
      <c r="B6179" t="inlineStr">
        <is>
          <t>F269832</t>
        </is>
      </c>
      <c r="C6179" t="inlineStr">
        <is>
          <t>C10519</t>
        </is>
      </c>
      <c r="D6179" t="inlineStr">
        <is>
          <t>SKU-10024</t>
        </is>
      </c>
      <c r="E6179" t="inlineStr">
        <is>
          <t>AM01</t>
        </is>
      </c>
      <c r="F6179" s="5" t="n">
        <v>891.5</v>
      </c>
      <c r="G6179">
        <f>IF(LEFT(B6179,1)="C","Credit","Factuur")</f>
        <v/>
      </c>
      <c r="H6179">
        <f>IF(AND(B6179=B6178,D6179=D6178,A6179=A6178,F6179=F6178),1,0)</f>
        <v/>
      </c>
      <c r="I6179">
        <f>IF(C6179="C99999",1,0)</f>
        <v/>
      </c>
      <c r="J6179" s="5">
        <f>IF(OR(H6179=1,I6179=1),0,IF(G6179="Credit",-F6179,F6179))</f>
        <v/>
      </c>
    </row>
    <row r="6180">
      <c r="A6180" t="inlineStr">
        <is>
          <t>2026-08-31</t>
        </is>
      </c>
      <c r="B6180" t="inlineStr">
        <is>
          <t>F269832</t>
        </is>
      </c>
      <c r="C6180" t="inlineStr">
        <is>
          <t>C10519</t>
        </is>
      </c>
      <c r="D6180" t="inlineStr">
        <is>
          <t>SKU-10222</t>
        </is>
      </c>
      <c r="E6180" t="inlineStr">
        <is>
          <t>AM01</t>
        </is>
      </c>
      <c r="F6180" s="5" t="n">
        <v>931.4</v>
      </c>
      <c r="G6180">
        <f>IF(LEFT(B6180,1)="C","Credit","Factuur")</f>
        <v/>
      </c>
      <c r="H6180">
        <f>IF(AND(B6180=B6179,D6180=D6179,A6180=A6179,F6180=F6179),1,0)</f>
        <v/>
      </c>
      <c r="I6180">
        <f>IF(C6180="C99999",1,0)</f>
        <v/>
      </c>
      <c r="J6180" s="5">
        <f>IF(OR(H6180=1,I6180=1),0,IF(G6180="Credit",-F6180,F6180))</f>
        <v/>
      </c>
    </row>
    <row r="6181">
      <c r="A6181" t="inlineStr">
        <is>
          <t>2026-08-31</t>
        </is>
      </c>
      <c r="B6181" t="inlineStr">
        <is>
          <t>F270072</t>
        </is>
      </c>
      <c r="C6181" t="inlineStr">
        <is>
          <t>C10530</t>
        </is>
      </c>
      <c r="D6181" t="inlineStr">
        <is>
          <t>SKU-10120</t>
        </is>
      </c>
      <c r="E6181" t="inlineStr">
        <is>
          <t>AM03</t>
        </is>
      </c>
      <c r="F6181" s="5" t="n">
        <v>454.08</v>
      </c>
      <c r="G6181">
        <f>IF(LEFT(B6181,1)="C","Credit","Factuur")</f>
        <v/>
      </c>
      <c r="H6181">
        <f>IF(AND(B6181=B6180,D6181=D6180,A6181=A6180,F6181=F6180),1,0)</f>
        <v/>
      </c>
      <c r="I6181">
        <f>IF(C6181="C99999",1,0)</f>
        <v/>
      </c>
      <c r="J6181" s="5">
        <f>IF(OR(H6181=1,I6181=1),0,IF(G6181="Credit",-F6181,F6181))</f>
        <v/>
      </c>
    </row>
    <row r="6182">
      <c r="A6182" t="inlineStr">
        <is>
          <t>2026-08-31</t>
        </is>
      </c>
      <c r="B6182" t="inlineStr">
        <is>
          <t>F270072</t>
        </is>
      </c>
      <c r="C6182" t="inlineStr">
        <is>
          <t>C10530</t>
        </is>
      </c>
      <c r="D6182" t="inlineStr">
        <is>
          <t>SKU-10146</t>
        </is>
      </c>
      <c r="E6182" t="inlineStr">
        <is>
          <t>AM03</t>
        </is>
      </c>
      <c r="F6182" s="5" t="n">
        <v>462.28</v>
      </c>
      <c r="G6182">
        <f>IF(LEFT(B6182,1)="C","Credit","Factuur")</f>
        <v/>
      </c>
      <c r="H6182">
        <f>IF(AND(B6182=B6181,D6182=D6181,A6182=A6181,F6182=F6181),1,0)</f>
        <v/>
      </c>
      <c r="I6182">
        <f>IF(C6182="C99999",1,0)</f>
        <v/>
      </c>
      <c r="J6182" s="5">
        <f>IF(OR(H6182=1,I6182=1),0,IF(G6182="Credit",-F6182,F6182))</f>
        <v/>
      </c>
    </row>
    <row r="6183">
      <c r="A6183" t="inlineStr">
        <is>
          <t>2026-08-31</t>
        </is>
      </c>
      <c r="B6183" t="inlineStr">
        <is>
          <t>F270283</t>
        </is>
      </c>
      <c r="C6183" t="inlineStr">
        <is>
          <t>C10542</t>
        </is>
      </c>
      <c r="D6183" t="inlineStr">
        <is>
          <t>SKU-10240</t>
        </is>
      </c>
      <c r="E6183" t="inlineStr">
        <is>
          <t>AM08</t>
        </is>
      </c>
      <c r="F6183" s="5" t="n">
        <v>2460.62</v>
      </c>
      <c r="G6183">
        <f>IF(LEFT(B6183,1)="C","Credit","Factuur")</f>
        <v/>
      </c>
      <c r="H6183">
        <f>IF(AND(B6183=B6182,D6183=D6182,A6183=A6182,F6183=F6182),1,0)</f>
        <v/>
      </c>
      <c r="I6183">
        <f>IF(C6183="C99999",1,0)</f>
        <v/>
      </c>
      <c r="J6183" s="5">
        <f>IF(OR(H6183=1,I6183=1),0,IF(G6183="Credit",-F6183,F6183))</f>
        <v/>
      </c>
    </row>
    <row r="6184">
      <c r="A6184" t="inlineStr">
        <is>
          <t>2026-08-31</t>
        </is>
      </c>
      <c r="B6184" t="inlineStr">
        <is>
          <t>F270295</t>
        </is>
      </c>
      <c r="C6184" t="inlineStr">
        <is>
          <t>C10542</t>
        </is>
      </c>
      <c r="D6184" t="inlineStr">
        <is>
          <t>SKU-10076</t>
        </is>
      </c>
      <c r="E6184" t="inlineStr">
        <is>
          <t>AM08</t>
        </is>
      </c>
      <c r="F6184" s="5" t="n">
        <v>278.77</v>
      </c>
      <c r="G6184">
        <f>IF(LEFT(B6184,1)="C","Credit","Factuur")</f>
        <v/>
      </c>
      <c r="H6184">
        <f>IF(AND(B6184=B6183,D6184=D6183,A6184=A6183,F6184=F6183),1,0)</f>
        <v/>
      </c>
      <c r="I6184">
        <f>IF(C6184="C99999",1,0)</f>
        <v/>
      </c>
      <c r="J6184" s="5">
        <f>IF(OR(H6184=1,I6184=1),0,IF(G6184="Credit",-F6184,F6184))</f>
        <v/>
      </c>
    </row>
    <row r="6185">
      <c r="A6185" t="inlineStr">
        <is>
          <t>2026-08-31</t>
        </is>
      </c>
      <c r="B6185" t="inlineStr">
        <is>
          <t>F270295</t>
        </is>
      </c>
      <c r="C6185" t="inlineStr">
        <is>
          <t>C10542</t>
        </is>
      </c>
      <c r="D6185" t="inlineStr">
        <is>
          <t>SKU-10214</t>
        </is>
      </c>
      <c r="E6185" t="inlineStr">
        <is>
          <t>AM08</t>
        </is>
      </c>
      <c r="F6185" s="5" t="n">
        <v>326.88</v>
      </c>
      <c r="G6185">
        <f>IF(LEFT(B6185,1)="C","Credit","Factuur")</f>
        <v/>
      </c>
      <c r="H6185">
        <f>IF(AND(B6185=B6184,D6185=D6184,A6185=A6184,F6185=F6184),1,0)</f>
        <v/>
      </c>
      <c r="I6185">
        <f>IF(C6185="C99999",1,0)</f>
        <v/>
      </c>
      <c r="J6185" s="5">
        <f>IF(OR(H6185=1,I6185=1),0,IF(G6185="Credit",-F6185,F6185))</f>
        <v/>
      </c>
    </row>
    <row r="6186">
      <c r="A6186" t="inlineStr">
        <is>
          <t>2026-08-31</t>
        </is>
      </c>
      <c r="B6186" t="inlineStr">
        <is>
          <t>F270295</t>
        </is>
      </c>
      <c r="C6186" t="inlineStr">
        <is>
          <t>C10542</t>
        </is>
      </c>
      <c r="D6186" t="inlineStr">
        <is>
          <t>SKU-10274</t>
        </is>
      </c>
      <c r="E6186" t="inlineStr">
        <is>
          <t>AM08</t>
        </is>
      </c>
      <c r="F6186" s="5" t="n">
        <v>283.65</v>
      </c>
      <c r="G6186">
        <f>IF(LEFT(B6186,1)="C","Credit","Factuur")</f>
        <v/>
      </c>
      <c r="H6186">
        <f>IF(AND(B6186=B6185,D6186=D6185,A6186=A6185,F6186=F6185),1,0)</f>
        <v/>
      </c>
      <c r="I6186">
        <f>IF(C6186="C99999",1,0)</f>
        <v/>
      </c>
      <c r="J6186" s="5">
        <f>IF(OR(H6186=1,I6186=1),0,IF(G6186="Credit",-F6186,F6186))</f>
        <v/>
      </c>
    </row>
    <row r="6187">
      <c r="A6187" t="inlineStr">
        <is>
          <t>2026-08-31</t>
        </is>
      </c>
      <c r="B6187" t="inlineStr">
        <is>
          <t>F270295</t>
        </is>
      </c>
      <c r="C6187" t="inlineStr">
        <is>
          <t>C10542</t>
        </is>
      </c>
      <c r="D6187" t="inlineStr">
        <is>
          <t>SKU-10333</t>
        </is>
      </c>
      <c r="E6187" t="inlineStr">
        <is>
          <t>AM08</t>
        </is>
      </c>
      <c r="F6187" s="5" t="n">
        <v>287.5</v>
      </c>
      <c r="G6187">
        <f>IF(LEFT(B6187,1)="C","Credit","Factuur")</f>
        <v/>
      </c>
      <c r="H6187">
        <f>IF(AND(B6187=B6186,D6187=D6186,A6187=A6186,F6187=F6186),1,0)</f>
        <v/>
      </c>
      <c r="I6187">
        <f>IF(C6187="C99999",1,0)</f>
        <v/>
      </c>
      <c r="J6187" s="5">
        <f>IF(OR(H6187=1,I6187=1),0,IF(G6187="Credit",-F6187,F6187))</f>
        <v/>
      </c>
    </row>
    <row r="6188">
      <c r="A6188" t="inlineStr">
        <is>
          <t>2026-08-31</t>
        </is>
      </c>
      <c r="B6188" t="inlineStr">
        <is>
          <t>F270824</t>
        </is>
      </c>
      <c r="C6188" t="inlineStr">
        <is>
          <t>C10567</t>
        </is>
      </c>
      <c r="D6188" t="inlineStr">
        <is>
          <t>SKU-10010</t>
        </is>
      </c>
      <c r="E6188" t="inlineStr">
        <is>
          <t>AM08</t>
        </is>
      </c>
      <c r="F6188" s="5" t="n">
        <v>132.36</v>
      </c>
      <c r="G6188">
        <f>IF(LEFT(B6188,1)="C","Credit","Factuur")</f>
        <v/>
      </c>
      <c r="H6188">
        <f>IF(AND(B6188=B6187,D6188=D6187,A6188=A6187,F6188=F6187),1,0)</f>
        <v/>
      </c>
      <c r="I6188">
        <f>IF(C6188="C99999",1,0)</f>
        <v/>
      </c>
      <c r="J6188" s="5">
        <f>IF(OR(H6188=1,I6188=1),0,IF(G6188="Credit",-F6188,F6188))</f>
        <v/>
      </c>
    </row>
    <row r="6189">
      <c r="A6189" t="inlineStr">
        <is>
          <t>2026-08-31</t>
        </is>
      </c>
      <c r="B6189" t="inlineStr">
        <is>
          <t>F270824</t>
        </is>
      </c>
      <c r="C6189" t="inlineStr">
        <is>
          <t>C10567</t>
        </is>
      </c>
      <c r="D6189" t="inlineStr">
        <is>
          <t>SKU-10368</t>
        </is>
      </c>
      <c r="E6189" t="inlineStr">
        <is>
          <t>AM08</t>
        </is>
      </c>
      <c r="F6189" s="5" t="n">
        <v>547.48</v>
      </c>
      <c r="G6189">
        <f>IF(LEFT(B6189,1)="C","Credit","Factuur")</f>
        <v/>
      </c>
      <c r="H6189">
        <f>IF(AND(B6189=B6188,D6189=D6188,A6189=A6188,F6189=F6188),1,0)</f>
        <v/>
      </c>
      <c r="I6189">
        <f>IF(C6189="C99999",1,0)</f>
        <v/>
      </c>
      <c r="J6189" s="5">
        <f>IF(OR(H6189=1,I6189=1),0,IF(G6189="Credit",-F6189,F6189))</f>
        <v/>
      </c>
    </row>
    <row r="6190">
      <c r="A6190" t="inlineStr">
        <is>
          <t>2026-08-31</t>
        </is>
      </c>
      <c r="B6190" t="inlineStr">
        <is>
          <t>F270902</t>
        </is>
      </c>
      <c r="C6190" t="inlineStr">
        <is>
          <t>C10571</t>
        </is>
      </c>
      <c r="D6190" t="inlineStr">
        <is>
          <t>SKU-10011</t>
        </is>
      </c>
      <c r="E6190" t="inlineStr">
        <is>
          <t>AM11</t>
        </is>
      </c>
      <c r="F6190" s="5" t="n">
        <v>194.88</v>
      </c>
      <c r="G6190">
        <f>IF(LEFT(B6190,1)="C","Credit","Factuur")</f>
        <v/>
      </c>
      <c r="H6190">
        <f>IF(AND(B6190=B6189,D6190=D6189,A6190=A6189,F6190=F6189),1,0)</f>
        <v/>
      </c>
      <c r="I6190">
        <f>IF(C6190="C99999",1,0)</f>
        <v/>
      </c>
      <c r="J6190" s="5">
        <f>IF(OR(H6190=1,I6190=1),0,IF(G6190="Credit",-F6190,F6190))</f>
        <v/>
      </c>
    </row>
    <row r="6191">
      <c r="A6191" t="inlineStr">
        <is>
          <t>2026-08-31</t>
        </is>
      </c>
      <c r="B6191" t="inlineStr">
        <is>
          <t>F270902</t>
        </is>
      </c>
      <c r="C6191" t="inlineStr">
        <is>
          <t>C10571</t>
        </is>
      </c>
      <c r="D6191" t="inlineStr">
        <is>
          <t>SKU-10034</t>
        </is>
      </c>
      <c r="E6191" t="inlineStr">
        <is>
          <t>AM11</t>
        </is>
      </c>
      <c r="F6191" s="5" t="n">
        <v>185.72</v>
      </c>
      <c r="G6191">
        <f>IF(LEFT(B6191,1)="C","Credit","Factuur")</f>
        <v/>
      </c>
      <c r="H6191">
        <f>IF(AND(B6191=B6190,D6191=D6190,A6191=A6190,F6191=F6190),1,0)</f>
        <v/>
      </c>
      <c r="I6191">
        <f>IF(C6191="C99999",1,0)</f>
        <v/>
      </c>
      <c r="J6191" s="5">
        <f>IF(OR(H6191=1,I6191=1),0,IF(G6191="Credit",-F6191,F6191))</f>
        <v/>
      </c>
    </row>
    <row r="6192">
      <c r="A6192" t="inlineStr">
        <is>
          <t>2026-08-31</t>
        </is>
      </c>
      <c r="B6192" t="inlineStr">
        <is>
          <t>F270902</t>
        </is>
      </c>
      <c r="C6192" t="inlineStr">
        <is>
          <t>C10571</t>
        </is>
      </c>
      <c r="D6192" t="inlineStr">
        <is>
          <t>SKU-10147</t>
        </is>
      </c>
      <c r="E6192" t="inlineStr">
        <is>
          <t>AM11</t>
        </is>
      </c>
      <c r="F6192" s="5" t="n">
        <v>181.01</v>
      </c>
      <c r="G6192">
        <f>IF(LEFT(B6192,1)="C","Credit","Factuur")</f>
        <v/>
      </c>
      <c r="H6192">
        <f>IF(AND(B6192=B6191,D6192=D6191,A6192=A6191,F6192=F6191),1,0)</f>
        <v/>
      </c>
      <c r="I6192">
        <f>IF(C6192="C99999",1,0)</f>
        <v/>
      </c>
      <c r="J6192" s="5">
        <f>IF(OR(H6192=1,I6192=1),0,IF(G6192="Credit",-F6192,F6192))</f>
        <v/>
      </c>
    </row>
    <row r="6193">
      <c r="A6193" t="inlineStr">
        <is>
          <t>2026-08-31</t>
        </is>
      </c>
      <c r="B6193" t="inlineStr">
        <is>
          <t>F270902</t>
        </is>
      </c>
      <c r="C6193" t="inlineStr">
        <is>
          <t>C10571</t>
        </is>
      </c>
      <c r="D6193" t="inlineStr">
        <is>
          <t>SKU-10262</t>
        </is>
      </c>
      <c r="E6193" t="inlineStr">
        <is>
          <t>AM11</t>
        </is>
      </c>
      <c r="F6193" s="5" t="n">
        <v>169.98</v>
      </c>
      <c r="G6193">
        <f>IF(LEFT(B6193,1)="C","Credit","Factuur")</f>
        <v/>
      </c>
      <c r="H6193">
        <f>IF(AND(B6193=B6192,D6193=D6192,A6193=A6192,F6193=F6192),1,0)</f>
        <v/>
      </c>
      <c r="I6193">
        <f>IF(C6193="C99999",1,0)</f>
        <v/>
      </c>
      <c r="J6193" s="5">
        <f>IF(OR(H6193=1,I6193=1),0,IF(G6193="Credit",-F6193,F6193))</f>
        <v/>
      </c>
    </row>
    <row r="6194">
      <c r="A6194" t="inlineStr">
        <is>
          <t>2026-08-31</t>
        </is>
      </c>
      <c r="B6194" t="inlineStr">
        <is>
          <t>F270902</t>
        </is>
      </c>
      <c r="C6194" t="inlineStr">
        <is>
          <t>C10571</t>
        </is>
      </c>
      <c r="D6194" t="inlineStr">
        <is>
          <t>SKU-10343</t>
        </is>
      </c>
      <c r="E6194" t="inlineStr">
        <is>
          <t>AM11</t>
        </is>
      </c>
      <c r="F6194" s="5" t="n">
        <v>179.36</v>
      </c>
      <c r="G6194">
        <f>IF(LEFT(B6194,1)="C","Credit","Factuur")</f>
        <v/>
      </c>
      <c r="H6194">
        <f>IF(AND(B6194=B6193,D6194=D6193,A6194=A6193,F6194=F6193),1,0)</f>
        <v/>
      </c>
      <c r="I6194">
        <f>IF(C6194="C99999",1,0)</f>
        <v/>
      </c>
      <c r="J6194" s="5">
        <f>IF(OR(H6194=1,I6194=1),0,IF(G6194="Credit",-F6194,F6194))</f>
        <v/>
      </c>
    </row>
    <row r="6195">
      <c r="A6195" t="inlineStr">
        <is>
          <t>2026-08-31</t>
        </is>
      </c>
      <c r="B6195" t="inlineStr">
        <is>
          <t>F271387</t>
        </is>
      </c>
      <c r="C6195" t="inlineStr">
        <is>
          <t>C10591</t>
        </is>
      </c>
      <c r="D6195" t="inlineStr">
        <is>
          <t>SKU-10053</t>
        </is>
      </c>
      <c r="E6195" t="inlineStr">
        <is>
          <t>AM08</t>
        </is>
      </c>
      <c r="F6195" s="5" t="n">
        <v>165</v>
      </c>
      <c r="G6195">
        <f>IF(LEFT(B6195,1)="C","Credit","Factuur")</f>
        <v/>
      </c>
      <c r="H6195">
        <f>IF(AND(B6195=B6194,D6195=D6194,A6195=A6194,F6195=F6194),1,0)</f>
        <v/>
      </c>
      <c r="I6195">
        <f>IF(C6195="C99999",1,0)</f>
        <v/>
      </c>
      <c r="J6195" s="5">
        <f>IF(OR(H6195=1,I6195=1),0,IF(G6195="Credit",-F6195,F6195))</f>
        <v/>
      </c>
    </row>
    <row r="6196">
      <c r="A6196" t="inlineStr">
        <is>
          <t>2026-08-31</t>
        </is>
      </c>
      <c r="B6196" t="inlineStr">
        <is>
          <t>F271387</t>
        </is>
      </c>
      <c r="C6196" t="inlineStr">
        <is>
          <t>C10591</t>
        </is>
      </c>
      <c r="D6196" t="inlineStr">
        <is>
          <t>SKU-10066</t>
        </is>
      </c>
      <c r="E6196" t="inlineStr">
        <is>
          <t>AM08</t>
        </is>
      </c>
      <c r="F6196" s="5" t="n">
        <v>153.41</v>
      </c>
      <c r="G6196">
        <f>IF(LEFT(B6196,1)="C","Credit","Factuur")</f>
        <v/>
      </c>
      <c r="H6196">
        <f>IF(AND(B6196=B6195,D6196=D6195,A6196=A6195,F6196=F6195),1,0)</f>
        <v/>
      </c>
      <c r="I6196">
        <f>IF(C6196="C99999",1,0)</f>
        <v/>
      </c>
      <c r="J6196" s="5">
        <f>IF(OR(H6196=1,I6196=1),0,IF(G6196="Credit",-F6196,F6196))</f>
        <v/>
      </c>
    </row>
    <row r="6197">
      <c r="A6197" t="inlineStr">
        <is>
          <t>2026-08-31</t>
        </is>
      </c>
      <c r="B6197" t="inlineStr">
        <is>
          <t>F271387</t>
        </is>
      </c>
      <c r="C6197" t="inlineStr">
        <is>
          <t>C10591</t>
        </is>
      </c>
      <c r="D6197" t="inlineStr">
        <is>
          <t>SKU-10076</t>
        </is>
      </c>
      <c r="E6197" t="inlineStr">
        <is>
          <t>AM08</t>
        </is>
      </c>
      <c r="F6197" s="5" t="n">
        <v>162.61</v>
      </c>
      <c r="G6197">
        <f>IF(LEFT(B6197,1)="C","Credit","Factuur")</f>
        <v/>
      </c>
      <c r="H6197">
        <f>IF(AND(B6197=B6196,D6197=D6196,A6197=A6196,F6197=F6196),1,0)</f>
        <v/>
      </c>
      <c r="I6197">
        <f>IF(C6197="C99999",1,0)</f>
        <v/>
      </c>
      <c r="J6197" s="5">
        <f>IF(OR(H6197=1,I6197=1),0,IF(G6197="Credit",-F6197,F6197))</f>
        <v/>
      </c>
    </row>
    <row r="6198">
      <c r="A6198" t="inlineStr">
        <is>
          <t>2026-08-31</t>
        </is>
      </c>
      <c r="B6198" t="inlineStr">
        <is>
          <t>F271387</t>
        </is>
      </c>
      <c r="C6198" t="inlineStr">
        <is>
          <t>C10591</t>
        </is>
      </c>
      <c r="D6198" t="inlineStr">
        <is>
          <t>SKU-10231</t>
        </is>
      </c>
      <c r="E6198" t="inlineStr">
        <is>
          <t>AM08</t>
        </is>
      </c>
      <c r="F6198" s="5" t="n">
        <v>161.96</v>
      </c>
      <c r="G6198">
        <f>IF(LEFT(B6198,1)="C","Credit","Factuur")</f>
        <v/>
      </c>
      <c r="H6198">
        <f>IF(AND(B6198=B6197,D6198=D6197,A6198=A6197,F6198=F6197),1,0)</f>
        <v/>
      </c>
      <c r="I6198">
        <f>IF(C6198="C99999",1,0)</f>
        <v/>
      </c>
      <c r="J6198" s="5">
        <f>IF(OR(H6198=1,I6198=1),0,IF(G6198="Credit",-F6198,F6198))</f>
        <v/>
      </c>
    </row>
    <row r="6199">
      <c r="A6199" t="inlineStr">
        <is>
          <t>2026-08-31</t>
        </is>
      </c>
      <c r="B6199" t="inlineStr">
        <is>
          <t>F271387</t>
        </is>
      </c>
      <c r="C6199" t="inlineStr">
        <is>
          <t>C10591</t>
        </is>
      </c>
      <c r="D6199" t="inlineStr">
        <is>
          <t>SKU-10311</t>
        </is>
      </c>
      <c r="E6199" t="inlineStr">
        <is>
          <t>AM08</t>
        </is>
      </c>
      <c r="F6199" s="5" t="n">
        <v>176.52</v>
      </c>
      <c r="G6199">
        <f>IF(LEFT(B6199,1)="C","Credit","Factuur")</f>
        <v/>
      </c>
      <c r="H6199">
        <f>IF(AND(B6199=B6198,D6199=D6198,A6199=A6198,F6199=F6198),1,0)</f>
        <v/>
      </c>
      <c r="I6199">
        <f>IF(C6199="C99999",1,0)</f>
        <v/>
      </c>
      <c r="J6199" s="5">
        <f>IF(OR(H6199=1,I6199=1),0,IF(G6199="Credit",-F6199,F6199))</f>
        <v/>
      </c>
    </row>
    <row r="6200">
      <c r="A6200" t="inlineStr">
        <is>
          <t>2026-08-31</t>
        </is>
      </c>
      <c r="B6200" t="inlineStr">
        <is>
          <t>F273168</t>
        </is>
      </c>
      <c r="C6200" t="inlineStr">
        <is>
          <t>C10688</t>
        </is>
      </c>
      <c r="D6200" t="inlineStr">
        <is>
          <t>SKU-10032</t>
        </is>
      </c>
      <c r="E6200" t="inlineStr">
        <is>
          <t>AM03</t>
        </is>
      </c>
      <c r="F6200" s="5" t="n">
        <v>65.76000000000001</v>
      </c>
      <c r="G6200">
        <f>IF(LEFT(B6200,1)="C","Credit","Factuur")</f>
        <v/>
      </c>
      <c r="H6200">
        <f>IF(AND(B6200=B6199,D6200=D6199,A6200=A6199,F6200=F6199),1,0)</f>
        <v/>
      </c>
      <c r="I6200">
        <f>IF(C6200="C99999",1,0)</f>
        <v/>
      </c>
      <c r="J6200" s="5">
        <f>IF(OR(H6200=1,I6200=1),0,IF(G6200="Credit",-F6200,F6200))</f>
        <v/>
      </c>
    </row>
    <row r="6201">
      <c r="A6201" t="inlineStr">
        <is>
          <t>2026-08-31</t>
        </is>
      </c>
      <c r="B6201" t="inlineStr">
        <is>
          <t>F273168</t>
        </is>
      </c>
      <c r="C6201" t="inlineStr">
        <is>
          <t>C10688</t>
        </is>
      </c>
      <c r="D6201" t="inlineStr">
        <is>
          <t>SKU-10072</t>
        </is>
      </c>
      <c r="E6201" t="inlineStr">
        <is>
          <t>AM03</t>
        </is>
      </c>
      <c r="F6201" s="5" t="n">
        <v>88.79000000000001</v>
      </c>
      <c r="G6201">
        <f>IF(LEFT(B6201,1)="C","Credit","Factuur")</f>
        <v/>
      </c>
      <c r="H6201">
        <f>IF(AND(B6201=B6200,D6201=D6200,A6201=A6200,F6201=F6200),1,0)</f>
        <v/>
      </c>
      <c r="I6201">
        <f>IF(C6201="C99999",1,0)</f>
        <v/>
      </c>
      <c r="J6201" s="5">
        <f>IF(OR(H6201=1,I6201=1),0,IF(G6201="Credit",-F6201,F6201))</f>
        <v/>
      </c>
    </row>
    <row r="6202">
      <c r="A6202" t="inlineStr">
        <is>
          <t>2026-08-31</t>
        </is>
      </c>
      <c r="B6202" t="inlineStr">
        <is>
          <t>F273168</t>
        </is>
      </c>
      <c r="C6202" t="inlineStr">
        <is>
          <t>C10688</t>
        </is>
      </c>
      <c r="D6202" t="inlineStr">
        <is>
          <t>SKU-10073</t>
        </is>
      </c>
      <c r="E6202" t="inlineStr">
        <is>
          <t>AM03</t>
        </is>
      </c>
      <c r="F6202" s="5" t="n">
        <v>54.19</v>
      </c>
      <c r="G6202">
        <f>IF(LEFT(B6202,1)="C","Credit","Factuur")</f>
        <v/>
      </c>
      <c r="H6202">
        <f>IF(AND(B6202=B6201,D6202=D6201,A6202=A6201,F6202=F6201),1,0)</f>
        <v/>
      </c>
      <c r="I6202">
        <f>IF(C6202="C99999",1,0)</f>
        <v/>
      </c>
      <c r="J6202" s="5">
        <f>IF(OR(H6202=1,I6202=1),0,IF(G6202="Credit",-F6202,F6202))</f>
        <v/>
      </c>
    </row>
    <row r="6203">
      <c r="A6203" t="inlineStr">
        <is>
          <t>2026-08-31</t>
        </is>
      </c>
      <c r="B6203" t="inlineStr">
        <is>
          <t>F273168</t>
        </is>
      </c>
      <c r="C6203" t="inlineStr">
        <is>
          <t>C10688</t>
        </is>
      </c>
      <c r="D6203" t="inlineStr">
        <is>
          <t>SKU-10094</t>
        </is>
      </c>
      <c r="E6203" t="inlineStr">
        <is>
          <t>AM03</t>
        </is>
      </c>
      <c r="F6203" s="5" t="n">
        <v>72.17</v>
      </c>
      <c r="G6203">
        <f>IF(LEFT(B6203,1)="C","Credit","Factuur")</f>
        <v/>
      </c>
      <c r="H6203">
        <f>IF(AND(B6203=B6202,D6203=D6202,A6203=A6202,F6203=F6202),1,0)</f>
        <v/>
      </c>
      <c r="I6203">
        <f>IF(C6203="C99999",1,0)</f>
        <v/>
      </c>
      <c r="J6203" s="5">
        <f>IF(OR(H6203=1,I6203=1),0,IF(G6203="Credit",-F6203,F6203))</f>
        <v/>
      </c>
    </row>
    <row r="6204">
      <c r="A6204" t="inlineStr">
        <is>
          <t>2026-08-31</t>
        </is>
      </c>
      <c r="B6204" t="inlineStr">
        <is>
          <t>F273168</t>
        </is>
      </c>
      <c r="C6204" t="inlineStr">
        <is>
          <t>C10688</t>
        </is>
      </c>
      <c r="D6204" t="inlineStr">
        <is>
          <t>SKU-10244</t>
        </is>
      </c>
      <c r="E6204" t="inlineStr">
        <is>
          <t>AM03</t>
        </is>
      </c>
      <c r="F6204" s="5" t="n">
        <v>75.41</v>
      </c>
      <c r="G6204">
        <f>IF(LEFT(B6204,1)="C","Credit","Factuur")</f>
        <v/>
      </c>
      <c r="H6204">
        <f>IF(AND(B6204=B6203,D6204=D6203,A6204=A6203,F6204=F6203),1,0)</f>
        <v/>
      </c>
      <c r="I6204">
        <f>IF(C6204="C99999",1,0)</f>
        <v/>
      </c>
      <c r="J6204" s="5">
        <f>IF(OR(H6204=1,I6204=1),0,IF(G6204="Credit",-F6204,F6204))</f>
        <v/>
      </c>
    </row>
    <row r="6205">
      <c r="A6205" t="inlineStr">
        <is>
          <t>2026-08-31</t>
        </is>
      </c>
      <c r="B6205" t="inlineStr">
        <is>
          <t>F273168</t>
        </is>
      </c>
      <c r="C6205" t="inlineStr">
        <is>
          <t>C10688</t>
        </is>
      </c>
      <c r="D6205" t="inlineStr">
        <is>
          <t>SKU-10254</t>
        </is>
      </c>
      <c r="E6205" t="inlineStr">
        <is>
          <t>AM03</t>
        </is>
      </c>
      <c r="F6205" s="5" t="n">
        <v>91.5</v>
      </c>
      <c r="G6205">
        <f>IF(LEFT(B6205,1)="C","Credit","Factuur")</f>
        <v/>
      </c>
      <c r="H6205">
        <f>IF(AND(B6205=B6204,D6205=D6204,A6205=A6204,F6205=F6204),1,0)</f>
        <v/>
      </c>
      <c r="I6205">
        <f>IF(C6205="C99999",1,0)</f>
        <v/>
      </c>
      <c r="J6205" s="5">
        <f>IF(OR(H6205=1,I6205=1),0,IF(G6205="Credit",-F6205,F6205))</f>
        <v/>
      </c>
    </row>
    <row r="6206">
      <c r="A6206" t="inlineStr">
        <is>
          <t>2026-08-31</t>
        </is>
      </c>
      <c r="B6206" t="inlineStr">
        <is>
          <t>F274220</t>
        </is>
      </c>
      <c r="C6206" t="inlineStr">
        <is>
          <t>C10752</t>
        </is>
      </c>
      <c r="D6206" t="inlineStr">
        <is>
          <t>SKU-10287</t>
        </is>
      </c>
      <c r="E6206" t="inlineStr">
        <is>
          <t>AM05</t>
        </is>
      </c>
      <c r="F6206" s="5" t="n">
        <v>867.17</v>
      </c>
      <c r="G6206">
        <f>IF(LEFT(B6206,1)="C","Credit","Factuur")</f>
        <v/>
      </c>
      <c r="H6206">
        <f>IF(AND(B6206=B6205,D6206=D6205,A6206=A6205,F6206=F6205),1,0)</f>
        <v/>
      </c>
      <c r="I6206">
        <f>IF(C6206="C99999",1,0)</f>
        <v/>
      </c>
      <c r="J6206" s="5">
        <f>IF(OR(H6206=1,I6206=1),0,IF(G6206="Credit",-F6206,F6206))</f>
        <v/>
      </c>
    </row>
    <row r="6207">
      <c r="A6207" t="inlineStr">
        <is>
          <t>2026-08-31</t>
        </is>
      </c>
      <c r="B6207" t="inlineStr">
        <is>
          <t>F274220</t>
        </is>
      </c>
      <c r="C6207" t="inlineStr">
        <is>
          <t>C10752</t>
        </is>
      </c>
      <c r="D6207" t="inlineStr">
        <is>
          <t>SKU-10316</t>
        </is>
      </c>
      <c r="E6207" t="inlineStr"/>
      <c r="F6207" s="5" t="n">
        <v>975.46</v>
      </c>
      <c r="G6207">
        <f>IF(LEFT(B6207,1)="C","Credit","Factuur")</f>
        <v/>
      </c>
      <c r="H6207">
        <f>IF(AND(B6207=B6206,D6207=D6206,A6207=A6206,F6207=F6206),1,0)</f>
        <v/>
      </c>
      <c r="I6207">
        <f>IF(C6207="C99999",1,0)</f>
        <v/>
      </c>
      <c r="J6207" s="5">
        <f>IF(OR(H6207=1,I6207=1),0,IF(G6207="Credit",-F6207,F6207))</f>
        <v/>
      </c>
    </row>
    <row r="6208">
      <c r="A6208" t="inlineStr">
        <is>
          <t>2026-08-31</t>
        </is>
      </c>
      <c r="B6208" t="inlineStr">
        <is>
          <t>F274715</t>
        </is>
      </c>
      <c r="C6208" t="inlineStr">
        <is>
          <t>C10779</t>
        </is>
      </c>
      <c r="D6208" t="inlineStr">
        <is>
          <t>SKU-10316</t>
        </is>
      </c>
      <c r="E6208" t="inlineStr">
        <is>
          <t>AM09</t>
        </is>
      </c>
      <c r="F6208" s="5" t="n">
        <v>12346.74</v>
      </c>
      <c r="G6208">
        <f>IF(LEFT(B6208,1)="C","Credit","Factuur")</f>
        <v/>
      </c>
      <c r="H6208">
        <f>IF(AND(B6208=B6207,D6208=D6207,A6208=A6207,F6208=F6207),1,0)</f>
        <v/>
      </c>
      <c r="I6208">
        <f>IF(C6208="C99999",1,0)</f>
        <v/>
      </c>
      <c r="J6208" s="5">
        <f>IF(OR(H6208=1,I6208=1),0,IF(G6208="Credit",-F6208,F6208))</f>
        <v/>
      </c>
    </row>
    <row r="6209">
      <c r="A6209" t="inlineStr">
        <is>
          <t>2026-08-31</t>
        </is>
      </c>
      <c r="B6209" t="inlineStr">
        <is>
          <t>F276319</t>
        </is>
      </c>
      <c r="C6209" t="inlineStr">
        <is>
          <t>C10864</t>
        </is>
      </c>
      <c r="D6209" t="inlineStr">
        <is>
          <t>SKU-10007</t>
        </is>
      </c>
      <c r="E6209" t="inlineStr">
        <is>
          <t>AM11</t>
        </is>
      </c>
      <c r="F6209" s="5" t="n">
        <v>1119.67</v>
      </c>
      <c r="G6209">
        <f>IF(LEFT(B6209,1)="C","Credit","Factuur")</f>
        <v/>
      </c>
      <c r="H6209">
        <f>IF(AND(B6209=B6208,D6209=D6208,A6209=A6208,F6209=F6208),1,0)</f>
        <v/>
      </c>
      <c r="I6209">
        <f>IF(C6209="C99999",1,0)</f>
        <v/>
      </c>
      <c r="J6209" s="5">
        <f>IF(OR(H6209=1,I6209=1),0,IF(G6209="Credit",-F6209,F6209))</f>
        <v/>
      </c>
    </row>
    <row r="6210">
      <c r="A6210" t="inlineStr">
        <is>
          <t>2026-08-31</t>
        </is>
      </c>
      <c r="B6210" t="inlineStr">
        <is>
          <t>F276319</t>
        </is>
      </c>
      <c r="C6210" t="inlineStr">
        <is>
          <t>C10864</t>
        </is>
      </c>
      <c r="D6210" t="inlineStr">
        <is>
          <t>SKU-10065</t>
        </is>
      </c>
      <c r="E6210" t="inlineStr">
        <is>
          <t>AM11</t>
        </is>
      </c>
      <c r="F6210" s="5" t="n">
        <v>953.5599999999999</v>
      </c>
      <c r="G6210">
        <f>IF(LEFT(B6210,1)="C","Credit","Factuur")</f>
        <v/>
      </c>
      <c r="H6210">
        <f>IF(AND(B6210=B6209,D6210=D6209,A6210=A6209,F6210=F6209),1,0)</f>
        <v/>
      </c>
      <c r="I6210">
        <f>IF(C6210="C99999",1,0)</f>
        <v/>
      </c>
      <c r="J6210" s="5">
        <f>IF(OR(H6210=1,I6210=1),0,IF(G6210="Credit",-F6210,F6210))</f>
        <v/>
      </c>
    </row>
    <row r="6211">
      <c r="A6211" t="inlineStr">
        <is>
          <t>2026-08-31</t>
        </is>
      </c>
      <c r="B6211" t="inlineStr">
        <is>
          <t>F276319</t>
        </is>
      </c>
      <c r="C6211" t="inlineStr">
        <is>
          <t>C10864</t>
        </is>
      </c>
      <c r="D6211" t="inlineStr">
        <is>
          <t>SKU-10220</t>
        </is>
      </c>
      <c r="E6211" t="inlineStr">
        <is>
          <t>AM11</t>
        </is>
      </c>
      <c r="F6211" s="5" t="n">
        <v>988.5599999999999</v>
      </c>
      <c r="G6211">
        <f>IF(LEFT(B6211,1)="C","Credit","Factuur")</f>
        <v/>
      </c>
      <c r="H6211">
        <f>IF(AND(B6211=B6210,D6211=D6210,A6211=A6210,F6211=F6210),1,0)</f>
        <v/>
      </c>
      <c r="I6211">
        <f>IF(C6211="C99999",1,0)</f>
        <v/>
      </c>
      <c r="J6211" s="5">
        <f>IF(OR(H6211=1,I6211=1),0,IF(G6211="Credit",-F6211,F6211))</f>
        <v/>
      </c>
    </row>
    <row r="6212">
      <c r="A6212" t="inlineStr">
        <is>
          <t>2026-08-31</t>
        </is>
      </c>
      <c r="B6212" t="inlineStr">
        <is>
          <t>F276319</t>
        </is>
      </c>
      <c r="C6212" t="inlineStr">
        <is>
          <t>C10864</t>
        </is>
      </c>
      <c r="D6212" t="inlineStr">
        <is>
          <t>SKU-10280</t>
        </is>
      </c>
      <c r="E6212" t="inlineStr">
        <is>
          <t>AM11</t>
        </is>
      </c>
      <c r="F6212" s="5" t="n">
        <v>943.55</v>
      </c>
      <c r="G6212">
        <f>IF(LEFT(B6212,1)="C","Credit","Factuur")</f>
        <v/>
      </c>
      <c r="H6212">
        <f>IF(AND(B6212=B6211,D6212=D6211,A6212=A6211,F6212=F6211),1,0)</f>
        <v/>
      </c>
      <c r="I6212">
        <f>IF(C6212="C99999",1,0)</f>
        <v/>
      </c>
      <c r="J6212" s="5">
        <f>IF(OR(H6212=1,I6212=1),0,IF(G6212="Credit",-F6212,F6212))</f>
        <v/>
      </c>
    </row>
    <row r="6213">
      <c r="A6213" t="inlineStr">
        <is>
          <t>2026-08-31</t>
        </is>
      </c>
      <c r="B6213" t="inlineStr">
        <is>
          <t>F276340</t>
        </is>
      </c>
      <c r="C6213" t="inlineStr">
        <is>
          <t>C10866</t>
        </is>
      </c>
      <c r="D6213" t="inlineStr">
        <is>
          <t>SKU-10094</t>
        </is>
      </c>
      <c r="E6213" t="inlineStr">
        <is>
          <t>AM11</t>
        </is>
      </c>
      <c r="F6213" s="5" t="n">
        <v>2670.11</v>
      </c>
      <c r="G6213">
        <f>IF(LEFT(B6213,1)="C","Credit","Factuur")</f>
        <v/>
      </c>
      <c r="H6213">
        <f>IF(AND(B6213=B6212,D6213=D6212,A6213=A6212,F6213=F6212),1,0)</f>
        <v/>
      </c>
      <c r="I6213">
        <f>IF(C6213="C99999",1,0)</f>
        <v/>
      </c>
      <c r="J6213" s="5">
        <f>IF(OR(H6213=1,I6213=1),0,IF(G6213="Credit",-F6213,F6213))</f>
        <v/>
      </c>
    </row>
    <row r="6214">
      <c r="A6214" t="inlineStr">
        <is>
          <t>2026-08-31</t>
        </is>
      </c>
      <c r="B6214" t="inlineStr">
        <is>
          <t>F279412</t>
        </is>
      </c>
      <c r="C6214" t="inlineStr">
        <is>
          <t>C11029</t>
        </is>
      </c>
      <c r="D6214" t="inlineStr">
        <is>
          <t>SKU-10194</t>
        </is>
      </c>
      <c r="E6214" t="inlineStr">
        <is>
          <t>AM11</t>
        </is>
      </c>
      <c r="F6214" s="5" t="n">
        <v>195.85</v>
      </c>
      <c r="G6214">
        <f>IF(LEFT(B6214,1)="C","Credit","Factuur")</f>
        <v/>
      </c>
      <c r="H6214">
        <f>IF(AND(B6214=B6213,D6214=D6213,A6214=A6213,F6214=F6213),1,0)</f>
        <v/>
      </c>
      <c r="I6214">
        <f>IF(C6214="C99999",1,0)</f>
        <v/>
      </c>
      <c r="J6214" s="5">
        <f>IF(OR(H6214=1,I6214=1),0,IF(G6214="Credit",-F6214,F6214))</f>
        <v/>
      </c>
    </row>
    <row r="6215">
      <c r="A6215" t="inlineStr">
        <is>
          <t>2026-08-31</t>
        </is>
      </c>
      <c r="B6215" t="inlineStr">
        <is>
          <t>F279412</t>
        </is>
      </c>
      <c r="C6215" t="inlineStr">
        <is>
          <t>C11029</t>
        </is>
      </c>
      <c r="D6215" t="inlineStr">
        <is>
          <t>SKU-10317</t>
        </is>
      </c>
      <c r="E6215" t="inlineStr">
        <is>
          <t>AM11</t>
        </is>
      </c>
      <c r="F6215" s="5" t="n">
        <v>193.97</v>
      </c>
      <c r="G6215">
        <f>IF(LEFT(B6215,1)="C","Credit","Factuur")</f>
        <v/>
      </c>
      <c r="H6215">
        <f>IF(AND(B6215=B6214,D6215=D6214,A6215=A6214,F6215=F6214),1,0)</f>
        <v/>
      </c>
      <c r="I6215">
        <f>IF(C6215="C99999",1,0)</f>
        <v/>
      </c>
      <c r="J6215" s="5">
        <f>IF(OR(H6215=1,I6215=1),0,IF(G6215="Credit",-F6215,F6215))</f>
        <v/>
      </c>
    </row>
    <row r="6216">
      <c r="A6216" t="inlineStr">
        <is>
          <t>2026-08-31</t>
        </is>
      </c>
      <c r="B6216" t="inlineStr">
        <is>
          <t>F279412</t>
        </is>
      </c>
      <c r="C6216" t="inlineStr">
        <is>
          <t>C11029</t>
        </is>
      </c>
      <c r="D6216" t="inlineStr">
        <is>
          <t>SKU-10339</t>
        </is>
      </c>
      <c r="E6216" t="inlineStr">
        <is>
          <t>AM11</t>
        </is>
      </c>
      <c r="F6216" s="5" t="n">
        <v>185.87</v>
      </c>
      <c r="G6216">
        <f>IF(LEFT(B6216,1)="C","Credit","Factuur")</f>
        <v/>
      </c>
      <c r="H6216">
        <f>IF(AND(B6216=B6215,D6216=D6215,A6216=A6215,F6216=F6215),1,0)</f>
        <v/>
      </c>
      <c r="I6216">
        <f>IF(C6216="C99999",1,0)</f>
        <v/>
      </c>
      <c r="J6216" s="5">
        <f>IF(OR(H6216=1,I6216=1),0,IF(G6216="Credit",-F6216,F6216))</f>
        <v/>
      </c>
    </row>
    <row r="6217">
      <c r="A6217" t="inlineStr">
        <is>
          <t>2026-08-31</t>
        </is>
      </c>
      <c r="B6217" t="inlineStr">
        <is>
          <t>F279412</t>
        </is>
      </c>
      <c r="C6217" t="inlineStr">
        <is>
          <t>C11029</t>
        </is>
      </c>
      <c r="D6217" t="inlineStr">
        <is>
          <t>SKU-10376</t>
        </is>
      </c>
      <c r="E6217" t="inlineStr">
        <is>
          <t>AM11</t>
        </is>
      </c>
      <c r="F6217" s="5" t="n">
        <v>165.28</v>
      </c>
      <c r="G6217">
        <f>IF(LEFT(B6217,1)="C","Credit","Factuur")</f>
        <v/>
      </c>
      <c r="H6217">
        <f>IF(AND(B6217=B6216,D6217=D6216,A6217=A6216,F6217=F6216),1,0)</f>
        <v/>
      </c>
      <c r="I6217">
        <f>IF(C6217="C99999",1,0)</f>
        <v/>
      </c>
      <c r="J6217" s="5">
        <f>IF(OR(H6217=1,I6217=1),0,IF(G6217="Credit",-F6217,F6217))</f>
        <v/>
      </c>
    </row>
    <row r="6218">
      <c r="A6218" t="inlineStr">
        <is>
          <t>2026-08-31</t>
        </is>
      </c>
      <c r="B6218" t="inlineStr">
        <is>
          <t>F279673</t>
        </is>
      </c>
      <c r="C6218" t="inlineStr">
        <is>
          <t>C11043</t>
        </is>
      </c>
      <c r="D6218" t="inlineStr">
        <is>
          <t>SKU-10041</t>
        </is>
      </c>
      <c r="E6218" t="inlineStr">
        <is>
          <t>AM02</t>
        </is>
      </c>
      <c r="F6218" s="5" t="n">
        <v>103.2</v>
      </c>
      <c r="G6218">
        <f>IF(LEFT(B6218,1)="C","Credit","Factuur")</f>
        <v/>
      </c>
      <c r="H6218">
        <f>IF(AND(B6218=B6217,D6218=D6217,A6218=A6217,F6218=F6217),1,0)</f>
        <v/>
      </c>
      <c r="I6218">
        <f>IF(C6218="C99999",1,0)</f>
        <v/>
      </c>
      <c r="J6218" s="5">
        <f>IF(OR(H6218=1,I6218=1),0,IF(G6218="Credit",-F6218,F6218))</f>
        <v/>
      </c>
    </row>
    <row r="6219">
      <c r="A6219" t="inlineStr">
        <is>
          <t>2026-08-31</t>
        </is>
      </c>
      <c r="B6219" t="inlineStr">
        <is>
          <t>F279673</t>
        </is>
      </c>
      <c r="C6219" t="inlineStr">
        <is>
          <t>C11043</t>
        </is>
      </c>
      <c r="D6219" t="inlineStr">
        <is>
          <t>SKU-10077</t>
        </is>
      </c>
      <c r="E6219" t="inlineStr">
        <is>
          <t>AM02</t>
        </is>
      </c>
      <c r="F6219" s="5" t="n">
        <v>89.61</v>
      </c>
      <c r="G6219">
        <f>IF(LEFT(B6219,1)="C","Credit","Factuur")</f>
        <v/>
      </c>
      <c r="H6219">
        <f>IF(AND(B6219=B6218,D6219=D6218,A6219=A6218,F6219=F6218),1,0)</f>
        <v/>
      </c>
      <c r="I6219">
        <f>IF(C6219="C99999",1,0)</f>
        <v/>
      </c>
      <c r="J6219" s="5">
        <f>IF(OR(H6219=1,I6219=1),0,IF(G6219="Credit",-F6219,F6219))</f>
        <v/>
      </c>
    </row>
    <row r="6220">
      <c r="A6220" t="inlineStr">
        <is>
          <t>2026-08-31</t>
        </is>
      </c>
      <c r="B6220" t="inlineStr">
        <is>
          <t>F279673</t>
        </is>
      </c>
      <c r="C6220" t="inlineStr">
        <is>
          <t>C11043</t>
        </is>
      </c>
      <c r="D6220" t="inlineStr">
        <is>
          <t>SKU-10295</t>
        </is>
      </c>
      <c r="E6220" t="inlineStr">
        <is>
          <t>AM02</t>
        </is>
      </c>
      <c r="F6220" s="5" t="n">
        <v>83.67</v>
      </c>
      <c r="G6220">
        <f>IF(LEFT(B6220,1)="C","Credit","Factuur")</f>
        <v/>
      </c>
      <c r="H6220">
        <f>IF(AND(B6220=B6219,D6220=D6219,A6220=A6219,F6220=F6219),1,0)</f>
        <v/>
      </c>
      <c r="I6220">
        <f>IF(C6220="C99999",1,0)</f>
        <v/>
      </c>
      <c r="J6220" s="5">
        <f>IF(OR(H6220=1,I6220=1),0,IF(G6220="Credit",-F6220,F6220))</f>
        <v/>
      </c>
    </row>
    <row r="6221">
      <c r="A6221" t="inlineStr">
        <is>
          <t>2026-08-31</t>
        </is>
      </c>
      <c r="B6221" t="inlineStr">
        <is>
          <t>F280161</t>
        </is>
      </c>
      <c r="C6221" t="inlineStr">
        <is>
          <t>C11064</t>
        </is>
      </c>
      <c r="D6221" t="inlineStr">
        <is>
          <t>SKU-10048</t>
        </is>
      </c>
      <c r="E6221" t="inlineStr">
        <is>
          <t>AM08</t>
        </is>
      </c>
      <c r="F6221" s="5" t="n">
        <v>349.86</v>
      </c>
      <c r="G6221">
        <f>IF(LEFT(B6221,1)="C","Credit","Factuur")</f>
        <v/>
      </c>
      <c r="H6221">
        <f>IF(AND(B6221=B6220,D6221=D6220,A6221=A6220,F6221=F6220),1,0)</f>
        <v/>
      </c>
      <c r="I6221">
        <f>IF(C6221="C99999",1,0)</f>
        <v/>
      </c>
      <c r="J6221" s="5">
        <f>IF(OR(H6221=1,I6221=1),0,IF(G6221="Credit",-F6221,F6221))</f>
        <v/>
      </c>
    </row>
    <row r="6222">
      <c r="A6222" t="inlineStr">
        <is>
          <t>2026-08-31</t>
        </is>
      </c>
      <c r="B6222" t="inlineStr">
        <is>
          <t>F280161</t>
        </is>
      </c>
      <c r="C6222" t="inlineStr">
        <is>
          <t>C11064</t>
        </is>
      </c>
      <c r="D6222" t="inlineStr">
        <is>
          <t>SKU-10196</t>
        </is>
      </c>
      <c r="E6222" t="inlineStr">
        <is>
          <t>AM08</t>
        </is>
      </c>
      <c r="F6222" s="5" t="n">
        <v>345.15</v>
      </c>
      <c r="G6222">
        <f>IF(LEFT(B6222,1)="C","Credit","Factuur")</f>
        <v/>
      </c>
      <c r="H6222">
        <f>IF(AND(B6222=B6221,D6222=D6221,A6222=A6221,F6222=F6221),1,0)</f>
        <v/>
      </c>
      <c r="I6222">
        <f>IF(C6222="C99999",1,0)</f>
        <v/>
      </c>
      <c r="J6222" s="5">
        <f>IF(OR(H6222=1,I6222=1),0,IF(G6222="Credit",-F6222,F6222))</f>
        <v/>
      </c>
    </row>
    <row r="6223">
      <c r="A6223" t="inlineStr">
        <is>
          <t>2026-08-31</t>
        </is>
      </c>
      <c r="B6223" t="inlineStr">
        <is>
          <t>F280161</t>
        </is>
      </c>
      <c r="C6223" t="inlineStr">
        <is>
          <t>C11064</t>
        </is>
      </c>
      <c r="D6223" t="inlineStr">
        <is>
          <t>SKU-10284</t>
        </is>
      </c>
      <c r="E6223" t="inlineStr">
        <is>
          <t>AM08</t>
        </is>
      </c>
      <c r="F6223" s="5" t="n">
        <v>340.6</v>
      </c>
      <c r="G6223">
        <f>IF(LEFT(B6223,1)="C","Credit","Factuur")</f>
        <v/>
      </c>
      <c r="H6223">
        <f>IF(AND(B6223=B6222,D6223=D6222,A6223=A6222,F6223=F6222),1,0)</f>
        <v/>
      </c>
      <c r="I6223">
        <f>IF(C6223="C99999",1,0)</f>
        <v/>
      </c>
      <c r="J6223" s="5">
        <f>IF(OR(H6223=1,I6223=1),0,IF(G6223="Credit",-F6223,F6223))</f>
        <v/>
      </c>
    </row>
    <row r="6224">
      <c r="A6224" t="inlineStr">
        <is>
          <t>2026-08-31</t>
        </is>
      </c>
      <c r="B6224" t="inlineStr">
        <is>
          <t>F280161</t>
        </is>
      </c>
      <c r="C6224" t="inlineStr">
        <is>
          <t>C11064</t>
        </is>
      </c>
      <c r="D6224" t="inlineStr">
        <is>
          <t>SKU-10339</t>
        </is>
      </c>
      <c r="E6224" t="inlineStr">
        <is>
          <t>AM08</t>
        </is>
      </c>
      <c r="F6224" s="5" t="n">
        <v>346.15</v>
      </c>
      <c r="G6224">
        <f>IF(LEFT(B6224,1)="C","Credit","Factuur")</f>
        <v/>
      </c>
      <c r="H6224">
        <f>IF(AND(B6224=B6223,D6224=D6223,A6224=A6223,F6224=F6223),1,0)</f>
        <v/>
      </c>
      <c r="I6224">
        <f>IF(C6224="C99999",1,0)</f>
        <v/>
      </c>
      <c r="J6224" s="5">
        <f>IF(OR(H6224=1,I6224=1),0,IF(G6224="Credit",-F6224,F6224))</f>
        <v/>
      </c>
    </row>
    <row r="6225">
      <c r="A6225" t="inlineStr">
        <is>
          <t>2026-08-31</t>
        </is>
      </c>
      <c r="B6225" t="inlineStr">
        <is>
          <t>F280992</t>
        </is>
      </c>
      <c r="C6225" t="inlineStr">
        <is>
          <t>C11105</t>
        </is>
      </c>
      <c r="D6225" t="inlineStr">
        <is>
          <t>SKU-10368</t>
        </is>
      </c>
      <c r="E6225" t="inlineStr">
        <is>
          <t>AM12</t>
        </is>
      </c>
      <c r="F6225" s="5" t="n">
        <v>547.48</v>
      </c>
      <c r="G6225">
        <f>IF(LEFT(B6225,1)="C","Credit","Factuur")</f>
        <v/>
      </c>
      <c r="H6225">
        <f>IF(AND(B6225=B6224,D6225=D6224,A6225=A6224,F6225=F6224),1,0)</f>
        <v/>
      </c>
      <c r="I6225">
        <f>IF(C6225="C99999",1,0)</f>
        <v/>
      </c>
      <c r="J6225" s="5">
        <f>IF(OR(H6225=1,I6225=1),0,IF(G6225="Credit",-F6225,F6225))</f>
        <v/>
      </c>
    </row>
    <row r="6226">
      <c r="A6226" t="inlineStr">
        <is>
          <t>2026-08-31</t>
        </is>
      </c>
      <c r="B6226" t="inlineStr">
        <is>
          <t>F281803</t>
        </is>
      </c>
      <c r="C6226" t="inlineStr">
        <is>
          <t>C11148</t>
        </is>
      </c>
      <c r="D6226" t="inlineStr">
        <is>
          <t>SKU-10272</t>
        </is>
      </c>
      <c r="E6226" t="inlineStr">
        <is>
          <t>AM02</t>
        </is>
      </c>
      <c r="F6226" s="5" t="n">
        <v>339.39</v>
      </c>
      <c r="G6226">
        <f>IF(LEFT(B6226,1)="C","Credit","Factuur")</f>
        <v/>
      </c>
      <c r="H6226">
        <f>IF(AND(B6226=B6225,D6226=D6225,A6226=A6225,F6226=F6225),1,0)</f>
        <v/>
      </c>
      <c r="I6226">
        <f>IF(C6226="C99999",1,0)</f>
        <v/>
      </c>
      <c r="J6226" s="5">
        <f>IF(OR(H6226=1,I6226=1),0,IF(G6226="Credit",-F6226,F6226))</f>
        <v/>
      </c>
    </row>
    <row r="6227">
      <c r="A6227" t="inlineStr">
        <is>
          <t>2026-08-31</t>
        </is>
      </c>
      <c r="B6227" t="inlineStr">
        <is>
          <t>F282834</t>
        </is>
      </c>
      <c r="C6227" t="inlineStr">
        <is>
          <t>C11200</t>
        </is>
      </c>
      <c r="D6227" t="inlineStr">
        <is>
          <t>SKU-10007</t>
        </is>
      </c>
      <c r="E6227" t="inlineStr">
        <is>
          <t>AM11</t>
        </is>
      </c>
      <c r="F6227" s="5" t="n">
        <v>164.8</v>
      </c>
      <c r="G6227">
        <f>IF(LEFT(B6227,1)="C","Credit","Factuur")</f>
        <v/>
      </c>
      <c r="H6227">
        <f>IF(AND(B6227=B6226,D6227=D6226,A6227=A6226,F6227=F6226),1,0)</f>
        <v/>
      </c>
      <c r="I6227">
        <f>IF(C6227="C99999",1,0)</f>
        <v/>
      </c>
      <c r="J6227" s="5">
        <f>IF(OR(H6227=1,I6227=1),0,IF(G6227="Credit",-F6227,F6227))</f>
        <v/>
      </c>
    </row>
    <row r="6228">
      <c r="A6228" t="inlineStr">
        <is>
          <t>2026-08-31</t>
        </is>
      </c>
      <c r="B6228" t="inlineStr">
        <is>
          <t>F282834</t>
        </is>
      </c>
      <c r="C6228" t="inlineStr">
        <is>
          <t>C11200</t>
        </is>
      </c>
      <c r="D6228" t="inlineStr">
        <is>
          <t>SKU-10109</t>
        </is>
      </c>
      <c r="E6228" t="inlineStr">
        <is>
          <t>AM11</t>
        </is>
      </c>
      <c r="F6228" s="5" t="n">
        <v>182.21</v>
      </c>
      <c r="G6228">
        <f>IF(LEFT(B6228,1)="C","Credit","Factuur")</f>
        <v/>
      </c>
      <c r="H6228">
        <f>IF(AND(B6228=B6227,D6228=D6227,A6228=A6227,F6228=F6227),1,0)</f>
        <v/>
      </c>
      <c r="I6228">
        <f>IF(C6228="C99999",1,0)</f>
        <v/>
      </c>
      <c r="J6228" s="5">
        <f>IF(OR(H6228=1,I6228=1),0,IF(G6228="Credit",-F6228,F6228))</f>
        <v/>
      </c>
    </row>
    <row r="6229">
      <c r="A6229" t="inlineStr">
        <is>
          <t>2026-08-31</t>
        </is>
      </c>
      <c r="B6229" t="inlineStr">
        <is>
          <t>F282834</t>
        </is>
      </c>
      <c r="C6229" t="inlineStr">
        <is>
          <t>C11200</t>
        </is>
      </c>
      <c r="D6229" t="inlineStr">
        <is>
          <t>SKU-10133</t>
        </is>
      </c>
      <c r="E6229" t="inlineStr">
        <is>
          <t>AM11</t>
        </is>
      </c>
      <c r="F6229" s="5" t="n">
        <v>125.72</v>
      </c>
      <c r="G6229">
        <f>IF(LEFT(B6229,1)="C","Credit","Factuur")</f>
        <v/>
      </c>
      <c r="H6229">
        <f>IF(AND(B6229=B6228,D6229=D6228,A6229=A6228,F6229=F6228),1,0)</f>
        <v/>
      </c>
      <c r="I6229">
        <f>IF(C6229="C99999",1,0)</f>
        <v/>
      </c>
      <c r="J6229" s="5">
        <f>IF(OR(H6229=1,I6229=1),0,IF(G6229="Credit",-F6229,F6229))</f>
        <v/>
      </c>
    </row>
    <row r="6230">
      <c r="A6230" t="inlineStr">
        <is>
          <t>2026-08-31</t>
        </is>
      </c>
      <c r="B6230" t="inlineStr">
        <is>
          <t>F282834</t>
        </is>
      </c>
      <c r="C6230" t="inlineStr">
        <is>
          <t>C11200</t>
        </is>
      </c>
      <c r="D6230" t="inlineStr">
        <is>
          <t>SKU-10208</t>
        </is>
      </c>
      <c r="E6230" t="inlineStr">
        <is>
          <t>AM11</t>
        </is>
      </c>
      <c r="F6230" s="5" t="n">
        <v>174.1</v>
      </c>
      <c r="G6230">
        <f>IF(LEFT(B6230,1)="C","Credit","Factuur")</f>
        <v/>
      </c>
      <c r="H6230">
        <f>IF(AND(B6230=B6229,D6230=D6229,A6230=A6229,F6230=F6229),1,0)</f>
        <v/>
      </c>
      <c r="I6230">
        <f>IF(C6230="C99999",1,0)</f>
        <v/>
      </c>
      <c r="J6230" s="5">
        <f>IF(OR(H6230=1,I6230=1),0,IF(G6230="Credit",-F6230,F6230))</f>
        <v/>
      </c>
    </row>
    <row r="6231">
      <c r="A6231" t="inlineStr">
        <is>
          <t>2026-08-31</t>
        </is>
      </c>
      <c r="B6231" t="inlineStr">
        <is>
          <t>F282834</t>
        </is>
      </c>
      <c r="C6231" t="inlineStr">
        <is>
          <t>C11200</t>
        </is>
      </c>
      <c r="D6231" t="inlineStr">
        <is>
          <t>SKU-10260</t>
        </is>
      </c>
      <c r="E6231" t="inlineStr">
        <is>
          <t>AM11</t>
        </is>
      </c>
      <c r="F6231" s="5" t="n">
        <v>170.98</v>
      </c>
      <c r="G6231">
        <f>IF(LEFT(B6231,1)="C","Credit","Factuur")</f>
        <v/>
      </c>
      <c r="H6231">
        <f>IF(AND(B6231=B6230,D6231=D6230,A6231=A6230,F6231=F6230),1,0)</f>
        <v/>
      </c>
      <c r="I6231">
        <f>IF(C6231="C99999",1,0)</f>
        <v/>
      </c>
      <c r="J6231" s="5">
        <f>IF(OR(H6231=1,I6231=1),0,IF(G6231="Credit",-F6231,F6231))</f>
        <v/>
      </c>
    </row>
    <row r="6232">
      <c r="A6232" t="inlineStr">
        <is>
          <t>2026-08-31</t>
        </is>
      </c>
      <c r="B6232" t="inlineStr">
        <is>
          <t>F282834</t>
        </is>
      </c>
      <c r="C6232" t="inlineStr">
        <is>
          <t>C11200</t>
        </is>
      </c>
      <c r="D6232" t="inlineStr">
        <is>
          <t>SKU-10318</t>
        </is>
      </c>
      <c r="E6232" t="inlineStr">
        <is>
          <t>AM11</t>
        </is>
      </c>
      <c r="F6232" s="5" t="n">
        <v>173.99</v>
      </c>
      <c r="G6232">
        <f>IF(LEFT(B6232,1)="C","Credit","Factuur")</f>
        <v/>
      </c>
      <c r="H6232">
        <f>IF(AND(B6232=B6231,D6232=D6231,A6232=A6231,F6232=F6231),1,0)</f>
        <v/>
      </c>
      <c r="I6232">
        <f>IF(C6232="C99999",1,0)</f>
        <v/>
      </c>
      <c r="J6232" s="5">
        <f>IF(OR(H6232=1,I6232=1),0,IF(G6232="Credit",-F6232,F6232))</f>
        <v/>
      </c>
    </row>
    <row r="6233">
      <c r="A6233" t="inlineStr">
        <is>
          <t>2026-08-31</t>
        </is>
      </c>
      <c r="B6233" t="inlineStr">
        <is>
          <t>F283305</t>
        </is>
      </c>
      <c r="C6233" t="inlineStr">
        <is>
          <t>C11226</t>
        </is>
      </c>
      <c r="D6233" t="inlineStr">
        <is>
          <t>SKU-10032</t>
        </is>
      </c>
      <c r="E6233" t="inlineStr">
        <is>
          <t>AM07</t>
        </is>
      </c>
      <c r="F6233" s="5" t="n">
        <v>449.93</v>
      </c>
      <c r="G6233">
        <f>IF(LEFT(B6233,1)="C","Credit","Factuur")</f>
        <v/>
      </c>
      <c r="H6233">
        <f>IF(AND(B6233=B6232,D6233=D6232,A6233=A6232,F6233=F6232),1,0)</f>
        <v/>
      </c>
      <c r="I6233">
        <f>IF(C6233="C99999",1,0)</f>
        <v/>
      </c>
      <c r="J6233" s="5">
        <f>IF(OR(H6233=1,I6233=1),0,IF(G6233="Credit",-F6233,F6233))</f>
        <v/>
      </c>
    </row>
    <row r="6234">
      <c r="A6234" t="inlineStr">
        <is>
          <t>2026-08-31</t>
        </is>
      </c>
      <c r="B6234" t="inlineStr">
        <is>
          <t>F283305</t>
        </is>
      </c>
      <c r="C6234" t="inlineStr">
        <is>
          <t>C11226</t>
        </is>
      </c>
      <c r="D6234" t="inlineStr">
        <is>
          <t>SKU-10280</t>
        </is>
      </c>
      <c r="E6234" t="inlineStr">
        <is>
          <t>AM07</t>
        </is>
      </c>
      <c r="F6234" s="5" t="n">
        <v>381.91</v>
      </c>
      <c r="G6234">
        <f>IF(LEFT(B6234,1)="C","Credit","Factuur")</f>
        <v/>
      </c>
      <c r="H6234">
        <f>IF(AND(B6234=B6233,D6234=D6233,A6234=A6233,F6234=F6233),1,0)</f>
        <v/>
      </c>
      <c r="I6234">
        <f>IF(C6234="C99999",1,0)</f>
        <v/>
      </c>
      <c r="J6234" s="5">
        <f>IF(OR(H6234=1,I6234=1),0,IF(G6234="Credit",-F6234,F6234))</f>
        <v/>
      </c>
    </row>
    <row r="6235">
      <c r="A6235" t="inlineStr">
        <is>
          <t>2026-08-31</t>
        </is>
      </c>
      <c r="B6235" t="inlineStr">
        <is>
          <t>F284890</t>
        </is>
      </c>
      <c r="C6235" t="inlineStr">
        <is>
          <t>C11302</t>
        </is>
      </c>
      <c r="D6235" t="inlineStr">
        <is>
          <t>SKU-10310</t>
        </is>
      </c>
      <c r="E6235" t="inlineStr">
        <is>
          <t>AM01</t>
        </is>
      </c>
      <c r="F6235" s="5" t="n">
        <v>1552.75</v>
      </c>
      <c r="G6235">
        <f>IF(LEFT(B6235,1)="C","Credit","Factuur")</f>
        <v/>
      </c>
      <c r="H6235">
        <f>IF(AND(B6235=B6234,D6235=D6234,A6235=A6234,F6235=F6234),1,0)</f>
        <v/>
      </c>
      <c r="I6235">
        <f>IF(C6235="C99999",1,0)</f>
        <v/>
      </c>
      <c r="J6235" s="5">
        <f>IF(OR(H6235=1,I6235=1),0,IF(G6235="Credit",-F6235,F6235))</f>
        <v/>
      </c>
    </row>
    <row r="6236">
      <c r="A6236" t="inlineStr">
        <is>
          <t>2026-09-01</t>
        </is>
      </c>
      <c r="B6236" t="inlineStr">
        <is>
          <t>F260173</t>
        </is>
      </c>
      <c r="C6236" t="inlineStr">
        <is>
          <t>C10011</t>
        </is>
      </c>
      <c r="D6236" t="inlineStr">
        <is>
          <t>SKU-10001</t>
        </is>
      </c>
      <c r="E6236" t="inlineStr">
        <is>
          <t>AM03</t>
        </is>
      </c>
      <c r="F6236" s="5" t="n">
        <v>245.41</v>
      </c>
      <c r="G6236">
        <f>IF(LEFT(B6236,1)="C","Credit","Factuur")</f>
        <v/>
      </c>
      <c r="H6236">
        <f>IF(AND(B6236=B6235,D6236=D6235,A6236=A6235,F6236=F6235),1,0)</f>
        <v/>
      </c>
      <c r="I6236">
        <f>IF(C6236="C99999",1,0)</f>
        <v/>
      </c>
      <c r="J6236" s="5">
        <f>IF(OR(H6236=1,I6236=1),0,IF(G6236="Credit",-F6236,F6236))</f>
        <v/>
      </c>
    </row>
    <row r="6237">
      <c r="A6237" t="inlineStr">
        <is>
          <t>2026-09-01</t>
        </is>
      </c>
      <c r="B6237" t="inlineStr">
        <is>
          <t>F260173</t>
        </is>
      </c>
      <c r="C6237" t="inlineStr">
        <is>
          <t>C10011</t>
        </is>
      </c>
      <c r="D6237" t="inlineStr">
        <is>
          <t>SKU-10170</t>
        </is>
      </c>
      <c r="E6237" t="inlineStr">
        <is>
          <t>AM03</t>
        </is>
      </c>
      <c r="F6237" s="5" t="n">
        <v>236.36</v>
      </c>
      <c r="G6237">
        <f>IF(LEFT(B6237,1)="C","Credit","Factuur")</f>
        <v/>
      </c>
      <c r="H6237">
        <f>IF(AND(B6237=B6236,D6237=D6236,A6237=A6236,F6237=F6236),1,0)</f>
        <v/>
      </c>
      <c r="I6237">
        <f>IF(C6237="C99999",1,0)</f>
        <v/>
      </c>
      <c r="J6237" s="5">
        <f>IF(OR(H6237=1,I6237=1),0,IF(G6237="Credit",-F6237,F6237))</f>
        <v/>
      </c>
    </row>
    <row r="6238">
      <c r="A6238" t="inlineStr">
        <is>
          <t>2026-09-01</t>
        </is>
      </c>
      <c r="B6238" t="inlineStr">
        <is>
          <t>F260229</t>
        </is>
      </c>
      <c r="C6238" t="inlineStr">
        <is>
          <t>C10015</t>
        </is>
      </c>
      <c r="D6238" t="inlineStr">
        <is>
          <t>SKU-10031</t>
        </is>
      </c>
      <c r="E6238" t="inlineStr">
        <is>
          <t>AM02</t>
        </is>
      </c>
      <c r="F6238" s="5" t="n">
        <v>116.68</v>
      </c>
      <c r="G6238">
        <f>IF(LEFT(B6238,1)="C","Credit","Factuur")</f>
        <v/>
      </c>
      <c r="H6238">
        <f>IF(AND(B6238=B6237,D6238=D6237,A6238=A6237,F6238=F6237),1,0)</f>
        <v/>
      </c>
      <c r="I6238">
        <f>IF(C6238="C99999",1,0)</f>
        <v/>
      </c>
      <c r="J6238" s="5">
        <f>IF(OR(H6238=1,I6238=1),0,IF(G6238="Credit",-F6238,F6238))</f>
        <v/>
      </c>
    </row>
    <row r="6239">
      <c r="A6239" t="inlineStr">
        <is>
          <t>2026-09-01</t>
        </is>
      </c>
      <c r="B6239" t="inlineStr">
        <is>
          <t>F260229</t>
        </is>
      </c>
      <c r="C6239" t="inlineStr">
        <is>
          <t>C10015</t>
        </is>
      </c>
      <c r="D6239" t="inlineStr">
        <is>
          <t>SKU-10125</t>
        </is>
      </c>
      <c r="E6239" t="inlineStr">
        <is>
          <t>AM02</t>
        </is>
      </c>
      <c r="F6239" s="5" t="n">
        <v>121.46</v>
      </c>
      <c r="G6239">
        <f>IF(LEFT(B6239,1)="C","Credit","Factuur")</f>
        <v/>
      </c>
      <c r="H6239">
        <f>IF(AND(B6239=B6238,D6239=D6238,A6239=A6238,F6239=F6238),1,0)</f>
        <v/>
      </c>
      <c r="I6239">
        <f>IF(C6239="C99999",1,0)</f>
        <v/>
      </c>
      <c r="J6239" s="5">
        <f>IF(OR(H6239=1,I6239=1),0,IF(G6239="Credit",-F6239,F6239))</f>
        <v/>
      </c>
    </row>
    <row r="6240">
      <c r="A6240" t="inlineStr">
        <is>
          <t>2026-09-01</t>
        </is>
      </c>
      <c r="B6240" t="inlineStr">
        <is>
          <t>F260229</t>
        </is>
      </c>
      <c r="C6240" t="inlineStr">
        <is>
          <t>C10015</t>
        </is>
      </c>
      <c r="D6240" t="inlineStr">
        <is>
          <t>SKU-10280</t>
        </is>
      </c>
      <c r="E6240" t="inlineStr">
        <is>
          <t>AM02</t>
        </is>
      </c>
      <c r="F6240" s="5" t="n">
        <v>105.72</v>
      </c>
      <c r="G6240">
        <f>IF(LEFT(B6240,1)="C","Credit","Factuur")</f>
        <v/>
      </c>
      <c r="H6240">
        <f>IF(AND(B6240=B6239,D6240=D6239,A6240=A6239,F6240=F6239),1,0)</f>
        <v/>
      </c>
      <c r="I6240">
        <f>IF(C6240="C99999",1,0)</f>
        <v/>
      </c>
      <c r="J6240" s="5">
        <f>IF(OR(H6240=1,I6240=1),0,IF(G6240="Credit",-F6240,F6240))</f>
        <v/>
      </c>
    </row>
    <row r="6241">
      <c r="A6241" t="inlineStr">
        <is>
          <t>2026-09-01</t>
        </is>
      </c>
      <c r="B6241" t="inlineStr">
        <is>
          <t>F260229</t>
        </is>
      </c>
      <c r="C6241" t="inlineStr">
        <is>
          <t>C10015</t>
        </is>
      </c>
      <c r="D6241" t="inlineStr">
        <is>
          <t>SKU-10288</t>
        </is>
      </c>
      <c r="E6241" t="inlineStr">
        <is>
          <t>AM02</t>
        </is>
      </c>
      <c r="F6241" s="5" t="n">
        <v>96.51000000000001</v>
      </c>
      <c r="G6241">
        <f>IF(LEFT(B6241,1)="C","Credit","Factuur")</f>
        <v/>
      </c>
      <c r="H6241">
        <f>IF(AND(B6241=B6240,D6241=D6240,A6241=A6240,F6241=F6240),1,0)</f>
        <v/>
      </c>
      <c r="I6241">
        <f>IF(C6241="C99999",1,0)</f>
        <v/>
      </c>
      <c r="J6241" s="5">
        <f>IF(OR(H6241=1,I6241=1),0,IF(G6241="Credit",-F6241,F6241))</f>
        <v/>
      </c>
    </row>
    <row r="6242">
      <c r="A6242" t="inlineStr">
        <is>
          <t>2026-09-01</t>
        </is>
      </c>
      <c r="B6242" t="inlineStr">
        <is>
          <t>F260305</t>
        </is>
      </c>
      <c r="C6242" t="inlineStr">
        <is>
          <t>C10019</t>
        </is>
      </c>
      <c r="D6242" t="inlineStr">
        <is>
          <t>SKU-10086</t>
        </is>
      </c>
      <c r="E6242" t="inlineStr">
        <is>
          <t>AM02</t>
        </is>
      </c>
      <c r="F6242" s="5" t="n">
        <v>234.36</v>
      </c>
      <c r="G6242">
        <f>IF(LEFT(B6242,1)="C","Credit","Factuur")</f>
        <v/>
      </c>
      <c r="H6242">
        <f>IF(AND(B6242=B6241,D6242=D6241,A6242=A6241,F6242=F6241),1,0)</f>
        <v/>
      </c>
      <c r="I6242">
        <f>IF(C6242="C99999",1,0)</f>
        <v/>
      </c>
      <c r="J6242" s="5">
        <f>IF(OR(H6242=1,I6242=1),0,IF(G6242="Credit",-F6242,F6242))</f>
        <v/>
      </c>
    </row>
    <row r="6243">
      <c r="A6243" t="inlineStr">
        <is>
          <t>2026-09-01</t>
        </is>
      </c>
      <c r="B6243" t="inlineStr">
        <is>
          <t>F260305</t>
        </is>
      </c>
      <c r="C6243" t="inlineStr">
        <is>
          <t>C10019</t>
        </is>
      </c>
      <c r="D6243" t="inlineStr">
        <is>
          <t>SKU-10136</t>
        </is>
      </c>
      <c r="E6243" t="inlineStr">
        <is>
          <t>AM02</t>
        </is>
      </c>
      <c r="F6243" s="5" t="n">
        <v>228.56</v>
      </c>
      <c r="G6243">
        <f>IF(LEFT(B6243,1)="C","Credit","Factuur")</f>
        <v/>
      </c>
      <c r="H6243">
        <f>IF(AND(B6243=B6242,D6243=D6242,A6243=A6242,F6243=F6242),1,0)</f>
        <v/>
      </c>
      <c r="I6243">
        <f>IF(C6243="C99999",1,0)</f>
        <v/>
      </c>
      <c r="J6243" s="5">
        <f>IF(OR(H6243=1,I6243=1),0,IF(G6243="Credit",-F6243,F6243))</f>
        <v/>
      </c>
    </row>
    <row r="6244">
      <c r="A6244" t="inlineStr">
        <is>
          <t>2026-09-01</t>
        </is>
      </c>
      <c r="B6244" t="inlineStr">
        <is>
          <t>F260613</t>
        </is>
      </c>
      <c r="C6244" t="inlineStr">
        <is>
          <t>C10034</t>
        </is>
      </c>
      <c r="D6244" t="inlineStr">
        <is>
          <t>SKU-10156</t>
        </is>
      </c>
      <c r="E6244" t="inlineStr">
        <is>
          <t>AM08</t>
        </is>
      </c>
      <c r="F6244" s="5" t="n">
        <v>359.04</v>
      </c>
      <c r="G6244">
        <f>IF(LEFT(B6244,1)="C","Credit","Factuur")</f>
        <v/>
      </c>
      <c r="H6244">
        <f>IF(AND(B6244=B6243,D6244=D6243,A6244=A6243,F6244=F6243),1,0)</f>
        <v/>
      </c>
      <c r="I6244">
        <f>IF(C6244="C99999",1,0)</f>
        <v/>
      </c>
      <c r="J6244" s="5">
        <f>IF(OR(H6244=1,I6244=1),0,IF(G6244="Credit",-F6244,F6244))</f>
        <v/>
      </c>
    </row>
    <row r="6245">
      <c r="A6245" t="inlineStr">
        <is>
          <t>2026-09-01</t>
        </is>
      </c>
      <c r="B6245" t="inlineStr">
        <is>
          <t>F260613</t>
        </is>
      </c>
      <c r="C6245" t="inlineStr">
        <is>
          <t>C10034</t>
        </is>
      </c>
      <c r="D6245" t="inlineStr">
        <is>
          <t>SKU-10310</t>
        </is>
      </c>
      <c r="E6245" t="inlineStr">
        <is>
          <t>AM08</t>
        </is>
      </c>
      <c r="F6245" s="5" t="n">
        <v>358.24</v>
      </c>
      <c r="G6245">
        <f>IF(LEFT(B6245,1)="C","Credit","Factuur")</f>
        <v/>
      </c>
      <c r="H6245">
        <f>IF(AND(B6245=B6244,D6245=D6244,A6245=A6244,F6245=F6244),1,0)</f>
        <v/>
      </c>
      <c r="I6245">
        <f>IF(C6245="C99999",1,0)</f>
        <v/>
      </c>
      <c r="J6245" s="5">
        <f>IF(OR(H6245=1,I6245=1),0,IF(G6245="Credit",-F6245,F6245))</f>
        <v/>
      </c>
    </row>
    <row r="6246">
      <c r="A6246" t="inlineStr">
        <is>
          <t>2026-09-01</t>
        </is>
      </c>
      <c r="B6246" t="inlineStr">
        <is>
          <t>F261277</t>
        </is>
      </c>
      <c r="C6246" t="inlineStr">
        <is>
          <t>C10070</t>
        </is>
      </c>
      <c r="D6246" t="inlineStr">
        <is>
          <t>SKU-10068</t>
        </is>
      </c>
      <c r="E6246" t="inlineStr">
        <is>
          <t>AM11</t>
        </is>
      </c>
      <c r="F6246" s="5" t="n">
        <v>54.45</v>
      </c>
      <c r="G6246">
        <f>IF(LEFT(B6246,1)="C","Credit","Factuur")</f>
        <v/>
      </c>
      <c r="H6246">
        <f>IF(AND(B6246=B6245,D6246=D6245,A6246=A6245,F6246=F6245),1,0)</f>
        <v/>
      </c>
      <c r="I6246">
        <f>IF(C6246="C99999",1,0)</f>
        <v/>
      </c>
      <c r="J6246" s="5">
        <f>IF(OR(H6246=1,I6246=1),0,IF(G6246="Credit",-F6246,F6246))</f>
        <v/>
      </c>
    </row>
    <row r="6247">
      <c r="A6247" t="inlineStr">
        <is>
          <t>2026-09-01</t>
        </is>
      </c>
      <c r="B6247" t="inlineStr">
        <is>
          <t>F261277</t>
        </is>
      </c>
      <c r="C6247" t="inlineStr">
        <is>
          <t>C10070</t>
        </is>
      </c>
      <c r="D6247" t="inlineStr">
        <is>
          <t>SKU-10095</t>
        </is>
      </c>
      <c r="E6247" t="inlineStr">
        <is>
          <t>AM11</t>
        </is>
      </c>
      <c r="F6247" s="5" t="n">
        <v>61.9</v>
      </c>
      <c r="G6247">
        <f>IF(LEFT(B6247,1)="C","Credit","Factuur")</f>
        <v/>
      </c>
      <c r="H6247">
        <f>IF(AND(B6247=B6246,D6247=D6246,A6247=A6246,F6247=F6246),1,0)</f>
        <v/>
      </c>
      <c r="I6247">
        <f>IF(C6247="C99999",1,0)</f>
        <v/>
      </c>
      <c r="J6247" s="5">
        <f>IF(OR(H6247=1,I6247=1),0,IF(G6247="Credit",-F6247,F6247))</f>
        <v/>
      </c>
    </row>
    <row r="6248">
      <c r="A6248" t="inlineStr">
        <is>
          <t>2026-09-01</t>
        </is>
      </c>
      <c r="B6248" t="inlineStr">
        <is>
          <t>F261277</t>
        </is>
      </c>
      <c r="C6248" t="inlineStr">
        <is>
          <t>C10070</t>
        </is>
      </c>
      <c r="D6248" t="inlineStr">
        <is>
          <t>SKU-10127</t>
        </is>
      </c>
      <c r="E6248" t="inlineStr">
        <is>
          <t>AM11</t>
        </is>
      </c>
      <c r="F6248" s="5" t="n">
        <v>86.97</v>
      </c>
      <c r="G6248">
        <f>IF(LEFT(B6248,1)="C","Credit","Factuur")</f>
        <v/>
      </c>
      <c r="H6248">
        <f>IF(AND(B6248=B6247,D6248=D6247,A6248=A6247,F6248=F6247),1,0)</f>
        <v/>
      </c>
      <c r="I6248">
        <f>IF(C6248="C99999",1,0)</f>
        <v/>
      </c>
      <c r="J6248" s="5">
        <f>IF(OR(H6248=1,I6248=1),0,IF(G6248="Credit",-F6248,F6248))</f>
        <v/>
      </c>
    </row>
    <row r="6249">
      <c r="A6249" t="inlineStr">
        <is>
          <t>2026-09-01</t>
        </is>
      </c>
      <c r="B6249" t="inlineStr">
        <is>
          <t>F261277</t>
        </is>
      </c>
      <c r="C6249" t="inlineStr">
        <is>
          <t>C10070</t>
        </is>
      </c>
      <c r="D6249" t="inlineStr">
        <is>
          <t>SKU-10128</t>
        </is>
      </c>
      <c r="E6249" t="inlineStr">
        <is>
          <t>AM11</t>
        </is>
      </c>
      <c r="F6249" s="5" t="n">
        <v>71.42</v>
      </c>
      <c r="G6249">
        <f>IF(LEFT(B6249,1)="C","Credit","Factuur")</f>
        <v/>
      </c>
      <c r="H6249">
        <f>IF(AND(B6249=B6248,D6249=D6248,A6249=A6248,F6249=F6248),1,0)</f>
        <v/>
      </c>
      <c r="I6249">
        <f>IF(C6249="C99999",1,0)</f>
        <v/>
      </c>
      <c r="J6249" s="5">
        <f>IF(OR(H6249=1,I6249=1),0,IF(G6249="Credit",-F6249,F6249))</f>
        <v/>
      </c>
    </row>
    <row r="6250">
      <c r="A6250" t="inlineStr">
        <is>
          <t>2026-09-01</t>
        </is>
      </c>
      <c r="B6250" t="inlineStr">
        <is>
          <t>F261483</t>
        </is>
      </c>
      <c r="C6250" t="inlineStr">
        <is>
          <t>C10080</t>
        </is>
      </c>
      <c r="D6250" t="inlineStr">
        <is>
          <t>SKU-10065</t>
        </is>
      </c>
      <c r="E6250" t="inlineStr">
        <is>
          <t>AM05</t>
        </is>
      </c>
      <c r="F6250" s="5" t="n">
        <v>598.8200000000001</v>
      </c>
      <c r="G6250">
        <f>IF(LEFT(B6250,1)="C","Credit","Factuur")</f>
        <v/>
      </c>
      <c r="H6250">
        <f>IF(AND(B6250=B6249,D6250=D6249,A6250=A6249,F6250=F6249),1,0)</f>
        <v/>
      </c>
      <c r="I6250">
        <f>IF(C6250="C99999",1,0)</f>
        <v/>
      </c>
      <c r="J6250" s="5">
        <f>IF(OR(H6250=1,I6250=1),0,IF(G6250="Credit",-F6250,F6250))</f>
        <v/>
      </c>
    </row>
    <row r="6251">
      <c r="A6251" t="inlineStr">
        <is>
          <t>2026-09-01</t>
        </is>
      </c>
      <c r="B6251" t="inlineStr">
        <is>
          <t>F262657</t>
        </is>
      </c>
      <c r="C6251" t="inlineStr">
        <is>
          <t>C10141</t>
        </is>
      </c>
      <c r="D6251" t="inlineStr">
        <is>
          <t>SKU-10138</t>
        </is>
      </c>
      <c r="E6251" t="inlineStr">
        <is>
          <t>AM01</t>
        </is>
      </c>
      <c r="F6251" s="5" t="n">
        <v>1223.52</v>
      </c>
      <c r="G6251">
        <f>IF(LEFT(B6251,1)="C","Credit","Factuur")</f>
        <v/>
      </c>
      <c r="H6251">
        <f>IF(AND(B6251=B6250,D6251=D6250,A6251=A6250,F6251=F6250),1,0)</f>
        <v/>
      </c>
      <c r="I6251">
        <f>IF(C6251="C99999",1,0)</f>
        <v/>
      </c>
      <c r="J6251" s="5">
        <f>IF(OR(H6251=1,I6251=1),0,IF(G6251="Credit",-F6251,F6251))</f>
        <v/>
      </c>
    </row>
    <row r="6252">
      <c r="A6252" t="inlineStr">
        <is>
          <t>2026-09-01</t>
        </is>
      </c>
      <c r="B6252" t="inlineStr">
        <is>
          <t>F262761</t>
        </is>
      </c>
      <c r="C6252" t="inlineStr">
        <is>
          <t>C10148</t>
        </is>
      </c>
      <c r="D6252" t="inlineStr">
        <is>
          <t>SKU-10029</t>
        </is>
      </c>
      <c r="E6252" t="inlineStr">
        <is>
          <t>AM09</t>
        </is>
      </c>
      <c r="F6252" s="5" t="n">
        <v>1387.87</v>
      </c>
      <c r="G6252">
        <f>IF(LEFT(B6252,1)="C","Credit","Factuur")</f>
        <v/>
      </c>
      <c r="H6252">
        <f>IF(AND(B6252=B6251,D6252=D6251,A6252=A6251,F6252=F6251),1,0)</f>
        <v/>
      </c>
      <c r="I6252">
        <f>IF(C6252="C99999",1,0)</f>
        <v/>
      </c>
      <c r="J6252" s="5">
        <f>IF(OR(H6252=1,I6252=1),0,IF(G6252="Credit",-F6252,F6252))</f>
        <v/>
      </c>
    </row>
    <row r="6253">
      <c r="A6253" t="inlineStr">
        <is>
          <t>2026-09-01</t>
        </is>
      </c>
      <c r="B6253" t="inlineStr">
        <is>
          <t>F262761</t>
        </is>
      </c>
      <c r="C6253" t="inlineStr">
        <is>
          <t>C10148</t>
        </is>
      </c>
      <c r="D6253" t="inlineStr">
        <is>
          <t>SKU-10222</t>
        </is>
      </c>
      <c r="E6253" t="inlineStr">
        <is>
          <t>AM09</t>
        </is>
      </c>
      <c r="F6253" s="5" t="n">
        <v>1267.31</v>
      </c>
      <c r="G6253">
        <f>IF(LEFT(B6253,1)="C","Credit","Factuur")</f>
        <v/>
      </c>
      <c r="H6253">
        <f>IF(AND(B6253=B6252,D6253=D6252,A6253=A6252,F6253=F6252),1,0)</f>
        <v/>
      </c>
      <c r="I6253">
        <f>IF(C6253="C99999",1,0)</f>
        <v/>
      </c>
      <c r="J6253" s="5">
        <f>IF(OR(H6253=1,I6253=1),0,IF(G6253="Credit",-F6253,F6253))</f>
        <v/>
      </c>
    </row>
    <row r="6254">
      <c r="A6254" t="inlineStr">
        <is>
          <t>2026-09-01</t>
        </is>
      </c>
      <c r="B6254" t="inlineStr">
        <is>
          <t>F262761</t>
        </is>
      </c>
      <c r="C6254" t="inlineStr">
        <is>
          <t>C10148</t>
        </is>
      </c>
      <c r="D6254" t="inlineStr">
        <is>
          <t>SKU-10262</t>
        </is>
      </c>
      <c r="E6254" t="inlineStr">
        <is>
          <t>AM09</t>
        </is>
      </c>
      <c r="F6254" s="5" t="n">
        <v>1345.67</v>
      </c>
      <c r="G6254">
        <f>IF(LEFT(B6254,1)="C","Credit","Factuur")</f>
        <v/>
      </c>
      <c r="H6254">
        <f>IF(AND(B6254=B6253,D6254=D6253,A6254=A6253,F6254=F6253),1,0)</f>
        <v/>
      </c>
      <c r="I6254">
        <f>IF(C6254="C99999",1,0)</f>
        <v/>
      </c>
      <c r="J6254" s="5">
        <f>IF(OR(H6254=1,I6254=1),0,IF(G6254="Credit",-F6254,F6254))</f>
        <v/>
      </c>
    </row>
    <row r="6255">
      <c r="A6255" t="inlineStr">
        <is>
          <t>2026-09-01</t>
        </is>
      </c>
      <c r="B6255" t="inlineStr">
        <is>
          <t>F262761</t>
        </is>
      </c>
      <c r="C6255" t="inlineStr">
        <is>
          <t>C10148</t>
        </is>
      </c>
      <c r="D6255" t="inlineStr">
        <is>
          <t>SKU-10282</t>
        </is>
      </c>
      <c r="E6255" t="inlineStr">
        <is>
          <t>AM09</t>
        </is>
      </c>
      <c r="F6255" s="5" t="n">
        <v>1410.5</v>
      </c>
      <c r="G6255">
        <f>IF(LEFT(B6255,1)="C","Credit","Factuur")</f>
        <v/>
      </c>
      <c r="H6255">
        <f>IF(AND(B6255=B6254,D6255=D6254,A6255=A6254,F6255=F6254),1,0)</f>
        <v/>
      </c>
      <c r="I6255">
        <f>IF(C6255="C99999",1,0)</f>
        <v/>
      </c>
      <c r="J6255" s="5">
        <f>IF(OR(H6255=1,I6255=1),0,IF(G6255="Credit",-F6255,F6255))</f>
        <v/>
      </c>
    </row>
    <row r="6256">
      <c r="A6256" t="inlineStr">
        <is>
          <t>2026-09-01</t>
        </is>
      </c>
      <c r="B6256" t="inlineStr">
        <is>
          <t>F262761</t>
        </is>
      </c>
      <c r="C6256" t="inlineStr">
        <is>
          <t>C10148</t>
        </is>
      </c>
      <c r="D6256" t="inlineStr">
        <is>
          <t>SKU-10309</t>
        </is>
      </c>
      <c r="E6256" t="inlineStr">
        <is>
          <t>AM09</t>
        </is>
      </c>
      <c r="F6256" s="5" t="n">
        <v>1219.94</v>
      </c>
      <c r="G6256">
        <f>IF(LEFT(B6256,1)="C","Credit","Factuur")</f>
        <v/>
      </c>
      <c r="H6256">
        <f>IF(AND(B6256=B6255,D6256=D6255,A6256=A6255,F6256=F6255),1,0)</f>
        <v/>
      </c>
      <c r="I6256">
        <f>IF(C6256="C99999",1,0)</f>
        <v/>
      </c>
      <c r="J6256" s="5">
        <f>IF(OR(H6256=1,I6256=1),0,IF(G6256="Credit",-F6256,F6256))</f>
        <v/>
      </c>
    </row>
    <row r="6257">
      <c r="A6257" t="inlineStr">
        <is>
          <t>2026-09-01</t>
        </is>
      </c>
      <c r="B6257" t="inlineStr">
        <is>
          <t>F264091</t>
        </is>
      </c>
      <c r="C6257" t="inlineStr">
        <is>
          <t>C10217</t>
        </is>
      </c>
      <c r="D6257" t="inlineStr">
        <is>
          <t>SKU-10046</t>
        </is>
      </c>
      <c r="E6257" t="inlineStr">
        <is>
          <t>AM11</t>
        </is>
      </c>
      <c r="F6257" s="5" t="n">
        <v>426.06</v>
      </c>
      <c r="G6257">
        <f>IF(LEFT(B6257,1)="C","Credit","Factuur")</f>
        <v/>
      </c>
      <c r="H6257">
        <f>IF(AND(B6257=B6256,D6257=D6256,A6257=A6256,F6257=F6256),1,0)</f>
        <v/>
      </c>
      <c r="I6257">
        <f>IF(C6257="C99999",1,0)</f>
        <v/>
      </c>
      <c r="J6257" s="5">
        <f>IF(OR(H6257=1,I6257=1),0,IF(G6257="Credit",-F6257,F6257))</f>
        <v/>
      </c>
    </row>
    <row r="6258">
      <c r="A6258" t="inlineStr">
        <is>
          <t>2026-09-01</t>
        </is>
      </c>
      <c r="B6258" t="inlineStr">
        <is>
          <t>F264091</t>
        </is>
      </c>
      <c r="C6258" t="inlineStr">
        <is>
          <t>C10217</t>
        </is>
      </c>
      <c r="D6258" t="inlineStr">
        <is>
          <t>SKU-10107</t>
        </is>
      </c>
      <c r="E6258" t="inlineStr">
        <is>
          <t>AM11</t>
        </is>
      </c>
      <c r="F6258" s="5" t="n">
        <v>414.96</v>
      </c>
      <c r="G6258">
        <f>IF(LEFT(B6258,1)="C","Credit","Factuur")</f>
        <v/>
      </c>
      <c r="H6258">
        <f>IF(AND(B6258=B6257,D6258=D6257,A6258=A6257,F6258=F6257),1,0)</f>
        <v/>
      </c>
      <c r="I6258">
        <f>IF(C6258="C99999",1,0)</f>
        <v/>
      </c>
      <c r="J6258" s="5">
        <f>IF(OR(H6258=1,I6258=1),0,IF(G6258="Credit",-F6258,F6258))</f>
        <v/>
      </c>
    </row>
    <row r="6259">
      <c r="A6259" t="inlineStr">
        <is>
          <t>2026-09-01</t>
        </is>
      </c>
      <c r="B6259" t="inlineStr">
        <is>
          <t>F264091</t>
        </is>
      </c>
      <c r="C6259" t="inlineStr">
        <is>
          <t>C10217</t>
        </is>
      </c>
      <c r="D6259" t="inlineStr">
        <is>
          <t>SKU-10331</t>
        </is>
      </c>
      <c r="E6259" t="inlineStr">
        <is>
          <t>AM11</t>
        </is>
      </c>
      <c r="F6259" s="5" t="n">
        <v>407.83</v>
      </c>
      <c r="G6259">
        <f>IF(LEFT(B6259,1)="C","Credit","Factuur")</f>
        <v/>
      </c>
      <c r="H6259">
        <f>IF(AND(B6259=B6258,D6259=D6258,A6259=A6258,F6259=F6258),1,0)</f>
        <v/>
      </c>
      <c r="I6259">
        <f>IF(C6259="C99999",1,0)</f>
        <v/>
      </c>
      <c r="J6259" s="5">
        <f>IF(OR(H6259=1,I6259=1),0,IF(G6259="Credit",-F6259,F6259))</f>
        <v/>
      </c>
    </row>
    <row r="6260">
      <c r="A6260" t="inlineStr">
        <is>
          <t>2026-09-01</t>
        </is>
      </c>
      <c r="B6260" t="inlineStr">
        <is>
          <t>F265148</t>
        </is>
      </c>
      <c r="C6260" t="inlineStr">
        <is>
          <t>C10271</t>
        </is>
      </c>
      <c r="D6260" t="inlineStr">
        <is>
          <t>SKU-10020</t>
        </is>
      </c>
      <c r="E6260" t="inlineStr">
        <is>
          <t>AM02</t>
        </is>
      </c>
      <c r="F6260" s="5" t="n">
        <v>176.36</v>
      </c>
      <c r="G6260">
        <f>IF(LEFT(B6260,1)="C","Credit","Factuur")</f>
        <v/>
      </c>
      <c r="H6260">
        <f>IF(AND(B6260=B6259,D6260=D6259,A6260=A6259,F6260=F6259),1,0)</f>
        <v/>
      </c>
      <c r="I6260">
        <f>IF(C6260="C99999",1,0)</f>
        <v/>
      </c>
      <c r="J6260" s="5">
        <f>IF(OR(H6260=1,I6260=1),0,IF(G6260="Credit",-F6260,F6260))</f>
        <v/>
      </c>
    </row>
    <row r="6261">
      <c r="A6261" t="inlineStr">
        <is>
          <t>2026-09-01</t>
        </is>
      </c>
      <c r="B6261" t="inlineStr">
        <is>
          <t>F265148</t>
        </is>
      </c>
      <c r="C6261" t="inlineStr">
        <is>
          <t>C10271</t>
        </is>
      </c>
      <c r="D6261" t="inlineStr">
        <is>
          <t>SKU-10034</t>
        </is>
      </c>
      <c r="E6261" t="inlineStr">
        <is>
          <t>AM02</t>
        </is>
      </c>
      <c r="F6261" s="5" t="n">
        <v>157.86</v>
      </c>
      <c r="G6261">
        <f>IF(LEFT(B6261,1)="C","Credit","Factuur")</f>
        <v/>
      </c>
      <c r="H6261">
        <f>IF(AND(B6261=B6260,D6261=D6260,A6261=A6260,F6261=F6260),1,0)</f>
        <v/>
      </c>
      <c r="I6261">
        <f>IF(C6261="C99999",1,0)</f>
        <v/>
      </c>
      <c r="J6261" s="5">
        <f>IF(OR(H6261=1,I6261=1),0,IF(G6261="Credit",-F6261,F6261))</f>
        <v/>
      </c>
    </row>
    <row r="6262">
      <c r="A6262" t="inlineStr">
        <is>
          <t>2026-09-01</t>
        </is>
      </c>
      <c r="B6262" t="inlineStr">
        <is>
          <t>F265148</t>
        </is>
      </c>
      <c r="C6262" t="inlineStr">
        <is>
          <t>C10271</t>
        </is>
      </c>
      <c r="D6262" t="inlineStr">
        <is>
          <t>SKU-10042</t>
        </is>
      </c>
      <c r="E6262" t="inlineStr">
        <is>
          <t>AM02</t>
        </is>
      </c>
      <c r="F6262" s="5" t="n">
        <v>166.16</v>
      </c>
      <c r="G6262">
        <f>IF(LEFT(B6262,1)="C","Credit","Factuur")</f>
        <v/>
      </c>
      <c r="H6262">
        <f>IF(AND(B6262=B6261,D6262=D6261,A6262=A6261,F6262=F6261),1,0)</f>
        <v/>
      </c>
      <c r="I6262">
        <f>IF(C6262="C99999",1,0)</f>
        <v/>
      </c>
      <c r="J6262" s="5">
        <f>IF(OR(H6262=1,I6262=1),0,IF(G6262="Credit",-F6262,F6262))</f>
        <v/>
      </c>
    </row>
    <row r="6263">
      <c r="A6263" t="inlineStr">
        <is>
          <t>2026-09-01</t>
        </is>
      </c>
      <c r="B6263" t="inlineStr">
        <is>
          <t>F265148</t>
        </is>
      </c>
      <c r="C6263" t="inlineStr">
        <is>
          <t>C10271</t>
        </is>
      </c>
      <c r="D6263" t="inlineStr">
        <is>
          <t>SKU-10055</t>
        </is>
      </c>
      <c r="E6263" t="inlineStr">
        <is>
          <t>AM02</t>
        </is>
      </c>
      <c r="F6263" s="5" t="n">
        <v>201.18</v>
      </c>
      <c r="G6263">
        <f>IF(LEFT(B6263,1)="C","Credit","Factuur")</f>
        <v/>
      </c>
      <c r="H6263">
        <f>IF(AND(B6263=B6262,D6263=D6262,A6263=A6262,F6263=F6262),1,0)</f>
        <v/>
      </c>
      <c r="I6263">
        <f>IF(C6263="C99999",1,0)</f>
        <v/>
      </c>
      <c r="J6263" s="5">
        <f>IF(OR(H6263=1,I6263=1),0,IF(G6263="Credit",-F6263,F6263))</f>
        <v/>
      </c>
    </row>
    <row r="6264">
      <c r="A6264" t="inlineStr">
        <is>
          <t>2026-09-01</t>
        </is>
      </c>
      <c r="B6264" t="inlineStr">
        <is>
          <t>F265148</t>
        </is>
      </c>
      <c r="C6264" t="inlineStr">
        <is>
          <t>C10271</t>
        </is>
      </c>
      <c r="D6264" t="inlineStr">
        <is>
          <t>SKU-10257</t>
        </is>
      </c>
      <c r="E6264" t="inlineStr">
        <is>
          <t>AM02</t>
        </is>
      </c>
      <c r="F6264" s="5" t="n">
        <v>186.57</v>
      </c>
      <c r="G6264">
        <f>IF(LEFT(B6264,1)="C","Credit","Factuur")</f>
        <v/>
      </c>
      <c r="H6264">
        <f>IF(AND(B6264=B6263,D6264=D6263,A6264=A6263,F6264=F6263),1,0)</f>
        <v/>
      </c>
      <c r="I6264">
        <f>IF(C6264="C99999",1,0)</f>
        <v/>
      </c>
      <c r="J6264" s="5">
        <f>IF(OR(H6264=1,I6264=1),0,IF(G6264="Credit",-F6264,F6264))</f>
        <v/>
      </c>
    </row>
    <row r="6265">
      <c r="A6265" t="inlineStr">
        <is>
          <t>2026-09-01</t>
        </is>
      </c>
      <c r="B6265" t="inlineStr">
        <is>
          <t>F265148</t>
        </is>
      </c>
      <c r="C6265" t="inlineStr">
        <is>
          <t>C10271</t>
        </is>
      </c>
      <c r="D6265" t="inlineStr">
        <is>
          <t>SKU-10276</t>
        </is>
      </c>
      <c r="E6265" t="inlineStr">
        <is>
          <t>AM02</t>
        </is>
      </c>
      <c r="F6265" s="5" t="n">
        <v>179.38</v>
      </c>
      <c r="G6265">
        <f>IF(LEFT(B6265,1)="C","Credit","Factuur")</f>
        <v/>
      </c>
      <c r="H6265">
        <f>IF(AND(B6265=B6264,D6265=D6264,A6265=A6264,F6265=F6264),1,0)</f>
        <v/>
      </c>
      <c r="I6265">
        <f>IF(C6265="C99999",1,0)</f>
        <v/>
      </c>
      <c r="J6265" s="5">
        <f>IF(OR(H6265=1,I6265=1),0,IF(G6265="Credit",-F6265,F6265))</f>
        <v/>
      </c>
    </row>
    <row r="6266">
      <c r="A6266" t="inlineStr">
        <is>
          <t>2026-09-01</t>
        </is>
      </c>
      <c r="B6266" t="inlineStr">
        <is>
          <t>F265148</t>
        </is>
      </c>
      <c r="C6266" t="inlineStr">
        <is>
          <t>C10271</t>
        </is>
      </c>
      <c r="D6266" t="inlineStr">
        <is>
          <t>SKU-10296</t>
        </is>
      </c>
      <c r="E6266" t="inlineStr">
        <is>
          <t>AM02</t>
        </is>
      </c>
      <c r="F6266" s="5" t="n">
        <v>180.72</v>
      </c>
      <c r="G6266">
        <f>IF(LEFT(B6266,1)="C","Credit","Factuur")</f>
        <v/>
      </c>
      <c r="H6266">
        <f>IF(AND(B6266=B6265,D6266=D6265,A6266=A6265,F6266=F6265),1,0)</f>
        <v/>
      </c>
      <c r="I6266">
        <f>IF(C6266="C99999",1,0)</f>
        <v/>
      </c>
      <c r="J6266" s="5">
        <f>IF(OR(H6266=1,I6266=1),0,IF(G6266="Credit",-F6266,F6266))</f>
        <v/>
      </c>
    </row>
    <row r="6267">
      <c r="A6267" t="inlineStr">
        <is>
          <t>2026-09-01</t>
        </is>
      </c>
      <c r="B6267" t="inlineStr">
        <is>
          <t>F265469</t>
        </is>
      </c>
      <c r="C6267" t="inlineStr">
        <is>
          <t>C10287</t>
        </is>
      </c>
      <c r="D6267" t="inlineStr">
        <is>
          <t>SKU-10354</t>
        </is>
      </c>
      <c r="E6267" t="inlineStr">
        <is>
          <t>AM08</t>
        </is>
      </c>
      <c r="F6267" s="5" t="n">
        <v>2593.88</v>
      </c>
      <c r="G6267">
        <f>IF(LEFT(B6267,1)="C","Credit","Factuur")</f>
        <v/>
      </c>
      <c r="H6267">
        <f>IF(AND(B6267=B6266,D6267=D6266,A6267=A6266,F6267=F6266),1,0)</f>
        <v/>
      </c>
      <c r="I6267">
        <f>IF(C6267="C99999",1,0)</f>
        <v/>
      </c>
      <c r="J6267" s="5">
        <f>IF(OR(H6267=1,I6267=1),0,IF(G6267="Credit",-F6267,F6267))</f>
        <v/>
      </c>
    </row>
    <row r="6268">
      <c r="A6268" t="inlineStr">
        <is>
          <t>2026-09-01</t>
        </is>
      </c>
      <c r="B6268" t="inlineStr">
        <is>
          <t>F265558</t>
        </is>
      </c>
      <c r="C6268" t="inlineStr">
        <is>
          <t>C10292</t>
        </is>
      </c>
      <c r="D6268" t="inlineStr">
        <is>
          <t>SKU-10151</t>
        </is>
      </c>
      <c r="E6268" t="inlineStr">
        <is>
          <t>AM05</t>
        </is>
      </c>
      <c r="F6268" s="5" t="n">
        <v>260.94</v>
      </c>
      <c r="G6268">
        <f>IF(LEFT(B6268,1)="C","Credit","Factuur")</f>
        <v/>
      </c>
      <c r="H6268">
        <f>IF(AND(B6268=B6267,D6268=D6267,A6268=A6267,F6268=F6267),1,0)</f>
        <v/>
      </c>
      <c r="I6268">
        <f>IF(C6268="C99999",1,0)</f>
        <v/>
      </c>
      <c r="J6268" s="5">
        <f>IF(OR(H6268=1,I6268=1),0,IF(G6268="Credit",-F6268,F6268))</f>
        <v/>
      </c>
    </row>
    <row r="6269">
      <c r="A6269" t="inlineStr">
        <is>
          <t>2026-09-01</t>
        </is>
      </c>
      <c r="B6269" t="inlineStr">
        <is>
          <t>F265558</t>
        </is>
      </c>
      <c r="C6269" t="inlineStr">
        <is>
          <t>C10292</t>
        </is>
      </c>
      <c r="D6269" t="inlineStr">
        <is>
          <t>SKU-10343</t>
        </is>
      </c>
      <c r="E6269" t="inlineStr">
        <is>
          <t>AM05</t>
        </is>
      </c>
      <c r="F6269" s="5" t="n">
        <v>273.76</v>
      </c>
      <c r="G6269">
        <f>IF(LEFT(B6269,1)="C","Credit","Factuur")</f>
        <v/>
      </c>
      <c r="H6269">
        <f>IF(AND(B6269=B6268,D6269=D6268,A6269=A6268,F6269=F6268),1,0)</f>
        <v/>
      </c>
      <c r="I6269">
        <f>IF(C6269="C99999",1,0)</f>
        <v/>
      </c>
      <c r="J6269" s="5">
        <f>IF(OR(H6269=1,I6269=1),0,IF(G6269="Credit",-F6269,F6269))</f>
        <v/>
      </c>
    </row>
    <row r="6270">
      <c r="A6270" t="inlineStr">
        <is>
          <t>2026-09-01</t>
        </is>
      </c>
      <c r="B6270" t="inlineStr">
        <is>
          <t>F265893</t>
        </is>
      </c>
      <c r="C6270" t="inlineStr">
        <is>
          <t>C10310</t>
        </is>
      </c>
      <c r="D6270" t="inlineStr">
        <is>
          <t>SKU-10078</t>
        </is>
      </c>
      <c r="E6270" t="inlineStr">
        <is>
          <t>AM02</t>
        </is>
      </c>
      <c r="F6270" s="5" t="n">
        <v>1927.25</v>
      </c>
      <c r="G6270">
        <f>IF(LEFT(B6270,1)="C","Credit","Factuur")</f>
        <v/>
      </c>
      <c r="H6270">
        <f>IF(AND(B6270=B6269,D6270=D6269,A6270=A6269,F6270=F6269),1,0)</f>
        <v/>
      </c>
      <c r="I6270">
        <f>IF(C6270="C99999",1,0)</f>
        <v/>
      </c>
      <c r="J6270" s="5">
        <f>IF(OR(H6270=1,I6270=1),0,IF(G6270="Credit",-F6270,F6270))</f>
        <v/>
      </c>
    </row>
    <row r="6271">
      <c r="A6271" t="inlineStr">
        <is>
          <t>2026-09-01</t>
        </is>
      </c>
      <c r="B6271" t="inlineStr">
        <is>
          <t>F266757</t>
        </is>
      </c>
      <c r="C6271" t="inlineStr">
        <is>
          <t>C10356</t>
        </is>
      </c>
      <c r="D6271" t="inlineStr">
        <is>
          <t>SKU-10022</t>
        </is>
      </c>
      <c r="E6271" t="inlineStr">
        <is>
          <t>AM05</t>
        </is>
      </c>
      <c r="F6271" s="5" t="n">
        <v>266.24</v>
      </c>
      <c r="G6271">
        <f>IF(LEFT(B6271,1)="C","Credit","Factuur")</f>
        <v/>
      </c>
      <c r="H6271">
        <f>IF(AND(B6271=B6270,D6271=D6270,A6271=A6270,F6271=F6270),1,0)</f>
        <v/>
      </c>
      <c r="I6271">
        <f>IF(C6271="C99999",1,0)</f>
        <v/>
      </c>
      <c r="J6271" s="5">
        <f>IF(OR(H6271=1,I6271=1),0,IF(G6271="Credit",-F6271,F6271))</f>
        <v/>
      </c>
    </row>
    <row r="6272">
      <c r="A6272" t="inlineStr">
        <is>
          <t>2026-09-01</t>
        </is>
      </c>
      <c r="B6272" t="inlineStr">
        <is>
          <t>F266757</t>
        </is>
      </c>
      <c r="C6272" t="inlineStr">
        <is>
          <t>C10356</t>
        </is>
      </c>
      <c r="D6272" t="inlineStr">
        <is>
          <t>SKU-10038</t>
        </is>
      </c>
      <c r="E6272" t="inlineStr">
        <is>
          <t>AM05</t>
        </is>
      </c>
      <c r="F6272" s="5" t="n">
        <v>261.9</v>
      </c>
      <c r="G6272">
        <f>IF(LEFT(B6272,1)="C","Credit","Factuur")</f>
        <v/>
      </c>
      <c r="H6272">
        <f>IF(AND(B6272=B6271,D6272=D6271,A6272=A6271,F6272=F6271),1,0)</f>
        <v/>
      </c>
      <c r="I6272">
        <f>IF(C6272="C99999",1,0)</f>
        <v/>
      </c>
      <c r="J6272" s="5">
        <f>IF(OR(H6272=1,I6272=1),0,IF(G6272="Credit",-F6272,F6272))</f>
        <v/>
      </c>
    </row>
    <row r="6273">
      <c r="A6273" t="inlineStr">
        <is>
          <t>2026-09-01</t>
        </is>
      </c>
      <c r="B6273" t="inlineStr">
        <is>
          <t>F266757</t>
        </is>
      </c>
      <c r="C6273" t="inlineStr">
        <is>
          <t>C10356</t>
        </is>
      </c>
      <c r="D6273" t="inlineStr">
        <is>
          <t>SKU-10138</t>
        </is>
      </c>
      <c r="E6273" t="inlineStr">
        <is>
          <t>AM05</t>
        </is>
      </c>
      <c r="F6273" s="5" t="n">
        <v>290.59</v>
      </c>
      <c r="G6273">
        <f>IF(LEFT(B6273,1)="C","Credit","Factuur")</f>
        <v/>
      </c>
      <c r="H6273">
        <f>IF(AND(B6273=B6272,D6273=D6272,A6273=A6272,F6273=F6272),1,0)</f>
        <v/>
      </c>
      <c r="I6273">
        <f>IF(C6273="C99999",1,0)</f>
        <v/>
      </c>
      <c r="J6273" s="5">
        <f>IF(OR(H6273=1,I6273=1),0,IF(G6273="Credit",-F6273,F6273))</f>
        <v/>
      </c>
    </row>
    <row r="6274">
      <c r="A6274" t="inlineStr">
        <is>
          <t>2026-09-01</t>
        </is>
      </c>
      <c r="B6274" t="inlineStr">
        <is>
          <t>F266757</t>
        </is>
      </c>
      <c r="C6274" t="inlineStr">
        <is>
          <t>C10356</t>
        </is>
      </c>
      <c r="D6274" t="inlineStr">
        <is>
          <t>SKU-10177</t>
        </is>
      </c>
      <c r="E6274" t="inlineStr">
        <is>
          <t>AM05</t>
        </is>
      </c>
      <c r="F6274" s="5" t="n">
        <v>261.08</v>
      </c>
      <c r="G6274">
        <f>IF(LEFT(B6274,1)="C","Credit","Factuur")</f>
        <v/>
      </c>
      <c r="H6274">
        <f>IF(AND(B6274=B6273,D6274=D6273,A6274=A6273,F6274=F6273),1,0)</f>
        <v/>
      </c>
      <c r="I6274">
        <f>IF(C6274="C99999",1,0)</f>
        <v/>
      </c>
      <c r="J6274" s="5">
        <f>IF(OR(H6274=1,I6274=1),0,IF(G6274="Credit",-F6274,F6274))</f>
        <v/>
      </c>
    </row>
    <row r="6275">
      <c r="A6275" t="inlineStr">
        <is>
          <t>2026-09-01</t>
        </is>
      </c>
      <c r="B6275" t="inlineStr">
        <is>
          <t>F266757</t>
        </is>
      </c>
      <c r="C6275" t="inlineStr">
        <is>
          <t>C10356</t>
        </is>
      </c>
      <c r="D6275" t="inlineStr">
        <is>
          <t>SKU-10373</t>
        </is>
      </c>
      <c r="E6275" t="inlineStr">
        <is>
          <t>AM05</t>
        </is>
      </c>
      <c r="F6275" s="5" t="n">
        <v>323.17</v>
      </c>
      <c r="G6275">
        <f>IF(LEFT(B6275,1)="C","Credit","Factuur")</f>
        <v/>
      </c>
      <c r="H6275">
        <f>IF(AND(B6275=B6274,D6275=D6274,A6275=A6274,F6275=F6274),1,0)</f>
        <v/>
      </c>
      <c r="I6275">
        <f>IF(C6275="C99999",1,0)</f>
        <v/>
      </c>
      <c r="J6275" s="5">
        <f>IF(OR(H6275=1,I6275=1),0,IF(G6275="Credit",-F6275,F6275))</f>
        <v/>
      </c>
    </row>
    <row r="6276">
      <c r="A6276" t="inlineStr">
        <is>
          <t>2026-09-01</t>
        </is>
      </c>
      <c r="B6276" t="inlineStr">
        <is>
          <t>F266822</t>
        </is>
      </c>
      <c r="C6276" t="inlineStr">
        <is>
          <t>C10360</t>
        </is>
      </c>
      <c r="D6276" t="inlineStr">
        <is>
          <t>SKU-10211</t>
        </is>
      </c>
      <c r="E6276" t="inlineStr">
        <is>
          <t>AM05</t>
        </is>
      </c>
      <c r="F6276" s="5" t="n">
        <v>151.4</v>
      </c>
      <c r="G6276">
        <f>IF(LEFT(B6276,1)="C","Credit","Factuur")</f>
        <v/>
      </c>
      <c r="H6276">
        <f>IF(AND(B6276=B6275,D6276=D6275,A6276=A6275,F6276=F6275),1,0)</f>
        <v/>
      </c>
      <c r="I6276">
        <f>IF(C6276="C99999",1,0)</f>
        <v/>
      </c>
      <c r="J6276" s="5">
        <f>IF(OR(H6276=1,I6276=1),0,IF(G6276="Credit",-F6276,F6276))</f>
        <v/>
      </c>
    </row>
    <row r="6277">
      <c r="A6277" t="inlineStr">
        <is>
          <t>2026-09-01</t>
        </is>
      </c>
      <c r="B6277" t="inlineStr">
        <is>
          <t>F266822</t>
        </is>
      </c>
      <c r="C6277" t="inlineStr">
        <is>
          <t>C10360</t>
        </is>
      </c>
      <c r="D6277" t="inlineStr">
        <is>
          <t>SKU-10255</t>
        </is>
      </c>
      <c r="E6277" t="inlineStr">
        <is>
          <t>AM05</t>
        </is>
      </c>
      <c r="F6277" s="5" t="n">
        <v>164.44</v>
      </c>
      <c r="G6277">
        <f>IF(LEFT(B6277,1)="C","Credit","Factuur")</f>
        <v/>
      </c>
      <c r="H6277">
        <f>IF(AND(B6277=B6276,D6277=D6276,A6277=A6276,F6277=F6276),1,0)</f>
        <v/>
      </c>
      <c r="I6277">
        <f>IF(C6277="C99999",1,0)</f>
        <v/>
      </c>
      <c r="J6277" s="5">
        <f>IF(OR(H6277=1,I6277=1),0,IF(G6277="Credit",-F6277,F6277))</f>
        <v/>
      </c>
    </row>
    <row r="6278">
      <c r="A6278" t="inlineStr">
        <is>
          <t>2026-09-01</t>
        </is>
      </c>
      <c r="B6278" t="inlineStr">
        <is>
          <t>F266822</t>
        </is>
      </c>
      <c r="C6278" t="inlineStr">
        <is>
          <t>C10360</t>
        </is>
      </c>
      <c r="D6278" t="inlineStr">
        <is>
          <t>SKU-10307</t>
        </is>
      </c>
      <c r="E6278" t="inlineStr">
        <is>
          <t>AM05</t>
        </is>
      </c>
      <c r="F6278" s="5" t="n">
        <v>152.33</v>
      </c>
      <c r="G6278">
        <f>IF(LEFT(B6278,1)="C","Credit","Factuur")</f>
        <v/>
      </c>
      <c r="H6278">
        <f>IF(AND(B6278=B6277,D6278=D6277,A6278=A6277,F6278=F6277),1,0)</f>
        <v/>
      </c>
      <c r="I6278">
        <f>IF(C6278="C99999",1,0)</f>
        <v/>
      </c>
      <c r="J6278" s="5">
        <f>IF(OR(H6278=1,I6278=1),0,IF(G6278="Credit",-F6278,F6278))</f>
        <v/>
      </c>
    </row>
    <row r="6279">
      <c r="A6279" t="inlineStr">
        <is>
          <t>2026-09-01</t>
        </is>
      </c>
      <c r="B6279" t="inlineStr">
        <is>
          <t>F266822</t>
        </is>
      </c>
      <c r="C6279" t="inlineStr">
        <is>
          <t>C10360</t>
        </is>
      </c>
      <c r="D6279" t="inlineStr">
        <is>
          <t>SKU-10319</t>
        </is>
      </c>
      <c r="E6279" t="inlineStr">
        <is>
          <t>AM05</t>
        </is>
      </c>
      <c r="F6279" s="5" t="n">
        <v>156.28</v>
      </c>
      <c r="G6279">
        <f>IF(LEFT(B6279,1)="C","Credit","Factuur")</f>
        <v/>
      </c>
      <c r="H6279">
        <f>IF(AND(B6279=B6278,D6279=D6278,A6279=A6278,F6279=F6278),1,0)</f>
        <v/>
      </c>
      <c r="I6279">
        <f>IF(C6279="C99999",1,0)</f>
        <v/>
      </c>
      <c r="J6279" s="5">
        <f>IF(OR(H6279=1,I6279=1),0,IF(G6279="Credit",-F6279,F6279))</f>
        <v/>
      </c>
    </row>
    <row r="6280">
      <c r="A6280" t="inlineStr">
        <is>
          <t>2026-09-01</t>
        </is>
      </c>
      <c r="B6280" t="inlineStr">
        <is>
          <t>F267369</t>
        </is>
      </c>
      <c r="C6280" t="inlineStr">
        <is>
          <t>C10389</t>
        </is>
      </c>
      <c r="D6280" t="inlineStr">
        <is>
          <t>SKU-10268</t>
        </is>
      </c>
      <c r="E6280" t="inlineStr">
        <is>
          <t>AM01</t>
        </is>
      </c>
      <c r="F6280" s="5" t="n">
        <v>644.5599999999999</v>
      </c>
      <c r="G6280">
        <f>IF(LEFT(B6280,1)="C","Credit","Factuur")</f>
        <v/>
      </c>
      <c r="H6280">
        <f>IF(AND(B6280=B6279,D6280=D6279,A6280=A6279,F6280=F6279),1,0)</f>
        <v/>
      </c>
      <c r="I6280">
        <f>IF(C6280="C99999",1,0)</f>
        <v/>
      </c>
      <c r="J6280" s="5">
        <f>IF(OR(H6280=1,I6280=1),0,IF(G6280="Credit",-F6280,F6280))</f>
        <v/>
      </c>
    </row>
    <row r="6281">
      <c r="A6281" t="inlineStr">
        <is>
          <t>2026-09-01</t>
        </is>
      </c>
      <c r="B6281" t="inlineStr">
        <is>
          <t>F267369</t>
        </is>
      </c>
      <c r="C6281" t="inlineStr">
        <is>
          <t>C10389</t>
        </is>
      </c>
      <c r="D6281" t="inlineStr">
        <is>
          <t>SKU-10338</t>
        </is>
      </c>
      <c r="E6281" t="inlineStr">
        <is>
          <t>AM01</t>
        </is>
      </c>
      <c r="F6281" s="5" t="n">
        <v>655.54</v>
      </c>
      <c r="G6281">
        <f>IF(LEFT(B6281,1)="C","Credit","Factuur")</f>
        <v/>
      </c>
      <c r="H6281">
        <f>IF(AND(B6281=B6280,D6281=D6280,A6281=A6280,F6281=F6280),1,0)</f>
        <v/>
      </c>
      <c r="I6281">
        <f>IF(C6281="C99999",1,0)</f>
        <v/>
      </c>
      <c r="J6281" s="5">
        <f>IF(OR(H6281=1,I6281=1),0,IF(G6281="Credit",-F6281,F6281))</f>
        <v/>
      </c>
    </row>
    <row r="6282">
      <c r="A6282" t="inlineStr">
        <is>
          <t>2026-09-01</t>
        </is>
      </c>
      <c r="B6282" t="inlineStr">
        <is>
          <t>F267491</t>
        </is>
      </c>
      <c r="C6282" t="inlineStr">
        <is>
          <t>C10395</t>
        </is>
      </c>
      <c r="D6282" t="inlineStr">
        <is>
          <t>SKU-10261</t>
        </is>
      </c>
      <c r="E6282" t="inlineStr">
        <is>
          <t>AM07</t>
        </is>
      </c>
      <c r="F6282" s="5" t="n">
        <v>654.72</v>
      </c>
      <c r="G6282">
        <f>IF(LEFT(B6282,1)="C","Credit","Factuur")</f>
        <v/>
      </c>
      <c r="H6282">
        <f>IF(AND(B6282=B6281,D6282=D6281,A6282=A6281,F6282=F6281),1,0)</f>
        <v/>
      </c>
      <c r="I6282">
        <f>IF(C6282="C99999",1,0)</f>
        <v/>
      </c>
      <c r="J6282" s="5">
        <f>IF(OR(H6282=1,I6282=1),0,IF(G6282="Credit",-F6282,F6282))</f>
        <v/>
      </c>
    </row>
    <row r="6283">
      <c r="A6283" t="inlineStr">
        <is>
          <t>2026-09-01</t>
        </is>
      </c>
      <c r="B6283" t="inlineStr">
        <is>
          <t>F267491</t>
        </is>
      </c>
      <c r="C6283" t="inlineStr">
        <is>
          <t>C10395</t>
        </is>
      </c>
      <c r="D6283" t="inlineStr">
        <is>
          <t>SKU-10317</t>
        </is>
      </c>
      <c r="E6283" t="inlineStr">
        <is>
          <t>AM07</t>
        </is>
      </c>
      <c r="F6283" s="5" t="n">
        <v>665.04</v>
      </c>
      <c r="G6283">
        <f>IF(LEFT(B6283,1)="C","Credit","Factuur")</f>
        <v/>
      </c>
      <c r="H6283">
        <f>IF(AND(B6283=B6282,D6283=D6282,A6283=A6282,F6283=F6282),1,0)</f>
        <v/>
      </c>
      <c r="I6283">
        <f>IF(C6283="C99999",1,0)</f>
        <v/>
      </c>
      <c r="J6283" s="5">
        <f>IF(OR(H6283=1,I6283=1),0,IF(G6283="Credit",-F6283,F6283))</f>
        <v/>
      </c>
    </row>
    <row r="6284">
      <c r="A6284" t="inlineStr">
        <is>
          <t>2026-09-01</t>
        </is>
      </c>
      <c r="B6284" t="inlineStr">
        <is>
          <t>F267491</t>
        </is>
      </c>
      <c r="C6284" t="inlineStr">
        <is>
          <t>C10395</t>
        </is>
      </c>
      <c r="D6284" t="inlineStr">
        <is>
          <t>SKU-10328</t>
        </is>
      </c>
      <c r="E6284" t="inlineStr">
        <is>
          <t>AM07</t>
        </is>
      </c>
      <c r="F6284" s="5" t="n">
        <v>656.04</v>
      </c>
      <c r="G6284">
        <f>IF(LEFT(B6284,1)="C","Credit","Factuur")</f>
        <v/>
      </c>
      <c r="H6284">
        <f>IF(AND(B6284=B6283,D6284=D6283,A6284=A6283,F6284=F6283),1,0)</f>
        <v/>
      </c>
      <c r="I6284">
        <f>IF(C6284="C99999",1,0)</f>
        <v/>
      </c>
      <c r="J6284" s="5">
        <f>IF(OR(H6284=1,I6284=1),0,IF(G6284="Credit",-F6284,F6284))</f>
        <v/>
      </c>
    </row>
    <row r="6285">
      <c r="A6285" t="inlineStr">
        <is>
          <t>2026-09-01</t>
        </is>
      </c>
      <c r="B6285" t="inlineStr">
        <is>
          <t>F267491</t>
        </is>
      </c>
      <c r="C6285" t="inlineStr">
        <is>
          <t>C10395</t>
        </is>
      </c>
      <c r="D6285" t="inlineStr">
        <is>
          <t>SKU-10329</t>
        </is>
      </c>
      <c r="E6285" t="inlineStr">
        <is>
          <t>AM07</t>
        </is>
      </c>
      <c r="F6285" s="5" t="n">
        <v>662.76</v>
      </c>
      <c r="G6285">
        <f>IF(LEFT(B6285,1)="C","Credit","Factuur")</f>
        <v/>
      </c>
      <c r="H6285">
        <f>IF(AND(B6285=B6284,D6285=D6284,A6285=A6284,F6285=F6284),1,0)</f>
        <v/>
      </c>
      <c r="I6285">
        <f>IF(C6285="C99999",1,0)</f>
        <v/>
      </c>
      <c r="J6285" s="5">
        <f>IF(OR(H6285=1,I6285=1),0,IF(G6285="Credit",-F6285,F6285))</f>
        <v/>
      </c>
    </row>
    <row r="6286">
      <c r="A6286" t="inlineStr">
        <is>
          <t>2026-09-01</t>
        </is>
      </c>
      <c r="B6286" t="inlineStr">
        <is>
          <t>F267676</t>
        </is>
      </c>
      <c r="C6286" t="inlineStr">
        <is>
          <t>C10403</t>
        </is>
      </c>
      <c r="D6286" t="inlineStr">
        <is>
          <t>SKU-10031</t>
        </is>
      </c>
      <c r="E6286" t="inlineStr">
        <is>
          <t>AM11</t>
        </is>
      </c>
      <c r="F6286" s="5" t="n">
        <v>495.89</v>
      </c>
      <c r="G6286">
        <f>IF(LEFT(B6286,1)="C","Credit","Factuur")</f>
        <v/>
      </c>
      <c r="H6286">
        <f>IF(AND(B6286=B6285,D6286=D6285,A6286=A6285,F6286=F6285),1,0)</f>
        <v/>
      </c>
      <c r="I6286">
        <f>IF(C6286="C99999",1,0)</f>
        <v/>
      </c>
      <c r="J6286" s="5">
        <f>IF(OR(H6286=1,I6286=1),0,IF(G6286="Credit",-F6286,F6286))</f>
        <v/>
      </c>
    </row>
    <row r="6287">
      <c r="A6287" t="inlineStr">
        <is>
          <t>2026-09-01</t>
        </is>
      </c>
      <c r="B6287" t="inlineStr">
        <is>
          <t>F267676</t>
        </is>
      </c>
      <c r="C6287" t="inlineStr">
        <is>
          <t>C10403</t>
        </is>
      </c>
      <c r="D6287" t="inlineStr">
        <is>
          <t>SKU-10135</t>
        </is>
      </c>
      <c r="E6287" t="inlineStr">
        <is>
          <t>AM11</t>
        </is>
      </c>
      <c r="F6287" s="5" t="n">
        <v>488.16</v>
      </c>
      <c r="G6287">
        <f>IF(LEFT(B6287,1)="C","Credit","Factuur")</f>
        <v/>
      </c>
      <c r="H6287">
        <f>IF(AND(B6287=B6286,D6287=D6286,A6287=A6286,F6287=F6286),1,0)</f>
        <v/>
      </c>
      <c r="I6287">
        <f>IF(C6287="C99999",1,0)</f>
        <v/>
      </c>
      <c r="J6287" s="5">
        <f>IF(OR(H6287=1,I6287=1),0,IF(G6287="Credit",-F6287,F6287))</f>
        <v/>
      </c>
    </row>
    <row r="6288">
      <c r="A6288" t="inlineStr">
        <is>
          <t>2026-09-01</t>
        </is>
      </c>
      <c r="B6288" t="inlineStr">
        <is>
          <t>F267676</t>
        </is>
      </c>
      <c r="C6288" t="inlineStr">
        <is>
          <t>C10403</t>
        </is>
      </c>
      <c r="D6288" t="inlineStr">
        <is>
          <t>SKU-10336</t>
        </is>
      </c>
      <c r="E6288" t="inlineStr">
        <is>
          <t>AM11</t>
        </is>
      </c>
      <c r="F6288" s="5" t="n">
        <v>469.11</v>
      </c>
      <c r="G6288">
        <f>IF(LEFT(B6288,1)="C","Credit","Factuur")</f>
        <v/>
      </c>
      <c r="H6288">
        <f>IF(AND(B6288=B6287,D6288=D6287,A6288=A6287,F6288=F6287),1,0)</f>
        <v/>
      </c>
      <c r="I6288">
        <f>IF(C6288="C99999",1,0)</f>
        <v/>
      </c>
      <c r="J6288" s="5">
        <f>IF(OR(H6288=1,I6288=1),0,IF(G6288="Credit",-F6288,F6288))</f>
        <v/>
      </c>
    </row>
    <row r="6289">
      <c r="A6289" t="inlineStr">
        <is>
          <t>2026-09-01</t>
        </is>
      </c>
      <c r="B6289" t="inlineStr">
        <is>
          <t>F268179</t>
        </is>
      </c>
      <c r="C6289" t="inlineStr">
        <is>
          <t>C10429</t>
        </is>
      </c>
      <c r="D6289" t="inlineStr">
        <is>
          <t>SKU-10264</t>
        </is>
      </c>
      <c r="E6289" t="inlineStr">
        <is>
          <t>AM05</t>
        </is>
      </c>
      <c r="F6289" s="5" t="n">
        <v>95.09999999999999</v>
      </c>
      <c r="G6289">
        <f>IF(LEFT(B6289,1)="C","Credit","Factuur")</f>
        <v/>
      </c>
      <c r="H6289">
        <f>IF(AND(B6289=B6288,D6289=D6288,A6289=A6288,F6289=F6288),1,0)</f>
        <v/>
      </c>
      <c r="I6289">
        <f>IF(C6289="C99999",1,0)</f>
        <v/>
      </c>
      <c r="J6289" s="5">
        <f>IF(OR(H6289=1,I6289=1),0,IF(G6289="Credit",-F6289,F6289))</f>
        <v/>
      </c>
    </row>
    <row r="6290">
      <c r="A6290" t="inlineStr">
        <is>
          <t>2026-09-01</t>
        </is>
      </c>
      <c r="B6290" t="inlineStr">
        <is>
          <t>F268179</t>
        </is>
      </c>
      <c r="C6290" t="inlineStr">
        <is>
          <t>C10429</t>
        </is>
      </c>
      <c r="D6290" t="inlineStr">
        <is>
          <t>SKU-10266</t>
        </is>
      </c>
      <c r="E6290" t="inlineStr">
        <is>
          <t>AM05</t>
        </is>
      </c>
      <c r="F6290" s="5" t="n">
        <v>96.66</v>
      </c>
      <c r="G6290">
        <f>IF(LEFT(B6290,1)="C","Credit","Factuur")</f>
        <v/>
      </c>
      <c r="H6290">
        <f>IF(AND(B6290=B6289,D6290=D6289,A6290=A6289,F6290=F6289),1,0)</f>
        <v/>
      </c>
      <c r="I6290">
        <f>IF(C6290="C99999",1,0)</f>
        <v/>
      </c>
      <c r="J6290" s="5">
        <f>IF(OR(H6290=1,I6290=1),0,IF(G6290="Credit",-F6290,F6290))</f>
        <v/>
      </c>
    </row>
    <row r="6291">
      <c r="A6291" t="inlineStr">
        <is>
          <t>2026-09-01</t>
        </is>
      </c>
      <c r="B6291" t="inlineStr">
        <is>
          <t>F268179</t>
        </is>
      </c>
      <c r="C6291" t="inlineStr">
        <is>
          <t>C10429</t>
        </is>
      </c>
      <c r="D6291" t="inlineStr">
        <is>
          <t>SKU-10293</t>
        </is>
      </c>
      <c r="E6291" t="inlineStr">
        <is>
          <t>AM05</t>
        </is>
      </c>
      <c r="F6291" s="5" t="n">
        <v>116.16</v>
      </c>
      <c r="G6291">
        <f>IF(LEFT(B6291,1)="C","Credit","Factuur")</f>
        <v/>
      </c>
      <c r="H6291">
        <f>IF(AND(B6291=B6290,D6291=D6290,A6291=A6290,F6291=F6290),1,0)</f>
        <v/>
      </c>
      <c r="I6291">
        <f>IF(C6291="C99999",1,0)</f>
        <v/>
      </c>
      <c r="J6291" s="5">
        <f>IF(OR(H6291=1,I6291=1),0,IF(G6291="Credit",-F6291,F6291))</f>
        <v/>
      </c>
    </row>
    <row r="6292">
      <c r="A6292" t="inlineStr">
        <is>
          <t>2026-09-01</t>
        </is>
      </c>
      <c r="B6292" t="inlineStr">
        <is>
          <t>F268677</t>
        </is>
      </c>
      <c r="C6292" t="inlineStr">
        <is>
          <t>C10454</t>
        </is>
      </c>
      <c r="D6292" t="inlineStr">
        <is>
          <t>SKU-10285</t>
        </is>
      </c>
      <c r="E6292" t="inlineStr">
        <is>
          <t>AM12</t>
        </is>
      </c>
      <c r="F6292" s="5" t="n">
        <v>600.04</v>
      </c>
      <c r="G6292">
        <f>IF(LEFT(B6292,1)="C","Credit","Factuur")</f>
        <v/>
      </c>
      <c r="H6292">
        <f>IF(AND(B6292=B6291,D6292=D6291,A6292=A6291,F6292=F6291),1,0)</f>
        <v/>
      </c>
      <c r="I6292">
        <f>IF(C6292="C99999",1,0)</f>
        <v/>
      </c>
      <c r="J6292" s="5">
        <f>IF(OR(H6292=1,I6292=1),0,IF(G6292="Credit",-F6292,F6292))</f>
        <v/>
      </c>
    </row>
    <row r="6293">
      <c r="A6293" t="inlineStr">
        <is>
          <t>2026-09-01</t>
        </is>
      </c>
      <c r="B6293" t="inlineStr">
        <is>
          <t>F268856</t>
        </is>
      </c>
      <c r="C6293" t="inlineStr">
        <is>
          <t>C10462</t>
        </is>
      </c>
      <c r="D6293" t="inlineStr">
        <is>
          <t>SKU-10108</t>
        </is>
      </c>
      <c r="E6293" t="inlineStr">
        <is>
          <t>AM08</t>
        </is>
      </c>
      <c r="F6293" s="5" t="n">
        <v>371.72</v>
      </c>
      <c r="G6293">
        <f>IF(LEFT(B6293,1)="C","Credit","Factuur")</f>
        <v/>
      </c>
      <c r="H6293">
        <f>IF(AND(B6293=B6292,D6293=D6292,A6293=A6292,F6293=F6292),1,0)</f>
        <v/>
      </c>
      <c r="I6293">
        <f>IF(C6293="C99999",1,0)</f>
        <v/>
      </c>
      <c r="J6293" s="5">
        <f>IF(OR(H6293=1,I6293=1),0,IF(G6293="Credit",-F6293,F6293))</f>
        <v/>
      </c>
    </row>
    <row r="6294">
      <c r="A6294" t="inlineStr">
        <is>
          <t>2026-09-01</t>
        </is>
      </c>
      <c r="B6294" t="inlineStr">
        <is>
          <t>F268856</t>
        </is>
      </c>
      <c r="C6294" t="inlineStr">
        <is>
          <t>C10462</t>
        </is>
      </c>
      <c r="D6294" t="inlineStr">
        <is>
          <t>SKU-10222</t>
        </is>
      </c>
      <c r="E6294" t="inlineStr">
        <is>
          <t>AM08</t>
        </is>
      </c>
      <c r="F6294" s="5" t="n">
        <v>361.9</v>
      </c>
      <c r="G6294">
        <f>IF(LEFT(B6294,1)="C","Credit","Factuur")</f>
        <v/>
      </c>
      <c r="H6294">
        <f>IF(AND(B6294=B6293,D6294=D6293,A6294=A6293,F6294=F6293),1,0)</f>
        <v/>
      </c>
      <c r="I6294">
        <f>IF(C6294="C99999",1,0)</f>
        <v/>
      </c>
      <c r="J6294" s="5">
        <f>IF(OR(H6294=1,I6294=1),0,IF(G6294="Credit",-F6294,F6294))</f>
        <v/>
      </c>
    </row>
    <row r="6295">
      <c r="A6295" t="inlineStr">
        <is>
          <t>2026-09-01</t>
        </is>
      </c>
      <c r="B6295" t="inlineStr">
        <is>
          <t>F269599</t>
        </is>
      </c>
      <c r="C6295" t="inlineStr">
        <is>
          <t>C10504</t>
        </is>
      </c>
      <c r="D6295" t="inlineStr">
        <is>
          <t>SKU-10164</t>
        </is>
      </c>
      <c r="E6295" t="inlineStr">
        <is>
          <t>AM03</t>
        </is>
      </c>
      <c r="F6295" s="5" t="n">
        <v>123.05</v>
      </c>
      <c r="G6295">
        <f>IF(LEFT(B6295,1)="C","Credit","Factuur")</f>
        <v/>
      </c>
      <c r="H6295">
        <f>IF(AND(B6295=B6294,D6295=D6294,A6295=A6294,F6295=F6294),1,0)</f>
        <v/>
      </c>
      <c r="I6295">
        <f>IF(C6295="C99999",1,0)</f>
        <v/>
      </c>
      <c r="J6295" s="5">
        <f>IF(OR(H6295=1,I6295=1),0,IF(G6295="Credit",-F6295,F6295))</f>
        <v/>
      </c>
    </row>
    <row r="6296">
      <c r="A6296" t="inlineStr">
        <is>
          <t>2026-09-01</t>
        </is>
      </c>
      <c r="B6296" t="inlineStr">
        <is>
          <t>F269599</t>
        </is>
      </c>
      <c r="C6296" t="inlineStr">
        <is>
          <t>C10504</t>
        </is>
      </c>
      <c r="D6296" t="inlineStr">
        <is>
          <t>SKU-10196</t>
        </is>
      </c>
      <c r="E6296" t="inlineStr">
        <is>
          <t>AM03</t>
        </is>
      </c>
      <c r="F6296" s="5" t="n">
        <v>138.06</v>
      </c>
      <c r="G6296">
        <f>IF(LEFT(B6296,1)="C","Credit","Factuur")</f>
        <v/>
      </c>
      <c r="H6296">
        <f>IF(AND(B6296=B6295,D6296=D6295,A6296=A6295,F6296=F6295),1,0)</f>
        <v/>
      </c>
      <c r="I6296">
        <f>IF(C6296="C99999",1,0)</f>
        <v/>
      </c>
      <c r="J6296" s="5">
        <f>IF(OR(H6296=1,I6296=1),0,IF(G6296="Credit",-F6296,F6296))</f>
        <v/>
      </c>
    </row>
    <row r="6297">
      <c r="A6297" t="inlineStr">
        <is>
          <t>2026-09-01</t>
        </is>
      </c>
      <c r="B6297" t="inlineStr">
        <is>
          <t>F269599</t>
        </is>
      </c>
      <c r="C6297" t="inlineStr">
        <is>
          <t>C10504</t>
        </is>
      </c>
      <c r="D6297" t="inlineStr">
        <is>
          <t>SKU-10207</t>
        </is>
      </c>
      <c r="E6297" t="inlineStr">
        <is>
          <t>AM03</t>
        </is>
      </c>
      <c r="F6297" s="5" t="n">
        <v>126.72</v>
      </c>
      <c r="G6297">
        <f>IF(LEFT(B6297,1)="C","Credit","Factuur")</f>
        <v/>
      </c>
      <c r="H6297">
        <f>IF(AND(B6297=B6296,D6297=D6296,A6297=A6296,F6297=F6296),1,0)</f>
        <v/>
      </c>
      <c r="I6297">
        <f>IF(C6297="C99999",1,0)</f>
        <v/>
      </c>
      <c r="J6297" s="5">
        <f>IF(OR(H6297=1,I6297=1),0,IF(G6297="Credit",-F6297,F6297))</f>
        <v/>
      </c>
    </row>
    <row r="6298">
      <c r="A6298" t="inlineStr">
        <is>
          <t>2026-09-01</t>
        </is>
      </c>
      <c r="B6298" t="inlineStr">
        <is>
          <t>F270075</t>
        </is>
      </c>
      <c r="C6298" t="inlineStr">
        <is>
          <t>C10530</t>
        </is>
      </c>
      <c r="D6298" t="inlineStr">
        <is>
          <t>SKU-10038</t>
        </is>
      </c>
      <c r="E6298" t="inlineStr">
        <is>
          <t>AM03</t>
        </is>
      </c>
      <c r="F6298" s="5" t="n">
        <v>116.11</v>
      </c>
      <c r="G6298">
        <f>IF(LEFT(B6298,1)="C","Credit","Factuur")</f>
        <v/>
      </c>
      <c r="H6298">
        <f>IF(AND(B6298=B6297,D6298=D6297,A6298=A6297,F6298=F6297),1,0)</f>
        <v/>
      </c>
      <c r="I6298">
        <f>IF(C6298="C99999",1,0)</f>
        <v/>
      </c>
      <c r="J6298" s="5">
        <f>IF(OR(H6298=1,I6298=1),0,IF(G6298="Credit",-F6298,F6298))</f>
        <v/>
      </c>
    </row>
    <row r="6299">
      <c r="A6299" t="inlineStr">
        <is>
          <t>2026-09-01</t>
        </is>
      </c>
      <c r="B6299" t="inlineStr">
        <is>
          <t>F270075</t>
        </is>
      </c>
      <c r="C6299" t="inlineStr">
        <is>
          <t>C10530</t>
        </is>
      </c>
      <c r="D6299" t="inlineStr">
        <is>
          <t>SKU-10045</t>
        </is>
      </c>
      <c r="E6299" t="inlineStr">
        <is>
          <t>AM03</t>
        </is>
      </c>
      <c r="F6299" s="5" t="n">
        <v>116.73</v>
      </c>
      <c r="G6299">
        <f>IF(LEFT(B6299,1)="C","Credit","Factuur")</f>
        <v/>
      </c>
      <c r="H6299">
        <f>IF(AND(B6299=B6298,D6299=D6298,A6299=A6298,F6299=F6298),1,0)</f>
        <v/>
      </c>
      <c r="I6299">
        <f>IF(C6299="C99999",1,0)</f>
        <v/>
      </c>
      <c r="J6299" s="5">
        <f>IF(OR(H6299=1,I6299=1),0,IF(G6299="Credit",-F6299,F6299))</f>
        <v/>
      </c>
    </row>
    <row r="6300">
      <c r="A6300" t="inlineStr">
        <is>
          <t>2026-09-01</t>
        </is>
      </c>
      <c r="B6300" t="inlineStr">
        <is>
          <t>F270075</t>
        </is>
      </c>
      <c r="C6300" t="inlineStr">
        <is>
          <t>C10530</t>
        </is>
      </c>
      <c r="D6300" t="inlineStr">
        <is>
          <t>SKU-10131</t>
        </is>
      </c>
      <c r="E6300" t="inlineStr">
        <is>
          <t>AM03</t>
        </is>
      </c>
      <c r="F6300" s="5" t="n">
        <v>110.72</v>
      </c>
      <c r="G6300">
        <f>IF(LEFT(B6300,1)="C","Credit","Factuur")</f>
        <v/>
      </c>
      <c r="H6300">
        <f>IF(AND(B6300=B6299,D6300=D6299,A6300=A6299,F6300=F6299),1,0)</f>
        <v/>
      </c>
      <c r="I6300">
        <f>IF(C6300="C99999",1,0)</f>
        <v/>
      </c>
      <c r="J6300" s="5">
        <f>IF(OR(H6300=1,I6300=1),0,IF(G6300="Credit",-F6300,F6300))</f>
        <v/>
      </c>
    </row>
    <row r="6301">
      <c r="A6301" t="inlineStr">
        <is>
          <t>2026-09-01</t>
        </is>
      </c>
      <c r="B6301" t="inlineStr">
        <is>
          <t>F270075</t>
        </is>
      </c>
      <c r="C6301" t="inlineStr">
        <is>
          <t>C10530</t>
        </is>
      </c>
      <c r="D6301" t="inlineStr">
        <is>
          <t>SKU-10201</t>
        </is>
      </c>
      <c r="E6301" t="inlineStr">
        <is>
          <t>AM03</t>
        </is>
      </c>
      <c r="F6301" s="5" t="n">
        <v>106.56</v>
      </c>
      <c r="G6301">
        <f>IF(LEFT(B6301,1)="C","Credit","Factuur")</f>
        <v/>
      </c>
      <c r="H6301">
        <f>IF(AND(B6301=B6300,D6301=D6300,A6301=A6300,F6301=F6300),1,0)</f>
        <v/>
      </c>
      <c r="I6301">
        <f>IF(C6301="C99999",1,0)</f>
        <v/>
      </c>
      <c r="J6301" s="5">
        <f>IF(OR(H6301=1,I6301=1),0,IF(G6301="Credit",-F6301,F6301))</f>
        <v/>
      </c>
    </row>
    <row r="6302">
      <c r="A6302" t="inlineStr">
        <is>
          <t>2026-09-01</t>
        </is>
      </c>
      <c r="B6302" t="inlineStr">
        <is>
          <t>F270321</t>
        </is>
      </c>
      <c r="C6302" t="inlineStr">
        <is>
          <t>C10543</t>
        </is>
      </c>
      <c r="D6302" t="inlineStr">
        <is>
          <t>SKU-10127</t>
        </is>
      </c>
      <c r="E6302" t="inlineStr">
        <is>
          <t>AM05</t>
        </is>
      </c>
      <c r="F6302" s="5" t="n">
        <v>366.2</v>
      </c>
      <c r="G6302">
        <f>IF(LEFT(B6302,1)="C","Credit","Factuur")</f>
        <v/>
      </c>
      <c r="H6302">
        <f>IF(AND(B6302=B6301,D6302=D6301,A6302=A6301,F6302=F6301),1,0)</f>
        <v/>
      </c>
      <c r="I6302">
        <f>IF(C6302="C99999",1,0)</f>
        <v/>
      </c>
      <c r="J6302" s="5">
        <f>IF(OR(H6302=1,I6302=1),0,IF(G6302="Credit",-F6302,F6302))</f>
        <v/>
      </c>
    </row>
    <row r="6303">
      <c r="A6303" t="inlineStr">
        <is>
          <t>2026-09-01</t>
        </is>
      </c>
      <c r="B6303" t="inlineStr">
        <is>
          <t>F270321</t>
        </is>
      </c>
      <c r="C6303" t="inlineStr">
        <is>
          <t>C10543</t>
        </is>
      </c>
      <c r="D6303" t="inlineStr">
        <is>
          <t>SKU-10148</t>
        </is>
      </c>
      <c r="E6303" t="inlineStr">
        <is>
          <t>AM05</t>
        </is>
      </c>
      <c r="F6303" s="5" t="n">
        <v>357.48</v>
      </c>
      <c r="G6303">
        <f>IF(LEFT(B6303,1)="C","Credit","Factuur")</f>
        <v/>
      </c>
      <c r="H6303">
        <f>IF(AND(B6303=B6302,D6303=D6302,A6303=A6302,F6303=F6302),1,0)</f>
        <v/>
      </c>
      <c r="I6303">
        <f>IF(C6303="C99999",1,0)</f>
        <v/>
      </c>
      <c r="J6303" s="5">
        <f>IF(OR(H6303=1,I6303=1),0,IF(G6303="Credit",-F6303,F6303))</f>
        <v/>
      </c>
    </row>
    <row r="6304">
      <c r="A6304" t="inlineStr">
        <is>
          <t>2026-09-01</t>
        </is>
      </c>
      <c r="B6304" t="inlineStr">
        <is>
          <t>F270321</t>
        </is>
      </c>
      <c r="C6304" t="inlineStr">
        <is>
          <t>C10543</t>
        </is>
      </c>
      <c r="D6304" t="inlineStr">
        <is>
          <t>SKU-10152</t>
        </is>
      </c>
      <c r="E6304" t="inlineStr">
        <is>
          <t>AM05</t>
        </is>
      </c>
      <c r="F6304" s="5" t="n">
        <v>362.52</v>
      </c>
      <c r="G6304">
        <f>IF(LEFT(B6304,1)="C","Credit","Factuur")</f>
        <v/>
      </c>
      <c r="H6304">
        <f>IF(AND(B6304=B6303,D6304=D6303,A6304=A6303,F6304=F6303),1,0)</f>
        <v/>
      </c>
      <c r="I6304">
        <f>IF(C6304="C99999",1,0)</f>
        <v/>
      </c>
      <c r="J6304" s="5">
        <f>IF(OR(H6304=1,I6304=1),0,IF(G6304="Credit",-F6304,F6304))</f>
        <v/>
      </c>
    </row>
    <row r="6305">
      <c r="A6305" t="inlineStr">
        <is>
          <t>2026-09-01</t>
        </is>
      </c>
      <c r="B6305" t="inlineStr">
        <is>
          <t>F270321</t>
        </is>
      </c>
      <c r="C6305" t="inlineStr">
        <is>
          <t>C10543</t>
        </is>
      </c>
      <c r="D6305" t="inlineStr">
        <is>
          <t>SKU-10249</t>
        </is>
      </c>
      <c r="E6305" t="inlineStr">
        <is>
          <t>AM05</t>
        </is>
      </c>
      <c r="F6305" s="5" t="n">
        <v>342.1</v>
      </c>
      <c r="G6305">
        <f>IF(LEFT(B6305,1)="C","Credit","Factuur")</f>
        <v/>
      </c>
      <c r="H6305">
        <f>IF(AND(B6305=B6304,D6305=D6304,A6305=A6304,F6305=F6304),1,0)</f>
        <v/>
      </c>
      <c r="I6305">
        <f>IF(C6305="C99999",1,0)</f>
        <v/>
      </c>
      <c r="J6305" s="5">
        <f>IF(OR(H6305=1,I6305=1),0,IF(G6305="Credit",-F6305,F6305))</f>
        <v/>
      </c>
    </row>
    <row r="6306">
      <c r="A6306" t="inlineStr">
        <is>
          <t>2026-09-01</t>
        </is>
      </c>
      <c r="B6306" t="inlineStr">
        <is>
          <t>F270840</t>
        </is>
      </c>
      <c r="C6306" t="inlineStr">
        <is>
          <t>C10567</t>
        </is>
      </c>
      <c r="D6306" t="inlineStr">
        <is>
          <t>SKU-10014</t>
        </is>
      </c>
      <c r="E6306" t="inlineStr">
        <is>
          <t>AM08</t>
        </is>
      </c>
      <c r="F6306" s="5" t="n">
        <v>330.24</v>
      </c>
      <c r="G6306">
        <f>IF(LEFT(B6306,1)="C","Credit","Factuur")</f>
        <v/>
      </c>
      <c r="H6306">
        <f>IF(AND(B6306=B6305,D6306=D6305,A6306=A6305,F6306=F6305),1,0)</f>
        <v/>
      </c>
      <c r="I6306">
        <f>IF(C6306="C99999",1,0)</f>
        <v/>
      </c>
      <c r="J6306" s="5">
        <f>IF(OR(H6306=1,I6306=1),0,IF(G6306="Credit",-F6306,F6306))</f>
        <v/>
      </c>
    </row>
    <row r="6307">
      <c r="A6307" t="inlineStr">
        <is>
          <t>2026-09-01</t>
        </is>
      </c>
      <c r="B6307" t="inlineStr">
        <is>
          <t>F270875</t>
        </is>
      </c>
      <c r="C6307" t="inlineStr">
        <is>
          <t>C10569</t>
        </is>
      </c>
      <c r="D6307" t="inlineStr">
        <is>
          <t>SKU-10348</t>
        </is>
      </c>
      <c r="E6307" t="inlineStr">
        <is>
          <t>AM06</t>
        </is>
      </c>
      <c r="F6307" s="5" t="n">
        <v>1070.93</v>
      </c>
      <c r="G6307">
        <f>IF(LEFT(B6307,1)="C","Credit","Factuur")</f>
        <v/>
      </c>
      <c r="H6307">
        <f>IF(AND(B6307=B6306,D6307=D6306,A6307=A6306,F6307=F6306),1,0)</f>
        <v/>
      </c>
      <c r="I6307">
        <f>IF(C6307="C99999",1,0)</f>
        <v/>
      </c>
      <c r="J6307" s="5">
        <f>IF(OR(H6307=1,I6307=1),0,IF(G6307="Credit",-F6307,F6307))</f>
        <v/>
      </c>
    </row>
    <row r="6308">
      <c r="A6308" t="inlineStr">
        <is>
          <t>2026-09-01</t>
        </is>
      </c>
      <c r="B6308" t="inlineStr">
        <is>
          <t>F271153</t>
        </is>
      </c>
      <c r="C6308" t="inlineStr">
        <is>
          <t>C10581</t>
        </is>
      </c>
      <c r="D6308" t="inlineStr">
        <is>
          <t>SKU-10015</t>
        </is>
      </c>
      <c r="E6308" t="inlineStr">
        <is>
          <t>AM02</t>
        </is>
      </c>
      <c r="F6308" s="5" t="n">
        <v>186.54</v>
      </c>
      <c r="G6308">
        <f>IF(LEFT(B6308,1)="C","Credit","Factuur")</f>
        <v/>
      </c>
      <c r="H6308">
        <f>IF(AND(B6308=B6307,D6308=D6307,A6308=A6307,F6308=F6307),1,0)</f>
        <v/>
      </c>
      <c r="I6308">
        <f>IF(C6308="C99999",1,0)</f>
        <v/>
      </c>
      <c r="J6308" s="5">
        <f>IF(OR(H6308=1,I6308=1),0,IF(G6308="Credit",-F6308,F6308))</f>
        <v/>
      </c>
    </row>
    <row r="6309">
      <c r="A6309" t="inlineStr">
        <is>
          <t>2026-09-01</t>
        </is>
      </c>
      <c r="B6309" t="inlineStr">
        <is>
          <t>F271153</t>
        </is>
      </c>
      <c r="C6309" t="inlineStr">
        <is>
          <t>C10581</t>
        </is>
      </c>
      <c r="D6309" t="inlineStr">
        <is>
          <t>SKU-10270</t>
        </is>
      </c>
      <c r="E6309" t="inlineStr">
        <is>
          <t>AM02</t>
        </is>
      </c>
      <c r="F6309" s="5" t="n">
        <v>183.94</v>
      </c>
      <c r="G6309">
        <f>IF(LEFT(B6309,1)="C","Credit","Factuur")</f>
        <v/>
      </c>
      <c r="H6309">
        <f>IF(AND(B6309=B6308,D6309=D6308,A6309=A6308,F6309=F6308),1,0)</f>
        <v/>
      </c>
      <c r="I6309">
        <f>IF(C6309="C99999",1,0)</f>
        <v/>
      </c>
      <c r="J6309" s="5">
        <f>IF(OR(H6309=1,I6309=1),0,IF(G6309="Credit",-F6309,F6309))</f>
        <v/>
      </c>
    </row>
    <row r="6310">
      <c r="A6310" t="inlineStr">
        <is>
          <t>2026-09-01</t>
        </is>
      </c>
      <c r="B6310" t="inlineStr">
        <is>
          <t>F271153</t>
        </is>
      </c>
      <c r="C6310" t="inlineStr">
        <is>
          <t>C10581</t>
        </is>
      </c>
      <c r="D6310" t="inlineStr">
        <is>
          <t>SKU-10362</t>
        </is>
      </c>
      <c r="E6310" t="inlineStr">
        <is>
          <t>AM02</t>
        </is>
      </c>
      <c r="F6310" s="5" t="n">
        <v>202.5</v>
      </c>
      <c r="G6310">
        <f>IF(LEFT(B6310,1)="C","Credit","Factuur")</f>
        <v/>
      </c>
      <c r="H6310">
        <f>IF(AND(B6310=B6309,D6310=D6309,A6310=A6309,F6310=F6309),1,0)</f>
        <v/>
      </c>
      <c r="I6310">
        <f>IF(C6310="C99999",1,0)</f>
        <v/>
      </c>
      <c r="J6310" s="5">
        <f>IF(OR(H6310=1,I6310=1),0,IF(G6310="Credit",-F6310,F6310))</f>
        <v/>
      </c>
    </row>
    <row r="6311">
      <c r="A6311" t="inlineStr">
        <is>
          <t>2026-09-01</t>
        </is>
      </c>
      <c r="B6311" t="inlineStr">
        <is>
          <t>F272037</t>
        </is>
      </c>
      <c r="C6311" t="inlineStr">
        <is>
          <t>C10620</t>
        </is>
      </c>
      <c r="D6311" t="inlineStr">
        <is>
          <t>SKU-10024</t>
        </is>
      </c>
      <c r="E6311" t="inlineStr">
        <is>
          <t>AM03</t>
        </is>
      </c>
      <c r="F6311" s="5" t="n">
        <v>314.08</v>
      </c>
      <c r="G6311">
        <f>IF(LEFT(B6311,1)="C","Credit","Factuur")</f>
        <v/>
      </c>
      <c r="H6311">
        <f>IF(AND(B6311=B6310,D6311=D6310,A6311=A6310,F6311=F6310),1,0)</f>
        <v/>
      </c>
      <c r="I6311">
        <f>IF(C6311="C99999",1,0)</f>
        <v/>
      </c>
      <c r="J6311" s="5">
        <f>IF(OR(H6311=1,I6311=1),0,IF(G6311="Credit",-F6311,F6311))</f>
        <v/>
      </c>
    </row>
    <row r="6312">
      <c r="A6312" t="inlineStr">
        <is>
          <t>2026-09-01</t>
        </is>
      </c>
      <c r="B6312" t="inlineStr">
        <is>
          <t>F272037</t>
        </is>
      </c>
      <c r="C6312" t="inlineStr">
        <is>
          <t>C10620</t>
        </is>
      </c>
      <c r="D6312" t="inlineStr">
        <is>
          <t>SKU-10178</t>
        </is>
      </c>
      <c r="E6312" t="inlineStr"/>
      <c r="F6312" s="5" t="n">
        <v>328.67</v>
      </c>
      <c r="G6312">
        <f>IF(LEFT(B6312,1)="C","Credit","Factuur")</f>
        <v/>
      </c>
      <c r="H6312">
        <f>IF(AND(B6312=B6311,D6312=D6311,A6312=A6311,F6312=F6311),1,0)</f>
        <v/>
      </c>
      <c r="I6312">
        <f>IF(C6312="C99999",1,0)</f>
        <v/>
      </c>
      <c r="J6312" s="5">
        <f>IF(OR(H6312=1,I6312=1),0,IF(G6312="Credit",-F6312,F6312))</f>
        <v/>
      </c>
    </row>
    <row r="6313">
      <c r="A6313" t="inlineStr">
        <is>
          <t>2026-09-01</t>
        </is>
      </c>
      <c r="B6313" t="inlineStr">
        <is>
          <t>F272363</t>
        </is>
      </c>
      <c r="C6313" t="inlineStr">
        <is>
          <t>C10639</t>
        </is>
      </c>
      <c r="D6313" t="inlineStr">
        <is>
          <t>SKU-10244</t>
        </is>
      </c>
      <c r="E6313" t="inlineStr">
        <is>
          <t>AM01</t>
        </is>
      </c>
      <c r="F6313" s="5" t="n">
        <v>341.14</v>
      </c>
      <c r="G6313">
        <f>IF(LEFT(B6313,1)="C","Credit","Factuur")</f>
        <v/>
      </c>
      <c r="H6313">
        <f>IF(AND(B6313=B6312,D6313=D6312,A6313=A6312,F6313=F6312),1,0)</f>
        <v/>
      </c>
      <c r="I6313">
        <f>IF(C6313="C99999",1,0)</f>
        <v/>
      </c>
      <c r="J6313" s="5">
        <f>IF(OR(H6313=1,I6313=1),0,IF(G6313="Credit",-F6313,F6313))</f>
        <v/>
      </c>
    </row>
    <row r="6314">
      <c r="A6314" t="inlineStr">
        <is>
          <t>2026-09-01</t>
        </is>
      </c>
      <c r="B6314" t="inlineStr">
        <is>
          <t>F272844</t>
        </is>
      </c>
      <c r="C6314" t="inlineStr">
        <is>
          <t>C10669</t>
        </is>
      </c>
      <c r="D6314" t="inlineStr">
        <is>
          <t>SKU-10064</t>
        </is>
      </c>
      <c r="E6314" t="inlineStr">
        <is>
          <t>AM08</t>
        </is>
      </c>
      <c r="F6314" s="5" t="n">
        <v>432.08</v>
      </c>
      <c r="G6314">
        <f>IF(LEFT(B6314,1)="C","Credit","Factuur")</f>
        <v/>
      </c>
      <c r="H6314">
        <f>IF(AND(B6314=B6313,D6314=D6313,A6314=A6313,F6314=F6313),1,0)</f>
        <v/>
      </c>
      <c r="I6314">
        <f>IF(C6314="C99999",1,0)</f>
        <v/>
      </c>
      <c r="J6314" s="5">
        <f>IF(OR(H6314=1,I6314=1),0,IF(G6314="Credit",-F6314,F6314))</f>
        <v/>
      </c>
    </row>
    <row r="6315">
      <c r="A6315" t="inlineStr">
        <is>
          <t>2026-09-01</t>
        </is>
      </c>
      <c r="B6315" t="inlineStr">
        <is>
          <t>F272844</t>
        </is>
      </c>
      <c r="C6315" t="inlineStr">
        <is>
          <t>C10669</t>
        </is>
      </c>
      <c r="D6315" t="inlineStr">
        <is>
          <t>SKU-10107</t>
        </is>
      </c>
      <c r="E6315" t="inlineStr">
        <is>
          <t>AM08</t>
        </is>
      </c>
      <c r="F6315" s="5" t="n">
        <v>352.72</v>
      </c>
      <c r="G6315">
        <f>IF(LEFT(B6315,1)="C","Credit","Factuur")</f>
        <v/>
      </c>
      <c r="H6315">
        <f>IF(AND(B6315=B6314,D6315=D6314,A6315=A6314,F6315=F6314),1,0)</f>
        <v/>
      </c>
      <c r="I6315">
        <f>IF(C6315="C99999",1,0)</f>
        <v/>
      </c>
      <c r="J6315" s="5">
        <f>IF(OR(H6315=1,I6315=1),0,IF(G6315="Credit",-F6315,F6315))</f>
        <v/>
      </c>
    </row>
    <row r="6316">
      <c r="A6316" t="inlineStr">
        <is>
          <t>2026-09-01</t>
        </is>
      </c>
      <c r="B6316" t="inlineStr">
        <is>
          <t>F272844</t>
        </is>
      </c>
      <c r="C6316" t="inlineStr">
        <is>
          <t>C10669</t>
        </is>
      </c>
      <c r="D6316" t="inlineStr">
        <is>
          <t>SKU-10254</t>
        </is>
      </c>
      <c r="E6316" t="inlineStr">
        <is>
          <t>AM08</t>
        </is>
      </c>
      <c r="F6316" s="5" t="n">
        <v>427</v>
      </c>
      <c r="G6316">
        <f>IF(LEFT(B6316,1)="C","Credit","Factuur")</f>
        <v/>
      </c>
      <c r="H6316">
        <f>IF(AND(B6316=B6315,D6316=D6315,A6316=A6315,F6316=F6315),1,0)</f>
        <v/>
      </c>
      <c r="I6316">
        <f>IF(C6316="C99999",1,0)</f>
        <v/>
      </c>
      <c r="J6316" s="5">
        <f>IF(OR(H6316=1,I6316=1),0,IF(G6316="Credit",-F6316,F6316))</f>
        <v/>
      </c>
    </row>
    <row r="6317">
      <c r="A6317" t="inlineStr">
        <is>
          <t>2026-09-01</t>
        </is>
      </c>
      <c r="B6317" t="inlineStr">
        <is>
          <t>F272844</t>
        </is>
      </c>
      <c r="C6317" t="inlineStr">
        <is>
          <t>C10669</t>
        </is>
      </c>
      <c r="D6317" t="inlineStr">
        <is>
          <t>SKU-10258</t>
        </is>
      </c>
      <c r="E6317" t="inlineStr">
        <is>
          <t>AM08</t>
        </is>
      </c>
      <c r="F6317" s="5" t="n">
        <v>389.65</v>
      </c>
      <c r="G6317">
        <f>IF(LEFT(B6317,1)="C","Credit","Factuur")</f>
        <v/>
      </c>
      <c r="H6317">
        <f>IF(AND(B6317=B6316,D6317=D6316,A6317=A6316,F6317=F6316),1,0)</f>
        <v/>
      </c>
      <c r="I6317">
        <f>IF(C6317="C99999",1,0)</f>
        <v/>
      </c>
      <c r="J6317" s="5">
        <f>IF(OR(H6317=1,I6317=1),0,IF(G6317="Credit",-F6317,F6317))</f>
        <v/>
      </c>
    </row>
    <row r="6318">
      <c r="A6318" t="inlineStr">
        <is>
          <t>2026-09-01</t>
        </is>
      </c>
      <c r="B6318" t="inlineStr">
        <is>
          <t>F272844</t>
        </is>
      </c>
      <c r="C6318" t="inlineStr">
        <is>
          <t>C10669</t>
        </is>
      </c>
      <c r="D6318" t="inlineStr">
        <is>
          <t>SKU-10298</t>
        </is>
      </c>
      <c r="E6318" t="inlineStr">
        <is>
          <t>AM08</t>
        </is>
      </c>
      <c r="F6318" s="5" t="n">
        <v>414.15</v>
      </c>
      <c r="G6318">
        <f>IF(LEFT(B6318,1)="C","Credit","Factuur")</f>
        <v/>
      </c>
      <c r="H6318">
        <f>IF(AND(B6318=B6317,D6318=D6317,A6318=A6317,F6318=F6317),1,0)</f>
        <v/>
      </c>
      <c r="I6318">
        <f>IF(C6318="C99999",1,0)</f>
        <v/>
      </c>
      <c r="J6318" s="5">
        <f>IF(OR(H6318=1,I6318=1),0,IF(G6318="Credit",-F6318,F6318))</f>
        <v/>
      </c>
    </row>
    <row r="6319">
      <c r="A6319" t="inlineStr">
        <is>
          <t>2026-09-01</t>
        </is>
      </c>
      <c r="B6319" t="inlineStr">
        <is>
          <t>F272948</t>
        </is>
      </c>
      <c r="C6319" t="inlineStr">
        <is>
          <t>C10674</t>
        </is>
      </c>
      <c r="D6319" t="inlineStr">
        <is>
          <t>SKU-10196</t>
        </is>
      </c>
      <c r="E6319" t="inlineStr">
        <is>
          <t>AM05</t>
        </is>
      </c>
      <c r="F6319" s="5" t="n">
        <v>621.27</v>
      </c>
      <c r="G6319">
        <f>IF(LEFT(B6319,1)="C","Credit","Factuur")</f>
        <v/>
      </c>
      <c r="H6319">
        <f>IF(AND(B6319=B6318,D6319=D6318,A6319=A6318,F6319=F6318),1,0)</f>
        <v/>
      </c>
      <c r="I6319">
        <f>IF(C6319="C99999",1,0)</f>
        <v/>
      </c>
      <c r="J6319" s="5">
        <f>IF(OR(H6319=1,I6319=1),0,IF(G6319="Credit",-F6319,F6319))</f>
        <v/>
      </c>
    </row>
    <row r="6320">
      <c r="A6320" t="inlineStr">
        <is>
          <t>2026-09-01</t>
        </is>
      </c>
      <c r="B6320" t="inlineStr">
        <is>
          <t>F272948</t>
        </is>
      </c>
      <c r="C6320" t="inlineStr">
        <is>
          <t>C10674</t>
        </is>
      </c>
      <c r="D6320" t="inlineStr">
        <is>
          <t>SKU-10300</t>
        </is>
      </c>
      <c r="E6320" t="inlineStr">
        <is>
          <t>AM05</t>
        </is>
      </c>
      <c r="F6320" s="5" t="n">
        <v>620.46</v>
      </c>
      <c r="G6320">
        <f>IF(LEFT(B6320,1)="C","Credit","Factuur")</f>
        <v/>
      </c>
      <c r="H6320">
        <f>IF(AND(B6320=B6319,D6320=D6319,A6320=A6319,F6320=F6319),1,0)</f>
        <v/>
      </c>
      <c r="I6320">
        <f>IF(C6320="C99999",1,0)</f>
        <v/>
      </c>
      <c r="J6320" s="5">
        <f>IF(OR(H6320=1,I6320=1),0,IF(G6320="Credit",-F6320,F6320))</f>
        <v/>
      </c>
    </row>
    <row r="6321">
      <c r="A6321" t="inlineStr">
        <is>
          <t>2026-09-01</t>
        </is>
      </c>
      <c r="B6321" t="inlineStr">
        <is>
          <t>F273890</t>
        </is>
      </c>
      <c r="C6321" t="inlineStr">
        <is>
          <t>C10731</t>
        </is>
      </c>
      <c r="D6321" t="inlineStr">
        <is>
          <t>SKU-10040</t>
        </is>
      </c>
      <c r="E6321" t="inlineStr">
        <is>
          <t>AM08</t>
        </is>
      </c>
      <c r="F6321" s="5" t="n">
        <v>330.44</v>
      </c>
      <c r="G6321">
        <f>IF(LEFT(B6321,1)="C","Credit","Factuur")</f>
        <v/>
      </c>
      <c r="H6321">
        <f>IF(AND(B6321=B6320,D6321=D6320,A6321=A6320,F6321=F6320),1,0)</f>
        <v/>
      </c>
      <c r="I6321">
        <f>IF(C6321="C99999",1,0)</f>
        <v/>
      </c>
      <c r="J6321" s="5">
        <f>IF(OR(H6321=1,I6321=1),0,IF(G6321="Credit",-F6321,F6321))</f>
        <v/>
      </c>
    </row>
    <row r="6322">
      <c r="A6322" t="inlineStr">
        <is>
          <t>2026-09-01</t>
        </is>
      </c>
      <c r="B6322" t="inlineStr">
        <is>
          <t>F273890</t>
        </is>
      </c>
      <c r="C6322" t="inlineStr">
        <is>
          <t>C10731</t>
        </is>
      </c>
      <c r="D6322" t="inlineStr">
        <is>
          <t>SKU-10067</t>
        </is>
      </c>
      <c r="E6322" t="inlineStr">
        <is>
          <t>AM08</t>
        </is>
      </c>
      <c r="F6322" s="5" t="n">
        <v>348.36</v>
      </c>
      <c r="G6322">
        <f>IF(LEFT(B6322,1)="C","Credit","Factuur")</f>
        <v/>
      </c>
      <c r="H6322">
        <f>IF(AND(B6322=B6321,D6322=D6321,A6322=A6321,F6322=F6321),1,0)</f>
        <v/>
      </c>
      <c r="I6322">
        <f>IF(C6322="C99999",1,0)</f>
        <v/>
      </c>
      <c r="J6322" s="5">
        <f>IF(OR(H6322=1,I6322=1),0,IF(G6322="Credit",-F6322,F6322))</f>
        <v/>
      </c>
    </row>
    <row r="6323">
      <c r="A6323" t="inlineStr">
        <is>
          <t>2026-09-01</t>
        </is>
      </c>
      <c r="B6323" t="inlineStr">
        <is>
          <t>F273890</t>
        </is>
      </c>
      <c r="C6323" t="inlineStr">
        <is>
          <t>C10731</t>
        </is>
      </c>
      <c r="D6323" t="inlineStr">
        <is>
          <t>SKU-10209</t>
        </is>
      </c>
      <c r="E6323" t="inlineStr">
        <is>
          <t>AM08</t>
        </is>
      </c>
      <c r="F6323" s="5" t="n">
        <v>339.2</v>
      </c>
      <c r="G6323">
        <f>IF(LEFT(B6323,1)="C","Credit","Factuur")</f>
        <v/>
      </c>
      <c r="H6323">
        <f>IF(AND(B6323=B6322,D6323=D6322,A6323=A6322,F6323=F6322),1,0)</f>
        <v/>
      </c>
      <c r="I6323">
        <f>IF(C6323="C99999",1,0)</f>
        <v/>
      </c>
      <c r="J6323" s="5">
        <f>IF(OR(H6323=1,I6323=1),0,IF(G6323="Credit",-F6323,F6323))</f>
        <v/>
      </c>
    </row>
    <row r="6324">
      <c r="A6324" t="inlineStr">
        <is>
          <t>2026-09-01</t>
        </is>
      </c>
      <c r="B6324" t="inlineStr">
        <is>
          <t>F273890</t>
        </is>
      </c>
      <c r="C6324" t="inlineStr">
        <is>
          <t>C10731</t>
        </is>
      </c>
      <c r="D6324" t="inlineStr">
        <is>
          <t>SKU-10294</t>
        </is>
      </c>
      <c r="E6324" t="inlineStr">
        <is>
          <t>AM08</t>
        </is>
      </c>
      <c r="F6324" s="5" t="n">
        <v>331.83</v>
      </c>
      <c r="G6324">
        <f>IF(LEFT(B6324,1)="C","Credit","Factuur")</f>
        <v/>
      </c>
      <c r="H6324">
        <f>IF(AND(B6324=B6323,D6324=D6323,A6324=A6323,F6324=F6323),1,0)</f>
        <v/>
      </c>
      <c r="I6324">
        <f>IF(C6324="C99999",1,0)</f>
        <v/>
      </c>
      <c r="J6324" s="5">
        <f>IF(OR(H6324=1,I6324=1),0,IF(G6324="Credit",-F6324,F6324))</f>
        <v/>
      </c>
    </row>
    <row r="6325">
      <c r="A6325" t="inlineStr">
        <is>
          <t>2026-09-01</t>
        </is>
      </c>
      <c r="B6325" t="inlineStr">
        <is>
          <t>F273890</t>
        </is>
      </c>
      <c r="C6325" t="inlineStr">
        <is>
          <t>C10731</t>
        </is>
      </c>
      <c r="D6325" t="inlineStr">
        <is>
          <t>SKU-10303</t>
        </is>
      </c>
      <c r="E6325" t="inlineStr">
        <is>
          <t>AM08</t>
        </is>
      </c>
      <c r="F6325" s="5" t="n">
        <v>332.82</v>
      </c>
      <c r="G6325">
        <f>IF(LEFT(B6325,1)="C","Credit","Factuur")</f>
        <v/>
      </c>
      <c r="H6325">
        <f>IF(AND(B6325=B6324,D6325=D6324,A6325=A6324,F6325=F6324),1,0)</f>
        <v/>
      </c>
      <c r="I6325">
        <f>IF(C6325="C99999",1,0)</f>
        <v/>
      </c>
      <c r="J6325" s="5">
        <f>IF(OR(H6325=1,I6325=1),0,IF(G6325="Credit",-F6325,F6325))</f>
        <v/>
      </c>
    </row>
    <row r="6326">
      <c r="A6326" t="inlineStr">
        <is>
          <t>2026-09-01</t>
        </is>
      </c>
      <c r="B6326" t="inlineStr">
        <is>
          <t>F275961</t>
        </is>
      </c>
      <c r="C6326" t="inlineStr">
        <is>
          <t>C10848</t>
        </is>
      </c>
      <c r="D6326" t="inlineStr">
        <is>
          <t>SKU-10094</t>
        </is>
      </c>
      <c r="E6326" t="inlineStr">
        <is>
          <t>AM02</t>
        </is>
      </c>
      <c r="F6326" s="5" t="n">
        <v>198.1</v>
      </c>
      <c r="G6326">
        <f>IF(LEFT(B6326,1)="C","Credit","Factuur")</f>
        <v/>
      </c>
      <c r="H6326">
        <f>IF(AND(B6326=B6325,D6326=D6325,A6326=A6325,F6326=F6325),1,0)</f>
        <v/>
      </c>
      <c r="I6326">
        <f>IF(C6326="C99999",1,0)</f>
        <v/>
      </c>
      <c r="J6326" s="5">
        <f>IF(OR(H6326=1,I6326=1),0,IF(G6326="Credit",-F6326,F6326))</f>
        <v/>
      </c>
    </row>
    <row r="6327">
      <c r="A6327" t="inlineStr">
        <is>
          <t>2026-09-01</t>
        </is>
      </c>
      <c r="B6327" t="inlineStr">
        <is>
          <t>F275961</t>
        </is>
      </c>
      <c r="C6327" t="inlineStr">
        <is>
          <t>C10848</t>
        </is>
      </c>
      <c r="D6327" t="inlineStr">
        <is>
          <t>SKU-10293</t>
        </is>
      </c>
      <c r="E6327" t="inlineStr">
        <is>
          <t>AM02</t>
        </is>
      </c>
      <c r="F6327" s="5" t="n">
        <v>212.96</v>
      </c>
      <c r="G6327">
        <f>IF(LEFT(B6327,1)="C","Credit","Factuur")</f>
        <v/>
      </c>
      <c r="H6327">
        <f>IF(AND(B6327=B6326,D6327=D6326,A6327=A6326,F6327=F6326),1,0)</f>
        <v/>
      </c>
      <c r="I6327">
        <f>IF(C6327="C99999",1,0)</f>
        <v/>
      </c>
      <c r="J6327" s="5">
        <f>IF(OR(H6327=1,I6327=1),0,IF(G6327="Credit",-F6327,F6327))</f>
        <v/>
      </c>
    </row>
    <row r="6328">
      <c r="A6328" t="inlineStr">
        <is>
          <t>2026-09-01</t>
        </is>
      </c>
      <c r="B6328" t="inlineStr">
        <is>
          <t>F275961</t>
        </is>
      </c>
      <c r="C6328" t="inlineStr">
        <is>
          <t>C10848</t>
        </is>
      </c>
      <c r="D6328" t="inlineStr">
        <is>
          <t>SKU-10305</t>
        </is>
      </c>
      <c r="E6328" t="inlineStr">
        <is>
          <t>AM02</t>
        </is>
      </c>
      <c r="F6328" s="5" t="n">
        <v>199.12</v>
      </c>
      <c r="G6328">
        <f>IF(LEFT(B6328,1)="C","Credit","Factuur")</f>
        <v/>
      </c>
      <c r="H6328">
        <f>IF(AND(B6328=B6327,D6328=D6327,A6328=A6327,F6328=F6327),1,0)</f>
        <v/>
      </c>
      <c r="I6328">
        <f>IF(C6328="C99999",1,0)</f>
        <v/>
      </c>
      <c r="J6328" s="5">
        <f>IF(OR(H6328=1,I6328=1),0,IF(G6328="Credit",-F6328,F6328))</f>
        <v/>
      </c>
    </row>
    <row r="6329">
      <c r="A6329" t="inlineStr">
        <is>
          <t>2026-09-01</t>
        </is>
      </c>
      <c r="B6329" t="inlineStr">
        <is>
          <t>F277067</t>
        </is>
      </c>
      <c r="C6329" t="inlineStr">
        <is>
          <t>C10904</t>
        </is>
      </c>
      <c r="D6329" t="inlineStr">
        <is>
          <t>SKU-10187</t>
        </is>
      </c>
      <c r="E6329" t="inlineStr">
        <is>
          <t>AM06</t>
        </is>
      </c>
      <c r="F6329" s="5" t="n">
        <v>1424.01</v>
      </c>
      <c r="G6329">
        <f>IF(LEFT(B6329,1)="C","Credit","Factuur")</f>
        <v/>
      </c>
      <c r="H6329">
        <f>IF(AND(B6329=B6328,D6329=D6328,A6329=A6328,F6329=F6328),1,0)</f>
        <v/>
      </c>
      <c r="I6329">
        <f>IF(C6329="C99999",1,0)</f>
        <v/>
      </c>
      <c r="J6329" s="5">
        <f>IF(OR(H6329=1,I6329=1),0,IF(G6329="Credit",-F6329,F6329))</f>
        <v/>
      </c>
    </row>
    <row r="6330">
      <c r="A6330" t="inlineStr">
        <is>
          <t>2026-09-01</t>
        </is>
      </c>
      <c r="B6330" t="inlineStr">
        <is>
          <t>F277067</t>
        </is>
      </c>
      <c r="C6330" t="inlineStr">
        <is>
          <t>C10904</t>
        </is>
      </c>
      <c r="D6330" t="inlineStr">
        <is>
          <t>SKU-10196</t>
        </is>
      </c>
      <c r="E6330" t="inlineStr">
        <is>
          <t>AM06</t>
        </is>
      </c>
      <c r="F6330" s="5" t="n">
        <v>1518.66</v>
      </c>
      <c r="G6330">
        <f>IF(LEFT(B6330,1)="C","Credit","Factuur")</f>
        <v/>
      </c>
      <c r="H6330">
        <f>IF(AND(B6330=B6329,D6330=D6329,A6330=A6329,F6330=F6329),1,0)</f>
        <v/>
      </c>
      <c r="I6330">
        <f>IF(C6330="C99999",1,0)</f>
        <v/>
      </c>
      <c r="J6330" s="5">
        <f>IF(OR(H6330=1,I6330=1),0,IF(G6330="Credit",-F6330,F6330))</f>
        <v/>
      </c>
    </row>
    <row r="6331">
      <c r="A6331" t="inlineStr">
        <is>
          <t>2026-09-01</t>
        </is>
      </c>
      <c r="B6331" t="inlineStr">
        <is>
          <t>F277067</t>
        </is>
      </c>
      <c r="C6331" t="inlineStr">
        <is>
          <t>C10904</t>
        </is>
      </c>
      <c r="D6331" t="inlineStr">
        <is>
          <t>SKU-10305</t>
        </is>
      </c>
      <c r="E6331" t="inlineStr">
        <is>
          <t>AM06</t>
        </is>
      </c>
      <c r="F6331" s="5" t="n">
        <v>1437.4</v>
      </c>
      <c r="G6331">
        <f>IF(LEFT(B6331,1)="C","Credit","Factuur")</f>
        <v/>
      </c>
      <c r="H6331">
        <f>IF(AND(B6331=B6330,D6331=D6330,A6331=A6330,F6331=F6330),1,0)</f>
        <v/>
      </c>
      <c r="I6331">
        <f>IF(C6331="C99999",1,0)</f>
        <v/>
      </c>
      <c r="J6331" s="5">
        <f>IF(OR(H6331=1,I6331=1),0,IF(G6331="Credit",-F6331,F6331))</f>
        <v/>
      </c>
    </row>
    <row r="6332">
      <c r="A6332" t="inlineStr">
        <is>
          <t>2026-09-01</t>
        </is>
      </c>
      <c r="B6332" t="inlineStr">
        <is>
          <t>F279602</t>
        </is>
      </c>
      <c r="C6332" t="inlineStr">
        <is>
          <t>C11039</t>
        </is>
      </c>
      <c r="D6332" t="inlineStr">
        <is>
          <t>SKU-10168</t>
        </is>
      </c>
      <c r="E6332" t="inlineStr">
        <is>
          <t>AM05</t>
        </is>
      </c>
      <c r="F6332" s="5" t="n">
        <v>243.46</v>
      </c>
      <c r="G6332">
        <f>IF(LEFT(B6332,1)="C","Credit","Factuur")</f>
        <v/>
      </c>
      <c r="H6332">
        <f>IF(AND(B6332=B6331,D6332=D6331,A6332=A6331,F6332=F6331),1,0)</f>
        <v/>
      </c>
      <c r="I6332">
        <f>IF(C6332="C99999",1,0)</f>
        <v/>
      </c>
      <c r="J6332" s="5">
        <f>IF(OR(H6332=1,I6332=1),0,IF(G6332="Credit",-F6332,F6332))</f>
        <v/>
      </c>
    </row>
    <row r="6333">
      <c r="A6333" t="inlineStr">
        <is>
          <t>2026-09-01</t>
        </is>
      </c>
      <c r="B6333" t="inlineStr">
        <is>
          <t>F279602</t>
        </is>
      </c>
      <c r="C6333" t="inlineStr">
        <is>
          <t>C11039</t>
        </is>
      </c>
      <c r="D6333" t="inlineStr">
        <is>
          <t>SKU-10174</t>
        </is>
      </c>
      <c r="E6333" t="inlineStr">
        <is>
          <t>AM05</t>
        </is>
      </c>
      <c r="F6333" s="5" t="n">
        <v>239.46</v>
      </c>
      <c r="G6333">
        <f>IF(LEFT(B6333,1)="C","Credit","Factuur")</f>
        <v/>
      </c>
      <c r="H6333">
        <f>IF(AND(B6333=B6332,D6333=D6332,A6333=A6332,F6333=F6332),1,0)</f>
        <v/>
      </c>
      <c r="I6333">
        <f>IF(C6333="C99999",1,0)</f>
        <v/>
      </c>
      <c r="J6333" s="5">
        <f>IF(OR(H6333=1,I6333=1),0,IF(G6333="Credit",-F6333,F6333))</f>
        <v/>
      </c>
    </row>
    <row r="6334">
      <c r="A6334" t="inlineStr">
        <is>
          <t>2026-09-01</t>
        </is>
      </c>
      <c r="B6334" t="inlineStr">
        <is>
          <t>F279602</t>
        </is>
      </c>
      <c r="C6334" t="inlineStr">
        <is>
          <t>C11039</t>
        </is>
      </c>
      <c r="D6334" t="inlineStr">
        <is>
          <t>SKU-10302</t>
        </is>
      </c>
      <c r="E6334" t="inlineStr">
        <is>
          <t>AM05</t>
        </is>
      </c>
      <c r="F6334" s="5" t="n">
        <v>219.55</v>
      </c>
      <c r="G6334">
        <f>IF(LEFT(B6334,1)="C","Credit","Factuur")</f>
        <v/>
      </c>
      <c r="H6334">
        <f>IF(AND(B6334=B6333,D6334=D6333,A6334=A6333,F6334=F6333),1,0)</f>
        <v/>
      </c>
      <c r="I6334">
        <f>IF(C6334="C99999",1,0)</f>
        <v/>
      </c>
      <c r="J6334" s="5">
        <f>IF(OR(H6334=1,I6334=1),0,IF(G6334="Credit",-F6334,F6334))</f>
        <v/>
      </c>
    </row>
    <row r="6335">
      <c r="A6335" t="inlineStr">
        <is>
          <t>2026-09-01</t>
        </is>
      </c>
      <c r="B6335" t="inlineStr">
        <is>
          <t>F280248</t>
        </is>
      </c>
      <c r="C6335" t="inlineStr">
        <is>
          <t>C11070</t>
        </is>
      </c>
      <c r="D6335" t="inlineStr">
        <is>
          <t>SKU-10065</t>
        </is>
      </c>
      <c r="E6335" t="inlineStr">
        <is>
          <t>AM03</t>
        </is>
      </c>
      <c r="F6335" s="5" t="n">
        <v>106.12</v>
      </c>
      <c r="G6335">
        <f>IF(LEFT(B6335,1)="C","Credit","Factuur")</f>
        <v/>
      </c>
      <c r="H6335">
        <f>IF(AND(B6335=B6334,D6335=D6334,A6335=A6334,F6335=F6334),1,0)</f>
        <v/>
      </c>
      <c r="I6335">
        <f>IF(C6335="C99999",1,0)</f>
        <v/>
      </c>
      <c r="J6335" s="5">
        <f>IF(OR(H6335=1,I6335=1),0,IF(G6335="Credit",-F6335,F6335))</f>
        <v/>
      </c>
    </row>
    <row r="6336">
      <c r="A6336" t="inlineStr">
        <is>
          <t>2026-09-01</t>
        </is>
      </c>
      <c r="B6336" t="inlineStr">
        <is>
          <t>F280248</t>
        </is>
      </c>
      <c r="C6336" t="inlineStr">
        <is>
          <t>C11070</t>
        </is>
      </c>
      <c r="D6336" t="inlineStr">
        <is>
          <t>SKU-10084</t>
        </is>
      </c>
      <c r="E6336" t="inlineStr">
        <is>
          <t>AM03</t>
        </is>
      </c>
      <c r="F6336" s="5" t="n">
        <v>101.9</v>
      </c>
      <c r="G6336">
        <f>IF(LEFT(B6336,1)="C","Credit","Factuur")</f>
        <v/>
      </c>
      <c r="H6336">
        <f>IF(AND(B6336=B6335,D6336=D6335,A6336=A6335,F6336=F6335),1,0)</f>
        <v/>
      </c>
      <c r="I6336">
        <f>IF(C6336="C99999",1,0)</f>
        <v/>
      </c>
      <c r="J6336" s="5">
        <f>IF(OR(H6336=1,I6336=1),0,IF(G6336="Credit",-F6336,F6336))</f>
        <v/>
      </c>
    </row>
    <row r="6337">
      <c r="A6337" t="inlineStr">
        <is>
          <t>2026-09-01</t>
        </is>
      </c>
      <c r="B6337" t="inlineStr">
        <is>
          <t>F280248</t>
        </is>
      </c>
      <c r="C6337" t="inlineStr">
        <is>
          <t>C11070</t>
        </is>
      </c>
      <c r="D6337" t="inlineStr">
        <is>
          <t>SKU-10260</t>
        </is>
      </c>
      <c r="E6337" t="inlineStr">
        <is>
          <t>AM03</t>
        </is>
      </c>
      <c r="F6337" s="5" t="n">
        <v>108.56</v>
      </c>
      <c r="G6337">
        <f>IF(LEFT(B6337,1)="C","Credit","Factuur")</f>
        <v/>
      </c>
      <c r="H6337">
        <f>IF(AND(B6337=B6336,D6337=D6336,A6337=A6336,F6337=F6336),1,0)</f>
        <v/>
      </c>
      <c r="I6337">
        <f>IF(C6337="C99999",1,0)</f>
        <v/>
      </c>
      <c r="J6337" s="5">
        <f>IF(OR(H6337=1,I6337=1),0,IF(G6337="Credit",-F6337,F6337))</f>
        <v/>
      </c>
    </row>
    <row r="6338">
      <c r="A6338" t="inlineStr">
        <is>
          <t>2026-09-01</t>
        </is>
      </c>
      <c r="B6338" t="inlineStr">
        <is>
          <t>F281699</t>
        </is>
      </c>
      <c r="C6338" t="inlineStr">
        <is>
          <t>C11144</t>
        </is>
      </c>
      <c r="D6338" t="inlineStr">
        <is>
          <t>SKU-10002</t>
        </is>
      </c>
      <c r="E6338" t="inlineStr">
        <is>
          <t>AM02</t>
        </is>
      </c>
      <c r="F6338" s="5" t="n">
        <v>229.48</v>
      </c>
      <c r="G6338">
        <f>IF(LEFT(B6338,1)="C","Credit","Factuur")</f>
        <v/>
      </c>
      <c r="H6338">
        <f>IF(AND(B6338=B6337,D6338=D6337,A6338=A6337,F6338=F6337),1,0)</f>
        <v/>
      </c>
      <c r="I6338">
        <f>IF(C6338="C99999",1,0)</f>
        <v/>
      </c>
      <c r="J6338" s="5">
        <f>IF(OR(H6338=1,I6338=1),0,IF(G6338="Credit",-F6338,F6338))</f>
        <v/>
      </c>
    </row>
    <row r="6339">
      <c r="A6339" t="inlineStr">
        <is>
          <t>2026-09-01</t>
        </is>
      </c>
      <c r="B6339" t="inlineStr">
        <is>
          <t>F281699</t>
        </is>
      </c>
      <c r="C6339" t="inlineStr">
        <is>
          <t>C11144</t>
        </is>
      </c>
      <c r="D6339" t="inlineStr">
        <is>
          <t>SKU-10088</t>
        </is>
      </c>
      <c r="E6339" t="inlineStr">
        <is>
          <t>AM02</t>
        </is>
      </c>
      <c r="F6339" s="5" t="n">
        <v>234.54</v>
      </c>
      <c r="G6339">
        <f>IF(LEFT(B6339,1)="C","Credit","Factuur")</f>
        <v/>
      </c>
      <c r="H6339">
        <f>IF(AND(B6339=B6338,D6339=D6338,A6339=A6338,F6339=F6338),1,0)</f>
        <v/>
      </c>
      <c r="I6339">
        <f>IF(C6339="C99999",1,0)</f>
        <v/>
      </c>
      <c r="J6339" s="5">
        <f>IF(OR(H6339=1,I6339=1),0,IF(G6339="Credit",-F6339,F6339))</f>
        <v/>
      </c>
    </row>
    <row r="6340">
      <c r="A6340" t="inlineStr">
        <is>
          <t>2026-09-01</t>
        </is>
      </c>
      <c r="B6340" t="inlineStr">
        <is>
          <t>F281699</t>
        </is>
      </c>
      <c r="C6340" t="inlineStr">
        <is>
          <t>C11144</t>
        </is>
      </c>
      <c r="D6340" t="inlineStr">
        <is>
          <t>SKU-10102</t>
        </is>
      </c>
      <c r="E6340" t="inlineStr">
        <is>
          <t>AM02</t>
        </is>
      </c>
      <c r="F6340" s="5" t="n">
        <v>258.72</v>
      </c>
      <c r="G6340">
        <f>IF(LEFT(B6340,1)="C","Credit","Factuur")</f>
        <v/>
      </c>
      <c r="H6340">
        <f>IF(AND(B6340=B6339,D6340=D6339,A6340=A6339,F6340=F6339),1,0)</f>
        <v/>
      </c>
      <c r="I6340">
        <f>IF(C6340="C99999",1,0)</f>
        <v/>
      </c>
      <c r="J6340" s="5">
        <f>IF(OR(H6340=1,I6340=1),0,IF(G6340="Credit",-F6340,F6340))</f>
        <v/>
      </c>
    </row>
    <row r="6341">
      <c r="A6341" t="inlineStr">
        <is>
          <t>2026-09-01</t>
        </is>
      </c>
      <c r="B6341" t="inlineStr">
        <is>
          <t>F281699</t>
        </is>
      </c>
      <c r="C6341" t="inlineStr">
        <is>
          <t>C11144</t>
        </is>
      </c>
      <c r="D6341" t="inlineStr">
        <is>
          <t>SKU-10129</t>
        </is>
      </c>
      <c r="E6341" t="inlineStr">
        <is>
          <t>AM02</t>
        </is>
      </c>
      <c r="F6341" s="5" t="n">
        <v>207.26</v>
      </c>
      <c r="G6341">
        <f>IF(LEFT(B6341,1)="C","Credit","Factuur")</f>
        <v/>
      </c>
      <c r="H6341">
        <f>IF(AND(B6341=B6340,D6341=D6340,A6341=A6340,F6341=F6340),1,0)</f>
        <v/>
      </c>
      <c r="I6341">
        <f>IF(C6341="C99999",1,0)</f>
        <v/>
      </c>
      <c r="J6341" s="5">
        <f>IF(OR(H6341=1,I6341=1),0,IF(G6341="Credit",-F6341,F6341))</f>
        <v/>
      </c>
    </row>
    <row r="6342">
      <c r="A6342" t="inlineStr">
        <is>
          <t>2026-09-01</t>
        </is>
      </c>
      <c r="B6342" t="inlineStr">
        <is>
          <t>F281699</t>
        </is>
      </c>
      <c r="C6342" t="inlineStr">
        <is>
          <t>C11144</t>
        </is>
      </c>
      <c r="D6342" t="inlineStr">
        <is>
          <t>SKU-10366</t>
        </is>
      </c>
      <c r="E6342" t="inlineStr">
        <is>
          <t>AM02</t>
        </is>
      </c>
      <c r="F6342" s="5" t="n">
        <v>286.08</v>
      </c>
      <c r="G6342">
        <f>IF(LEFT(B6342,1)="C","Credit","Factuur")</f>
        <v/>
      </c>
      <c r="H6342">
        <f>IF(AND(B6342=B6341,D6342=D6341,A6342=A6341,F6342=F6341),1,0)</f>
        <v/>
      </c>
      <c r="I6342">
        <f>IF(C6342="C99999",1,0)</f>
        <v/>
      </c>
      <c r="J6342" s="5">
        <f>IF(OR(H6342=1,I6342=1),0,IF(G6342="Credit",-F6342,F6342))</f>
        <v/>
      </c>
    </row>
    <row r="6343">
      <c r="A6343" t="inlineStr">
        <is>
          <t>2026-09-01</t>
        </is>
      </c>
      <c r="B6343" t="inlineStr">
        <is>
          <t>F284142</t>
        </is>
      </c>
      <c r="C6343" t="inlineStr">
        <is>
          <t>C11261</t>
        </is>
      </c>
      <c r="D6343" t="inlineStr">
        <is>
          <t>SKU-10020</t>
        </is>
      </c>
      <c r="E6343" t="inlineStr">
        <is>
          <t>AM08</t>
        </is>
      </c>
      <c r="F6343" s="5" t="n">
        <v>53.04</v>
      </c>
      <c r="G6343">
        <f>IF(LEFT(B6343,1)="C","Credit","Factuur")</f>
        <v/>
      </c>
      <c r="H6343">
        <f>IF(AND(B6343=B6342,D6343=D6342,A6343=A6342,F6343=F6342),1,0)</f>
        <v/>
      </c>
      <c r="I6343">
        <f>IF(C6343="C99999",1,0)</f>
        <v/>
      </c>
      <c r="J6343" s="5">
        <f>IF(OR(H6343=1,I6343=1),0,IF(G6343="Credit",-F6343,F6343))</f>
        <v/>
      </c>
    </row>
    <row r="6344">
      <c r="A6344" t="inlineStr">
        <is>
          <t>2026-09-01</t>
        </is>
      </c>
      <c r="B6344" t="inlineStr">
        <is>
          <t>F284142</t>
        </is>
      </c>
      <c r="C6344" t="inlineStr">
        <is>
          <t>C11261</t>
        </is>
      </c>
      <c r="D6344" t="inlineStr">
        <is>
          <t>SKU-10079</t>
        </is>
      </c>
      <c r="E6344" t="inlineStr">
        <is>
          <t>AM08</t>
        </is>
      </c>
      <c r="F6344" s="5" t="n">
        <v>40.28</v>
      </c>
      <c r="G6344">
        <f>IF(LEFT(B6344,1)="C","Credit","Factuur")</f>
        <v/>
      </c>
      <c r="H6344">
        <f>IF(AND(B6344=B6343,D6344=D6343,A6344=A6343,F6344=F6343),1,0)</f>
        <v/>
      </c>
      <c r="I6344">
        <f>IF(C6344="C99999",1,0)</f>
        <v/>
      </c>
      <c r="J6344" s="5">
        <f>IF(OR(H6344=1,I6344=1),0,IF(G6344="Credit",-F6344,F6344))</f>
        <v/>
      </c>
    </row>
    <row r="6345">
      <c r="A6345" t="inlineStr">
        <is>
          <t>2026-09-01</t>
        </is>
      </c>
      <c r="B6345" t="inlineStr">
        <is>
          <t>F284142</t>
        </is>
      </c>
      <c r="C6345" t="inlineStr">
        <is>
          <t>C11261</t>
        </is>
      </c>
      <c r="D6345" t="inlineStr">
        <is>
          <t>SKU-10296</t>
        </is>
      </c>
      <c r="E6345" t="inlineStr">
        <is>
          <t>AM08</t>
        </is>
      </c>
      <c r="F6345" s="5" t="n">
        <v>50.2</v>
      </c>
      <c r="G6345">
        <f>IF(LEFT(B6345,1)="C","Credit","Factuur")</f>
        <v/>
      </c>
      <c r="H6345">
        <f>IF(AND(B6345=B6344,D6345=D6344,A6345=A6344,F6345=F6344),1,0)</f>
        <v/>
      </c>
      <c r="I6345">
        <f>IF(C6345="C99999",1,0)</f>
        <v/>
      </c>
      <c r="J6345" s="5">
        <f>IF(OR(H6345=1,I6345=1),0,IF(G6345="Credit",-F6345,F6345))</f>
        <v/>
      </c>
    </row>
    <row r="6346">
      <c r="A6346" t="inlineStr">
        <is>
          <t>2026-09-01</t>
        </is>
      </c>
      <c r="B6346" t="inlineStr">
        <is>
          <t>F284387</t>
        </is>
      </c>
      <c r="C6346" t="inlineStr">
        <is>
          <t>C11277</t>
        </is>
      </c>
      <c r="D6346" t="inlineStr">
        <is>
          <t>SKU-10047</t>
        </is>
      </c>
      <c r="E6346" t="inlineStr">
        <is>
          <t>AM11</t>
        </is>
      </c>
      <c r="F6346" s="5" t="n">
        <v>1210.01</v>
      </c>
      <c r="G6346">
        <f>IF(LEFT(B6346,1)="C","Credit","Factuur")</f>
        <v/>
      </c>
      <c r="H6346">
        <f>IF(AND(B6346=B6345,D6346=D6345,A6346=A6345,F6346=F6345),1,0)</f>
        <v/>
      </c>
      <c r="I6346">
        <f>IF(C6346="C99999",1,0)</f>
        <v/>
      </c>
      <c r="J6346" s="5">
        <f>IF(OR(H6346=1,I6346=1),0,IF(G6346="Credit",-F6346,F6346))</f>
        <v/>
      </c>
    </row>
    <row r="6347">
      <c r="A6347" t="inlineStr">
        <is>
          <t>2026-09-01</t>
        </is>
      </c>
      <c r="B6347" t="inlineStr">
        <is>
          <t>F284446</t>
        </is>
      </c>
      <c r="C6347" t="inlineStr">
        <is>
          <t>C11281</t>
        </is>
      </c>
      <c r="D6347" t="inlineStr">
        <is>
          <t>SKU-10084</t>
        </is>
      </c>
      <c r="E6347" t="inlineStr">
        <is>
          <t>AM01</t>
        </is>
      </c>
      <c r="F6347" s="5" t="n">
        <v>346.46</v>
      </c>
      <c r="G6347">
        <f>IF(LEFT(B6347,1)="C","Credit","Factuur")</f>
        <v/>
      </c>
      <c r="H6347">
        <f>IF(AND(B6347=B6346,D6347=D6346,A6347=A6346,F6347=F6346),1,0)</f>
        <v/>
      </c>
      <c r="I6347">
        <f>IF(C6347="C99999",1,0)</f>
        <v/>
      </c>
      <c r="J6347" s="5">
        <f>IF(OR(H6347=1,I6347=1),0,IF(G6347="Credit",-F6347,F6347))</f>
        <v/>
      </c>
    </row>
    <row r="6348">
      <c r="A6348" t="inlineStr">
        <is>
          <t>2026-09-01</t>
        </is>
      </c>
      <c r="B6348" t="inlineStr">
        <is>
          <t>F284446</t>
        </is>
      </c>
      <c r="C6348" t="inlineStr">
        <is>
          <t>C11281</t>
        </is>
      </c>
      <c r="D6348" t="inlineStr">
        <is>
          <t>SKU-10145</t>
        </is>
      </c>
      <c r="E6348" t="inlineStr">
        <is>
          <t>AM01</t>
        </is>
      </c>
      <c r="F6348" s="5" t="n">
        <v>357.54</v>
      </c>
      <c r="G6348">
        <f>IF(LEFT(B6348,1)="C","Credit","Factuur")</f>
        <v/>
      </c>
      <c r="H6348">
        <f>IF(AND(B6348=B6347,D6348=D6347,A6348=A6347,F6348=F6347),1,0)</f>
        <v/>
      </c>
      <c r="I6348">
        <f>IF(C6348="C99999",1,0)</f>
        <v/>
      </c>
      <c r="J6348" s="5">
        <f>IF(OR(H6348=1,I6348=1),0,IF(G6348="Credit",-F6348,F6348))</f>
        <v/>
      </c>
    </row>
    <row r="6349">
      <c r="A6349" t="inlineStr">
        <is>
          <t>2026-09-01</t>
        </is>
      </c>
      <c r="B6349" t="inlineStr">
        <is>
          <t>F284446</t>
        </is>
      </c>
      <c r="C6349" t="inlineStr">
        <is>
          <t>C11281</t>
        </is>
      </c>
      <c r="D6349" t="inlineStr">
        <is>
          <t>SKU-10181</t>
        </is>
      </c>
      <c r="E6349" t="inlineStr">
        <is>
          <t>AM01</t>
        </is>
      </c>
      <c r="F6349" s="5" t="n">
        <v>349.84</v>
      </c>
      <c r="G6349">
        <f>IF(LEFT(B6349,1)="C","Credit","Factuur")</f>
        <v/>
      </c>
      <c r="H6349">
        <f>IF(AND(B6349=B6348,D6349=D6348,A6349=A6348,F6349=F6348),1,0)</f>
        <v/>
      </c>
      <c r="I6349">
        <f>IF(C6349="C99999",1,0)</f>
        <v/>
      </c>
      <c r="J6349" s="5">
        <f>IF(OR(H6349=1,I6349=1),0,IF(G6349="Credit",-F6349,F6349))</f>
        <v/>
      </c>
    </row>
    <row r="6350">
      <c r="A6350" t="inlineStr">
        <is>
          <t>2026-09-01</t>
        </is>
      </c>
      <c r="B6350" t="inlineStr">
        <is>
          <t>F284446</t>
        </is>
      </c>
      <c r="C6350" t="inlineStr">
        <is>
          <t>C11281</t>
        </is>
      </c>
      <c r="D6350" t="inlineStr">
        <is>
          <t>SKU-10185</t>
        </is>
      </c>
      <c r="E6350" t="inlineStr">
        <is>
          <t>AM01</t>
        </is>
      </c>
      <c r="F6350" s="5" t="n">
        <v>334.53</v>
      </c>
      <c r="G6350">
        <f>IF(LEFT(B6350,1)="C","Credit","Factuur")</f>
        <v/>
      </c>
      <c r="H6350">
        <f>IF(AND(B6350=B6349,D6350=D6349,A6350=A6349,F6350=F6349),1,0)</f>
        <v/>
      </c>
      <c r="I6350">
        <f>IF(C6350="C99999",1,0)</f>
        <v/>
      </c>
      <c r="J6350" s="5">
        <f>IF(OR(H6350=1,I6350=1),0,IF(G6350="Credit",-F6350,F6350))</f>
        <v/>
      </c>
    </row>
    <row r="6351">
      <c r="A6351" t="inlineStr">
        <is>
          <t>2026-09-01</t>
        </is>
      </c>
      <c r="B6351" t="inlineStr">
        <is>
          <t>F284446</t>
        </is>
      </c>
      <c r="C6351" t="inlineStr">
        <is>
          <t>C11281</t>
        </is>
      </c>
      <c r="D6351" t="inlineStr">
        <is>
          <t>SKU-10309</t>
        </is>
      </c>
      <c r="E6351" t="inlineStr">
        <is>
          <t>AM01</t>
        </is>
      </c>
      <c r="F6351" s="5" t="n">
        <v>369.68</v>
      </c>
      <c r="G6351">
        <f>IF(LEFT(B6351,1)="C","Credit","Factuur")</f>
        <v/>
      </c>
      <c r="H6351">
        <f>IF(AND(B6351=B6350,D6351=D6350,A6351=A6350,F6351=F6350),1,0)</f>
        <v/>
      </c>
      <c r="I6351">
        <f>IF(C6351="C99999",1,0)</f>
        <v/>
      </c>
      <c r="J6351" s="5">
        <f>IF(OR(H6351=1,I6351=1),0,IF(G6351="Credit",-F6351,F6351))</f>
        <v/>
      </c>
    </row>
    <row r="6352">
      <c r="A6352" t="inlineStr">
        <is>
          <t>2026-09-01</t>
        </is>
      </c>
      <c r="B6352" t="inlineStr">
        <is>
          <t>F285166</t>
        </is>
      </c>
      <c r="C6352" t="inlineStr">
        <is>
          <t>C11319</t>
        </is>
      </c>
      <c r="D6352" t="inlineStr">
        <is>
          <t>SKU-10113</t>
        </is>
      </c>
      <c r="E6352" t="inlineStr">
        <is>
          <t>AM02</t>
        </is>
      </c>
      <c r="F6352" s="5" t="n">
        <v>145.35</v>
      </c>
      <c r="G6352">
        <f>IF(LEFT(B6352,1)="C","Credit","Factuur")</f>
        <v/>
      </c>
      <c r="H6352">
        <f>IF(AND(B6352=B6351,D6352=D6351,A6352=A6351,F6352=F6351),1,0)</f>
        <v/>
      </c>
      <c r="I6352">
        <f>IF(C6352="C99999",1,0)</f>
        <v/>
      </c>
      <c r="J6352" s="5">
        <f>IF(OR(H6352=1,I6352=1),0,IF(G6352="Credit",-F6352,F6352))</f>
        <v/>
      </c>
    </row>
    <row r="6353">
      <c r="A6353" t="inlineStr">
        <is>
          <t>2026-09-01</t>
        </is>
      </c>
      <c r="B6353" t="inlineStr">
        <is>
          <t>F285166</t>
        </is>
      </c>
      <c r="C6353" t="inlineStr">
        <is>
          <t>C11319</t>
        </is>
      </c>
      <c r="D6353" t="inlineStr">
        <is>
          <t>SKU-10344</t>
        </is>
      </c>
      <c r="E6353" t="inlineStr">
        <is>
          <t>AM02</t>
        </is>
      </c>
      <c r="F6353" s="5" t="n">
        <v>140</v>
      </c>
      <c r="G6353">
        <f>IF(LEFT(B6353,1)="C","Credit","Factuur")</f>
        <v/>
      </c>
      <c r="H6353">
        <f>IF(AND(B6353=B6352,D6353=D6352,A6353=A6352,F6353=F6352),1,0)</f>
        <v/>
      </c>
      <c r="I6353">
        <f>IF(C6353="C99999",1,0)</f>
        <v/>
      </c>
      <c r="J6353" s="5">
        <f>IF(OR(H6353=1,I6353=1),0,IF(G6353="Credit",-F6353,F6353))</f>
        <v/>
      </c>
    </row>
    <row r="6354">
      <c r="A6354" t="inlineStr">
        <is>
          <t>2026-09-01</t>
        </is>
      </c>
      <c r="B6354" t="inlineStr">
        <is>
          <t>F285195</t>
        </is>
      </c>
      <c r="C6354" t="inlineStr">
        <is>
          <t>C11320</t>
        </is>
      </c>
      <c r="D6354" t="inlineStr">
        <is>
          <t>SKU-10012</t>
        </is>
      </c>
      <c r="E6354" t="inlineStr">
        <is>
          <t>AM11</t>
        </is>
      </c>
      <c r="F6354" s="5" t="n">
        <v>255.28</v>
      </c>
      <c r="G6354">
        <f>IF(LEFT(B6354,1)="C","Credit","Factuur")</f>
        <v/>
      </c>
      <c r="H6354">
        <f>IF(AND(B6354=B6353,D6354=D6353,A6354=A6353,F6354=F6353),1,0)</f>
        <v/>
      </c>
      <c r="I6354">
        <f>IF(C6354="C99999",1,0)</f>
        <v/>
      </c>
      <c r="J6354" s="5">
        <f>IF(OR(H6354=1,I6354=1),0,IF(G6354="Credit",-F6354,F6354))</f>
        <v/>
      </c>
    </row>
    <row r="6355">
      <c r="A6355" t="inlineStr">
        <is>
          <t>2026-09-01</t>
        </is>
      </c>
      <c r="B6355" t="inlineStr">
        <is>
          <t>F285195</t>
        </is>
      </c>
      <c r="C6355" t="inlineStr">
        <is>
          <t>C11320</t>
        </is>
      </c>
      <c r="D6355" t="inlineStr">
        <is>
          <t>SKU-10100</t>
        </is>
      </c>
      <c r="E6355" t="inlineStr">
        <is>
          <t>AM11</t>
        </is>
      </c>
      <c r="F6355" s="5" t="n">
        <v>233.77</v>
      </c>
      <c r="G6355">
        <f>IF(LEFT(B6355,1)="C","Credit","Factuur")</f>
        <v/>
      </c>
      <c r="H6355">
        <f>IF(AND(B6355=B6354,D6355=D6354,A6355=A6354,F6355=F6354),1,0)</f>
        <v/>
      </c>
      <c r="I6355">
        <f>IF(C6355="C99999",1,0)</f>
        <v/>
      </c>
      <c r="J6355" s="5">
        <f>IF(OR(H6355=1,I6355=1),0,IF(G6355="Credit",-F6355,F6355))</f>
        <v/>
      </c>
    </row>
    <row r="6356">
      <c r="A6356" t="inlineStr">
        <is>
          <t>2026-09-01</t>
        </is>
      </c>
      <c r="B6356" t="inlineStr">
        <is>
          <t>F285195</t>
        </is>
      </c>
      <c r="C6356" t="inlineStr">
        <is>
          <t>C11320</t>
        </is>
      </c>
      <c r="D6356" t="inlineStr">
        <is>
          <t>SKU-10194</t>
        </is>
      </c>
      <c r="E6356" t="inlineStr">
        <is>
          <t>AM11</t>
        </is>
      </c>
      <c r="F6356" s="5" t="n">
        <v>235.02</v>
      </c>
      <c r="G6356">
        <f>IF(LEFT(B6356,1)="C","Credit","Factuur")</f>
        <v/>
      </c>
      <c r="H6356">
        <f>IF(AND(B6356=B6355,D6356=D6355,A6356=A6355,F6356=F6355),1,0)</f>
        <v/>
      </c>
      <c r="I6356">
        <f>IF(C6356="C99999",1,0)</f>
        <v/>
      </c>
      <c r="J6356" s="5">
        <f>IF(OR(H6356=1,I6356=1),0,IF(G6356="Credit",-F6356,F6356))</f>
        <v/>
      </c>
    </row>
    <row r="6357">
      <c r="A6357" t="inlineStr">
        <is>
          <t>2026-09-01</t>
        </is>
      </c>
      <c r="B6357" t="inlineStr">
        <is>
          <t>F285195</t>
        </is>
      </c>
      <c r="C6357" t="inlineStr">
        <is>
          <t>C11320</t>
        </is>
      </c>
      <c r="D6357" t="inlineStr">
        <is>
          <t>SKU-10312</t>
        </is>
      </c>
      <c r="E6357" t="inlineStr">
        <is>
          <t>AM11</t>
        </is>
      </c>
      <c r="F6357" s="5" t="n">
        <v>216.72</v>
      </c>
      <c r="G6357">
        <f>IF(LEFT(B6357,1)="C","Credit","Factuur")</f>
        <v/>
      </c>
      <c r="H6357">
        <f>IF(AND(B6357=B6356,D6357=D6356,A6357=A6356,F6357=F6356),1,0)</f>
        <v/>
      </c>
      <c r="I6357">
        <f>IF(C6357="C99999",1,0)</f>
        <v/>
      </c>
      <c r="J6357" s="5">
        <f>IF(OR(H6357=1,I6357=1),0,IF(G6357="Credit",-F6357,F6357))</f>
        <v/>
      </c>
    </row>
    <row r="6358">
      <c r="A6358" t="inlineStr">
        <is>
          <t>2026-09-01</t>
        </is>
      </c>
      <c r="B6358" t="inlineStr">
        <is>
          <t>F285593</t>
        </is>
      </c>
      <c r="C6358" t="inlineStr">
        <is>
          <t>C11337</t>
        </is>
      </c>
      <c r="D6358" t="inlineStr">
        <is>
          <t>SKU-10016</t>
        </is>
      </c>
      <c r="E6358" t="inlineStr">
        <is>
          <t>AM08</t>
        </is>
      </c>
      <c r="F6358" s="5" t="n">
        <v>451.58</v>
      </c>
      <c r="G6358">
        <f>IF(LEFT(B6358,1)="C","Credit","Factuur")</f>
        <v/>
      </c>
      <c r="H6358">
        <f>IF(AND(B6358=B6357,D6358=D6357,A6358=A6357,F6358=F6357),1,0)</f>
        <v/>
      </c>
      <c r="I6358">
        <f>IF(C6358="C99999",1,0)</f>
        <v/>
      </c>
      <c r="J6358" s="5">
        <f>IF(OR(H6358=1,I6358=1),0,IF(G6358="Credit",-F6358,F6358))</f>
        <v/>
      </c>
    </row>
    <row r="6359">
      <c r="A6359" t="inlineStr">
        <is>
          <t>2026-09-01</t>
        </is>
      </c>
      <c r="B6359" t="inlineStr">
        <is>
          <t>F285593</t>
        </is>
      </c>
      <c r="C6359" t="inlineStr">
        <is>
          <t>C11337</t>
        </is>
      </c>
      <c r="D6359" t="inlineStr">
        <is>
          <t>SKU-10242</t>
        </is>
      </c>
      <c r="E6359" t="inlineStr">
        <is>
          <t>AM08</t>
        </is>
      </c>
      <c r="F6359" s="5" t="n">
        <v>456</v>
      </c>
      <c r="G6359">
        <f>IF(LEFT(B6359,1)="C","Credit","Factuur")</f>
        <v/>
      </c>
      <c r="H6359">
        <f>IF(AND(B6359=B6358,D6359=D6358,A6359=A6358,F6359=F6358),1,0)</f>
        <v/>
      </c>
      <c r="I6359">
        <f>IF(C6359="C99999",1,0)</f>
        <v/>
      </c>
      <c r="J6359" s="5">
        <f>IF(OR(H6359=1,I6359=1),0,IF(G6359="Credit",-F6359,F6359))</f>
        <v/>
      </c>
    </row>
    <row r="6360">
      <c r="A6360" t="inlineStr">
        <is>
          <t>2026-09-01</t>
        </is>
      </c>
      <c r="B6360" t="inlineStr">
        <is>
          <t>F285593</t>
        </is>
      </c>
      <c r="C6360" t="inlineStr">
        <is>
          <t>C11337</t>
        </is>
      </c>
      <c r="D6360" t="inlineStr">
        <is>
          <t>SKU-10301</t>
        </is>
      </c>
      <c r="E6360" t="inlineStr">
        <is>
          <t>AM08</t>
        </is>
      </c>
      <c r="F6360" s="5" t="n">
        <v>406.91</v>
      </c>
      <c r="G6360">
        <f>IF(LEFT(B6360,1)="C","Credit","Factuur")</f>
        <v/>
      </c>
      <c r="H6360">
        <f>IF(AND(B6360=B6359,D6360=D6359,A6360=A6359,F6360=F6359),1,0)</f>
        <v/>
      </c>
      <c r="I6360">
        <f>IF(C6360="C99999",1,0)</f>
        <v/>
      </c>
      <c r="J6360" s="5">
        <f>IF(OR(H6360=1,I6360=1),0,IF(G6360="Credit",-F6360,F6360))</f>
        <v/>
      </c>
    </row>
    <row r="6361">
      <c r="A6361" t="inlineStr">
        <is>
          <t>2026-09-01</t>
        </is>
      </c>
      <c r="B6361" t="inlineStr">
        <is>
          <t>F285939</t>
        </is>
      </c>
      <c r="C6361" t="inlineStr">
        <is>
          <t>C11358</t>
        </is>
      </c>
      <c r="D6361" t="inlineStr">
        <is>
          <t>SKU-10003</t>
        </is>
      </c>
      <c r="E6361" t="inlineStr">
        <is>
          <t>AM05</t>
        </is>
      </c>
      <c r="F6361" s="5" t="n">
        <v>633.65</v>
      </c>
      <c r="G6361">
        <f>IF(LEFT(B6361,1)="C","Credit","Factuur")</f>
        <v/>
      </c>
      <c r="H6361">
        <f>IF(AND(B6361=B6360,D6361=D6360,A6361=A6360,F6361=F6360),1,0)</f>
        <v/>
      </c>
      <c r="I6361">
        <f>IF(C6361="C99999",1,0)</f>
        <v/>
      </c>
      <c r="J6361" s="5">
        <f>IF(OR(H6361=1,I6361=1),0,IF(G6361="Credit",-F6361,F6361))</f>
        <v/>
      </c>
    </row>
    <row r="6362">
      <c r="A6362" t="inlineStr">
        <is>
          <t>2026-09-01</t>
        </is>
      </c>
      <c r="B6362" t="inlineStr">
        <is>
          <t>F285939</t>
        </is>
      </c>
      <c r="C6362" t="inlineStr">
        <is>
          <t>C11358</t>
        </is>
      </c>
      <c r="D6362" t="inlineStr">
        <is>
          <t>SKU-10084</t>
        </is>
      </c>
      <c r="E6362" t="inlineStr">
        <is>
          <t>AM05</t>
        </is>
      </c>
      <c r="F6362" s="5" t="n">
        <v>641.97</v>
      </c>
      <c r="G6362">
        <f>IF(LEFT(B6362,1)="C","Credit","Factuur")</f>
        <v/>
      </c>
      <c r="H6362">
        <f>IF(AND(B6362=B6361,D6362=D6361,A6362=A6361,F6362=F6361),1,0)</f>
        <v/>
      </c>
      <c r="I6362">
        <f>IF(C6362="C99999",1,0)</f>
        <v/>
      </c>
      <c r="J6362" s="5">
        <f>IF(OR(H6362=1,I6362=1),0,IF(G6362="Credit",-F6362,F6362))</f>
        <v/>
      </c>
    </row>
    <row r="6363">
      <c r="A6363" t="inlineStr">
        <is>
          <t>2026-09-01</t>
        </is>
      </c>
      <c r="B6363" t="inlineStr">
        <is>
          <t>F285939</t>
        </is>
      </c>
      <c r="C6363" t="inlineStr">
        <is>
          <t>C11358</t>
        </is>
      </c>
      <c r="D6363" t="inlineStr">
        <is>
          <t>SKU-10098</t>
        </is>
      </c>
      <c r="E6363" t="inlineStr">
        <is>
          <t>AM05</t>
        </is>
      </c>
      <c r="F6363" s="5" t="n">
        <v>600.15</v>
      </c>
      <c r="G6363">
        <f>IF(LEFT(B6363,1)="C","Credit","Factuur")</f>
        <v/>
      </c>
      <c r="H6363">
        <f>IF(AND(B6363=B6362,D6363=D6362,A6363=A6362,F6363=F6362),1,0)</f>
        <v/>
      </c>
      <c r="I6363">
        <f>IF(C6363="C99999",1,0)</f>
        <v/>
      </c>
      <c r="J6363" s="5">
        <f>IF(OR(H6363=1,I6363=1),0,IF(G6363="Credit",-F6363,F6363))</f>
        <v/>
      </c>
    </row>
    <row r="6364">
      <c r="A6364" t="inlineStr">
        <is>
          <t>2026-09-01</t>
        </is>
      </c>
      <c r="B6364" t="inlineStr">
        <is>
          <t>F286042</t>
        </is>
      </c>
      <c r="C6364" t="inlineStr">
        <is>
          <t>C11363</t>
        </is>
      </c>
      <c r="D6364" t="inlineStr">
        <is>
          <t>SKU-10167</t>
        </is>
      </c>
      <c r="E6364" t="inlineStr">
        <is>
          <t>AM09</t>
        </is>
      </c>
      <c r="F6364" s="5" t="n">
        <v>276.1</v>
      </c>
      <c r="G6364">
        <f>IF(LEFT(B6364,1)="C","Credit","Factuur")</f>
        <v/>
      </c>
      <c r="H6364">
        <f>IF(AND(B6364=B6363,D6364=D6363,A6364=A6363,F6364=F6363),1,0)</f>
        <v/>
      </c>
      <c r="I6364">
        <f>IF(C6364="C99999",1,0)</f>
        <v/>
      </c>
      <c r="J6364" s="5">
        <f>IF(OR(H6364=1,I6364=1),0,IF(G6364="Credit",-F6364,F6364))</f>
        <v/>
      </c>
    </row>
    <row r="6365">
      <c r="A6365" t="inlineStr">
        <is>
          <t>2026-09-01</t>
        </is>
      </c>
      <c r="B6365" t="inlineStr">
        <is>
          <t>F286274</t>
        </is>
      </c>
      <c r="C6365" t="inlineStr">
        <is>
          <t>C11373</t>
        </is>
      </c>
      <c r="D6365" t="inlineStr">
        <is>
          <t>SKU-10123</t>
        </is>
      </c>
      <c r="E6365" t="inlineStr">
        <is>
          <t>AM09</t>
        </is>
      </c>
      <c r="F6365" s="5" t="n">
        <v>1519</v>
      </c>
      <c r="G6365">
        <f>IF(LEFT(B6365,1)="C","Credit","Factuur")</f>
        <v/>
      </c>
      <c r="H6365">
        <f>IF(AND(B6365=B6364,D6365=D6364,A6365=A6364,F6365=F6364),1,0)</f>
        <v/>
      </c>
      <c r="I6365">
        <f>IF(C6365="C99999",1,0)</f>
        <v/>
      </c>
      <c r="J6365" s="5">
        <f>IF(OR(H6365=1,I6365=1),0,IF(G6365="Credit",-F6365,F6365))</f>
        <v/>
      </c>
    </row>
    <row r="6366">
      <c r="A6366" t="inlineStr">
        <is>
          <t>2026-09-02</t>
        </is>
      </c>
      <c r="B6366" t="inlineStr">
        <is>
          <t>C900021</t>
        </is>
      </c>
      <c r="C6366" t="inlineStr">
        <is>
          <t>C10013</t>
        </is>
      </c>
      <c r="D6366" t="inlineStr">
        <is>
          <t>SKU-10119</t>
        </is>
      </c>
      <c r="E6366" t="inlineStr">
        <is>
          <t>AM01</t>
        </is>
      </c>
      <c r="F6366" s="5" t="n">
        <v>271.05</v>
      </c>
      <c r="G6366">
        <f>IF(LEFT(B6366,1)="C","Credit","Factuur")</f>
        <v/>
      </c>
      <c r="H6366">
        <f>IF(AND(B6366=B6365,D6366=D6365,A6366=A6365,F6366=F6365),1,0)</f>
        <v/>
      </c>
      <c r="I6366">
        <f>IF(C6366="C99999",1,0)</f>
        <v/>
      </c>
      <c r="J6366" s="5">
        <f>IF(OR(H6366=1,I6366=1),0,IF(G6366="Credit",-F6366,F6366))</f>
        <v/>
      </c>
    </row>
    <row r="6367">
      <c r="A6367" t="inlineStr">
        <is>
          <t>2026-09-02</t>
        </is>
      </c>
      <c r="B6367" t="inlineStr">
        <is>
          <t>C901221</t>
        </is>
      </c>
      <c r="C6367" t="inlineStr">
        <is>
          <t>C10392</t>
        </is>
      </c>
      <c r="D6367" t="inlineStr">
        <is>
          <t>SKU-10280</t>
        </is>
      </c>
      <c r="E6367" t="inlineStr">
        <is>
          <t>AM02</t>
        </is>
      </c>
      <c r="F6367" s="5" t="n">
        <v>261.66</v>
      </c>
      <c r="G6367">
        <f>IF(LEFT(B6367,1)="C","Credit","Factuur")</f>
        <v/>
      </c>
      <c r="H6367">
        <f>IF(AND(B6367=B6366,D6367=D6366,A6367=A6366,F6367=F6366),1,0)</f>
        <v/>
      </c>
      <c r="I6367">
        <f>IF(C6367="C99999",1,0)</f>
        <v/>
      </c>
      <c r="J6367" s="5">
        <f>IF(OR(H6367=1,I6367=1),0,IF(G6367="Credit",-F6367,F6367))</f>
        <v/>
      </c>
    </row>
    <row r="6368">
      <c r="A6368" t="inlineStr">
        <is>
          <t>2026-09-02</t>
        </is>
      </c>
      <c r="B6368" t="inlineStr">
        <is>
          <t>C901706</t>
        </is>
      </c>
      <c r="C6368" t="inlineStr">
        <is>
          <t>C10509</t>
        </is>
      </c>
      <c r="D6368" t="inlineStr">
        <is>
          <t>SKU-10169</t>
        </is>
      </c>
      <c r="E6368" t="inlineStr">
        <is>
          <t>AM03</t>
        </is>
      </c>
      <c r="F6368" s="5" t="n">
        <v>185.16</v>
      </c>
      <c r="G6368">
        <f>IF(LEFT(B6368,1)="C","Credit","Factuur")</f>
        <v/>
      </c>
      <c r="H6368">
        <f>IF(AND(B6368=B6367,D6368=D6367,A6368=A6367,F6368=F6367),1,0)</f>
        <v/>
      </c>
      <c r="I6368">
        <f>IF(C6368="C99999",1,0)</f>
        <v/>
      </c>
      <c r="J6368" s="5">
        <f>IF(OR(H6368=1,I6368=1),0,IF(G6368="Credit",-F6368,F6368))</f>
        <v/>
      </c>
    </row>
    <row r="6369">
      <c r="A6369" t="inlineStr">
        <is>
          <t>2026-09-02</t>
        </is>
      </c>
      <c r="B6369" t="inlineStr">
        <is>
          <t>F260144</t>
        </is>
      </c>
      <c r="C6369" t="inlineStr">
        <is>
          <t>C10009</t>
        </is>
      </c>
      <c r="D6369" t="inlineStr">
        <is>
          <t>SKU-10067</t>
        </is>
      </c>
      <c r="E6369" t="inlineStr">
        <is>
          <t>AM07</t>
        </is>
      </c>
      <c r="F6369" s="5" t="n">
        <v>1393.44</v>
      </c>
      <c r="G6369">
        <f>IF(LEFT(B6369,1)="C","Credit","Factuur")</f>
        <v/>
      </c>
      <c r="H6369">
        <f>IF(AND(B6369=B6368,D6369=D6368,A6369=A6368,F6369=F6368),1,0)</f>
        <v/>
      </c>
      <c r="I6369">
        <f>IF(C6369="C99999",1,0)</f>
        <v/>
      </c>
      <c r="J6369" s="5">
        <f>IF(OR(H6369=1,I6369=1),0,IF(G6369="Credit",-F6369,F6369))</f>
        <v/>
      </c>
    </row>
    <row r="6370">
      <c r="A6370" t="inlineStr">
        <is>
          <t>2026-09-02</t>
        </is>
      </c>
      <c r="B6370" t="inlineStr">
        <is>
          <t>F260144</t>
        </is>
      </c>
      <c r="C6370" t="inlineStr">
        <is>
          <t>C10009</t>
        </is>
      </c>
      <c r="D6370" t="inlineStr">
        <is>
          <t>SKU-10248</t>
        </is>
      </c>
      <c r="E6370" t="inlineStr">
        <is>
          <t>AM07</t>
        </is>
      </c>
      <c r="F6370" s="5" t="n">
        <v>1396.72</v>
      </c>
      <c r="G6370">
        <f>IF(LEFT(B6370,1)="C","Credit","Factuur")</f>
        <v/>
      </c>
      <c r="H6370">
        <f>IF(AND(B6370=B6369,D6370=D6369,A6370=A6369,F6370=F6369),1,0)</f>
        <v/>
      </c>
      <c r="I6370">
        <f>IF(C6370="C99999",1,0)</f>
        <v/>
      </c>
      <c r="J6370" s="5">
        <f>IF(OR(H6370=1,I6370=1),0,IF(G6370="Credit",-F6370,F6370))</f>
        <v/>
      </c>
    </row>
    <row r="6371">
      <c r="A6371" t="inlineStr">
        <is>
          <t>2026-09-02</t>
        </is>
      </c>
      <c r="B6371" t="inlineStr">
        <is>
          <t>F260675</t>
        </is>
      </c>
      <c r="C6371" t="inlineStr">
        <is>
          <t>C10039</t>
        </is>
      </c>
      <c r="D6371" t="inlineStr">
        <is>
          <t>SKU-10180</t>
        </is>
      </c>
      <c r="E6371" t="inlineStr">
        <is>
          <t>AM12</t>
        </is>
      </c>
      <c r="F6371" s="5" t="n">
        <v>621.04</v>
      </c>
      <c r="G6371">
        <f>IF(LEFT(B6371,1)="C","Credit","Factuur")</f>
        <v/>
      </c>
      <c r="H6371">
        <f>IF(AND(B6371=B6370,D6371=D6370,A6371=A6370,F6371=F6370),1,0)</f>
        <v/>
      </c>
      <c r="I6371">
        <f>IF(C6371="C99999",1,0)</f>
        <v/>
      </c>
      <c r="J6371" s="5">
        <f>IF(OR(H6371=1,I6371=1),0,IF(G6371="Credit",-F6371,F6371))</f>
        <v/>
      </c>
    </row>
    <row r="6372">
      <c r="A6372" t="inlineStr">
        <is>
          <t>2026-09-02</t>
        </is>
      </c>
      <c r="B6372" t="inlineStr">
        <is>
          <t>F260675</t>
        </is>
      </c>
      <c r="C6372" t="inlineStr">
        <is>
          <t>C10039</t>
        </is>
      </c>
      <c r="D6372" t="inlineStr">
        <is>
          <t>SKU-10315</t>
        </is>
      </c>
      <c r="E6372" t="inlineStr">
        <is>
          <t>AM12</t>
        </is>
      </c>
      <c r="F6372" s="5" t="n">
        <v>653.4</v>
      </c>
      <c r="G6372">
        <f>IF(LEFT(B6372,1)="C","Credit","Factuur")</f>
        <v/>
      </c>
      <c r="H6372">
        <f>IF(AND(B6372=B6371,D6372=D6371,A6372=A6371,F6372=F6371),1,0)</f>
        <v/>
      </c>
      <c r="I6372">
        <f>IF(C6372="C99999",1,0)</f>
        <v/>
      </c>
      <c r="J6372" s="5">
        <f>IF(OR(H6372=1,I6372=1),0,IF(G6372="Credit",-F6372,F6372))</f>
        <v/>
      </c>
    </row>
    <row r="6373">
      <c r="A6373" t="inlineStr">
        <is>
          <t>2026-09-02</t>
        </is>
      </c>
      <c r="B6373" t="inlineStr">
        <is>
          <t>F261208</t>
        </is>
      </c>
      <c r="C6373" t="inlineStr">
        <is>
          <t>C10066</t>
        </is>
      </c>
      <c r="D6373" t="inlineStr">
        <is>
          <t>SKU-10037</t>
        </is>
      </c>
      <c r="E6373" t="inlineStr">
        <is>
          <t>AM03</t>
        </is>
      </c>
      <c r="F6373" s="5" t="n">
        <v>169.8</v>
      </c>
      <c r="G6373">
        <f>IF(LEFT(B6373,1)="C","Credit","Factuur")</f>
        <v/>
      </c>
      <c r="H6373">
        <f>IF(AND(B6373=B6372,D6373=D6372,A6373=A6372,F6373=F6372),1,0)</f>
        <v/>
      </c>
      <c r="I6373">
        <f>IF(C6373="C99999",1,0)</f>
        <v/>
      </c>
      <c r="J6373" s="5">
        <f>IF(OR(H6373=1,I6373=1),0,IF(G6373="Credit",-F6373,F6373))</f>
        <v/>
      </c>
    </row>
    <row r="6374">
      <c r="A6374" t="inlineStr">
        <is>
          <t>2026-09-02</t>
        </is>
      </c>
      <c r="B6374" t="inlineStr">
        <is>
          <t>F261208</t>
        </is>
      </c>
      <c r="C6374" t="inlineStr">
        <is>
          <t>C10066</t>
        </is>
      </c>
      <c r="D6374" t="inlineStr">
        <is>
          <t>SKU-10039</t>
        </is>
      </c>
      <c r="E6374" t="inlineStr">
        <is>
          <t>AM03</t>
        </is>
      </c>
      <c r="F6374" s="5" t="n">
        <v>175.12</v>
      </c>
      <c r="G6374">
        <f>IF(LEFT(B6374,1)="C","Credit","Factuur")</f>
        <v/>
      </c>
      <c r="H6374">
        <f>IF(AND(B6374=B6373,D6374=D6373,A6374=A6373,F6374=F6373),1,0)</f>
        <v/>
      </c>
      <c r="I6374">
        <f>IF(C6374="C99999",1,0)</f>
        <v/>
      </c>
      <c r="J6374" s="5">
        <f>IF(OR(H6374=1,I6374=1),0,IF(G6374="Credit",-F6374,F6374))</f>
        <v/>
      </c>
    </row>
    <row r="6375">
      <c r="A6375" t="inlineStr">
        <is>
          <t>2026-09-02</t>
        </is>
      </c>
      <c r="B6375" t="inlineStr">
        <is>
          <t>F261545</t>
        </is>
      </c>
      <c r="C6375" t="inlineStr">
        <is>
          <t>C10082</t>
        </is>
      </c>
      <c r="D6375" t="inlineStr">
        <is>
          <t>SKU-10055</t>
        </is>
      </c>
      <c r="E6375" t="inlineStr">
        <is>
          <t>AM09</t>
        </is>
      </c>
      <c r="F6375" s="5" t="n">
        <v>6035.4</v>
      </c>
      <c r="G6375">
        <f>IF(LEFT(B6375,1)="C","Credit","Factuur")</f>
        <v/>
      </c>
      <c r="H6375">
        <f>IF(AND(B6375=B6374,D6375=D6374,A6375=A6374,F6375=F6374),1,0)</f>
        <v/>
      </c>
      <c r="I6375">
        <f>IF(C6375="C99999",1,0)</f>
        <v/>
      </c>
      <c r="J6375" s="5">
        <f>IF(OR(H6375=1,I6375=1),0,IF(G6375="Credit",-F6375,F6375))</f>
        <v/>
      </c>
    </row>
    <row r="6376">
      <c r="A6376" t="inlineStr">
        <is>
          <t>2026-09-02</t>
        </is>
      </c>
      <c r="B6376" t="inlineStr">
        <is>
          <t>F261545</t>
        </is>
      </c>
      <c r="C6376" t="inlineStr">
        <is>
          <t>C10082</t>
        </is>
      </c>
      <c r="D6376" t="inlineStr">
        <is>
          <t>SKU-10061</t>
        </is>
      </c>
      <c r="E6376" t="inlineStr">
        <is>
          <t>AM09</t>
        </is>
      </c>
      <c r="F6376" s="5" t="n">
        <v>5127.95</v>
      </c>
      <c r="G6376">
        <f>IF(LEFT(B6376,1)="C","Credit","Factuur")</f>
        <v/>
      </c>
      <c r="H6376">
        <f>IF(AND(B6376=B6375,D6376=D6375,A6376=A6375,F6376=F6375),1,0)</f>
        <v/>
      </c>
      <c r="I6376">
        <f>IF(C6376="C99999",1,0)</f>
        <v/>
      </c>
      <c r="J6376" s="5">
        <f>IF(OR(H6376=1,I6376=1),0,IF(G6376="Credit",-F6376,F6376))</f>
        <v/>
      </c>
    </row>
    <row r="6377">
      <c r="A6377" t="inlineStr">
        <is>
          <t>2026-09-02</t>
        </is>
      </c>
      <c r="B6377" t="inlineStr">
        <is>
          <t>F261545</t>
        </is>
      </c>
      <c r="C6377" t="inlineStr">
        <is>
          <t>C10082</t>
        </is>
      </c>
      <c r="D6377" t="inlineStr">
        <is>
          <t>SKU-10287</t>
        </is>
      </c>
      <c r="E6377" t="inlineStr">
        <is>
          <t>AM09</t>
        </is>
      </c>
      <c r="F6377" s="5" t="n">
        <v>6052.11</v>
      </c>
      <c r="G6377">
        <f>IF(LEFT(B6377,1)="C","Credit","Factuur")</f>
        <v/>
      </c>
      <c r="H6377">
        <f>IF(AND(B6377=B6376,D6377=D6376,A6377=A6376,F6377=F6376),1,0)</f>
        <v/>
      </c>
      <c r="I6377">
        <f>IF(C6377="C99999",1,0)</f>
        <v/>
      </c>
      <c r="J6377" s="5">
        <f>IF(OR(H6377=1,I6377=1),0,IF(G6377="Credit",-F6377,F6377))</f>
        <v/>
      </c>
    </row>
    <row r="6378">
      <c r="A6378" t="inlineStr">
        <is>
          <t>2026-09-02</t>
        </is>
      </c>
      <c r="B6378" t="inlineStr">
        <is>
          <t>F264223</t>
        </is>
      </c>
      <c r="C6378" t="inlineStr">
        <is>
          <t>C10222</t>
        </is>
      </c>
      <c r="D6378" t="inlineStr">
        <is>
          <t>SKU-10119</t>
        </is>
      </c>
      <c r="E6378" t="inlineStr">
        <is>
          <t>AM01</t>
        </is>
      </c>
      <c r="F6378" s="5" t="n">
        <v>257.5</v>
      </c>
      <c r="G6378">
        <f>IF(LEFT(B6378,1)="C","Credit","Factuur")</f>
        <v/>
      </c>
      <c r="H6378">
        <f>IF(AND(B6378=B6377,D6378=D6377,A6378=A6377,F6378=F6377),1,0)</f>
        <v/>
      </c>
      <c r="I6378">
        <f>IF(C6378="C99999",1,0)</f>
        <v/>
      </c>
      <c r="J6378" s="5">
        <f>IF(OR(H6378=1,I6378=1),0,IF(G6378="Credit",-F6378,F6378))</f>
        <v/>
      </c>
    </row>
    <row r="6379">
      <c r="A6379" t="inlineStr">
        <is>
          <t>2026-09-02</t>
        </is>
      </c>
      <c r="B6379" t="inlineStr">
        <is>
          <t>F264223</t>
        </is>
      </c>
      <c r="C6379" t="inlineStr">
        <is>
          <t>C10222</t>
        </is>
      </c>
      <c r="D6379" t="inlineStr">
        <is>
          <t>SKU-10166</t>
        </is>
      </c>
      <c r="E6379" t="inlineStr">
        <is>
          <t>AM01</t>
        </is>
      </c>
      <c r="F6379" s="5" t="n">
        <v>277.59</v>
      </c>
      <c r="G6379">
        <f>IF(LEFT(B6379,1)="C","Credit","Factuur")</f>
        <v/>
      </c>
      <c r="H6379">
        <f>IF(AND(B6379=B6378,D6379=D6378,A6379=A6378,F6379=F6378),1,0)</f>
        <v/>
      </c>
      <c r="I6379">
        <f>IF(C6379="C99999",1,0)</f>
        <v/>
      </c>
      <c r="J6379" s="5">
        <f>IF(OR(H6379=1,I6379=1),0,IF(G6379="Credit",-F6379,F6379))</f>
        <v/>
      </c>
    </row>
    <row r="6380">
      <c r="A6380" t="inlineStr">
        <is>
          <t>2026-09-02</t>
        </is>
      </c>
      <c r="B6380" t="inlineStr">
        <is>
          <t>F264942</t>
        </is>
      </c>
      <c r="C6380" t="inlineStr">
        <is>
          <t>C10256</t>
        </is>
      </c>
      <c r="D6380" t="inlineStr">
        <is>
          <t>SKU-10023</t>
        </is>
      </c>
      <c r="E6380" t="inlineStr">
        <is>
          <t>AM05</t>
        </is>
      </c>
      <c r="F6380" s="5" t="n">
        <v>50.72</v>
      </c>
      <c r="G6380">
        <f>IF(LEFT(B6380,1)="C","Credit","Factuur")</f>
        <v/>
      </c>
      <c r="H6380">
        <f>IF(AND(B6380=B6379,D6380=D6379,A6380=A6379,F6380=F6379),1,0)</f>
        <v/>
      </c>
      <c r="I6380">
        <f>IF(C6380="C99999",1,0)</f>
        <v/>
      </c>
      <c r="J6380" s="5">
        <f>IF(OR(H6380=1,I6380=1),0,IF(G6380="Credit",-F6380,F6380))</f>
        <v/>
      </c>
    </row>
    <row r="6381">
      <c r="A6381" t="inlineStr">
        <is>
          <t>2026-09-02</t>
        </is>
      </c>
      <c r="B6381" t="inlineStr">
        <is>
          <t>F264942</t>
        </is>
      </c>
      <c r="C6381" t="inlineStr">
        <is>
          <t>C10256</t>
        </is>
      </c>
      <c r="D6381" t="inlineStr">
        <is>
          <t>SKU-10036</t>
        </is>
      </c>
      <c r="E6381" t="inlineStr">
        <is>
          <t>AM05</t>
        </is>
      </c>
      <c r="F6381" s="5" t="n">
        <v>39.91</v>
      </c>
      <c r="G6381">
        <f>IF(LEFT(B6381,1)="C","Credit","Factuur")</f>
        <v/>
      </c>
      <c r="H6381">
        <f>IF(AND(B6381=B6380,D6381=D6380,A6381=A6380,F6381=F6380),1,0)</f>
        <v/>
      </c>
      <c r="I6381">
        <f>IF(C6381="C99999",1,0)</f>
        <v/>
      </c>
      <c r="J6381" s="5">
        <f>IF(OR(H6381=1,I6381=1),0,IF(G6381="Credit",-F6381,F6381))</f>
        <v/>
      </c>
    </row>
    <row r="6382">
      <c r="A6382" t="inlineStr">
        <is>
          <t>2026-09-02</t>
        </is>
      </c>
      <c r="B6382" t="inlineStr">
        <is>
          <t>F264942</t>
        </is>
      </c>
      <c r="C6382" t="inlineStr">
        <is>
          <t>C10256</t>
        </is>
      </c>
      <c r="D6382" t="inlineStr">
        <is>
          <t>SKU-10222</t>
        </is>
      </c>
      <c r="E6382" t="inlineStr">
        <is>
          <t>AM05</t>
        </is>
      </c>
      <c r="F6382" s="5" t="n">
        <v>46.32</v>
      </c>
      <c r="G6382">
        <f>IF(LEFT(B6382,1)="C","Credit","Factuur")</f>
        <v/>
      </c>
      <c r="H6382">
        <f>IF(AND(B6382=B6381,D6382=D6381,A6382=A6381,F6382=F6381),1,0)</f>
        <v/>
      </c>
      <c r="I6382">
        <f>IF(C6382="C99999",1,0)</f>
        <v/>
      </c>
      <c r="J6382" s="5">
        <f>IF(OR(H6382=1,I6382=1),0,IF(G6382="Credit",-F6382,F6382))</f>
        <v/>
      </c>
    </row>
    <row r="6383">
      <c r="A6383" t="inlineStr">
        <is>
          <t>2026-09-02</t>
        </is>
      </c>
      <c r="B6383" t="inlineStr">
        <is>
          <t>F264942</t>
        </is>
      </c>
      <c r="C6383" t="inlineStr">
        <is>
          <t>C10256</t>
        </is>
      </c>
      <c r="D6383" t="inlineStr">
        <is>
          <t>SKU-10247</t>
        </is>
      </c>
      <c r="E6383" t="inlineStr">
        <is>
          <t>AM05</t>
        </is>
      </c>
      <c r="F6383" s="5" t="n">
        <v>46.13</v>
      </c>
      <c r="G6383">
        <f>IF(LEFT(B6383,1)="C","Credit","Factuur")</f>
        <v/>
      </c>
      <c r="H6383">
        <f>IF(AND(B6383=B6382,D6383=D6382,A6383=A6382,F6383=F6382),1,0)</f>
        <v/>
      </c>
      <c r="I6383">
        <f>IF(C6383="C99999",1,0)</f>
        <v/>
      </c>
      <c r="J6383" s="5">
        <f>IF(OR(H6383=1,I6383=1),0,IF(G6383="Credit",-F6383,F6383))</f>
        <v/>
      </c>
    </row>
    <row r="6384">
      <c r="A6384" t="inlineStr">
        <is>
          <t>2026-09-02</t>
        </is>
      </c>
      <c r="B6384" t="inlineStr">
        <is>
          <t>F264994</t>
        </is>
      </c>
      <c r="C6384" t="inlineStr">
        <is>
          <t>C10261</t>
        </is>
      </c>
      <c r="D6384" t="inlineStr">
        <is>
          <t>SKU-10022</t>
        </is>
      </c>
      <c r="E6384" t="inlineStr">
        <is>
          <t>AM03</t>
        </is>
      </c>
      <c r="F6384" s="5" t="n">
        <v>471.04</v>
      </c>
      <c r="G6384">
        <f>IF(LEFT(B6384,1)="C","Credit","Factuur")</f>
        <v/>
      </c>
      <c r="H6384">
        <f>IF(AND(B6384=B6383,D6384=D6383,A6384=A6383,F6384=F6383),1,0)</f>
        <v/>
      </c>
      <c r="I6384">
        <f>IF(C6384="C99999",1,0)</f>
        <v/>
      </c>
      <c r="J6384" s="5">
        <f>IF(OR(H6384=1,I6384=1),0,IF(G6384="Credit",-F6384,F6384))</f>
        <v/>
      </c>
    </row>
    <row r="6385">
      <c r="A6385" t="inlineStr">
        <is>
          <t>2026-09-02</t>
        </is>
      </c>
      <c r="B6385" t="inlineStr">
        <is>
          <t>F264994</t>
        </is>
      </c>
      <c r="C6385" t="inlineStr">
        <is>
          <t>C10261</t>
        </is>
      </c>
      <c r="D6385" t="inlineStr">
        <is>
          <t>SKU-10339</t>
        </is>
      </c>
      <c r="E6385" t="inlineStr">
        <is>
          <t>AM03</t>
        </is>
      </c>
      <c r="F6385" s="5" t="n">
        <v>481.6</v>
      </c>
      <c r="G6385">
        <f>IF(LEFT(B6385,1)="C","Credit","Factuur")</f>
        <v/>
      </c>
      <c r="H6385">
        <f>IF(AND(B6385=B6384,D6385=D6384,A6385=A6384,F6385=F6384),1,0)</f>
        <v/>
      </c>
      <c r="I6385">
        <f>IF(C6385="C99999",1,0)</f>
        <v/>
      </c>
      <c r="J6385" s="5">
        <f>IF(OR(H6385=1,I6385=1),0,IF(G6385="Credit",-F6385,F6385))</f>
        <v/>
      </c>
    </row>
    <row r="6386">
      <c r="A6386" t="inlineStr">
        <is>
          <t>2026-09-02</t>
        </is>
      </c>
      <c r="B6386" t="inlineStr">
        <is>
          <t>F265596</t>
        </is>
      </c>
      <c r="C6386" t="inlineStr">
        <is>
          <t>C10294</t>
        </is>
      </c>
      <c r="D6386" t="inlineStr">
        <is>
          <t>SKU-10233</t>
        </is>
      </c>
      <c r="E6386" t="inlineStr">
        <is>
          <t>AM11</t>
        </is>
      </c>
      <c r="F6386" s="5" t="n">
        <v>216.78</v>
      </c>
      <c r="G6386">
        <f>IF(LEFT(B6386,1)="C","Credit","Factuur")</f>
        <v/>
      </c>
      <c r="H6386">
        <f>IF(AND(B6386=B6385,D6386=D6385,A6386=A6385,F6386=F6385),1,0)</f>
        <v/>
      </c>
      <c r="I6386">
        <f>IF(C6386="C99999",1,0)</f>
        <v/>
      </c>
      <c r="J6386" s="5">
        <f>IF(OR(H6386=1,I6386=1),0,IF(G6386="Credit",-F6386,F6386))</f>
        <v/>
      </c>
    </row>
    <row r="6387">
      <c r="A6387" t="inlineStr">
        <is>
          <t>2026-09-02</t>
        </is>
      </c>
      <c r="B6387" t="inlineStr">
        <is>
          <t>F266733</t>
        </is>
      </c>
      <c r="C6387" t="inlineStr">
        <is>
          <t>C10355</t>
        </is>
      </c>
      <c r="D6387" t="inlineStr">
        <is>
          <t>SKU-10093</t>
        </is>
      </c>
      <c r="E6387" t="inlineStr">
        <is>
          <t>AM12</t>
        </is>
      </c>
      <c r="F6387" s="5" t="n">
        <v>193.78</v>
      </c>
      <c r="G6387">
        <f>IF(LEFT(B6387,1)="C","Credit","Factuur")</f>
        <v/>
      </c>
      <c r="H6387">
        <f>IF(AND(B6387=B6386,D6387=D6386,A6387=A6386,F6387=F6386),1,0)</f>
        <v/>
      </c>
      <c r="I6387">
        <f>IF(C6387="C99999",1,0)</f>
        <v/>
      </c>
      <c r="J6387" s="5">
        <f>IF(OR(H6387=1,I6387=1),0,IF(G6387="Credit",-F6387,F6387))</f>
        <v/>
      </c>
    </row>
    <row r="6388">
      <c r="A6388" t="inlineStr">
        <is>
          <t>2026-09-02</t>
        </is>
      </c>
      <c r="B6388" t="inlineStr">
        <is>
          <t>F266733</t>
        </is>
      </c>
      <c r="C6388" t="inlineStr">
        <is>
          <t>C10355</t>
        </is>
      </c>
      <c r="D6388" t="inlineStr">
        <is>
          <t>SKU-10307</t>
        </is>
      </c>
      <c r="E6388" t="inlineStr">
        <is>
          <t>AM12</t>
        </is>
      </c>
      <c r="F6388" s="5" t="n">
        <v>203.1</v>
      </c>
      <c r="G6388">
        <f>IF(LEFT(B6388,1)="C","Credit","Factuur")</f>
        <v/>
      </c>
      <c r="H6388">
        <f>IF(AND(B6388=B6387,D6388=D6387,A6388=A6387,F6388=F6387),1,0)</f>
        <v/>
      </c>
      <c r="I6388">
        <f>IF(C6388="C99999",1,0)</f>
        <v/>
      </c>
      <c r="J6388" s="5">
        <f>IF(OR(H6388=1,I6388=1),0,IF(G6388="Credit",-F6388,F6388))</f>
        <v/>
      </c>
    </row>
    <row r="6389">
      <c r="A6389" t="inlineStr">
        <is>
          <t>2026-09-02</t>
        </is>
      </c>
      <c r="B6389" t="inlineStr">
        <is>
          <t>F266733</t>
        </is>
      </c>
      <c r="C6389" t="inlineStr">
        <is>
          <t>C10355</t>
        </is>
      </c>
      <c r="D6389" t="inlineStr">
        <is>
          <t>SKU-10322</t>
        </is>
      </c>
      <c r="E6389" t="inlineStr">
        <is>
          <t>AM12</t>
        </is>
      </c>
      <c r="F6389" s="5" t="n">
        <v>216.88</v>
      </c>
      <c r="G6389">
        <f>IF(LEFT(B6389,1)="C","Credit","Factuur")</f>
        <v/>
      </c>
      <c r="H6389">
        <f>IF(AND(B6389=B6388,D6389=D6388,A6389=A6388,F6389=F6388),1,0)</f>
        <v/>
      </c>
      <c r="I6389">
        <f>IF(C6389="C99999",1,0)</f>
        <v/>
      </c>
      <c r="J6389" s="5">
        <f>IF(OR(H6389=1,I6389=1),0,IF(G6389="Credit",-F6389,F6389))</f>
        <v/>
      </c>
    </row>
    <row r="6390">
      <c r="A6390" t="inlineStr">
        <is>
          <t>2026-09-02</t>
        </is>
      </c>
      <c r="B6390" t="inlineStr">
        <is>
          <t>F266807</t>
        </is>
      </c>
      <c r="C6390" t="inlineStr">
        <is>
          <t>C10359</t>
        </is>
      </c>
      <c r="D6390" t="inlineStr">
        <is>
          <t>SKU-10039</t>
        </is>
      </c>
      <c r="E6390" t="inlineStr">
        <is>
          <t>AM06</t>
        </is>
      </c>
      <c r="F6390" s="5" t="n">
        <v>291.87</v>
      </c>
      <c r="G6390">
        <f>IF(LEFT(B6390,1)="C","Credit","Factuur")</f>
        <v/>
      </c>
      <c r="H6390">
        <f>IF(AND(B6390=B6389,D6390=D6389,A6390=A6389,F6390=F6389),1,0)</f>
        <v/>
      </c>
      <c r="I6390">
        <f>IF(C6390="C99999",1,0)</f>
        <v/>
      </c>
      <c r="J6390" s="5">
        <f>IF(OR(H6390=1,I6390=1),0,IF(G6390="Credit",-F6390,F6390))</f>
        <v/>
      </c>
    </row>
    <row r="6391">
      <c r="A6391" t="inlineStr">
        <is>
          <t>2026-09-02</t>
        </is>
      </c>
      <c r="B6391" t="inlineStr">
        <is>
          <t>F266807</t>
        </is>
      </c>
      <c r="C6391" t="inlineStr">
        <is>
          <t>C10359</t>
        </is>
      </c>
      <c r="D6391" t="inlineStr">
        <is>
          <t>SKU-10141</t>
        </is>
      </c>
      <c r="E6391" t="inlineStr">
        <is>
          <t>AM06</t>
        </is>
      </c>
      <c r="F6391" s="5" t="n">
        <v>265.25</v>
      </c>
      <c r="G6391">
        <f>IF(LEFT(B6391,1)="C","Credit","Factuur")</f>
        <v/>
      </c>
      <c r="H6391">
        <f>IF(AND(B6391=B6390,D6391=D6390,A6391=A6390,F6391=F6390),1,0)</f>
        <v/>
      </c>
      <c r="I6391">
        <f>IF(C6391="C99999",1,0)</f>
        <v/>
      </c>
      <c r="J6391" s="5">
        <f>IF(OR(H6391=1,I6391=1),0,IF(G6391="Credit",-F6391,F6391))</f>
        <v/>
      </c>
    </row>
    <row r="6392">
      <c r="A6392" t="inlineStr">
        <is>
          <t>2026-09-02</t>
        </is>
      </c>
      <c r="B6392" t="inlineStr">
        <is>
          <t>F266849</t>
        </is>
      </c>
      <c r="C6392" t="inlineStr">
        <is>
          <t>C10360</t>
        </is>
      </c>
      <c r="D6392" t="inlineStr">
        <is>
          <t>SKU-10124</t>
        </is>
      </c>
      <c r="E6392" t="inlineStr">
        <is>
          <t>AM05</t>
        </is>
      </c>
      <c r="F6392" s="5" t="n">
        <v>509.67</v>
      </c>
      <c r="G6392">
        <f>IF(LEFT(B6392,1)="C","Credit","Factuur")</f>
        <v/>
      </c>
      <c r="H6392">
        <f>IF(AND(B6392=B6391,D6392=D6391,A6392=A6391,F6392=F6391),1,0)</f>
        <v/>
      </c>
      <c r="I6392">
        <f>IF(C6392="C99999",1,0)</f>
        <v/>
      </c>
      <c r="J6392" s="5">
        <f>IF(OR(H6392=1,I6392=1),0,IF(G6392="Credit",-F6392,F6392))</f>
        <v/>
      </c>
    </row>
    <row r="6393">
      <c r="A6393" t="inlineStr">
        <is>
          <t>2026-09-02</t>
        </is>
      </c>
      <c r="B6393" t="inlineStr">
        <is>
          <t>F266849</t>
        </is>
      </c>
      <c r="C6393" t="inlineStr">
        <is>
          <t>C10360</t>
        </is>
      </c>
      <c r="D6393" t="inlineStr">
        <is>
          <t>SKU-10191</t>
        </is>
      </c>
      <c r="E6393" t="inlineStr">
        <is>
          <t>AM05</t>
        </is>
      </c>
      <c r="F6393" s="5" t="n">
        <v>522.27</v>
      </c>
      <c r="G6393">
        <f>IF(LEFT(B6393,1)="C","Credit","Factuur")</f>
        <v/>
      </c>
      <c r="H6393">
        <f>IF(AND(B6393=B6392,D6393=D6392,A6393=A6392,F6393=F6392),1,0)</f>
        <v/>
      </c>
      <c r="I6393">
        <f>IF(C6393="C99999",1,0)</f>
        <v/>
      </c>
      <c r="J6393" s="5">
        <f>IF(OR(H6393=1,I6393=1),0,IF(G6393="Credit",-F6393,F6393))</f>
        <v/>
      </c>
    </row>
    <row r="6394">
      <c r="A6394" t="inlineStr">
        <is>
          <t>2026-09-02</t>
        </is>
      </c>
      <c r="B6394" t="inlineStr">
        <is>
          <t>F267024</t>
        </is>
      </c>
      <c r="C6394" t="inlineStr">
        <is>
          <t>C10369</t>
        </is>
      </c>
      <c r="D6394" t="inlineStr">
        <is>
          <t>SKU-10003</t>
        </is>
      </c>
      <c r="E6394" t="inlineStr">
        <is>
          <t>AM05</t>
        </is>
      </c>
      <c r="F6394" s="5" t="n">
        <v>460.64</v>
      </c>
      <c r="G6394">
        <f>IF(LEFT(B6394,1)="C","Credit","Factuur")</f>
        <v/>
      </c>
      <c r="H6394">
        <f>IF(AND(B6394=B6393,D6394=D6393,A6394=A6393,F6394=F6393),1,0)</f>
        <v/>
      </c>
      <c r="I6394">
        <f>IF(C6394="C99999",1,0)</f>
        <v/>
      </c>
      <c r="J6394" s="5">
        <f>IF(OR(H6394=1,I6394=1),0,IF(G6394="Credit",-F6394,F6394))</f>
        <v/>
      </c>
    </row>
    <row r="6395">
      <c r="A6395" t="inlineStr">
        <is>
          <t>2026-09-02</t>
        </is>
      </c>
      <c r="B6395" t="inlineStr">
        <is>
          <t>F267024</t>
        </is>
      </c>
      <c r="C6395" t="inlineStr">
        <is>
          <t>C10369</t>
        </is>
      </c>
      <c r="D6395" t="inlineStr">
        <is>
          <t>SKU-10008</t>
        </is>
      </c>
      <c r="E6395" t="inlineStr">
        <is>
          <t>AM05</t>
        </is>
      </c>
      <c r="F6395" s="5" t="n">
        <v>524.16</v>
      </c>
      <c r="G6395">
        <f>IF(LEFT(B6395,1)="C","Credit","Factuur")</f>
        <v/>
      </c>
      <c r="H6395">
        <f>IF(AND(B6395=B6394,D6395=D6394,A6395=A6394,F6395=F6394),1,0)</f>
        <v/>
      </c>
      <c r="I6395">
        <f>IF(C6395="C99999",1,0)</f>
        <v/>
      </c>
      <c r="J6395" s="5">
        <f>IF(OR(H6395=1,I6395=1),0,IF(G6395="Credit",-F6395,F6395))</f>
        <v/>
      </c>
    </row>
    <row r="6396">
      <c r="A6396" t="inlineStr">
        <is>
          <t>2026-09-02</t>
        </is>
      </c>
      <c r="B6396" t="inlineStr">
        <is>
          <t>F267024</t>
        </is>
      </c>
      <c r="C6396" t="inlineStr">
        <is>
          <t>C10369</t>
        </is>
      </c>
      <c r="D6396" t="inlineStr">
        <is>
          <t>SKU-10209</t>
        </is>
      </c>
      <c r="E6396" t="inlineStr">
        <is>
          <t>AM05</t>
        </is>
      </c>
      <c r="F6396" s="5" t="n">
        <v>461.31</v>
      </c>
      <c r="G6396">
        <f>IF(LEFT(B6396,1)="C","Credit","Factuur")</f>
        <v/>
      </c>
      <c r="H6396">
        <f>IF(AND(B6396=B6395,D6396=D6395,A6396=A6395,F6396=F6395),1,0)</f>
        <v/>
      </c>
      <c r="I6396">
        <f>IF(C6396="C99999",1,0)</f>
        <v/>
      </c>
      <c r="J6396" s="5">
        <f>IF(OR(H6396=1,I6396=1),0,IF(G6396="Credit",-F6396,F6396))</f>
        <v/>
      </c>
    </row>
    <row r="6397">
      <c r="A6397" t="inlineStr">
        <is>
          <t>2026-09-02</t>
        </is>
      </c>
      <c r="B6397" t="inlineStr">
        <is>
          <t>F267024</t>
        </is>
      </c>
      <c r="C6397" t="inlineStr">
        <is>
          <t>C10369</t>
        </is>
      </c>
      <c r="D6397" t="inlineStr">
        <is>
          <t>SKU-10332</t>
        </is>
      </c>
      <c r="E6397" t="inlineStr">
        <is>
          <t>AM05</t>
        </is>
      </c>
      <c r="F6397" s="5" t="n">
        <v>502.52</v>
      </c>
      <c r="G6397">
        <f>IF(LEFT(B6397,1)="C","Credit","Factuur")</f>
        <v/>
      </c>
      <c r="H6397">
        <f>IF(AND(B6397=B6396,D6397=D6396,A6397=A6396,F6397=F6396),1,0)</f>
        <v/>
      </c>
      <c r="I6397">
        <f>IF(C6397="C99999",1,0)</f>
        <v/>
      </c>
      <c r="J6397" s="5">
        <f>IF(OR(H6397=1,I6397=1),0,IF(G6397="Credit",-F6397,F6397))</f>
        <v/>
      </c>
    </row>
    <row r="6398">
      <c r="A6398" t="inlineStr">
        <is>
          <t>2026-09-02</t>
        </is>
      </c>
      <c r="B6398" t="inlineStr">
        <is>
          <t>F268175</t>
        </is>
      </c>
      <c r="C6398" t="inlineStr">
        <is>
          <t>C10429</t>
        </is>
      </c>
      <c r="D6398" t="inlineStr">
        <is>
          <t>SKU-10034</t>
        </is>
      </c>
      <c r="E6398" t="inlineStr"/>
      <c r="F6398" s="5" t="n">
        <v>396.98</v>
      </c>
      <c r="G6398">
        <f>IF(LEFT(B6398,1)="C","Credit","Factuur")</f>
        <v/>
      </c>
      <c r="H6398">
        <f>IF(AND(B6398=B6397,D6398=D6397,A6398=A6397,F6398=F6397),1,0)</f>
        <v/>
      </c>
      <c r="I6398">
        <f>IF(C6398="C99999",1,0)</f>
        <v/>
      </c>
      <c r="J6398" s="5">
        <f>IF(OR(H6398=1,I6398=1),0,IF(G6398="Credit",-F6398,F6398))</f>
        <v/>
      </c>
    </row>
    <row r="6399">
      <c r="A6399" t="inlineStr">
        <is>
          <t>2026-09-02</t>
        </is>
      </c>
      <c r="B6399" t="inlineStr">
        <is>
          <t>F268369</t>
        </is>
      </c>
      <c r="C6399" t="inlineStr">
        <is>
          <t>C10437</t>
        </is>
      </c>
      <c r="D6399" t="inlineStr">
        <is>
          <t>SKU-10030</t>
        </is>
      </c>
      <c r="E6399" t="inlineStr">
        <is>
          <t>AM11</t>
        </is>
      </c>
      <c r="F6399" s="5" t="n">
        <v>305.42</v>
      </c>
      <c r="G6399">
        <f>IF(LEFT(B6399,1)="C","Credit","Factuur")</f>
        <v/>
      </c>
      <c r="H6399">
        <f>IF(AND(B6399=B6398,D6399=D6398,A6399=A6398,F6399=F6398),1,0)</f>
        <v/>
      </c>
      <c r="I6399">
        <f>IF(C6399="C99999",1,0)</f>
        <v/>
      </c>
      <c r="J6399" s="5">
        <f>IF(OR(H6399=1,I6399=1),0,IF(G6399="Credit",-F6399,F6399))</f>
        <v/>
      </c>
    </row>
    <row r="6400">
      <c r="A6400" t="inlineStr">
        <is>
          <t>2026-09-02</t>
        </is>
      </c>
      <c r="B6400" t="inlineStr">
        <is>
          <t>F268369</t>
        </is>
      </c>
      <c r="C6400" t="inlineStr">
        <is>
          <t>C10437</t>
        </is>
      </c>
      <c r="D6400" t="inlineStr">
        <is>
          <t>SKU-10042</t>
        </is>
      </c>
      <c r="E6400" t="inlineStr">
        <is>
          <t>AM11</t>
        </is>
      </c>
      <c r="F6400" s="5" t="n">
        <v>309.51</v>
      </c>
      <c r="G6400">
        <f>IF(LEFT(B6400,1)="C","Credit","Factuur")</f>
        <v/>
      </c>
      <c r="H6400">
        <f>IF(AND(B6400=B6399,D6400=D6399,A6400=A6399,F6400=F6399),1,0)</f>
        <v/>
      </c>
      <c r="I6400">
        <f>IF(C6400="C99999",1,0)</f>
        <v/>
      </c>
      <c r="J6400" s="5">
        <f>IF(OR(H6400=1,I6400=1),0,IF(G6400="Credit",-F6400,F6400))</f>
        <v/>
      </c>
    </row>
    <row r="6401">
      <c r="A6401" t="inlineStr">
        <is>
          <t>2026-09-02</t>
        </is>
      </c>
      <c r="B6401" t="inlineStr">
        <is>
          <t>F268369</t>
        </is>
      </c>
      <c r="C6401" t="inlineStr">
        <is>
          <t>C10437</t>
        </is>
      </c>
      <c r="D6401" t="inlineStr">
        <is>
          <t>SKU-10165</t>
        </is>
      </c>
      <c r="E6401" t="inlineStr">
        <is>
          <t>AM11</t>
        </is>
      </c>
      <c r="F6401" s="5" t="n">
        <v>309.42</v>
      </c>
      <c r="G6401">
        <f>IF(LEFT(B6401,1)="C","Credit","Factuur")</f>
        <v/>
      </c>
      <c r="H6401">
        <f>IF(AND(B6401=B6400,D6401=D6400,A6401=A6400,F6401=F6400),1,0)</f>
        <v/>
      </c>
      <c r="I6401">
        <f>IF(C6401="C99999",1,0)</f>
        <v/>
      </c>
      <c r="J6401" s="5">
        <f>IF(OR(H6401=1,I6401=1),0,IF(G6401="Credit",-F6401,F6401))</f>
        <v/>
      </c>
    </row>
    <row r="6402">
      <c r="A6402" t="inlineStr">
        <is>
          <t>2026-09-02</t>
        </is>
      </c>
      <c r="B6402" t="inlineStr">
        <is>
          <t>F268369</t>
        </is>
      </c>
      <c r="C6402" t="inlineStr">
        <is>
          <t>C10437</t>
        </is>
      </c>
      <c r="D6402" t="inlineStr">
        <is>
          <t>SKU-10279</t>
        </is>
      </c>
      <c r="E6402" t="inlineStr">
        <is>
          <t>AM11</t>
        </is>
      </c>
      <c r="F6402" s="5" t="n">
        <v>315.02</v>
      </c>
      <c r="G6402">
        <f>IF(LEFT(B6402,1)="C","Credit","Factuur")</f>
        <v/>
      </c>
      <c r="H6402">
        <f>IF(AND(B6402=B6401,D6402=D6401,A6402=A6401,F6402=F6401),1,0)</f>
        <v/>
      </c>
      <c r="I6402">
        <f>IF(C6402="C99999",1,0)</f>
        <v/>
      </c>
      <c r="J6402" s="5">
        <f>IF(OR(H6402=1,I6402=1),0,IF(G6402="Credit",-F6402,F6402))</f>
        <v/>
      </c>
    </row>
    <row r="6403">
      <c r="A6403" t="inlineStr">
        <is>
          <t>2026-09-02</t>
        </is>
      </c>
      <c r="B6403" t="inlineStr">
        <is>
          <t>F268719</t>
        </is>
      </c>
      <c r="C6403" t="inlineStr">
        <is>
          <t>C10456</t>
        </is>
      </c>
      <c r="D6403" t="inlineStr">
        <is>
          <t>SKU-10060</t>
        </is>
      </c>
      <c r="E6403" t="inlineStr"/>
      <c r="F6403" s="5" t="n">
        <v>749.7</v>
      </c>
      <c r="G6403">
        <f>IF(LEFT(B6403,1)="C","Credit","Factuur")</f>
        <v/>
      </c>
      <c r="H6403">
        <f>IF(AND(B6403=B6402,D6403=D6402,A6403=A6402,F6403=F6402),1,0)</f>
        <v/>
      </c>
      <c r="I6403">
        <f>IF(C6403="C99999",1,0)</f>
        <v/>
      </c>
      <c r="J6403" s="5">
        <f>IF(OR(H6403=1,I6403=1),0,IF(G6403="Credit",-F6403,F6403))</f>
        <v/>
      </c>
    </row>
    <row r="6404">
      <c r="A6404" t="inlineStr">
        <is>
          <t>2026-09-02</t>
        </is>
      </c>
      <c r="B6404" t="inlineStr">
        <is>
          <t>F269285</t>
        </is>
      </c>
      <c r="C6404" t="inlineStr">
        <is>
          <t>C10489</t>
        </is>
      </c>
      <c r="D6404" t="inlineStr">
        <is>
          <t>SKU-10093</t>
        </is>
      </c>
      <c r="E6404" t="inlineStr">
        <is>
          <t>AM08</t>
        </is>
      </c>
      <c r="F6404" s="5" t="n">
        <v>484.45</v>
      </c>
      <c r="G6404">
        <f>IF(LEFT(B6404,1)="C","Credit","Factuur")</f>
        <v/>
      </c>
      <c r="H6404">
        <f>IF(AND(B6404=B6403,D6404=D6403,A6404=A6403,F6404=F6403),1,0)</f>
        <v/>
      </c>
      <c r="I6404">
        <f>IF(C6404="C99999",1,0)</f>
        <v/>
      </c>
      <c r="J6404" s="5">
        <f>IF(OR(H6404=1,I6404=1),0,IF(G6404="Credit",-F6404,F6404))</f>
        <v/>
      </c>
    </row>
    <row r="6405">
      <c r="A6405" t="inlineStr">
        <is>
          <t>2026-09-02</t>
        </is>
      </c>
      <c r="B6405" t="inlineStr">
        <is>
          <t>F269285</t>
        </is>
      </c>
      <c r="C6405" t="inlineStr">
        <is>
          <t>C10489</t>
        </is>
      </c>
      <c r="D6405" t="inlineStr">
        <is>
          <t>SKU-10233</t>
        </is>
      </c>
      <c r="E6405" t="inlineStr">
        <is>
          <t>AM08</t>
        </is>
      </c>
      <c r="F6405" s="5" t="n">
        <v>438.34</v>
      </c>
      <c r="G6405">
        <f>IF(LEFT(B6405,1)="C","Credit","Factuur")</f>
        <v/>
      </c>
      <c r="H6405">
        <f>IF(AND(B6405=B6404,D6405=D6404,A6405=A6404,F6405=F6404),1,0)</f>
        <v/>
      </c>
      <c r="I6405">
        <f>IF(C6405="C99999",1,0)</f>
        <v/>
      </c>
      <c r="J6405" s="5">
        <f>IF(OR(H6405=1,I6405=1),0,IF(G6405="Credit",-F6405,F6405))</f>
        <v/>
      </c>
    </row>
    <row r="6406">
      <c r="A6406" t="inlineStr">
        <is>
          <t>2026-09-02</t>
        </is>
      </c>
      <c r="B6406" t="inlineStr">
        <is>
          <t>F269285</t>
        </is>
      </c>
      <c r="C6406" t="inlineStr">
        <is>
          <t>C10489</t>
        </is>
      </c>
      <c r="D6406" t="inlineStr">
        <is>
          <t>SKU-10315</t>
        </is>
      </c>
      <c r="E6406" t="inlineStr">
        <is>
          <t>AM08</t>
        </is>
      </c>
      <c r="F6406" s="5" t="n">
        <v>435.6</v>
      </c>
      <c r="G6406">
        <f>IF(LEFT(B6406,1)="C","Credit","Factuur")</f>
        <v/>
      </c>
      <c r="H6406">
        <f>IF(AND(B6406=B6405,D6406=D6405,A6406=A6405,F6406=F6405),1,0)</f>
        <v/>
      </c>
      <c r="I6406">
        <f>IF(C6406="C99999",1,0)</f>
        <v/>
      </c>
      <c r="J6406" s="5">
        <f>IF(OR(H6406=1,I6406=1),0,IF(G6406="Credit",-F6406,F6406))</f>
        <v/>
      </c>
    </row>
    <row r="6407">
      <c r="A6407" t="inlineStr">
        <is>
          <t>2026-09-02</t>
        </is>
      </c>
      <c r="B6407" t="inlineStr">
        <is>
          <t>F269990</t>
        </is>
      </c>
      <c r="C6407" t="inlineStr">
        <is>
          <t>C10525</t>
        </is>
      </c>
      <c r="D6407" t="inlineStr">
        <is>
          <t>SKU-10016</t>
        </is>
      </c>
      <c r="E6407" t="inlineStr"/>
      <c r="F6407" s="5" t="n">
        <v>608.29</v>
      </c>
      <c r="G6407">
        <f>IF(LEFT(B6407,1)="C","Credit","Factuur")</f>
        <v/>
      </c>
      <c r="H6407">
        <f>IF(AND(B6407=B6406,D6407=D6406,A6407=A6406,F6407=F6406),1,0)</f>
        <v/>
      </c>
      <c r="I6407">
        <f>IF(C6407="C99999",1,0)</f>
        <v/>
      </c>
      <c r="J6407" s="5">
        <f>IF(OR(H6407=1,I6407=1),0,IF(G6407="Credit",-F6407,F6407))</f>
        <v/>
      </c>
    </row>
    <row r="6408">
      <c r="A6408" t="inlineStr">
        <is>
          <t>2026-09-02</t>
        </is>
      </c>
      <c r="B6408" t="inlineStr">
        <is>
          <t>F269990</t>
        </is>
      </c>
      <c r="C6408" t="inlineStr">
        <is>
          <t>C10525</t>
        </is>
      </c>
      <c r="D6408" t="inlineStr">
        <is>
          <t>SKU-10246</t>
        </is>
      </c>
      <c r="E6408" t="inlineStr">
        <is>
          <t>AM02</t>
        </is>
      </c>
      <c r="F6408" s="5" t="n">
        <v>622.08</v>
      </c>
      <c r="G6408">
        <f>IF(LEFT(B6408,1)="C","Credit","Factuur")</f>
        <v/>
      </c>
      <c r="H6408">
        <f>IF(AND(B6408=B6407,D6408=D6407,A6408=A6407,F6408=F6407),1,0)</f>
        <v/>
      </c>
      <c r="I6408">
        <f>IF(C6408="C99999",1,0)</f>
        <v/>
      </c>
      <c r="J6408" s="5">
        <f>IF(OR(H6408=1,I6408=1),0,IF(G6408="Credit",-F6408,F6408))</f>
        <v/>
      </c>
    </row>
    <row r="6409">
      <c r="A6409" t="inlineStr">
        <is>
          <t>2026-09-02</t>
        </is>
      </c>
      <c r="B6409" t="inlineStr">
        <is>
          <t>F269990</t>
        </is>
      </c>
      <c r="C6409" t="inlineStr">
        <is>
          <t>C10525</t>
        </is>
      </c>
      <c r="D6409" t="inlineStr">
        <is>
          <t>SKU-10296</t>
        </is>
      </c>
      <c r="E6409" t="inlineStr">
        <is>
          <t>AM02</t>
        </is>
      </c>
      <c r="F6409" s="5" t="n">
        <v>627.5</v>
      </c>
      <c r="G6409">
        <f>IF(LEFT(B6409,1)="C","Credit","Factuur")</f>
        <v/>
      </c>
      <c r="H6409">
        <f>IF(AND(B6409=B6408,D6409=D6408,A6409=A6408,F6409=F6408),1,0)</f>
        <v/>
      </c>
      <c r="I6409">
        <f>IF(C6409="C99999",1,0)</f>
        <v/>
      </c>
      <c r="J6409" s="5">
        <f>IF(OR(H6409=1,I6409=1),0,IF(G6409="Credit",-F6409,F6409))</f>
        <v/>
      </c>
    </row>
    <row r="6410">
      <c r="A6410" t="inlineStr">
        <is>
          <t>2026-09-02</t>
        </is>
      </c>
      <c r="B6410" t="inlineStr">
        <is>
          <t>F269990</t>
        </is>
      </c>
      <c r="C6410" t="inlineStr">
        <is>
          <t>C10525</t>
        </is>
      </c>
      <c r="D6410" t="inlineStr">
        <is>
          <t>SKU-10321</t>
        </is>
      </c>
      <c r="E6410" t="inlineStr">
        <is>
          <t>AM02</t>
        </is>
      </c>
      <c r="F6410" s="5" t="n">
        <v>558.39</v>
      </c>
      <c r="G6410">
        <f>IF(LEFT(B6410,1)="C","Credit","Factuur")</f>
        <v/>
      </c>
      <c r="H6410">
        <f>IF(AND(B6410=B6409,D6410=D6409,A6410=A6409,F6410=F6409),1,0)</f>
        <v/>
      </c>
      <c r="I6410">
        <f>IF(C6410="C99999",1,0)</f>
        <v/>
      </c>
      <c r="J6410" s="5">
        <f>IF(OR(H6410=1,I6410=1),0,IF(G6410="Credit",-F6410,F6410))</f>
        <v/>
      </c>
    </row>
    <row r="6411">
      <c r="A6411" t="inlineStr">
        <is>
          <t>2026-09-02</t>
        </is>
      </c>
      <c r="B6411" t="inlineStr">
        <is>
          <t>F270614</t>
        </is>
      </c>
      <c r="C6411" t="inlineStr">
        <is>
          <t>C10558</t>
        </is>
      </c>
      <c r="D6411" t="inlineStr">
        <is>
          <t>SKU-10049</t>
        </is>
      </c>
      <c r="E6411" t="inlineStr">
        <is>
          <t>AM01</t>
        </is>
      </c>
      <c r="F6411" s="5" t="n">
        <v>1541.64</v>
      </c>
      <c r="G6411">
        <f>IF(LEFT(B6411,1)="C","Credit","Factuur")</f>
        <v/>
      </c>
      <c r="H6411">
        <f>IF(AND(B6411=B6410,D6411=D6410,A6411=A6410,F6411=F6410),1,0)</f>
        <v/>
      </c>
      <c r="I6411">
        <f>IF(C6411="C99999",1,0)</f>
        <v/>
      </c>
      <c r="J6411" s="5">
        <f>IF(OR(H6411=1,I6411=1),0,IF(G6411="Credit",-F6411,F6411))</f>
        <v/>
      </c>
    </row>
    <row r="6412">
      <c r="A6412" t="inlineStr">
        <is>
          <t>2026-09-02</t>
        </is>
      </c>
      <c r="B6412" t="inlineStr">
        <is>
          <t>F270614</t>
        </is>
      </c>
      <c r="C6412" t="inlineStr">
        <is>
          <t>C10558</t>
        </is>
      </c>
      <c r="D6412" t="inlineStr">
        <is>
          <t>SKU-10271</t>
        </is>
      </c>
      <c r="E6412" t="inlineStr">
        <is>
          <t>AM01</t>
        </is>
      </c>
      <c r="F6412" s="5" t="n">
        <v>1529.5</v>
      </c>
      <c r="G6412">
        <f>IF(LEFT(B6412,1)="C","Credit","Factuur")</f>
        <v/>
      </c>
      <c r="H6412">
        <f>IF(AND(B6412=B6411,D6412=D6411,A6412=A6411,F6412=F6411),1,0)</f>
        <v/>
      </c>
      <c r="I6412">
        <f>IF(C6412="C99999",1,0)</f>
        <v/>
      </c>
      <c r="J6412" s="5">
        <f>IF(OR(H6412=1,I6412=1),0,IF(G6412="Credit",-F6412,F6412))</f>
        <v/>
      </c>
    </row>
    <row r="6413">
      <c r="A6413" t="inlineStr">
        <is>
          <t>2026-09-02</t>
        </is>
      </c>
      <c r="B6413" t="inlineStr">
        <is>
          <t>F271946</t>
        </is>
      </c>
      <c r="C6413" t="inlineStr">
        <is>
          <t>C10615</t>
        </is>
      </c>
      <c r="D6413" t="inlineStr">
        <is>
          <t>SKU-10087</t>
        </is>
      </c>
      <c r="E6413" t="inlineStr">
        <is>
          <t>AM03</t>
        </is>
      </c>
      <c r="F6413" s="5" t="n">
        <v>572.03</v>
      </c>
      <c r="G6413">
        <f>IF(LEFT(B6413,1)="C","Credit","Factuur")</f>
        <v/>
      </c>
      <c r="H6413">
        <f>IF(AND(B6413=B6412,D6413=D6412,A6413=A6412,F6413=F6412),1,0)</f>
        <v/>
      </c>
      <c r="I6413">
        <f>IF(C6413="C99999",1,0)</f>
        <v/>
      </c>
      <c r="J6413" s="5">
        <f>IF(OR(H6413=1,I6413=1),0,IF(G6413="Credit",-F6413,F6413))</f>
        <v/>
      </c>
    </row>
    <row r="6414">
      <c r="A6414" t="inlineStr">
        <is>
          <t>2026-09-02</t>
        </is>
      </c>
      <c r="B6414" t="inlineStr">
        <is>
          <t>F271946</t>
        </is>
      </c>
      <c r="C6414" t="inlineStr">
        <is>
          <t>C10615</t>
        </is>
      </c>
      <c r="D6414" t="inlineStr">
        <is>
          <t>SKU-10340</t>
        </is>
      </c>
      <c r="E6414" t="inlineStr">
        <is>
          <t>AM03</t>
        </is>
      </c>
      <c r="F6414" s="5" t="n">
        <v>553.96</v>
      </c>
      <c r="G6414">
        <f>IF(LEFT(B6414,1)="C","Credit","Factuur")</f>
        <v/>
      </c>
      <c r="H6414">
        <f>IF(AND(B6414=B6413,D6414=D6413,A6414=A6413,F6414=F6413),1,0)</f>
        <v/>
      </c>
      <c r="I6414">
        <f>IF(C6414="C99999",1,0)</f>
        <v/>
      </c>
      <c r="J6414" s="5">
        <f>IF(OR(H6414=1,I6414=1),0,IF(G6414="Credit",-F6414,F6414))</f>
        <v/>
      </c>
    </row>
    <row r="6415">
      <c r="A6415" t="inlineStr">
        <is>
          <t>2026-09-02</t>
        </is>
      </c>
      <c r="B6415" t="inlineStr">
        <is>
          <t>F273216</t>
        </is>
      </c>
      <c r="C6415" t="inlineStr">
        <is>
          <t>C10690</t>
        </is>
      </c>
      <c r="D6415" t="inlineStr">
        <is>
          <t>SKU-10013</t>
        </is>
      </c>
      <c r="E6415" t="inlineStr">
        <is>
          <t>IS02</t>
        </is>
      </c>
      <c r="F6415" s="5" t="n">
        <v>71.45999999999999</v>
      </c>
      <c r="G6415">
        <f>IF(LEFT(B6415,1)="C","Credit","Factuur")</f>
        <v/>
      </c>
      <c r="H6415">
        <f>IF(AND(B6415=B6414,D6415=D6414,A6415=A6414,F6415=F6414),1,0)</f>
        <v/>
      </c>
      <c r="I6415">
        <f>IF(C6415="C99999",1,0)</f>
        <v/>
      </c>
      <c r="J6415" s="5">
        <f>IF(OR(H6415=1,I6415=1),0,IF(G6415="Credit",-F6415,F6415))</f>
        <v/>
      </c>
    </row>
    <row r="6416">
      <c r="A6416" t="inlineStr">
        <is>
          <t>2026-09-02</t>
        </is>
      </c>
      <c r="B6416" t="inlineStr">
        <is>
          <t>F273216</t>
        </is>
      </c>
      <c r="C6416" t="inlineStr">
        <is>
          <t>C10690</t>
        </is>
      </c>
      <c r="D6416" t="inlineStr">
        <is>
          <t>SKU-10066</t>
        </is>
      </c>
      <c r="E6416" t="inlineStr">
        <is>
          <t>IS02</t>
        </is>
      </c>
      <c r="F6416" s="5" t="n">
        <v>57.15</v>
      </c>
      <c r="G6416">
        <f>IF(LEFT(B6416,1)="C","Credit","Factuur")</f>
        <v/>
      </c>
      <c r="H6416">
        <f>IF(AND(B6416=B6415,D6416=D6415,A6416=A6415,F6416=F6415),1,0)</f>
        <v/>
      </c>
      <c r="I6416">
        <f>IF(C6416="C99999",1,0)</f>
        <v/>
      </c>
      <c r="J6416" s="5">
        <f>IF(OR(H6416=1,I6416=1),0,IF(G6416="Credit",-F6416,F6416))</f>
        <v/>
      </c>
    </row>
    <row r="6417">
      <c r="A6417" t="inlineStr">
        <is>
          <t>2026-09-02</t>
        </is>
      </c>
      <c r="B6417" t="inlineStr">
        <is>
          <t>F273216</t>
        </is>
      </c>
      <c r="C6417" t="inlineStr">
        <is>
          <t>C10690</t>
        </is>
      </c>
      <c r="D6417" t="inlineStr">
        <is>
          <t>SKU-10080</t>
        </is>
      </c>
      <c r="E6417" t="inlineStr">
        <is>
          <t>IS02</t>
        </is>
      </c>
      <c r="F6417" s="5" t="n">
        <v>66.42</v>
      </c>
      <c r="G6417">
        <f>IF(LEFT(B6417,1)="C","Credit","Factuur")</f>
        <v/>
      </c>
      <c r="H6417">
        <f>IF(AND(B6417=B6416,D6417=D6416,A6417=A6416,F6417=F6416),1,0)</f>
        <v/>
      </c>
      <c r="I6417">
        <f>IF(C6417="C99999",1,0)</f>
        <v/>
      </c>
      <c r="J6417" s="5">
        <f>IF(OR(H6417=1,I6417=1),0,IF(G6417="Credit",-F6417,F6417))</f>
        <v/>
      </c>
    </row>
    <row r="6418">
      <c r="A6418" t="inlineStr">
        <is>
          <t>2026-09-02</t>
        </is>
      </c>
      <c r="B6418" t="inlineStr">
        <is>
          <t>F273216</t>
        </is>
      </c>
      <c r="C6418" t="inlineStr">
        <is>
          <t>C10690</t>
        </is>
      </c>
      <c r="D6418" t="inlineStr">
        <is>
          <t>SKU-10140</t>
        </is>
      </c>
      <c r="E6418" t="inlineStr">
        <is>
          <t>IS02</t>
        </is>
      </c>
      <c r="F6418" s="5" t="n">
        <v>104.92</v>
      </c>
      <c r="G6418">
        <f>IF(LEFT(B6418,1)="C","Credit","Factuur")</f>
        <v/>
      </c>
      <c r="H6418">
        <f>IF(AND(B6418=B6417,D6418=D6417,A6418=A6417,F6418=F6417),1,0)</f>
        <v/>
      </c>
      <c r="I6418">
        <f>IF(C6418="C99999",1,0)</f>
        <v/>
      </c>
      <c r="J6418" s="5">
        <f>IF(OR(H6418=1,I6418=1),0,IF(G6418="Credit",-F6418,F6418))</f>
        <v/>
      </c>
    </row>
    <row r="6419">
      <c r="A6419" t="inlineStr">
        <is>
          <t>2026-09-02</t>
        </is>
      </c>
      <c r="B6419" t="inlineStr">
        <is>
          <t>F273216</t>
        </is>
      </c>
      <c r="C6419" t="inlineStr">
        <is>
          <t>C10690</t>
        </is>
      </c>
      <c r="D6419" t="inlineStr">
        <is>
          <t>SKU-10145</t>
        </is>
      </c>
      <c r="E6419" t="inlineStr">
        <is>
          <t>IS02</t>
        </is>
      </c>
      <c r="F6419" s="5" t="n">
        <v>119.18</v>
      </c>
      <c r="G6419">
        <f>IF(LEFT(B6419,1)="C","Credit","Factuur")</f>
        <v/>
      </c>
      <c r="H6419">
        <f>IF(AND(B6419=B6418,D6419=D6418,A6419=A6418,F6419=F6418),1,0)</f>
        <v/>
      </c>
      <c r="I6419">
        <f>IF(C6419="C99999",1,0)</f>
        <v/>
      </c>
      <c r="J6419" s="5">
        <f>IF(OR(H6419=1,I6419=1),0,IF(G6419="Credit",-F6419,F6419))</f>
        <v/>
      </c>
    </row>
    <row r="6420">
      <c r="A6420" t="inlineStr">
        <is>
          <t>2026-09-02</t>
        </is>
      </c>
      <c r="B6420" t="inlineStr">
        <is>
          <t>F273453</t>
        </is>
      </c>
      <c r="C6420" t="inlineStr">
        <is>
          <t>C10703</t>
        </is>
      </c>
      <c r="D6420" t="inlineStr">
        <is>
          <t>SKU-10270</t>
        </is>
      </c>
      <c r="E6420" t="inlineStr">
        <is>
          <t>AM05</t>
        </is>
      </c>
      <c r="F6420" s="5" t="n">
        <v>898.0599999999999</v>
      </c>
      <c r="G6420">
        <f>IF(LEFT(B6420,1)="C","Credit","Factuur")</f>
        <v/>
      </c>
      <c r="H6420">
        <f>IF(AND(B6420=B6419,D6420=D6419,A6420=A6419,F6420=F6419),1,0)</f>
        <v/>
      </c>
      <c r="I6420">
        <f>IF(C6420="C99999",1,0)</f>
        <v/>
      </c>
      <c r="J6420" s="5">
        <f>IF(OR(H6420=1,I6420=1),0,IF(G6420="Credit",-F6420,F6420))</f>
        <v/>
      </c>
    </row>
    <row r="6421">
      <c r="A6421" t="inlineStr">
        <is>
          <t>2026-09-02</t>
        </is>
      </c>
      <c r="B6421" t="inlineStr">
        <is>
          <t>F273682</t>
        </is>
      </c>
      <c r="C6421" t="inlineStr">
        <is>
          <t>C10717</t>
        </is>
      </c>
      <c r="D6421" t="inlineStr">
        <is>
          <t>SKU-10060</t>
        </is>
      </c>
      <c r="E6421" t="inlineStr">
        <is>
          <t>AM11</t>
        </is>
      </c>
      <c r="F6421" s="5" t="n">
        <v>83.79000000000001</v>
      </c>
      <c r="G6421">
        <f>IF(LEFT(B6421,1)="C","Credit","Factuur")</f>
        <v/>
      </c>
      <c r="H6421">
        <f>IF(AND(B6421=B6420,D6421=D6420,A6421=A6420,F6421=F6420),1,0)</f>
        <v/>
      </c>
      <c r="I6421">
        <f>IF(C6421="C99999",1,0)</f>
        <v/>
      </c>
      <c r="J6421" s="5">
        <f>IF(OR(H6421=1,I6421=1),0,IF(G6421="Credit",-F6421,F6421))</f>
        <v/>
      </c>
    </row>
    <row r="6422">
      <c r="A6422" t="inlineStr">
        <is>
          <t>2026-09-02</t>
        </is>
      </c>
      <c r="B6422" t="inlineStr">
        <is>
          <t>F273682</t>
        </is>
      </c>
      <c r="C6422" t="inlineStr">
        <is>
          <t>C10717</t>
        </is>
      </c>
      <c r="D6422" t="inlineStr">
        <is>
          <t>SKU-10080</t>
        </is>
      </c>
      <c r="E6422" t="inlineStr">
        <is>
          <t>AM11</t>
        </is>
      </c>
      <c r="F6422" s="5" t="n">
        <v>94.65000000000001</v>
      </c>
      <c r="G6422">
        <f>IF(LEFT(B6422,1)="C","Credit","Factuur")</f>
        <v/>
      </c>
      <c r="H6422">
        <f>IF(AND(B6422=B6421,D6422=D6421,A6422=A6421,F6422=F6421),1,0)</f>
        <v/>
      </c>
      <c r="I6422">
        <f>IF(C6422="C99999",1,0)</f>
        <v/>
      </c>
      <c r="J6422" s="5">
        <f>IF(OR(H6422=1,I6422=1),0,IF(G6422="Credit",-F6422,F6422))</f>
        <v/>
      </c>
    </row>
    <row r="6423">
      <c r="A6423" t="inlineStr">
        <is>
          <t>2026-09-02</t>
        </is>
      </c>
      <c r="B6423" t="inlineStr">
        <is>
          <t>F273682</t>
        </is>
      </c>
      <c r="C6423" t="inlineStr">
        <is>
          <t>C10717</t>
        </is>
      </c>
      <c r="D6423" t="inlineStr">
        <is>
          <t>SKU-10244</t>
        </is>
      </c>
      <c r="E6423" t="inlineStr">
        <is>
          <t>AM11</t>
        </is>
      </c>
      <c r="F6423" s="5" t="n">
        <v>95.76000000000001</v>
      </c>
      <c r="G6423">
        <f>IF(LEFT(B6423,1)="C","Credit","Factuur")</f>
        <v/>
      </c>
      <c r="H6423">
        <f>IF(AND(B6423=B6422,D6423=D6422,A6423=A6422,F6423=F6422),1,0)</f>
        <v/>
      </c>
      <c r="I6423">
        <f>IF(C6423="C99999",1,0)</f>
        <v/>
      </c>
      <c r="J6423" s="5">
        <f>IF(OR(H6423=1,I6423=1),0,IF(G6423="Credit",-F6423,F6423))</f>
        <v/>
      </c>
    </row>
    <row r="6424">
      <c r="A6424" t="inlineStr">
        <is>
          <t>2026-09-02</t>
        </is>
      </c>
      <c r="B6424" t="inlineStr">
        <is>
          <t>F273682</t>
        </is>
      </c>
      <c r="C6424" t="inlineStr">
        <is>
          <t>C10717</t>
        </is>
      </c>
      <c r="D6424" t="inlineStr">
        <is>
          <t>SKU-10331</t>
        </is>
      </c>
      <c r="E6424" t="inlineStr">
        <is>
          <t>AM11</t>
        </is>
      </c>
      <c r="F6424" s="5" t="n">
        <v>108.76</v>
      </c>
      <c r="G6424">
        <f>IF(LEFT(B6424,1)="C","Credit","Factuur")</f>
        <v/>
      </c>
      <c r="H6424">
        <f>IF(AND(B6424=B6423,D6424=D6423,A6424=A6423,F6424=F6423),1,0)</f>
        <v/>
      </c>
      <c r="I6424">
        <f>IF(C6424="C99999",1,0)</f>
        <v/>
      </c>
      <c r="J6424" s="5">
        <f>IF(OR(H6424=1,I6424=1),0,IF(G6424="Credit",-F6424,F6424))</f>
        <v/>
      </c>
    </row>
    <row r="6425">
      <c r="A6425" t="inlineStr">
        <is>
          <t>2026-09-02</t>
        </is>
      </c>
      <c r="B6425" t="inlineStr">
        <is>
          <t>F275356</t>
        </is>
      </c>
      <c r="C6425" t="inlineStr">
        <is>
          <t>C10809</t>
        </is>
      </c>
      <c r="D6425" t="inlineStr">
        <is>
          <t>SKU-10084</t>
        </is>
      </c>
      <c r="E6425" t="inlineStr">
        <is>
          <t>AM02</t>
        </is>
      </c>
      <c r="F6425" s="5" t="n">
        <v>1238.08</v>
      </c>
      <c r="G6425">
        <f>IF(LEFT(B6425,1)="C","Credit","Factuur")</f>
        <v/>
      </c>
      <c r="H6425">
        <f>IF(AND(B6425=B6424,D6425=D6424,A6425=A6424,F6425=F6424),1,0)</f>
        <v/>
      </c>
      <c r="I6425">
        <f>IF(C6425="C99999",1,0)</f>
        <v/>
      </c>
      <c r="J6425" s="5">
        <f>IF(OR(H6425=1,I6425=1),0,IF(G6425="Credit",-F6425,F6425))</f>
        <v/>
      </c>
    </row>
    <row r="6426">
      <c r="A6426" t="inlineStr">
        <is>
          <t>2026-09-02</t>
        </is>
      </c>
      <c r="B6426" t="inlineStr">
        <is>
          <t>F275356</t>
        </is>
      </c>
      <c r="C6426" t="inlineStr">
        <is>
          <t>C10809</t>
        </is>
      </c>
      <c r="D6426" t="inlineStr">
        <is>
          <t>SKU-10243</t>
        </is>
      </c>
      <c r="E6426" t="inlineStr">
        <is>
          <t>AM02</t>
        </is>
      </c>
      <c r="F6426" s="5" t="n">
        <v>1305.24</v>
      </c>
      <c r="G6426">
        <f>IF(LEFT(B6426,1)="C","Credit","Factuur")</f>
        <v/>
      </c>
      <c r="H6426">
        <f>IF(AND(B6426=B6425,D6426=D6425,A6426=A6425,F6426=F6425),1,0)</f>
        <v/>
      </c>
      <c r="I6426">
        <f>IF(C6426="C99999",1,0)</f>
        <v/>
      </c>
      <c r="J6426" s="5">
        <f>IF(OR(H6426=1,I6426=1),0,IF(G6426="Credit",-F6426,F6426))</f>
        <v/>
      </c>
    </row>
    <row r="6427">
      <c r="A6427" t="inlineStr">
        <is>
          <t>2026-09-02</t>
        </is>
      </c>
      <c r="B6427" t="inlineStr">
        <is>
          <t>F275356</t>
        </is>
      </c>
      <c r="C6427" t="inlineStr">
        <is>
          <t>C10809</t>
        </is>
      </c>
      <c r="D6427" t="inlineStr">
        <is>
          <t>SKU-10255</t>
        </is>
      </c>
      <c r="E6427" t="inlineStr">
        <is>
          <t>AM02</t>
        </is>
      </c>
      <c r="F6427" s="5" t="n">
        <v>1375.61</v>
      </c>
      <c r="G6427">
        <f>IF(LEFT(B6427,1)="C","Credit","Factuur")</f>
        <v/>
      </c>
      <c r="H6427">
        <f>IF(AND(B6427=B6426,D6427=D6426,A6427=A6426,F6427=F6426),1,0)</f>
        <v/>
      </c>
      <c r="I6427">
        <f>IF(C6427="C99999",1,0)</f>
        <v/>
      </c>
      <c r="J6427" s="5">
        <f>IF(OR(H6427=1,I6427=1),0,IF(G6427="Credit",-F6427,F6427))</f>
        <v/>
      </c>
    </row>
    <row r="6428">
      <c r="A6428" t="inlineStr">
        <is>
          <t>2026-09-02</t>
        </is>
      </c>
      <c r="B6428" t="inlineStr">
        <is>
          <t>F275447</t>
        </is>
      </c>
      <c r="C6428" t="inlineStr">
        <is>
          <t>C10817</t>
        </is>
      </c>
      <c r="D6428" t="inlineStr">
        <is>
          <t>SKU-10224</t>
        </is>
      </c>
      <c r="E6428" t="inlineStr">
        <is>
          <t>IS01</t>
        </is>
      </c>
      <c r="F6428" s="5" t="n">
        <v>95</v>
      </c>
      <c r="G6428">
        <f>IF(LEFT(B6428,1)="C","Credit","Factuur")</f>
        <v/>
      </c>
      <c r="H6428">
        <f>IF(AND(B6428=B6427,D6428=D6427,A6428=A6427,F6428=F6427),1,0)</f>
        <v/>
      </c>
      <c r="I6428">
        <f>IF(C6428="C99999",1,0)</f>
        <v/>
      </c>
      <c r="J6428" s="5">
        <f>IF(OR(H6428=1,I6428=1),0,IF(G6428="Credit",-F6428,F6428))</f>
        <v/>
      </c>
    </row>
    <row r="6429">
      <c r="A6429" t="inlineStr">
        <is>
          <t>2026-09-02</t>
        </is>
      </c>
      <c r="B6429" t="inlineStr">
        <is>
          <t>F275447</t>
        </is>
      </c>
      <c r="C6429" t="inlineStr">
        <is>
          <t>C10817</t>
        </is>
      </c>
      <c r="D6429" t="inlineStr">
        <is>
          <t>SKU-10225</t>
        </is>
      </c>
      <c r="E6429" t="inlineStr">
        <is>
          <t>IS01</t>
        </is>
      </c>
      <c r="F6429" s="5" t="n">
        <v>88.65000000000001</v>
      </c>
      <c r="G6429">
        <f>IF(LEFT(B6429,1)="C","Credit","Factuur")</f>
        <v/>
      </c>
      <c r="H6429">
        <f>IF(AND(B6429=B6428,D6429=D6428,A6429=A6428,F6429=F6428),1,0)</f>
        <v/>
      </c>
      <c r="I6429">
        <f>IF(C6429="C99999",1,0)</f>
        <v/>
      </c>
      <c r="J6429" s="5">
        <f>IF(OR(H6429=1,I6429=1),0,IF(G6429="Credit",-F6429,F6429))</f>
        <v/>
      </c>
    </row>
    <row r="6430">
      <c r="A6430" t="inlineStr">
        <is>
          <t>2026-09-02</t>
        </is>
      </c>
      <c r="B6430" t="inlineStr">
        <is>
          <t>F275447</t>
        </is>
      </c>
      <c r="C6430" t="inlineStr">
        <is>
          <t>C10817</t>
        </is>
      </c>
      <c r="D6430" t="inlineStr">
        <is>
          <t>SKU-10275</t>
        </is>
      </c>
      <c r="E6430" t="inlineStr">
        <is>
          <t>IS01</t>
        </is>
      </c>
      <c r="F6430" s="5" t="n">
        <v>97.28</v>
      </c>
      <c r="G6430">
        <f>IF(LEFT(B6430,1)="C","Credit","Factuur")</f>
        <v/>
      </c>
      <c r="H6430">
        <f>IF(AND(B6430=B6429,D6430=D6429,A6430=A6429,F6430=F6429),1,0)</f>
        <v/>
      </c>
      <c r="I6430">
        <f>IF(C6430="C99999",1,0)</f>
        <v/>
      </c>
      <c r="J6430" s="5">
        <f>IF(OR(H6430=1,I6430=1),0,IF(G6430="Credit",-F6430,F6430))</f>
        <v/>
      </c>
    </row>
    <row r="6431">
      <c r="A6431" t="inlineStr">
        <is>
          <t>2026-09-02</t>
        </is>
      </c>
      <c r="B6431" t="inlineStr">
        <is>
          <t>F275985</t>
        </is>
      </c>
      <c r="C6431" t="inlineStr">
        <is>
          <t>C10848</t>
        </is>
      </c>
      <c r="D6431" t="inlineStr">
        <is>
          <t>SKU-10113</t>
        </is>
      </c>
      <c r="E6431" t="inlineStr">
        <is>
          <t>AM02</t>
        </is>
      </c>
      <c r="F6431" s="5" t="n">
        <v>229.5</v>
      </c>
      <c r="G6431">
        <f>IF(LEFT(B6431,1)="C","Credit","Factuur")</f>
        <v/>
      </c>
      <c r="H6431">
        <f>IF(AND(B6431=B6430,D6431=D6430,A6431=A6430,F6431=F6430),1,0)</f>
        <v/>
      </c>
      <c r="I6431">
        <f>IF(C6431="C99999",1,0)</f>
        <v/>
      </c>
      <c r="J6431" s="5">
        <f>IF(OR(H6431=1,I6431=1),0,IF(G6431="Credit",-F6431,F6431))</f>
        <v/>
      </c>
    </row>
    <row r="6432">
      <c r="A6432" t="inlineStr">
        <is>
          <t>2026-09-02</t>
        </is>
      </c>
      <c r="B6432" t="inlineStr">
        <is>
          <t>F275985</t>
        </is>
      </c>
      <c r="C6432" t="inlineStr">
        <is>
          <t>C10848</t>
        </is>
      </c>
      <c r="D6432" t="inlineStr">
        <is>
          <t>SKU-10273</t>
        </is>
      </c>
      <c r="E6432" t="inlineStr">
        <is>
          <t>AM02</t>
        </is>
      </c>
      <c r="F6432" s="5" t="n">
        <v>213.6</v>
      </c>
      <c r="G6432">
        <f>IF(LEFT(B6432,1)="C","Credit","Factuur")</f>
        <v/>
      </c>
      <c r="H6432">
        <f>IF(AND(B6432=B6431,D6432=D6431,A6432=A6431,F6432=F6431),1,0)</f>
        <v/>
      </c>
      <c r="I6432">
        <f>IF(C6432="C99999",1,0)</f>
        <v/>
      </c>
      <c r="J6432" s="5">
        <f>IF(OR(H6432=1,I6432=1),0,IF(G6432="Credit",-F6432,F6432))</f>
        <v/>
      </c>
    </row>
    <row r="6433">
      <c r="A6433" t="inlineStr">
        <is>
          <t>2026-09-02</t>
        </is>
      </c>
      <c r="B6433" t="inlineStr">
        <is>
          <t>F275985</t>
        </is>
      </c>
      <c r="C6433" t="inlineStr">
        <is>
          <t>C10848</t>
        </is>
      </c>
      <c r="D6433" t="inlineStr">
        <is>
          <t>SKU-10323</t>
        </is>
      </c>
      <c r="E6433" t="inlineStr">
        <is>
          <t>AM02</t>
        </is>
      </c>
      <c r="F6433" s="5" t="n">
        <v>229.45</v>
      </c>
      <c r="G6433">
        <f>IF(LEFT(B6433,1)="C","Credit","Factuur")</f>
        <v/>
      </c>
      <c r="H6433">
        <f>IF(AND(B6433=B6432,D6433=D6432,A6433=A6432,F6433=F6432),1,0)</f>
        <v/>
      </c>
      <c r="I6433">
        <f>IF(C6433="C99999",1,0)</f>
        <v/>
      </c>
      <c r="J6433" s="5">
        <f>IF(OR(H6433=1,I6433=1),0,IF(G6433="Credit",-F6433,F6433))</f>
        <v/>
      </c>
    </row>
    <row r="6434">
      <c r="A6434" t="inlineStr">
        <is>
          <t>2026-09-02</t>
        </is>
      </c>
      <c r="B6434" t="inlineStr">
        <is>
          <t>F277033</t>
        </is>
      </c>
      <c r="C6434" t="inlineStr">
        <is>
          <t>C10903</t>
        </is>
      </c>
      <c r="D6434" t="inlineStr">
        <is>
          <t>SKU-10318</t>
        </is>
      </c>
      <c r="E6434" t="inlineStr">
        <is>
          <t>AM11</t>
        </is>
      </c>
      <c r="F6434" s="5" t="n">
        <v>293.04</v>
      </c>
      <c r="G6434">
        <f>IF(LEFT(B6434,1)="C","Credit","Factuur")</f>
        <v/>
      </c>
      <c r="H6434">
        <f>IF(AND(B6434=B6433,D6434=D6433,A6434=A6433,F6434=F6433),1,0)</f>
        <v/>
      </c>
      <c r="I6434">
        <f>IF(C6434="C99999",1,0)</f>
        <v/>
      </c>
      <c r="J6434" s="5">
        <f>IF(OR(H6434=1,I6434=1),0,IF(G6434="Credit",-F6434,F6434))</f>
        <v/>
      </c>
    </row>
    <row r="6435">
      <c r="A6435" t="inlineStr">
        <is>
          <t>2026-09-02</t>
        </is>
      </c>
      <c r="B6435" t="inlineStr">
        <is>
          <t>F277033</t>
        </is>
      </c>
      <c r="C6435" t="inlineStr">
        <is>
          <t>C10903</t>
        </is>
      </c>
      <c r="D6435" t="inlineStr">
        <is>
          <t>SKU-10376</t>
        </is>
      </c>
      <c r="E6435" t="inlineStr">
        <is>
          <t>AM11</t>
        </is>
      </c>
      <c r="F6435" s="5" t="n">
        <v>314.03</v>
      </c>
      <c r="G6435">
        <f>IF(LEFT(B6435,1)="C","Credit","Factuur")</f>
        <v/>
      </c>
      <c r="H6435">
        <f>IF(AND(B6435=B6434,D6435=D6434,A6435=A6434,F6435=F6434),1,0)</f>
        <v/>
      </c>
      <c r="I6435">
        <f>IF(C6435="C99999",1,0)</f>
        <v/>
      </c>
      <c r="J6435" s="5">
        <f>IF(OR(H6435=1,I6435=1),0,IF(G6435="Credit",-F6435,F6435))</f>
        <v/>
      </c>
    </row>
    <row r="6436">
      <c r="A6436" t="inlineStr">
        <is>
          <t>2026-09-02</t>
        </is>
      </c>
      <c r="B6436" t="inlineStr">
        <is>
          <t>F277601</t>
        </is>
      </c>
      <c r="C6436" t="inlineStr">
        <is>
          <t>C10934</t>
        </is>
      </c>
      <c r="D6436" t="inlineStr">
        <is>
          <t>SKU-10375</t>
        </is>
      </c>
      <c r="E6436" t="inlineStr">
        <is>
          <t>AM02</t>
        </is>
      </c>
      <c r="F6436" s="5" t="n">
        <v>2809.56</v>
      </c>
      <c r="G6436">
        <f>IF(LEFT(B6436,1)="C","Credit","Factuur")</f>
        <v/>
      </c>
      <c r="H6436">
        <f>IF(AND(B6436=B6435,D6436=D6435,A6436=A6435,F6436=F6435),1,0)</f>
        <v/>
      </c>
      <c r="I6436">
        <f>IF(C6436="C99999",1,0)</f>
        <v/>
      </c>
      <c r="J6436" s="5">
        <f>IF(OR(H6436=1,I6436=1),0,IF(G6436="Credit",-F6436,F6436))</f>
        <v/>
      </c>
    </row>
    <row r="6437">
      <c r="A6437" t="inlineStr">
        <is>
          <t>2026-09-02</t>
        </is>
      </c>
      <c r="B6437" t="inlineStr">
        <is>
          <t>F277635</t>
        </is>
      </c>
      <c r="C6437" t="inlineStr">
        <is>
          <t>C10936</t>
        </is>
      </c>
      <c r="D6437" t="inlineStr">
        <is>
          <t>SKU-10171</t>
        </is>
      </c>
      <c r="E6437" t="inlineStr">
        <is>
          <t>AM03</t>
        </is>
      </c>
      <c r="F6437" s="5" t="n">
        <v>823.97</v>
      </c>
      <c r="G6437">
        <f>IF(LEFT(B6437,1)="C","Credit","Factuur")</f>
        <v/>
      </c>
      <c r="H6437">
        <f>IF(AND(B6437=B6436,D6437=D6436,A6437=A6436,F6437=F6436),1,0)</f>
        <v/>
      </c>
      <c r="I6437">
        <f>IF(C6437="C99999",1,0)</f>
        <v/>
      </c>
      <c r="J6437" s="5">
        <f>IF(OR(H6437=1,I6437=1),0,IF(G6437="Credit",-F6437,F6437))</f>
        <v/>
      </c>
    </row>
    <row r="6438">
      <c r="A6438" t="inlineStr">
        <is>
          <t>2026-09-02</t>
        </is>
      </c>
      <c r="B6438" t="inlineStr">
        <is>
          <t>F277635</t>
        </is>
      </c>
      <c r="C6438" t="inlineStr">
        <is>
          <t>C10936</t>
        </is>
      </c>
      <c r="D6438" t="inlineStr">
        <is>
          <t>SKU-10256</t>
        </is>
      </c>
      <c r="E6438" t="inlineStr">
        <is>
          <t>AM03</t>
        </is>
      </c>
      <c r="F6438" s="5" t="n">
        <v>826.49</v>
      </c>
      <c r="G6438">
        <f>IF(LEFT(B6438,1)="C","Credit","Factuur")</f>
        <v/>
      </c>
      <c r="H6438">
        <f>IF(AND(B6438=B6437,D6438=D6437,A6438=A6437,F6438=F6437),1,0)</f>
        <v/>
      </c>
      <c r="I6438">
        <f>IF(C6438="C99999",1,0)</f>
        <v/>
      </c>
      <c r="J6438" s="5">
        <f>IF(OR(H6438=1,I6438=1),0,IF(G6438="Credit",-F6438,F6438))</f>
        <v/>
      </c>
    </row>
    <row r="6439">
      <c r="A6439" t="inlineStr">
        <is>
          <t>2026-09-02</t>
        </is>
      </c>
      <c r="B6439" t="inlineStr">
        <is>
          <t>F277635</t>
        </is>
      </c>
      <c r="C6439" t="inlineStr">
        <is>
          <t>C10936</t>
        </is>
      </c>
      <c r="D6439" t="inlineStr">
        <is>
          <t>SKU-10382</t>
        </is>
      </c>
      <c r="E6439" t="inlineStr">
        <is>
          <t>AM03</t>
        </is>
      </c>
      <c r="F6439" s="5" t="n">
        <v>882.45</v>
      </c>
      <c r="G6439">
        <f>IF(LEFT(B6439,1)="C","Credit","Factuur")</f>
        <v/>
      </c>
      <c r="H6439">
        <f>IF(AND(B6439=B6438,D6439=D6438,A6439=A6438,F6439=F6438),1,0)</f>
        <v/>
      </c>
      <c r="I6439">
        <f>IF(C6439="C99999",1,0)</f>
        <v/>
      </c>
      <c r="J6439" s="5">
        <f>IF(OR(H6439=1,I6439=1),0,IF(G6439="Credit",-F6439,F6439))</f>
        <v/>
      </c>
    </row>
    <row r="6440">
      <c r="A6440" t="inlineStr">
        <is>
          <t>2026-09-02</t>
        </is>
      </c>
      <c r="B6440" t="inlineStr">
        <is>
          <t>F278143</t>
        </is>
      </c>
      <c r="C6440" t="inlineStr">
        <is>
          <t>C10964</t>
        </is>
      </c>
      <c r="D6440" t="inlineStr">
        <is>
          <t>SKU-10031</t>
        </is>
      </c>
      <c r="E6440" t="inlineStr">
        <is>
          <t>AM02</t>
        </is>
      </c>
      <c r="F6440" s="5" t="n">
        <v>466.72</v>
      </c>
      <c r="G6440">
        <f>IF(LEFT(B6440,1)="C","Credit","Factuur")</f>
        <v/>
      </c>
      <c r="H6440">
        <f>IF(AND(B6440=B6439,D6440=D6439,A6440=A6439,F6440=F6439),1,0)</f>
        <v/>
      </c>
      <c r="I6440">
        <f>IF(C6440="C99999",1,0)</f>
        <v/>
      </c>
      <c r="J6440" s="5">
        <f>IF(OR(H6440=1,I6440=1),0,IF(G6440="Credit",-F6440,F6440))</f>
        <v/>
      </c>
    </row>
    <row r="6441">
      <c r="A6441" t="inlineStr">
        <is>
          <t>2026-09-02</t>
        </is>
      </c>
      <c r="B6441" t="inlineStr">
        <is>
          <t>F278143</t>
        </is>
      </c>
      <c r="C6441" t="inlineStr">
        <is>
          <t>C10964</t>
        </is>
      </c>
      <c r="D6441" t="inlineStr">
        <is>
          <t>SKU-10316</t>
        </is>
      </c>
      <c r="E6441" t="inlineStr">
        <is>
          <t>AM02</t>
        </is>
      </c>
      <c r="F6441" s="5" t="n">
        <v>436.09</v>
      </c>
      <c r="G6441">
        <f>IF(LEFT(B6441,1)="C","Credit","Factuur")</f>
        <v/>
      </c>
      <c r="H6441">
        <f>IF(AND(B6441=B6440,D6441=D6440,A6441=A6440,F6441=F6440),1,0)</f>
        <v/>
      </c>
      <c r="I6441">
        <f>IF(C6441="C99999",1,0)</f>
        <v/>
      </c>
      <c r="J6441" s="5">
        <f>IF(OR(H6441=1,I6441=1),0,IF(G6441="Credit",-F6441,F6441))</f>
        <v/>
      </c>
    </row>
    <row r="6442">
      <c r="A6442" t="inlineStr">
        <is>
          <t>2026-09-02</t>
        </is>
      </c>
      <c r="B6442" t="inlineStr">
        <is>
          <t>F278143</t>
        </is>
      </c>
      <c r="C6442" t="inlineStr">
        <is>
          <t>C10964</t>
        </is>
      </c>
      <c r="D6442" t="inlineStr">
        <is>
          <t>SKU-10321</t>
        </is>
      </c>
      <c r="E6442" t="inlineStr">
        <is>
          <t>AM02</t>
        </is>
      </c>
      <c r="F6442" s="5" t="n">
        <v>439.29</v>
      </c>
      <c r="G6442">
        <f>IF(LEFT(B6442,1)="C","Credit","Factuur")</f>
        <v/>
      </c>
      <c r="H6442">
        <f>IF(AND(B6442=B6441,D6442=D6441,A6442=A6441,F6442=F6441),1,0)</f>
        <v/>
      </c>
      <c r="I6442">
        <f>IF(C6442="C99999",1,0)</f>
        <v/>
      </c>
      <c r="J6442" s="5">
        <f>IF(OR(H6442=1,I6442=1),0,IF(G6442="Credit",-F6442,F6442))</f>
        <v/>
      </c>
    </row>
    <row r="6443">
      <c r="A6443" t="inlineStr">
        <is>
          <t>2026-09-02</t>
        </is>
      </c>
      <c r="B6443" t="inlineStr">
        <is>
          <t>F278143</t>
        </is>
      </c>
      <c r="C6443" t="inlineStr">
        <is>
          <t>C10964</t>
        </is>
      </c>
      <c r="D6443" t="inlineStr">
        <is>
          <t>SKU-10324</t>
        </is>
      </c>
      <c r="E6443" t="inlineStr">
        <is>
          <t>AM02</t>
        </is>
      </c>
      <c r="F6443" s="5" t="n">
        <v>433.31</v>
      </c>
      <c r="G6443">
        <f>IF(LEFT(B6443,1)="C","Credit","Factuur")</f>
        <v/>
      </c>
      <c r="H6443">
        <f>IF(AND(B6443=B6442,D6443=D6442,A6443=A6442,F6443=F6442),1,0)</f>
        <v/>
      </c>
      <c r="I6443">
        <f>IF(C6443="C99999",1,0)</f>
        <v/>
      </c>
      <c r="J6443" s="5">
        <f>IF(OR(H6443=1,I6443=1),0,IF(G6443="Credit",-F6443,F6443))</f>
        <v/>
      </c>
    </row>
    <row r="6444">
      <c r="A6444" t="inlineStr">
        <is>
          <t>2026-09-02</t>
        </is>
      </c>
      <c r="B6444" t="inlineStr">
        <is>
          <t>F278188</t>
        </is>
      </c>
      <c r="C6444" t="inlineStr">
        <is>
          <t>C10965</t>
        </is>
      </c>
      <c r="D6444" t="inlineStr">
        <is>
          <t>SKU-10152</t>
        </is>
      </c>
      <c r="E6444" t="inlineStr">
        <is>
          <t>AM01</t>
        </is>
      </c>
      <c r="F6444" s="5" t="n">
        <v>114.48</v>
      </c>
      <c r="G6444">
        <f>IF(LEFT(B6444,1)="C","Credit","Factuur")</f>
        <v/>
      </c>
      <c r="H6444">
        <f>IF(AND(B6444=B6443,D6444=D6443,A6444=A6443,F6444=F6443),1,0)</f>
        <v/>
      </c>
      <c r="I6444">
        <f>IF(C6444="C99999",1,0)</f>
        <v/>
      </c>
      <c r="J6444" s="5">
        <f>IF(OR(H6444=1,I6444=1),0,IF(G6444="Credit",-F6444,F6444))</f>
        <v/>
      </c>
    </row>
    <row r="6445">
      <c r="A6445" t="inlineStr">
        <is>
          <t>2026-09-02</t>
        </is>
      </c>
      <c r="B6445" t="inlineStr">
        <is>
          <t>F278188</t>
        </is>
      </c>
      <c r="C6445" t="inlineStr">
        <is>
          <t>C10965</t>
        </is>
      </c>
      <c r="D6445" t="inlineStr">
        <is>
          <t>SKU-10154</t>
        </is>
      </c>
      <c r="E6445" t="inlineStr">
        <is>
          <t>AM01</t>
        </is>
      </c>
      <c r="F6445" s="5" t="n">
        <v>116.71</v>
      </c>
      <c r="G6445">
        <f>IF(LEFT(B6445,1)="C","Credit","Factuur")</f>
        <v/>
      </c>
      <c r="H6445">
        <f>IF(AND(B6445=B6444,D6445=D6444,A6445=A6444,F6445=F6444),1,0)</f>
        <v/>
      </c>
      <c r="I6445">
        <f>IF(C6445="C99999",1,0)</f>
        <v/>
      </c>
      <c r="J6445" s="5">
        <f>IF(OR(H6445=1,I6445=1),0,IF(G6445="Credit",-F6445,F6445))</f>
        <v/>
      </c>
    </row>
    <row r="6446">
      <c r="A6446" t="inlineStr">
        <is>
          <t>2026-09-02</t>
        </is>
      </c>
      <c r="B6446" t="inlineStr">
        <is>
          <t>F278188</t>
        </is>
      </c>
      <c r="C6446" t="inlineStr">
        <is>
          <t>C10965</t>
        </is>
      </c>
      <c r="D6446" t="inlineStr">
        <is>
          <t>SKU-10335</t>
        </is>
      </c>
      <c r="E6446" t="inlineStr">
        <is>
          <t>AM01</t>
        </is>
      </c>
      <c r="F6446" s="5" t="n">
        <v>111.76</v>
      </c>
      <c r="G6446">
        <f>IF(LEFT(B6446,1)="C","Credit","Factuur")</f>
        <v/>
      </c>
      <c r="H6446">
        <f>IF(AND(B6446=B6445,D6446=D6445,A6446=A6445,F6446=F6445),1,0)</f>
        <v/>
      </c>
      <c r="I6446">
        <f>IF(C6446="C99999",1,0)</f>
        <v/>
      </c>
      <c r="J6446" s="5">
        <f>IF(OR(H6446=1,I6446=1),0,IF(G6446="Credit",-F6446,F6446))</f>
        <v/>
      </c>
    </row>
    <row r="6447">
      <c r="A6447" t="inlineStr">
        <is>
          <t>2026-09-02</t>
        </is>
      </c>
      <c r="B6447" t="inlineStr">
        <is>
          <t>F278907</t>
        </is>
      </c>
      <c r="C6447" t="inlineStr">
        <is>
          <t>C11001</t>
        </is>
      </c>
      <c r="D6447" t="inlineStr">
        <is>
          <t>SKU-10089</t>
        </is>
      </c>
      <c r="E6447" t="inlineStr">
        <is>
          <t>AM05</t>
        </is>
      </c>
      <c r="F6447" s="5" t="n">
        <v>238.64</v>
      </c>
      <c r="G6447">
        <f>IF(LEFT(B6447,1)="C","Credit","Factuur")</f>
        <v/>
      </c>
      <c r="H6447">
        <f>IF(AND(B6447=B6446,D6447=D6446,A6447=A6446,F6447=F6446),1,0)</f>
        <v/>
      </c>
      <c r="I6447">
        <f>IF(C6447="C99999",1,0)</f>
        <v/>
      </c>
      <c r="J6447" s="5">
        <f>IF(OR(H6447=1,I6447=1),0,IF(G6447="Credit",-F6447,F6447))</f>
        <v/>
      </c>
    </row>
    <row r="6448">
      <c r="A6448" t="inlineStr">
        <is>
          <t>2026-09-02</t>
        </is>
      </c>
      <c r="B6448" t="inlineStr">
        <is>
          <t>F278907</t>
        </is>
      </c>
      <c r="C6448" t="inlineStr">
        <is>
          <t>C11001</t>
        </is>
      </c>
      <c r="D6448" t="inlineStr">
        <is>
          <t>SKU-10182</t>
        </is>
      </c>
      <c r="E6448" t="inlineStr">
        <is>
          <t>AM05</t>
        </is>
      </c>
      <c r="F6448" s="5" t="n">
        <v>256.53</v>
      </c>
      <c r="G6448">
        <f>IF(LEFT(B6448,1)="C","Credit","Factuur")</f>
        <v/>
      </c>
      <c r="H6448">
        <f>IF(AND(B6448=B6447,D6448=D6447,A6448=A6447,F6448=F6447),1,0)</f>
        <v/>
      </c>
      <c r="I6448">
        <f>IF(C6448="C99999",1,0)</f>
        <v/>
      </c>
      <c r="J6448" s="5">
        <f>IF(OR(H6448=1,I6448=1),0,IF(G6448="Credit",-F6448,F6448))</f>
        <v/>
      </c>
    </row>
    <row r="6449">
      <c r="A6449" t="inlineStr">
        <is>
          <t>2026-09-02</t>
        </is>
      </c>
      <c r="B6449" t="inlineStr">
        <is>
          <t>F280006</t>
        </is>
      </c>
      <c r="C6449" t="inlineStr">
        <is>
          <t>C11057</t>
        </is>
      </c>
      <c r="D6449" t="inlineStr">
        <is>
          <t>SKU-10217</t>
        </is>
      </c>
      <c r="E6449" t="inlineStr">
        <is>
          <t>AM03</t>
        </is>
      </c>
      <c r="F6449" s="5" t="n">
        <v>453.02</v>
      </c>
      <c r="G6449">
        <f>IF(LEFT(B6449,1)="C","Credit","Factuur")</f>
        <v/>
      </c>
      <c r="H6449">
        <f>IF(AND(B6449=B6448,D6449=D6448,A6449=A6448,F6449=F6448),1,0)</f>
        <v/>
      </c>
      <c r="I6449">
        <f>IF(C6449="C99999",1,0)</f>
        <v/>
      </c>
      <c r="J6449" s="5">
        <f>IF(OR(H6449=1,I6449=1),0,IF(G6449="Credit",-F6449,F6449))</f>
        <v/>
      </c>
    </row>
    <row r="6450">
      <c r="A6450" t="inlineStr">
        <is>
          <t>2026-09-02</t>
        </is>
      </c>
      <c r="B6450" t="inlineStr">
        <is>
          <t>F280006</t>
        </is>
      </c>
      <c r="C6450" t="inlineStr">
        <is>
          <t>C11057</t>
        </is>
      </c>
      <c r="D6450" t="inlineStr">
        <is>
          <t>SKU-10321</t>
        </is>
      </c>
      <c r="E6450" t="inlineStr">
        <is>
          <t>AM03</t>
        </is>
      </c>
      <c r="F6450" s="5" t="n">
        <v>536.91</v>
      </c>
      <c r="G6450">
        <f>IF(LEFT(B6450,1)="C","Credit","Factuur")</f>
        <v/>
      </c>
      <c r="H6450">
        <f>IF(AND(B6450=B6449,D6450=D6449,A6450=A6449,F6450=F6449),1,0)</f>
        <v/>
      </c>
      <c r="I6450">
        <f>IF(C6450="C99999",1,0)</f>
        <v/>
      </c>
      <c r="J6450" s="5">
        <f>IF(OR(H6450=1,I6450=1),0,IF(G6450="Credit",-F6450,F6450))</f>
        <v/>
      </c>
    </row>
    <row r="6451">
      <c r="A6451" t="inlineStr">
        <is>
          <t>2026-09-02</t>
        </is>
      </c>
      <c r="B6451" t="inlineStr">
        <is>
          <t>F281064</t>
        </is>
      </c>
      <c r="C6451" t="inlineStr">
        <is>
          <t>C11110</t>
        </is>
      </c>
      <c r="D6451" t="inlineStr">
        <is>
          <t>SKU-10092</t>
        </is>
      </c>
      <c r="E6451" t="inlineStr">
        <is>
          <t>AM08</t>
        </is>
      </c>
      <c r="F6451" s="5" t="n">
        <v>205.86</v>
      </c>
      <c r="G6451">
        <f>IF(LEFT(B6451,1)="C","Credit","Factuur")</f>
        <v/>
      </c>
      <c r="H6451">
        <f>IF(AND(B6451=B6450,D6451=D6450,A6451=A6450,F6451=F6450),1,0)</f>
        <v/>
      </c>
      <c r="I6451">
        <f>IF(C6451="C99999",1,0)</f>
        <v/>
      </c>
      <c r="J6451" s="5">
        <f>IF(OR(H6451=1,I6451=1),0,IF(G6451="Credit",-F6451,F6451))</f>
        <v/>
      </c>
    </row>
    <row r="6452">
      <c r="A6452" t="inlineStr">
        <is>
          <t>2026-09-02</t>
        </is>
      </c>
      <c r="B6452" t="inlineStr">
        <is>
          <t>F281064</t>
        </is>
      </c>
      <c r="C6452" t="inlineStr">
        <is>
          <t>C11110</t>
        </is>
      </c>
      <c r="D6452" t="inlineStr">
        <is>
          <t>SKU-10119</t>
        </is>
      </c>
      <c r="E6452" t="inlineStr">
        <is>
          <t>AM08</t>
        </is>
      </c>
      <c r="F6452" s="5" t="n">
        <v>206</v>
      </c>
      <c r="G6452">
        <f>IF(LEFT(B6452,1)="C","Credit","Factuur")</f>
        <v/>
      </c>
      <c r="H6452">
        <f>IF(AND(B6452=B6451,D6452=D6451,A6452=A6451,F6452=F6451),1,0)</f>
        <v/>
      </c>
      <c r="I6452">
        <f>IF(C6452="C99999",1,0)</f>
        <v/>
      </c>
      <c r="J6452" s="5">
        <f>IF(OR(H6452=1,I6452=1),0,IF(G6452="Credit",-F6452,F6452))</f>
        <v/>
      </c>
    </row>
    <row r="6453">
      <c r="A6453" t="inlineStr">
        <is>
          <t>2026-09-02</t>
        </is>
      </c>
      <c r="B6453" t="inlineStr">
        <is>
          <t>F281064</t>
        </is>
      </c>
      <c r="C6453" t="inlineStr">
        <is>
          <t>C11110</t>
        </is>
      </c>
      <c r="D6453" t="inlineStr">
        <is>
          <t>SKU-10138</t>
        </is>
      </c>
      <c r="E6453" t="inlineStr">
        <is>
          <t>AM08</t>
        </is>
      </c>
      <c r="F6453" s="5" t="n">
        <v>203.92</v>
      </c>
      <c r="G6453">
        <f>IF(LEFT(B6453,1)="C","Credit","Factuur")</f>
        <v/>
      </c>
      <c r="H6453">
        <f>IF(AND(B6453=B6452,D6453=D6452,A6453=A6452,F6453=F6452),1,0)</f>
        <v/>
      </c>
      <c r="I6453">
        <f>IF(C6453="C99999",1,0)</f>
        <v/>
      </c>
      <c r="J6453" s="5">
        <f>IF(OR(H6453=1,I6453=1),0,IF(G6453="Credit",-F6453,F6453))</f>
        <v/>
      </c>
    </row>
    <row r="6454">
      <c r="A6454" t="inlineStr">
        <is>
          <t>2026-09-02</t>
        </is>
      </c>
      <c r="B6454" t="inlineStr">
        <is>
          <t>F281989</t>
        </is>
      </c>
      <c r="C6454" t="inlineStr">
        <is>
          <t>C11156</t>
        </is>
      </c>
      <c r="D6454" t="inlineStr">
        <is>
          <t>SKU-10244</t>
        </is>
      </c>
      <c r="E6454" t="inlineStr">
        <is>
          <t>AM01</t>
        </is>
      </c>
      <c r="F6454" s="5" t="n">
        <v>3957.28</v>
      </c>
      <c r="G6454">
        <f>IF(LEFT(B6454,1)="C","Credit","Factuur")</f>
        <v/>
      </c>
      <c r="H6454">
        <f>IF(AND(B6454=B6453,D6454=D6453,A6454=A6453,F6454=F6453),1,0)</f>
        <v/>
      </c>
      <c r="I6454">
        <f>IF(C6454="C99999",1,0)</f>
        <v/>
      </c>
      <c r="J6454" s="5">
        <f>IF(OR(H6454=1,I6454=1),0,IF(G6454="Credit",-F6454,F6454))</f>
        <v/>
      </c>
    </row>
    <row r="6455">
      <c r="A6455" t="inlineStr">
        <is>
          <t>2026-09-02</t>
        </is>
      </c>
      <c r="B6455" t="inlineStr">
        <is>
          <t>F282173</t>
        </is>
      </c>
      <c r="C6455" t="inlineStr">
        <is>
          <t>C11165</t>
        </is>
      </c>
      <c r="D6455" t="inlineStr">
        <is>
          <t>SKU-10025</t>
        </is>
      </c>
      <c r="E6455" t="inlineStr">
        <is>
          <t>AM03</t>
        </is>
      </c>
      <c r="F6455" s="5" t="n">
        <v>416.03</v>
      </c>
      <c r="G6455">
        <f>IF(LEFT(B6455,1)="C","Credit","Factuur")</f>
        <v/>
      </c>
      <c r="H6455">
        <f>IF(AND(B6455=B6454,D6455=D6454,A6455=A6454,F6455=F6454),1,0)</f>
        <v/>
      </c>
      <c r="I6455">
        <f>IF(C6455="C99999",1,0)</f>
        <v/>
      </c>
      <c r="J6455" s="5">
        <f>IF(OR(H6455=1,I6455=1),0,IF(G6455="Credit",-F6455,F6455))</f>
        <v/>
      </c>
    </row>
    <row r="6456">
      <c r="A6456" t="inlineStr">
        <is>
          <t>2026-09-02</t>
        </is>
      </c>
      <c r="B6456" t="inlineStr">
        <is>
          <t>F282534</t>
        </is>
      </c>
      <c r="C6456" t="inlineStr">
        <is>
          <t>C11183</t>
        </is>
      </c>
      <c r="D6456" t="inlineStr">
        <is>
          <t>SKU-10009</t>
        </is>
      </c>
      <c r="E6456" t="inlineStr">
        <is>
          <t>AM08</t>
        </is>
      </c>
      <c r="F6456" s="5" t="n">
        <v>1141.31</v>
      </c>
      <c r="G6456">
        <f>IF(LEFT(B6456,1)="C","Credit","Factuur")</f>
        <v/>
      </c>
      <c r="H6456">
        <f>IF(AND(B6456=B6455,D6456=D6455,A6456=A6455,F6456=F6455),1,0)</f>
        <v/>
      </c>
      <c r="I6456">
        <f>IF(C6456="C99999",1,0)</f>
        <v/>
      </c>
      <c r="J6456" s="5">
        <f>IF(OR(H6456=1,I6456=1),0,IF(G6456="Credit",-F6456,F6456))</f>
        <v/>
      </c>
    </row>
    <row r="6457">
      <c r="A6457" t="inlineStr">
        <is>
          <t>2026-09-02</t>
        </is>
      </c>
      <c r="B6457" t="inlineStr">
        <is>
          <t>F282534</t>
        </is>
      </c>
      <c r="C6457" t="inlineStr">
        <is>
          <t>C11183</t>
        </is>
      </c>
      <c r="D6457" t="inlineStr">
        <is>
          <t>SKU-10079</t>
        </is>
      </c>
      <c r="E6457" t="inlineStr">
        <is>
          <t>AM08</t>
        </is>
      </c>
      <c r="F6457" s="5" t="n">
        <v>1095.62</v>
      </c>
      <c r="G6457">
        <f>IF(LEFT(B6457,1)="C","Credit","Factuur")</f>
        <v/>
      </c>
      <c r="H6457">
        <f>IF(AND(B6457=B6456,D6457=D6456,A6457=A6456,F6457=F6456),1,0)</f>
        <v/>
      </c>
      <c r="I6457">
        <f>IF(C6457="C99999",1,0)</f>
        <v/>
      </c>
      <c r="J6457" s="5">
        <f>IF(OR(H6457=1,I6457=1),0,IF(G6457="Credit",-F6457,F6457))</f>
        <v/>
      </c>
    </row>
    <row r="6458">
      <c r="A6458" t="inlineStr">
        <is>
          <t>2026-09-02</t>
        </is>
      </c>
      <c r="B6458" t="inlineStr">
        <is>
          <t>F282534</t>
        </is>
      </c>
      <c r="C6458" t="inlineStr">
        <is>
          <t>C11183</t>
        </is>
      </c>
      <c r="D6458" t="inlineStr">
        <is>
          <t>SKU-10268</t>
        </is>
      </c>
      <c r="E6458" t="inlineStr">
        <is>
          <t>AM08</t>
        </is>
      </c>
      <c r="F6458" s="5" t="n">
        <v>1210.98</v>
      </c>
      <c r="G6458">
        <f>IF(LEFT(B6458,1)="C","Credit","Factuur")</f>
        <v/>
      </c>
      <c r="H6458">
        <f>IF(AND(B6458=B6457,D6458=D6457,A6458=A6457,F6458=F6457),1,0)</f>
        <v/>
      </c>
      <c r="I6458">
        <f>IF(C6458="C99999",1,0)</f>
        <v/>
      </c>
      <c r="J6458" s="5">
        <f>IF(OR(H6458=1,I6458=1),0,IF(G6458="Credit",-F6458,F6458))</f>
        <v/>
      </c>
    </row>
    <row r="6459">
      <c r="A6459" t="inlineStr">
        <is>
          <t>2026-09-02</t>
        </is>
      </c>
      <c r="B6459" t="inlineStr">
        <is>
          <t>F283016</t>
        </is>
      </c>
      <c r="C6459" t="inlineStr">
        <is>
          <t>C11210</t>
        </is>
      </c>
      <c r="D6459" t="inlineStr">
        <is>
          <t>SKU-10084</t>
        </is>
      </c>
      <c r="E6459" t="inlineStr">
        <is>
          <t>AM05</t>
        </is>
      </c>
      <c r="F6459" s="5" t="n">
        <v>275.13</v>
      </c>
      <c r="G6459">
        <f>IF(LEFT(B6459,1)="C","Credit","Factuur")</f>
        <v/>
      </c>
      <c r="H6459">
        <f>IF(AND(B6459=B6458,D6459=D6458,A6459=A6458,F6459=F6458),1,0)</f>
        <v/>
      </c>
      <c r="I6459">
        <f>IF(C6459="C99999",1,0)</f>
        <v/>
      </c>
      <c r="J6459" s="5">
        <f>IF(OR(H6459=1,I6459=1),0,IF(G6459="Credit",-F6459,F6459))</f>
        <v/>
      </c>
    </row>
    <row r="6460">
      <c r="A6460" t="inlineStr">
        <is>
          <t>2026-09-02</t>
        </is>
      </c>
      <c r="B6460" t="inlineStr">
        <is>
          <t>F283016</t>
        </is>
      </c>
      <c r="C6460" t="inlineStr">
        <is>
          <t>C11210</t>
        </is>
      </c>
      <c r="D6460" t="inlineStr">
        <is>
          <t>SKU-10332</t>
        </is>
      </c>
      <c r="E6460" t="inlineStr">
        <is>
          <t>AM05</t>
        </is>
      </c>
      <c r="F6460" s="5" t="n">
        <v>270.59</v>
      </c>
      <c r="G6460">
        <f>IF(LEFT(B6460,1)="C","Credit","Factuur")</f>
        <v/>
      </c>
      <c r="H6460">
        <f>IF(AND(B6460=B6459,D6460=D6459,A6460=A6459,F6460=F6459),1,0)</f>
        <v/>
      </c>
      <c r="I6460">
        <f>IF(C6460="C99999",1,0)</f>
        <v/>
      </c>
      <c r="J6460" s="5">
        <f>IF(OR(H6460=1,I6460=1),0,IF(G6460="Credit",-F6460,F6460))</f>
        <v/>
      </c>
    </row>
    <row r="6461">
      <c r="A6461" t="inlineStr">
        <is>
          <t>2026-09-02</t>
        </is>
      </c>
      <c r="B6461" t="inlineStr">
        <is>
          <t>F283342</t>
        </is>
      </c>
      <c r="C6461" t="inlineStr">
        <is>
          <t>C11226</t>
        </is>
      </c>
      <c r="D6461" t="inlineStr">
        <is>
          <t>SKU-10245</t>
        </is>
      </c>
      <c r="E6461" t="inlineStr">
        <is>
          <t>AM07</t>
        </is>
      </c>
      <c r="F6461" s="5" t="n">
        <v>807.5</v>
      </c>
      <c r="G6461">
        <f>IF(LEFT(B6461,1)="C","Credit","Factuur")</f>
        <v/>
      </c>
      <c r="H6461">
        <f>IF(AND(B6461=B6460,D6461=D6460,A6461=A6460,F6461=F6460),1,0)</f>
        <v/>
      </c>
      <c r="I6461">
        <f>IF(C6461="C99999",1,0)</f>
        <v/>
      </c>
      <c r="J6461" s="5">
        <f>IF(OR(H6461=1,I6461=1),0,IF(G6461="Credit",-F6461,F6461))</f>
        <v/>
      </c>
    </row>
    <row r="6462">
      <c r="A6462" t="inlineStr">
        <is>
          <t>2026-09-02</t>
        </is>
      </c>
      <c r="B6462" t="inlineStr">
        <is>
          <t>F283517</t>
        </is>
      </c>
      <c r="C6462" t="inlineStr">
        <is>
          <t>C11234</t>
        </is>
      </c>
      <c r="D6462" t="inlineStr">
        <is>
          <t>SKU-10240</t>
        </is>
      </c>
      <c r="E6462" t="inlineStr">
        <is>
          <t>AM01</t>
        </is>
      </c>
      <c r="F6462" s="5" t="n">
        <v>1492.21</v>
      </c>
      <c r="G6462">
        <f>IF(LEFT(B6462,1)="C","Credit","Factuur")</f>
        <v/>
      </c>
      <c r="H6462">
        <f>IF(AND(B6462=B6461,D6462=D6461,A6462=A6461,F6462=F6461),1,0)</f>
        <v/>
      </c>
      <c r="I6462">
        <f>IF(C6462="C99999",1,0)</f>
        <v/>
      </c>
      <c r="J6462" s="5">
        <f>IF(OR(H6462=1,I6462=1),0,IF(G6462="Credit",-F6462,F6462))</f>
        <v/>
      </c>
    </row>
    <row r="6463">
      <c r="A6463" t="inlineStr">
        <is>
          <t>2026-09-02</t>
        </is>
      </c>
      <c r="B6463" t="inlineStr">
        <is>
          <t>F284175</t>
        </is>
      </c>
      <c r="C6463" t="inlineStr">
        <is>
          <t>C11264</t>
        </is>
      </c>
      <c r="D6463" t="inlineStr">
        <is>
          <t>SKU-10310</t>
        </is>
      </c>
      <c r="E6463" t="inlineStr"/>
      <c r="F6463" s="5" t="n">
        <v>2955.48</v>
      </c>
      <c r="G6463">
        <f>IF(LEFT(B6463,1)="C","Credit","Factuur")</f>
        <v/>
      </c>
      <c r="H6463">
        <f>IF(AND(B6463=B6462,D6463=D6462,A6463=A6462,F6463=F6462),1,0)</f>
        <v/>
      </c>
      <c r="I6463">
        <f>IF(C6463="C99999",1,0)</f>
        <v/>
      </c>
      <c r="J6463" s="5">
        <f>IF(OR(H6463=1,I6463=1),0,IF(G6463="Credit",-F6463,F6463))</f>
        <v/>
      </c>
    </row>
    <row r="6464">
      <c r="A6464" t="inlineStr">
        <is>
          <t>2026-09-02</t>
        </is>
      </c>
      <c r="B6464" t="inlineStr">
        <is>
          <t>F284591</t>
        </is>
      </c>
      <c r="C6464" t="inlineStr">
        <is>
          <t>C11290</t>
        </is>
      </c>
      <c r="D6464" t="inlineStr">
        <is>
          <t>SKU-10028</t>
        </is>
      </c>
      <c r="E6464" t="inlineStr">
        <is>
          <t>AM05</t>
        </is>
      </c>
      <c r="F6464" s="5" t="n">
        <v>509.34</v>
      </c>
      <c r="G6464">
        <f>IF(LEFT(B6464,1)="C","Credit","Factuur")</f>
        <v/>
      </c>
      <c r="H6464">
        <f>IF(AND(B6464=B6463,D6464=D6463,A6464=A6463,F6464=F6463),1,0)</f>
        <v/>
      </c>
      <c r="I6464">
        <f>IF(C6464="C99999",1,0)</f>
        <v/>
      </c>
      <c r="J6464" s="5">
        <f>IF(OR(H6464=1,I6464=1),0,IF(G6464="Credit",-F6464,F6464))</f>
        <v/>
      </c>
    </row>
    <row r="6465">
      <c r="A6465" t="inlineStr">
        <is>
          <t>2026-09-02</t>
        </is>
      </c>
      <c r="B6465" t="inlineStr">
        <is>
          <t>F284591</t>
        </is>
      </c>
      <c r="C6465" t="inlineStr">
        <is>
          <t>C11290</t>
        </is>
      </c>
      <c r="D6465" t="inlineStr">
        <is>
          <t>SKU-10326</t>
        </is>
      </c>
      <c r="E6465" t="inlineStr">
        <is>
          <t>AM05</t>
        </is>
      </c>
      <c r="F6465" s="5" t="n">
        <v>553</v>
      </c>
      <c r="G6465">
        <f>IF(LEFT(B6465,1)="C","Credit","Factuur")</f>
        <v/>
      </c>
      <c r="H6465">
        <f>IF(AND(B6465=B6464,D6465=D6464,A6465=A6464,F6465=F6464),1,0)</f>
        <v/>
      </c>
      <c r="I6465">
        <f>IF(C6465="C99999",1,0)</f>
        <v/>
      </c>
      <c r="J6465" s="5">
        <f>IF(OR(H6465=1,I6465=1),0,IF(G6465="Credit",-F6465,F6465))</f>
        <v/>
      </c>
    </row>
    <row r="6466">
      <c r="A6466" t="inlineStr">
        <is>
          <t>2026-09-02</t>
        </is>
      </c>
      <c r="B6466" t="inlineStr">
        <is>
          <t>F284593</t>
        </is>
      </c>
      <c r="C6466" t="inlineStr">
        <is>
          <t>C11290</t>
        </is>
      </c>
      <c r="D6466" t="inlineStr">
        <is>
          <t>SKU-10044</t>
        </is>
      </c>
      <c r="E6466" t="inlineStr"/>
      <c r="F6466" s="5" t="n">
        <v>618.41</v>
      </c>
      <c r="G6466">
        <f>IF(LEFT(B6466,1)="C","Credit","Factuur")</f>
        <v/>
      </c>
      <c r="H6466">
        <f>IF(AND(B6466=B6465,D6466=D6465,A6466=A6465,F6466=F6465),1,0)</f>
        <v/>
      </c>
      <c r="I6466">
        <f>IF(C6466="C99999",1,0)</f>
        <v/>
      </c>
      <c r="J6466" s="5">
        <f>IF(OR(H6466=1,I6466=1),0,IF(G6466="Credit",-F6466,F6466))</f>
        <v/>
      </c>
    </row>
    <row r="6467">
      <c r="A6467" t="inlineStr">
        <is>
          <t>2026-09-02</t>
        </is>
      </c>
      <c r="B6467" t="inlineStr">
        <is>
          <t>F284704</t>
        </is>
      </c>
      <c r="C6467" t="inlineStr">
        <is>
          <t>C11294</t>
        </is>
      </c>
      <c r="D6467" t="inlineStr">
        <is>
          <t>SKU-10069</t>
        </is>
      </c>
      <c r="E6467" t="inlineStr">
        <is>
          <t>AM01</t>
        </is>
      </c>
      <c r="F6467" s="5" t="n">
        <v>953.4</v>
      </c>
      <c r="G6467">
        <f>IF(LEFT(B6467,1)="C","Credit","Factuur")</f>
        <v/>
      </c>
      <c r="H6467">
        <f>IF(AND(B6467=B6466,D6467=D6466,A6467=A6466,F6467=F6466),1,0)</f>
        <v/>
      </c>
      <c r="I6467">
        <f>IF(C6467="C99999",1,0)</f>
        <v/>
      </c>
      <c r="J6467" s="5">
        <f>IF(OR(H6467=1,I6467=1),0,IF(G6467="Credit",-F6467,F6467))</f>
        <v/>
      </c>
    </row>
    <row r="6468">
      <c r="A6468" t="inlineStr">
        <is>
          <t>2026-09-02</t>
        </is>
      </c>
      <c r="B6468" t="inlineStr">
        <is>
          <t>F284704</t>
        </is>
      </c>
      <c r="C6468" t="inlineStr">
        <is>
          <t>C11294</t>
        </is>
      </c>
      <c r="D6468" t="inlineStr">
        <is>
          <t>SKU-10257</t>
        </is>
      </c>
      <c r="E6468" t="inlineStr">
        <is>
          <t>AM01</t>
        </is>
      </c>
      <c r="F6468" s="5" t="n">
        <v>879.4400000000001</v>
      </c>
      <c r="G6468">
        <f>IF(LEFT(B6468,1)="C","Credit","Factuur")</f>
        <v/>
      </c>
      <c r="H6468">
        <f>IF(AND(B6468=B6467,D6468=D6467,A6468=A6467,F6468=F6467),1,0)</f>
        <v/>
      </c>
      <c r="I6468">
        <f>IF(C6468="C99999",1,0)</f>
        <v/>
      </c>
      <c r="J6468" s="5">
        <f>IF(OR(H6468=1,I6468=1),0,IF(G6468="Credit",-F6468,F6468))</f>
        <v/>
      </c>
    </row>
    <row r="6469">
      <c r="A6469" t="inlineStr">
        <is>
          <t>2026-09-02</t>
        </is>
      </c>
      <c r="B6469" t="inlineStr">
        <is>
          <t>F285036</t>
        </is>
      </c>
      <c r="C6469" t="inlineStr">
        <is>
          <t>C11310</t>
        </is>
      </c>
      <c r="D6469" t="inlineStr">
        <is>
          <t>SKU-10047</t>
        </is>
      </c>
      <c r="E6469" t="inlineStr">
        <is>
          <t>AM02</t>
        </is>
      </c>
      <c r="F6469" s="5" t="n">
        <v>104.48</v>
      </c>
      <c r="G6469">
        <f>IF(LEFT(B6469,1)="C","Credit","Factuur")</f>
        <v/>
      </c>
      <c r="H6469">
        <f>IF(AND(B6469=B6468,D6469=D6468,A6469=A6468,F6469=F6468),1,0)</f>
        <v/>
      </c>
      <c r="I6469">
        <f>IF(C6469="C99999",1,0)</f>
        <v/>
      </c>
      <c r="J6469" s="5">
        <f>IF(OR(H6469=1,I6469=1),0,IF(G6469="Credit",-F6469,F6469))</f>
        <v/>
      </c>
    </row>
    <row r="6470">
      <c r="A6470" t="inlineStr">
        <is>
          <t>2026-09-02</t>
        </is>
      </c>
      <c r="B6470" t="inlineStr">
        <is>
          <t>F285036</t>
        </is>
      </c>
      <c r="C6470" t="inlineStr">
        <is>
          <t>C11310</t>
        </is>
      </c>
      <c r="D6470" t="inlineStr">
        <is>
          <t>SKU-10158</t>
        </is>
      </c>
      <c r="E6470" t="inlineStr">
        <is>
          <t>AM02</t>
        </is>
      </c>
      <c r="F6470" s="5" t="n">
        <v>103.17</v>
      </c>
      <c r="G6470">
        <f>IF(LEFT(B6470,1)="C","Credit","Factuur")</f>
        <v/>
      </c>
      <c r="H6470">
        <f>IF(AND(B6470=B6469,D6470=D6469,A6470=A6469,F6470=F6469),1,0)</f>
        <v/>
      </c>
      <c r="I6470">
        <f>IF(C6470="C99999",1,0)</f>
        <v/>
      </c>
      <c r="J6470" s="5">
        <f>IF(OR(H6470=1,I6470=1),0,IF(G6470="Credit",-F6470,F6470))</f>
        <v/>
      </c>
    </row>
    <row r="6471">
      <c r="A6471" t="inlineStr">
        <is>
          <t>2026-09-02</t>
        </is>
      </c>
      <c r="B6471" t="inlineStr">
        <is>
          <t>F285036</t>
        </is>
      </c>
      <c r="C6471" t="inlineStr">
        <is>
          <t>C11310</t>
        </is>
      </c>
      <c r="D6471" t="inlineStr">
        <is>
          <t>SKU-10174</t>
        </is>
      </c>
      <c r="E6471" t="inlineStr">
        <is>
          <t>AM02</t>
        </is>
      </c>
      <c r="F6471" s="5" t="n">
        <v>119.73</v>
      </c>
      <c r="G6471">
        <f>IF(LEFT(B6471,1)="C","Credit","Factuur")</f>
        <v/>
      </c>
      <c r="H6471">
        <f>IF(AND(B6471=B6470,D6471=D6470,A6471=A6470,F6471=F6470),1,0)</f>
        <v/>
      </c>
      <c r="I6471">
        <f>IF(C6471="C99999",1,0)</f>
        <v/>
      </c>
      <c r="J6471" s="5">
        <f>IF(OR(H6471=1,I6471=1),0,IF(G6471="Credit",-F6471,F6471))</f>
        <v/>
      </c>
    </row>
    <row r="6472">
      <c r="A6472" t="inlineStr">
        <is>
          <t>2026-09-02</t>
        </is>
      </c>
      <c r="B6472" t="inlineStr">
        <is>
          <t>F285036</t>
        </is>
      </c>
      <c r="C6472" t="inlineStr">
        <is>
          <t>C11310</t>
        </is>
      </c>
      <c r="D6472" t="inlineStr">
        <is>
          <t>SKU-10189</t>
        </is>
      </c>
      <c r="E6472" t="inlineStr">
        <is>
          <t>AM02</t>
        </is>
      </c>
      <c r="F6472" s="5" t="n">
        <v>103.88</v>
      </c>
      <c r="G6472">
        <f>IF(LEFT(B6472,1)="C","Credit","Factuur")</f>
        <v/>
      </c>
      <c r="H6472">
        <f>IF(AND(B6472=B6471,D6472=D6471,A6472=A6471,F6472=F6471),1,0)</f>
        <v/>
      </c>
      <c r="I6472">
        <f>IF(C6472="C99999",1,0)</f>
        <v/>
      </c>
      <c r="J6472" s="5">
        <f>IF(OR(H6472=1,I6472=1),0,IF(G6472="Credit",-F6472,F6472))</f>
        <v/>
      </c>
    </row>
    <row r="6473">
      <c r="A6473" t="inlineStr">
        <is>
          <t>2026-09-02</t>
        </is>
      </c>
      <c r="B6473" t="inlineStr">
        <is>
          <t>F285036</t>
        </is>
      </c>
      <c r="C6473" t="inlineStr">
        <is>
          <t>C11310</t>
        </is>
      </c>
      <c r="D6473" t="inlineStr">
        <is>
          <t>SKU-10311</t>
        </is>
      </c>
      <c r="E6473" t="inlineStr">
        <is>
          <t>AM02</t>
        </is>
      </c>
      <c r="F6473" s="5" t="n">
        <v>102.97</v>
      </c>
      <c r="G6473">
        <f>IF(LEFT(B6473,1)="C","Credit","Factuur")</f>
        <v/>
      </c>
      <c r="H6473">
        <f>IF(AND(B6473=B6472,D6473=D6472,A6473=A6472,F6473=F6472),1,0)</f>
        <v/>
      </c>
      <c r="I6473">
        <f>IF(C6473="C99999",1,0)</f>
        <v/>
      </c>
      <c r="J6473" s="5">
        <f>IF(OR(H6473=1,I6473=1),0,IF(G6473="Credit",-F6473,F6473))</f>
        <v/>
      </c>
    </row>
    <row r="6474">
      <c r="A6474" t="inlineStr">
        <is>
          <t>2026-09-02</t>
        </is>
      </c>
      <c r="B6474" t="inlineStr">
        <is>
          <t>F285036</t>
        </is>
      </c>
      <c r="C6474" t="inlineStr">
        <is>
          <t>C11310</t>
        </is>
      </c>
      <c r="D6474" t="inlineStr">
        <is>
          <t>SKU-10315</t>
        </is>
      </c>
      <c r="E6474" t="inlineStr">
        <is>
          <t>AM02</t>
        </is>
      </c>
      <c r="F6474" s="5" t="n">
        <v>108.9</v>
      </c>
      <c r="G6474">
        <f>IF(LEFT(B6474,1)="C","Credit","Factuur")</f>
        <v/>
      </c>
      <c r="H6474">
        <f>IF(AND(B6474=B6473,D6474=D6473,A6474=A6473,F6474=F6473),1,0)</f>
        <v/>
      </c>
      <c r="I6474">
        <f>IF(C6474="C99999",1,0)</f>
        <v/>
      </c>
      <c r="J6474" s="5">
        <f>IF(OR(H6474=1,I6474=1),0,IF(G6474="Credit",-F6474,F6474))</f>
        <v/>
      </c>
    </row>
    <row r="6475">
      <c r="A6475" t="inlineStr">
        <is>
          <t>2026-09-02</t>
        </is>
      </c>
      <c r="B6475" t="inlineStr">
        <is>
          <t>F285150</t>
        </is>
      </c>
      <c r="C6475" t="inlineStr">
        <is>
          <t>C11318</t>
        </is>
      </c>
      <c r="D6475" t="inlineStr">
        <is>
          <t>SKU-10029</t>
        </is>
      </c>
      <c r="E6475" t="inlineStr">
        <is>
          <t>AM01</t>
        </is>
      </c>
      <c r="F6475" s="5" t="n">
        <v>582.01</v>
      </c>
      <c r="G6475">
        <f>IF(LEFT(B6475,1)="C","Credit","Factuur")</f>
        <v/>
      </c>
      <c r="H6475">
        <f>IF(AND(B6475=B6474,D6475=D6474,A6475=A6474,F6475=F6474),1,0)</f>
        <v/>
      </c>
      <c r="I6475">
        <f>IF(C6475="C99999",1,0)</f>
        <v/>
      </c>
      <c r="J6475" s="5">
        <f>IF(OR(H6475=1,I6475=1),0,IF(G6475="Credit",-F6475,F6475))</f>
        <v/>
      </c>
    </row>
    <row r="6476">
      <c r="A6476" t="inlineStr">
        <is>
          <t>2026-09-02</t>
        </is>
      </c>
      <c r="B6476" t="inlineStr">
        <is>
          <t>F285150</t>
        </is>
      </c>
      <c r="C6476" t="inlineStr">
        <is>
          <t>C11318</t>
        </is>
      </c>
      <c r="D6476" t="inlineStr">
        <is>
          <t>SKU-10085</t>
        </is>
      </c>
      <c r="E6476" t="inlineStr">
        <is>
          <t>AM01</t>
        </is>
      </c>
      <c r="F6476" s="5" t="n">
        <v>578.6</v>
      </c>
      <c r="G6476">
        <f>IF(LEFT(B6476,1)="C","Credit","Factuur")</f>
        <v/>
      </c>
      <c r="H6476">
        <f>IF(AND(B6476=B6475,D6476=D6475,A6476=A6475,F6476=F6475),1,0)</f>
        <v/>
      </c>
      <c r="I6476">
        <f>IF(C6476="C99999",1,0)</f>
        <v/>
      </c>
      <c r="J6476" s="5">
        <f>IF(OR(H6476=1,I6476=1),0,IF(G6476="Credit",-F6476,F6476))</f>
        <v/>
      </c>
    </row>
    <row r="6477">
      <c r="A6477" t="inlineStr">
        <is>
          <t>2026-09-02</t>
        </is>
      </c>
      <c r="B6477" t="inlineStr">
        <is>
          <t>F285150</t>
        </is>
      </c>
      <c r="C6477" t="inlineStr">
        <is>
          <t>C11318</t>
        </is>
      </c>
      <c r="D6477" t="inlineStr">
        <is>
          <t>SKU-10303</t>
        </is>
      </c>
      <c r="E6477" t="inlineStr">
        <is>
          <t>AM01</t>
        </is>
      </c>
      <c r="F6477" s="5" t="n">
        <v>591.6799999999999</v>
      </c>
      <c r="G6477">
        <f>IF(LEFT(B6477,1)="C","Credit","Factuur")</f>
        <v/>
      </c>
      <c r="H6477">
        <f>IF(AND(B6477=B6476,D6477=D6476,A6477=A6476,F6477=F6476),1,0)</f>
        <v/>
      </c>
      <c r="I6477">
        <f>IF(C6477="C99999",1,0)</f>
        <v/>
      </c>
      <c r="J6477" s="5">
        <f>IF(OR(H6477=1,I6477=1),0,IF(G6477="Credit",-F6477,F6477))</f>
        <v/>
      </c>
    </row>
    <row r="6478">
      <c r="A6478" t="inlineStr">
        <is>
          <t>2026-09-02</t>
        </is>
      </c>
      <c r="B6478" t="inlineStr">
        <is>
          <t>F285150</t>
        </is>
      </c>
      <c r="C6478" t="inlineStr">
        <is>
          <t>C11318</t>
        </is>
      </c>
      <c r="D6478" t="inlineStr">
        <is>
          <t>SKU-10339</t>
        </is>
      </c>
      <c r="E6478" t="inlineStr">
        <is>
          <t>AM01</t>
        </is>
      </c>
      <c r="F6478" s="5" t="n">
        <v>586.95</v>
      </c>
      <c r="G6478">
        <f>IF(LEFT(B6478,1)="C","Credit","Factuur")</f>
        <v/>
      </c>
      <c r="H6478">
        <f>IF(AND(B6478=B6477,D6478=D6477,A6478=A6477,F6478=F6477),1,0)</f>
        <v/>
      </c>
      <c r="I6478">
        <f>IF(C6478="C99999",1,0)</f>
        <v/>
      </c>
      <c r="J6478" s="5">
        <f>IF(OR(H6478=1,I6478=1),0,IF(G6478="Credit",-F6478,F6478))</f>
        <v/>
      </c>
    </row>
    <row r="6479">
      <c r="A6479" t="inlineStr">
        <is>
          <t>2026-09-02</t>
        </is>
      </c>
      <c r="B6479" t="inlineStr">
        <is>
          <t>F285871</t>
        </is>
      </c>
      <c r="C6479" t="inlineStr">
        <is>
          <t>C11353</t>
        </is>
      </c>
      <c r="D6479" t="inlineStr">
        <is>
          <t>SKU-10152</t>
        </is>
      </c>
      <c r="E6479" t="inlineStr">
        <is>
          <t>AM11</t>
        </is>
      </c>
      <c r="F6479" s="5" t="n">
        <v>1219.21</v>
      </c>
      <c r="G6479">
        <f>IF(LEFT(B6479,1)="C","Credit","Factuur")</f>
        <v/>
      </c>
      <c r="H6479">
        <f>IF(AND(B6479=B6478,D6479=D6478,A6479=A6478,F6479=F6478),1,0)</f>
        <v/>
      </c>
      <c r="I6479">
        <f>IF(C6479="C99999",1,0)</f>
        <v/>
      </c>
      <c r="J6479" s="5">
        <f>IF(OR(H6479=1,I6479=1),0,IF(G6479="Credit",-F6479,F6479))</f>
        <v/>
      </c>
    </row>
    <row r="6480">
      <c r="A6480" t="inlineStr">
        <is>
          <t>2026-09-02</t>
        </is>
      </c>
      <c r="B6480" t="inlineStr">
        <is>
          <t>F285871</t>
        </is>
      </c>
      <c r="C6480" t="inlineStr">
        <is>
          <t>C11353</t>
        </is>
      </c>
      <c r="D6480" t="inlineStr">
        <is>
          <t>SKU-10164</t>
        </is>
      </c>
      <c r="E6480" t="inlineStr">
        <is>
          <t>AM11</t>
        </is>
      </c>
      <c r="F6480" s="5" t="n">
        <v>1285.87</v>
      </c>
      <c r="G6480">
        <f>IF(LEFT(B6480,1)="C","Credit","Factuur")</f>
        <v/>
      </c>
      <c r="H6480">
        <f>IF(AND(B6480=B6479,D6480=D6479,A6480=A6479,F6480=F6479),1,0)</f>
        <v/>
      </c>
      <c r="I6480">
        <f>IF(C6480="C99999",1,0)</f>
        <v/>
      </c>
      <c r="J6480" s="5">
        <f>IF(OR(H6480=1,I6480=1),0,IF(G6480="Credit",-F6480,F6480))</f>
        <v/>
      </c>
    </row>
    <row r="6481">
      <c r="A6481" t="inlineStr">
        <is>
          <t>2026-09-02</t>
        </is>
      </c>
      <c r="B6481" t="inlineStr">
        <is>
          <t>F286351</t>
        </is>
      </c>
      <c r="C6481" t="inlineStr">
        <is>
          <t>C11377</t>
        </is>
      </c>
      <c r="D6481" t="inlineStr">
        <is>
          <t>SKU-10129</t>
        </is>
      </c>
      <c r="E6481" t="inlineStr">
        <is>
          <t>AM09</t>
        </is>
      </c>
      <c r="F6481" s="5" t="n">
        <v>1968.97</v>
      </c>
      <c r="G6481">
        <f>IF(LEFT(B6481,1)="C","Credit","Factuur")</f>
        <v/>
      </c>
      <c r="H6481">
        <f>IF(AND(B6481=B6480,D6481=D6480,A6481=A6480,F6481=F6480),1,0)</f>
        <v/>
      </c>
      <c r="I6481">
        <f>IF(C6481="C99999",1,0)</f>
        <v/>
      </c>
      <c r="J6481" s="5">
        <f>IF(OR(H6481=1,I6481=1),0,IF(G6481="Credit",-F6481,F6481))</f>
        <v/>
      </c>
    </row>
    <row r="6482">
      <c r="A6482" t="inlineStr">
        <is>
          <t>2026-09-02</t>
        </is>
      </c>
      <c r="B6482" t="inlineStr">
        <is>
          <t>F286351</t>
        </is>
      </c>
      <c r="C6482" t="inlineStr">
        <is>
          <t>C11377</t>
        </is>
      </c>
      <c r="D6482" t="inlineStr">
        <is>
          <t>SKU-10229</t>
        </is>
      </c>
      <c r="E6482" t="inlineStr">
        <is>
          <t>AM09</t>
        </is>
      </c>
      <c r="F6482" s="5" t="n">
        <v>1686.64</v>
      </c>
      <c r="G6482">
        <f>IF(LEFT(B6482,1)="C","Credit","Factuur")</f>
        <v/>
      </c>
      <c r="H6482">
        <f>IF(AND(B6482=B6481,D6482=D6481,A6482=A6481,F6482=F6481),1,0)</f>
        <v/>
      </c>
      <c r="I6482">
        <f>IF(C6482="C99999",1,0)</f>
        <v/>
      </c>
      <c r="J6482" s="5">
        <f>IF(OR(H6482=1,I6482=1),0,IF(G6482="Credit",-F6482,F6482))</f>
        <v/>
      </c>
    </row>
    <row r="6483">
      <c r="A6483" t="inlineStr">
        <is>
          <t>2026-09-03</t>
        </is>
      </c>
      <c r="B6483" t="inlineStr">
        <is>
          <t>C900229</t>
        </is>
      </c>
      <c r="C6483" t="inlineStr">
        <is>
          <t>C11032</t>
        </is>
      </c>
      <c r="D6483" t="inlineStr">
        <is>
          <t>SKU-10092</t>
        </is>
      </c>
      <c r="E6483" t="inlineStr">
        <is>
          <t>AM11</t>
        </is>
      </c>
      <c r="F6483" s="5" t="n">
        <v>137.24</v>
      </c>
      <c r="G6483">
        <f>IF(LEFT(B6483,1)="C","Credit","Factuur")</f>
        <v/>
      </c>
      <c r="H6483">
        <f>IF(AND(B6483=B6482,D6483=D6482,A6483=A6482,F6483=F6482),1,0)</f>
        <v/>
      </c>
      <c r="I6483">
        <f>IF(C6483="C99999",1,0)</f>
        <v/>
      </c>
      <c r="J6483" s="5">
        <f>IF(OR(H6483=1,I6483=1),0,IF(G6483="Credit",-F6483,F6483))</f>
        <v/>
      </c>
    </row>
    <row r="6484">
      <c r="A6484" t="inlineStr">
        <is>
          <t>2026-09-03</t>
        </is>
      </c>
      <c r="B6484" t="inlineStr">
        <is>
          <t>C901019</t>
        </is>
      </c>
      <c r="C6484" t="inlineStr">
        <is>
          <t>C11159</t>
        </is>
      </c>
      <c r="D6484" t="inlineStr">
        <is>
          <t>SKU-10340</t>
        </is>
      </c>
      <c r="E6484" t="inlineStr">
        <is>
          <t>AM05</t>
        </is>
      </c>
      <c r="F6484" s="5" t="n">
        <v>236.4</v>
      </c>
      <c r="G6484">
        <f>IF(LEFT(B6484,1)="C","Credit","Factuur")</f>
        <v/>
      </c>
      <c r="H6484">
        <f>IF(AND(B6484=B6483,D6484=D6483,A6484=A6483,F6484=F6483),1,0)</f>
        <v/>
      </c>
      <c r="I6484">
        <f>IF(C6484="C99999",1,0)</f>
        <v/>
      </c>
      <c r="J6484" s="5">
        <f>IF(OR(H6484=1,I6484=1),0,IF(G6484="Credit",-F6484,F6484))</f>
        <v/>
      </c>
    </row>
    <row r="6485">
      <c r="A6485" t="inlineStr">
        <is>
          <t>2026-09-03</t>
        </is>
      </c>
      <c r="B6485" t="inlineStr">
        <is>
          <t>C901472</t>
        </is>
      </c>
      <c r="C6485" t="inlineStr">
        <is>
          <t>C10532</t>
        </is>
      </c>
      <c r="D6485" t="inlineStr">
        <is>
          <t>SKU-10320</t>
        </is>
      </c>
      <c r="E6485" t="inlineStr">
        <is>
          <t>AM02</t>
        </is>
      </c>
      <c r="F6485" s="5" t="n">
        <v>375.87</v>
      </c>
      <c r="G6485">
        <f>IF(LEFT(B6485,1)="C","Credit","Factuur")</f>
        <v/>
      </c>
      <c r="H6485">
        <f>IF(AND(B6485=B6484,D6485=D6484,A6485=A6484,F6485=F6484),1,0)</f>
        <v/>
      </c>
      <c r="I6485">
        <f>IF(C6485="C99999",1,0)</f>
        <v/>
      </c>
      <c r="J6485" s="5">
        <f>IF(OR(H6485=1,I6485=1),0,IF(G6485="Credit",-F6485,F6485))</f>
        <v/>
      </c>
    </row>
    <row r="6486">
      <c r="A6486" t="inlineStr">
        <is>
          <t>2026-09-03</t>
        </is>
      </c>
      <c r="B6486" t="inlineStr">
        <is>
          <t>F260080</t>
        </is>
      </c>
      <c r="C6486" t="inlineStr">
        <is>
          <t>C10005</t>
        </is>
      </c>
      <c r="D6486" t="inlineStr">
        <is>
          <t>SKU-10123</t>
        </is>
      </c>
      <c r="E6486" t="inlineStr">
        <is>
          <t>AM01</t>
        </is>
      </c>
      <c r="F6486" s="5" t="n">
        <v>347.2</v>
      </c>
      <c r="G6486">
        <f>IF(LEFT(B6486,1)="C","Credit","Factuur")</f>
        <v/>
      </c>
      <c r="H6486">
        <f>IF(AND(B6486=B6485,D6486=D6485,A6486=A6485,F6486=F6485),1,0)</f>
        <v/>
      </c>
      <c r="I6486">
        <f>IF(C6486="C99999",1,0)</f>
        <v/>
      </c>
      <c r="J6486" s="5">
        <f>IF(OR(H6486=1,I6486=1),0,IF(G6486="Credit",-F6486,F6486))</f>
        <v/>
      </c>
    </row>
    <row r="6487">
      <c r="A6487" t="inlineStr">
        <is>
          <t>2026-09-03</t>
        </is>
      </c>
      <c r="B6487" t="inlineStr">
        <is>
          <t>F260080</t>
        </is>
      </c>
      <c r="C6487" t="inlineStr">
        <is>
          <t>C10005</t>
        </is>
      </c>
      <c r="D6487" t="inlineStr">
        <is>
          <t>SKU-10136</t>
        </is>
      </c>
      <c r="E6487" t="inlineStr">
        <is>
          <t>AM01</t>
        </is>
      </c>
      <c r="F6487" s="5" t="n">
        <v>342.84</v>
      </c>
      <c r="G6487">
        <f>IF(LEFT(B6487,1)="C","Credit","Factuur")</f>
        <v/>
      </c>
      <c r="H6487">
        <f>IF(AND(B6487=B6486,D6487=D6486,A6487=A6486,F6487=F6486),1,0)</f>
        <v/>
      </c>
      <c r="I6487">
        <f>IF(C6487="C99999",1,0)</f>
        <v/>
      </c>
      <c r="J6487" s="5">
        <f>IF(OR(H6487=1,I6487=1),0,IF(G6487="Credit",-F6487,F6487))</f>
        <v/>
      </c>
    </row>
    <row r="6488">
      <c r="A6488" t="inlineStr">
        <is>
          <t>2026-09-03</t>
        </is>
      </c>
      <c r="B6488" t="inlineStr">
        <is>
          <t>F261454</t>
        </is>
      </c>
      <c r="C6488" t="inlineStr">
        <is>
          <t>C10078</t>
        </is>
      </c>
      <c r="D6488" t="inlineStr">
        <is>
          <t>SKU-10119</t>
        </is>
      </c>
      <c r="E6488" t="inlineStr">
        <is>
          <t>AM11</t>
        </is>
      </c>
      <c r="F6488" s="5" t="n">
        <v>216.84</v>
      </c>
      <c r="G6488">
        <f>IF(LEFT(B6488,1)="C","Credit","Factuur")</f>
        <v/>
      </c>
      <c r="H6488">
        <f>IF(AND(B6488=B6487,D6488=D6487,A6488=A6487,F6488=F6487),1,0)</f>
        <v/>
      </c>
      <c r="I6488">
        <f>IF(C6488="C99999",1,0)</f>
        <v/>
      </c>
      <c r="J6488" s="5">
        <f>IF(OR(H6488=1,I6488=1),0,IF(G6488="Credit",-F6488,F6488))</f>
        <v/>
      </c>
    </row>
    <row r="6489">
      <c r="A6489" t="inlineStr">
        <is>
          <t>2026-09-03</t>
        </is>
      </c>
      <c r="B6489" t="inlineStr">
        <is>
          <t>F261454</t>
        </is>
      </c>
      <c r="C6489" t="inlineStr">
        <is>
          <t>C10078</t>
        </is>
      </c>
      <c r="D6489" t="inlineStr">
        <is>
          <t>SKU-10134</t>
        </is>
      </c>
      <c r="E6489" t="inlineStr">
        <is>
          <t>AM11</t>
        </is>
      </c>
      <c r="F6489" s="5" t="n">
        <v>273.36</v>
      </c>
      <c r="G6489">
        <f>IF(LEFT(B6489,1)="C","Credit","Factuur")</f>
        <v/>
      </c>
      <c r="H6489">
        <f>IF(AND(B6489=B6488,D6489=D6488,A6489=A6488,F6489=F6488),1,0)</f>
        <v/>
      </c>
      <c r="I6489">
        <f>IF(C6489="C99999",1,0)</f>
        <v/>
      </c>
      <c r="J6489" s="5">
        <f>IF(OR(H6489=1,I6489=1),0,IF(G6489="Credit",-F6489,F6489))</f>
        <v/>
      </c>
    </row>
    <row r="6490">
      <c r="A6490" t="inlineStr">
        <is>
          <t>2026-09-03</t>
        </is>
      </c>
      <c r="B6490" t="inlineStr">
        <is>
          <t>F261454</t>
        </is>
      </c>
      <c r="C6490" t="inlineStr">
        <is>
          <t>C10078</t>
        </is>
      </c>
      <c r="D6490" t="inlineStr">
        <is>
          <t>SKU-10199</t>
        </is>
      </c>
      <c r="E6490" t="inlineStr">
        <is>
          <t>AM11</t>
        </is>
      </c>
      <c r="F6490" s="5" t="n">
        <v>241.91</v>
      </c>
      <c r="G6490">
        <f>IF(LEFT(B6490,1)="C","Credit","Factuur")</f>
        <v/>
      </c>
      <c r="H6490">
        <f>IF(AND(B6490=B6489,D6490=D6489,A6490=A6489,F6490=F6489),1,0)</f>
        <v/>
      </c>
      <c r="I6490">
        <f>IF(C6490="C99999",1,0)</f>
        <v/>
      </c>
      <c r="J6490" s="5">
        <f>IF(OR(H6490=1,I6490=1),0,IF(G6490="Credit",-F6490,F6490))</f>
        <v/>
      </c>
    </row>
    <row r="6491">
      <c r="A6491" t="inlineStr">
        <is>
          <t>2026-09-03</t>
        </is>
      </c>
      <c r="B6491" t="inlineStr">
        <is>
          <t>F261454</t>
        </is>
      </c>
      <c r="C6491" t="inlineStr">
        <is>
          <t>C10078</t>
        </is>
      </c>
      <c r="D6491" t="inlineStr">
        <is>
          <t>SKU-10269</t>
        </is>
      </c>
      <c r="E6491" t="inlineStr">
        <is>
          <t>AM11</t>
        </is>
      </c>
      <c r="F6491" s="5" t="n">
        <v>245.31</v>
      </c>
      <c r="G6491">
        <f>IF(LEFT(B6491,1)="C","Credit","Factuur")</f>
        <v/>
      </c>
      <c r="H6491">
        <f>IF(AND(B6491=B6490,D6491=D6490,A6491=A6490,F6491=F6490),1,0)</f>
        <v/>
      </c>
      <c r="I6491">
        <f>IF(C6491="C99999",1,0)</f>
        <v/>
      </c>
      <c r="J6491" s="5">
        <f>IF(OR(H6491=1,I6491=1),0,IF(G6491="Credit",-F6491,F6491))</f>
        <v/>
      </c>
    </row>
    <row r="6492">
      <c r="A6492" t="inlineStr">
        <is>
          <t>2026-09-03</t>
        </is>
      </c>
      <c r="B6492" t="inlineStr">
        <is>
          <t>F261454</t>
        </is>
      </c>
      <c r="C6492" t="inlineStr">
        <is>
          <t>C10078</t>
        </is>
      </c>
      <c r="D6492" t="inlineStr">
        <is>
          <t>SKU-10335</t>
        </is>
      </c>
      <c r="E6492" t="inlineStr">
        <is>
          <t>AM11</t>
        </is>
      </c>
      <c r="F6492" s="5" t="n">
        <v>242.2</v>
      </c>
      <c r="G6492">
        <f>IF(LEFT(B6492,1)="C","Credit","Factuur")</f>
        <v/>
      </c>
      <c r="H6492">
        <f>IF(AND(B6492=B6491,D6492=D6491,A6492=A6491,F6492=F6491),1,0)</f>
        <v/>
      </c>
      <c r="I6492">
        <f>IF(C6492="C99999",1,0)</f>
        <v/>
      </c>
      <c r="J6492" s="5">
        <f>IF(OR(H6492=1,I6492=1),0,IF(G6492="Credit",-F6492,F6492))</f>
        <v/>
      </c>
    </row>
    <row r="6493">
      <c r="A6493" t="inlineStr">
        <is>
          <t>2026-09-03</t>
        </is>
      </c>
      <c r="B6493" t="inlineStr">
        <is>
          <t>F261743</t>
        </is>
      </c>
      <c r="C6493" t="inlineStr">
        <is>
          <t>C10091</t>
        </is>
      </c>
      <c r="D6493" t="inlineStr">
        <is>
          <t>SKU-10157</t>
        </is>
      </c>
      <c r="E6493" t="inlineStr">
        <is>
          <t>AM11</t>
        </is>
      </c>
      <c r="F6493" s="5" t="n">
        <v>1400.32</v>
      </c>
      <c r="G6493">
        <f>IF(LEFT(B6493,1)="C","Credit","Factuur")</f>
        <v/>
      </c>
      <c r="H6493">
        <f>IF(AND(B6493=B6492,D6493=D6492,A6493=A6492,F6493=F6492),1,0)</f>
        <v/>
      </c>
      <c r="I6493">
        <f>IF(C6493="C99999",1,0)</f>
        <v/>
      </c>
      <c r="J6493" s="5">
        <f>IF(OR(H6493=1,I6493=1),0,IF(G6493="Credit",-F6493,F6493))</f>
        <v/>
      </c>
    </row>
    <row r="6494">
      <c r="A6494" t="inlineStr">
        <is>
          <t>2026-09-03</t>
        </is>
      </c>
      <c r="B6494" t="inlineStr">
        <is>
          <t>F262264</t>
        </is>
      </c>
      <c r="C6494" t="inlineStr">
        <is>
          <t>C10120</t>
        </is>
      </c>
      <c r="D6494" t="inlineStr">
        <is>
          <t>SKU-10236</t>
        </is>
      </c>
      <c r="E6494" t="inlineStr">
        <is>
          <t>AM02</t>
        </is>
      </c>
      <c r="F6494" s="5" t="n">
        <v>66.88</v>
      </c>
      <c r="G6494">
        <f>IF(LEFT(B6494,1)="C","Credit","Factuur")</f>
        <v/>
      </c>
      <c r="H6494">
        <f>IF(AND(B6494=B6493,D6494=D6493,A6494=A6493,F6494=F6493),1,0)</f>
        <v/>
      </c>
      <c r="I6494">
        <f>IF(C6494="C99999",1,0)</f>
        <v/>
      </c>
      <c r="J6494" s="5">
        <f>IF(OR(H6494=1,I6494=1),0,IF(G6494="Credit",-F6494,F6494))</f>
        <v/>
      </c>
    </row>
    <row r="6495">
      <c r="A6495" t="inlineStr">
        <is>
          <t>2026-09-03</t>
        </is>
      </c>
      <c r="B6495" t="inlineStr">
        <is>
          <t>F262264</t>
        </is>
      </c>
      <c r="C6495" t="inlineStr">
        <is>
          <t>C10120</t>
        </is>
      </c>
      <c r="D6495" t="inlineStr">
        <is>
          <t>SKU-10253</t>
        </is>
      </c>
      <c r="E6495" t="inlineStr">
        <is>
          <t>AM02</t>
        </is>
      </c>
      <c r="F6495" s="5" t="n">
        <v>63.06</v>
      </c>
      <c r="G6495">
        <f>IF(LEFT(B6495,1)="C","Credit","Factuur")</f>
        <v/>
      </c>
      <c r="H6495">
        <f>IF(AND(B6495=B6494,D6495=D6494,A6495=A6494,F6495=F6494),1,0)</f>
        <v/>
      </c>
      <c r="I6495">
        <f>IF(C6495="C99999",1,0)</f>
        <v/>
      </c>
      <c r="J6495" s="5">
        <f>IF(OR(H6495=1,I6495=1),0,IF(G6495="Credit",-F6495,F6495))</f>
        <v/>
      </c>
    </row>
    <row r="6496">
      <c r="A6496" t="inlineStr">
        <is>
          <t>2026-09-03</t>
        </is>
      </c>
      <c r="B6496" t="inlineStr">
        <is>
          <t>F262264</t>
        </is>
      </c>
      <c r="C6496" t="inlineStr">
        <is>
          <t>C10120</t>
        </is>
      </c>
      <c r="D6496" t="inlineStr">
        <is>
          <t>SKU-10298</t>
        </is>
      </c>
      <c r="E6496" t="inlineStr">
        <is>
          <t>AM02</t>
        </is>
      </c>
      <c r="F6496" s="5" t="n">
        <v>64</v>
      </c>
      <c r="G6496">
        <f>IF(LEFT(B6496,1)="C","Credit","Factuur")</f>
        <v/>
      </c>
      <c r="H6496">
        <f>IF(AND(B6496=B6495,D6496=D6495,A6496=A6495,F6496=F6495),1,0)</f>
        <v/>
      </c>
      <c r="I6496">
        <f>IF(C6496="C99999",1,0)</f>
        <v/>
      </c>
      <c r="J6496" s="5">
        <f>IF(OR(H6496=1,I6496=1),0,IF(G6496="Credit",-F6496,F6496))</f>
        <v/>
      </c>
    </row>
    <row r="6497">
      <c r="A6497" t="inlineStr">
        <is>
          <t>2026-09-03</t>
        </is>
      </c>
      <c r="B6497" t="inlineStr">
        <is>
          <t>F262264</t>
        </is>
      </c>
      <c r="C6497" t="inlineStr">
        <is>
          <t>C10120</t>
        </is>
      </c>
      <c r="D6497" t="inlineStr">
        <is>
          <t>SKU-10301</t>
        </is>
      </c>
      <c r="E6497" t="inlineStr">
        <is>
          <t>AM02</t>
        </is>
      </c>
      <c r="F6497" s="5" t="n">
        <v>54.91</v>
      </c>
      <c r="G6497">
        <f>IF(LEFT(B6497,1)="C","Credit","Factuur")</f>
        <v/>
      </c>
      <c r="H6497">
        <f>IF(AND(B6497=B6496,D6497=D6496,A6497=A6496,F6497=F6496),1,0)</f>
        <v/>
      </c>
      <c r="I6497">
        <f>IF(C6497="C99999",1,0)</f>
        <v/>
      </c>
      <c r="J6497" s="5">
        <f>IF(OR(H6497=1,I6497=1),0,IF(G6497="Credit",-F6497,F6497))</f>
        <v/>
      </c>
    </row>
    <row r="6498">
      <c r="A6498" t="inlineStr">
        <is>
          <t>2026-09-03</t>
        </is>
      </c>
      <c r="B6498" t="inlineStr">
        <is>
          <t>F262264</t>
        </is>
      </c>
      <c r="C6498" t="inlineStr">
        <is>
          <t>C10120</t>
        </is>
      </c>
      <c r="D6498" t="inlineStr">
        <is>
          <t>SKU-10322</t>
        </is>
      </c>
      <c r="E6498" t="inlineStr">
        <is>
          <t>AM02</t>
        </is>
      </c>
      <c r="F6498" s="5" t="n">
        <v>54.22</v>
      </c>
      <c r="G6498">
        <f>IF(LEFT(B6498,1)="C","Credit","Factuur")</f>
        <v/>
      </c>
      <c r="H6498">
        <f>IF(AND(B6498=B6497,D6498=D6497,A6498=A6497,F6498=F6497),1,0)</f>
        <v/>
      </c>
      <c r="I6498">
        <f>IF(C6498="C99999",1,0)</f>
        <v/>
      </c>
      <c r="J6498" s="5">
        <f>IF(OR(H6498=1,I6498=1),0,IF(G6498="Credit",-F6498,F6498))</f>
        <v/>
      </c>
    </row>
    <row r="6499">
      <c r="A6499" t="inlineStr">
        <is>
          <t>2026-09-03</t>
        </is>
      </c>
      <c r="B6499" t="inlineStr">
        <is>
          <t>F262453</t>
        </is>
      </c>
      <c r="C6499" t="inlineStr">
        <is>
          <t>C10130</t>
        </is>
      </c>
      <c r="D6499" t="inlineStr">
        <is>
          <t>SKU-10108</t>
        </is>
      </c>
      <c r="E6499" t="inlineStr">
        <is>
          <t>AM01</t>
        </is>
      </c>
      <c r="F6499" s="5" t="n">
        <v>157.98</v>
      </c>
      <c r="G6499">
        <f>IF(LEFT(B6499,1)="C","Credit","Factuur")</f>
        <v/>
      </c>
      <c r="H6499">
        <f>IF(AND(B6499=B6498,D6499=D6498,A6499=A6498,F6499=F6498),1,0)</f>
        <v/>
      </c>
      <c r="I6499">
        <f>IF(C6499="C99999",1,0)</f>
        <v/>
      </c>
      <c r="J6499" s="5">
        <f>IF(OR(H6499=1,I6499=1),0,IF(G6499="Credit",-F6499,F6499))</f>
        <v/>
      </c>
    </row>
    <row r="6500">
      <c r="A6500" t="inlineStr">
        <is>
          <t>2026-09-03</t>
        </is>
      </c>
      <c r="B6500" t="inlineStr">
        <is>
          <t>F262453</t>
        </is>
      </c>
      <c r="C6500" t="inlineStr">
        <is>
          <t>C10130</t>
        </is>
      </c>
      <c r="D6500" t="inlineStr">
        <is>
          <t>SKU-10217</t>
        </is>
      </c>
      <c r="E6500" t="inlineStr">
        <is>
          <t>AM01</t>
        </is>
      </c>
      <c r="F6500" s="5" t="n">
        <v>180.18</v>
      </c>
      <c r="G6500">
        <f>IF(LEFT(B6500,1)="C","Credit","Factuur")</f>
        <v/>
      </c>
      <c r="H6500">
        <f>IF(AND(B6500=B6499,D6500=D6499,A6500=A6499,F6500=F6499),1,0)</f>
        <v/>
      </c>
      <c r="I6500">
        <f>IF(C6500="C99999",1,0)</f>
        <v/>
      </c>
      <c r="J6500" s="5">
        <f>IF(OR(H6500=1,I6500=1),0,IF(G6500="Credit",-F6500,F6500))</f>
        <v/>
      </c>
    </row>
    <row r="6501">
      <c r="A6501" t="inlineStr">
        <is>
          <t>2026-09-03</t>
        </is>
      </c>
      <c r="B6501" t="inlineStr">
        <is>
          <t>F262453</t>
        </is>
      </c>
      <c r="C6501" t="inlineStr">
        <is>
          <t>C10130</t>
        </is>
      </c>
      <c r="D6501" t="inlineStr">
        <is>
          <t>SKU-10285</t>
        </is>
      </c>
      <c r="E6501" t="inlineStr">
        <is>
          <t>AM01</t>
        </is>
      </c>
      <c r="F6501" s="5" t="n">
        <v>181.83</v>
      </c>
      <c r="G6501">
        <f>IF(LEFT(B6501,1)="C","Credit","Factuur")</f>
        <v/>
      </c>
      <c r="H6501">
        <f>IF(AND(B6501=B6500,D6501=D6500,A6501=A6500,F6501=F6500),1,0)</f>
        <v/>
      </c>
      <c r="I6501">
        <f>IF(C6501="C99999",1,0)</f>
        <v/>
      </c>
      <c r="J6501" s="5">
        <f>IF(OR(H6501=1,I6501=1),0,IF(G6501="Credit",-F6501,F6501))</f>
        <v/>
      </c>
    </row>
    <row r="6502">
      <c r="A6502" t="inlineStr">
        <is>
          <t>2026-09-03</t>
        </is>
      </c>
      <c r="B6502" t="inlineStr">
        <is>
          <t>F262919</t>
        </is>
      </c>
      <c r="C6502" t="inlineStr">
        <is>
          <t>C10157</t>
        </is>
      </c>
      <c r="D6502" t="inlineStr">
        <is>
          <t>SKU-10047</t>
        </is>
      </c>
      <c r="E6502" t="inlineStr">
        <is>
          <t>AM07</t>
        </is>
      </c>
      <c r="F6502" s="5" t="n">
        <v>137.13</v>
      </c>
      <c r="G6502">
        <f>IF(LEFT(B6502,1)="C","Credit","Factuur")</f>
        <v/>
      </c>
      <c r="H6502">
        <f>IF(AND(B6502=B6501,D6502=D6501,A6502=A6501,F6502=F6501),1,0)</f>
        <v/>
      </c>
      <c r="I6502">
        <f>IF(C6502="C99999",1,0)</f>
        <v/>
      </c>
      <c r="J6502" s="5">
        <f>IF(OR(H6502=1,I6502=1),0,IF(G6502="Credit",-F6502,F6502))</f>
        <v/>
      </c>
    </row>
    <row r="6503">
      <c r="A6503" t="inlineStr">
        <is>
          <t>2026-09-03</t>
        </is>
      </c>
      <c r="B6503" t="inlineStr">
        <is>
          <t>F262919</t>
        </is>
      </c>
      <c r="C6503" t="inlineStr">
        <is>
          <t>C10157</t>
        </is>
      </c>
      <c r="D6503" t="inlineStr">
        <is>
          <t>SKU-10074</t>
        </is>
      </c>
      <c r="E6503" t="inlineStr">
        <is>
          <t>AM07</t>
        </is>
      </c>
      <c r="F6503" s="5" t="n">
        <v>151.59</v>
      </c>
      <c r="G6503">
        <f>IF(LEFT(B6503,1)="C","Credit","Factuur")</f>
        <v/>
      </c>
      <c r="H6503">
        <f>IF(AND(B6503=B6502,D6503=D6502,A6503=A6502,F6503=F6502),1,0)</f>
        <v/>
      </c>
      <c r="I6503">
        <f>IF(C6503="C99999",1,0)</f>
        <v/>
      </c>
      <c r="J6503" s="5">
        <f>IF(OR(H6503=1,I6503=1),0,IF(G6503="Credit",-F6503,F6503))</f>
        <v/>
      </c>
    </row>
    <row r="6504">
      <c r="A6504" t="inlineStr">
        <is>
          <t>2026-09-03</t>
        </is>
      </c>
      <c r="B6504" t="inlineStr">
        <is>
          <t>F262919</t>
        </is>
      </c>
      <c r="C6504" t="inlineStr">
        <is>
          <t>C10157</t>
        </is>
      </c>
      <c r="D6504" t="inlineStr">
        <is>
          <t>SKU-10158</t>
        </is>
      </c>
      <c r="E6504" t="inlineStr">
        <is>
          <t>AM07</t>
        </is>
      </c>
      <c r="F6504" s="5" t="n">
        <v>135.75</v>
      </c>
      <c r="G6504">
        <f>IF(LEFT(B6504,1)="C","Credit","Factuur")</f>
        <v/>
      </c>
      <c r="H6504">
        <f>IF(AND(B6504=B6503,D6504=D6503,A6504=A6503,F6504=F6503),1,0)</f>
        <v/>
      </c>
      <c r="I6504">
        <f>IF(C6504="C99999",1,0)</f>
        <v/>
      </c>
      <c r="J6504" s="5">
        <f>IF(OR(H6504=1,I6504=1),0,IF(G6504="Credit",-F6504,F6504))</f>
        <v/>
      </c>
    </row>
    <row r="6505">
      <c r="A6505" t="inlineStr">
        <is>
          <t>2026-09-03</t>
        </is>
      </c>
      <c r="B6505" t="inlineStr">
        <is>
          <t>F263275</t>
        </is>
      </c>
      <c r="C6505" t="inlineStr">
        <is>
          <t>C10174</t>
        </is>
      </c>
      <c r="D6505" t="inlineStr">
        <is>
          <t>SKU-10083</t>
        </is>
      </c>
      <c r="E6505" t="inlineStr">
        <is>
          <t>AM11</t>
        </is>
      </c>
      <c r="F6505" s="5" t="n">
        <v>344.22</v>
      </c>
      <c r="G6505">
        <f>IF(LEFT(B6505,1)="C","Credit","Factuur")</f>
        <v/>
      </c>
      <c r="H6505">
        <f>IF(AND(B6505=B6504,D6505=D6504,A6505=A6504,F6505=F6504),1,0)</f>
        <v/>
      </c>
      <c r="I6505">
        <f>IF(C6505="C99999",1,0)</f>
        <v/>
      </c>
      <c r="J6505" s="5">
        <f>IF(OR(H6505=1,I6505=1),0,IF(G6505="Credit",-F6505,F6505))</f>
        <v/>
      </c>
    </row>
    <row r="6506">
      <c r="A6506" t="inlineStr">
        <is>
          <t>2026-09-03</t>
        </is>
      </c>
      <c r="B6506" t="inlineStr">
        <is>
          <t>F263275</t>
        </is>
      </c>
      <c r="C6506" t="inlineStr">
        <is>
          <t>C10174</t>
        </is>
      </c>
      <c r="D6506" t="inlineStr">
        <is>
          <t>SKU-10119</t>
        </is>
      </c>
      <c r="E6506" t="inlineStr">
        <is>
          <t>AM11</t>
        </is>
      </c>
      <c r="F6506" s="5" t="n">
        <v>325.26</v>
      </c>
      <c r="G6506">
        <f>IF(LEFT(B6506,1)="C","Credit","Factuur")</f>
        <v/>
      </c>
      <c r="H6506">
        <f>IF(AND(B6506=B6505,D6506=D6505,A6506=A6505,F6506=F6505),1,0)</f>
        <v/>
      </c>
      <c r="I6506">
        <f>IF(C6506="C99999",1,0)</f>
        <v/>
      </c>
      <c r="J6506" s="5">
        <f>IF(OR(H6506=1,I6506=1),0,IF(G6506="Credit",-F6506,F6506))</f>
        <v/>
      </c>
    </row>
    <row r="6507">
      <c r="A6507" t="inlineStr">
        <is>
          <t>2026-09-03</t>
        </is>
      </c>
      <c r="B6507" t="inlineStr">
        <is>
          <t>F263275</t>
        </is>
      </c>
      <c r="C6507" t="inlineStr">
        <is>
          <t>C10174</t>
        </is>
      </c>
      <c r="D6507" t="inlineStr">
        <is>
          <t>SKU-10288</t>
        </is>
      </c>
      <c r="E6507" t="inlineStr">
        <is>
          <t>AM11</t>
        </is>
      </c>
      <c r="F6507" s="5" t="n">
        <v>353.87</v>
      </c>
      <c r="G6507">
        <f>IF(LEFT(B6507,1)="C","Credit","Factuur")</f>
        <v/>
      </c>
      <c r="H6507">
        <f>IF(AND(B6507=B6506,D6507=D6506,A6507=A6506,F6507=F6506),1,0)</f>
        <v/>
      </c>
      <c r="I6507">
        <f>IF(C6507="C99999",1,0)</f>
        <v/>
      </c>
      <c r="J6507" s="5">
        <f>IF(OR(H6507=1,I6507=1),0,IF(G6507="Credit",-F6507,F6507))</f>
        <v/>
      </c>
    </row>
    <row r="6508">
      <c r="A6508" t="inlineStr">
        <is>
          <t>2026-09-03</t>
        </is>
      </c>
      <c r="B6508" t="inlineStr">
        <is>
          <t>F264086</t>
        </is>
      </c>
      <c r="C6508" t="inlineStr">
        <is>
          <t>C10217</t>
        </is>
      </c>
      <c r="D6508" t="inlineStr">
        <is>
          <t>SKU-10026</t>
        </is>
      </c>
      <c r="E6508" t="inlineStr">
        <is>
          <t>AM11</t>
        </is>
      </c>
      <c r="F6508" s="5" t="n">
        <v>123.54</v>
      </c>
      <c r="G6508">
        <f>IF(LEFT(B6508,1)="C","Credit","Factuur")</f>
        <v/>
      </c>
      <c r="H6508">
        <f>IF(AND(B6508=B6507,D6508=D6507,A6508=A6507,F6508=F6507),1,0)</f>
        <v/>
      </c>
      <c r="I6508">
        <f>IF(C6508="C99999",1,0)</f>
        <v/>
      </c>
      <c r="J6508" s="5">
        <f>IF(OR(H6508=1,I6508=1),0,IF(G6508="Credit",-F6508,F6508))</f>
        <v/>
      </c>
    </row>
    <row r="6509">
      <c r="A6509" t="inlineStr">
        <is>
          <t>2026-09-03</t>
        </is>
      </c>
      <c r="B6509" t="inlineStr">
        <is>
          <t>F264086</t>
        </is>
      </c>
      <c r="C6509" t="inlineStr">
        <is>
          <t>C10217</t>
        </is>
      </c>
      <c r="D6509" t="inlineStr">
        <is>
          <t>SKU-10038</t>
        </is>
      </c>
      <c r="E6509" t="inlineStr">
        <is>
          <t>AM11</t>
        </is>
      </c>
      <c r="F6509" s="5" t="n">
        <v>104.76</v>
      </c>
      <c r="G6509">
        <f>IF(LEFT(B6509,1)="C","Credit","Factuur")</f>
        <v/>
      </c>
      <c r="H6509">
        <f>IF(AND(B6509=B6508,D6509=D6508,A6509=A6508,F6509=F6508),1,0)</f>
        <v/>
      </c>
      <c r="I6509">
        <f>IF(C6509="C99999",1,0)</f>
        <v/>
      </c>
      <c r="J6509" s="5">
        <f>IF(OR(H6509=1,I6509=1),0,IF(G6509="Credit",-F6509,F6509))</f>
        <v/>
      </c>
    </row>
    <row r="6510">
      <c r="A6510" t="inlineStr">
        <is>
          <t>2026-09-03</t>
        </is>
      </c>
      <c r="B6510" t="inlineStr">
        <is>
          <t>F264086</t>
        </is>
      </c>
      <c r="C6510" t="inlineStr">
        <is>
          <t>C10217</t>
        </is>
      </c>
      <c r="D6510" t="inlineStr">
        <is>
          <t>SKU-10142</t>
        </is>
      </c>
      <c r="E6510" t="inlineStr">
        <is>
          <t>AM11</t>
        </is>
      </c>
      <c r="F6510" s="5" t="n">
        <v>72.45999999999999</v>
      </c>
      <c r="G6510">
        <f>IF(LEFT(B6510,1)="C","Credit","Factuur")</f>
        <v/>
      </c>
      <c r="H6510">
        <f>IF(AND(B6510=B6509,D6510=D6509,A6510=A6509,F6510=F6509),1,0)</f>
        <v/>
      </c>
      <c r="I6510">
        <f>IF(C6510="C99999",1,0)</f>
        <v/>
      </c>
      <c r="J6510" s="5">
        <f>IF(OR(H6510=1,I6510=1),0,IF(G6510="Credit",-F6510,F6510))</f>
        <v/>
      </c>
    </row>
    <row r="6511">
      <c r="A6511" t="inlineStr">
        <is>
          <t>2026-09-03</t>
        </is>
      </c>
      <c r="B6511" t="inlineStr">
        <is>
          <t>F264086</t>
        </is>
      </c>
      <c r="C6511" t="inlineStr">
        <is>
          <t>C10217</t>
        </is>
      </c>
      <c r="D6511" t="inlineStr">
        <is>
          <t>SKU-10153</t>
        </is>
      </c>
      <c r="E6511" t="inlineStr">
        <is>
          <t>AM11</t>
        </is>
      </c>
      <c r="F6511" s="5" t="n">
        <v>112.4</v>
      </c>
      <c r="G6511">
        <f>IF(LEFT(B6511,1)="C","Credit","Factuur")</f>
        <v/>
      </c>
      <c r="H6511">
        <f>IF(AND(B6511=B6510,D6511=D6510,A6511=A6510,F6511=F6510),1,0)</f>
        <v/>
      </c>
      <c r="I6511">
        <f>IF(C6511="C99999",1,0)</f>
        <v/>
      </c>
      <c r="J6511" s="5">
        <f>IF(OR(H6511=1,I6511=1),0,IF(G6511="Credit",-F6511,F6511))</f>
        <v/>
      </c>
    </row>
    <row r="6512">
      <c r="A6512" t="inlineStr">
        <is>
          <t>2026-09-03</t>
        </is>
      </c>
      <c r="B6512" t="inlineStr">
        <is>
          <t>F264086</t>
        </is>
      </c>
      <c r="C6512" t="inlineStr">
        <is>
          <t>C10217</t>
        </is>
      </c>
      <c r="D6512" t="inlineStr">
        <is>
          <t>SKU-10196</t>
        </is>
      </c>
      <c r="E6512" t="inlineStr">
        <is>
          <t>AM11</t>
        </is>
      </c>
      <c r="F6512" s="5" t="n">
        <v>109.3</v>
      </c>
      <c r="G6512">
        <f>IF(LEFT(B6512,1)="C","Credit","Factuur")</f>
        <v/>
      </c>
      <c r="H6512">
        <f>IF(AND(B6512=B6511,D6512=D6511,A6512=A6511,F6512=F6511),1,0)</f>
        <v/>
      </c>
      <c r="I6512">
        <f>IF(C6512="C99999",1,0)</f>
        <v/>
      </c>
      <c r="J6512" s="5">
        <f>IF(OR(H6512=1,I6512=1),0,IF(G6512="Credit",-F6512,F6512))</f>
        <v/>
      </c>
    </row>
    <row r="6513">
      <c r="A6513" t="inlineStr">
        <is>
          <t>2026-09-03</t>
        </is>
      </c>
      <c r="B6513" t="inlineStr">
        <is>
          <t>F264086</t>
        </is>
      </c>
      <c r="C6513" t="inlineStr">
        <is>
          <t>C10217</t>
        </is>
      </c>
      <c r="D6513" t="inlineStr">
        <is>
          <t>SKU-10344</t>
        </is>
      </c>
      <c r="E6513" t="inlineStr">
        <is>
          <t>AM11</t>
        </is>
      </c>
      <c r="F6513" s="5" t="n">
        <v>112</v>
      </c>
      <c r="G6513">
        <f>IF(LEFT(B6513,1)="C","Credit","Factuur")</f>
        <v/>
      </c>
      <c r="H6513">
        <f>IF(AND(B6513=B6512,D6513=D6512,A6513=A6512,F6513=F6512),1,0)</f>
        <v/>
      </c>
      <c r="I6513">
        <f>IF(C6513="C99999",1,0)</f>
        <v/>
      </c>
      <c r="J6513" s="5">
        <f>IF(OR(H6513=1,I6513=1),0,IF(G6513="Credit",-F6513,F6513))</f>
        <v/>
      </c>
    </row>
    <row r="6514">
      <c r="A6514" t="inlineStr">
        <is>
          <t>2026-09-03</t>
        </is>
      </c>
      <c r="B6514" t="inlineStr">
        <is>
          <t>F264322</t>
        </is>
      </c>
      <c r="C6514" t="inlineStr">
        <is>
          <t>C10226</t>
        </is>
      </c>
      <c r="D6514" t="inlineStr">
        <is>
          <t>SKU-10035</t>
        </is>
      </c>
      <c r="E6514" t="inlineStr">
        <is>
          <t>AM03</t>
        </is>
      </c>
      <c r="F6514" s="5" t="n">
        <v>174.09</v>
      </c>
      <c r="G6514">
        <f>IF(LEFT(B6514,1)="C","Credit","Factuur")</f>
        <v/>
      </c>
      <c r="H6514">
        <f>IF(AND(B6514=B6513,D6514=D6513,A6514=A6513,F6514=F6513),1,0)</f>
        <v/>
      </c>
      <c r="I6514">
        <f>IF(C6514="C99999",1,0)</f>
        <v/>
      </c>
      <c r="J6514" s="5">
        <f>IF(OR(H6514=1,I6514=1),0,IF(G6514="Credit",-F6514,F6514))</f>
        <v/>
      </c>
    </row>
    <row r="6515">
      <c r="A6515" t="inlineStr">
        <is>
          <t>2026-09-03</t>
        </is>
      </c>
      <c r="B6515" t="inlineStr">
        <is>
          <t>F264322</t>
        </is>
      </c>
      <c r="C6515" t="inlineStr">
        <is>
          <t>C10226</t>
        </is>
      </c>
      <c r="D6515" t="inlineStr">
        <is>
          <t>SKU-10181</t>
        </is>
      </c>
      <c r="E6515" t="inlineStr">
        <is>
          <t>AM03</t>
        </is>
      </c>
      <c r="F6515" s="5" t="n">
        <v>218.65</v>
      </c>
      <c r="G6515">
        <f>IF(LEFT(B6515,1)="C","Credit","Factuur")</f>
        <v/>
      </c>
      <c r="H6515">
        <f>IF(AND(B6515=B6514,D6515=D6514,A6515=A6514,F6515=F6514),1,0)</f>
        <v/>
      </c>
      <c r="I6515">
        <f>IF(C6515="C99999",1,0)</f>
        <v/>
      </c>
      <c r="J6515" s="5">
        <f>IF(OR(H6515=1,I6515=1),0,IF(G6515="Credit",-F6515,F6515))</f>
        <v/>
      </c>
    </row>
    <row r="6516">
      <c r="A6516" t="inlineStr">
        <is>
          <t>2026-09-03</t>
        </is>
      </c>
      <c r="B6516" t="inlineStr">
        <is>
          <t>F264322</t>
        </is>
      </c>
      <c r="C6516" t="inlineStr">
        <is>
          <t>C10226</t>
        </is>
      </c>
      <c r="D6516" t="inlineStr">
        <is>
          <t>SKU-10275</t>
        </is>
      </c>
      <c r="E6516" t="inlineStr">
        <is>
          <t>AM03</t>
        </is>
      </c>
      <c r="F6516" s="5" t="n">
        <v>194.56</v>
      </c>
      <c r="G6516">
        <f>IF(LEFT(B6516,1)="C","Credit","Factuur")</f>
        <v/>
      </c>
      <c r="H6516">
        <f>IF(AND(B6516=B6515,D6516=D6515,A6516=A6515,F6516=F6515),1,0)</f>
        <v/>
      </c>
      <c r="I6516">
        <f>IF(C6516="C99999",1,0)</f>
        <v/>
      </c>
      <c r="J6516" s="5">
        <f>IF(OR(H6516=1,I6516=1),0,IF(G6516="Credit",-F6516,F6516))</f>
        <v/>
      </c>
    </row>
    <row r="6517">
      <c r="A6517" t="inlineStr">
        <is>
          <t>2026-09-03</t>
        </is>
      </c>
      <c r="B6517" t="inlineStr">
        <is>
          <t>F264322</t>
        </is>
      </c>
      <c r="C6517" t="inlineStr">
        <is>
          <t>C10226</t>
        </is>
      </c>
      <c r="D6517" t="inlineStr">
        <is>
          <t>SKU-10309</t>
        </is>
      </c>
      <c r="E6517" t="inlineStr">
        <is>
          <t>AM03</t>
        </is>
      </c>
      <c r="F6517" s="5" t="n">
        <v>184.84</v>
      </c>
      <c r="G6517">
        <f>IF(LEFT(B6517,1)="C","Credit","Factuur")</f>
        <v/>
      </c>
      <c r="H6517">
        <f>IF(AND(B6517=B6516,D6517=D6516,A6517=A6516,F6517=F6516),1,0)</f>
        <v/>
      </c>
      <c r="I6517">
        <f>IF(C6517="C99999",1,0)</f>
        <v/>
      </c>
      <c r="J6517" s="5">
        <f>IF(OR(H6517=1,I6517=1),0,IF(G6517="Credit",-F6517,F6517))</f>
        <v/>
      </c>
    </row>
    <row r="6518">
      <c r="A6518" t="inlineStr">
        <is>
          <t>2026-09-03</t>
        </is>
      </c>
      <c r="B6518" t="inlineStr">
        <is>
          <t>F264577</t>
        </is>
      </c>
      <c r="C6518" t="inlineStr">
        <is>
          <t>C10239</t>
        </is>
      </c>
      <c r="D6518" t="inlineStr">
        <is>
          <t>SKU-10061</t>
        </is>
      </c>
      <c r="E6518" t="inlineStr">
        <is>
          <t>AM02</t>
        </is>
      </c>
      <c r="F6518" s="5" t="n">
        <v>71.81999999999999</v>
      </c>
      <c r="G6518">
        <f>IF(LEFT(B6518,1)="C","Credit","Factuur")</f>
        <v/>
      </c>
      <c r="H6518">
        <f>IF(AND(B6518=B6517,D6518=D6517,A6518=A6517,F6518=F6517),1,0)</f>
        <v/>
      </c>
      <c r="I6518">
        <f>IF(C6518="C99999",1,0)</f>
        <v/>
      </c>
      <c r="J6518" s="5">
        <f>IF(OR(H6518=1,I6518=1),0,IF(G6518="Credit",-F6518,F6518))</f>
        <v/>
      </c>
    </row>
    <row r="6519">
      <c r="A6519" t="inlineStr">
        <is>
          <t>2026-09-03</t>
        </is>
      </c>
      <c r="B6519" t="inlineStr">
        <is>
          <t>F264577</t>
        </is>
      </c>
      <c r="C6519" t="inlineStr">
        <is>
          <t>C10239</t>
        </is>
      </c>
      <c r="D6519" t="inlineStr">
        <is>
          <t>SKU-10317</t>
        </is>
      </c>
      <c r="E6519" t="inlineStr">
        <is>
          <t>AM02</t>
        </is>
      </c>
      <c r="F6519" s="5" t="n">
        <v>83.13</v>
      </c>
      <c r="G6519">
        <f>IF(LEFT(B6519,1)="C","Credit","Factuur")</f>
        <v/>
      </c>
      <c r="H6519">
        <f>IF(AND(B6519=B6518,D6519=D6518,A6519=A6518,F6519=F6518),1,0)</f>
        <v/>
      </c>
      <c r="I6519">
        <f>IF(C6519="C99999",1,0)</f>
        <v/>
      </c>
      <c r="J6519" s="5">
        <f>IF(OR(H6519=1,I6519=1),0,IF(G6519="Credit",-F6519,F6519))</f>
        <v/>
      </c>
    </row>
    <row r="6520">
      <c r="A6520" t="inlineStr">
        <is>
          <t>2026-09-03</t>
        </is>
      </c>
      <c r="B6520" t="inlineStr">
        <is>
          <t>F264577</t>
        </is>
      </c>
      <c r="C6520" t="inlineStr">
        <is>
          <t>C10239</t>
        </is>
      </c>
      <c r="D6520" t="inlineStr">
        <is>
          <t>SKU-10338</t>
        </is>
      </c>
      <c r="E6520" t="inlineStr">
        <is>
          <t>AM02</t>
        </is>
      </c>
      <c r="F6520" s="5" t="n">
        <v>79.62</v>
      </c>
      <c r="G6520">
        <f>IF(LEFT(B6520,1)="C","Credit","Factuur")</f>
        <v/>
      </c>
      <c r="H6520">
        <f>IF(AND(B6520=B6519,D6520=D6519,A6520=A6519,F6520=F6519),1,0)</f>
        <v/>
      </c>
      <c r="I6520">
        <f>IF(C6520="C99999",1,0)</f>
        <v/>
      </c>
      <c r="J6520" s="5">
        <f>IF(OR(H6520=1,I6520=1),0,IF(G6520="Credit",-F6520,F6520))</f>
        <v/>
      </c>
    </row>
    <row r="6521">
      <c r="A6521" t="inlineStr">
        <is>
          <t>2026-09-03</t>
        </is>
      </c>
      <c r="B6521" t="inlineStr">
        <is>
          <t>F265645</t>
        </is>
      </c>
      <c r="C6521" t="inlineStr">
        <is>
          <t>C10295</t>
        </is>
      </c>
      <c r="D6521" t="inlineStr">
        <is>
          <t>SKU-10307</t>
        </is>
      </c>
      <c r="E6521" t="inlineStr">
        <is>
          <t>AM08</t>
        </is>
      </c>
      <c r="F6521" s="5" t="n">
        <v>643.15</v>
      </c>
      <c r="G6521">
        <f>IF(LEFT(B6521,1)="C","Credit","Factuur")</f>
        <v/>
      </c>
      <c r="H6521">
        <f>IF(AND(B6521=B6520,D6521=D6520,A6521=A6520,F6521=F6520),1,0)</f>
        <v/>
      </c>
      <c r="I6521">
        <f>IF(C6521="C99999",1,0)</f>
        <v/>
      </c>
      <c r="J6521" s="5">
        <f>IF(OR(H6521=1,I6521=1),0,IF(G6521="Credit",-F6521,F6521))</f>
        <v/>
      </c>
    </row>
    <row r="6522">
      <c r="A6522" t="inlineStr">
        <is>
          <t>2026-09-03</t>
        </is>
      </c>
      <c r="B6522" t="inlineStr">
        <is>
          <t>F265645</t>
        </is>
      </c>
      <c r="C6522" t="inlineStr">
        <is>
          <t>C10295</t>
        </is>
      </c>
      <c r="D6522" t="inlineStr">
        <is>
          <t>SKU-10311</t>
        </is>
      </c>
      <c r="E6522" t="inlineStr">
        <is>
          <t>AM08</t>
        </is>
      </c>
      <c r="F6522" s="5" t="n">
        <v>661.95</v>
      </c>
      <c r="G6522">
        <f>IF(LEFT(B6522,1)="C","Credit","Factuur")</f>
        <v/>
      </c>
      <c r="H6522">
        <f>IF(AND(B6522=B6521,D6522=D6521,A6522=A6521,F6522=F6521),1,0)</f>
        <v/>
      </c>
      <c r="I6522">
        <f>IF(C6522="C99999",1,0)</f>
        <v/>
      </c>
      <c r="J6522" s="5">
        <f>IF(OR(H6522=1,I6522=1),0,IF(G6522="Credit",-F6522,F6522))</f>
        <v/>
      </c>
    </row>
    <row r="6523">
      <c r="A6523" t="inlineStr">
        <is>
          <t>2026-09-03</t>
        </is>
      </c>
      <c r="B6523" t="inlineStr">
        <is>
          <t>F265671</t>
        </is>
      </c>
      <c r="C6523" t="inlineStr">
        <is>
          <t>C10297</t>
        </is>
      </c>
      <c r="D6523" t="inlineStr">
        <is>
          <t>SKU-10060</t>
        </is>
      </c>
      <c r="E6523" t="inlineStr">
        <is>
          <t>AM08</t>
        </is>
      </c>
      <c r="F6523" s="5" t="n">
        <v>3704.4</v>
      </c>
      <c r="G6523">
        <f>IF(LEFT(B6523,1)="C","Credit","Factuur")</f>
        <v/>
      </c>
      <c r="H6523">
        <f>IF(AND(B6523=B6522,D6523=D6522,A6523=A6522,F6523=F6522),1,0)</f>
        <v/>
      </c>
      <c r="I6523">
        <f>IF(C6523="C99999",1,0)</f>
        <v/>
      </c>
      <c r="J6523" s="5">
        <f>IF(OR(H6523=1,I6523=1),0,IF(G6523="Credit",-F6523,F6523))</f>
        <v/>
      </c>
    </row>
    <row r="6524">
      <c r="A6524" t="inlineStr">
        <is>
          <t>2026-09-03</t>
        </is>
      </c>
      <c r="B6524" t="inlineStr">
        <is>
          <t>F266272</t>
        </is>
      </c>
      <c r="C6524" t="inlineStr">
        <is>
          <t>C10329</t>
        </is>
      </c>
      <c r="D6524" t="inlineStr">
        <is>
          <t>SKU-10017</t>
        </is>
      </c>
      <c r="E6524" t="inlineStr">
        <is>
          <t>AM08</t>
        </is>
      </c>
      <c r="F6524" s="5" t="n">
        <v>310.8</v>
      </c>
      <c r="G6524">
        <f>IF(LEFT(B6524,1)="C","Credit","Factuur")</f>
        <v/>
      </c>
      <c r="H6524">
        <f>IF(AND(B6524=B6523,D6524=D6523,A6524=A6523,F6524=F6523),1,0)</f>
        <v/>
      </c>
      <c r="I6524">
        <f>IF(C6524="C99999",1,0)</f>
        <v/>
      </c>
      <c r="J6524" s="5">
        <f>IF(OR(H6524=1,I6524=1),0,IF(G6524="Credit",-F6524,F6524))</f>
        <v/>
      </c>
    </row>
    <row r="6525">
      <c r="A6525" t="inlineStr">
        <is>
          <t>2026-09-03</t>
        </is>
      </c>
      <c r="B6525" t="inlineStr">
        <is>
          <t>F266272</t>
        </is>
      </c>
      <c r="C6525" t="inlineStr">
        <is>
          <t>C10329</t>
        </is>
      </c>
      <c r="D6525" t="inlineStr">
        <is>
          <t>SKU-10091</t>
        </is>
      </c>
      <c r="E6525" t="inlineStr">
        <is>
          <t>AM08</t>
        </is>
      </c>
      <c r="F6525" s="5" t="n">
        <v>352.29</v>
      </c>
      <c r="G6525">
        <f>IF(LEFT(B6525,1)="C","Credit","Factuur")</f>
        <v/>
      </c>
      <c r="H6525">
        <f>IF(AND(B6525=B6524,D6525=D6524,A6525=A6524,F6525=F6524),1,0)</f>
        <v/>
      </c>
      <c r="I6525">
        <f>IF(C6525="C99999",1,0)</f>
        <v/>
      </c>
      <c r="J6525" s="5">
        <f>IF(OR(H6525=1,I6525=1),0,IF(G6525="Credit",-F6525,F6525))</f>
        <v/>
      </c>
    </row>
    <row r="6526">
      <c r="A6526" t="inlineStr">
        <is>
          <t>2026-09-03</t>
        </is>
      </c>
      <c r="B6526" t="inlineStr">
        <is>
          <t>F266272</t>
        </is>
      </c>
      <c r="C6526" t="inlineStr">
        <is>
          <t>C10329</t>
        </is>
      </c>
      <c r="D6526" t="inlineStr">
        <is>
          <t>SKU-10207</t>
        </is>
      </c>
      <c r="E6526" t="inlineStr">
        <is>
          <t>AM08</t>
        </is>
      </c>
      <c r="F6526" s="5" t="n">
        <v>316.8</v>
      </c>
      <c r="G6526">
        <f>IF(LEFT(B6526,1)="C","Credit","Factuur")</f>
        <v/>
      </c>
      <c r="H6526">
        <f>IF(AND(B6526=B6525,D6526=D6525,A6526=A6525,F6526=F6525),1,0)</f>
        <v/>
      </c>
      <c r="I6526">
        <f>IF(C6526="C99999",1,0)</f>
        <v/>
      </c>
      <c r="J6526" s="5">
        <f>IF(OR(H6526=1,I6526=1),0,IF(G6526="Credit",-F6526,F6526))</f>
        <v/>
      </c>
    </row>
    <row r="6527">
      <c r="A6527" t="inlineStr">
        <is>
          <t>2026-09-03</t>
        </is>
      </c>
      <c r="B6527" t="inlineStr">
        <is>
          <t>F266272</t>
        </is>
      </c>
      <c r="C6527" t="inlineStr">
        <is>
          <t>C10329</t>
        </is>
      </c>
      <c r="D6527" t="inlineStr">
        <is>
          <t>SKU-10280</t>
        </is>
      </c>
      <c r="E6527" t="inlineStr">
        <is>
          <t>AM08</t>
        </is>
      </c>
      <c r="F6527" s="5" t="n">
        <v>317.16</v>
      </c>
      <c r="G6527">
        <f>IF(LEFT(B6527,1)="C","Credit","Factuur")</f>
        <v/>
      </c>
      <c r="H6527">
        <f>IF(AND(B6527=B6526,D6527=D6526,A6527=A6526,F6527=F6526),1,0)</f>
        <v/>
      </c>
      <c r="I6527">
        <f>IF(C6527="C99999",1,0)</f>
        <v/>
      </c>
      <c r="J6527" s="5">
        <f>IF(OR(H6527=1,I6527=1),0,IF(G6527="Credit",-F6527,F6527))</f>
        <v/>
      </c>
    </row>
    <row r="6528">
      <c r="A6528" t="inlineStr">
        <is>
          <t>2026-09-03</t>
        </is>
      </c>
      <c r="B6528" t="inlineStr">
        <is>
          <t>F266384</t>
        </is>
      </c>
      <c r="C6528" t="inlineStr">
        <is>
          <t>C10336</t>
        </is>
      </c>
      <c r="D6528" t="inlineStr">
        <is>
          <t>SKU-10026</t>
        </is>
      </c>
      <c r="E6528" t="inlineStr">
        <is>
          <t>AM01</t>
        </is>
      </c>
      <c r="F6528" s="5" t="n">
        <v>288.26</v>
      </c>
      <c r="G6528">
        <f>IF(LEFT(B6528,1)="C","Credit","Factuur")</f>
        <v/>
      </c>
      <c r="H6528">
        <f>IF(AND(B6528=B6527,D6528=D6527,A6528=A6527,F6528=F6527),1,0)</f>
        <v/>
      </c>
      <c r="I6528">
        <f>IF(C6528="C99999",1,0)</f>
        <v/>
      </c>
      <c r="J6528" s="5">
        <f>IF(OR(H6528=1,I6528=1),0,IF(G6528="Credit",-F6528,F6528))</f>
        <v/>
      </c>
    </row>
    <row r="6529">
      <c r="A6529" t="inlineStr">
        <is>
          <t>2026-09-03</t>
        </is>
      </c>
      <c r="B6529" t="inlineStr">
        <is>
          <t>F266384</t>
        </is>
      </c>
      <c r="C6529" t="inlineStr">
        <is>
          <t>C10336</t>
        </is>
      </c>
      <c r="D6529" t="inlineStr">
        <is>
          <t>SKU-10050</t>
        </is>
      </c>
      <c r="E6529" t="inlineStr">
        <is>
          <t>AM01</t>
        </is>
      </c>
      <c r="F6529" s="5" t="n">
        <v>267.15</v>
      </c>
      <c r="G6529">
        <f>IF(LEFT(B6529,1)="C","Credit","Factuur")</f>
        <v/>
      </c>
      <c r="H6529">
        <f>IF(AND(B6529=B6528,D6529=D6528,A6529=A6528,F6529=F6528),1,0)</f>
        <v/>
      </c>
      <c r="I6529">
        <f>IF(C6529="C99999",1,0)</f>
        <v/>
      </c>
      <c r="J6529" s="5">
        <f>IF(OR(H6529=1,I6529=1),0,IF(G6529="Credit",-F6529,F6529))</f>
        <v/>
      </c>
    </row>
    <row r="6530">
      <c r="A6530" t="inlineStr">
        <is>
          <t>2026-09-03</t>
        </is>
      </c>
      <c r="B6530" t="inlineStr">
        <is>
          <t>F266821</t>
        </is>
      </c>
      <c r="C6530" t="inlineStr">
        <is>
          <t>C10360</t>
        </is>
      </c>
      <c r="D6530" t="inlineStr">
        <is>
          <t>SKU-10063</t>
        </is>
      </c>
      <c r="E6530" t="inlineStr">
        <is>
          <t>AM05</t>
        </is>
      </c>
      <c r="F6530" s="5" t="n">
        <v>179.9</v>
      </c>
      <c r="G6530">
        <f>IF(LEFT(B6530,1)="C","Credit","Factuur")</f>
        <v/>
      </c>
      <c r="H6530">
        <f>IF(AND(B6530=B6529,D6530=D6529,A6530=A6529,F6530=F6529),1,0)</f>
        <v/>
      </c>
      <c r="I6530">
        <f>IF(C6530="C99999",1,0)</f>
        <v/>
      </c>
      <c r="J6530" s="5">
        <f>IF(OR(H6530=1,I6530=1),0,IF(G6530="Credit",-F6530,F6530))</f>
        <v/>
      </c>
    </row>
    <row r="6531">
      <c r="A6531" t="inlineStr">
        <is>
          <t>2026-09-03</t>
        </is>
      </c>
      <c r="B6531" t="inlineStr">
        <is>
          <t>F266821</t>
        </is>
      </c>
      <c r="C6531" t="inlineStr">
        <is>
          <t>C10360</t>
        </is>
      </c>
      <c r="D6531" t="inlineStr">
        <is>
          <t>SKU-10075</t>
        </is>
      </c>
      <c r="E6531" t="inlineStr">
        <is>
          <t>AM05</t>
        </is>
      </c>
      <c r="F6531" s="5" t="n">
        <v>155.68</v>
      </c>
      <c r="G6531">
        <f>IF(LEFT(B6531,1)="C","Credit","Factuur")</f>
        <v/>
      </c>
      <c r="H6531">
        <f>IF(AND(B6531=B6530,D6531=D6530,A6531=A6530,F6531=F6530),1,0)</f>
        <v/>
      </c>
      <c r="I6531">
        <f>IF(C6531="C99999",1,0)</f>
        <v/>
      </c>
      <c r="J6531" s="5">
        <f>IF(OR(H6531=1,I6531=1),0,IF(G6531="Credit",-F6531,F6531))</f>
        <v/>
      </c>
    </row>
    <row r="6532">
      <c r="A6532" t="inlineStr">
        <is>
          <t>2026-09-03</t>
        </is>
      </c>
      <c r="B6532" t="inlineStr">
        <is>
          <t>F266821</t>
        </is>
      </c>
      <c r="C6532" t="inlineStr">
        <is>
          <t>C10360</t>
        </is>
      </c>
      <c r="D6532" t="inlineStr">
        <is>
          <t>SKU-10248</t>
        </is>
      </c>
      <c r="E6532" t="inlineStr">
        <is>
          <t>AM05</t>
        </is>
      </c>
      <c r="F6532" s="5" t="n">
        <v>205.4</v>
      </c>
      <c r="G6532">
        <f>IF(LEFT(B6532,1)="C","Credit","Factuur")</f>
        <v/>
      </c>
      <c r="H6532">
        <f>IF(AND(B6532=B6531,D6532=D6531,A6532=A6531,F6532=F6531),1,0)</f>
        <v/>
      </c>
      <c r="I6532">
        <f>IF(C6532="C99999",1,0)</f>
        <v/>
      </c>
      <c r="J6532" s="5">
        <f>IF(OR(H6532=1,I6532=1),0,IF(G6532="Credit",-F6532,F6532))</f>
        <v/>
      </c>
    </row>
    <row r="6533">
      <c r="A6533" t="inlineStr">
        <is>
          <t>2026-09-03</t>
        </is>
      </c>
      <c r="B6533" t="inlineStr">
        <is>
          <t>F267489</t>
        </is>
      </c>
      <c r="C6533" t="inlineStr">
        <is>
          <t>C10395</t>
        </is>
      </c>
      <c r="D6533" t="inlineStr">
        <is>
          <t>SKU-10112</t>
        </is>
      </c>
      <c r="E6533" t="inlineStr">
        <is>
          <t>AM07</t>
        </is>
      </c>
      <c r="F6533" s="5" t="n">
        <v>841.3200000000001</v>
      </c>
      <c r="G6533">
        <f>IF(LEFT(B6533,1)="C","Credit","Factuur")</f>
        <v/>
      </c>
      <c r="H6533">
        <f>IF(AND(B6533=B6532,D6533=D6532,A6533=A6532,F6533=F6532),1,0)</f>
        <v/>
      </c>
      <c r="I6533">
        <f>IF(C6533="C99999",1,0)</f>
        <v/>
      </c>
      <c r="J6533" s="5">
        <f>IF(OR(H6533=1,I6533=1),0,IF(G6533="Credit",-F6533,F6533))</f>
        <v/>
      </c>
    </row>
    <row r="6534">
      <c r="A6534" t="inlineStr">
        <is>
          <t>2026-09-03</t>
        </is>
      </c>
      <c r="B6534" t="inlineStr">
        <is>
          <t>F267489</t>
        </is>
      </c>
      <c r="C6534" t="inlineStr">
        <is>
          <t>C10395</t>
        </is>
      </c>
      <c r="D6534" t="inlineStr">
        <is>
          <t>SKU-10126</t>
        </is>
      </c>
      <c r="E6534" t="inlineStr">
        <is>
          <t>AM07</t>
        </is>
      </c>
      <c r="F6534" s="5" t="n">
        <v>786.9</v>
      </c>
      <c r="G6534">
        <f>IF(LEFT(B6534,1)="C","Credit","Factuur")</f>
        <v/>
      </c>
      <c r="H6534">
        <f>IF(AND(B6534=B6533,D6534=D6533,A6534=A6533,F6534=F6533),1,0)</f>
        <v/>
      </c>
      <c r="I6534">
        <f>IF(C6534="C99999",1,0)</f>
        <v/>
      </c>
      <c r="J6534" s="5">
        <f>IF(OR(H6534=1,I6534=1),0,IF(G6534="Credit",-F6534,F6534))</f>
        <v/>
      </c>
    </row>
    <row r="6535">
      <c r="A6535" t="inlineStr">
        <is>
          <t>2026-09-03</t>
        </is>
      </c>
      <c r="B6535" t="inlineStr">
        <is>
          <t>F267489</t>
        </is>
      </c>
      <c r="C6535" t="inlineStr">
        <is>
          <t>C10395</t>
        </is>
      </c>
      <c r="D6535" t="inlineStr">
        <is>
          <t>SKU-10302</t>
        </is>
      </c>
      <c r="E6535" t="inlineStr">
        <is>
          <t>AM07</t>
        </is>
      </c>
      <c r="F6535" s="5" t="n">
        <v>750.86</v>
      </c>
      <c r="G6535">
        <f>IF(LEFT(B6535,1)="C","Credit","Factuur")</f>
        <v/>
      </c>
      <c r="H6535">
        <f>IF(AND(B6535=B6534,D6535=D6534,A6535=A6534,F6535=F6534),1,0)</f>
        <v/>
      </c>
      <c r="I6535">
        <f>IF(C6535="C99999",1,0)</f>
        <v/>
      </c>
      <c r="J6535" s="5">
        <f>IF(OR(H6535=1,I6535=1),0,IF(G6535="Credit",-F6535,F6535))</f>
        <v/>
      </c>
    </row>
    <row r="6536">
      <c r="A6536" t="inlineStr">
        <is>
          <t>2026-09-03</t>
        </is>
      </c>
      <c r="B6536" t="inlineStr">
        <is>
          <t>F267489</t>
        </is>
      </c>
      <c r="C6536" t="inlineStr">
        <is>
          <t>C10395</t>
        </is>
      </c>
      <c r="D6536" t="inlineStr">
        <is>
          <t>SKU-10344</t>
        </is>
      </c>
      <c r="E6536" t="inlineStr">
        <is>
          <t>AM07</t>
        </is>
      </c>
      <c r="F6536" s="5" t="n">
        <v>771.4</v>
      </c>
      <c r="G6536">
        <f>IF(LEFT(B6536,1)="C","Credit","Factuur")</f>
        <v/>
      </c>
      <c r="H6536">
        <f>IF(AND(B6536=B6535,D6536=D6535,A6536=A6535,F6536=F6535),1,0)</f>
        <v/>
      </c>
      <c r="I6536">
        <f>IF(C6536="C99999",1,0)</f>
        <v/>
      </c>
      <c r="J6536" s="5">
        <f>IF(OR(H6536=1,I6536=1),0,IF(G6536="Credit",-F6536,F6536))</f>
        <v/>
      </c>
    </row>
    <row r="6537">
      <c r="A6537" t="inlineStr">
        <is>
          <t>2026-09-03</t>
        </is>
      </c>
      <c r="B6537" t="inlineStr">
        <is>
          <t>F267889</t>
        </is>
      </c>
      <c r="C6537" t="inlineStr">
        <is>
          <t>C10414</t>
        </is>
      </c>
      <c r="D6537" t="inlineStr">
        <is>
          <t>SKU-10064</t>
        </is>
      </c>
      <c r="E6537" t="inlineStr">
        <is>
          <t>AM07</t>
        </is>
      </c>
      <c r="F6537" s="5" t="n">
        <v>1256.96</v>
      </c>
      <c r="G6537">
        <f>IF(LEFT(B6537,1)="C","Credit","Factuur")</f>
        <v/>
      </c>
      <c r="H6537">
        <f>IF(AND(B6537=B6536,D6537=D6536,A6537=A6536,F6537=F6536),1,0)</f>
        <v/>
      </c>
      <c r="I6537">
        <f>IF(C6537="C99999",1,0)</f>
        <v/>
      </c>
      <c r="J6537" s="5">
        <f>IF(OR(H6537=1,I6537=1),0,IF(G6537="Credit",-F6537,F6537))</f>
        <v/>
      </c>
    </row>
    <row r="6538">
      <c r="A6538" t="inlineStr">
        <is>
          <t>2026-09-03</t>
        </is>
      </c>
      <c r="B6538" t="inlineStr">
        <is>
          <t>F268256</t>
        </is>
      </c>
      <c r="C6538" t="inlineStr">
        <is>
          <t>C10432</t>
        </is>
      </c>
      <c r="D6538" t="inlineStr">
        <is>
          <t>SKU-10056</t>
        </is>
      </c>
      <c r="E6538" t="inlineStr">
        <is>
          <t>AM12</t>
        </is>
      </c>
      <c r="F6538" s="5" t="n">
        <v>197.6</v>
      </c>
      <c r="G6538">
        <f>IF(LEFT(B6538,1)="C","Credit","Factuur")</f>
        <v/>
      </c>
      <c r="H6538">
        <f>IF(AND(B6538=B6537,D6538=D6537,A6538=A6537,F6538=F6537),1,0)</f>
        <v/>
      </c>
      <c r="I6538">
        <f>IF(C6538="C99999",1,0)</f>
        <v/>
      </c>
      <c r="J6538" s="5">
        <f>IF(OR(H6538=1,I6538=1),0,IF(G6538="Credit",-F6538,F6538))</f>
        <v/>
      </c>
    </row>
    <row r="6539">
      <c r="A6539" t="inlineStr">
        <is>
          <t>2026-09-03</t>
        </is>
      </c>
      <c r="B6539" t="inlineStr">
        <is>
          <t>F268256</t>
        </is>
      </c>
      <c r="C6539" t="inlineStr">
        <is>
          <t>C10432</t>
        </is>
      </c>
      <c r="D6539" t="inlineStr">
        <is>
          <t>SKU-10189</t>
        </is>
      </c>
      <c r="E6539" t="inlineStr">
        <is>
          <t>AM12</t>
        </is>
      </c>
      <c r="F6539" s="5" t="n">
        <v>197.37</v>
      </c>
      <c r="G6539">
        <f>IF(LEFT(B6539,1)="C","Credit","Factuur")</f>
        <v/>
      </c>
      <c r="H6539">
        <f>IF(AND(B6539=B6538,D6539=D6538,A6539=A6538,F6539=F6538),1,0)</f>
        <v/>
      </c>
      <c r="I6539">
        <f>IF(C6539="C99999",1,0)</f>
        <v/>
      </c>
      <c r="J6539" s="5">
        <f>IF(OR(H6539=1,I6539=1),0,IF(G6539="Credit",-F6539,F6539))</f>
        <v/>
      </c>
    </row>
    <row r="6540">
      <c r="A6540" t="inlineStr">
        <is>
          <t>2026-09-03</t>
        </is>
      </c>
      <c r="B6540" t="inlineStr">
        <is>
          <t>F268256</t>
        </is>
      </c>
      <c r="C6540" t="inlineStr">
        <is>
          <t>C10432</t>
        </is>
      </c>
      <c r="D6540" t="inlineStr">
        <is>
          <t>SKU-10193</t>
        </is>
      </c>
      <c r="E6540" t="inlineStr">
        <is>
          <t>AM12</t>
        </is>
      </c>
      <c r="F6540" s="5" t="n">
        <v>203.3</v>
      </c>
      <c r="G6540">
        <f>IF(LEFT(B6540,1)="C","Credit","Factuur")</f>
        <v/>
      </c>
      <c r="H6540">
        <f>IF(AND(B6540=B6539,D6540=D6539,A6540=A6539,F6540=F6539),1,0)</f>
        <v/>
      </c>
      <c r="I6540">
        <f>IF(C6540="C99999",1,0)</f>
        <v/>
      </c>
      <c r="J6540" s="5">
        <f>IF(OR(H6540=1,I6540=1),0,IF(G6540="Credit",-F6540,F6540))</f>
        <v/>
      </c>
    </row>
    <row r="6541">
      <c r="A6541" t="inlineStr">
        <is>
          <t>2026-09-03</t>
        </is>
      </c>
      <c r="B6541" t="inlineStr">
        <is>
          <t>F268256</t>
        </is>
      </c>
      <c r="C6541" t="inlineStr">
        <is>
          <t>C10432</t>
        </is>
      </c>
      <c r="D6541" t="inlineStr">
        <is>
          <t>SKU-10196</t>
        </is>
      </c>
      <c r="E6541" t="inlineStr">
        <is>
          <t>AM12</t>
        </is>
      </c>
      <c r="F6541" s="5" t="n">
        <v>207.09</v>
      </c>
      <c r="G6541">
        <f>IF(LEFT(B6541,1)="C","Credit","Factuur")</f>
        <v/>
      </c>
      <c r="H6541">
        <f>IF(AND(B6541=B6540,D6541=D6540,A6541=A6540,F6541=F6540),1,0)</f>
        <v/>
      </c>
      <c r="I6541">
        <f>IF(C6541="C99999",1,0)</f>
        <v/>
      </c>
      <c r="J6541" s="5">
        <f>IF(OR(H6541=1,I6541=1),0,IF(G6541="Credit",-F6541,F6541))</f>
        <v/>
      </c>
    </row>
    <row r="6542">
      <c r="A6542" t="inlineStr">
        <is>
          <t>2026-09-03</t>
        </is>
      </c>
      <c r="B6542" t="inlineStr">
        <is>
          <t>F268430</t>
        </is>
      </c>
      <c r="C6542" t="inlineStr">
        <is>
          <t>C10442</t>
        </is>
      </c>
      <c r="D6542" t="inlineStr">
        <is>
          <t>SKU-10104</t>
        </is>
      </c>
      <c r="E6542" t="inlineStr">
        <is>
          <t>AM06</t>
        </is>
      </c>
      <c r="F6542" s="5" t="n">
        <v>91.14</v>
      </c>
      <c r="G6542">
        <f>IF(LEFT(B6542,1)="C","Credit","Factuur")</f>
        <v/>
      </c>
      <c r="H6542">
        <f>IF(AND(B6542=B6541,D6542=D6541,A6542=A6541,F6542=F6541),1,0)</f>
        <v/>
      </c>
      <c r="I6542">
        <f>IF(C6542="C99999",1,0)</f>
        <v/>
      </c>
      <c r="J6542" s="5">
        <f>IF(OR(H6542=1,I6542=1),0,IF(G6542="Credit",-F6542,F6542))</f>
        <v/>
      </c>
    </row>
    <row r="6543">
      <c r="A6543" t="inlineStr">
        <is>
          <t>2026-09-03</t>
        </is>
      </c>
      <c r="B6543" t="inlineStr">
        <is>
          <t>F268430</t>
        </is>
      </c>
      <c r="C6543" t="inlineStr">
        <is>
          <t>C10442</t>
        </is>
      </c>
      <c r="D6543" t="inlineStr">
        <is>
          <t>SKU-10191</t>
        </is>
      </c>
      <c r="E6543" t="inlineStr">
        <is>
          <t>AM06</t>
        </is>
      </c>
      <c r="F6543" s="5" t="n">
        <v>99.48</v>
      </c>
      <c r="G6543">
        <f>IF(LEFT(B6543,1)="C","Credit","Factuur")</f>
        <v/>
      </c>
      <c r="H6543">
        <f>IF(AND(B6543=B6542,D6543=D6542,A6543=A6542,F6543=F6542),1,0)</f>
        <v/>
      </c>
      <c r="I6543">
        <f>IF(C6543="C99999",1,0)</f>
        <v/>
      </c>
      <c r="J6543" s="5">
        <f>IF(OR(H6543=1,I6543=1),0,IF(G6543="Credit",-F6543,F6543))</f>
        <v/>
      </c>
    </row>
    <row r="6544">
      <c r="A6544" t="inlineStr">
        <is>
          <t>2026-09-03</t>
        </is>
      </c>
      <c r="B6544" t="inlineStr">
        <is>
          <t>F268430</t>
        </is>
      </c>
      <c r="C6544" t="inlineStr">
        <is>
          <t>C10442</t>
        </is>
      </c>
      <c r="D6544" t="inlineStr">
        <is>
          <t>SKU-10242</t>
        </is>
      </c>
      <c r="E6544" t="inlineStr">
        <is>
          <t>AM06</t>
        </is>
      </c>
      <c r="F6544" s="5" t="n">
        <v>84</v>
      </c>
      <c r="G6544">
        <f>IF(LEFT(B6544,1)="C","Credit","Factuur")</f>
        <v/>
      </c>
      <c r="H6544">
        <f>IF(AND(B6544=B6543,D6544=D6543,A6544=A6543,F6544=F6543),1,0)</f>
        <v/>
      </c>
      <c r="I6544">
        <f>IF(C6544="C99999",1,0)</f>
        <v/>
      </c>
      <c r="J6544" s="5">
        <f>IF(OR(H6544=1,I6544=1),0,IF(G6544="Credit",-F6544,F6544))</f>
        <v/>
      </c>
    </row>
    <row r="6545">
      <c r="A6545" t="inlineStr">
        <is>
          <t>2026-09-03</t>
        </is>
      </c>
      <c r="B6545" t="inlineStr">
        <is>
          <t>F268430</t>
        </is>
      </c>
      <c r="C6545" t="inlineStr">
        <is>
          <t>C10442</t>
        </is>
      </c>
      <c r="D6545" t="inlineStr">
        <is>
          <t>SKU-10303</t>
        </is>
      </c>
      <c r="E6545" t="inlineStr">
        <is>
          <t>AM06</t>
        </is>
      </c>
      <c r="F6545" s="5" t="n">
        <v>92.45</v>
      </c>
      <c r="G6545">
        <f>IF(LEFT(B6545,1)="C","Credit","Factuur")</f>
        <v/>
      </c>
      <c r="H6545">
        <f>IF(AND(B6545=B6544,D6545=D6544,A6545=A6544,F6545=F6544),1,0)</f>
        <v/>
      </c>
      <c r="I6545">
        <f>IF(C6545="C99999",1,0)</f>
        <v/>
      </c>
      <c r="J6545" s="5">
        <f>IF(OR(H6545=1,I6545=1),0,IF(G6545="Credit",-F6545,F6545))</f>
        <v/>
      </c>
    </row>
    <row r="6546">
      <c r="A6546" t="inlineStr">
        <is>
          <t>2026-09-03</t>
        </is>
      </c>
      <c r="B6546" t="inlineStr">
        <is>
          <t>F268430</t>
        </is>
      </c>
      <c r="C6546" t="inlineStr">
        <is>
          <t>C10442</t>
        </is>
      </c>
      <c r="D6546" t="inlineStr">
        <is>
          <t>SKU-10326</t>
        </is>
      </c>
      <c r="E6546" t="inlineStr">
        <is>
          <t>AM06</t>
        </is>
      </c>
      <c r="F6546" s="5" t="n">
        <v>79</v>
      </c>
      <c r="G6546">
        <f>IF(LEFT(B6546,1)="C","Credit","Factuur")</f>
        <v/>
      </c>
      <c r="H6546">
        <f>IF(AND(B6546=B6545,D6546=D6545,A6546=A6545,F6546=F6545),1,0)</f>
        <v/>
      </c>
      <c r="I6546">
        <f>IF(C6546="C99999",1,0)</f>
        <v/>
      </c>
      <c r="J6546" s="5">
        <f>IF(OR(H6546=1,I6546=1),0,IF(G6546="Credit",-F6546,F6546))</f>
        <v/>
      </c>
    </row>
    <row r="6547">
      <c r="A6547" t="inlineStr">
        <is>
          <t>2026-09-03</t>
        </is>
      </c>
      <c r="B6547" t="inlineStr">
        <is>
          <t>F268768</t>
        </is>
      </c>
      <c r="C6547" t="inlineStr">
        <is>
          <t>C10457</t>
        </is>
      </c>
      <c r="D6547" t="inlineStr">
        <is>
          <t>SKU-10071</t>
        </is>
      </c>
      <c r="E6547" t="inlineStr">
        <is>
          <t>AM11</t>
        </is>
      </c>
      <c r="F6547" s="5" t="n">
        <v>209.37</v>
      </c>
      <c r="G6547">
        <f>IF(LEFT(B6547,1)="C","Credit","Factuur")</f>
        <v/>
      </c>
      <c r="H6547">
        <f>IF(AND(B6547=B6546,D6547=D6546,A6547=A6546,F6547=F6546),1,0)</f>
        <v/>
      </c>
      <c r="I6547">
        <f>IF(C6547="C99999",1,0)</f>
        <v/>
      </c>
      <c r="J6547" s="5">
        <f>IF(OR(H6547=1,I6547=1),0,IF(G6547="Credit",-F6547,F6547))</f>
        <v/>
      </c>
    </row>
    <row r="6548">
      <c r="A6548" t="inlineStr">
        <is>
          <t>2026-09-03</t>
        </is>
      </c>
      <c r="B6548" t="inlineStr">
        <is>
          <t>F268768</t>
        </is>
      </c>
      <c r="C6548" t="inlineStr">
        <is>
          <t>C10457</t>
        </is>
      </c>
      <c r="D6548" t="inlineStr">
        <is>
          <t>SKU-10219</t>
        </is>
      </c>
      <c r="E6548" t="inlineStr">
        <is>
          <t>AM11</t>
        </is>
      </c>
      <c r="F6548" s="5" t="n">
        <v>158.75</v>
      </c>
      <c r="G6548">
        <f>IF(LEFT(B6548,1)="C","Credit","Factuur")</f>
        <v/>
      </c>
      <c r="H6548">
        <f>IF(AND(B6548=B6547,D6548=D6547,A6548=A6547,F6548=F6547),1,0)</f>
        <v/>
      </c>
      <c r="I6548">
        <f>IF(C6548="C99999",1,0)</f>
        <v/>
      </c>
      <c r="J6548" s="5">
        <f>IF(OR(H6548=1,I6548=1),0,IF(G6548="Credit",-F6548,F6548))</f>
        <v/>
      </c>
    </row>
    <row r="6549">
      <c r="A6549" t="inlineStr">
        <is>
          <t>2026-09-03</t>
        </is>
      </c>
      <c r="B6549" t="inlineStr">
        <is>
          <t>F268768</t>
        </is>
      </c>
      <c r="C6549" t="inlineStr">
        <is>
          <t>C10457</t>
        </is>
      </c>
      <c r="D6549" t="inlineStr">
        <is>
          <t>SKU-10303</t>
        </is>
      </c>
      <c r="E6549" t="inlineStr">
        <is>
          <t>AM11</t>
        </is>
      </c>
      <c r="F6549" s="5" t="n">
        <v>193.22</v>
      </c>
      <c r="G6549">
        <f>IF(LEFT(B6549,1)="C","Credit","Factuur")</f>
        <v/>
      </c>
      <c r="H6549">
        <f>IF(AND(B6549=B6548,D6549=D6548,A6549=A6548,F6549=F6548),1,0)</f>
        <v/>
      </c>
      <c r="I6549">
        <f>IF(C6549="C99999",1,0)</f>
        <v/>
      </c>
      <c r="J6549" s="5">
        <f>IF(OR(H6549=1,I6549=1),0,IF(G6549="Credit",-F6549,F6549))</f>
        <v/>
      </c>
    </row>
    <row r="6550">
      <c r="A6550" t="inlineStr">
        <is>
          <t>2026-09-03</t>
        </is>
      </c>
      <c r="B6550" t="inlineStr">
        <is>
          <t>F269000</t>
        </is>
      </c>
      <c r="C6550" t="inlineStr">
        <is>
          <t>C10467</t>
        </is>
      </c>
      <c r="D6550" t="inlineStr">
        <is>
          <t>SKU-10237</t>
        </is>
      </c>
      <c r="E6550" t="inlineStr">
        <is>
          <t>AM05</t>
        </is>
      </c>
      <c r="F6550" s="5" t="n">
        <v>303.81</v>
      </c>
      <c r="G6550">
        <f>IF(LEFT(B6550,1)="C","Credit","Factuur")</f>
        <v/>
      </c>
      <c r="H6550">
        <f>IF(AND(B6550=B6549,D6550=D6549,A6550=A6549,F6550=F6549),1,0)</f>
        <v/>
      </c>
      <c r="I6550">
        <f>IF(C6550="C99999",1,0)</f>
        <v/>
      </c>
      <c r="J6550" s="5">
        <f>IF(OR(H6550=1,I6550=1),0,IF(G6550="Credit",-F6550,F6550))</f>
        <v/>
      </c>
    </row>
    <row r="6551">
      <c r="A6551" t="inlineStr">
        <is>
          <t>2026-09-03</t>
        </is>
      </c>
      <c r="B6551" t="inlineStr">
        <is>
          <t>F269000</t>
        </is>
      </c>
      <c r="C6551" t="inlineStr">
        <is>
          <t>C10467</t>
        </is>
      </c>
      <c r="D6551" t="inlineStr">
        <is>
          <t>SKU-10338</t>
        </is>
      </c>
      <c r="E6551" t="inlineStr">
        <is>
          <t>AM05</t>
        </is>
      </c>
      <c r="F6551" s="5" t="n">
        <v>345.02</v>
      </c>
      <c r="G6551">
        <f>IF(LEFT(B6551,1)="C","Credit","Factuur")</f>
        <v/>
      </c>
      <c r="H6551">
        <f>IF(AND(B6551=B6550,D6551=D6550,A6551=A6550,F6551=F6550),1,0)</f>
        <v/>
      </c>
      <c r="I6551">
        <f>IF(C6551="C99999",1,0)</f>
        <v/>
      </c>
      <c r="J6551" s="5">
        <f>IF(OR(H6551=1,I6551=1),0,IF(G6551="Credit",-F6551,F6551))</f>
        <v/>
      </c>
    </row>
    <row r="6552">
      <c r="A6552" t="inlineStr">
        <is>
          <t>2026-09-03</t>
        </is>
      </c>
      <c r="B6552" t="inlineStr">
        <is>
          <t>F269985</t>
        </is>
      </c>
      <c r="C6552" t="inlineStr">
        <is>
          <t>C10525</t>
        </is>
      </c>
      <c r="D6552" t="inlineStr">
        <is>
          <t>SKU-10218</t>
        </is>
      </c>
      <c r="E6552" t="inlineStr">
        <is>
          <t>AM02</t>
        </is>
      </c>
      <c r="F6552" s="5" t="n">
        <v>401.71</v>
      </c>
      <c r="G6552">
        <f>IF(LEFT(B6552,1)="C","Credit","Factuur")</f>
        <v/>
      </c>
      <c r="H6552">
        <f>IF(AND(B6552=B6551,D6552=D6551,A6552=A6551,F6552=F6551),1,0)</f>
        <v/>
      </c>
      <c r="I6552">
        <f>IF(C6552="C99999",1,0)</f>
        <v/>
      </c>
      <c r="J6552" s="5">
        <f>IF(OR(H6552=1,I6552=1),0,IF(G6552="Credit",-F6552,F6552))</f>
        <v/>
      </c>
    </row>
    <row r="6553">
      <c r="A6553" t="inlineStr">
        <is>
          <t>2026-09-03</t>
        </is>
      </c>
      <c r="B6553" t="inlineStr">
        <is>
          <t>F269985</t>
        </is>
      </c>
      <c r="C6553" t="inlineStr">
        <is>
          <t>C10525</t>
        </is>
      </c>
      <c r="D6553" t="inlineStr">
        <is>
          <t>SKU-10258</t>
        </is>
      </c>
      <c r="E6553" t="inlineStr">
        <is>
          <t>AM02</t>
        </is>
      </c>
      <c r="F6553" s="5" t="n">
        <v>353.76</v>
      </c>
      <c r="G6553">
        <f>IF(LEFT(B6553,1)="C","Credit","Factuur")</f>
        <v/>
      </c>
      <c r="H6553">
        <f>IF(AND(B6553=B6552,D6553=D6552,A6553=A6552,F6553=F6552),1,0)</f>
        <v/>
      </c>
      <c r="I6553">
        <f>IF(C6553="C99999",1,0)</f>
        <v/>
      </c>
      <c r="J6553" s="5">
        <f>IF(OR(H6553=1,I6553=1),0,IF(G6553="Credit",-F6553,F6553))</f>
        <v/>
      </c>
    </row>
    <row r="6554">
      <c r="A6554" t="inlineStr">
        <is>
          <t>2026-09-03</t>
        </is>
      </c>
      <c r="B6554" t="inlineStr">
        <is>
          <t>F269985</t>
        </is>
      </c>
      <c r="C6554" t="inlineStr">
        <is>
          <t>C10525</t>
        </is>
      </c>
      <c r="D6554" t="inlineStr">
        <is>
          <t>SKU-10267</t>
        </is>
      </c>
      <c r="E6554" t="inlineStr">
        <is>
          <t>AM02</t>
        </is>
      </c>
      <c r="F6554" s="5" t="n">
        <v>379.11</v>
      </c>
      <c r="G6554">
        <f>IF(LEFT(B6554,1)="C","Credit","Factuur")</f>
        <v/>
      </c>
      <c r="H6554">
        <f>IF(AND(B6554=B6553,D6554=D6553,A6554=A6553,F6554=F6553),1,0)</f>
        <v/>
      </c>
      <c r="I6554">
        <f>IF(C6554="C99999",1,0)</f>
        <v/>
      </c>
      <c r="J6554" s="5">
        <f>IF(OR(H6554=1,I6554=1),0,IF(G6554="Credit",-F6554,F6554))</f>
        <v/>
      </c>
    </row>
    <row r="6555">
      <c r="A6555" t="inlineStr">
        <is>
          <t>2026-09-03</t>
        </is>
      </c>
      <c r="B6555" t="inlineStr">
        <is>
          <t>F269985</t>
        </is>
      </c>
      <c r="C6555" t="inlineStr">
        <is>
          <t>C10525</t>
        </is>
      </c>
      <c r="D6555" t="inlineStr">
        <is>
          <t>SKU-10281</t>
        </is>
      </c>
      <c r="E6555" t="inlineStr">
        <is>
          <t>AM02</t>
        </is>
      </c>
      <c r="F6555" s="5" t="n">
        <v>396.63</v>
      </c>
      <c r="G6555">
        <f>IF(LEFT(B6555,1)="C","Credit","Factuur")</f>
        <v/>
      </c>
      <c r="H6555">
        <f>IF(AND(B6555=B6554,D6555=D6554,A6555=A6554,F6555=F6554),1,0)</f>
        <v/>
      </c>
      <c r="I6555">
        <f>IF(C6555="C99999",1,0)</f>
        <v/>
      </c>
      <c r="J6555" s="5">
        <f>IF(OR(H6555=1,I6555=1),0,IF(G6555="Credit",-F6555,F6555))</f>
        <v/>
      </c>
    </row>
    <row r="6556">
      <c r="A6556" t="inlineStr">
        <is>
          <t>2026-09-03</t>
        </is>
      </c>
      <c r="B6556" t="inlineStr">
        <is>
          <t>F269985</t>
        </is>
      </c>
      <c r="C6556" t="inlineStr">
        <is>
          <t>C10525</t>
        </is>
      </c>
      <c r="D6556" t="inlineStr">
        <is>
          <t>SKU-10318</t>
        </is>
      </c>
      <c r="E6556" t="inlineStr">
        <is>
          <t>AM02</t>
        </is>
      </c>
      <c r="F6556" s="5" t="n">
        <v>386.65</v>
      </c>
      <c r="G6556">
        <f>IF(LEFT(B6556,1)="C","Credit","Factuur")</f>
        <v/>
      </c>
      <c r="H6556">
        <f>IF(AND(B6556=B6555,D6556=D6555,A6556=A6555,F6556=F6555),1,0)</f>
        <v/>
      </c>
      <c r="I6556">
        <f>IF(C6556="C99999",1,0)</f>
        <v/>
      </c>
      <c r="J6556" s="5">
        <f>IF(OR(H6556=1,I6556=1),0,IF(G6556="Credit",-F6556,F6556))</f>
        <v/>
      </c>
    </row>
    <row r="6557">
      <c r="A6557" t="inlineStr">
        <is>
          <t>2026-09-03</t>
        </is>
      </c>
      <c r="B6557" t="inlineStr">
        <is>
          <t>F270161</t>
        </is>
      </c>
      <c r="C6557" t="inlineStr">
        <is>
          <t>C10536</t>
        </is>
      </c>
      <c r="D6557" t="inlineStr">
        <is>
          <t>SKU-10070</t>
        </is>
      </c>
      <c r="E6557" t="inlineStr">
        <is>
          <t>AM11</t>
        </is>
      </c>
      <c r="F6557" s="5" t="n">
        <v>717.21</v>
      </c>
      <c r="G6557">
        <f>IF(LEFT(B6557,1)="C","Credit","Factuur")</f>
        <v/>
      </c>
      <c r="H6557">
        <f>IF(AND(B6557=B6556,D6557=D6556,A6557=A6556,F6557=F6556),1,0)</f>
        <v/>
      </c>
      <c r="I6557">
        <f>IF(C6557="C99999",1,0)</f>
        <v/>
      </c>
      <c r="J6557" s="5">
        <f>IF(OR(H6557=1,I6557=1),0,IF(G6557="Credit",-F6557,F6557))</f>
        <v/>
      </c>
    </row>
    <row r="6558">
      <c r="A6558" t="inlineStr">
        <is>
          <t>2026-09-03</t>
        </is>
      </c>
      <c r="B6558" t="inlineStr">
        <is>
          <t>F270161</t>
        </is>
      </c>
      <c r="C6558" t="inlineStr">
        <is>
          <t>C10536</t>
        </is>
      </c>
      <c r="D6558" t="inlineStr">
        <is>
          <t>SKU-10160</t>
        </is>
      </c>
      <c r="E6558" t="inlineStr">
        <is>
          <t>AM11</t>
        </is>
      </c>
      <c r="F6558" s="5" t="n">
        <v>680.41</v>
      </c>
      <c r="G6558">
        <f>IF(LEFT(B6558,1)="C","Credit","Factuur")</f>
        <v/>
      </c>
      <c r="H6558">
        <f>IF(AND(B6558=B6557,D6558=D6557,A6558=A6557,F6558=F6557),1,0)</f>
        <v/>
      </c>
      <c r="I6558">
        <f>IF(C6558="C99999",1,0)</f>
        <v/>
      </c>
      <c r="J6558" s="5">
        <f>IF(OR(H6558=1,I6558=1),0,IF(G6558="Credit",-F6558,F6558))</f>
        <v/>
      </c>
    </row>
    <row r="6559">
      <c r="A6559" t="inlineStr">
        <is>
          <t>2026-09-03</t>
        </is>
      </c>
      <c r="B6559" t="inlineStr">
        <is>
          <t>F270161</t>
        </is>
      </c>
      <c r="C6559" t="inlineStr">
        <is>
          <t>C10536</t>
        </is>
      </c>
      <c r="D6559" t="inlineStr">
        <is>
          <t>SKU-10206</t>
        </is>
      </c>
      <c r="E6559" t="inlineStr">
        <is>
          <t>AM11</t>
        </is>
      </c>
      <c r="F6559" s="5" t="n">
        <v>708.96</v>
      </c>
      <c r="G6559">
        <f>IF(LEFT(B6559,1)="C","Credit","Factuur")</f>
        <v/>
      </c>
      <c r="H6559">
        <f>IF(AND(B6559=B6558,D6559=D6558,A6559=A6558,F6559=F6558),1,0)</f>
        <v/>
      </c>
      <c r="I6559">
        <f>IF(C6559="C99999",1,0)</f>
        <v/>
      </c>
      <c r="J6559" s="5">
        <f>IF(OR(H6559=1,I6559=1),0,IF(G6559="Credit",-F6559,F6559))</f>
        <v/>
      </c>
    </row>
    <row r="6560">
      <c r="A6560" t="inlineStr">
        <is>
          <t>2026-09-03</t>
        </is>
      </c>
      <c r="B6560" t="inlineStr">
        <is>
          <t>F270161</t>
        </is>
      </c>
      <c r="C6560" t="inlineStr">
        <is>
          <t>C10536</t>
        </is>
      </c>
      <c r="D6560" t="inlineStr">
        <is>
          <t>SKU-10248</t>
        </is>
      </c>
      <c r="E6560" t="inlineStr">
        <is>
          <t>AM11</t>
        </is>
      </c>
      <c r="F6560" s="5" t="n">
        <v>718.9</v>
      </c>
      <c r="G6560">
        <f>IF(LEFT(B6560,1)="C","Credit","Factuur")</f>
        <v/>
      </c>
      <c r="H6560">
        <f>IF(AND(B6560=B6559,D6560=D6559,A6560=A6559,F6560=F6559),1,0)</f>
        <v/>
      </c>
      <c r="I6560">
        <f>IF(C6560="C99999",1,0)</f>
        <v/>
      </c>
      <c r="J6560" s="5">
        <f>IF(OR(H6560=1,I6560=1),0,IF(G6560="Credit",-F6560,F6560))</f>
        <v/>
      </c>
    </row>
    <row r="6561">
      <c r="A6561" t="inlineStr">
        <is>
          <t>2026-09-03</t>
        </is>
      </c>
      <c r="B6561" t="inlineStr">
        <is>
          <t>F270161</t>
        </is>
      </c>
      <c r="C6561" t="inlineStr">
        <is>
          <t>C10536</t>
        </is>
      </c>
      <c r="D6561" t="inlineStr">
        <is>
          <t>SKU-10264</t>
        </is>
      </c>
      <c r="E6561" t="inlineStr">
        <is>
          <t>AM11</t>
        </is>
      </c>
      <c r="F6561" s="5" t="n">
        <v>665.73</v>
      </c>
      <c r="G6561">
        <f>IF(LEFT(B6561,1)="C","Credit","Factuur")</f>
        <v/>
      </c>
      <c r="H6561">
        <f>IF(AND(B6561=B6560,D6561=D6560,A6561=A6560,F6561=F6560),1,0)</f>
        <v/>
      </c>
      <c r="I6561">
        <f>IF(C6561="C99999",1,0)</f>
        <v/>
      </c>
      <c r="J6561" s="5">
        <f>IF(OR(H6561=1,I6561=1),0,IF(G6561="Credit",-F6561,F6561))</f>
        <v/>
      </c>
    </row>
    <row r="6562">
      <c r="A6562" t="inlineStr">
        <is>
          <t>2026-09-03</t>
        </is>
      </c>
      <c r="B6562" t="inlineStr">
        <is>
          <t>F270161</t>
        </is>
      </c>
      <c r="C6562" t="inlineStr">
        <is>
          <t>C10536</t>
        </is>
      </c>
      <c r="D6562" t="inlineStr">
        <is>
          <t>SKU-10385</t>
        </is>
      </c>
      <c r="E6562" t="inlineStr">
        <is>
          <t>AM11</t>
        </is>
      </c>
      <c r="F6562" s="5" t="n">
        <v>647.95</v>
      </c>
      <c r="G6562">
        <f>IF(LEFT(B6562,1)="C","Credit","Factuur")</f>
        <v/>
      </c>
      <c r="H6562">
        <f>IF(AND(B6562=B6561,D6562=D6561,A6562=A6561,F6562=F6561),1,0)</f>
        <v/>
      </c>
      <c r="I6562">
        <f>IF(C6562="C99999",1,0)</f>
        <v/>
      </c>
      <c r="J6562" s="5">
        <f>IF(OR(H6562=1,I6562=1),0,IF(G6562="Credit",-F6562,F6562))</f>
        <v/>
      </c>
    </row>
    <row r="6563">
      <c r="A6563" t="inlineStr">
        <is>
          <t>2026-09-03</t>
        </is>
      </c>
      <c r="B6563" t="inlineStr">
        <is>
          <t>F270250</t>
        </is>
      </c>
      <c r="C6563" t="inlineStr">
        <is>
          <t>C10541</t>
        </is>
      </c>
      <c r="D6563" t="inlineStr">
        <is>
          <t>SKU-10028</t>
        </is>
      </c>
      <c r="E6563" t="inlineStr">
        <is>
          <t>AM01</t>
        </is>
      </c>
      <c r="F6563" s="5" t="n">
        <v>109.97</v>
      </c>
      <c r="G6563">
        <f>IF(LEFT(B6563,1)="C","Credit","Factuur")</f>
        <v/>
      </c>
      <c r="H6563">
        <f>IF(AND(B6563=B6562,D6563=D6562,A6563=A6562,F6563=F6562),1,0)</f>
        <v/>
      </c>
      <c r="I6563">
        <f>IF(C6563="C99999",1,0)</f>
        <v/>
      </c>
      <c r="J6563" s="5">
        <f>IF(OR(H6563=1,I6563=1),0,IF(G6563="Credit",-F6563,F6563))</f>
        <v/>
      </c>
    </row>
    <row r="6564">
      <c r="A6564" t="inlineStr">
        <is>
          <t>2026-09-03</t>
        </is>
      </c>
      <c r="B6564" t="inlineStr">
        <is>
          <t>F270250</t>
        </is>
      </c>
      <c r="C6564" t="inlineStr">
        <is>
          <t>C10541</t>
        </is>
      </c>
      <c r="D6564" t="inlineStr">
        <is>
          <t>SKU-10080</t>
        </is>
      </c>
      <c r="E6564" t="inlineStr">
        <is>
          <t>AM01</t>
        </is>
      </c>
      <c r="F6564" s="5" t="n">
        <v>126.2</v>
      </c>
      <c r="G6564">
        <f>IF(LEFT(B6564,1)="C","Credit","Factuur")</f>
        <v/>
      </c>
      <c r="H6564">
        <f>IF(AND(B6564=B6563,D6564=D6563,A6564=A6563,F6564=F6563),1,0)</f>
        <v/>
      </c>
      <c r="I6564">
        <f>IF(C6564="C99999",1,0)</f>
        <v/>
      </c>
      <c r="J6564" s="5">
        <f>IF(OR(H6564=1,I6564=1),0,IF(G6564="Credit",-F6564,F6564))</f>
        <v/>
      </c>
    </row>
    <row r="6565">
      <c r="A6565" t="inlineStr">
        <is>
          <t>2026-09-03</t>
        </is>
      </c>
      <c r="B6565" t="inlineStr">
        <is>
          <t>F270374</t>
        </is>
      </c>
      <c r="C6565" t="inlineStr">
        <is>
          <t>C10545</t>
        </is>
      </c>
      <c r="D6565" t="inlineStr">
        <is>
          <t>SKU-10018</t>
        </is>
      </c>
      <c r="E6565" t="inlineStr">
        <is>
          <t>AM02</t>
        </is>
      </c>
      <c r="F6565" s="5" t="n">
        <v>107.22</v>
      </c>
      <c r="G6565">
        <f>IF(LEFT(B6565,1)="C","Credit","Factuur")</f>
        <v/>
      </c>
      <c r="H6565">
        <f>IF(AND(B6565=B6564,D6565=D6564,A6565=A6564,F6565=F6564),1,0)</f>
        <v/>
      </c>
      <c r="I6565">
        <f>IF(C6565="C99999",1,0)</f>
        <v/>
      </c>
      <c r="J6565" s="5">
        <f>IF(OR(H6565=1,I6565=1),0,IF(G6565="Credit",-F6565,F6565))</f>
        <v/>
      </c>
    </row>
    <row r="6566">
      <c r="A6566" t="inlineStr">
        <is>
          <t>2026-09-03</t>
        </is>
      </c>
      <c r="B6566" t="inlineStr">
        <is>
          <t>F270374</t>
        </is>
      </c>
      <c r="C6566" t="inlineStr">
        <is>
          <t>C10545</t>
        </is>
      </c>
      <c r="D6566" t="inlineStr">
        <is>
          <t>SKU-10042</t>
        </is>
      </c>
      <c r="E6566" t="inlineStr">
        <is>
          <t>AM02</t>
        </is>
      </c>
      <c r="F6566" s="5" t="n">
        <v>112.4</v>
      </c>
      <c r="G6566">
        <f>IF(LEFT(B6566,1)="C","Credit","Factuur")</f>
        <v/>
      </c>
      <c r="H6566">
        <f>IF(AND(B6566=B6565,D6566=D6565,A6566=A6565,F6566=F6565),1,0)</f>
        <v/>
      </c>
      <c r="I6566">
        <f>IF(C6566="C99999",1,0)</f>
        <v/>
      </c>
      <c r="J6566" s="5">
        <f>IF(OR(H6566=1,I6566=1),0,IF(G6566="Credit",-F6566,F6566))</f>
        <v/>
      </c>
    </row>
    <row r="6567">
      <c r="A6567" t="inlineStr">
        <is>
          <t>2026-09-03</t>
        </is>
      </c>
      <c r="B6567" t="inlineStr">
        <is>
          <t>F270374</t>
        </is>
      </c>
      <c r="C6567" t="inlineStr">
        <is>
          <t>C10545</t>
        </is>
      </c>
      <c r="D6567" t="inlineStr">
        <is>
          <t>SKU-10126</t>
        </is>
      </c>
      <c r="E6567" t="inlineStr">
        <is>
          <t>AM02</t>
        </is>
      </c>
      <c r="F6567" s="5" t="n">
        <v>89.18000000000001</v>
      </c>
      <c r="G6567">
        <f>IF(LEFT(B6567,1)="C","Credit","Factuur")</f>
        <v/>
      </c>
      <c r="H6567">
        <f>IF(AND(B6567=B6566,D6567=D6566,A6567=A6566,F6567=F6566),1,0)</f>
        <v/>
      </c>
      <c r="I6567">
        <f>IF(C6567="C99999",1,0)</f>
        <v/>
      </c>
      <c r="J6567" s="5">
        <f>IF(OR(H6567=1,I6567=1),0,IF(G6567="Credit",-F6567,F6567))</f>
        <v/>
      </c>
    </row>
    <row r="6568">
      <c r="A6568" t="inlineStr">
        <is>
          <t>2026-09-03</t>
        </is>
      </c>
      <c r="B6568" t="inlineStr">
        <is>
          <t>F270374</t>
        </is>
      </c>
      <c r="C6568" t="inlineStr">
        <is>
          <t>C10545</t>
        </is>
      </c>
      <c r="D6568" t="inlineStr">
        <is>
          <t>SKU-10284</t>
        </is>
      </c>
      <c r="E6568" t="inlineStr">
        <is>
          <t>AM02</t>
        </is>
      </c>
      <c r="F6568" s="5" t="n">
        <v>107.29</v>
      </c>
      <c r="G6568">
        <f>IF(LEFT(B6568,1)="C","Credit","Factuur")</f>
        <v/>
      </c>
      <c r="H6568">
        <f>IF(AND(B6568=B6567,D6568=D6567,A6568=A6567,F6568=F6567),1,0)</f>
        <v/>
      </c>
      <c r="I6568">
        <f>IF(C6568="C99999",1,0)</f>
        <v/>
      </c>
      <c r="J6568" s="5">
        <f>IF(OR(H6568=1,I6568=1),0,IF(G6568="Credit",-F6568,F6568))</f>
        <v/>
      </c>
    </row>
    <row r="6569">
      <c r="A6569" t="inlineStr">
        <is>
          <t>2026-09-03</t>
        </is>
      </c>
      <c r="B6569" t="inlineStr">
        <is>
          <t>F270412</t>
        </is>
      </c>
      <c r="C6569" t="inlineStr">
        <is>
          <t>C10548</t>
        </is>
      </c>
      <c r="D6569" t="inlineStr">
        <is>
          <t>SKU-10017</t>
        </is>
      </c>
      <c r="E6569" t="inlineStr">
        <is>
          <t>AM03</t>
        </is>
      </c>
      <c r="F6569" s="5" t="n">
        <v>194.25</v>
      </c>
      <c r="G6569">
        <f>IF(LEFT(B6569,1)="C","Credit","Factuur")</f>
        <v/>
      </c>
      <c r="H6569">
        <f>IF(AND(B6569=B6568,D6569=D6568,A6569=A6568,F6569=F6568),1,0)</f>
        <v/>
      </c>
      <c r="I6569">
        <f>IF(C6569="C99999",1,0)</f>
        <v/>
      </c>
      <c r="J6569" s="5">
        <f>IF(OR(H6569=1,I6569=1),0,IF(G6569="Credit",-F6569,F6569))</f>
        <v/>
      </c>
    </row>
    <row r="6570">
      <c r="A6570" t="inlineStr">
        <is>
          <t>2026-09-03</t>
        </is>
      </c>
      <c r="B6570" t="inlineStr">
        <is>
          <t>F270412</t>
        </is>
      </c>
      <c r="C6570" t="inlineStr">
        <is>
          <t>C10548</t>
        </is>
      </c>
      <c r="D6570" t="inlineStr">
        <is>
          <t>SKU-10303</t>
        </is>
      </c>
      <c r="E6570" t="inlineStr">
        <is>
          <t>AM03</t>
        </is>
      </c>
      <c r="F6570" s="5" t="n">
        <v>203.39</v>
      </c>
      <c r="G6570">
        <f>IF(LEFT(B6570,1)="C","Credit","Factuur")</f>
        <v/>
      </c>
      <c r="H6570">
        <f>IF(AND(B6570=B6569,D6570=D6569,A6570=A6569,F6570=F6569),1,0)</f>
        <v/>
      </c>
      <c r="I6570">
        <f>IF(C6570="C99999",1,0)</f>
        <v/>
      </c>
      <c r="J6570" s="5">
        <f>IF(OR(H6570=1,I6570=1),0,IF(G6570="Credit",-F6570,F6570))</f>
        <v/>
      </c>
    </row>
    <row r="6571">
      <c r="A6571" t="inlineStr">
        <is>
          <t>2026-09-03</t>
        </is>
      </c>
      <c r="B6571" t="inlineStr">
        <is>
          <t>F270412</t>
        </is>
      </c>
      <c r="C6571" t="inlineStr">
        <is>
          <t>C10548</t>
        </is>
      </c>
      <c r="D6571" t="inlineStr">
        <is>
          <t>SKU-10333</t>
        </is>
      </c>
      <c r="E6571" t="inlineStr">
        <is>
          <t>AM03</t>
        </is>
      </c>
      <c r="F6571" s="5" t="n">
        <v>206.91</v>
      </c>
      <c r="G6571">
        <f>IF(LEFT(B6571,1)="C","Credit","Factuur")</f>
        <v/>
      </c>
      <c r="H6571">
        <f>IF(AND(B6571=B6570,D6571=D6570,A6571=A6570,F6571=F6570),1,0)</f>
        <v/>
      </c>
      <c r="I6571">
        <f>IF(C6571="C99999",1,0)</f>
        <v/>
      </c>
      <c r="J6571" s="5">
        <f>IF(OR(H6571=1,I6571=1),0,IF(G6571="Credit",-F6571,F6571))</f>
        <v/>
      </c>
    </row>
    <row r="6572">
      <c r="A6572" t="inlineStr">
        <is>
          <t>2026-09-03</t>
        </is>
      </c>
      <c r="B6572" t="inlineStr">
        <is>
          <t>F271543</t>
        </is>
      </c>
      <c r="C6572" t="inlineStr">
        <is>
          <t>C10596</t>
        </is>
      </c>
      <c r="D6572" t="inlineStr">
        <is>
          <t>SKU-10254</t>
        </is>
      </c>
      <c r="E6572" t="inlineStr">
        <is>
          <t>AM01</t>
        </is>
      </c>
      <c r="F6572" s="5" t="n">
        <v>335.5</v>
      </c>
      <c r="G6572">
        <f>IF(LEFT(B6572,1)="C","Credit","Factuur")</f>
        <v/>
      </c>
      <c r="H6572">
        <f>IF(AND(B6572=B6571,D6572=D6571,A6572=A6571,F6572=F6571),1,0)</f>
        <v/>
      </c>
      <c r="I6572">
        <f>IF(C6572="C99999",1,0)</f>
        <v/>
      </c>
      <c r="J6572" s="5">
        <f>IF(OR(H6572=1,I6572=1),0,IF(G6572="Credit",-F6572,F6572))</f>
        <v/>
      </c>
    </row>
    <row r="6573">
      <c r="A6573" t="inlineStr">
        <is>
          <t>2026-09-03</t>
        </is>
      </c>
      <c r="B6573" t="inlineStr">
        <is>
          <t>F271743</t>
        </is>
      </c>
      <c r="C6573" t="inlineStr">
        <is>
          <t>C10602</t>
        </is>
      </c>
      <c r="D6573" t="inlineStr">
        <is>
          <t>SKU-10162</t>
        </is>
      </c>
      <c r="E6573" t="inlineStr">
        <is>
          <t>AM05</t>
        </is>
      </c>
      <c r="F6573" s="5" t="n">
        <v>548.62</v>
      </c>
      <c r="G6573">
        <f>IF(LEFT(B6573,1)="C","Credit","Factuur")</f>
        <v/>
      </c>
      <c r="H6573">
        <f>IF(AND(B6573=B6572,D6573=D6572,A6573=A6572,F6573=F6572),1,0)</f>
        <v/>
      </c>
      <c r="I6573">
        <f>IF(C6573="C99999",1,0)</f>
        <v/>
      </c>
      <c r="J6573" s="5">
        <f>IF(OR(H6573=1,I6573=1),0,IF(G6573="Credit",-F6573,F6573))</f>
        <v/>
      </c>
    </row>
    <row r="6574">
      <c r="A6574" t="inlineStr">
        <is>
          <t>2026-09-03</t>
        </is>
      </c>
      <c r="B6574" t="inlineStr">
        <is>
          <t>F271743</t>
        </is>
      </c>
      <c r="C6574" t="inlineStr">
        <is>
          <t>C10602</t>
        </is>
      </c>
      <c r="D6574" t="inlineStr">
        <is>
          <t>SKU-10371</t>
        </is>
      </c>
      <c r="E6574" t="inlineStr">
        <is>
          <t>AM05</t>
        </is>
      </c>
      <c r="F6574" s="5" t="n">
        <v>579.15</v>
      </c>
      <c r="G6574">
        <f>IF(LEFT(B6574,1)="C","Credit","Factuur")</f>
        <v/>
      </c>
      <c r="H6574">
        <f>IF(AND(B6574=B6573,D6574=D6573,A6574=A6573,F6574=F6573),1,0)</f>
        <v/>
      </c>
      <c r="I6574">
        <f>IF(C6574="C99999",1,0)</f>
        <v/>
      </c>
      <c r="J6574" s="5">
        <f>IF(OR(H6574=1,I6574=1),0,IF(G6574="Credit",-F6574,F6574))</f>
        <v/>
      </c>
    </row>
    <row r="6575">
      <c r="A6575" t="inlineStr">
        <is>
          <t>2026-09-03</t>
        </is>
      </c>
      <c r="B6575" t="inlineStr">
        <is>
          <t>F271804</t>
        </is>
      </c>
      <c r="C6575" t="inlineStr">
        <is>
          <t>C10606</t>
        </is>
      </c>
      <c r="D6575" t="inlineStr">
        <is>
          <t>SKU-10038</t>
        </is>
      </c>
      <c r="E6575" t="inlineStr">
        <is>
          <t>AM03</t>
        </is>
      </c>
      <c r="F6575" s="5" t="n">
        <v>1169.82</v>
      </c>
      <c r="G6575">
        <f>IF(LEFT(B6575,1)="C","Credit","Factuur")</f>
        <v/>
      </c>
      <c r="H6575">
        <f>IF(AND(B6575=B6574,D6575=D6574,A6575=A6574,F6575=F6574),1,0)</f>
        <v/>
      </c>
      <c r="I6575">
        <f>IF(C6575="C99999",1,0)</f>
        <v/>
      </c>
      <c r="J6575" s="5">
        <f>IF(OR(H6575=1,I6575=1),0,IF(G6575="Credit",-F6575,F6575))</f>
        <v/>
      </c>
    </row>
    <row r="6576">
      <c r="A6576" t="inlineStr">
        <is>
          <t>2026-09-03</t>
        </is>
      </c>
      <c r="B6576" t="inlineStr">
        <is>
          <t>F271804</t>
        </is>
      </c>
      <c r="C6576" t="inlineStr">
        <is>
          <t>C10606</t>
        </is>
      </c>
      <c r="D6576" t="inlineStr">
        <is>
          <t>SKU-10292</t>
        </is>
      </c>
      <c r="E6576" t="inlineStr">
        <is>
          <t>AM03</t>
        </is>
      </c>
      <c r="F6576" s="5" t="n">
        <v>1163.52</v>
      </c>
      <c r="G6576">
        <f>IF(LEFT(B6576,1)="C","Credit","Factuur")</f>
        <v/>
      </c>
      <c r="H6576">
        <f>IF(AND(B6576=B6575,D6576=D6575,A6576=A6575,F6576=F6575),1,0)</f>
        <v/>
      </c>
      <c r="I6576">
        <f>IF(C6576="C99999",1,0)</f>
        <v/>
      </c>
      <c r="J6576" s="5">
        <f>IF(OR(H6576=1,I6576=1),0,IF(G6576="Credit",-F6576,F6576))</f>
        <v/>
      </c>
    </row>
    <row r="6577">
      <c r="A6577" t="inlineStr">
        <is>
          <t>2026-09-03</t>
        </is>
      </c>
      <c r="B6577" t="inlineStr">
        <is>
          <t>F271862</t>
        </is>
      </c>
      <c r="C6577" t="inlineStr">
        <is>
          <t>C10610</t>
        </is>
      </c>
      <c r="D6577" t="inlineStr">
        <is>
          <t>SKU-10014</t>
        </is>
      </c>
      <c r="E6577" t="inlineStr">
        <is>
          <t>AM11</t>
        </is>
      </c>
      <c r="F6577" s="5" t="n">
        <v>522.88</v>
      </c>
      <c r="G6577">
        <f>IF(LEFT(B6577,1)="C","Credit","Factuur")</f>
        <v/>
      </c>
      <c r="H6577">
        <f>IF(AND(B6577=B6576,D6577=D6576,A6577=A6576,F6577=F6576),1,0)</f>
        <v/>
      </c>
      <c r="I6577">
        <f>IF(C6577="C99999",1,0)</f>
        <v/>
      </c>
      <c r="J6577" s="5">
        <f>IF(OR(H6577=1,I6577=1),0,IF(G6577="Credit",-F6577,F6577))</f>
        <v/>
      </c>
    </row>
    <row r="6578">
      <c r="A6578" t="inlineStr">
        <is>
          <t>2026-09-03</t>
        </is>
      </c>
      <c r="B6578" t="inlineStr">
        <is>
          <t>F271862</t>
        </is>
      </c>
      <c r="C6578" t="inlineStr">
        <is>
          <t>C10610</t>
        </is>
      </c>
      <c r="D6578" t="inlineStr">
        <is>
          <t>SKU-10089</t>
        </is>
      </c>
      <c r="E6578" t="inlineStr">
        <is>
          <t>AM11</t>
        </is>
      </c>
      <c r="F6578" s="5" t="n">
        <v>502.4</v>
      </c>
      <c r="G6578">
        <f>IF(LEFT(B6578,1)="C","Credit","Factuur")</f>
        <v/>
      </c>
      <c r="H6578">
        <f>IF(AND(B6578=B6577,D6578=D6577,A6578=A6577,F6578=F6577),1,0)</f>
        <v/>
      </c>
      <c r="I6578">
        <f>IF(C6578="C99999",1,0)</f>
        <v/>
      </c>
      <c r="J6578" s="5">
        <f>IF(OR(H6578=1,I6578=1),0,IF(G6578="Credit",-F6578,F6578))</f>
        <v/>
      </c>
    </row>
    <row r="6579">
      <c r="A6579" t="inlineStr">
        <is>
          <t>2026-09-03</t>
        </is>
      </c>
      <c r="B6579" t="inlineStr">
        <is>
          <t>F272159</t>
        </is>
      </c>
      <c r="C6579" t="inlineStr">
        <is>
          <t>C10629</t>
        </is>
      </c>
      <c r="D6579" t="inlineStr">
        <is>
          <t>SKU-10126</t>
        </is>
      </c>
      <c r="E6579" t="inlineStr">
        <is>
          <t>AM12</t>
        </is>
      </c>
      <c r="F6579" s="5" t="n">
        <v>2790.87</v>
      </c>
      <c r="G6579">
        <f>IF(LEFT(B6579,1)="C","Credit","Factuur")</f>
        <v/>
      </c>
      <c r="H6579">
        <f>IF(AND(B6579=B6578,D6579=D6578,A6579=A6578,F6579=F6578),1,0)</f>
        <v/>
      </c>
      <c r="I6579">
        <f>IF(C6579="C99999",1,0)</f>
        <v/>
      </c>
      <c r="J6579" s="5">
        <f>IF(OR(H6579=1,I6579=1),0,IF(G6579="Credit",-F6579,F6579))</f>
        <v/>
      </c>
    </row>
    <row r="6580">
      <c r="A6580" t="inlineStr">
        <is>
          <t>2026-09-03</t>
        </is>
      </c>
      <c r="B6580" t="inlineStr">
        <is>
          <t>F272663</t>
        </is>
      </c>
      <c r="C6580" t="inlineStr">
        <is>
          <t>C10660</t>
        </is>
      </c>
      <c r="D6580" t="inlineStr">
        <is>
          <t>SKU-10020</t>
        </is>
      </c>
      <c r="E6580" t="inlineStr">
        <is>
          <t>AM02</t>
        </is>
      </c>
      <c r="F6580" s="5" t="n">
        <v>450.84</v>
      </c>
      <c r="G6580">
        <f>IF(LEFT(B6580,1)="C","Credit","Factuur")</f>
        <v/>
      </c>
      <c r="H6580">
        <f>IF(AND(B6580=B6579,D6580=D6579,A6580=A6579,F6580=F6579),1,0)</f>
        <v/>
      </c>
      <c r="I6580">
        <f>IF(C6580="C99999",1,0)</f>
        <v/>
      </c>
      <c r="J6580" s="5">
        <f>IF(OR(H6580=1,I6580=1),0,IF(G6580="Credit",-F6580,F6580))</f>
        <v/>
      </c>
    </row>
    <row r="6581">
      <c r="A6581" t="inlineStr">
        <is>
          <t>2026-09-03</t>
        </is>
      </c>
      <c r="B6581" t="inlineStr">
        <is>
          <t>F272743</t>
        </is>
      </c>
      <c r="C6581" t="inlineStr">
        <is>
          <t>C10664</t>
        </is>
      </c>
      <c r="D6581" t="inlineStr">
        <is>
          <t>SKU-10149</t>
        </is>
      </c>
      <c r="E6581" t="inlineStr">
        <is>
          <t>AM05</t>
        </is>
      </c>
      <c r="F6581" s="5" t="n">
        <v>145.16</v>
      </c>
      <c r="G6581">
        <f>IF(LEFT(B6581,1)="C","Credit","Factuur")</f>
        <v/>
      </c>
      <c r="H6581">
        <f>IF(AND(B6581=B6580,D6581=D6580,A6581=A6580,F6581=F6580),1,0)</f>
        <v/>
      </c>
      <c r="I6581">
        <f>IF(C6581="C99999",1,0)</f>
        <v/>
      </c>
      <c r="J6581" s="5">
        <f>IF(OR(H6581=1,I6581=1),0,IF(G6581="Credit",-F6581,F6581))</f>
        <v/>
      </c>
    </row>
    <row r="6582">
      <c r="A6582" t="inlineStr">
        <is>
          <t>2026-09-03</t>
        </is>
      </c>
      <c r="B6582" t="inlineStr">
        <is>
          <t>F272743</t>
        </is>
      </c>
      <c r="C6582" t="inlineStr">
        <is>
          <t>C10664</t>
        </is>
      </c>
      <c r="D6582" t="inlineStr">
        <is>
          <t>SKU-10187</t>
        </is>
      </c>
      <c r="E6582" t="inlineStr">
        <is>
          <t>AM05</t>
        </is>
      </c>
      <c r="F6582" s="5" t="n">
        <v>109.68</v>
      </c>
      <c r="G6582">
        <f>IF(LEFT(B6582,1)="C","Credit","Factuur")</f>
        <v/>
      </c>
      <c r="H6582">
        <f>IF(AND(B6582=B6581,D6582=D6581,A6582=A6581,F6582=F6581),1,0)</f>
        <v/>
      </c>
      <c r="I6582">
        <f>IF(C6582="C99999",1,0)</f>
        <v/>
      </c>
      <c r="J6582" s="5">
        <f>IF(OR(H6582=1,I6582=1),0,IF(G6582="Credit",-F6582,F6582))</f>
        <v/>
      </c>
    </row>
    <row r="6583">
      <c r="A6583" t="inlineStr">
        <is>
          <t>2026-09-03</t>
        </is>
      </c>
      <c r="B6583" t="inlineStr">
        <is>
          <t>F272743</t>
        </is>
      </c>
      <c r="C6583" t="inlineStr">
        <is>
          <t>C10664</t>
        </is>
      </c>
      <c r="D6583" t="inlineStr">
        <is>
          <t>SKU-10203</t>
        </is>
      </c>
      <c r="E6583" t="inlineStr">
        <is>
          <t>AM05</t>
        </is>
      </c>
      <c r="F6583" s="5" t="n">
        <v>133.74</v>
      </c>
      <c r="G6583">
        <f>IF(LEFT(B6583,1)="C","Credit","Factuur")</f>
        <v/>
      </c>
      <c r="H6583">
        <f>IF(AND(B6583=B6582,D6583=D6582,A6583=A6582,F6583=F6582),1,0)</f>
        <v/>
      </c>
      <c r="I6583">
        <f>IF(C6583="C99999",1,0)</f>
        <v/>
      </c>
      <c r="J6583" s="5">
        <f>IF(OR(H6583=1,I6583=1),0,IF(G6583="Credit",-F6583,F6583))</f>
        <v/>
      </c>
    </row>
    <row r="6584">
      <c r="A6584" t="inlineStr">
        <is>
          <t>2026-09-03</t>
        </is>
      </c>
      <c r="B6584" t="inlineStr">
        <is>
          <t>F272743</t>
        </is>
      </c>
      <c r="C6584" t="inlineStr">
        <is>
          <t>C10664</t>
        </is>
      </c>
      <c r="D6584" t="inlineStr">
        <is>
          <t>SKU-10319</t>
        </is>
      </c>
      <c r="E6584" t="inlineStr">
        <is>
          <t>AM05</t>
        </is>
      </c>
      <c r="F6584" s="5" t="n">
        <v>115.76</v>
      </c>
      <c r="G6584">
        <f>IF(LEFT(B6584,1)="C","Credit","Factuur")</f>
        <v/>
      </c>
      <c r="H6584">
        <f>IF(AND(B6584=B6583,D6584=D6583,A6584=A6583,F6584=F6583),1,0)</f>
        <v/>
      </c>
      <c r="I6584">
        <f>IF(C6584="C99999",1,0)</f>
        <v/>
      </c>
      <c r="J6584" s="5">
        <f>IF(OR(H6584=1,I6584=1),0,IF(G6584="Credit",-F6584,F6584))</f>
        <v/>
      </c>
    </row>
    <row r="6585">
      <c r="A6585" t="inlineStr">
        <is>
          <t>2026-09-03</t>
        </is>
      </c>
      <c r="B6585" t="inlineStr">
        <is>
          <t>F273177</t>
        </is>
      </c>
      <c r="C6585" t="inlineStr">
        <is>
          <t>C10688</t>
        </is>
      </c>
      <c r="D6585" t="inlineStr">
        <is>
          <t>SKU-10036</t>
        </is>
      </c>
      <c r="E6585" t="inlineStr">
        <is>
          <t>AM03</t>
        </is>
      </c>
      <c r="F6585" s="5" t="n">
        <v>339.28</v>
      </c>
      <c r="G6585">
        <f>IF(LEFT(B6585,1)="C","Credit","Factuur")</f>
        <v/>
      </c>
      <c r="H6585">
        <f>IF(AND(B6585=B6584,D6585=D6584,A6585=A6584,F6585=F6584),1,0)</f>
        <v/>
      </c>
      <c r="I6585">
        <f>IF(C6585="C99999",1,0)</f>
        <v/>
      </c>
      <c r="J6585" s="5">
        <f>IF(OR(H6585=1,I6585=1),0,IF(G6585="Credit",-F6585,F6585))</f>
        <v/>
      </c>
    </row>
    <row r="6586">
      <c r="A6586" t="inlineStr">
        <is>
          <t>2026-09-03</t>
        </is>
      </c>
      <c r="B6586" t="inlineStr">
        <is>
          <t>F273177</t>
        </is>
      </c>
      <c r="C6586" t="inlineStr">
        <is>
          <t>C10688</t>
        </is>
      </c>
      <c r="D6586" t="inlineStr">
        <is>
          <t>SKU-10168</t>
        </is>
      </c>
      <c r="E6586" t="inlineStr">
        <is>
          <t>AM03</t>
        </is>
      </c>
      <c r="F6586" s="5" t="n">
        <v>325.19</v>
      </c>
      <c r="G6586">
        <f>IF(LEFT(B6586,1)="C","Credit","Factuur")</f>
        <v/>
      </c>
      <c r="H6586">
        <f>IF(AND(B6586=B6585,D6586=D6585,A6586=A6585,F6586=F6585),1,0)</f>
        <v/>
      </c>
      <c r="I6586">
        <f>IF(C6586="C99999",1,0)</f>
        <v/>
      </c>
      <c r="J6586" s="5">
        <f>IF(OR(H6586=1,I6586=1),0,IF(G6586="Credit",-F6586,F6586))</f>
        <v/>
      </c>
    </row>
    <row r="6587">
      <c r="A6587" t="inlineStr">
        <is>
          <t>2026-09-03</t>
        </is>
      </c>
      <c r="B6587" t="inlineStr">
        <is>
          <t>F273785</t>
        </is>
      </c>
      <c r="C6587" t="inlineStr">
        <is>
          <t>C10725</t>
        </is>
      </c>
      <c r="D6587" t="inlineStr">
        <is>
          <t>SKU-10061</t>
        </is>
      </c>
      <c r="E6587" t="inlineStr">
        <is>
          <t>AM03</t>
        </is>
      </c>
      <c r="F6587" s="5" t="n">
        <v>143.64</v>
      </c>
      <c r="G6587">
        <f>IF(LEFT(B6587,1)="C","Credit","Factuur")</f>
        <v/>
      </c>
      <c r="H6587">
        <f>IF(AND(B6587=B6586,D6587=D6586,A6587=A6586,F6587=F6586),1,0)</f>
        <v/>
      </c>
      <c r="I6587">
        <f>IF(C6587="C99999",1,0)</f>
        <v/>
      </c>
      <c r="J6587" s="5">
        <f>IF(OR(H6587=1,I6587=1),0,IF(G6587="Credit",-F6587,F6587))</f>
        <v/>
      </c>
    </row>
    <row r="6588">
      <c r="A6588" t="inlineStr">
        <is>
          <t>2026-09-03</t>
        </is>
      </c>
      <c r="B6588" t="inlineStr">
        <is>
          <t>F273785</t>
        </is>
      </c>
      <c r="C6588" t="inlineStr">
        <is>
          <t>C10725</t>
        </is>
      </c>
      <c r="D6588" t="inlineStr">
        <is>
          <t>SKU-10162</t>
        </is>
      </c>
      <c r="E6588" t="inlineStr">
        <is>
          <t>AM03</t>
        </is>
      </c>
      <c r="F6588" s="5" t="n">
        <v>126</v>
      </c>
      <c r="G6588">
        <f>IF(LEFT(B6588,1)="C","Credit","Factuur")</f>
        <v/>
      </c>
      <c r="H6588">
        <f>IF(AND(B6588=B6587,D6588=D6587,A6588=A6587,F6588=F6587),1,0)</f>
        <v/>
      </c>
      <c r="I6588">
        <f>IF(C6588="C99999",1,0)</f>
        <v/>
      </c>
      <c r="J6588" s="5">
        <f>IF(OR(H6588=1,I6588=1),0,IF(G6588="Credit",-F6588,F6588))</f>
        <v/>
      </c>
    </row>
    <row r="6589">
      <c r="A6589" t="inlineStr">
        <is>
          <t>2026-09-03</t>
        </is>
      </c>
      <c r="B6589" t="inlineStr">
        <is>
          <t>F273785</t>
        </is>
      </c>
      <c r="C6589" t="inlineStr">
        <is>
          <t>C10725</t>
        </is>
      </c>
      <c r="D6589" t="inlineStr">
        <is>
          <t>SKU-10290</t>
        </is>
      </c>
      <c r="E6589" t="inlineStr">
        <is>
          <t>AM03</t>
        </is>
      </c>
      <c r="F6589" s="5" t="n">
        <v>123.26</v>
      </c>
      <c r="G6589">
        <f>IF(LEFT(B6589,1)="C","Credit","Factuur")</f>
        <v/>
      </c>
      <c r="H6589">
        <f>IF(AND(B6589=B6588,D6589=D6588,A6589=A6588,F6589=F6588),1,0)</f>
        <v/>
      </c>
      <c r="I6589">
        <f>IF(C6589="C99999",1,0)</f>
        <v/>
      </c>
      <c r="J6589" s="5">
        <f>IF(OR(H6589=1,I6589=1),0,IF(G6589="Credit",-F6589,F6589))</f>
        <v/>
      </c>
    </row>
    <row r="6590">
      <c r="A6590" t="inlineStr">
        <is>
          <t>2026-09-03</t>
        </is>
      </c>
      <c r="B6590" t="inlineStr">
        <is>
          <t>F275153</t>
        </is>
      </c>
      <c r="C6590" t="inlineStr">
        <is>
          <t>C10798</t>
        </is>
      </c>
      <c r="D6590" t="inlineStr">
        <is>
          <t>SKU-10214</t>
        </is>
      </c>
      <c r="E6590" t="inlineStr">
        <is>
          <t>AM08</t>
        </is>
      </c>
      <c r="F6590" s="5" t="n">
        <v>194.08</v>
      </c>
      <c r="G6590">
        <f>IF(LEFT(B6590,1)="C","Credit","Factuur")</f>
        <v/>
      </c>
      <c r="H6590">
        <f>IF(AND(B6590=B6589,D6590=D6589,A6590=A6589,F6590=F6589),1,0)</f>
        <v/>
      </c>
      <c r="I6590">
        <f>IF(C6590="C99999",1,0)</f>
        <v/>
      </c>
      <c r="J6590" s="5">
        <f>IF(OR(H6590=1,I6590=1),0,IF(G6590="Credit",-F6590,F6590))</f>
        <v/>
      </c>
    </row>
    <row r="6591">
      <c r="A6591" t="inlineStr">
        <is>
          <t>2026-09-03</t>
        </is>
      </c>
      <c r="B6591" t="inlineStr">
        <is>
          <t>F276416</t>
        </is>
      </c>
      <c r="C6591" t="inlineStr">
        <is>
          <t>C10869</t>
        </is>
      </c>
      <c r="D6591" t="inlineStr">
        <is>
          <t>SKU-10311</t>
        </is>
      </c>
      <c r="E6591" t="inlineStr">
        <is>
          <t>AM05</t>
        </is>
      </c>
      <c r="F6591" s="5" t="n">
        <v>191.23</v>
      </c>
      <c r="G6591">
        <f>IF(LEFT(B6591,1)="C","Credit","Factuur")</f>
        <v/>
      </c>
      <c r="H6591">
        <f>IF(AND(B6591=B6590,D6591=D6590,A6591=A6590,F6591=F6590),1,0)</f>
        <v/>
      </c>
      <c r="I6591">
        <f>IF(C6591="C99999",1,0)</f>
        <v/>
      </c>
      <c r="J6591" s="5">
        <f>IF(OR(H6591=1,I6591=1),0,IF(G6591="Credit",-F6591,F6591))</f>
        <v/>
      </c>
    </row>
    <row r="6592">
      <c r="A6592" t="inlineStr">
        <is>
          <t>2026-09-03</t>
        </is>
      </c>
      <c r="B6592" t="inlineStr">
        <is>
          <t>F276416</t>
        </is>
      </c>
      <c r="C6592" t="inlineStr">
        <is>
          <t>C10869</t>
        </is>
      </c>
      <c r="D6592" t="inlineStr">
        <is>
          <t>SKU-10319</t>
        </is>
      </c>
      <c r="E6592" t="inlineStr">
        <is>
          <t>AM05</t>
        </is>
      </c>
      <c r="F6592" s="5" t="n">
        <v>202.58</v>
      </c>
      <c r="G6592">
        <f>IF(LEFT(B6592,1)="C","Credit","Factuur")</f>
        <v/>
      </c>
      <c r="H6592">
        <f>IF(AND(B6592=B6591,D6592=D6591,A6592=A6591,F6592=F6591),1,0)</f>
        <v/>
      </c>
      <c r="I6592">
        <f>IF(C6592="C99999",1,0)</f>
        <v/>
      </c>
      <c r="J6592" s="5">
        <f>IF(OR(H6592=1,I6592=1),0,IF(G6592="Credit",-F6592,F6592))</f>
        <v/>
      </c>
    </row>
    <row r="6593">
      <c r="A6593" t="inlineStr">
        <is>
          <t>2026-09-03</t>
        </is>
      </c>
      <c r="B6593" t="inlineStr">
        <is>
          <t>F276727</t>
        </is>
      </c>
      <c r="C6593" t="inlineStr">
        <is>
          <t>C10887</t>
        </is>
      </c>
      <c r="D6593" t="inlineStr">
        <is>
          <t>SKU-10013</t>
        </is>
      </c>
      <c r="E6593" t="inlineStr">
        <is>
          <t>AM03</t>
        </is>
      </c>
      <c r="F6593" s="5" t="n">
        <v>112.83</v>
      </c>
      <c r="G6593">
        <f>IF(LEFT(B6593,1)="C","Credit","Factuur")</f>
        <v/>
      </c>
      <c r="H6593">
        <f>IF(AND(B6593=B6592,D6593=D6592,A6593=A6592,F6593=F6592),1,0)</f>
        <v/>
      </c>
      <c r="I6593">
        <f>IF(C6593="C99999",1,0)</f>
        <v/>
      </c>
      <c r="J6593" s="5">
        <f>IF(OR(H6593=1,I6593=1),0,IF(G6593="Credit",-F6593,F6593))</f>
        <v/>
      </c>
    </row>
    <row r="6594">
      <c r="A6594" t="inlineStr">
        <is>
          <t>2026-09-03</t>
        </is>
      </c>
      <c r="B6594" t="inlineStr">
        <is>
          <t>F276727</t>
        </is>
      </c>
      <c r="C6594" t="inlineStr">
        <is>
          <t>C10887</t>
        </is>
      </c>
      <c r="D6594" t="inlineStr">
        <is>
          <t>SKU-10054</t>
        </is>
      </c>
      <c r="E6594" t="inlineStr">
        <is>
          <t>AM03</t>
        </is>
      </c>
      <c r="F6594" s="5" t="n">
        <v>120.76</v>
      </c>
      <c r="G6594">
        <f>IF(LEFT(B6594,1)="C","Credit","Factuur")</f>
        <v/>
      </c>
      <c r="H6594">
        <f>IF(AND(B6594=B6593,D6594=D6593,A6594=A6593,F6594=F6593),1,0)</f>
        <v/>
      </c>
      <c r="I6594">
        <f>IF(C6594="C99999",1,0)</f>
        <v/>
      </c>
      <c r="J6594" s="5">
        <f>IF(OR(H6594=1,I6594=1),0,IF(G6594="Credit",-F6594,F6594))</f>
        <v/>
      </c>
    </row>
    <row r="6595">
      <c r="A6595" t="inlineStr">
        <is>
          <t>2026-09-03</t>
        </is>
      </c>
      <c r="B6595" t="inlineStr">
        <is>
          <t>F276727</t>
        </is>
      </c>
      <c r="C6595" t="inlineStr">
        <is>
          <t>C10887</t>
        </is>
      </c>
      <c r="D6595" t="inlineStr">
        <is>
          <t>SKU-10072</t>
        </is>
      </c>
      <c r="E6595" t="inlineStr">
        <is>
          <t>AM03</t>
        </is>
      </c>
      <c r="F6595" s="5" t="n">
        <v>104.46</v>
      </c>
      <c r="G6595">
        <f>IF(LEFT(B6595,1)="C","Credit","Factuur")</f>
        <v/>
      </c>
      <c r="H6595">
        <f>IF(AND(B6595=B6594,D6595=D6594,A6595=A6594,F6595=F6594),1,0)</f>
        <v/>
      </c>
      <c r="I6595">
        <f>IF(C6595="C99999",1,0)</f>
        <v/>
      </c>
      <c r="J6595" s="5">
        <f>IF(OR(H6595=1,I6595=1),0,IF(G6595="Credit",-F6595,F6595))</f>
        <v/>
      </c>
    </row>
    <row r="6596">
      <c r="A6596" t="inlineStr">
        <is>
          <t>2026-09-03</t>
        </is>
      </c>
      <c r="B6596" t="inlineStr">
        <is>
          <t>F276727</t>
        </is>
      </c>
      <c r="C6596" t="inlineStr">
        <is>
          <t>C10887</t>
        </is>
      </c>
      <c r="D6596" t="inlineStr">
        <is>
          <t>SKU-10295</t>
        </is>
      </c>
      <c r="E6596" t="inlineStr">
        <is>
          <t>AM03</t>
        </is>
      </c>
      <c r="F6596" s="5" t="n">
        <v>123.96</v>
      </c>
      <c r="G6596">
        <f>IF(LEFT(B6596,1)="C","Credit","Factuur")</f>
        <v/>
      </c>
      <c r="H6596">
        <f>IF(AND(B6596=B6595,D6596=D6595,A6596=A6595,F6596=F6595),1,0)</f>
        <v/>
      </c>
      <c r="I6596">
        <f>IF(C6596="C99999",1,0)</f>
        <v/>
      </c>
      <c r="J6596" s="5">
        <f>IF(OR(H6596=1,I6596=1),0,IF(G6596="Credit",-F6596,F6596))</f>
        <v/>
      </c>
    </row>
    <row r="6597">
      <c r="A6597" t="inlineStr">
        <is>
          <t>2026-09-03</t>
        </is>
      </c>
      <c r="B6597" t="inlineStr">
        <is>
          <t>F276727</t>
        </is>
      </c>
      <c r="C6597" t="inlineStr">
        <is>
          <t>C10887</t>
        </is>
      </c>
      <c r="D6597" t="inlineStr">
        <is>
          <t>SKU-10300</t>
        </is>
      </c>
      <c r="E6597" t="inlineStr">
        <is>
          <t>AM03</t>
        </is>
      </c>
      <c r="F6597" s="5" t="n">
        <v>114.9</v>
      </c>
      <c r="G6597">
        <f>IF(LEFT(B6597,1)="C","Credit","Factuur")</f>
        <v/>
      </c>
      <c r="H6597">
        <f>IF(AND(B6597=B6596,D6597=D6596,A6597=A6596,F6597=F6596),1,0)</f>
        <v/>
      </c>
      <c r="I6597">
        <f>IF(C6597="C99999",1,0)</f>
        <v/>
      </c>
      <c r="J6597" s="5">
        <f>IF(OR(H6597=1,I6597=1),0,IF(G6597="Credit",-F6597,F6597))</f>
        <v/>
      </c>
    </row>
    <row r="6598">
      <c r="A6598" t="inlineStr">
        <is>
          <t>2026-09-03</t>
        </is>
      </c>
      <c r="B6598" t="inlineStr">
        <is>
          <t>F278079</t>
        </is>
      </c>
      <c r="C6598" t="inlineStr">
        <is>
          <t>C10960</t>
        </is>
      </c>
      <c r="D6598" t="inlineStr">
        <is>
          <t>SKU-10213</t>
        </is>
      </c>
      <c r="E6598" t="inlineStr">
        <is>
          <t>IS01</t>
        </is>
      </c>
      <c r="F6598" s="5" t="n">
        <v>95.25</v>
      </c>
      <c r="G6598">
        <f>IF(LEFT(B6598,1)="C","Credit","Factuur")</f>
        <v/>
      </c>
      <c r="H6598">
        <f>IF(AND(B6598=B6597,D6598=D6597,A6598=A6597,F6598=F6597),1,0)</f>
        <v/>
      </c>
      <c r="I6598">
        <f>IF(C6598="C99999",1,0)</f>
        <v/>
      </c>
      <c r="J6598" s="5">
        <f>IF(OR(H6598=1,I6598=1),0,IF(G6598="Credit",-F6598,F6598))</f>
        <v/>
      </c>
    </row>
    <row r="6599">
      <c r="A6599" t="inlineStr">
        <is>
          <t>2026-09-03</t>
        </is>
      </c>
      <c r="B6599" t="inlineStr">
        <is>
          <t>F278079</t>
        </is>
      </c>
      <c r="C6599" t="inlineStr">
        <is>
          <t>C10960</t>
        </is>
      </c>
      <c r="D6599" t="inlineStr">
        <is>
          <t>SKU-10375</t>
        </is>
      </c>
      <c r="E6599" t="inlineStr">
        <is>
          <t>IS01</t>
        </is>
      </c>
      <c r="F6599" s="5" t="n">
        <v>72.04000000000001</v>
      </c>
      <c r="G6599">
        <f>IF(LEFT(B6599,1)="C","Credit","Factuur")</f>
        <v/>
      </c>
      <c r="H6599">
        <f>IF(AND(B6599=B6598,D6599=D6598,A6599=A6598,F6599=F6598),1,0)</f>
        <v/>
      </c>
      <c r="I6599">
        <f>IF(C6599="C99999",1,0)</f>
        <v/>
      </c>
      <c r="J6599" s="5">
        <f>IF(OR(H6599=1,I6599=1),0,IF(G6599="Credit",-F6599,F6599))</f>
        <v/>
      </c>
    </row>
    <row r="6600">
      <c r="A6600" t="inlineStr">
        <is>
          <t>2026-09-03</t>
        </is>
      </c>
      <c r="B6600" t="inlineStr">
        <is>
          <t>F278383</t>
        </is>
      </c>
      <c r="C6600" t="inlineStr">
        <is>
          <t>C10974</t>
        </is>
      </c>
      <c r="D6600" t="inlineStr">
        <is>
          <t>SKU-10111</t>
        </is>
      </c>
      <c r="E6600" t="inlineStr">
        <is>
          <t>AM02</t>
        </is>
      </c>
      <c r="F6600" s="5" t="n">
        <v>592.55</v>
      </c>
      <c r="G6600">
        <f>IF(LEFT(B6600,1)="C","Credit","Factuur")</f>
        <v/>
      </c>
      <c r="H6600">
        <f>IF(AND(B6600=B6599,D6600=D6599,A6600=A6599,F6600=F6599),1,0)</f>
        <v/>
      </c>
      <c r="I6600">
        <f>IF(C6600="C99999",1,0)</f>
        <v/>
      </c>
      <c r="J6600" s="5">
        <f>IF(OR(H6600=1,I6600=1),0,IF(G6600="Credit",-F6600,F6600))</f>
        <v/>
      </c>
    </row>
    <row r="6601">
      <c r="A6601" t="inlineStr">
        <is>
          <t>2026-09-03</t>
        </is>
      </c>
      <c r="B6601" t="inlineStr">
        <is>
          <t>F278383</t>
        </is>
      </c>
      <c r="C6601" t="inlineStr">
        <is>
          <t>C10974</t>
        </is>
      </c>
      <c r="D6601" t="inlineStr">
        <is>
          <t>SKU-10117</t>
        </is>
      </c>
      <c r="E6601" t="inlineStr">
        <is>
          <t>AM02</t>
        </is>
      </c>
      <c r="F6601" s="5" t="n">
        <v>605.8</v>
      </c>
      <c r="G6601">
        <f>IF(LEFT(B6601,1)="C","Credit","Factuur")</f>
        <v/>
      </c>
      <c r="H6601">
        <f>IF(AND(B6601=B6600,D6601=D6600,A6601=A6600,F6601=F6600),1,0)</f>
        <v/>
      </c>
      <c r="I6601">
        <f>IF(C6601="C99999",1,0)</f>
        <v/>
      </c>
      <c r="J6601" s="5">
        <f>IF(OR(H6601=1,I6601=1),0,IF(G6601="Credit",-F6601,F6601))</f>
        <v/>
      </c>
    </row>
    <row r="6602">
      <c r="A6602" t="inlineStr">
        <is>
          <t>2026-09-03</t>
        </is>
      </c>
      <c r="B6602" t="inlineStr">
        <is>
          <t>F278383</t>
        </is>
      </c>
      <c r="C6602" t="inlineStr">
        <is>
          <t>C10974</t>
        </is>
      </c>
      <c r="D6602" t="inlineStr">
        <is>
          <t>SKU-10300</t>
        </is>
      </c>
      <c r="E6602" t="inlineStr">
        <is>
          <t>AM02</t>
        </is>
      </c>
      <c r="F6602" s="5" t="n">
        <v>651.1</v>
      </c>
      <c r="G6602">
        <f>IF(LEFT(B6602,1)="C","Credit","Factuur")</f>
        <v/>
      </c>
      <c r="H6602">
        <f>IF(AND(B6602=B6601,D6602=D6601,A6602=A6601,F6602=F6601),1,0)</f>
        <v/>
      </c>
      <c r="I6602">
        <f>IF(C6602="C99999",1,0)</f>
        <v/>
      </c>
      <c r="J6602" s="5">
        <f>IF(OR(H6602=1,I6602=1),0,IF(G6602="Credit",-F6602,F6602))</f>
        <v/>
      </c>
    </row>
    <row r="6603">
      <c r="A6603" t="inlineStr">
        <is>
          <t>2026-09-03</t>
        </is>
      </c>
      <c r="B6603" t="inlineStr">
        <is>
          <t>F279304</t>
        </is>
      </c>
      <c r="C6603" t="inlineStr">
        <is>
          <t>C11025</t>
        </is>
      </c>
      <c r="D6603" t="inlineStr">
        <is>
          <t>SKU-10174</t>
        </is>
      </c>
      <c r="E6603" t="inlineStr">
        <is>
          <t>AM01</t>
        </is>
      </c>
      <c r="F6603" s="5" t="n">
        <v>638.5599999999999</v>
      </c>
      <c r="G6603">
        <f>IF(LEFT(B6603,1)="C","Credit","Factuur")</f>
        <v/>
      </c>
      <c r="H6603">
        <f>IF(AND(B6603=B6602,D6603=D6602,A6603=A6602,F6603=F6602),1,0)</f>
        <v/>
      </c>
      <c r="I6603">
        <f>IF(C6603="C99999",1,0)</f>
        <v/>
      </c>
      <c r="J6603" s="5">
        <f>IF(OR(H6603=1,I6603=1),0,IF(G6603="Credit",-F6603,F6603))</f>
        <v/>
      </c>
    </row>
    <row r="6604">
      <c r="A6604" t="inlineStr">
        <is>
          <t>2026-09-03</t>
        </is>
      </c>
      <c r="B6604" t="inlineStr">
        <is>
          <t>F279304</t>
        </is>
      </c>
      <c r="C6604" t="inlineStr">
        <is>
          <t>C11025</t>
        </is>
      </c>
      <c r="D6604" t="inlineStr">
        <is>
          <t>SKU-10206</t>
        </is>
      </c>
      <c r="E6604" t="inlineStr">
        <is>
          <t>AM01</t>
        </is>
      </c>
      <c r="F6604" s="5" t="n">
        <v>538.05</v>
      </c>
      <c r="G6604">
        <f>IF(LEFT(B6604,1)="C","Credit","Factuur")</f>
        <v/>
      </c>
      <c r="H6604">
        <f>IF(AND(B6604=B6603,D6604=D6603,A6604=A6603,F6604=F6603),1,0)</f>
        <v/>
      </c>
      <c r="I6604">
        <f>IF(C6604="C99999",1,0)</f>
        <v/>
      </c>
      <c r="J6604" s="5">
        <f>IF(OR(H6604=1,I6604=1),0,IF(G6604="Credit",-F6604,F6604))</f>
        <v/>
      </c>
    </row>
    <row r="6605">
      <c r="A6605" t="inlineStr">
        <is>
          <t>2026-09-03</t>
        </is>
      </c>
      <c r="B6605" t="inlineStr">
        <is>
          <t>F279304</t>
        </is>
      </c>
      <c r="C6605" t="inlineStr">
        <is>
          <t>C11025</t>
        </is>
      </c>
      <c r="D6605" t="inlineStr">
        <is>
          <t>SKU-10269</t>
        </is>
      </c>
      <c r="E6605" t="inlineStr">
        <is>
          <t>AM01</t>
        </is>
      </c>
      <c r="F6605" s="5" t="n">
        <v>634.92</v>
      </c>
      <c r="G6605">
        <f>IF(LEFT(B6605,1)="C","Credit","Factuur")</f>
        <v/>
      </c>
      <c r="H6605">
        <f>IF(AND(B6605=B6604,D6605=D6604,A6605=A6604,F6605=F6604),1,0)</f>
        <v/>
      </c>
      <c r="I6605">
        <f>IF(C6605="C99999",1,0)</f>
        <v/>
      </c>
      <c r="J6605" s="5">
        <f>IF(OR(H6605=1,I6605=1),0,IF(G6605="Credit",-F6605,F6605))</f>
        <v/>
      </c>
    </row>
    <row r="6606">
      <c r="A6606" t="inlineStr">
        <is>
          <t>2026-09-03</t>
        </is>
      </c>
      <c r="B6606" t="inlineStr">
        <is>
          <t>F279702</t>
        </is>
      </c>
      <c r="C6606" t="inlineStr">
        <is>
          <t>C11044</t>
        </is>
      </c>
      <c r="D6606" t="inlineStr">
        <is>
          <t>SKU-10095</t>
        </is>
      </c>
      <c r="E6606" t="inlineStr">
        <is>
          <t>AM11</t>
        </is>
      </c>
      <c r="F6606" s="5" t="n">
        <v>3404.5</v>
      </c>
      <c r="G6606">
        <f>IF(LEFT(B6606,1)="C","Credit","Factuur")</f>
        <v/>
      </c>
      <c r="H6606">
        <f>IF(AND(B6606=B6605,D6606=D6605,A6606=A6605,F6606=F6605),1,0)</f>
        <v/>
      </c>
      <c r="I6606">
        <f>IF(C6606="C99999",1,0)</f>
        <v/>
      </c>
      <c r="J6606" s="5">
        <f>IF(OR(H6606=1,I6606=1),0,IF(G6606="Credit",-F6606,F6606))</f>
        <v/>
      </c>
    </row>
    <row r="6607">
      <c r="A6607" t="inlineStr">
        <is>
          <t>2026-09-03</t>
        </is>
      </c>
      <c r="B6607" t="inlineStr">
        <is>
          <t>F280118</t>
        </is>
      </c>
      <c r="C6607" t="inlineStr">
        <is>
          <t>C11063</t>
        </is>
      </c>
      <c r="D6607" t="inlineStr">
        <is>
          <t>SKU-10104</t>
        </is>
      </c>
      <c r="E6607" t="inlineStr">
        <is>
          <t>AM11</t>
        </is>
      </c>
      <c r="F6607" s="5" t="n">
        <v>182.28</v>
      </c>
      <c r="G6607">
        <f>IF(LEFT(B6607,1)="C","Credit","Factuur")</f>
        <v/>
      </c>
      <c r="H6607">
        <f>IF(AND(B6607=B6606,D6607=D6606,A6607=A6606,F6607=F6606),1,0)</f>
        <v/>
      </c>
      <c r="I6607">
        <f>IF(C6607="C99999",1,0)</f>
        <v/>
      </c>
      <c r="J6607" s="5">
        <f>IF(OR(H6607=1,I6607=1),0,IF(G6607="Credit",-F6607,F6607))</f>
        <v/>
      </c>
    </row>
    <row r="6608">
      <c r="A6608" t="inlineStr">
        <is>
          <t>2026-09-03</t>
        </is>
      </c>
      <c r="B6608" t="inlineStr">
        <is>
          <t>F280323</t>
        </is>
      </c>
      <c r="C6608" t="inlineStr">
        <is>
          <t>C11074</t>
        </is>
      </c>
      <c r="D6608" t="inlineStr">
        <is>
          <t>SKU-10317</t>
        </is>
      </c>
      <c r="E6608" t="inlineStr">
        <is>
          <t>AM12</t>
        </is>
      </c>
      <c r="F6608" s="5" t="n">
        <v>897.8</v>
      </c>
      <c r="G6608">
        <f>IF(LEFT(B6608,1)="C","Credit","Factuur")</f>
        <v/>
      </c>
      <c r="H6608">
        <f>IF(AND(B6608=B6607,D6608=D6607,A6608=A6607,F6608=F6607),1,0)</f>
        <v/>
      </c>
      <c r="I6608">
        <f>IF(C6608="C99999",1,0)</f>
        <v/>
      </c>
      <c r="J6608" s="5">
        <f>IF(OR(H6608=1,I6608=1),0,IF(G6608="Credit",-F6608,F6608))</f>
        <v/>
      </c>
    </row>
    <row r="6609">
      <c r="A6609" t="inlineStr">
        <is>
          <t>2026-09-03</t>
        </is>
      </c>
      <c r="B6609" t="inlineStr">
        <is>
          <t>F280326</t>
        </is>
      </c>
      <c r="C6609" t="inlineStr">
        <is>
          <t>C11074</t>
        </is>
      </c>
      <c r="D6609" t="inlineStr">
        <is>
          <t>SKU-10050</t>
        </is>
      </c>
      <c r="E6609" t="inlineStr">
        <is>
          <t>AM12</t>
        </is>
      </c>
      <c r="F6609" s="5" t="n">
        <v>160.29</v>
      </c>
      <c r="G6609">
        <f>IF(LEFT(B6609,1)="C","Credit","Factuur")</f>
        <v/>
      </c>
      <c r="H6609">
        <f>IF(AND(B6609=B6608,D6609=D6608,A6609=A6608,F6609=F6608),1,0)</f>
        <v/>
      </c>
      <c r="I6609">
        <f>IF(C6609="C99999",1,0)</f>
        <v/>
      </c>
      <c r="J6609" s="5">
        <f>IF(OR(H6609=1,I6609=1),0,IF(G6609="Credit",-F6609,F6609))</f>
        <v/>
      </c>
    </row>
    <row r="6610">
      <c r="A6610" t="inlineStr">
        <is>
          <t>2026-09-03</t>
        </is>
      </c>
      <c r="B6610" t="inlineStr">
        <is>
          <t>F280326</t>
        </is>
      </c>
      <c r="C6610" t="inlineStr">
        <is>
          <t>C11074</t>
        </is>
      </c>
      <c r="D6610" t="inlineStr">
        <is>
          <t>SKU-10154</t>
        </is>
      </c>
      <c r="E6610" t="inlineStr">
        <is>
          <t>AM12</t>
        </is>
      </c>
      <c r="F6610" s="5" t="n">
        <v>132.68</v>
      </c>
      <c r="G6610">
        <f>IF(LEFT(B6610,1)="C","Credit","Factuur")</f>
        <v/>
      </c>
      <c r="H6610">
        <f>IF(AND(B6610=B6609,D6610=D6609,A6610=A6609,F6610=F6609),1,0)</f>
        <v/>
      </c>
      <c r="I6610">
        <f>IF(C6610="C99999",1,0)</f>
        <v/>
      </c>
      <c r="J6610" s="5">
        <f>IF(OR(H6610=1,I6610=1),0,IF(G6610="Credit",-F6610,F6610))</f>
        <v/>
      </c>
    </row>
    <row r="6611">
      <c r="A6611" t="inlineStr">
        <is>
          <t>2026-09-03</t>
        </is>
      </c>
      <c r="B6611" t="inlineStr">
        <is>
          <t>F280326</t>
        </is>
      </c>
      <c r="C6611" t="inlineStr">
        <is>
          <t>C11074</t>
        </is>
      </c>
      <c r="D6611" t="inlineStr">
        <is>
          <t>SKU-10213</t>
        </is>
      </c>
      <c r="E6611" t="inlineStr"/>
      <c r="F6611" s="5" t="n">
        <v>144.78</v>
      </c>
      <c r="G6611">
        <f>IF(LEFT(B6611,1)="C","Credit","Factuur")</f>
        <v/>
      </c>
      <c r="H6611">
        <f>IF(AND(B6611=B6610,D6611=D6610,A6611=A6610,F6611=F6610),1,0)</f>
        <v/>
      </c>
      <c r="I6611">
        <f>IF(C6611="C99999",1,0)</f>
        <v/>
      </c>
      <c r="J6611" s="5">
        <f>IF(OR(H6611=1,I6611=1),0,IF(G6611="Credit",-F6611,F6611))</f>
        <v/>
      </c>
    </row>
    <row r="6612">
      <c r="A6612" t="inlineStr">
        <is>
          <t>2026-09-03</t>
        </is>
      </c>
      <c r="B6612" t="inlineStr">
        <is>
          <t>F280326</t>
        </is>
      </c>
      <c r="C6612" t="inlineStr">
        <is>
          <t>C11074</t>
        </is>
      </c>
      <c r="D6612" t="inlineStr">
        <is>
          <t>SKU-10218</t>
        </is>
      </c>
      <c r="E6612" t="inlineStr">
        <is>
          <t>AM12</t>
        </is>
      </c>
      <c r="F6612" s="5" t="n">
        <v>157.14</v>
      </c>
      <c r="G6612">
        <f>IF(LEFT(B6612,1)="C","Credit","Factuur")</f>
        <v/>
      </c>
      <c r="H6612">
        <f>IF(AND(B6612=B6611,D6612=D6611,A6612=A6611,F6612=F6611),1,0)</f>
        <v/>
      </c>
      <c r="I6612">
        <f>IF(C6612="C99999",1,0)</f>
        <v/>
      </c>
      <c r="J6612" s="5">
        <f>IF(OR(H6612=1,I6612=1),0,IF(G6612="Credit",-F6612,F6612))</f>
        <v/>
      </c>
    </row>
    <row r="6613">
      <c r="A6613" t="inlineStr">
        <is>
          <t>2026-09-03</t>
        </is>
      </c>
      <c r="B6613" t="inlineStr">
        <is>
          <t>F280326</t>
        </is>
      </c>
      <c r="C6613" t="inlineStr">
        <is>
          <t>C11074</t>
        </is>
      </c>
      <c r="D6613" t="inlineStr">
        <is>
          <t>SKU-10279</t>
        </is>
      </c>
      <c r="E6613" t="inlineStr">
        <is>
          <t>AM12</t>
        </is>
      </c>
      <c r="F6613" s="5" t="n">
        <v>165.8</v>
      </c>
      <c r="G6613">
        <f>IF(LEFT(B6613,1)="C","Credit","Factuur")</f>
        <v/>
      </c>
      <c r="H6613">
        <f>IF(AND(B6613=B6612,D6613=D6612,A6613=A6612,F6613=F6612),1,0)</f>
        <v/>
      </c>
      <c r="I6613">
        <f>IF(C6613="C99999",1,0)</f>
        <v/>
      </c>
      <c r="J6613" s="5">
        <f>IF(OR(H6613=1,I6613=1),0,IF(G6613="Credit",-F6613,F6613))</f>
        <v/>
      </c>
    </row>
    <row r="6614">
      <c r="A6614" t="inlineStr">
        <is>
          <t>2026-09-03</t>
        </is>
      </c>
      <c r="B6614" t="inlineStr">
        <is>
          <t>F280581</t>
        </is>
      </c>
      <c r="C6614" t="inlineStr">
        <is>
          <t>C11085</t>
        </is>
      </c>
      <c r="D6614" t="inlineStr">
        <is>
          <t>SKU-10072</t>
        </is>
      </c>
      <c r="E6614" t="inlineStr">
        <is>
          <t>AM06</t>
        </is>
      </c>
      <c r="F6614" s="5" t="n">
        <v>188.03</v>
      </c>
      <c r="G6614">
        <f>IF(LEFT(B6614,1)="C","Credit","Factuur")</f>
        <v/>
      </c>
      <c r="H6614">
        <f>IF(AND(B6614=B6613,D6614=D6613,A6614=A6613,F6614=F6613),1,0)</f>
        <v/>
      </c>
      <c r="I6614">
        <f>IF(C6614="C99999",1,0)</f>
        <v/>
      </c>
      <c r="J6614" s="5">
        <f>IF(OR(H6614=1,I6614=1),0,IF(G6614="Credit",-F6614,F6614))</f>
        <v/>
      </c>
    </row>
    <row r="6615">
      <c r="A6615" t="inlineStr">
        <is>
          <t>2026-09-03</t>
        </is>
      </c>
      <c r="B6615" t="inlineStr">
        <is>
          <t>F280581</t>
        </is>
      </c>
      <c r="C6615" t="inlineStr">
        <is>
          <t>C11085</t>
        </is>
      </c>
      <c r="D6615" t="inlineStr">
        <is>
          <t>SKU-10143</t>
        </is>
      </c>
      <c r="E6615" t="inlineStr">
        <is>
          <t>AM06</t>
        </is>
      </c>
      <c r="F6615" s="5" t="n">
        <v>207.14</v>
      </c>
      <c r="G6615">
        <f>IF(LEFT(B6615,1)="C","Credit","Factuur")</f>
        <v/>
      </c>
      <c r="H6615">
        <f>IF(AND(B6615=B6614,D6615=D6614,A6615=A6614,F6615=F6614),1,0)</f>
        <v/>
      </c>
      <c r="I6615">
        <f>IF(C6615="C99999",1,0)</f>
        <v/>
      </c>
      <c r="J6615" s="5">
        <f>IF(OR(H6615=1,I6615=1),0,IF(G6615="Credit",-F6615,F6615))</f>
        <v/>
      </c>
    </row>
    <row r="6616">
      <c r="A6616" t="inlineStr">
        <is>
          <t>2026-09-03</t>
        </is>
      </c>
      <c r="B6616" t="inlineStr">
        <is>
          <t>F280581</t>
        </is>
      </c>
      <c r="C6616" t="inlineStr">
        <is>
          <t>C11085</t>
        </is>
      </c>
      <c r="D6616" t="inlineStr">
        <is>
          <t>SKU-10153</t>
        </is>
      </c>
      <c r="E6616" t="inlineStr">
        <is>
          <t>AM06</t>
        </is>
      </c>
      <c r="F6616" s="5" t="n">
        <v>192.2</v>
      </c>
      <c r="G6616">
        <f>IF(LEFT(B6616,1)="C","Credit","Factuur")</f>
        <v/>
      </c>
      <c r="H6616">
        <f>IF(AND(B6616=B6615,D6616=D6615,A6616=A6615,F6616=F6615),1,0)</f>
        <v/>
      </c>
      <c r="I6616">
        <f>IF(C6616="C99999",1,0)</f>
        <v/>
      </c>
      <c r="J6616" s="5">
        <f>IF(OR(H6616=1,I6616=1),0,IF(G6616="Credit",-F6616,F6616))</f>
        <v/>
      </c>
    </row>
    <row r="6617">
      <c r="A6617" t="inlineStr">
        <is>
          <t>2026-09-03</t>
        </is>
      </c>
      <c r="B6617" t="inlineStr">
        <is>
          <t>F280581</t>
        </is>
      </c>
      <c r="C6617" t="inlineStr">
        <is>
          <t>C11085</t>
        </is>
      </c>
      <c r="D6617" t="inlineStr">
        <is>
          <t>SKU-10226</t>
        </is>
      </c>
      <c r="E6617" t="inlineStr">
        <is>
          <t>AM06</t>
        </is>
      </c>
      <c r="F6617" s="5" t="n">
        <v>207.68</v>
      </c>
      <c r="G6617">
        <f>IF(LEFT(B6617,1)="C","Credit","Factuur")</f>
        <v/>
      </c>
      <c r="H6617">
        <f>IF(AND(B6617=B6616,D6617=D6616,A6617=A6616,F6617=F6616),1,0)</f>
        <v/>
      </c>
      <c r="I6617">
        <f>IF(C6617="C99999",1,0)</f>
        <v/>
      </c>
      <c r="J6617" s="5">
        <f>IF(OR(H6617=1,I6617=1),0,IF(G6617="Credit",-F6617,F6617))</f>
        <v/>
      </c>
    </row>
    <row r="6618">
      <c r="A6618" t="inlineStr">
        <is>
          <t>2026-09-03</t>
        </is>
      </c>
      <c r="B6618" t="inlineStr">
        <is>
          <t>F280581</t>
        </is>
      </c>
      <c r="C6618" t="inlineStr">
        <is>
          <t>C11085</t>
        </is>
      </c>
      <c r="D6618" t="inlineStr">
        <is>
          <t>SKU-10278</t>
        </is>
      </c>
      <c r="E6618" t="inlineStr">
        <is>
          <t>AM06</t>
        </is>
      </c>
      <c r="F6618" s="5" t="n">
        <v>199.69</v>
      </c>
      <c r="G6618">
        <f>IF(LEFT(B6618,1)="C","Credit","Factuur")</f>
        <v/>
      </c>
      <c r="H6618">
        <f>IF(AND(B6618=B6617,D6618=D6617,A6618=A6617,F6618=F6617),1,0)</f>
        <v/>
      </c>
      <c r="I6618">
        <f>IF(C6618="C99999",1,0)</f>
        <v/>
      </c>
      <c r="J6618" s="5">
        <f>IF(OR(H6618=1,I6618=1),0,IF(G6618="Credit",-F6618,F6618))</f>
        <v/>
      </c>
    </row>
    <row r="6619">
      <c r="A6619" t="inlineStr">
        <is>
          <t>2026-09-03</t>
        </is>
      </c>
      <c r="B6619" t="inlineStr">
        <is>
          <t>F280581</t>
        </is>
      </c>
      <c r="C6619" t="inlineStr">
        <is>
          <t>C11085</t>
        </is>
      </c>
      <c r="D6619" t="inlineStr">
        <is>
          <t>SKU-10302</t>
        </is>
      </c>
      <c r="E6619" t="inlineStr">
        <is>
          <t>AM06</t>
        </is>
      </c>
      <c r="F6619" s="5" t="n">
        <v>208.57</v>
      </c>
      <c r="G6619">
        <f>IF(LEFT(B6619,1)="C","Credit","Factuur")</f>
        <v/>
      </c>
      <c r="H6619">
        <f>IF(AND(B6619=B6618,D6619=D6618,A6619=A6618,F6619=F6618),1,0)</f>
        <v/>
      </c>
      <c r="I6619">
        <f>IF(C6619="C99999",1,0)</f>
        <v/>
      </c>
      <c r="J6619" s="5">
        <f>IF(OR(H6619=1,I6619=1),0,IF(G6619="Credit",-F6619,F6619))</f>
        <v/>
      </c>
    </row>
    <row r="6620">
      <c r="A6620" t="inlineStr">
        <is>
          <t>2026-09-03</t>
        </is>
      </c>
      <c r="B6620" t="inlineStr">
        <is>
          <t>F280581</t>
        </is>
      </c>
      <c r="C6620" t="inlineStr">
        <is>
          <t>C11085</t>
        </is>
      </c>
      <c r="D6620" t="inlineStr">
        <is>
          <t>SKU-10352</t>
        </is>
      </c>
      <c r="E6620" t="inlineStr">
        <is>
          <t>AM06</t>
        </is>
      </c>
      <c r="F6620" s="5" t="n">
        <v>157.99</v>
      </c>
      <c r="G6620">
        <f>IF(LEFT(B6620,1)="C","Credit","Factuur")</f>
        <v/>
      </c>
      <c r="H6620">
        <f>IF(AND(B6620=B6619,D6620=D6619,A6620=A6619,F6620=F6619),1,0)</f>
        <v/>
      </c>
      <c r="I6620">
        <f>IF(C6620="C99999",1,0)</f>
        <v/>
      </c>
      <c r="J6620" s="5">
        <f>IF(OR(H6620=1,I6620=1),0,IF(G6620="Credit",-F6620,F6620))</f>
        <v/>
      </c>
    </row>
    <row r="6621">
      <c r="A6621" t="inlineStr">
        <is>
          <t>2026-09-03</t>
        </is>
      </c>
      <c r="B6621" t="inlineStr">
        <is>
          <t>F281548</t>
        </is>
      </c>
      <c r="C6621" t="inlineStr">
        <is>
          <t>C11136</t>
        </is>
      </c>
      <c r="D6621" t="inlineStr">
        <is>
          <t>SKU-10043</t>
        </is>
      </c>
      <c r="E6621" t="inlineStr">
        <is>
          <t>AM02</t>
        </is>
      </c>
      <c r="F6621" s="5" t="n">
        <v>311.64</v>
      </c>
      <c r="G6621">
        <f>IF(LEFT(B6621,1)="C","Credit","Factuur")</f>
        <v/>
      </c>
      <c r="H6621">
        <f>IF(AND(B6621=B6620,D6621=D6620,A6621=A6620,F6621=F6620),1,0)</f>
        <v/>
      </c>
      <c r="I6621">
        <f>IF(C6621="C99999",1,0)</f>
        <v/>
      </c>
      <c r="J6621" s="5">
        <f>IF(OR(H6621=1,I6621=1),0,IF(G6621="Credit",-F6621,F6621))</f>
        <v/>
      </c>
    </row>
    <row r="6622">
      <c r="A6622" t="inlineStr">
        <is>
          <t>2026-09-03</t>
        </is>
      </c>
      <c r="B6622" t="inlineStr">
        <is>
          <t>F281548</t>
        </is>
      </c>
      <c r="C6622" t="inlineStr">
        <is>
          <t>C11136</t>
        </is>
      </c>
      <c r="D6622" t="inlineStr">
        <is>
          <t>SKU-10229</t>
        </is>
      </c>
      <c r="E6622" t="inlineStr">
        <is>
          <t>AM02</t>
        </is>
      </c>
      <c r="F6622" s="5" t="n">
        <v>300.28</v>
      </c>
      <c r="G6622">
        <f>IF(LEFT(B6622,1)="C","Credit","Factuur")</f>
        <v/>
      </c>
      <c r="H6622">
        <f>IF(AND(B6622=B6621,D6622=D6621,A6622=A6621,F6622=F6621),1,0)</f>
        <v/>
      </c>
      <c r="I6622">
        <f>IF(C6622="C99999",1,0)</f>
        <v/>
      </c>
      <c r="J6622" s="5">
        <f>IF(OR(H6622=1,I6622=1),0,IF(G6622="Credit",-F6622,F6622))</f>
        <v/>
      </c>
    </row>
    <row r="6623">
      <c r="A6623" t="inlineStr">
        <is>
          <t>2026-09-03</t>
        </is>
      </c>
      <c r="B6623" t="inlineStr">
        <is>
          <t>F283366</t>
        </is>
      </c>
      <c r="C6623" t="inlineStr">
        <is>
          <t>C11228</t>
        </is>
      </c>
      <c r="D6623" t="inlineStr">
        <is>
          <t>SKU-10061</t>
        </is>
      </c>
      <c r="E6623" t="inlineStr">
        <is>
          <t>AM02</t>
        </is>
      </c>
      <c r="F6623" s="5" t="n">
        <v>614.0599999999999</v>
      </c>
      <c r="G6623">
        <f>IF(LEFT(B6623,1)="C","Credit","Factuur")</f>
        <v/>
      </c>
      <c r="H6623">
        <f>IF(AND(B6623=B6622,D6623=D6622,A6623=A6622,F6623=F6622),1,0)</f>
        <v/>
      </c>
      <c r="I6623">
        <f>IF(C6623="C99999",1,0)</f>
        <v/>
      </c>
      <c r="J6623" s="5">
        <f>IF(OR(H6623=1,I6623=1),0,IF(G6623="Credit",-F6623,F6623))</f>
        <v/>
      </c>
    </row>
    <row r="6624">
      <c r="A6624" t="inlineStr">
        <is>
          <t>2026-09-03</t>
        </is>
      </c>
      <c r="B6624" t="inlineStr">
        <is>
          <t>F283366</t>
        </is>
      </c>
      <c r="C6624" t="inlineStr">
        <is>
          <t>C11228</t>
        </is>
      </c>
      <c r="D6624" t="inlineStr">
        <is>
          <t>SKU-10273</t>
        </is>
      </c>
      <c r="E6624" t="inlineStr">
        <is>
          <t>AM02</t>
        </is>
      </c>
      <c r="F6624" s="5" t="n">
        <v>578.16</v>
      </c>
      <c r="G6624">
        <f>IF(LEFT(B6624,1)="C","Credit","Factuur")</f>
        <v/>
      </c>
      <c r="H6624">
        <f>IF(AND(B6624=B6623,D6624=D6623,A6624=A6623,F6624=F6623),1,0)</f>
        <v/>
      </c>
      <c r="I6624">
        <f>IF(C6624="C99999",1,0)</f>
        <v/>
      </c>
      <c r="J6624" s="5">
        <f>IF(OR(H6624=1,I6624=1),0,IF(G6624="Credit",-F6624,F6624))</f>
        <v/>
      </c>
    </row>
    <row r="6625">
      <c r="A6625" t="inlineStr">
        <is>
          <t>2026-09-03</t>
        </is>
      </c>
      <c r="B6625" t="inlineStr">
        <is>
          <t>F283638</t>
        </is>
      </c>
      <c r="C6625" t="inlineStr">
        <is>
          <t>C11240</t>
        </is>
      </c>
      <c r="D6625" t="inlineStr">
        <is>
          <t>SKU-10109</t>
        </is>
      </c>
      <c r="E6625" t="inlineStr">
        <is>
          <t>AM02</t>
        </is>
      </c>
      <c r="F6625" s="5" t="n">
        <v>227.76</v>
      </c>
      <c r="G6625">
        <f>IF(LEFT(B6625,1)="C","Credit","Factuur")</f>
        <v/>
      </c>
      <c r="H6625">
        <f>IF(AND(B6625=B6624,D6625=D6624,A6625=A6624,F6625=F6624),1,0)</f>
        <v/>
      </c>
      <c r="I6625">
        <f>IF(C6625="C99999",1,0)</f>
        <v/>
      </c>
      <c r="J6625" s="5">
        <f>IF(OR(H6625=1,I6625=1),0,IF(G6625="Credit",-F6625,F6625))</f>
        <v/>
      </c>
    </row>
    <row r="6626">
      <c r="A6626" t="inlineStr">
        <is>
          <t>2026-09-03</t>
        </is>
      </c>
      <c r="B6626" t="inlineStr">
        <is>
          <t>F283638</t>
        </is>
      </c>
      <c r="C6626" t="inlineStr">
        <is>
          <t>C11240</t>
        </is>
      </c>
      <c r="D6626" t="inlineStr">
        <is>
          <t>SKU-10133</t>
        </is>
      </c>
      <c r="E6626" t="inlineStr">
        <is>
          <t>AM02</t>
        </is>
      </c>
      <c r="F6626" s="5" t="n">
        <v>232.92</v>
      </c>
      <c r="G6626">
        <f>IF(LEFT(B6626,1)="C","Credit","Factuur")</f>
        <v/>
      </c>
      <c r="H6626">
        <f>IF(AND(B6626=B6625,D6626=D6625,A6626=A6625,F6626=F6625),1,0)</f>
        <v/>
      </c>
      <c r="I6626">
        <f>IF(C6626="C99999",1,0)</f>
        <v/>
      </c>
      <c r="J6626" s="5">
        <f>IF(OR(H6626=1,I6626=1),0,IF(G6626="Credit",-F6626,F6626))</f>
        <v/>
      </c>
    </row>
    <row r="6627">
      <c r="A6627" t="inlineStr">
        <is>
          <t>2026-09-03</t>
        </is>
      </c>
      <c r="B6627" t="inlineStr">
        <is>
          <t>F283638</t>
        </is>
      </c>
      <c r="C6627" t="inlineStr">
        <is>
          <t>C11240</t>
        </is>
      </c>
      <c r="D6627" t="inlineStr">
        <is>
          <t>SKU-10142</t>
        </is>
      </c>
      <c r="E6627" t="inlineStr">
        <is>
          <t>AM02</t>
        </is>
      </c>
      <c r="F6627" s="5" t="n">
        <v>195.64</v>
      </c>
      <c r="G6627">
        <f>IF(LEFT(B6627,1)="C","Credit","Factuur")</f>
        <v/>
      </c>
      <c r="H6627">
        <f>IF(AND(B6627=B6626,D6627=D6626,A6627=A6626,F6627=F6626),1,0)</f>
        <v/>
      </c>
      <c r="I6627">
        <f>IF(C6627="C99999",1,0)</f>
        <v/>
      </c>
      <c r="J6627" s="5">
        <f>IF(OR(H6627=1,I6627=1),0,IF(G6627="Credit",-F6627,F6627))</f>
        <v/>
      </c>
    </row>
    <row r="6628">
      <c r="A6628" t="inlineStr">
        <is>
          <t>2026-09-03</t>
        </is>
      </c>
      <c r="B6628" t="inlineStr">
        <is>
          <t>F283917</t>
        </is>
      </c>
      <c r="C6628" t="inlineStr">
        <is>
          <t>C11252</t>
        </is>
      </c>
      <c r="D6628" t="inlineStr">
        <is>
          <t>SKU-10114</t>
        </is>
      </c>
      <c r="E6628" t="inlineStr">
        <is>
          <t>AM08</t>
        </is>
      </c>
      <c r="F6628" s="5" t="n">
        <v>254.41</v>
      </c>
      <c r="G6628">
        <f>IF(LEFT(B6628,1)="C","Credit","Factuur")</f>
        <v/>
      </c>
      <c r="H6628">
        <f>IF(AND(B6628=B6627,D6628=D6627,A6628=A6627,F6628=F6627),1,0)</f>
        <v/>
      </c>
      <c r="I6628">
        <f>IF(C6628="C99999",1,0)</f>
        <v/>
      </c>
      <c r="J6628" s="5">
        <f>IF(OR(H6628=1,I6628=1),0,IF(G6628="Credit",-F6628,F6628))</f>
        <v/>
      </c>
    </row>
    <row r="6629">
      <c r="A6629" t="inlineStr">
        <is>
          <t>2026-09-03</t>
        </is>
      </c>
      <c r="B6629" t="inlineStr">
        <is>
          <t>F283917</t>
        </is>
      </c>
      <c r="C6629" t="inlineStr">
        <is>
          <t>C11252</t>
        </is>
      </c>
      <c r="D6629" t="inlineStr">
        <is>
          <t>SKU-10317</t>
        </is>
      </c>
      <c r="E6629" t="inlineStr">
        <is>
          <t>AM08</t>
        </is>
      </c>
      <c r="F6629" s="5" t="n">
        <v>277.1</v>
      </c>
      <c r="G6629">
        <f>IF(LEFT(B6629,1)="C","Credit","Factuur")</f>
        <v/>
      </c>
      <c r="H6629">
        <f>IF(AND(B6629=B6628,D6629=D6628,A6629=A6628,F6629=F6628),1,0)</f>
        <v/>
      </c>
      <c r="I6629">
        <f>IF(C6629="C99999",1,0)</f>
        <v/>
      </c>
      <c r="J6629" s="5">
        <f>IF(OR(H6629=1,I6629=1),0,IF(G6629="Credit",-F6629,F6629))</f>
        <v/>
      </c>
    </row>
    <row r="6630">
      <c r="A6630" t="inlineStr">
        <is>
          <t>2026-09-04</t>
        </is>
      </c>
      <c r="B6630" t="inlineStr">
        <is>
          <t>C900244</t>
        </is>
      </c>
      <c r="C6630" t="inlineStr">
        <is>
          <t>C11134</t>
        </is>
      </c>
      <c r="D6630" t="inlineStr">
        <is>
          <t>SKU-10367</t>
        </is>
      </c>
      <c r="E6630" t="inlineStr">
        <is>
          <t>AM02</t>
        </is>
      </c>
      <c r="F6630" s="5" t="n">
        <v>191.45</v>
      </c>
      <c r="G6630">
        <f>IF(LEFT(B6630,1)="C","Credit","Factuur")</f>
        <v/>
      </c>
      <c r="H6630">
        <f>IF(AND(B6630=B6629,D6630=D6629,A6630=A6629,F6630=F6629),1,0)</f>
        <v/>
      </c>
      <c r="I6630">
        <f>IF(C6630="C99999",1,0)</f>
        <v/>
      </c>
      <c r="J6630" s="5">
        <f>IF(OR(H6630=1,I6630=1),0,IF(G6630="Credit",-F6630,F6630))</f>
        <v/>
      </c>
    </row>
    <row r="6631">
      <c r="A6631" t="inlineStr">
        <is>
          <t>2026-09-04</t>
        </is>
      </c>
      <c r="B6631" t="inlineStr">
        <is>
          <t>C900916</t>
        </is>
      </c>
      <c r="C6631" t="inlineStr">
        <is>
          <t>C10395</t>
        </is>
      </c>
      <c r="D6631" t="inlineStr">
        <is>
          <t>SKU-10329</t>
        </is>
      </c>
      <c r="E6631" t="inlineStr">
        <is>
          <t>AM07</t>
        </is>
      </c>
      <c r="F6631" s="5" t="n">
        <v>331.38</v>
      </c>
      <c r="G6631">
        <f>IF(LEFT(B6631,1)="C","Credit","Factuur")</f>
        <v/>
      </c>
      <c r="H6631">
        <f>IF(AND(B6631=B6630,D6631=D6630,A6631=A6630,F6631=F6630),1,0)</f>
        <v/>
      </c>
      <c r="I6631">
        <f>IF(C6631="C99999",1,0)</f>
        <v/>
      </c>
      <c r="J6631" s="5">
        <f>IF(OR(H6631=1,I6631=1),0,IF(G6631="Credit",-F6631,F6631))</f>
        <v/>
      </c>
    </row>
    <row r="6632">
      <c r="A6632" t="inlineStr">
        <is>
          <t>2026-09-04</t>
        </is>
      </c>
      <c r="B6632" t="inlineStr">
        <is>
          <t>C902022</t>
        </is>
      </c>
      <c r="C6632" t="inlineStr">
        <is>
          <t>C10174</t>
        </is>
      </c>
      <c r="D6632" t="inlineStr">
        <is>
          <t>SKU-10186</t>
        </is>
      </c>
      <c r="E6632" t="inlineStr">
        <is>
          <t>AM11</t>
        </is>
      </c>
      <c r="F6632" s="5" t="n">
        <v>45.22</v>
      </c>
      <c r="G6632">
        <f>IF(LEFT(B6632,1)="C","Credit","Factuur")</f>
        <v/>
      </c>
      <c r="H6632">
        <f>IF(AND(B6632=B6631,D6632=D6631,A6632=A6631,F6632=F6631),1,0)</f>
        <v/>
      </c>
      <c r="I6632">
        <f>IF(C6632="C99999",1,0)</f>
        <v/>
      </c>
      <c r="J6632" s="5">
        <f>IF(OR(H6632=1,I6632=1),0,IF(G6632="Credit",-F6632,F6632))</f>
        <v/>
      </c>
    </row>
    <row r="6633">
      <c r="A6633" t="inlineStr">
        <is>
          <t>2026-09-04</t>
        </is>
      </c>
      <c r="B6633" t="inlineStr">
        <is>
          <t>F260009</t>
        </is>
      </c>
      <c r="C6633" t="inlineStr">
        <is>
          <t>C10001</t>
        </is>
      </c>
      <c r="D6633" t="inlineStr">
        <is>
          <t>SKU-10018</t>
        </is>
      </c>
      <c r="E6633" t="inlineStr">
        <is>
          <t>AM02</t>
        </is>
      </c>
      <c r="F6633" s="5" t="n">
        <v>107.22</v>
      </c>
      <c r="G6633">
        <f>IF(LEFT(B6633,1)="C","Credit","Factuur")</f>
        <v/>
      </c>
      <c r="H6633">
        <f>IF(AND(B6633=B6632,D6633=D6632,A6633=A6632,F6633=F6632),1,0)</f>
        <v/>
      </c>
      <c r="I6633">
        <f>IF(C6633="C99999",1,0)</f>
        <v/>
      </c>
      <c r="J6633" s="5">
        <f>IF(OR(H6633=1,I6633=1),0,IF(G6633="Credit",-F6633,F6633))</f>
        <v/>
      </c>
    </row>
    <row r="6634">
      <c r="A6634" t="inlineStr">
        <is>
          <t>2026-09-04</t>
        </is>
      </c>
      <c r="B6634" t="inlineStr">
        <is>
          <t>F260009</t>
        </is>
      </c>
      <c r="C6634" t="inlineStr">
        <is>
          <t>C10001</t>
        </is>
      </c>
      <c r="D6634" t="inlineStr">
        <is>
          <t>SKU-10060</t>
        </is>
      </c>
      <c r="E6634" t="inlineStr">
        <is>
          <t>AM02</t>
        </is>
      </c>
      <c r="F6634" s="5" t="n">
        <v>132.3</v>
      </c>
      <c r="G6634">
        <f>IF(LEFT(B6634,1)="C","Credit","Factuur")</f>
        <v/>
      </c>
      <c r="H6634">
        <f>IF(AND(B6634=B6633,D6634=D6633,A6634=A6633,F6634=F6633),1,0)</f>
        <v/>
      </c>
      <c r="I6634">
        <f>IF(C6634="C99999",1,0)</f>
        <v/>
      </c>
      <c r="J6634" s="5">
        <f>IF(OR(H6634=1,I6634=1),0,IF(G6634="Credit",-F6634,F6634))</f>
        <v/>
      </c>
    </row>
    <row r="6635">
      <c r="A6635" t="inlineStr">
        <is>
          <t>2026-09-04</t>
        </is>
      </c>
      <c r="B6635" t="inlineStr">
        <is>
          <t>F260009</t>
        </is>
      </c>
      <c r="C6635" t="inlineStr">
        <is>
          <t>C10001</t>
        </is>
      </c>
      <c r="D6635" t="inlineStr">
        <is>
          <t>SKU-10087</t>
        </is>
      </c>
      <c r="E6635" t="inlineStr">
        <is>
          <t>AM02</t>
        </is>
      </c>
      <c r="F6635" s="5" t="n">
        <v>129.03</v>
      </c>
      <c r="G6635">
        <f>IF(LEFT(B6635,1)="C","Credit","Factuur")</f>
        <v/>
      </c>
      <c r="H6635">
        <f>IF(AND(B6635=B6634,D6635=D6634,A6635=A6634,F6635=F6634),1,0)</f>
        <v/>
      </c>
      <c r="I6635">
        <f>IF(C6635="C99999",1,0)</f>
        <v/>
      </c>
      <c r="J6635" s="5">
        <f>IF(OR(H6635=1,I6635=1),0,IF(G6635="Credit",-F6635,F6635))</f>
        <v/>
      </c>
    </row>
    <row r="6636">
      <c r="A6636" t="inlineStr">
        <is>
          <t>2026-09-04</t>
        </is>
      </c>
      <c r="B6636" t="inlineStr">
        <is>
          <t>F260009</t>
        </is>
      </c>
      <c r="C6636" t="inlineStr">
        <is>
          <t>C10001</t>
        </is>
      </c>
      <c r="D6636" t="inlineStr">
        <is>
          <t>SKU-10193</t>
        </is>
      </c>
      <c r="E6636" t="inlineStr">
        <is>
          <t>AM02</t>
        </is>
      </c>
      <c r="F6636" s="5" t="n">
        <v>121.98</v>
      </c>
      <c r="G6636">
        <f>IF(LEFT(B6636,1)="C","Credit","Factuur")</f>
        <v/>
      </c>
      <c r="H6636">
        <f>IF(AND(B6636=B6635,D6636=D6635,A6636=A6635,F6636=F6635),1,0)</f>
        <v/>
      </c>
      <c r="I6636">
        <f>IF(C6636="C99999",1,0)</f>
        <v/>
      </c>
      <c r="J6636" s="5">
        <f>IF(OR(H6636=1,I6636=1),0,IF(G6636="Credit",-F6636,F6636))</f>
        <v/>
      </c>
    </row>
    <row r="6637">
      <c r="A6637" t="inlineStr">
        <is>
          <t>2026-09-04</t>
        </is>
      </c>
      <c r="B6637" t="inlineStr">
        <is>
          <t>F260132</t>
        </is>
      </c>
      <c r="C6637" t="inlineStr">
        <is>
          <t>C10008</t>
        </is>
      </c>
      <c r="D6637" t="inlineStr">
        <is>
          <t>SKU-10099</t>
        </is>
      </c>
      <c r="E6637" t="inlineStr">
        <is>
          <t>AM03</t>
        </is>
      </c>
      <c r="F6637" s="5" t="n">
        <v>524.16</v>
      </c>
      <c r="G6637">
        <f>IF(LEFT(B6637,1)="C","Credit","Factuur")</f>
        <v/>
      </c>
      <c r="H6637">
        <f>IF(AND(B6637=B6636,D6637=D6636,A6637=A6636,F6637=F6636),1,0)</f>
        <v/>
      </c>
      <c r="I6637">
        <f>IF(C6637="C99999",1,0)</f>
        <v/>
      </c>
      <c r="J6637" s="5">
        <f>IF(OR(H6637=1,I6637=1),0,IF(G6637="Credit",-F6637,F6637))</f>
        <v/>
      </c>
    </row>
    <row r="6638">
      <c r="A6638" t="inlineStr">
        <is>
          <t>2026-09-04</t>
        </is>
      </c>
      <c r="B6638" t="inlineStr">
        <is>
          <t>F260132</t>
        </is>
      </c>
      <c r="C6638" t="inlineStr">
        <is>
          <t>C10008</t>
        </is>
      </c>
      <c r="D6638" t="inlineStr">
        <is>
          <t>SKU-10359</t>
        </is>
      </c>
      <c r="E6638" t="inlineStr">
        <is>
          <t>AM03</t>
        </is>
      </c>
      <c r="F6638" s="5" t="n">
        <v>453.68</v>
      </c>
      <c r="G6638">
        <f>IF(LEFT(B6638,1)="C","Credit","Factuur")</f>
        <v/>
      </c>
      <c r="H6638">
        <f>IF(AND(B6638=B6637,D6638=D6637,A6638=A6637,F6638=F6637),1,0)</f>
        <v/>
      </c>
      <c r="I6638">
        <f>IF(C6638="C99999",1,0)</f>
        <v/>
      </c>
      <c r="J6638" s="5">
        <f>IF(OR(H6638=1,I6638=1),0,IF(G6638="Credit",-F6638,F6638))</f>
        <v/>
      </c>
    </row>
    <row r="6639">
      <c r="A6639" t="inlineStr">
        <is>
          <t>2026-09-04</t>
        </is>
      </c>
      <c r="B6639" t="inlineStr">
        <is>
          <t>F260278</t>
        </is>
      </c>
      <c r="C6639" t="inlineStr">
        <is>
          <t>C10018</t>
        </is>
      </c>
      <c r="D6639" t="inlineStr">
        <is>
          <t>SKU-10047</t>
        </is>
      </c>
      <c r="E6639" t="inlineStr">
        <is>
          <t>AM02</t>
        </is>
      </c>
      <c r="F6639" s="5" t="n">
        <v>124.07</v>
      </c>
      <c r="G6639">
        <f>IF(LEFT(B6639,1)="C","Credit","Factuur")</f>
        <v/>
      </c>
      <c r="H6639">
        <f>IF(AND(B6639=B6638,D6639=D6638,A6639=A6638,F6639=F6638),1,0)</f>
        <v/>
      </c>
      <c r="I6639">
        <f>IF(C6639="C99999",1,0)</f>
        <v/>
      </c>
      <c r="J6639" s="5">
        <f>IF(OR(H6639=1,I6639=1),0,IF(G6639="Credit",-F6639,F6639))</f>
        <v/>
      </c>
    </row>
    <row r="6640">
      <c r="A6640" t="inlineStr">
        <is>
          <t>2026-09-04</t>
        </is>
      </c>
      <c r="B6640" t="inlineStr">
        <is>
          <t>F260278</t>
        </is>
      </c>
      <c r="C6640" t="inlineStr">
        <is>
          <t>C10018</t>
        </is>
      </c>
      <c r="D6640" t="inlineStr">
        <is>
          <t>SKU-10186</t>
        </is>
      </c>
      <c r="E6640" t="inlineStr">
        <is>
          <t>AM02</t>
        </is>
      </c>
      <c r="F6640" s="5" t="n">
        <v>119</v>
      </c>
      <c r="G6640">
        <f>IF(LEFT(B6640,1)="C","Credit","Factuur")</f>
        <v/>
      </c>
      <c r="H6640">
        <f>IF(AND(B6640=B6639,D6640=D6639,A6640=A6639,F6640=F6639),1,0)</f>
        <v/>
      </c>
      <c r="I6640">
        <f>IF(C6640="C99999",1,0)</f>
        <v/>
      </c>
      <c r="J6640" s="5">
        <f>IF(OR(H6640=1,I6640=1),0,IF(G6640="Credit",-F6640,F6640))</f>
        <v/>
      </c>
    </row>
    <row r="6641">
      <c r="A6641" t="inlineStr">
        <is>
          <t>2026-09-04</t>
        </is>
      </c>
      <c r="B6641" t="inlineStr">
        <is>
          <t>F260278</t>
        </is>
      </c>
      <c r="C6641" t="inlineStr">
        <is>
          <t>C10018</t>
        </is>
      </c>
      <c r="D6641" t="inlineStr">
        <is>
          <t>SKU-10339</t>
        </is>
      </c>
      <c r="E6641" t="inlineStr">
        <is>
          <t>AM02</t>
        </is>
      </c>
      <c r="F6641" s="5" t="n">
        <v>114.38</v>
      </c>
      <c r="G6641">
        <f>IF(LEFT(B6641,1)="C","Credit","Factuur")</f>
        <v/>
      </c>
      <c r="H6641">
        <f>IF(AND(B6641=B6640,D6641=D6640,A6641=A6640,F6641=F6640),1,0)</f>
        <v/>
      </c>
      <c r="I6641">
        <f>IF(C6641="C99999",1,0)</f>
        <v/>
      </c>
      <c r="J6641" s="5">
        <f>IF(OR(H6641=1,I6641=1),0,IF(G6641="Credit",-F6641,F6641))</f>
        <v/>
      </c>
    </row>
    <row r="6642">
      <c r="A6642" t="inlineStr">
        <is>
          <t>2026-09-04</t>
        </is>
      </c>
      <c r="B6642" t="inlineStr">
        <is>
          <t>F260278</t>
        </is>
      </c>
      <c r="C6642" t="inlineStr">
        <is>
          <t>C10018</t>
        </is>
      </c>
      <c r="D6642" t="inlineStr">
        <is>
          <t>SKU-10345</t>
        </is>
      </c>
      <c r="E6642" t="inlineStr">
        <is>
          <t>AM02</t>
        </is>
      </c>
      <c r="F6642" s="5" t="n">
        <v>108.33</v>
      </c>
      <c r="G6642">
        <f>IF(LEFT(B6642,1)="C","Credit","Factuur")</f>
        <v/>
      </c>
      <c r="H6642">
        <f>IF(AND(B6642=B6641,D6642=D6641,A6642=A6641,F6642=F6641),1,0)</f>
        <v/>
      </c>
      <c r="I6642">
        <f>IF(C6642="C99999",1,0)</f>
        <v/>
      </c>
      <c r="J6642" s="5">
        <f>IF(OR(H6642=1,I6642=1),0,IF(G6642="Credit",-F6642,F6642))</f>
        <v/>
      </c>
    </row>
    <row r="6643">
      <c r="A6643" t="inlineStr">
        <is>
          <t>2026-09-04</t>
        </is>
      </c>
      <c r="B6643" t="inlineStr">
        <is>
          <t>F260406</t>
        </is>
      </c>
      <c r="C6643" t="inlineStr">
        <is>
          <t>C10022</t>
        </is>
      </c>
      <c r="D6643" t="inlineStr">
        <is>
          <t>SKU-10064</t>
        </is>
      </c>
      <c r="E6643" t="inlineStr">
        <is>
          <t>AM08</t>
        </is>
      </c>
      <c r="F6643" s="5" t="n">
        <v>589.2</v>
      </c>
      <c r="G6643">
        <f>IF(LEFT(B6643,1)="C","Credit","Factuur")</f>
        <v/>
      </c>
      <c r="H6643">
        <f>IF(AND(B6643=B6642,D6643=D6642,A6643=A6642,F6643=F6642),1,0)</f>
        <v/>
      </c>
      <c r="I6643">
        <f>IF(C6643="C99999",1,0)</f>
        <v/>
      </c>
      <c r="J6643" s="5">
        <f>IF(OR(H6643=1,I6643=1),0,IF(G6643="Credit",-F6643,F6643))</f>
        <v/>
      </c>
    </row>
    <row r="6644">
      <c r="A6644" t="inlineStr">
        <is>
          <t>2026-09-04</t>
        </is>
      </c>
      <c r="B6644" t="inlineStr">
        <is>
          <t>F260406</t>
        </is>
      </c>
      <c r="C6644" t="inlineStr">
        <is>
          <t>C10022</t>
        </is>
      </c>
      <c r="D6644" t="inlineStr">
        <is>
          <t>SKU-10165</t>
        </is>
      </c>
      <c r="E6644" t="inlineStr">
        <is>
          <t>AM08</t>
        </is>
      </c>
      <c r="F6644" s="5" t="n">
        <v>514.3200000000001</v>
      </c>
      <c r="G6644">
        <f>IF(LEFT(B6644,1)="C","Credit","Factuur")</f>
        <v/>
      </c>
      <c r="H6644">
        <f>IF(AND(B6644=B6643,D6644=D6643,A6644=A6643,F6644=F6643),1,0)</f>
        <v/>
      </c>
      <c r="I6644">
        <f>IF(C6644="C99999",1,0)</f>
        <v/>
      </c>
      <c r="J6644" s="5">
        <f>IF(OR(H6644=1,I6644=1),0,IF(G6644="Credit",-F6644,F6644))</f>
        <v/>
      </c>
    </row>
    <row r="6645">
      <c r="A6645" t="inlineStr">
        <is>
          <t>2026-09-04</t>
        </is>
      </c>
      <c r="B6645" t="inlineStr">
        <is>
          <t>F260406</t>
        </is>
      </c>
      <c r="C6645" t="inlineStr">
        <is>
          <t>C10022</t>
        </is>
      </c>
      <c r="D6645" t="inlineStr">
        <is>
          <t>SKU-10227</t>
        </is>
      </c>
      <c r="E6645" t="inlineStr">
        <is>
          <t>AM08</t>
        </is>
      </c>
      <c r="F6645" s="5" t="n">
        <v>556.78</v>
      </c>
      <c r="G6645">
        <f>IF(LEFT(B6645,1)="C","Credit","Factuur")</f>
        <v/>
      </c>
      <c r="H6645">
        <f>IF(AND(B6645=B6644,D6645=D6644,A6645=A6644,F6645=F6644),1,0)</f>
        <v/>
      </c>
      <c r="I6645">
        <f>IF(C6645="C99999",1,0)</f>
        <v/>
      </c>
      <c r="J6645" s="5">
        <f>IF(OR(H6645=1,I6645=1),0,IF(G6645="Credit",-F6645,F6645))</f>
        <v/>
      </c>
    </row>
    <row r="6646">
      <c r="A6646" t="inlineStr">
        <is>
          <t>2026-09-04</t>
        </is>
      </c>
      <c r="B6646" t="inlineStr">
        <is>
          <t>F260406</t>
        </is>
      </c>
      <c r="C6646" t="inlineStr">
        <is>
          <t>C10022</t>
        </is>
      </c>
      <c r="D6646" t="inlineStr">
        <is>
          <t>SKU-10291</t>
        </is>
      </c>
      <c r="E6646" t="inlineStr">
        <is>
          <t>AM08</t>
        </is>
      </c>
      <c r="F6646" s="5" t="n">
        <v>580.05</v>
      </c>
      <c r="G6646">
        <f>IF(LEFT(B6646,1)="C","Credit","Factuur")</f>
        <v/>
      </c>
      <c r="H6646">
        <f>IF(AND(B6646=B6645,D6646=D6645,A6646=A6645,F6646=F6645),1,0)</f>
        <v/>
      </c>
      <c r="I6646">
        <f>IF(C6646="C99999",1,0)</f>
        <v/>
      </c>
      <c r="J6646" s="5">
        <f>IF(OR(H6646=1,I6646=1),0,IF(G6646="Credit",-F6646,F6646))</f>
        <v/>
      </c>
    </row>
    <row r="6647">
      <c r="A6647" t="inlineStr">
        <is>
          <t>2026-09-04</t>
        </is>
      </c>
      <c r="B6647" t="inlineStr">
        <is>
          <t>F260406</t>
        </is>
      </c>
      <c r="C6647" t="inlineStr">
        <is>
          <t>C10022</t>
        </is>
      </c>
      <c r="D6647" t="inlineStr">
        <is>
          <t>SKU-10365</t>
        </is>
      </c>
      <c r="E6647" t="inlineStr">
        <is>
          <t>AM08</t>
        </is>
      </c>
      <c r="F6647" s="5" t="n">
        <v>604.24</v>
      </c>
      <c r="G6647">
        <f>IF(LEFT(B6647,1)="C","Credit","Factuur")</f>
        <v/>
      </c>
      <c r="H6647">
        <f>IF(AND(B6647=B6646,D6647=D6646,A6647=A6646,F6647=F6646),1,0)</f>
        <v/>
      </c>
      <c r="I6647">
        <f>IF(C6647="C99999",1,0)</f>
        <v/>
      </c>
      <c r="J6647" s="5">
        <f>IF(OR(H6647=1,I6647=1),0,IF(G6647="Credit",-F6647,F6647))</f>
        <v/>
      </c>
    </row>
    <row r="6648">
      <c r="A6648" t="inlineStr">
        <is>
          <t>2026-09-04</t>
        </is>
      </c>
      <c r="B6648" t="inlineStr">
        <is>
          <t>F260472</t>
        </is>
      </c>
      <c r="C6648" t="inlineStr">
        <is>
          <t>C10025</t>
        </is>
      </c>
      <c r="D6648" t="inlineStr">
        <is>
          <t>SKU-10005</t>
        </is>
      </c>
      <c r="E6648" t="inlineStr">
        <is>
          <t>AM05</t>
        </is>
      </c>
      <c r="F6648" s="5" t="n">
        <v>369.7</v>
      </c>
      <c r="G6648">
        <f>IF(LEFT(B6648,1)="C","Credit","Factuur")</f>
        <v/>
      </c>
      <c r="H6648">
        <f>IF(AND(B6648=B6647,D6648=D6647,A6648=A6647,F6648=F6647),1,0)</f>
        <v/>
      </c>
      <c r="I6648">
        <f>IF(C6648="C99999",1,0)</f>
        <v/>
      </c>
      <c r="J6648" s="5">
        <f>IF(OR(H6648=1,I6648=1),0,IF(G6648="Credit",-F6648,F6648))</f>
        <v/>
      </c>
    </row>
    <row r="6649">
      <c r="A6649" t="inlineStr">
        <is>
          <t>2026-09-04</t>
        </is>
      </c>
      <c r="B6649" t="inlineStr">
        <is>
          <t>F260472</t>
        </is>
      </c>
      <c r="C6649" t="inlineStr">
        <is>
          <t>C10025</t>
        </is>
      </c>
      <c r="D6649" t="inlineStr">
        <is>
          <t>SKU-10280</t>
        </is>
      </c>
      <c r="E6649" t="inlineStr">
        <is>
          <t>AM05</t>
        </is>
      </c>
      <c r="F6649" s="5" t="n">
        <v>396.45</v>
      </c>
      <c r="G6649">
        <f>IF(LEFT(B6649,1)="C","Credit","Factuur")</f>
        <v/>
      </c>
      <c r="H6649">
        <f>IF(AND(B6649=B6648,D6649=D6648,A6649=A6648,F6649=F6648),1,0)</f>
        <v/>
      </c>
      <c r="I6649">
        <f>IF(C6649="C99999",1,0)</f>
        <v/>
      </c>
      <c r="J6649" s="5">
        <f>IF(OR(H6649=1,I6649=1),0,IF(G6649="Credit",-F6649,F6649))</f>
        <v/>
      </c>
    </row>
    <row r="6650">
      <c r="A6650" t="inlineStr">
        <is>
          <t>2026-09-04</t>
        </is>
      </c>
      <c r="B6650" t="inlineStr">
        <is>
          <t>F260472</t>
        </is>
      </c>
      <c r="C6650" t="inlineStr">
        <is>
          <t>C10025</t>
        </is>
      </c>
      <c r="D6650" t="inlineStr">
        <is>
          <t>SKU-10313</t>
        </is>
      </c>
      <c r="E6650" t="inlineStr">
        <is>
          <t>AM05</t>
        </is>
      </c>
      <c r="F6650" s="5" t="n">
        <v>389.2</v>
      </c>
      <c r="G6650">
        <f>IF(LEFT(B6650,1)="C","Credit","Factuur")</f>
        <v/>
      </c>
      <c r="H6650">
        <f>IF(AND(B6650=B6649,D6650=D6649,A6650=A6649,F6650=F6649),1,0)</f>
        <v/>
      </c>
      <c r="I6650">
        <f>IF(C6650="C99999",1,0)</f>
        <v/>
      </c>
      <c r="J6650" s="5">
        <f>IF(OR(H6650=1,I6650=1),0,IF(G6650="Credit",-F6650,F6650))</f>
        <v/>
      </c>
    </row>
    <row r="6651">
      <c r="A6651" t="inlineStr">
        <is>
          <t>2026-09-04</t>
        </is>
      </c>
      <c r="B6651" t="inlineStr">
        <is>
          <t>F260472</t>
        </is>
      </c>
      <c r="C6651" t="inlineStr">
        <is>
          <t>C10025</t>
        </is>
      </c>
      <c r="D6651" t="inlineStr">
        <is>
          <t>SKU-10337</t>
        </is>
      </c>
      <c r="E6651" t="inlineStr">
        <is>
          <t>AM05</t>
        </is>
      </c>
      <c r="F6651" s="5" t="n">
        <v>369.26</v>
      </c>
      <c r="G6651">
        <f>IF(LEFT(B6651,1)="C","Credit","Factuur")</f>
        <v/>
      </c>
      <c r="H6651">
        <f>IF(AND(B6651=B6650,D6651=D6650,A6651=A6650,F6651=F6650),1,0)</f>
        <v/>
      </c>
      <c r="I6651">
        <f>IF(C6651="C99999",1,0)</f>
        <v/>
      </c>
      <c r="J6651" s="5">
        <f>IF(OR(H6651=1,I6651=1),0,IF(G6651="Credit",-F6651,F6651))</f>
        <v/>
      </c>
    </row>
    <row r="6652">
      <c r="A6652" t="inlineStr">
        <is>
          <t>2026-09-04</t>
        </is>
      </c>
      <c r="B6652" t="inlineStr">
        <is>
          <t>F260500</t>
        </is>
      </c>
      <c r="C6652" t="inlineStr">
        <is>
          <t>C10027</t>
        </is>
      </c>
      <c r="D6652" t="inlineStr">
        <is>
          <t>SKU-10331</t>
        </is>
      </c>
      <c r="E6652" t="inlineStr">
        <is>
          <t>IS02</t>
        </is>
      </c>
      <c r="F6652" s="5" t="n">
        <v>200.34</v>
      </c>
      <c r="G6652">
        <f>IF(LEFT(B6652,1)="C","Credit","Factuur")</f>
        <v/>
      </c>
      <c r="H6652">
        <f>IF(AND(B6652=B6651,D6652=D6651,A6652=A6651,F6652=F6651),1,0)</f>
        <v/>
      </c>
      <c r="I6652">
        <f>IF(C6652="C99999",1,0)</f>
        <v/>
      </c>
      <c r="J6652" s="5">
        <f>IF(OR(H6652=1,I6652=1),0,IF(G6652="Credit",-F6652,F6652))</f>
        <v/>
      </c>
    </row>
    <row r="6653">
      <c r="A6653" t="inlineStr">
        <is>
          <t>2026-09-04</t>
        </is>
      </c>
      <c r="B6653" t="inlineStr">
        <is>
          <t>F260563</t>
        </is>
      </c>
      <c r="C6653" t="inlineStr">
        <is>
          <t>C10031</t>
        </is>
      </c>
      <c r="D6653" t="inlineStr">
        <is>
          <t>SKU-10046</t>
        </is>
      </c>
      <c r="E6653" t="inlineStr">
        <is>
          <t>AM07</t>
        </is>
      </c>
      <c r="F6653" s="5" t="n">
        <v>654.87</v>
      </c>
      <c r="G6653">
        <f>IF(LEFT(B6653,1)="C","Credit","Factuur")</f>
        <v/>
      </c>
      <c r="H6653">
        <f>IF(AND(B6653=B6652,D6653=D6652,A6653=A6652,F6653=F6652),1,0)</f>
        <v/>
      </c>
      <c r="I6653">
        <f>IF(C6653="C99999",1,0)</f>
        <v/>
      </c>
      <c r="J6653" s="5">
        <f>IF(OR(H6653=1,I6653=1),0,IF(G6653="Credit",-F6653,F6653))</f>
        <v/>
      </c>
    </row>
    <row r="6654">
      <c r="A6654" t="inlineStr">
        <is>
          <t>2026-09-04</t>
        </is>
      </c>
      <c r="B6654" t="inlineStr">
        <is>
          <t>F260563</t>
        </is>
      </c>
      <c r="C6654" t="inlineStr">
        <is>
          <t>C10031</t>
        </is>
      </c>
      <c r="D6654" t="inlineStr">
        <is>
          <t>SKU-10185</t>
        </is>
      </c>
      <c r="E6654" t="inlineStr">
        <is>
          <t>AM07</t>
        </is>
      </c>
      <c r="F6654" s="5" t="n">
        <v>669.0599999999999</v>
      </c>
      <c r="G6654">
        <f>IF(LEFT(B6654,1)="C","Credit","Factuur")</f>
        <v/>
      </c>
      <c r="H6654">
        <f>IF(AND(B6654=B6653,D6654=D6653,A6654=A6653,F6654=F6653),1,0)</f>
        <v/>
      </c>
      <c r="I6654">
        <f>IF(C6654="C99999",1,0)</f>
        <v/>
      </c>
      <c r="J6654" s="5">
        <f>IF(OR(H6654=1,I6654=1),0,IF(G6654="Credit",-F6654,F6654))</f>
        <v/>
      </c>
    </row>
    <row r="6655">
      <c r="A6655" t="inlineStr">
        <is>
          <t>2026-09-04</t>
        </is>
      </c>
      <c r="B6655" t="inlineStr">
        <is>
          <t>F260563</t>
        </is>
      </c>
      <c r="C6655" t="inlineStr">
        <is>
          <t>C10031</t>
        </is>
      </c>
      <c r="D6655" t="inlineStr">
        <is>
          <t>SKU-10222</t>
        </is>
      </c>
      <c r="E6655" t="inlineStr">
        <is>
          <t>AM07</t>
        </is>
      </c>
      <c r="F6655" s="5" t="n">
        <v>658</v>
      </c>
      <c r="G6655">
        <f>IF(LEFT(B6655,1)="C","Credit","Factuur")</f>
        <v/>
      </c>
      <c r="H6655">
        <f>IF(AND(B6655=B6654,D6655=D6654,A6655=A6654,F6655=F6654),1,0)</f>
        <v/>
      </c>
      <c r="I6655">
        <f>IF(C6655="C99999",1,0)</f>
        <v/>
      </c>
      <c r="J6655" s="5">
        <f>IF(OR(H6655=1,I6655=1),0,IF(G6655="Credit",-F6655,F6655))</f>
        <v/>
      </c>
    </row>
    <row r="6656">
      <c r="A6656" t="inlineStr">
        <is>
          <t>2026-09-04</t>
        </is>
      </c>
      <c r="B6656" t="inlineStr">
        <is>
          <t>F260563</t>
        </is>
      </c>
      <c r="C6656" t="inlineStr">
        <is>
          <t>C10031</t>
        </is>
      </c>
      <c r="D6656" t="inlineStr">
        <is>
          <t>SKU-10276</t>
        </is>
      </c>
      <c r="E6656" t="inlineStr">
        <is>
          <t>AM07</t>
        </is>
      </c>
      <c r="F6656" s="5" t="n">
        <v>655.2</v>
      </c>
      <c r="G6656">
        <f>IF(LEFT(B6656,1)="C","Credit","Factuur")</f>
        <v/>
      </c>
      <c r="H6656">
        <f>IF(AND(B6656=B6655,D6656=D6655,A6656=A6655,F6656=F6655),1,0)</f>
        <v/>
      </c>
      <c r="I6656">
        <f>IF(C6656="C99999",1,0)</f>
        <v/>
      </c>
      <c r="J6656" s="5">
        <f>IF(OR(H6656=1,I6656=1),0,IF(G6656="Credit",-F6656,F6656))</f>
        <v/>
      </c>
    </row>
    <row r="6657">
      <c r="A6657" t="inlineStr">
        <is>
          <t>2026-09-04</t>
        </is>
      </c>
      <c r="B6657" t="inlineStr">
        <is>
          <t>F260656</t>
        </is>
      </c>
      <c r="C6657" t="inlineStr">
        <is>
          <t>C10037</t>
        </is>
      </c>
      <c r="D6657" t="inlineStr">
        <is>
          <t>SKU-10151</t>
        </is>
      </c>
      <c r="E6657" t="inlineStr">
        <is>
          <t>AM03</t>
        </is>
      </c>
      <c r="F6657" s="5" t="n">
        <v>661.05</v>
      </c>
      <c r="G6657">
        <f>IF(LEFT(B6657,1)="C","Credit","Factuur")</f>
        <v/>
      </c>
      <c r="H6657">
        <f>IF(AND(B6657=B6656,D6657=D6656,A6657=A6656,F6657=F6656),1,0)</f>
        <v/>
      </c>
      <c r="I6657">
        <f>IF(C6657="C99999",1,0)</f>
        <v/>
      </c>
      <c r="J6657" s="5">
        <f>IF(OR(H6657=1,I6657=1),0,IF(G6657="Credit",-F6657,F6657))</f>
        <v/>
      </c>
    </row>
    <row r="6658">
      <c r="A6658" t="inlineStr">
        <is>
          <t>2026-09-04</t>
        </is>
      </c>
      <c r="B6658" t="inlineStr">
        <is>
          <t>F260885</t>
        </is>
      </c>
      <c r="C6658" t="inlineStr">
        <is>
          <t>C10051</t>
        </is>
      </c>
      <c r="D6658" t="inlineStr">
        <is>
          <t>SKU-10108</t>
        </is>
      </c>
      <c r="E6658" t="inlineStr">
        <is>
          <t>AM02</t>
        </is>
      </c>
      <c r="F6658" s="5" t="n">
        <v>278.79</v>
      </c>
      <c r="G6658">
        <f>IF(LEFT(B6658,1)="C","Credit","Factuur")</f>
        <v/>
      </c>
      <c r="H6658">
        <f>IF(AND(B6658=B6657,D6658=D6657,A6658=A6657,F6658=F6657),1,0)</f>
        <v/>
      </c>
      <c r="I6658">
        <f>IF(C6658="C99999",1,0)</f>
        <v/>
      </c>
      <c r="J6658" s="5">
        <f>IF(OR(H6658=1,I6658=1),0,IF(G6658="Credit",-F6658,F6658))</f>
        <v/>
      </c>
    </row>
    <row r="6659">
      <c r="A6659" t="inlineStr">
        <is>
          <t>2026-09-04</t>
        </is>
      </c>
      <c r="B6659" t="inlineStr">
        <is>
          <t>F260885</t>
        </is>
      </c>
      <c r="C6659" t="inlineStr">
        <is>
          <t>C10051</t>
        </is>
      </c>
      <c r="D6659" t="inlineStr">
        <is>
          <t>SKU-10171</t>
        </is>
      </c>
      <c r="E6659" t="inlineStr">
        <is>
          <t>AM02</t>
        </is>
      </c>
      <c r="F6659" s="5" t="n">
        <v>229.59</v>
      </c>
      <c r="G6659">
        <f>IF(LEFT(B6659,1)="C","Credit","Factuur")</f>
        <v/>
      </c>
      <c r="H6659">
        <f>IF(AND(B6659=B6658,D6659=D6658,A6659=A6658,F6659=F6658),1,0)</f>
        <v/>
      </c>
      <c r="I6659">
        <f>IF(C6659="C99999",1,0)</f>
        <v/>
      </c>
      <c r="J6659" s="5">
        <f>IF(OR(H6659=1,I6659=1),0,IF(G6659="Credit",-F6659,F6659))</f>
        <v/>
      </c>
    </row>
    <row r="6660">
      <c r="A6660" t="inlineStr">
        <is>
          <t>2026-09-04</t>
        </is>
      </c>
      <c r="B6660" t="inlineStr">
        <is>
          <t>F260885</t>
        </is>
      </c>
      <c r="C6660" t="inlineStr">
        <is>
          <t>C10051</t>
        </is>
      </c>
      <c r="D6660" t="inlineStr">
        <is>
          <t>SKU-10203</t>
        </is>
      </c>
      <c r="E6660" t="inlineStr">
        <is>
          <t>AM02</t>
        </is>
      </c>
      <c r="F6660" s="5" t="n">
        <v>222.9</v>
      </c>
      <c r="G6660">
        <f>IF(LEFT(B6660,1)="C","Credit","Factuur")</f>
        <v/>
      </c>
      <c r="H6660">
        <f>IF(AND(B6660=B6659,D6660=D6659,A6660=A6659,F6660=F6659),1,0)</f>
        <v/>
      </c>
      <c r="I6660">
        <f>IF(C6660="C99999",1,0)</f>
        <v/>
      </c>
      <c r="J6660" s="5">
        <f>IF(OR(H6660=1,I6660=1),0,IF(G6660="Credit",-F6660,F6660))</f>
        <v/>
      </c>
    </row>
    <row r="6661">
      <c r="A6661" t="inlineStr">
        <is>
          <t>2026-09-04</t>
        </is>
      </c>
      <c r="B6661" t="inlineStr">
        <is>
          <t>F260885</t>
        </is>
      </c>
      <c r="C6661" t="inlineStr">
        <is>
          <t>C10051</t>
        </is>
      </c>
      <c r="D6661" t="inlineStr">
        <is>
          <t>SKU-10306</t>
        </is>
      </c>
      <c r="E6661" t="inlineStr">
        <is>
          <t>AM02</t>
        </is>
      </c>
      <c r="F6661" s="5" t="n">
        <v>229.7</v>
      </c>
      <c r="G6661">
        <f>IF(LEFT(B6661,1)="C","Credit","Factuur")</f>
        <v/>
      </c>
      <c r="H6661">
        <f>IF(AND(B6661=B6660,D6661=D6660,A6661=A6660,F6661=F6660),1,0)</f>
        <v/>
      </c>
      <c r="I6661">
        <f>IF(C6661="C99999",1,0)</f>
        <v/>
      </c>
      <c r="J6661" s="5">
        <f>IF(OR(H6661=1,I6661=1),0,IF(G6661="Credit",-F6661,F6661))</f>
        <v/>
      </c>
    </row>
    <row r="6662">
      <c r="A6662" t="inlineStr">
        <is>
          <t>2026-09-04</t>
        </is>
      </c>
      <c r="B6662" t="inlineStr">
        <is>
          <t>F260913</t>
        </is>
      </c>
      <c r="C6662" t="inlineStr">
        <is>
          <t>C10052</t>
        </is>
      </c>
      <c r="D6662" t="inlineStr">
        <is>
          <t>SKU-10382</t>
        </is>
      </c>
      <c r="E6662" t="inlineStr">
        <is>
          <t>AM12</t>
        </is>
      </c>
      <c r="F6662" s="5" t="n">
        <v>1341.32</v>
      </c>
      <c r="G6662">
        <f>IF(LEFT(B6662,1)="C","Credit","Factuur")</f>
        <v/>
      </c>
      <c r="H6662">
        <f>IF(AND(B6662=B6661,D6662=D6661,A6662=A6661,F6662=F6661),1,0)</f>
        <v/>
      </c>
      <c r="I6662">
        <f>IF(C6662="C99999",1,0)</f>
        <v/>
      </c>
      <c r="J6662" s="5">
        <f>IF(OR(H6662=1,I6662=1),0,IF(G6662="Credit",-F6662,F6662))</f>
        <v/>
      </c>
    </row>
    <row r="6663">
      <c r="A6663" t="inlineStr">
        <is>
          <t>2026-09-04</t>
        </is>
      </c>
      <c r="B6663" t="inlineStr">
        <is>
          <t>F261010</t>
        </is>
      </c>
      <c r="C6663" t="inlineStr">
        <is>
          <t>C10059</t>
        </is>
      </c>
      <c r="D6663" t="inlineStr">
        <is>
          <t>SKU-10265</t>
        </is>
      </c>
      <c r="E6663" t="inlineStr">
        <is>
          <t>AM03</t>
        </is>
      </c>
      <c r="F6663" s="5" t="n">
        <v>498.9</v>
      </c>
      <c r="G6663">
        <f>IF(LEFT(B6663,1)="C","Credit","Factuur")</f>
        <v/>
      </c>
      <c r="H6663">
        <f>IF(AND(B6663=B6662,D6663=D6662,A6663=A6662,F6663=F6662),1,0)</f>
        <v/>
      </c>
      <c r="I6663">
        <f>IF(C6663="C99999",1,0)</f>
        <v/>
      </c>
      <c r="J6663" s="5">
        <f>IF(OR(H6663=1,I6663=1),0,IF(G6663="Credit",-F6663,F6663))</f>
        <v/>
      </c>
    </row>
    <row r="6664">
      <c r="A6664" t="inlineStr">
        <is>
          <t>2026-09-04</t>
        </is>
      </c>
      <c r="B6664" t="inlineStr">
        <is>
          <t>F261010</t>
        </is>
      </c>
      <c r="C6664" t="inlineStr">
        <is>
          <t>C10059</t>
        </is>
      </c>
      <c r="D6664" t="inlineStr">
        <is>
          <t>SKU-10276</t>
        </is>
      </c>
      <c r="E6664" t="inlineStr">
        <is>
          <t>AM03</t>
        </is>
      </c>
      <c r="F6664" s="5" t="n">
        <v>509.6</v>
      </c>
      <c r="G6664">
        <f>IF(LEFT(B6664,1)="C","Credit","Factuur")</f>
        <v/>
      </c>
      <c r="H6664">
        <f>IF(AND(B6664=B6663,D6664=D6663,A6664=A6663,F6664=F6663),1,0)</f>
        <v/>
      </c>
      <c r="I6664">
        <f>IF(C6664="C99999",1,0)</f>
        <v/>
      </c>
      <c r="J6664" s="5">
        <f>IF(OR(H6664=1,I6664=1),0,IF(G6664="Credit",-F6664,F6664))</f>
        <v/>
      </c>
    </row>
    <row r="6665">
      <c r="A6665" t="inlineStr">
        <is>
          <t>2026-09-04</t>
        </is>
      </c>
      <c r="B6665" t="inlineStr">
        <is>
          <t>F261010</t>
        </is>
      </c>
      <c r="C6665" t="inlineStr">
        <is>
          <t>C10059</t>
        </is>
      </c>
      <c r="D6665" t="inlineStr">
        <is>
          <t>SKU-10369</t>
        </is>
      </c>
      <c r="E6665" t="inlineStr">
        <is>
          <t>AM03</t>
        </is>
      </c>
      <c r="F6665" s="5" t="n">
        <v>426.17</v>
      </c>
      <c r="G6665">
        <f>IF(LEFT(B6665,1)="C","Credit","Factuur")</f>
        <v/>
      </c>
      <c r="H6665">
        <f>IF(AND(B6665=B6664,D6665=D6664,A6665=A6664,F6665=F6664),1,0)</f>
        <v/>
      </c>
      <c r="I6665">
        <f>IF(C6665="C99999",1,0)</f>
        <v/>
      </c>
      <c r="J6665" s="5">
        <f>IF(OR(H6665=1,I6665=1),0,IF(G6665="Credit",-F6665,F6665))</f>
        <v/>
      </c>
    </row>
    <row r="6666">
      <c r="A6666" t="inlineStr">
        <is>
          <t>2026-09-04</t>
        </is>
      </c>
      <c r="B6666" t="inlineStr">
        <is>
          <t>F261236</t>
        </is>
      </c>
      <c r="C6666" t="inlineStr">
        <is>
          <t>C10067</t>
        </is>
      </c>
      <c r="D6666" t="inlineStr">
        <is>
          <t>SKU-10102</t>
        </is>
      </c>
      <c r="E6666" t="inlineStr">
        <is>
          <t>AM11</t>
        </is>
      </c>
      <c r="F6666" s="5" t="n">
        <v>1034.88</v>
      </c>
      <c r="G6666">
        <f>IF(LEFT(B6666,1)="C","Credit","Factuur")</f>
        <v/>
      </c>
      <c r="H6666">
        <f>IF(AND(B6666=B6665,D6666=D6665,A6666=A6665,F6666=F6665),1,0)</f>
        <v/>
      </c>
      <c r="I6666">
        <f>IF(C6666="C99999",1,0)</f>
        <v/>
      </c>
      <c r="J6666" s="5">
        <f>IF(OR(H6666=1,I6666=1),0,IF(G6666="Credit",-F6666,F6666))</f>
        <v/>
      </c>
    </row>
    <row r="6667">
      <c r="A6667" t="inlineStr">
        <is>
          <t>2026-09-04</t>
        </is>
      </c>
      <c r="B6667" t="inlineStr">
        <is>
          <t>F261236</t>
        </is>
      </c>
      <c r="C6667" t="inlineStr">
        <is>
          <t>C10067</t>
        </is>
      </c>
      <c r="D6667" t="inlineStr">
        <is>
          <t>SKU-10183</t>
        </is>
      </c>
      <c r="E6667" t="inlineStr">
        <is>
          <t>AM11</t>
        </is>
      </c>
      <c r="F6667" s="5" t="n">
        <v>1000.1</v>
      </c>
      <c r="G6667">
        <f>IF(LEFT(B6667,1)="C","Credit","Factuur")</f>
        <v/>
      </c>
      <c r="H6667">
        <f>IF(AND(B6667=B6666,D6667=D6666,A6667=A6666,F6667=F6666),1,0)</f>
        <v/>
      </c>
      <c r="I6667">
        <f>IF(C6667="C99999",1,0)</f>
        <v/>
      </c>
      <c r="J6667" s="5">
        <f>IF(OR(H6667=1,I6667=1),0,IF(G6667="Credit",-F6667,F6667))</f>
        <v/>
      </c>
    </row>
    <row r="6668">
      <c r="A6668" t="inlineStr">
        <is>
          <t>2026-09-04</t>
        </is>
      </c>
      <c r="B6668" t="inlineStr">
        <is>
          <t>F261236</t>
        </is>
      </c>
      <c r="C6668" t="inlineStr">
        <is>
          <t>C10067</t>
        </is>
      </c>
      <c r="D6668" t="inlineStr">
        <is>
          <t>SKU-10198</t>
        </is>
      </c>
      <c r="E6668" t="inlineStr">
        <is>
          <t>AM11</t>
        </is>
      </c>
      <c r="F6668" s="5" t="n">
        <v>1006.6</v>
      </c>
      <c r="G6668">
        <f>IF(LEFT(B6668,1)="C","Credit","Factuur")</f>
        <v/>
      </c>
      <c r="H6668">
        <f>IF(AND(B6668=B6667,D6668=D6667,A6668=A6667,F6668=F6667),1,0)</f>
        <v/>
      </c>
      <c r="I6668">
        <f>IF(C6668="C99999",1,0)</f>
        <v/>
      </c>
      <c r="J6668" s="5">
        <f>IF(OR(H6668=1,I6668=1),0,IF(G6668="Credit",-F6668,F6668))</f>
        <v/>
      </c>
    </row>
    <row r="6669">
      <c r="A6669" t="inlineStr">
        <is>
          <t>2026-09-04</t>
        </is>
      </c>
      <c r="B6669" t="inlineStr">
        <is>
          <t>F261236</t>
        </is>
      </c>
      <c r="C6669" t="inlineStr">
        <is>
          <t>C10067</t>
        </is>
      </c>
      <c r="D6669" t="inlineStr">
        <is>
          <t>SKU-10205</t>
        </is>
      </c>
      <c r="E6669" t="inlineStr">
        <is>
          <t>AM11</t>
        </is>
      </c>
      <c r="F6669" s="5" t="n">
        <v>941.87</v>
      </c>
      <c r="G6669">
        <f>IF(LEFT(B6669,1)="C","Credit","Factuur")</f>
        <v/>
      </c>
      <c r="H6669">
        <f>IF(AND(B6669=B6668,D6669=D6668,A6669=A6668,F6669=F6668),1,0)</f>
        <v/>
      </c>
      <c r="I6669">
        <f>IF(C6669="C99999",1,0)</f>
        <v/>
      </c>
      <c r="J6669" s="5">
        <f>IF(OR(H6669=1,I6669=1),0,IF(G6669="Credit",-F6669,F6669))</f>
        <v/>
      </c>
    </row>
    <row r="6670">
      <c r="A6670" t="inlineStr">
        <is>
          <t>2026-09-04</t>
        </is>
      </c>
      <c r="B6670" t="inlineStr">
        <is>
          <t>F261236</t>
        </is>
      </c>
      <c r="C6670" t="inlineStr">
        <is>
          <t>C10067</t>
        </is>
      </c>
      <c r="D6670" t="inlineStr">
        <is>
          <t>SKU-10341</t>
        </is>
      </c>
      <c r="E6670" t="inlineStr">
        <is>
          <t>AM11</t>
        </is>
      </c>
      <c r="F6670" s="5" t="n">
        <v>1006</v>
      </c>
      <c r="G6670">
        <f>IF(LEFT(B6670,1)="C","Credit","Factuur")</f>
        <v/>
      </c>
      <c r="H6670">
        <f>IF(AND(B6670=B6669,D6670=D6669,A6670=A6669,F6670=F6669),1,0)</f>
        <v/>
      </c>
      <c r="I6670">
        <f>IF(C6670="C99999",1,0)</f>
        <v/>
      </c>
      <c r="J6670" s="5">
        <f>IF(OR(H6670=1,I6670=1),0,IF(G6670="Credit",-F6670,F6670))</f>
        <v/>
      </c>
    </row>
    <row r="6671">
      <c r="A6671" t="inlineStr">
        <is>
          <t>2026-09-04</t>
        </is>
      </c>
      <c r="B6671" t="inlineStr">
        <is>
          <t>F261236</t>
        </is>
      </c>
      <c r="C6671" t="inlineStr">
        <is>
          <t>C10067</t>
        </is>
      </c>
      <c r="D6671" t="inlineStr">
        <is>
          <t>SKU-10356</t>
        </is>
      </c>
      <c r="E6671" t="inlineStr">
        <is>
          <t>AM11</t>
        </is>
      </c>
      <c r="F6671" s="5" t="n">
        <v>967.95</v>
      </c>
      <c r="G6671">
        <f>IF(LEFT(B6671,1)="C","Credit","Factuur")</f>
        <v/>
      </c>
      <c r="H6671">
        <f>IF(AND(B6671=B6670,D6671=D6670,A6671=A6670,F6671=F6670),1,0)</f>
        <v/>
      </c>
      <c r="I6671">
        <f>IF(C6671="C99999",1,0)</f>
        <v/>
      </c>
      <c r="J6671" s="5">
        <f>IF(OR(H6671=1,I6671=1),0,IF(G6671="Credit",-F6671,F6671))</f>
        <v/>
      </c>
    </row>
    <row r="6672">
      <c r="A6672" t="inlineStr">
        <is>
          <t>2026-09-04</t>
        </is>
      </c>
      <c r="B6672" t="inlineStr">
        <is>
          <t>F261514</t>
        </is>
      </c>
      <c r="C6672" t="inlineStr">
        <is>
          <t>C10081</t>
        </is>
      </c>
      <c r="D6672" t="inlineStr">
        <is>
          <t>SKU-10029</t>
        </is>
      </c>
      <c r="E6672" t="inlineStr">
        <is>
          <t>AM08</t>
        </is>
      </c>
      <c r="F6672" s="5" t="n">
        <v>510.38</v>
      </c>
      <c r="G6672">
        <f>IF(LEFT(B6672,1)="C","Credit","Factuur")</f>
        <v/>
      </c>
      <c r="H6672">
        <f>IF(AND(B6672=B6671,D6672=D6671,A6672=A6671,F6672=F6671),1,0)</f>
        <v/>
      </c>
      <c r="I6672">
        <f>IF(C6672="C99999",1,0)</f>
        <v/>
      </c>
      <c r="J6672" s="5">
        <f>IF(OR(H6672=1,I6672=1),0,IF(G6672="Credit",-F6672,F6672))</f>
        <v/>
      </c>
    </row>
    <row r="6673">
      <c r="A6673" t="inlineStr">
        <is>
          <t>2026-09-04</t>
        </is>
      </c>
      <c r="B6673" t="inlineStr">
        <is>
          <t>F261514</t>
        </is>
      </c>
      <c r="C6673" t="inlineStr">
        <is>
          <t>C10081</t>
        </is>
      </c>
      <c r="D6673" t="inlineStr">
        <is>
          <t>SKU-10154</t>
        </is>
      </c>
      <c r="E6673" t="inlineStr">
        <is>
          <t>AM08</t>
        </is>
      </c>
      <c r="F6673" s="5" t="n">
        <v>540.54</v>
      </c>
      <c r="G6673">
        <f>IF(LEFT(B6673,1)="C","Credit","Factuur")</f>
        <v/>
      </c>
      <c r="H6673">
        <f>IF(AND(B6673=B6672,D6673=D6672,A6673=A6672,F6673=F6672),1,0)</f>
        <v/>
      </c>
      <c r="I6673">
        <f>IF(C6673="C99999",1,0)</f>
        <v/>
      </c>
      <c r="J6673" s="5">
        <f>IF(OR(H6673=1,I6673=1),0,IF(G6673="Credit",-F6673,F6673))</f>
        <v/>
      </c>
    </row>
    <row r="6674">
      <c r="A6674" t="inlineStr">
        <is>
          <t>2026-09-04</t>
        </is>
      </c>
      <c r="B6674" t="inlineStr">
        <is>
          <t>F261514</t>
        </is>
      </c>
      <c r="C6674" t="inlineStr">
        <is>
          <t>C10081</t>
        </is>
      </c>
      <c r="D6674" t="inlineStr">
        <is>
          <t>SKU-10230</t>
        </is>
      </c>
      <c r="E6674" t="inlineStr">
        <is>
          <t>AM08</t>
        </is>
      </c>
      <c r="F6674" s="5" t="n">
        <v>485.04</v>
      </c>
      <c r="G6674">
        <f>IF(LEFT(B6674,1)="C","Credit","Factuur")</f>
        <v/>
      </c>
      <c r="H6674">
        <f>IF(AND(B6674=B6673,D6674=D6673,A6674=A6673,F6674=F6673),1,0)</f>
        <v/>
      </c>
      <c r="I6674">
        <f>IF(C6674="C99999",1,0)</f>
        <v/>
      </c>
      <c r="J6674" s="5">
        <f>IF(OR(H6674=1,I6674=1),0,IF(G6674="Credit",-F6674,F6674))</f>
        <v/>
      </c>
    </row>
    <row r="6675">
      <c r="A6675" t="inlineStr">
        <is>
          <t>2026-09-04</t>
        </is>
      </c>
      <c r="B6675" t="inlineStr">
        <is>
          <t>F261514</t>
        </is>
      </c>
      <c r="C6675" t="inlineStr">
        <is>
          <t>C10081</t>
        </is>
      </c>
      <c r="D6675" t="inlineStr">
        <is>
          <t>SKU-10235</t>
        </is>
      </c>
      <c r="E6675" t="inlineStr">
        <is>
          <t>AM08</t>
        </is>
      </c>
      <c r="F6675" s="5" t="n">
        <v>516.65</v>
      </c>
      <c r="G6675">
        <f>IF(LEFT(B6675,1)="C","Credit","Factuur")</f>
        <v/>
      </c>
      <c r="H6675">
        <f>IF(AND(B6675=B6674,D6675=D6674,A6675=A6674,F6675=F6674),1,0)</f>
        <v/>
      </c>
      <c r="I6675">
        <f>IF(C6675="C99999",1,0)</f>
        <v/>
      </c>
      <c r="J6675" s="5">
        <f>IF(OR(H6675=1,I6675=1),0,IF(G6675="Credit",-F6675,F6675))</f>
        <v/>
      </c>
    </row>
    <row r="6676">
      <c r="A6676" t="inlineStr">
        <is>
          <t>2026-09-04</t>
        </is>
      </c>
      <c r="B6676" t="inlineStr">
        <is>
          <t>F261518</t>
        </is>
      </c>
      <c r="C6676" t="inlineStr">
        <is>
          <t>C10081</t>
        </is>
      </c>
      <c r="D6676" t="inlineStr">
        <is>
          <t>SKU-10007</t>
        </is>
      </c>
      <c r="E6676" t="inlineStr">
        <is>
          <t>AM08</t>
        </is>
      </c>
      <c r="F6676" s="5" t="n">
        <v>738.04</v>
      </c>
      <c r="G6676">
        <f>IF(LEFT(B6676,1)="C","Credit","Factuur")</f>
        <v/>
      </c>
      <c r="H6676">
        <f>IF(AND(B6676=B6675,D6676=D6675,A6676=A6675,F6676=F6675),1,0)</f>
        <v/>
      </c>
      <c r="I6676">
        <f>IF(C6676="C99999",1,0)</f>
        <v/>
      </c>
      <c r="J6676" s="5">
        <f>IF(OR(H6676=1,I6676=1),0,IF(G6676="Credit",-F6676,F6676))</f>
        <v/>
      </c>
    </row>
    <row r="6677">
      <c r="A6677" t="inlineStr">
        <is>
          <t>2026-09-04</t>
        </is>
      </c>
      <c r="B6677" t="inlineStr">
        <is>
          <t>F261518</t>
        </is>
      </c>
      <c r="C6677" t="inlineStr">
        <is>
          <t>C10081</t>
        </is>
      </c>
      <c r="D6677" t="inlineStr">
        <is>
          <t>SKU-10015</t>
        </is>
      </c>
      <c r="E6677" t="inlineStr">
        <is>
          <t>AM08</t>
        </is>
      </c>
      <c r="F6677" s="5" t="n">
        <v>834.53</v>
      </c>
      <c r="G6677">
        <f>IF(LEFT(B6677,1)="C","Credit","Factuur")</f>
        <v/>
      </c>
      <c r="H6677">
        <f>IF(AND(B6677=B6676,D6677=D6676,A6677=A6676,F6677=F6676),1,0)</f>
        <v/>
      </c>
      <c r="I6677">
        <f>IF(C6677="C99999",1,0)</f>
        <v/>
      </c>
      <c r="J6677" s="5">
        <f>IF(OR(H6677=1,I6677=1),0,IF(G6677="Credit",-F6677,F6677))</f>
        <v/>
      </c>
    </row>
    <row r="6678">
      <c r="A6678" t="inlineStr">
        <is>
          <t>2026-09-04</t>
        </is>
      </c>
      <c r="B6678" t="inlineStr">
        <is>
          <t>F261518</t>
        </is>
      </c>
      <c r="C6678" t="inlineStr">
        <is>
          <t>C10081</t>
        </is>
      </c>
      <c r="D6678" t="inlineStr">
        <is>
          <t>SKU-10120</t>
        </is>
      </c>
      <c r="E6678" t="inlineStr">
        <is>
          <t>AM08</t>
        </is>
      </c>
      <c r="F6678" s="5" t="n">
        <v>781.87</v>
      </c>
      <c r="G6678">
        <f>IF(LEFT(B6678,1)="C","Credit","Factuur")</f>
        <v/>
      </c>
      <c r="H6678">
        <f>IF(AND(B6678=B6677,D6678=D6677,A6678=A6677,F6678=F6677),1,0)</f>
        <v/>
      </c>
      <c r="I6678">
        <f>IF(C6678="C99999",1,0)</f>
        <v/>
      </c>
      <c r="J6678" s="5">
        <f>IF(OR(H6678=1,I6678=1),0,IF(G6678="Credit",-F6678,F6678))</f>
        <v/>
      </c>
    </row>
    <row r="6679">
      <c r="A6679" t="inlineStr">
        <is>
          <t>2026-09-04</t>
        </is>
      </c>
      <c r="B6679" t="inlineStr">
        <is>
          <t>F261518</t>
        </is>
      </c>
      <c r="C6679" t="inlineStr">
        <is>
          <t>C10081</t>
        </is>
      </c>
      <c r="D6679" t="inlineStr">
        <is>
          <t>SKU-10202</t>
        </is>
      </c>
      <c r="E6679" t="inlineStr">
        <is>
          <t>AM08</t>
        </is>
      </c>
      <c r="F6679" s="5" t="n">
        <v>739.21</v>
      </c>
      <c r="G6679">
        <f>IF(LEFT(B6679,1)="C","Credit","Factuur")</f>
        <v/>
      </c>
      <c r="H6679">
        <f>IF(AND(B6679=B6678,D6679=D6678,A6679=A6678,F6679=F6678),1,0)</f>
        <v/>
      </c>
      <c r="I6679">
        <f>IF(C6679="C99999",1,0)</f>
        <v/>
      </c>
      <c r="J6679" s="5">
        <f>IF(OR(H6679=1,I6679=1),0,IF(G6679="Credit",-F6679,F6679))</f>
        <v/>
      </c>
    </row>
    <row r="6680">
      <c r="A6680" t="inlineStr">
        <is>
          <t>2026-09-04</t>
        </is>
      </c>
      <c r="B6680" t="inlineStr">
        <is>
          <t>F261518</t>
        </is>
      </c>
      <c r="C6680" t="inlineStr">
        <is>
          <t>C10081</t>
        </is>
      </c>
      <c r="D6680" t="inlineStr">
        <is>
          <t>SKU-10217</t>
        </is>
      </c>
      <c r="E6680" t="inlineStr">
        <is>
          <t>AM08</t>
        </is>
      </c>
      <c r="F6680" s="5" t="n">
        <v>815.1</v>
      </c>
      <c r="G6680">
        <f>IF(LEFT(B6680,1)="C","Credit","Factuur")</f>
        <v/>
      </c>
      <c r="H6680">
        <f>IF(AND(B6680=B6679,D6680=D6679,A6680=A6679,F6680=F6679),1,0)</f>
        <v/>
      </c>
      <c r="I6680">
        <f>IF(C6680="C99999",1,0)</f>
        <v/>
      </c>
      <c r="J6680" s="5">
        <f>IF(OR(H6680=1,I6680=1),0,IF(G6680="Credit",-F6680,F6680))</f>
        <v/>
      </c>
    </row>
    <row r="6681">
      <c r="A6681" t="inlineStr">
        <is>
          <t>2026-09-04</t>
        </is>
      </c>
      <c r="B6681" t="inlineStr">
        <is>
          <t>F261518</t>
        </is>
      </c>
      <c r="C6681" t="inlineStr">
        <is>
          <t>C10081</t>
        </is>
      </c>
      <c r="D6681" t="inlineStr">
        <is>
          <t>SKU-10274</t>
        </is>
      </c>
      <c r="E6681" t="inlineStr">
        <is>
          <t>AM08</t>
        </is>
      </c>
      <c r="F6681" s="5" t="n">
        <v>739.3</v>
      </c>
      <c r="G6681">
        <f>IF(LEFT(B6681,1)="C","Credit","Factuur")</f>
        <v/>
      </c>
      <c r="H6681">
        <f>IF(AND(B6681=B6680,D6681=D6680,A6681=A6680,F6681=F6680),1,0)</f>
        <v/>
      </c>
      <c r="I6681">
        <f>IF(C6681="C99999",1,0)</f>
        <v/>
      </c>
      <c r="J6681" s="5">
        <f>IF(OR(H6681=1,I6681=1),0,IF(G6681="Credit",-F6681,F6681))</f>
        <v/>
      </c>
    </row>
    <row r="6682">
      <c r="A6682" t="inlineStr">
        <is>
          <t>2026-09-04</t>
        </is>
      </c>
      <c r="B6682" t="inlineStr">
        <is>
          <t>F261565</t>
        </is>
      </c>
      <c r="C6682" t="inlineStr">
        <is>
          <t>C10082</t>
        </is>
      </c>
      <c r="D6682" t="inlineStr">
        <is>
          <t>SKU-10055</t>
        </is>
      </c>
      <c r="E6682" t="inlineStr">
        <is>
          <t>AM09</t>
        </is>
      </c>
      <c r="F6682" s="5" t="n">
        <v>6974.24</v>
      </c>
      <c r="G6682">
        <f>IF(LEFT(B6682,1)="C","Credit","Factuur")</f>
        <v/>
      </c>
      <c r="H6682">
        <f>IF(AND(B6682=B6681,D6682=D6681,A6682=A6681,F6682=F6681),1,0)</f>
        <v/>
      </c>
      <c r="I6682">
        <f>IF(C6682="C99999",1,0)</f>
        <v/>
      </c>
      <c r="J6682" s="5">
        <f>IF(OR(H6682=1,I6682=1),0,IF(G6682="Credit",-F6682,F6682))</f>
        <v/>
      </c>
    </row>
    <row r="6683">
      <c r="A6683" t="inlineStr">
        <is>
          <t>2026-09-04</t>
        </is>
      </c>
      <c r="B6683" t="inlineStr">
        <is>
          <t>F261565</t>
        </is>
      </c>
      <c r="C6683" t="inlineStr">
        <is>
          <t>C10082</t>
        </is>
      </c>
      <c r="D6683" t="inlineStr">
        <is>
          <t>SKU-10165</t>
        </is>
      </c>
      <c r="E6683" t="inlineStr">
        <is>
          <t>AM09</t>
        </is>
      </c>
      <c r="F6683" s="5" t="n">
        <v>6281.23</v>
      </c>
      <c r="G6683">
        <f>IF(LEFT(B6683,1)="C","Credit","Factuur")</f>
        <v/>
      </c>
      <c r="H6683">
        <f>IF(AND(B6683=B6682,D6683=D6682,A6683=A6682,F6683=F6682),1,0)</f>
        <v/>
      </c>
      <c r="I6683">
        <f>IF(C6683="C99999",1,0)</f>
        <v/>
      </c>
      <c r="J6683" s="5">
        <f>IF(OR(H6683=1,I6683=1),0,IF(G6683="Credit",-F6683,F6683))</f>
        <v/>
      </c>
    </row>
    <row r="6684">
      <c r="A6684" t="inlineStr">
        <is>
          <t>2026-09-04</t>
        </is>
      </c>
      <c r="B6684" t="inlineStr">
        <is>
          <t>F261565</t>
        </is>
      </c>
      <c r="C6684" t="inlineStr">
        <is>
          <t>C10082</t>
        </is>
      </c>
      <c r="D6684" t="inlineStr">
        <is>
          <t>SKU-10178</t>
        </is>
      </c>
      <c r="E6684" t="inlineStr">
        <is>
          <t>AM09</t>
        </is>
      </c>
      <c r="F6684" s="5" t="n">
        <v>6987.81</v>
      </c>
      <c r="G6684">
        <f>IF(LEFT(B6684,1)="C","Credit","Factuur")</f>
        <v/>
      </c>
      <c r="H6684">
        <f>IF(AND(B6684=B6683,D6684=D6683,A6684=A6683,F6684=F6683),1,0)</f>
        <v/>
      </c>
      <c r="I6684">
        <f>IF(C6684="C99999",1,0)</f>
        <v/>
      </c>
      <c r="J6684" s="5">
        <f>IF(OR(H6684=1,I6684=1),0,IF(G6684="Credit",-F6684,F6684))</f>
        <v/>
      </c>
    </row>
    <row r="6685">
      <c r="A6685" t="inlineStr">
        <is>
          <t>2026-09-04</t>
        </is>
      </c>
      <c r="B6685" t="inlineStr">
        <is>
          <t>F261565</t>
        </is>
      </c>
      <c r="C6685" t="inlineStr">
        <is>
          <t>C10082</t>
        </is>
      </c>
      <c r="D6685" t="inlineStr">
        <is>
          <t>SKU-10206</t>
        </is>
      </c>
      <c r="E6685" t="inlineStr">
        <is>
          <t>AM09</t>
        </is>
      </c>
      <c r="F6685" s="5" t="n">
        <v>6149.72</v>
      </c>
      <c r="G6685">
        <f>IF(LEFT(B6685,1)="C","Credit","Factuur")</f>
        <v/>
      </c>
      <c r="H6685">
        <f>IF(AND(B6685=B6684,D6685=D6684,A6685=A6684,F6685=F6684),1,0)</f>
        <v/>
      </c>
      <c r="I6685">
        <f>IF(C6685="C99999",1,0)</f>
        <v/>
      </c>
      <c r="J6685" s="5">
        <f>IF(OR(H6685=1,I6685=1),0,IF(G6685="Credit",-F6685,F6685))</f>
        <v/>
      </c>
    </row>
    <row r="6686">
      <c r="A6686" t="inlineStr">
        <is>
          <t>2026-09-04</t>
        </is>
      </c>
      <c r="B6686" t="inlineStr">
        <is>
          <t>F261681</t>
        </is>
      </c>
      <c r="C6686" t="inlineStr">
        <is>
          <t>C10088</t>
        </is>
      </c>
      <c r="D6686" t="inlineStr">
        <is>
          <t>SKU-10036</t>
        </is>
      </c>
      <c r="E6686" t="inlineStr">
        <is>
          <t>AM03</t>
        </is>
      </c>
      <c r="F6686" s="5" t="n">
        <v>421.32</v>
      </c>
      <c r="G6686">
        <f>IF(LEFT(B6686,1)="C","Credit","Factuur")</f>
        <v/>
      </c>
      <c r="H6686">
        <f>IF(AND(B6686=B6685,D6686=D6685,A6686=A6685,F6686=F6685),1,0)</f>
        <v/>
      </c>
      <c r="I6686">
        <f>IF(C6686="C99999",1,0)</f>
        <v/>
      </c>
      <c r="J6686" s="5">
        <f>IF(OR(H6686=1,I6686=1),0,IF(G6686="Credit",-F6686,F6686))</f>
        <v/>
      </c>
    </row>
    <row r="6687">
      <c r="A6687" t="inlineStr">
        <is>
          <t>2026-09-04</t>
        </is>
      </c>
      <c r="B6687" t="inlineStr">
        <is>
          <t>F261681</t>
        </is>
      </c>
      <c r="C6687" t="inlineStr">
        <is>
          <t>C10088</t>
        </is>
      </c>
      <c r="D6687" t="inlineStr">
        <is>
          <t>SKU-10078</t>
        </is>
      </c>
      <c r="E6687" t="inlineStr">
        <is>
          <t>AM03</t>
        </is>
      </c>
      <c r="F6687" s="5" t="n">
        <v>444.04</v>
      </c>
      <c r="G6687">
        <f>IF(LEFT(B6687,1)="C","Credit","Factuur")</f>
        <v/>
      </c>
      <c r="H6687">
        <f>IF(AND(B6687=B6686,D6687=D6686,A6687=A6686,F6687=F6686),1,0)</f>
        <v/>
      </c>
      <c r="I6687">
        <f>IF(C6687="C99999",1,0)</f>
        <v/>
      </c>
      <c r="J6687" s="5">
        <f>IF(OR(H6687=1,I6687=1),0,IF(G6687="Credit",-F6687,F6687))</f>
        <v/>
      </c>
    </row>
    <row r="6688">
      <c r="A6688" t="inlineStr">
        <is>
          <t>2026-09-04</t>
        </is>
      </c>
      <c r="B6688" t="inlineStr">
        <is>
          <t>F261681</t>
        </is>
      </c>
      <c r="C6688" t="inlineStr">
        <is>
          <t>C10088</t>
        </is>
      </c>
      <c r="D6688" t="inlineStr">
        <is>
          <t>SKU-10107</t>
        </is>
      </c>
      <c r="E6688" t="inlineStr">
        <is>
          <t>AM03</t>
        </is>
      </c>
      <c r="F6688" s="5" t="n">
        <v>426.82</v>
      </c>
      <c r="G6688">
        <f>IF(LEFT(B6688,1)="C","Credit","Factuur")</f>
        <v/>
      </c>
      <c r="H6688">
        <f>IF(AND(B6688=B6687,D6688=D6687,A6688=A6687,F6688=F6687),1,0)</f>
        <v/>
      </c>
      <c r="I6688">
        <f>IF(C6688="C99999",1,0)</f>
        <v/>
      </c>
      <c r="J6688" s="5">
        <f>IF(OR(H6688=1,I6688=1),0,IF(G6688="Credit",-F6688,F6688))</f>
        <v/>
      </c>
    </row>
    <row r="6689">
      <c r="A6689" t="inlineStr">
        <is>
          <t>2026-09-04</t>
        </is>
      </c>
      <c r="B6689" t="inlineStr">
        <is>
          <t>F261681</t>
        </is>
      </c>
      <c r="C6689" t="inlineStr">
        <is>
          <t>C10088</t>
        </is>
      </c>
      <c r="D6689" t="inlineStr">
        <is>
          <t>SKU-10369</t>
        </is>
      </c>
      <c r="E6689" t="inlineStr">
        <is>
          <t>AM03</t>
        </is>
      </c>
      <c r="F6689" s="5" t="n">
        <v>381.31</v>
      </c>
      <c r="G6689">
        <f>IF(LEFT(B6689,1)="C","Credit","Factuur")</f>
        <v/>
      </c>
      <c r="H6689">
        <f>IF(AND(B6689=B6688,D6689=D6688,A6689=A6688,F6689=F6688),1,0)</f>
        <v/>
      </c>
      <c r="I6689">
        <f>IF(C6689="C99999",1,0)</f>
        <v/>
      </c>
      <c r="J6689" s="5">
        <f>IF(OR(H6689=1,I6689=1),0,IF(G6689="Credit",-F6689,F6689))</f>
        <v/>
      </c>
    </row>
    <row r="6690">
      <c r="A6690" t="inlineStr">
        <is>
          <t>2026-09-04</t>
        </is>
      </c>
      <c r="B6690" t="inlineStr">
        <is>
          <t>F261714</t>
        </is>
      </c>
      <c r="C6690" t="inlineStr">
        <is>
          <t>C10089</t>
        </is>
      </c>
      <c r="D6690" t="inlineStr">
        <is>
          <t>SKU-10195</t>
        </is>
      </c>
      <c r="E6690" t="inlineStr">
        <is>
          <t>IS02</t>
        </is>
      </c>
      <c r="F6690" s="5" t="n">
        <v>196.14</v>
      </c>
      <c r="G6690">
        <f>IF(LEFT(B6690,1)="C","Credit","Factuur")</f>
        <v/>
      </c>
      <c r="H6690">
        <f>IF(AND(B6690=B6689,D6690=D6689,A6690=A6689,F6690=F6689),1,0)</f>
        <v/>
      </c>
      <c r="I6690">
        <f>IF(C6690="C99999",1,0)</f>
        <v/>
      </c>
      <c r="J6690" s="5">
        <f>IF(OR(H6690=1,I6690=1),0,IF(G6690="Credit",-F6690,F6690))</f>
        <v/>
      </c>
    </row>
    <row r="6691">
      <c r="A6691" t="inlineStr">
        <is>
          <t>2026-09-04</t>
        </is>
      </c>
      <c r="B6691" t="inlineStr">
        <is>
          <t>F261975</t>
        </is>
      </c>
      <c r="C6691" t="inlineStr">
        <is>
          <t>C10106</t>
        </is>
      </c>
      <c r="D6691" t="inlineStr">
        <is>
          <t>SKU-10093</t>
        </is>
      </c>
      <c r="E6691" t="inlineStr">
        <is>
          <t>AM07</t>
        </is>
      </c>
      <c r="F6691" s="5" t="n">
        <v>1259.57</v>
      </c>
      <c r="G6691">
        <f>IF(LEFT(B6691,1)="C","Credit","Factuur")</f>
        <v/>
      </c>
      <c r="H6691">
        <f>IF(AND(B6691=B6690,D6691=D6690,A6691=A6690,F6691=F6690),1,0)</f>
        <v/>
      </c>
      <c r="I6691">
        <f>IF(C6691="C99999",1,0)</f>
        <v/>
      </c>
      <c r="J6691" s="5">
        <f>IF(OR(H6691=1,I6691=1),0,IF(G6691="Credit",-F6691,F6691))</f>
        <v/>
      </c>
    </row>
    <row r="6692">
      <c r="A6692" t="inlineStr">
        <is>
          <t>2026-09-04</t>
        </is>
      </c>
      <c r="B6692" t="inlineStr">
        <is>
          <t>F261975</t>
        </is>
      </c>
      <c r="C6692" t="inlineStr">
        <is>
          <t>C10106</t>
        </is>
      </c>
      <c r="D6692" t="inlineStr">
        <is>
          <t>SKU-10271</t>
        </is>
      </c>
      <c r="E6692" t="inlineStr">
        <is>
          <t>AM07</t>
        </is>
      </c>
      <c r="F6692" s="5" t="n">
        <v>1230.25</v>
      </c>
      <c r="G6692">
        <f>IF(LEFT(B6692,1)="C","Credit","Factuur")</f>
        <v/>
      </c>
      <c r="H6692">
        <f>IF(AND(B6692=B6691,D6692=D6691,A6692=A6691,F6692=F6691),1,0)</f>
        <v/>
      </c>
      <c r="I6692">
        <f>IF(C6692="C99999",1,0)</f>
        <v/>
      </c>
      <c r="J6692" s="5">
        <f>IF(OR(H6692=1,I6692=1),0,IF(G6692="Credit",-F6692,F6692))</f>
        <v/>
      </c>
    </row>
    <row r="6693">
      <c r="A6693" t="inlineStr">
        <is>
          <t>2026-09-04</t>
        </is>
      </c>
      <c r="B6693" t="inlineStr">
        <is>
          <t>F262144</t>
        </is>
      </c>
      <c r="C6693" t="inlineStr">
        <is>
          <t>C10113</t>
        </is>
      </c>
      <c r="D6693" t="inlineStr">
        <is>
          <t>SKU-10185</t>
        </is>
      </c>
      <c r="E6693" t="inlineStr">
        <is>
          <t>AM12</t>
        </is>
      </c>
      <c r="F6693" s="5" t="n">
        <v>1973.73</v>
      </c>
      <c r="G6693">
        <f>IF(LEFT(B6693,1)="C","Credit","Factuur")</f>
        <v/>
      </c>
      <c r="H6693">
        <f>IF(AND(B6693=B6692,D6693=D6692,A6693=A6692,F6693=F6692),1,0)</f>
        <v/>
      </c>
      <c r="I6693">
        <f>IF(C6693="C99999",1,0)</f>
        <v/>
      </c>
      <c r="J6693" s="5">
        <f>IF(OR(H6693=1,I6693=1),0,IF(G6693="Credit",-F6693,F6693))</f>
        <v/>
      </c>
    </row>
    <row r="6694">
      <c r="A6694" t="inlineStr">
        <is>
          <t>2026-09-04</t>
        </is>
      </c>
      <c r="B6694" t="inlineStr">
        <is>
          <t>F262255</t>
        </is>
      </c>
      <c r="C6694" t="inlineStr">
        <is>
          <t>C10120</t>
        </is>
      </c>
      <c r="D6694" t="inlineStr">
        <is>
          <t>SKU-10009</t>
        </is>
      </c>
      <c r="E6694" t="inlineStr">
        <is>
          <t>AM02</t>
        </is>
      </c>
      <c r="F6694" s="5" t="n">
        <v>90.09999999999999</v>
      </c>
      <c r="G6694">
        <f>IF(LEFT(B6694,1)="C","Credit","Factuur")</f>
        <v/>
      </c>
      <c r="H6694">
        <f>IF(AND(B6694=B6693,D6694=D6693,A6694=A6693,F6694=F6693),1,0)</f>
        <v/>
      </c>
      <c r="I6694">
        <f>IF(C6694="C99999",1,0)</f>
        <v/>
      </c>
      <c r="J6694" s="5">
        <f>IF(OR(H6694=1,I6694=1),0,IF(G6694="Credit",-F6694,F6694))</f>
        <v/>
      </c>
    </row>
    <row r="6695">
      <c r="A6695" t="inlineStr">
        <is>
          <t>2026-09-04</t>
        </is>
      </c>
      <c r="B6695" t="inlineStr">
        <is>
          <t>F262255</t>
        </is>
      </c>
      <c r="C6695" t="inlineStr">
        <is>
          <t>C10120</t>
        </is>
      </c>
      <c r="D6695" t="inlineStr">
        <is>
          <t>SKU-10011</t>
        </is>
      </c>
      <c r="E6695" t="inlineStr">
        <is>
          <t>AM02</t>
        </is>
      </c>
      <c r="F6695" s="5" t="n">
        <v>92.56999999999999</v>
      </c>
      <c r="G6695">
        <f>IF(LEFT(B6695,1)="C","Credit","Factuur")</f>
        <v/>
      </c>
      <c r="H6695">
        <f>IF(AND(B6695=B6694,D6695=D6694,A6695=A6694,F6695=F6694),1,0)</f>
        <v/>
      </c>
      <c r="I6695">
        <f>IF(C6695="C99999",1,0)</f>
        <v/>
      </c>
      <c r="J6695" s="5">
        <f>IF(OR(H6695=1,I6695=1),0,IF(G6695="Credit",-F6695,F6695))</f>
        <v/>
      </c>
    </row>
    <row r="6696">
      <c r="A6696" t="inlineStr">
        <is>
          <t>2026-09-04</t>
        </is>
      </c>
      <c r="B6696" t="inlineStr">
        <is>
          <t>F262255</t>
        </is>
      </c>
      <c r="C6696" t="inlineStr">
        <is>
          <t>C10120</t>
        </is>
      </c>
      <c r="D6696" t="inlineStr">
        <is>
          <t>SKU-10290</t>
        </is>
      </c>
      <c r="E6696" t="inlineStr">
        <is>
          <t>AM02</t>
        </is>
      </c>
      <c r="F6696" s="5" t="n">
        <v>103.8</v>
      </c>
      <c r="G6696">
        <f>IF(LEFT(B6696,1)="C","Credit","Factuur")</f>
        <v/>
      </c>
      <c r="H6696">
        <f>IF(AND(B6696=B6695,D6696=D6695,A6696=A6695,F6696=F6695),1,0)</f>
        <v/>
      </c>
      <c r="I6696">
        <f>IF(C6696="C99999",1,0)</f>
        <v/>
      </c>
      <c r="J6696" s="5">
        <f>IF(OR(H6696=1,I6696=1),0,IF(G6696="Credit",-F6696,F6696))</f>
        <v/>
      </c>
    </row>
    <row r="6697">
      <c r="A6697" t="inlineStr">
        <is>
          <t>2026-09-04</t>
        </is>
      </c>
      <c r="B6697" t="inlineStr">
        <is>
          <t>F262559</t>
        </is>
      </c>
      <c r="C6697" t="inlineStr">
        <is>
          <t>C10136</t>
        </is>
      </c>
      <c r="D6697" t="inlineStr">
        <is>
          <t>SKU-10091</t>
        </is>
      </c>
      <c r="E6697" t="inlineStr">
        <is>
          <t>AM11</t>
        </is>
      </c>
      <c r="F6697" s="5" t="n">
        <v>587.15</v>
      </c>
      <c r="G6697">
        <f>IF(LEFT(B6697,1)="C","Credit","Factuur")</f>
        <v/>
      </c>
      <c r="H6697">
        <f>IF(AND(B6697=B6696,D6697=D6696,A6697=A6696,F6697=F6696),1,0)</f>
        <v/>
      </c>
      <c r="I6697">
        <f>IF(C6697="C99999",1,0)</f>
        <v/>
      </c>
      <c r="J6697" s="5">
        <f>IF(OR(H6697=1,I6697=1),0,IF(G6697="Credit",-F6697,F6697))</f>
        <v/>
      </c>
    </row>
    <row r="6698">
      <c r="A6698" t="inlineStr">
        <is>
          <t>2026-09-04</t>
        </is>
      </c>
      <c r="B6698" t="inlineStr">
        <is>
          <t>F262559</t>
        </is>
      </c>
      <c r="C6698" t="inlineStr">
        <is>
          <t>C10136</t>
        </is>
      </c>
      <c r="D6698" t="inlineStr">
        <is>
          <t>SKU-10249</t>
        </is>
      </c>
      <c r="E6698" t="inlineStr">
        <is>
          <t>AM11</t>
        </is>
      </c>
      <c r="F6698" s="5" t="n">
        <v>528.7</v>
      </c>
      <c r="G6698">
        <f>IF(LEFT(B6698,1)="C","Credit","Factuur")</f>
        <v/>
      </c>
      <c r="H6698">
        <f>IF(AND(B6698=B6697,D6698=D6697,A6698=A6697,F6698=F6697),1,0)</f>
        <v/>
      </c>
      <c r="I6698">
        <f>IF(C6698="C99999",1,0)</f>
        <v/>
      </c>
      <c r="J6698" s="5">
        <f>IF(OR(H6698=1,I6698=1),0,IF(G6698="Credit",-F6698,F6698))</f>
        <v/>
      </c>
    </row>
    <row r="6699">
      <c r="A6699" t="inlineStr">
        <is>
          <t>2026-09-04</t>
        </is>
      </c>
      <c r="B6699" t="inlineStr">
        <is>
          <t>F262628</t>
        </is>
      </c>
      <c r="C6699" t="inlineStr">
        <is>
          <t>C10139</t>
        </is>
      </c>
      <c r="D6699" t="inlineStr">
        <is>
          <t>SKU-10223</t>
        </is>
      </c>
      <c r="E6699" t="inlineStr">
        <is>
          <t>AM03</t>
        </is>
      </c>
      <c r="F6699" s="5" t="n">
        <v>159.39</v>
      </c>
      <c r="G6699">
        <f>IF(LEFT(B6699,1)="C","Credit","Factuur")</f>
        <v/>
      </c>
      <c r="H6699">
        <f>IF(AND(B6699=B6698,D6699=D6698,A6699=A6698,F6699=F6698),1,0)</f>
        <v/>
      </c>
      <c r="I6699">
        <f>IF(C6699="C99999",1,0)</f>
        <v/>
      </c>
      <c r="J6699" s="5">
        <f>IF(OR(H6699=1,I6699=1),0,IF(G6699="Credit",-F6699,F6699))</f>
        <v/>
      </c>
    </row>
    <row r="6700">
      <c r="A6700" t="inlineStr">
        <is>
          <t>2026-09-04</t>
        </is>
      </c>
      <c r="B6700" t="inlineStr">
        <is>
          <t>F262628</t>
        </is>
      </c>
      <c r="C6700" t="inlineStr">
        <is>
          <t>C10139</t>
        </is>
      </c>
      <c r="D6700" t="inlineStr">
        <is>
          <t>SKU-10274</t>
        </is>
      </c>
      <c r="E6700" t="inlineStr">
        <is>
          <t>AM03</t>
        </is>
      </c>
      <c r="F6700" s="5" t="n">
        <v>146.32</v>
      </c>
      <c r="G6700">
        <f>IF(LEFT(B6700,1)="C","Credit","Factuur")</f>
        <v/>
      </c>
      <c r="H6700">
        <f>IF(AND(B6700=B6699,D6700=D6699,A6700=A6699,F6700=F6699),1,0)</f>
        <v/>
      </c>
      <c r="I6700">
        <f>IF(C6700="C99999",1,0)</f>
        <v/>
      </c>
      <c r="J6700" s="5">
        <f>IF(OR(H6700=1,I6700=1),0,IF(G6700="Credit",-F6700,F6700))</f>
        <v/>
      </c>
    </row>
    <row r="6701">
      <c r="A6701" t="inlineStr">
        <is>
          <t>2026-09-04</t>
        </is>
      </c>
      <c r="B6701" t="inlineStr">
        <is>
          <t>F262628</t>
        </is>
      </c>
      <c r="C6701" t="inlineStr">
        <is>
          <t>C10139</t>
        </is>
      </c>
      <c r="D6701" t="inlineStr">
        <is>
          <t>SKU-10278</t>
        </is>
      </c>
      <c r="E6701" t="inlineStr">
        <is>
          <t>AM03</t>
        </is>
      </c>
      <c r="F6701" s="5" t="n">
        <v>168.16</v>
      </c>
      <c r="G6701">
        <f>IF(LEFT(B6701,1)="C","Credit","Factuur")</f>
        <v/>
      </c>
      <c r="H6701">
        <f>IF(AND(B6701=B6700,D6701=D6700,A6701=A6700,F6701=F6700),1,0)</f>
        <v/>
      </c>
      <c r="I6701">
        <f>IF(C6701="C99999",1,0)</f>
        <v/>
      </c>
      <c r="J6701" s="5">
        <f>IF(OR(H6701=1,I6701=1),0,IF(G6701="Credit",-F6701,F6701))</f>
        <v/>
      </c>
    </row>
    <row r="6702">
      <c r="A6702" t="inlineStr">
        <is>
          <t>2026-09-04</t>
        </is>
      </c>
      <c r="B6702" t="inlineStr">
        <is>
          <t>F263302</t>
        </is>
      </c>
      <c r="C6702" t="inlineStr">
        <is>
          <t>C10175</t>
        </is>
      </c>
      <c r="D6702" t="inlineStr">
        <is>
          <t>SKU-10284</t>
        </is>
      </c>
      <c r="E6702" t="inlineStr">
        <is>
          <t>AM01</t>
        </is>
      </c>
      <c r="F6702" s="5" t="n">
        <v>517.71</v>
      </c>
      <c r="G6702">
        <f>IF(LEFT(B6702,1)="C","Credit","Factuur")</f>
        <v/>
      </c>
      <c r="H6702">
        <f>IF(AND(B6702=B6701,D6702=D6701,A6702=A6701,F6702=F6701),1,0)</f>
        <v/>
      </c>
      <c r="I6702">
        <f>IF(C6702="C99999",1,0)</f>
        <v/>
      </c>
      <c r="J6702" s="5">
        <f>IF(OR(H6702=1,I6702=1),0,IF(G6702="Credit",-F6702,F6702))</f>
        <v/>
      </c>
    </row>
    <row r="6703">
      <c r="A6703" t="inlineStr">
        <is>
          <t>2026-09-04</t>
        </is>
      </c>
      <c r="B6703" t="inlineStr">
        <is>
          <t>F263302</t>
        </is>
      </c>
      <c r="C6703" t="inlineStr">
        <is>
          <t>C10175</t>
        </is>
      </c>
      <c r="D6703" t="inlineStr">
        <is>
          <t>SKU-10341</t>
        </is>
      </c>
      <c r="E6703" t="inlineStr">
        <is>
          <t>AM01</t>
        </is>
      </c>
      <c r="F6703" s="5" t="n">
        <v>563.36</v>
      </c>
      <c r="G6703">
        <f>IF(LEFT(B6703,1)="C","Credit","Factuur")</f>
        <v/>
      </c>
      <c r="H6703">
        <f>IF(AND(B6703=B6702,D6703=D6702,A6703=A6702,F6703=F6702),1,0)</f>
        <v/>
      </c>
      <c r="I6703">
        <f>IF(C6703="C99999",1,0)</f>
        <v/>
      </c>
      <c r="J6703" s="5">
        <f>IF(OR(H6703=1,I6703=1),0,IF(G6703="Credit",-F6703,F6703))</f>
        <v/>
      </c>
    </row>
    <row r="6704">
      <c r="A6704" t="inlineStr">
        <is>
          <t>2026-09-04</t>
        </is>
      </c>
      <c r="B6704" t="inlineStr">
        <is>
          <t>F263302</t>
        </is>
      </c>
      <c r="C6704" t="inlineStr">
        <is>
          <t>C10175</t>
        </is>
      </c>
      <c r="D6704" t="inlineStr">
        <is>
          <t>SKU-10349</t>
        </is>
      </c>
      <c r="E6704" t="inlineStr"/>
      <c r="F6704" s="5" t="n">
        <v>554.3200000000001</v>
      </c>
      <c r="G6704">
        <f>IF(LEFT(B6704,1)="C","Credit","Factuur")</f>
        <v/>
      </c>
      <c r="H6704">
        <f>IF(AND(B6704=B6703,D6704=D6703,A6704=A6703,F6704=F6703),1,0)</f>
        <v/>
      </c>
      <c r="I6704">
        <f>IF(C6704="C99999",1,0)</f>
        <v/>
      </c>
      <c r="J6704" s="5">
        <f>IF(OR(H6704=1,I6704=1),0,IF(G6704="Credit",-F6704,F6704))</f>
        <v/>
      </c>
    </row>
    <row r="6705">
      <c r="A6705" t="inlineStr">
        <is>
          <t>2026-09-04</t>
        </is>
      </c>
      <c r="B6705" t="inlineStr">
        <is>
          <t>F263310</t>
        </is>
      </c>
      <c r="C6705" t="inlineStr">
        <is>
          <t>C10175</t>
        </is>
      </c>
      <c r="D6705" t="inlineStr">
        <is>
          <t>SKU-10153</t>
        </is>
      </c>
      <c r="E6705" t="inlineStr">
        <is>
          <t>AM01</t>
        </is>
      </c>
      <c r="F6705" s="5" t="n">
        <v>202.32</v>
      </c>
      <c r="G6705">
        <f>IF(LEFT(B6705,1)="C","Credit","Factuur")</f>
        <v/>
      </c>
      <c r="H6705">
        <f>IF(AND(B6705=B6704,D6705=D6704,A6705=A6704,F6705=F6704),1,0)</f>
        <v/>
      </c>
      <c r="I6705">
        <f>IF(C6705="C99999",1,0)</f>
        <v/>
      </c>
      <c r="J6705" s="5">
        <f>IF(OR(H6705=1,I6705=1),0,IF(G6705="Credit",-F6705,F6705))</f>
        <v/>
      </c>
    </row>
    <row r="6706">
      <c r="A6706" t="inlineStr">
        <is>
          <t>2026-09-04</t>
        </is>
      </c>
      <c r="B6706" t="inlineStr">
        <is>
          <t>F263310</t>
        </is>
      </c>
      <c r="C6706" t="inlineStr">
        <is>
          <t>C10175</t>
        </is>
      </c>
      <c r="D6706" t="inlineStr">
        <is>
          <t>SKU-10298</t>
        </is>
      </c>
      <c r="E6706" t="inlineStr">
        <is>
          <t>AM01</t>
        </is>
      </c>
      <c r="F6706" s="5" t="n">
        <v>188.25</v>
      </c>
      <c r="G6706">
        <f>IF(LEFT(B6706,1)="C","Credit","Factuur")</f>
        <v/>
      </c>
      <c r="H6706">
        <f>IF(AND(B6706=B6705,D6706=D6705,A6706=A6705,F6706=F6705),1,0)</f>
        <v/>
      </c>
      <c r="I6706">
        <f>IF(C6706="C99999",1,0)</f>
        <v/>
      </c>
      <c r="J6706" s="5">
        <f>IF(OR(H6706=1,I6706=1),0,IF(G6706="Credit",-F6706,F6706))</f>
        <v/>
      </c>
    </row>
    <row r="6707">
      <c r="A6707" t="inlineStr">
        <is>
          <t>2026-09-04</t>
        </is>
      </c>
      <c r="B6707" t="inlineStr">
        <is>
          <t>F263310</t>
        </is>
      </c>
      <c r="C6707" t="inlineStr">
        <is>
          <t>C10175</t>
        </is>
      </c>
      <c r="D6707" t="inlineStr">
        <is>
          <t>SKU-10324</t>
        </is>
      </c>
      <c r="E6707" t="inlineStr">
        <is>
          <t>AM01</t>
        </is>
      </c>
      <c r="F6707" s="5" t="n">
        <v>195.48</v>
      </c>
      <c r="G6707">
        <f>IF(LEFT(B6707,1)="C","Credit","Factuur")</f>
        <v/>
      </c>
      <c r="H6707">
        <f>IF(AND(B6707=B6706,D6707=D6706,A6707=A6706,F6707=F6706),1,0)</f>
        <v/>
      </c>
      <c r="I6707">
        <f>IF(C6707="C99999",1,0)</f>
        <v/>
      </c>
      <c r="J6707" s="5">
        <f>IF(OR(H6707=1,I6707=1),0,IF(G6707="Credit",-F6707,F6707))</f>
        <v/>
      </c>
    </row>
    <row r="6708">
      <c r="A6708" t="inlineStr">
        <is>
          <t>2026-09-04</t>
        </is>
      </c>
      <c r="B6708" t="inlineStr">
        <is>
          <t>F263310</t>
        </is>
      </c>
      <c r="C6708" t="inlineStr">
        <is>
          <t>C10175</t>
        </is>
      </c>
      <c r="D6708" t="inlineStr">
        <is>
          <t>SKU-10374</t>
        </is>
      </c>
      <c r="E6708" t="inlineStr"/>
      <c r="F6708" s="5" t="n">
        <v>235.35</v>
      </c>
      <c r="G6708">
        <f>IF(LEFT(B6708,1)="C","Credit","Factuur")</f>
        <v/>
      </c>
      <c r="H6708">
        <f>IF(AND(B6708=B6707,D6708=D6707,A6708=A6707,F6708=F6707),1,0)</f>
        <v/>
      </c>
      <c r="I6708">
        <f>IF(C6708="C99999",1,0)</f>
        <v/>
      </c>
      <c r="J6708" s="5">
        <f>IF(OR(H6708=1,I6708=1),0,IF(G6708="Credit",-F6708,F6708))</f>
        <v/>
      </c>
    </row>
    <row r="6709">
      <c r="A6709" t="inlineStr">
        <is>
          <t>2026-09-04</t>
        </is>
      </c>
      <c r="B6709" t="inlineStr">
        <is>
          <t>F263406</t>
        </is>
      </c>
      <c r="C6709" t="inlineStr">
        <is>
          <t>C10181</t>
        </is>
      </c>
      <c r="D6709" t="inlineStr">
        <is>
          <t>SKU-10109</t>
        </is>
      </c>
      <c r="E6709" t="inlineStr">
        <is>
          <t>AM02</t>
        </is>
      </c>
      <c r="F6709" s="5" t="n">
        <v>191.8</v>
      </c>
      <c r="G6709">
        <f>IF(LEFT(B6709,1)="C","Credit","Factuur")</f>
        <v/>
      </c>
      <c r="H6709">
        <f>IF(AND(B6709=B6708,D6709=D6708,A6709=A6708,F6709=F6708),1,0)</f>
        <v/>
      </c>
      <c r="I6709">
        <f>IF(C6709="C99999",1,0)</f>
        <v/>
      </c>
      <c r="J6709" s="5">
        <f>IF(OR(H6709=1,I6709=1),0,IF(G6709="Credit",-F6709,F6709))</f>
        <v/>
      </c>
    </row>
    <row r="6710">
      <c r="A6710" t="inlineStr">
        <is>
          <t>2026-09-04</t>
        </is>
      </c>
      <c r="B6710" t="inlineStr">
        <is>
          <t>F264132</t>
        </is>
      </c>
      <c r="C6710" t="inlineStr">
        <is>
          <t>C10219</t>
        </is>
      </c>
      <c r="D6710" t="inlineStr">
        <is>
          <t>SKU-10227</t>
        </is>
      </c>
      <c r="E6710" t="inlineStr">
        <is>
          <t>AM07</t>
        </is>
      </c>
      <c r="F6710" s="5" t="n">
        <v>202.46</v>
      </c>
      <c r="G6710">
        <f>IF(LEFT(B6710,1)="C","Credit","Factuur")</f>
        <v/>
      </c>
      <c r="H6710">
        <f>IF(AND(B6710=B6709,D6710=D6709,A6710=A6709,F6710=F6709),1,0)</f>
        <v/>
      </c>
      <c r="I6710">
        <f>IF(C6710="C99999",1,0)</f>
        <v/>
      </c>
      <c r="J6710" s="5">
        <f>IF(OR(H6710=1,I6710=1),0,IF(G6710="Credit",-F6710,F6710))</f>
        <v/>
      </c>
    </row>
    <row r="6711">
      <c r="A6711" t="inlineStr">
        <is>
          <t>2026-09-04</t>
        </is>
      </c>
      <c r="B6711" t="inlineStr">
        <is>
          <t>F264132</t>
        </is>
      </c>
      <c r="C6711" t="inlineStr">
        <is>
          <t>C10219</t>
        </is>
      </c>
      <c r="D6711" t="inlineStr">
        <is>
          <t>SKU-10304</t>
        </is>
      </c>
      <c r="E6711" t="inlineStr">
        <is>
          <t>AM07</t>
        </is>
      </c>
      <c r="F6711" s="5" t="n">
        <v>229.2</v>
      </c>
      <c r="G6711">
        <f>IF(LEFT(B6711,1)="C","Credit","Factuur")</f>
        <v/>
      </c>
      <c r="H6711">
        <f>IF(AND(B6711=B6710,D6711=D6710,A6711=A6710,F6711=F6710),1,0)</f>
        <v/>
      </c>
      <c r="I6711">
        <f>IF(C6711="C99999",1,0)</f>
        <v/>
      </c>
      <c r="J6711" s="5">
        <f>IF(OR(H6711=1,I6711=1),0,IF(G6711="Credit",-F6711,F6711))</f>
        <v/>
      </c>
    </row>
    <row r="6712">
      <c r="A6712" t="inlineStr">
        <is>
          <t>2026-09-04</t>
        </is>
      </c>
      <c r="B6712" t="inlineStr">
        <is>
          <t>F264132</t>
        </is>
      </c>
      <c r="C6712" t="inlineStr">
        <is>
          <t>C10219</t>
        </is>
      </c>
      <c r="D6712" t="inlineStr">
        <is>
          <t>SKU-10341</t>
        </is>
      </c>
      <c r="E6712" t="inlineStr">
        <is>
          <t>AM07</t>
        </is>
      </c>
      <c r="F6712" s="5" t="n">
        <v>229.37</v>
      </c>
      <c r="G6712">
        <f>IF(LEFT(B6712,1)="C","Credit","Factuur")</f>
        <v/>
      </c>
      <c r="H6712">
        <f>IF(AND(B6712=B6711,D6712=D6711,A6712=A6711,F6712=F6711),1,0)</f>
        <v/>
      </c>
      <c r="I6712">
        <f>IF(C6712="C99999",1,0)</f>
        <v/>
      </c>
      <c r="J6712" s="5">
        <f>IF(OR(H6712=1,I6712=1),0,IF(G6712="Credit",-F6712,F6712))</f>
        <v/>
      </c>
    </row>
    <row r="6713">
      <c r="A6713" t="inlineStr">
        <is>
          <t>2026-09-04</t>
        </is>
      </c>
      <c r="B6713" t="inlineStr">
        <is>
          <t>F264132</t>
        </is>
      </c>
      <c r="C6713" t="inlineStr">
        <is>
          <t>C10219</t>
        </is>
      </c>
      <c r="D6713" t="inlineStr">
        <is>
          <t>SKU-10351</t>
        </is>
      </c>
      <c r="E6713" t="inlineStr">
        <is>
          <t>AM07</t>
        </is>
      </c>
      <c r="F6713" s="5" t="n">
        <v>636.89</v>
      </c>
      <c r="G6713">
        <f>IF(LEFT(B6713,1)="C","Credit","Factuur")</f>
        <v/>
      </c>
      <c r="H6713">
        <f>IF(AND(B6713=B6712,D6713=D6712,A6713=A6712,F6713=F6712),1,0)</f>
        <v/>
      </c>
      <c r="I6713">
        <f>IF(C6713="C99999",1,0)</f>
        <v/>
      </c>
      <c r="J6713" s="5">
        <f>IF(OR(H6713=1,I6713=1),0,IF(G6713="Credit",-F6713,F6713))</f>
        <v/>
      </c>
    </row>
    <row r="6714">
      <c r="A6714" t="inlineStr">
        <is>
          <t>2026-09-04</t>
        </is>
      </c>
      <c r="B6714" t="inlineStr">
        <is>
          <t>F264284</t>
        </is>
      </c>
      <c r="C6714" t="inlineStr">
        <is>
          <t>C10225</t>
        </is>
      </c>
      <c r="D6714" t="inlineStr">
        <is>
          <t>SKU-10304</t>
        </is>
      </c>
      <c r="E6714" t="inlineStr">
        <is>
          <t>AM02</t>
        </is>
      </c>
      <c r="F6714" s="5" t="n">
        <v>764</v>
      </c>
      <c r="G6714">
        <f>IF(LEFT(B6714,1)="C","Credit","Factuur")</f>
        <v/>
      </c>
      <c r="H6714">
        <f>IF(AND(B6714=B6713,D6714=D6713,A6714=A6713,F6714=F6713),1,0)</f>
        <v/>
      </c>
      <c r="I6714">
        <f>IF(C6714="C99999",1,0)</f>
        <v/>
      </c>
      <c r="J6714" s="5">
        <f>IF(OR(H6714=1,I6714=1),0,IF(G6714="Credit",-F6714,F6714))</f>
        <v/>
      </c>
    </row>
    <row r="6715">
      <c r="A6715" t="inlineStr">
        <is>
          <t>2026-09-04</t>
        </is>
      </c>
      <c r="B6715" t="inlineStr">
        <is>
          <t>F264284</t>
        </is>
      </c>
      <c r="C6715" t="inlineStr">
        <is>
          <t>C10225</t>
        </is>
      </c>
      <c r="D6715" t="inlineStr">
        <is>
          <t>SKU-10316</t>
        </is>
      </c>
      <c r="E6715" t="inlineStr">
        <is>
          <t>AM02</t>
        </is>
      </c>
      <c r="F6715" s="5" t="n">
        <v>697.17</v>
      </c>
      <c r="G6715">
        <f>IF(LEFT(B6715,1)="C","Credit","Factuur")</f>
        <v/>
      </c>
      <c r="H6715">
        <f>IF(AND(B6715=B6714,D6715=D6714,A6715=A6714,F6715=F6714),1,0)</f>
        <v/>
      </c>
      <c r="I6715">
        <f>IF(C6715="C99999",1,0)</f>
        <v/>
      </c>
      <c r="J6715" s="5">
        <f>IF(OR(H6715=1,I6715=1),0,IF(G6715="Credit",-F6715,F6715))</f>
        <v/>
      </c>
    </row>
    <row r="6716">
      <c r="A6716" t="inlineStr">
        <is>
          <t>2026-09-04</t>
        </is>
      </c>
      <c r="B6716" t="inlineStr">
        <is>
          <t>F264399</t>
        </is>
      </c>
      <c r="C6716" t="inlineStr">
        <is>
          <t>C10229</t>
        </is>
      </c>
      <c r="D6716" t="inlineStr">
        <is>
          <t>SKU-10064</t>
        </is>
      </c>
      <c r="E6716" t="inlineStr">
        <is>
          <t>AM11</t>
        </is>
      </c>
      <c r="F6716" s="5" t="n">
        <v>261.21</v>
      </c>
      <c r="G6716">
        <f>IF(LEFT(B6716,1)="C","Credit","Factuur")</f>
        <v/>
      </c>
      <c r="H6716">
        <f>IF(AND(B6716=B6715,D6716=D6715,A6716=A6715,F6716=F6715),1,0)</f>
        <v/>
      </c>
      <c r="I6716">
        <f>IF(C6716="C99999",1,0)</f>
        <v/>
      </c>
      <c r="J6716" s="5">
        <f>IF(OR(H6716=1,I6716=1),0,IF(G6716="Credit",-F6716,F6716))</f>
        <v/>
      </c>
    </row>
    <row r="6717">
      <c r="A6717" t="inlineStr">
        <is>
          <t>2026-09-04</t>
        </is>
      </c>
      <c r="B6717" t="inlineStr">
        <is>
          <t>F264399</t>
        </is>
      </c>
      <c r="C6717" t="inlineStr">
        <is>
          <t>C10229</t>
        </is>
      </c>
      <c r="D6717" t="inlineStr">
        <is>
          <t>SKU-10230</t>
        </is>
      </c>
      <c r="E6717" t="inlineStr">
        <is>
          <t>AM11</t>
        </is>
      </c>
      <c r="F6717" s="5" t="n">
        <v>236.47</v>
      </c>
      <c r="G6717">
        <f>IF(LEFT(B6717,1)="C","Credit","Factuur")</f>
        <v/>
      </c>
      <c r="H6717">
        <f>IF(AND(B6717=B6716,D6717=D6716,A6717=A6716,F6717=F6716),1,0)</f>
        <v/>
      </c>
      <c r="I6717">
        <f>IF(C6717="C99999",1,0)</f>
        <v/>
      </c>
      <c r="J6717" s="5">
        <f>IF(OR(H6717=1,I6717=1),0,IF(G6717="Credit",-F6717,F6717))</f>
        <v/>
      </c>
    </row>
    <row r="6718">
      <c r="A6718" t="inlineStr">
        <is>
          <t>2026-09-04</t>
        </is>
      </c>
      <c r="B6718" t="inlineStr">
        <is>
          <t>F264399</t>
        </is>
      </c>
      <c r="C6718" t="inlineStr">
        <is>
          <t>C10229</t>
        </is>
      </c>
      <c r="D6718" t="inlineStr">
        <is>
          <t>SKU-10316</t>
        </is>
      </c>
      <c r="E6718" t="inlineStr">
        <is>
          <t>AM11</t>
        </is>
      </c>
      <c r="F6718" s="5" t="n">
        <v>258.21</v>
      </c>
      <c r="G6718">
        <f>IF(LEFT(B6718,1)="C","Credit","Factuur")</f>
        <v/>
      </c>
      <c r="H6718">
        <f>IF(AND(B6718=B6717,D6718=D6717,A6718=A6717,F6718=F6717),1,0)</f>
        <v/>
      </c>
      <c r="I6718">
        <f>IF(C6718="C99999",1,0)</f>
        <v/>
      </c>
      <c r="J6718" s="5">
        <f>IF(OR(H6718=1,I6718=1),0,IF(G6718="Credit",-F6718,F6718))</f>
        <v/>
      </c>
    </row>
    <row r="6719">
      <c r="A6719" t="inlineStr">
        <is>
          <t>2026-09-04</t>
        </is>
      </c>
      <c r="B6719" t="inlineStr">
        <is>
          <t>F264691</t>
        </is>
      </c>
      <c r="C6719" t="inlineStr">
        <is>
          <t>C10244</t>
        </is>
      </c>
      <c r="D6719" t="inlineStr">
        <is>
          <t>SKU-10164</t>
        </is>
      </c>
      <c r="E6719" t="inlineStr">
        <is>
          <t>AM02</t>
        </is>
      </c>
      <c r="F6719" s="5" t="n">
        <v>812.13</v>
      </c>
      <c r="G6719">
        <f>IF(LEFT(B6719,1)="C","Credit","Factuur")</f>
        <v/>
      </c>
      <c r="H6719">
        <f>IF(AND(B6719=B6718,D6719=D6718,A6719=A6718,F6719=F6718),1,0)</f>
        <v/>
      </c>
      <c r="I6719">
        <f>IF(C6719="C99999",1,0)</f>
        <v/>
      </c>
      <c r="J6719" s="5">
        <f>IF(OR(H6719=1,I6719=1),0,IF(G6719="Credit",-F6719,F6719))</f>
        <v/>
      </c>
    </row>
    <row r="6720">
      <c r="A6720" t="inlineStr">
        <is>
          <t>2026-09-04</t>
        </is>
      </c>
      <c r="B6720" t="inlineStr">
        <is>
          <t>F264691</t>
        </is>
      </c>
      <c r="C6720" t="inlineStr">
        <is>
          <t>C10244</t>
        </is>
      </c>
      <c r="D6720" t="inlineStr">
        <is>
          <t>SKU-10320</t>
        </is>
      </c>
      <c r="E6720" t="inlineStr">
        <is>
          <t>AM02</t>
        </is>
      </c>
      <c r="F6720" s="5" t="n">
        <v>810.7</v>
      </c>
      <c r="G6720">
        <f>IF(LEFT(B6720,1)="C","Credit","Factuur")</f>
        <v/>
      </c>
      <c r="H6720">
        <f>IF(AND(B6720=B6719,D6720=D6719,A6720=A6719,F6720=F6719),1,0)</f>
        <v/>
      </c>
      <c r="I6720">
        <f>IF(C6720="C99999",1,0)</f>
        <v/>
      </c>
      <c r="J6720" s="5">
        <f>IF(OR(H6720=1,I6720=1),0,IF(G6720="Credit",-F6720,F6720))</f>
        <v/>
      </c>
    </row>
    <row r="6721">
      <c r="A6721" t="inlineStr">
        <is>
          <t>2026-09-04</t>
        </is>
      </c>
      <c r="B6721" t="inlineStr">
        <is>
          <t>F264923</t>
        </is>
      </c>
      <c r="C6721" t="inlineStr">
        <is>
          <t>C10256</t>
        </is>
      </c>
      <c r="D6721" t="inlineStr">
        <is>
          <t>SKU-10128</t>
        </is>
      </c>
      <c r="E6721" t="inlineStr">
        <is>
          <t>AM05</t>
        </is>
      </c>
      <c r="F6721" s="5" t="n">
        <v>62.85</v>
      </c>
      <c r="G6721">
        <f>IF(LEFT(B6721,1)="C","Credit","Factuur")</f>
        <v/>
      </c>
      <c r="H6721">
        <f>IF(AND(B6721=B6720,D6721=D6720,A6721=A6720,F6721=F6720),1,0)</f>
        <v/>
      </c>
      <c r="I6721">
        <f>IF(C6721="C99999",1,0)</f>
        <v/>
      </c>
      <c r="J6721" s="5">
        <f>IF(OR(H6721=1,I6721=1),0,IF(G6721="Credit",-F6721,F6721))</f>
        <v/>
      </c>
    </row>
    <row r="6722">
      <c r="A6722" t="inlineStr">
        <is>
          <t>2026-09-04</t>
        </is>
      </c>
      <c r="B6722" t="inlineStr">
        <is>
          <t>F264923</t>
        </is>
      </c>
      <c r="C6722" t="inlineStr">
        <is>
          <t>C10256</t>
        </is>
      </c>
      <c r="D6722" t="inlineStr">
        <is>
          <t>SKU-10248</t>
        </is>
      </c>
      <c r="E6722" t="inlineStr">
        <is>
          <t>AM05</t>
        </is>
      </c>
      <c r="F6722" s="5" t="n">
        <v>58.54</v>
      </c>
      <c r="G6722">
        <f>IF(LEFT(B6722,1)="C","Credit","Factuur")</f>
        <v/>
      </c>
      <c r="H6722">
        <f>IF(AND(B6722=B6721,D6722=D6721,A6722=A6721,F6722=F6721),1,0)</f>
        <v/>
      </c>
      <c r="I6722">
        <f>IF(C6722="C99999",1,0)</f>
        <v/>
      </c>
      <c r="J6722" s="5">
        <f>IF(OR(H6722=1,I6722=1),0,IF(G6722="Credit",-F6722,F6722))</f>
        <v/>
      </c>
    </row>
    <row r="6723">
      <c r="A6723" t="inlineStr">
        <is>
          <t>2026-09-04</t>
        </is>
      </c>
      <c r="B6723" t="inlineStr">
        <is>
          <t>F264923</t>
        </is>
      </c>
      <c r="C6723" t="inlineStr">
        <is>
          <t>C10256</t>
        </is>
      </c>
      <c r="D6723" t="inlineStr">
        <is>
          <t>SKU-10279</t>
        </is>
      </c>
      <c r="E6723" t="inlineStr">
        <is>
          <t>AM05</t>
        </is>
      </c>
      <c r="F6723" s="5" t="n">
        <v>63</v>
      </c>
      <c r="G6723">
        <f>IF(LEFT(B6723,1)="C","Credit","Factuur")</f>
        <v/>
      </c>
      <c r="H6723">
        <f>IF(AND(B6723=B6722,D6723=D6722,A6723=A6722,F6723=F6722),1,0)</f>
        <v/>
      </c>
      <c r="I6723">
        <f>IF(C6723="C99999",1,0)</f>
        <v/>
      </c>
      <c r="J6723" s="5">
        <f>IF(OR(H6723=1,I6723=1),0,IF(G6723="Credit",-F6723,F6723))</f>
        <v/>
      </c>
    </row>
    <row r="6724">
      <c r="A6724" t="inlineStr">
        <is>
          <t>2026-09-04</t>
        </is>
      </c>
      <c r="B6724" t="inlineStr">
        <is>
          <t>F265082</t>
        </is>
      </c>
      <c r="C6724" t="inlineStr">
        <is>
          <t>C10267</t>
        </is>
      </c>
      <c r="D6724" t="inlineStr">
        <is>
          <t>SKU-10182</t>
        </is>
      </c>
      <c r="E6724" t="inlineStr">
        <is>
          <t>AM05</t>
        </is>
      </c>
      <c r="F6724" s="5" t="n">
        <v>1383.25</v>
      </c>
      <c r="G6724">
        <f>IF(LEFT(B6724,1)="C","Credit","Factuur")</f>
        <v/>
      </c>
      <c r="H6724">
        <f>IF(AND(B6724=B6723,D6724=D6723,A6724=A6723,F6724=F6723),1,0)</f>
        <v/>
      </c>
      <c r="I6724">
        <f>IF(C6724="C99999",1,0)</f>
        <v/>
      </c>
      <c r="J6724" s="5">
        <f>IF(OR(H6724=1,I6724=1),0,IF(G6724="Credit",-F6724,F6724))</f>
        <v/>
      </c>
    </row>
    <row r="6725">
      <c r="A6725" t="inlineStr">
        <is>
          <t>2026-09-04</t>
        </is>
      </c>
      <c r="B6725" t="inlineStr">
        <is>
          <t>F265284</t>
        </is>
      </c>
      <c r="C6725" t="inlineStr">
        <is>
          <t>C10280</t>
        </is>
      </c>
      <c r="D6725" t="inlineStr">
        <is>
          <t>SKU-10024</t>
        </is>
      </c>
      <c r="E6725" t="inlineStr">
        <is>
          <t>AM09</t>
        </is>
      </c>
      <c r="F6725" s="5" t="n">
        <v>2402.71</v>
      </c>
      <c r="G6725">
        <f>IF(LEFT(B6725,1)="C","Credit","Factuur")</f>
        <v/>
      </c>
      <c r="H6725">
        <f>IF(AND(B6725=B6724,D6725=D6724,A6725=A6724,F6725=F6724),1,0)</f>
        <v/>
      </c>
      <c r="I6725">
        <f>IF(C6725="C99999",1,0)</f>
        <v/>
      </c>
      <c r="J6725" s="5">
        <f>IF(OR(H6725=1,I6725=1),0,IF(G6725="Credit",-F6725,F6725))</f>
        <v/>
      </c>
    </row>
    <row r="6726">
      <c r="A6726" t="inlineStr">
        <is>
          <t>2026-09-04</t>
        </is>
      </c>
      <c r="B6726" t="inlineStr">
        <is>
          <t>F265284</t>
        </is>
      </c>
      <c r="C6726" t="inlineStr">
        <is>
          <t>C10280</t>
        </is>
      </c>
      <c r="D6726" t="inlineStr">
        <is>
          <t>SKU-10079</t>
        </is>
      </c>
      <c r="E6726" t="inlineStr">
        <is>
          <t>AM09</t>
        </is>
      </c>
      <c r="F6726" s="5" t="n">
        <v>2819.6</v>
      </c>
      <c r="G6726">
        <f>IF(LEFT(B6726,1)="C","Credit","Factuur")</f>
        <v/>
      </c>
      <c r="H6726">
        <f>IF(AND(B6726=B6725,D6726=D6725,A6726=A6725,F6726=F6725),1,0)</f>
        <v/>
      </c>
      <c r="I6726">
        <f>IF(C6726="C99999",1,0)</f>
        <v/>
      </c>
      <c r="J6726" s="5">
        <f>IF(OR(H6726=1,I6726=1),0,IF(G6726="Credit",-F6726,F6726))</f>
        <v/>
      </c>
    </row>
    <row r="6727">
      <c r="A6727" t="inlineStr">
        <is>
          <t>2026-09-04</t>
        </is>
      </c>
      <c r="B6727" t="inlineStr">
        <is>
          <t>F265284</t>
        </is>
      </c>
      <c r="C6727" t="inlineStr">
        <is>
          <t>C10280</t>
        </is>
      </c>
      <c r="D6727" t="inlineStr">
        <is>
          <t>SKU-10280</t>
        </is>
      </c>
      <c r="E6727" t="inlineStr">
        <is>
          <t>AM09</t>
        </is>
      </c>
      <c r="F6727" s="5" t="n">
        <v>2686.61</v>
      </c>
      <c r="G6727">
        <f>IF(LEFT(B6727,1)="C","Credit","Factuur")</f>
        <v/>
      </c>
      <c r="H6727">
        <f>IF(AND(B6727=B6726,D6727=D6726,A6727=A6726,F6727=F6726),1,0)</f>
        <v/>
      </c>
      <c r="I6727">
        <f>IF(C6727="C99999",1,0)</f>
        <v/>
      </c>
      <c r="J6727" s="5">
        <f>IF(OR(H6727=1,I6727=1),0,IF(G6727="Credit",-F6727,F6727))</f>
        <v/>
      </c>
    </row>
    <row r="6728">
      <c r="A6728" t="inlineStr">
        <is>
          <t>2026-09-04</t>
        </is>
      </c>
      <c r="B6728" t="inlineStr">
        <is>
          <t>F265389</t>
        </is>
      </c>
      <c r="C6728" t="inlineStr">
        <is>
          <t>C10285</t>
        </is>
      </c>
      <c r="D6728" t="inlineStr">
        <is>
          <t>SKU-10181</t>
        </is>
      </c>
      <c r="E6728" t="inlineStr">
        <is>
          <t>AM08</t>
        </is>
      </c>
      <c r="F6728" s="5" t="n">
        <v>1530.55</v>
      </c>
      <c r="G6728">
        <f>IF(LEFT(B6728,1)="C","Credit","Factuur")</f>
        <v/>
      </c>
      <c r="H6728">
        <f>IF(AND(B6728=B6727,D6728=D6727,A6728=A6727,F6728=F6727),1,0)</f>
        <v/>
      </c>
      <c r="I6728">
        <f>IF(C6728="C99999",1,0)</f>
        <v/>
      </c>
      <c r="J6728" s="5">
        <f>IF(OR(H6728=1,I6728=1),0,IF(G6728="Credit",-F6728,F6728))</f>
        <v/>
      </c>
    </row>
    <row r="6729">
      <c r="A6729" t="inlineStr">
        <is>
          <t>2026-09-04</t>
        </is>
      </c>
      <c r="B6729" t="inlineStr">
        <is>
          <t>F265389</t>
        </is>
      </c>
      <c r="C6729" t="inlineStr">
        <is>
          <t>C10285</t>
        </is>
      </c>
      <c r="D6729" t="inlineStr">
        <is>
          <t>SKU-10183</t>
        </is>
      </c>
      <c r="E6729" t="inlineStr">
        <is>
          <t>AM08</t>
        </is>
      </c>
      <c r="F6729" s="5" t="n">
        <v>1457.68</v>
      </c>
      <c r="G6729">
        <f>IF(LEFT(B6729,1)="C","Credit","Factuur")</f>
        <v/>
      </c>
      <c r="H6729">
        <f>IF(AND(B6729=B6728,D6729=D6728,A6729=A6728,F6729=F6728),1,0)</f>
        <v/>
      </c>
      <c r="I6729">
        <f>IF(C6729="C99999",1,0)</f>
        <v/>
      </c>
      <c r="J6729" s="5">
        <f>IF(OR(H6729=1,I6729=1),0,IF(G6729="Credit",-F6729,F6729))</f>
        <v/>
      </c>
    </row>
    <row r="6730">
      <c r="A6730" t="inlineStr">
        <is>
          <t>2026-09-04</t>
        </is>
      </c>
      <c r="B6730" t="inlineStr">
        <is>
          <t>F265413</t>
        </is>
      </c>
      <c r="C6730" t="inlineStr">
        <is>
          <t>C10286</t>
        </is>
      </c>
      <c r="D6730" t="inlineStr">
        <is>
          <t>SKU-10051</t>
        </is>
      </c>
      <c r="E6730" t="inlineStr">
        <is>
          <t>AM02</t>
        </is>
      </c>
      <c r="F6730" s="5" t="n">
        <v>323.06</v>
      </c>
      <c r="G6730">
        <f>IF(LEFT(B6730,1)="C","Credit","Factuur")</f>
        <v/>
      </c>
      <c r="H6730">
        <f>IF(AND(B6730=B6729,D6730=D6729,A6730=A6729,F6730=F6729),1,0)</f>
        <v/>
      </c>
      <c r="I6730">
        <f>IF(C6730="C99999",1,0)</f>
        <v/>
      </c>
      <c r="J6730" s="5">
        <f>IF(OR(H6730=1,I6730=1),0,IF(G6730="Credit",-F6730,F6730))</f>
        <v/>
      </c>
    </row>
    <row r="6731">
      <c r="A6731" t="inlineStr">
        <is>
          <t>2026-09-04</t>
        </is>
      </c>
      <c r="B6731" t="inlineStr">
        <is>
          <t>F265413</t>
        </is>
      </c>
      <c r="C6731" t="inlineStr">
        <is>
          <t>C10286</t>
        </is>
      </c>
      <c r="D6731" t="inlineStr">
        <is>
          <t>SKU-10370</t>
        </is>
      </c>
      <c r="E6731" t="inlineStr">
        <is>
          <t>AM02</t>
        </is>
      </c>
      <c r="F6731" s="5" t="n">
        <v>314.69</v>
      </c>
      <c r="G6731">
        <f>IF(LEFT(B6731,1)="C","Credit","Factuur")</f>
        <v/>
      </c>
      <c r="H6731">
        <f>IF(AND(B6731=B6730,D6731=D6730,A6731=A6730,F6731=F6730),1,0)</f>
        <v/>
      </c>
      <c r="I6731">
        <f>IF(C6731="C99999",1,0)</f>
        <v/>
      </c>
      <c r="J6731" s="5">
        <f>IF(OR(H6731=1,I6731=1),0,IF(G6731="Credit",-F6731,F6731))</f>
        <v/>
      </c>
    </row>
    <row r="6732">
      <c r="A6732" t="inlineStr">
        <is>
          <t>2026-09-04</t>
        </is>
      </c>
      <c r="B6732" t="inlineStr">
        <is>
          <t>F265651</t>
        </is>
      </c>
      <c r="C6732" t="inlineStr">
        <is>
          <t>C10296</t>
        </is>
      </c>
      <c r="D6732" t="inlineStr">
        <is>
          <t>SKU-10027</t>
        </is>
      </c>
      <c r="E6732" t="inlineStr">
        <is>
          <t>AM06</t>
        </is>
      </c>
      <c r="F6732" s="5" t="n">
        <v>387.38</v>
      </c>
      <c r="G6732">
        <f>IF(LEFT(B6732,1)="C","Credit","Factuur")</f>
        <v/>
      </c>
      <c r="H6732">
        <f>IF(AND(B6732=B6731,D6732=D6731,A6732=A6731,F6732=F6731),1,0)</f>
        <v/>
      </c>
      <c r="I6732">
        <f>IF(C6732="C99999",1,0)</f>
        <v/>
      </c>
      <c r="J6732" s="5">
        <f>IF(OR(H6732=1,I6732=1),0,IF(G6732="Credit",-F6732,F6732))</f>
        <v/>
      </c>
    </row>
    <row r="6733">
      <c r="A6733" t="inlineStr">
        <is>
          <t>2026-09-04</t>
        </is>
      </c>
      <c r="B6733" t="inlineStr">
        <is>
          <t>F265651</t>
        </is>
      </c>
      <c r="C6733" t="inlineStr">
        <is>
          <t>C10296</t>
        </is>
      </c>
      <c r="D6733" t="inlineStr">
        <is>
          <t>SKU-10281</t>
        </is>
      </c>
      <c r="E6733" t="inlineStr">
        <is>
          <t>AM06</t>
        </is>
      </c>
      <c r="F6733" s="5" t="n">
        <v>396.63</v>
      </c>
      <c r="G6733">
        <f>IF(LEFT(B6733,1)="C","Credit","Factuur")</f>
        <v/>
      </c>
      <c r="H6733">
        <f>IF(AND(B6733=B6732,D6733=D6732,A6733=A6732,F6733=F6732),1,0)</f>
        <v/>
      </c>
      <c r="I6733">
        <f>IF(C6733="C99999",1,0)</f>
        <v/>
      </c>
      <c r="J6733" s="5">
        <f>IF(OR(H6733=1,I6733=1),0,IF(G6733="Credit",-F6733,F6733))</f>
        <v/>
      </c>
    </row>
    <row r="6734">
      <c r="A6734" t="inlineStr">
        <is>
          <t>2026-09-04</t>
        </is>
      </c>
      <c r="B6734" t="inlineStr">
        <is>
          <t>F265815</t>
        </is>
      </c>
      <c r="C6734" t="inlineStr">
        <is>
          <t>C10304</t>
        </is>
      </c>
      <c r="D6734" t="inlineStr">
        <is>
          <t>SKU-10203</t>
        </is>
      </c>
      <c r="E6734" t="inlineStr">
        <is>
          <t>AM07</t>
        </is>
      </c>
      <c r="F6734" s="5" t="n">
        <v>624.12</v>
      </c>
      <c r="G6734">
        <f>IF(LEFT(B6734,1)="C","Credit","Factuur")</f>
        <v/>
      </c>
      <c r="H6734">
        <f>IF(AND(B6734=B6733,D6734=D6733,A6734=A6733,F6734=F6733),1,0)</f>
        <v/>
      </c>
      <c r="I6734">
        <f>IF(C6734="C99999",1,0)</f>
        <v/>
      </c>
      <c r="J6734" s="5">
        <f>IF(OR(H6734=1,I6734=1),0,IF(G6734="Credit",-F6734,F6734))</f>
        <v/>
      </c>
    </row>
    <row r="6735">
      <c r="A6735" t="inlineStr">
        <is>
          <t>2026-09-04</t>
        </is>
      </c>
      <c r="B6735" t="inlineStr">
        <is>
          <t>F266037</t>
        </is>
      </c>
      <c r="C6735" t="inlineStr">
        <is>
          <t>C10317</t>
        </is>
      </c>
      <c r="D6735" t="inlineStr">
        <is>
          <t>SKU-10242</t>
        </is>
      </c>
      <c r="E6735" t="inlineStr">
        <is>
          <t>AM03</t>
        </is>
      </c>
      <c r="F6735" s="5" t="n">
        <v>273.6</v>
      </c>
      <c r="G6735">
        <f>IF(LEFT(B6735,1)="C","Credit","Factuur")</f>
        <v/>
      </c>
      <c r="H6735">
        <f>IF(AND(B6735=B6734,D6735=D6734,A6735=A6734,F6735=F6734),1,0)</f>
        <v/>
      </c>
      <c r="I6735">
        <f>IF(C6735="C99999",1,0)</f>
        <v/>
      </c>
      <c r="J6735" s="5">
        <f>IF(OR(H6735=1,I6735=1),0,IF(G6735="Credit",-F6735,F6735))</f>
        <v/>
      </c>
    </row>
    <row r="6736">
      <c r="A6736" t="inlineStr">
        <is>
          <t>2026-09-04</t>
        </is>
      </c>
      <c r="B6736" t="inlineStr">
        <is>
          <t>F266037</t>
        </is>
      </c>
      <c r="C6736" t="inlineStr">
        <is>
          <t>C10317</t>
        </is>
      </c>
      <c r="D6736" t="inlineStr">
        <is>
          <t>SKU-10355</t>
        </is>
      </c>
      <c r="E6736" t="inlineStr">
        <is>
          <t>AM03</t>
        </is>
      </c>
      <c r="F6736" s="5" t="n">
        <v>493.28</v>
      </c>
      <c r="G6736">
        <f>IF(LEFT(B6736,1)="C","Credit","Factuur")</f>
        <v/>
      </c>
      <c r="H6736">
        <f>IF(AND(B6736=B6735,D6736=D6735,A6736=A6735,F6736=F6735),1,0)</f>
        <v/>
      </c>
      <c r="I6736">
        <f>IF(C6736="C99999",1,0)</f>
        <v/>
      </c>
      <c r="J6736" s="5">
        <f>IF(OR(H6736=1,I6736=1),0,IF(G6736="Credit",-F6736,F6736))</f>
        <v/>
      </c>
    </row>
    <row r="6737">
      <c r="A6737" t="inlineStr">
        <is>
          <t>2026-09-04</t>
        </is>
      </c>
      <c r="B6737" t="inlineStr">
        <is>
          <t>F266071</t>
        </is>
      </c>
      <c r="C6737" t="inlineStr">
        <is>
          <t>C10318</t>
        </is>
      </c>
      <c r="D6737" t="inlineStr">
        <is>
          <t>SKU-10180</t>
        </is>
      </c>
      <c r="E6737" t="inlineStr">
        <is>
          <t>AM08</t>
        </is>
      </c>
      <c r="F6737" s="5" t="n">
        <v>399.24</v>
      </c>
      <c r="G6737">
        <f>IF(LEFT(B6737,1)="C","Credit","Factuur")</f>
        <v/>
      </c>
      <c r="H6737">
        <f>IF(AND(B6737=B6736,D6737=D6736,A6737=A6736,F6737=F6736),1,0)</f>
        <v/>
      </c>
      <c r="I6737">
        <f>IF(C6737="C99999",1,0)</f>
        <v/>
      </c>
      <c r="J6737" s="5">
        <f>IF(OR(H6737=1,I6737=1),0,IF(G6737="Credit",-F6737,F6737))</f>
        <v/>
      </c>
    </row>
    <row r="6738">
      <c r="A6738" t="inlineStr">
        <is>
          <t>2026-09-04</t>
        </is>
      </c>
      <c r="B6738" t="inlineStr">
        <is>
          <t>F266071</t>
        </is>
      </c>
      <c r="C6738" t="inlineStr">
        <is>
          <t>C10318</t>
        </is>
      </c>
      <c r="D6738" t="inlineStr">
        <is>
          <t>SKU-10186</t>
        </is>
      </c>
      <c r="E6738" t="inlineStr"/>
      <c r="F6738" s="5" t="n">
        <v>380.8</v>
      </c>
      <c r="G6738">
        <f>IF(LEFT(B6738,1)="C","Credit","Factuur")</f>
        <v/>
      </c>
      <c r="H6738">
        <f>IF(AND(B6738=B6737,D6738=D6737,A6738=A6737,F6738=F6737),1,0)</f>
        <v/>
      </c>
      <c r="I6738">
        <f>IF(C6738="C99999",1,0)</f>
        <v/>
      </c>
      <c r="J6738" s="5">
        <f>IF(OR(H6738=1,I6738=1),0,IF(G6738="Credit",-F6738,F6738))</f>
        <v/>
      </c>
    </row>
    <row r="6739">
      <c r="A6739" t="inlineStr">
        <is>
          <t>2026-09-04</t>
        </is>
      </c>
      <c r="B6739" t="inlineStr">
        <is>
          <t>F266071</t>
        </is>
      </c>
      <c r="C6739" t="inlineStr">
        <is>
          <t>C10318</t>
        </is>
      </c>
      <c r="D6739" t="inlineStr">
        <is>
          <t>SKU-10191</t>
        </is>
      </c>
      <c r="E6739" t="inlineStr">
        <is>
          <t>AM08</t>
        </is>
      </c>
      <c r="F6739" s="5" t="n">
        <v>373.05</v>
      </c>
      <c r="G6739">
        <f>IF(LEFT(B6739,1)="C","Credit","Factuur")</f>
        <v/>
      </c>
      <c r="H6739">
        <f>IF(AND(B6739=B6738,D6739=D6738,A6739=A6738,F6739=F6738),1,0)</f>
        <v/>
      </c>
      <c r="I6739">
        <f>IF(C6739="C99999",1,0)</f>
        <v/>
      </c>
      <c r="J6739" s="5">
        <f>IF(OR(H6739=1,I6739=1),0,IF(G6739="Credit",-F6739,F6739))</f>
        <v/>
      </c>
    </row>
    <row r="6740">
      <c r="A6740" t="inlineStr">
        <is>
          <t>2026-09-04</t>
        </is>
      </c>
      <c r="B6740" t="inlineStr">
        <is>
          <t>F266071</t>
        </is>
      </c>
      <c r="C6740" t="inlineStr">
        <is>
          <t>C10318</t>
        </is>
      </c>
      <c r="D6740" t="inlineStr">
        <is>
          <t>SKU-10301</t>
        </is>
      </c>
      <c r="E6740" t="inlineStr">
        <is>
          <t>AM08</t>
        </is>
      </c>
      <c r="F6740" s="5" t="n">
        <v>375.7</v>
      </c>
      <c r="G6740">
        <f>IF(LEFT(B6740,1)="C","Credit","Factuur")</f>
        <v/>
      </c>
      <c r="H6740">
        <f>IF(AND(B6740=B6739,D6740=D6739,A6740=A6739,F6740=F6739),1,0)</f>
        <v/>
      </c>
      <c r="I6740">
        <f>IF(C6740="C99999",1,0)</f>
        <v/>
      </c>
      <c r="J6740" s="5">
        <f>IF(OR(H6740=1,I6740=1),0,IF(G6740="Credit",-F6740,F6740))</f>
        <v/>
      </c>
    </row>
    <row r="6741">
      <c r="A6741" t="inlineStr">
        <is>
          <t>2026-09-04</t>
        </is>
      </c>
      <c r="B6741" t="inlineStr">
        <is>
          <t>F266071</t>
        </is>
      </c>
      <c r="C6741" t="inlineStr">
        <is>
          <t>C10318</t>
        </is>
      </c>
      <c r="D6741" t="inlineStr">
        <is>
          <t>SKU-10313</t>
        </is>
      </c>
      <c r="E6741" t="inlineStr">
        <is>
          <t>AM08</t>
        </is>
      </c>
      <c r="F6741" s="5" t="n">
        <v>389.2</v>
      </c>
      <c r="G6741">
        <f>IF(LEFT(B6741,1)="C","Credit","Factuur")</f>
        <v/>
      </c>
      <c r="H6741">
        <f>IF(AND(B6741=B6740,D6741=D6740,A6741=A6740,F6741=F6740),1,0)</f>
        <v/>
      </c>
      <c r="I6741">
        <f>IF(C6741="C99999",1,0)</f>
        <v/>
      </c>
      <c r="J6741" s="5">
        <f>IF(OR(H6741=1,I6741=1),0,IF(G6741="Credit",-F6741,F6741))</f>
        <v/>
      </c>
    </row>
    <row r="6742">
      <c r="A6742" t="inlineStr">
        <is>
          <t>2026-09-04</t>
        </is>
      </c>
      <c r="B6742" t="inlineStr">
        <is>
          <t>F266071</t>
        </is>
      </c>
      <c r="C6742" t="inlineStr">
        <is>
          <t>C10318</t>
        </is>
      </c>
      <c r="D6742" t="inlineStr">
        <is>
          <t>SKU-10319</t>
        </is>
      </c>
      <c r="E6742" t="inlineStr">
        <is>
          <t>AM08</t>
        </is>
      </c>
      <c r="F6742" s="5" t="n">
        <v>376.22</v>
      </c>
      <c r="G6742">
        <f>IF(LEFT(B6742,1)="C","Credit","Factuur")</f>
        <v/>
      </c>
      <c r="H6742">
        <f>IF(AND(B6742=B6741,D6742=D6741,A6742=A6741,F6742=F6741),1,0)</f>
        <v/>
      </c>
      <c r="I6742">
        <f>IF(C6742="C99999",1,0)</f>
        <v/>
      </c>
      <c r="J6742" s="5">
        <f>IF(OR(H6742=1,I6742=1),0,IF(G6742="Credit",-F6742,F6742))</f>
        <v/>
      </c>
    </row>
    <row r="6743">
      <c r="A6743" t="inlineStr">
        <is>
          <t>2026-09-04</t>
        </is>
      </c>
      <c r="B6743" t="inlineStr">
        <is>
          <t>F266203</t>
        </is>
      </c>
      <c r="C6743" t="inlineStr">
        <is>
          <t>C10325</t>
        </is>
      </c>
      <c r="D6743" t="inlineStr">
        <is>
          <t>SKU-10001</t>
        </is>
      </c>
      <c r="E6743" t="inlineStr">
        <is>
          <t>AM01</t>
        </is>
      </c>
      <c r="F6743" s="5" t="n">
        <v>138.71</v>
      </c>
      <c r="G6743">
        <f>IF(LEFT(B6743,1)="C","Credit","Factuur")</f>
        <v/>
      </c>
      <c r="H6743">
        <f>IF(AND(B6743=B6742,D6743=D6742,A6743=A6742,F6743=F6742),1,0)</f>
        <v/>
      </c>
      <c r="I6743">
        <f>IF(C6743="C99999",1,0)</f>
        <v/>
      </c>
      <c r="J6743" s="5">
        <f>IF(OR(H6743=1,I6743=1),0,IF(G6743="Credit",-F6743,F6743))</f>
        <v/>
      </c>
    </row>
    <row r="6744">
      <c r="A6744" t="inlineStr">
        <is>
          <t>2026-09-04</t>
        </is>
      </c>
      <c r="B6744" t="inlineStr">
        <is>
          <t>F266203</t>
        </is>
      </c>
      <c r="C6744" t="inlineStr">
        <is>
          <t>C10325</t>
        </is>
      </c>
      <c r="D6744" t="inlineStr">
        <is>
          <t>SKU-10207</t>
        </is>
      </c>
      <c r="E6744" t="inlineStr">
        <is>
          <t>AM01</t>
        </is>
      </c>
      <c r="F6744" s="5" t="n">
        <v>126.72</v>
      </c>
      <c r="G6744">
        <f>IF(LEFT(B6744,1)="C","Credit","Factuur")</f>
        <v/>
      </c>
      <c r="H6744">
        <f>IF(AND(B6744=B6743,D6744=D6743,A6744=A6743,F6744=F6743),1,0)</f>
        <v/>
      </c>
      <c r="I6744">
        <f>IF(C6744="C99999",1,0)</f>
        <v/>
      </c>
      <c r="J6744" s="5">
        <f>IF(OR(H6744=1,I6744=1),0,IF(G6744="Credit",-F6744,F6744))</f>
        <v/>
      </c>
    </row>
    <row r="6745">
      <c r="A6745" t="inlineStr">
        <is>
          <t>2026-09-04</t>
        </is>
      </c>
      <c r="B6745" t="inlineStr">
        <is>
          <t>F266203</t>
        </is>
      </c>
      <c r="C6745" t="inlineStr">
        <is>
          <t>C10325</t>
        </is>
      </c>
      <c r="D6745" t="inlineStr">
        <is>
          <t>SKU-10294</t>
        </is>
      </c>
      <c r="E6745" t="inlineStr">
        <is>
          <t>AM01</t>
        </is>
      </c>
      <c r="F6745" s="5" t="n">
        <v>140.11</v>
      </c>
      <c r="G6745">
        <f>IF(LEFT(B6745,1)="C","Credit","Factuur")</f>
        <v/>
      </c>
      <c r="H6745">
        <f>IF(AND(B6745=B6744,D6745=D6744,A6745=A6744,F6745=F6744),1,0)</f>
        <v/>
      </c>
      <c r="I6745">
        <f>IF(C6745="C99999",1,0)</f>
        <v/>
      </c>
      <c r="J6745" s="5">
        <f>IF(OR(H6745=1,I6745=1),0,IF(G6745="Credit",-F6745,F6745))</f>
        <v/>
      </c>
    </row>
    <row r="6746">
      <c r="A6746" t="inlineStr">
        <is>
          <t>2026-09-04</t>
        </is>
      </c>
      <c r="B6746" t="inlineStr">
        <is>
          <t>F266361</t>
        </is>
      </c>
      <c r="C6746" t="inlineStr">
        <is>
          <t>C10335</t>
        </is>
      </c>
      <c r="D6746" t="inlineStr">
        <is>
          <t>SKU-10023</t>
        </is>
      </c>
      <c r="E6746" t="inlineStr">
        <is>
          <t>AM02</t>
        </is>
      </c>
      <c r="F6746" s="5" t="n">
        <v>1601.7</v>
      </c>
      <c r="G6746">
        <f>IF(LEFT(B6746,1)="C","Credit","Factuur")</f>
        <v/>
      </c>
      <c r="H6746">
        <f>IF(AND(B6746=B6745,D6746=D6745,A6746=A6745,F6746=F6745),1,0)</f>
        <v/>
      </c>
      <c r="I6746">
        <f>IF(C6746="C99999",1,0)</f>
        <v/>
      </c>
      <c r="J6746" s="5">
        <f>IF(OR(H6746=1,I6746=1),0,IF(G6746="Credit",-F6746,F6746))</f>
        <v/>
      </c>
    </row>
    <row r="6747">
      <c r="A6747" t="inlineStr">
        <is>
          <t>2026-09-04</t>
        </is>
      </c>
      <c r="B6747" t="inlineStr">
        <is>
          <t>F266361</t>
        </is>
      </c>
      <c r="C6747" t="inlineStr">
        <is>
          <t>C10335</t>
        </is>
      </c>
      <c r="D6747" t="inlineStr">
        <is>
          <t>SKU-10188</t>
        </is>
      </c>
      <c r="E6747" t="inlineStr">
        <is>
          <t>AM02</t>
        </is>
      </c>
      <c r="F6747" s="5" t="n">
        <v>1619.73</v>
      </c>
      <c r="G6747">
        <f>IF(LEFT(B6747,1)="C","Credit","Factuur")</f>
        <v/>
      </c>
      <c r="H6747">
        <f>IF(AND(B6747=B6746,D6747=D6746,A6747=A6746,F6747=F6746),1,0)</f>
        <v/>
      </c>
      <c r="I6747">
        <f>IF(C6747="C99999",1,0)</f>
        <v/>
      </c>
      <c r="J6747" s="5">
        <f>IF(OR(H6747=1,I6747=1),0,IF(G6747="Credit",-F6747,F6747))</f>
        <v/>
      </c>
    </row>
    <row r="6748">
      <c r="A6748" t="inlineStr">
        <is>
          <t>2026-09-04</t>
        </is>
      </c>
      <c r="B6748" t="inlineStr">
        <is>
          <t>F266592</t>
        </is>
      </c>
      <c r="C6748" t="inlineStr">
        <is>
          <t>C10346</t>
        </is>
      </c>
      <c r="D6748" t="inlineStr">
        <is>
          <t>SKU-10056</t>
        </is>
      </c>
      <c r="E6748" t="inlineStr">
        <is>
          <t>AM12</t>
        </is>
      </c>
      <c r="F6748" s="5" t="n">
        <v>160</v>
      </c>
      <c r="G6748">
        <f>IF(LEFT(B6748,1)="C","Credit","Factuur")</f>
        <v/>
      </c>
      <c r="H6748">
        <f>IF(AND(B6748=B6747,D6748=D6747,A6748=A6747,F6748=F6747),1,0)</f>
        <v/>
      </c>
      <c r="I6748">
        <f>IF(C6748="C99999",1,0)</f>
        <v/>
      </c>
      <c r="J6748" s="5">
        <f>IF(OR(H6748=1,I6748=1),0,IF(G6748="Credit",-F6748,F6748))</f>
        <v/>
      </c>
    </row>
    <row r="6749">
      <c r="A6749" t="inlineStr">
        <is>
          <t>2026-09-04</t>
        </is>
      </c>
      <c r="B6749" t="inlineStr">
        <is>
          <t>F266592</t>
        </is>
      </c>
      <c r="C6749" t="inlineStr">
        <is>
          <t>C10346</t>
        </is>
      </c>
      <c r="D6749" t="inlineStr">
        <is>
          <t>SKU-10146</t>
        </is>
      </c>
      <c r="E6749" t="inlineStr">
        <is>
          <t>AM12</t>
        </is>
      </c>
      <c r="F6749" s="5" t="n">
        <v>115.57</v>
      </c>
      <c r="G6749">
        <f>IF(LEFT(B6749,1)="C","Credit","Factuur")</f>
        <v/>
      </c>
      <c r="H6749">
        <f>IF(AND(B6749=B6748,D6749=D6748,A6749=A6748,F6749=F6748),1,0)</f>
        <v/>
      </c>
      <c r="I6749">
        <f>IF(C6749="C99999",1,0)</f>
        <v/>
      </c>
      <c r="J6749" s="5">
        <f>IF(OR(H6749=1,I6749=1),0,IF(G6749="Credit",-F6749,F6749))</f>
        <v/>
      </c>
    </row>
    <row r="6750">
      <c r="A6750" t="inlineStr">
        <is>
          <t>2026-09-04</t>
        </is>
      </c>
      <c r="B6750" t="inlineStr">
        <is>
          <t>F266592</t>
        </is>
      </c>
      <c r="C6750" t="inlineStr">
        <is>
          <t>C10346</t>
        </is>
      </c>
      <c r="D6750" t="inlineStr">
        <is>
          <t>SKU-10160</t>
        </is>
      </c>
      <c r="E6750" t="inlineStr">
        <is>
          <t>AM12</t>
        </is>
      </c>
      <c r="F6750" s="5" t="n">
        <v>171.27</v>
      </c>
      <c r="G6750">
        <f>IF(LEFT(B6750,1)="C","Credit","Factuur")</f>
        <v/>
      </c>
      <c r="H6750">
        <f>IF(AND(B6750=B6749,D6750=D6749,A6750=A6749,F6750=F6749),1,0)</f>
        <v/>
      </c>
      <c r="I6750">
        <f>IF(C6750="C99999",1,0)</f>
        <v/>
      </c>
      <c r="J6750" s="5">
        <f>IF(OR(H6750=1,I6750=1),0,IF(G6750="Credit",-F6750,F6750))</f>
        <v/>
      </c>
    </row>
    <row r="6751">
      <c r="A6751" t="inlineStr">
        <is>
          <t>2026-09-04</t>
        </is>
      </c>
      <c r="B6751" t="inlineStr">
        <is>
          <t>F266592</t>
        </is>
      </c>
      <c r="C6751" t="inlineStr">
        <is>
          <t>C10346</t>
        </is>
      </c>
      <c r="D6751" t="inlineStr">
        <is>
          <t>SKU-10181</t>
        </is>
      </c>
      <c r="E6751" t="inlineStr">
        <is>
          <t>AM12</t>
        </is>
      </c>
      <c r="F6751" s="5" t="n">
        <v>174.92</v>
      </c>
      <c r="G6751">
        <f>IF(LEFT(B6751,1)="C","Credit","Factuur")</f>
        <v/>
      </c>
      <c r="H6751">
        <f>IF(AND(B6751=B6750,D6751=D6750,A6751=A6750,F6751=F6750),1,0)</f>
        <v/>
      </c>
      <c r="I6751">
        <f>IF(C6751="C99999",1,0)</f>
        <v/>
      </c>
      <c r="J6751" s="5">
        <f>IF(OR(H6751=1,I6751=1),0,IF(G6751="Credit",-F6751,F6751))</f>
        <v/>
      </c>
    </row>
    <row r="6752">
      <c r="A6752" t="inlineStr">
        <is>
          <t>2026-09-04</t>
        </is>
      </c>
      <c r="B6752" t="inlineStr">
        <is>
          <t>F266793</t>
        </is>
      </c>
      <c r="C6752" t="inlineStr">
        <is>
          <t>C10358</t>
        </is>
      </c>
      <c r="D6752" t="inlineStr">
        <is>
          <t>SKU-10015</t>
        </is>
      </c>
      <c r="E6752" t="inlineStr">
        <is>
          <t>AM03</t>
        </is>
      </c>
      <c r="F6752" s="5" t="n">
        <v>2209.05</v>
      </c>
      <c r="G6752">
        <f>IF(LEFT(B6752,1)="C","Credit","Factuur")</f>
        <v/>
      </c>
      <c r="H6752">
        <f>IF(AND(B6752=B6751,D6752=D6751,A6752=A6751,F6752=F6751),1,0)</f>
        <v/>
      </c>
      <c r="I6752">
        <f>IF(C6752="C99999",1,0)</f>
        <v/>
      </c>
      <c r="J6752" s="5">
        <f>IF(OR(H6752=1,I6752=1),0,IF(G6752="Credit",-F6752,F6752))</f>
        <v/>
      </c>
    </row>
    <row r="6753">
      <c r="A6753" t="inlineStr">
        <is>
          <t>2026-09-04</t>
        </is>
      </c>
      <c r="B6753" t="inlineStr">
        <is>
          <t>F266793</t>
        </is>
      </c>
      <c r="C6753" t="inlineStr">
        <is>
          <t>C10358</t>
        </is>
      </c>
      <c r="D6753" t="inlineStr">
        <is>
          <t>SKU-10085</t>
        </is>
      </c>
      <c r="E6753" t="inlineStr">
        <is>
          <t>AM03</t>
        </is>
      </c>
      <c r="F6753" s="5" t="n">
        <v>2209.2</v>
      </c>
      <c r="G6753">
        <f>IF(LEFT(B6753,1)="C","Credit","Factuur")</f>
        <v/>
      </c>
      <c r="H6753">
        <f>IF(AND(B6753=B6752,D6753=D6752,A6753=A6752,F6753=F6752),1,0)</f>
        <v/>
      </c>
      <c r="I6753">
        <f>IF(C6753="C99999",1,0)</f>
        <v/>
      </c>
      <c r="J6753" s="5">
        <f>IF(OR(H6753=1,I6753=1),0,IF(G6753="Credit",-F6753,F6753))</f>
        <v/>
      </c>
    </row>
    <row r="6754">
      <c r="A6754" t="inlineStr">
        <is>
          <t>2026-09-04</t>
        </is>
      </c>
      <c r="B6754" t="inlineStr">
        <is>
          <t>F266793</t>
        </is>
      </c>
      <c r="C6754" t="inlineStr">
        <is>
          <t>C10358</t>
        </is>
      </c>
      <c r="D6754" t="inlineStr">
        <is>
          <t>SKU-10178</t>
        </is>
      </c>
      <c r="E6754" t="inlineStr">
        <is>
          <t>AM03</t>
        </is>
      </c>
      <c r="F6754" s="5" t="n">
        <v>2214.95</v>
      </c>
      <c r="G6754">
        <f>IF(LEFT(B6754,1)="C","Credit","Factuur")</f>
        <v/>
      </c>
      <c r="H6754">
        <f>IF(AND(B6754=B6753,D6754=D6753,A6754=A6753,F6754=F6753),1,0)</f>
        <v/>
      </c>
      <c r="I6754">
        <f>IF(C6754="C99999",1,0)</f>
        <v/>
      </c>
      <c r="J6754" s="5">
        <f>IF(OR(H6754=1,I6754=1),0,IF(G6754="Credit",-F6754,F6754))</f>
        <v/>
      </c>
    </row>
    <row r="6755">
      <c r="A6755" t="inlineStr">
        <is>
          <t>2026-09-04</t>
        </is>
      </c>
      <c r="B6755" t="inlineStr">
        <is>
          <t>F266793</t>
        </is>
      </c>
      <c r="C6755" t="inlineStr">
        <is>
          <t>C10358</t>
        </is>
      </c>
      <c r="D6755" t="inlineStr">
        <is>
          <t>SKU-10198</t>
        </is>
      </c>
      <c r="E6755" t="inlineStr">
        <is>
          <t>AM03</t>
        </is>
      </c>
      <c r="F6755" s="5" t="n">
        <v>2192.95</v>
      </c>
      <c r="G6755">
        <f>IF(LEFT(B6755,1)="C","Credit","Factuur")</f>
        <v/>
      </c>
      <c r="H6755">
        <f>IF(AND(B6755=B6754,D6755=D6754,A6755=A6754,F6755=F6754),1,0)</f>
        <v/>
      </c>
      <c r="I6755">
        <f>IF(C6755="C99999",1,0)</f>
        <v/>
      </c>
      <c r="J6755" s="5">
        <f>IF(OR(H6755=1,I6755=1),0,IF(G6755="Credit",-F6755,F6755))</f>
        <v/>
      </c>
    </row>
    <row r="6756">
      <c r="A6756" t="inlineStr">
        <is>
          <t>2026-09-04</t>
        </is>
      </c>
      <c r="B6756" t="inlineStr">
        <is>
          <t>F266881</t>
        </is>
      </c>
      <c r="C6756" t="inlineStr">
        <is>
          <t>C10363</t>
        </is>
      </c>
      <c r="D6756" t="inlineStr">
        <is>
          <t>SKU-10071</t>
        </is>
      </c>
      <c r="E6756" t="inlineStr">
        <is>
          <t>AM08</t>
        </is>
      </c>
      <c r="F6756" s="5" t="n">
        <v>2664.98</v>
      </c>
      <c r="G6756">
        <f>IF(LEFT(B6756,1)="C","Credit","Factuur")</f>
        <v/>
      </c>
      <c r="H6756">
        <f>IF(AND(B6756=B6755,D6756=D6755,A6756=A6755,F6756=F6755),1,0)</f>
        <v/>
      </c>
      <c r="I6756">
        <f>IF(C6756="C99999",1,0)</f>
        <v/>
      </c>
      <c r="J6756" s="5">
        <f>IF(OR(H6756=1,I6756=1),0,IF(G6756="Credit",-F6756,F6756))</f>
        <v/>
      </c>
    </row>
    <row r="6757">
      <c r="A6757" t="inlineStr">
        <is>
          <t>2026-09-04</t>
        </is>
      </c>
      <c r="B6757" t="inlineStr">
        <is>
          <t>F266904</t>
        </is>
      </c>
      <c r="C6757" t="inlineStr">
        <is>
          <t>C10363</t>
        </is>
      </c>
      <c r="D6757" t="inlineStr">
        <is>
          <t>SKU-10214</t>
        </is>
      </c>
      <c r="E6757" t="inlineStr">
        <is>
          <t>AM08</t>
        </is>
      </c>
      <c r="F6757" s="5" t="n">
        <v>544.12</v>
      </c>
      <c r="G6757">
        <f>IF(LEFT(B6757,1)="C","Credit","Factuur")</f>
        <v/>
      </c>
      <c r="H6757">
        <f>IF(AND(B6757=B6756,D6757=D6756,A6757=A6756,F6757=F6756),1,0)</f>
        <v/>
      </c>
      <c r="I6757">
        <f>IF(C6757="C99999",1,0)</f>
        <v/>
      </c>
      <c r="J6757" s="5">
        <f>IF(OR(H6757=1,I6757=1),0,IF(G6757="Credit",-F6757,F6757))</f>
        <v/>
      </c>
    </row>
    <row r="6758">
      <c r="A6758" t="inlineStr">
        <is>
          <t>2026-09-04</t>
        </is>
      </c>
      <c r="B6758" t="inlineStr">
        <is>
          <t>F266904</t>
        </is>
      </c>
      <c r="C6758" t="inlineStr">
        <is>
          <t>C10363</t>
        </is>
      </c>
      <c r="D6758" t="inlineStr">
        <is>
          <t>SKU-10265</t>
        </is>
      </c>
      <c r="E6758" t="inlineStr">
        <is>
          <t>AM08</t>
        </is>
      </c>
      <c r="F6758" s="5" t="n">
        <v>631.9400000000001</v>
      </c>
      <c r="G6758">
        <f>IF(LEFT(B6758,1)="C","Credit","Factuur")</f>
        <v/>
      </c>
      <c r="H6758">
        <f>IF(AND(B6758=B6757,D6758=D6757,A6758=A6757,F6758=F6757),1,0)</f>
        <v/>
      </c>
      <c r="I6758">
        <f>IF(C6758="C99999",1,0)</f>
        <v/>
      </c>
      <c r="J6758" s="5">
        <f>IF(OR(H6758=1,I6758=1),0,IF(G6758="Credit",-F6758,F6758))</f>
        <v/>
      </c>
    </row>
    <row r="6759">
      <c r="A6759" t="inlineStr">
        <is>
          <t>2026-09-04</t>
        </is>
      </c>
      <c r="B6759" t="inlineStr">
        <is>
          <t>F266904</t>
        </is>
      </c>
      <c r="C6759" t="inlineStr">
        <is>
          <t>C10363</t>
        </is>
      </c>
      <c r="D6759" t="inlineStr">
        <is>
          <t>SKU-10317</t>
        </is>
      </c>
      <c r="E6759" t="inlineStr">
        <is>
          <t>AM08</t>
        </is>
      </c>
      <c r="F6759" s="5" t="n">
        <v>573.6</v>
      </c>
      <c r="G6759">
        <f>IF(LEFT(B6759,1)="C","Credit","Factuur")</f>
        <v/>
      </c>
      <c r="H6759">
        <f>IF(AND(B6759=B6758,D6759=D6758,A6759=A6758,F6759=F6758),1,0)</f>
        <v/>
      </c>
      <c r="I6759">
        <f>IF(C6759="C99999",1,0)</f>
        <v/>
      </c>
      <c r="J6759" s="5">
        <f>IF(OR(H6759=1,I6759=1),0,IF(G6759="Credit",-F6759,F6759))</f>
        <v/>
      </c>
    </row>
    <row r="6760">
      <c r="A6760" t="inlineStr">
        <is>
          <t>2026-09-04</t>
        </is>
      </c>
      <c r="B6760" t="inlineStr">
        <is>
          <t>F267558</t>
        </is>
      </c>
      <c r="C6760" t="inlineStr">
        <is>
          <t>C10397</t>
        </is>
      </c>
      <c r="D6760" t="inlineStr">
        <is>
          <t>SKU-10079</t>
        </is>
      </c>
      <c r="E6760" t="inlineStr">
        <is>
          <t>AM03</t>
        </is>
      </c>
      <c r="F6760" s="5" t="n">
        <v>886.16</v>
      </c>
      <c r="G6760">
        <f>IF(LEFT(B6760,1)="C","Credit","Factuur")</f>
        <v/>
      </c>
      <c r="H6760">
        <f>IF(AND(B6760=B6759,D6760=D6759,A6760=A6759,F6760=F6759),1,0)</f>
        <v/>
      </c>
      <c r="I6760">
        <f>IF(C6760="C99999",1,0)</f>
        <v/>
      </c>
      <c r="J6760" s="5">
        <f>IF(OR(H6760=1,I6760=1),0,IF(G6760="Credit",-F6760,F6760))</f>
        <v/>
      </c>
    </row>
    <row r="6761">
      <c r="A6761" t="inlineStr">
        <is>
          <t>2026-09-04</t>
        </is>
      </c>
      <c r="B6761" t="inlineStr">
        <is>
          <t>F267616</t>
        </is>
      </c>
      <c r="C6761" t="inlineStr">
        <is>
          <t>C10400</t>
        </is>
      </c>
      <c r="D6761" t="inlineStr">
        <is>
          <t>SKU-10004</t>
        </is>
      </c>
      <c r="E6761" t="inlineStr">
        <is>
          <t>AM08</t>
        </is>
      </c>
      <c r="F6761" s="5" t="n">
        <v>413.69</v>
      </c>
      <c r="G6761">
        <f>IF(LEFT(B6761,1)="C","Credit","Factuur")</f>
        <v/>
      </c>
      <c r="H6761">
        <f>IF(AND(B6761=B6760,D6761=D6760,A6761=A6760,F6761=F6760),1,0)</f>
        <v/>
      </c>
      <c r="I6761">
        <f>IF(C6761="C99999",1,0)</f>
        <v/>
      </c>
      <c r="J6761" s="5">
        <f>IF(OR(H6761=1,I6761=1),0,IF(G6761="Credit",-F6761,F6761))</f>
        <v/>
      </c>
    </row>
    <row r="6762">
      <c r="A6762" t="inlineStr">
        <is>
          <t>2026-09-04</t>
        </is>
      </c>
      <c r="B6762" t="inlineStr">
        <is>
          <t>F267616</t>
        </is>
      </c>
      <c r="C6762" t="inlineStr">
        <is>
          <t>C10400</t>
        </is>
      </c>
      <c r="D6762" t="inlineStr">
        <is>
          <t>SKU-10126</t>
        </is>
      </c>
      <c r="E6762" t="inlineStr">
        <is>
          <t>AM08</t>
        </is>
      </c>
      <c r="F6762" s="5" t="n">
        <v>472.14</v>
      </c>
      <c r="G6762">
        <f>IF(LEFT(B6762,1)="C","Credit","Factuur")</f>
        <v/>
      </c>
      <c r="H6762">
        <f>IF(AND(B6762=B6761,D6762=D6761,A6762=A6761,F6762=F6761),1,0)</f>
        <v/>
      </c>
      <c r="I6762">
        <f>IF(C6762="C99999",1,0)</f>
        <v/>
      </c>
      <c r="J6762" s="5">
        <f>IF(OR(H6762=1,I6762=1),0,IF(G6762="Credit",-F6762,F6762))</f>
        <v/>
      </c>
    </row>
    <row r="6763">
      <c r="A6763" t="inlineStr">
        <is>
          <t>2026-09-04</t>
        </is>
      </c>
      <c r="B6763" t="inlineStr">
        <is>
          <t>F267616</t>
        </is>
      </c>
      <c r="C6763" t="inlineStr">
        <is>
          <t>C10400</t>
        </is>
      </c>
      <c r="D6763" t="inlineStr">
        <is>
          <t>SKU-10223</t>
        </is>
      </c>
      <c r="E6763" t="inlineStr">
        <is>
          <t>AM08</t>
        </is>
      </c>
      <c r="F6763" s="5" t="n">
        <v>432.63</v>
      </c>
      <c r="G6763">
        <f>IF(LEFT(B6763,1)="C","Credit","Factuur")</f>
        <v/>
      </c>
      <c r="H6763">
        <f>IF(AND(B6763=B6762,D6763=D6762,A6763=A6762,F6763=F6762),1,0)</f>
        <v/>
      </c>
      <c r="I6763">
        <f>IF(C6763="C99999",1,0)</f>
        <v/>
      </c>
      <c r="J6763" s="5">
        <f>IF(OR(H6763=1,I6763=1),0,IF(G6763="Credit",-F6763,F6763))</f>
        <v/>
      </c>
    </row>
    <row r="6764">
      <c r="A6764" t="inlineStr">
        <is>
          <t>2026-09-04</t>
        </is>
      </c>
      <c r="B6764" t="inlineStr">
        <is>
          <t>F267616</t>
        </is>
      </c>
      <c r="C6764" t="inlineStr">
        <is>
          <t>C10400</t>
        </is>
      </c>
      <c r="D6764" t="inlineStr">
        <is>
          <t>SKU-10227</t>
        </is>
      </c>
      <c r="E6764" t="inlineStr">
        <is>
          <t>AM08</t>
        </is>
      </c>
      <c r="F6764" s="5" t="n">
        <v>398.53</v>
      </c>
      <c r="G6764">
        <f>IF(LEFT(B6764,1)="C","Credit","Factuur")</f>
        <v/>
      </c>
      <c r="H6764">
        <f>IF(AND(B6764=B6763,D6764=D6763,A6764=A6763,F6764=F6763),1,0)</f>
        <v/>
      </c>
      <c r="I6764">
        <f>IF(C6764="C99999",1,0)</f>
        <v/>
      </c>
      <c r="J6764" s="5">
        <f>IF(OR(H6764=1,I6764=1),0,IF(G6764="Credit",-F6764,F6764))</f>
        <v/>
      </c>
    </row>
    <row r="6765">
      <c r="A6765" t="inlineStr">
        <is>
          <t>2026-09-04</t>
        </is>
      </c>
      <c r="B6765" t="inlineStr">
        <is>
          <t>F267692</t>
        </is>
      </c>
      <c r="C6765" t="inlineStr">
        <is>
          <t>C10403</t>
        </is>
      </c>
      <c r="D6765" t="inlineStr">
        <is>
          <t>SKU-10133</t>
        </is>
      </c>
      <c r="E6765" t="inlineStr">
        <is>
          <t>AM11</t>
        </is>
      </c>
      <c r="F6765" s="5" t="n">
        <v>2646.8</v>
      </c>
      <c r="G6765">
        <f>IF(LEFT(B6765,1)="C","Credit","Factuur")</f>
        <v/>
      </c>
      <c r="H6765">
        <f>IF(AND(B6765=B6764,D6765=D6764,A6765=A6764,F6765=F6764),1,0)</f>
        <v/>
      </c>
      <c r="I6765">
        <f>IF(C6765="C99999",1,0)</f>
        <v/>
      </c>
      <c r="J6765" s="5">
        <f>IF(OR(H6765=1,I6765=1),0,IF(G6765="Credit",-F6765,F6765))</f>
        <v/>
      </c>
    </row>
    <row r="6766">
      <c r="A6766" t="inlineStr">
        <is>
          <t>2026-09-04</t>
        </is>
      </c>
      <c r="B6766" t="inlineStr">
        <is>
          <t>F267845</t>
        </is>
      </c>
      <c r="C6766" t="inlineStr">
        <is>
          <t>C10411</t>
        </is>
      </c>
      <c r="D6766" t="inlineStr">
        <is>
          <t>SKU-10083</t>
        </is>
      </c>
      <c r="E6766" t="inlineStr">
        <is>
          <t>AM07</t>
        </is>
      </c>
      <c r="F6766" s="5" t="n">
        <v>181.17</v>
      </c>
      <c r="G6766">
        <f>IF(LEFT(B6766,1)="C","Credit","Factuur")</f>
        <v/>
      </c>
      <c r="H6766">
        <f>IF(AND(B6766=B6765,D6766=D6765,A6766=A6765,F6766=F6765),1,0)</f>
        <v/>
      </c>
      <c r="I6766">
        <f>IF(C6766="C99999",1,0)</f>
        <v/>
      </c>
      <c r="J6766" s="5">
        <f>IF(OR(H6766=1,I6766=1),0,IF(G6766="Credit",-F6766,F6766))</f>
        <v/>
      </c>
    </row>
    <row r="6767">
      <c r="A6767" t="inlineStr">
        <is>
          <t>2026-09-04</t>
        </is>
      </c>
      <c r="B6767" t="inlineStr">
        <is>
          <t>F267845</t>
        </is>
      </c>
      <c r="C6767" t="inlineStr">
        <is>
          <t>C10411</t>
        </is>
      </c>
      <c r="D6767" t="inlineStr">
        <is>
          <t>SKU-10287</t>
        </is>
      </c>
      <c r="E6767" t="inlineStr">
        <is>
          <t>AM07</t>
        </is>
      </c>
      <c r="F6767" s="5" t="n">
        <v>180.66</v>
      </c>
      <c r="G6767">
        <f>IF(LEFT(B6767,1)="C","Credit","Factuur")</f>
        <v/>
      </c>
      <c r="H6767">
        <f>IF(AND(B6767=B6766,D6767=D6766,A6767=A6766,F6767=F6766),1,0)</f>
        <v/>
      </c>
      <c r="I6767">
        <f>IF(C6767="C99999",1,0)</f>
        <v/>
      </c>
      <c r="J6767" s="5">
        <f>IF(OR(H6767=1,I6767=1),0,IF(G6767="Credit",-F6767,F6767))</f>
        <v/>
      </c>
    </row>
    <row r="6768">
      <c r="A6768" t="inlineStr">
        <is>
          <t>2026-09-04</t>
        </is>
      </c>
      <c r="B6768" t="inlineStr">
        <is>
          <t>F267845</t>
        </is>
      </c>
      <c r="C6768" t="inlineStr">
        <is>
          <t>C10411</t>
        </is>
      </c>
      <c r="D6768" t="inlineStr">
        <is>
          <t>SKU-10303</t>
        </is>
      </c>
      <c r="E6768" t="inlineStr">
        <is>
          <t>AM07</t>
        </is>
      </c>
      <c r="F6768" s="5" t="n">
        <v>166.41</v>
      </c>
      <c r="G6768">
        <f>IF(LEFT(B6768,1)="C","Credit","Factuur")</f>
        <v/>
      </c>
      <c r="H6768">
        <f>IF(AND(B6768=B6767,D6768=D6767,A6768=A6767,F6768=F6767),1,0)</f>
        <v/>
      </c>
      <c r="I6768">
        <f>IF(C6768="C99999",1,0)</f>
        <v/>
      </c>
      <c r="J6768" s="5">
        <f>IF(OR(H6768=1,I6768=1),0,IF(G6768="Credit",-F6768,F6768))</f>
        <v/>
      </c>
    </row>
    <row r="6769">
      <c r="A6769" t="inlineStr">
        <is>
          <t>2026-09-04</t>
        </is>
      </c>
      <c r="B6769" t="inlineStr">
        <is>
          <t>F268032</t>
        </is>
      </c>
      <c r="C6769" t="inlineStr">
        <is>
          <t>C10422</t>
        </is>
      </c>
      <c r="D6769" t="inlineStr">
        <is>
          <t>SKU-10056</t>
        </is>
      </c>
      <c r="E6769" t="inlineStr">
        <is>
          <t>AM12</t>
        </is>
      </c>
      <c r="F6769" s="5" t="n">
        <v>323.84</v>
      </c>
      <c r="G6769">
        <f>IF(LEFT(B6769,1)="C","Credit","Factuur")</f>
        <v/>
      </c>
      <c r="H6769">
        <f>IF(AND(B6769=B6768,D6769=D6768,A6769=A6768,F6769=F6768),1,0)</f>
        <v/>
      </c>
      <c r="I6769">
        <f>IF(C6769="C99999",1,0)</f>
        <v/>
      </c>
      <c r="J6769" s="5">
        <f>IF(OR(H6769=1,I6769=1),0,IF(G6769="Credit",-F6769,F6769))</f>
        <v/>
      </c>
    </row>
    <row r="6770">
      <c r="A6770" t="inlineStr">
        <is>
          <t>2026-09-04</t>
        </is>
      </c>
      <c r="B6770" t="inlineStr">
        <is>
          <t>F268032</t>
        </is>
      </c>
      <c r="C6770" t="inlineStr">
        <is>
          <t>C10422</t>
        </is>
      </c>
      <c r="D6770" t="inlineStr">
        <is>
          <t>SKU-10057</t>
        </is>
      </c>
      <c r="E6770" t="inlineStr">
        <is>
          <t>AM12</t>
        </is>
      </c>
      <c r="F6770" s="5" t="n">
        <v>382.5</v>
      </c>
      <c r="G6770">
        <f>IF(LEFT(B6770,1)="C","Credit","Factuur")</f>
        <v/>
      </c>
      <c r="H6770">
        <f>IF(AND(B6770=B6769,D6770=D6769,A6770=A6769,F6770=F6769),1,0)</f>
        <v/>
      </c>
      <c r="I6770">
        <f>IF(C6770="C99999",1,0)</f>
        <v/>
      </c>
      <c r="J6770" s="5">
        <f>IF(OR(H6770=1,I6770=1),0,IF(G6770="Credit",-F6770,F6770))</f>
        <v/>
      </c>
    </row>
    <row r="6771">
      <c r="A6771" t="inlineStr">
        <is>
          <t>2026-09-04</t>
        </is>
      </c>
      <c r="B6771" t="inlineStr">
        <is>
          <t>F268034</t>
        </is>
      </c>
      <c r="C6771" t="inlineStr">
        <is>
          <t>C10423</t>
        </is>
      </c>
      <c r="D6771" t="inlineStr">
        <is>
          <t>SKU-10076</t>
        </is>
      </c>
      <c r="E6771" t="inlineStr">
        <is>
          <t>AM05</t>
        </is>
      </c>
      <c r="F6771" s="5" t="n">
        <v>2159.07</v>
      </c>
      <c r="G6771">
        <f>IF(LEFT(B6771,1)="C","Credit","Factuur")</f>
        <v/>
      </c>
      <c r="H6771">
        <f>IF(AND(B6771=B6770,D6771=D6770,A6771=A6770,F6771=F6770),1,0)</f>
        <v/>
      </c>
      <c r="I6771">
        <f>IF(C6771="C99999",1,0)</f>
        <v/>
      </c>
      <c r="J6771" s="5">
        <f>IF(OR(H6771=1,I6771=1),0,IF(G6771="Credit",-F6771,F6771))</f>
        <v/>
      </c>
    </row>
    <row r="6772">
      <c r="A6772" t="inlineStr">
        <is>
          <t>2026-09-04</t>
        </is>
      </c>
      <c r="B6772" t="inlineStr">
        <is>
          <t>F268034</t>
        </is>
      </c>
      <c r="C6772" t="inlineStr">
        <is>
          <t>C10423</t>
        </is>
      </c>
      <c r="D6772" t="inlineStr">
        <is>
          <t>SKU-10273</t>
        </is>
      </c>
      <c r="E6772" t="inlineStr">
        <is>
          <t>AM05</t>
        </is>
      </c>
      <c r="F6772" s="5" t="n">
        <v>2152.04</v>
      </c>
      <c r="G6772">
        <f>IF(LEFT(B6772,1)="C","Credit","Factuur")</f>
        <v/>
      </c>
      <c r="H6772">
        <f>IF(AND(B6772=B6771,D6772=D6771,A6772=A6771,F6772=F6771),1,0)</f>
        <v/>
      </c>
      <c r="I6772">
        <f>IF(C6772="C99999",1,0)</f>
        <v/>
      </c>
      <c r="J6772" s="5">
        <f>IF(OR(H6772=1,I6772=1),0,IF(G6772="Credit",-F6772,F6772))</f>
        <v/>
      </c>
    </row>
    <row r="6773">
      <c r="A6773" t="inlineStr">
        <is>
          <t>2026-09-04</t>
        </is>
      </c>
      <c r="B6773" t="inlineStr">
        <is>
          <t>F268034</t>
        </is>
      </c>
      <c r="C6773" t="inlineStr">
        <is>
          <t>C10423</t>
        </is>
      </c>
      <c r="D6773" t="inlineStr">
        <is>
          <t>SKU-10292</t>
        </is>
      </c>
      <c r="E6773" t="inlineStr">
        <is>
          <t>AM05</t>
        </is>
      </c>
      <c r="F6773" s="5" t="n">
        <v>2049.49</v>
      </c>
      <c r="G6773">
        <f>IF(LEFT(B6773,1)="C","Credit","Factuur")</f>
        <v/>
      </c>
      <c r="H6773">
        <f>IF(AND(B6773=B6772,D6773=D6772,A6773=A6772,F6773=F6772),1,0)</f>
        <v/>
      </c>
      <c r="I6773">
        <f>IF(C6773="C99999",1,0)</f>
        <v/>
      </c>
      <c r="J6773" s="5">
        <f>IF(OR(H6773=1,I6773=1),0,IF(G6773="Credit",-F6773,F6773))</f>
        <v/>
      </c>
    </row>
    <row r="6774">
      <c r="A6774" t="inlineStr">
        <is>
          <t>2026-09-04</t>
        </is>
      </c>
      <c r="B6774" t="inlineStr">
        <is>
          <t>F268779</t>
        </is>
      </c>
      <c r="C6774" t="inlineStr">
        <is>
          <t>C10457</t>
        </is>
      </c>
      <c r="D6774" t="inlineStr">
        <is>
          <t>SKU-10323</t>
        </is>
      </c>
      <c r="E6774" t="inlineStr">
        <is>
          <t>AM11</t>
        </is>
      </c>
      <c r="F6774" s="5" t="n">
        <v>826.02</v>
      </c>
      <c r="G6774">
        <f>IF(LEFT(B6774,1)="C","Credit","Factuur")</f>
        <v/>
      </c>
      <c r="H6774">
        <f>IF(AND(B6774=B6773,D6774=D6773,A6774=A6773,F6774=F6773),1,0)</f>
        <v/>
      </c>
      <c r="I6774">
        <f>IF(C6774="C99999",1,0)</f>
        <v/>
      </c>
      <c r="J6774" s="5">
        <f>IF(OR(H6774=1,I6774=1),0,IF(G6774="Credit",-F6774,F6774))</f>
        <v/>
      </c>
    </row>
    <row r="6775">
      <c r="A6775" t="inlineStr">
        <is>
          <t>2026-09-04</t>
        </is>
      </c>
      <c r="B6775" t="inlineStr">
        <is>
          <t>F268805</t>
        </is>
      </c>
      <c r="C6775" t="inlineStr">
        <is>
          <t>C10459</t>
        </is>
      </c>
      <c r="D6775" t="inlineStr">
        <is>
          <t>SKU-10061</t>
        </is>
      </c>
      <c r="E6775" t="inlineStr">
        <is>
          <t>AM02</t>
        </is>
      </c>
      <c r="F6775" s="5" t="n">
        <v>71.81999999999999</v>
      </c>
      <c r="G6775">
        <f>IF(LEFT(B6775,1)="C","Credit","Factuur")</f>
        <v/>
      </c>
      <c r="H6775">
        <f>IF(AND(B6775=B6774,D6775=D6774,A6775=A6774,F6775=F6774),1,0)</f>
        <v/>
      </c>
      <c r="I6775">
        <f>IF(C6775="C99999",1,0)</f>
        <v/>
      </c>
      <c r="J6775" s="5">
        <f>IF(OR(H6775=1,I6775=1),0,IF(G6775="Credit",-F6775,F6775))</f>
        <v/>
      </c>
    </row>
    <row r="6776">
      <c r="A6776" t="inlineStr">
        <is>
          <t>2026-09-04</t>
        </is>
      </c>
      <c r="B6776" t="inlineStr">
        <is>
          <t>F268805</t>
        </is>
      </c>
      <c r="C6776" t="inlineStr">
        <is>
          <t>C10459</t>
        </is>
      </c>
      <c r="D6776" t="inlineStr">
        <is>
          <t>SKU-10199</t>
        </is>
      </c>
      <c r="E6776" t="inlineStr">
        <is>
          <t>AM02</t>
        </is>
      </c>
      <c r="F6776" s="5" t="n">
        <v>56.92</v>
      </c>
      <c r="G6776">
        <f>IF(LEFT(B6776,1)="C","Credit","Factuur")</f>
        <v/>
      </c>
      <c r="H6776">
        <f>IF(AND(B6776=B6775,D6776=D6775,A6776=A6775,F6776=F6775),1,0)</f>
        <v/>
      </c>
      <c r="I6776">
        <f>IF(C6776="C99999",1,0)</f>
        <v/>
      </c>
      <c r="J6776" s="5">
        <f>IF(OR(H6776=1,I6776=1),0,IF(G6776="Credit",-F6776,F6776))</f>
        <v/>
      </c>
    </row>
    <row r="6777">
      <c r="A6777" t="inlineStr">
        <is>
          <t>2026-09-04</t>
        </is>
      </c>
      <c r="B6777" t="inlineStr">
        <is>
          <t>F268805</t>
        </is>
      </c>
      <c r="C6777" t="inlineStr">
        <is>
          <t>C10459</t>
        </is>
      </c>
      <c r="D6777" t="inlineStr">
        <is>
          <t>SKU-10272</t>
        </is>
      </c>
      <c r="E6777" t="inlineStr">
        <is>
          <t>AM02</t>
        </is>
      </c>
      <c r="F6777" s="5" t="n">
        <v>75.42</v>
      </c>
      <c r="G6777">
        <f>IF(LEFT(B6777,1)="C","Credit","Factuur")</f>
        <v/>
      </c>
      <c r="H6777">
        <f>IF(AND(B6777=B6776,D6777=D6776,A6777=A6776,F6777=F6776),1,0)</f>
        <v/>
      </c>
      <c r="I6777">
        <f>IF(C6777="C99999",1,0)</f>
        <v/>
      </c>
      <c r="J6777" s="5">
        <f>IF(OR(H6777=1,I6777=1),0,IF(G6777="Credit",-F6777,F6777))</f>
        <v/>
      </c>
    </row>
    <row r="6778">
      <c r="A6778" t="inlineStr">
        <is>
          <t>2026-09-04</t>
        </is>
      </c>
      <c r="B6778" t="inlineStr">
        <is>
          <t>F268805</t>
        </is>
      </c>
      <c r="C6778" t="inlineStr">
        <is>
          <t>C10459</t>
        </is>
      </c>
      <c r="D6778" t="inlineStr">
        <is>
          <t>SKU-10276</t>
        </is>
      </c>
      <c r="E6778" t="inlineStr">
        <is>
          <t>AM02</t>
        </is>
      </c>
      <c r="F6778" s="5" t="n">
        <v>58.24</v>
      </c>
      <c r="G6778">
        <f>IF(LEFT(B6778,1)="C","Credit","Factuur")</f>
        <v/>
      </c>
      <c r="H6778">
        <f>IF(AND(B6778=B6777,D6778=D6777,A6778=A6777,F6778=F6777),1,0)</f>
        <v/>
      </c>
      <c r="I6778">
        <f>IF(C6778="C99999",1,0)</f>
        <v/>
      </c>
      <c r="J6778" s="5">
        <f>IF(OR(H6778=1,I6778=1),0,IF(G6778="Credit",-F6778,F6778))</f>
        <v/>
      </c>
    </row>
    <row r="6779">
      <c r="A6779" t="inlineStr">
        <is>
          <t>2026-09-04</t>
        </is>
      </c>
      <c r="B6779" t="inlineStr">
        <is>
          <t>F268961</t>
        </is>
      </c>
      <c r="C6779" t="inlineStr">
        <is>
          <t>C10466</t>
        </is>
      </c>
      <c r="D6779" t="inlineStr">
        <is>
          <t>SKU-10338</t>
        </is>
      </c>
      <c r="E6779" t="inlineStr">
        <is>
          <t>AM05</t>
        </is>
      </c>
      <c r="F6779" s="5" t="n">
        <v>583.88</v>
      </c>
      <c r="G6779">
        <f>IF(LEFT(B6779,1)="C","Credit","Factuur")</f>
        <v/>
      </c>
      <c r="H6779">
        <f>IF(AND(B6779=B6778,D6779=D6778,A6779=A6778,F6779=F6778),1,0)</f>
        <v/>
      </c>
      <c r="I6779">
        <f>IF(C6779="C99999",1,0)</f>
        <v/>
      </c>
      <c r="J6779" s="5">
        <f>IF(OR(H6779=1,I6779=1),0,IF(G6779="Credit",-F6779,F6779))</f>
        <v/>
      </c>
    </row>
    <row r="6780">
      <c r="A6780" t="inlineStr">
        <is>
          <t>2026-09-04</t>
        </is>
      </c>
      <c r="B6780" t="inlineStr">
        <is>
          <t>F269021</t>
        </is>
      </c>
      <c r="C6780" t="inlineStr">
        <is>
          <t>C10469</t>
        </is>
      </c>
      <c r="D6780" t="inlineStr">
        <is>
          <t>SKU-10070</t>
        </is>
      </c>
      <c r="E6780" t="inlineStr">
        <is>
          <t>AM06</t>
        </is>
      </c>
      <c r="F6780" s="5" t="n">
        <v>134.86</v>
      </c>
      <c r="G6780">
        <f>IF(LEFT(B6780,1)="C","Credit","Factuur")</f>
        <v/>
      </c>
      <c r="H6780">
        <f>IF(AND(B6780=B6779,D6780=D6779,A6780=A6779,F6780=F6779),1,0)</f>
        <v/>
      </c>
      <c r="I6780">
        <f>IF(C6780="C99999",1,0)</f>
        <v/>
      </c>
      <c r="J6780" s="5">
        <f>IF(OR(H6780=1,I6780=1),0,IF(G6780="Credit",-F6780,F6780))</f>
        <v/>
      </c>
    </row>
    <row r="6781">
      <c r="A6781" t="inlineStr">
        <is>
          <t>2026-09-04</t>
        </is>
      </c>
      <c r="B6781" t="inlineStr">
        <is>
          <t>F269021</t>
        </is>
      </c>
      <c r="C6781" t="inlineStr">
        <is>
          <t>C10469</t>
        </is>
      </c>
      <c r="D6781" t="inlineStr">
        <is>
          <t>SKU-10085</t>
        </is>
      </c>
      <c r="E6781" t="inlineStr">
        <is>
          <t>AM06</t>
        </is>
      </c>
      <c r="F6781" s="5" t="n">
        <v>131.5</v>
      </c>
      <c r="G6781">
        <f>IF(LEFT(B6781,1)="C","Credit","Factuur")</f>
        <v/>
      </c>
      <c r="H6781">
        <f>IF(AND(B6781=B6780,D6781=D6780,A6781=A6780,F6781=F6780),1,0)</f>
        <v/>
      </c>
      <c r="I6781">
        <f>IF(C6781="C99999",1,0)</f>
        <v/>
      </c>
      <c r="J6781" s="5">
        <f>IF(OR(H6781=1,I6781=1),0,IF(G6781="Credit",-F6781,F6781))</f>
        <v/>
      </c>
    </row>
    <row r="6782">
      <c r="A6782" t="inlineStr">
        <is>
          <t>2026-09-04</t>
        </is>
      </c>
      <c r="B6782" t="inlineStr">
        <is>
          <t>F269021</t>
        </is>
      </c>
      <c r="C6782" t="inlineStr">
        <is>
          <t>C10469</t>
        </is>
      </c>
      <c r="D6782" t="inlineStr">
        <is>
          <t>SKU-10299</t>
        </is>
      </c>
      <c r="E6782" t="inlineStr">
        <is>
          <t>AM06</t>
        </is>
      </c>
      <c r="F6782" s="5" t="n">
        <v>150.56</v>
      </c>
      <c r="G6782">
        <f>IF(LEFT(B6782,1)="C","Credit","Factuur")</f>
        <v/>
      </c>
      <c r="H6782">
        <f>IF(AND(B6782=B6781,D6782=D6781,A6782=A6781,F6782=F6781),1,0)</f>
        <v/>
      </c>
      <c r="I6782">
        <f>IF(C6782="C99999",1,0)</f>
        <v/>
      </c>
      <c r="J6782" s="5">
        <f>IF(OR(H6782=1,I6782=1),0,IF(G6782="Credit",-F6782,F6782))</f>
        <v/>
      </c>
    </row>
    <row r="6783">
      <c r="A6783" t="inlineStr">
        <is>
          <t>2026-09-04</t>
        </is>
      </c>
      <c r="B6783" t="inlineStr">
        <is>
          <t>F269021</t>
        </is>
      </c>
      <c r="C6783" t="inlineStr">
        <is>
          <t>C10469</t>
        </is>
      </c>
      <c r="D6783" t="inlineStr">
        <is>
          <t>SKU-10324</t>
        </is>
      </c>
      <c r="E6783" t="inlineStr">
        <is>
          <t>AM06</t>
        </is>
      </c>
      <c r="F6783" s="5" t="n">
        <v>130.32</v>
      </c>
      <c r="G6783">
        <f>IF(LEFT(B6783,1)="C","Credit","Factuur")</f>
        <v/>
      </c>
      <c r="H6783">
        <f>IF(AND(B6783=B6782,D6783=D6782,A6783=A6782,F6783=F6782),1,0)</f>
        <v/>
      </c>
      <c r="I6783">
        <f>IF(C6783="C99999",1,0)</f>
        <v/>
      </c>
      <c r="J6783" s="5">
        <f>IF(OR(H6783=1,I6783=1),0,IF(G6783="Credit",-F6783,F6783))</f>
        <v/>
      </c>
    </row>
    <row r="6784">
      <c r="A6784" t="inlineStr">
        <is>
          <t>2026-09-04</t>
        </is>
      </c>
      <c r="B6784" t="inlineStr">
        <is>
          <t>F269027</t>
        </is>
      </c>
      <c r="C6784" t="inlineStr">
        <is>
          <t>C10469</t>
        </is>
      </c>
      <c r="D6784" t="inlineStr">
        <is>
          <t>SKU-10116</t>
        </is>
      </c>
      <c r="E6784" t="inlineStr">
        <is>
          <t>AM06</t>
        </is>
      </c>
      <c r="F6784" s="5" t="n">
        <v>390.6</v>
      </c>
      <c r="G6784">
        <f>IF(LEFT(B6784,1)="C","Credit","Factuur")</f>
        <v/>
      </c>
      <c r="H6784">
        <f>IF(AND(B6784=B6783,D6784=D6783,A6784=A6783,F6784=F6783),1,0)</f>
        <v/>
      </c>
      <c r="I6784">
        <f>IF(C6784="C99999",1,0)</f>
        <v/>
      </c>
      <c r="J6784" s="5">
        <f>IF(OR(H6784=1,I6784=1),0,IF(G6784="Credit",-F6784,F6784))</f>
        <v/>
      </c>
    </row>
    <row r="6785">
      <c r="A6785" t="inlineStr">
        <is>
          <t>2026-09-04</t>
        </is>
      </c>
      <c r="B6785" t="inlineStr">
        <is>
          <t>F269027</t>
        </is>
      </c>
      <c r="C6785" t="inlineStr">
        <is>
          <t>C10469</t>
        </is>
      </c>
      <c r="D6785" t="inlineStr">
        <is>
          <t>SKU-10293</t>
        </is>
      </c>
      <c r="E6785" t="inlineStr">
        <is>
          <t>AM06</t>
        </is>
      </c>
      <c r="F6785" s="5" t="n">
        <v>387.2</v>
      </c>
      <c r="G6785">
        <f>IF(LEFT(B6785,1)="C","Credit","Factuur")</f>
        <v/>
      </c>
      <c r="H6785">
        <f>IF(AND(B6785=B6784,D6785=D6784,A6785=A6784,F6785=F6784),1,0)</f>
        <v/>
      </c>
      <c r="I6785">
        <f>IF(C6785="C99999",1,0)</f>
        <v/>
      </c>
      <c r="J6785" s="5">
        <f>IF(OR(H6785=1,I6785=1),0,IF(G6785="Credit",-F6785,F6785))</f>
        <v/>
      </c>
    </row>
    <row r="6786">
      <c r="A6786" t="inlineStr">
        <is>
          <t>2026-09-04</t>
        </is>
      </c>
      <c r="B6786" t="inlineStr">
        <is>
          <t>F269802</t>
        </is>
      </c>
      <c r="C6786" t="inlineStr">
        <is>
          <t>C10517</t>
        </is>
      </c>
      <c r="D6786" t="inlineStr">
        <is>
          <t>SKU-10016</t>
        </is>
      </c>
      <c r="E6786" t="inlineStr">
        <is>
          <t>AM06</t>
        </is>
      </c>
      <c r="F6786" s="5" t="n">
        <v>148.95</v>
      </c>
      <c r="G6786">
        <f>IF(LEFT(B6786,1)="C","Credit","Factuur")</f>
        <v/>
      </c>
      <c r="H6786">
        <f>IF(AND(B6786=B6785,D6786=D6785,A6786=A6785,F6786=F6785),1,0)</f>
        <v/>
      </c>
      <c r="I6786">
        <f>IF(C6786="C99999",1,0)</f>
        <v/>
      </c>
      <c r="J6786" s="5">
        <f>IF(OR(H6786=1,I6786=1),0,IF(G6786="Credit",-F6786,F6786))</f>
        <v/>
      </c>
    </row>
    <row r="6787">
      <c r="A6787" t="inlineStr">
        <is>
          <t>2026-09-04</t>
        </is>
      </c>
      <c r="B6787" t="inlineStr">
        <is>
          <t>F269802</t>
        </is>
      </c>
      <c r="C6787" t="inlineStr">
        <is>
          <t>C10517</t>
        </is>
      </c>
      <c r="D6787" t="inlineStr">
        <is>
          <t>SKU-10020</t>
        </is>
      </c>
      <c r="E6787" t="inlineStr">
        <is>
          <t>AM06</t>
        </is>
      </c>
      <c r="F6787" s="5" t="n">
        <v>167.08</v>
      </c>
      <c r="G6787">
        <f>IF(LEFT(B6787,1)="C","Credit","Factuur")</f>
        <v/>
      </c>
      <c r="H6787">
        <f>IF(AND(B6787=B6786,D6787=D6786,A6787=A6786,F6787=F6786),1,0)</f>
        <v/>
      </c>
      <c r="I6787">
        <f>IF(C6787="C99999",1,0)</f>
        <v/>
      </c>
      <c r="J6787" s="5">
        <f>IF(OR(H6787=1,I6787=1),0,IF(G6787="Credit",-F6787,F6787))</f>
        <v/>
      </c>
    </row>
    <row r="6788">
      <c r="A6788" t="inlineStr">
        <is>
          <t>2026-09-04</t>
        </is>
      </c>
      <c r="B6788" t="inlineStr">
        <is>
          <t>F269802</t>
        </is>
      </c>
      <c r="C6788" t="inlineStr">
        <is>
          <t>C10517</t>
        </is>
      </c>
      <c r="D6788" t="inlineStr">
        <is>
          <t>SKU-10041</t>
        </is>
      </c>
      <c r="E6788" t="inlineStr">
        <is>
          <t>AM06</t>
        </is>
      </c>
      <c r="F6788" s="5" t="n">
        <v>157.41</v>
      </c>
      <c r="G6788">
        <f>IF(LEFT(B6788,1)="C","Credit","Factuur")</f>
        <v/>
      </c>
      <c r="H6788">
        <f>IF(AND(B6788=B6787,D6788=D6787,A6788=A6787,F6788=F6787),1,0)</f>
        <v/>
      </c>
      <c r="I6788">
        <f>IF(C6788="C99999",1,0)</f>
        <v/>
      </c>
      <c r="J6788" s="5">
        <f>IF(OR(H6788=1,I6788=1),0,IF(G6788="Credit",-F6788,F6788))</f>
        <v/>
      </c>
    </row>
    <row r="6789">
      <c r="A6789" t="inlineStr">
        <is>
          <t>2026-09-04</t>
        </is>
      </c>
      <c r="B6789" t="inlineStr">
        <is>
          <t>F269802</t>
        </is>
      </c>
      <c r="C6789" t="inlineStr">
        <is>
          <t>C10517</t>
        </is>
      </c>
      <c r="D6789" t="inlineStr">
        <is>
          <t>SKU-10048</t>
        </is>
      </c>
      <c r="E6789" t="inlineStr">
        <is>
          <t>AM06</t>
        </is>
      </c>
      <c r="F6789" s="5" t="n">
        <v>157.83</v>
      </c>
      <c r="G6789">
        <f>IF(LEFT(B6789,1)="C","Credit","Factuur")</f>
        <v/>
      </c>
      <c r="H6789">
        <f>IF(AND(B6789=B6788,D6789=D6788,A6789=A6788,F6789=F6788),1,0)</f>
        <v/>
      </c>
      <c r="I6789">
        <f>IF(C6789="C99999",1,0)</f>
        <v/>
      </c>
      <c r="J6789" s="5">
        <f>IF(OR(H6789=1,I6789=1),0,IF(G6789="Credit",-F6789,F6789))</f>
        <v/>
      </c>
    </row>
    <row r="6790">
      <c r="A6790" t="inlineStr">
        <is>
          <t>2026-09-04</t>
        </is>
      </c>
      <c r="B6790" t="inlineStr">
        <is>
          <t>F269802</t>
        </is>
      </c>
      <c r="C6790" t="inlineStr">
        <is>
          <t>C10517</t>
        </is>
      </c>
      <c r="D6790" t="inlineStr">
        <is>
          <t>SKU-10222</t>
        </is>
      </c>
      <c r="E6790" t="inlineStr">
        <is>
          <t>AM06</t>
        </is>
      </c>
      <c r="F6790" s="5" t="n">
        <v>168.78</v>
      </c>
      <c r="G6790">
        <f>IF(LEFT(B6790,1)="C","Credit","Factuur")</f>
        <v/>
      </c>
      <c r="H6790">
        <f>IF(AND(B6790=B6789,D6790=D6789,A6790=A6789,F6790=F6789),1,0)</f>
        <v/>
      </c>
      <c r="I6790">
        <f>IF(C6790="C99999",1,0)</f>
        <v/>
      </c>
      <c r="J6790" s="5">
        <f>IF(OR(H6790=1,I6790=1),0,IF(G6790="Credit",-F6790,F6790))</f>
        <v/>
      </c>
    </row>
    <row r="6791">
      <c r="A6791" t="inlineStr">
        <is>
          <t>2026-09-04</t>
        </is>
      </c>
      <c r="B6791" t="inlineStr">
        <is>
          <t>F269802</t>
        </is>
      </c>
      <c r="C6791" t="inlineStr">
        <is>
          <t>C10517</t>
        </is>
      </c>
      <c r="D6791" t="inlineStr">
        <is>
          <t>SKU-10329</t>
        </is>
      </c>
      <c r="E6791" t="inlineStr">
        <is>
          <t>AM06</t>
        </is>
      </c>
      <c r="F6791" s="5" t="n">
        <v>174.89</v>
      </c>
      <c r="G6791">
        <f>IF(LEFT(B6791,1)="C","Credit","Factuur")</f>
        <v/>
      </c>
      <c r="H6791">
        <f>IF(AND(B6791=B6790,D6791=D6790,A6791=A6790,F6791=F6790),1,0)</f>
        <v/>
      </c>
      <c r="I6791">
        <f>IF(C6791="C99999",1,0)</f>
        <v/>
      </c>
      <c r="J6791" s="5">
        <f>IF(OR(H6791=1,I6791=1),0,IF(G6791="Credit",-F6791,F6791))</f>
        <v/>
      </c>
    </row>
    <row r="6792">
      <c r="A6792" t="inlineStr">
        <is>
          <t>2026-09-04</t>
        </is>
      </c>
      <c r="B6792" t="inlineStr">
        <is>
          <t>F269802</t>
        </is>
      </c>
      <c r="C6792" t="inlineStr">
        <is>
          <t>C10517</t>
        </is>
      </c>
      <c r="D6792" t="inlineStr">
        <is>
          <t>SKU-10352</t>
        </is>
      </c>
      <c r="E6792" t="inlineStr">
        <is>
          <t>AM06</t>
        </is>
      </c>
      <c r="F6792" s="5" t="n">
        <v>139.03</v>
      </c>
      <c r="G6792">
        <f>IF(LEFT(B6792,1)="C","Credit","Factuur")</f>
        <v/>
      </c>
      <c r="H6792">
        <f>IF(AND(B6792=B6791,D6792=D6791,A6792=A6791,F6792=F6791),1,0)</f>
        <v/>
      </c>
      <c r="I6792">
        <f>IF(C6792="C99999",1,0)</f>
        <v/>
      </c>
      <c r="J6792" s="5">
        <f>IF(OR(H6792=1,I6792=1),0,IF(G6792="Credit",-F6792,F6792))</f>
        <v/>
      </c>
    </row>
    <row r="6793">
      <c r="A6793" t="inlineStr">
        <is>
          <t>2026-09-04</t>
        </is>
      </c>
      <c r="B6793" t="inlineStr">
        <is>
          <t>F270288</t>
        </is>
      </c>
      <c r="C6793" t="inlineStr">
        <is>
          <t>C10542</t>
        </is>
      </c>
      <c r="D6793" t="inlineStr">
        <is>
          <t>SKU-10082</t>
        </is>
      </c>
      <c r="E6793" t="inlineStr">
        <is>
          <t>AM08</t>
        </is>
      </c>
      <c r="F6793" s="5" t="n">
        <v>1528.09</v>
      </c>
      <c r="G6793">
        <f>IF(LEFT(B6793,1)="C","Credit","Factuur")</f>
        <v/>
      </c>
      <c r="H6793">
        <f>IF(AND(B6793=B6792,D6793=D6792,A6793=A6792,F6793=F6792),1,0)</f>
        <v/>
      </c>
      <c r="I6793">
        <f>IF(C6793="C99999",1,0)</f>
        <v/>
      </c>
      <c r="J6793" s="5">
        <f>IF(OR(H6793=1,I6793=1),0,IF(G6793="Credit",-F6793,F6793))</f>
        <v/>
      </c>
    </row>
    <row r="6794">
      <c r="A6794" t="inlineStr">
        <is>
          <t>2026-09-04</t>
        </is>
      </c>
      <c r="B6794" t="inlineStr">
        <is>
          <t>F270322</t>
        </is>
      </c>
      <c r="C6794" t="inlineStr">
        <is>
          <t>C10543</t>
        </is>
      </c>
      <c r="D6794" t="inlineStr">
        <is>
          <t>SKU-10073</t>
        </is>
      </c>
      <c r="E6794" t="inlineStr">
        <is>
          <t>AM05</t>
        </is>
      </c>
      <c r="F6794" s="5" t="n">
        <v>513.36</v>
      </c>
      <c r="G6794">
        <f>IF(LEFT(B6794,1)="C","Credit","Factuur")</f>
        <v/>
      </c>
      <c r="H6794">
        <f>IF(AND(B6794=B6793,D6794=D6793,A6794=A6793,F6794=F6793),1,0)</f>
        <v/>
      </c>
      <c r="I6794">
        <f>IF(C6794="C99999",1,0)</f>
        <v/>
      </c>
      <c r="J6794" s="5">
        <f>IF(OR(H6794=1,I6794=1),0,IF(G6794="Credit",-F6794,F6794))</f>
        <v/>
      </c>
    </row>
    <row r="6795">
      <c r="A6795" t="inlineStr">
        <is>
          <t>2026-09-04</t>
        </is>
      </c>
      <c r="B6795" t="inlineStr">
        <is>
          <t>F270322</t>
        </is>
      </c>
      <c r="C6795" t="inlineStr">
        <is>
          <t>C10543</t>
        </is>
      </c>
      <c r="D6795" t="inlineStr">
        <is>
          <t>SKU-10121</t>
        </is>
      </c>
      <c r="E6795" t="inlineStr">
        <is>
          <t>AM05</t>
        </is>
      </c>
      <c r="F6795" s="5" t="n">
        <v>519.4400000000001</v>
      </c>
      <c r="G6795">
        <f>IF(LEFT(B6795,1)="C","Credit","Factuur")</f>
        <v/>
      </c>
      <c r="H6795">
        <f>IF(AND(B6795=B6794,D6795=D6794,A6795=A6794,F6795=F6794),1,0)</f>
        <v/>
      </c>
      <c r="I6795">
        <f>IF(C6795="C99999",1,0)</f>
        <v/>
      </c>
      <c r="J6795" s="5">
        <f>IF(OR(H6795=1,I6795=1),0,IF(G6795="Credit",-F6795,F6795))</f>
        <v/>
      </c>
    </row>
    <row r="6796">
      <c r="A6796" t="inlineStr">
        <is>
          <t>2026-09-04</t>
        </is>
      </c>
      <c r="B6796" t="inlineStr">
        <is>
          <t>F270322</t>
        </is>
      </c>
      <c r="C6796" t="inlineStr">
        <is>
          <t>C10543</t>
        </is>
      </c>
      <c r="D6796" t="inlineStr">
        <is>
          <t>SKU-10181</t>
        </is>
      </c>
      <c r="E6796" t="inlineStr">
        <is>
          <t>AM05</t>
        </is>
      </c>
      <c r="F6796" s="5" t="n">
        <v>456.98</v>
      </c>
      <c r="G6796">
        <f>IF(LEFT(B6796,1)="C","Credit","Factuur")</f>
        <v/>
      </c>
      <c r="H6796">
        <f>IF(AND(B6796=B6795,D6796=D6795,A6796=A6795,F6796=F6795),1,0)</f>
        <v/>
      </c>
      <c r="I6796">
        <f>IF(C6796="C99999",1,0)</f>
        <v/>
      </c>
      <c r="J6796" s="5">
        <f>IF(OR(H6796=1,I6796=1),0,IF(G6796="Credit",-F6796,F6796))</f>
        <v/>
      </c>
    </row>
    <row r="6797">
      <c r="A6797" t="inlineStr">
        <is>
          <t>2026-09-04</t>
        </is>
      </c>
      <c r="B6797" t="inlineStr">
        <is>
          <t>F270771</t>
        </is>
      </c>
      <c r="C6797" t="inlineStr">
        <is>
          <t>C10564</t>
        </is>
      </c>
      <c r="D6797" t="inlineStr">
        <is>
          <t>SKU-10286</t>
        </is>
      </c>
      <c r="E6797" t="inlineStr">
        <is>
          <t>AM05</t>
        </is>
      </c>
      <c r="F6797" s="5" t="n">
        <v>961.77</v>
      </c>
      <c r="G6797">
        <f>IF(LEFT(B6797,1)="C","Credit","Factuur")</f>
        <v/>
      </c>
      <c r="H6797">
        <f>IF(AND(B6797=B6796,D6797=D6796,A6797=A6796,F6797=F6796),1,0)</f>
        <v/>
      </c>
      <c r="I6797">
        <f>IF(C6797="C99999",1,0)</f>
        <v/>
      </c>
      <c r="J6797" s="5">
        <f>IF(OR(H6797=1,I6797=1),0,IF(G6797="Credit",-F6797,F6797))</f>
        <v/>
      </c>
    </row>
    <row r="6798">
      <c r="A6798" t="inlineStr">
        <is>
          <t>2026-09-04</t>
        </is>
      </c>
      <c r="B6798" t="inlineStr">
        <is>
          <t>F270775</t>
        </is>
      </c>
      <c r="C6798" t="inlineStr">
        <is>
          <t>C10564</t>
        </is>
      </c>
      <c r="D6798" t="inlineStr">
        <is>
          <t>SKU-10227</t>
        </is>
      </c>
      <c r="E6798" t="inlineStr">
        <is>
          <t>AM05</t>
        </is>
      </c>
      <c r="F6798" s="5" t="n">
        <v>430.24</v>
      </c>
      <c r="G6798">
        <f>IF(LEFT(B6798,1)="C","Credit","Factuur")</f>
        <v/>
      </c>
      <c r="H6798">
        <f>IF(AND(B6798=B6797,D6798=D6797,A6798=A6797,F6798=F6797),1,0)</f>
        <v/>
      </c>
      <c r="I6798">
        <f>IF(C6798="C99999",1,0)</f>
        <v/>
      </c>
      <c r="J6798" s="5">
        <f>IF(OR(H6798=1,I6798=1),0,IF(G6798="Credit",-F6798,F6798))</f>
        <v/>
      </c>
    </row>
    <row r="6799">
      <c r="A6799" t="inlineStr">
        <is>
          <t>2026-09-04</t>
        </is>
      </c>
      <c r="B6799" t="inlineStr">
        <is>
          <t>F270775</t>
        </is>
      </c>
      <c r="C6799" t="inlineStr">
        <is>
          <t>C10564</t>
        </is>
      </c>
      <c r="D6799" t="inlineStr">
        <is>
          <t>SKU-10249</t>
        </is>
      </c>
      <c r="E6799" t="inlineStr">
        <is>
          <t>AM05</t>
        </is>
      </c>
      <c r="F6799" s="5" t="n">
        <v>419.85</v>
      </c>
      <c r="G6799">
        <f>IF(LEFT(B6799,1)="C","Credit","Factuur")</f>
        <v/>
      </c>
      <c r="H6799">
        <f>IF(AND(B6799=B6798,D6799=D6798,A6799=A6798,F6799=F6798),1,0)</f>
        <v/>
      </c>
      <c r="I6799">
        <f>IF(C6799="C99999",1,0)</f>
        <v/>
      </c>
      <c r="J6799" s="5">
        <f>IF(OR(H6799=1,I6799=1),0,IF(G6799="Credit",-F6799,F6799))</f>
        <v/>
      </c>
    </row>
    <row r="6800">
      <c r="A6800" t="inlineStr">
        <is>
          <t>2026-09-04</t>
        </is>
      </c>
      <c r="B6800" t="inlineStr">
        <is>
          <t>F270775</t>
        </is>
      </c>
      <c r="C6800" t="inlineStr">
        <is>
          <t>C10564</t>
        </is>
      </c>
      <c r="D6800" t="inlineStr">
        <is>
          <t>SKU-10298</t>
        </is>
      </c>
      <c r="E6800" t="inlineStr">
        <is>
          <t>AM05</t>
        </is>
      </c>
      <c r="F6800" s="5" t="n">
        <v>406.62</v>
      </c>
      <c r="G6800">
        <f>IF(LEFT(B6800,1)="C","Credit","Factuur")</f>
        <v/>
      </c>
      <c r="H6800">
        <f>IF(AND(B6800=B6799,D6800=D6799,A6800=A6799,F6800=F6799),1,0)</f>
        <v/>
      </c>
      <c r="I6800">
        <f>IF(C6800="C99999",1,0)</f>
        <v/>
      </c>
      <c r="J6800" s="5">
        <f>IF(OR(H6800=1,I6800=1),0,IF(G6800="Credit",-F6800,F6800))</f>
        <v/>
      </c>
    </row>
    <row r="6801">
      <c r="A6801" t="inlineStr">
        <is>
          <t>2026-09-04</t>
        </is>
      </c>
      <c r="B6801" t="inlineStr">
        <is>
          <t>F270892</t>
        </is>
      </c>
      <c r="C6801" t="inlineStr">
        <is>
          <t>C10570</t>
        </is>
      </c>
      <c r="D6801" t="inlineStr">
        <is>
          <t>SKU-10006</t>
        </is>
      </c>
      <c r="E6801" t="inlineStr">
        <is>
          <t>AM02</t>
        </is>
      </c>
      <c r="F6801" s="5" t="n">
        <v>180.96</v>
      </c>
      <c r="G6801">
        <f>IF(LEFT(B6801,1)="C","Credit","Factuur")</f>
        <v/>
      </c>
      <c r="H6801">
        <f>IF(AND(B6801=B6800,D6801=D6800,A6801=A6800,F6801=F6800),1,0)</f>
        <v/>
      </c>
      <c r="I6801">
        <f>IF(C6801="C99999",1,0)</f>
        <v/>
      </c>
      <c r="J6801" s="5">
        <f>IF(OR(H6801=1,I6801=1),0,IF(G6801="Credit",-F6801,F6801))</f>
        <v/>
      </c>
    </row>
    <row r="6802">
      <c r="A6802" t="inlineStr">
        <is>
          <t>2026-09-04</t>
        </is>
      </c>
      <c r="B6802" t="inlineStr">
        <is>
          <t>F270892</t>
        </is>
      </c>
      <c r="C6802" t="inlineStr">
        <is>
          <t>C10570</t>
        </is>
      </c>
      <c r="D6802" t="inlineStr">
        <is>
          <t>SKU-10009</t>
        </is>
      </c>
      <c r="E6802" t="inlineStr">
        <is>
          <t>AM02</t>
        </is>
      </c>
      <c r="F6802" s="5" t="n">
        <v>170.65</v>
      </c>
      <c r="G6802">
        <f>IF(LEFT(B6802,1)="C","Credit","Factuur")</f>
        <v/>
      </c>
      <c r="H6802">
        <f>IF(AND(B6802=B6801,D6802=D6801,A6802=A6801,F6802=F6801),1,0)</f>
        <v/>
      </c>
      <c r="I6802">
        <f>IF(C6802="C99999",1,0)</f>
        <v/>
      </c>
      <c r="J6802" s="5">
        <f>IF(OR(H6802=1,I6802=1),0,IF(G6802="Credit",-F6802,F6802))</f>
        <v/>
      </c>
    </row>
    <row r="6803">
      <c r="A6803" t="inlineStr">
        <is>
          <t>2026-09-04</t>
        </is>
      </c>
      <c r="B6803" t="inlineStr">
        <is>
          <t>F270892</t>
        </is>
      </c>
      <c r="C6803" t="inlineStr">
        <is>
          <t>C10570</t>
        </is>
      </c>
      <c r="D6803" t="inlineStr">
        <is>
          <t>SKU-10100</t>
        </is>
      </c>
      <c r="E6803" t="inlineStr">
        <is>
          <t>AM02</t>
        </is>
      </c>
      <c r="F6803" s="5" t="n">
        <v>173.16</v>
      </c>
      <c r="G6803">
        <f>IF(LEFT(B6803,1)="C","Credit","Factuur")</f>
        <v/>
      </c>
      <c r="H6803">
        <f>IF(AND(B6803=B6802,D6803=D6802,A6803=A6802,F6803=F6802),1,0)</f>
        <v/>
      </c>
      <c r="I6803">
        <f>IF(C6803="C99999",1,0)</f>
        <v/>
      </c>
      <c r="J6803" s="5">
        <f>IF(OR(H6803=1,I6803=1),0,IF(G6803="Credit",-F6803,F6803))</f>
        <v/>
      </c>
    </row>
    <row r="6804">
      <c r="A6804" t="inlineStr">
        <is>
          <t>2026-09-04</t>
        </is>
      </c>
      <c r="B6804" t="inlineStr">
        <is>
          <t>F271464</t>
        </is>
      </c>
      <c r="C6804" t="inlineStr">
        <is>
          <t>C10592</t>
        </is>
      </c>
      <c r="D6804" t="inlineStr">
        <is>
          <t>SKU-10107</t>
        </is>
      </c>
      <c r="E6804" t="inlineStr">
        <is>
          <t>AM07</t>
        </is>
      </c>
      <c r="F6804" s="5" t="n">
        <v>1274.52</v>
      </c>
      <c r="G6804">
        <f>IF(LEFT(B6804,1)="C","Credit","Factuur")</f>
        <v/>
      </c>
      <c r="H6804">
        <f>IF(AND(B6804=B6803,D6804=D6803,A6804=A6803,F6804=F6803),1,0)</f>
        <v/>
      </c>
      <c r="I6804">
        <f>IF(C6804="C99999",1,0)</f>
        <v/>
      </c>
      <c r="J6804" s="5">
        <f>IF(OR(H6804=1,I6804=1),0,IF(G6804="Credit",-F6804,F6804))</f>
        <v/>
      </c>
    </row>
    <row r="6805">
      <c r="A6805" t="inlineStr">
        <is>
          <t>2026-09-04</t>
        </is>
      </c>
      <c r="B6805" t="inlineStr">
        <is>
          <t>F271464</t>
        </is>
      </c>
      <c r="C6805" t="inlineStr">
        <is>
          <t>C10592</t>
        </is>
      </c>
      <c r="D6805" t="inlineStr">
        <is>
          <t>SKU-10171</t>
        </is>
      </c>
      <c r="E6805" t="inlineStr">
        <is>
          <t>AM07</t>
        </is>
      </c>
      <c r="F6805" s="5" t="n">
        <v>1275.5</v>
      </c>
      <c r="G6805">
        <f>IF(LEFT(B6805,1)="C","Credit","Factuur")</f>
        <v/>
      </c>
      <c r="H6805">
        <f>IF(AND(B6805=B6804,D6805=D6804,A6805=A6804,F6805=F6804),1,0)</f>
        <v/>
      </c>
      <c r="I6805">
        <f>IF(C6805="C99999",1,0)</f>
        <v/>
      </c>
      <c r="J6805" s="5">
        <f>IF(OR(H6805=1,I6805=1),0,IF(G6805="Credit",-F6805,F6805))</f>
        <v/>
      </c>
    </row>
    <row r="6806">
      <c r="A6806" t="inlineStr">
        <is>
          <t>2026-09-04</t>
        </is>
      </c>
      <c r="B6806" t="inlineStr">
        <is>
          <t>F271464</t>
        </is>
      </c>
      <c r="C6806" t="inlineStr">
        <is>
          <t>C10592</t>
        </is>
      </c>
      <c r="D6806" t="inlineStr">
        <is>
          <t>SKU-10317</t>
        </is>
      </c>
      <c r="E6806" t="inlineStr">
        <is>
          <t>AM07</t>
        </is>
      </c>
      <c r="F6806" s="5" t="n">
        <v>1274.66</v>
      </c>
      <c r="G6806">
        <f>IF(LEFT(B6806,1)="C","Credit","Factuur")</f>
        <v/>
      </c>
      <c r="H6806">
        <f>IF(AND(B6806=B6805,D6806=D6805,A6806=A6805,F6806=F6805),1,0)</f>
        <v/>
      </c>
      <c r="I6806">
        <f>IF(C6806="C99999",1,0)</f>
        <v/>
      </c>
      <c r="J6806" s="5">
        <f>IF(OR(H6806=1,I6806=1),0,IF(G6806="Credit",-F6806,F6806))</f>
        <v/>
      </c>
    </row>
    <row r="6807">
      <c r="A6807" t="inlineStr">
        <is>
          <t>2026-09-04</t>
        </is>
      </c>
      <c r="B6807" t="inlineStr">
        <is>
          <t>F271464</t>
        </is>
      </c>
      <c r="C6807" t="inlineStr">
        <is>
          <t>C10592</t>
        </is>
      </c>
      <c r="D6807" t="inlineStr">
        <is>
          <t>SKU-10384</t>
        </is>
      </c>
      <c r="E6807" t="inlineStr">
        <is>
          <t>AM07</t>
        </is>
      </c>
      <c r="F6807" s="5" t="n">
        <v>1249.71</v>
      </c>
      <c r="G6807">
        <f>IF(LEFT(B6807,1)="C","Credit","Factuur")</f>
        <v/>
      </c>
      <c r="H6807">
        <f>IF(AND(B6807=B6806,D6807=D6806,A6807=A6806,F6807=F6806),1,0)</f>
        <v/>
      </c>
      <c r="I6807">
        <f>IF(C6807="C99999",1,0)</f>
        <v/>
      </c>
      <c r="J6807" s="5">
        <f>IF(OR(H6807=1,I6807=1),0,IF(G6807="Credit",-F6807,F6807))</f>
        <v/>
      </c>
    </row>
    <row r="6808">
      <c r="A6808" t="inlineStr">
        <is>
          <t>2026-09-04</t>
        </is>
      </c>
      <c r="B6808" t="inlineStr">
        <is>
          <t>F271691</t>
        </is>
      </c>
      <c r="C6808" t="inlineStr">
        <is>
          <t>C10601</t>
        </is>
      </c>
      <c r="D6808" t="inlineStr">
        <is>
          <t>SKU-10027</t>
        </is>
      </c>
      <c r="E6808" t="inlineStr">
        <is>
          <t>AM09</t>
        </is>
      </c>
      <c r="F6808" s="5" t="n">
        <v>2711.66</v>
      </c>
      <c r="G6808">
        <f>IF(LEFT(B6808,1)="C","Credit","Factuur")</f>
        <v/>
      </c>
      <c r="H6808">
        <f>IF(AND(B6808=B6807,D6808=D6807,A6808=A6807,F6808=F6807),1,0)</f>
        <v/>
      </c>
      <c r="I6808">
        <f>IF(C6808="C99999",1,0)</f>
        <v/>
      </c>
      <c r="J6808" s="5">
        <f>IF(OR(H6808=1,I6808=1),0,IF(G6808="Credit",-F6808,F6808))</f>
        <v/>
      </c>
    </row>
    <row r="6809">
      <c r="A6809" t="inlineStr">
        <is>
          <t>2026-09-04</t>
        </is>
      </c>
      <c r="B6809" t="inlineStr">
        <is>
          <t>F271691</t>
        </is>
      </c>
      <c r="C6809" t="inlineStr">
        <is>
          <t>C10601</t>
        </is>
      </c>
      <c r="D6809" t="inlineStr">
        <is>
          <t>SKU-10067</t>
        </is>
      </c>
      <c r="E6809" t="inlineStr">
        <is>
          <t>AM09</t>
        </is>
      </c>
      <c r="F6809" s="5" t="n">
        <v>2403.68</v>
      </c>
      <c r="G6809">
        <f>IF(LEFT(B6809,1)="C","Credit","Factuur")</f>
        <v/>
      </c>
      <c r="H6809">
        <f>IF(AND(B6809=B6808,D6809=D6808,A6809=A6808,F6809=F6808),1,0)</f>
        <v/>
      </c>
      <c r="I6809">
        <f>IF(C6809="C99999",1,0)</f>
        <v/>
      </c>
      <c r="J6809" s="5">
        <f>IF(OR(H6809=1,I6809=1),0,IF(G6809="Credit",-F6809,F6809))</f>
        <v/>
      </c>
    </row>
    <row r="6810">
      <c r="A6810" t="inlineStr">
        <is>
          <t>2026-09-04</t>
        </is>
      </c>
      <c r="B6810" t="inlineStr">
        <is>
          <t>F271691</t>
        </is>
      </c>
      <c r="C6810" t="inlineStr">
        <is>
          <t>C10601</t>
        </is>
      </c>
      <c r="D6810" t="inlineStr">
        <is>
          <t>SKU-10233</t>
        </is>
      </c>
      <c r="E6810" t="inlineStr">
        <is>
          <t>AM09</t>
        </is>
      </c>
      <c r="F6810" s="5" t="n">
        <v>2558.32</v>
      </c>
      <c r="G6810">
        <f>IF(LEFT(B6810,1)="C","Credit","Factuur")</f>
        <v/>
      </c>
      <c r="H6810">
        <f>IF(AND(B6810=B6809,D6810=D6809,A6810=A6809,F6810=F6809),1,0)</f>
        <v/>
      </c>
      <c r="I6810">
        <f>IF(C6810="C99999",1,0)</f>
        <v/>
      </c>
      <c r="J6810" s="5">
        <f>IF(OR(H6810=1,I6810=1),0,IF(G6810="Credit",-F6810,F6810))</f>
        <v/>
      </c>
    </row>
    <row r="6811">
      <c r="A6811" t="inlineStr">
        <is>
          <t>2026-09-04</t>
        </is>
      </c>
      <c r="B6811" t="inlineStr">
        <is>
          <t>F271691</t>
        </is>
      </c>
      <c r="C6811" t="inlineStr">
        <is>
          <t>C10601</t>
        </is>
      </c>
      <c r="D6811" t="inlineStr">
        <is>
          <t>SKU-10318</t>
        </is>
      </c>
      <c r="E6811" t="inlineStr">
        <is>
          <t>AM09</t>
        </is>
      </c>
      <c r="F6811" s="5" t="n">
        <v>2686.2</v>
      </c>
      <c r="G6811">
        <f>IF(LEFT(B6811,1)="C","Credit","Factuur")</f>
        <v/>
      </c>
      <c r="H6811">
        <f>IF(AND(B6811=B6810,D6811=D6810,A6811=A6810,F6811=F6810),1,0)</f>
        <v/>
      </c>
      <c r="I6811">
        <f>IF(C6811="C99999",1,0)</f>
        <v/>
      </c>
      <c r="J6811" s="5">
        <f>IF(OR(H6811=1,I6811=1),0,IF(G6811="Credit",-F6811,F6811))</f>
        <v/>
      </c>
    </row>
    <row r="6812">
      <c r="A6812" t="inlineStr">
        <is>
          <t>2026-09-04</t>
        </is>
      </c>
      <c r="B6812" t="inlineStr">
        <is>
          <t>F271698</t>
        </is>
      </c>
      <c r="C6812" t="inlineStr">
        <is>
          <t>C10601</t>
        </is>
      </c>
      <c r="D6812" t="inlineStr">
        <is>
          <t>SKU-10030</t>
        </is>
      </c>
      <c r="E6812" t="inlineStr">
        <is>
          <t>AM09</t>
        </is>
      </c>
      <c r="F6812" s="5" t="n">
        <v>5418.84</v>
      </c>
      <c r="G6812">
        <f>IF(LEFT(B6812,1)="C","Credit","Factuur")</f>
        <v/>
      </c>
      <c r="H6812">
        <f>IF(AND(B6812=B6811,D6812=D6811,A6812=A6811,F6812=F6811),1,0)</f>
        <v/>
      </c>
      <c r="I6812">
        <f>IF(C6812="C99999",1,0)</f>
        <v/>
      </c>
      <c r="J6812" s="5">
        <f>IF(OR(H6812=1,I6812=1),0,IF(G6812="Credit",-F6812,F6812))</f>
        <v/>
      </c>
    </row>
    <row r="6813">
      <c r="A6813" t="inlineStr">
        <is>
          <t>2026-09-04</t>
        </is>
      </c>
      <c r="B6813" t="inlineStr">
        <is>
          <t>F271698</t>
        </is>
      </c>
      <c r="C6813" t="inlineStr">
        <is>
          <t>C10601</t>
        </is>
      </c>
      <c r="D6813" t="inlineStr">
        <is>
          <t>SKU-10079</t>
        </is>
      </c>
      <c r="E6813" t="inlineStr">
        <is>
          <t>AM09</t>
        </is>
      </c>
      <c r="F6813" s="5" t="n">
        <v>5854.7</v>
      </c>
      <c r="G6813">
        <f>IF(LEFT(B6813,1)="C","Credit","Factuur")</f>
        <v/>
      </c>
      <c r="H6813">
        <f>IF(AND(B6813=B6812,D6813=D6812,A6813=A6812,F6813=F6812),1,0)</f>
        <v/>
      </c>
      <c r="I6813">
        <f>IF(C6813="C99999",1,0)</f>
        <v/>
      </c>
      <c r="J6813" s="5">
        <f>IF(OR(H6813=1,I6813=1),0,IF(G6813="Credit",-F6813,F6813))</f>
        <v/>
      </c>
    </row>
    <row r="6814">
      <c r="A6814" t="inlineStr">
        <is>
          <t>2026-09-04</t>
        </is>
      </c>
      <c r="B6814" t="inlineStr">
        <is>
          <t>F271698</t>
        </is>
      </c>
      <c r="C6814" t="inlineStr">
        <is>
          <t>C10601</t>
        </is>
      </c>
      <c r="D6814" t="inlineStr">
        <is>
          <t>SKU-10207</t>
        </is>
      </c>
      <c r="E6814" t="inlineStr">
        <is>
          <t>AM09</t>
        </is>
      </c>
      <c r="F6814" s="5" t="n">
        <v>6177.6</v>
      </c>
      <c r="G6814">
        <f>IF(LEFT(B6814,1)="C","Credit","Factuur")</f>
        <v/>
      </c>
      <c r="H6814">
        <f>IF(AND(B6814=B6813,D6814=D6813,A6814=A6813,F6814=F6813),1,0)</f>
        <v/>
      </c>
      <c r="I6814">
        <f>IF(C6814="C99999",1,0)</f>
        <v/>
      </c>
      <c r="J6814" s="5">
        <f>IF(OR(H6814=1,I6814=1),0,IF(G6814="Credit",-F6814,F6814))</f>
        <v/>
      </c>
    </row>
    <row r="6815">
      <c r="A6815" t="inlineStr">
        <is>
          <t>2026-09-04</t>
        </is>
      </c>
      <c r="B6815" t="inlineStr">
        <is>
          <t>F271701</t>
        </is>
      </c>
      <c r="C6815" t="inlineStr">
        <is>
          <t>C10601</t>
        </is>
      </c>
      <c r="D6815" t="inlineStr">
        <is>
          <t>SKU-10280</t>
        </is>
      </c>
      <c r="E6815" t="inlineStr">
        <is>
          <t>AM09</t>
        </is>
      </c>
      <c r="F6815" s="5" t="n">
        <v>15559.87</v>
      </c>
      <c r="G6815">
        <f>IF(LEFT(B6815,1)="C","Credit","Factuur")</f>
        <v/>
      </c>
      <c r="H6815">
        <f>IF(AND(B6815=B6814,D6815=D6814,A6815=A6814,F6815=F6814),1,0)</f>
        <v/>
      </c>
      <c r="I6815">
        <f>IF(C6815="C99999",1,0)</f>
        <v/>
      </c>
      <c r="J6815" s="5">
        <f>IF(OR(H6815=1,I6815=1),0,IF(G6815="Credit",-F6815,F6815))</f>
        <v/>
      </c>
    </row>
    <row r="6816">
      <c r="A6816" t="inlineStr">
        <is>
          <t>2026-09-04</t>
        </is>
      </c>
      <c r="B6816" t="inlineStr">
        <is>
          <t>F271754</t>
        </is>
      </c>
      <c r="C6816" t="inlineStr">
        <is>
          <t>C10603</t>
        </is>
      </c>
      <c r="D6816" t="inlineStr">
        <is>
          <t>SKU-10013</t>
        </is>
      </c>
      <c r="E6816" t="inlineStr">
        <is>
          <t>AM08</t>
        </is>
      </c>
      <c r="F6816" s="5" t="n">
        <v>300.88</v>
      </c>
      <c r="G6816">
        <f>IF(LEFT(B6816,1)="C","Credit","Factuur")</f>
        <v/>
      </c>
      <c r="H6816">
        <f>IF(AND(B6816=B6815,D6816=D6815,A6816=A6815,F6816=F6815),1,0)</f>
        <v/>
      </c>
      <c r="I6816">
        <f>IF(C6816="C99999",1,0)</f>
        <v/>
      </c>
      <c r="J6816" s="5">
        <f>IF(OR(H6816=1,I6816=1),0,IF(G6816="Credit",-F6816,F6816))</f>
        <v/>
      </c>
    </row>
    <row r="6817">
      <c r="A6817" t="inlineStr">
        <is>
          <t>2026-09-04</t>
        </is>
      </c>
      <c r="B6817" t="inlineStr">
        <is>
          <t>F271754</t>
        </is>
      </c>
      <c r="C6817" t="inlineStr">
        <is>
          <t>C10603</t>
        </is>
      </c>
      <c r="D6817" t="inlineStr">
        <is>
          <t>SKU-10038</t>
        </is>
      </c>
      <c r="E6817" t="inlineStr">
        <is>
          <t>AM08</t>
        </is>
      </c>
      <c r="F6817" s="5" t="n">
        <v>288.09</v>
      </c>
      <c r="G6817">
        <f>IF(LEFT(B6817,1)="C","Credit","Factuur")</f>
        <v/>
      </c>
      <c r="H6817">
        <f>IF(AND(B6817=B6816,D6817=D6816,A6817=A6816,F6817=F6816),1,0)</f>
        <v/>
      </c>
      <c r="I6817">
        <f>IF(C6817="C99999",1,0)</f>
        <v/>
      </c>
      <c r="J6817" s="5">
        <f>IF(OR(H6817=1,I6817=1),0,IF(G6817="Credit",-F6817,F6817))</f>
        <v/>
      </c>
    </row>
    <row r="6818">
      <c r="A6818" t="inlineStr">
        <is>
          <t>2026-09-04</t>
        </is>
      </c>
      <c r="B6818" t="inlineStr">
        <is>
          <t>F271754</t>
        </is>
      </c>
      <c r="C6818" t="inlineStr">
        <is>
          <t>C10603</t>
        </is>
      </c>
      <c r="D6818" t="inlineStr">
        <is>
          <t>SKU-10139</t>
        </is>
      </c>
      <c r="E6818" t="inlineStr">
        <is>
          <t>AM08</t>
        </is>
      </c>
      <c r="F6818" s="5" t="n">
        <v>293.5</v>
      </c>
      <c r="G6818">
        <f>IF(LEFT(B6818,1)="C","Credit","Factuur")</f>
        <v/>
      </c>
      <c r="H6818">
        <f>IF(AND(B6818=B6817,D6818=D6817,A6818=A6817,F6818=F6817),1,0)</f>
        <v/>
      </c>
      <c r="I6818">
        <f>IF(C6818="C99999",1,0)</f>
        <v/>
      </c>
      <c r="J6818" s="5">
        <f>IF(OR(H6818=1,I6818=1),0,IF(G6818="Credit",-F6818,F6818))</f>
        <v/>
      </c>
    </row>
    <row r="6819">
      <c r="A6819" t="inlineStr">
        <is>
          <t>2026-09-04</t>
        </is>
      </c>
      <c r="B6819" t="inlineStr">
        <is>
          <t>F271754</t>
        </is>
      </c>
      <c r="C6819" t="inlineStr">
        <is>
          <t>C10603</t>
        </is>
      </c>
      <c r="D6819" t="inlineStr">
        <is>
          <t>SKU-10382</t>
        </is>
      </c>
      <c r="E6819" t="inlineStr">
        <is>
          <t>AM08</t>
        </is>
      </c>
      <c r="F6819" s="5" t="n">
        <v>335.33</v>
      </c>
      <c r="G6819">
        <f>IF(LEFT(B6819,1)="C","Credit","Factuur")</f>
        <v/>
      </c>
      <c r="H6819">
        <f>IF(AND(B6819=B6818,D6819=D6818,A6819=A6818,F6819=F6818),1,0)</f>
        <v/>
      </c>
      <c r="I6819">
        <f>IF(C6819="C99999",1,0)</f>
        <v/>
      </c>
      <c r="J6819" s="5">
        <f>IF(OR(H6819=1,I6819=1),0,IF(G6819="Credit",-F6819,F6819))</f>
        <v/>
      </c>
    </row>
    <row r="6820">
      <c r="A6820" t="inlineStr">
        <is>
          <t>2026-09-04</t>
        </is>
      </c>
      <c r="B6820" t="inlineStr">
        <is>
          <t>F271875</t>
        </is>
      </c>
      <c r="C6820" t="inlineStr">
        <is>
          <t>C10612</t>
        </is>
      </c>
      <c r="D6820" t="inlineStr">
        <is>
          <t>SKU-10011</t>
        </is>
      </c>
      <c r="E6820" t="inlineStr">
        <is>
          <t>AM11</t>
        </is>
      </c>
      <c r="F6820" s="5" t="n">
        <v>389.76</v>
      </c>
      <c r="G6820">
        <f>IF(LEFT(B6820,1)="C","Credit","Factuur")</f>
        <v/>
      </c>
      <c r="H6820">
        <f>IF(AND(B6820=B6819,D6820=D6819,A6820=A6819,F6820=F6819),1,0)</f>
        <v/>
      </c>
      <c r="I6820">
        <f>IF(C6820="C99999",1,0)</f>
        <v/>
      </c>
      <c r="J6820" s="5">
        <f>IF(OR(H6820=1,I6820=1),0,IF(G6820="Credit",-F6820,F6820))</f>
        <v/>
      </c>
    </row>
    <row r="6821">
      <c r="A6821" t="inlineStr">
        <is>
          <t>2026-09-04</t>
        </is>
      </c>
      <c r="B6821" t="inlineStr">
        <is>
          <t>F271875</t>
        </is>
      </c>
      <c r="C6821" t="inlineStr">
        <is>
          <t>C10612</t>
        </is>
      </c>
      <c r="D6821" t="inlineStr">
        <is>
          <t>SKU-10013</t>
        </is>
      </c>
      <c r="E6821" t="inlineStr">
        <is>
          <t>AM11</t>
        </is>
      </c>
      <c r="F6821" s="5" t="n">
        <v>376.1</v>
      </c>
      <c r="G6821">
        <f>IF(LEFT(B6821,1)="C","Credit","Factuur")</f>
        <v/>
      </c>
      <c r="H6821">
        <f>IF(AND(B6821=B6820,D6821=D6820,A6821=A6820,F6821=F6820),1,0)</f>
        <v/>
      </c>
      <c r="I6821">
        <f>IF(C6821="C99999",1,0)</f>
        <v/>
      </c>
      <c r="J6821" s="5">
        <f>IF(OR(H6821=1,I6821=1),0,IF(G6821="Credit",-F6821,F6821))</f>
        <v/>
      </c>
    </row>
    <row r="6822">
      <c r="A6822" t="inlineStr">
        <is>
          <t>2026-09-04</t>
        </is>
      </c>
      <c r="B6822" t="inlineStr">
        <is>
          <t>F271875</t>
        </is>
      </c>
      <c r="C6822" t="inlineStr">
        <is>
          <t>C10612</t>
        </is>
      </c>
      <c r="D6822" t="inlineStr">
        <is>
          <t>SKU-10234</t>
        </is>
      </c>
      <c r="E6822" t="inlineStr">
        <is>
          <t>AM11</t>
        </is>
      </c>
      <c r="F6822" s="5" t="n">
        <v>381.6</v>
      </c>
      <c r="G6822">
        <f>IF(LEFT(B6822,1)="C","Credit","Factuur")</f>
        <v/>
      </c>
      <c r="H6822">
        <f>IF(AND(B6822=B6821,D6822=D6821,A6822=A6821,F6822=F6821),1,0)</f>
        <v/>
      </c>
      <c r="I6822">
        <f>IF(C6822="C99999",1,0)</f>
        <v/>
      </c>
      <c r="J6822" s="5">
        <f>IF(OR(H6822=1,I6822=1),0,IF(G6822="Credit",-F6822,F6822))</f>
        <v/>
      </c>
    </row>
    <row r="6823">
      <c r="A6823" t="inlineStr">
        <is>
          <t>2026-09-04</t>
        </is>
      </c>
      <c r="B6823" t="inlineStr">
        <is>
          <t>F271875</t>
        </is>
      </c>
      <c r="C6823" t="inlineStr">
        <is>
          <t>C10612</t>
        </is>
      </c>
      <c r="D6823" t="inlineStr">
        <is>
          <t>SKU-10280</t>
        </is>
      </c>
      <c r="E6823" t="inlineStr">
        <is>
          <t>AM11</t>
        </is>
      </c>
      <c r="F6823" s="5" t="n">
        <v>370.02</v>
      </c>
      <c r="G6823">
        <f>IF(LEFT(B6823,1)="C","Credit","Factuur")</f>
        <v/>
      </c>
      <c r="H6823">
        <f>IF(AND(B6823=B6822,D6823=D6822,A6823=A6822,F6823=F6822),1,0)</f>
        <v/>
      </c>
      <c r="I6823">
        <f>IF(C6823="C99999",1,0)</f>
        <v/>
      </c>
      <c r="J6823" s="5">
        <f>IF(OR(H6823=1,I6823=1),0,IF(G6823="Credit",-F6823,F6823))</f>
        <v/>
      </c>
    </row>
    <row r="6824">
      <c r="A6824" t="inlineStr">
        <is>
          <t>2026-09-04</t>
        </is>
      </c>
      <c r="B6824" t="inlineStr">
        <is>
          <t>F272040</t>
        </is>
      </c>
      <c r="C6824" t="inlineStr">
        <is>
          <t>C10621</t>
        </is>
      </c>
      <c r="D6824" t="inlineStr">
        <is>
          <t>SKU-10017</t>
        </is>
      </c>
      <c r="E6824" t="inlineStr">
        <is>
          <t>AM09</t>
        </is>
      </c>
      <c r="F6824" s="5" t="n">
        <v>2641.8</v>
      </c>
      <c r="G6824">
        <f>IF(LEFT(B6824,1)="C","Credit","Factuur")</f>
        <v/>
      </c>
      <c r="H6824">
        <f>IF(AND(B6824=B6823,D6824=D6823,A6824=A6823,F6824=F6823),1,0)</f>
        <v/>
      </c>
      <c r="I6824">
        <f>IF(C6824="C99999",1,0)</f>
        <v/>
      </c>
      <c r="J6824" s="5">
        <f>IF(OR(H6824=1,I6824=1),0,IF(G6824="Credit",-F6824,F6824))</f>
        <v/>
      </c>
    </row>
    <row r="6825">
      <c r="A6825" t="inlineStr">
        <is>
          <t>2026-09-04</t>
        </is>
      </c>
      <c r="B6825" t="inlineStr">
        <is>
          <t>F272040</t>
        </is>
      </c>
      <c r="C6825" t="inlineStr">
        <is>
          <t>C10621</t>
        </is>
      </c>
      <c r="D6825" t="inlineStr">
        <is>
          <t>SKU-10242</t>
        </is>
      </c>
      <c r="E6825" t="inlineStr">
        <is>
          <t>AM09</t>
        </is>
      </c>
      <c r="F6825" s="5" t="n">
        <v>2640</v>
      </c>
      <c r="G6825">
        <f>IF(LEFT(B6825,1)="C","Credit","Factuur")</f>
        <v/>
      </c>
      <c r="H6825">
        <f>IF(AND(B6825=B6824,D6825=D6824,A6825=A6824,F6825=F6824),1,0)</f>
        <v/>
      </c>
      <c r="I6825">
        <f>IF(C6825="C99999",1,0)</f>
        <v/>
      </c>
      <c r="J6825" s="5">
        <f>IF(OR(H6825=1,I6825=1),0,IF(G6825="Credit",-F6825,F6825))</f>
        <v/>
      </c>
    </row>
    <row r="6826">
      <c r="A6826" t="inlineStr">
        <is>
          <t>2026-09-04</t>
        </is>
      </c>
      <c r="B6826" t="inlineStr">
        <is>
          <t>F272040</t>
        </is>
      </c>
      <c r="C6826" t="inlineStr">
        <is>
          <t>C10621</t>
        </is>
      </c>
      <c r="D6826" t="inlineStr">
        <is>
          <t>SKU-10340</t>
        </is>
      </c>
      <c r="E6826" t="inlineStr">
        <is>
          <t>AM09</t>
        </is>
      </c>
      <c r="F6826" s="5" t="n">
        <v>2631.92</v>
      </c>
      <c r="G6826">
        <f>IF(LEFT(B6826,1)="C","Credit","Factuur")</f>
        <v/>
      </c>
      <c r="H6826">
        <f>IF(AND(B6826=B6825,D6826=D6825,A6826=A6825,F6826=F6825),1,0)</f>
        <v/>
      </c>
      <c r="I6826">
        <f>IF(C6826="C99999",1,0)</f>
        <v/>
      </c>
      <c r="J6826" s="5">
        <f>IF(OR(H6826=1,I6826=1),0,IF(G6826="Credit",-F6826,F6826))</f>
        <v/>
      </c>
    </row>
    <row r="6827">
      <c r="A6827" t="inlineStr">
        <is>
          <t>2026-09-04</t>
        </is>
      </c>
      <c r="B6827" t="inlineStr">
        <is>
          <t>F272040</t>
        </is>
      </c>
      <c r="C6827" t="inlineStr">
        <is>
          <t>C10621</t>
        </is>
      </c>
      <c r="D6827" t="inlineStr">
        <is>
          <t>SKU-10370</t>
        </is>
      </c>
      <c r="E6827" t="inlineStr">
        <is>
          <t>AM09</t>
        </is>
      </c>
      <c r="F6827" s="5" t="n">
        <v>2524.47</v>
      </c>
      <c r="G6827">
        <f>IF(LEFT(B6827,1)="C","Credit","Factuur")</f>
        <v/>
      </c>
      <c r="H6827">
        <f>IF(AND(B6827=B6826,D6827=D6826,A6827=A6826,F6827=F6826),1,0)</f>
        <v/>
      </c>
      <c r="I6827">
        <f>IF(C6827="C99999",1,0)</f>
        <v/>
      </c>
      <c r="J6827" s="5">
        <f>IF(OR(H6827=1,I6827=1),0,IF(G6827="Credit",-F6827,F6827))</f>
        <v/>
      </c>
    </row>
    <row r="6828">
      <c r="A6828" t="inlineStr">
        <is>
          <t>2026-09-04</t>
        </is>
      </c>
      <c r="B6828" t="inlineStr">
        <is>
          <t>F272197</t>
        </is>
      </c>
      <c r="C6828" t="inlineStr">
        <is>
          <t>C10632</t>
        </is>
      </c>
      <c r="D6828" t="inlineStr">
        <is>
          <t>SKU-10012</t>
        </is>
      </c>
      <c r="E6828" t="inlineStr">
        <is>
          <t>AM08</t>
        </is>
      </c>
      <c r="F6828" s="5" t="n">
        <v>181.89</v>
      </c>
      <c r="G6828">
        <f>IF(LEFT(B6828,1)="C","Credit","Factuur")</f>
        <v/>
      </c>
      <c r="H6828">
        <f>IF(AND(B6828=B6827,D6828=D6827,A6828=A6827,F6828=F6827),1,0)</f>
        <v/>
      </c>
      <c r="I6828">
        <f>IF(C6828="C99999",1,0)</f>
        <v/>
      </c>
      <c r="J6828" s="5">
        <f>IF(OR(H6828=1,I6828=1),0,IF(G6828="Credit",-F6828,F6828))</f>
        <v/>
      </c>
    </row>
    <row r="6829">
      <c r="A6829" t="inlineStr">
        <is>
          <t>2026-09-04</t>
        </is>
      </c>
      <c r="B6829" t="inlineStr">
        <is>
          <t>F272197</t>
        </is>
      </c>
      <c r="C6829" t="inlineStr">
        <is>
          <t>C10632</t>
        </is>
      </c>
      <c r="D6829" t="inlineStr">
        <is>
          <t>SKU-10021</t>
        </is>
      </c>
      <c r="E6829" t="inlineStr">
        <is>
          <t>AM08</t>
        </is>
      </c>
      <c r="F6829" s="5" t="n">
        <v>151.75</v>
      </c>
      <c r="G6829">
        <f>IF(LEFT(B6829,1)="C","Credit","Factuur")</f>
        <v/>
      </c>
      <c r="H6829">
        <f>IF(AND(B6829=B6828,D6829=D6828,A6829=A6828,F6829=F6828),1,0)</f>
        <v/>
      </c>
      <c r="I6829">
        <f>IF(C6829="C99999",1,0)</f>
        <v/>
      </c>
      <c r="J6829" s="5">
        <f>IF(OR(H6829=1,I6829=1),0,IF(G6829="Credit",-F6829,F6829))</f>
        <v/>
      </c>
    </row>
    <row r="6830">
      <c r="A6830" t="inlineStr">
        <is>
          <t>2026-09-04</t>
        </is>
      </c>
      <c r="B6830" t="inlineStr">
        <is>
          <t>F272197</t>
        </is>
      </c>
      <c r="C6830" t="inlineStr">
        <is>
          <t>C10632</t>
        </is>
      </c>
      <c r="D6830" t="inlineStr">
        <is>
          <t>SKU-10216</t>
        </is>
      </c>
      <c r="E6830" t="inlineStr">
        <is>
          <t>AM08</t>
        </is>
      </c>
      <c r="F6830" s="5" t="n">
        <v>144.41</v>
      </c>
      <c r="G6830">
        <f>IF(LEFT(B6830,1)="C","Credit","Factuur")</f>
        <v/>
      </c>
      <c r="H6830">
        <f>IF(AND(B6830=B6829,D6830=D6829,A6830=A6829,F6830=F6829),1,0)</f>
        <v/>
      </c>
      <c r="I6830">
        <f>IF(C6830="C99999",1,0)</f>
        <v/>
      </c>
      <c r="J6830" s="5">
        <f>IF(OR(H6830=1,I6830=1),0,IF(G6830="Credit",-F6830,F6830))</f>
        <v/>
      </c>
    </row>
    <row r="6831">
      <c r="A6831" t="inlineStr">
        <is>
          <t>2026-09-04</t>
        </is>
      </c>
      <c r="B6831" t="inlineStr">
        <is>
          <t>F272197</t>
        </is>
      </c>
      <c r="C6831" t="inlineStr">
        <is>
          <t>C10632</t>
        </is>
      </c>
      <c r="D6831" t="inlineStr">
        <is>
          <t>SKU-10300</t>
        </is>
      </c>
      <c r="E6831" t="inlineStr">
        <is>
          <t>AM08</t>
        </is>
      </c>
      <c r="F6831" s="5" t="n">
        <v>176.18</v>
      </c>
      <c r="G6831">
        <f>IF(LEFT(B6831,1)="C","Credit","Factuur")</f>
        <v/>
      </c>
      <c r="H6831">
        <f>IF(AND(B6831=B6830,D6831=D6830,A6831=A6830,F6831=F6830),1,0)</f>
        <v/>
      </c>
      <c r="I6831">
        <f>IF(C6831="C99999",1,0)</f>
        <v/>
      </c>
      <c r="J6831" s="5">
        <f>IF(OR(H6831=1,I6831=1),0,IF(G6831="Credit",-F6831,F6831))</f>
        <v/>
      </c>
    </row>
    <row r="6832">
      <c r="A6832" t="inlineStr">
        <is>
          <t>2026-09-04</t>
        </is>
      </c>
      <c r="B6832" t="inlineStr">
        <is>
          <t>F272274</t>
        </is>
      </c>
      <c r="C6832" t="inlineStr">
        <is>
          <t>C10636</t>
        </is>
      </c>
      <c r="D6832" t="inlineStr">
        <is>
          <t>SKU-10024</t>
        </is>
      </c>
      <c r="E6832" t="inlineStr">
        <is>
          <t>AM02</t>
        </is>
      </c>
      <c r="F6832" s="5" t="n">
        <v>4542.08</v>
      </c>
      <c r="G6832">
        <f>IF(LEFT(B6832,1)="C","Credit","Factuur")</f>
        <v/>
      </c>
      <c r="H6832">
        <f>IF(AND(B6832=B6831,D6832=D6831,A6832=A6831,F6832=F6831),1,0)</f>
        <v/>
      </c>
      <c r="I6832">
        <f>IF(C6832="C99999",1,0)</f>
        <v/>
      </c>
      <c r="J6832" s="5">
        <f>IF(OR(H6832=1,I6832=1),0,IF(G6832="Credit",-F6832,F6832))</f>
        <v/>
      </c>
    </row>
    <row r="6833">
      <c r="A6833" t="inlineStr">
        <is>
          <t>2026-09-04</t>
        </is>
      </c>
      <c r="B6833" t="inlineStr">
        <is>
          <t>F272676</t>
        </is>
      </c>
      <c r="C6833" t="inlineStr">
        <is>
          <t>C10661</t>
        </is>
      </c>
      <c r="D6833" t="inlineStr">
        <is>
          <t>SKU-10066</t>
        </is>
      </c>
      <c r="E6833" t="inlineStr">
        <is>
          <t>AM03</t>
        </is>
      </c>
      <c r="F6833" s="5" t="n">
        <v>392.54</v>
      </c>
      <c r="G6833">
        <f>IF(LEFT(B6833,1)="C","Credit","Factuur")</f>
        <v/>
      </c>
      <c r="H6833">
        <f>IF(AND(B6833=B6832,D6833=D6832,A6833=A6832,F6833=F6832),1,0)</f>
        <v/>
      </c>
      <c r="I6833">
        <f>IF(C6833="C99999",1,0)</f>
        <v/>
      </c>
      <c r="J6833" s="5">
        <f>IF(OR(H6833=1,I6833=1),0,IF(G6833="Credit",-F6833,F6833))</f>
        <v/>
      </c>
    </row>
    <row r="6834">
      <c r="A6834" t="inlineStr">
        <is>
          <t>2026-09-04</t>
        </is>
      </c>
      <c r="B6834" t="inlineStr">
        <is>
          <t>F272676</t>
        </is>
      </c>
      <c r="C6834" t="inlineStr">
        <is>
          <t>C10661</t>
        </is>
      </c>
      <c r="D6834" t="inlineStr">
        <is>
          <t>SKU-10091</t>
        </is>
      </c>
      <c r="E6834" t="inlineStr">
        <is>
          <t>AM03</t>
        </is>
      </c>
      <c r="F6834" s="5" t="n">
        <v>469.72</v>
      </c>
      <c r="G6834">
        <f>IF(LEFT(B6834,1)="C","Credit","Factuur")</f>
        <v/>
      </c>
      <c r="H6834">
        <f>IF(AND(B6834=B6833,D6834=D6833,A6834=A6833,F6834=F6833),1,0)</f>
        <v/>
      </c>
      <c r="I6834">
        <f>IF(C6834="C99999",1,0)</f>
        <v/>
      </c>
      <c r="J6834" s="5">
        <f>IF(OR(H6834=1,I6834=1),0,IF(G6834="Credit",-F6834,F6834))</f>
        <v/>
      </c>
    </row>
    <row r="6835">
      <c r="A6835" t="inlineStr">
        <is>
          <t>2026-09-04</t>
        </is>
      </c>
      <c r="B6835" t="inlineStr">
        <is>
          <t>F272676</t>
        </is>
      </c>
      <c r="C6835" t="inlineStr">
        <is>
          <t>C10661</t>
        </is>
      </c>
      <c r="D6835" t="inlineStr">
        <is>
          <t>SKU-10200</t>
        </is>
      </c>
      <c r="E6835" t="inlineStr">
        <is>
          <t>AM03</t>
        </is>
      </c>
      <c r="F6835" s="5" t="n">
        <v>376.99</v>
      </c>
      <c r="G6835">
        <f>IF(LEFT(B6835,1)="C","Credit","Factuur")</f>
        <v/>
      </c>
      <c r="H6835">
        <f>IF(AND(B6835=B6834,D6835=D6834,A6835=A6834,F6835=F6834),1,0)</f>
        <v/>
      </c>
      <c r="I6835">
        <f>IF(C6835="C99999",1,0)</f>
        <v/>
      </c>
      <c r="J6835" s="5">
        <f>IF(OR(H6835=1,I6835=1),0,IF(G6835="Credit",-F6835,F6835))</f>
        <v/>
      </c>
    </row>
    <row r="6836">
      <c r="A6836" t="inlineStr">
        <is>
          <t>2026-09-04</t>
        </is>
      </c>
      <c r="B6836" t="inlineStr">
        <is>
          <t>F272676</t>
        </is>
      </c>
      <c r="C6836" t="inlineStr">
        <is>
          <t>C10661</t>
        </is>
      </c>
      <c r="D6836" t="inlineStr">
        <is>
          <t>SKU-10270</t>
        </is>
      </c>
      <c r="E6836" t="inlineStr">
        <is>
          <t>AM03</t>
        </is>
      </c>
      <c r="F6836" s="5" t="n">
        <v>432.8</v>
      </c>
      <c r="G6836">
        <f>IF(LEFT(B6836,1)="C","Credit","Factuur")</f>
        <v/>
      </c>
      <c r="H6836">
        <f>IF(AND(B6836=B6835,D6836=D6835,A6836=A6835,F6836=F6835),1,0)</f>
        <v/>
      </c>
      <c r="I6836">
        <f>IF(C6836="C99999",1,0)</f>
        <v/>
      </c>
      <c r="J6836" s="5">
        <f>IF(OR(H6836=1,I6836=1),0,IF(G6836="Credit",-F6836,F6836))</f>
        <v/>
      </c>
    </row>
    <row r="6837">
      <c r="A6837" t="inlineStr">
        <is>
          <t>2026-09-04</t>
        </is>
      </c>
      <c r="B6837" t="inlineStr">
        <is>
          <t>F272676</t>
        </is>
      </c>
      <c r="C6837" t="inlineStr">
        <is>
          <t>C10661</t>
        </is>
      </c>
      <c r="D6837" t="inlineStr">
        <is>
          <t>SKU-10368</t>
        </is>
      </c>
      <c r="E6837" t="inlineStr">
        <is>
          <t>AM03</t>
        </is>
      </c>
      <c r="F6837" s="5" t="n">
        <v>547.48</v>
      </c>
      <c r="G6837">
        <f>IF(LEFT(B6837,1)="C","Credit","Factuur")</f>
        <v/>
      </c>
      <c r="H6837">
        <f>IF(AND(B6837=B6836,D6837=D6836,A6837=A6836,F6837=F6836),1,0)</f>
        <v/>
      </c>
      <c r="I6837">
        <f>IF(C6837="C99999",1,0)</f>
        <v/>
      </c>
      <c r="J6837" s="5">
        <f>IF(OR(H6837=1,I6837=1),0,IF(G6837="Credit",-F6837,F6837))</f>
        <v/>
      </c>
    </row>
    <row r="6838">
      <c r="A6838" t="inlineStr">
        <is>
          <t>2026-09-04</t>
        </is>
      </c>
      <c r="B6838" t="inlineStr">
        <is>
          <t>F272962</t>
        </is>
      </c>
      <c r="C6838" t="inlineStr">
        <is>
          <t>C10675</t>
        </is>
      </c>
      <c r="D6838" t="inlineStr">
        <is>
          <t>SKU-10020</t>
        </is>
      </c>
      <c r="E6838" t="inlineStr">
        <is>
          <t>AM05</t>
        </is>
      </c>
      <c r="F6838" s="5" t="n">
        <v>265.2</v>
      </c>
      <c r="G6838">
        <f>IF(LEFT(B6838,1)="C","Credit","Factuur")</f>
        <v/>
      </c>
      <c r="H6838">
        <f>IF(AND(B6838=B6837,D6838=D6837,A6838=A6837,F6838=F6837),1,0)</f>
        <v/>
      </c>
      <c r="I6838">
        <f>IF(C6838="C99999",1,0)</f>
        <v/>
      </c>
      <c r="J6838" s="5">
        <f>IF(OR(H6838=1,I6838=1),0,IF(G6838="Credit",-F6838,F6838))</f>
        <v/>
      </c>
    </row>
    <row r="6839">
      <c r="A6839" t="inlineStr">
        <is>
          <t>2026-09-04</t>
        </is>
      </c>
      <c r="B6839" t="inlineStr">
        <is>
          <t>F272962</t>
        </is>
      </c>
      <c r="C6839" t="inlineStr">
        <is>
          <t>C10675</t>
        </is>
      </c>
      <c r="D6839" t="inlineStr">
        <is>
          <t>SKU-10074</t>
        </is>
      </c>
      <c r="E6839" t="inlineStr">
        <is>
          <t>AM05</t>
        </is>
      </c>
      <c r="F6839" s="5" t="n">
        <v>265.95</v>
      </c>
      <c r="G6839">
        <f>IF(LEFT(B6839,1)="C","Credit","Factuur")</f>
        <v/>
      </c>
      <c r="H6839">
        <f>IF(AND(B6839=B6838,D6839=D6838,A6839=A6838,F6839=F6838),1,0)</f>
        <v/>
      </c>
      <c r="I6839">
        <f>IF(C6839="C99999",1,0)</f>
        <v/>
      </c>
      <c r="J6839" s="5">
        <f>IF(OR(H6839=1,I6839=1),0,IF(G6839="Credit",-F6839,F6839))</f>
        <v/>
      </c>
    </row>
    <row r="6840">
      <c r="A6840" t="inlineStr">
        <is>
          <t>2026-09-04</t>
        </is>
      </c>
      <c r="B6840" t="inlineStr">
        <is>
          <t>F273059</t>
        </is>
      </c>
      <c r="C6840" t="inlineStr">
        <is>
          <t>C10683</t>
        </is>
      </c>
      <c r="D6840" t="inlineStr">
        <is>
          <t>SKU-10068</t>
        </is>
      </c>
      <c r="E6840" t="inlineStr">
        <is>
          <t>AM05</t>
        </is>
      </c>
      <c r="F6840" s="5" t="n">
        <v>936.54</v>
      </c>
      <c r="G6840">
        <f>IF(LEFT(B6840,1)="C","Credit","Factuur")</f>
        <v/>
      </c>
      <c r="H6840">
        <f>IF(AND(B6840=B6839,D6840=D6839,A6840=A6839,F6840=F6839),1,0)</f>
        <v/>
      </c>
      <c r="I6840">
        <f>IF(C6840="C99999",1,0)</f>
        <v/>
      </c>
      <c r="J6840" s="5">
        <f>IF(OR(H6840=1,I6840=1),0,IF(G6840="Credit",-F6840,F6840))</f>
        <v/>
      </c>
    </row>
    <row r="6841">
      <c r="A6841" t="inlineStr">
        <is>
          <t>2026-09-04</t>
        </is>
      </c>
      <c r="B6841" t="inlineStr">
        <is>
          <t>F273059</t>
        </is>
      </c>
      <c r="C6841" t="inlineStr">
        <is>
          <t>C10683</t>
        </is>
      </c>
      <c r="D6841" t="inlineStr">
        <is>
          <t>SKU-10288</t>
        </is>
      </c>
      <c r="E6841" t="inlineStr">
        <is>
          <t>AM05</t>
        </is>
      </c>
      <c r="F6841" s="5" t="n">
        <v>932.9299999999999</v>
      </c>
      <c r="G6841">
        <f>IF(LEFT(B6841,1)="C","Credit","Factuur")</f>
        <v/>
      </c>
      <c r="H6841">
        <f>IF(AND(B6841=B6840,D6841=D6840,A6841=A6840,F6841=F6840),1,0)</f>
        <v/>
      </c>
      <c r="I6841">
        <f>IF(C6841="C99999",1,0)</f>
        <v/>
      </c>
      <c r="J6841" s="5">
        <f>IF(OR(H6841=1,I6841=1),0,IF(G6841="Credit",-F6841,F6841))</f>
        <v/>
      </c>
    </row>
    <row r="6842">
      <c r="A6842" t="inlineStr">
        <is>
          <t>2026-09-04</t>
        </is>
      </c>
      <c r="B6842" t="inlineStr">
        <is>
          <t>F273191</t>
        </is>
      </c>
      <c r="C6842" t="inlineStr">
        <is>
          <t>C10688</t>
        </is>
      </c>
      <c r="D6842" t="inlineStr">
        <is>
          <t>SKU-10245</t>
        </is>
      </c>
      <c r="E6842" t="inlineStr">
        <is>
          <t>AM03</t>
        </is>
      </c>
      <c r="F6842" s="5" t="n">
        <v>83.59999999999999</v>
      </c>
      <c r="G6842">
        <f>IF(LEFT(B6842,1)="C","Credit","Factuur")</f>
        <v/>
      </c>
      <c r="H6842">
        <f>IF(AND(B6842=B6841,D6842=D6841,A6842=A6841,F6842=F6841),1,0)</f>
        <v/>
      </c>
      <c r="I6842">
        <f>IF(C6842="C99999",1,0)</f>
        <v/>
      </c>
      <c r="J6842" s="5">
        <f>IF(OR(H6842=1,I6842=1),0,IF(G6842="Credit",-F6842,F6842))</f>
        <v/>
      </c>
    </row>
    <row r="6843">
      <c r="A6843" t="inlineStr">
        <is>
          <t>2026-09-04</t>
        </is>
      </c>
      <c r="B6843" t="inlineStr">
        <is>
          <t>F273191</t>
        </is>
      </c>
      <c r="C6843" t="inlineStr">
        <is>
          <t>C10688</t>
        </is>
      </c>
      <c r="D6843" t="inlineStr">
        <is>
          <t>SKU-10278</t>
        </is>
      </c>
      <c r="E6843" t="inlineStr">
        <is>
          <t>AM03</t>
        </is>
      </c>
      <c r="F6843" s="5" t="n">
        <v>79.88</v>
      </c>
      <c r="G6843">
        <f>IF(LEFT(B6843,1)="C","Credit","Factuur")</f>
        <v/>
      </c>
      <c r="H6843">
        <f>IF(AND(B6843=B6842,D6843=D6842,A6843=A6842,F6843=F6842),1,0)</f>
        <v/>
      </c>
      <c r="I6843">
        <f>IF(C6843="C99999",1,0)</f>
        <v/>
      </c>
      <c r="J6843" s="5">
        <f>IF(OR(H6843=1,I6843=1),0,IF(G6843="Credit",-F6843,F6843))</f>
        <v/>
      </c>
    </row>
    <row r="6844">
      <c r="A6844" t="inlineStr">
        <is>
          <t>2026-09-04</t>
        </is>
      </c>
      <c r="B6844" t="inlineStr">
        <is>
          <t>F273191</t>
        </is>
      </c>
      <c r="C6844" t="inlineStr">
        <is>
          <t>C10688</t>
        </is>
      </c>
      <c r="D6844" t="inlineStr">
        <is>
          <t>SKU-10279</t>
        </is>
      </c>
      <c r="E6844" t="inlineStr">
        <is>
          <t>AM03</t>
        </is>
      </c>
      <c r="F6844" s="5" t="n">
        <v>82.90000000000001</v>
      </c>
      <c r="G6844">
        <f>IF(LEFT(B6844,1)="C","Credit","Factuur")</f>
        <v/>
      </c>
      <c r="H6844">
        <f>IF(AND(B6844=B6843,D6844=D6843,A6844=A6843,F6844=F6843),1,0)</f>
        <v/>
      </c>
      <c r="I6844">
        <f>IF(C6844="C99999",1,0)</f>
        <v/>
      </c>
      <c r="J6844" s="5">
        <f>IF(OR(H6844=1,I6844=1),0,IF(G6844="Credit",-F6844,F6844))</f>
        <v/>
      </c>
    </row>
    <row r="6845">
      <c r="A6845" t="inlineStr">
        <is>
          <t>2026-09-04</t>
        </is>
      </c>
      <c r="B6845" t="inlineStr">
        <is>
          <t>F273191</t>
        </is>
      </c>
      <c r="C6845" t="inlineStr">
        <is>
          <t>C10688</t>
        </is>
      </c>
      <c r="D6845" t="inlineStr">
        <is>
          <t>SKU-10373</t>
        </is>
      </c>
      <c r="E6845" t="inlineStr">
        <is>
          <t>AM03</t>
        </is>
      </c>
      <c r="F6845" s="5" t="n">
        <v>323.17</v>
      </c>
      <c r="G6845">
        <f>IF(LEFT(B6845,1)="C","Credit","Factuur")</f>
        <v/>
      </c>
      <c r="H6845">
        <f>IF(AND(B6845=B6844,D6845=D6844,A6845=A6844,F6845=F6844),1,0)</f>
        <v/>
      </c>
      <c r="I6845">
        <f>IF(C6845="C99999",1,0)</f>
        <v/>
      </c>
      <c r="J6845" s="5">
        <f>IF(OR(H6845=1,I6845=1),0,IF(G6845="Credit",-F6845,F6845))</f>
        <v/>
      </c>
    </row>
    <row r="6846">
      <c r="A6846" t="inlineStr">
        <is>
          <t>2026-09-04</t>
        </is>
      </c>
      <c r="B6846" t="inlineStr">
        <is>
          <t>F273463</t>
        </is>
      </c>
      <c r="C6846" t="inlineStr">
        <is>
          <t>C10704</t>
        </is>
      </c>
      <c r="D6846" t="inlineStr">
        <is>
          <t>SKU-10061</t>
        </is>
      </c>
      <c r="E6846" t="inlineStr">
        <is>
          <t>AM03</t>
        </is>
      </c>
      <c r="F6846" s="5" t="n">
        <v>287.28</v>
      </c>
      <c r="G6846">
        <f>IF(LEFT(B6846,1)="C","Credit","Factuur")</f>
        <v/>
      </c>
      <c r="H6846">
        <f>IF(AND(B6846=B6845,D6846=D6845,A6846=A6845,F6846=F6845),1,0)</f>
        <v/>
      </c>
      <c r="I6846">
        <f>IF(C6846="C99999",1,0)</f>
        <v/>
      </c>
      <c r="J6846" s="5">
        <f>IF(OR(H6846=1,I6846=1),0,IF(G6846="Credit",-F6846,F6846))</f>
        <v/>
      </c>
    </row>
    <row r="6847">
      <c r="A6847" t="inlineStr">
        <is>
          <t>2026-09-04</t>
        </is>
      </c>
      <c r="B6847" t="inlineStr">
        <is>
          <t>F273463</t>
        </is>
      </c>
      <c r="C6847" t="inlineStr">
        <is>
          <t>C10704</t>
        </is>
      </c>
      <c r="D6847" t="inlineStr">
        <is>
          <t>SKU-10130</t>
        </is>
      </c>
      <c r="E6847" t="inlineStr">
        <is>
          <t>AM03</t>
        </is>
      </c>
      <c r="F6847" s="5" t="n">
        <v>277.64</v>
      </c>
      <c r="G6847">
        <f>IF(LEFT(B6847,1)="C","Credit","Factuur")</f>
        <v/>
      </c>
      <c r="H6847">
        <f>IF(AND(B6847=B6846,D6847=D6846,A6847=A6846,F6847=F6846),1,0)</f>
        <v/>
      </c>
      <c r="I6847">
        <f>IF(C6847="C99999",1,0)</f>
        <v/>
      </c>
      <c r="J6847" s="5">
        <f>IF(OR(H6847=1,I6847=1),0,IF(G6847="Credit",-F6847,F6847))</f>
        <v/>
      </c>
    </row>
    <row r="6848">
      <c r="A6848" t="inlineStr">
        <is>
          <t>2026-09-04</t>
        </is>
      </c>
      <c r="B6848" t="inlineStr">
        <is>
          <t>F273463</t>
        </is>
      </c>
      <c r="C6848" t="inlineStr">
        <is>
          <t>C10704</t>
        </is>
      </c>
      <c r="D6848" t="inlineStr">
        <is>
          <t>SKU-10179</t>
        </is>
      </c>
      <c r="E6848" t="inlineStr">
        <is>
          <t>AM03</t>
        </is>
      </c>
      <c r="F6848" s="5" t="n">
        <v>273.68</v>
      </c>
      <c r="G6848">
        <f>IF(LEFT(B6848,1)="C","Credit","Factuur")</f>
        <v/>
      </c>
      <c r="H6848">
        <f>IF(AND(B6848=B6847,D6848=D6847,A6848=A6847,F6848=F6847),1,0)</f>
        <v/>
      </c>
      <c r="I6848">
        <f>IF(C6848="C99999",1,0)</f>
        <v/>
      </c>
      <c r="J6848" s="5">
        <f>IF(OR(H6848=1,I6848=1),0,IF(G6848="Credit",-F6848,F6848))</f>
        <v/>
      </c>
    </row>
    <row r="6849">
      <c r="A6849" t="inlineStr">
        <is>
          <t>2026-09-04</t>
        </is>
      </c>
      <c r="B6849" t="inlineStr">
        <is>
          <t>F273463</t>
        </is>
      </c>
      <c r="C6849" t="inlineStr">
        <is>
          <t>C10704</t>
        </is>
      </c>
      <c r="D6849" t="inlineStr">
        <is>
          <t>SKU-10299</t>
        </is>
      </c>
      <c r="E6849" t="inlineStr">
        <is>
          <t>AM03</t>
        </is>
      </c>
      <c r="F6849" s="5" t="n">
        <v>263.48</v>
      </c>
      <c r="G6849">
        <f>IF(LEFT(B6849,1)="C","Credit","Factuur")</f>
        <v/>
      </c>
      <c r="H6849">
        <f>IF(AND(B6849=B6848,D6849=D6848,A6849=A6848,F6849=F6848),1,0)</f>
        <v/>
      </c>
      <c r="I6849">
        <f>IF(C6849="C99999",1,0)</f>
        <v/>
      </c>
      <c r="J6849" s="5">
        <f>IF(OR(H6849=1,I6849=1),0,IF(G6849="Credit",-F6849,F6849))</f>
        <v/>
      </c>
    </row>
    <row r="6850">
      <c r="A6850" t="inlineStr">
        <is>
          <t>2026-09-04</t>
        </is>
      </c>
      <c r="B6850" t="inlineStr">
        <is>
          <t>F273463</t>
        </is>
      </c>
      <c r="C6850" t="inlineStr">
        <is>
          <t>C10704</t>
        </is>
      </c>
      <c r="D6850" t="inlineStr">
        <is>
          <t>SKU-10319</t>
        </is>
      </c>
      <c r="E6850" t="inlineStr">
        <is>
          <t>AM03</t>
        </is>
      </c>
      <c r="F6850" s="5" t="n">
        <v>260.46</v>
      </c>
      <c r="G6850">
        <f>IF(LEFT(B6850,1)="C","Credit","Factuur")</f>
        <v/>
      </c>
      <c r="H6850">
        <f>IF(AND(B6850=B6849,D6850=D6849,A6850=A6849,F6850=F6849),1,0)</f>
        <v/>
      </c>
      <c r="I6850">
        <f>IF(C6850="C99999",1,0)</f>
        <v/>
      </c>
      <c r="J6850" s="5">
        <f>IF(OR(H6850=1,I6850=1),0,IF(G6850="Credit",-F6850,F6850))</f>
        <v/>
      </c>
    </row>
    <row r="6851">
      <c r="A6851" t="inlineStr">
        <is>
          <t>2026-09-04</t>
        </is>
      </c>
      <c r="B6851" t="inlineStr">
        <is>
          <t>F273494</t>
        </is>
      </c>
      <c r="C6851" t="inlineStr">
        <is>
          <t>C10707</t>
        </is>
      </c>
      <c r="D6851" t="inlineStr">
        <is>
          <t>SKU-10046</t>
        </is>
      </c>
      <c r="E6851" t="inlineStr">
        <is>
          <t>AM12</t>
        </is>
      </c>
      <c r="F6851" s="5" t="n">
        <v>362.94</v>
      </c>
      <c r="G6851">
        <f>IF(LEFT(B6851,1)="C","Credit","Factuur")</f>
        <v/>
      </c>
      <c r="H6851">
        <f>IF(AND(B6851=B6850,D6851=D6850,A6851=A6850,F6851=F6850),1,0)</f>
        <v/>
      </c>
      <c r="I6851">
        <f>IF(C6851="C99999",1,0)</f>
        <v/>
      </c>
      <c r="J6851" s="5">
        <f>IF(OR(H6851=1,I6851=1),0,IF(G6851="Credit",-F6851,F6851))</f>
        <v/>
      </c>
    </row>
    <row r="6852">
      <c r="A6852" t="inlineStr">
        <is>
          <t>2026-09-04</t>
        </is>
      </c>
      <c r="B6852" t="inlineStr">
        <is>
          <t>F273494</t>
        </is>
      </c>
      <c r="C6852" t="inlineStr">
        <is>
          <t>C10707</t>
        </is>
      </c>
      <c r="D6852" t="inlineStr">
        <is>
          <t>SKU-10269</t>
        </is>
      </c>
      <c r="E6852" t="inlineStr">
        <is>
          <t>AM12</t>
        </is>
      </c>
      <c r="F6852" s="5" t="n">
        <v>360.75</v>
      </c>
      <c r="G6852">
        <f>IF(LEFT(B6852,1)="C","Credit","Factuur")</f>
        <v/>
      </c>
      <c r="H6852">
        <f>IF(AND(B6852=B6851,D6852=D6851,A6852=A6851,F6852=F6851),1,0)</f>
        <v/>
      </c>
      <c r="I6852">
        <f>IF(C6852="C99999",1,0)</f>
        <v/>
      </c>
      <c r="J6852" s="5">
        <f>IF(OR(H6852=1,I6852=1),0,IF(G6852="Credit",-F6852,F6852))</f>
        <v/>
      </c>
    </row>
    <row r="6853">
      <c r="A6853" t="inlineStr">
        <is>
          <t>2026-09-04</t>
        </is>
      </c>
      <c r="B6853" t="inlineStr">
        <is>
          <t>F273728</t>
        </is>
      </c>
      <c r="C6853" t="inlineStr">
        <is>
          <t>C10722</t>
        </is>
      </c>
      <c r="D6853" t="inlineStr">
        <is>
          <t>SKU-10268</t>
        </is>
      </c>
      <c r="E6853" t="inlineStr">
        <is>
          <t>AM11</t>
        </is>
      </c>
      <c r="F6853" s="5" t="n">
        <v>986.88</v>
      </c>
      <c r="G6853">
        <f>IF(LEFT(B6853,1)="C","Credit","Factuur")</f>
        <v/>
      </c>
      <c r="H6853">
        <f>IF(AND(B6853=B6852,D6853=D6852,A6853=A6852,F6853=F6852),1,0)</f>
        <v/>
      </c>
      <c r="I6853">
        <f>IF(C6853="C99999",1,0)</f>
        <v/>
      </c>
      <c r="J6853" s="5">
        <f>IF(OR(H6853=1,I6853=1),0,IF(G6853="Credit",-F6853,F6853))</f>
        <v/>
      </c>
    </row>
    <row r="6854">
      <c r="A6854" t="inlineStr">
        <is>
          <t>2026-09-04</t>
        </is>
      </c>
      <c r="B6854" t="inlineStr">
        <is>
          <t>F274171</t>
        </is>
      </c>
      <c r="C6854" t="inlineStr">
        <is>
          <t>C10750</t>
        </is>
      </c>
      <c r="D6854" t="inlineStr">
        <is>
          <t>SKU-10303</t>
        </is>
      </c>
      <c r="E6854" t="inlineStr">
        <is>
          <t>AM11</t>
        </is>
      </c>
      <c r="F6854" s="5" t="n">
        <v>1479.2</v>
      </c>
      <c r="G6854">
        <f>IF(LEFT(B6854,1)="C","Credit","Factuur")</f>
        <v/>
      </c>
      <c r="H6854">
        <f>IF(AND(B6854=B6853,D6854=D6853,A6854=A6853,F6854=F6853),1,0)</f>
        <v/>
      </c>
      <c r="I6854">
        <f>IF(C6854="C99999",1,0)</f>
        <v/>
      </c>
      <c r="J6854" s="5">
        <f>IF(OR(H6854=1,I6854=1),0,IF(G6854="Credit",-F6854,F6854))</f>
        <v/>
      </c>
    </row>
    <row r="6855">
      <c r="A6855" t="inlineStr">
        <is>
          <t>2026-09-04</t>
        </is>
      </c>
      <c r="B6855" t="inlineStr">
        <is>
          <t>F274171</t>
        </is>
      </c>
      <c r="C6855" t="inlineStr">
        <is>
          <t>C10750</t>
        </is>
      </c>
      <c r="D6855" t="inlineStr">
        <is>
          <t>SKU-10342</t>
        </is>
      </c>
      <c r="E6855" t="inlineStr">
        <is>
          <t>AM11</t>
        </is>
      </c>
      <c r="F6855" s="5" t="n">
        <v>1473.78</v>
      </c>
      <c r="G6855">
        <f>IF(LEFT(B6855,1)="C","Credit","Factuur")</f>
        <v/>
      </c>
      <c r="H6855">
        <f>IF(AND(B6855=B6854,D6855=D6854,A6855=A6854,F6855=F6854),1,0)</f>
        <v/>
      </c>
      <c r="I6855">
        <f>IF(C6855="C99999",1,0)</f>
        <v/>
      </c>
      <c r="J6855" s="5">
        <f>IF(OR(H6855=1,I6855=1),0,IF(G6855="Credit",-F6855,F6855))</f>
        <v/>
      </c>
    </row>
    <row r="6856">
      <c r="A6856" t="inlineStr">
        <is>
          <t>2026-09-04</t>
        </is>
      </c>
      <c r="B6856" t="inlineStr">
        <is>
          <t>F274863</t>
        </is>
      </c>
      <c r="C6856" t="inlineStr">
        <is>
          <t>C10786</t>
        </is>
      </c>
      <c r="D6856" t="inlineStr">
        <is>
          <t>SKU-10042</t>
        </is>
      </c>
      <c r="E6856" t="inlineStr">
        <is>
          <t>AM06</t>
        </is>
      </c>
      <c r="F6856" s="5" t="n">
        <v>34.21</v>
      </c>
      <c r="G6856">
        <f>IF(LEFT(B6856,1)="C","Credit","Factuur")</f>
        <v/>
      </c>
      <c r="H6856">
        <f>IF(AND(B6856=B6855,D6856=D6855,A6856=A6855,F6856=F6855),1,0)</f>
        <v/>
      </c>
      <c r="I6856">
        <f>IF(C6856="C99999",1,0)</f>
        <v/>
      </c>
      <c r="J6856" s="5">
        <f>IF(OR(H6856=1,I6856=1),0,IF(G6856="Credit",-F6856,F6856))</f>
        <v/>
      </c>
    </row>
    <row r="6857">
      <c r="A6857" t="inlineStr">
        <is>
          <t>2026-09-04</t>
        </is>
      </c>
      <c r="B6857" t="inlineStr">
        <is>
          <t>F274863</t>
        </is>
      </c>
      <c r="C6857" t="inlineStr">
        <is>
          <t>C10786</t>
        </is>
      </c>
      <c r="D6857" t="inlineStr">
        <is>
          <t>SKU-10215</t>
        </is>
      </c>
      <c r="E6857" t="inlineStr">
        <is>
          <t>AM06</t>
        </is>
      </c>
      <c r="F6857" s="5" t="n">
        <v>36.48</v>
      </c>
      <c r="G6857">
        <f>IF(LEFT(B6857,1)="C","Credit","Factuur")</f>
        <v/>
      </c>
      <c r="H6857">
        <f>IF(AND(B6857=B6856,D6857=D6856,A6857=A6856,F6857=F6856),1,0)</f>
        <v/>
      </c>
      <c r="I6857">
        <f>IF(C6857="C99999",1,0)</f>
        <v/>
      </c>
      <c r="J6857" s="5">
        <f>IF(OR(H6857=1,I6857=1),0,IF(G6857="Credit",-F6857,F6857))</f>
        <v/>
      </c>
    </row>
    <row r="6858">
      <c r="A6858" t="inlineStr">
        <is>
          <t>2026-09-04</t>
        </is>
      </c>
      <c r="B6858" t="inlineStr">
        <is>
          <t>F274863</t>
        </is>
      </c>
      <c r="C6858" t="inlineStr">
        <is>
          <t>C10786</t>
        </is>
      </c>
      <c r="D6858" t="inlineStr">
        <is>
          <t>SKU-10225</t>
        </is>
      </c>
      <c r="E6858" t="inlineStr">
        <is>
          <t>AM06</t>
        </is>
      </c>
      <c r="F6858" s="5" t="n">
        <v>39.4</v>
      </c>
      <c r="G6858">
        <f>IF(LEFT(B6858,1)="C","Credit","Factuur")</f>
        <v/>
      </c>
      <c r="H6858">
        <f>IF(AND(B6858=B6857,D6858=D6857,A6858=A6857,F6858=F6857),1,0)</f>
        <v/>
      </c>
      <c r="I6858">
        <f>IF(C6858="C99999",1,0)</f>
        <v/>
      </c>
      <c r="J6858" s="5">
        <f>IF(OR(H6858=1,I6858=1),0,IF(G6858="Credit",-F6858,F6858))</f>
        <v/>
      </c>
    </row>
    <row r="6859">
      <c r="A6859" t="inlineStr">
        <is>
          <t>2026-09-04</t>
        </is>
      </c>
      <c r="B6859" t="inlineStr">
        <is>
          <t>F274863</t>
        </is>
      </c>
      <c r="C6859" t="inlineStr">
        <is>
          <t>C10786</t>
        </is>
      </c>
      <c r="D6859" t="inlineStr">
        <is>
          <t>SKU-10286</t>
        </is>
      </c>
      <c r="E6859" t="inlineStr">
        <is>
          <t>AM06</t>
        </is>
      </c>
      <c r="F6859" s="5" t="n">
        <v>32.12</v>
      </c>
      <c r="G6859">
        <f>IF(LEFT(B6859,1)="C","Credit","Factuur")</f>
        <v/>
      </c>
      <c r="H6859">
        <f>IF(AND(B6859=B6858,D6859=D6858,A6859=A6858,F6859=F6858),1,0)</f>
        <v/>
      </c>
      <c r="I6859">
        <f>IF(C6859="C99999",1,0)</f>
        <v/>
      </c>
      <c r="J6859" s="5">
        <f>IF(OR(H6859=1,I6859=1),0,IF(G6859="Credit",-F6859,F6859))</f>
        <v/>
      </c>
    </row>
    <row r="6860">
      <c r="A6860" t="inlineStr">
        <is>
          <t>2026-09-04</t>
        </is>
      </c>
      <c r="B6860" t="inlineStr">
        <is>
          <t>F274863</t>
        </is>
      </c>
      <c r="C6860" t="inlineStr">
        <is>
          <t>C10786</t>
        </is>
      </c>
      <c r="D6860" t="inlineStr">
        <is>
          <t>SKU-10292</t>
        </is>
      </c>
      <c r="E6860" t="inlineStr">
        <is>
          <t>AM06</t>
        </is>
      </c>
      <c r="F6860" s="5" t="n">
        <v>46.06</v>
      </c>
      <c r="G6860">
        <f>IF(LEFT(B6860,1)="C","Credit","Factuur")</f>
        <v/>
      </c>
      <c r="H6860">
        <f>IF(AND(B6860=B6859,D6860=D6859,A6860=A6859,F6860=F6859),1,0)</f>
        <v/>
      </c>
      <c r="I6860">
        <f>IF(C6860="C99999",1,0)</f>
        <v/>
      </c>
      <c r="J6860" s="5">
        <f>IF(OR(H6860=1,I6860=1),0,IF(G6860="Credit",-F6860,F6860))</f>
        <v/>
      </c>
    </row>
    <row r="6861">
      <c r="A6861" t="inlineStr">
        <is>
          <t>2026-09-04</t>
        </is>
      </c>
      <c r="B6861" t="inlineStr">
        <is>
          <t>F274863</t>
        </is>
      </c>
      <c r="C6861" t="inlineStr">
        <is>
          <t>C10786</t>
        </is>
      </c>
      <c r="D6861" t="inlineStr">
        <is>
          <t>SKU-10336</t>
        </is>
      </c>
      <c r="E6861" t="inlineStr">
        <is>
          <t>AM06</t>
        </is>
      </c>
      <c r="F6861" s="5" t="n">
        <v>24.69</v>
      </c>
      <c r="G6861">
        <f>IF(LEFT(B6861,1)="C","Credit","Factuur")</f>
        <v/>
      </c>
      <c r="H6861">
        <f>IF(AND(B6861=B6860,D6861=D6860,A6861=A6860,F6861=F6860),1,0)</f>
        <v/>
      </c>
      <c r="I6861">
        <f>IF(C6861="C99999",1,0)</f>
        <v/>
      </c>
      <c r="J6861" s="5">
        <f>IF(OR(H6861=1,I6861=1),0,IF(G6861="Credit",-F6861,F6861))</f>
        <v/>
      </c>
    </row>
    <row r="6862">
      <c r="A6862" t="inlineStr">
        <is>
          <t>2026-09-04</t>
        </is>
      </c>
      <c r="B6862" t="inlineStr">
        <is>
          <t>F274892</t>
        </is>
      </c>
      <c r="C6862" t="inlineStr">
        <is>
          <t>C10786</t>
        </is>
      </c>
      <c r="D6862" t="inlineStr">
        <is>
          <t>SKU-10081</t>
        </is>
      </c>
      <c r="E6862" t="inlineStr">
        <is>
          <t>AM06</t>
        </is>
      </c>
      <c r="F6862" s="5" t="n">
        <v>63.57</v>
      </c>
      <c r="G6862">
        <f>IF(LEFT(B6862,1)="C","Credit","Factuur")</f>
        <v/>
      </c>
      <c r="H6862">
        <f>IF(AND(B6862=B6861,D6862=D6861,A6862=A6861,F6862=F6861),1,0)</f>
        <v/>
      </c>
      <c r="I6862">
        <f>IF(C6862="C99999",1,0)</f>
        <v/>
      </c>
      <c r="J6862" s="5">
        <f>IF(OR(H6862=1,I6862=1),0,IF(G6862="Credit",-F6862,F6862))</f>
        <v/>
      </c>
    </row>
    <row r="6863">
      <c r="A6863" t="inlineStr">
        <is>
          <t>2026-09-04</t>
        </is>
      </c>
      <c r="B6863" t="inlineStr">
        <is>
          <t>F274892</t>
        </is>
      </c>
      <c r="C6863" t="inlineStr">
        <is>
          <t>C10786</t>
        </is>
      </c>
      <c r="D6863" t="inlineStr">
        <is>
          <t>SKU-10110</t>
        </is>
      </c>
      <c r="E6863" t="inlineStr">
        <is>
          <t>AM06</t>
        </is>
      </c>
      <c r="F6863" s="5" t="n">
        <v>74.09999999999999</v>
      </c>
      <c r="G6863">
        <f>IF(LEFT(B6863,1)="C","Credit","Factuur")</f>
        <v/>
      </c>
      <c r="H6863">
        <f>IF(AND(B6863=B6862,D6863=D6862,A6863=A6862,F6863=F6862),1,0)</f>
        <v/>
      </c>
      <c r="I6863">
        <f>IF(C6863="C99999",1,0)</f>
        <v/>
      </c>
      <c r="J6863" s="5">
        <f>IF(OR(H6863=1,I6863=1),0,IF(G6863="Credit",-F6863,F6863))</f>
        <v/>
      </c>
    </row>
    <row r="6864">
      <c r="A6864" t="inlineStr">
        <is>
          <t>2026-09-04</t>
        </is>
      </c>
      <c r="B6864" t="inlineStr">
        <is>
          <t>F274892</t>
        </is>
      </c>
      <c r="C6864" t="inlineStr">
        <is>
          <t>C10786</t>
        </is>
      </c>
      <c r="D6864" t="inlineStr">
        <is>
          <t>SKU-10201</t>
        </is>
      </c>
      <c r="E6864" t="inlineStr">
        <is>
          <t>AM06</t>
        </is>
      </c>
      <c r="F6864" s="5" t="n">
        <v>75.92</v>
      </c>
      <c r="G6864">
        <f>IF(LEFT(B6864,1)="C","Credit","Factuur")</f>
        <v/>
      </c>
      <c r="H6864">
        <f>IF(AND(B6864=B6863,D6864=D6863,A6864=A6863,F6864=F6863),1,0)</f>
        <v/>
      </c>
      <c r="I6864">
        <f>IF(C6864="C99999",1,0)</f>
        <v/>
      </c>
      <c r="J6864" s="5">
        <f>IF(OR(H6864=1,I6864=1),0,IF(G6864="Credit",-F6864,F6864))</f>
        <v/>
      </c>
    </row>
    <row r="6865">
      <c r="A6865" t="inlineStr">
        <is>
          <t>2026-09-04</t>
        </is>
      </c>
      <c r="B6865" t="inlineStr">
        <is>
          <t>F275022</t>
        </is>
      </c>
      <c r="C6865" t="inlineStr">
        <is>
          <t>C10792</t>
        </is>
      </c>
      <c r="D6865" t="inlineStr">
        <is>
          <t>SKU-10265</t>
        </is>
      </c>
      <c r="E6865" t="inlineStr">
        <is>
          <t>AM12</t>
        </is>
      </c>
      <c r="F6865" s="5" t="n">
        <v>898.02</v>
      </c>
      <c r="G6865">
        <f>IF(LEFT(B6865,1)="C","Credit","Factuur")</f>
        <v/>
      </c>
      <c r="H6865">
        <f>IF(AND(B6865=B6864,D6865=D6864,A6865=A6864,F6865=F6864),1,0)</f>
        <v/>
      </c>
      <c r="I6865">
        <f>IF(C6865="C99999",1,0)</f>
        <v/>
      </c>
      <c r="J6865" s="5">
        <f>IF(OR(H6865=1,I6865=1),0,IF(G6865="Credit",-F6865,F6865))</f>
        <v/>
      </c>
    </row>
    <row r="6866">
      <c r="A6866" t="inlineStr">
        <is>
          <t>2026-09-04</t>
        </is>
      </c>
      <c r="B6866" t="inlineStr">
        <is>
          <t>F275022</t>
        </is>
      </c>
      <c r="C6866" t="inlineStr">
        <is>
          <t>C10792</t>
        </is>
      </c>
      <c r="D6866" t="inlineStr">
        <is>
          <t>SKU-10273</t>
        </is>
      </c>
      <c r="E6866" t="inlineStr">
        <is>
          <t>AM12</t>
        </is>
      </c>
      <c r="F6866" s="5" t="n">
        <v>899.36</v>
      </c>
      <c r="G6866">
        <f>IF(LEFT(B6866,1)="C","Credit","Factuur")</f>
        <v/>
      </c>
      <c r="H6866">
        <f>IF(AND(B6866=B6865,D6866=D6865,A6866=A6865,F6866=F6865),1,0)</f>
        <v/>
      </c>
      <c r="I6866">
        <f>IF(C6866="C99999",1,0)</f>
        <v/>
      </c>
      <c r="J6866" s="5">
        <f>IF(OR(H6866=1,I6866=1),0,IF(G6866="Credit",-F6866,F6866))</f>
        <v/>
      </c>
    </row>
    <row r="6867">
      <c r="A6867" t="inlineStr">
        <is>
          <t>2026-09-04</t>
        </is>
      </c>
      <c r="B6867" t="inlineStr">
        <is>
          <t>F275022</t>
        </is>
      </c>
      <c r="C6867" t="inlineStr">
        <is>
          <t>C10792</t>
        </is>
      </c>
      <c r="D6867" t="inlineStr">
        <is>
          <t>SKU-10289</t>
        </is>
      </c>
      <c r="E6867" t="inlineStr">
        <is>
          <t>AM12</t>
        </is>
      </c>
      <c r="F6867" s="5" t="n">
        <v>921.36</v>
      </c>
      <c r="G6867">
        <f>IF(LEFT(B6867,1)="C","Credit","Factuur")</f>
        <v/>
      </c>
      <c r="H6867">
        <f>IF(AND(B6867=B6866,D6867=D6866,A6867=A6866,F6867=F6866),1,0)</f>
        <v/>
      </c>
      <c r="I6867">
        <f>IF(C6867="C99999",1,0)</f>
        <v/>
      </c>
      <c r="J6867" s="5">
        <f>IF(OR(H6867=1,I6867=1),0,IF(G6867="Credit",-F6867,F6867))</f>
        <v/>
      </c>
    </row>
    <row r="6868">
      <c r="A6868" t="inlineStr">
        <is>
          <t>2026-09-04</t>
        </is>
      </c>
      <c r="B6868" t="inlineStr">
        <is>
          <t>F275062</t>
        </is>
      </c>
      <c r="C6868" t="inlineStr">
        <is>
          <t>C10793</t>
        </is>
      </c>
      <c r="D6868" t="inlineStr">
        <is>
          <t>SKU-10034</t>
        </is>
      </c>
      <c r="E6868" t="inlineStr">
        <is>
          <t>AM01</t>
        </is>
      </c>
      <c r="F6868" s="5" t="n">
        <v>308.76</v>
      </c>
      <c r="G6868">
        <f>IF(LEFT(B6868,1)="C","Credit","Factuur")</f>
        <v/>
      </c>
      <c r="H6868">
        <f>IF(AND(B6868=B6867,D6868=D6867,A6868=A6867,F6868=F6867),1,0)</f>
        <v/>
      </c>
      <c r="I6868">
        <f>IF(C6868="C99999",1,0)</f>
        <v/>
      </c>
      <c r="J6868" s="5">
        <f>IF(OR(H6868=1,I6868=1),0,IF(G6868="Credit",-F6868,F6868))</f>
        <v/>
      </c>
    </row>
    <row r="6869">
      <c r="A6869" t="inlineStr">
        <is>
          <t>2026-09-04</t>
        </is>
      </c>
      <c r="B6869" t="inlineStr">
        <is>
          <t>F275062</t>
        </is>
      </c>
      <c r="C6869" t="inlineStr">
        <is>
          <t>C10793</t>
        </is>
      </c>
      <c r="D6869" t="inlineStr">
        <is>
          <t>SKU-10087</t>
        </is>
      </c>
      <c r="E6869" t="inlineStr">
        <is>
          <t>AM01</t>
        </is>
      </c>
      <c r="F6869" s="5" t="n">
        <v>301.07</v>
      </c>
      <c r="G6869">
        <f>IF(LEFT(B6869,1)="C","Credit","Factuur")</f>
        <v/>
      </c>
      <c r="H6869">
        <f>IF(AND(B6869=B6868,D6869=D6868,A6869=A6868,F6869=F6868),1,0)</f>
        <v/>
      </c>
      <c r="I6869">
        <f>IF(C6869="C99999",1,0)</f>
        <v/>
      </c>
      <c r="J6869" s="5">
        <f>IF(OR(H6869=1,I6869=1),0,IF(G6869="Credit",-F6869,F6869))</f>
        <v/>
      </c>
    </row>
    <row r="6870">
      <c r="A6870" t="inlineStr">
        <is>
          <t>2026-09-04</t>
        </is>
      </c>
      <c r="B6870" t="inlineStr">
        <is>
          <t>F275062</t>
        </is>
      </c>
      <c r="C6870" t="inlineStr">
        <is>
          <t>C10793</t>
        </is>
      </c>
      <c r="D6870" t="inlineStr">
        <is>
          <t>SKU-10177</t>
        </is>
      </c>
      <c r="E6870" t="inlineStr">
        <is>
          <t>AM01</t>
        </is>
      </c>
      <c r="F6870" s="5" t="n">
        <v>308.16</v>
      </c>
      <c r="G6870">
        <f>IF(LEFT(B6870,1)="C","Credit","Factuur")</f>
        <v/>
      </c>
      <c r="H6870">
        <f>IF(AND(B6870=B6869,D6870=D6869,A6870=A6869,F6870=F6869),1,0)</f>
        <v/>
      </c>
      <c r="I6870">
        <f>IF(C6870="C99999",1,0)</f>
        <v/>
      </c>
      <c r="J6870" s="5">
        <f>IF(OR(H6870=1,I6870=1),0,IF(G6870="Credit",-F6870,F6870))</f>
        <v/>
      </c>
    </row>
    <row r="6871">
      <c r="A6871" t="inlineStr">
        <is>
          <t>2026-09-04</t>
        </is>
      </c>
      <c r="B6871" t="inlineStr">
        <is>
          <t>F275062</t>
        </is>
      </c>
      <c r="C6871" t="inlineStr">
        <is>
          <t>C10793</t>
        </is>
      </c>
      <c r="D6871" t="inlineStr">
        <is>
          <t>SKU-10186</t>
        </is>
      </c>
      <c r="E6871" t="inlineStr">
        <is>
          <t>AM01</t>
        </is>
      </c>
      <c r="F6871" s="5" t="n">
        <v>309.4</v>
      </c>
      <c r="G6871">
        <f>IF(LEFT(B6871,1)="C","Credit","Factuur")</f>
        <v/>
      </c>
      <c r="H6871">
        <f>IF(AND(B6871=B6870,D6871=D6870,A6871=A6870,F6871=F6870),1,0)</f>
        <v/>
      </c>
      <c r="I6871">
        <f>IF(C6871="C99999",1,0)</f>
        <v/>
      </c>
      <c r="J6871" s="5">
        <f>IF(OR(H6871=1,I6871=1),0,IF(G6871="Credit",-F6871,F6871))</f>
        <v/>
      </c>
    </row>
    <row r="6872">
      <c r="A6872" t="inlineStr">
        <is>
          <t>2026-09-04</t>
        </is>
      </c>
      <c r="B6872" t="inlineStr">
        <is>
          <t>F275119</t>
        </is>
      </c>
      <c r="C6872" t="inlineStr">
        <is>
          <t>C10796</t>
        </is>
      </c>
      <c r="D6872" t="inlineStr">
        <is>
          <t>SKU-10270</t>
        </is>
      </c>
      <c r="E6872" t="inlineStr">
        <is>
          <t>AM09</t>
        </is>
      </c>
      <c r="F6872" s="5" t="n">
        <v>8185.33</v>
      </c>
      <c r="G6872">
        <f>IF(LEFT(B6872,1)="C","Credit","Factuur")</f>
        <v/>
      </c>
      <c r="H6872">
        <f>IF(AND(B6872=B6871,D6872=D6871,A6872=A6871,F6872=F6871),1,0)</f>
        <v/>
      </c>
      <c r="I6872">
        <f>IF(C6872="C99999",1,0)</f>
        <v/>
      </c>
      <c r="J6872" s="5">
        <f>IF(OR(H6872=1,I6872=1),0,IF(G6872="Credit",-F6872,F6872))</f>
        <v/>
      </c>
    </row>
    <row r="6873">
      <c r="A6873" t="inlineStr">
        <is>
          <t>2026-09-04</t>
        </is>
      </c>
      <c r="B6873" t="inlineStr">
        <is>
          <t>F275309</t>
        </is>
      </c>
      <c r="C6873" t="inlineStr">
        <is>
          <t>C10807</t>
        </is>
      </c>
      <c r="D6873" t="inlineStr">
        <is>
          <t>SKU-10193</t>
        </is>
      </c>
      <c r="E6873" t="inlineStr">
        <is>
          <t>AM01</t>
        </is>
      </c>
      <c r="F6873" s="5" t="n">
        <v>569.24</v>
      </c>
      <c r="G6873">
        <f>IF(LEFT(B6873,1)="C","Credit","Factuur")</f>
        <v/>
      </c>
      <c r="H6873">
        <f>IF(AND(B6873=B6872,D6873=D6872,A6873=A6872,F6873=F6872),1,0)</f>
        <v/>
      </c>
      <c r="I6873">
        <f>IF(C6873="C99999",1,0)</f>
        <v/>
      </c>
      <c r="J6873" s="5">
        <f>IF(OR(H6873=1,I6873=1),0,IF(G6873="Credit",-F6873,F6873))</f>
        <v/>
      </c>
    </row>
    <row r="6874">
      <c r="A6874" t="inlineStr">
        <is>
          <t>2026-09-04</t>
        </is>
      </c>
      <c r="B6874" t="inlineStr">
        <is>
          <t>F275309</t>
        </is>
      </c>
      <c r="C6874" t="inlineStr">
        <is>
          <t>C10807</t>
        </is>
      </c>
      <c r="D6874" t="inlineStr">
        <is>
          <t>SKU-10279</t>
        </is>
      </c>
      <c r="E6874" t="inlineStr">
        <is>
          <t>AM01</t>
        </is>
      </c>
      <c r="F6874" s="5" t="n">
        <v>580.3</v>
      </c>
      <c r="G6874">
        <f>IF(LEFT(B6874,1)="C","Credit","Factuur")</f>
        <v/>
      </c>
      <c r="H6874">
        <f>IF(AND(B6874=B6873,D6874=D6873,A6874=A6873,F6874=F6873),1,0)</f>
        <v/>
      </c>
      <c r="I6874">
        <f>IF(C6874="C99999",1,0)</f>
        <v/>
      </c>
      <c r="J6874" s="5">
        <f>IF(OR(H6874=1,I6874=1),0,IF(G6874="Credit",-F6874,F6874))</f>
        <v/>
      </c>
    </row>
    <row r="6875">
      <c r="A6875" t="inlineStr">
        <is>
          <t>2026-09-04</t>
        </is>
      </c>
      <c r="B6875" t="inlineStr">
        <is>
          <t>F275852</t>
        </is>
      </c>
      <c r="C6875" t="inlineStr">
        <is>
          <t>C10840</t>
        </is>
      </c>
      <c r="D6875" t="inlineStr">
        <is>
          <t>SKU-10286</t>
        </is>
      </c>
      <c r="E6875" t="inlineStr">
        <is>
          <t>AM05</t>
        </is>
      </c>
      <c r="F6875" s="5" t="n">
        <v>260.06</v>
      </c>
      <c r="G6875">
        <f>IF(LEFT(B6875,1)="C","Credit","Factuur")</f>
        <v/>
      </c>
      <c r="H6875">
        <f>IF(AND(B6875=B6874,D6875=D6874,A6875=A6874,F6875=F6874),1,0)</f>
        <v/>
      </c>
      <c r="I6875">
        <f>IF(C6875="C99999",1,0)</f>
        <v/>
      </c>
      <c r="J6875" s="5">
        <f>IF(OR(H6875=1,I6875=1),0,IF(G6875="Credit",-F6875,F6875))</f>
        <v/>
      </c>
    </row>
    <row r="6876">
      <c r="A6876" t="inlineStr">
        <is>
          <t>2026-09-04</t>
        </is>
      </c>
      <c r="B6876" t="inlineStr">
        <is>
          <t>F275852</t>
        </is>
      </c>
      <c r="C6876" t="inlineStr">
        <is>
          <t>C10840</t>
        </is>
      </c>
      <c r="D6876" t="inlineStr">
        <is>
          <t>SKU-10342</t>
        </is>
      </c>
      <c r="E6876" t="inlineStr">
        <is>
          <t>AM05</t>
        </is>
      </c>
      <c r="F6876" s="5" t="n">
        <v>271.04</v>
      </c>
      <c r="G6876">
        <f>IF(LEFT(B6876,1)="C","Credit","Factuur")</f>
        <v/>
      </c>
      <c r="H6876">
        <f>IF(AND(B6876=B6875,D6876=D6875,A6876=A6875,F6876=F6875),1,0)</f>
        <v/>
      </c>
      <c r="I6876">
        <f>IF(C6876="C99999",1,0)</f>
        <v/>
      </c>
      <c r="J6876" s="5">
        <f>IF(OR(H6876=1,I6876=1),0,IF(G6876="Credit",-F6876,F6876))</f>
        <v/>
      </c>
    </row>
    <row r="6877">
      <c r="A6877" t="inlineStr">
        <is>
          <t>2026-09-04</t>
        </is>
      </c>
      <c r="B6877" t="inlineStr">
        <is>
          <t>F275879</t>
        </is>
      </c>
      <c r="C6877" t="inlineStr">
        <is>
          <t>C10842</t>
        </is>
      </c>
      <c r="D6877" t="inlineStr">
        <is>
          <t>SKU-10117</t>
        </is>
      </c>
      <c r="E6877" t="inlineStr">
        <is>
          <t>IS02</t>
        </is>
      </c>
      <c r="F6877" s="5" t="n">
        <v>121.16</v>
      </c>
      <c r="G6877">
        <f>IF(LEFT(B6877,1)="C","Credit","Factuur")</f>
        <v/>
      </c>
      <c r="H6877">
        <f>IF(AND(B6877=B6876,D6877=D6876,A6877=A6876,F6877=F6876),1,0)</f>
        <v/>
      </c>
      <c r="I6877">
        <f>IF(C6877="C99999",1,0)</f>
        <v/>
      </c>
      <c r="J6877" s="5">
        <f>IF(OR(H6877=1,I6877=1),0,IF(G6877="Credit",-F6877,F6877))</f>
        <v/>
      </c>
    </row>
    <row r="6878">
      <c r="A6878" t="inlineStr">
        <is>
          <t>2026-09-04</t>
        </is>
      </c>
      <c r="B6878" t="inlineStr">
        <is>
          <t>F275879</t>
        </is>
      </c>
      <c r="C6878" t="inlineStr">
        <is>
          <t>C10842</t>
        </is>
      </c>
      <c r="D6878" t="inlineStr">
        <is>
          <t>SKU-10315</t>
        </is>
      </c>
      <c r="E6878" t="inlineStr">
        <is>
          <t>IS02</t>
        </is>
      </c>
      <c r="F6878" s="5" t="n">
        <v>54.45</v>
      </c>
      <c r="G6878">
        <f>IF(LEFT(B6878,1)="C","Credit","Factuur")</f>
        <v/>
      </c>
      <c r="H6878">
        <f>IF(AND(B6878=B6877,D6878=D6877,A6878=A6877,F6878=F6877),1,0)</f>
        <v/>
      </c>
      <c r="I6878">
        <f>IF(C6878="C99999",1,0)</f>
        <v/>
      </c>
      <c r="J6878" s="5">
        <f>IF(OR(H6878=1,I6878=1),0,IF(G6878="Credit",-F6878,F6878))</f>
        <v/>
      </c>
    </row>
    <row r="6879">
      <c r="A6879" t="inlineStr">
        <is>
          <t>2026-09-04</t>
        </is>
      </c>
      <c r="B6879" t="inlineStr">
        <is>
          <t>F275946</t>
        </is>
      </c>
      <c r="C6879" t="inlineStr">
        <is>
          <t>C10847</t>
        </is>
      </c>
      <c r="D6879" t="inlineStr">
        <is>
          <t>SKU-10036</t>
        </is>
      </c>
      <c r="E6879" t="inlineStr">
        <is>
          <t>AM12</t>
        </is>
      </c>
      <c r="F6879" s="5" t="n">
        <v>210.66</v>
      </c>
      <c r="G6879">
        <f>IF(LEFT(B6879,1)="C","Credit","Factuur")</f>
        <v/>
      </c>
      <c r="H6879">
        <f>IF(AND(B6879=B6878,D6879=D6878,A6879=A6878,F6879=F6878),1,0)</f>
        <v/>
      </c>
      <c r="I6879">
        <f>IF(C6879="C99999",1,0)</f>
        <v/>
      </c>
      <c r="J6879" s="5">
        <f>IF(OR(H6879=1,I6879=1),0,IF(G6879="Credit",-F6879,F6879))</f>
        <v/>
      </c>
    </row>
    <row r="6880">
      <c r="A6880" t="inlineStr">
        <is>
          <t>2026-09-04</t>
        </is>
      </c>
      <c r="B6880" t="inlineStr">
        <is>
          <t>F275946</t>
        </is>
      </c>
      <c r="C6880" t="inlineStr">
        <is>
          <t>C10847</t>
        </is>
      </c>
      <c r="D6880" t="inlineStr">
        <is>
          <t>SKU-10098</t>
        </is>
      </c>
      <c r="E6880" t="inlineStr">
        <is>
          <t>AM12</t>
        </is>
      </c>
      <c r="F6880" s="5" t="n">
        <v>216.05</v>
      </c>
      <c r="G6880">
        <f>IF(LEFT(B6880,1)="C","Credit","Factuur")</f>
        <v/>
      </c>
      <c r="H6880">
        <f>IF(AND(B6880=B6879,D6880=D6879,A6880=A6879,F6880=F6879),1,0)</f>
        <v/>
      </c>
      <c r="I6880">
        <f>IF(C6880="C99999",1,0)</f>
        <v/>
      </c>
      <c r="J6880" s="5">
        <f>IF(OR(H6880=1,I6880=1),0,IF(G6880="Credit",-F6880,F6880))</f>
        <v/>
      </c>
    </row>
    <row r="6881">
      <c r="A6881" t="inlineStr">
        <is>
          <t>2026-09-04</t>
        </is>
      </c>
      <c r="B6881" t="inlineStr">
        <is>
          <t>F275946</t>
        </is>
      </c>
      <c r="C6881" t="inlineStr">
        <is>
          <t>C10847</t>
        </is>
      </c>
      <c r="D6881" t="inlineStr">
        <is>
          <t>SKU-10140</t>
        </is>
      </c>
      <c r="E6881" t="inlineStr">
        <is>
          <t>AM12</t>
        </is>
      </c>
      <c r="F6881" s="5" t="n">
        <v>209.84</v>
      </c>
      <c r="G6881">
        <f>IF(LEFT(B6881,1)="C","Credit","Factuur")</f>
        <v/>
      </c>
      <c r="H6881">
        <f>IF(AND(B6881=B6880,D6881=D6880,A6881=A6880,F6881=F6880),1,0)</f>
        <v/>
      </c>
      <c r="I6881">
        <f>IF(C6881="C99999",1,0)</f>
        <v/>
      </c>
      <c r="J6881" s="5">
        <f>IF(OR(H6881=1,I6881=1),0,IF(G6881="Credit",-F6881,F6881))</f>
        <v/>
      </c>
    </row>
    <row r="6882">
      <c r="A6882" t="inlineStr">
        <is>
          <t>2026-09-04</t>
        </is>
      </c>
      <c r="B6882" t="inlineStr">
        <is>
          <t>F275946</t>
        </is>
      </c>
      <c r="C6882" t="inlineStr">
        <is>
          <t>C10847</t>
        </is>
      </c>
      <c r="D6882" t="inlineStr">
        <is>
          <t>SKU-10302</t>
        </is>
      </c>
      <c r="E6882" t="inlineStr">
        <is>
          <t>AM12</t>
        </is>
      </c>
      <c r="F6882" s="5" t="n">
        <v>219.55</v>
      </c>
      <c r="G6882">
        <f>IF(LEFT(B6882,1)="C","Credit","Factuur")</f>
        <v/>
      </c>
      <c r="H6882">
        <f>IF(AND(B6882=B6881,D6882=D6881,A6882=A6881,F6882=F6881),1,0)</f>
        <v/>
      </c>
      <c r="I6882">
        <f>IF(C6882="C99999",1,0)</f>
        <v/>
      </c>
      <c r="J6882" s="5">
        <f>IF(OR(H6882=1,I6882=1),0,IF(G6882="Credit",-F6882,F6882))</f>
        <v/>
      </c>
    </row>
    <row r="6883">
      <c r="A6883" t="inlineStr">
        <is>
          <t>2026-09-04</t>
        </is>
      </c>
      <c r="B6883" t="inlineStr">
        <is>
          <t>F276321</t>
        </is>
      </c>
      <c r="C6883" t="inlineStr">
        <is>
          <t>C10864</t>
        </is>
      </c>
      <c r="D6883" t="inlineStr">
        <is>
          <t>SKU-10267</t>
        </is>
      </c>
      <c r="E6883" t="inlineStr">
        <is>
          <t>AM11</t>
        </is>
      </c>
      <c r="F6883" s="5" t="n">
        <v>3946.26</v>
      </c>
      <c r="G6883">
        <f>IF(LEFT(B6883,1)="C","Credit","Factuur")</f>
        <v/>
      </c>
      <c r="H6883">
        <f>IF(AND(B6883=B6882,D6883=D6882,A6883=A6882,F6883=F6882),1,0)</f>
        <v/>
      </c>
      <c r="I6883">
        <f>IF(C6883="C99999",1,0)</f>
        <v/>
      </c>
      <c r="J6883" s="5">
        <f>IF(OR(H6883=1,I6883=1),0,IF(G6883="Credit",-F6883,F6883))</f>
        <v/>
      </c>
    </row>
    <row r="6884">
      <c r="A6884" t="inlineStr">
        <is>
          <t>2026-09-04</t>
        </is>
      </c>
      <c r="B6884" t="inlineStr">
        <is>
          <t>F276445</t>
        </is>
      </c>
      <c r="C6884" t="inlineStr">
        <is>
          <t>C10871</t>
        </is>
      </c>
      <c r="D6884" t="inlineStr">
        <is>
          <t>SKU-10033</t>
        </is>
      </c>
      <c r="E6884" t="inlineStr">
        <is>
          <t>AM02</t>
        </is>
      </c>
      <c r="F6884" s="5" t="n">
        <v>344.64</v>
      </c>
      <c r="G6884">
        <f>IF(LEFT(B6884,1)="C","Credit","Factuur")</f>
        <v/>
      </c>
      <c r="H6884">
        <f>IF(AND(B6884=B6883,D6884=D6883,A6884=A6883,F6884=F6883),1,0)</f>
        <v/>
      </c>
      <c r="I6884">
        <f>IF(C6884="C99999",1,0)</f>
        <v/>
      </c>
      <c r="J6884" s="5">
        <f>IF(OR(H6884=1,I6884=1),0,IF(G6884="Credit",-F6884,F6884))</f>
        <v/>
      </c>
    </row>
    <row r="6885">
      <c r="A6885" t="inlineStr">
        <is>
          <t>2026-09-04</t>
        </is>
      </c>
      <c r="B6885" t="inlineStr">
        <is>
          <t>F276445</t>
        </is>
      </c>
      <c r="C6885" t="inlineStr">
        <is>
          <t>C10871</t>
        </is>
      </c>
      <c r="D6885" t="inlineStr">
        <is>
          <t>SKU-10067</t>
        </is>
      </c>
      <c r="E6885" t="inlineStr">
        <is>
          <t>AM02</t>
        </is>
      </c>
      <c r="F6885" s="5" t="n">
        <v>348.36</v>
      </c>
      <c r="G6885">
        <f>IF(LEFT(B6885,1)="C","Credit","Factuur")</f>
        <v/>
      </c>
      <c r="H6885">
        <f>IF(AND(B6885=B6884,D6885=D6884,A6885=A6884,F6885=F6884),1,0)</f>
        <v/>
      </c>
      <c r="I6885">
        <f>IF(C6885="C99999",1,0)</f>
        <v/>
      </c>
      <c r="J6885" s="5">
        <f>IF(OR(H6885=1,I6885=1),0,IF(G6885="Credit",-F6885,F6885))</f>
        <v/>
      </c>
    </row>
    <row r="6886">
      <c r="A6886" t="inlineStr">
        <is>
          <t>2026-09-04</t>
        </is>
      </c>
      <c r="B6886" t="inlineStr">
        <is>
          <t>F276445</t>
        </is>
      </c>
      <c r="C6886" t="inlineStr">
        <is>
          <t>C10871</t>
        </is>
      </c>
      <c r="D6886" t="inlineStr">
        <is>
          <t>SKU-10077</t>
        </is>
      </c>
      <c r="E6886" t="inlineStr">
        <is>
          <t>AM02</t>
        </is>
      </c>
      <c r="F6886" s="5" t="n">
        <v>346.38</v>
      </c>
      <c r="G6886">
        <f>IF(LEFT(B6886,1)="C","Credit","Factuur")</f>
        <v/>
      </c>
      <c r="H6886">
        <f>IF(AND(B6886=B6885,D6886=D6885,A6886=A6885,F6886=F6885),1,0)</f>
        <v/>
      </c>
      <c r="I6886">
        <f>IF(C6886="C99999",1,0)</f>
        <v/>
      </c>
      <c r="J6886" s="5">
        <f>IF(OR(H6886=1,I6886=1),0,IF(G6886="Credit",-F6886,F6886))</f>
        <v/>
      </c>
    </row>
    <row r="6887">
      <c r="A6887" t="inlineStr">
        <is>
          <t>2026-09-04</t>
        </is>
      </c>
      <c r="B6887" t="inlineStr">
        <is>
          <t>F276445</t>
        </is>
      </c>
      <c r="C6887" t="inlineStr">
        <is>
          <t>C10871</t>
        </is>
      </c>
      <c r="D6887" t="inlineStr">
        <is>
          <t>SKU-10199</t>
        </is>
      </c>
      <c r="E6887" t="inlineStr">
        <is>
          <t>AM02</t>
        </is>
      </c>
      <c r="F6887" s="5" t="n">
        <v>341.52</v>
      </c>
      <c r="G6887">
        <f>IF(LEFT(B6887,1)="C","Credit","Factuur")</f>
        <v/>
      </c>
      <c r="H6887">
        <f>IF(AND(B6887=B6886,D6887=D6886,A6887=A6886,F6887=F6886),1,0)</f>
        <v/>
      </c>
      <c r="I6887">
        <f>IF(C6887="C99999",1,0)</f>
        <v/>
      </c>
      <c r="J6887" s="5">
        <f>IF(OR(H6887=1,I6887=1),0,IF(G6887="Credit",-F6887,F6887))</f>
        <v/>
      </c>
    </row>
    <row r="6888">
      <c r="A6888" t="inlineStr">
        <is>
          <t>2026-09-04</t>
        </is>
      </c>
      <c r="B6888" t="inlineStr">
        <is>
          <t>F276926</t>
        </is>
      </c>
      <c r="C6888" t="inlineStr">
        <is>
          <t>C10897</t>
        </is>
      </c>
      <c r="D6888" t="inlineStr">
        <is>
          <t>SKU-10026</t>
        </is>
      </c>
      <c r="E6888" t="inlineStr">
        <is>
          <t>AM06</t>
        </is>
      </c>
      <c r="F6888" s="5" t="n">
        <v>195.6</v>
      </c>
      <c r="G6888">
        <f>IF(LEFT(B6888,1)="C","Credit","Factuur")</f>
        <v/>
      </c>
      <c r="H6888">
        <f>IF(AND(B6888=B6887,D6888=D6887,A6888=A6887,F6888=F6887),1,0)</f>
        <v/>
      </c>
      <c r="I6888">
        <f>IF(C6888="C99999",1,0)</f>
        <v/>
      </c>
      <c r="J6888" s="5">
        <f>IF(OR(H6888=1,I6888=1),0,IF(G6888="Credit",-F6888,F6888))</f>
        <v/>
      </c>
    </row>
    <row r="6889">
      <c r="A6889" t="inlineStr">
        <is>
          <t>2026-09-04</t>
        </is>
      </c>
      <c r="B6889" t="inlineStr">
        <is>
          <t>F276926</t>
        </is>
      </c>
      <c r="C6889" t="inlineStr">
        <is>
          <t>C10897</t>
        </is>
      </c>
      <c r="D6889" t="inlineStr">
        <is>
          <t>SKU-10035</t>
        </is>
      </c>
      <c r="E6889" t="inlineStr">
        <is>
          <t>AM06</t>
        </is>
      </c>
      <c r="F6889" s="5" t="n">
        <v>174.09</v>
      </c>
      <c r="G6889">
        <f>IF(LEFT(B6889,1)="C","Credit","Factuur")</f>
        <v/>
      </c>
      <c r="H6889">
        <f>IF(AND(B6889=B6888,D6889=D6888,A6889=A6888,F6889=F6888),1,0)</f>
        <v/>
      </c>
      <c r="I6889">
        <f>IF(C6889="C99999",1,0)</f>
        <v/>
      </c>
      <c r="J6889" s="5">
        <f>IF(OR(H6889=1,I6889=1),0,IF(G6889="Credit",-F6889,F6889))</f>
        <v/>
      </c>
    </row>
    <row r="6890">
      <c r="A6890" t="inlineStr">
        <is>
          <t>2026-09-04</t>
        </is>
      </c>
      <c r="B6890" t="inlineStr">
        <is>
          <t>F276926</t>
        </is>
      </c>
      <c r="C6890" t="inlineStr">
        <is>
          <t>C10897</t>
        </is>
      </c>
      <c r="D6890" t="inlineStr">
        <is>
          <t>SKU-10149</t>
        </is>
      </c>
      <c r="E6890" t="inlineStr">
        <is>
          <t>AM06</t>
        </is>
      </c>
      <c r="F6890" s="5" t="n">
        <v>217.74</v>
      </c>
      <c r="G6890">
        <f>IF(LEFT(B6890,1)="C","Credit","Factuur")</f>
        <v/>
      </c>
      <c r="H6890">
        <f>IF(AND(B6890=B6889,D6890=D6889,A6890=A6889,F6890=F6889),1,0)</f>
        <v/>
      </c>
      <c r="I6890">
        <f>IF(C6890="C99999",1,0)</f>
        <v/>
      </c>
      <c r="J6890" s="5">
        <f>IF(OR(H6890=1,I6890=1),0,IF(G6890="Credit",-F6890,F6890))</f>
        <v/>
      </c>
    </row>
    <row r="6891">
      <c r="A6891" t="inlineStr">
        <is>
          <t>2026-09-04</t>
        </is>
      </c>
      <c r="B6891" t="inlineStr">
        <is>
          <t>F276926</t>
        </is>
      </c>
      <c r="C6891" t="inlineStr">
        <is>
          <t>C10897</t>
        </is>
      </c>
      <c r="D6891" t="inlineStr">
        <is>
          <t>SKU-10183</t>
        </is>
      </c>
      <c r="E6891" t="inlineStr">
        <is>
          <t>AM06</t>
        </is>
      </c>
      <c r="F6891" s="5" t="n">
        <v>191.8</v>
      </c>
      <c r="G6891">
        <f>IF(LEFT(B6891,1)="C","Credit","Factuur")</f>
        <v/>
      </c>
      <c r="H6891">
        <f>IF(AND(B6891=B6890,D6891=D6890,A6891=A6890,F6891=F6890),1,0)</f>
        <v/>
      </c>
      <c r="I6891">
        <f>IF(C6891="C99999",1,0)</f>
        <v/>
      </c>
      <c r="J6891" s="5">
        <f>IF(OR(H6891=1,I6891=1),0,IF(G6891="Credit",-F6891,F6891))</f>
        <v/>
      </c>
    </row>
    <row r="6892">
      <c r="A6892" t="inlineStr">
        <is>
          <t>2026-09-04</t>
        </is>
      </c>
      <c r="B6892" t="inlineStr">
        <is>
          <t>F276926</t>
        </is>
      </c>
      <c r="C6892" t="inlineStr">
        <is>
          <t>C10897</t>
        </is>
      </c>
      <c r="D6892" t="inlineStr">
        <is>
          <t>SKU-10186</t>
        </is>
      </c>
      <c r="E6892" t="inlineStr">
        <is>
          <t>AM06</t>
        </is>
      </c>
      <c r="F6892" s="5" t="n">
        <v>186.53</v>
      </c>
      <c r="G6892">
        <f>IF(LEFT(B6892,1)="C","Credit","Factuur")</f>
        <v/>
      </c>
      <c r="H6892">
        <f>IF(AND(B6892=B6891,D6892=D6891,A6892=A6891,F6892=F6891),1,0)</f>
        <v/>
      </c>
      <c r="I6892">
        <f>IF(C6892="C99999",1,0)</f>
        <v/>
      </c>
      <c r="J6892" s="5">
        <f>IF(OR(H6892=1,I6892=1),0,IF(G6892="Credit",-F6892,F6892))</f>
        <v/>
      </c>
    </row>
    <row r="6893">
      <c r="A6893" t="inlineStr">
        <is>
          <t>2026-09-04</t>
        </is>
      </c>
      <c r="B6893" t="inlineStr">
        <is>
          <t>F276943</t>
        </is>
      </c>
      <c r="C6893" t="inlineStr">
        <is>
          <t>C10898</t>
        </is>
      </c>
      <c r="D6893" t="inlineStr">
        <is>
          <t>SKU-10232</t>
        </is>
      </c>
      <c r="E6893" t="inlineStr">
        <is>
          <t>AM03</t>
        </is>
      </c>
      <c r="F6893" s="5" t="n">
        <v>861.12</v>
      </c>
      <c r="G6893">
        <f>IF(LEFT(B6893,1)="C","Credit","Factuur")</f>
        <v/>
      </c>
      <c r="H6893">
        <f>IF(AND(B6893=B6892,D6893=D6892,A6893=A6892,F6893=F6892),1,0)</f>
        <v/>
      </c>
      <c r="I6893">
        <f>IF(C6893="C99999",1,0)</f>
        <v/>
      </c>
      <c r="J6893" s="5">
        <f>IF(OR(H6893=1,I6893=1),0,IF(G6893="Credit",-F6893,F6893))</f>
        <v/>
      </c>
    </row>
    <row r="6894">
      <c r="A6894" t="inlineStr">
        <is>
          <t>2026-09-04</t>
        </is>
      </c>
      <c r="B6894" t="inlineStr">
        <is>
          <t>F276943</t>
        </is>
      </c>
      <c r="C6894" t="inlineStr">
        <is>
          <t>C10898</t>
        </is>
      </c>
      <c r="D6894" t="inlineStr">
        <is>
          <t>SKU-10335</t>
        </is>
      </c>
      <c r="E6894" t="inlineStr">
        <is>
          <t>AM03</t>
        </is>
      </c>
      <c r="F6894" s="5" t="n">
        <v>851.16</v>
      </c>
      <c r="G6894">
        <f>IF(LEFT(B6894,1)="C","Credit","Factuur")</f>
        <v/>
      </c>
      <c r="H6894">
        <f>IF(AND(B6894=B6893,D6894=D6893,A6894=A6893,F6894=F6893),1,0)</f>
        <v/>
      </c>
      <c r="I6894">
        <f>IF(C6894="C99999",1,0)</f>
        <v/>
      </c>
      <c r="J6894" s="5">
        <f>IF(OR(H6894=1,I6894=1),0,IF(G6894="Credit",-F6894,F6894))</f>
        <v/>
      </c>
    </row>
    <row r="6895">
      <c r="A6895" t="inlineStr">
        <is>
          <t>2026-09-04</t>
        </is>
      </c>
      <c r="B6895" t="inlineStr">
        <is>
          <t>F276961</t>
        </is>
      </c>
      <c r="C6895" t="inlineStr">
        <is>
          <t>C10900</t>
        </is>
      </c>
      <c r="D6895" t="inlineStr">
        <is>
          <t>SKU-10108</t>
        </is>
      </c>
      <c r="E6895" t="inlineStr">
        <is>
          <t>AM03</t>
        </is>
      </c>
      <c r="F6895" s="5" t="n">
        <v>185.86</v>
      </c>
      <c r="G6895">
        <f>IF(LEFT(B6895,1)="C","Credit","Factuur")</f>
        <v/>
      </c>
      <c r="H6895">
        <f>IF(AND(B6895=B6894,D6895=D6894,A6895=A6894,F6895=F6894),1,0)</f>
        <v/>
      </c>
      <c r="I6895">
        <f>IF(C6895="C99999",1,0)</f>
        <v/>
      </c>
      <c r="J6895" s="5">
        <f>IF(OR(H6895=1,I6895=1),0,IF(G6895="Credit",-F6895,F6895))</f>
        <v/>
      </c>
    </row>
    <row r="6896">
      <c r="A6896" t="inlineStr">
        <is>
          <t>2026-09-04</t>
        </is>
      </c>
      <c r="B6896" t="inlineStr">
        <is>
          <t>F276961</t>
        </is>
      </c>
      <c r="C6896" t="inlineStr">
        <is>
          <t>C10900</t>
        </is>
      </c>
      <c r="D6896" t="inlineStr">
        <is>
          <t>SKU-10110</t>
        </is>
      </c>
      <c r="E6896" t="inlineStr">
        <is>
          <t>AM03</t>
        </is>
      </c>
      <c r="F6896" s="5" t="n">
        <v>222.3</v>
      </c>
      <c r="G6896">
        <f>IF(LEFT(B6896,1)="C","Credit","Factuur")</f>
        <v/>
      </c>
      <c r="H6896">
        <f>IF(AND(B6896=B6895,D6896=D6895,A6896=A6895,F6896=F6895),1,0)</f>
        <v/>
      </c>
      <c r="I6896">
        <f>IF(C6896="C99999",1,0)</f>
        <v/>
      </c>
      <c r="J6896" s="5">
        <f>IF(OR(H6896=1,I6896=1),0,IF(G6896="Credit",-F6896,F6896))</f>
        <v/>
      </c>
    </row>
    <row r="6897">
      <c r="A6897" t="inlineStr">
        <is>
          <t>2026-09-04</t>
        </is>
      </c>
      <c r="B6897" t="inlineStr">
        <is>
          <t>F277225</t>
        </is>
      </c>
      <c r="C6897" t="inlineStr">
        <is>
          <t>C10915</t>
        </is>
      </c>
      <c r="D6897" t="inlineStr">
        <is>
          <t>SKU-10045</t>
        </is>
      </c>
      <c r="E6897" t="inlineStr">
        <is>
          <t>AM01</t>
        </is>
      </c>
      <c r="F6897" s="5" t="n">
        <v>1266.91</v>
      </c>
      <c r="G6897">
        <f>IF(LEFT(B6897,1)="C","Credit","Factuur")</f>
        <v/>
      </c>
      <c r="H6897">
        <f>IF(AND(B6897=B6896,D6897=D6896,A6897=A6896,F6897=F6896),1,0)</f>
        <v/>
      </c>
      <c r="I6897">
        <f>IF(C6897="C99999",1,0)</f>
        <v/>
      </c>
      <c r="J6897" s="5">
        <f>IF(OR(H6897=1,I6897=1),0,IF(G6897="Credit",-F6897,F6897))</f>
        <v/>
      </c>
    </row>
    <row r="6898">
      <c r="A6898" t="inlineStr">
        <is>
          <t>2026-09-04</t>
        </is>
      </c>
      <c r="B6898" t="inlineStr">
        <is>
          <t>F277225</t>
        </is>
      </c>
      <c r="C6898" t="inlineStr">
        <is>
          <t>C10915</t>
        </is>
      </c>
      <c r="D6898" t="inlineStr">
        <is>
          <t>SKU-10129</t>
        </is>
      </c>
      <c r="E6898" t="inlineStr">
        <is>
          <t>AM01</t>
        </is>
      </c>
      <c r="F6898" s="5" t="n">
        <v>1450.82</v>
      </c>
      <c r="G6898">
        <f>IF(LEFT(B6898,1)="C","Credit","Factuur")</f>
        <v/>
      </c>
      <c r="H6898">
        <f>IF(AND(B6898=B6897,D6898=D6897,A6898=A6897,F6898=F6897),1,0)</f>
        <v/>
      </c>
      <c r="I6898">
        <f>IF(C6898="C99999",1,0)</f>
        <v/>
      </c>
      <c r="J6898" s="5">
        <f>IF(OR(H6898=1,I6898=1),0,IF(G6898="Credit",-F6898,F6898))</f>
        <v/>
      </c>
    </row>
    <row r="6899">
      <c r="A6899" t="inlineStr">
        <is>
          <t>2026-09-04</t>
        </is>
      </c>
      <c r="B6899" t="inlineStr">
        <is>
          <t>F277225</t>
        </is>
      </c>
      <c r="C6899" t="inlineStr">
        <is>
          <t>C10915</t>
        </is>
      </c>
      <c r="D6899" t="inlineStr">
        <is>
          <t>SKU-10133</t>
        </is>
      </c>
      <c r="E6899" t="inlineStr">
        <is>
          <t>AM01</t>
        </is>
      </c>
      <c r="F6899" s="5" t="n">
        <v>1382.95</v>
      </c>
      <c r="G6899">
        <f>IF(LEFT(B6899,1)="C","Credit","Factuur")</f>
        <v/>
      </c>
      <c r="H6899">
        <f>IF(AND(B6899=B6898,D6899=D6898,A6899=A6898,F6899=F6898),1,0)</f>
        <v/>
      </c>
      <c r="I6899">
        <f>IF(C6899="C99999",1,0)</f>
        <v/>
      </c>
      <c r="J6899" s="5">
        <f>IF(OR(H6899=1,I6899=1),0,IF(G6899="Credit",-F6899,F6899))</f>
        <v/>
      </c>
    </row>
    <row r="6900">
      <c r="A6900" t="inlineStr">
        <is>
          <t>2026-09-04</t>
        </is>
      </c>
      <c r="B6900" t="inlineStr">
        <is>
          <t>F277275</t>
        </is>
      </c>
      <c r="C6900" t="inlineStr">
        <is>
          <t>C10918</t>
        </is>
      </c>
      <c r="D6900" t="inlineStr">
        <is>
          <t>SKU-10203</t>
        </is>
      </c>
      <c r="E6900" t="inlineStr">
        <is>
          <t>AM01</t>
        </is>
      </c>
      <c r="F6900" s="5" t="n">
        <v>1560.3</v>
      </c>
      <c r="G6900">
        <f>IF(LEFT(B6900,1)="C","Credit","Factuur")</f>
        <v/>
      </c>
      <c r="H6900">
        <f>IF(AND(B6900=B6899,D6900=D6899,A6900=A6899,F6900=F6899),1,0)</f>
        <v/>
      </c>
      <c r="I6900">
        <f>IF(C6900="C99999",1,0)</f>
        <v/>
      </c>
      <c r="J6900" s="5">
        <f>IF(OR(H6900=1,I6900=1),0,IF(G6900="Credit",-F6900,F6900))</f>
        <v/>
      </c>
    </row>
    <row r="6901">
      <c r="A6901" t="inlineStr">
        <is>
          <t>2026-09-04</t>
        </is>
      </c>
      <c r="B6901" t="inlineStr">
        <is>
          <t>F277275</t>
        </is>
      </c>
      <c r="C6901" t="inlineStr">
        <is>
          <t>C10918</t>
        </is>
      </c>
      <c r="D6901" t="inlineStr">
        <is>
          <t>SKU-10334</t>
        </is>
      </c>
      <c r="E6901" t="inlineStr">
        <is>
          <t>AM01</t>
        </is>
      </c>
      <c r="F6901" s="5" t="n">
        <v>1520.68</v>
      </c>
      <c r="G6901">
        <f>IF(LEFT(B6901,1)="C","Credit","Factuur")</f>
        <v/>
      </c>
      <c r="H6901">
        <f>IF(AND(B6901=B6900,D6901=D6900,A6901=A6900,F6901=F6900),1,0)</f>
        <v/>
      </c>
      <c r="I6901">
        <f>IF(C6901="C99999",1,0)</f>
        <v/>
      </c>
      <c r="J6901" s="5">
        <f>IF(OR(H6901=1,I6901=1),0,IF(G6901="Credit",-F6901,F6901))</f>
        <v/>
      </c>
    </row>
    <row r="6902">
      <c r="A6902" t="inlineStr">
        <is>
          <t>2026-09-04</t>
        </is>
      </c>
      <c r="B6902" t="inlineStr">
        <is>
          <t>F277332</t>
        </is>
      </c>
      <c r="C6902" t="inlineStr">
        <is>
          <t>C10921</t>
        </is>
      </c>
      <c r="D6902" t="inlineStr">
        <is>
          <t>SKU-10231</t>
        </is>
      </c>
      <c r="E6902" t="inlineStr">
        <is>
          <t>AM07</t>
        </is>
      </c>
      <c r="F6902" s="5" t="n">
        <v>129.57</v>
      </c>
      <c r="G6902">
        <f>IF(LEFT(B6902,1)="C","Credit","Factuur")</f>
        <v/>
      </c>
      <c r="H6902">
        <f>IF(AND(B6902=B6901,D6902=D6901,A6902=A6901,F6902=F6901),1,0)</f>
        <v/>
      </c>
      <c r="I6902">
        <f>IF(C6902="C99999",1,0)</f>
        <v/>
      </c>
      <c r="J6902" s="5">
        <f>IF(OR(H6902=1,I6902=1),0,IF(G6902="Credit",-F6902,F6902))</f>
        <v/>
      </c>
    </row>
    <row r="6903">
      <c r="A6903" t="inlineStr">
        <is>
          <t>2026-09-04</t>
        </is>
      </c>
      <c r="B6903" t="inlineStr">
        <is>
          <t>F277332</t>
        </is>
      </c>
      <c r="C6903" t="inlineStr">
        <is>
          <t>C10921</t>
        </is>
      </c>
      <c r="D6903" t="inlineStr">
        <is>
          <t>SKU-10242</t>
        </is>
      </c>
      <c r="E6903" t="inlineStr">
        <is>
          <t>AM07</t>
        </is>
      </c>
      <c r="F6903" s="5" t="n">
        <v>136.8</v>
      </c>
      <c r="G6903">
        <f>IF(LEFT(B6903,1)="C","Credit","Factuur")</f>
        <v/>
      </c>
      <c r="H6903">
        <f>IF(AND(B6903=B6902,D6903=D6902,A6903=A6902,F6903=F6902),1,0)</f>
        <v/>
      </c>
      <c r="I6903">
        <f>IF(C6903="C99999",1,0)</f>
        <v/>
      </c>
      <c r="J6903" s="5">
        <f>IF(OR(H6903=1,I6903=1),0,IF(G6903="Credit",-F6903,F6903))</f>
        <v/>
      </c>
    </row>
    <row r="6904">
      <c r="A6904" t="inlineStr">
        <is>
          <t>2026-09-04</t>
        </is>
      </c>
      <c r="B6904" t="inlineStr">
        <is>
          <t>F277332</t>
        </is>
      </c>
      <c r="C6904" t="inlineStr">
        <is>
          <t>C10921</t>
        </is>
      </c>
      <c r="D6904" t="inlineStr">
        <is>
          <t>SKU-10312</t>
        </is>
      </c>
      <c r="E6904" t="inlineStr">
        <is>
          <t>AM07</t>
        </is>
      </c>
      <c r="F6904" s="5" t="n">
        <v>137.6</v>
      </c>
      <c r="G6904">
        <f>IF(LEFT(B6904,1)="C","Credit","Factuur")</f>
        <v/>
      </c>
      <c r="H6904">
        <f>IF(AND(B6904=B6903,D6904=D6903,A6904=A6903,F6904=F6903),1,0)</f>
        <v/>
      </c>
      <c r="I6904">
        <f>IF(C6904="C99999",1,0)</f>
        <v/>
      </c>
      <c r="J6904" s="5">
        <f>IF(OR(H6904=1,I6904=1),0,IF(G6904="Credit",-F6904,F6904))</f>
        <v/>
      </c>
    </row>
    <row r="6905">
      <c r="A6905" t="inlineStr">
        <is>
          <t>2026-09-04</t>
        </is>
      </c>
      <c r="B6905" t="inlineStr">
        <is>
          <t>F277332</t>
        </is>
      </c>
      <c r="C6905" t="inlineStr">
        <is>
          <t>C10921</t>
        </is>
      </c>
      <c r="D6905" t="inlineStr">
        <is>
          <t>SKU-10319</t>
        </is>
      </c>
      <c r="E6905" t="inlineStr">
        <is>
          <t>AM07</t>
        </is>
      </c>
      <c r="F6905" s="5" t="n">
        <v>123</v>
      </c>
      <c r="G6905">
        <f>IF(LEFT(B6905,1)="C","Credit","Factuur")</f>
        <v/>
      </c>
      <c r="H6905">
        <f>IF(AND(B6905=B6904,D6905=D6904,A6905=A6904,F6905=F6904),1,0)</f>
        <v/>
      </c>
      <c r="I6905">
        <f>IF(C6905="C99999",1,0)</f>
        <v/>
      </c>
      <c r="J6905" s="5">
        <f>IF(OR(H6905=1,I6905=1),0,IF(G6905="Credit",-F6905,F6905))</f>
        <v/>
      </c>
    </row>
    <row r="6906">
      <c r="A6906" t="inlineStr">
        <is>
          <t>2026-09-04</t>
        </is>
      </c>
      <c r="B6906" t="inlineStr">
        <is>
          <t>F277332</t>
        </is>
      </c>
      <c r="C6906" t="inlineStr">
        <is>
          <t>C10921</t>
        </is>
      </c>
      <c r="D6906" t="inlineStr">
        <is>
          <t>SKU-10323</t>
        </is>
      </c>
      <c r="E6906" t="inlineStr">
        <is>
          <t>AM07</t>
        </is>
      </c>
      <c r="F6906" s="5" t="n">
        <v>127.08</v>
      </c>
      <c r="G6906">
        <f>IF(LEFT(B6906,1)="C","Credit","Factuur")</f>
        <v/>
      </c>
      <c r="H6906">
        <f>IF(AND(B6906=B6905,D6906=D6905,A6906=A6905,F6906=F6905),1,0)</f>
        <v/>
      </c>
      <c r="I6906">
        <f>IF(C6906="C99999",1,0)</f>
        <v/>
      </c>
      <c r="J6906" s="5">
        <f>IF(OR(H6906=1,I6906=1),0,IF(G6906="Credit",-F6906,F6906))</f>
        <v/>
      </c>
    </row>
    <row r="6907">
      <c r="A6907" t="inlineStr">
        <is>
          <t>2026-09-04</t>
        </is>
      </c>
      <c r="B6907" t="inlineStr">
        <is>
          <t>F277377</t>
        </is>
      </c>
      <c r="C6907" t="inlineStr">
        <is>
          <t>C10923</t>
        </is>
      </c>
      <c r="D6907" t="inlineStr">
        <is>
          <t>SKU-10046</t>
        </is>
      </c>
      <c r="E6907" t="inlineStr">
        <is>
          <t>AM08</t>
        </is>
      </c>
      <c r="F6907" s="5" t="n">
        <v>94.68000000000001</v>
      </c>
      <c r="G6907">
        <f>IF(LEFT(B6907,1)="C","Credit","Factuur")</f>
        <v/>
      </c>
      <c r="H6907">
        <f>IF(AND(B6907=B6906,D6907=D6906,A6907=A6906,F6907=F6906),1,0)</f>
        <v/>
      </c>
      <c r="I6907">
        <f>IF(C6907="C99999",1,0)</f>
        <v/>
      </c>
      <c r="J6907" s="5">
        <f>IF(OR(H6907=1,I6907=1),0,IF(G6907="Credit",-F6907,F6907))</f>
        <v/>
      </c>
    </row>
    <row r="6908">
      <c r="A6908" t="inlineStr">
        <is>
          <t>2026-09-04</t>
        </is>
      </c>
      <c r="B6908" t="inlineStr">
        <is>
          <t>F277377</t>
        </is>
      </c>
      <c r="C6908" t="inlineStr">
        <is>
          <t>C10923</t>
        </is>
      </c>
      <c r="D6908" t="inlineStr">
        <is>
          <t>SKU-10067</t>
        </is>
      </c>
      <c r="E6908" t="inlineStr">
        <is>
          <t>AM08</t>
        </is>
      </c>
      <c r="F6908" s="5" t="n">
        <v>116.12</v>
      </c>
      <c r="G6908">
        <f>IF(LEFT(B6908,1)="C","Credit","Factuur")</f>
        <v/>
      </c>
      <c r="H6908">
        <f>IF(AND(B6908=B6907,D6908=D6907,A6908=A6907,F6908=F6907),1,0)</f>
        <v/>
      </c>
      <c r="I6908">
        <f>IF(C6908="C99999",1,0)</f>
        <v/>
      </c>
      <c r="J6908" s="5">
        <f>IF(OR(H6908=1,I6908=1),0,IF(G6908="Credit",-F6908,F6908))</f>
        <v/>
      </c>
    </row>
    <row r="6909">
      <c r="A6909" t="inlineStr">
        <is>
          <t>2026-09-04</t>
        </is>
      </c>
      <c r="B6909" t="inlineStr">
        <is>
          <t>F277377</t>
        </is>
      </c>
      <c r="C6909" t="inlineStr">
        <is>
          <t>C10923</t>
        </is>
      </c>
      <c r="D6909" t="inlineStr">
        <is>
          <t>SKU-10093</t>
        </is>
      </c>
      <c r="E6909" t="inlineStr">
        <is>
          <t>AM08</t>
        </is>
      </c>
      <c r="F6909" s="5" t="n">
        <v>96.89</v>
      </c>
      <c r="G6909">
        <f>IF(LEFT(B6909,1)="C","Credit","Factuur")</f>
        <v/>
      </c>
      <c r="H6909">
        <f>IF(AND(B6909=B6908,D6909=D6908,A6909=A6908,F6909=F6908),1,0)</f>
        <v/>
      </c>
      <c r="I6909">
        <f>IF(C6909="C99999",1,0)</f>
        <v/>
      </c>
      <c r="J6909" s="5">
        <f>IF(OR(H6909=1,I6909=1),0,IF(G6909="Credit",-F6909,F6909))</f>
        <v/>
      </c>
    </row>
    <row r="6910">
      <c r="A6910" t="inlineStr">
        <is>
          <t>2026-09-04</t>
        </is>
      </c>
      <c r="B6910" t="inlineStr">
        <is>
          <t>F277377</t>
        </is>
      </c>
      <c r="C6910" t="inlineStr">
        <is>
          <t>C10923</t>
        </is>
      </c>
      <c r="D6910" t="inlineStr">
        <is>
          <t>SKU-10100</t>
        </is>
      </c>
      <c r="E6910" t="inlineStr">
        <is>
          <t>AM08</t>
        </is>
      </c>
      <c r="F6910" s="5" t="n">
        <v>82.25</v>
      </c>
      <c r="G6910">
        <f>IF(LEFT(B6910,1)="C","Credit","Factuur")</f>
        <v/>
      </c>
      <c r="H6910">
        <f>IF(AND(B6910=B6909,D6910=D6909,A6910=A6909,F6910=F6909),1,0)</f>
        <v/>
      </c>
      <c r="I6910">
        <f>IF(C6910="C99999",1,0)</f>
        <v/>
      </c>
      <c r="J6910" s="5">
        <f>IF(OR(H6910=1,I6910=1),0,IF(G6910="Credit",-F6910,F6910))</f>
        <v/>
      </c>
    </row>
    <row r="6911">
      <c r="A6911" t="inlineStr">
        <is>
          <t>2026-09-04</t>
        </is>
      </c>
      <c r="B6911" t="inlineStr">
        <is>
          <t>F277518</t>
        </is>
      </c>
      <c r="C6911" t="inlineStr">
        <is>
          <t>C10931</t>
        </is>
      </c>
      <c r="D6911" t="inlineStr">
        <is>
          <t>SKU-10044</t>
        </is>
      </c>
      <c r="E6911" t="inlineStr">
        <is>
          <t>AM11</t>
        </is>
      </c>
      <c r="F6911" s="5" t="n">
        <v>1030.68</v>
      </c>
      <c r="G6911">
        <f>IF(LEFT(B6911,1)="C","Credit","Factuur")</f>
        <v/>
      </c>
      <c r="H6911">
        <f>IF(AND(B6911=B6910,D6911=D6910,A6911=A6910,F6911=F6910),1,0)</f>
        <v/>
      </c>
      <c r="I6911">
        <f>IF(C6911="C99999",1,0)</f>
        <v/>
      </c>
      <c r="J6911" s="5">
        <f>IF(OR(H6911=1,I6911=1),0,IF(G6911="Credit",-F6911,F6911))</f>
        <v/>
      </c>
    </row>
    <row r="6912">
      <c r="A6912" t="inlineStr">
        <is>
          <t>2026-09-04</t>
        </is>
      </c>
      <c r="B6912" t="inlineStr">
        <is>
          <t>F277518</t>
        </is>
      </c>
      <c r="C6912" t="inlineStr">
        <is>
          <t>C10931</t>
        </is>
      </c>
      <c r="D6912" t="inlineStr">
        <is>
          <t>SKU-10281</t>
        </is>
      </c>
      <c r="E6912" t="inlineStr">
        <is>
          <t>AM11</t>
        </is>
      </c>
      <c r="F6912" s="5" t="n">
        <v>1017</v>
      </c>
      <c r="G6912">
        <f>IF(LEFT(B6912,1)="C","Credit","Factuur")</f>
        <v/>
      </c>
      <c r="H6912">
        <f>IF(AND(B6912=B6911,D6912=D6911,A6912=A6911,F6912=F6911),1,0)</f>
        <v/>
      </c>
      <c r="I6912">
        <f>IF(C6912="C99999",1,0)</f>
        <v/>
      </c>
      <c r="J6912" s="5">
        <f>IF(OR(H6912=1,I6912=1),0,IF(G6912="Credit",-F6912,F6912))</f>
        <v/>
      </c>
    </row>
    <row r="6913">
      <c r="A6913" t="inlineStr">
        <is>
          <t>2026-09-04</t>
        </is>
      </c>
      <c r="B6913" t="inlineStr">
        <is>
          <t>F277518</t>
        </is>
      </c>
      <c r="C6913" t="inlineStr">
        <is>
          <t>C10931</t>
        </is>
      </c>
      <c r="D6913" t="inlineStr">
        <is>
          <t>SKU-10311</t>
        </is>
      </c>
      <c r="E6913" t="inlineStr">
        <is>
          <t>AM11</t>
        </is>
      </c>
      <c r="F6913" s="5" t="n">
        <v>1014.99</v>
      </c>
      <c r="G6913">
        <f>IF(LEFT(B6913,1)="C","Credit","Factuur")</f>
        <v/>
      </c>
      <c r="H6913">
        <f>IF(AND(B6913=B6912,D6913=D6912,A6913=A6912,F6913=F6912),1,0)</f>
        <v/>
      </c>
      <c r="I6913">
        <f>IF(C6913="C99999",1,0)</f>
        <v/>
      </c>
      <c r="J6913" s="5">
        <f>IF(OR(H6913=1,I6913=1),0,IF(G6913="Credit",-F6913,F6913))</f>
        <v/>
      </c>
    </row>
    <row r="6914">
      <c r="A6914" t="inlineStr">
        <is>
          <t>2026-09-04</t>
        </is>
      </c>
      <c r="B6914" t="inlineStr">
        <is>
          <t>F277518</t>
        </is>
      </c>
      <c r="C6914" t="inlineStr">
        <is>
          <t>C10931</t>
        </is>
      </c>
      <c r="D6914" t="inlineStr">
        <is>
          <t>SKU-10335</t>
        </is>
      </c>
      <c r="E6914" t="inlineStr">
        <is>
          <t>AM11</t>
        </is>
      </c>
      <c r="F6914" s="5" t="n">
        <v>1017.24</v>
      </c>
      <c r="G6914">
        <f>IF(LEFT(B6914,1)="C","Credit","Factuur")</f>
        <v/>
      </c>
      <c r="H6914">
        <f>IF(AND(B6914=B6913,D6914=D6913,A6914=A6913,F6914=F6913),1,0)</f>
        <v/>
      </c>
      <c r="I6914">
        <f>IF(C6914="C99999",1,0)</f>
        <v/>
      </c>
      <c r="J6914" s="5">
        <f>IF(OR(H6914=1,I6914=1),0,IF(G6914="Credit",-F6914,F6914))</f>
        <v/>
      </c>
    </row>
    <row r="6915">
      <c r="A6915" t="inlineStr">
        <is>
          <t>2026-09-04</t>
        </is>
      </c>
      <c r="B6915" t="inlineStr">
        <is>
          <t>F277580</t>
        </is>
      </c>
      <c r="C6915" t="inlineStr">
        <is>
          <t>C10934</t>
        </is>
      </c>
      <c r="D6915" t="inlineStr">
        <is>
          <t>SKU-10060</t>
        </is>
      </c>
      <c r="E6915" t="inlineStr">
        <is>
          <t>AM02</t>
        </is>
      </c>
      <c r="F6915" s="5" t="n">
        <v>441</v>
      </c>
      <c r="G6915">
        <f>IF(LEFT(B6915,1)="C","Credit","Factuur")</f>
        <v/>
      </c>
      <c r="H6915">
        <f>IF(AND(B6915=B6914,D6915=D6914,A6915=A6914,F6915=F6914),1,0)</f>
        <v/>
      </c>
      <c r="I6915">
        <f>IF(C6915="C99999",1,0)</f>
        <v/>
      </c>
      <c r="J6915" s="5">
        <f>IF(OR(H6915=1,I6915=1),0,IF(G6915="Credit",-F6915,F6915))</f>
        <v/>
      </c>
    </row>
    <row r="6916">
      <c r="A6916" t="inlineStr">
        <is>
          <t>2026-09-04</t>
        </is>
      </c>
      <c r="B6916" t="inlineStr">
        <is>
          <t>F277580</t>
        </is>
      </c>
      <c r="C6916" t="inlineStr">
        <is>
          <t>C10934</t>
        </is>
      </c>
      <c r="D6916" t="inlineStr">
        <is>
          <t>SKU-10156</t>
        </is>
      </c>
      <c r="E6916" t="inlineStr">
        <is>
          <t>AM02</t>
        </is>
      </c>
      <c r="F6916" s="5" t="n">
        <v>448.8</v>
      </c>
      <c r="G6916">
        <f>IF(LEFT(B6916,1)="C","Credit","Factuur")</f>
        <v/>
      </c>
      <c r="H6916">
        <f>IF(AND(B6916=B6915,D6916=D6915,A6916=A6915,F6916=F6915),1,0)</f>
        <v/>
      </c>
      <c r="I6916">
        <f>IF(C6916="C99999",1,0)</f>
        <v/>
      </c>
      <c r="J6916" s="5">
        <f>IF(OR(H6916=1,I6916=1),0,IF(G6916="Credit",-F6916,F6916))</f>
        <v/>
      </c>
    </row>
    <row r="6917">
      <c r="A6917" t="inlineStr">
        <is>
          <t>2026-09-04</t>
        </is>
      </c>
      <c r="B6917" t="inlineStr">
        <is>
          <t>F277580</t>
        </is>
      </c>
      <c r="C6917" t="inlineStr">
        <is>
          <t>C10934</t>
        </is>
      </c>
      <c r="D6917" t="inlineStr">
        <is>
          <t>SKU-10168</t>
        </is>
      </c>
      <c r="E6917" t="inlineStr">
        <is>
          <t>AM02</t>
        </is>
      </c>
      <c r="F6917" s="5" t="n">
        <v>397.88</v>
      </c>
      <c r="G6917">
        <f>IF(LEFT(B6917,1)="C","Credit","Factuur")</f>
        <v/>
      </c>
      <c r="H6917">
        <f>IF(AND(B6917=B6916,D6917=D6916,A6917=A6916,F6917=F6916),1,0)</f>
        <v/>
      </c>
      <c r="I6917">
        <f>IF(C6917="C99999",1,0)</f>
        <v/>
      </c>
      <c r="J6917" s="5">
        <f>IF(OR(H6917=1,I6917=1),0,IF(G6917="Credit",-F6917,F6917))</f>
        <v/>
      </c>
    </row>
    <row r="6918">
      <c r="A6918" t="inlineStr">
        <is>
          <t>2026-09-04</t>
        </is>
      </c>
      <c r="B6918" t="inlineStr">
        <is>
          <t>F277580</t>
        </is>
      </c>
      <c r="C6918" t="inlineStr">
        <is>
          <t>C10934</t>
        </is>
      </c>
      <c r="D6918" t="inlineStr">
        <is>
          <t>SKU-10323</t>
        </is>
      </c>
      <c r="E6918" t="inlineStr">
        <is>
          <t>AM02</t>
        </is>
      </c>
      <c r="F6918" s="5" t="n">
        <v>375.06</v>
      </c>
      <c r="G6918">
        <f>IF(LEFT(B6918,1)="C","Credit","Factuur")</f>
        <v/>
      </c>
      <c r="H6918">
        <f>IF(AND(B6918=B6917,D6918=D6917,A6918=A6917,F6918=F6917),1,0)</f>
        <v/>
      </c>
      <c r="I6918">
        <f>IF(C6918="C99999",1,0)</f>
        <v/>
      </c>
      <c r="J6918" s="5">
        <f>IF(OR(H6918=1,I6918=1),0,IF(G6918="Credit",-F6918,F6918))</f>
        <v/>
      </c>
    </row>
    <row r="6919">
      <c r="A6919" t="inlineStr">
        <is>
          <t>2026-09-04</t>
        </is>
      </c>
      <c r="B6919" t="inlineStr">
        <is>
          <t>F277580</t>
        </is>
      </c>
      <c r="C6919" t="inlineStr">
        <is>
          <t>C10934</t>
        </is>
      </c>
      <c r="D6919" t="inlineStr">
        <is>
          <t>SKU-10345</t>
        </is>
      </c>
      <c r="E6919" t="inlineStr">
        <is>
          <t>AM02</t>
        </is>
      </c>
      <c r="F6919" s="5" t="n">
        <v>433.32</v>
      </c>
      <c r="G6919">
        <f>IF(LEFT(B6919,1)="C","Credit","Factuur")</f>
        <v/>
      </c>
      <c r="H6919">
        <f>IF(AND(B6919=B6918,D6919=D6918,A6919=A6918,F6919=F6918),1,0)</f>
        <v/>
      </c>
      <c r="I6919">
        <f>IF(C6919="C99999",1,0)</f>
        <v/>
      </c>
      <c r="J6919" s="5">
        <f>IF(OR(H6919=1,I6919=1),0,IF(G6919="Credit",-F6919,F6919))</f>
        <v/>
      </c>
    </row>
    <row r="6920">
      <c r="A6920" t="inlineStr">
        <is>
          <t>2026-09-04</t>
        </is>
      </c>
      <c r="B6920" t="inlineStr">
        <is>
          <t>F277945</t>
        </is>
      </c>
      <c r="C6920" t="inlineStr">
        <is>
          <t>C10952</t>
        </is>
      </c>
      <c r="D6920" t="inlineStr">
        <is>
          <t>SKU-10030</t>
        </is>
      </c>
      <c r="E6920" t="inlineStr">
        <is>
          <t>AM01</t>
        </is>
      </c>
      <c r="F6920" s="5" t="n">
        <v>140.96</v>
      </c>
      <c r="G6920">
        <f>IF(LEFT(B6920,1)="C","Credit","Factuur")</f>
        <v/>
      </c>
      <c r="H6920">
        <f>IF(AND(B6920=B6919,D6920=D6919,A6920=A6919,F6920=F6919),1,0)</f>
        <v/>
      </c>
      <c r="I6920">
        <f>IF(C6920="C99999",1,0)</f>
        <v/>
      </c>
      <c r="J6920" s="5">
        <f>IF(OR(H6920=1,I6920=1),0,IF(G6920="Credit",-F6920,F6920))</f>
        <v/>
      </c>
    </row>
    <row r="6921">
      <c r="A6921" t="inlineStr">
        <is>
          <t>2026-09-04</t>
        </is>
      </c>
      <c r="B6921" t="inlineStr">
        <is>
          <t>F277945</t>
        </is>
      </c>
      <c r="C6921" t="inlineStr">
        <is>
          <t>C10952</t>
        </is>
      </c>
      <c r="D6921" t="inlineStr">
        <is>
          <t>SKU-10228</t>
        </is>
      </c>
      <c r="E6921" t="inlineStr">
        <is>
          <t>AM01</t>
        </is>
      </c>
      <c r="F6921" s="5" t="n">
        <v>155.8</v>
      </c>
      <c r="G6921">
        <f>IF(LEFT(B6921,1)="C","Credit","Factuur")</f>
        <v/>
      </c>
      <c r="H6921">
        <f>IF(AND(B6921=B6920,D6921=D6920,A6921=A6920,F6921=F6920),1,0)</f>
        <v/>
      </c>
      <c r="I6921">
        <f>IF(C6921="C99999",1,0)</f>
        <v/>
      </c>
      <c r="J6921" s="5">
        <f>IF(OR(H6921=1,I6921=1),0,IF(G6921="Credit",-F6921,F6921))</f>
        <v/>
      </c>
    </row>
    <row r="6922">
      <c r="A6922" t="inlineStr">
        <is>
          <t>2026-09-04</t>
        </is>
      </c>
      <c r="B6922" t="inlineStr">
        <is>
          <t>F277945</t>
        </is>
      </c>
      <c r="C6922" t="inlineStr">
        <is>
          <t>C10952</t>
        </is>
      </c>
      <c r="D6922" t="inlineStr">
        <is>
          <t>SKU-10282</t>
        </is>
      </c>
      <c r="E6922" t="inlineStr">
        <is>
          <t>AM01</t>
        </is>
      </c>
      <c r="F6922" s="5" t="n">
        <v>144.31</v>
      </c>
      <c r="G6922">
        <f>IF(LEFT(B6922,1)="C","Credit","Factuur")</f>
        <v/>
      </c>
      <c r="H6922">
        <f>IF(AND(B6922=B6921,D6922=D6921,A6922=A6921,F6922=F6921),1,0)</f>
        <v/>
      </c>
      <c r="I6922">
        <f>IF(C6922="C99999",1,0)</f>
        <v/>
      </c>
      <c r="J6922" s="5">
        <f>IF(OR(H6922=1,I6922=1),0,IF(G6922="Credit",-F6922,F6922))</f>
        <v/>
      </c>
    </row>
    <row r="6923">
      <c r="A6923" t="inlineStr">
        <is>
          <t>2026-09-04</t>
        </is>
      </c>
      <c r="B6923" t="inlineStr">
        <is>
          <t>F277976</t>
        </is>
      </c>
      <c r="C6923" t="inlineStr">
        <is>
          <t>C10952</t>
        </is>
      </c>
      <c r="D6923" t="inlineStr">
        <is>
          <t>SKU-10012</t>
        </is>
      </c>
      <c r="E6923" t="inlineStr">
        <is>
          <t>AM01</t>
        </is>
      </c>
      <c r="F6923" s="5" t="n">
        <v>191.46</v>
      </c>
      <c r="G6923">
        <f>IF(LEFT(B6923,1)="C","Credit","Factuur")</f>
        <v/>
      </c>
      <c r="H6923">
        <f>IF(AND(B6923=B6922,D6923=D6922,A6923=A6922,F6923=F6922),1,0)</f>
        <v/>
      </c>
      <c r="I6923">
        <f>IF(C6923="C99999",1,0)</f>
        <v/>
      </c>
      <c r="J6923" s="5">
        <f>IF(OR(H6923=1,I6923=1),0,IF(G6923="Credit",-F6923,F6923))</f>
        <v/>
      </c>
    </row>
    <row r="6924">
      <c r="A6924" t="inlineStr">
        <is>
          <t>2026-09-04</t>
        </is>
      </c>
      <c r="B6924" t="inlineStr">
        <is>
          <t>F277976</t>
        </is>
      </c>
      <c r="C6924" t="inlineStr">
        <is>
          <t>C10952</t>
        </is>
      </c>
      <c r="D6924" t="inlineStr">
        <is>
          <t>SKU-10213</t>
        </is>
      </c>
      <c r="E6924" t="inlineStr">
        <is>
          <t>AM01</t>
        </is>
      </c>
      <c r="F6924" s="5" t="n">
        <v>171.45</v>
      </c>
      <c r="G6924">
        <f>IF(LEFT(B6924,1)="C","Credit","Factuur")</f>
        <v/>
      </c>
      <c r="H6924">
        <f>IF(AND(B6924=B6923,D6924=D6923,A6924=A6923,F6924=F6923),1,0)</f>
        <v/>
      </c>
      <c r="I6924">
        <f>IF(C6924="C99999",1,0)</f>
        <v/>
      </c>
      <c r="J6924" s="5">
        <f>IF(OR(H6924=1,I6924=1),0,IF(G6924="Credit",-F6924,F6924))</f>
        <v/>
      </c>
    </row>
    <row r="6925">
      <c r="A6925" t="inlineStr">
        <is>
          <t>2026-09-04</t>
        </is>
      </c>
      <c r="B6925" t="inlineStr">
        <is>
          <t>F277976</t>
        </is>
      </c>
      <c r="C6925" t="inlineStr">
        <is>
          <t>C10952</t>
        </is>
      </c>
      <c r="D6925" t="inlineStr">
        <is>
          <t>SKU-10234</t>
        </is>
      </c>
      <c r="E6925" t="inlineStr">
        <is>
          <t>AM01</t>
        </is>
      </c>
      <c r="F6925" s="5" t="n">
        <v>181.26</v>
      </c>
      <c r="G6925">
        <f>IF(LEFT(B6925,1)="C","Credit","Factuur")</f>
        <v/>
      </c>
      <c r="H6925">
        <f>IF(AND(B6925=B6924,D6925=D6924,A6925=A6924,F6925=F6924),1,0)</f>
        <v/>
      </c>
      <c r="I6925">
        <f>IF(C6925="C99999",1,0)</f>
        <v/>
      </c>
      <c r="J6925" s="5">
        <f>IF(OR(H6925=1,I6925=1),0,IF(G6925="Credit",-F6925,F6925))</f>
        <v/>
      </c>
    </row>
    <row r="6926">
      <c r="A6926" t="inlineStr">
        <is>
          <t>2026-09-04</t>
        </is>
      </c>
      <c r="B6926" t="inlineStr">
        <is>
          <t>F277976</t>
        </is>
      </c>
      <c r="C6926" t="inlineStr">
        <is>
          <t>C10952</t>
        </is>
      </c>
      <c r="D6926" t="inlineStr">
        <is>
          <t>SKU-10250</t>
        </is>
      </c>
      <c r="E6926" t="inlineStr">
        <is>
          <t>AM01</t>
        </is>
      </c>
      <c r="F6926" s="5" t="n">
        <v>191.52</v>
      </c>
      <c r="G6926">
        <f>IF(LEFT(B6926,1)="C","Credit","Factuur")</f>
        <v/>
      </c>
      <c r="H6926">
        <f>IF(AND(B6926=B6925,D6926=D6925,A6926=A6925,F6926=F6925),1,0)</f>
        <v/>
      </c>
      <c r="I6926">
        <f>IF(C6926="C99999",1,0)</f>
        <v/>
      </c>
      <c r="J6926" s="5">
        <f>IF(OR(H6926=1,I6926=1),0,IF(G6926="Credit",-F6926,F6926))</f>
        <v/>
      </c>
    </row>
    <row r="6927">
      <c r="A6927" t="inlineStr">
        <is>
          <t>2026-09-04</t>
        </is>
      </c>
      <c r="B6927" t="inlineStr">
        <is>
          <t>F278105</t>
        </is>
      </c>
      <c r="C6927" t="inlineStr">
        <is>
          <t>C10962</t>
        </is>
      </c>
      <c r="D6927" t="inlineStr">
        <is>
          <t>SKU-10216</t>
        </is>
      </c>
      <c r="E6927" t="inlineStr">
        <is>
          <t>AM03</t>
        </is>
      </c>
      <c r="F6927" s="5" t="n">
        <v>3009.48</v>
      </c>
      <c r="G6927">
        <f>IF(LEFT(B6927,1)="C","Credit","Factuur")</f>
        <v/>
      </c>
      <c r="H6927">
        <f>IF(AND(B6927=B6926,D6927=D6926,A6927=A6926,F6927=F6926),1,0)</f>
        <v/>
      </c>
      <c r="I6927">
        <f>IF(C6927="C99999",1,0)</f>
        <v/>
      </c>
      <c r="J6927" s="5">
        <f>IF(OR(H6927=1,I6927=1),0,IF(G6927="Credit",-F6927,F6927))</f>
        <v/>
      </c>
    </row>
    <row r="6928">
      <c r="A6928" t="inlineStr">
        <is>
          <t>2026-09-04</t>
        </is>
      </c>
      <c r="B6928" t="inlineStr">
        <is>
          <t>F278228</t>
        </is>
      </c>
      <c r="C6928" t="inlineStr">
        <is>
          <t>C10968</t>
        </is>
      </c>
      <c r="D6928" t="inlineStr">
        <is>
          <t>SKU-10248</t>
        </is>
      </c>
      <c r="E6928" t="inlineStr">
        <is>
          <t>AM03</t>
        </is>
      </c>
      <c r="F6928" s="5" t="n">
        <v>686.86</v>
      </c>
      <c r="G6928">
        <f>IF(LEFT(B6928,1)="C","Credit","Factuur")</f>
        <v/>
      </c>
      <c r="H6928">
        <f>IF(AND(B6928=B6927,D6928=D6927,A6928=A6927,F6928=F6927),1,0)</f>
        <v/>
      </c>
      <c r="I6928">
        <f>IF(C6928="C99999",1,0)</f>
        <v/>
      </c>
      <c r="J6928" s="5">
        <f>IF(OR(H6928=1,I6928=1),0,IF(G6928="Credit",-F6928,F6928))</f>
        <v/>
      </c>
    </row>
    <row r="6929">
      <c r="A6929" t="inlineStr">
        <is>
          <t>2026-09-04</t>
        </is>
      </c>
      <c r="B6929" t="inlineStr">
        <is>
          <t>F278228</t>
        </is>
      </c>
      <c r="C6929" t="inlineStr">
        <is>
          <t>C10968</t>
        </is>
      </c>
      <c r="D6929" t="inlineStr">
        <is>
          <t>SKU-10254</t>
        </is>
      </c>
      <c r="E6929" t="inlineStr">
        <is>
          <t>AM03</t>
        </is>
      </c>
      <c r="F6929" s="5" t="n">
        <v>697.84</v>
      </c>
      <c r="G6929">
        <f>IF(LEFT(B6929,1)="C","Credit","Factuur")</f>
        <v/>
      </c>
      <c r="H6929">
        <f>IF(AND(B6929=B6928,D6929=D6928,A6929=A6928,F6929=F6928),1,0)</f>
        <v/>
      </c>
      <c r="I6929">
        <f>IF(C6929="C99999",1,0)</f>
        <v/>
      </c>
      <c r="J6929" s="5">
        <f>IF(OR(H6929=1,I6929=1),0,IF(G6929="Credit",-F6929,F6929))</f>
        <v/>
      </c>
    </row>
    <row r="6930">
      <c r="A6930" t="inlineStr">
        <is>
          <t>2026-09-04</t>
        </is>
      </c>
      <c r="B6930" t="inlineStr">
        <is>
          <t>F278340</t>
        </is>
      </c>
      <c r="C6930" t="inlineStr">
        <is>
          <t>C10972</t>
        </is>
      </c>
      <c r="D6930" t="inlineStr">
        <is>
          <t>SKU-10089</t>
        </is>
      </c>
      <c r="E6930" t="inlineStr">
        <is>
          <t>AM03</t>
        </is>
      </c>
      <c r="F6930" s="5" t="n">
        <v>193.89</v>
      </c>
      <c r="G6930">
        <f>IF(LEFT(B6930,1)="C","Credit","Factuur")</f>
        <v/>
      </c>
      <c r="H6930">
        <f>IF(AND(B6930=B6929,D6930=D6929,A6930=A6929,F6930=F6929),1,0)</f>
        <v/>
      </c>
      <c r="I6930">
        <f>IF(C6930="C99999",1,0)</f>
        <v/>
      </c>
      <c r="J6930" s="5">
        <f>IF(OR(H6930=1,I6930=1),0,IF(G6930="Credit",-F6930,F6930))</f>
        <v/>
      </c>
    </row>
    <row r="6931">
      <c r="A6931" t="inlineStr">
        <is>
          <t>2026-09-04</t>
        </is>
      </c>
      <c r="B6931" t="inlineStr">
        <is>
          <t>F278340</t>
        </is>
      </c>
      <c r="C6931" t="inlineStr">
        <is>
          <t>C10972</t>
        </is>
      </c>
      <c r="D6931" t="inlineStr">
        <is>
          <t>SKU-10095</t>
        </is>
      </c>
      <c r="E6931" t="inlineStr">
        <is>
          <t>AM03</t>
        </is>
      </c>
      <c r="F6931" s="5" t="n">
        <v>185.7</v>
      </c>
      <c r="G6931">
        <f>IF(LEFT(B6931,1)="C","Credit","Factuur")</f>
        <v/>
      </c>
      <c r="H6931">
        <f>IF(AND(B6931=B6930,D6931=D6930,A6931=A6930,F6931=F6930),1,0)</f>
        <v/>
      </c>
      <c r="I6931">
        <f>IF(C6931="C99999",1,0)</f>
        <v/>
      </c>
      <c r="J6931" s="5">
        <f>IF(OR(H6931=1,I6931=1),0,IF(G6931="Credit",-F6931,F6931))</f>
        <v/>
      </c>
    </row>
    <row r="6932">
      <c r="A6932" t="inlineStr">
        <is>
          <t>2026-09-04</t>
        </is>
      </c>
      <c r="B6932" t="inlineStr">
        <is>
          <t>F278340</t>
        </is>
      </c>
      <c r="C6932" t="inlineStr">
        <is>
          <t>C10972</t>
        </is>
      </c>
      <c r="D6932" t="inlineStr">
        <is>
          <t>SKU-10099</t>
        </is>
      </c>
      <c r="E6932" t="inlineStr">
        <is>
          <t>AM03</t>
        </is>
      </c>
      <c r="F6932" s="5" t="n">
        <v>174.72</v>
      </c>
      <c r="G6932">
        <f>IF(LEFT(B6932,1)="C","Credit","Factuur")</f>
        <v/>
      </c>
      <c r="H6932">
        <f>IF(AND(B6932=B6931,D6932=D6931,A6932=A6931,F6932=F6931),1,0)</f>
        <v/>
      </c>
      <c r="I6932">
        <f>IF(C6932="C99999",1,0)</f>
        <v/>
      </c>
      <c r="J6932" s="5">
        <f>IF(OR(H6932=1,I6932=1),0,IF(G6932="Credit",-F6932,F6932))</f>
        <v/>
      </c>
    </row>
    <row r="6933">
      <c r="A6933" t="inlineStr">
        <is>
          <t>2026-09-04</t>
        </is>
      </c>
      <c r="B6933" t="inlineStr">
        <is>
          <t>F278340</t>
        </is>
      </c>
      <c r="C6933" t="inlineStr">
        <is>
          <t>C10972</t>
        </is>
      </c>
      <c r="D6933" t="inlineStr">
        <is>
          <t>SKU-10124</t>
        </is>
      </c>
      <c r="E6933" t="inlineStr">
        <is>
          <t>AM03</t>
        </is>
      </c>
      <c r="F6933" s="5" t="n">
        <v>194.16</v>
      </c>
      <c r="G6933">
        <f>IF(LEFT(B6933,1)="C","Credit","Factuur")</f>
        <v/>
      </c>
      <c r="H6933">
        <f>IF(AND(B6933=B6932,D6933=D6932,A6933=A6932,F6933=F6932),1,0)</f>
        <v/>
      </c>
      <c r="I6933">
        <f>IF(C6933="C99999",1,0)</f>
        <v/>
      </c>
      <c r="J6933" s="5">
        <f>IF(OR(H6933=1,I6933=1),0,IF(G6933="Credit",-F6933,F6933))</f>
        <v/>
      </c>
    </row>
    <row r="6934">
      <c r="A6934" t="inlineStr">
        <is>
          <t>2026-09-04</t>
        </is>
      </c>
      <c r="B6934" t="inlineStr">
        <is>
          <t>F278376</t>
        </is>
      </c>
      <c r="C6934" t="inlineStr">
        <is>
          <t>C10974</t>
        </is>
      </c>
      <c r="D6934" t="inlineStr">
        <is>
          <t>SKU-10015</t>
        </is>
      </c>
      <c r="E6934" t="inlineStr">
        <is>
          <t>AM02</t>
        </is>
      </c>
      <c r="F6934" s="5" t="n">
        <v>233.18</v>
      </c>
      <c r="G6934">
        <f>IF(LEFT(B6934,1)="C","Credit","Factuur")</f>
        <v/>
      </c>
      <c r="H6934">
        <f>IF(AND(B6934=B6933,D6934=D6933,A6934=A6933,F6934=F6933),1,0)</f>
        <v/>
      </c>
      <c r="I6934">
        <f>IF(C6934="C99999",1,0)</f>
        <v/>
      </c>
      <c r="J6934" s="5">
        <f>IF(OR(H6934=1,I6934=1),0,IF(G6934="Credit",-F6934,F6934))</f>
        <v/>
      </c>
    </row>
    <row r="6935">
      <c r="A6935" t="inlineStr">
        <is>
          <t>2026-09-04</t>
        </is>
      </c>
      <c r="B6935" t="inlineStr">
        <is>
          <t>F278376</t>
        </is>
      </c>
      <c r="C6935" t="inlineStr">
        <is>
          <t>C10974</t>
        </is>
      </c>
      <c r="D6935" t="inlineStr">
        <is>
          <t>SKU-10080</t>
        </is>
      </c>
      <c r="E6935" t="inlineStr">
        <is>
          <t>AM02</t>
        </is>
      </c>
      <c r="F6935" s="5" t="n">
        <v>254.61</v>
      </c>
      <c r="G6935">
        <f>IF(LEFT(B6935,1)="C","Credit","Factuur")</f>
        <v/>
      </c>
      <c r="H6935">
        <f>IF(AND(B6935=B6934,D6935=D6934,A6935=A6934,F6935=F6934),1,0)</f>
        <v/>
      </c>
      <c r="I6935">
        <f>IF(C6935="C99999",1,0)</f>
        <v/>
      </c>
      <c r="J6935" s="5">
        <f>IF(OR(H6935=1,I6935=1),0,IF(G6935="Credit",-F6935,F6935))</f>
        <v/>
      </c>
    </row>
    <row r="6936">
      <c r="A6936" t="inlineStr">
        <is>
          <t>2026-09-04</t>
        </is>
      </c>
      <c r="B6936" t="inlineStr">
        <is>
          <t>F278376</t>
        </is>
      </c>
      <c r="C6936" t="inlineStr">
        <is>
          <t>C10974</t>
        </is>
      </c>
      <c r="D6936" t="inlineStr">
        <is>
          <t>SKU-10119</t>
        </is>
      </c>
      <c r="E6936" t="inlineStr">
        <is>
          <t>AM02</t>
        </is>
      </c>
      <c r="F6936" s="5" t="n">
        <v>257.5</v>
      </c>
      <c r="G6936">
        <f>IF(LEFT(B6936,1)="C","Credit","Factuur")</f>
        <v/>
      </c>
      <c r="H6936">
        <f>IF(AND(B6936=B6935,D6936=D6935,A6936=A6935,F6936=F6935),1,0)</f>
        <v/>
      </c>
      <c r="I6936">
        <f>IF(C6936="C99999",1,0)</f>
        <v/>
      </c>
      <c r="J6936" s="5">
        <f>IF(OR(H6936=1,I6936=1),0,IF(G6936="Credit",-F6936,F6936))</f>
        <v/>
      </c>
    </row>
    <row r="6937">
      <c r="A6937" t="inlineStr">
        <is>
          <t>2026-09-04</t>
        </is>
      </c>
      <c r="B6937" t="inlineStr">
        <is>
          <t>F278376</t>
        </is>
      </c>
      <c r="C6937" t="inlineStr">
        <is>
          <t>C10974</t>
        </is>
      </c>
      <c r="D6937" t="inlineStr">
        <is>
          <t>SKU-10129</t>
        </is>
      </c>
      <c r="E6937" t="inlineStr">
        <is>
          <t>AM02</t>
        </is>
      </c>
      <c r="F6937" s="5" t="n">
        <v>207.26</v>
      </c>
      <c r="G6937">
        <f>IF(LEFT(B6937,1)="C","Credit","Factuur")</f>
        <v/>
      </c>
      <c r="H6937">
        <f>IF(AND(B6937=B6936,D6937=D6936,A6937=A6936,F6937=F6936),1,0)</f>
        <v/>
      </c>
      <c r="I6937">
        <f>IF(C6937="C99999",1,0)</f>
        <v/>
      </c>
      <c r="J6937" s="5">
        <f>IF(OR(H6937=1,I6937=1),0,IF(G6937="Credit",-F6937,F6937))</f>
        <v/>
      </c>
    </row>
    <row r="6938">
      <c r="A6938" t="inlineStr">
        <is>
          <t>2026-09-04</t>
        </is>
      </c>
      <c r="B6938" t="inlineStr">
        <is>
          <t>F278376</t>
        </is>
      </c>
      <c r="C6938" t="inlineStr">
        <is>
          <t>C10974</t>
        </is>
      </c>
      <c r="D6938" t="inlineStr">
        <is>
          <t>SKU-10274</t>
        </is>
      </c>
      <c r="E6938" t="inlineStr">
        <is>
          <t>AM02</t>
        </is>
      </c>
      <c r="F6938" s="5" t="n">
        <v>256.7</v>
      </c>
      <c r="G6938">
        <f>IF(LEFT(B6938,1)="C","Credit","Factuur")</f>
        <v/>
      </c>
      <c r="H6938">
        <f>IF(AND(B6938=B6937,D6938=D6937,A6938=A6937,F6938=F6937),1,0)</f>
        <v/>
      </c>
      <c r="I6938">
        <f>IF(C6938="C99999",1,0)</f>
        <v/>
      </c>
      <c r="J6938" s="5">
        <f>IF(OR(H6938=1,I6938=1),0,IF(G6938="Credit",-F6938,F6938))</f>
        <v/>
      </c>
    </row>
    <row r="6939">
      <c r="A6939" t="inlineStr">
        <is>
          <t>2026-09-04</t>
        </is>
      </c>
      <c r="B6939" t="inlineStr">
        <is>
          <t>F278598</t>
        </is>
      </c>
      <c r="C6939" t="inlineStr">
        <is>
          <t>C10986</t>
        </is>
      </c>
      <c r="D6939" t="inlineStr">
        <is>
          <t>SKU-10030</t>
        </is>
      </c>
      <c r="E6939" t="inlineStr">
        <is>
          <t>AM08</t>
        </is>
      </c>
      <c r="F6939" s="5" t="n">
        <v>247.3</v>
      </c>
      <c r="G6939">
        <f>IF(LEFT(B6939,1)="C","Credit","Factuur")</f>
        <v/>
      </c>
      <c r="H6939">
        <f>IF(AND(B6939=B6938,D6939=D6938,A6939=A6938,F6939=F6938),1,0)</f>
        <v/>
      </c>
      <c r="I6939">
        <f>IF(C6939="C99999",1,0)</f>
        <v/>
      </c>
      <c r="J6939" s="5">
        <f>IF(OR(H6939=1,I6939=1),0,IF(G6939="Credit",-F6939,F6939))</f>
        <v/>
      </c>
    </row>
    <row r="6940">
      <c r="A6940" t="inlineStr">
        <is>
          <t>2026-09-04</t>
        </is>
      </c>
      <c r="B6940" t="inlineStr">
        <is>
          <t>F278598</t>
        </is>
      </c>
      <c r="C6940" t="inlineStr">
        <is>
          <t>C10986</t>
        </is>
      </c>
      <c r="D6940" t="inlineStr">
        <is>
          <t>SKU-10241</t>
        </is>
      </c>
      <c r="E6940" t="inlineStr">
        <is>
          <t>AM08</t>
        </is>
      </c>
      <c r="F6940" s="5" t="n">
        <v>235.73</v>
      </c>
      <c r="G6940">
        <f>IF(LEFT(B6940,1)="C","Credit","Factuur")</f>
        <v/>
      </c>
      <c r="H6940">
        <f>IF(AND(B6940=B6939,D6940=D6939,A6940=A6939,F6940=F6939),1,0)</f>
        <v/>
      </c>
      <c r="I6940">
        <f>IF(C6940="C99999",1,0)</f>
        <v/>
      </c>
      <c r="J6940" s="5">
        <f>IF(OR(H6940=1,I6940=1),0,IF(G6940="Credit",-F6940,F6940))</f>
        <v/>
      </c>
    </row>
    <row r="6941">
      <c r="A6941" t="inlineStr">
        <is>
          <t>2026-09-04</t>
        </is>
      </c>
      <c r="B6941" t="inlineStr">
        <is>
          <t>F278598</t>
        </is>
      </c>
      <c r="C6941" t="inlineStr">
        <is>
          <t>C10986</t>
        </is>
      </c>
      <c r="D6941" t="inlineStr">
        <is>
          <t>SKU-10250</t>
        </is>
      </c>
      <c r="E6941" t="inlineStr">
        <is>
          <t>AM08</t>
        </is>
      </c>
      <c r="F6941" s="5" t="n">
        <v>227.43</v>
      </c>
      <c r="G6941">
        <f>IF(LEFT(B6941,1)="C","Credit","Factuur")</f>
        <v/>
      </c>
      <c r="H6941">
        <f>IF(AND(B6941=B6940,D6941=D6940,A6941=A6940,F6941=F6940),1,0)</f>
        <v/>
      </c>
      <c r="I6941">
        <f>IF(C6941="C99999",1,0)</f>
        <v/>
      </c>
      <c r="J6941" s="5">
        <f>IF(OR(H6941=1,I6941=1),0,IF(G6941="Credit",-F6941,F6941))</f>
        <v/>
      </c>
    </row>
    <row r="6942">
      <c r="A6942" t="inlineStr">
        <is>
          <t>2026-09-04</t>
        </is>
      </c>
      <c r="B6942" t="inlineStr">
        <is>
          <t>F278598</t>
        </is>
      </c>
      <c r="C6942" t="inlineStr">
        <is>
          <t>C10986</t>
        </is>
      </c>
      <c r="D6942" t="inlineStr">
        <is>
          <t>SKU-10264</t>
        </is>
      </c>
      <c r="E6942" t="inlineStr">
        <is>
          <t>AM08</t>
        </is>
      </c>
      <c r="F6942" s="5" t="n">
        <v>210.23</v>
      </c>
      <c r="G6942">
        <f>IF(LEFT(B6942,1)="C","Credit","Factuur")</f>
        <v/>
      </c>
      <c r="H6942">
        <f>IF(AND(B6942=B6941,D6942=D6941,A6942=A6941,F6942=F6941),1,0)</f>
        <v/>
      </c>
      <c r="I6942">
        <f>IF(C6942="C99999",1,0)</f>
        <v/>
      </c>
      <c r="J6942" s="5">
        <f>IF(OR(H6942=1,I6942=1),0,IF(G6942="Credit",-F6942,F6942))</f>
        <v/>
      </c>
    </row>
    <row r="6943">
      <c r="A6943" t="inlineStr">
        <is>
          <t>2026-09-04</t>
        </is>
      </c>
      <c r="B6943" t="inlineStr">
        <is>
          <t>F278598</t>
        </is>
      </c>
      <c r="C6943" t="inlineStr">
        <is>
          <t>C10986</t>
        </is>
      </c>
      <c r="D6943" t="inlineStr">
        <is>
          <t>SKU-10364</t>
        </is>
      </c>
      <c r="E6943" t="inlineStr">
        <is>
          <t>AM08</t>
        </is>
      </c>
      <c r="F6943" s="5" t="n">
        <v>332.87</v>
      </c>
      <c r="G6943">
        <f>IF(LEFT(B6943,1)="C","Credit","Factuur")</f>
        <v/>
      </c>
      <c r="H6943">
        <f>IF(AND(B6943=B6942,D6943=D6942,A6943=A6942,F6943=F6942),1,0)</f>
        <v/>
      </c>
      <c r="I6943">
        <f>IF(C6943="C99999",1,0)</f>
        <v/>
      </c>
      <c r="J6943" s="5">
        <f>IF(OR(H6943=1,I6943=1),0,IF(G6943="Credit",-F6943,F6943))</f>
        <v/>
      </c>
    </row>
    <row r="6944">
      <c r="A6944" t="inlineStr">
        <is>
          <t>2026-09-04</t>
        </is>
      </c>
      <c r="B6944" t="inlineStr">
        <is>
          <t>F278656</t>
        </is>
      </c>
      <c r="C6944" t="inlineStr">
        <is>
          <t>C10989</t>
        </is>
      </c>
      <c r="D6944" t="inlineStr">
        <is>
          <t>SKU-10037</t>
        </is>
      </c>
      <c r="E6944" t="inlineStr">
        <is>
          <t>AM02</t>
        </is>
      </c>
      <c r="F6944" s="5" t="n">
        <v>68.09999999999999</v>
      </c>
      <c r="G6944">
        <f>IF(LEFT(B6944,1)="C","Credit","Factuur")</f>
        <v/>
      </c>
      <c r="H6944">
        <f>IF(AND(B6944=B6943,D6944=D6943,A6944=A6943,F6944=F6943),1,0)</f>
        <v/>
      </c>
      <c r="I6944">
        <f>IF(C6944="C99999",1,0)</f>
        <v/>
      </c>
      <c r="J6944" s="5">
        <f>IF(OR(H6944=1,I6944=1),0,IF(G6944="Credit",-F6944,F6944))</f>
        <v/>
      </c>
    </row>
    <row r="6945">
      <c r="A6945" t="inlineStr">
        <is>
          <t>2026-09-04</t>
        </is>
      </c>
      <c r="B6945" t="inlineStr">
        <is>
          <t>F278656</t>
        </is>
      </c>
      <c r="C6945" t="inlineStr">
        <is>
          <t>C10989</t>
        </is>
      </c>
      <c r="D6945" t="inlineStr">
        <is>
          <t>SKU-10102</t>
        </is>
      </c>
      <c r="E6945" t="inlineStr">
        <is>
          <t>AM02</t>
        </is>
      </c>
      <c r="F6945" s="5" t="n">
        <v>86.23999999999999</v>
      </c>
      <c r="G6945">
        <f>IF(LEFT(B6945,1)="C","Credit","Factuur")</f>
        <v/>
      </c>
      <c r="H6945">
        <f>IF(AND(B6945=B6944,D6945=D6944,A6945=A6944,F6945=F6944),1,0)</f>
        <v/>
      </c>
      <c r="I6945">
        <f>IF(C6945="C99999",1,0)</f>
        <v/>
      </c>
      <c r="J6945" s="5">
        <f>IF(OR(H6945=1,I6945=1),0,IF(G6945="Credit",-F6945,F6945))</f>
        <v/>
      </c>
    </row>
    <row r="6946">
      <c r="A6946" t="inlineStr">
        <is>
          <t>2026-09-04</t>
        </is>
      </c>
      <c r="B6946" t="inlineStr">
        <is>
          <t>F278656</t>
        </is>
      </c>
      <c r="C6946" t="inlineStr">
        <is>
          <t>C10989</t>
        </is>
      </c>
      <c r="D6946" t="inlineStr">
        <is>
          <t>SKU-10233</t>
        </is>
      </c>
      <c r="E6946" t="inlineStr">
        <is>
          <t>AM02</t>
        </is>
      </c>
      <c r="F6946" s="5" t="n">
        <v>69.44</v>
      </c>
      <c r="G6946">
        <f>IF(LEFT(B6946,1)="C","Credit","Factuur")</f>
        <v/>
      </c>
      <c r="H6946">
        <f>IF(AND(B6946=B6945,D6946=D6945,A6946=A6945,F6946=F6945),1,0)</f>
        <v/>
      </c>
      <c r="I6946">
        <f>IF(C6946="C99999",1,0)</f>
        <v/>
      </c>
      <c r="J6946" s="5">
        <f>IF(OR(H6946=1,I6946=1),0,IF(G6946="Credit",-F6946,F6946))</f>
        <v/>
      </c>
    </row>
    <row r="6947">
      <c r="A6947" t="inlineStr">
        <is>
          <t>2026-09-04</t>
        </is>
      </c>
      <c r="B6947" t="inlineStr">
        <is>
          <t>F278656</t>
        </is>
      </c>
      <c r="C6947" t="inlineStr">
        <is>
          <t>C10989</t>
        </is>
      </c>
      <c r="D6947" t="inlineStr">
        <is>
          <t>SKU-10287</t>
        </is>
      </c>
      <c r="E6947" t="inlineStr">
        <is>
          <t>AM02</t>
        </is>
      </c>
      <c r="F6947" s="5" t="n">
        <v>60.22</v>
      </c>
      <c r="G6947">
        <f>IF(LEFT(B6947,1)="C","Credit","Factuur")</f>
        <v/>
      </c>
      <c r="H6947">
        <f>IF(AND(B6947=B6946,D6947=D6946,A6947=A6946,F6947=F6946),1,0)</f>
        <v/>
      </c>
      <c r="I6947">
        <f>IF(C6947="C99999",1,0)</f>
        <v/>
      </c>
      <c r="J6947" s="5">
        <f>IF(OR(H6947=1,I6947=1),0,IF(G6947="Credit",-F6947,F6947))</f>
        <v/>
      </c>
    </row>
    <row r="6948">
      <c r="A6948" t="inlineStr">
        <is>
          <t>2026-09-04</t>
        </is>
      </c>
      <c r="B6948" t="inlineStr">
        <is>
          <t>F278656</t>
        </is>
      </c>
      <c r="C6948" t="inlineStr">
        <is>
          <t>C10989</t>
        </is>
      </c>
      <c r="D6948" t="inlineStr">
        <is>
          <t>SKU-10362</t>
        </is>
      </c>
      <c r="E6948" t="inlineStr">
        <is>
          <t>AM02</t>
        </is>
      </c>
      <c r="F6948" s="5" t="n">
        <v>67.5</v>
      </c>
      <c r="G6948">
        <f>IF(LEFT(B6948,1)="C","Credit","Factuur")</f>
        <v/>
      </c>
      <c r="H6948">
        <f>IF(AND(B6948=B6947,D6948=D6947,A6948=A6947,F6948=F6947),1,0)</f>
        <v/>
      </c>
      <c r="I6948">
        <f>IF(C6948="C99999",1,0)</f>
        <v/>
      </c>
      <c r="J6948" s="5">
        <f>IF(OR(H6948=1,I6948=1),0,IF(G6948="Credit",-F6948,F6948))</f>
        <v/>
      </c>
    </row>
    <row r="6949">
      <c r="A6949" t="inlineStr">
        <is>
          <t>2026-09-04</t>
        </is>
      </c>
      <c r="B6949" t="inlineStr">
        <is>
          <t>F278943</t>
        </is>
      </c>
      <c r="C6949" t="inlineStr">
        <is>
          <t>C11003</t>
        </is>
      </c>
      <c r="D6949" t="inlineStr">
        <is>
          <t>SKU-10135</t>
        </is>
      </c>
      <c r="E6949" t="inlineStr">
        <is>
          <t>AM07</t>
        </is>
      </c>
      <c r="F6949" s="5" t="n">
        <v>162.72</v>
      </c>
      <c r="G6949">
        <f>IF(LEFT(B6949,1)="C","Credit","Factuur")</f>
        <v/>
      </c>
      <c r="H6949">
        <f>IF(AND(B6949=B6948,D6949=D6948,A6949=A6948,F6949=F6948),1,0)</f>
        <v/>
      </c>
      <c r="I6949">
        <f>IF(C6949="C99999",1,0)</f>
        <v/>
      </c>
      <c r="J6949" s="5">
        <f>IF(OR(H6949=1,I6949=1),0,IF(G6949="Credit",-F6949,F6949))</f>
        <v/>
      </c>
    </row>
    <row r="6950">
      <c r="A6950" t="inlineStr">
        <is>
          <t>2026-09-04</t>
        </is>
      </c>
      <c r="B6950" t="inlineStr">
        <is>
          <t>F278943</t>
        </is>
      </c>
      <c r="C6950" t="inlineStr">
        <is>
          <t>C11003</t>
        </is>
      </c>
      <c r="D6950" t="inlineStr">
        <is>
          <t>SKU-10228</t>
        </is>
      </c>
      <c r="E6950" t="inlineStr">
        <is>
          <t>AM07</t>
        </is>
      </c>
      <c r="F6950" s="5" t="n">
        <v>194.75</v>
      </c>
      <c r="G6950">
        <f>IF(LEFT(B6950,1)="C","Credit","Factuur")</f>
        <v/>
      </c>
      <c r="H6950">
        <f>IF(AND(B6950=B6949,D6950=D6949,A6950=A6949,F6950=F6949),1,0)</f>
        <v/>
      </c>
      <c r="I6950">
        <f>IF(C6950="C99999",1,0)</f>
        <v/>
      </c>
      <c r="J6950" s="5">
        <f>IF(OR(H6950=1,I6950=1),0,IF(G6950="Credit",-F6950,F6950))</f>
        <v/>
      </c>
    </row>
    <row r="6951">
      <c r="A6951" t="inlineStr">
        <is>
          <t>2026-09-04</t>
        </is>
      </c>
      <c r="B6951" t="inlineStr">
        <is>
          <t>F278943</t>
        </is>
      </c>
      <c r="C6951" t="inlineStr">
        <is>
          <t>C11003</t>
        </is>
      </c>
      <c r="D6951" t="inlineStr">
        <is>
          <t>SKU-10328</t>
        </is>
      </c>
      <c r="E6951" t="inlineStr">
        <is>
          <t>AM07</t>
        </is>
      </c>
      <c r="F6951" s="5" t="n">
        <v>187.44</v>
      </c>
      <c r="G6951">
        <f>IF(LEFT(B6951,1)="C","Credit","Factuur")</f>
        <v/>
      </c>
      <c r="H6951">
        <f>IF(AND(B6951=B6950,D6951=D6950,A6951=A6950,F6951=F6950),1,0)</f>
        <v/>
      </c>
      <c r="I6951">
        <f>IF(C6951="C99999",1,0)</f>
        <v/>
      </c>
      <c r="J6951" s="5">
        <f>IF(OR(H6951=1,I6951=1),0,IF(G6951="Credit",-F6951,F6951))</f>
        <v/>
      </c>
    </row>
    <row r="6952">
      <c r="A6952" t="inlineStr">
        <is>
          <t>2026-09-04</t>
        </is>
      </c>
      <c r="B6952" t="inlineStr">
        <is>
          <t>F278967</t>
        </is>
      </c>
      <c r="C6952" t="inlineStr">
        <is>
          <t>C11005</t>
        </is>
      </c>
      <c r="D6952" t="inlineStr">
        <is>
          <t>SKU-10107</t>
        </is>
      </c>
      <c r="E6952" t="inlineStr">
        <is>
          <t>AM03</t>
        </is>
      </c>
      <c r="F6952" s="5" t="n">
        <v>770.64</v>
      </c>
      <c r="G6952">
        <f>IF(LEFT(B6952,1)="C","Credit","Factuur")</f>
        <v/>
      </c>
      <c r="H6952">
        <f>IF(AND(B6952=B6951,D6952=D6951,A6952=A6951,F6952=F6951),1,0)</f>
        <v/>
      </c>
      <c r="I6952">
        <f>IF(C6952="C99999",1,0)</f>
        <v/>
      </c>
      <c r="J6952" s="5">
        <f>IF(OR(H6952=1,I6952=1),0,IF(G6952="Credit",-F6952,F6952))</f>
        <v/>
      </c>
    </row>
    <row r="6953">
      <c r="A6953" t="inlineStr">
        <is>
          <t>2026-09-04</t>
        </is>
      </c>
      <c r="B6953" t="inlineStr">
        <is>
          <t>F278985</t>
        </is>
      </c>
      <c r="C6953" t="inlineStr">
        <is>
          <t>C11006</t>
        </is>
      </c>
      <c r="D6953" t="inlineStr">
        <is>
          <t>SKU-10296</t>
        </is>
      </c>
      <c r="E6953" t="inlineStr">
        <is>
          <t>AM11</t>
        </is>
      </c>
      <c r="F6953" s="5" t="n">
        <v>451.8</v>
      </c>
      <c r="G6953">
        <f>IF(LEFT(B6953,1)="C","Credit","Factuur")</f>
        <v/>
      </c>
      <c r="H6953">
        <f>IF(AND(B6953=B6952,D6953=D6952,A6953=A6952,F6953=F6952),1,0)</f>
        <v/>
      </c>
      <c r="I6953">
        <f>IF(C6953="C99999",1,0)</f>
        <v/>
      </c>
      <c r="J6953" s="5">
        <f>IF(OR(H6953=1,I6953=1),0,IF(G6953="Credit",-F6953,F6953))</f>
        <v/>
      </c>
    </row>
    <row r="6954">
      <c r="A6954" t="inlineStr">
        <is>
          <t>2026-09-04</t>
        </is>
      </c>
      <c r="B6954" t="inlineStr">
        <is>
          <t>F278985</t>
        </is>
      </c>
      <c r="C6954" t="inlineStr">
        <is>
          <t>C11006</t>
        </is>
      </c>
      <c r="D6954" t="inlineStr">
        <is>
          <t>SKU-10316</t>
        </is>
      </c>
      <c r="E6954" t="inlineStr">
        <is>
          <t>AM11</t>
        </is>
      </c>
      <c r="F6954" s="5" t="n">
        <v>430.35</v>
      </c>
      <c r="G6954">
        <f>IF(LEFT(B6954,1)="C","Credit","Factuur")</f>
        <v/>
      </c>
      <c r="H6954">
        <f>IF(AND(B6954=B6953,D6954=D6953,A6954=A6953,F6954=F6953),1,0)</f>
        <v/>
      </c>
      <c r="I6954">
        <f>IF(C6954="C99999",1,0)</f>
        <v/>
      </c>
      <c r="J6954" s="5">
        <f>IF(OR(H6954=1,I6954=1),0,IF(G6954="Credit",-F6954,F6954))</f>
        <v/>
      </c>
    </row>
    <row r="6955">
      <c r="A6955" t="inlineStr">
        <is>
          <t>2026-09-04</t>
        </is>
      </c>
      <c r="B6955" t="inlineStr">
        <is>
          <t>F278985</t>
        </is>
      </c>
      <c r="C6955" t="inlineStr">
        <is>
          <t>C11006</t>
        </is>
      </c>
      <c r="D6955" t="inlineStr">
        <is>
          <t>SKU-10337</t>
        </is>
      </c>
      <c r="E6955" t="inlineStr">
        <is>
          <t>AM11</t>
        </is>
      </c>
      <c r="F6955" s="5" t="n">
        <v>448.5</v>
      </c>
      <c r="G6955">
        <f>IF(LEFT(B6955,1)="C","Credit","Factuur")</f>
        <v/>
      </c>
      <c r="H6955">
        <f>IF(AND(B6955=B6954,D6955=D6954,A6955=A6954,F6955=F6954),1,0)</f>
        <v/>
      </c>
      <c r="I6955">
        <f>IF(C6955="C99999",1,0)</f>
        <v/>
      </c>
      <c r="J6955" s="5">
        <f>IF(OR(H6955=1,I6955=1),0,IF(G6955="Credit",-F6955,F6955))</f>
        <v/>
      </c>
    </row>
    <row r="6956">
      <c r="A6956" t="inlineStr">
        <is>
          <t>2026-09-04</t>
        </is>
      </c>
      <c r="B6956" t="inlineStr">
        <is>
          <t>F279109</t>
        </is>
      </c>
      <c r="C6956" t="inlineStr">
        <is>
          <t>C11011</t>
        </is>
      </c>
      <c r="D6956" t="inlineStr">
        <is>
          <t>SKU-10066</t>
        </is>
      </c>
      <c r="E6956" t="inlineStr">
        <is>
          <t>AM05</t>
        </is>
      </c>
      <c r="F6956" s="5" t="n">
        <v>218.08</v>
      </c>
      <c r="G6956">
        <f>IF(LEFT(B6956,1)="C","Credit","Factuur")</f>
        <v/>
      </c>
      <c r="H6956">
        <f>IF(AND(B6956=B6955,D6956=D6955,A6956=A6955,F6956=F6955),1,0)</f>
        <v/>
      </c>
      <c r="I6956">
        <f>IF(C6956="C99999",1,0)</f>
        <v/>
      </c>
      <c r="J6956" s="5">
        <f>IF(OR(H6956=1,I6956=1),0,IF(G6956="Credit",-F6956,F6956))</f>
        <v/>
      </c>
    </row>
    <row r="6957">
      <c r="A6957" t="inlineStr">
        <is>
          <t>2026-09-04</t>
        </is>
      </c>
      <c r="B6957" t="inlineStr">
        <is>
          <t>F279109</t>
        </is>
      </c>
      <c r="C6957" t="inlineStr">
        <is>
          <t>C11011</t>
        </is>
      </c>
      <c r="D6957" t="inlineStr">
        <is>
          <t>SKU-10086</t>
        </is>
      </c>
      <c r="E6957" t="inlineStr">
        <is>
          <t>AM05</t>
        </is>
      </c>
      <c r="F6957" s="5" t="n">
        <v>221.34</v>
      </c>
      <c r="G6957">
        <f>IF(LEFT(B6957,1)="C","Credit","Factuur")</f>
        <v/>
      </c>
      <c r="H6957">
        <f>IF(AND(B6957=B6956,D6957=D6956,A6957=A6956,F6957=F6956),1,0)</f>
        <v/>
      </c>
      <c r="I6957">
        <f>IF(C6957="C99999",1,0)</f>
        <v/>
      </c>
      <c r="J6957" s="5">
        <f>IF(OR(H6957=1,I6957=1),0,IF(G6957="Credit",-F6957,F6957))</f>
        <v/>
      </c>
    </row>
    <row r="6958">
      <c r="A6958" t="inlineStr">
        <is>
          <t>2026-09-04</t>
        </is>
      </c>
      <c r="B6958" t="inlineStr">
        <is>
          <t>F279109</t>
        </is>
      </c>
      <c r="C6958" t="inlineStr">
        <is>
          <t>C11011</t>
        </is>
      </c>
      <c r="D6958" t="inlineStr">
        <is>
          <t>SKU-10098</t>
        </is>
      </c>
      <c r="E6958" t="inlineStr">
        <is>
          <t>AM05</t>
        </is>
      </c>
      <c r="F6958" s="5" t="n">
        <v>240.06</v>
      </c>
      <c r="G6958">
        <f>IF(LEFT(B6958,1)="C","Credit","Factuur")</f>
        <v/>
      </c>
      <c r="H6958">
        <f>IF(AND(B6958=B6957,D6958=D6957,A6958=A6957,F6958=F6957),1,0)</f>
        <v/>
      </c>
      <c r="I6958">
        <f>IF(C6958="C99999",1,0)</f>
        <v/>
      </c>
      <c r="J6958" s="5">
        <f>IF(OR(H6958=1,I6958=1),0,IF(G6958="Credit",-F6958,F6958))</f>
        <v/>
      </c>
    </row>
    <row r="6959">
      <c r="A6959" t="inlineStr">
        <is>
          <t>2026-09-04</t>
        </is>
      </c>
      <c r="B6959" t="inlineStr">
        <is>
          <t>F279109</t>
        </is>
      </c>
      <c r="C6959" t="inlineStr">
        <is>
          <t>C11011</t>
        </is>
      </c>
      <c r="D6959" t="inlineStr">
        <is>
          <t>SKU-10219</t>
        </is>
      </c>
      <c r="E6959" t="inlineStr">
        <is>
          <t>AM05</t>
        </is>
      </c>
      <c r="F6959" s="5" t="n">
        <v>181.42</v>
      </c>
      <c r="G6959">
        <f>IF(LEFT(B6959,1)="C","Credit","Factuur")</f>
        <v/>
      </c>
      <c r="H6959">
        <f>IF(AND(B6959=B6958,D6959=D6958,A6959=A6958,F6959=F6958),1,0)</f>
        <v/>
      </c>
      <c r="I6959">
        <f>IF(C6959="C99999",1,0)</f>
        <v/>
      </c>
      <c r="J6959" s="5">
        <f>IF(OR(H6959=1,I6959=1),0,IF(G6959="Credit",-F6959,F6959))</f>
        <v/>
      </c>
    </row>
    <row r="6960">
      <c r="A6960" t="inlineStr">
        <is>
          <t>2026-09-04</t>
        </is>
      </c>
      <c r="B6960" t="inlineStr">
        <is>
          <t>F279109</t>
        </is>
      </c>
      <c r="C6960" t="inlineStr">
        <is>
          <t>C11011</t>
        </is>
      </c>
      <c r="D6960" t="inlineStr">
        <is>
          <t>SKU-10326</t>
        </is>
      </c>
      <c r="E6960" t="inlineStr">
        <is>
          <t>AM05</t>
        </is>
      </c>
      <c r="F6960" s="5" t="n">
        <v>187.62</v>
      </c>
      <c r="G6960">
        <f>IF(LEFT(B6960,1)="C","Credit","Factuur")</f>
        <v/>
      </c>
      <c r="H6960">
        <f>IF(AND(B6960=B6959,D6960=D6959,A6960=A6959,F6960=F6959),1,0)</f>
        <v/>
      </c>
      <c r="I6960">
        <f>IF(C6960="C99999",1,0)</f>
        <v/>
      </c>
      <c r="J6960" s="5">
        <f>IF(OR(H6960=1,I6960=1),0,IF(G6960="Credit",-F6960,F6960))</f>
        <v/>
      </c>
    </row>
    <row r="6961">
      <c r="A6961" t="inlineStr">
        <is>
          <t>2026-09-04</t>
        </is>
      </c>
      <c r="B6961" t="inlineStr">
        <is>
          <t>F279192</t>
        </is>
      </c>
      <c r="C6961" t="inlineStr">
        <is>
          <t>C11017</t>
        </is>
      </c>
      <c r="D6961" t="inlineStr">
        <is>
          <t>SKU-10014</t>
        </is>
      </c>
      <c r="E6961" t="inlineStr">
        <is>
          <t>AM02</t>
        </is>
      </c>
      <c r="F6961" s="5" t="n">
        <v>1598.36</v>
      </c>
      <c r="G6961">
        <f>IF(LEFT(B6961,1)="C","Credit","Factuur")</f>
        <v/>
      </c>
      <c r="H6961">
        <f>IF(AND(B6961=B6960,D6961=D6960,A6961=A6960,F6961=F6960),1,0)</f>
        <v/>
      </c>
      <c r="I6961">
        <f>IF(C6961="C99999",1,0)</f>
        <v/>
      </c>
      <c r="J6961" s="5">
        <f>IF(OR(H6961=1,I6961=1),0,IF(G6961="Credit",-F6961,F6961))</f>
        <v/>
      </c>
    </row>
    <row r="6962">
      <c r="A6962" t="inlineStr">
        <is>
          <t>2026-09-04</t>
        </is>
      </c>
      <c r="B6962" t="inlineStr">
        <is>
          <t>F279192</t>
        </is>
      </c>
      <c r="C6962" t="inlineStr">
        <is>
          <t>C11017</t>
        </is>
      </c>
      <c r="D6962" t="inlineStr">
        <is>
          <t>SKU-10247</t>
        </is>
      </c>
      <c r="E6962" t="inlineStr">
        <is>
          <t>AM02</t>
        </is>
      </c>
      <c r="F6962" s="5" t="n">
        <v>1808.86</v>
      </c>
      <c r="G6962">
        <f>IF(LEFT(B6962,1)="C","Credit","Factuur")</f>
        <v/>
      </c>
      <c r="H6962">
        <f>IF(AND(B6962=B6961,D6962=D6961,A6962=A6961,F6962=F6961),1,0)</f>
        <v/>
      </c>
      <c r="I6962">
        <f>IF(C6962="C99999",1,0)</f>
        <v/>
      </c>
      <c r="J6962" s="5">
        <f>IF(OR(H6962=1,I6962=1),0,IF(G6962="Credit",-F6962,F6962))</f>
        <v/>
      </c>
    </row>
    <row r="6963">
      <c r="A6963" t="inlineStr">
        <is>
          <t>2026-09-04</t>
        </is>
      </c>
      <c r="B6963" t="inlineStr">
        <is>
          <t>F279282</t>
        </is>
      </c>
      <c r="C6963" t="inlineStr">
        <is>
          <t>C11023</t>
        </is>
      </c>
      <c r="D6963" t="inlineStr">
        <is>
          <t>SKU-10077</t>
        </is>
      </c>
      <c r="E6963" t="inlineStr">
        <is>
          <t>AM02</t>
        </is>
      </c>
      <c r="F6963" s="5" t="n">
        <v>225.9</v>
      </c>
      <c r="G6963">
        <f>IF(LEFT(B6963,1)="C","Credit","Factuur")</f>
        <v/>
      </c>
      <c r="H6963">
        <f>IF(AND(B6963=B6962,D6963=D6962,A6963=A6962,F6963=F6962),1,0)</f>
        <v/>
      </c>
      <c r="I6963">
        <f>IF(C6963="C99999",1,0)</f>
        <v/>
      </c>
      <c r="J6963" s="5">
        <f>IF(OR(H6963=1,I6963=1),0,IF(G6963="Credit",-F6963,F6963))</f>
        <v/>
      </c>
    </row>
    <row r="6964">
      <c r="A6964" t="inlineStr">
        <is>
          <t>2026-09-04</t>
        </is>
      </c>
      <c r="B6964" t="inlineStr">
        <is>
          <t>F279282</t>
        </is>
      </c>
      <c r="C6964" t="inlineStr">
        <is>
          <t>C11023</t>
        </is>
      </c>
      <c r="D6964" t="inlineStr">
        <is>
          <t>SKU-10150</t>
        </is>
      </c>
      <c r="E6964" t="inlineStr">
        <is>
          <t>AM02</t>
        </is>
      </c>
      <c r="F6964" s="5" t="n">
        <v>277.06</v>
      </c>
      <c r="G6964">
        <f>IF(LEFT(B6964,1)="C","Credit","Factuur")</f>
        <v/>
      </c>
      <c r="H6964">
        <f>IF(AND(B6964=B6963,D6964=D6963,A6964=A6963,F6964=F6963),1,0)</f>
        <v/>
      </c>
      <c r="I6964">
        <f>IF(C6964="C99999",1,0)</f>
        <v/>
      </c>
      <c r="J6964" s="5">
        <f>IF(OR(H6964=1,I6964=1),0,IF(G6964="Credit",-F6964,F6964))</f>
        <v/>
      </c>
    </row>
    <row r="6965">
      <c r="A6965" t="inlineStr">
        <is>
          <t>2026-09-04</t>
        </is>
      </c>
      <c r="B6965" t="inlineStr">
        <is>
          <t>F279282</t>
        </is>
      </c>
      <c r="C6965" t="inlineStr">
        <is>
          <t>C11023</t>
        </is>
      </c>
      <c r="D6965" t="inlineStr">
        <is>
          <t>SKU-10191</t>
        </is>
      </c>
      <c r="E6965" t="inlineStr">
        <is>
          <t>AM02</t>
        </is>
      </c>
      <c r="F6965" s="5" t="n">
        <v>223.83</v>
      </c>
      <c r="G6965">
        <f>IF(LEFT(B6965,1)="C","Credit","Factuur")</f>
        <v/>
      </c>
      <c r="H6965">
        <f>IF(AND(B6965=B6964,D6965=D6964,A6965=A6964,F6965=F6964),1,0)</f>
        <v/>
      </c>
      <c r="I6965">
        <f>IF(C6965="C99999",1,0)</f>
        <v/>
      </c>
      <c r="J6965" s="5">
        <f>IF(OR(H6965=1,I6965=1),0,IF(G6965="Credit",-F6965,F6965))</f>
        <v/>
      </c>
    </row>
    <row r="6966">
      <c r="A6966" t="inlineStr">
        <is>
          <t>2026-09-04</t>
        </is>
      </c>
      <c r="B6966" t="inlineStr">
        <is>
          <t>F279282</t>
        </is>
      </c>
      <c r="C6966" t="inlineStr">
        <is>
          <t>C11023</t>
        </is>
      </c>
      <c r="D6966" t="inlineStr">
        <is>
          <t>SKU-10302</t>
        </is>
      </c>
      <c r="E6966" t="inlineStr">
        <is>
          <t>AM02</t>
        </is>
      </c>
      <c r="F6966" s="5" t="n">
        <v>219.55</v>
      </c>
      <c r="G6966">
        <f>IF(LEFT(B6966,1)="C","Credit","Factuur")</f>
        <v/>
      </c>
      <c r="H6966">
        <f>IF(AND(B6966=B6965,D6966=D6965,A6966=A6965,F6966=F6965),1,0)</f>
        <v/>
      </c>
      <c r="I6966">
        <f>IF(C6966="C99999",1,0)</f>
        <v/>
      </c>
      <c r="J6966" s="5">
        <f>IF(OR(H6966=1,I6966=1),0,IF(G6966="Credit",-F6966,F6966))</f>
        <v/>
      </c>
    </row>
    <row r="6967">
      <c r="A6967" t="inlineStr">
        <is>
          <t>2026-09-04</t>
        </is>
      </c>
      <c r="B6967" t="inlineStr">
        <is>
          <t>F279282</t>
        </is>
      </c>
      <c r="C6967" t="inlineStr">
        <is>
          <t>C11023</t>
        </is>
      </c>
      <c r="D6967" t="inlineStr">
        <is>
          <t>SKU-10339</t>
        </is>
      </c>
      <c r="E6967" t="inlineStr">
        <is>
          <t>AM02</t>
        </is>
      </c>
      <c r="F6967" s="5" t="n">
        <v>225.75</v>
      </c>
      <c r="G6967">
        <f>IF(LEFT(B6967,1)="C","Credit","Factuur")</f>
        <v/>
      </c>
      <c r="H6967">
        <f>IF(AND(B6967=B6966,D6967=D6966,A6967=A6966,F6967=F6966),1,0)</f>
        <v/>
      </c>
      <c r="I6967">
        <f>IF(C6967="C99999",1,0)</f>
        <v/>
      </c>
      <c r="J6967" s="5">
        <f>IF(OR(H6967=1,I6967=1),0,IF(G6967="Credit",-F6967,F6967))</f>
        <v/>
      </c>
    </row>
    <row r="6968">
      <c r="A6968" t="inlineStr">
        <is>
          <t>2026-09-04</t>
        </is>
      </c>
      <c r="B6968" t="inlineStr">
        <is>
          <t>F279306</t>
        </is>
      </c>
      <c r="C6968" t="inlineStr">
        <is>
          <t>C11025</t>
        </is>
      </c>
      <c r="D6968" t="inlineStr">
        <is>
          <t>SKU-10050</t>
        </is>
      </c>
      <c r="E6968" t="inlineStr">
        <is>
          <t>AM01</t>
        </is>
      </c>
      <c r="F6968" s="5" t="n">
        <v>761.38</v>
      </c>
      <c r="G6968">
        <f>IF(LEFT(B6968,1)="C","Credit","Factuur")</f>
        <v/>
      </c>
      <c r="H6968">
        <f>IF(AND(B6968=B6967,D6968=D6967,A6968=A6967,F6968=F6967),1,0)</f>
        <v/>
      </c>
      <c r="I6968">
        <f>IF(C6968="C99999",1,0)</f>
        <v/>
      </c>
      <c r="J6968" s="5">
        <f>IF(OR(H6968=1,I6968=1),0,IF(G6968="Credit",-F6968,F6968))</f>
        <v/>
      </c>
    </row>
    <row r="6969">
      <c r="A6969" t="inlineStr">
        <is>
          <t>2026-09-04</t>
        </is>
      </c>
      <c r="B6969" t="inlineStr">
        <is>
          <t>F279306</t>
        </is>
      </c>
      <c r="C6969" t="inlineStr">
        <is>
          <t>C11025</t>
        </is>
      </c>
      <c r="D6969" t="inlineStr">
        <is>
          <t>SKU-10315</t>
        </is>
      </c>
      <c r="E6969" t="inlineStr">
        <is>
          <t>AM01</t>
        </is>
      </c>
      <c r="F6969" s="5" t="n">
        <v>762.3</v>
      </c>
      <c r="G6969">
        <f>IF(LEFT(B6969,1)="C","Credit","Factuur")</f>
        <v/>
      </c>
      <c r="H6969">
        <f>IF(AND(B6969=B6968,D6969=D6968,A6969=A6968,F6969=F6968),1,0)</f>
        <v/>
      </c>
      <c r="I6969">
        <f>IF(C6969="C99999",1,0)</f>
        <v/>
      </c>
      <c r="J6969" s="5">
        <f>IF(OR(H6969=1,I6969=1),0,IF(G6969="Credit",-F6969,F6969))</f>
        <v/>
      </c>
    </row>
    <row r="6970">
      <c r="A6970" t="inlineStr">
        <is>
          <t>2026-09-04</t>
        </is>
      </c>
      <c r="B6970" t="inlineStr">
        <is>
          <t>F279704</t>
        </is>
      </c>
      <c r="C6970" t="inlineStr">
        <is>
          <t>C11044</t>
        </is>
      </c>
      <c r="D6970" t="inlineStr">
        <is>
          <t>SKU-10044</t>
        </is>
      </c>
      <c r="E6970" t="inlineStr">
        <is>
          <t>AM11</t>
        </is>
      </c>
      <c r="F6970" s="5" t="n">
        <v>588.96</v>
      </c>
      <c r="G6970">
        <f>IF(LEFT(B6970,1)="C","Credit","Factuur")</f>
        <v/>
      </c>
      <c r="H6970">
        <f>IF(AND(B6970=B6969,D6970=D6969,A6970=A6969,F6970=F6969),1,0)</f>
        <v/>
      </c>
      <c r="I6970">
        <f>IF(C6970="C99999",1,0)</f>
        <v/>
      </c>
      <c r="J6970" s="5">
        <f>IF(OR(H6970=1,I6970=1),0,IF(G6970="Credit",-F6970,F6970))</f>
        <v/>
      </c>
    </row>
    <row r="6971">
      <c r="A6971" t="inlineStr">
        <is>
          <t>2026-09-04</t>
        </is>
      </c>
      <c r="B6971" t="inlineStr">
        <is>
          <t>F279704</t>
        </is>
      </c>
      <c r="C6971" t="inlineStr">
        <is>
          <t>C11044</t>
        </is>
      </c>
      <c r="D6971" t="inlineStr">
        <is>
          <t>SKU-10048</t>
        </is>
      </c>
      <c r="E6971" t="inlineStr">
        <is>
          <t>AM11</t>
        </is>
      </c>
      <c r="F6971" s="5" t="n">
        <v>578.71</v>
      </c>
      <c r="G6971">
        <f>IF(LEFT(B6971,1)="C","Credit","Factuur")</f>
        <v/>
      </c>
      <c r="H6971">
        <f>IF(AND(B6971=B6970,D6971=D6970,A6971=A6970,F6971=F6970),1,0)</f>
        <v/>
      </c>
      <c r="I6971">
        <f>IF(C6971="C99999",1,0)</f>
        <v/>
      </c>
      <c r="J6971" s="5">
        <f>IF(OR(H6971=1,I6971=1),0,IF(G6971="Credit",-F6971,F6971))</f>
        <v/>
      </c>
    </row>
    <row r="6972">
      <c r="A6972" t="inlineStr">
        <is>
          <t>2026-09-04</t>
        </is>
      </c>
      <c r="B6972" t="inlineStr">
        <is>
          <t>F279704</t>
        </is>
      </c>
      <c r="C6972" t="inlineStr">
        <is>
          <t>C11044</t>
        </is>
      </c>
      <c r="D6972" t="inlineStr">
        <is>
          <t>SKU-10342</t>
        </is>
      </c>
      <c r="E6972" t="inlineStr">
        <is>
          <t>AM11</t>
        </is>
      </c>
      <c r="F6972" s="5" t="n">
        <v>609.84</v>
      </c>
      <c r="G6972">
        <f>IF(LEFT(B6972,1)="C","Credit","Factuur")</f>
        <v/>
      </c>
      <c r="H6972">
        <f>IF(AND(B6972=B6971,D6972=D6971,A6972=A6971,F6972=F6971),1,0)</f>
        <v/>
      </c>
      <c r="I6972">
        <f>IF(C6972="C99999",1,0)</f>
        <v/>
      </c>
      <c r="J6972" s="5">
        <f>IF(OR(H6972=1,I6972=1),0,IF(G6972="Credit",-F6972,F6972))</f>
        <v/>
      </c>
    </row>
    <row r="6973">
      <c r="A6973" t="inlineStr">
        <is>
          <t>2026-09-04</t>
        </is>
      </c>
      <c r="B6973" t="inlineStr">
        <is>
          <t>F279817</t>
        </is>
      </c>
      <c r="C6973" t="inlineStr">
        <is>
          <t>C11050</t>
        </is>
      </c>
      <c r="D6973" t="inlineStr">
        <is>
          <t>SKU-10045</t>
        </is>
      </c>
      <c r="E6973" t="inlineStr">
        <is>
          <t>AM01</t>
        </is>
      </c>
      <c r="F6973" s="5" t="n">
        <v>205.44</v>
      </c>
      <c r="G6973">
        <f>IF(LEFT(B6973,1)="C","Credit","Factuur")</f>
        <v/>
      </c>
      <c r="H6973">
        <f>IF(AND(B6973=B6972,D6973=D6972,A6973=A6972,F6973=F6972),1,0)</f>
        <v/>
      </c>
      <c r="I6973">
        <f>IF(C6973="C99999",1,0)</f>
        <v/>
      </c>
      <c r="J6973" s="5">
        <f>IF(OR(H6973=1,I6973=1),0,IF(G6973="Credit",-F6973,F6973))</f>
        <v/>
      </c>
    </row>
    <row r="6974">
      <c r="A6974" t="inlineStr">
        <is>
          <t>2026-09-04</t>
        </is>
      </c>
      <c r="B6974" t="inlineStr">
        <is>
          <t>F279817</t>
        </is>
      </c>
      <c r="C6974" t="inlineStr">
        <is>
          <t>C11050</t>
        </is>
      </c>
      <c r="D6974" t="inlineStr">
        <is>
          <t>SKU-10130</t>
        </is>
      </c>
      <c r="E6974" t="inlineStr">
        <is>
          <t>AM01</t>
        </is>
      </c>
      <c r="F6974" s="5" t="n">
        <v>227.16</v>
      </c>
      <c r="G6974">
        <f>IF(LEFT(B6974,1)="C","Credit","Factuur")</f>
        <v/>
      </c>
      <c r="H6974">
        <f>IF(AND(B6974=B6973,D6974=D6973,A6974=A6973,F6974=F6973),1,0)</f>
        <v/>
      </c>
      <c r="I6974">
        <f>IF(C6974="C99999",1,0)</f>
        <v/>
      </c>
      <c r="J6974" s="5">
        <f>IF(OR(H6974=1,I6974=1),0,IF(G6974="Credit",-F6974,F6974))</f>
        <v/>
      </c>
    </row>
    <row r="6975">
      <c r="A6975" t="inlineStr">
        <is>
          <t>2026-09-04</t>
        </is>
      </c>
      <c r="B6975" t="inlineStr">
        <is>
          <t>F279817</t>
        </is>
      </c>
      <c r="C6975" t="inlineStr">
        <is>
          <t>C11050</t>
        </is>
      </c>
      <c r="D6975" t="inlineStr">
        <is>
          <t>SKU-10310</t>
        </is>
      </c>
      <c r="E6975" t="inlineStr">
        <is>
          <t>AM01</t>
        </is>
      </c>
      <c r="F6975" s="5" t="n">
        <v>223.9</v>
      </c>
      <c r="G6975">
        <f>IF(LEFT(B6975,1)="C","Credit","Factuur")</f>
        <v/>
      </c>
      <c r="H6975">
        <f>IF(AND(B6975=B6974,D6975=D6974,A6975=A6974,F6975=F6974),1,0)</f>
        <v/>
      </c>
      <c r="I6975">
        <f>IF(C6975="C99999",1,0)</f>
        <v/>
      </c>
      <c r="J6975" s="5">
        <f>IF(OR(H6975=1,I6975=1),0,IF(G6975="Credit",-F6975,F6975))</f>
        <v/>
      </c>
    </row>
    <row r="6976">
      <c r="A6976" t="inlineStr">
        <is>
          <t>2026-09-04</t>
        </is>
      </c>
      <c r="B6976" t="inlineStr">
        <is>
          <t>F279817</t>
        </is>
      </c>
      <c r="C6976" t="inlineStr">
        <is>
          <t>C11050</t>
        </is>
      </c>
      <c r="D6976" t="inlineStr">
        <is>
          <t>SKU-10317</t>
        </is>
      </c>
      <c r="E6976" t="inlineStr">
        <is>
          <t>AM01</t>
        </is>
      </c>
      <c r="F6976" s="5" t="n">
        <v>221.68</v>
      </c>
      <c r="G6976">
        <f>IF(LEFT(B6976,1)="C","Credit","Factuur")</f>
        <v/>
      </c>
      <c r="H6976">
        <f>IF(AND(B6976=B6975,D6976=D6975,A6976=A6975,F6976=F6975),1,0)</f>
        <v/>
      </c>
      <c r="I6976">
        <f>IF(C6976="C99999",1,0)</f>
        <v/>
      </c>
      <c r="J6976" s="5">
        <f>IF(OR(H6976=1,I6976=1),0,IF(G6976="Credit",-F6976,F6976))</f>
        <v/>
      </c>
    </row>
    <row r="6977">
      <c r="A6977" t="inlineStr">
        <is>
          <t>2026-09-04</t>
        </is>
      </c>
      <c r="B6977" t="inlineStr">
        <is>
          <t>F280016</t>
        </is>
      </c>
      <c r="C6977" t="inlineStr">
        <is>
          <t>C11057</t>
        </is>
      </c>
      <c r="D6977" t="inlineStr">
        <is>
          <t>SKU-10281</t>
        </is>
      </c>
      <c r="E6977" t="inlineStr">
        <is>
          <t>AM03</t>
        </is>
      </c>
      <c r="F6977" s="5" t="n">
        <v>888.86</v>
      </c>
      <c r="G6977">
        <f>IF(LEFT(B6977,1)="C","Credit","Factuur")</f>
        <v/>
      </c>
      <c r="H6977">
        <f>IF(AND(B6977=B6976,D6977=D6976,A6977=A6976,F6977=F6976),1,0)</f>
        <v/>
      </c>
      <c r="I6977">
        <f>IF(C6977="C99999",1,0)</f>
        <v/>
      </c>
      <c r="J6977" s="5">
        <f>IF(OR(H6977=1,I6977=1),0,IF(G6977="Credit",-F6977,F6977))</f>
        <v/>
      </c>
    </row>
    <row r="6978">
      <c r="A6978" t="inlineStr">
        <is>
          <t>2026-09-04</t>
        </is>
      </c>
      <c r="B6978" t="inlineStr">
        <is>
          <t>F280312</t>
        </is>
      </c>
      <c r="C6978" t="inlineStr">
        <is>
          <t>C11074</t>
        </is>
      </c>
      <c r="D6978" t="inlineStr">
        <is>
          <t>SKU-10332</t>
        </is>
      </c>
      <c r="E6978" t="inlineStr">
        <is>
          <t>AM12</t>
        </is>
      </c>
      <c r="F6978" s="5" t="n">
        <v>1017.25</v>
      </c>
      <c r="G6978">
        <f>IF(LEFT(B6978,1)="C","Credit","Factuur")</f>
        <v/>
      </c>
      <c r="H6978">
        <f>IF(AND(B6978=B6977,D6978=D6977,A6978=A6977,F6978=F6977),1,0)</f>
        <v/>
      </c>
      <c r="I6978">
        <f>IF(C6978="C99999",1,0)</f>
        <v/>
      </c>
      <c r="J6978" s="5">
        <f>IF(OR(H6978=1,I6978=1),0,IF(G6978="Credit",-F6978,F6978))</f>
        <v/>
      </c>
    </row>
    <row r="6979">
      <c r="A6979" t="inlineStr">
        <is>
          <t>2026-09-04</t>
        </is>
      </c>
      <c r="B6979" t="inlineStr">
        <is>
          <t>F280314</t>
        </is>
      </c>
      <c r="C6979" t="inlineStr">
        <is>
          <t>C11074</t>
        </is>
      </c>
      <c r="D6979" t="inlineStr">
        <is>
          <t>SKU-10046</t>
        </is>
      </c>
      <c r="E6979" t="inlineStr">
        <is>
          <t>AM12</t>
        </is>
      </c>
      <c r="F6979" s="5" t="n">
        <v>164.9</v>
      </c>
      <c r="G6979">
        <f>IF(LEFT(B6979,1)="C","Credit","Factuur")</f>
        <v/>
      </c>
      <c r="H6979">
        <f>IF(AND(B6979=B6978,D6979=D6978,A6979=A6978,F6979=F6978),1,0)</f>
        <v/>
      </c>
      <c r="I6979">
        <f>IF(C6979="C99999",1,0)</f>
        <v/>
      </c>
      <c r="J6979" s="5">
        <f>IF(OR(H6979=1,I6979=1),0,IF(G6979="Credit",-F6979,F6979))</f>
        <v/>
      </c>
    </row>
    <row r="6980">
      <c r="A6980" t="inlineStr">
        <is>
          <t>2026-09-04</t>
        </is>
      </c>
      <c r="B6980" t="inlineStr">
        <is>
          <t>F280314</t>
        </is>
      </c>
      <c r="C6980" t="inlineStr">
        <is>
          <t>C11074</t>
        </is>
      </c>
      <c r="D6980" t="inlineStr">
        <is>
          <t>SKU-10237</t>
        </is>
      </c>
      <c r="E6980" t="inlineStr">
        <is>
          <t>AM12</t>
        </is>
      </c>
      <c r="F6980" s="5" t="n">
        <v>163.99</v>
      </c>
      <c r="G6980">
        <f>IF(LEFT(B6980,1)="C","Credit","Factuur")</f>
        <v/>
      </c>
      <c r="H6980">
        <f>IF(AND(B6980=B6979,D6980=D6979,A6980=A6979,F6980=F6979),1,0)</f>
        <v/>
      </c>
      <c r="I6980">
        <f>IF(C6980="C99999",1,0)</f>
        <v/>
      </c>
      <c r="J6980" s="5">
        <f>IF(OR(H6980=1,I6980=1),0,IF(G6980="Credit",-F6980,F6980))</f>
        <v/>
      </c>
    </row>
    <row r="6981">
      <c r="A6981" t="inlineStr">
        <is>
          <t>2026-09-04</t>
        </is>
      </c>
      <c r="B6981" t="inlineStr">
        <is>
          <t>F280314</t>
        </is>
      </c>
      <c r="C6981" t="inlineStr">
        <is>
          <t>C11074</t>
        </is>
      </c>
      <c r="D6981" t="inlineStr">
        <is>
          <t>SKU-10267</t>
        </is>
      </c>
      <c r="E6981" t="inlineStr">
        <is>
          <t>AM12</t>
        </is>
      </c>
      <c r="F6981" s="5" t="n">
        <v>168.49</v>
      </c>
      <c r="G6981">
        <f>IF(LEFT(B6981,1)="C","Credit","Factuur")</f>
        <v/>
      </c>
      <c r="H6981">
        <f>IF(AND(B6981=B6980,D6981=D6980,A6981=A6980,F6981=F6980),1,0)</f>
        <v/>
      </c>
      <c r="I6981">
        <f>IF(C6981="C99999",1,0)</f>
        <v/>
      </c>
      <c r="J6981" s="5">
        <f>IF(OR(H6981=1,I6981=1),0,IF(G6981="Credit",-F6981,F6981))</f>
        <v/>
      </c>
    </row>
    <row r="6982">
      <c r="A6982" t="inlineStr">
        <is>
          <t>2026-09-04</t>
        </is>
      </c>
      <c r="B6982" t="inlineStr">
        <is>
          <t>F280314</t>
        </is>
      </c>
      <c r="C6982" t="inlineStr">
        <is>
          <t>C11074</t>
        </is>
      </c>
      <c r="D6982" t="inlineStr">
        <is>
          <t>SKU-10305</t>
        </is>
      </c>
      <c r="E6982" t="inlineStr">
        <is>
          <t>AM12</t>
        </is>
      </c>
      <c r="F6982" s="5" t="n">
        <v>168.01</v>
      </c>
      <c r="G6982">
        <f>IF(LEFT(B6982,1)="C","Credit","Factuur")</f>
        <v/>
      </c>
      <c r="H6982">
        <f>IF(AND(B6982=B6981,D6982=D6981,A6982=A6981,F6982=F6981),1,0)</f>
        <v/>
      </c>
      <c r="I6982">
        <f>IF(C6982="C99999",1,0)</f>
        <v/>
      </c>
      <c r="J6982" s="5">
        <f>IF(OR(H6982=1,I6982=1),0,IF(G6982="Credit",-F6982,F6982))</f>
        <v/>
      </c>
    </row>
    <row r="6983">
      <c r="A6983" t="inlineStr">
        <is>
          <t>2026-09-04</t>
        </is>
      </c>
      <c r="B6983" t="inlineStr">
        <is>
          <t>F280508</t>
        </is>
      </c>
      <c r="C6983" t="inlineStr">
        <is>
          <t>C11081</t>
        </is>
      </c>
      <c r="D6983" t="inlineStr">
        <is>
          <t>SKU-10088</t>
        </is>
      </c>
      <c r="E6983" t="inlineStr">
        <is>
          <t>AM05</t>
        </is>
      </c>
      <c r="F6983" s="5" t="n">
        <v>756.0700000000001</v>
      </c>
      <c r="G6983">
        <f>IF(LEFT(B6983,1)="C","Credit","Factuur")</f>
        <v/>
      </c>
      <c r="H6983">
        <f>IF(AND(B6983=B6982,D6983=D6982,A6983=A6982,F6983=F6982),1,0)</f>
        <v/>
      </c>
      <c r="I6983">
        <f>IF(C6983="C99999",1,0)</f>
        <v/>
      </c>
      <c r="J6983" s="5">
        <f>IF(OR(H6983=1,I6983=1),0,IF(G6983="Credit",-F6983,F6983))</f>
        <v/>
      </c>
    </row>
    <row r="6984">
      <c r="A6984" t="inlineStr">
        <is>
          <t>2026-09-04</t>
        </is>
      </c>
      <c r="B6984" t="inlineStr">
        <is>
          <t>F280508</t>
        </is>
      </c>
      <c r="C6984" t="inlineStr">
        <is>
          <t>C11081</t>
        </is>
      </c>
      <c r="D6984" t="inlineStr">
        <is>
          <t>SKU-10256</t>
        </is>
      </c>
      <c r="E6984" t="inlineStr">
        <is>
          <t>AM05</t>
        </is>
      </c>
      <c r="F6984" s="5" t="n">
        <v>710.37</v>
      </c>
      <c r="G6984">
        <f>IF(LEFT(B6984,1)="C","Credit","Factuur")</f>
        <v/>
      </c>
      <c r="H6984">
        <f>IF(AND(B6984=B6983,D6984=D6983,A6984=A6983,F6984=F6983),1,0)</f>
        <v/>
      </c>
      <c r="I6984">
        <f>IF(C6984="C99999",1,0)</f>
        <v/>
      </c>
      <c r="J6984" s="5">
        <f>IF(OR(H6984=1,I6984=1),0,IF(G6984="Credit",-F6984,F6984))</f>
        <v/>
      </c>
    </row>
    <row r="6985">
      <c r="A6985" t="inlineStr">
        <is>
          <t>2026-09-04</t>
        </is>
      </c>
      <c r="B6985" t="inlineStr">
        <is>
          <t>F280508</t>
        </is>
      </c>
      <c r="C6985" t="inlineStr">
        <is>
          <t>C11081</t>
        </is>
      </c>
      <c r="D6985" t="inlineStr">
        <is>
          <t>SKU-10282</t>
        </is>
      </c>
      <c r="E6985" t="inlineStr">
        <is>
          <t>AM05</t>
        </is>
      </c>
      <c r="F6985" s="5" t="n">
        <v>759.5</v>
      </c>
      <c r="G6985">
        <f>IF(LEFT(B6985,1)="C","Credit","Factuur")</f>
        <v/>
      </c>
      <c r="H6985">
        <f>IF(AND(B6985=B6984,D6985=D6984,A6985=A6984,F6985=F6984),1,0)</f>
        <v/>
      </c>
      <c r="I6985">
        <f>IF(C6985="C99999",1,0)</f>
        <v/>
      </c>
      <c r="J6985" s="5">
        <f>IF(OR(H6985=1,I6985=1),0,IF(G6985="Credit",-F6985,F6985))</f>
        <v/>
      </c>
    </row>
    <row r="6986">
      <c r="A6986" t="inlineStr">
        <is>
          <t>2026-09-04</t>
        </is>
      </c>
      <c r="B6986" t="inlineStr">
        <is>
          <t>F280590</t>
        </is>
      </c>
      <c r="C6986" t="inlineStr">
        <is>
          <t>C11085</t>
        </is>
      </c>
      <c r="D6986" t="inlineStr">
        <is>
          <t>SKU-10132</t>
        </is>
      </c>
      <c r="E6986" t="inlineStr">
        <is>
          <t>AM06</t>
        </is>
      </c>
      <c r="F6986" s="5" t="n">
        <v>297.85</v>
      </c>
      <c r="G6986">
        <f>IF(LEFT(B6986,1)="C","Credit","Factuur")</f>
        <v/>
      </c>
      <c r="H6986">
        <f>IF(AND(B6986=B6985,D6986=D6985,A6986=A6985,F6986=F6985),1,0)</f>
        <v/>
      </c>
      <c r="I6986">
        <f>IF(C6986="C99999",1,0)</f>
        <v/>
      </c>
      <c r="J6986" s="5">
        <f>IF(OR(H6986=1,I6986=1),0,IF(G6986="Credit",-F6986,F6986))</f>
        <v/>
      </c>
    </row>
    <row r="6987">
      <c r="A6987" t="inlineStr">
        <is>
          <t>2026-09-04</t>
        </is>
      </c>
      <c r="B6987" t="inlineStr">
        <is>
          <t>F280590</t>
        </is>
      </c>
      <c r="C6987" t="inlineStr">
        <is>
          <t>C11085</t>
        </is>
      </c>
      <c r="D6987" t="inlineStr">
        <is>
          <t>SKU-10244</t>
        </is>
      </c>
      <c r="E6987" t="inlineStr">
        <is>
          <t>AM06</t>
        </is>
      </c>
      <c r="F6987" s="5" t="n">
        <v>299.25</v>
      </c>
      <c r="G6987">
        <f>IF(LEFT(B6987,1)="C","Credit","Factuur")</f>
        <v/>
      </c>
      <c r="H6987">
        <f>IF(AND(B6987=B6986,D6987=D6986,A6987=A6986,F6987=F6986),1,0)</f>
        <v/>
      </c>
      <c r="I6987">
        <f>IF(C6987="C99999",1,0)</f>
        <v/>
      </c>
      <c r="J6987" s="5">
        <f>IF(OR(H6987=1,I6987=1),0,IF(G6987="Credit",-F6987,F6987))</f>
        <v/>
      </c>
    </row>
    <row r="6988">
      <c r="A6988" t="inlineStr">
        <is>
          <t>2026-09-04</t>
        </is>
      </c>
      <c r="B6988" t="inlineStr">
        <is>
          <t>F280590</t>
        </is>
      </c>
      <c r="C6988" t="inlineStr">
        <is>
          <t>C11085</t>
        </is>
      </c>
      <c r="D6988" t="inlineStr">
        <is>
          <t>SKU-10331</t>
        </is>
      </c>
      <c r="E6988" t="inlineStr">
        <is>
          <t>AM06</t>
        </is>
      </c>
      <c r="F6988" s="5" t="n">
        <v>267.6</v>
      </c>
      <c r="G6988">
        <f>IF(LEFT(B6988,1)="C","Credit","Factuur")</f>
        <v/>
      </c>
      <c r="H6988">
        <f>IF(AND(B6988=B6987,D6988=D6987,A6988=A6987,F6988=F6987),1,0)</f>
        <v/>
      </c>
      <c r="I6988">
        <f>IF(C6988="C99999",1,0)</f>
        <v/>
      </c>
      <c r="J6988" s="5">
        <f>IF(OR(H6988=1,I6988=1),0,IF(G6988="Credit",-F6988,F6988))</f>
        <v/>
      </c>
    </row>
    <row r="6989">
      <c r="A6989" t="inlineStr">
        <is>
          <t>2026-09-04</t>
        </is>
      </c>
      <c r="B6989" t="inlineStr">
        <is>
          <t>F281002</t>
        </is>
      </c>
      <c r="C6989" t="inlineStr">
        <is>
          <t>C11106</t>
        </is>
      </c>
      <c r="D6989" t="inlineStr">
        <is>
          <t>SKU-10113</t>
        </is>
      </c>
      <c r="E6989" t="inlineStr">
        <is>
          <t>AM07</t>
        </is>
      </c>
      <c r="F6989" s="5" t="n">
        <v>153</v>
      </c>
      <c r="G6989">
        <f>IF(LEFT(B6989,1)="C","Credit","Factuur")</f>
        <v/>
      </c>
      <c r="H6989">
        <f>IF(AND(B6989=B6988,D6989=D6988,A6989=A6988,F6989=F6988),1,0)</f>
        <v/>
      </c>
      <c r="I6989">
        <f>IF(C6989="C99999",1,0)</f>
        <v/>
      </c>
      <c r="J6989" s="5">
        <f>IF(OR(H6989=1,I6989=1),0,IF(G6989="Credit",-F6989,F6989))</f>
        <v/>
      </c>
    </row>
    <row r="6990">
      <c r="A6990" t="inlineStr">
        <is>
          <t>2026-09-04</t>
        </is>
      </c>
      <c r="B6990" t="inlineStr">
        <is>
          <t>F281002</t>
        </is>
      </c>
      <c r="C6990" t="inlineStr">
        <is>
          <t>C11106</t>
        </is>
      </c>
      <c r="D6990" t="inlineStr">
        <is>
          <t>SKU-10143</t>
        </is>
      </c>
      <c r="E6990" t="inlineStr">
        <is>
          <t>AM07</t>
        </is>
      </c>
      <c r="F6990" s="5" t="n">
        <v>145.36</v>
      </c>
      <c r="G6990">
        <f>IF(LEFT(B6990,1)="C","Credit","Factuur")</f>
        <v/>
      </c>
      <c r="H6990">
        <f>IF(AND(B6990=B6989,D6990=D6989,A6990=A6989,F6990=F6989),1,0)</f>
        <v/>
      </c>
      <c r="I6990">
        <f>IF(C6990="C99999",1,0)</f>
        <v/>
      </c>
      <c r="J6990" s="5">
        <f>IF(OR(H6990=1,I6990=1),0,IF(G6990="Credit",-F6990,F6990))</f>
        <v/>
      </c>
    </row>
    <row r="6991">
      <c r="A6991" t="inlineStr">
        <is>
          <t>2026-09-04</t>
        </is>
      </c>
      <c r="B6991" t="inlineStr">
        <is>
          <t>F281002</t>
        </is>
      </c>
      <c r="C6991" t="inlineStr">
        <is>
          <t>C11106</t>
        </is>
      </c>
      <c r="D6991" t="inlineStr">
        <is>
          <t>SKU-10170</t>
        </is>
      </c>
      <c r="E6991" t="inlineStr">
        <is>
          <t>AM07</t>
        </is>
      </c>
      <c r="F6991" s="5" t="n">
        <v>111.96</v>
      </c>
      <c r="G6991">
        <f>IF(LEFT(B6991,1)="C","Credit","Factuur")</f>
        <v/>
      </c>
      <c r="H6991">
        <f>IF(AND(B6991=B6990,D6991=D6990,A6991=A6990,F6991=F6990),1,0)</f>
        <v/>
      </c>
      <c r="I6991">
        <f>IF(C6991="C99999",1,0)</f>
        <v/>
      </c>
      <c r="J6991" s="5">
        <f>IF(OR(H6991=1,I6991=1),0,IF(G6991="Credit",-F6991,F6991))</f>
        <v/>
      </c>
    </row>
    <row r="6992">
      <c r="A6992" t="inlineStr">
        <is>
          <t>2026-09-04</t>
        </is>
      </c>
      <c r="B6992" t="inlineStr">
        <is>
          <t>F281715</t>
        </is>
      </c>
      <c r="C6992" t="inlineStr">
        <is>
          <t>C11145</t>
        </is>
      </c>
      <c r="D6992" t="inlineStr">
        <is>
          <t>SKU-10033</t>
        </is>
      </c>
      <c r="E6992" t="inlineStr">
        <is>
          <t>AM11</t>
        </is>
      </c>
      <c r="F6992" s="5" t="n">
        <v>226.17</v>
      </c>
      <c r="G6992">
        <f>IF(LEFT(B6992,1)="C","Credit","Factuur")</f>
        <v/>
      </c>
      <c r="H6992">
        <f>IF(AND(B6992=B6991,D6992=D6991,A6992=A6991,F6992=F6991),1,0)</f>
        <v/>
      </c>
      <c r="I6992">
        <f>IF(C6992="C99999",1,0)</f>
        <v/>
      </c>
      <c r="J6992" s="5">
        <f>IF(OR(H6992=1,I6992=1),0,IF(G6992="Credit",-F6992,F6992))</f>
        <v/>
      </c>
    </row>
    <row r="6993">
      <c r="A6993" t="inlineStr">
        <is>
          <t>2026-09-04</t>
        </is>
      </c>
      <c r="B6993" t="inlineStr">
        <is>
          <t>F281715</t>
        </is>
      </c>
      <c r="C6993" t="inlineStr">
        <is>
          <t>C11145</t>
        </is>
      </c>
      <c r="D6993" t="inlineStr">
        <is>
          <t>SKU-10171</t>
        </is>
      </c>
      <c r="E6993" t="inlineStr">
        <is>
          <t>AM11</t>
        </is>
      </c>
      <c r="F6993" s="5" t="n">
        <v>218.11</v>
      </c>
      <c r="G6993">
        <f>IF(LEFT(B6993,1)="C","Credit","Factuur")</f>
        <v/>
      </c>
      <c r="H6993">
        <f>IF(AND(B6993=B6992,D6993=D6992,A6993=A6992,F6993=F6992),1,0)</f>
        <v/>
      </c>
      <c r="I6993">
        <f>IF(C6993="C99999",1,0)</f>
        <v/>
      </c>
      <c r="J6993" s="5">
        <f>IF(OR(H6993=1,I6993=1),0,IF(G6993="Credit",-F6993,F6993))</f>
        <v/>
      </c>
    </row>
    <row r="6994">
      <c r="A6994" t="inlineStr">
        <is>
          <t>2026-09-04</t>
        </is>
      </c>
      <c r="B6994" t="inlineStr">
        <is>
          <t>F281715</t>
        </is>
      </c>
      <c r="C6994" t="inlineStr">
        <is>
          <t>C11145</t>
        </is>
      </c>
      <c r="D6994" t="inlineStr">
        <is>
          <t>SKU-10332</t>
        </is>
      </c>
      <c r="E6994" t="inlineStr">
        <is>
          <t>AM11</t>
        </is>
      </c>
      <c r="F6994" s="5" t="n">
        <v>203.45</v>
      </c>
      <c r="G6994">
        <f>IF(LEFT(B6994,1)="C","Credit","Factuur")</f>
        <v/>
      </c>
      <c r="H6994">
        <f>IF(AND(B6994=B6993,D6994=D6993,A6994=A6993,F6994=F6993),1,0)</f>
        <v/>
      </c>
      <c r="I6994">
        <f>IF(C6994="C99999",1,0)</f>
        <v/>
      </c>
      <c r="J6994" s="5">
        <f>IF(OR(H6994=1,I6994=1),0,IF(G6994="Credit",-F6994,F6994))</f>
        <v/>
      </c>
    </row>
    <row r="6995">
      <c r="A6995" t="inlineStr">
        <is>
          <t>2026-09-04</t>
        </is>
      </c>
      <c r="B6995" t="inlineStr">
        <is>
          <t>F281715</t>
        </is>
      </c>
      <c r="C6995" t="inlineStr">
        <is>
          <t>C11145</t>
        </is>
      </c>
      <c r="D6995" t="inlineStr">
        <is>
          <t>SKU-10345</t>
        </is>
      </c>
      <c r="E6995" t="inlineStr">
        <is>
          <t>AM11</t>
        </is>
      </c>
      <c r="F6995" s="5" t="n">
        <v>216.66</v>
      </c>
      <c r="G6995">
        <f>IF(LEFT(B6995,1)="C","Credit","Factuur")</f>
        <v/>
      </c>
      <c r="H6995">
        <f>IF(AND(B6995=B6994,D6995=D6994,A6995=A6994,F6995=F6994),1,0)</f>
        <v/>
      </c>
      <c r="I6995">
        <f>IF(C6995="C99999",1,0)</f>
        <v/>
      </c>
      <c r="J6995" s="5">
        <f>IF(OR(H6995=1,I6995=1),0,IF(G6995="Credit",-F6995,F6995))</f>
        <v/>
      </c>
    </row>
    <row r="6996">
      <c r="A6996" t="inlineStr">
        <is>
          <t>2026-09-04</t>
        </is>
      </c>
      <c r="B6996" t="inlineStr">
        <is>
          <t>F281760</t>
        </is>
      </c>
      <c r="C6996" t="inlineStr">
        <is>
          <t>C11146</t>
        </is>
      </c>
      <c r="D6996" t="inlineStr">
        <is>
          <t>SKU-10110</t>
        </is>
      </c>
      <c r="E6996" t="inlineStr">
        <is>
          <t>AM01</t>
        </is>
      </c>
      <c r="F6996" s="5" t="n">
        <v>375.44</v>
      </c>
      <c r="G6996">
        <f>IF(LEFT(B6996,1)="C","Credit","Factuur")</f>
        <v/>
      </c>
      <c r="H6996">
        <f>IF(AND(B6996=B6995,D6996=D6995,A6996=A6995,F6996=F6995),1,0)</f>
        <v/>
      </c>
      <c r="I6996">
        <f>IF(C6996="C99999",1,0)</f>
        <v/>
      </c>
      <c r="J6996" s="5">
        <f>IF(OR(H6996=1,I6996=1),0,IF(G6996="Credit",-F6996,F6996))</f>
        <v/>
      </c>
    </row>
    <row r="6997">
      <c r="A6997" t="inlineStr">
        <is>
          <t>2026-09-04</t>
        </is>
      </c>
      <c r="B6997" t="inlineStr">
        <is>
          <t>F281760</t>
        </is>
      </c>
      <c r="C6997" t="inlineStr">
        <is>
          <t>C11146</t>
        </is>
      </c>
      <c r="D6997" t="inlineStr">
        <is>
          <t>SKU-10156</t>
        </is>
      </c>
      <c r="E6997" t="inlineStr">
        <is>
          <t>AM01</t>
        </is>
      </c>
      <c r="F6997" s="5" t="n">
        <v>343.33</v>
      </c>
      <c r="G6997">
        <f>IF(LEFT(B6997,1)="C","Credit","Factuur")</f>
        <v/>
      </c>
      <c r="H6997">
        <f>IF(AND(B6997=B6996,D6997=D6996,A6997=A6996,F6997=F6996),1,0)</f>
        <v/>
      </c>
      <c r="I6997">
        <f>IF(C6997="C99999",1,0)</f>
        <v/>
      </c>
      <c r="J6997" s="5">
        <f>IF(OR(H6997=1,I6997=1),0,IF(G6997="Credit",-F6997,F6997))</f>
        <v/>
      </c>
    </row>
    <row r="6998">
      <c r="A6998" t="inlineStr">
        <is>
          <t>2026-09-04</t>
        </is>
      </c>
      <c r="B6998" t="inlineStr">
        <is>
          <t>F281760</t>
        </is>
      </c>
      <c r="C6998" t="inlineStr">
        <is>
          <t>C11146</t>
        </is>
      </c>
      <c r="D6998" t="inlineStr">
        <is>
          <t>SKU-10322</t>
        </is>
      </c>
      <c r="E6998" t="inlineStr">
        <is>
          <t>AM01</t>
        </is>
      </c>
      <c r="F6998" s="5" t="n">
        <v>379.54</v>
      </c>
      <c r="G6998">
        <f>IF(LEFT(B6998,1)="C","Credit","Factuur")</f>
        <v/>
      </c>
      <c r="H6998">
        <f>IF(AND(B6998=B6997,D6998=D6997,A6998=A6997,F6998=F6997),1,0)</f>
        <v/>
      </c>
      <c r="I6998">
        <f>IF(C6998="C99999",1,0)</f>
        <v/>
      </c>
      <c r="J6998" s="5">
        <f>IF(OR(H6998=1,I6998=1),0,IF(G6998="Credit",-F6998,F6998))</f>
        <v/>
      </c>
    </row>
    <row r="6999">
      <c r="A6999" t="inlineStr">
        <is>
          <t>2026-09-04</t>
        </is>
      </c>
      <c r="B6999" t="inlineStr">
        <is>
          <t>F282028</t>
        </is>
      </c>
      <c r="C6999" t="inlineStr">
        <is>
          <t>C11158</t>
        </is>
      </c>
      <c r="D6999" t="inlineStr">
        <is>
          <t>SKU-10345</t>
        </is>
      </c>
      <c r="E6999" t="inlineStr">
        <is>
          <t>AM06</t>
        </is>
      </c>
      <c r="F6999" s="5" t="n">
        <v>1200.66</v>
      </c>
      <c r="G6999">
        <f>IF(LEFT(B6999,1)="C","Credit","Factuur")</f>
        <v/>
      </c>
      <c r="H6999">
        <f>IF(AND(B6999=B6998,D6999=D6998,A6999=A6998,F6999=F6998),1,0)</f>
        <v/>
      </c>
      <c r="I6999">
        <f>IF(C6999="C99999",1,0)</f>
        <v/>
      </c>
      <c r="J6999" s="5">
        <f>IF(OR(H6999=1,I6999=1),0,IF(G6999="Credit",-F6999,F6999))</f>
        <v/>
      </c>
    </row>
    <row r="7000">
      <c r="A7000" t="inlineStr">
        <is>
          <t>2026-09-04</t>
        </is>
      </c>
      <c r="B7000" t="inlineStr">
        <is>
          <t>F282118</t>
        </is>
      </c>
      <c r="C7000" t="inlineStr">
        <is>
          <t>C11162</t>
        </is>
      </c>
      <c r="D7000" t="inlineStr">
        <is>
          <t>SKU-10047</t>
        </is>
      </c>
      <c r="E7000" t="inlineStr">
        <is>
          <t>AM01</t>
        </is>
      </c>
      <c r="F7000" s="5" t="n">
        <v>385.27</v>
      </c>
      <c r="G7000">
        <f>IF(LEFT(B7000,1)="C","Credit","Factuur")</f>
        <v/>
      </c>
      <c r="H7000">
        <f>IF(AND(B7000=B6999,D7000=D6999,A7000=A6999,F7000=F6999),1,0)</f>
        <v/>
      </c>
      <c r="I7000">
        <f>IF(C7000="C99999",1,0)</f>
        <v/>
      </c>
      <c r="J7000" s="5">
        <f>IF(OR(H7000=1,I7000=1),0,IF(G7000="Credit",-F7000,F7000))</f>
        <v/>
      </c>
    </row>
    <row r="7001">
      <c r="A7001" t="inlineStr">
        <is>
          <t>2026-09-04</t>
        </is>
      </c>
      <c r="B7001" t="inlineStr">
        <is>
          <t>F282176</t>
        </is>
      </c>
      <c r="C7001" t="inlineStr">
        <is>
          <t>C11165</t>
        </is>
      </c>
      <c r="D7001" t="inlineStr">
        <is>
          <t>SKU-10022</t>
        </is>
      </c>
      <c r="E7001" t="inlineStr">
        <is>
          <t>AM03</t>
        </is>
      </c>
      <c r="F7001" s="5" t="n">
        <v>208.9</v>
      </c>
      <c r="G7001">
        <f>IF(LEFT(B7001,1)="C","Credit","Factuur")</f>
        <v/>
      </c>
      <c r="H7001">
        <f>IF(AND(B7001=B7000,D7001=D7000,A7001=A7000,F7001=F7000),1,0)</f>
        <v/>
      </c>
      <c r="I7001">
        <f>IF(C7001="C99999",1,0)</f>
        <v/>
      </c>
      <c r="J7001" s="5">
        <f>IF(OR(H7001=1,I7001=1),0,IF(G7001="Credit",-F7001,F7001))</f>
        <v/>
      </c>
    </row>
    <row r="7002">
      <c r="A7002" t="inlineStr">
        <is>
          <t>2026-09-04</t>
        </is>
      </c>
      <c r="B7002" t="inlineStr">
        <is>
          <t>F282176</t>
        </is>
      </c>
      <c r="C7002" t="inlineStr">
        <is>
          <t>C11165</t>
        </is>
      </c>
      <c r="D7002" t="inlineStr">
        <is>
          <t>SKU-10044</t>
        </is>
      </c>
      <c r="E7002" t="inlineStr">
        <is>
          <t>AM03</t>
        </is>
      </c>
      <c r="F7002" s="5" t="n">
        <v>245.4</v>
      </c>
      <c r="G7002">
        <f>IF(LEFT(B7002,1)="C","Credit","Factuur")</f>
        <v/>
      </c>
      <c r="H7002">
        <f>IF(AND(B7002=B7001,D7002=D7001,A7002=A7001,F7002=F7001),1,0)</f>
        <v/>
      </c>
      <c r="I7002">
        <f>IF(C7002="C99999",1,0)</f>
        <v/>
      </c>
      <c r="J7002" s="5">
        <f>IF(OR(H7002=1,I7002=1),0,IF(G7002="Credit",-F7002,F7002))</f>
        <v/>
      </c>
    </row>
    <row r="7003">
      <c r="A7003" t="inlineStr">
        <is>
          <t>2026-09-04</t>
        </is>
      </c>
      <c r="B7003" t="inlineStr">
        <is>
          <t>F282176</t>
        </is>
      </c>
      <c r="C7003" t="inlineStr">
        <is>
          <t>C11165</t>
        </is>
      </c>
      <c r="D7003" t="inlineStr">
        <is>
          <t>SKU-10096</t>
        </is>
      </c>
      <c r="E7003" t="inlineStr">
        <is>
          <t>AM03</t>
        </is>
      </c>
      <c r="F7003" s="5" t="n">
        <v>228.84</v>
      </c>
      <c r="G7003">
        <f>IF(LEFT(B7003,1)="C","Credit","Factuur")</f>
        <v/>
      </c>
      <c r="H7003">
        <f>IF(AND(B7003=B7002,D7003=D7002,A7003=A7002,F7003=F7002),1,0)</f>
        <v/>
      </c>
      <c r="I7003">
        <f>IF(C7003="C99999",1,0)</f>
        <v/>
      </c>
      <c r="J7003" s="5">
        <f>IF(OR(H7003=1,I7003=1),0,IF(G7003="Credit",-F7003,F7003))</f>
        <v/>
      </c>
    </row>
    <row r="7004">
      <c r="A7004" t="inlineStr">
        <is>
          <t>2026-09-04</t>
        </is>
      </c>
      <c r="B7004" t="inlineStr">
        <is>
          <t>F282176</t>
        </is>
      </c>
      <c r="C7004" t="inlineStr">
        <is>
          <t>C11165</t>
        </is>
      </c>
      <c r="D7004" t="inlineStr">
        <is>
          <t>SKU-10266</t>
        </is>
      </c>
      <c r="E7004" t="inlineStr">
        <is>
          <t>AM03</t>
        </is>
      </c>
      <c r="F7004" s="5" t="n">
        <v>250.6</v>
      </c>
      <c r="G7004">
        <f>IF(LEFT(B7004,1)="C","Credit","Factuur")</f>
        <v/>
      </c>
      <c r="H7004">
        <f>IF(AND(B7004=B7003,D7004=D7003,A7004=A7003,F7004=F7003),1,0)</f>
        <v/>
      </c>
      <c r="I7004">
        <f>IF(C7004="C99999",1,0)</f>
        <v/>
      </c>
      <c r="J7004" s="5">
        <f>IF(OR(H7004=1,I7004=1),0,IF(G7004="Credit",-F7004,F7004))</f>
        <v/>
      </c>
    </row>
    <row r="7005">
      <c r="A7005" t="inlineStr">
        <is>
          <t>2026-09-04</t>
        </is>
      </c>
      <c r="B7005" t="inlineStr">
        <is>
          <t>F282183</t>
        </is>
      </c>
      <c r="C7005" t="inlineStr">
        <is>
          <t>C11165</t>
        </is>
      </c>
      <c r="D7005" t="inlineStr">
        <is>
          <t>SKU-10043</t>
        </is>
      </c>
      <c r="E7005" t="inlineStr">
        <is>
          <t>AM03</t>
        </is>
      </c>
      <c r="F7005" s="5" t="n">
        <v>267.12</v>
      </c>
      <c r="G7005">
        <f>IF(LEFT(B7005,1)="C","Credit","Factuur")</f>
        <v/>
      </c>
      <c r="H7005">
        <f>IF(AND(B7005=B7004,D7005=D7004,A7005=A7004,F7005=F7004),1,0)</f>
        <v/>
      </c>
      <c r="I7005">
        <f>IF(C7005="C99999",1,0)</f>
        <v/>
      </c>
      <c r="J7005" s="5">
        <f>IF(OR(H7005=1,I7005=1),0,IF(G7005="Credit",-F7005,F7005))</f>
        <v/>
      </c>
    </row>
    <row r="7006">
      <c r="A7006" t="inlineStr">
        <is>
          <t>2026-09-04</t>
        </is>
      </c>
      <c r="B7006" t="inlineStr">
        <is>
          <t>F282183</t>
        </is>
      </c>
      <c r="C7006" t="inlineStr">
        <is>
          <t>C11165</t>
        </is>
      </c>
      <c r="D7006" t="inlineStr">
        <is>
          <t>SKU-10057</t>
        </is>
      </c>
      <c r="E7006" t="inlineStr">
        <is>
          <t>AM03</t>
        </is>
      </c>
      <c r="F7006" s="5" t="n">
        <v>270</v>
      </c>
      <c r="G7006">
        <f>IF(LEFT(B7006,1)="C","Credit","Factuur")</f>
        <v/>
      </c>
      <c r="H7006">
        <f>IF(AND(B7006=B7005,D7006=D7005,A7006=A7005,F7006=F7005),1,0)</f>
        <v/>
      </c>
      <c r="I7006">
        <f>IF(C7006="C99999",1,0)</f>
        <v/>
      </c>
      <c r="J7006" s="5">
        <f>IF(OR(H7006=1,I7006=1),0,IF(G7006="Credit",-F7006,F7006))</f>
        <v/>
      </c>
    </row>
    <row r="7007">
      <c r="A7007" t="inlineStr">
        <is>
          <t>2026-09-04</t>
        </is>
      </c>
      <c r="B7007" t="inlineStr">
        <is>
          <t>F282692</t>
        </is>
      </c>
      <c r="C7007" t="inlineStr">
        <is>
          <t>C11191</t>
        </is>
      </c>
      <c r="D7007" t="inlineStr">
        <is>
          <t>SKU-10240</t>
        </is>
      </c>
      <c r="E7007" t="inlineStr">
        <is>
          <t>AM06</t>
        </is>
      </c>
      <c r="F7007" s="5" t="n">
        <v>239.04</v>
      </c>
      <c r="G7007">
        <f>IF(LEFT(B7007,1)="C","Credit","Factuur")</f>
        <v/>
      </c>
      <c r="H7007">
        <f>IF(AND(B7007=B7006,D7007=D7006,A7007=A7006,F7007=F7006),1,0)</f>
        <v/>
      </c>
      <c r="I7007">
        <f>IF(C7007="C99999",1,0)</f>
        <v/>
      </c>
      <c r="J7007" s="5">
        <f>IF(OR(H7007=1,I7007=1),0,IF(G7007="Credit",-F7007,F7007))</f>
        <v/>
      </c>
    </row>
    <row r="7008">
      <c r="A7008" t="inlineStr">
        <is>
          <t>2026-09-04</t>
        </is>
      </c>
      <c r="B7008" t="inlineStr">
        <is>
          <t>F282692</t>
        </is>
      </c>
      <c r="C7008" t="inlineStr">
        <is>
          <t>C11191</t>
        </is>
      </c>
      <c r="D7008" t="inlineStr">
        <is>
          <t>SKU-10252</t>
        </is>
      </c>
      <c r="E7008" t="inlineStr">
        <is>
          <t>AM06</t>
        </is>
      </c>
      <c r="F7008" s="5" t="n">
        <v>238.5</v>
      </c>
      <c r="G7008">
        <f>IF(LEFT(B7008,1)="C","Credit","Factuur")</f>
        <v/>
      </c>
      <c r="H7008">
        <f>IF(AND(B7008=B7007,D7008=D7007,A7008=A7007,F7008=F7007),1,0)</f>
        <v/>
      </c>
      <c r="I7008">
        <f>IF(C7008="C99999",1,0)</f>
        <v/>
      </c>
      <c r="J7008" s="5">
        <f>IF(OR(H7008=1,I7008=1),0,IF(G7008="Credit",-F7008,F7008))</f>
        <v/>
      </c>
    </row>
    <row r="7009">
      <c r="A7009" t="inlineStr">
        <is>
          <t>2026-09-04</t>
        </is>
      </c>
      <c r="B7009" t="inlineStr">
        <is>
          <t>F282692</t>
        </is>
      </c>
      <c r="C7009" t="inlineStr">
        <is>
          <t>C11191</t>
        </is>
      </c>
      <c r="D7009" t="inlineStr">
        <is>
          <t>SKU-10344</t>
        </is>
      </c>
      <c r="E7009" t="inlineStr">
        <is>
          <t>AM06</t>
        </is>
      </c>
      <c r="F7009" s="5" t="n">
        <v>226.8</v>
      </c>
      <c r="G7009">
        <f>IF(LEFT(B7009,1)="C","Credit","Factuur")</f>
        <v/>
      </c>
      <c r="H7009">
        <f>IF(AND(B7009=B7008,D7009=D7008,A7009=A7008,F7009=F7008),1,0)</f>
        <v/>
      </c>
      <c r="I7009">
        <f>IF(C7009="C99999",1,0)</f>
        <v/>
      </c>
      <c r="J7009" s="5">
        <f>IF(OR(H7009=1,I7009=1),0,IF(G7009="Credit",-F7009,F7009))</f>
        <v/>
      </c>
    </row>
    <row r="7010">
      <c r="A7010" t="inlineStr">
        <is>
          <t>2026-09-04</t>
        </is>
      </c>
      <c r="B7010" t="inlineStr">
        <is>
          <t>F282692</t>
        </is>
      </c>
      <c r="C7010" t="inlineStr">
        <is>
          <t>C11191</t>
        </is>
      </c>
      <c r="D7010" t="inlineStr">
        <is>
          <t>SKU-10363</t>
        </is>
      </c>
      <c r="E7010" t="inlineStr">
        <is>
          <t>AM06</t>
        </is>
      </c>
      <c r="F7010" s="5" t="n">
        <v>218.31</v>
      </c>
      <c r="G7010">
        <f>IF(LEFT(B7010,1)="C","Credit","Factuur")</f>
        <v/>
      </c>
      <c r="H7010">
        <f>IF(AND(B7010=B7009,D7010=D7009,A7010=A7009,F7010=F7009),1,0)</f>
        <v/>
      </c>
      <c r="I7010">
        <f>IF(C7010="C99999",1,0)</f>
        <v/>
      </c>
      <c r="J7010" s="5">
        <f>IF(OR(H7010=1,I7010=1),0,IF(G7010="Credit",-F7010,F7010))</f>
        <v/>
      </c>
    </row>
    <row r="7011">
      <c r="A7011" t="inlineStr">
        <is>
          <t>2026-09-04</t>
        </is>
      </c>
      <c r="B7011" t="inlineStr">
        <is>
          <t>F282882</t>
        </is>
      </c>
      <c r="C7011" t="inlineStr">
        <is>
          <t>C11201</t>
        </is>
      </c>
      <c r="D7011" t="inlineStr">
        <is>
          <t>SKU-10143</t>
        </is>
      </c>
      <c r="E7011" t="inlineStr">
        <is>
          <t>AM01</t>
        </is>
      </c>
      <c r="F7011" s="5" t="n">
        <v>145.36</v>
      </c>
      <c r="G7011">
        <f>IF(LEFT(B7011,1)="C","Credit","Factuur")</f>
        <v/>
      </c>
      <c r="H7011">
        <f>IF(AND(B7011=B7010,D7011=D7010,A7011=A7010,F7011=F7010),1,0)</f>
        <v/>
      </c>
      <c r="I7011">
        <f>IF(C7011="C99999",1,0)</f>
        <v/>
      </c>
      <c r="J7011" s="5">
        <f>IF(OR(H7011=1,I7011=1),0,IF(G7011="Credit",-F7011,F7011))</f>
        <v/>
      </c>
    </row>
    <row r="7012">
      <c r="A7012" t="inlineStr">
        <is>
          <t>2026-09-04</t>
        </is>
      </c>
      <c r="B7012" t="inlineStr">
        <is>
          <t>F282882</t>
        </is>
      </c>
      <c r="C7012" t="inlineStr">
        <is>
          <t>C11201</t>
        </is>
      </c>
      <c r="D7012" t="inlineStr">
        <is>
          <t>SKU-10163</t>
        </is>
      </c>
      <c r="E7012" t="inlineStr">
        <is>
          <t>AM01</t>
        </is>
      </c>
      <c r="F7012" s="5" t="n">
        <v>145.8</v>
      </c>
      <c r="G7012">
        <f>IF(LEFT(B7012,1)="C","Credit","Factuur")</f>
        <v/>
      </c>
      <c r="H7012">
        <f>IF(AND(B7012=B7011,D7012=D7011,A7012=A7011,F7012=F7011),1,0)</f>
        <v/>
      </c>
      <c r="I7012">
        <f>IF(C7012="C99999",1,0)</f>
        <v/>
      </c>
      <c r="J7012" s="5">
        <f>IF(OR(H7012=1,I7012=1),0,IF(G7012="Credit",-F7012,F7012))</f>
        <v/>
      </c>
    </row>
    <row r="7013">
      <c r="A7013" t="inlineStr">
        <is>
          <t>2026-09-04</t>
        </is>
      </c>
      <c r="B7013" t="inlineStr">
        <is>
          <t>F282882</t>
        </is>
      </c>
      <c r="C7013" t="inlineStr">
        <is>
          <t>C11201</t>
        </is>
      </c>
      <c r="D7013" t="inlineStr">
        <is>
          <t>SKU-10181</t>
        </is>
      </c>
      <c r="E7013" t="inlineStr">
        <is>
          <t>AM01</t>
        </is>
      </c>
      <c r="F7013" s="5" t="n">
        <v>131.19</v>
      </c>
      <c r="G7013">
        <f>IF(LEFT(B7013,1)="C","Credit","Factuur")</f>
        <v/>
      </c>
      <c r="H7013">
        <f>IF(AND(B7013=B7012,D7013=D7012,A7013=A7012,F7013=F7012),1,0)</f>
        <v/>
      </c>
      <c r="I7013">
        <f>IF(C7013="C99999",1,0)</f>
        <v/>
      </c>
      <c r="J7013" s="5">
        <f>IF(OR(H7013=1,I7013=1),0,IF(G7013="Credit",-F7013,F7013))</f>
        <v/>
      </c>
    </row>
    <row r="7014">
      <c r="A7014" t="inlineStr">
        <is>
          <t>2026-09-04</t>
        </is>
      </c>
      <c r="B7014" t="inlineStr">
        <is>
          <t>F282882</t>
        </is>
      </c>
      <c r="C7014" t="inlineStr">
        <is>
          <t>C11201</t>
        </is>
      </c>
      <c r="D7014" t="inlineStr">
        <is>
          <t>SKU-10297</t>
        </is>
      </c>
      <c r="E7014" t="inlineStr">
        <is>
          <t>AM01</t>
        </is>
      </c>
      <c r="F7014" s="5" t="n">
        <v>149.44</v>
      </c>
      <c r="G7014">
        <f>IF(LEFT(B7014,1)="C","Credit","Factuur")</f>
        <v/>
      </c>
      <c r="H7014">
        <f>IF(AND(B7014=B7013,D7014=D7013,A7014=A7013,F7014=F7013),1,0)</f>
        <v/>
      </c>
      <c r="I7014">
        <f>IF(C7014="C99999",1,0)</f>
        <v/>
      </c>
      <c r="J7014" s="5">
        <f>IF(OR(H7014=1,I7014=1),0,IF(G7014="Credit",-F7014,F7014))</f>
        <v/>
      </c>
    </row>
    <row r="7015">
      <c r="A7015" t="inlineStr">
        <is>
          <t>2026-09-04</t>
        </is>
      </c>
      <c r="B7015" t="inlineStr">
        <is>
          <t>F282882</t>
        </is>
      </c>
      <c r="C7015" t="inlineStr">
        <is>
          <t>C11201</t>
        </is>
      </c>
      <c r="D7015" t="inlineStr">
        <is>
          <t>SKU-10339</t>
        </is>
      </c>
      <c r="E7015" t="inlineStr">
        <is>
          <t>AM01</t>
        </is>
      </c>
      <c r="F7015" s="5" t="n">
        <v>150.5</v>
      </c>
      <c r="G7015">
        <f>IF(LEFT(B7015,1)="C","Credit","Factuur")</f>
        <v/>
      </c>
      <c r="H7015">
        <f>IF(AND(B7015=B7014,D7015=D7014,A7015=A7014,F7015=F7014),1,0)</f>
        <v/>
      </c>
      <c r="I7015">
        <f>IF(C7015="C99999",1,0)</f>
        <v/>
      </c>
      <c r="J7015" s="5">
        <f>IF(OR(H7015=1,I7015=1),0,IF(G7015="Credit",-F7015,F7015))</f>
        <v/>
      </c>
    </row>
    <row r="7016">
      <c r="A7016" t="inlineStr">
        <is>
          <t>2026-09-04</t>
        </is>
      </c>
      <c r="B7016" t="inlineStr">
        <is>
          <t>F282882</t>
        </is>
      </c>
      <c r="C7016" t="inlineStr">
        <is>
          <t>C11201</t>
        </is>
      </c>
      <c r="D7016" t="inlineStr">
        <is>
          <t>SKU-10343</t>
        </is>
      </c>
      <c r="E7016" t="inlineStr">
        <is>
          <t>AM01</t>
        </is>
      </c>
      <c r="F7016" s="5" t="n">
        <v>143.49</v>
      </c>
      <c r="G7016">
        <f>IF(LEFT(B7016,1)="C","Credit","Factuur")</f>
        <v/>
      </c>
      <c r="H7016">
        <f>IF(AND(B7016=B7015,D7016=D7015,A7016=A7015,F7016=F7015),1,0)</f>
        <v/>
      </c>
      <c r="I7016">
        <f>IF(C7016="C99999",1,0)</f>
        <v/>
      </c>
      <c r="J7016" s="5">
        <f>IF(OR(H7016=1,I7016=1),0,IF(G7016="Credit",-F7016,F7016))</f>
        <v/>
      </c>
    </row>
    <row r="7017">
      <c r="A7017" t="inlineStr">
        <is>
          <t>2026-09-04</t>
        </is>
      </c>
      <c r="B7017" t="inlineStr">
        <is>
          <t>F283215</t>
        </is>
      </c>
      <c r="C7017" t="inlineStr">
        <is>
          <t>C11221</t>
        </is>
      </c>
      <c r="D7017" t="inlineStr">
        <is>
          <t>SKU-10145</t>
        </is>
      </c>
      <c r="E7017" t="inlineStr">
        <is>
          <t>AM02</t>
        </is>
      </c>
      <c r="F7017" s="5" t="n">
        <v>238.36</v>
      </c>
      <c r="G7017">
        <f>IF(LEFT(B7017,1)="C","Credit","Factuur")</f>
        <v/>
      </c>
      <c r="H7017">
        <f>IF(AND(B7017=B7016,D7017=D7016,A7017=A7016,F7017=F7016),1,0)</f>
        <v/>
      </c>
      <c r="I7017">
        <f>IF(C7017="C99999",1,0)</f>
        <v/>
      </c>
      <c r="J7017" s="5">
        <f>IF(OR(H7017=1,I7017=1),0,IF(G7017="Credit",-F7017,F7017))</f>
        <v/>
      </c>
    </row>
    <row r="7018">
      <c r="A7018" t="inlineStr">
        <is>
          <t>2026-09-04</t>
        </is>
      </c>
      <c r="B7018" t="inlineStr">
        <is>
          <t>F283215</t>
        </is>
      </c>
      <c r="C7018" t="inlineStr">
        <is>
          <t>C11221</t>
        </is>
      </c>
      <c r="D7018" t="inlineStr">
        <is>
          <t>SKU-10186</t>
        </is>
      </c>
      <c r="E7018" t="inlineStr"/>
      <c r="F7018" s="5" t="n">
        <v>285.6</v>
      </c>
      <c r="G7018">
        <f>IF(LEFT(B7018,1)="C","Credit","Factuur")</f>
        <v/>
      </c>
      <c r="H7018">
        <f>IF(AND(B7018=B7017,D7018=D7017,A7018=A7017,F7018=F7017),1,0)</f>
        <v/>
      </c>
      <c r="I7018">
        <f>IF(C7018="C99999",1,0)</f>
        <v/>
      </c>
      <c r="J7018" s="5">
        <f>IF(OR(H7018=1,I7018=1),0,IF(G7018="Credit",-F7018,F7018))</f>
        <v/>
      </c>
    </row>
    <row r="7019">
      <c r="A7019" t="inlineStr">
        <is>
          <t>2026-09-04</t>
        </is>
      </c>
      <c r="B7019" t="inlineStr">
        <is>
          <t>F283364</t>
        </is>
      </c>
      <c r="C7019" t="inlineStr">
        <is>
          <t>C11227</t>
        </is>
      </c>
      <c r="D7019" t="inlineStr">
        <is>
          <t>SKU-10008</t>
        </is>
      </c>
      <c r="E7019" t="inlineStr">
        <is>
          <t>AM11</t>
        </is>
      </c>
      <c r="F7019" s="5" t="n">
        <v>65.52</v>
      </c>
      <c r="G7019">
        <f>IF(LEFT(B7019,1)="C","Credit","Factuur")</f>
        <v/>
      </c>
      <c r="H7019">
        <f>IF(AND(B7019=B7018,D7019=D7018,A7019=A7018,F7019=F7018),1,0)</f>
        <v/>
      </c>
      <c r="I7019">
        <f>IF(C7019="C99999",1,0)</f>
        <v/>
      </c>
      <c r="J7019" s="5">
        <f>IF(OR(H7019=1,I7019=1),0,IF(G7019="Credit",-F7019,F7019))</f>
        <v/>
      </c>
    </row>
    <row r="7020">
      <c r="A7020" t="inlineStr">
        <is>
          <t>2026-09-04</t>
        </is>
      </c>
      <c r="B7020" t="inlineStr">
        <is>
          <t>F283364</t>
        </is>
      </c>
      <c r="C7020" t="inlineStr">
        <is>
          <t>C11227</t>
        </is>
      </c>
      <c r="D7020" t="inlineStr">
        <is>
          <t>SKU-10023</t>
        </is>
      </c>
      <c r="E7020" t="inlineStr">
        <is>
          <t>AM11</t>
        </is>
      </c>
      <c r="F7020" s="5" t="n">
        <v>50.72</v>
      </c>
      <c r="G7020">
        <f>IF(LEFT(B7020,1)="C","Credit","Factuur")</f>
        <v/>
      </c>
      <c r="H7020">
        <f>IF(AND(B7020=B7019,D7020=D7019,A7020=A7019,F7020=F7019),1,0)</f>
        <v/>
      </c>
      <c r="I7020">
        <f>IF(C7020="C99999",1,0)</f>
        <v/>
      </c>
      <c r="J7020" s="5">
        <f>IF(OR(H7020=1,I7020=1),0,IF(G7020="Credit",-F7020,F7020))</f>
        <v/>
      </c>
    </row>
    <row r="7021">
      <c r="A7021" t="inlineStr">
        <is>
          <t>2026-09-04</t>
        </is>
      </c>
      <c r="B7021" t="inlineStr">
        <is>
          <t>F283364</t>
        </is>
      </c>
      <c r="C7021" t="inlineStr">
        <is>
          <t>C11227</t>
        </is>
      </c>
      <c r="D7021" t="inlineStr">
        <is>
          <t>SKU-10078</t>
        </is>
      </c>
      <c r="E7021" t="inlineStr">
        <is>
          <t>AM11</t>
        </is>
      </c>
      <c r="F7021" s="5" t="n">
        <v>76.09</v>
      </c>
      <c r="G7021">
        <f>IF(LEFT(B7021,1)="C","Credit","Factuur")</f>
        <v/>
      </c>
      <c r="H7021">
        <f>IF(AND(B7021=B7020,D7021=D7020,A7021=A7020,F7021=F7020),1,0)</f>
        <v/>
      </c>
      <c r="I7021">
        <f>IF(C7021="C99999",1,0)</f>
        <v/>
      </c>
      <c r="J7021" s="5">
        <f>IF(OR(H7021=1,I7021=1),0,IF(G7021="Credit",-F7021,F7021))</f>
        <v/>
      </c>
    </row>
    <row r="7022">
      <c r="A7022" t="inlineStr">
        <is>
          <t>2026-09-04</t>
        </is>
      </c>
      <c r="B7022" t="inlineStr">
        <is>
          <t>F283364</t>
        </is>
      </c>
      <c r="C7022" t="inlineStr">
        <is>
          <t>C11227</t>
        </is>
      </c>
      <c r="D7022" t="inlineStr">
        <is>
          <t>SKU-10286</t>
        </is>
      </c>
      <c r="E7022" t="inlineStr">
        <is>
          <t>AM11</t>
        </is>
      </c>
      <c r="F7022" s="5" t="n">
        <v>73</v>
      </c>
      <c r="G7022">
        <f>IF(LEFT(B7022,1)="C","Credit","Factuur")</f>
        <v/>
      </c>
      <c r="H7022">
        <f>IF(AND(B7022=B7021,D7022=D7021,A7022=A7021,F7022=F7021),1,0)</f>
        <v/>
      </c>
      <c r="I7022">
        <f>IF(C7022="C99999",1,0)</f>
        <v/>
      </c>
      <c r="J7022" s="5">
        <f>IF(OR(H7022=1,I7022=1),0,IF(G7022="Credit",-F7022,F7022))</f>
        <v/>
      </c>
    </row>
    <row r="7023">
      <c r="A7023" t="inlineStr">
        <is>
          <t>2026-09-04</t>
        </is>
      </c>
      <c r="B7023" t="inlineStr">
        <is>
          <t>F283364</t>
        </is>
      </c>
      <c r="C7023" t="inlineStr">
        <is>
          <t>C11227</t>
        </is>
      </c>
      <c r="D7023" t="inlineStr">
        <is>
          <t>SKU-10292</t>
        </is>
      </c>
      <c r="E7023" t="inlineStr">
        <is>
          <t>AM11</t>
        </is>
      </c>
      <c r="F7023" s="5" t="n">
        <v>72.72</v>
      </c>
      <c r="G7023">
        <f>IF(LEFT(B7023,1)="C","Credit","Factuur")</f>
        <v/>
      </c>
      <c r="H7023">
        <f>IF(AND(B7023=B7022,D7023=D7022,A7023=A7022,F7023=F7022),1,0)</f>
        <v/>
      </c>
      <c r="I7023">
        <f>IF(C7023="C99999",1,0)</f>
        <v/>
      </c>
      <c r="J7023" s="5">
        <f>IF(OR(H7023=1,I7023=1),0,IF(G7023="Credit",-F7023,F7023))</f>
        <v/>
      </c>
    </row>
    <row r="7024">
      <c r="A7024" t="inlineStr">
        <is>
          <t>2026-09-04</t>
        </is>
      </c>
      <c r="B7024" t="inlineStr">
        <is>
          <t>F283364</t>
        </is>
      </c>
      <c r="C7024" t="inlineStr">
        <is>
          <t>C11227</t>
        </is>
      </c>
      <c r="D7024" t="inlineStr">
        <is>
          <t>SKU-10361</t>
        </is>
      </c>
      <c r="E7024" t="inlineStr">
        <is>
          <t>AM11</t>
        </is>
      </c>
      <c r="F7024" s="5" t="n">
        <v>95.15000000000001</v>
      </c>
      <c r="G7024">
        <f>IF(LEFT(B7024,1)="C","Credit","Factuur")</f>
        <v/>
      </c>
      <c r="H7024">
        <f>IF(AND(B7024=B7023,D7024=D7023,A7024=A7023,F7024=F7023),1,0)</f>
        <v/>
      </c>
      <c r="I7024">
        <f>IF(C7024="C99999",1,0)</f>
        <v/>
      </c>
      <c r="J7024" s="5">
        <f>IF(OR(H7024=1,I7024=1),0,IF(G7024="Credit",-F7024,F7024))</f>
        <v/>
      </c>
    </row>
    <row r="7025">
      <c r="A7025" t="inlineStr">
        <is>
          <t>2026-09-04</t>
        </is>
      </c>
      <c r="B7025" t="inlineStr">
        <is>
          <t>F283433</t>
        </is>
      </c>
      <c r="C7025" t="inlineStr">
        <is>
          <t>C11230</t>
        </is>
      </c>
      <c r="D7025" t="inlineStr">
        <is>
          <t>SKU-10079</t>
        </is>
      </c>
      <c r="E7025" t="inlineStr">
        <is>
          <t>AM03</t>
        </is>
      </c>
      <c r="F7025" s="5" t="n">
        <v>114.8</v>
      </c>
      <c r="G7025">
        <f>IF(LEFT(B7025,1)="C","Credit","Factuur")</f>
        <v/>
      </c>
      <c r="H7025">
        <f>IF(AND(B7025=B7024,D7025=D7024,A7025=A7024,F7025=F7024),1,0)</f>
        <v/>
      </c>
      <c r="I7025">
        <f>IF(C7025="C99999",1,0)</f>
        <v/>
      </c>
      <c r="J7025" s="5">
        <f>IF(OR(H7025=1,I7025=1),0,IF(G7025="Credit",-F7025,F7025))</f>
        <v/>
      </c>
    </row>
    <row r="7026">
      <c r="A7026" t="inlineStr">
        <is>
          <t>2026-09-04</t>
        </is>
      </c>
      <c r="B7026" t="inlineStr">
        <is>
          <t>F283433</t>
        </is>
      </c>
      <c r="C7026" t="inlineStr">
        <is>
          <t>C11230</t>
        </is>
      </c>
      <c r="D7026" t="inlineStr">
        <is>
          <t>SKU-10155</t>
        </is>
      </c>
      <c r="E7026" t="inlineStr">
        <is>
          <t>AM03</t>
        </is>
      </c>
      <c r="F7026" s="5" t="n">
        <v>99.64</v>
      </c>
      <c r="G7026">
        <f>IF(LEFT(B7026,1)="C","Credit","Factuur")</f>
        <v/>
      </c>
      <c r="H7026">
        <f>IF(AND(B7026=B7025,D7026=D7025,A7026=A7025,F7026=F7025),1,0)</f>
        <v/>
      </c>
      <c r="I7026">
        <f>IF(C7026="C99999",1,0)</f>
        <v/>
      </c>
      <c r="J7026" s="5">
        <f>IF(OR(H7026=1,I7026=1),0,IF(G7026="Credit",-F7026,F7026))</f>
        <v/>
      </c>
    </row>
    <row r="7027">
      <c r="A7027" t="inlineStr">
        <is>
          <t>2026-09-04</t>
        </is>
      </c>
      <c r="B7027" t="inlineStr">
        <is>
          <t>F283433</t>
        </is>
      </c>
      <c r="C7027" t="inlineStr">
        <is>
          <t>C11230</t>
        </is>
      </c>
      <c r="D7027" t="inlineStr">
        <is>
          <t>SKU-10350</t>
        </is>
      </c>
      <c r="E7027" t="inlineStr">
        <is>
          <t>AM03</t>
        </is>
      </c>
      <c r="F7027" s="5" t="n">
        <v>360.34</v>
      </c>
      <c r="G7027">
        <f>IF(LEFT(B7027,1)="C","Credit","Factuur")</f>
        <v/>
      </c>
      <c r="H7027">
        <f>IF(AND(B7027=B7026,D7027=D7026,A7027=A7026,F7027=F7026),1,0)</f>
        <v/>
      </c>
      <c r="I7027">
        <f>IF(C7027="C99999",1,0)</f>
        <v/>
      </c>
      <c r="J7027" s="5">
        <f>IF(OR(H7027=1,I7027=1),0,IF(G7027="Credit",-F7027,F7027))</f>
        <v/>
      </c>
    </row>
    <row r="7028">
      <c r="A7028" t="inlineStr">
        <is>
          <t>2026-09-04</t>
        </is>
      </c>
      <c r="B7028" t="inlineStr">
        <is>
          <t>F283452</t>
        </is>
      </c>
      <c r="C7028" t="inlineStr">
        <is>
          <t>C11231</t>
        </is>
      </c>
      <c r="D7028" t="inlineStr">
        <is>
          <t>SKU-10015</t>
        </is>
      </c>
      <c r="E7028" t="inlineStr">
        <is>
          <t>AM03</t>
        </is>
      </c>
      <c r="F7028" s="5" t="n">
        <v>186.54</v>
      </c>
      <c r="G7028">
        <f>IF(LEFT(B7028,1)="C","Credit","Factuur")</f>
        <v/>
      </c>
      <c r="H7028">
        <f>IF(AND(B7028=B7027,D7028=D7027,A7028=A7027,F7028=F7027),1,0)</f>
        <v/>
      </c>
      <c r="I7028">
        <f>IF(C7028="C99999",1,0)</f>
        <v/>
      </c>
      <c r="J7028" s="5">
        <f>IF(OR(H7028=1,I7028=1),0,IF(G7028="Credit",-F7028,F7028))</f>
        <v/>
      </c>
    </row>
    <row r="7029">
      <c r="A7029" t="inlineStr">
        <is>
          <t>2026-09-04</t>
        </is>
      </c>
      <c r="B7029" t="inlineStr">
        <is>
          <t>F283452</t>
        </is>
      </c>
      <c r="C7029" t="inlineStr">
        <is>
          <t>C11231</t>
        </is>
      </c>
      <c r="D7029" t="inlineStr">
        <is>
          <t>SKU-10035</t>
        </is>
      </c>
      <c r="E7029" t="inlineStr">
        <is>
          <t>AM03</t>
        </is>
      </c>
      <c r="F7029" s="5" t="n">
        <v>219.9</v>
      </c>
      <c r="G7029">
        <f>IF(LEFT(B7029,1)="C","Credit","Factuur")</f>
        <v/>
      </c>
      <c r="H7029">
        <f>IF(AND(B7029=B7028,D7029=D7028,A7029=A7028,F7029=F7028),1,0)</f>
        <v/>
      </c>
      <c r="I7029">
        <f>IF(C7029="C99999",1,0)</f>
        <v/>
      </c>
      <c r="J7029" s="5">
        <f>IF(OR(H7029=1,I7029=1),0,IF(G7029="Credit",-F7029,F7029))</f>
        <v/>
      </c>
    </row>
    <row r="7030">
      <c r="A7030" t="inlineStr">
        <is>
          <t>2026-09-04</t>
        </is>
      </c>
      <c r="B7030" t="inlineStr">
        <is>
          <t>F283452</t>
        </is>
      </c>
      <c r="C7030" t="inlineStr">
        <is>
          <t>C11231</t>
        </is>
      </c>
      <c r="D7030" t="inlineStr">
        <is>
          <t>SKU-10048</t>
        </is>
      </c>
      <c r="E7030" t="inlineStr">
        <is>
          <t>AM03</t>
        </is>
      </c>
      <c r="F7030" s="5" t="n">
        <v>199.92</v>
      </c>
      <c r="G7030">
        <f>IF(LEFT(B7030,1)="C","Credit","Factuur")</f>
        <v/>
      </c>
      <c r="H7030">
        <f>IF(AND(B7030=B7029,D7030=D7029,A7030=A7029,F7030=F7029),1,0)</f>
        <v/>
      </c>
      <c r="I7030">
        <f>IF(C7030="C99999",1,0)</f>
        <v/>
      </c>
      <c r="J7030" s="5">
        <f>IF(OR(H7030=1,I7030=1),0,IF(G7030="Credit",-F7030,F7030))</f>
        <v/>
      </c>
    </row>
    <row r="7031">
      <c r="A7031" t="inlineStr">
        <is>
          <t>2026-09-04</t>
        </is>
      </c>
      <c r="B7031" t="inlineStr">
        <is>
          <t>F283452</t>
        </is>
      </c>
      <c r="C7031" t="inlineStr">
        <is>
          <t>C11231</t>
        </is>
      </c>
      <c r="D7031" t="inlineStr">
        <is>
          <t>SKU-10120</t>
        </is>
      </c>
      <c r="E7031" t="inlineStr">
        <is>
          <t>AM03</t>
        </is>
      </c>
      <c r="F7031" s="5" t="n">
        <v>198.66</v>
      </c>
      <c r="G7031">
        <f>IF(LEFT(B7031,1)="C","Credit","Factuur")</f>
        <v/>
      </c>
      <c r="H7031">
        <f>IF(AND(B7031=B7030,D7031=D7030,A7031=A7030,F7031=F7030),1,0)</f>
        <v/>
      </c>
      <c r="I7031">
        <f>IF(C7031="C99999",1,0)</f>
        <v/>
      </c>
      <c r="J7031" s="5">
        <f>IF(OR(H7031=1,I7031=1),0,IF(G7031="Credit",-F7031,F7031))</f>
        <v/>
      </c>
    </row>
    <row r="7032">
      <c r="A7032" t="inlineStr">
        <is>
          <t>2026-09-04</t>
        </is>
      </c>
      <c r="B7032" t="inlineStr">
        <is>
          <t>F283452</t>
        </is>
      </c>
      <c r="C7032" t="inlineStr">
        <is>
          <t>C11231</t>
        </is>
      </c>
      <c r="D7032" t="inlineStr">
        <is>
          <t>SKU-10139</t>
        </is>
      </c>
      <c r="E7032" t="inlineStr">
        <is>
          <t>AM03</t>
        </is>
      </c>
      <c r="F7032" s="5" t="n">
        <v>211.32</v>
      </c>
      <c r="G7032">
        <f>IF(LEFT(B7032,1)="C","Credit","Factuur")</f>
        <v/>
      </c>
      <c r="H7032">
        <f>IF(AND(B7032=B7031,D7032=D7031,A7032=A7031,F7032=F7031),1,0)</f>
        <v/>
      </c>
      <c r="I7032">
        <f>IF(C7032="C99999",1,0)</f>
        <v/>
      </c>
      <c r="J7032" s="5">
        <f>IF(OR(H7032=1,I7032=1),0,IF(G7032="Credit",-F7032,F7032))</f>
        <v/>
      </c>
    </row>
    <row r="7033">
      <c r="A7033" t="inlineStr">
        <is>
          <t>2026-09-04</t>
        </is>
      </c>
      <c r="B7033" t="inlineStr">
        <is>
          <t>F283488</t>
        </is>
      </c>
      <c r="C7033" t="inlineStr">
        <is>
          <t>C11233</t>
        </is>
      </c>
      <c r="D7033" t="inlineStr">
        <is>
          <t>SKU-10031</t>
        </is>
      </c>
      <c r="E7033" t="inlineStr">
        <is>
          <t>AM11</t>
        </is>
      </c>
      <c r="F7033" s="5" t="n">
        <v>58.34</v>
      </c>
      <c r="G7033">
        <f>IF(LEFT(B7033,1)="C","Credit","Factuur")</f>
        <v/>
      </c>
      <c r="H7033">
        <f>IF(AND(B7033=B7032,D7033=D7032,A7033=A7032,F7033=F7032),1,0)</f>
        <v/>
      </c>
      <c r="I7033">
        <f>IF(C7033="C99999",1,0)</f>
        <v/>
      </c>
      <c r="J7033" s="5">
        <f>IF(OR(H7033=1,I7033=1),0,IF(G7033="Credit",-F7033,F7033))</f>
        <v/>
      </c>
    </row>
    <row r="7034">
      <c r="A7034" t="inlineStr">
        <is>
          <t>2026-09-04</t>
        </is>
      </c>
      <c r="B7034" t="inlineStr">
        <is>
          <t>F283488</t>
        </is>
      </c>
      <c r="C7034" t="inlineStr">
        <is>
          <t>C11233</t>
        </is>
      </c>
      <c r="D7034" t="inlineStr">
        <is>
          <t>SKU-10087</t>
        </is>
      </c>
      <c r="E7034" t="inlineStr">
        <is>
          <t>AM11</t>
        </is>
      </c>
      <c r="F7034" s="5" t="n">
        <v>40.86</v>
      </c>
      <c r="G7034">
        <f>IF(LEFT(B7034,1)="C","Credit","Factuur")</f>
        <v/>
      </c>
      <c r="H7034">
        <f>IF(AND(B7034=B7033,D7034=D7033,A7034=A7033,F7034=F7033),1,0)</f>
        <v/>
      </c>
      <c r="I7034">
        <f>IF(C7034="C99999",1,0)</f>
        <v/>
      </c>
      <c r="J7034" s="5">
        <f>IF(OR(H7034=1,I7034=1),0,IF(G7034="Credit",-F7034,F7034))</f>
        <v/>
      </c>
    </row>
    <row r="7035">
      <c r="A7035" t="inlineStr">
        <is>
          <t>2026-09-04</t>
        </is>
      </c>
      <c r="B7035" t="inlineStr">
        <is>
          <t>F283488</t>
        </is>
      </c>
      <c r="C7035" t="inlineStr">
        <is>
          <t>C11233</t>
        </is>
      </c>
      <c r="D7035" t="inlineStr">
        <is>
          <t>SKU-10109</t>
        </is>
      </c>
      <c r="E7035" t="inlineStr">
        <is>
          <t>AM11</t>
        </is>
      </c>
      <c r="F7035" s="5" t="n">
        <v>47.95</v>
      </c>
      <c r="G7035">
        <f>IF(LEFT(B7035,1)="C","Credit","Factuur")</f>
        <v/>
      </c>
      <c r="H7035">
        <f>IF(AND(B7035=B7034,D7035=D7034,A7035=A7034,F7035=F7034),1,0)</f>
        <v/>
      </c>
      <c r="I7035">
        <f>IF(C7035="C99999",1,0)</f>
        <v/>
      </c>
      <c r="J7035" s="5">
        <f>IF(OR(H7035=1,I7035=1),0,IF(G7035="Credit",-F7035,F7035))</f>
        <v/>
      </c>
    </row>
    <row r="7036">
      <c r="A7036" t="inlineStr">
        <is>
          <t>2026-09-04</t>
        </is>
      </c>
      <c r="B7036" t="inlineStr">
        <is>
          <t>F283488</t>
        </is>
      </c>
      <c r="C7036" t="inlineStr">
        <is>
          <t>C11233</t>
        </is>
      </c>
      <c r="D7036" t="inlineStr">
        <is>
          <t>SKU-10232</t>
        </is>
      </c>
      <c r="E7036" t="inlineStr">
        <is>
          <t>AM11</t>
        </is>
      </c>
      <c r="F7036" s="5" t="n">
        <v>66.23999999999999</v>
      </c>
      <c r="G7036">
        <f>IF(LEFT(B7036,1)="C","Credit","Factuur")</f>
        <v/>
      </c>
      <c r="H7036">
        <f>IF(AND(B7036=B7035,D7036=D7035,A7036=A7035,F7036=F7035),1,0)</f>
        <v/>
      </c>
      <c r="I7036">
        <f>IF(C7036="C99999",1,0)</f>
        <v/>
      </c>
      <c r="J7036" s="5">
        <f>IF(OR(H7036=1,I7036=1),0,IF(G7036="Credit",-F7036,F7036))</f>
        <v/>
      </c>
    </row>
    <row r="7037">
      <c r="A7037" t="inlineStr">
        <is>
          <t>2026-09-04</t>
        </is>
      </c>
      <c r="B7037" t="inlineStr">
        <is>
          <t>F283488</t>
        </is>
      </c>
      <c r="C7037" t="inlineStr">
        <is>
          <t>C11233</t>
        </is>
      </c>
      <c r="D7037" t="inlineStr">
        <is>
          <t>SKU-10316</t>
        </is>
      </c>
      <c r="E7037" t="inlineStr">
        <is>
          <t>AM11</t>
        </is>
      </c>
      <c r="F7037" s="5" t="n">
        <v>57.38</v>
      </c>
      <c r="G7037">
        <f>IF(LEFT(B7037,1)="C","Credit","Factuur")</f>
        <v/>
      </c>
      <c r="H7037">
        <f>IF(AND(B7037=B7036,D7037=D7036,A7037=A7036,F7037=F7036),1,0)</f>
        <v/>
      </c>
      <c r="I7037">
        <f>IF(C7037="C99999",1,0)</f>
        <v/>
      </c>
      <c r="J7037" s="5">
        <f>IF(OR(H7037=1,I7037=1),0,IF(G7037="Credit",-F7037,F7037))</f>
        <v/>
      </c>
    </row>
    <row r="7038">
      <c r="A7038" t="inlineStr">
        <is>
          <t>2026-09-04</t>
        </is>
      </c>
      <c r="B7038" t="inlineStr">
        <is>
          <t>F283488</t>
        </is>
      </c>
      <c r="C7038" t="inlineStr">
        <is>
          <t>C11233</t>
        </is>
      </c>
      <c r="D7038" t="inlineStr">
        <is>
          <t>SKU-10333</t>
        </is>
      </c>
      <c r="E7038" t="inlineStr">
        <is>
          <t>AM11</t>
        </is>
      </c>
      <c r="F7038" s="5" t="n">
        <v>65.34</v>
      </c>
      <c r="G7038">
        <f>IF(LEFT(B7038,1)="C","Credit","Factuur")</f>
        <v/>
      </c>
      <c r="H7038">
        <f>IF(AND(B7038=B7037,D7038=D7037,A7038=A7037,F7038=F7037),1,0)</f>
        <v/>
      </c>
      <c r="I7038">
        <f>IF(C7038="C99999",1,0)</f>
        <v/>
      </c>
      <c r="J7038" s="5">
        <f>IF(OR(H7038=1,I7038=1),0,IF(G7038="Credit",-F7038,F7038))</f>
        <v/>
      </c>
    </row>
    <row r="7039">
      <c r="A7039" t="inlineStr">
        <is>
          <t>2026-09-04</t>
        </is>
      </c>
      <c r="B7039" t="inlineStr">
        <is>
          <t>F283776</t>
        </is>
      </c>
      <c r="C7039" t="inlineStr">
        <is>
          <t>C11246</t>
        </is>
      </c>
      <c r="D7039" t="inlineStr">
        <is>
          <t>SKU-10002</t>
        </is>
      </c>
      <c r="E7039" t="inlineStr">
        <is>
          <t>AM02</t>
        </is>
      </c>
      <c r="F7039" s="5" t="n">
        <v>201.94</v>
      </c>
      <c r="G7039">
        <f>IF(LEFT(B7039,1)="C","Credit","Factuur")</f>
        <v/>
      </c>
      <c r="H7039">
        <f>IF(AND(B7039=B7038,D7039=D7038,A7039=A7038,F7039=F7038),1,0)</f>
        <v/>
      </c>
      <c r="I7039">
        <f>IF(C7039="C99999",1,0)</f>
        <v/>
      </c>
      <c r="J7039" s="5">
        <f>IF(OR(H7039=1,I7039=1),0,IF(G7039="Credit",-F7039,F7039))</f>
        <v/>
      </c>
    </row>
    <row r="7040">
      <c r="A7040" t="inlineStr">
        <is>
          <t>2026-09-04</t>
        </is>
      </c>
      <c r="B7040" t="inlineStr">
        <is>
          <t>F283776</t>
        </is>
      </c>
      <c r="C7040" t="inlineStr">
        <is>
          <t>C11246</t>
        </is>
      </c>
      <c r="D7040" t="inlineStr">
        <is>
          <t>SKU-10007</t>
        </is>
      </c>
      <c r="E7040" t="inlineStr">
        <is>
          <t>AM02</t>
        </is>
      </c>
      <c r="F7040" s="5" t="n">
        <v>198.7</v>
      </c>
      <c r="G7040">
        <f>IF(LEFT(B7040,1)="C","Credit","Factuur")</f>
        <v/>
      </c>
      <c r="H7040">
        <f>IF(AND(B7040=B7039,D7040=D7039,A7040=A7039,F7040=F7039),1,0)</f>
        <v/>
      </c>
      <c r="I7040">
        <f>IF(C7040="C99999",1,0)</f>
        <v/>
      </c>
      <c r="J7040" s="5">
        <f>IF(OR(H7040=1,I7040=1),0,IF(G7040="Credit",-F7040,F7040))</f>
        <v/>
      </c>
    </row>
    <row r="7041">
      <c r="A7041" t="inlineStr">
        <is>
          <t>2026-09-04</t>
        </is>
      </c>
      <c r="B7041" t="inlineStr">
        <is>
          <t>F283776</t>
        </is>
      </c>
      <c r="C7041" t="inlineStr">
        <is>
          <t>C11246</t>
        </is>
      </c>
      <c r="D7041" t="inlineStr">
        <is>
          <t>SKU-10012</t>
        </is>
      </c>
      <c r="E7041" t="inlineStr">
        <is>
          <t>AM02</t>
        </is>
      </c>
      <c r="F7041" s="5" t="n">
        <v>212.2</v>
      </c>
      <c r="G7041">
        <f>IF(LEFT(B7041,1)="C","Credit","Factuur")</f>
        <v/>
      </c>
      <c r="H7041">
        <f>IF(AND(B7041=B7040,D7041=D7040,A7041=A7040,F7041=F7040),1,0)</f>
        <v/>
      </c>
      <c r="I7041">
        <f>IF(C7041="C99999",1,0)</f>
        <v/>
      </c>
      <c r="J7041" s="5">
        <f>IF(OR(H7041=1,I7041=1),0,IF(G7041="Credit",-F7041,F7041))</f>
        <v/>
      </c>
    </row>
    <row r="7042">
      <c r="A7042" t="inlineStr">
        <is>
          <t>2026-09-04</t>
        </is>
      </c>
      <c r="B7042" t="inlineStr">
        <is>
          <t>F283776</t>
        </is>
      </c>
      <c r="C7042" t="inlineStr">
        <is>
          <t>C11246</t>
        </is>
      </c>
      <c r="D7042" t="inlineStr">
        <is>
          <t>SKU-10029</t>
        </is>
      </c>
      <c r="E7042" t="inlineStr">
        <is>
          <t>AM02</t>
        </is>
      </c>
      <c r="F7042" s="5" t="n">
        <v>223.85</v>
      </c>
      <c r="G7042">
        <f>IF(LEFT(B7042,1)="C","Credit","Factuur")</f>
        <v/>
      </c>
      <c r="H7042">
        <f>IF(AND(B7042=B7041,D7042=D7041,A7042=A7041,F7042=F7041),1,0)</f>
        <v/>
      </c>
      <c r="I7042">
        <f>IF(C7042="C99999",1,0)</f>
        <v/>
      </c>
      <c r="J7042" s="5">
        <f>IF(OR(H7042=1,I7042=1),0,IF(G7042="Credit",-F7042,F7042))</f>
        <v/>
      </c>
    </row>
    <row r="7043">
      <c r="A7043" t="inlineStr">
        <is>
          <t>2026-09-04</t>
        </is>
      </c>
      <c r="B7043" t="inlineStr">
        <is>
          <t>F283776</t>
        </is>
      </c>
      <c r="C7043" t="inlineStr">
        <is>
          <t>C11246</t>
        </is>
      </c>
      <c r="D7043" t="inlineStr">
        <is>
          <t>SKU-10039</t>
        </is>
      </c>
      <c r="E7043" t="inlineStr">
        <is>
          <t>AM02</t>
        </is>
      </c>
      <c r="F7043" s="5" t="n">
        <v>215.66</v>
      </c>
      <c r="G7043">
        <f>IF(LEFT(B7043,1)="C","Credit","Factuur")</f>
        <v/>
      </c>
      <c r="H7043">
        <f>IF(AND(B7043=B7042,D7043=D7042,A7043=A7042,F7043=F7042),1,0)</f>
        <v/>
      </c>
      <c r="I7043">
        <f>IF(C7043="C99999",1,0)</f>
        <v/>
      </c>
      <c r="J7043" s="5">
        <f>IF(OR(H7043=1,I7043=1),0,IF(G7043="Credit",-F7043,F7043))</f>
        <v/>
      </c>
    </row>
    <row r="7044">
      <c r="A7044" t="inlineStr">
        <is>
          <t>2026-09-04</t>
        </is>
      </c>
      <c r="B7044" t="inlineStr">
        <is>
          <t>F283776</t>
        </is>
      </c>
      <c r="C7044" t="inlineStr">
        <is>
          <t>C11246</t>
        </is>
      </c>
      <c r="D7044" t="inlineStr">
        <is>
          <t>SKU-10331</t>
        </is>
      </c>
      <c r="E7044" t="inlineStr">
        <is>
          <t>AM02</t>
        </is>
      </c>
      <c r="F7044" s="5" t="n">
        <v>217.51</v>
      </c>
      <c r="G7044">
        <f>IF(LEFT(B7044,1)="C","Credit","Factuur")</f>
        <v/>
      </c>
      <c r="H7044">
        <f>IF(AND(B7044=B7043,D7044=D7043,A7044=A7043,F7044=F7043),1,0)</f>
        <v/>
      </c>
      <c r="I7044">
        <f>IF(C7044="C99999",1,0)</f>
        <v/>
      </c>
      <c r="J7044" s="5">
        <f>IF(OR(H7044=1,I7044=1),0,IF(G7044="Credit",-F7044,F7044))</f>
        <v/>
      </c>
    </row>
    <row r="7045">
      <c r="A7045" t="inlineStr">
        <is>
          <t>2026-09-04</t>
        </is>
      </c>
      <c r="B7045" t="inlineStr">
        <is>
          <t>F283776</t>
        </is>
      </c>
      <c r="C7045" t="inlineStr">
        <is>
          <t>C11246</t>
        </is>
      </c>
      <c r="D7045" t="inlineStr">
        <is>
          <t>SKU-10356</t>
        </is>
      </c>
      <c r="E7045" t="inlineStr">
        <is>
          <t>AM02</t>
        </is>
      </c>
      <c r="F7045" s="5" t="n">
        <v>204.34</v>
      </c>
      <c r="G7045">
        <f>IF(LEFT(B7045,1)="C","Credit","Factuur")</f>
        <v/>
      </c>
      <c r="H7045">
        <f>IF(AND(B7045=B7044,D7045=D7044,A7045=A7044,F7045=F7044),1,0)</f>
        <v/>
      </c>
      <c r="I7045">
        <f>IF(C7045="C99999",1,0)</f>
        <v/>
      </c>
      <c r="J7045" s="5">
        <f>IF(OR(H7045=1,I7045=1),0,IF(G7045="Credit",-F7045,F7045))</f>
        <v/>
      </c>
    </row>
    <row r="7046">
      <c r="A7046" t="inlineStr">
        <is>
          <t>2026-09-04</t>
        </is>
      </c>
      <c r="B7046" t="inlineStr">
        <is>
          <t>F284117</t>
        </is>
      </c>
      <c r="C7046" t="inlineStr">
        <is>
          <t>C11259</t>
        </is>
      </c>
      <c r="D7046" t="inlineStr">
        <is>
          <t>SKU-10054</t>
        </is>
      </c>
      <c r="E7046" t="inlineStr">
        <is>
          <t>AM08</t>
        </is>
      </c>
      <c r="F7046" s="5" t="n">
        <v>1509.5</v>
      </c>
      <c r="G7046">
        <f>IF(LEFT(B7046,1)="C","Credit","Factuur")</f>
        <v/>
      </c>
      <c r="H7046">
        <f>IF(AND(B7046=B7045,D7046=D7045,A7046=A7045,F7046=F7045),1,0)</f>
        <v/>
      </c>
      <c r="I7046">
        <f>IF(C7046="C99999",1,0)</f>
        <v/>
      </c>
      <c r="J7046" s="5">
        <f>IF(OR(H7046=1,I7046=1),0,IF(G7046="Credit",-F7046,F7046))</f>
        <v/>
      </c>
    </row>
    <row r="7047">
      <c r="A7047" t="inlineStr">
        <is>
          <t>2026-09-04</t>
        </is>
      </c>
      <c r="B7047" t="inlineStr">
        <is>
          <t>F284201</t>
        </is>
      </c>
      <c r="C7047" t="inlineStr">
        <is>
          <t>C11265</t>
        </is>
      </c>
      <c r="D7047" t="inlineStr">
        <is>
          <t>SKU-10344</t>
        </is>
      </c>
      <c r="E7047" t="inlineStr">
        <is>
          <t>AM07</t>
        </is>
      </c>
      <c r="F7047" s="5" t="n">
        <v>196</v>
      </c>
      <c r="G7047">
        <f>IF(LEFT(B7047,1)="C","Credit","Factuur")</f>
        <v/>
      </c>
      <c r="H7047">
        <f>IF(AND(B7047=B7046,D7047=D7046,A7047=A7046,F7047=F7046),1,0)</f>
        <v/>
      </c>
      <c r="I7047">
        <f>IF(C7047="C99999",1,0)</f>
        <v/>
      </c>
      <c r="J7047" s="5">
        <f>IF(OR(H7047=1,I7047=1),0,IF(G7047="Credit",-F7047,F7047))</f>
        <v/>
      </c>
    </row>
    <row r="7048">
      <c r="A7048" t="inlineStr">
        <is>
          <t>2026-09-04</t>
        </is>
      </c>
      <c r="B7048" t="inlineStr">
        <is>
          <t>F284201</t>
        </is>
      </c>
      <c r="C7048" t="inlineStr">
        <is>
          <t>C11265</t>
        </is>
      </c>
      <c r="D7048" t="inlineStr">
        <is>
          <t>SKU-10356</t>
        </is>
      </c>
      <c r="E7048" t="inlineStr">
        <is>
          <t>AM07</t>
        </is>
      </c>
      <c r="F7048" s="5" t="n">
        <v>189.29</v>
      </c>
      <c r="G7048">
        <f>IF(LEFT(B7048,1)="C","Credit","Factuur")</f>
        <v/>
      </c>
      <c r="H7048">
        <f>IF(AND(B7048=B7047,D7048=D7047,A7048=A7047,F7048=F7047),1,0)</f>
        <v/>
      </c>
      <c r="I7048">
        <f>IF(C7048="C99999",1,0)</f>
        <v/>
      </c>
      <c r="J7048" s="5">
        <f>IF(OR(H7048=1,I7048=1),0,IF(G7048="Credit",-F7048,F7048))</f>
        <v/>
      </c>
    </row>
    <row r="7049">
      <c r="A7049" t="inlineStr">
        <is>
          <t>2026-09-04</t>
        </is>
      </c>
      <c r="B7049" t="inlineStr">
        <is>
          <t>F284201</t>
        </is>
      </c>
      <c r="C7049" t="inlineStr">
        <is>
          <t>C11265</t>
        </is>
      </c>
      <c r="D7049" t="inlineStr">
        <is>
          <t>SKU-10370</t>
        </is>
      </c>
      <c r="E7049" t="inlineStr">
        <is>
          <t>AM07</t>
        </is>
      </c>
      <c r="F7049" s="5" t="n">
        <v>209.79</v>
      </c>
      <c r="G7049">
        <f>IF(LEFT(B7049,1)="C","Credit","Factuur")</f>
        <v/>
      </c>
      <c r="H7049">
        <f>IF(AND(B7049=B7048,D7049=D7048,A7049=A7048,F7049=F7048),1,0)</f>
        <v/>
      </c>
      <c r="I7049">
        <f>IF(C7049="C99999",1,0)</f>
        <v/>
      </c>
      <c r="J7049" s="5">
        <f>IF(OR(H7049=1,I7049=1),0,IF(G7049="Credit",-F7049,F7049))</f>
        <v/>
      </c>
    </row>
    <row r="7050">
      <c r="A7050" t="inlineStr">
        <is>
          <t>2026-09-04</t>
        </is>
      </c>
      <c r="B7050" t="inlineStr">
        <is>
          <t>F284201</t>
        </is>
      </c>
      <c r="C7050" t="inlineStr">
        <is>
          <t>C11265</t>
        </is>
      </c>
      <c r="D7050" t="inlineStr">
        <is>
          <t>SKU-10376</t>
        </is>
      </c>
      <c r="E7050" t="inlineStr">
        <is>
          <t>AM07</t>
        </is>
      </c>
      <c r="F7050" s="5" t="n">
        <v>148.75</v>
      </c>
      <c r="G7050">
        <f>IF(LEFT(B7050,1)="C","Credit","Factuur")</f>
        <v/>
      </c>
      <c r="H7050">
        <f>IF(AND(B7050=B7049,D7050=D7049,A7050=A7049,F7050=F7049),1,0)</f>
        <v/>
      </c>
      <c r="I7050">
        <f>IF(C7050="C99999",1,0)</f>
        <v/>
      </c>
      <c r="J7050" s="5">
        <f>IF(OR(H7050=1,I7050=1),0,IF(G7050="Credit",-F7050,F7050))</f>
        <v/>
      </c>
    </row>
    <row r="7051">
      <c r="A7051" t="inlineStr">
        <is>
          <t>2026-09-04</t>
        </is>
      </c>
      <c r="B7051" t="inlineStr">
        <is>
          <t>F284296</t>
        </is>
      </c>
      <c r="C7051" t="inlineStr">
        <is>
          <t>C11271</t>
        </is>
      </c>
      <c r="D7051" t="inlineStr">
        <is>
          <t>SKU-10317</t>
        </is>
      </c>
      <c r="E7051" t="inlineStr">
        <is>
          <t>AM02</t>
        </is>
      </c>
      <c r="F7051" s="5" t="n">
        <v>1079.3</v>
      </c>
      <c r="G7051">
        <f>IF(LEFT(B7051,1)="C","Credit","Factuur")</f>
        <v/>
      </c>
      <c r="H7051">
        <f>IF(AND(B7051=B7050,D7051=D7050,A7051=A7050,F7051=F7050),1,0)</f>
        <v/>
      </c>
      <c r="I7051">
        <f>IF(C7051="C99999",1,0)</f>
        <v/>
      </c>
      <c r="J7051" s="5">
        <f>IF(OR(H7051=1,I7051=1),0,IF(G7051="Credit",-F7051,F7051))</f>
        <v/>
      </c>
    </row>
    <row r="7052">
      <c r="A7052" t="inlineStr">
        <is>
          <t>2026-09-04</t>
        </is>
      </c>
      <c r="B7052" t="inlineStr">
        <is>
          <t>F284959</t>
        </is>
      </c>
      <c r="C7052" t="inlineStr">
        <is>
          <t>C11305</t>
        </is>
      </c>
      <c r="D7052" t="inlineStr">
        <is>
          <t>SKU-10305</t>
        </is>
      </c>
      <c r="E7052" t="inlineStr">
        <is>
          <t>AM08</t>
        </is>
      </c>
      <c r="F7052" s="5" t="n">
        <v>117.9</v>
      </c>
      <c r="G7052">
        <f>IF(LEFT(B7052,1)="C","Credit","Factuur")</f>
        <v/>
      </c>
      <c r="H7052">
        <f>IF(AND(B7052=B7051,D7052=D7051,A7052=A7051,F7052=F7051),1,0)</f>
        <v/>
      </c>
      <c r="I7052">
        <f>IF(C7052="C99999",1,0)</f>
        <v/>
      </c>
      <c r="J7052" s="5">
        <f>IF(OR(H7052=1,I7052=1),0,IF(G7052="Credit",-F7052,F7052))</f>
        <v/>
      </c>
    </row>
    <row r="7053">
      <c r="A7053" t="inlineStr">
        <is>
          <t>2026-09-04</t>
        </is>
      </c>
      <c r="B7053" t="inlineStr">
        <is>
          <t>F284959</t>
        </is>
      </c>
      <c r="C7053" t="inlineStr">
        <is>
          <t>C11305</t>
        </is>
      </c>
      <c r="D7053" t="inlineStr">
        <is>
          <t>SKU-10319</t>
        </is>
      </c>
      <c r="E7053" t="inlineStr">
        <is>
          <t>AM08</t>
        </is>
      </c>
      <c r="F7053" s="5" t="n">
        <v>115.76</v>
      </c>
      <c r="G7053">
        <f>IF(LEFT(B7053,1)="C","Credit","Factuur")</f>
        <v/>
      </c>
      <c r="H7053">
        <f>IF(AND(B7053=B7052,D7053=D7052,A7053=A7052,F7053=F7052),1,0)</f>
        <v/>
      </c>
      <c r="I7053">
        <f>IF(C7053="C99999",1,0)</f>
        <v/>
      </c>
      <c r="J7053" s="5">
        <f>IF(OR(H7053=1,I7053=1),0,IF(G7053="Credit",-F7053,F7053))</f>
        <v/>
      </c>
    </row>
    <row r="7054">
      <c r="A7054" t="inlineStr">
        <is>
          <t>2026-09-04</t>
        </is>
      </c>
      <c r="B7054" t="inlineStr">
        <is>
          <t>F284959</t>
        </is>
      </c>
      <c r="C7054" t="inlineStr">
        <is>
          <t>C11305</t>
        </is>
      </c>
      <c r="D7054" t="inlineStr">
        <is>
          <t>SKU-10353</t>
        </is>
      </c>
      <c r="E7054" t="inlineStr">
        <is>
          <t>AM08</t>
        </is>
      </c>
      <c r="F7054" s="5" t="n">
        <v>110.96</v>
      </c>
      <c r="G7054">
        <f>IF(LEFT(B7054,1)="C","Credit","Factuur")</f>
        <v/>
      </c>
      <c r="H7054">
        <f>IF(AND(B7054=B7053,D7054=D7053,A7054=A7053,F7054=F7053),1,0)</f>
        <v/>
      </c>
      <c r="I7054">
        <f>IF(C7054="C99999",1,0)</f>
        <v/>
      </c>
      <c r="J7054" s="5">
        <f>IF(OR(H7054=1,I7054=1),0,IF(G7054="Credit",-F7054,F7054))</f>
        <v/>
      </c>
    </row>
    <row r="7055">
      <c r="A7055" t="inlineStr">
        <is>
          <t>2026-09-04</t>
        </is>
      </c>
      <c r="B7055" t="inlineStr">
        <is>
          <t>F284959</t>
        </is>
      </c>
      <c r="C7055" t="inlineStr">
        <is>
          <t>C11305</t>
        </is>
      </c>
      <c r="D7055" t="inlineStr">
        <is>
          <t>SKU-10375</t>
        </is>
      </c>
      <c r="E7055" t="inlineStr">
        <is>
          <t>AM08</t>
        </is>
      </c>
      <c r="F7055" s="5" t="n">
        <v>144.08</v>
      </c>
      <c r="G7055">
        <f>IF(LEFT(B7055,1)="C","Credit","Factuur")</f>
        <v/>
      </c>
      <c r="H7055">
        <f>IF(AND(B7055=B7054,D7055=D7054,A7055=A7054,F7055=F7054),1,0)</f>
        <v/>
      </c>
      <c r="I7055">
        <f>IF(C7055="C99999",1,0)</f>
        <v/>
      </c>
      <c r="J7055" s="5">
        <f>IF(OR(H7055=1,I7055=1),0,IF(G7055="Credit",-F7055,F7055))</f>
        <v/>
      </c>
    </row>
    <row r="7056">
      <c r="A7056" t="inlineStr">
        <is>
          <t>2026-09-04</t>
        </is>
      </c>
      <c r="B7056" t="inlineStr">
        <is>
          <t>F284965</t>
        </is>
      </c>
      <c r="C7056" t="inlineStr">
        <is>
          <t>C11305</t>
        </is>
      </c>
      <c r="D7056" t="inlineStr">
        <is>
          <t>SKU-10013</t>
        </is>
      </c>
      <c r="E7056" t="inlineStr">
        <is>
          <t>AM08</t>
        </is>
      </c>
      <c r="F7056" s="5" t="n">
        <v>225.66</v>
      </c>
      <c r="G7056">
        <f>IF(LEFT(B7056,1)="C","Credit","Factuur")</f>
        <v/>
      </c>
      <c r="H7056">
        <f>IF(AND(B7056=B7055,D7056=D7055,A7056=A7055,F7056=F7055),1,0)</f>
        <v/>
      </c>
      <c r="I7056">
        <f>IF(C7056="C99999",1,0)</f>
        <v/>
      </c>
      <c r="J7056" s="5">
        <f>IF(OR(H7056=1,I7056=1),0,IF(G7056="Credit",-F7056,F7056))</f>
        <v/>
      </c>
    </row>
    <row r="7057">
      <c r="A7057" t="inlineStr">
        <is>
          <t>2026-09-04</t>
        </is>
      </c>
      <c r="B7057" t="inlineStr">
        <is>
          <t>F284965</t>
        </is>
      </c>
      <c r="C7057" t="inlineStr">
        <is>
          <t>C11305</t>
        </is>
      </c>
      <c r="D7057" t="inlineStr">
        <is>
          <t>SKU-10236</t>
        </is>
      </c>
      <c r="E7057" t="inlineStr">
        <is>
          <t>AM08</t>
        </is>
      </c>
      <c r="F7057" s="5" t="n">
        <v>234.08</v>
      </c>
      <c r="G7057">
        <f>IF(LEFT(B7057,1)="C","Credit","Factuur")</f>
        <v/>
      </c>
      <c r="H7057">
        <f>IF(AND(B7057=B7056,D7057=D7056,A7057=A7056,F7057=F7056),1,0)</f>
        <v/>
      </c>
      <c r="I7057">
        <f>IF(C7057="C99999",1,0)</f>
        <v/>
      </c>
      <c r="J7057" s="5">
        <f>IF(OR(H7057=1,I7057=1),0,IF(G7057="Credit",-F7057,F7057))</f>
        <v/>
      </c>
    </row>
    <row r="7058">
      <c r="A7058" t="inlineStr">
        <is>
          <t>2026-09-04</t>
        </is>
      </c>
      <c r="B7058" t="inlineStr">
        <is>
          <t>F285144</t>
        </is>
      </c>
      <c r="C7058" t="inlineStr">
        <is>
          <t>C11318</t>
        </is>
      </c>
      <c r="D7058" t="inlineStr">
        <is>
          <t>SKU-10021</t>
        </is>
      </c>
      <c r="E7058" t="inlineStr">
        <is>
          <t>AM01</t>
        </is>
      </c>
      <c r="F7058" s="5" t="n">
        <v>948.42</v>
      </c>
      <c r="G7058">
        <f>IF(LEFT(B7058,1)="C","Credit","Factuur")</f>
        <v/>
      </c>
      <c r="H7058">
        <f>IF(AND(B7058=B7057,D7058=D7057,A7058=A7057,F7058=F7057),1,0)</f>
        <v/>
      </c>
      <c r="I7058">
        <f>IF(C7058="C99999",1,0)</f>
        <v/>
      </c>
      <c r="J7058" s="5">
        <f>IF(OR(H7058=1,I7058=1),0,IF(G7058="Credit",-F7058,F7058))</f>
        <v/>
      </c>
    </row>
    <row r="7059">
      <c r="A7059" t="inlineStr">
        <is>
          <t>2026-09-04</t>
        </is>
      </c>
      <c r="B7059" t="inlineStr">
        <is>
          <t>F285144</t>
        </is>
      </c>
      <c r="C7059" t="inlineStr">
        <is>
          <t>C11318</t>
        </is>
      </c>
      <c r="D7059" t="inlineStr">
        <is>
          <t>SKU-10069</t>
        </is>
      </c>
      <c r="E7059" t="inlineStr">
        <is>
          <t>AM01</t>
        </is>
      </c>
      <c r="F7059" s="5" t="n">
        <v>953.4</v>
      </c>
      <c r="G7059">
        <f>IF(LEFT(B7059,1)="C","Credit","Factuur")</f>
        <v/>
      </c>
      <c r="H7059">
        <f>IF(AND(B7059=B7058,D7059=D7058,A7059=A7058,F7059=F7058),1,0)</f>
        <v/>
      </c>
      <c r="I7059">
        <f>IF(C7059="C99999",1,0)</f>
        <v/>
      </c>
      <c r="J7059" s="5">
        <f>IF(OR(H7059=1,I7059=1),0,IF(G7059="Credit",-F7059,F7059))</f>
        <v/>
      </c>
    </row>
    <row r="7060">
      <c r="A7060" t="inlineStr">
        <is>
          <t>2026-09-04</t>
        </is>
      </c>
      <c r="B7060" t="inlineStr">
        <is>
          <t>F285144</t>
        </is>
      </c>
      <c r="C7060" t="inlineStr">
        <is>
          <t>C11318</t>
        </is>
      </c>
      <c r="D7060" t="inlineStr">
        <is>
          <t>SKU-10099</t>
        </is>
      </c>
      <c r="E7060" t="inlineStr">
        <is>
          <t>AM01</t>
        </is>
      </c>
      <c r="F7060" s="5" t="n">
        <v>931.84</v>
      </c>
      <c r="G7060">
        <f>IF(LEFT(B7060,1)="C","Credit","Factuur")</f>
        <v/>
      </c>
      <c r="H7060">
        <f>IF(AND(B7060=B7059,D7060=D7059,A7060=A7059,F7060=F7059),1,0)</f>
        <v/>
      </c>
      <c r="I7060">
        <f>IF(C7060="C99999",1,0)</f>
        <v/>
      </c>
      <c r="J7060" s="5">
        <f>IF(OR(H7060=1,I7060=1),0,IF(G7060="Credit",-F7060,F7060))</f>
        <v/>
      </c>
    </row>
    <row r="7061">
      <c r="A7061" t="inlineStr">
        <is>
          <t>2026-09-04</t>
        </is>
      </c>
      <c r="B7061" t="inlineStr">
        <is>
          <t>F285672</t>
        </is>
      </c>
      <c r="C7061" t="inlineStr">
        <is>
          <t>C11340</t>
        </is>
      </c>
      <c r="D7061" t="inlineStr">
        <is>
          <t>SKU-10053</t>
        </is>
      </c>
      <c r="E7061" t="inlineStr">
        <is>
          <t>AM07</t>
        </is>
      </c>
      <c r="F7061" s="5" t="n">
        <v>506.25</v>
      </c>
      <c r="G7061">
        <f>IF(LEFT(B7061,1)="C","Credit","Factuur")</f>
        <v/>
      </c>
      <c r="H7061">
        <f>IF(AND(B7061=B7060,D7061=D7060,A7061=A7060,F7061=F7060),1,0)</f>
        <v/>
      </c>
      <c r="I7061">
        <f>IF(C7061="C99999",1,0)</f>
        <v/>
      </c>
      <c r="J7061" s="5">
        <f>IF(OR(H7061=1,I7061=1),0,IF(G7061="Credit",-F7061,F7061))</f>
        <v/>
      </c>
    </row>
    <row r="7062">
      <c r="A7062" t="inlineStr">
        <is>
          <t>2026-09-04</t>
        </is>
      </c>
      <c r="B7062" t="inlineStr">
        <is>
          <t>F285672</t>
        </is>
      </c>
      <c r="C7062" t="inlineStr">
        <is>
          <t>C11340</t>
        </is>
      </c>
      <c r="D7062" t="inlineStr">
        <is>
          <t>SKU-10212</t>
        </is>
      </c>
      <c r="E7062" t="inlineStr">
        <is>
          <t>AM07</t>
        </is>
      </c>
      <c r="F7062" s="5" t="n">
        <v>449.71</v>
      </c>
      <c r="G7062">
        <f>IF(LEFT(B7062,1)="C","Credit","Factuur")</f>
        <v/>
      </c>
      <c r="H7062">
        <f>IF(AND(B7062=B7061,D7062=D7061,A7062=A7061,F7062=F7061),1,0)</f>
        <v/>
      </c>
      <c r="I7062">
        <f>IF(C7062="C99999",1,0)</f>
        <v/>
      </c>
      <c r="J7062" s="5">
        <f>IF(OR(H7062=1,I7062=1),0,IF(G7062="Credit",-F7062,F7062))</f>
        <v/>
      </c>
    </row>
    <row r="7063">
      <c r="A7063" t="inlineStr">
        <is>
          <t>2026-09-04</t>
        </is>
      </c>
      <c r="B7063" t="inlineStr">
        <is>
          <t>F285705</t>
        </is>
      </c>
      <c r="C7063" t="inlineStr">
        <is>
          <t>C11343</t>
        </is>
      </c>
      <c r="D7063" t="inlineStr">
        <is>
          <t>SKU-10073</t>
        </is>
      </c>
      <c r="E7063" t="inlineStr">
        <is>
          <t>AM03</t>
        </is>
      </c>
      <c r="F7063" s="5" t="n">
        <v>1517.26</v>
      </c>
      <c r="G7063">
        <f>IF(LEFT(B7063,1)="C","Credit","Factuur")</f>
        <v/>
      </c>
      <c r="H7063">
        <f>IF(AND(B7063=B7062,D7063=D7062,A7063=A7062,F7063=F7062),1,0)</f>
        <v/>
      </c>
      <c r="I7063">
        <f>IF(C7063="C99999",1,0)</f>
        <v/>
      </c>
      <c r="J7063" s="5">
        <f>IF(OR(H7063=1,I7063=1),0,IF(G7063="Credit",-F7063,F7063))</f>
        <v/>
      </c>
    </row>
    <row r="7064">
      <c r="A7064" t="inlineStr">
        <is>
          <t>2026-09-04</t>
        </is>
      </c>
      <c r="B7064" t="inlineStr">
        <is>
          <t>F285705</t>
        </is>
      </c>
      <c r="C7064" t="inlineStr">
        <is>
          <t>C11343</t>
        </is>
      </c>
      <c r="D7064" t="inlineStr">
        <is>
          <t>SKU-10334</t>
        </is>
      </c>
      <c r="E7064" t="inlineStr">
        <is>
          <t>AM03</t>
        </is>
      </c>
      <c r="F7064" s="5" t="n">
        <v>1574.99</v>
      </c>
      <c r="G7064">
        <f>IF(LEFT(B7064,1)="C","Credit","Factuur")</f>
        <v/>
      </c>
      <c r="H7064">
        <f>IF(AND(B7064=B7063,D7064=D7063,A7064=A7063,F7064=F7063),1,0)</f>
        <v/>
      </c>
      <c r="I7064">
        <f>IF(C7064="C99999",1,0)</f>
        <v/>
      </c>
      <c r="J7064" s="5">
        <f>IF(OR(H7064=1,I7064=1),0,IF(G7064="Credit",-F7064,F7064))</f>
        <v/>
      </c>
    </row>
    <row r="7065">
      <c r="A7065" t="inlineStr">
        <is>
          <t>2026-09-04</t>
        </is>
      </c>
      <c r="B7065" t="inlineStr">
        <is>
          <t>F285863</t>
        </is>
      </c>
      <c r="C7065" t="inlineStr">
        <is>
          <t>C11353</t>
        </is>
      </c>
      <c r="D7065" t="inlineStr">
        <is>
          <t>SKU-10224</t>
        </is>
      </c>
      <c r="E7065" t="inlineStr">
        <is>
          <t>AM11</t>
        </is>
      </c>
      <c r="F7065" s="5" t="n">
        <v>440.09</v>
      </c>
      <c r="G7065">
        <f>IF(LEFT(B7065,1)="C","Credit","Factuur")</f>
        <v/>
      </c>
      <c r="H7065">
        <f>IF(AND(B7065=B7064,D7065=D7064,A7065=A7064,F7065=F7064),1,0)</f>
        <v/>
      </c>
      <c r="I7065">
        <f>IF(C7065="C99999",1,0)</f>
        <v/>
      </c>
      <c r="J7065" s="5">
        <f>IF(OR(H7065=1,I7065=1),0,IF(G7065="Credit",-F7065,F7065))</f>
        <v/>
      </c>
    </row>
    <row r="7066">
      <c r="A7066" t="inlineStr">
        <is>
          <t>2026-09-04</t>
        </is>
      </c>
      <c r="B7066" t="inlineStr">
        <is>
          <t>F285863</t>
        </is>
      </c>
      <c r="C7066" t="inlineStr">
        <is>
          <t>C11353</t>
        </is>
      </c>
      <c r="D7066" t="inlineStr">
        <is>
          <t>SKU-10290</t>
        </is>
      </c>
      <c r="E7066" t="inlineStr">
        <is>
          <t>AM11</t>
        </is>
      </c>
      <c r="F7066" s="5" t="n">
        <v>493.05</v>
      </c>
      <c r="G7066">
        <f>IF(LEFT(B7066,1)="C","Credit","Factuur")</f>
        <v/>
      </c>
      <c r="H7066">
        <f>IF(AND(B7066=B7065,D7066=D7065,A7066=A7065,F7066=F7065),1,0)</f>
        <v/>
      </c>
      <c r="I7066">
        <f>IF(C7066="C99999",1,0)</f>
        <v/>
      </c>
      <c r="J7066" s="5">
        <f>IF(OR(H7066=1,I7066=1),0,IF(G7066="Credit",-F7066,F7066))</f>
        <v/>
      </c>
    </row>
    <row r="7067">
      <c r="A7067" t="inlineStr">
        <is>
          <t>2026-09-04</t>
        </is>
      </c>
      <c r="B7067" t="inlineStr">
        <is>
          <t>F285863</t>
        </is>
      </c>
      <c r="C7067" t="inlineStr">
        <is>
          <t>C11353</t>
        </is>
      </c>
      <c r="D7067" t="inlineStr">
        <is>
          <t>SKU-10342</t>
        </is>
      </c>
      <c r="E7067" t="inlineStr">
        <is>
          <t>AM11</t>
        </is>
      </c>
      <c r="F7067" s="5" t="n">
        <v>508.2</v>
      </c>
      <c r="G7067">
        <f>IF(LEFT(B7067,1)="C","Credit","Factuur")</f>
        <v/>
      </c>
      <c r="H7067">
        <f>IF(AND(B7067=B7066,D7067=D7066,A7067=A7066,F7067=F7066),1,0)</f>
        <v/>
      </c>
      <c r="I7067">
        <f>IF(C7067="C99999",1,0)</f>
        <v/>
      </c>
      <c r="J7067" s="5">
        <f>IF(OR(H7067=1,I7067=1),0,IF(G7067="Credit",-F7067,F7067))</f>
        <v/>
      </c>
    </row>
    <row r="7068">
      <c r="A7068" t="inlineStr">
        <is>
          <t>2026-09-04</t>
        </is>
      </c>
      <c r="B7068" t="inlineStr">
        <is>
          <t>F285863</t>
        </is>
      </c>
      <c r="C7068" t="inlineStr">
        <is>
          <t>C11353</t>
        </is>
      </c>
      <c r="D7068" t="inlineStr">
        <is>
          <t>SKU-10345</t>
        </is>
      </c>
      <c r="E7068" t="inlineStr">
        <is>
          <t>AM11</t>
        </is>
      </c>
      <c r="F7068" s="5" t="n">
        <v>480.26</v>
      </c>
      <c r="G7068">
        <f>IF(LEFT(B7068,1)="C","Credit","Factuur")</f>
        <v/>
      </c>
      <c r="H7068">
        <f>IF(AND(B7068=B7067,D7068=D7067,A7068=A7067,F7068=F7067),1,0)</f>
        <v/>
      </c>
      <c r="I7068">
        <f>IF(C7068="C99999",1,0)</f>
        <v/>
      </c>
      <c r="J7068" s="5">
        <f>IF(OR(H7068=1,I7068=1),0,IF(G7068="Credit",-F7068,F7068))</f>
        <v/>
      </c>
    </row>
    <row r="7069">
      <c r="A7069" t="inlineStr">
        <is>
          <t>2026-09-04</t>
        </is>
      </c>
      <c r="B7069" t="inlineStr">
        <is>
          <t>F286059</t>
        </is>
      </c>
      <c r="C7069" t="inlineStr">
        <is>
          <t>C11363</t>
        </is>
      </c>
      <c r="D7069" t="inlineStr">
        <is>
          <t>SKU-10278</t>
        </is>
      </c>
      <c r="E7069" t="inlineStr">
        <is>
          <t>AM09</t>
        </is>
      </c>
      <c r="F7069" s="5" t="n">
        <v>139.78</v>
      </c>
      <c r="G7069">
        <f>IF(LEFT(B7069,1)="C","Credit","Factuur")</f>
        <v/>
      </c>
      <c r="H7069">
        <f>IF(AND(B7069=B7068,D7069=D7068,A7069=A7068,F7069=F7068),1,0)</f>
        <v/>
      </c>
      <c r="I7069">
        <f>IF(C7069="C99999",1,0)</f>
        <v/>
      </c>
      <c r="J7069" s="5">
        <f>IF(OR(H7069=1,I7069=1),0,IF(G7069="Credit",-F7069,F7069))</f>
        <v/>
      </c>
    </row>
    <row r="7070">
      <c r="A7070" t="inlineStr">
        <is>
          <t>2026-09-04</t>
        </is>
      </c>
      <c r="B7070" t="inlineStr">
        <is>
          <t>F286059</t>
        </is>
      </c>
      <c r="C7070" t="inlineStr">
        <is>
          <t>C11363</t>
        </is>
      </c>
      <c r="D7070" t="inlineStr">
        <is>
          <t>SKU-10345</t>
        </is>
      </c>
      <c r="E7070" t="inlineStr">
        <is>
          <t>AM09</t>
        </is>
      </c>
      <c r="F7070" s="5" t="n">
        <v>137.22</v>
      </c>
      <c r="G7070">
        <f>IF(LEFT(B7070,1)="C","Credit","Factuur")</f>
        <v/>
      </c>
      <c r="H7070">
        <f>IF(AND(B7070=B7069,D7070=D7069,A7070=A7069,F7070=F7069),1,0)</f>
        <v/>
      </c>
      <c r="I7070">
        <f>IF(C7070="C99999",1,0)</f>
        <v/>
      </c>
      <c r="J7070" s="5">
        <f>IF(OR(H7070=1,I7070=1),0,IF(G7070="Credit",-F7070,F7070))</f>
        <v/>
      </c>
    </row>
    <row r="7071">
      <c r="A7071" t="inlineStr">
        <is>
          <t>2026-09-04</t>
        </is>
      </c>
      <c r="B7071" t="inlineStr">
        <is>
          <t>F286162</t>
        </is>
      </c>
      <c r="C7071" t="inlineStr">
        <is>
          <t>C11368</t>
        </is>
      </c>
      <c r="D7071" t="inlineStr">
        <is>
          <t>SKU-10184</t>
        </is>
      </c>
      <c r="E7071" t="inlineStr">
        <is>
          <t>AM09</t>
        </is>
      </c>
      <c r="F7071" s="5" t="n">
        <v>259.4</v>
      </c>
      <c r="G7071">
        <f>IF(LEFT(B7071,1)="C","Credit","Factuur")</f>
        <v/>
      </c>
      <c r="H7071">
        <f>IF(AND(B7071=B7070,D7071=D7070,A7071=A7070,F7071=F7070),1,0)</f>
        <v/>
      </c>
      <c r="I7071">
        <f>IF(C7071="C99999",1,0)</f>
        <v/>
      </c>
      <c r="J7071" s="5">
        <f>IF(OR(H7071=1,I7071=1),0,IF(G7071="Credit",-F7071,F7071))</f>
        <v/>
      </c>
    </row>
    <row r="7072">
      <c r="A7072" t="inlineStr">
        <is>
          <t>2026-09-04</t>
        </is>
      </c>
      <c r="B7072" t="inlineStr">
        <is>
          <t>F286271</t>
        </is>
      </c>
      <c r="C7072" t="inlineStr">
        <is>
          <t>C11373</t>
        </is>
      </c>
      <c r="D7072" t="inlineStr">
        <is>
          <t>SKU-10158</t>
        </is>
      </c>
      <c r="E7072" t="inlineStr">
        <is>
          <t>AM09</t>
        </is>
      </c>
      <c r="F7072" s="5" t="n">
        <v>207.7</v>
      </c>
      <c r="G7072">
        <f>IF(LEFT(B7072,1)="C","Credit","Factuur")</f>
        <v/>
      </c>
      <c r="H7072">
        <f>IF(AND(B7072=B7071,D7072=D7071,A7072=A7071,F7072=F7071),1,0)</f>
        <v/>
      </c>
      <c r="I7072">
        <f>IF(C7072="C99999",1,0)</f>
        <v/>
      </c>
      <c r="J7072" s="5">
        <f>IF(OR(H7072=1,I7072=1),0,IF(G7072="Credit",-F7072,F7072))</f>
        <v/>
      </c>
    </row>
    <row r="7073">
      <c r="A7073" t="inlineStr">
        <is>
          <t>2026-09-04</t>
        </is>
      </c>
      <c r="B7073" t="inlineStr">
        <is>
          <t>F286271</t>
        </is>
      </c>
      <c r="C7073" t="inlineStr">
        <is>
          <t>C11373</t>
        </is>
      </c>
      <c r="D7073" t="inlineStr">
        <is>
          <t>SKU-10164</t>
        </is>
      </c>
      <c r="E7073" t="inlineStr">
        <is>
          <t>AM09</t>
        </is>
      </c>
      <c r="F7073" s="5" t="n">
        <v>209.19</v>
      </c>
      <c r="G7073">
        <f>IF(LEFT(B7073,1)="C","Credit","Factuur")</f>
        <v/>
      </c>
      <c r="H7073">
        <f>IF(AND(B7073=B7072,D7073=D7072,A7073=A7072,F7073=F7072),1,0)</f>
        <v/>
      </c>
      <c r="I7073">
        <f>IF(C7073="C99999",1,0)</f>
        <v/>
      </c>
      <c r="J7073" s="5">
        <f>IF(OR(H7073=1,I7073=1),0,IF(G7073="Credit",-F7073,F7073))</f>
        <v/>
      </c>
    </row>
    <row r="7074">
      <c r="A7074" t="inlineStr">
        <is>
          <t>2026-09-04</t>
        </is>
      </c>
      <c r="B7074" t="inlineStr">
        <is>
          <t>F286271</t>
        </is>
      </c>
      <c r="C7074" t="inlineStr">
        <is>
          <t>C11373</t>
        </is>
      </c>
      <c r="D7074" t="inlineStr">
        <is>
          <t>SKU-10168</t>
        </is>
      </c>
      <c r="E7074" t="inlineStr">
        <is>
          <t>AM09</t>
        </is>
      </c>
      <c r="F7074" s="5" t="n">
        <v>243.46</v>
      </c>
      <c r="G7074">
        <f>IF(LEFT(B7074,1)="C","Credit","Factuur")</f>
        <v/>
      </c>
      <c r="H7074">
        <f>IF(AND(B7074=B7073,D7074=D7073,A7074=A7073,F7074=F7073),1,0)</f>
        <v/>
      </c>
      <c r="I7074">
        <f>IF(C7074="C99999",1,0)</f>
        <v/>
      </c>
      <c r="J7074" s="5">
        <f>IF(OR(H7074=1,I7074=1),0,IF(G7074="Credit",-F7074,F7074))</f>
        <v/>
      </c>
    </row>
    <row r="7075">
      <c r="A7075" t="inlineStr">
        <is>
          <t>2026-09-04</t>
        </is>
      </c>
      <c r="B7075" t="inlineStr">
        <is>
          <t>F286271</t>
        </is>
      </c>
      <c r="C7075" t="inlineStr">
        <is>
          <t>C11373</t>
        </is>
      </c>
      <c r="D7075" t="inlineStr">
        <is>
          <t>SKU-10205</t>
        </is>
      </c>
      <c r="E7075" t="inlineStr">
        <is>
          <t>AM09</t>
        </is>
      </c>
      <c r="F7075" s="5" t="n">
        <v>247.86</v>
      </c>
      <c r="G7075">
        <f>IF(LEFT(B7075,1)="C","Credit","Factuur")</f>
        <v/>
      </c>
      <c r="H7075">
        <f>IF(AND(B7075=B7074,D7075=D7074,A7075=A7074,F7075=F7074),1,0)</f>
        <v/>
      </c>
      <c r="I7075">
        <f>IF(C7075="C99999",1,0)</f>
        <v/>
      </c>
      <c r="J7075" s="5">
        <f>IF(OR(H7075=1,I7075=1),0,IF(G7075="Credit",-F7075,F7075))</f>
        <v/>
      </c>
    </row>
    <row r="7076">
      <c r="A7076" t="inlineStr">
        <is>
          <t>2026-09-05</t>
        </is>
      </c>
      <c r="B7076" t="inlineStr">
        <is>
          <t>C900812</t>
        </is>
      </c>
      <c r="C7076" t="inlineStr">
        <is>
          <t>C11294</t>
        </is>
      </c>
      <c r="D7076" t="inlineStr">
        <is>
          <t>SKU-10257</t>
        </is>
      </c>
      <c r="E7076" t="inlineStr">
        <is>
          <t>AM01</t>
        </is>
      </c>
      <c r="F7076" s="5" t="n">
        <v>879.4400000000001</v>
      </c>
      <c r="G7076">
        <f>IF(LEFT(B7076,1)="C","Credit","Factuur")</f>
        <v/>
      </c>
      <c r="H7076">
        <f>IF(AND(B7076=B7075,D7076=D7075,A7076=A7075,F7076=F7075),1,0)</f>
        <v/>
      </c>
      <c r="I7076">
        <f>IF(C7076="C99999",1,0)</f>
        <v/>
      </c>
      <c r="J7076" s="5">
        <f>IF(OR(H7076=1,I7076=1),0,IF(G7076="Credit",-F7076,F7076))</f>
        <v/>
      </c>
    </row>
    <row r="7077">
      <c r="A7077" t="inlineStr">
        <is>
          <t>2026-09-05</t>
        </is>
      </c>
      <c r="B7077" t="inlineStr">
        <is>
          <t>C901232</t>
        </is>
      </c>
      <c r="C7077" t="inlineStr">
        <is>
          <t>C10252</t>
        </is>
      </c>
      <c r="D7077" t="inlineStr">
        <is>
          <t>SKU-10326</t>
        </is>
      </c>
      <c r="E7077" t="inlineStr">
        <is>
          <t>AM09</t>
        </is>
      </c>
      <c r="F7077" s="5" t="n">
        <v>7821</v>
      </c>
      <c r="G7077">
        <f>IF(LEFT(B7077,1)="C","Credit","Factuur")</f>
        <v/>
      </c>
      <c r="H7077">
        <f>IF(AND(B7077=B7076,D7077=D7076,A7077=A7076,F7077=F7076),1,0)</f>
        <v/>
      </c>
      <c r="I7077">
        <f>IF(C7077="C99999",1,0)</f>
        <v/>
      </c>
      <c r="J7077" s="5">
        <f>IF(OR(H7077=1,I7077=1),0,IF(G7077="Credit",-F7077,F7077))</f>
        <v/>
      </c>
    </row>
    <row r="7078">
      <c r="A7078" t="inlineStr">
        <is>
          <t>2026-09-06</t>
        </is>
      </c>
      <c r="B7078" t="inlineStr">
        <is>
          <t>C900370</t>
        </is>
      </c>
      <c r="C7078" t="inlineStr">
        <is>
          <t>C10688</t>
        </is>
      </c>
      <c r="D7078" t="inlineStr">
        <is>
          <t>SKU-10276</t>
        </is>
      </c>
      <c r="E7078" t="inlineStr">
        <is>
          <t>AM03</t>
        </is>
      </c>
      <c r="F7078" s="5" t="n">
        <v>256.26</v>
      </c>
      <c r="G7078">
        <f>IF(LEFT(B7078,1)="C","Credit","Factuur")</f>
        <v/>
      </c>
      <c r="H7078">
        <f>IF(AND(B7078=B7077,D7078=D7077,A7078=A7077,F7078=F7077),1,0)</f>
        <v/>
      </c>
      <c r="I7078">
        <f>IF(C7078="C99999",1,0)</f>
        <v/>
      </c>
      <c r="J7078" s="5">
        <f>IF(OR(H7078=1,I7078=1),0,IF(G7078="Credit",-F7078,F7078))</f>
        <v/>
      </c>
    </row>
    <row r="7079">
      <c r="A7079" t="inlineStr">
        <is>
          <t>2026-09-06</t>
        </is>
      </c>
      <c r="B7079" t="inlineStr">
        <is>
          <t>C901301</t>
        </is>
      </c>
      <c r="C7079" t="inlineStr">
        <is>
          <t>C11339</t>
        </is>
      </c>
      <c r="D7079" t="inlineStr">
        <is>
          <t>SKU-10165</t>
        </is>
      </c>
      <c r="E7079" t="inlineStr">
        <is>
          <t>AM03</t>
        </is>
      </c>
      <c r="F7079" s="5" t="n">
        <v>687.6</v>
      </c>
      <c r="G7079">
        <f>IF(LEFT(B7079,1)="C","Credit","Factuur")</f>
        <v/>
      </c>
      <c r="H7079">
        <f>IF(AND(B7079=B7078,D7079=D7078,A7079=A7078,F7079=F7078),1,0)</f>
        <v/>
      </c>
      <c r="I7079">
        <f>IF(C7079="C99999",1,0)</f>
        <v/>
      </c>
      <c r="J7079" s="5">
        <f>IF(OR(H7079=1,I7079=1),0,IF(G7079="Credit",-F7079,F7079))</f>
        <v/>
      </c>
    </row>
    <row r="7080">
      <c r="A7080" t="inlineStr">
        <is>
          <t>2026-09-06</t>
        </is>
      </c>
      <c r="B7080" t="inlineStr">
        <is>
          <t>C901839</t>
        </is>
      </c>
      <c r="C7080" t="inlineStr">
        <is>
          <t>C10475</t>
        </is>
      </c>
      <c r="D7080" t="inlineStr">
        <is>
          <t>SKU-10157</t>
        </is>
      </c>
      <c r="E7080" t="inlineStr">
        <is>
          <t>IS02</t>
        </is>
      </c>
      <c r="F7080" s="5" t="n">
        <v>10.39</v>
      </c>
      <c r="G7080">
        <f>IF(LEFT(B7080,1)="C","Credit","Factuur")</f>
        <v/>
      </c>
      <c r="H7080">
        <f>IF(AND(B7080=B7079,D7080=D7079,A7080=A7079,F7080=F7079),1,0)</f>
        <v/>
      </c>
      <c r="I7080">
        <f>IF(C7080="C99999",1,0)</f>
        <v/>
      </c>
      <c r="J7080" s="5">
        <f>IF(OR(H7080=1,I7080=1),0,IF(G7080="Credit",-F7080,F7080))</f>
        <v/>
      </c>
    </row>
    <row r="7081">
      <c r="A7081" t="inlineStr">
        <is>
          <t>2026-09-06</t>
        </is>
      </c>
      <c r="B7081" t="inlineStr">
        <is>
          <t>C901891</t>
        </is>
      </c>
      <c r="C7081" t="inlineStr">
        <is>
          <t>C10376</t>
        </is>
      </c>
      <c r="D7081" t="inlineStr">
        <is>
          <t>SKU-10354</t>
        </is>
      </c>
      <c r="E7081" t="inlineStr">
        <is>
          <t>AM01</t>
        </is>
      </c>
      <c r="F7081" s="5" t="n">
        <v>341.3</v>
      </c>
      <c r="G7081">
        <f>IF(LEFT(B7081,1)="C","Credit","Factuur")</f>
        <v/>
      </c>
      <c r="H7081">
        <f>IF(AND(B7081=B7080,D7081=D7080,A7081=A7080,F7081=F7080),1,0)</f>
        <v/>
      </c>
      <c r="I7081">
        <f>IF(C7081="C99999",1,0)</f>
        <v/>
      </c>
      <c r="J7081" s="5">
        <f>IF(OR(H7081=1,I7081=1),0,IF(G7081="Credit",-F7081,F7081))</f>
        <v/>
      </c>
    </row>
    <row r="7082">
      <c r="A7082" t="inlineStr">
        <is>
          <t>2026-09-07</t>
        </is>
      </c>
      <c r="B7082" t="inlineStr">
        <is>
          <t>C900411</t>
        </is>
      </c>
      <c r="C7082" t="inlineStr">
        <is>
          <t>C10594</t>
        </is>
      </c>
      <c r="D7082" t="inlineStr">
        <is>
          <t>SKU-10163</t>
        </is>
      </c>
      <c r="E7082" t="inlineStr">
        <is>
          <t>AM05</t>
        </is>
      </c>
      <c r="F7082" s="5" t="n">
        <v>55.4</v>
      </c>
      <c r="G7082">
        <f>IF(LEFT(B7082,1)="C","Credit","Factuur")</f>
        <v/>
      </c>
      <c r="H7082">
        <f>IF(AND(B7082=B7081,D7082=D7081,A7082=A7081,F7082=F7081),1,0)</f>
        <v/>
      </c>
      <c r="I7082">
        <f>IF(C7082="C99999",1,0)</f>
        <v/>
      </c>
      <c r="J7082" s="5">
        <f>IF(OR(H7082=1,I7082=1),0,IF(G7082="Credit",-F7082,F7082))</f>
        <v/>
      </c>
    </row>
    <row r="7083">
      <c r="A7083" t="inlineStr">
        <is>
          <t>2026-09-07</t>
        </is>
      </c>
      <c r="B7083" t="inlineStr">
        <is>
          <t>C900746</t>
        </is>
      </c>
      <c r="C7083" t="inlineStr">
        <is>
          <t>C10252</t>
        </is>
      </c>
      <c r="D7083" t="inlineStr">
        <is>
          <t>SKU-10047</t>
        </is>
      </c>
      <c r="E7083" t="inlineStr">
        <is>
          <t>AM09</t>
        </is>
      </c>
      <c r="F7083" s="5" t="n">
        <v>7986.84</v>
      </c>
      <c r="G7083">
        <f>IF(LEFT(B7083,1)="C","Credit","Factuur")</f>
        <v/>
      </c>
      <c r="H7083">
        <f>IF(AND(B7083=B7082,D7083=D7082,A7083=A7082,F7083=F7082),1,0)</f>
        <v/>
      </c>
      <c r="I7083">
        <f>IF(C7083="C99999",1,0)</f>
        <v/>
      </c>
      <c r="J7083" s="5">
        <f>IF(OR(H7083=1,I7083=1),0,IF(G7083="Credit",-F7083,F7083))</f>
        <v/>
      </c>
    </row>
    <row r="7084">
      <c r="A7084" t="inlineStr">
        <is>
          <t>2026-09-07</t>
        </is>
      </c>
      <c r="B7084" t="inlineStr">
        <is>
          <t>C901266</t>
        </is>
      </c>
      <c r="C7084" t="inlineStr">
        <is>
          <t>C11233</t>
        </is>
      </c>
      <c r="D7084" t="inlineStr">
        <is>
          <t>SKU-10097</t>
        </is>
      </c>
      <c r="E7084" t="inlineStr">
        <is>
          <t>AM11</t>
        </is>
      </c>
      <c r="F7084" s="5" t="n">
        <v>63.9</v>
      </c>
      <c r="G7084">
        <f>IF(LEFT(B7084,1)="C","Credit","Factuur")</f>
        <v/>
      </c>
      <c r="H7084">
        <f>IF(AND(B7084=B7083,D7084=D7083,A7084=A7083,F7084=F7083),1,0)</f>
        <v/>
      </c>
      <c r="I7084">
        <f>IF(C7084="C99999",1,0)</f>
        <v/>
      </c>
      <c r="J7084" s="5">
        <f>IF(OR(H7084=1,I7084=1),0,IF(G7084="Credit",-F7084,F7084))</f>
        <v/>
      </c>
    </row>
    <row r="7085">
      <c r="A7085" t="inlineStr">
        <is>
          <t>2026-09-07</t>
        </is>
      </c>
      <c r="B7085" t="inlineStr">
        <is>
          <t>F260493</t>
        </is>
      </c>
      <c r="C7085" t="inlineStr">
        <is>
          <t>C10026</t>
        </is>
      </c>
      <c r="D7085" t="inlineStr">
        <is>
          <t>SKU-10107</t>
        </is>
      </c>
      <c r="E7085" t="inlineStr">
        <is>
          <t>AM11</t>
        </is>
      </c>
      <c r="F7085" s="5" t="n">
        <v>266.76</v>
      </c>
      <c r="G7085">
        <f>IF(LEFT(B7085,1)="C","Credit","Factuur")</f>
        <v/>
      </c>
      <c r="H7085">
        <f>IF(AND(B7085=B7084,D7085=D7084,A7085=A7084,F7085=F7084),1,0)</f>
        <v/>
      </c>
      <c r="I7085">
        <f>IF(C7085="C99999",1,0)</f>
        <v/>
      </c>
      <c r="J7085" s="5">
        <f>IF(OR(H7085=1,I7085=1),0,IF(G7085="Credit",-F7085,F7085))</f>
        <v/>
      </c>
    </row>
    <row r="7086">
      <c r="A7086" t="inlineStr">
        <is>
          <t>2026-09-07</t>
        </is>
      </c>
      <c r="B7086" t="inlineStr">
        <is>
          <t>F260493</t>
        </is>
      </c>
      <c r="C7086" t="inlineStr">
        <is>
          <t>C10026</t>
        </is>
      </c>
      <c r="D7086" t="inlineStr">
        <is>
          <t>SKU-10204</t>
        </is>
      </c>
      <c r="E7086" t="inlineStr">
        <is>
          <t>AM11</t>
        </is>
      </c>
      <c r="F7086" s="5" t="n">
        <v>249.52</v>
      </c>
      <c r="G7086">
        <f>IF(LEFT(B7086,1)="C","Credit","Factuur")</f>
        <v/>
      </c>
      <c r="H7086">
        <f>IF(AND(B7086=B7085,D7086=D7085,A7086=A7085,F7086=F7085),1,0)</f>
        <v/>
      </c>
      <c r="I7086">
        <f>IF(C7086="C99999",1,0)</f>
        <v/>
      </c>
      <c r="J7086" s="5">
        <f>IF(OR(H7086=1,I7086=1),0,IF(G7086="Credit",-F7086,F7086))</f>
        <v/>
      </c>
    </row>
    <row r="7087">
      <c r="A7087" t="inlineStr">
        <is>
          <t>2026-09-07</t>
        </is>
      </c>
      <c r="B7087" t="inlineStr">
        <is>
          <t>F260493</t>
        </is>
      </c>
      <c r="C7087" t="inlineStr">
        <is>
          <t>C10026</t>
        </is>
      </c>
      <c r="D7087" t="inlineStr">
        <is>
          <t>SKU-10329</t>
        </is>
      </c>
      <c r="E7087" t="inlineStr">
        <is>
          <t>AM11</t>
        </is>
      </c>
      <c r="F7087" s="5" t="n">
        <v>294.56</v>
      </c>
      <c r="G7087">
        <f>IF(LEFT(B7087,1)="C","Credit","Factuur")</f>
        <v/>
      </c>
      <c r="H7087">
        <f>IF(AND(B7087=B7086,D7087=D7086,A7087=A7086,F7087=F7086),1,0)</f>
        <v/>
      </c>
      <c r="I7087">
        <f>IF(C7087="C99999",1,0)</f>
        <v/>
      </c>
      <c r="J7087" s="5">
        <f>IF(OR(H7087=1,I7087=1),0,IF(G7087="Credit",-F7087,F7087))</f>
        <v/>
      </c>
    </row>
    <row r="7088">
      <c r="A7088" t="inlineStr">
        <is>
          <t>2026-09-07</t>
        </is>
      </c>
      <c r="B7088" t="inlineStr">
        <is>
          <t>F260946</t>
        </is>
      </c>
      <c r="C7088" t="inlineStr">
        <is>
          <t>C10054</t>
        </is>
      </c>
      <c r="D7088" t="inlineStr">
        <is>
          <t>SKU-10046</t>
        </is>
      </c>
      <c r="E7088" t="inlineStr">
        <is>
          <t>AM01</t>
        </is>
      </c>
      <c r="F7088" s="5" t="n">
        <v>165.69</v>
      </c>
      <c r="G7088">
        <f>IF(LEFT(B7088,1)="C","Credit","Factuur")</f>
        <v/>
      </c>
      <c r="H7088">
        <f>IF(AND(B7088=B7087,D7088=D7087,A7088=A7087,F7088=F7087),1,0)</f>
        <v/>
      </c>
      <c r="I7088">
        <f>IF(C7088="C99999",1,0)</f>
        <v/>
      </c>
      <c r="J7088" s="5">
        <f>IF(OR(H7088=1,I7088=1),0,IF(G7088="Credit",-F7088,F7088))</f>
        <v/>
      </c>
    </row>
    <row r="7089">
      <c r="A7089" t="inlineStr">
        <is>
          <t>2026-09-07</t>
        </is>
      </c>
      <c r="B7089" t="inlineStr">
        <is>
          <t>F260946</t>
        </is>
      </c>
      <c r="C7089" t="inlineStr">
        <is>
          <t>C10054</t>
        </is>
      </c>
      <c r="D7089" t="inlineStr">
        <is>
          <t>SKU-10302</t>
        </is>
      </c>
      <c r="E7089" t="inlineStr">
        <is>
          <t>AM01</t>
        </is>
      </c>
      <c r="F7089" s="5" t="n">
        <v>166.86</v>
      </c>
      <c r="G7089">
        <f>IF(LEFT(B7089,1)="C","Credit","Factuur")</f>
        <v/>
      </c>
      <c r="H7089">
        <f>IF(AND(B7089=B7088,D7089=D7088,A7089=A7088,F7089=F7088),1,0)</f>
        <v/>
      </c>
      <c r="I7089">
        <f>IF(C7089="C99999",1,0)</f>
        <v/>
      </c>
      <c r="J7089" s="5">
        <f>IF(OR(H7089=1,I7089=1),0,IF(G7089="Credit",-F7089,F7089))</f>
        <v/>
      </c>
    </row>
    <row r="7090">
      <c r="A7090" t="inlineStr">
        <is>
          <t>2026-09-07</t>
        </is>
      </c>
      <c r="B7090" t="inlineStr">
        <is>
          <t>F261598</t>
        </is>
      </c>
      <c r="C7090" t="inlineStr">
        <is>
          <t>C10085</t>
        </is>
      </c>
      <c r="D7090" t="inlineStr">
        <is>
          <t>SKU-10040</t>
        </is>
      </c>
      <c r="E7090" t="inlineStr">
        <is>
          <t>AM01</t>
        </is>
      </c>
      <c r="F7090" s="5" t="n">
        <v>3082.1</v>
      </c>
      <c r="G7090">
        <f>IF(LEFT(B7090,1)="C","Credit","Factuur")</f>
        <v/>
      </c>
      <c r="H7090">
        <f>IF(AND(B7090=B7089,D7090=D7089,A7090=A7089,F7090=F7089),1,0)</f>
        <v/>
      </c>
      <c r="I7090">
        <f>IF(C7090="C99999",1,0)</f>
        <v/>
      </c>
      <c r="J7090" s="5">
        <f>IF(OR(H7090=1,I7090=1),0,IF(G7090="Credit",-F7090,F7090))</f>
        <v/>
      </c>
    </row>
    <row r="7091">
      <c r="A7091" t="inlineStr">
        <is>
          <t>2026-09-07</t>
        </is>
      </c>
      <c r="B7091" t="inlineStr">
        <is>
          <t>F261598</t>
        </is>
      </c>
      <c r="C7091" t="inlineStr">
        <is>
          <t>C10085</t>
        </is>
      </c>
      <c r="D7091" t="inlineStr">
        <is>
          <t>SKU-10250</t>
        </is>
      </c>
      <c r="E7091" t="inlineStr">
        <is>
          <t>AM01</t>
        </is>
      </c>
      <c r="F7091" s="5" t="n">
        <v>2747.11</v>
      </c>
      <c r="G7091">
        <f>IF(LEFT(B7091,1)="C","Credit","Factuur")</f>
        <v/>
      </c>
      <c r="H7091">
        <f>IF(AND(B7091=B7090,D7091=D7090,A7091=A7090,F7091=F7090),1,0)</f>
        <v/>
      </c>
      <c r="I7091">
        <f>IF(C7091="C99999",1,0)</f>
        <v/>
      </c>
      <c r="J7091" s="5">
        <f>IF(OR(H7091=1,I7091=1),0,IF(G7091="Credit",-F7091,F7091))</f>
        <v/>
      </c>
    </row>
    <row r="7092">
      <c r="A7092" t="inlineStr">
        <is>
          <t>2026-09-07</t>
        </is>
      </c>
      <c r="B7092" t="inlineStr">
        <is>
          <t>F261917</t>
        </is>
      </c>
      <c r="C7092" t="inlineStr">
        <is>
          <t>C10102</t>
        </is>
      </c>
      <c r="D7092" t="inlineStr">
        <is>
          <t>SKU-10066</t>
        </is>
      </c>
      <c r="E7092" t="inlineStr">
        <is>
          <t>AM05</t>
        </is>
      </c>
      <c r="F7092" s="5" t="n">
        <v>248.16</v>
      </c>
      <c r="G7092">
        <f>IF(LEFT(B7092,1)="C","Credit","Factuur")</f>
        <v/>
      </c>
      <c r="H7092">
        <f>IF(AND(B7092=B7091,D7092=D7091,A7092=A7091,F7092=F7091),1,0)</f>
        <v/>
      </c>
      <c r="I7092">
        <f>IF(C7092="C99999",1,0)</f>
        <v/>
      </c>
      <c r="J7092" s="5">
        <f>IF(OR(H7092=1,I7092=1),0,IF(G7092="Credit",-F7092,F7092))</f>
        <v/>
      </c>
    </row>
    <row r="7093">
      <c r="A7093" t="inlineStr">
        <is>
          <t>2026-09-07</t>
        </is>
      </c>
      <c r="B7093" t="inlineStr">
        <is>
          <t>F261917</t>
        </is>
      </c>
      <c r="C7093" t="inlineStr">
        <is>
          <t>C10102</t>
        </is>
      </c>
      <c r="D7093" t="inlineStr">
        <is>
          <t>SKU-10102</t>
        </is>
      </c>
      <c r="E7093" t="inlineStr">
        <is>
          <t>AM05</t>
        </is>
      </c>
      <c r="F7093" s="5" t="n">
        <v>245.78</v>
      </c>
      <c r="G7093">
        <f>IF(LEFT(B7093,1)="C","Credit","Factuur")</f>
        <v/>
      </c>
      <c r="H7093">
        <f>IF(AND(B7093=B7092,D7093=D7092,A7093=A7092,F7093=F7092),1,0)</f>
        <v/>
      </c>
      <c r="I7093">
        <f>IF(C7093="C99999",1,0)</f>
        <v/>
      </c>
      <c r="J7093" s="5">
        <f>IF(OR(H7093=1,I7093=1),0,IF(G7093="Credit",-F7093,F7093))</f>
        <v/>
      </c>
    </row>
    <row r="7094">
      <c r="A7094" t="inlineStr">
        <is>
          <t>2026-09-07</t>
        </is>
      </c>
      <c r="B7094" t="inlineStr">
        <is>
          <t>F261917</t>
        </is>
      </c>
      <c r="C7094" t="inlineStr">
        <is>
          <t>C10102</t>
        </is>
      </c>
      <c r="D7094" t="inlineStr">
        <is>
          <t>SKU-10236</t>
        </is>
      </c>
      <c r="E7094" t="inlineStr">
        <is>
          <t>AM05</t>
        </is>
      </c>
      <c r="F7094" s="5" t="n">
        <v>250.8</v>
      </c>
      <c r="G7094">
        <f>IF(LEFT(B7094,1)="C","Credit","Factuur")</f>
        <v/>
      </c>
      <c r="H7094">
        <f>IF(AND(B7094=B7093,D7094=D7093,A7094=A7093,F7094=F7093),1,0)</f>
        <v/>
      </c>
      <c r="I7094">
        <f>IF(C7094="C99999",1,0)</f>
        <v/>
      </c>
      <c r="J7094" s="5">
        <f>IF(OR(H7094=1,I7094=1),0,IF(G7094="Credit",-F7094,F7094))</f>
        <v/>
      </c>
    </row>
    <row r="7095">
      <c r="A7095" t="inlineStr">
        <is>
          <t>2026-09-07</t>
        </is>
      </c>
      <c r="B7095" t="inlineStr">
        <is>
          <t>F262911</t>
        </is>
      </c>
      <c r="C7095" t="inlineStr">
        <is>
          <t>C10157</t>
        </is>
      </c>
      <c r="D7095" t="inlineStr">
        <is>
          <t>SKU-10019</t>
        </is>
      </c>
      <c r="E7095" t="inlineStr">
        <is>
          <t>AM07</t>
        </is>
      </c>
      <c r="F7095" s="5" t="n">
        <v>88.02</v>
      </c>
      <c r="G7095">
        <f>IF(LEFT(B7095,1)="C","Credit","Factuur")</f>
        <v/>
      </c>
      <c r="H7095">
        <f>IF(AND(B7095=B7094,D7095=D7094,A7095=A7094,F7095=F7094),1,0)</f>
        <v/>
      </c>
      <c r="I7095">
        <f>IF(C7095="C99999",1,0)</f>
        <v/>
      </c>
      <c r="J7095" s="5">
        <f>IF(OR(H7095=1,I7095=1),0,IF(G7095="Credit",-F7095,F7095))</f>
        <v/>
      </c>
    </row>
    <row r="7096">
      <c r="A7096" t="inlineStr">
        <is>
          <t>2026-09-07</t>
        </is>
      </c>
      <c r="B7096" t="inlineStr">
        <is>
          <t>F262911</t>
        </is>
      </c>
      <c r="C7096" t="inlineStr">
        <is>
          <t>C10157</t>
        </is>
      </c>
      <c r="D7096" t="inlineStr">
        <is>
          <t>SKU-10069</t>
        </is>
      </c>
      <c r="E7096" t="inlineStr">
        <is>
          <t>AM07</t>
        </is>
      </c>
      <c r="F7096" s="5" t="n">
        <v>47.67</v>
      </c>
      <c r="G7096">
        <f>IF(LEFT(B7096,1)="C","Credit","Factuur")</f>
        <v/>
      </c>
      <c r="H7096">
        <f>IF(AND(B7096=B7095,D7096=D7095,A7096=A7095,F7096=F7095),1,0)</f>
        <v/>
      </c>
      <c r="I7096">
        <f>IF(C7096="C99999",1,0)</f>
        <v/>
      </c>
      <c r="J7096" s="5">
        <f>IF(OR(H7096=1,I7096=1),0,IF(G7096="Credit",-F7096,F7096))</f>
        <v/>
      </c>
    </row>
    <row r="7097">
      <c r="A7097" t="inlineStr">
        <is>
          <t>2026-09-07</t>
        </is>
      </c>
      <c r="B7097" t="inlineStr">
        <is>
          <t>F262911</t>
        </is>
      </c>
      <c r="C7097" t="inlineStr">
        <is>
          <t>C10157</t>
        </is>
      </c>
      <c r="D7097" t="inlineStr">
        <is>
          <t>SKU-10116</t>
        </is>
      </c>
      <c r="E7097" t="inlineStr">
        <is>
          <t>AM07</t>
        </is>
      </c>
      <c r="F7097" s="5" t="n">
        <v>65.09999999999999</v>
      </c>
      <c r="G7097">
        <f>IF(LEFT(B7097,1)="C","Credit","Factuur")</f>
        <v/>
      </c>
      <c r="H7097">
        <f>IF(AND(B7097=B7096,D7097=D7096,A7097=A7096,F7097=F7096),1,0)</f>
        <v/>
      </c>
      <c r="I7097">
        <f>IF(C7097="C99999",1,0)</f>
        <v/>
      </c>
      <c r="J7097" s="5">
        <f>IF(OR(H7097=1,I7097=1),0,IF(G7097="Credit",-F7097,F7097))</f>
        <v/>
      </c>
    </row>
    <row r="7098">
      <c r="A7098" t="inlineStr">
        <is>
          <t>2026-09-07</t>
        </is>
      </c>
      <c r="B7098" t="inlineStr">
        <is>
          <t>F262911</t>
        </is>
      </c>
      <c r="C7098" t="inlineStr">
        <is>
          <t>C10157</t>
        </is>
      </c>
      <c r="D7098" t="inlineStr">
        <is>
          <t>SKU-10173</t>
        </is>
      </c>
      <c r="E7098" t="inlineStr">
        <is>
          <t>AM07</t>
        </is>
      </c>
      <c r="F7098" s="5" t="n">
        <v>61.27</v>
      </c>
      <c r="G7098">
        <f>IF(LEFT(B7098,1)="C","Credit","Factuur")</f>
        <v/>
      </c>
      <c r="H7098">
        <f>IF(AND(B7098=B7097,D7098=D7097,A7098=A7097,F7098=F7097),1,0)</f>
        <v/>
      </c>
      <c r="I7098">
        <f>IF(C7098="C99999",1,0)</f>
        <v/>
      </c>
      <c r="J7098" s="5">
        <f>IF(OR(H7098=1,I7098=1),0,IF(G7098="Credit",-F7098,F7098))</f>
        <v/>
      </c>
    </row>
    <row r="7099">
      <c r="A7099" t="inlineStr">
        <is>
          <t>2026-09-07</t>
        </is>
      </c>
      <c r="B7099" t="inlineStr">
        <is>
          <t>F262911</t>
        </is>
      </c>
      <c r="C7099" t="inlineStr">
        <is>
          <t>C10157</t>
        </is>
      </c>
      <c r="D7099" t="inlineStr">
        <is>
          <t>SKU-10266</t>
        </is>
      </c>
      <c r="E7099" t="inlineStr">
        <is>
          <t>AM07</t>
        </is>
      </c>
      <c r="F7099" s="5" t="n">
        <v>71.59999999999999</v>
      </c>
      <c r="G7099">
        <f>IF(LEFT(B7099,1)="C","Credit","Factuur")</f>
        <v/>
      </c>
      <c r="H7099">
        <f>IF(AND(B7099=B7098,D7099=D7098,A7099=A7098,F7099=F7098),1,0)</f>
        <v/>
      </c>
      <c r="I7099">
        <f>IF(C7099="C99999",1,0)</f>
        <v/>
      </c>
      <c r="J7099" s="5">
        <f>IF(OR(H7099=1,I7099=1),0,IF(G7099="Credit",-F7099,F7099))</f>
        <v/>
      </c>
    </row>
    <row r="7100">
      <c r="A7100" t="inlineStr">
        <is>
          <t>2026-09-07</t>
        </is>
      </c>
      <c r="B7100" t="inlineStr">
        <is>
          <t>F263134</t>
        </is>
      </c>
      <c r="C7100" t="inlineStr">
        <is>
          <t>C10168</t>
        </is>
      </c>
      <c r="D7100" t="inlineStr">
        <is>
          <t>SKU-10007</t>
        </is>
      </c>
      <c r="E7100" t="inlineStr">
        <is>
          <t>AM02</t>
        </is>
      </c>
      <c r="F7100" s="5" t="n">
        <v>269.67</v>
      </c>
      <c r="G7100">
        <f>IF(LEFT(B7100,1)="C","Credit","Factuur")</f>
        <v/>
      </c>
      <c r="H7100">
        <f>IF(AND(B7100=B7099,D7100=D7099,A7100=A7099,F7100=F7099),1,0)</f>
        <v/>
      </c>
      <c r="I7100">
        <f>IF(C7100="C99999",1,0)</f>
        <v/>
      </c>
      <c r="J7100" s="5">
        <f>IF(OR(H7100=1,I7100=1),0,IF(G7100="Credit",-F7100,F7100))</f>
        <v/>
      </c>
    </row>
    <row r="7101">
      <c r="A7101" t="inlineStr">
        <is>
          <t>2026-09-07</t>
        </is>
      </c>
      <c r="B7101" t="inlineStr">
        <is>
          <t>F263134</t>
        </is>
      </c>
      <c r="C7101" t="inlineStr">
        <is>
          <t>C10168</t>
        </is>
      </c>
      <c r="D7101" t="inlineStr">
        <is>
          <t>SKU-10062</t>
        </is>
      </c>
      <c r="E7101" t="inlineStr">
        <is>
          <t>AM02</t>
        </is>
      </c>
      <c r="F7101" s="5" t="n">
        <v>266.68</v>
      </c>
      <c r="G7101">
        <f>IF(LEFT(B7101,1)="C","Credit","Factuur")</f>
        <v/>
      </c>
      <c r="H7101">
        <f>IF(AND(B7101=B7100,D7101=D7100,A7101=A7100,F7101=F7100),1,0)</f>
        <v/>
      </c>
      <c r="I7101">
        <f>IF(C7101="C99999",1,0)</f>
        <v/>
      </c>
      <c r="J7101" s="5">
        <f>IF(OR(H7101=1,I7101=1),0,IF(G7101="Credit",-F7101,F7101))</f>
        <v/>
      </c>
    </row>
    <row r="7102">
      <c r="A7102" t="inlineStr">
        <is>
          <t>2026-09-07</t>
        </is>
      </c>
      <c r="B7102" t="inlineStr">
        <is>
          <t>F263134</t>
        </is>
      </c>
      <c r="C7102" t="inlineStr">
        <is>
          <t>C10168</t>
        </is>
      </c>
      <c r="D7102" t="inlineStr">
        <is>
          <t>SKU-10213</t>
        </is>
      </c>
      <c r="E7102" t="inlineStr">
        <is>
          <t>AM02</t>
        </is>
      </c>
      <c r="F7102" s="5" t="n">
        <v>285.75</v>
      </c>
      <c r="G7102">
        <f>IF(LEFT(B7102,1)="C","Credit","Factuur")</f>
        <v/>
      </c>
      <c r="H7102">
        <f>IF(AND(B7102=B7101,D7102=D7101,A7102=A7101,F7102=F7101),1,0)</f>
        <v/>
      </c>
      <c r="I7102">
        <f>IF(C7102="C99999",1,0)</f>
        <v/>
      </c>
      <c r="J7102" s="5">
        <f>IF(OR(H7102=1,I7102=1),0,IF(G7102="Credit",-F7102,F7102))</f>
        <v/>
      </c>
    </row>
    <row r="7103">
      <c r="A7103" t="inlineStr">
        <is>
          <t>2026-09-07</t>
        </is>
      </c>
      <c r="B7103" t="inlineStr">
        <is>
          <t>F263134</t>
        </is>
      </c>
      <c r="C7103" t="inlineStr">
        <is>
          <t>C10168</t>
        </is>
      </c>
      <c r="D7103" t="inlineStr">
        <is>
          <t>SKU-10245</t>
        </is>
      </c>
      <c r="E7103" t="inlineStr">
        <is>
          <t>AM02</t>
        </is>
      </c>
      <c r="F7103" s="5" t="n">
        <v>253.08</v>
      </c>
      <c r="G7103">
        <f>IF(LEFT(B7103,1)="C","Credit","Factuur")</f>
        <v/>
      </c>
      <c r="H7103">
        <f>IF(AND(B7103=B7102,D7103=D7102,A7103=A7102,F7103=F7102),1,0)</f>
        <v/>
      </c>
      <c r="I7103">
        <f>IF(C7103="C99999",1,0)</f>
        <v/>
      </c>
      <c r="J7103" s="5">
        <f>IF(OR(H7103=1,I7103=1),0,IF(G7103="Credit",-F7103,F7103))</f>
        <v/>
      </c>
    </row>
    <row r="7104">
      <c r="A7104" t="inlineStr">
        <is>
          <t>2026-09-07</t>
        </is>
      </c>
      <c r="B7104" t="inlineStr">
        <is>
          <t>F263494</t>
        </is>
      </c>
      <c r="C7104" t="inlineStr">
        <is>
          <t>C10187</t>
        </is>
      </c>
      <c r="D7104" t="inlineStr">
        <is>
          <t>SKU-10073</t>
        </is>
      </c>
      <c r="E7104" t="inlineStr">
        <is>
          <t>AM12</t>
        </is>
      </c>
      <c r="F7104" s="5" t="n">
        <v>228.16</v>
      </c>
      <c r="G7104">
        <f>IF(LEFT(B7104,1)="C","Credit","Factuur")</f>
        <v/>
      </c>
      <c r="H7104">
        <f>IF(AND(B7104=B7103,D7104=D7103,A7104=A7103,F7104=F7103),1,0)</f>
        <v/>
      </c>
      <c r="I7104">
        <f>IF(C7104="C99999",1,0)</f>
        <v/>
      </c>
      <c r="J7104" s="5">
        <f>IF(OR(H7104=1,I7104=1),0,IF(G7104="Credit",-F7104,F7104))</f>
        <v/>
      </c>
    </row>
    <row r="7105">
      <c r="A7105" t="inlineStr">
        <is>
          <t>2026-09-07</t>
        </is>
      </c>
      <c r="B7105" t="inlineStr">
        <is>
          <t>F263494</t>
        </is>
      </c>
      <c r="C7105" t="inlineStr">
        <is>
          <t>C10187</t>
        </is>
      </c>
      <c r="D7105" t="inlineStr">
        <is>
          <t>SKU-10281</t>
        </is>
      </c>
      <c r="E7105" t="inlineStr">
        <is>
          <t>AM12</t>
        </is>
      </c>
      <c r="F7105" s="5" t="n">
        <v>203.4</v>
      </c>
      <c r="G7105">
        <f>IF(LEFT(B7105,1)="C","Credit","Factuur")</f>
        <v/>
      </c>
      <c r="H7105">
        <f>IF(AND(B7105=B7104,D7105=D7104,A7105=A7104,F7105=F7104),1,0)</f>
        <v/>
      </c>
      <c r="I7105">
        <f>IF(C7105="C99999",1,0)</f>
        <v/>
      </c>
      <c r="J7105" s="5">
        <f>IF(OR(H7105=1,I7105=1),0,IF(G7105="Credit",-F7105,F7105))</f>
        <v/>
      </c>
    </row>
    <row r="7106">
      <c r="A7106" t="inlineStr">
        <is>
          <t>2026-09-07</t>
        </is>
      </c>
      <c r="B7106" t="inlineStr">
        <is>
          <t>F263494</t>
        </is>
      </c>
      <c r="C7106" t="inlineStr">
        <is>
          <t>C10187</t>
        </is>
      </c>
      <c r="D7106" t="inlineStr">
        <is>
          <t>SKU-10318</t>
        </is>
      </c>
      <c r="E7106" t="inlineStr">
        <is>
          <t>AM12</t>
        </is>
      </c>
      <c r="F7106" s="5" t="n">
        <v>193.32</v>
      </c>
      <c r="G7106">
        <f>IF(LEFT(B7106,1)="C","Credit","Factuur")</f>
        <v/>
      </c>
      <c r="H7106">
        <f>IF(AND(B7106=B7105,D7106=D7105,A7106=A7105,F7106=F7105),1,0)</f>
        <v/>
      </c>
      <c r="I7106">
        <f>IF(C7106="C99999",1,0)</f>
        <v/>
      </c>
      <c r="J7106" s="5">
        <f>IF(OR(H7106=1,I7106=1),0,IF(G7106="Credit",-F7106,F7106))</f>
        <v/>
      </c>
    </row>
    <row r="7107">
      <c r="A7107" t="inlineStr">
        <is>
          <t>2026-09-07</t>
        </is>
      </c>
      <c r="B7107" t="inlineStr">
        <is>
          <t>F263494</t>
        </is>
      </c>
      <c r="C7107" t="inlineStr">
        <is>
          <t>C10187</t>
        </is>
      </c>
      <c r="D7107" t="inlineStr">
        <is>
          <t>SKU-10377</t>
        </is>
      </c>
      <c r="E7107" t="inlineStr">
        <is>
          <t>AM12</t>
        </is>
      </c>
      <c r="F7107" s="5" t="n">
        <v>177.74</v>
      </c>
      <c r="G7107">
        <f>IF(LEFT(B7107,1)="C","Credit","Factuur")</f>
        <v/>
      </c>
      <c r="H7107">
        <f>IF(AND(B7107=B7106,D7107=D7106,A7107=A7106,F7107=F7106),1,0)</f>
        <v/>
      </c>
      <c r="I7107">
        <f>IF(C7107="C99999",1,0)</f>
        <v/>
      </c>
      <c r="J7107" s="5">
        <f>IF(OR(H7107=1,I7107=1),0,IF(G7107="Credit",-F7107,F7107))</f>
        <v/>
      </c>
    </row>
    <row r="7108">
      <c r="A7108" t="inlineStr">
        <is>
          <t>2026-09-07</t>
        </is>
      </c>
      <c r="B7108" t="inlineStr">
        <is>
          <t>F264573</t>
        </is>
      </c>
      <c r="C7108" t="inlineStr">
        <is>
          <t>C10239</t>
        </is>
      </c>
      <c r="D7108" t="inlineStr">
        <is>
          <t>SKU-10151</t>
        </is>
      </c>
      <c r="E7108" t="inlineStr">
        <is>
          <t>AM02</t>
        </is>
      </c>
      <c r="F7108" s="5" t="n">
        <v>86.98</v>
      </c>
      <c r="G7108">
        <f>IF(LEFT(B7108,1)="C","Credit","Factuur")</f>
        <v/>
      </c>
      <c r="H7108">
        <f>IF(AND(B7108=B7107,D7108=D7107,A7108=A7107,F7108=F7107),1,0)</f>
        <v/>
      </c>
      <c r="I7108">
        <f>IF(C7108="C99999",1,0)</f>
        <v/>
      </c>
      <c r="J7108" s="5">
        <f>IF(OR(H7108=1,I7108=1),0,IF(G7108="Credit",-F7108,F7108))</f>
        <v/>
      </c>
    </row>
    <row r="7109">
      <c r="A7109" t="inlineStr">
        <is>
          <t>2026-09-07</t>
        </is>
      </c>
      <c r="B7109" t="inlineStr">
        <is>
          <t>F264573</t>
        </is>
      </c>
      <c r="C7109" t="inlineStr">
        <is>
          <t>C10239</t>
        </is>
      </c>
      <c r="D7109" t="inlineStr">
        <is>
          <t>SKU-10331</t>
        </is>
      </c>
      <c r="E7109" t="inlineStr">
        <is>
          <t>AM02</t>
        </is>
      </c>
      <c r="F7109" s="5" t="n">
        <v>85.86</v>
      </c>
      <c r="G7109">
        <f>IF(LEFT(B7109,1)="C","Credit","Factuur")</f>
        <v/>
      </c>
      <c r="H7109">
        <f>IF(AND(B7109=B7108,D7109=D7108,A7109=A7108,F7109=F7108),1,0)</f>
        <v/>
      </c>
      <c r="I7109">
        <f>IF(C7109="C99999",1,0)</f>
        <v/>
      </c>
      <c r="J7109" s="5">
        <f>IF(OR(H7109=1,I7109=1),0,IF(G7109="Credit",-F7109,F7109))</f>
        <v/>
      </c>
    </row>
    <row r="7110">
      <c r="A7110" t="inlineStr">
        <is>
          <t>2026-09-07</t>
        </is>
      </c>
      <c r="B7110" t="inlineStr">
        <is>
          <t>F265933</t>
        </is>
      </c>
      <c r="C7110" t="inlineStr">
        <is>
          <t>C10311</t>
        </is>
      </c>
      <c r="D7110" t="inlineStr">
        <is>
          <t>SKU-10050</t>
        </is>
      </c>
      <c r="E7110" t="inlineStr">
        <is>
          <t>AM02</t>
        </is>
      </c>
      <c r="F7110" s="5" t="n">
        <v>534.3</v>
      </c>
      <c r="G7110">
        <f>IF(LEFT(B7110,1)="C","Credit","Factuur")</f>
        <v/>
      </c>
      <c r="H7110">
        <f>IF(AND(B7110=B7109,D7110=D7109,A7110=A7109,F7110=F7109),1,0)</f>
        <v/>
      </c>
      <c r="I7110">
        <f>IF(C7110="C99999",1,0)</f>
        <v/>
      </c>
      <c r="J7110" s="5">
        <f>IF(OR(H7110=1,I7110=1),0,IF(G7110="Credit",-F7110,F7110))</f>
        <v/>
      </c>
    </row>
    <row r="7111">
      <c r="A7111" t="inlineStr">
        <is>
          <t>2026-09-07</t>
        </is>
      </c>
      <c r="B7111" t="inlineStr">
        <is>
          <t>F265933</t>
        </is>
      </c>
      <c r="C7111" t="inlineStr">
        <is>
          <t>C10311</t>
        </is>
      </c>
      <c r="D7111" t="inlineStr">
        <is>
          <t>SKU-10182</t>
        </is>
      </c>
      <c r="E7111" t="inlineStr">
        <is>
          <t>AM02</t>
        </is>
      </c>
      <c r="F7111" s="5" t="n">
        <v>457.23</v>
      </c>
      <c r="G7111">
        <f>IF(LEFT(B7111,1)="C","Credit","Factuur")</f>
        <v/>
      </c>
      <c r="H7111">
        <f>IF(AND(B7111=B7110,D7111=D7110,A7111=A7110,F7111=F7110),1,0)</f>
        <v/>
      </c>
      <c r="I7111">
        <f>IF(C7111="C99999",1,0)</f>
        <v/>
      </c>
      <c r="J7111" s="5">
        <f>IF(OR(H7111=1,I7111=1),0,IF(G7111="Credit",-F7111,F7111))</f>
        <v/>
      </c>
    </row>
    <row r="7112">
      <c r="A7112" t="inlineStr">
        <is>
          <t>2026-09-07</t>
        </is>
      </c>
      <c r="B7112" t="inlineStr">
        <is>
          <t>F265933</t>
        </is>
      </c>
      <c r="C7112" t="inlineStr">
        <is>
          <t>C10311</t>
        </is>
      </c>
      <c r="D7112" t="inlineStr">
        <is>
          <t>SKU-10217</t>
        </is>
      </c>
      <c r="E7112" t="inlineStr">
        <is>
          <t>AM02</t>
        </is>
      </c>
      <c r="F7112" s="5" t="n">
        <v>480.91</v>
      </c>
      <c r="G7112">
        <f>IF(LEFT(B7112,1)="C","Credit","Factuur")</f>
        <v/>
      </c>
      <c r="H7112">
        <f>IF(AND(B7112=B7111,D7112=D7111,A7112=A7111,F7112=F7111),1,0)</f>
        <v/>
      </c>
      <c r="I7112">
        <f>IF(C7112="C99999",1,0)</f>
        <v/>
      </c>
      <c r="J7112" s="5">
        <f>IF(OR(H7112=1,I7112=1),0,IF(G7112="Credit",-F7112,F7112))</f>
        <v/>
      </c>
    </row>
    <row r="7113">
      <c r="A7113" t="inlineStr">
        <is>
          <t>2026-09-07</t>
        </is>
      </c>
      <c r="B7113" t="inlineStr">
        <is>
          <t>F265933</t>
        </is>
      </c>
      <c r="C7113" t="inlineStr">
        <is>
          <t>C10311</t>
        </is>
      </c>
      <c r="D7113" t="inlineStr">
        <is>
          <t>SKU-10378</t>
        </is>
      </c>
      <c r="E7113" t="inlineStr">
        <is>
          <t>AM02</t>
        </is>
      </c>
      <c r="F7113" s="5" t="n">
        <v>448.66</v>
      </c>
      <c r="G7113">
        <f>IF(LEFT(B7113,1)="C","Credit","Factuur")</f>
        <v/>
      </c>
      <c r="H7113">
        <f>IF(AND(B7113=B7112,D7113=D7112,A7113=A7112,F7113=F7112),1,0)</f>
        <v/>
      </c>
      <c r="I7113">
        <f>IF(C7113="C99999",1,0)</f>
        <v/>
      </c>
      <c r="J7113" s="5">
        <f>IF(OR(H7113=1,I7113=1),0,IF(G7113="Credit",-F7113,F7113))</f>
        <v/>
      </c>
    </row>
    <row r="7114">
      <c r="A7114" t="inlineStr">
        <is>
          <t>2026-09-07</t>
        </is>
      </c>
      <c r="B7114" t="inlineStr">
        <is>
          <t>F266217</t>
        </is>
      </c>
      <c r="C7114" t="inlineStr">
        <is>
          <t>C10325</t>
        </is>
      </c>
      <c r="D7114" t="inlineStr">
        <is>
          <t>SKU-10130</t>
        </is>
      </c>
      <c r="E7114" t="inlineStr">
        <is>
          <t>AM01</t>
        </is>
      </c>
      <c r="F7114" s="5" t="n">
        <v>176.68</v>
      </c>
      <c r="G7114">
        <f>IF(LEFT(B7114,1)="C","Credit","Factuur")</f>
        <v/>
      </c>
      <c r="H7114">
        <f>IF(AND(B7114=B7113,D7114=D7113,A7114=A7113,F7114=F7113),1,0)</f>
        <v/>
      </c>
      <c r="I7114">
        <f>IF(C7114="C99999",1,0)</f>
        <v/>
      </c>
      <c r="J7114" s="5">
        <f>IF(OR(H7114=1,I7114=1),0,IF(G7114="Credit",-F7114,F7114))</f>
        <v/>
      </c>
    </row>
    <row r="7115">
      <c r="A7115" t="inlineStr">
        <is>
          <t>2026-09-07</t>
        </is>
      </c>
      <c r="B7115" t="inlineStr">
        <is>
          <t>F266217</t>
        </is>
      </c>
      <c r="C7115" t="inlineStr">
        <is>
          <t>C10325</t>
        </is>
      </c>
      <c r="D7115" t="inlineStr">
        <is>
          <t>SKU-10256</t>
        </is>
      </c>
      <c r="E7115" t="inlineStr">
        <is>
          <t>AM01</t>
        </is>
      </c>
      <c r="F7115" s="5" t="n">
        <v>179.75</v>
      </c>
      <c r="G7115">
        <f>IF(LEFT(B7115,1)="C","Credit","Factuur")</f>
        <v/>
      </c>
      <c r="H7115">
        <f>IF(AND(B7115=B7114,D7115=D7114,A7115=A7114,F7115=F7114),1,0)</f>
        <v/>
      </c>
      <c r="I7115">
        <f>IF(C7115="C99999",1,0)</f>
        <v/>
      </c>
      <c r="J7115" s="5">
        <f>IF(OR(H7115=1,I7115=1),0,IF(G7115="Credit",-F7115,F7115))</f>
        <v/>
      </c>
    </row>
    <row r="7116">
      <c r="A7116" t="inlineStr">
        <is>
          <t>2026-09-07</t>
        </is>
      </c>
      <c r="B7116" t="inlineStr">
        <is>
          <t>F266217</t>
        </is>
      </c>
      <c r="C7116" t="inlineStr">
        <is>
          <t>C10325</t>
        </is>
      </c>
      <c r="D7116" t="inlineStr">
        <is>
          <t>SKU-10306</t>
        </is>
      </c>
      <c r="E7116" t="inlineStr">
        <is>
          <t>AM01</t>
        </is>
      </c>
      <c r="F7116" s="5" t="n">
        <v>183.76</v>
      </c>
      <c r="G7116">
        <f>IF(LEFT(B7116,1)="C","Credit","Factuur")</f>
        <v/>
      </c>
      <c r="H7116">
        <f>IF(AND(B7116=B7115,D7116=D7115,A7116=A7115,F7116=F7115),1,0)</f>
        <v/>
      </c>
      <c r="I7116">
        <f>IF(C7116="C99999",1,0)</f>
        <v/>
      </c>
      <c r="J7116" s="5">
        <f>IF(OR(H7116=1,I7116=1),0,IF(G7116="Credit",-F7116,F7116))</f>
        <v/>
      </c>
    </row>
    <row r="7117">
      <c r="A7117" t="inlineStr">
        <is>
          <t>2026-09-07</t>
        </is>
      </c>
      <c r="B7117" t="inlineStr">
        <is>
          <t>F266246</t>
        </is>
      </c>
      <c r="C7117" t="inlineStr">
        <is>
          <t>C10326</t>
        </is>
      </c>
      <c r="D7117" t="inlineStr">
        <is>
          <t>SKU-10165</t>
        </is>
      </c>
      <c r="E7117" t="inlineStr">
        <is>
          <t>AM05</t>
        </is>
      </c>
      <c r="F7117" s="5" t="n">
        <v>893.88</v>
      </c>
      <c r="G7117">
        <f>IF(LEFT(B7117,1)="C","Credit","Factuur")</f>
        <v/>
      </c>
      <c r="H7117">
        <f>IF(AND(B7117=B7116,D7117=D7116,A7117=A7116,F7117=F7116),1,0)</f>
        <v/>
      </c>
      <c r="I7117">
        <f>IF(C7117="C99999",1,0)</f>
        <v/>
      </c>
      <c r="J7117" s="5">
        <f>IF(OR(H7117=1,I7117=1),0,IF(G7117="Credit",-F7117,F7117))</f>
        <v/>
      </c>
    </row>
    <row r="7118">
      <c r="A7118" t="inlineStr">
        <is>
          <t>2026-09-07</t>
        </is>
      </c>
      <c r="B7118" t="inlineStr">
        <is>
          <t>F266246</t>
        </is>
      </c>
      <c r="C7118" t="inlineStr">
        <is>
          <t>C10326</t>
        </is>
      </c>
      <c r="D7118" t="inlineStr">
        <is>
          <t>SKU-10178</t>
        </is>
      </c>
      <c r="E7118" t="inlineStr">
        <is>
          <t>AM05</t>
        </is>
      </c>
      <c r="F7118" s="5" t="n">
        <v>885.98</v>
      </c>
      <c r="G7118">
        <f>IF(LEFT(B7118,1)="C","Credit","Factuur")</f>
        <v/>
      </c>
      <c r="H7118">
        <f>IF(AND(B7118=B7117,D7118=D7117,A7118=A7117,F7118=F7117),1,0)</f>
        <v/>
      </c>
      <c r="I7118">
        <f>IF(C7118="C99999",1,0)</f>
        <v/>
      </c>
      <c r="J7118" s="5">
        <f>IF(OR(H7118=1,I7118=1),0,IF(G7118="Credit",-F7118,F7118))</f>
        <v/>
      </c>
    </row>
    <row r="7119">
      <c r="A7119" t="inlineStr">
        <is>
          <t>2026-09-07</t>
        </is>
      </c>
      <c r="B7119" t="inlineStr">
        <is>
          <t>F266291</t>
        </is>
      </c>
      <c r="C7119" t="inlineStr">
        <is>
          <t>C10331</t>
        </is>
      </c>
      <c r="D7119" t="inlineStr">
        <is>
          <t>SKU-10049</t>
        </is>
      </c>
      <c r="E7119" t="inlineStr">
        <is>
          <t>AM06</t>
        </is>
      </c>
      <c r="F7119" s="5" t="n">
        <v>1754.28</v>
      </c>
      <c r="G7119">
        <f>IF(LEFT(B7119,1)="C","Credit","Factuur")</f>
        <v/>
      </c>
      <c r="H7119">
        <f>IF(AND(B7119=B7118,D7119=D7118,A7119=A7118,F7119=F7118),1,0)</f>
        <v/>
      </c>
      <c r="I7119">
        <f>IF(C7119="C99999",1,0)</f>
        <v/>
      </c>
      <c r="J7119" s="5">
        <f>IF(OR(H7119=1,I7119=1),0,IF(G7119="Credit",-F7119,F7119))</f>
        <v/>
      </c>
    </row>
    <row r="7120">
      <c r="A7120" t="inlineStr">
        <is>
          <t>2026-09-07</t>
        </is>
      </c>
      <c r="B7120" t="inlineStr">
        <is>
          <t>F266291</t>
        </is>
      </c>
      <c r="C7120" t="inlineStr">
        <is>
          <t>C10331</t>
        </is>
      </c>
      <c r="D7120" t="inlineStr">
        <is>
          <t>SKU-10149</t>
        </is>
      </c>
      <c r="E7120" t="inlineStr">
        <is>
          <t>AM06</t>
        </is>
      </c>
      <c r="F7120" s="5" t="n">
        <v>1814.5</v>
      </c>
      <c r="G7120">
        <f>IF(LEFT(B7120,1)="C","Credit","Factuur")</f>
        <v/>
      </c>
      <c r="H7120">
        <f>IF(AND(B7120=B7119,D7120=D7119,A7120=A7119,F7120=F7119),1,0)</f>
        <v/>
      </c>
      <c r="I7120">
        <f>IF(C7120="C99999",1,0)</f>
        <v/>
      </c>
      <c r="J7120" s="5">
        <f>IF(OR(H7120=1,I7120=1),0,IF(G7120="Credit",-F7120,F7120))</f>
        <v/>
      </c>
    </row>
    <row r="7121">
      <c r="A7121" t="inlineStr">
        <is>
          <t>2026-09-07</t>
        </is>
      </c>
      <c r="B7121" t="inlineStr">
        <is>
          <t>F266291</t>
        </is>
      </c>
      <c r="C7121" t="inlineStr">
        <is>
          <t>C10331</t>
        </is>
      </c>
      <c r="D7121" t="inlineStr">
        <is>
          <t>SKU-10168</t>
        </is>
      </c>
      <c r="E7121" t="inlineStr">
        <is>
          <t>AM06</t>
        </is>
      </c>
      <c r="F7121" s="5" t="n">
        <v>1773.78</v>
      </c>
      <c r="G7121">
        <f>IF(LEFT(B7121,1)="C","Credit","Factuur")</f>
        <v/>
      </c>
      <c r="H7121">
        <f>IF(AND(B7121=B7120,D7121=D7120,A7121=A7120,F7121=F7120),1,0)</f>
        <v/>
      </c>
      <c r="I7121">
        <f>IF(C7121="C99999",1,0)</f>
        <v/>
      </c>
      <c r="J7121" s="5">
        <f>IF(OR(H7121=1,I7121=1),0,IF(G7121="Credit",-F7121,F7121))</f>
        <v/>
      </c>
    </row>
    <row r="7122">
      <c r="A7122" t="inlineStr">
        <is>
          <t>2026-09-07</t>
        </is>
      </c>
      <c r="B7122" t="inlineStr">
        <is>
          <t>F267405</t>
        </is>
      </c>
      <c r="C7122" t="inlineStr">
        <is>
          <t>C10390</t>
        </is>
      </c>
      <c r="D7122" t="inlineStr">
        <is>
          <t>SKU-10314</t>
        </is>
      </c>
      <c r="E7122" t="inlineStr">
        <is>
          <t>AM05</t>
        </is>
      </c>
      <c r="F7122" s="5" t="n">
        <v>446.88</v>
      </c>
      <c r="G7122">
        <f>IF(LEFT(B7122,1)="C","Credit","Factuur")</f>
        <v/>
      </c>
      <c r="H7122">
        <f>IF(AND(B7122=B7121,D7122=D7121,A7122=A7121,F7122=F7121),1,0)</f>
        <v/>
      </c>
      <c r="I7122">
        <f>IF(C7122="C99999",1,0)</f>
        <v/>
      </c>
      <c r="J7122" s="5">
        <f>IF(OR(H7122=1,I7122=1),0,IF(G7122="Credit",-F7122,F7122))</f>
        <v/>
      </c>
    </row>
    <row r="7123">
      <c r="A7123" t="inlineStr">
        <is>
          <t>2026-09-07</t>
        </is>
      </c>
      <c r="B7123" t="inlineStr">
        <is>
          <t>F268352</t>
        </is>
      </c>
      <c r="C7123" t="inlineStr">
        <is>
          <t>C10436</t>
        </is>
      </c>
      <c r="D7123" t="inlineStr">
        <is>
          <t>SKU-10001</t>
        </is>
      </c>
      <c r="E7123" t="inlineStr">
        <is>
          <t>AM06</t>
        </is>
      </c>
      <c r="F7123" s="5" t="n">
        <v>192.59</v>
      </c>
      <c r="G7123">
        <f>IF(LEFT(B7123,1)="C","Credit","Factuur")</f>
        <v/>
      </c>
      <c r="H7123">
        <f>IF(AND(B7123=B7122,D7123=D7122,A7123=A7122,F7123=F7122),1,0)</f>
        <v/>
      </c>
      <c r="I7123">
        <f>IF(C7123="C99999",1,0)</f>
        <v/>
      </c>
      <c r="J7123" s="5">
        <f>IF(OR(H7123=1,I7123=1),0,IF(G7123="Credit",-F7123,F7123))</f>
        <v/>
      </c>
    </row>
    <row r="7124">
      <c r="A7124" t="inlineStr">
        <is>
          <t>2026-09-07</t>
        </is>
      </c>
      <c r="B7124" t="inlineStr">
        <is>
          <t>F268352</t>
        </is>
      </c>
      <c r="C7124" t="inlineStr">
        <is>
          <t>C10436</t>
        </is>
      </c>
      <c r="D7124" t="inlineStr">
        <is>
          <t>SKU-10027</t>
        </is>
      </c>
      <c r="E7124" t="inlineStr">
        <is>
          <t>AM06</t>
        </is>
      </c>
      <c r="F7124" s="5" t="n">
        <v>210.29</v>
      </c>
      <c r="G7124">
        <f>IF(LEFT(B7124,1)="C","Credit","Factuur")</f>
        <v/>
      </c>
      <c r="H7124">
        <f>IF(AND(B7124=B7123,D7124=D7123,A7124=A7123,F7124=F7123),1,0)</f>
        <v/>
      </c>
      <c r="I7124">
        <f>IF(C7124="C99999",1,0)</f>
        <v/>
      </c>
      <c r="J7124" s="5">
        <f>IF(OR(H7124=1,I7124=1),0,IF(G7124="Credit",-F7124,F7124))</f>
        <v/>
      </c>
    </row>
    <row r="7125">
      <c r="A7125" t="inlineStr">
        <is>
          <t>2026-09-07</t>
        </is>
      </c>
      <c r="B7125" t="inlineStr">
        <is>
          <t>F268352</t>
        </is>
      </c>
      <c r="C7125" t="inlineStr">
        <is>
          <t>C10436</t>
        </is>
      </c>
      <c r="D7125" t="inlineStr">
        <is>
          <t>SKU-10066</t>
        </is>
      </c>
      <c r="E7125" t="inlineStr">
        <is>
          <t>AM06</t>
        </is>
      </c>
      <c r="F7125" s="5" t="n">
        <v>203.04</v>
      </c>
      <c r="G7125">
        <f>IF(LEFT(B7125,1)="C","Credit","Factuur")</f>
        <v/>
      </c>
      <c r="H7125">
        <f>IF(AND(B7125=B7124,D7125=D7124,A7125=A7124,F7125=F7124),1,0)</f>
        <v/>
      </c>
      <c r="I7125">
        <f>IF(C7125="C99999",1,0)</f>
        <v/>
      </c>
      <c r="J7125" s="5">
        <f>IF(OR(H7125=1,I7125=1),0,IF(G7125="Credit",-F7125,F7125))</f>
        <v/>
      </c>
    </row>
    <row r="7126">
      <c r="A7126" t="inlineStr">
        <is>
          <t>2026-09-07</t>
        </is>
      </c>
      <c r="B7126" t="inlineStr">
        <is>
          <t>F268352</t>
        </is>
      </c>
      <c r="C7126" t="inlineStr">
        <is>
          <t>C10436</t>
        </is>
      </c>
      <c r="D7126" t="inlineStr">
        <is>
          <t>SKU-10151</t>
        </is>
      </c>
      <c r="E7126" t="inlineStr">
        <is>
          <t>AM06</t>
        </is>
      </c>
      <c r="F7126" s="5" t="n">
        <v>217.45</v>
      </c>
      <c r="G7126">
        <f>IF(LEFT(B7126,1)="C","Credit","Factuur")</f>
        <v/>
      </c>
      <c r="H7126">
        <f>IF(AND(B7126=B7125,D7126=D7125,A7126=A7125,F7126=F7125),1,0)</f>
        <v/>
      </c>
      <c r="I7126">
        <f>IF(C7126="C99999",1,0)</f>
        <v/>
      </c>
      <c r="J7126" s="5">
        <f>IF(OR(H7126=1,I7126=1),0,IF(G7126="Credit",-F7126,F7126))</f>
        <v/>
      </c>
    </row>
    <row r="7127">
      <c r="A7127" t="inlineStr">
        <is>
          <t>2026-09-07</t>
        </is>
      </c>
      <c r="B7127" t="inlineStr">
        <is>
          <t>F268352</t>
        </is>
      </c>
      <c r="C7127" t="inlineStr">
        <is>
          <t>C10436</t>
        </is>
      </c>
      <c r="D7127" t="inlineStr">
        <is>
          <t>SKU-10182</t>
        </is>
      </c>
      <c r="E7127" t="inlineStr">
        <is>
          <t>AM06</t>
        </is>
      </c>
      <c r="F7127" s="5" t="n">
        <v>191.14</v>
      </c>
      <c r="G7127">
        <f>IF(LEFT(B7127,1)="C","Credit","Factuur")</f>
        <v/>
      </c>
      <c r="H7127">
        <f>IF(AND(B7127=B7126,D7127=D7126,A7127=A7126,F7127=F7126),1,0)</f>
        <v/>
      </c>
      <c r="I7127">
        <f>IF(C7127="C99999",1,0)</f>
        <v/>
      </c>
      <c r="J7127" s="5">
        <f>IF(OR(H7127=1,I7127=1),0,IF(G7127="Credit",-F7127,F7127))</f>
        <v/>
      </c>
    </row>
    <row r="7128">
      <c r="A7128" t="inlineStr">
        <is>
          <t>2026-09-07</t>
        </is>
      </c>
      <c r="B7128" t="inlineStr">
        <is>
          <t>F268352</t>
        </is>
      </c>
      <c r="C7128" t="inlineStr">
        <is>
          <t>C10436</t>
        </is>
      </c>
      <c r="D7128" t="inlineStr">
        <is>
          <t>SKU-10283</t>
        </is>
      </c>
      <c r="E7128" t="inlineStr">
        <is>
          <t>AM06</t>
        </is>
      </c>
      <c r="F7128" s="5" t="n">
        <v>193.86</v>
      </c>
      <c r="G7128">
        <f>IF(LEFT(B7128,1)="C","Credit","Factuur")</f>
        <v/>
      </c>
      <c r="H7128">
        <f>IF(AND(B7128=B7127,D7128=D7127,A7128=A7127,F7128=F7127),1,0)</f>
        <v/>
      </c>
      <c r="I7128">
        <f>IF(C7128="C99999",1,0)</f>
        <v/>
      </c>
      <c r="J7128" s="5">
        <f>IF(OR(H7128=1,I7128=1),0,IF(G7128="Credit",-F7128,F7128))</f>
        <v/>
      </c>
    </row>
    <row r="7129">
      <c r="A7129" t="inlineStr">
        <is>
          <t>2026-09-07</t>
        </is>
      </c>
      <c r="B7129" t="inlineStr">
        <is>
          <t>F269221</t>
        </is>
      </c>
      <c r="C7129" t="inlineStr">
        <is>
          <t>C10485</t>
        </is>
      </c>
      <c r="D7129" t="inlineStr">
        <is>
          <t>SKU-10164</t>
        </is>
      </c>
      <c r="E7129" t="inlineStr">
        <is>
          <t>AM01</t>
        </is>
      </c>
      <c r="F7129" s="5" t="n">
        <v>147.66</v>
      </c>
      <c r="G7129">
        <f>IF(LEFT(B7129,1)="C","Credit","Factuur")</f>
        <v/>
      </c>
      <c r="H7129">
        <f>IF(AND(B7129=B7128,D7129=D7128,A7129=A7128,F7129=F7128),1,0)</f>
        <v/>
      </c>
      <c r="I7129">
        <f>IF(C7129="C99999",1,0)</f>
        <v/>
      </c>
      <c r="J7129" s="5">
        <f>IF(OR(H7129=1,I7129=1),0,IF(G7129="Credit",-F7129,F7129))</f>
        <v/>
      </c>
    </row>
    <row r="7130">
      <c r="A7130" t="inlineStr">
        <is>
          <t>2026-09-07</t>
        </is>
      </c>
      <c r="B7130" t="inlineStr">
        <is>
          <t>F269221</t>
        </is>
      </c>
      <c r="C7130" t="inlineStr">
        <is>
          <t>C10485</t>
        </is>
      </c>
      <c r="D7130" t="inlineStr">
        <is>
          <t>SKU-10195</t>
        </is>
      </c>
      <c r="E7130" t="inlineStr">
        <is>
          <t>AM01</t>
        </is>
      </c>
      <c r="F7130" s="5" t="n">
        <v>140.1</v>
      </c>
      <c r="G7130">
        <f>IF(LEFT(B7130,1)="C","Credit","Factuur")</f>
        <v/>
      </c>
      <c r="H7130">
        <f>IF(AND(B7130=B7129,D7130=D7129,A7130=A7129,F7130=F7129),1,0)</f>
        <v/>
      </c>
      <c r="I7130">
        <f>IF(C7130="C99999",1,0)</f>
        <v/>
      </c>
      <c r="J7130" s="5">
        <f>IF(OR(H7130=1,I7130=1),0,IF(G7130="Credit",-F7130,F7130))</f>
        <v/>
      </c>
    </row>
    <row r="7131">
      <c r="A7131" t="inlineStr">
        <is>
          <t>2026-09-07</t>
        </is>
      </c>
      <c r="B7131" t="inlineStr">
        <is>
          <t>F269221</t>
        </is>
      </c>
      <c r="C7131" t="inlineStr">
        <is>
          <t>C10485</t>
        </is>
      </c>
      <c r="D7131" t="inlineStr">
        <is>
          <t>SKU-10267</t>
        </is>
      </c>
      <c r="E7131" t="inlineStr">
        <is>
          <t>AM01</t>
        </is>
      </c>
      <c r="F7131" s="5" t="n">
        <v>147.43</v>
      </c>
      <c r="G7131">
        <f>IF(LEFT(B7131,1)="C","Credit","Factuur")</f>
        <v/>
      </c>
      <c r="H7131">
        <f>IF(AND(B7131=B7130,D7131=D7130,A7131=A7130,F7131=F7130),1,0)</f>
        <v/>
      </c>
      <c r="I7131">
        <f>IF(C7131="C99999",1,0)</f>
        <v/>
      </c>
      <c r="J7131" s="5">
        <f>IF(OR(H7131=1,I7131=1),0,IF(G7131="Credit",-F7131,F7131))</f>
        <v/>
      </c>
    </row>
    <row r="7132">
      <c r="A7132" t="inlineStr">
        <is>
          <t>2026-09-07</t>
        </is>
      </c>
      <c r="B7132" t="inlineStr">
        <is>
          <t>F269221</t>
        </is>
      </c>
      <c r="C7132" t="inlineStr">
        <is>
          <t>C10485</t>
        </is>
      </c>
      <c r="D7132" t="inlineStr">
        <is>
          <t>SKU-10318</t>
        </is>
      </c>
      <c r="E7132" t="inlineStr">
        <is>
          <t>AM01</t>
        </is>
      </c>
      <c r="F7132" s="5" t="n">
        <v>142.45</v>
      </c>
      <c r="G7132">
        <f>IF(LEFT(B7132,1)="C","Credit","Factuur")</f>
        <v/>
      </c>
      <c r="H7132">
        <f>IF(AND(B7132=B7131,D7132=D7131,A7132=A7131,F7132=F7131),1,0)</f>
        <v/>
      </c>
      <c r="I7132">
        <f>IF(C7132="C99999",1,0)</f>
        <v/>
      </c>
      <c r="J7132" s="5">
        <f>IF(OR(H7132=1,I7132=1),0,IF(G7132="Credit",-F7132,F7132))</f>
        <v/>
      </c>
    </row>
    <row r="7133">
      <c r="A7133" t="inlineStr">
        <is>
          <t>2026-09-07</t>
        </is>
      </c>
      <c r="B7133" t="inlineStr">
        <is>
          <t>F269221</t>
        </is>
      </c>
      <c r="C7133" t="inlineStr">
        <is>
          <t>C10485</t>
        </is>
      </c>
      <c r="D7133" t="inlineStr">
        <is>
          <t>SKU-10333</t>
        </is>
      </c>
      <c r="E7133" t="inlineStr">
        <is>
          <t>AM01</t>
        </is>
      </c>
      <c r="F7133" s="5" t="n">
        <v>152.46</v>
      </c>
      <c r="G7133">
        <f>IF(LEFT(B7133,1)="C","Credit","Factuur")</f>
        <v/>
      </c>
      <c r="H7133">
        <f>IF(AND(B7133=B7132,D7133=D7132,A7133=A7132,F7133=F7132),1,0)</f>
        <v/>
      </c>
      <c r="I7133">
        <f>IF(C7133="C99999",1,0)</f>
        <v/>
      </c>
      <c r="J7133" s="5">
        <f>IF(OR(H7133=1,I7133=1),0,IF(G7133="Credit",-F7133,F7133))</f>
        <v/>
      </c>
    </row>
    <row r="7134">
      <c r="A7134" t="inlineStr">
        <is>
          <t>2026-09-07</t>
        </is>
      </c>
      <c r="B7134" t="inlineStr">
        <is>
          <t>F269323</t>
        </is>
      </c>
      <c r="C7134" t="inlineStr">
        <is>
          <t>C10490</t>
        </is>
      </c>
      <c r="D7134" t="inlineStr">
        <is>
          <t>SKU-10166</t>
        </is>
      </c>
      <c r="E7134" t="inlineStr">
        <is>
          <t>AM02</t>
        </is>
      </c>
      <c r="F7134" s="5" t="n">
        <v>994.7</v>
      </c>
      <c r="G7134">
        <f>IF(LEFT(B7134,1)="C","Credit","Factuur")</f>
        <v/>
      </c>
      <c r="H7134">
        <f>IF(AND(B7134=B7133,D7134=D7133,A7134=A7133,F7134=F7133),1,0)</f>
        <v/>
      </c>
      <c r="I7134">
        <f>IF(C7134="C99999",1,0)</f>
        <v/>
      </c>
      <c r="J7134" s="5">
        <f>IF(OR(H7134=1,I7134=1),0,IF(G7134="Credit",-F7134,F7134))</f>
        <v/>
      </c>
    </row>
    <row r="7135">
      <c r="A7135" t="inlineStr">
        <is>
          <t>2026-09-07</t>
        </is>
      </c>
      <c r="B7135" t="inlineStr">
        <is>
          <t>F269323</t>
        </is>
      </c>
      <c r="C7135" t="inlineStr">
        <is>
          <t>C10490</t>
        </is>
      </c>
      <c r="D7135" t="inlineStr">
        <is>
          <t>SKU-10171</t>
        </is>
      </c>
      <c r="E7135" t="inlineStr">
        <is>
          <t>AM02</t>
        </is>
      </c>
      <c r="F7135" s="5" t="n">
        <v>1045.91</v>
      </c>
      <c r="G7135">
        <f>IF(LEFT(B7135,1)="C","Credit","Factuur")</f>
        <v/>
      </c>
      <c r="H7135">
        <f>IF(AND(B7135=B7134,D7135=D7134,A7135=A7134,F7135=F7134),1,0)</f>
        <v/>
      </c>
      <c r="I7135">
        <f>IF(C7135="C99999",1,0)</f>
        <v/>
      </c>
      <c r="J7135" s="5">
        <f>IF(OR(H7135=1,I7135=1),0,IF(G7135="Credit",-F7135,F7135))</f>
        <v/>
      </c>
    </row>
    <row r="7136">
      <c r="A7136" t="inlineStr">
        <is>
          <t>2026-09-07</t>
        </is>
      </c>
      <c r="B7136" t="inlineStr">
        <is>
          <t>F269330</t>
        </is>
      </c>
      <c r="C7136" t="inlineStr">
        <is>
          <t>C10490</t>
        </is>
      </c>
      <c r="D7136" t="inlineStr">
        <is>
          <t>SKU-10003</t>
        </is>
      </c>
      <c r="E7136" t="inlineStr">
        <is>
          <t>AM02</t>
        </is>
      </c>
      <c r="F7136" s="5" t="n">
        <v>633.65</v>
      </c>
      <c r="G7136">
        <f>IF(LEFT(B7136,1)="C","Credit","Factuur")</f>
        <v/>
      </c>
      <c r="H7136">
        <f>IF(AND(B7136=B7135,D7136=D7135,A7136=A7135,F7136=F7135),1,0)</f>
        <v/>
      </c>
      <c r="I7136">
        <f>IF(C7136="C99999",1,0)</f>
        <v/>
      </c>
      <c r="J7136" s="5">
        <f>IF(OR(H7136=1,I7136=1),0,IF(G7136="Credit",-F7136,F7136))</f>
        <v/>
      </c>
    </row>
    <row r="7137">
      <c r="A7137" t="inlineStr">
        <is>
          <t>2026-09-07</t>
        </is>
      </c>
      <c r="B7137" t="inlineStr">
        <is>
          <t>F269330</t>
        </is>
      </c>
      <c r="C7137" t="inlineStr">
        <is>
          <t>C10490</t>
        </is>
      </c>
      <c r="D7137" t="inlineStr">
        <is>
          <t>SKU-10121</t>
        </is>
      </c>
      <c r="E7137" t="inlineStr">
        <is>
          <t>AM02</t>
        </is>
      </c>
      <c r="F7137" s="5" t="n">
        <v>649.3</v>
      </c>
      <c r="G7137">
        <f>IF(LEFT(B7137,1)="C","Credit","Factuur")</f>
        <v/>
      </c>
      <c r="H7137">
        <f>IF(AND(B7137=B7136,D7137=D7136,A7137=A7136,F7137=F7136),1,0)</f>
        <v/>
      </c>
      <c r="I7137">
        <f>IF(C7137="C99999",1,0)</f>
        <v/>
      </c>
      <c r="J7137" s="5">
        <f>IF(OR(H7137=1,I7137=1),0,IF(G7137="Credit",-F7137,F7137))</f>
        <v/>
      </c>
    </row>
    <row r="7138">
      <c r="A7138" t="inlineStr">
        <is>
          <t>2026-09-07</t>
        </is>
      </c>
      <c r="B7138" t="inlineStr">
        <is>
          <t>F269330</t>
        </is>
      </c>
      <c r="C7138" t="inlineStr">
        <is>
          <t>C10490</t>
        </is>
      </c>
      <c r="D7138" t="inlineStr">
        <is>
          <t>SKU-10267</t>
        </is>
      </c>
      <c r="E7138" t="inlineStr">
        <is>
          <t>AM02</t>
        </is>
      </c>
      <c r="F7138" s="5" t="n">
        <v>642.9299999999999</v>
      </c>
      <c r="G7138">
        <f>IF(LEFT(B7138,1)="C","Credit","Factuur")</f>
        <v/>
      </c>
      <c r="H7138">
        <f>IF(AND(B7138=B7137,D7138=D7137,A7138=A7137,F7138=F7137),1,0)</f>
        <v/>
      </c>
      <c r="I7138">
        <f>IF(C7138="C99999",1,0)</f>
        <v/>
      </c>
      <c r="J7138" s="5">
        <f>IF(OR(H7138=1,I7138=1),0,IF(G7138="Credit",-F7138,F7138))</f>
        <v/>
      </c>
    </row>
    <row r="7139">
      <c r="A7139" t="inlineStr">
        <is>
          <t>2026-09-07</t>
        </is>
      </c>
      <c r="B7139" t="inlineStr">
        <is>
          <t>F269330</t>
        </is>
      </c>
      <c r="C7139" t="inlineStr">
        <is>
          <t>C10490</t>
        </is>
      </c>
      <c r="D7139" t="inlineStr">
        <is>
          <t>SKU-10279</t>
        </is>
      </c>
      <c r="E7139" t="inlineStr">
        <is>
          <t>AM02</t>
        </is>
      </c>
      <c r="F7139" s="5" t="n">
        <v>630.04</v>
      </c>
      <c r="G7139">
        <f>IF(LEFT(B7139,1)="C","Credit","Factuur")</f>
        <v/>
      </c>
      <c r="H7139">
        <f>IF(AND(B7139=B7138,D7139=D7138,A7139=A7138,F7139=F7138),1,0)</f>
        <v/>
      </c>
      <c r="I7139">
        <f>IF(C7139="C99999",1,0)</f>
        <v/>
      </c>
      <c r="J7139" s="5">
        <f>IF(OR(H7139=1,I7139=1),0,IF(G7139="Credit",-F7139,F7139))</f>
        <v/>
      </c>
    </row>
    <row r="7140">
      <c r="A7140" t="inlineStr">
        <is>
          <t>2026-09-07</t>
        </is>
      </c>
      <c r="B7140" t="inlineStr">
        <is>
          <t>F269929</t>
        </is>
      </c>
      <c r="C7140" t="inlineStr">
        <is>
          <t>C10523</t>
        </is>
      </c>
      <c r="D7140" t="inlineStr">
        <is>
          <t>SKU-10029</t>
        </is>
      </c>
      <c r="E7140" t="inlineStr">
        <is>
          <t>AM02</t>
        </is>
      </c>
      <c r="F7140" s="5" t="n">
        <v>494.71</v>
      </c>
      <c r="G7140">
        <f>IF(LEFT(B7140,1)="C","Credit","Factuur")</f>
        <v/>
      </c>
      <c r="H7140">
        <f>IF(AND(B7140=B7139,D7140=D7139,A7140=A7139,F7140=F7139),1,0)</f>
        <v/>
      </c>
      <c r="I7140">
        <f>IF(C7140="C99999",1,0)</f>
        <v/>
      </c>
      <c r="J7140" s="5">
        <f>IF(OR(H7140=1,I7140=1),0,IF(G7140="Credit",-F7140,F7140))</f>
        <v/>
      </c>
    </row>
    <row r="7141">
      <c r="A7141" t="inlineStr">
        <is>
          <t>2026-09-07</t>
        </is>
      </c>
      <c r="B7141" t="inlineStr">
        <is>
          <t>F269929</t>
        </is>
      </c>
      <c r="C7141" t="inlineStr">
        <is>
          <t>C10523</t>
        </is>
      </c>
      <c r="D7141" t="inlineStr">
        <is>
          <t>SKU-10201</t>
        </is>
      </c>
      <c r="E7141" t="inlineStr">
        <is>
          <t>AM02</t>
        </is>
      </c>
      <c r="F7141" s="5" t="n">
        <v>475.52</v>
      </c>
      <c r="G7141">
        <f>IF(LEFT(B7141,1)="C","Credit","Factuur")</f>
        <v/>
      </c>
      <c r="H7141">
        <f>IF(AND(B7141=B7140,D7141=D7140,A7141=A7140,F7141=F7140),1,0)</f>
        <v/>
      </c>
      <c r="I7141">
        <f>IF(C7141="C99999",1,0)</f>
        <v/>
      </c>
      <c r="J7141" s="5">
        <f>IF(OR(H7141=1,I7141=1),0,IF(G7141="Credit",-F7141,F7141))</f>
        <v/>
      </c>
    </row>
    <row r="7142">
      <c r="A7142" t="inlineStr">
        <is>
          <t>2026-09-07</t>
        </is>
      </c>
      <c r="B7142" t="inlineStr">
        <is>
          <t>F269929</t>
        </is>
      </c>
      <c r="C7142" t="inlineStr">
        <is>
          <t>C10523</t>
        </is>
      </c>
      <c r="D7142" t="inlineStr">
        <is>
          <t>SKU-10252</t>
        </is>
      </c>
      <c r="E7142" t="inlineStr">
        <is>
          <t>AM02</t>
        </is>
      </c>
      <c r="F7142" s="5" t="n">
        <v>572.4</v>
      </c>
      <c r="G7142">
        <f>IF(LEFT(B7142,1)="C","Credit","Factuur")</f>
        <v/>
      </c>
      <c r="H7142">
        <f>IF(AND(B7142=B7141,D7142=D7141,A7142=A7141,F7142=F7141),1,0)</f>
        <v/>
      </c>
      <c r="I7142">
        <f>IF(C7142="C99999",1,0)</f>
        <v/>
      </c>
      <c r="J7142" s="5">
        <f>IF(OR(H7142=1,I7142=1),0,IF(G7142="Credit",-F7142,F7142))</f>
        <v/>
      </c>
    </row>
    <row r="7143">
      <c r="A7143" t="inlineStr">
        <is>
          <t>2026-09-07</t>
        </is>
      </c>
      <c r="B7143" t="inlineStr">
        <is>
          <t>F270979</t>
        </is>
      </c>
      <c r="C7143" t="inlineStr">
        <is>
          <t>C10573</t>
        </is>
      </c>
      <c r="D7143" t="inlineStr">
        <is>
          <t>SKU-10126</t>
        </is>
      </c>
      <c r="E7143" t="inlineStr">
        <is>
          <t>AM08</t>
        </is>
      </c>
      <c r="F7143" s="5" t="n">
        <v>1416.42</v>
      </c>
      <c r="G7143">
        <f>IF(LEFT(B7143,1)="C","Credit","Factuur")</f>
        <v/>
      </c>
      <c r="H7143">
        <f>IF(AND(B7143=B7142,D7143=D7142,A7143=A7142,F7143=F7142),1,0)</f>
        <v/>
      </c>
      <c r="I7143">
        <f>IF(C7143="C99999",1,0)</f>
        <v/>
      </c>
      <c r="J7143" s="5">
        <f>IF(OR(H7143=1,I7143=1),0,IF(G7143="Credit",-F7143,F7143))</f>
        <v/>
      </c>
    </row>
    <row r="7144">
      <c r="A7144" t="inlineStr">
        <is>
          <t>2026-09-07</t>
        </is>
      </c>
      <c r="B7144" t="inlineStr">
        <is>
          <t>F271460</t>
        </is>
      </c>
      <c r="C7144" t="inlineStr">
        <is>
          <t>C10592</t>
        </is>
      </c>
      <c r="D7144" t="inlineStr">
        <is>
          <t>SKU-10012</t>
        </is>
      </c>
      <c r="E7144" t="inlineStr">
        <is>
          <t>AM07</t>
        </is>
      </c>
      <c r="F7144" s="5" t="n">
        <v>893.48</v>
      </c>
      <c r="G7144">
        <f>IF(LEFT(B7144,1)="C","Credit","Factuur")</f>
        <v/>
      </c>
      <c r="H7144">
        <f>IF(AND(B7144=B7143,D7144=D7143,A7144=A7143,F7144=F7143),1,0)</f>
        <v/>
      </c>
      <c r="I7144">
        <f>IF(C7144="C99999",1,0)</f>
        <v/>
      </c>
      <c r="J7144" s="5">
        <f>IF(OR(H7144=1,I7144=1),0,IF(G7144="Credit",-F7144,F7144))</f>
        <v/>
      </c>
    </row>
    <row r="7145">
      <c r="A7145" t="inlineStr">
        <is>
          <t>2026-09-07</t>
        </is>
      </c>
      <c r="B7145" t="inlineStr">
        <is>
          <t>F271460</t>
        </is>
      </c>
      <c r="C7145" t="inlineStr">
        <is>
          <t>C10592</t>
        </is>
      </c>
      <c r="D7145" t="inlineStr">
        <is>
          <t>SKU-10116</t>
        </is>
      </c>
      <c r="E7145" t="inlineStr">
        <is>
          <t>AM07</t>
        </is>
      </c>
      <c r="F7145" s="5" t="n">
        <v>911.4</v>
      </c>
      <c r="G7145">
        <f>IF(LEFT(B7145,1)="C","Credit","Factuur")</f>
        <v/>
      </c>
      <c r="H7145">
        <f>IF(AND(B7145=B7144,D7145=D7144,A7145=A7144,F7145=F7144),1,0)</f>
        <v/>
      </c>
      <c r="I7145">
        <f>IF(C7145="C99999",1,0)</f>
        <v/>
      </c>
      <c r="J7145" s="5">
        <f>IF(OR(H7145=1,I7145=1),0,IF(G7145="Credit",-F7145,F7145))</f>
        <v/>
      </c>
    </row>
    <row r="7146">
      <c r="A7146" t="inlineStr">
        <is>
          <t>2026-09-07</t>
        </is>
      </c>
      <c r="B7146" t="inlineStr">
        <is>
          <t>F271460</t>
        </is>
      </c>
      <c r="C7146" t="inlineStr">
        <is>
          <t>C10592</t>
        </is>
      </c>
      <c r="D7146" t="inlineStr">
        <is>
          <t>SKU-10192</t>
        </is>
      </c>
      <c r="E7146" t="inlineStr">
        <is>
          <t>AM07</t>
        </is>
      </c>
      <c r="F7146" s="5" t="n">
        <v>877.92</v>
      </c>
      <c r="G7146">
        <f>IF(LEFT(B7146,1)="C","Credit","Factuur")</f>
        <v/>
      </c>
      <c r="H7146">
        <f>IF(AND(B7146=B7145,D7146=D7145,A7146=A7145,F7146=F7145),1,0)</f>
        <v/>
      </c>
      <c r="I7146">
        <f>IF(C7146="C99999",1,0)</f>
        <v/>
      </c>
      <c r="J7146" s="5">
        <f>IF(OR(H7146=1,I7146=1),0,IF(G7146="Credit",-F7146,F7146))</f>
        <v/>
      </c>
    </row>
    <row r="7147">
      <c r="A7147" t="inlineStr">
        <is>
          <t>2026-09-07</t>
        </is>
      </c>
      <c r="B7147" t="inlineStr">
        <is>
          <t>F271460</t>
        </is>
      </c>
      <c r="C7147" t="inlineStr">
        <is>
          <t>C10592</t>
        </is>
      </c>
      <c r="D7147" t="inlineStr">
        <is>
          <t>SKU-10217</t>
        </is>
      </c>
      <c r="E7147" t="inlineStr">
        <is>
          <t>AM07</t>
        </is>
      </c>
      <c r="F7147" s="5" t="n">
        <v>883.74</v>
      </c>
      <c r="G7147">
        <f>IF(LEFT(B7147,1)="C","Credit","Factuur")</f>
        <v/>
      </c>
      <c r="H7147">
        <f>IF(AND(B7147=B7146,D7147=D7146,A7147=A7146,F7147=F7146),1,0)</f>
        <v/>
      </c>
      <c r="I7147">
        <f>IF(C7147="C99999",1,0)</f>
        <v/>
      </c>
      <c r="J7147" s="5">
        <f>IF(OR(H7147=1,I7147=1),0,IF(G7147="Credit",-F7147,F7147))</f>
        <v/>
      </c>
    </row>
    <row r="7148">
      <c r="A7148" t="inlineStr">
        <is>
          <t>2026-09-07</t>
        </is>
      </c>
      <c r="B7148" t="inlineStr">
        <is>
          <t>F271460</t>
        </is>
      </c>
      <c r="C7148" t="inlineStr">
        <is>
          <t>C10592</t>
        </is>
      </c>
      <c r="D7148" t="inlineStr">
        <is>
          <t>SKU-10312</t>
        </is>
      </c>
      <c r="E7148" t="inlineStr">
        <is>
          <t>AM07</t>
        </is>
      </c>
      <c r="F7148" s="5" t="n">
        <v>894.4</v>
      </c>
      <c r="G7148">
        <f>IF(LEFT(B7148,1)="C","Credit","Factuur")</f>
        <v/>
      </c>
      <c r="H7148">
        <f>IF(AND(B7148=B7147,D7148=D7147,A7148=A7147,F7148=F7147),1,0)</f>
        <v/>
      </c>
      <c r="I7148">
        <f>IF(C7148="C99999",1,0)</f>
        <v/>
      </c>
      <c r="J7148" s="5">
        <f>IF(OR(H7148=1,I7148=1),0,IF(G7148="Credit",-F7148,F7148))</f>
        <v/>
      </c>
    </row>
    <row r="7149">
      <c r="A7149" t="inlineStr">
        <is>
          <t>2026-09-07</t>
        </is>
      </c>
      <c r="B7149" t="inlineStr">
        <is>
          <t>F271460</t>
        </is>
      </c>
      <c r="C7149" t="inlineStr">
        <is>
          <t>C10592</t>
        </is>
      </c>
      <c r="D7149" t="inlineStr">
        <is>
          <t>SKU-10329</t>
        </is>
      </c>
      <c r="E7149" t="inlineStr">
        <is>
          <t>AM07</t>
        </is>
      </c>
      <c r="F7149" s="5" t="n">
        <v>883.6799999999999</v>
      </c>
      <c r="G7149">
        <f>IF(LEFT(B7149,1)="C","Credit","Factuur")</f>
        <v/>
      </c>
      <c r="H7149">
        <f>IF(AND(B7149=B7148,D7149=D7148,A7149=A7148,F7149=F7148),1,0)</f>
        <v/>
      </c>
      <c r="I7149">
        <f>IF(C7149="C99999",1,0)</f>
        <v/>
      </c>
      <c r="J7149" s="5">
        <f>IF(OR(H7149=1,I7149=1),0,IF(G7149="Credit",-F7149,F7149))</f>
        <v/>
      </c>
    </row>
    <row r="7150">
      <c r="A7150" t="inlineStr">
        <is>
          <t>2026-09-07</t>
        </is>
      </c>
      <c r="B7150" t="inlineStr">
        <is>
          <t>F271516</t>
        </is>
      </c>
      <c r="C7150" t="inlineStr">
        <is>
          <t>C10595</t>
        </is>
      </c>
      <c r="D7150" t="inlineStr">
        <is>
          <t>SKU-10039</t>
        </is>
      </c>
      <c r="E7150" t="inlineStr">
        <is>
          <t>AM01</t>
        </is>
      </c>
      <c r="F7150" s="5" t="n">
        <v>162.15</v>
      </c>
      <c r="G7150">
        <f>IF(LEFT(B7150,1)="C","Credit","Factuur")</f>
        <v/>
      </c>
      <c r="H7150">
        <f>IF(AND(B7150=B7149,D7150=D7149,A7150=A7149,F7150=F7149),1,0)</f>
        <v/>
      </c>
      <c r="I7150">
        <f>IF(C7150="C99999",1,0)</f>
        <v/>
      </c>
      <c r="J7150" s="5">
        <f>IF(OR(H7150=1,I7150=1),0,IF(G7150="Credit",-F7150,F7150))</f>
        <v/>
      </c>
    </row>
    <row r="7151">
      <c r="A7151" t="inlineStr">
        <is>
          <t>2026-09-07</t>
        </is>
      </c>
      <c r="B7151" t="inlineStr">
        <is>
          <t>F271516</t>
        </is>
      </c>
      <c r="C7151" t="inlineStr">
        <is>
          <t>C10595</t>
        </is>
      </c>
      <c r="D7151" t="inlineStr">
        <is>
          <t>SKU-10080</t>
        </is>
      </c>
      <c r="E7151" t="inlineStr">
        <is>
          <t>AM01</t>
        </is>
      </c>
      <c r="F7151" s="5" t="n">
        <v>177.12</v>
      </c>
      <c r="G7151">
        <f>IF(LEFT(B7151,1)="C","Credit","Factuur")</f>
        <v/>
      </c>
      <c r="H7151">
        <f>IF(AND(B7151=B7150,D7151=D7150,A7151=A7150,F7151=F7150),1,0)</f>
        <v/>
      </c>
      <c r="I7151">
        <f>IF(C7151="C99999",1,0)</f>
        <v/>
      </c>
      <c r="J7151" s="5">
        <f>IF(OR(H7151=1,I7151=1),0,IF(G7151="Credit",-F7151,F7151))</f>
        <v/>
      </c>
    </row>
    <row r="7152">
      <c r="A7152" t="inlineStr">
        <is>
          <t>2026-09-07</t>
        </is>
      </c>
      <c r="B7152" t="inlineStr">
        <is>
          <t>F271516</t>
        </is>
      </c>
      <c r="C7152" t="inlineStr">
        <is>
          <t>C10595</t>
        </is>
      </c>
      <c r="D7152" t="inlineStr">
        <is>
          <t>SKU-10104</t>
        </is>
      </c>
      <c r="E7152" t="inlineStr">
        <is>
          <t>AM01</t>
        </is>
      </c>
      <c r="F7152" s="5" t="n">
        <v>182.28</v>
      </c>
      <c r="G7152">
        <f>IF(LEFT(B7152,1)="C","Credit","Factuur")</f>
        <v/>
      </c>
      <c r="H7152">
        <f>IF(AND(B7152=B7151,D7152=D7151,A7152=A7151,F7152=F7151),1,0)</f>
        <v/>
      </c>
      <c r="I7152">
        <f>IF(C7152="C99999",1,0)</f>
        <v/>
      </c>
      <c r="J7152" s="5">
        <f>IF(OR(H7152=1,I7152=1),0,IF(G7152="Credit",-F7152,F7152))</f>
        <v/>
      </c>
    </row>
    <row r="7153">
      <c r="A7153" t="inlineStr">
        <is>
          <t>2026-09-07</t>
        </is>
      </c>
      <c r="B7153" t="inlineStr">
        <is>
          <t>F271516</t>
        </is>
      </c>
      <c r="C7153" t="inlineStr">
        <is>
          <t>C10595</t>
        </is>
      </c>
      <c r="D7153" t="inlineStr">
        <is>
          <t>SKU-10167</t>
        </is>
      </c>
      <c r="E7153" t="inlineStr">
        <is>
          <t>AM01</t>
        </is>
      </c>
      <c r="F7153" s="5" t="n">
        <v>165.66</v>
      </c>
      <c r="G7153">
        <f>IF(LEFT(B7153,1)="C","Credit","Factuur")</f>
        <v/>
      </c>
      <c r="H7153">
        <f>IF(AND(B7153=B7152,D7153=D7152,A7153=A7152,F7153=F7152),1,0)</f>
        <v/>
      </c>
      <c r="I7153">
        <f>IF(C7153="C99999",1,0)</f>
        <v/>
      </c>
      <c r="J7153" s="5">
        <f>IF(OR(H7153=1,I7153=1),0,IF(G7153="Credit",-F7153,F7153))</f>
        <v/>
      </c>
    </row>
    <row r="7154">
      <c r="A7154" t="inlineStr">
        <is>
          <t>2026-09-07</t>
        </is>
      </c>
      <c r="B7154" t="inlineStr">
        <is>
          <t>F271516</t>
        </is>
      </c>
      <c r="C7154" t="inlineStr">
        <is>
          <t>C10595</t>
        </is>
      </c>
      <c r="D7154" t="inlineStr">
        <is>
          <t>SKU-10223</t>
        </is>
      </c>
      <c r="E7154" t="inlineStr">
        <is>
          <t>AM01</t>
        </is>
      </c>
      <c r="F7154" s="5" t="n">
        <v>182.16</v>
      </c>
      <c r="G7154">
        <f>IF(LEFT(B7154,1)="C","Credit","Factuur")</f>
        <v/>
      </c>
      <c r="H7154">
        <f>IF(AND(B7154=B7153,D7154=D7153,A7154=A7153,F7154=F7153),1,0)</f>
        <v/>
      </c>
      <c r="I7154">
        <f>IF(C7154="C99999",1,0)</f>
        <v/>
      </c>
      <c r="J7154" s="5">
        <f>IF(OR(H7154=1,I7154=1),0,IF(G7154="Credit",-F7154,F7154))</f>
        <v/>
      </c>
    </row>
    <row r="7155">
      <c r="A7155" t="inlineStr">
        <is>
          <t>2026-09-07</t>
        </is>
      </c>
      <c r="B7155" t="inlineStr">
        <is>
          <t>F271516</t>
        </is>
      </c>
      <c r="C7155" t="inlineStr">
        <is>
          <t>C10595</t>
        </is>
      </c>
      <c r="D7155" t="inlineStr">
        <is>
          <t>SKU-10232</t>
        </is>
      </c>
      <c r="E7155" t="inlineStr">
        <is>
          <t>AM01</t>
        </is>
      </c>
      <c r="F7155" s="5" t="n">
        <v>176.64</v>
      </c>
      <c r="G7155">
        <f>IF(LEFT(B7155,1)="C","Credit","Factuur")</f>
        <v/>
      </c>
      <c r="H7155">
        <f>IF(AND(B7155=B7154,D7155=D7154,A7155=A7154,F7155=F7154),1,0)</f>
        <v/>
      </c>
      <c r="I7155">
        <f>IF(C7155="C99999",1,0)</f>
        <v/>
      </c>
      <c r="J7155" s="5">
        <f>IF(OR(H7155=1,I7155=1),0,IF(G7155="Credit",-F7155,F7155))</f>
        <v/>
      </c>
    </row>
    <row r="7156">
      <c r="A7156" t="inlineStr">
        <is>
          <t>2026-09-07</t>
        </is>
      </c>
      <c r="B7156" t="inlineStr">
        <is>
          <t>F271516</t>
        </is>
      </c>
      <c r="C7156" t="inlineStr">
        <is>
          <t>C10595</t>
        </is>
      </c>
      <c r="D7156" t="inlineStr">
        <is>
          <t>SKU-10319</t>
        </is>
      </c>
      <c r="E7156" t="inlineStr">
        <is>
          <t>AM01</t>
        </is>
      </c>
      <c r="F7156" s="5" t="n">
        <v>173.64</v>
      </c>
      <c r="G7156">
        <f>IF(LEFT(B7156,1)="C","Credit","Factuur")</f>
        <v/>
      </c>
      <c r="H7156">
        <f>IF(AND(B7156=B7155,D7156=D7155,A7156=A7155,F7156=F7155),1,0)</f>
        <v/>
      </c>
      <c r="I7156">
        <f>IF(C7156="C99999",1,0)</f>
        <v/>
      </c>
      <c r="J7156" s="5">
        <f>IF(OR(H7156=1,I7156=1),0,IF(G7156="Credit",-F7156,F7156))</f>
        <v/>
      </c>
    </row>
    <row r="7157">
      <c r="A7157" t="inlineStr">
        <is>
          <t>2026-09-07</t>
        </is>
      </c>
      <c r="B7157" t="inlineStr">
        <is>
          <t>F271627</t>
        </is>
      </c>
      <c r="C7157" t="inlineStr">
        <is>
          <t>C10598</t>
        </is>
      </c>
      <c r="D7157" t="inlineStr">
        <is>
          <t>SKU-10137</t>
        </is>
      </c>
      <c r="E7157" t="inlineStr">
        <is>
          <t>AM03</t>
        </is>
      </c>
      <c r="F7157" s="5" t="n">
        <v>96.84999999999999</v>
      </c>
      <c r="G7157">
        <f>IF(LEFT(B7157,1)="C","Credit","Factuur")</f>
        <v/>
      </c>
      <c r="H7157">
        <f>IF(AND(B7157=B7156,D7157=D7156,A7157=A7156,F7157=F7156),1,0)</f>
        <v/>
      </c>
      <c r="I7157">
        <f>IF(C7157="C99999",1,0)</f>
        <v/>
      </c>
      <c r="J7157" s="5">
        <f>IF(OR(H7157=1,I7157=1),0,IF(G7157="Credit",-F7157,F7157))</f>
        <v/>
      </c>
    </row>
    <row r="7158">
      <c r="A7158" t="inlineStr">
        <is>
          <t>2026-09-07</t>
        </is>
      </c>
      <c r="B7158" t="inlineStr">
        <is>
          <t>F271627</t>
        </is>
      </c>
      <c r="C7158" t="inlineStr">
        <is>
          <t>C10598</t>
        </is>
      </c>
      <c r="D7158" t="inlineStr">
        <is>
          <t>SKU-10166</t>
        </is>
      </c>
      <c r="E7158" t="inlineStr">
        <is>
          <t>AM03</t>
        </is>
      </c>
      <c r="F7158" s="5" t="n">
        <v>23.13</v>
      </c>
      <c r="G7158">
        <f>IF(LEFT(B7158,1)="C","Credit","Factuur")</f>
        <v/>
      </c>
      <c r="H7158">
        <f>IF(AND(B7158=B7157,D7158=D7157,A7158=A7157,F7158=F7157),1,0)</f>
        <v/>
      </c>
      <c r="I7158">
        <f>IF(C7158="C99999",1,0)</f>
        <v/>
      </c>
      <c r="J7158" s="5">
        <f>IF(OR(H7158=1,I7158=1),0,IF(G7158="Credit",-F7158,F7158))</f>
        <v/>
      </c>
    </row>
    <row r="7159">
      <c r="A7159" t="inlineStr">
        <is>
          <t>2026-09-07</t>
        </is>
      </c>
      <c r="B7159" t="inlineStr">
        <is>
          <t>F271627</t>
        </is>
      </c>
      <c r="C7159" t="inlineStr">
        <is>
          <t>C10598</t>
        </is>
      </c>
      <c r="D7159" t="inlineStr">
        <is>
          <t>SKU-10267</t>
        </is>
      </c>
      <c r="E7159" t="inlineStr">
        <is>
          <t>AM03</t>
        </is>
      </c>
      <c r="F7159" s="5" t="n">
        <v>21.06</v>
      </c>
      <c r="G7159">
        <f>IF(LEFT(B7159,1)="C","Credit","Factuur")</f>
        <v/>
      </c>
      <c r="H7159">
        <f>IF(AND(B7159=B7158,D7159=D7158,A7159=A7158,F7159=F7158),1,0)</f>
        <v/>
      </c>
      <c r="I7159">
        <f>IF(C7159="C99999",1,0)</f>
        <v/>
      </c>
      <c r="J7159" s="5">
        <f>IF(OR(H7159=1,I7159=1),0,IF(G7159="Credit",-F7159,F7159))</f>
        <v/>
      </c>
    </row>
    <row r="7160">
      <c r="A7160" t="inlineStr">
        <is>
          <t>2026-09-07</t>
        </is>
      </c>
      <c r="B7160" t="inlineStr">
        <is>
          <t>F271627</t>
        </is>
      </c>
      <c r="C7160" t="inlineStr">
        <is>
          <t>C10598</t>
        </is>
      </c>
      <c r="D7160" t="inlineStr">
        <is>
          <t>SKU-10283</t>
        </is>
      </c>
      <c r="E7160" t="inlineStr">
        <is>
          <t>AM03</t>
        </is>
      </c>
      <c r="F7160" s="5" t="n">
        <v>32.31</v>
      </c>
      <c r="G7160">
        <f>IF(LEFT(B7160,1)="C","Credit","Factuur")</f>
        <v/>
      </c>
      <c r="H7160">
        <f>IF(AND(B7160=B7159,D7160=D7159,A7160=A7159,F7160=F7159),1,0)</f>
        <v/>
      </c>
      <c r="I7160">
        <f>IF(C7160="C99999",1,0)</f>
        <v/>
      </c>
      <c r="J7160" s="5">
        <f>IF(OR(H7160=1,I7160=1),0,IF(G7160="Credit",-F7160,F7160))</f>
        <v/>
      </c>
    </row>
    <row r="7161">
      <c r="A7161" t="inlineStr">
        <is>
          <t>2026-09-07</t>
        </is>
      </c>
      <c r="B7161" t="inlineStr">
        <is>
          <t>F272807</t>
        </is>
      </c>
      <c r="C7161" t="inlineStr">
        <is>
          <t>C10668</t>
        </is>
      </c>
      <c r="D7161" t="inlineStr">
        <is>
          <t>SKU-10087</t>
        </is>
      </c>
      <c r="E7161" t="inlineStr">
        <is>
          <t>AM02</t>
        </is>
      </c>
      <c r="F7161" s="5" t="n">
        <v>43.01</v>
      </c>
      <c r="G7161">
        <f>IF(LEFT(B7161,1)="C","Credit","Factuur")</f>
        <v/>
      </c>
      <c r="H7161">
        <f>IF(AND(B7161=B7160,D7161=D7160,A7161=A7160,F7161=F7160),1,0)</f>
        <v/>
      </c>
      <c r="I7161">
        <f>IF(C7161="C99999",1,0)</f>
        <v/>
      </c>
      <c r="J7161" s="5">
        <f>IF(OR(H7161=1,I7161=1),0,IF(G7161="Credit",-F7161,F7161))</f>
        <v/>
      </c>
    </row>
    <row r="7162">
      <c r="A7162" t="inlineStr">
        <is>
          <t>2026-09-07</t>
        </is>
      </c>
      <c r="B7162" t="inlineStr">
        <is>
          <t>F272807</t>
        </is>
      </c>
      <c r="C7162" t="inlineStr">
        <is>
          <t>C10668</t>
        </is>
      </c>
      <c r="D7162" t="inlineStr">
        <is>
          <t>SKU-10266</t>
        </is>
      </c>
      <c r="E7162" t="inlineStr">
        <is>
          <t>AM02</t>
        </is>
      </c>
      <c r="F7162" s="5" t="n">
        <v>71.59999999999999</v>
      </c>
      <c r="G7162">
        <f>IF(LEFT(B7162,1)="C","Credit","Factuur")</f>
        <v/>
      </c>
      <c r="H7162">
        <f>IF(AND(B7162=B7161,D7162=D7161,A7162=A7161,F7162=F7161),1,0)</f>
        <v/>
      </c>
      <c r="I7162">
        <f>IF(C7162="C99999",1,0)</f>
        <v/>
      </c>
      <c r="J7162" s="5">
        <f>IF(OR(H7162=1,I7162=1),0,IF(G7162="Credit",-F7162,F7162))</f>
        <v/>
      </c>
    </row>
    <row r="7163">
      <c r="A7163" t="inlineStr">
        <is>
          <t>2026-09-07</t>
        </is>
      </c>
      <c r="B7163" t="inlineStr">
        <is>
          <t>F272807</t>
        </is>
      </c>
      <c r="C7163" t="inlineStr">
        <is>
          <t>C10668</t>
        </is>
      </c>
      <c r="D7163" t="inlineStr">
        <is>
          <t>SKU-10320</t>
        </is>
      </c>
      <c r="E7163" t="inlineStr">
        <is>
          <t>AM02</t>
        </is>
      </c>
      <c r="F7163" s="5" t="n">
        <v>56.01</v>
      </c>
      <c r="G7163">
        <f>IF(LEFT(B7163,1)="C","Credit","Factuur")</f>
        <v/>
      </c>
      <c r="H7163">
        <f>IF(AND(B7163=B7162,D7163=D7162,A7163=A7162,F7163=F7162),1,0)</f>
        <v/>
      </c>
      <c r="I7163">
        <f>IF(C7163="C99999",1,0)</f>
        <v/>
      </c>
      <c r="J7163" s="5">
        <f>IF(OR(H7163=1,I7163=1),0,IF(G7163="Credit",-F7163,F7163))</f>
        <v/>
      </c>
    </row>
    <row r="7164">
      <c r="A7164" t="inlineStr">
        <is>
          <t>2026-09-07</t>
        </is>
      </c>
      <c r="B7164" t="inlineStr">
        <is>
          <t>F272807</t>
        </is>
      </c>
      <c r="C7164" t="inlineStr">
        <is>
          <t>C10668</t>
        </is>
      </c>
      <c r="D7164" t="inlineStr">
        <is>
          <t>SKU-10343</t>
        </is>
      </c>
      <c r="E7164" t="inlineStr">
        <is>
          <t>AM02</t>
        </is>
      </c>
      <c r="F7164" s="5" t="n">
        <v>56.64</v>
      </c>
      <c r="G7164">
        <f>IF(LEFT(B7164,1)="C","Credit","Factuur")</f>
        <v/>
      </c>
      <c r="H7164">
        <f>IF(AND(B7164=B7163,D7164=D7163,A7164=A7163,F7164=F7163),1,0)</f>
        <v/>
      </c>
      <c r="I7164">
        <f>IF(C7164="C99999",1,0)</f>
        <v/>
      </c>
      <c r="J7164" s="5">
        <f>IF(OR(H7164=1,I7164=1),0,IF(G7164="Credit",-F7164,F7164))</f>
        <v/>
      </c>
    </row>
    <row r="7165">
      <c r="A7165" t="inlineStr">
        <is>
          <t>2026-09-07</t>
        </is>
      </c>
      <c r="B7165" t="inlineStr">
        <is>
          <t>F273007</t>
        </is>
      </c>
      <c r="C7165" t="inlineStr">
        <is>
          <t>C10677</t>
        </is>
      </c>
      <c r="D7165" t="inlineStr">
        <is>
          <t>SKU-10315</t>
        </is>
      </c>
      <c r="E7165" t="inlineStr">
        <is>
          <t>AM08</t>
        </is>
      </c>
      <c r="F7165" s="5" t="n">
        <v>310.37</v>
      </c>
      <c r="G7165">
        <f>IF(LEFT(B7165,1)="C","Credit","Factuur")</f>
        <v/>
      </c>
      <c r="H7165">
        <f>IF(AND(B7165=B7164,D7165=D7164,A7165=A7164,F7165=F7164),1,0)</f>
        <v/>
      </c>
      <c r="I7165">
        <f>IF(C7165="C99999",1,0)</f>
        <v/>
      </c>
      <c r="J7165" s="5">
        <f>IF(OR(H7165=1,I7165=1),0,IF(G7165="Credit",-F7165,F7165))</f>
        <v/>
      </c>
    </row>
    <row r="7166">
      <c r="A7166" t="inlineStr">
        <is>
          <t>2026-09-07</t>
        </is>
      </c>
      <c r="B7166" t="inlineStr">
        <is>
          <t>F273007</t>
        </is>
      </c>
      <c r="C7166" t="inlineStr">
        <is>
          <t>C10677</t>
        </is>
      </c>
      <c r="D7166" t="inlineStr">
        <is>
          <t>SKU-10318</t>
        </is>
      </c>
      <c r="E7166" t="inlineStr">
        <is>
          <t>AM08</t>
        </is>
      </c>
      <c r="F7166" s="5" t="n">
        <v>325.6</v>
      </c>
      <c r="G7166">
        <f>IF(LEFT(B7166,1)="C","Credit","Factuur")</f>
        <v/>
      </c>
      <c r="H7166">
        <f>IF(AND(B7166=B7165,D7166=D7165,A7166=A7165,F7166=F7165),1,0)</f>
        <v/>
      </c>
      <c r="I7166">
        <f>IF(C7166="C99999",1,0)</f>
        <v/>
      </c>
      <c r="J7166" s="5">
        <f>IF(OR(H7166=1,I7166=1),0,IF(G7166="Credit",-F7166,F7166))</f>
        <v/>
      </c>
    </row>
    <row r="7167">
      <c r="A7167" t="inlineStr">
        <is>
          <t>2026-09-07</t>
        </is>
      </c>
      <c r="B7167" t="inlineStr">
        <is>
          <t>F273007</t>
        </is>
      </c>
      <c r="C7167" t="inlineStr">
        <is>
          <t>C10677</t>
        </is>
      </c>
      <c r="D7167" t="inlineStr">
        <is>
          <t>SKU-10366</t>
        </is>
      </c>
      <c r="E7167" t="inlineStr">
        <is>
          <t>AM08</t>
        </is>
      </c>
      <c r="F7167" s="5" t="n">
        <v>301.14</v>
      </c>
      <c r="G7167">
        <f>IF(LEFT(B7167,1)="C","Credit","Factuur")</f>
        <v/>
      </c>
      <c r="H7167">
        <f>IF(AND(B7167=B7166,D7167=D7166,A7167=A7166,F7167=F7166),1,0)</f>
        <v/>
      </c>
      <c r="I7167">
        <f>IF(C7167="C99999",1,0)</f>
        <v/>
      </c>
      <c r="J7167" s="5">
        <f>IF(OR(H7167=1,I7167=1),0,IF(G7167="Credit",-F7167,F7167))</f>
        <v/>
      </c>
    </row>
    <row r="7168">
      <c r="A7168" t="inlineStr">
        <is>
          <t>2026-09-07</t>
        </is>
      </c>
      <c r="B7168" t="inlineStr">
        <is>
          <t>F273968</t>
        </is>
      </c>
      <c r="C7168" t="inlineStr">
        <is>
          <t>C10737</t>
        </is>
      </c>
      <c r="D7168" t="inlineStr">
        <is>
          <t>SKU-10002</t>
        </is>
      </c>
      <c r="E7168" t="inlineStr">
        <is>
          <t>AM03</t>
        </is>
      </c>
      <c r="F7168" s="5" t="n">
        <v>100.97</v>
      </c>
      <c r="G7168">
        <f>IF(LEFT(B7168,1)="C","Credit","Factuur")</f>
        <v/>
      </c>
      <c r="H7168">
        <f>IF(AND(B7168=B7167,D7168=D7167,A7168=A7167,F7168=F7167),1,0)</f>
        <v/>
      </c>
      <c r="I7168">
        <f>IF(C7168="C99999",1,0)</f>
        <v/>
      </c>
      <c r="J7168" s="5">
        <f>IF(OR(H7168=1,I7168=1),0,IF(G7168="Credit",-F7168,F7168))</f>
        <v/>
      </c>
    </row>
    <row r="7169">
      <c r="A7169" t="inlineStr">
        <is>
          <t>2026-09-07</t>
        </is>
      </c>
      <c r="B7169" t="inlineStr">
        <is>
          <t>F273968</t>
        </is>
      </c>
      <c r="C7169" t="inlineStr">
        <is>
          <t>C10737</t>
        </is>
      </c>
      <c r="D7169" t="inlineStr">
        <is>
          <t>SKU-10132</t>
        </is>
      </c>
      <c r="E7169" t="inlineStr">
        <is>
          <t>AM03</t>
        </is>
      </c>
      <c r="F7169" s="5" t="n">
        <v>98.42</v>
      </c>
      <c r="G7169">
        <f>IF(LEFT(B7169,1)="C","Credit","Factuur")</f>
        <v/>
      </c>
      <c r="H7169">
        <f>IF(AND(B7169=B7168,D7169=D7168,A7169=A7168,F7169=F7168),1,0)</f>
        <v/>
      </c>
      <c r="I7169">
        <f>IF(C7169="C99999",1,0)</f>
        <v/>
      </c>
      <c r="J7169" s="5">
        <f>IF(OR(H7169=1,I7169=1),0,IF(G7169="Credit",-F7169,F7169))</f>
        <v/>
      </c>
    </row>
    <row r="7170">
      <c r="A7170" t="inlineStr">
        <is>
          <t>2026-09-07</t>
        </is>
      </c>
      <c r="B7170" t="inlineStr">
        <is>
          <t>F273968</t>
        </is>
      </c>
      <c r="C7170" t="inlineStr">
        <is>
          <t>C10737</t>
        </is>
      </c>
      <c r="D7170" t="inlineStr">
        <is>
          <t>SKU-10237</t>
        </is>
      </c>
      <c r="E7170" t="inlineStr">
        <is>
          <t>AM03</t>
        </is>
      </c>
      <c r="F7170" s="5" t="n">
        <v>98.64</v>
      </c>
      <c r="G7170">
        <f>IF(LEFT(B7170,1)="C","Credit","Factuur")</f>
        <v/>
      </c>
      <c r="H7170">
        <f>IF(AND(B7170=B7169,D7170=D7169,A7170=A7169,F7170=F7169),1,0)</f>
        <v/>
      </c>
      <c r="I7170">
        <f>IF(C7170="C99999",1,0)</f>
        <v/>
      </c>
      <c r="J7170" s="5">
        <f>IF(OR(H7170=1,I7170=1),0,IF(G7170="Credit",-F7170,F7170))</f>
        <v/>
      </c>
    </row>
    <row r="7171">
      <c r="A7171" t="inlineStr">
        <is>
          <t>2026-09-07</t>
        </is>
      </c>
      <c r="B7171" t="inlineStr">
        <is>
          <t>F273968</t>
        </is>
      </c>
      <c r="C7171" t="inlineStr">
        <is>
          <t>C10737</t>
        </is>
      </c>
      <c r="D7171" t="inlineStr">
        <is>
          <t>SKU-10381</t>
        </is>
      </c>
      <c r="E7171" t="inlineStr">
        <is>
          <t>AM03</t>
        </is>
      </c>
      <c r="F7171" s="5" t="n">
        <v>514.36</v>
      </c>
      <c r="G7171">
        <f>IF(LEFT(B7171,1)="C","Credit","Factuur")</f>
        <v/>
      </c>
      <c r="H7171">
        <f>IF(AND(B7171=B7170,D7171=D7170,A7171=A7170,F7171=F7170),1,0)</f>
        <v/>
      </c>
      <c r="I7171">
        <f>IF(C7171="C99999",1,0)</f>
        <v/>
      </c>
      <c r="J7171" s="5">
        <f>IF(OR(H7171=1,I7171=1),0,IF(G7171="Credit",-F7171,F7171))</f>
        <v/>
      </c>
    </row>
    <row r="7172">
      <c r="A7172" t="inlineStr">
        <is>
          <t>2026-09-07</t>
        </is>
      </c>
      <c r="B7172" t="inlineStr">
        <is>
          <t>F274802</t>
        </is>
      </c>
      <c r="C7172" t="inlineStr">
        <is>
          <t>C10782</t>
        </is>
      </c>
      <c r="D7172" t="inlineStr">
        <is>
          <t>SKU-10348</t>
        </is>
      </c>
      <c r="E7172" t="inlineStr">
        <is>
          <t>AM03</t>
        </is>
      </c>
      <c r="F7172" s="5" t="n">
        <v>2180.11</v>
      </c>
      <c r="G7172">
        <f>IF(LEFT(B7172,1)="C","Credit","Factuur")</f>
        <v/>
      </c>
      <c r="H7172">
        <f>IF(AND(B7172=B7171,D7172=D7171,A7172=A7171,F7172=F7171),1,0)</f>
        <v/>
      </c>
      <c r="I7172">
        <f>IF(C7172="C99999",1,0)</f>
        <v/>
      </c>
      <c r="J7172" s="5">
        <f>IF(OR(H7172=1,I7172=1),0,IF(G7172="Credit",-F7172,F7172))</f>
        <v/>
      </c>
    </row>
    <row r="7173">
      <c r="A7173" t="inlineStr">
        <is>
          <t>2026-09-07</t>
        </is>
      </c>
      <c r="B7173" t="inlineStr">
        <is>
          <t>F275210</t>
        </is>
      </c>
      <c r="C7173" t="inlineStr">
        <is>
          <t>C10801</t>
        </is>
      </c>
      <c r="D7173" t="inlineStr">
        <is>
          <t>SKU-10024</t>
        </is>
      </c>
      <c r="E7173" t="inlineStr">
        <is>
          <t>AM01</t>
        </is>
      </c>
      <c r="F7173" s="5" t="n">
        <v>48.32</v>
      </c>
      <c r="G7173">
        <f>IF(LEFT(B7173,1)="C","Credit","Factuur")</f>
        <v/>
      </c>
      <c r="H7173">
        <f>IF(AND(B7173=B7172,D7173=D7172,A7173=A7172,F7173=F7172),1,0)</f>
        <v/>
      </c>
      <c r="I7173">
        <f>IF(C7173="C99999",1,0)</f>
        <v/>
      </c>
      <c r="J7173" s="5">
        <f>IF(OR(H7173=1,I7173=1),0,IF(G7173="Credit",-F7173,F7173))</f>
        <v/>
      </c>
    </row>
    <row r="7174">
      <c r="A7174" t="inlineStr">
        <is>
          <t>2026-09-07</t>
        </is>
      </c>
      <c r="B7174" t="inlineStr">
        <is>
          <t>F275210</t>
        </is>
      </c>
      <c r="C7174" t="inlineStr">
        <is>
          <t>C10801</t>
        </is>
      </c>
      <c r="D7174" t="inlineStr">
        <is>
          <t>SKU-10033</t>
        </is>
      </c>
      <c r="E7174" t="inlineStr">
        <is>
          <t>AM01</t>
        </is>
      </c>
      <c r="F7174" s="5" t="n">
        <v>40.93</v>
      </c>
      <c r="G7174">
        <f>IF(LEFT(B7174,1)="C","Credit","Factuur")</f>
        <v/>
      </c>
      <c r="H7174">
        <f>IF(AND(B7174=B7173,D7174=D7173,A7174=A7173,F7174=F7173),1,0)</f>
        <v/>
      </c>
      <c r="I7174">
        <f>IF(C7174="C99999",1,0)</f>
        <v/>
      </c>
      <c r="J7174" s="5">
        <f>IF(OR(H7174=1,I7174=1),0,IF(G7174="Credit",-F7174,F7174))</f>
        <v/>
      </c>
    </row>
    <row r="7175">
      <c r="A7175" t="inlineStr">
        <is>
          <t>2026-09-07</t>
        </is>
      </c>
      <c r="B7175" t="inlineStr">
        <is>
          <t>F275210</t>
        </is>
      </c>
      <c r="C7175" t="inlineStr">
        <is>
          <t>C10801</t>
        </is>
      </c>
      <c r="D7175" t="inlineStr">
        <is>
          <t>SKU-10057</t>
        </is>
      </c>
      <c r="E7175" t="inlineStr">
        <is>
          <t>AM01</t>
        </is>
      </c>
      <c r="F7175" s="5" t="n">
        <v>45</v>
      </c>
      <c r="G7175">
        <f>IF(LEFT(B7175,1)="C","Credit","Factuur")</f>
        <v/>
      </c>
      <c r="H7175">
        <f>IF(AND(B7175=B7174,D7175=D7174,A7175=A7174,F7175=F7174),1,0)</f>
        <v/>
      </c>
      <c r="I7175">
        <f>IF(C7175="C99999",1,0)</f>
        <v/>
      </c>
      <c r="J7175" s="5">
        <f>IF(OR(H7175=1,I7175=1),0,IF(G7175="Credit",-F7175,F7175))</f>
        <v/>
      </c>
    </row>
    <row r="7176">
      <c r="A7176" t="inlineStr">
        <is>
          <t>2026-09-07</t>
        </is>
      </c>
      <c r="B7176" t="inlineStr">
        <is>
          <t>F275210</t>
        </is>
      </c>
      <c r="C7176" t="inlineStr">
        <is>
          <t>C10801</t>
        </is>
      </c>
      <c r="D7176" t="inlineStr">
        <is>
          <t>SKU-10306</t>
        </is>
      </c>
      <c r="E7176" t="inlineStr">
        <is>
          <t>AM01</t>
        </is>
      </c>
      <c r="F7176" s="5" t="n">
        <v>45.94</v>
      </c>
      <c r="G7176">
        <f>IF(LEFT(B7176,1)="C","Credit","Factuur")</f>
        <v/>
      </c>
      <c r="H7176">
        <f>IF(AND(B7176=B7175,D7176=D7175,A7176=A7175,F7176=F7175),1,0)</f>
        <v/>
      </c>
      <c r="I7176">
        <f>IF(C7176="C99999",1,0)</f>
        <v/>
      </c>
      <c r="J7176" s="5">
        <f>IF(OR(H7176=1,I7176=1),0,IF(G7176="Credit",-F7176,F7176))</f>
        <v/>
      </c>
    </row>
    <row r="7177">
      <c r="A7177" t="inlineStr">
        <is>
          <t>2026-09-07</t>
        </is>
      </c>
      <c r="B7177" t="inlineStr">
        <is>
          <t>F275342</t>
        </is>
      </c>
      <c r="C7177" t="inlineStr">
        <is>
          <t>C10808</t>
        </is>
      </c>
      <c r="D7177" t="inlineStr">
        <is>
          <t>SKU-10212</t>
        </is>
      </c>
      <c r="E7177" t="inlineStr">
        <is>
          <t>AM11</t>
        </is>
      </c>
      <c r="F7177" s="5" t="n">
        <v>687.0599999999999</v>
      </c>
      <c r="G7177">
        <f>IF(LEFT(B7177,1)="C","Credit","Factuur")</f>
        <v/>
      </c>
      <c r="H7177">
        <f>IF(AND(B7177=B7176,D7177=D7176,A7177=A7176,F7177=F7176),1,0)</f>
        <v/>
      </c>
      <c r="I7177">
        <f>IF(C7177="C99999",1,0)</f>
        <v/>
      </c>
      <c r="J7177" s="5">
        <f>IF(OR(H7177=1,I7177=1),0,IF(G7177="Credit",-F7177,F7177))</f>
        <v/>
      </c>
    </row>
    <row r="7178">
      <c r="A7178" t="inlineStr">
        <is>
          <t>2026-09-07</t>
        </is>
      </c>
      <c r="B7178" t="inlineStr">
        <is>
          <t>F275342</t>
        </is>
      </c>
      <c r="C7178" t="inlineStr">
        <is>
          <t>C10808</t>
        </is>
      </c>
      <c r="D7178" t="inlineStr">
        <is>
          <t>SKU-10332</t>
        </is>
      </c>
      <c r="E7178" t="inlineStr">
        <is>
          <t>AM11</t>
        </is>
      </c>
      <c r="F7178" s="5" t="n">
        <v>657.14</v>
      </c>
      <c r="G7178">
        <f>IF(LEFT(B7178,1)="C","Credit","Factuur")</f>
        <v/>
      </c>
      <c r="H7178">
        <f>IF(AND(B7178=B7177,D7178=D7177,A7178=A7177,F7178=F7177),1,0)</f>
        <v/>
      </c>
      <c r="I7178">
        <f>IF(C7178="C99999",1,0)</f>
        <v/>
      </c>
      <c r="J7178" s="5">
        <f>IF(OR(H7178=1,I7178=1),0,IF(G7178="Credit",-F7178,F7178))</f>
        <v/>
      </c>
    </row>
    <row r="7179">
      <c r="A7179" t="inlineStr">
        <is>
          <t>2026-09-07</t>
        </is>
      </c>
      <c r="B7179" t="inlineStr">
        <is>
          <t>F277051</t>
        </is>
      </c>
      <c r="C7179" t="inlineStr">
        <is>
          <t>C10903</t>
        </is>
      </c>
      <c r="D7179" t="inlineStr">
        <is>
          <t>SKU-10171</t>
        </is>
      </c>
      <c r="E7179" t="inlineStr">
        <is>
          <t>AM11</t>
        </is>
      </c>
      <c r="F7179" s="5" t="n">
        <v>1124.99</v>
      </c>
      <c r="G7179">
        <f>IF(LEFT(B7179,1)="C","Credit","Factuur")</f>
        <v/>
      </c>
      <c r="H7179">
        <f>IF(AND(B7179=B7178,D7179=D7178,A7179=A7178,F7179=F7178),1,0)</f>
        <v/>
      </c>
      <c r="I7179">
        <f>IF(C7179="C99999",1,0)</f>
        <v/>
      </c>
      <c r="J7179" s="5">
        <f>IF(OR(H7179=1,I7179=1),0,IF(G7179="Credit",-F7179,F7179))</f>
        <v/>
      </c>
    </row>
    <row r="7180">
      <c r="A7180" t="inlineStr">
        <is>
          <t>2026-09-07</t>
        </is>
      </c>
      <c r="B7180" t="inlineStr">
        <is>
          <t>F277146</t>
        </is>
      </c>
      <c r="C7180" t="inlineStr">
        <is>
          <t>C10910</t>
        </is>
      </c>
      <c r="D7180" t="inlineStr">
        <is>
          <t>SKU-10336</t>
        </is>
      </c>
      <c r="E7180" t="inlineStr">
        <is>
          <t>AM01</t>
        </is>
      </c>
      <c r="F7180" s="5" t="n">
        <v>913.53</v>
      </c>
      <c r="G7180">
        <f>IF(LEFT(B7180,1)="C","Credit","Factuur")</f>
        <v/>
      </c>
      <c r="H7180">
        <f>IF(AND(B7180=B7179,D7180=D7179,A7180=A7179,F7180=F7179),1,0)</f>
        <v/>
      </c>
      <c r="I7180">
        <f>IF(C7180="C99999",1,0)</f>
        <v/>
      </c>
      <c r="J7180" s="5">
        <f>IF(OR(H7180=1,I7180=1),0,IF(G7180="Credit",-F7180,F7180))</f>
        <v/>
      </c>
    </row>
    <row r="7181">
      <c r="A7181" t="inlineStr">
        <is>
          <t>2026-09-07</t>
        </is>
      </c>
      <c r="B7181" t="inlineStr">
        <is>
          <t>F277146</t>
        </is>
      </c>
      <c r="C7181" t="inlineStr">
        <is>
          <t>C10910</t>
        </is>
      </c>
      <c r="D7181" t="inlineStr">
        <is>
          <t>SKU-10340</t>
        </is>
      </c>
      <c r="E7181" t="inlineStr">
        <is>
          <t>AM01</t>
        </is>
      </c>
      <c r="F7181" s="5" t="n">
        <v>914.08</v>
      </c>
      <c r="G7181">
        <f>IF(LEFT(B7181,1)="C","Credit","Factuur")</f>
        <v/>
      </c>
      <c r="H7181">
        <f>IF(AND(B7181=B7180,D7181=D7180,A7181=A7180,F7181=F7180),1,0)</f>
        <v/>
      </c>
      <c r="I7181">
        <f>IF(C7181="C99999",1,0)</f>
        <v/>
      </c>
      <c r="J7181" s="5">
        <f>IF(OR(H7181=1,I7181=1),0,IF(G7181="Credit",-F7181,F7181))</f>
        <v/>
      </c>
    </row>
    <row r="7182">
      <c r="A7182" t="inlineStr">
        <is>
          <t>2026-09-07</t>
        </is>
      </c>
      <c r="B7182" t="inlineStr">
        <is>
          <t>F277214</t>
        </is>
      </c>
      <c r="C7182" t="inlineStr">
        <is>
          <t>C10914</t>
        </is>
      </c>
      <c r="D7182" t="inlineStr">
        <is>
          <t>SKU-10018</t>
        </is>
      </c>
      <c r="E7182" t="inlineStr">
        <is>
          <t>AM01</t>
        </is>
      </c>
      <c r="F7182" s="5" t="n">
        <v>214.44</v>
      </c>
      <c r="G7182">
        <f>IF(LEFT(B7182,1)="C","Credit","Factuur")</f>
        <v/>
      </c>
      <c r="H7182">
        <f>IF(AND(B7182=B7181,D7182=D7181,A7182=A7181,F7182=F7181),1,0)</f>
        <v/>
      </c>
      <c r="I7182">
        <f>IF(C7182="C99999",1,0)</f>
        <v/>
      </c>
      <c r="J7182" s="5">
        <f>IF(OR(H7182=1,I7182=1),0,IF(G7182="Credit",-F7182,F7182))</f>
        <v/>
      </c>
    </row>
    <row r="7183">
      <c r="A7183" t="inlineStr">
        <is>
          <t>2026-09-07</t>
        </is>
      </c>
      <c r="B7183" t="inlineStr">
        <is>
          <t>F277214</t>
        </is>
      </c>
      <c r="C7183" t="inlineStr">
        <is>
          <t>C10914</t>
        </is>
      </c>
      <c r="D7183" t="inlineStr">
        <is>
          <t>SKU-10273</t>
        </is>
      </c>
      <c r="E7183" t="inlineStr">
        <is>
          <t>AM01</t>
        </is>
      </c>
      <c r="F7183" s="5" t="n">
        <v>224.84</v>
      </c>
      <c r="G7183">
        <f>IF(LEFT(B7183,1)="C","Credit","Factuur")</f>
        <v/>
      </c>
      <c r="H7183">
        <f>IF(AND(B7183=B7182,D7183=D7182,A7183=A7182,F7183=F7182),1,0)</f>
        <v/>
      </c>
      <c r="I7183">
        <f>IF(C7183="C99999",1,0)</f>
        <v/>
      </c>
      <c r="J7183" s="5">
        <f>IF(OR(H7183=1,I7183=1),0,IF(G7183="Credit",-F7183,F7183))</f>
        <v/>
      </c>
    </row>
    <row r="7184">
      <c r="A7184" t="inlineStr">
        <is>
          <t>2026-09-07</t>
        </is>
      </c>
      <c r="B7184" t="inlineStr">
        <is>
          <t>F277231</t>
        </is>
      </c>
      <c r="C7184" t="inlineStr">
        <is>
          <t>C10915</t>
        </is>
      </c>
      <c r="D7184" t="inlineStr">
        <is>
          <t>SKU-10005</t>
        </is>
      </c>
      <c r="E7184" t="inlineStr">
        <is>
          <t>AM01</t>
        </is>
      </c>
      <c r="F7184" s="5" t="n">
        <v>731.54</v>
      </c>
      <c r="G7184">
        <f>IF(LEFT(B7184,1)="C","Credit","Factuur")</f>
        <v/>
      </c>
      <c r="H7184">
        <f>IF(AND(B7184=B7183,D7184=D7183,A7184=A7183,F7184=F7183),1,0)</f>
        <v/>
      </c>
      <c r="I7184">
        <f>IF(C7184="C99999",1,0)</f>
        <v/>
      </c>
      <c r="J7184" s="5">
        <f>IF(OR(H7184=1,I7184=1),0,IF(G7184="Credit",-F7184,F7184))</f>
        <v/>
      </c>
    </row>
    <row r="7185">
      <c r="A7185" t="inlineStr">
        <is>
          <t>2026-09-07</t>
        </is>
      </c>
      <c r="B7185" t="inlineStr">
        <is>
          <t>F277231</t>
        </is>
      </c>
      <c r="C7185" t="inlineStr">
        <is>
          <t>C10915</t>
        </is>
      </c>
      <c r="D7185" t="inlineStr">
        <is>
          <t>SKU-10041</t>
        </is>
      </c>
      <c r="E7185" t="inlineStr">
        <is>
          <t>AM01</t>
        </is>
      </c>
      <c r="F7185" s="5" t="n">
        <v>770.5599999999999</v>
      </c>
      <c r="G7185">
        <f>IF(LEFT(B7185,1)="C","Credit","Factuur")</f>
        <v/>
      </c>
      <c r="H7185">
        <f>IF(AND(B7185=B7184,D7185=D7184,A7185=A7184,F7185=F7184),1,0)</f>
        <v/>
      </c>
      <c r="I7185">
        <f>IF(C7185="C99999",1,0)</f>
        <v/>
      </c>
      <c r="J7185" s="5">
        <f>IF(OR(H7185=1,I7185=1),0,IF(G7185="Credit",-F7185,F7185))</f>
        <v/>
      </c>
    </row>
    <row r="7186">
      <c r="A7186" t="inlineStr">
        <is>
          <t>2026-09-07</t>
        </is>
      </c>
      <c r="B7186" t="inlineStr">
        <is>
          <t>F277231</t>
        </is>
      </c>
      <c r="C7186" t="inlineStr">
        <is>
          <t>C10915</t>
        </is>
      </c>
      <c r="D7186" t="inlineStr">
        <is>
          <t>SKU-10277</t>
        </is>
      </c>
      <c r="E7186" t="inlineStr">
        <is>
          <t>AM01</t>
        </is>
      </c>
      <c r="F7186" s="5" t="n">
        <v>742.99</v>
      </c>
      <c r="G7186">
        <f>IF(LEFT(B7186,1)="C","Credit","Factuur")</f>
        <v/>
      </c>
      <c r="H7186">
        <f>IF(AND(B7186=B7185,D7186=D7185,A7186=A7185,F7186=F7185),1,0)</f>
        <v/>
      </c>
      <c r="I7186">
        <f>IF(C7186="C99999",1,0)</f>
        <v/>
      </c>
      <c r="J7186" s="5">
        <f>IF(OR(H7186=1,I7186=1),0,IF(G7186="Credit",-F7186,F7186))</f>
        <v/>
      </c>
    </row>
    <row r="7187">
      <c r="A7187" t="inlineStr">
        <is>
          <t>2026-09-07</t>
        </is>
      </c>
      <c r="B7187" t="inlineStr">
        <is>
          <t>F277231</t>
        </is>
      </c>
      <c r="C7187" t="inlineStr">
        <is>
          <t>C10915</t>
        </is>
      </c>
      <c r="D7187" t="inlineStr">
        <is>
          <t>SKU-10344</t>
        </is>
      </c>
      <c r="E7187" t="inlineStr">
        <is>
          <t>AM01</t>
        </is>
      </c>
      <c r="F7187" s="5" t="n">
        <v>784</v>
      </c>
      <c r="G7187">
        <f>IF(LEFT(B7187,1)="C","Credit","Factuur")</f>
        <v/>
      </c>
      <c r="H7187">
        <f>IF(AND(B7187=B7186,D7187=D7186,A7187=A7186,F7187=F7186),1,0)</f>
        <v/>
      </c>
      <c r="I7187">
        <f>IF(C7187="C99999",1,0)</f>
        <v/>
      </c>
      <c r="J7187" s="5">
        <f>IF(OR(H7187=1,I7187=1),0,IF(G7187="Credit",-F7187,F7187))</f>
        <v/>
      </c>
    </row>
    <row r="7188">
      <c r="A7188" t="inlineStr">
        <is>
          <t>2026-09-07</t>
        </is>
      </c>
      <c r="B7188" t="inlineStr">
        <is>
          <t>F277519</t>
        </is>
      </c>
      <c r="C7188" t="inlineStr">
        <is>
          <t>C10931</t>
        </is>
      </c>
      <c r="D7188" t="inlineStr">
        <is>
          <t>SKU-10083</t>
        </is>
      </c>
      <c r="E7188" t="inlineStr">
        <is>
          <t>AM11</t>
        </is>
      </c>
      <c r="F7188" s="5" t="n">
        <v>2355.21</v>
      </c>
      <c r="G7188">
        <f>IF(LEFT(B7188,1)="C","Credit","Factuur")</f>
        <v/>
      </c>
      <c r="H7188">
        <f>IF(AND(B7188=B7187,D7188=D7187,A7188=A7187,F7188=F7187),1,0)</f>
        <v/>
      </c>
      <c r="I7188">
        <f>IF(C7188="C99999",1,0)</f>
        <v/>
      </c>
      <c r="J7188" s="5">
        <f>IF(OR(H7188=1,I7188=1),0,IF(G7188="Credit",-F7188,F7188))</f>
        <v/>
      </c>
    </row>
    <row r="7189">
      <c r="A7189" t="inlineStr">
        <is>
          <t>2026-09-07</t>
        </is>
      </c>
      <c r="B7189" t="inlineStr">
        <is>
          <t>F277519</t>
        </is>
      </c>
      <c r="C7189" t="inlineStr">
        <is>
          <t>C10931</t>
        </is>
      </c>
      <c r="D7189" t="inlineStr">
        <is>
          <t>SKU-10185</t>
        </is>
      </c>
      <c r="E7189" t="inlineStr">
        <is>
          <t>AM11</t>
        </is>
      </c>
      <c r="F7189" s="5" t="n">
        <v>2341.71</v>
      </c>
      <c r="G7189">
        <f>IF(LEFT(B7189,1)="C","Credit","Factuur")</f>
        <v/>
      </c>
      <c r="H7189">
        <f>IF(AND(B7189=B7188,D7189=D7188,A7189=A7188,F7189=F7188),1,0)</f>
        <v/>
      </c>
      <c r="I7189">
        <f>IF(C7189="C99999",1,0)</f>
        <v/>
      </c>
      <c r="J7189" s="5">
        <f>IF(OR(H7189=1,I7189=1),0,IF(G7189="Credit",-F7189,F7189))</f>
        <v/>
      </c>
    </row>
    <row r="7190">
      <c r="A7190" t="inlineStr">
        <is>
          <t>2026-09-07</t>
        </is>
      </c>
      <c r="B7190" t="inlineStr">
        <is>
          <t>F278507</t>
        </is>
      </c>
      <c r="C7190" t="inlineStr">
        <is>
          <t>C10982</t>
        </is>
      </c>
      <c r="D7190" t="inlineStr">
        <is>
          <t>SKU-10094</t>
        </is>
      </c>
      <c r="E7190" t="inlineStr">
        <is>
          <t>AM01</t>
        </is>
      </c>
      <c r="F7190" s="5" t="n">
        <v>1075.4</v>
      </c>
      <c r="G7190">
        <f>IF(LEFT(B7190,1)="C","Credit","Factuur")</f>
        <v/>
      </c>
      <c r="H7190">
        <f>IF(AND(B7190=B7189,D7190=D7189,A7190=A7189,F7190=F7189),1,0)</f>
        <v/>
      </c>
      <c r="I7190">
        <f>IF(C7190="C99999",1,0)</f>
        <v/>
      </c>
      <c r="J7190" s="5">
        <f>IF(OR(H7190=1,I7190=1),0,IF(G7190="Credit",-F7190,F7190))</f>
        <v/>
      </c>
    </row>
    <row r="7191">
      <c r="A7191" t="inlineStr">
        <is>
          <t>2026-09-07</t>
        </is>
      </c>
      <c r="B7191" t="inlineStr">
        <is>
          <t>F278989</t>
        </is>
      </c>
      <c r="C7191" t="inlineStr">
        <is>
          <t>C11006</t>
        </is>
      </c>
      <c r="D7191" t="inlineStr">
        <is>
          <t>SKU-10309</t>
        </is>
      </c>
      <c r="E7191" t="inlineStr">
        <is>
          <t>AM11</t>
        </is>
      </c>
      <c r="F7191" s="5" t="n">
        <v>482.89</v>
      </c>
      <c r="G7191">
        <f>IF(LEFT(B7191,1)="C","Credit","Factuur")</f>
        <v/>
      </c>
      <c r="H7191">
        <f>IF(AND(B7191=B7190,D7191=D7190,A7191=A7190,F7191=F7190),1,0)</f>
        <v/>
      </c>
      <c r="I7191">
        <f>IF(C7191="C99999",1,0)</f>
        <v/>
      </c>
      <c r="J7191" s="5">
        <f>IF(OR(H7191=1,I7191=1),0,IF(G7191="Credit",-F7191,F7191))</f>
        <v/>
      </c>
    </row>
    <row r="7192">
      <c r="A7192" t="inlineStr">
        <is>
          <t>2026-09-07</t>
        </is>
      </c>
      <c r="B7192" t="inlineStr">
        <is>
          <t>F278989</t>
        </is>
      </c>
      <c r="C7192" t="inlineStr">
        <is>
          <t>C11006</t>
        </is>
      </c>
      <c r="D7192" t="inlineStr">
        <is>
          <t>SKU-10318</t>
        </is>
      </c>
      <c r="E7192" t="inlineStr">
        <is>
          <t>AM11</t>
        </is>
      </c>
      <c r="F7192" s="5" t="n">
        <v>508.75</v>
      </c>
      <c r="G7192">
        <f>IF(LEFT(B7192,1)="C","Credit","Factuur")</f>
        <v/>
      </c>
      <c r="H7192">
        <f>IF(AND(B7192=B7191,D7192=D7191,A7192=A7191,F7192=F7191),1,0)</f>
        <v/>
      </c>
      <c r="I7192">
        <f>IF(C7192="C99999",1,0)</f>
        <v/>
      </c>
      <c r="J7192" s="5">
        <f>IF(OR(H7192=1,I7192=1),0,IF(G7192="Credit",-F7192,F7192))</f>
        <v/>
      </c>
    </row>
    <row r="7193">
      <c r="A7193" t="inlineStr">
        <is>
          <t>2026-09-07</t>
        </is>
      </c>
      <c r="B7193" t="inlineStr">
        <is>
          <t>F279161</t>
        </is>
      </c>
      <c r="C7193" t="inlineStr">
        <is>
          <t>C11015</t>
        </is>
      </c>
      <c r="D7193" t="inlineStr">
        <is>
          <t>SKU-10028</t>
        </is>
      </c>
      <c r="E7193" t="inlineStr">
        <is>
          <t>AM07</t>
        </is>
      </c>
      <c r="F7193" s="5" t="n">
        <v>868.2</v>
      </c>
      <c r="G7193">
        <f>IF(LEFT(B7193,1)="C","Credit","Factuur")</f>
        <v/>
      </c>
      <c r="H7193">
        <f>IF(AND(B7193=B7192,D7193=D7192,A7193=A7192,F7193=F7192),1,0)</f>
        <v/>
      </c>
      <c r="I7193">
        <f>IF(C7193="C99999",1,0)</f>
        <v/>
      </c>
      <c r="J7193" s="5">
        <f>IF(OR(H7193=1,I7193=1),0,IF(G7193="Credit",-F7193,F7193))</f>
        <v/>
      </c>
    </row>
    <row r="7194">
      <c r="A7194" t="inlineStr">
        <is>
          <t>2026-09-07</t>
        </is>
      </c>
      <c r="B7194" t="inlineStr">
        <is>
          <t>F279161</t>
        </is>
      </c>
      <c r="C7194" t="inlineStr">
        <is>
          <t>C11015</t>
        </is>
      </c>
      <c r="D7194" t="inlineStr">
        <is>
          <t>SKU-10200</t>
        </is>
      </c>
      <c r="E7194" t="inlineStr">
        <is>
          <t>AM07</t>
        </is>
      </c>
      <c r="F7194" s="5" t="n">
        <v>856.8</v>
      </c>
      <c r="G7194">
        <f>IF(LEFT(B7194,1)="C","Credit","Factuur")</f>
        <v/>
      </c>
      <c r="H7194">
        <f>IF(AND(B7194=B7193,D7194=D7193,A7194=A7193,F7194=F7193),1,0)</f>
        <v/>
      </c>
      <c r="I7194">
        <f>IF(C7194="C99999",1,0)</f>
        <v/>
      </c>
      <c r="J7194" s="5">
        <f>IF(OR(H7194=1,I7194=1),0,IF(G7194="Credit",-F7194,F7194))</f>
        <v/>
      </c>
    </row>
    <row r="7195">
      <c r="A7195" t="inlineStr">
        <is>
          <t>2026-09-07</t>
        </is>
      </c>
      <c r="B7195" t="inlineStr">
        <is>
          <t>F281611</t>
        </is>
      </c>
      <c r="C7195" t="inlineStr">
        <is>
          <t>C11140</t>
        </is>
      </c>
      <c r="D7195" t="inlineStr">
        <is>
          <t>SKU-10019</t>
        </is>
      </c>
      <c r="E7195" t="inlineStr">
        <is>
          <t>AM11</t>
        </is>
      </c>
      <c r="F7195" s="5" t="n">
        <v>132.03</v>
      </c>
      <c r="G7195">
        <f>IF(LEFT(B7195,1)="C","Credit","Factuur")</f>
        <v/>
      </c>
      <c r="H7195">
        <f>IF(AND(B7195=B7194,D7195=D7194,A7195=A7194,F7195=F7194),1,0)</f>
        <v/>
      </c>
      <c r="I7195">
        <f>IF(C7195="C99999",1,0)</f>
        <v/>
      </c>
      <c r="J7195" s="5">
        <f>IF(OR(H7195=1,I7195=1),0,IF(G7195="Credit",-F7195,F7195))</f>
        <v/>
      </c>
    </row>
    <row r="7196">
      <c r="A7196" t="inlineStr">
        <is>
          <t>2026-09-07</t>
        </is>
      </c>
      <c r="B7196" t="inlineStr">
        <is>
          <t>F281611</t>
        </is>
      </c>
      <c r="C7196" t="inlineStr">
        <is>
          <t>C11140</t>
        </is>
      </c>
      <c r="D7196" t="inlineStr">
        <is>
          <t>SKU-10066</t>
        </is>
      </c>
      <c r="E7196" t="inlineStr">
        <is>
          <t>AM11</t>
        </is>
      </c>
      <c r="F7196" s="5" t="n">
        <v>135.36</v>
      </c>
      <c r="G7196">
        <f>IF(LEFT(B7196,1)="C","Credit","Factuur")</f>
        <v/>
      </c>
      <c r="H7196">
        <f>IF(AND(B7196=B7195,D7196=D7195,A7196=A7195,F7196=F7195),1,0)</f>
        <v/>
      </c>
      <c r="I7196">
        <f>IF(C7196="C99999",1,0)</f>
        <v/>
      </c>
      <c r="J7196" s="5">
        <f>IF(OR(H7196=1,I7196=1),0,IF(G7196="Credit",-F7196,F7196))</f>
        <v/>
      </c>
    </row>
    <row r="7197">
      <c r="A7197" t="inlineStr">
        <is>
          <t>2026-09-07</t>
        </is>
      </c>
      <c r="B7197" t="inlineStr">
        <is>
          <t>F281611</t>
        </is>
      </c>
      <c r="C7197" t="inlineStr">
        <is>
          <t>C11140</t>
        </is>
      </c>
      <c r="D7197" t="inlineStr">
        <is>
          <t>SKU-10115</t>
        </is>
      </c>
      <c r="E7197" t="inlineStr">
        <is>
          <t>AM11</t>
        </is>
      </c>
      <c r="F7197" s="5" t="n">
        <v>147.57</v>
      </c>
      <c r="G7197">
        <f>IF(LEFT(B7197,1)="C","Credit","Factuur")</f>
        <v/>
      </c>
      <c r="H7197">
        <f>IF(AND(B7197=B7196,D7197=D7196,A7197=A7196,F7197=F7196),1,0)</f>
        <v/>
      </c>
      <c r="I7197">
        <f>IF(C7197="C99999",1,0)</f>
        <v/>
      </c>
      <c r="J7197" s="5">
        <f>IF(OR(H7197=1,I7197=1),0,IF(G7197="Credit",-F7197,F7197))</f>
        <v/>
      </c>
    </row>
    <row r="7198">
      <c r="A7198" t="inlineStr">
        <is>
          <t>2026-09-07</t>
        </is>
      </c>
      <c r="B7198" t="inlineStr">
        <is>
          <t>F281991</t>
        </is>
      </c>
      <c r="C7198" t="inlineStr">
        <is>
          <t>C11156</t>
        </is>
      </c>
      <c r="D7198" t="inlineStr">
        <is>
          <t>SKU-10210</t>
        </is>
      </c>
      <c r="E7198" t="inlineStr">
        <is>
          <t>AM01</t>
        </is>
      </c>
      <c r="F7198" s="5" t="n">
        <v>1142.28</v>
      </c>
      <c r="G7198">
        <f>IF(LEFT(B7198,1)="C","Credit","Factuur")</f>
        <v/>
      </c>
      <c r="H7198">
        <f>IF(AND(B7198=B7197,D7198=D7197,A7198=A7197,F7198=F7197),1,0)</f>
        <v/>
      </c>
      <c r="I7198">
        <f>IF(C7198="C99999",1,0)</f>
        <v/>
      </c>
      <c r="J7198" s="5">
        <f>IF(OR(H7198=1,I7198=1),0,IF(G7198="Credit",-F7198,F7198))</f>
        <v/>
      </c>
    </row>
    <row r="7199">
      <c r="A7199" t="inlineStr">
        <is>
          <t>2026-09-07</t>
        </is>
      </c>
      <c r="B7199" t="inlineStr">
        <is>
          <t>F281991</t>
        </is>
      </c>
      <c r="C7199" t="inlineStr">
        <is>
          <t>C11156</t>
        </is>
      </c>
      <c r="D7199" t="inlineStr">
        <is>
          <t>SKU-10257</t>
        </is>
      </c>
      <c r="E7199" t="inlineStr">
        <is>
          <t>AM01</t>
        </is>
      </c>
      <c r="F7199" s="5" t="n">
        <v>1140.02</v>
      </c>
      <c r="G7199">
        <f>IF(LEFT(B7199,1)="C","Credit","Factuur")</f>
        <v/>
      </c>
      <c r="H7199">
        <f>IF(AND(B7199=B7198,D7199=D7198,A7199=A7198,F7199=F7198),1,0)</f>
        <v/>
      </c>
      <c r="I7199">
        <f>IF(C7199="C99999",1,0)</f>
        <v/>
      </c>
      <c r="J7199" s="5">
        <f>IF(OR(H7199=1,I7199=1),0,IF(G7199="Credit",-F7199,F7199))</f>
        <v/>
      </c>
    </row>
    <row r="7200">
      <c r="A7200" t="inlineStr">
        <is>
          <t>2026-09-07</t>
        </is>
      </c>
      <c r="B7200" t="inlineStr">
        <is>
          <t>F282523</t>
        </is>
      </c>
      <c r="C7200" t="inlineStr">
        <is>
          <t>C11183</t>
        </is>
      </c>
      <c r="D7200" t="inlineStr">
        <is>
          <t>SKU-10038</t>
        </is>
      </c>
      <c r="E7200" t="inlineStr">
        <is>
          <t>AM08</t>
        </is>
      </c>
      <c r="F7200" s="5" t="n">
        <v>1714.14</v>
      </c>
      <c r="G7200">
        <f>IF(LEFT(B7200,1)="C","Credit","Factuur")</f>
        <v/>
      </c>
      <c r="H7200">
        <f>IF(AND(B7200=B7199,D7200=D7199,A7200=A7199,F7200=F7199),1,0)</f>
        <v/>
      </c>
      <c r="I7200">
        <f>IF(C7200="C99999",1,0)</f>
        <v/>
      </c>
      <c r="J7200" s="5">
        <f>IF(OR(H7200=1,I7200=1),0,IF(G7200="Credit",-F7200,F7200))</f>
        <v/>
      </c>
    </row>
    <row r="7201">
      <c r="A7201" t="inlineStr">
        <is>
          <t>2026-09-07</t>
        </is>
      </c>
      <c r="B7201" t="inlineStr">
        <is>
          <t>F282587</t>
        </is>
      </c>
      <c r="C7201" t="inlineStr">
        <is>
          <t>C11185</t>
        </is>
      </c>
      <c r="D7201" t="inlineStr">
        <is>
          <t>SKU-10038</t>
        </is>
      </c>
      <c r="E7201" t="inlineStr">
        <is>
          <t>AM08</t>
        </is>
      </c>
      <c r="F7201" s="5" t="n">
        <v>410.31</v>
      </c>
      <c r="G7201">
        <f>IF(LEFT(B7201,1)="C","Credit","Factuur")</f>
        <v/>
      </c>
      <c r="H7201">
        <f>IF(AND(B7201=B7200,D7201=D7200,A7201=A7200,F7201=F7200),1,0)</f>
        <v/>
      </c>
      <c r="I7201">
        <f>IF(C7201="C99999",1,0)</f>
        <v/>
      </c>
      <c r="J7201" s="5">
        <f>IF(OR(H7201=1,I7201=1),0,IF(G7201="Credit",-F7201,F7201))</f>
        <v/>
      </c>
    </row>
    <row r="7202">
      <c r="A7202" t="inlineStr">
        <is>
          <t>2026-09-07</t>
        </is>
      </c>
      <c r="B7202" t="inlineStr">
        <is>
          <t>F282587</t>
        </is>
      </c>
      <c r="C7202" t="inlineStr">
        <is>
          <t>C11185</t>
        </is>
      </c>
      <c r="D7202" t="inlineStr">
        <is>
          <t>SKU-10049</t>
        </is>
      </c>
      <c r="E7202" t="inlineStr">
        <is>
          <t>AM08</t>
        </is>
      </c>
      <c r="F7202" s="5" t="n">
        <v>425.28</v>
      </c>
      <c r="G7202">
        <f>IF(LEFT(B7202,1)="C","Credit","Factuur")</f>
        <v/>
      </c>
      <c r="H7202">
        <f>IF(AND(B7202=B7201,D7202=D7201,A7202=A7201,F7202=F7201),1,0)</f>
        <v/>
      </c>
      <c r="I7202">
        <f>IF(C7202="C99999",1,0)</f>
        <v/>
      </c>
      <c r="J7202" s="5">
        <f>IF(OR(H7202=1,I7202=1),0,IF(G7202="Credit",-F7202,F7202))</f>
        <v/>
      </c>
    </row>
    <row r="7203">
      <c r="A7203" t="inlineStr">
        <is>
          <t>2026-09-07</t>
        </is>
      </c>
      <c r="B7203" t="inlineStr">
        <is>
          <t>F282587</t>
        </is>
      </c>
      <c r="C7203" t="inlineStr">
        <is>
          <t>C11185</t>
        </is>
      </c>
      <c r="D7203" t="inlineStr">
        <is>
          <t>SKU-10160</t>
        </is>
      </c>
      <c r="E7203" t="inlineStr">
        <is>
          <t>AM08</t>
        </is>
      </c>
      <c r="F7203" s="5" t="n">
        <v>364.34</v>
      </c>
      <c r="G7203">
        <f>IF(LEFT(B7203,1)="C","Credit","Factuur")</f>
        <v/>
      </c>
      <c r="H7203">
        <f>IF(AND(B7203=B7202,D7203=D7202,A7203=A7202,F7203=F7202),1,0)</f>
        <v/>
      </c>
      <c r="I7203">
        <f>IF(C7203="C99999",1,0)</f>
        <v/>
      </c>
      <c r="J7203" s="5">
        <f>IF(OR(H7203=1,I7203=1),0,IF(G7203="Credit",-F7203,F7203))</f>
        <v/>
      </c>
    </row>
    <row r="7204">
      <c r="A7204" t="inlineStr">
        <is>
          <t>2026-09-07</t>
        </is>
      </c>
      <c r="B7204" t="inlineStr">
        <is>
          <t>F282587</t>
        </is>
      </c>
      <c r="C7204" t="inlineStr">
        <is>
          <t>C11185</t>
        </is>
      </c>
      <c r="D7204" t="inlineStr">
        <is>
          <t>SKU-10180</t>
        </is>
      </c>
      <c r="E7204" t="inlineStr">
        <is>
          <t>AM08</t>
        </is>
      </c>
      <c r="F7204" s="5" t="n">
        <v>379.28</v>
      </c>
      <c r="G7204">
        <f>IF(LEFT(B7204,1)="C","Credit","Factuur")</f>
        <v/>
      </c>
      <c r="H7204">
        <f>IF(AND(B7204=B7203,D7204=D7203,A7204=A7203,F7204=F7203),1,0)</f>
        <v/>
      </c>
      <c r="I7204">
        <f>IF(C7204="C99999",1,0)</f>
        <v/>
      </c>
      <c r="J7204" s="5">
        <f>IF(OR(H7204=1,I7204=1),0,IF(G7204="Credit",-F7204,F7204))</f>
        <v/>
      </c>
    </row>
    <row r="7205">
      <c r="A7205" t="inlineStr">
        <is>
          <t>2026-09-07</t>
        </is>
      </c>
      <c r="B7205" t="inlineStr">
        <is>
          <t>F284213</t>
        </is>
      </c>
      <c r="C7205" t="inlineStr">
        <is>
          <t>C11265</t>
        </is>
      </c>
      <c r="D7205" t="inlineStr">
        <is>
          <t>SKU-10028</t>
        </is>
      </c>
      <c r="E7205" t="inlineStr">
        <is>
          <t>AM07</t>
        </is>
      </c>
      <c r="F7205" s="5" t="n">
        <v>364.64</v>
      </c>
      <c r="G7205">
        <f>IF(LEFT(B7205,1)="C","Credit","Factuur")</f>
        <v/>
      </c>
      <c r="H7205">
        <f>IF(AND(B7205=B7204,D7205=D7204,A7205=A7204,F7205=F7204),1,0)</f>
        <v/>
      </c>
      <c r="I7205">
        <f>IF(C7205="C99999",1,0)</f>
        <v/>
      </c>
      <c r="J7205" s="5">
        <f>IF(OR(H7205=1,I7205=1),0,IF(G7205="Credit",-F7205,F7205))</f>
        <v/>
      </c>
    </row>
    <row r="7206">
      <c r="A7206" t="inlineStr">
        <is>
          <t>2026-09-07</t>
        </is>
      </c>
      <c r="B7206" t="inlineStr">
        <is>
          <t>F284213</t>
        </is>
      </c>
      <c r="C7206" t="inlineStr">
        <is>
          <t>C11265</t>
        </is>
      </c>
      <c r="D7206" t="inlineStr">
        <is>
          <t>SKU-10301</t>
        </is>
      </c>
      <c r="E7206" t="inlineStr">
        <is>
          <t>AM07</t>
        </is>
      </c>
      <c r="F7206" s="5" t="n">
        <v>404.6</v>
      </c>
      <c r="G7206">
        <f>IF(LEFT(B7206,1)="C","Credit","Factuur")</f>
        <v/>
      </c>
      <c r="H7206">
        <f>IF(AND(B7206=B7205,D7206=D7205,A7206=A7205,F7206=F7205),1,0)</f>
        <v/>
      </c>
      <c r="I7206">
        <f>IF(C7206="C99999",1,0)</f>
        <v/>
      </c>
      <c r="J7206" s="5">
        <f>IF(OR(H7206=1,I7206=1),0,IF(G7206="Credit",-F7206,F7206))</f>
        <v/>
      </c>
    </row>
    <row r="7207">
      <c r="A7207" t="inlineStr">
        <is>
          <t>2026-09-07</t>
        </is>
      </c>
      <c r="B7207" t="inlineStr">
        <is>
          <t>F285013</t>
        </is>
      </c>
      <c r="C7207" t="inlineStr">
        <is>
          <t>C11309</t>
        </is>
      </c>
      <c r="D7207" t="inlineStr">
        <is>
          <t>SKU-10130</t>
        </is>
      </c>
      <c r="E7207" t="inlineStr">
        <is>
          <t>AM05</t>
        </is>
      </c>
      <c r="F7207" s="5" t="n">
        <v>227.16</v>
      </c>
      <c r="G7207">
        <f>IF(LEFT(B7207,1)="C","Credit","Factuur")</f>
        <v/>
      </c>
      <c r="H7207">
        <f>IF(AND(B7207=B7206,D7207=D7206,A7207=A7206,F7207=F7206),1,0)</f>
        <v/>
      </c>
      <c r="I7207">
        <f>IF(C7207="C99999",1,0)</f>
        <v/>
      </c>
      <c r="J7207" s="5">
        <f>IF(OR(H7207=1,I7207=1),0,IF(G7207="Credit",-F7207,F7207))</f>
        <v/>
      </c>
    </row>
    <row r="7208">
      <c r="A7208" t="inlineStr">
        <is>
          <t>2026-09-07</t>
        </is>
      </c>
      <c r="B7208" t="inlineStr">
        <is>
          <t>F285013</t>
        </is>
      </c>
      <c r="C7208" t="inlineStr">
        <is>
          <t>C11309</t>
        </is>
      </c>
      <c r="D7208" t="inlineStr">
        <is>
          <t>SKU-10343</t>
        </is>
      </c>
      <c r="E7208" t="inlineStr">
        <is>
          <t>AM05</t>
        </is>
      </c>
      <c r="F7208" s="5" t="n">
        <v>226.56</v>
      </c>
      <c r="G7208">
        <f>IF(LEFT(B7208,1)="C","Credit","Factuur")</f>
        <v/>
      </c>
      <c r="H7208">
        <f>IF(AND(B7208=B7207,D7208=D7207,A7208=A7207,F7208=F7207),1,0)</f>
        <v/>
      </c>
      <c r="I7208">
        <f>IF(C7208="C99999",1,0)</f>
        <v/>
      </c>
      <c r="J7208" s="5">
        <f>IF(OR(H7208=1,I7208=1),0,IF(G7208="Credit",-F7208,F7208))</f>
        <v/>
      </c>
    </row>
    <row r="7209">
      <c r="A7209" t="inlineStr">
        <is>
          <t>2026-09-07</t>
        </is>
      </c>
      <c r="B7209" t="inlineStr">
        <is>
          <t>F285013</t>
        </is>
      </c>
      <c r="C7209" t="inlineStr">
        <is>
          <t>C11309</t>
        </is>
      </c>
      <c r="D7209" t="inlineStr">
        <is>
          <t>SKU-10369</t>
        </is>
      </c>
      <c r="E7209" t="inlineStr">
        <is>
          <t>AM05</t>
        </is>
      </c>
      <c r="F7209" s="5" t="n">
        <v>213.09</v>
      </c>
      <c r="G7209">
        <f>IF(LEFT(B7209,1)="C","Credit","Factuur")</f>
        <v/>
      </c>
      <c r="H7209">
        <f>IF(AND(B7209=B7208,D7209=D7208,A7209=A7208,F7209=F7208),1,0)</f>
        <v/>
      </c>
      <c r="I7209">
        <f>IF(C7209="C99999",1,0)</f>
        <v/>
      </c>
      <c r="J7209" s="5">
        <f>IF(OR(H7209=1,I7209=1),0,IF(G7209="Credit",-F7209,F7209))</f>
        <v/>
      </c>
    </row>
    <row r="7210">
      <c r="A7210" t="inlineStr">
        <is>
          <t>2026-09-07</t>
        </is>
      </c>
      <c r="B7210" t="inlineStr">
        <is>
          <t>F285288</t>
        </is>
      </c>
      <c r="C7210" t="inlineStr">
        <is>
          <t>C11324</t>
        </is>
      </c>
      <c r="D7210" t="inlineStr">
        <is>
          <t>SKU-10284</t>
        </is>
      </c>
      <c r="E7210" t="inlineStr">
        <is>
          <t>AM03</t>
        </is>
      </c>
      <c r="F7210" s="5" t="n">
        <v>2264.99</v>
      </c>
      <c r="G7210">
        <f>IF(LEFT(B7210,1)="C","Credit","Factuur")</f>
        <v/>
      </c>
      <c r="H7210">
        <f>IF(AND(B7210=B7209,D7210=D7209,A7210=A7209,F7210=F7209),1,0)</f>
        <v/>
      </c>
      <c r="I7210">
        <f>IF(C7210="C99999",1,0)</f>
        <v/>
      </c>
      <c r="J7210" s="5">
        <f>IF(OR(H7210=1,I7210=1),0,IF(G7210="Credit",-F7210,F7210))</f>
        <v/>
      </c>
    </row>
    <row r="7211">
      <c r="A7211" t="inlineStr">
        <is>
          <t>2026-09-07</t>
        </is>
      </c>
      <c r="B7211" t="inlineStr">
        <is>
          <t>F285305</t>
        </is>
      </c>
      <c r="C7211" t="inlineStr">
        <is>
          <t>C11324</t>
        </is>
      </c>
      <c r="D7211" t="inlineStr">
        <is>
          <t>SKU-10044</t>
        </is>
      </c>
      <c r="E7211" t="inlineStr"/>
      <c r="F7211" s="5" t="n">
        <v>588.96</v>
      </c>
      <c r="G7211">
        <f>IF(LEFT(B7211,1)="C","Credit","Factuur")</f>
        <v/>
      </c>
      <c r="H7211">
        <f>IF(AND(B7211=B7210,D7211=D7210,A7211=A7210,F7211=F7210),1,0)</f>
        <v/>
      </c>
      <c r="I7211">
        <f>IF(C7211="C99999",1,0)</f>
        <v/>
      </c>
      <c r="J7211" s="5">
        <f>IF(OR(H7211=1,I7211=1),0,IF(G7211="Credit",-F7211,F7211))</f>
        <v/>
      </c>
    </row>
    <row r="7212">
      <c r="A7212" t="inlineStr">
        <is>
          <t>2026-09-07</t>
        </is>
      </c>
      <c r="B7212" t="inlineStr">
        <is>
          <t>F285305</t>
        </is>
      </c>
      <c r="C7212" t="inlineStr">
        <is>
          <t>C11324</t>
        </is>
      </c>
      <c r="D7212" t="inlineStr">
        <is>
          <t>SKU-10230</t>
        </is>
      </c>
      <c r="E7212" t="inlineStr">
        <is>
          <t>AM03</t>
        </is>
      </c>
      <c r="F7212" s="5" t="n">
        <v>586.74</v>
      </c>
      <c r="G7212">
        <f>IF(LEFT(B7212,1)="C","Credit","Factuur")</f>
        <v/>
      </c>
      <c r="H7212">
        <f>IF(AND(B7212=B7211,D7212=D7211,A7212=A7211,F7212=F7211),1,0)</f>
        <v/>
      </c>
      <c r="I7212">
        <f>IF(C7212="C99999",1,0)</f>
        <v/>
      </c>
      <c r="J7212" s="5">
        <f>IF(OR(H7212=1,I7212=1),0,IF(G7212="Credit",-F7212,F7212))</f>
        <v/>
      </c>
    </row>
    <row r="7213">
      <c r="A7213" t="inlineStr">
        <is>
          <t>2026-09-07</t>
        </is>
      </c>
      <c r="B7213" t="inlineStr">
        <is>
          <t>F285305</t>
        </is>
      </c>
      <c r="C7213" t="inlineStr">
        <is>
          <t>C11324</t>
        </is>
      </c>
      <c r="D7213" t="inlineStr">
        <is>
          <t>SKU-10268</t>
        </is>
      </c>
      <c r="E7213" t="inlineStr">
        <is>
          <t>AM03</t>
        </is>
      </c>
      <c r="F7213" s="5" t="n">
        <v>596.24</v>
      </c>
      <c r="G7213">
        <f>IF(LEFT(B7213,1)="C","Credit","Factuur")</f>
        <v/>
      </c>
      <c r="H7213">
        <f>IF(AND(B7213=B7212,D7213=D7212,A7213=A7212,F7213=F7212),1,0)</f>
        <v/>
      </c>
      <c r="I7213">
        <f>IF(C7213="C99999",1,0)</f>
        <v/>
      </c>
      <c r="J7213" s="5">
        <f>IF(OR(H7213=1,I7213=1),0,IF(G7213="Credit",-F7213,F7213))</f>
        <v/>
      </c>
    </row>
    <row r="7214">
      <c r="A7214" t="inlineStr">
        <is>
          <t>2026-09-07</t>
        </is>
      </c>
      <c r="B7214" t="inlineStr">
        <is>
          <t>F285726</t>
        </is>
      </c>
      <c r="C7214" t="inlineStr">
        <is>
          <t>C11344</t>
        </is>
      </c>
      <c r="D7214" t="inlineStr">
        <is>
          <t>SKU-10051</t>
        </is>
      </c>
      <c r="E7214" t="inlineStr">
        <is>
          <t>AM09</t>
        </is>
      </c>
      <c r="F7214" s="5" t="n">
        <v>4822.88</v>
      </c>
      <c r="G7214">
        <f>IF(LEFT(B7214,1)="C","Credit","Factuur")</f>
        <v/>
      </c>
      <c r="H7214">
        <f>IF(AND(B7214=B7213,D7214=D7213,A7214=A7213,F7214=F7213),1,0)</f>
        <v/>
      </c>
      <c r="I7214">
        <f>IF(C7214="C99999",1,0)</f>
        <v/>
      </c>
      <c r="J7214" s="5">
        <f>IF(OR(H7214=1,I7214=1),0,IF(G7214="Credit",-F7214,F7214))</f>
        <v/>
      </c>
    </row>
    <row r="7215">
      <c r="A7215" t="inlineStr">
        <is>
          <t>2026-09-07</t>
        </is>
      </c>
      <c r="B7215" t="inlineStr">
        <is>
          <t>F285726</t>
        </is>
      </c>
      <c r="C7215" t="inlineStr">
        <is>
          <t>C11344</t>
        </is>
      </c>
      <c r="D7215" t="inlineStr">
        <is>
          <t>SKU-10224</t>
        </is>
      </c>
      <c r="E7215" t="inlineStr">
        <is>
          <t>AM09</t>
        </is>
      </c>
      <c r="F7215" s="5" t="n">
        <v>5101.5</v>
      </c>
      <c r="G7215">
        <f>IF(LEFT(B7215,1)="C","Credit","Factuur")</f>
        <v/>
      </c>
      <c r="H7215">
        <f>IF(AND(B7215=B7214,D7215=D7214,A7215=A7214,F7215=F7214),1,0)</f>
        <v/>
      </c>
      <c r="I7215">
        <f>IF(C7215="C99999",1,0)</f>
        <v/>
      </c>
      <c r="J7215" s="5">
        <f>IF(OR(H7215=1,I7215=1),0,IF(G7215="Credit",-F7215,F7215))</f>
        <v/>
      </c>
    </row>
    <row r="7216">
      <c r="A7216" t="inlineStr">
        <is>
          <t>2026-09-07</t>
        </is>
      </c>
      <c r="B7216" t="inlineStr">
        <is>
          <t>F285726</t>
        </is>
      </c>
      <c r="C7216" t="inlineStr">
        <is>
          <t>C11344</t>
        </is>
      </c>
      <c r="D7216" t="inlineStr">
        <is>
          <t>SKU-10296</t>
        </is>
      </c>
      <c r="E7216" t="inlineStr">
        <is>
          <t>AM09</t>
        </is>
      </c>
      <c r="F7216" s="5" t="n">
        <v>4331.01</v>
      </c>
      <c r="G7216">
        <f>IF(LEFT(B7216,1)="C","Credit","Factuur")</f>
        <v/>
      </c>
      <c r="H7216">
        <f>IF(AND(B7216=B7215,D7216=D7215,A7216=A7215,F7216=F7215),1,0)</f>
        <v/>
      </c>
      <c r="I7216">
        <f>IF(C7216="C99999",1,0)</f>
        <v/>
      </c>
      <c r="J7216" s="5">
        <f>IF(OR(H7216=1,I7216=1),0,IF(G7216="Credit",-F7216,F7216))</f>
        <v/>
      </c>
    </row>
    <row r="7217">
      <c r="A7217" t="inlineStr">
        <is>
          <t>2026-09-07</t>
        </is>
      </c>
      <c r="B7217" t="inlineStr">
        <is>
          <t>F285726</t>
        </is>
      </c>
      <c r="C7217" t="inlineStr">
        <is>
          <t>C11344</t>
        </is>
      </c>
      <c r="D7217" t="inlineStr">
        <is>
          <t>SKU-10340</t>
        </is>
      </c>
      <c r="E7217" t="inlineStr">
        <is>
          <t>AM09</t>
        </is>
      </c>
      <c r="F7217" s="5" t="n">
        <v>5106.24</v>
      </c>
      <c r="G7217">
        <f>IF(LEFT(B7217,1)="C","Credit","Factuur")</f>
        <v/>
      </c>
      <c r="H7217">
        <f>IF(AND(B7217=B7216,D7217=D7216,A7217=A7216,F7217=F7216),1,0)</f>
        <v/>
      </c>
      <c r="I7217">
        <f>IF(C7217="C99999",1,0)</f>
        <v/>
      </c>
      <c r="J7217" s="5">
        <f>IF(OR(H7217=1,I7217=1),0,IF(G7217="Credit",-F7217,F7217))</f>
        <v/>
      </c>
    </row>
    <row r="7218">
      <c r="A7218" t="inlineStr">
        <is>
          <t>2026-09-07</t>
        </is>
      </c>
      <c r="B7218" t="inlineStr">
        <is>
          <t>F286132</t>
        </is>
      </c>
      <c r="C7218" t="inlineStr">
        <is>
          <t>C11366</t>
        </is>
      </c>
      <c r="D7218" t="inlineStr">
        <is>
          <t>SKU-10006</t>
        </is>
      </c>
      <c r="E7218" t="inlineStr">
        <is>
          <t>AM09</t>
        </is>
      </c>
      <c r="F7218" s="5" t="n">
        <v>163.1</v>
      </c>
      <c r="G7218">
        <f>IF(LEFT(B7218,1)="C","Credit","Factuur")</f>
        <v/>
      </c>
      <c r="H7218">
        <f>IF(AND(B7218=B7217,D7218=D7217,A7218=A7217,F7218=F7217),1,0)</f>
        <v/>
      </c>
      <c r="I7218">
        <f>IF(C7218="C99999",1,0)</f>
        <v/>
      </c>
      <c r="J7218" s="5">
        <f>IF(OR(H7218=1,I7218=1),0,IF(G7218="Credit",-F7218,F7218))</f>
        <v/>
      </c>
    </row>
    <row r="7219">
      <c r="A7219" t="inlineStr">
        <is>
          <t>2026-09-07</t>
        </is>
      </c>
      <c r="B7219" t="inlineStr">
        <is>
          <t>F286132</t>
        </is>
      </c>
      <c r="C7219" t="inlineStr">
        <is>
          <t>C11366</t>
        </is>
      </c>
      <c r="D7219" t="inlineStr">
        <is>
          <t>SKU-10261</t>
        </is>
      </c>
      <c r="E7219" t="inlineStr">
        <is>
          <t>AM09</t>
        </is>
      </c>
      <c r="F7219" s="5" t="n">
        <v>160.51</v>
      </c>
      <c r="G7219">
        <f>IF(LEFT(B7219,1)="C","Credit","Factuur")</f>
        <v/>
      </c>
      <c r="H7219">
        <f>IF(AND(B7219=B7218,D7219=D7218,A7219=A7218,F7219=F7218),1,0)</f>
        <v/>
      </c>
      <c r="I7219">
        <f>IF(C7219="C99999",1,0)</f>
        <v/>
      </c>
      <c r="J7219" s="5">
        <f>IF(OR(H7219=1,I7219=1),0,IF(G7219="Credit",-F7219,F7219))</f>
        <v/>
      </c>
    </row>
    <row r="7220">
      <c r="A7220" t="inlineStr">
        <is>
          <t>2026-09-07</t>
        </is>
      </c>
      <c r="B7220" t="inlineStr">
        <is>
          <t>F286132</t>
        </is>
      </c>
      <c r="C7220" t="inlineStr">
        <is>
          <t>C11366</t>
        </is>
      </c>
      <c r="D7220" t="inlineStr">
        <is>
          <t>SKU-10263</t>
        </is>
      </c>
      <c r="E7220" t="inlineStr">
        <is>
          <t>AM09</t>
        </is>
      </c>
      <c r="F7220" s="5" t="n">
        <v>171.08</v>
      </c>
      <c r="G7220">
        <f>IF(LEFT(B7220,1)="C","Credit","Factuur")</f>
        <v/>
      </c>
      <c r="H7220">
        <f>IF(AND(B7220=B7219,D7220=D7219,A7220=A7219,F7220=F7219),1,0)</f>
        <v/>
      </c>
      <c r="I7220">
        <f>IF(C7220="C99999",1,0)</f>
        <v/>
      </c>
      <c r="J7220" s="5">
        <f>IF(OR(H7220=1,I7220=1),0,IF(G7220="Credit",-F7220,F7220))</f>
        <v/>
      </c>
    </row>
    <row r="7221">
      <c r="A7221" t="inlineStr">
        <is>
          <t>2026-09-07</t>
        </is>
      </c>
      <c r="B7221" t="inlineStr">
        <is>
          <t>F286132</t>
        </is>
      </c>
      <c r="C7221" t="inlineStr">
        <is>
          <t>C11366</t>
        </is>
      </c>
      <c r="D7221" t="inlineStr">
        <is>
          <t>SKU-10270</t>
        </is>
      </c>
      <c r="E7221" t="inlineStr">
        <is>
          <t>AM09</t>
        </is>
      </c>
      <c r="F7221" s="5" t="n">
        <v>173.12</v>
      </c>
      <c r="G7221">
        <f>IF(LEFT(B7221,1)="C","Credit","Factuur")</f>
        <v/>
      </c>
      <c r="H7221">
        <f>IF(AND(B7221=B7220,D7221=D7220,A7221=A7220,F7221=F7220),1,0)</f>
        <v/>
      </c>
      <c r="I7221">
        <f>IF(C7221="C99999",1,0)</f>
        <v/>
      </c>
      <c r="J7221" s="5">
        <f>IF(OR(H7221=1,I7221=1),0,IF(G7221="Credit",-F7221,F7221))</f>
        <v/>
      </c>
    </row>
    <row r="7222">
      <c r="A7222" t="inlineStr">
        <is>
          <t>2026-09-07</t>
        </is>
      </c>
      <c r="B7222" t="inlineStr">
        <is>
          <t>F286132</t>
        </is>
      </c>
      <c r="C7222" t="inlineStr">
        <is>
          <t>C11366</t>
        </is>
      </c>
      <c r="D7222" t="inlineStr">
        <is>
          <t>SKU-10274</t>
        </is>
      </c>
      <c r="E7222" t="inlineStr">
        <is>
          <t>AM09</t>
        </is>
      </c>
      <c r="F7222" s="5" t="n">
        <v>179.69</v>
      </c>
      <c r="G7222">
        <f>IF(LEFT(B7222,1)="C","Credit","Factuur")</f>
        <v/>
      </c>
      <c r="H7222">
        <f>IF(AND(B7222=B7221,D7222=D7221,A7222=A7221,F7222=F7221),1,0)</f>
        <v/>
      </c>
      <c r="I7222">
        <f>IF(C7222="C99999",1,0)</f>
        <v/>
      </c>
      <c r="J7222" s="5">
        <f>IF(OR(H7222=1,I7222=1),0,IF(G7222="Credit",-F7222,F7222))</f>
        <v/>
      </c>
    </row>
    <row r="7223">
      <c r="A7223" t="inlineStr">
        <is>
          <t>2026-09-07</t>
        </is>
      </c>
      <c r="B7223" t="inlineStr">
        <is>
          <t>F286203</t>
        </is>
      </c>
      <c r="C7223" t="inlineStr">
        <is>
          <t>C11370</t>
        </is>
      </c>
      <c r="D7223" t="inlineStr">
        <is>
          <t>SKU-10227</t>
        </is>
      </c>
      <c r="E7223" t="inlineStr">
        <is>
          <t>AM09</t>
        </is>
      </c>
      <c r="F7223" s="5" t="n">
        <v>1617.58</v>
      </c>
      <c r="G7223">
        <f>IF(LEFT(B7223,1)="C","Credit","Factuur")</f>
        <v/>
      </c>
      <c r="H7223">
        <f>IF(AND(B7223=B7222,D7223=D7222,A7223=A7222,F7223=F7222),1,0)</f>
        <v/>
      </c>
      <c r="I7223">
        <f>IF(C7223="C99999",1,0)</f>
        <v/>
      </c>
      <c r="J7223" s="5">
        <f>IF(OR(H7223=1,I7223=1),0,IF(G7223="Credit",-F7223,F7223))</f>
        <v/>
      </c>
    </row>
    <row r="7224">
      <c r="A7224" t="inlineStr">
        <is>
          <t>2026-09-07</t>
        </is>
      </c>
      <c r="B7224" t="inlineStr">
        <is>
          <t>F286421</t>
        </is>
      </c>
      <c r="C7224" t="inlineStr">
        <is>
          <t>C99999</t>
        </is>
      </c>
      <c r="D7224" t="inlineStr">
        <is>
          <t>SKU-10072</t>
        </is>
      </c>
      <c r="E7224" t="inlineStr">
        <is>
          <t>IS01</t>
        </is>
      </c>
      <c r="F7224" s="5" t="n">
        <v>49.62</v>
      </c>
      <c r="G7224">
        <f>IF(LEFT(B7224,1)="C","Credit","Factuur")</f>
        <v/>
      </c>
      <c r="H7224">
        <f>IF(AND(B7224=B7223,D7224=D7223,A7224=A7223,F7224=F7223),1,0)</f>
        <v/>
      </c>
      <c r="I7224">
        <f>IF(C7224="C99999",1,0)</f>
        <v/>
      </c>
      <c r="J7224" s="5">
        <f>IF(OR(H7224=1,I7224=1),0,IF(G7224="Credit",-F7224,F7224))</f>
        <v/>
      </c>
    </row>
    <row r="7225">
      <c r="A7225" t="inlineStr">
        <is>
          <t>2026-09-07</t>
        </is>
      </c>
      <c r="B7225" t="inlineStr">
        <is>
          <t>F286421</t>
        </is>
      </c>
      <c r="C7225" t="inlineStr">
        <is>
          <t>C99999</t>
        </is>
      </c>
      <c r="D7225" t="inlineStr">
        <is>
          <t>SKU-10155</t>
        </is>
      </c>
      <c r="E7225" t="inlineStr">
        <is>
          <t>IS01</t>
        </is>
      </c>
      <c r="F7225" s="5" t="n">
        <v>49.82</v>
      </c>
      <c r="G7225">
        <f>IF(LEFT(B7225,1)="C","Credit","Factuur")</f>
        <v/>
      </c>
      <c r="H7225">
        <f>IF(AND(B7225=B7224,D7225=D7224,A7225=A7224,F7225=F7224),1,0)</f>
        <v/>
      </c>
      <c r="I7225">
        <f>IF(C7225="C99999",1,0)</f>
        <v/>
      </c>
      <c r="J7225" s="5">
        <f>IF(OR(H7225=1,I7225=1),0,IF(G7225="Credit",-F7225,F7225))</f>
        <v/>
      </c>
    </row>
    <row r="7226">
      <c r="A7226" t="inlineStr">
        <is>
          <t>2026-09-07</t>
        </is>
      </c>
      <c r="B7226" t="inlineStr">
        <is>
          <t>F286421</t>
        </is>
      </c>
      <c r="C7226" t="inlineStr">
        <is>
          <t>C99999</t>
        </is>
      </c>
      <c r="D7226" t="inlineStr">
        <is>
          <t>SKU-10160</t>
        </is>
      </c>
      <c r="E7226" t="inlineStr">
        <is>
          <t>IS01</t>
        </is>
      </c>
      <c r="F7226" s="5" t="n">
        <v>62.28</v>
      </c>
      <c r="G7226">
        <f>IF(LEFT(B7226,1)="C","Credit","Factuur")</f>
        <v/>
      </c>
      <c r="H7226">
        <f>IF(AND(B7226=B7225,D7226=D7225,A7226=A7225,F7226=F7225),1,0)</f>
        <v/>
      </c>
      <c r="I7226">
        <f>IF(C7226="C99999",1,0)</f>
        <v/>
      </c>
      <c r="J7226" s="5">
        <f>IF(OR(H7226=1,I7226=1),0,IF(G7226="Credit",-F7226,F7226))</f>
        <v/>
      </c>
    </row>
    <row r="7227">
      <c r="A7227" t="inlineStr">
        <is>
          <t>2026-09-08</t>
        </is>
      </c>
      <c r="B7227" t="inlineStr">
        <is>
          <t>C900238</t>
        </is>
      </c>
      <c r="C7227" t="inlineStr">
        <is>
          <t>C11182</t>
        </is>
      </c>
      <c r="D7227" t="inlineStr">
        <is>
          <t>SKU-10002</t>
        </is>
      </c>
      <c r="E7227" t="inlineStr">
        <is>
          <t>AM12</t>
        </is>
      </c>
      <c r="F7227" s="5" t="n">
        <v>344.22</v>
      </c>
      <c r="G7227">
        <f>IF(LEFT(B7227,1)="C","Credit","Factuur")</f>
        <v/>
      </c>
      <c r="H7227">
        <f>IF(AND(B7227=B7226,D7227=D7226,A7227=A7226,F7227=F7226),1,0)</f>
        <v/>
      </c>
      <c r="I7227">
        <f>IF(C7227="C99999",1,0)</f>
        <v/>
      </c>
      <c r="J7227" s="5">
        <f>IF(OR(H7227=1,I7227=1),0,IF(G7227="Credit",-F7227,F7227))</f>
        <v/>
      </c>
    </row>
    <row r="7228">
      <c r="A7228" t="inlineStr">
        <is>
          <t>2026-09-08</t>
        </is>
      </c>
      <c r="B7228" t="inlineStr">
        <is>
          <t>C901194</t>
        </is>
      </c>
      <c r="C7228" t="inlineStr">
        <is>
          <t>C11320</t>
        </is>
      </c>
      <c r="D7228" t="inlineStr">
        <is>
          <t>SKU-10312</t>
        </is>
      </c>
      <c r="E7228" t="inlineStr">
        <is>
          <t>AM11</t>
        </is>
      </c>
      <c r="F7228" s="5" t="n">
        <v>216.72</v>
      </c>
      <c r="G7228">
        <f>IF(LEFT(B7228,1)="C","Credit","Factuur")</f>
        <v/>
      </c>
      <c r="H7228">
        <f>IF(AND(B7228=B7227,D7228=D7227,A7228=A7227,F7228=F7227),1,0)</f>
        <v/>
      </c>
      <c r="I7228">
        <f>IF(C7228="C99999",1,0)</f>
        <v/>
      </c>
      <c r="J7228" s="5">
        <f>IF(OR(H7228=1,I7228=1),0,IF(G7228="Credit",-F7228,F7228))</f>
        <v/>
      </c>
    </row>
    <row r="7229">
      <c r="A7229" t="inlineStr">
        <is>
          <t>2026-09-08</t>
        </is>
      </c>
      <c r="B7229" t="inlineStr">
        <is>
          <t>C901414</t>
        </is>
      </c>
      <c r="C7229" t="inlineStr">
        <is>
          <t>C10091</t>
        </is>
      </c>
      <c r="D7229" t="inlineStr">
        <is>
          <t>SKU-10108</t>
        </is>
      </c>
      <c r="E7229" t="inlineStr">
        <is>
          <t>AM11</t>
        </is>
      </c>
      <c r="F7229" s="5" t="n">
        <v>185.86</v>
      </c>
      <c r="G7229">
        <f>IF(LEFT(B7229,1)="C","Credit","Factuur")</f>
        <v/>
      </c>
      <c r="H7229">
        <f>IF(AND(B7229=B7228,D7229=D7228,A7229=A7228,F7229=F7228),1,0)</f>
        <v/>
      </c>
      <c r="I7229">
        <f>IF(C7229="C99999",1,0)</f>
        <v/>
      </c>
      <c r="J7229" s="5">
        <f>IF(OR(H7229=1,I7229=1),0,IF(G7229="Credit",-F7229,F7229))</f>
        <v/>
      </c>
    </row>
    <row r="7230">
      <c r="A7230" t="inlineStr">
        <is>
          <t>2026-09-08</t>
        </is>
      </c>
      <c r="B7230" t="inlineStr">
        <is>
          <t>C901736</t>
        </is>
      </c>
      <c r="C7230" t="inlineStr">
        <is>
          <t>C10627</t>
        </is>
      </c>
      <c r="D7230" t="inlineStr">
        <is>
          <t>SKU-10130</t>
        </is>
      </c>
      <c r="E7230" t="inlineStr">
        <is>
          <t>AM07</t>
        </is>
      </c>
      <c r="F7230" s="5" t="n">
        <v>1817.28</v>
      </c>
      <c r="G7230">
        <f>IF(LEFT(B7230,1)="C","Credit","Factuur")</f>
        <v/>
      </c>
      <c r="H7230">
        <f>IF(AND(B7230=B7229,D7230=D7229,A7230=A7229,F7230=F7229),1,0)</f>
        <v/>
      </c>
      <c r="I7230">
        <f>IF(C7230="C99999",1,0)</f>
        <v/>
      </c>
      <c r="J7230" s="5">
        <f>IF(OR(H7230=1,I7230=1),0,IF(G7230="Credit",-F7230,F7230))</f>
        <v/>
      </c>
    </row>
    <row r="7231">
      <c r="A7231" t="inlineStr">
        <is>
          <t>2026-09-08</t>
        </is>
      </c>
      <c r="B7231" t="inlineStr">
        <is>
          <t>C902068</t>
        </is>
      </c>
      <c r="C7231" t="inlineStr">
        <is>
          <t>C10053</t>
        </is>
      </c>
      <c r="D7231" t="inlineStr">
        <is>
          <t>SKU-10048</t>
        </is>
      </c>
      <c r="E7231" t="inlineStr">
        <is>
          <t>AM11</t>
        </is>
      </c>
      <c r="F7231" s="5" t="n">
        <v>649.73</v>
      </c>
      <c r="G7231">
        <f>IF(LEFT(B7231,1)="C","Credit","Factuur")</f>
        <v/>
      </c>
      <c r="H7231">
        <f>IF(AND(B7231=B7230,D7231=D7230,A7231=A7230,F7231=F7230),1,0)</f>
        <v/>
      </c>
      <c r="I7231">
        <f>IF(C7231="C99999",1,0)</f>
        <v/>
      </c>
      <c r="J7231" s="5">
        <f>IF(OR(H7231=1,I7231=1),0,IF(G7231="Credit",-F7231,F7231))</f>
        <v/>
      </c>
    </row>
    <row r="7232">
      <c r="A7232" t="inlineStr">
        <is>
          <t>2026-09-08</t>
        </is>
      </c>
      <c r="B7232" t="inlineStr">
        <is>
          <t>F260950</t>
        </is>
      </c>
      <c r="C7232" t="inlineStr">
        <is>
          <t>C10054</t>
        </is>
      </c>
      <c r="D7232" t="inlineStr">
        <is>
          <t>SKU-10342</t>
        </is>
      </c>
      <c r="E7232" t="inlineStr">
        <is>
          <t>AM01</t>
        </is>
      </c>
      <c r="F7232" s="5" t="n">
        <v>321.86</v>
      </c>
      <c r="G7232">
        <f>IF(LEFT(B7232,1)="C","Credit","Factuur")</f>
        <v/>
      </c>
      <c r="H7232">
        <f>IF(AND(B7232=B7231,D7232=D7231,A7232=A7231,F7232=F7231),1,0)</f>
        <v/>
      </c>
      <c r="I7232">
        <f>IF(C7232="C99999",1,0)</f>
        <v/>
      </c>
      <c r="J7232" s="5">
        <f>IF(OR(H7232=1,I7232=1),0,IF(G7232="Credit",-F7232,F7232))</f>
        <v/>
      </c>
    </row>
    <row r="7233">
      <c r="A7233" t="inlineStr">
        <is>
          <t>2026-09-08</t>
        </is>
      </c>
      <c r="B7233" t="inlineStr">
        <is>
          <t>F261095</t>
        </is>
      </c>
      <c r="C7233" t="inlineStr">
        <is>
          <t>C10062</t>
        </is>
      </c>
      <c r="D7233" t="inlineStr">
        <is>
          <t>SKU-10031</t>
        </is>
      </c>
      <c r="E7233" t="inlineStr">
        <is>
          <t>AM05</t>
        </is>
      </c>
      <c r="F7233" s="5" t="n">
        <v>735.08</v>
      </c>
      <c r="G7233">
        <f>IF(LEFT(B7233,1)="C","Credit","Factuur")</f>
        <v/>
      </c>
      <c r="H7233">
        <f>IF(AND(B7233=B7232,D7233=D7232,A7233=A7232,F7233=F7232),1,0)</f>
        <v/>
      </c>
      <c r="I7233">
        <f>IF(C7233="C99999",1,0)</f>
        <v/>
      </c>
      <c r="J7233" s="5">
        <f>IF(OR(H7233=1,I7233=1),0,IF(G7233="Credit",-F7233,F7233))</f>
        <v/>
      </c>
    </row>
    <row r="7234">
      <c r="A7234" t="inlineStr">
        <is>
          <t>2026-09-08</t>
        </is>
      </c>
      <c r="B7234" t="inlineStr">
        <is>
          <t>F261095</t>
        </is>
      </c>
      <c r="C7234" t="inlineStr">
        <is>
          <t>C10062</t>
        </is>
      </c>
      <c r="D7234" t="inlineStr">
        <is>
          <t>SKU-10304</t>
        </is>
      </c>
      <c r="E7234" t="inlineStr">
        <is>
          <t>AM05</t>
        </is>
      </c>
      <c r="F7234" s="5" t="n">
        <v>742.61</v>
      </c>
      <c r="G7234">
        <f>IF(LEFT(B7234,1)="C","Credit","Factuur")</f>
        <v/>
      </c>
      <c r="H7234">
        <f>IF(AND(B7234=B7233,D7234=D7233,A7234=A7233,F7234=F7233),1,0)</f>
        <v/>
      </c>
      <c r="I7234">
        <f>IF(C7234="C99999",1,0)</f>
        <v/>
      </c>
      <c r="J7234" s="5">
        <f>IF(OR(H7234=1,I7234=1),0,IF(G7234="Credit",-F7234,F7234))</f>
        <v/>
      </c>
    </row>
    <row r="7235">
      <c r="A7235" t="inlineStr">
        <is>
          <t>2026-09-08</t>
        </is>
      </c>
      <c r="B7235" t="inlineStr">
        <is>
          <t>F261416</t>
        </is>
      </c>
      <c r="C7235" t="inlineStr">
        <is>
          <t>C10076</t>
        </is>
      </c>
      <c r="D7235" t="inlineStr">
        <is>
          <t>SKU-10120</t>
        </is>
      </c>
      <c r="E7235" t="inlineStr">
        <is>
          <t>AM02</t>
        </is>
      </c>
      <c r="F7235" s="5" t="n">
        <v>593.14</v>
      </c>
      <c r="G7235">
        <f>IF(LEFT(B7235,1)="C","Credit","Factuur")</f>
        <v/>
      </c>
      <c r="H7235">
        <f>IF(AND(B7235=B7234,D7235=D7234,A7235=A7234,F7235=F7234),1,0)</f>
        <v/>
      </c>
      <c r="I7235">
        <f>IF(C7235="C99999",1,0)</f>
        <v/>
      </c>
      <c r="J7235" s="5">
        <f>IF(OR(H7235=1,I7235=1),0,IF(G7235="Credit",-F7235,F7235))</f>
        <v/>
      </c>
    </row>
    <row r="7236">
      <c r="A7236" t="inlineStr">
        <is>
          <t>2026-09-08</t>
        </is>
      </c>
      <c r="B7236" t="inlineStr">
        <is>
          <t>F261416</t>
        </is>
      </c>
      <c r="C7236" t="inlineStr">
        <is>
          <t>C10076</t>
        </is>
      </c>
      <c r="D7236" t="inlineStr">
        <is>
          <t>SKU-10123</t>
        </is>
      </c>
      <c r="E7236" t="inlineStr">
        <is>
          <t>AM02</t>
        </is>
      </c>
      <c r="F7236" s="5" t="n">
        <v>607.6</v>
      </c>
      <c r="G7236">
        <f>IF(LEFT(B7236,1)="C","Credit","Factuur")</f>
        <v/>
      </c>
      <c r="H7236">
        <f>IF(AND(B7236=B7235,D7236=D7235,A7236=A7235,F7236=F7235),1,0)</f>
        <v/>
      </c>
      <c r="I7236">
        <f>IF(C7236="C99999",1,0)</f>
        <v/>
      </c>
      <c r="J7236" s="5">
        <f>IF(OR(H7236=1,I7236=1),0,IF(G7236="Credit",-F7236,F7236))</f>
        <v/>
      </c>
    </row>
    <row r="7237">
      <c r="A7237" t="inlineStr">
        <is>
          <t>2026-09-08</t>
        </is>
      </c>
      <c r="B7237" t="inlineStr">
        <is>
          <t>F261416</t>
        </is>
      </c>
      <c r="C7237" t="inlineStr">
        <is>
          <t>C10076</t>
        </is>
      </c>
      <c r="D7237" t="inlineStr">
        <is>
          <t>SKU-10139</t>
        </is>
      </c>
      <c r="E7237" t="inlineStr">
        <is>
          <t>AM02</t>
        </is>
      </c>
      <c r="F7237" s="5" t="n">
        <v>610.48</v>
      </c>
      <c r="G7237">
        <f>IF(LEFT(B7237,1)="C","Credit","Factuur")</f>
        <v/>
      </c>
      <c r="H7237">
        <f>IF(AND(B7237=B7236,D7237=D7236,A7237=A7236,F7237=F7236),1,0)</f>
        <v/>
      </c>
      <c r="I7237">
        <f>IF(C7237="C99999",1,0)</f>
        <v/>
      </c>
      <c r="J7237" s="5">
        <f>IF(OR(H7237=1,I7237=1),0,IF(G7237="Credit",-F7237,F7237))</f>
        <v/>
      </c>
    </row>
    <row r="7238">
      <c r="A7238" t="inlineStr">
        <is>
          <t>2026-09-08</t>
        </is>
      </c>
      <c r="B7238" t="inlineStr">
        <is>
          <t>F261416</t>
        </is>
      </c>
      <c r="C7238" t="inlineStr">
        <is>
          <t>C10076</t>
        </is>
      </c>
      <c r="D7238" t="inlineStr">
        <is>
          <t>SKU-10257</t>
        </is>
      </c>
      <c r="E7238" t="inlineStr">
        <is>
          <t>AM02</t>
        </is>
      </c>
      <c r="F7238" s="5" t="n">
        <v>521.15</v>
      </c>
      <c r="G7238">
        <f>IF(LEFT(B7238,1)="C","Credit","Factuur")</f>
        <v/>
      </c>
      <c r="H7238">
        <f>IF(AND(B7238=B7237,D7238=D7237,A7238=A7237,F7238=F7237),1,0)</f>
        <v/>
      </c>
      <c r="I7238">
        <f>IF(C7238="C99999",1,0)</f>
        <v/>
      </c>
      <c r="J7238" s="5">
        <f>IF(OR(H7238=1,I7238=1),0,IF(G7238="Credit",-F7238,F7238))</f>
        <v/>
      </c>
    </row>
    <row r="7239">
      <c r="A7239" t="inlineStr">
        <is>
          <t>2026-09-08</t>
        </is>
      </c>
      <c r="B7239" t="inlineStr">
        <is>
          <t>F262239</t>
        </is>
      </c>
      <c r="C7239" t="inlineStr">
        <is>
          <t>C10119</t>
        </is>
      </c>
      <c r="D7239" t="inlineStr">
        <is>
          <t>SKU-10052</t>
        </is>
      </c>
      <c r="E7239" t="inlineStr">
        <is>
          <t>AM12</t>
        </is>
      </c>
      <c r="F7239" s="5" t="n">
        <v>52.61</v>
      </c>
      <c r="G7239">
        <f>IF(LEFT(B7239,1)="C","Credit","Factuur")</f>
        <v/>
      </c>
      <c r="H7239">
        <f>IF(AND(B7239=B7238,D7239=D7238,A7239=A7238,F7239=F7238),1,0)</f>
        <v/>
      </c>
      <c r="I7239">
        <f>IF(C7239="C99999",1,0)</f>
        <v/>
      </c>
      <c r="J7239" s="5">
        <f>IF(OR(H7239=1,I7239=1),0,IF(G7239="Credit",-F7239,F7239))</f>
        <v/>
      </c>
    </row>
    <row r="7240">
      <c r="A7240" t="inlineStr">
        <is>
          <t>2026-09-08</t>
        </is>
      </c>
      <c r="B7240" t="inlineStr">
        <is>
          <t>F262239</t>
        </is>
      </c>
      <c r="C7240" t="inlineStr">
        <is>
          <t>C10119</t>
        </is>
      </c>
      <c r="D7240" t="inlineStr">
        <is>
          <t>SKU-10166</t>
        </is>
      </c>
      <c r="E7240" t="inlineStr">
        <is>
          <t>AM12</t>
        </is>
      </c>
      <c r="F7240" s="5" t="n">
        <v>48.7</v>
      </c>
      <c r="G7240">
        <f>IF(LEFT(B7240,1)="C","Credit","Factuur")</f>
        <v/>
      </c>
      <c r="H7240">
        <f>IF(AND(B7240=B7239,D7240=D7239,A7240=A7239,F7240=F7239),1,0)</f>
        <v/>
      </c>
      <c r="I7240">
        <f>IF(C7240="C99999",1,0)</f>
        <v/>
      </c>
      <c r="J7240" s="5">
        <f>IF(OR(H7240=1,I7240=1),0,IF(G7240="Credit",-F7240,F7240))</f>
        <v/>
      </c>
    </row>
    <row r="7241">
      <c r="A7241" t="inlineStr">
        <is>
          <t>2026-09-08</t>
        </is>
      </c>
      <c r="B7241" t="inlineStr">
        <is>
          <t>F262239</t>
        </is>
      </c>
      <c r="C7241" t="inlineStr">
        <is>
          <t>C10119</t>
        </is>
      </c>
      <c r="D7241" t="inlineStr">
        <is>
          <t>SKU-10167</t>
        </is>
      </c>
      <c r="E7241" t="inlineStr">
        <is>
          <t>AM12</t>
        </is>
      </c>
      <c r="F7241" s="5" t="n">
        <v>55.22</v>
      </c>
      <c r="G7241">
        <f>IF(LEFT(B7241,1)="C","Credit","Factuur")</f>
        <v/>
      </c>
      <c r="H7241">
        <f>IF(AND(B7241=B7240,D7241=D7240,A7241=A7240,F7241=F7240),1,0)</f>
        <v/>
      </c>
      <c r="I7241">
        <f>IF(C7241="C99999",1,0)</f>
        <v/>
      </c>
      <c r="J7241" s="5">
        <f>IF(OR(H7241=1,I7241=1),0,IF(G7241="Credit",-F7241,F7241))</f>
        <v/>
      </c>
    </row>
    <row r="7242">
      <c r="A7242" t="inlineStr">
        <is>
          <t>2026-09-08</t>
        </is>
      </c>
      <c r="B7242" t="inlineStr">
        <is>
          <t>F262239</t>
        </is>
      </c>
      <c r="C7242" t="inlineStr">
        <is>
          <t>C10119</t>
        </is>
      </c>
      <c r="D7242" t="inlineStr">
        <is>
          <t>SKU-10169</t>
        </is>
      </c>
      <c r="E7242" t="inlineStr">
        <is>
          <t>AM12</t>
        </is>
      </c>
      <c r="F7242" s="5" t="n">
        <v>61.72</v>
      </c>
      <c r="G7242">
        <f>IF(LEFT(B7242,1)="C","Credit","Factuur")</f>
        <v/>
      </c>
      <c r="H7242">
        <f>IF(AND(B7242=B7241,D7242=D7241,A7242=A7241,F7242=F7241),1,0)</f>
        <v/>
      </c>
      <c r="I7242">
        <f>IF(C7242="C99999",1,0)</f>
        <v/>
      </c>
      <c r="J7242" s="5">
        <f>IF(OR(H7242=1,I7242=1),0,IF(G7242="Credit",-F7242,F7242))</f>
        <v/>
      </c>
    </row>
    <row r="7243">
      <c r="A7243" t="inlineStr">
        <is>
          <t>2026-09-08</t>
        </is>
      </c>
      <c r="B7243" t="inlineStr">
        <is>
          <t>F262239</t>
        </is>
      </c>
      <c r="C7243" t="inlineStr">
        <is>
          <t>C10119</t>
        </is>
      </c>
      <c r="D7243" t="inlineStr">
        <is>
          <t>SKU-10287</t>
        </is>
      </c>
      <c r="E7243" t="inlineStr">
        <is>
          <t>AM12</t>
        </is>
      </c>
      <c r="F7243" s="5" t="n">
        <v>60.22</v>
      </c>
      <c r="G7243">
        <f>IF(LEFT(B7243,1)="C","Credit","Factuur")</f>
        <v/>
      </c>
      <c r="H7243">
        <f>IF(AND(B7243=B7242,D7243=D7242,A7243=A7242,F7243=F7242),1,0)</f>
        <v/>
      </c>
      <c r="I7243">
        <f>IF(C7243="C99999",1,0)</f>
        <v/>
      </c>
      <c r="J7243" s="5">
        <f>IF(OR(H7243=1,I7243=1),0,IF(G7243="Credit",-F7243,F7243))</f>
        <v/>
      </c>
    </row>
    <row r="7244">
      <c r="A7244" t="inlineStr">
        <is>
          <t>2026-09-08</t>
        </is>
      </c>
      <c r="B7244" t="inlineStr">
        <is>
          <t>F262759</t>
        </is>
      </c>
      <c r="C7244" t="inlineStr">
        <is>
          <t>C10148</t>
        </is>
      </c>
      <c r="D7244" t="inlineStr">
        <is>
          <t>SKU-10257</t>
        </is>
      </c>
      <c r="E7244" t="inlineStr">
        <is>
          <t>AM09</t>
        </is>
      </c>
      <c r="F7244" s="5" t="n">
        <v>5470.18</v>
      </c>
      <c r="G7244">
        <f>IF(LEFT(B7244,1)="C","Credit","Factuur")</f>
        <v/>
      </c>
      <c r="H7244">
        <f>IF(AND(B7244=B7243,D7244=D7243,A7244=A7243,F7244=F7243),1,0)</f>
        <v/>
      </c>
      <c r="I7244">
        <f>IF(C7244="C99999",1,0)</f>
        <v/>
      </c>
      <c r="J7244" s="5">
        <f>IF(OR(H7244=1,I7244=1),0,IF(G7244="Credit",-F7244,F7244))</f>
        <v/>
      </c>
    </row>
    <row r="7245">
      <c r="A7245" t="inlineStr">
        <is>
          <t>2026-09-08</t>
        </is>
      </c>
      <c r="B7245" t="inlineStr">
        <is>
          <t>F262759</t>
        </is>
      </c>
      <c r="C7245" t="inlineStr">
        <is>
          <t>C10148</t>
        </is>
      </c>
      <c r="D7245" t="inlineStr">
        <is>
          <t>SKU-10336</t>
        </is>
      </c>
      <c r="E7245" t="inlineStr">
        <is>
          <t>AM09</t>
        </is>
      </c>
      <c r="F7245" s="5" t="n">
        <v>5481.18</v>
      </c>
      <c r="G7245">
        <f>IF(LEFT(B7245,1)="C","Credit","Factuur")</f>
        <v/>
      </c>
      <c r="H7245">
        <f>IF(AND(B7245=B7244,D7245=D7244,A7245=A7244,F7245=F7244),1,0)</f>
        <v/>
      </c>
      <c r="I7245">
        <f>IF(C7245="C99999",1,0)</f>
        <v/>
      </c>
      <c r="J7245" s="5">
        <f>IF(OR(H7245=1,I7245=1),0,IF(G7245="Credit",-F7245,F7245))</f>
        <v/>
      </c>
    </row>
    <row r="7246">
      <c r="A7246" t="inlineStr">
        <is>
          <t>2026-09-08</t>
        </is>
      </c>
      <c r="B7246" t="inlineStr">
        <is>
          <t>F263566</t>
        </is>
      </c>
      <c r="C7246" t="inlineStr">
        <is>
          <t>C10192</t>
        </is>
      </c>
      <c r="D7246" t="inlineStr">
        <is>
          <t>SKU-10116</t>
        </is>
      </c>
      <c r="E7246" t="inlineStr">
        <is>
          <t>AM12</t>
        </is>
      </c>
      <c r="F7246" s="5" t="n">
        <v>455.7</v>
      </c>
      <c r="G7246">
        <f>IF(LEFT(B7246,1)="C","Credit","Factuur")</f>
        <v/>
      </c>
      <c r="H7246">
        <f>IF(AND(B7246=B7245,D7246=D7245,A7246=A7245,F7246=F7245),1,0)</f>
        <v/>
      </c>
      <c r="I7246">
        <f>IF(C7246="C99999",1,0)</f>
        <v/>
      </c>
      <c r="J7246" s="5">
        <f>IF(OR(H7246=1,I7246=1),0,IF(G7246="Credit",-F7246,F7246))</f>
        <v/>
      </c>
    </row>
    <row r="7247">
      <c r="A7247" t="inlineStr">
        <is>
          <t>2026-09-08</t>
        </is>
      </c>
      <c r="B7247" t="inlineStr">
        <is>
          <t>F263566</t>
        </is>
      </c>
      <c r="C7247" t="inlineStr">
        <is>
          <t>C10192</t>
        </is>
      </c>
      <c r="D7247" t="inlineStr">
        <is>
          <t>SKU-10140</t>
        </is>
      </c>
      <c r="E7247" t="inlineStr">
        <is>
          <t>AM12</t>
        </is>
      </c>
      <c r="F7247" s="5" t="n">
        <v>419.68</v>
      </c>
      <c r="G7247">
        <f>IF(LEFT(B7247,1)="C","Credit","Factuur")</f>
        <v/>
      </c>
      <c r="H7247">
        <f>IF(AND(B7247=B7246,D7247=D7246,A7247=A7246,F7247=F7246),1,0)</f>
        <v/>
      </c>
      <c r="I7247">
        <f>IF(C7247="C99999",1,0)</f>
        <v/>
      </c>
      <c r="J7247" s="5">
        <f>IF(OR(H7247=1,I7247=1),0,IF(G7247="Credit",-F7247,F7247))</f>
        <v/>
      </c>
    </row>
    <row r="7248">
      <c r="A7248" t="inlineStr">
        <is>
          <t>2026-09-08</t>
        </is>
      </c>
      <c r="B7248" t="inlineStr">
        <is>
          <t>F263566</t>
        </is>
      </c>
      <c r="C7248" t="inlineStr">
        <is>
          <t>C10192</t>
        </is>
      </c>
      <c r="D7248" t="inlineStr">
        <is>
          <t>SKU-10272</t>
        </is>
      </c>
      <c r="E7248" t="inlineStr">
        <is>
          <t>AM12</t>
        </is>
      </c>
      <c r="F7248" s="5" t="n">
        <v>490.23</v>
      </c>
      <c r="G7248">
        <f>IF(LEFT(B7248,1)="C","Credit","Factuur")</f>
        <v/>
      </c>
      <c r="H7248">
        <f>IF(AND(B7248=B7247,D7248=D7247,A7248=A7247,F7248=F7247),1,0)</f>
        <v/>
      </c>
      <c r="I7248">
        <f>IF(C7248="C99999",1,0)</f>
        <v/>
      </c>
      <c r="J7248" s="5">
        <f>IF(OR(H7248=1,I7248=1),0,IF(G7248="Credit",-F7248,F7248))</f>
        <v/>
      </c>
    </row>
    <row r="7249">
      <c r="A7249" t="inlineStr">
        <is>
          <t>2026-09-08</t>
        </is>
      </c>
      <c r="B7249" t="inlineStr">
        <is>
          <t>F263566</t>
        </is>
      </c>
      <c r="C7249" t="inlineStr">
        <is>
          <t>C10192</t>
        </is>
      </c>
      <c r="D7249" t="inlineStr">
        <is>
          <t>SKU-10305</t>
        </is>
      </c>
      <c r="E7249" t="inlineStr">
        <is>
          <t>AM12</t>
        </is>
      </c>
      <c r="F7249" s="5" t="n">
        <v>471.6</v>
      </c>
      <c r="G7249">
        <f>IF(LEFT(B7249,1)="C","Credit","Factuur")</f>
        <v/>
      </c>
      <c r="H7249">
        <f>IF(AND(B7249=B7248,D7249=D7248,A7249=A7248,F7249=F7248),1,0)</f>
        <v/>
      </c>
      <c r="I7249">
        <f>IF(C7249="C99999",1,0)</f>
        <v/>
      </c>
      <c r="J7249" s="5">
        <f>IF(OR(H7249=1,I7249=1),0,IF(G7249="Credit",-F7249,F7249))</f>
        <v/>
      </c>
    </row>
    <row r="7250">
      <c r="A7250" t="inlineStr">
        <is>
          <t>2026-09-08</t>
        </is>
      </c>
      <c r="B7250" t="inlineStr">
        <is>
          <t>F263740</t>
        </is>
      </c>
      <c r="C7250" t="inlineStr">
        <is>
          <t>C10199</t>
        </is>
      </c>
      <c r="D7250" t="inlineStr">
        <is>
          <t>SKU-10027</t>
        </is>
      </c>
      <c r="E7250" t="inlineStr">
        <is>
          <t>AM03</t>
        </is>
      </c>
      <c r="F7250" s="5" t="n">
        <v>221.36</v>
      </c>
      <c r="G7250">
        <f>IF(LEFT(B7250,1)="C","Credit","Factuur")</f>
        <v/>
      </c>
      <c r="H7250">
        <f>IF(AND(B7250=B7249,D7250=D7249,A7250=A7249,F7250=F7249),1,0)</f>
        <v/>
      </c>
      <c r="I7250">
        <f>IF(C7250="C99999",1,0)</f>
        <v/>
      </c>
      <c r="J7250" s="5">
        <f>IF(OR(H7250=1,I7250=1),0,IF(G7250="Credit",-F7250,F7250))</f>
        <v/>
      </c>
    </row>
    <row r="7251">
      <c r="A7251" t="inlineStr">
        <is>
          <t>2026-09-08</t>
        </is>
      </c>
      <c r="B7251" t="inlineStr">
        <is>
          <t>F263740</t>
        </is>
      </c>
      <c r="C7251" t="inlineStr">
        <is>
          <t>C10199</t>
        </is>
      </c>
      <c r="D7251" t="inlineStr">
        <is>
          <t>SKU-10083</t>
        </is>
      </c>
      <c r="E7251" t="inlineStr">
        <is>
          <t>AM03</t>
        </is>
      </c>
      <c r="F7251" s="5" t="n">
        <v>212.57</v>
      </c>
      <c r="G7251">
        <f>IF(LEFT(B7251,1)="C","Credit","Factuur")</f>
        <v/>
      </c>
      <c r="H7251">
        <f>IF(AND(B7251=B7250,D7251=D7250,A7251=A7250,F7251=F7250),1,0)</f>
        <v/>
      </c>
      <c r="I7251">
        <f>IF(C7251="C99999",1,0)</f>
        <v/>
      </c>
      <c r="J7251" s="5">
        <f>IF(OR(H7251=1,I7251=1),0,IF(G7251="Credit",-F7251,F7251))</f>
        <v/>
      </c>
    </row>
    <row r="7252">
      <c r="A7252" t="inlineStr">
        <is>
          <t>2026-09-08</t>
        </is>
      </c>
      <c r="B7252" t="inlineStr">
        <is>
          <t>F263740</t>
        </is>
      </c>
      <c r="C7252" t="inlineStr">
        <is>
          <t>C10199</t>
        </is>
      </c>
      <c r="D7252" t="inlineStr">
        <is>
          <t>SKU-10246</t>
        </is>
      </c>
      <c r="E7252" t="inlineStr">
        <is>
          <t>AM03</t>
        </is>
      </c>
      <c r="F7252" s="5" t="n">
        <v>186.62</v>
      </c>
      <c r="G7252">
        <f>IF(LEFT(B7252,1)="C","Credit","Factuur")</f>
        <v/>
      </c>
      <c r="H7252">
        <f>IF(AND(B7252=B7251,D7252=D7251,A7252=A7251,F7252=F7251),1,0)</f>
        <v/>
      </c>
      <c r="I7252">
        <f>IF(C7252="C99999",1,0)</f>
        <v/>
      </c>
      <c r="J7252" s="5">
        <f>IF(OR(H7252=1,I7252=1),0,IF(G7252="Credit",-F7252,F7252))</f>
        <v/>
      </c>
    </row>
    <row r="7253">
      <c r="A7253" t="inlineStr">
        <is>
          <t>2026-09-08</t>
        </is>
      </c>
      <c r="B7253" t="inlineStr">
        <is>
          <t>F263740</t>
        </is>
      </c>
      <c r="C7253" t="inlineStr">
        <is>
          <t>C10199</t>
        </is>
      </c>
      <c r="D7253" t="inlineStr">
        <is>
          <t>SKU-10316</t>
        </is>
      </c>
      <c r="E7253" t="inlineStr">
        <is>
          <t>AM03</t>
        </is>
      </c>
      <c r="F7253" s="5" t="n">
        <v>170.71</v>
      </c>
      <c r="G7253">
        <f>IF(LEFT(B7253,1)="C","Credit","Factuur")</f>
        <v/>
      </c>
      <c r="H7253">
        <f>IF(AND(B7253=B7252,D7253=D7252,A7253=A7252,F7253=F7252),1,0)</f>
        <v/>
      </c>
      <c r="I7253">
        <f>IF(C7253="C99999",1,0)</f>
        <v/>
      </c>
      <c r="J7253" s="5">
        <f>IF(OR(H7253=1,I7253=1),0,IF(G7253="Credit",-F7253,F7253))</f>
        <v/>
      </c>
    </row>
    <row r="7254">
      <c r="A7254" t="inlineStr">
        <is>
          <t>2026-09-08</t>
        </is>
      </c>
      <c r="B7254" t="inlineStr">
        <is>
          <t>F263981</t>
        </is>
      </c>
      <c r="C7254" t="inlineStr">
        <is>
          <t>C10208</t>
        </is>
      </c>
      <c r="D7254" t="inlineStr">
        <is>
          <t>SKU-10069</t>
        </is>
      </c>
      <c r="E7254" t="inlineStr">
        <is>
          <t>AM01</t>
        </is>
      </c>
      <c r="F7254" s="5" t="n">
        <v>293.65</v>
      </c>
      <c r="G7254">
        <f>IF(LEFT(B7254,1)="C","Credit","Factuur")</f>
        <v/>
      </c>
      <c r="H7254">
        <f>IF(AND(B7254=B7253,D7254=D7253,A7254=A7253,F7254=F7253),1,0)</f>
        <v/>
      </c>
      <c r="I7254">
        <f>IF(C7254="C99999",1,0)</f>
        <v/>
      </c>
      <c r="J7254" s="5">
        <f>IF(OR(H7254=1,I7254=1),0,IF(G7254="Credit",-F7254,F7254))</f>
        <v/>
      </c>
    </row>
    <row r="7255">
      <c r="A7255" t="inlineStr">
        <is>
          <t>2026-09-08</t>
        </is>
      </c>
      <c r="B7255" t="inlineStr">
        <is>
          <t>F263981</t>
        </is>
      </c>
      <c r="C7255" t="inlineStr">
        <is>
          <t>C10208</t>
        </is>
      </c>
      <c r="D7255" t="inlineStr">
        <is>
          <t>SKU-10247</t>
        </is>
      </c>
      <c r="E7255" t="inlineStr">
        <is>
          <t>AM01</t>
        </is>
      </c>
      <c r="F7255" s="5" t="n">
        <v>334.46</v>
      </c>
      <c r="G7255">
        <f>IF(LEFT(B7255,1)="C","Credit","Factuur")</f>
        <v/>
      </c>
      <c r="H7255">
        <f>IF(AND(B7255=B7254,D7255=D7254,A7255=A7254,F7255=F7254),1,0)</f>
        <v/>
      </c>
      <c r="I7255">
        <f>IF(C7255="C99999",1,0)</f>
        <v/>
      </c>
      <c r="J7255" s="5">
        <f>IF(OR(H7255=1,I7255=1),0,IF(G7255="Credit",-F7255,F7255))</f>
        <v/>
      </c>
    </row>
    <row r="7256">
      <c r="A7256" t="inlineStr">
        <is>
          <t>2026-09-08</t>
        </is>
      </c>
      <c r="B7256" t="inlineStr">
        <is>
          <t>F263981</t>
        </is>
      </c>
      <c r="C7256" t="inlineStr">
        <is>
          <t>C10208</t>
        </is>
      </c>
      <c r="D7256" t="inlineStr">
        <is>
          <t>SKU-10282</t>
        </is>
      </c>
      <c r="E7256" t="inlineStr">
        <is>
          <t>AM01</t>
        </is>
      </c>
      <c r="F7256" s="5" t="n">
        <v>305.54</v>
      </c>
      <c r="G7256">
        <f>IF(LEFT(B7256,1)="C","Credit","Factuur")</f>
        <v/>
      </c>
      <c r="H7256">
        <f>IF(AND(B7256=B7255,D7256=D7255,A7256=A7255,F7256=F7255),1,0)</f>
        <v/>
      </c>
      <c r="I7256">
        <f>IF(C7256="C99999",1,0)</f>
        <v/>
      </c>
      <c r="J7256" s="5">
        <f>IF(OR(H7256=1,I7256=1),0,IF(G7256="Credit",-F7256,F7256))</f>
        <v/>
      </c>
    </row>
    <row r="7257">
      <c r="A7257" t="inlineStr">
        <is>
          <t>2026-09-08</t>
        </is>
      </c>
      <c r="B7257" t="inlineStr">
        <is>
          <t>F263981</t>
        </is>
      </c>
      <c r="C7257" t="inlineStr">
        <is>
          <t>C10208</t>
        </is>
      </c>
      <c r="D7257" t="inlineStr">
        <is>
          <t>SKU-10305</t>
        </is>
      </c>
      <c r="E7257" t="inlineStr">
        <is>
          <t>AM01</t>
        </is>
      </c>
      <c r="F7257" s="5" t="n">
        <v>318.33</v>
      </c>
      <c r="G7257">
        <f>IF(LEFT(B7257,1)="C","Credit","Factuur")</f>
        <v/>
      </c>
      <c r="H7257">
        <f>IF(AND(B7257=B7256,D7257=D7256,A7257=A7256,F7257=F7256),1,0)</f>
        <v/>
      </c>
      <c r="I7257">
        <f>IF(C7257="C99999",1,0)</f>
        <v/>
      </c>
      <c r="J7257" s="5">
        <f>IF(OR(H7257=1,I7257=1),0,IF(G7257="Credit",-F7257,F7257))</f>
        <v/>
      </c>
    </row>
    <row r="7258">
      <c r="A7258" t="inlineStr">
        <is>
          <t>2026-09-08</t>
        </is>
      </c>
      <c r="B7258" t="inlineStr">
        <is>
          <t>F264459</t>
        </is>
      </c>
      <c r="C7258" t="inlineStr">
        <is>
          <t>C10231</t>
        </is>
      </c>
      <c r="D7258" t="inlineStr">
        <is>
          <t>SKU-10321</t>
        </is>
      </c>
      <c r="E7258" t="inlineStr">
        <is>
          <t>AM11</t>
        </is>
      </c>
      <c r="F7258" s="5" t="n">
        <v>341.67</v>
      </c>
      <c r="G7258">
        <f>IF(LEFT(B7258,1)="C","Credit","Factuur")</f>
        <v/>
      </c>
      <c r="H7258">
        <f>IF(AND(B7258=B7257,D7258=D7257,A7258=A7257,F7258=F7257),1,0)</f>
        <v/>
      </c>
      <c r="I7258">
        <f>IF(C7258="C99999",1,0)</f>
        <v/>
      </c>
      <c r="J7258" s="5">
        <f>IF(OR(H7258=1,I7258=1),0,IF(G7258="Credit",-F7258,F7258))</f>
        <v/>
      </c>
    </row>
    <row r="7259">
      <c r="A7259" t="inlineStr">
        <is>
          <t>2026-09-08</t>
        </is>
      </c>
      <c r="B7259" t="inlineStr">
        <is>
          <t>F264859</t>
        </is>
      </c>
      <c r="C7259" t="inlineStr">
        <is>
          <t>C10253</t>
        </is>
      </c>
      <c r="D7259" t="inlineStr">
        <is>
          <t>SKU-10024</t>
        </is>
      </c>
      <c r="E7259" t="inlineStr">
        <is>
          <t>AM06</t>
        </is>
      </c>
      <c r="F7259" s="5" t="n">
        <v>241.6</v>
      </c>
      <c r="G7259">
        <f>IF(LEFT(B7259,1)="C","Credit","Factuur")</f>
        <v/>
      </c>
      <c r="H7259">
        <f>IF(AND(B7259=B7258,D7259=D7258,A7259=A7258,F7259=F7258),1,0)</f>
        <v/>
      </c>
      <c r="I7259">
        <f>IF(C7259="C99999",1,0)</f>
        <v/>
      </c>
      <c r="J7259" s="5">
        <f>IF(OR(H7259=1,I7259=1),0,IF(G7259="Credit",-F7259,F7259))</f>
        <v/>
      </c>
    </row>
    <row r="7260">
      <c r="A7260" t="inlineStr">
        <is>
          <t>2026-09-08</t>
        </is>
      </c>
      <c r="B7260" t="inlineStr">
        <is>
          <t>F264859</t>
        </is>
      </c>
      <c r="C7260" t="inlineStr">
        <is>
          <t>C10253</t>
        </is>
      </c>
      <c r="D7260" t="inlineStr">
        <is>
          <t>SKU-10073</t>
        </is>
      </c>
      <c r="E7260" t="inlineStr">
        <is>
          <t>AM06</t>
        </is>
      </c>
      <c r="F7260" s="5" t="n">
        <v>216.75</v>
      </c>
      <c r="G7260">
        <f>IF(LEFT(B7260,1)="C","Credit","Factuur")</f>
        <v/>
      </c>
      <c r="H7260">
        <f>IF(AND(B7260=B7259,D7260=D7259,A7260=A7259,F7260=F7259),1,0)</f>
        <v/>
      </c>
      <c r="I7260">
        <f>IF(C7260="C99999",1,0)</f>
        <v/>
      </c>
      <c r="J7260" s="5">
        <f>IF(OR(H7260=1,I7260=1),0,IF(G7260="Credit",-F7260,F7260))</f>
        <v/>
      </c>
    </row>
    <row r="7261">
      <c r="A7261" t="inlineStr">
        <is>
          <t>2026-09-08</t>
        </is>
      </c>
      <c r="B7261" t="inlineStr">
        <is>
          <t>F264859</t>
        </is>
      </c>
      <c r="C7261" t="inlineStr">
        <is>
          <t>C10253</t>
        </is>
      </c>
      <c r="D7261" t="inlineStr">
        <is>
          <t>SKU-10076</t>
        </is>
      </c>
      <c r="E7261" t="inlineStr">
        <is>
          <t>AM06</t>
        </is>
      </c>
      <c r="F7261" s="5" t="n">
        <v>207.71</v>
      </c>
      <c r="G7261">
        <f>IF(LEFT(B7261,1)="C","Credit","Factuur")</f>
        <v/>
      </c>
      <c r="H7261">
        <f>IF(AND(B7261=B7260,D7261=D7260,A7261=A7260,F7261=F7260),1,0)</f>
        <v/>
      </c>
      <c r="I7261">
        <f>IF(C7261="C99999",1,0)</f>
        <v/>
      </c>
      <c r="J7261" s="5">
        <f>IF(OR(H7261=1,I7261=1),0,IF(G7261="Credit",-F7261,F7261))</f>
        <v/>
      </c>
    </row>
    <row r="7262">
      <c r="A7262" t="inlineStr">
        <is>
          <t>2026-09-08</t>
        </is>
      </c>
      <c r="B7262" t="inlineStr">
        <is>
          <t>F264859</t>
        </is>
      </c>
      <c r="C7262" t="inlineStr">
        <is>
          <t>C10253</t>
        </is>
      </c>
      <c r="D7262" t="inlineStr">
        <is>
          <t>SKU-10085</t>
        </is>
      </c>
      <c r="E7262" t="inlineStr">
        <is>
          <t>AM06</t>
        </is>
      </c>
      <c r="F7262" s="5" t="n">
        <v>236.7</v>
      </c>
      <c r="G7262">
        <f>IF(LEFT(B7262,1)="C","Credit","Factuur")</f>
        <v/>
      </c>
      <c r="H7262">
        <f>IF(AND(B7262=B7261,D7262=D7261,A7262=A7261,F7262=F7261),1,0)</f>
        <v/>
      </c>
      <c r="I7262">
        <f>IF(C7262="C99999",1,0)</f>
        <v/>
      </c>
      <c r="J7262" s="5">
        <f>IF(OR(H7262=1,I7262=1),0,IF(G7262="Credit",-F7262,F7262))</f>
        <v/>
      </c>
    </row>
    <row r="7263">
      <c r="A7263" t="inlineStr">
        <is>
          <t>2026-09-08</t>
        </is>
      </c>
      <c r="B7263" t="inlineStr">
        <is>
          <t>F264859</t>
        </is>
      </c>
      <c r="C7263" t="inlineStr">
        <is>
          <t>C10253</t>
        </is>
      </c>
      <c r="D7263" t="inlineStr">
        <is>
          <t>SKU-10178</t>
        </is>
      </c>
      <c r="E7263" t="inlineStr">
        <is>
          <t>AM06</t>
        </is>
      </c>
      <c r="F7263" s="5" t="n">
        <v>228.64</v>
      </c>
      <c r="G7263">
        <f>IF(LEFT(B7263,1)="C","Credit","Factuur")</f>
        <v/>
      </c>
      <c r="H7263">
        <f>IF(AND(B7263=B7262,D7263=D7262,A7263=A7262,F7263=F7262),1,0)</f>
        <v/>
      </c>
      <c r="I7263">
        <f>IF(C7263="C99999",1,0)</f>
        <v/>
      </c>
      <c r="J7263" s="5">
        <f>IF(OR(H7263=1,I7263=1),0,IF(G7263="Credit",-F7263,F7263))</f>
        <v/>
      </c>
    </row>
    <row r="7264">
      <c r="A7264" t="inlineStr">
        <is>
          <t>2026-09-08</t>
        </is>
      </c>
      <c r="B7264" t="inlineStr">
        <is>
          <t>F264859</t>
        </is>
      </c>
      <c r="C7264" t="inlineStr">
        <is>
          <t>C10253</t>
        </is>
      </c>
      <c r="D7264" t="inlineStr">
        <is>
          <t>SKU-10283</t>
        </is>
      </c>
      <c r="E7264" t="inlineStr">
        <is>
          <t>AM06</t>
        </is>
      </c>
      <c r="F7264" s="5" t="n">
        <v>238.07</v>
      </c>
      <c r="G7264">
        <f>IF(LEFT(B7264,1)="C","Credit","Factuur")</f>
        <v/>
      </c>
      <c r="H7264">
        <f>IF(AND(B7264=B7263,D7264=D7263,A7264=A7263,F7264=F7263),1,0)</f>
        <v/>
      </c>
      <c r="I7264">
        <f>IF(C7264="C99999",1,0)</f>
        <v/>
      </c>
      <c r="J7264" s="5">
        <f>IF(OR(H7264=1,I7264=1),0,IF(G7264="Credit",-F7264,F7264))</f>
        <v/>
      </c>
    </row>
    <row r="7265">
      <c r="A7265" t="inlineStr">
        <is>
          <t>2026-09-08</t>
        </is>
      </c>
      <c r="B7265" t="inlineStr">
        <is>
          <t>F264977</t>
        </is>
      </c>
      <c r="C7265" t="inlineStr">
        <is>
          <t>C10260</t>
        </is>
      </c>
      <c r="D7265" t="inlineStr">
        <is>
          <t>SKU-10107</t>
        </is>
      </c>
      <c r="E7265" t="inlineStr">
        <is>
          <t>AM07</t>
        </is>
      </c>
      <c r="F7265" s="5" t="n">
        <v>741</v>
      </c>
      <c r="G7265">
        <f>IF(LEFT(B7265,1)="C","Credit","Factuur")</f>
        <v/>
      </c>
      <c r="H7265">
        <f>IF(AND(B7265=B7264,D7265=D7264,A7265=A7264,F7265=F7264),1,0)</f>
        <v/>
      </c>
      <c r="I7265">
        <f>IF(C7265="C99999",1,0)</f>
        <v/>
      </c>
      <c r="J7265" s="5">
        <f>IF(OR(H7265=1,I7265=1),0,IF(G7265="Credit",-F7265,F7265))</f>
        <v/>
      </c>
    </row>
    <row r="7266">
      <c r="A7266" t="inlineStr">
        <is>
          <t>2026-09-08</t>
        </is>
      </c>
      <c r="B7266" t="inlineStr">
        <is>
          <t>F265023</t>
        </is>
      </c>
      <c r="C7266" t="inlineStr">
        <is>
          <t>C10263</t>
        </is>
      </c>
      <c r="D7266" t="inlineStr">
        <is>
          <t>SKU-10004</t>
        </is>
      </c>
      <c r="E7266" t="inlineStr">
        <is>
          <t>AM03</t>
        </is>
      </c>
      <c r="F7266" s="5" t="n">
        <v>141.03</v>
      </c>
      <c r="G7266">
        <f>IF(LEFT(B7266,1)="C","Credit","Factuur")</f>
        <v/>
      </c>
      <c r="H7266">
        <f>IF(AND(B7266=B7265,D7266=D7265,A7266=A7265,F7266=F7265),1,0)</f>
        <v/>
      </c>
      <c r="I7266">
        <f>IF(C7266="C99999",1,0)</f>
        <v/>
      </c>
      <c r="J7266" s="5">
        <f>IF(OR(H7266=1,I7266=1),0,IF(G7266="Credit",-F7266,F7266))</f>
        <v/>
      </c>
    </row>
    <row r="7267">
      <c r="A7267" t="inlineStr">
        <is>
          <t>2026-09-08</t>
        </is>
      </c>
      <c r="B7267" t="inlineStr">
        <is>
          <t>F265023</t>
        </is>
      </c>
      <c r="C7267" t="inlineStr">
        <is>
          <t>C10263</t>
        </is>
      </c>
      <c r="D7267" t="inlineStr">
        <is>
          <t>SKU-10149</t>
        </is>
      </c>
      <c r="E7267" t="inlineStr">
        <is>
          <t>AM03</t>
        </is>
      </c>
      <c r="F7267" s="5" t="n">
        <v>137.9</v>
      </c>
      <c r="G7267">
        <f>IF(LEFT(B7267,1)="C","Credit","Factuur")</f>
        <v/>
      </c>
      <c r="H7267">
        <f>IF(AND(B7267=B7266,D7267=D7266,A7267=A7266,F7267=F7266),1,0)</f>
        <v/>
      </c>
      <c r="I7267">
        <f>IF(C7267="C99999",1,0)</f>
        <v/>
      </c>
      <c r="J7267" s="5">
        <f>IF(OR(H7267=1,I7267=1),0,IF(G7267="Credit",-F7267,F7267))</f>
        <v/>
      </c>
    </row>
    <row r="7268">
      <c r="A7268" t="inlineStr">
        <is>
          <t>2026-09-08</t>
        </is>
      </c>
      <c r="B7268" t="inlineStr">
        <is>
          <t>F265023</t>
        </is>
      </c>
      <c r="C7268" t="inlineStr">
        <is>
          <t>C10263</t>
        </is>
      </c>
      <c r="D7268" t="inlineStr">
        <is>
          <t>SKU-10277</t>
        </is>
      </c>
      <c r="E7268" t="inlineStr">
        <is>
          <t>AM03</t>
        </is>
      </c>
      <c r="F7268" s="5" t="n">
        <v>177.75</v>
      </c>
      <c r="G7268">
        <f>IF(LEFT(B7268,1)="C","Credit","Factuur")</f>
        <v/>
      </c>
      <c r="H7268">
        <f>IF(AND(B7268=B7267,D7268=D7267,A7268=A7267,F7268=F7267),1,0)</f>
        <v/>
      </c>
      <c r="I7268">
        <f>IF(C7268="C99999",1,0)</f>
        <v/>
      </c>
      <c r="J7268" s="5">
        <f>IF(OR(H7268=1,I7268=1),0,IF(G7268="Credit",-F7268,F7268))</f>
        <v/>
      </c>
    </row>
    <row r="7269">
      <c r="A7269" t="inlineStr">
        <is>
          <t>2026-09-08</t>
        </is>
      </c>
      <c r="B7269" t="inlineStr">
        <is>
          <t>F265485</t>
        </is>
      </c>
      <c r="C7269" t="inlineStr">
        <is>
          <t>C10288</t>
        </is>
      </c>
      <c r="D7269" t="inlineStr">
        <is>
          <t>SKU-10009</t>
        </is>
      </c>
      <c r="E7269" t="inlineStr">
        <is>
          <t>AM03</t>
        </is>
      </c>
      <c r="F7269" s="5" t="n">
        <v>136.52</v>
      </c>
      <c r="G7269">
        <f>IF(LEFT(B7269,1)="C","Credit","Factuur")</f>
        <v/>
      </c>
      <c r="H7269">
        <f>IF(AND(B7269=B7268,D7269=D7268,A7269=A7268,F7269=F7268),1,0)</f>
        <v/>
      </c>
      <c r="I7269">
        <f>IF(C7269="C99999",1,0)</f>
        <v/>
      </c>
      <c r="J7269" s="5">
        <f>IF(OR(H7269=1,I7269=1),0,IF(G7269="Credit",-F7269,F7269))</f>
        <v/>
      </c>
    </row>
    <row r="7270">
      <c r="A7270" t="inlineStr">
        <is>
          <t>2026-09-08</t>
        </is>
      </c>
      <c r="B7270" t="inlineStr">
        <is>
          <t>F265485</t>
        </is>
      </c>
      <c r="C7270" t="inlineStr">
        <is>
          <t>C10288</t>
        </is>
      </c>
      <c r="D7270" t="inlineStr">
        <is>
          <t>SKU-10187</t>
        </is>
      </c>
      <c r="E7270" t="inlineStr">
        <is>
          <t>AM03</t>
        </is>
      </c>
      <c r="F7270" s="5" t="n">
        <v>146.24</v>
      </c>
      <c r="G7270">
        <f>IF(LEFT(B7270,1)="C","Credit","Factuur")</f>
        <v/>
      </c>
      <c r="H7270">
        <f>IF(AND(B7270=B7269,D7270=D7269,A7270=A7269,F7270=F7269),1,0)</f>
        <v/>
      </c>
      <c r="I7270">
        <f>IF(C7270="C99999",1,0)</f>
        <v/>
      </c>
      <c r="J7270" s="5">
        <f>IF(OR(H7270=1,I7270=1),0,IF(G7270="Credit",-F7270,F7270))</f>
        <v/>
      </c>
    </row>
    <row r="7271">
      <c r="A7271" t="inlineStr">
        <is>
          <t>2026-09-08</t>
        </is>
      </c>
      <c r="B7271" t="inlineStr">
        <is>
          <t>F265485</t>
        </is>
      </c>
      <c r="C7271" t="inlineStr">
        <is>
          <t>C10288</t>
        </is>
      </c>
      <c r="D7271" t="inlineStr">
        <is>
          <t>SKU-10276</t>
        </is>
      </c>
      <c r="E7271" t="inlineStr">
        <is>
          <t>AM03</t>
        </is>
      </c>
      <c r="F7271" s="5" t="n">
        <v>145.6</v>
      </c>
      <c r="G7271">
        <f>IF(LEFT(B7271,1)="C","Credit","Factuur")</f>
        <v/>
      </c>
      <c r="H7271">
        <f>IF(AND(B7271=B7270,D7271=D7270,A7271=A7270,F7271=F7270),1,0)</f>
        <v/>
      </c>
      <c r="I7271">
        <f>IF(C7271="C99999",1,0)</f>
        <v/>
      </c>
      <c r="J7271" s="5">
        <f>IF(OR(H7271=1,I7271=1),0,IF(G7271="Credit",-F7271,F7271))</f>
        <v/>
      </c>
    </row>
    <row r="7272">
      <c r="A7272" t="inlineStr">
        <is>
          <t>2026-09-08</t>
        </is>
      </c>
      <c r="B7272" t="inlineStr">
        <is>
          <t>F265548</t>
        </is>
      </c>
      <c r="C7272" t="inlineStr">
        <is>
          <t>C10292</t>
        </is>
      </c>
      <c r="D7272" t="inlineStr">
        <is>
          <t>SKU-10100</t>
        </is>
      </c>
      <c r="E7272" t="inlineStr">
        <is>
          <t>AM05</t>
        </is>
      </c>
      <c r="F7272" s="5" t="n">
        <v>144.3</v>
      </c>
      <c r="G7272">
        <f>IF(LEFT(B7272,1)="C","Credit","Factuur")</f>
        <v/>
      </c>
      <c r="H7272">
        <f>IF(AND(B7272=B7271,D7272=D7271,A7272=A7271,F7272=F7271),1,0)</f>
        <v/>
      </c>
      <c r="I7272">
        <f>IF(C7272="C99999",1,0)</f>
        <v/>
      </c>
      <c r="J7272" s="5">
        <f>IF(OR(H7272=1,I7272=1),0,IF(G7272="Credit",-F7272,F7272))</f>
        <v/>
      </c>
    </row>
    <row r="7273">
      <c r="A7273" t="inlineStr">
        <is>
          <t>2026-09-08</t>
        </is>
      </c>
      <c r="B7273" t="inlineStr">
        <is>
          <t>F265548</t>
        </is>
      </c>
      <c r="C7273" t="inlineStr">
        <is>
          <t>C10292</t>
        </is>
      </c>
      <c r="D7273" t="inlineStr">
        <is>
          <t>SKU-10111</t>
        </is>
      </c>
      <c r="E7273" t="inlineStr">
        <is>
          <t>AM05</t>
        </is>
      </c>
      <c r="F7273" s="5" t="n">
        <v>118.51</v>
      </c>
      <c r="G7273">
        <f>IF(LEFT(B7273,1)="C","Credit","Factuur")</f>
        <v/>
      </c>
      <c r="H7273">
        <f>IF(AND(B7273=B7272,D7273=D7272,A7273=A7272,F7273=F7272),1,0)</f>
        <v/>
      </c>
      <c r="I7273">
        <f>IF(C7273="C99999",1,0)</f>
        <v/>
      </c>
      <c r="J7273" s="5">
        <f>IF(OR(H7273=1,I7273=1),0,IF(G7273="Credit",-F7273,F7273))</f>
        <v/>
      </c>
    </row>
    <row r="7274">
      <c r="A7274" t="inlineStr">
        <is>
          <t>2026-09-08</t>
        </is>
      </c>
      <c r="B7274" t="inlineStr">
        <is>
          <t>F265548</t>
        </is>
      </c>
      <c r="C7274" t="inlineStr">
        <is>
          <t>C10292</t>
        </is>
      </c>
      <c r="D7274" t="inlineStr">
        <is>
          <t>SKU-10112</t>
        </is>
      </c>
      <c r="E7274" t="inlineStr">
        <is>
          <t>AM05</t>
        </is>
      </c>
      <c r="F7274" s="5" t="n">
        <v>186.96</v>
      </c>
      <c r="G7274">
        <f>IF(LEFT(B7274,1)="C","Credit","Factuur")</f>
        <v/>
      </c>
      <c r="H7274">
        <f>IF(AND(B7274=B7273,D7274=D7273,A7274=A7273,F7274=F7273),1,0)</f>
        <v/>
      </c>
      <c r="I7274">
        <f>IF(C7274="C99999",1,0)</f>
        <v/>
      </c>
      <c r="J7274" s="5">
        <f>IF(OR(H7274=1,I7274=1),0,IF(G7274="Credit",-F7274,F7274))</f>
        <v/>
      </c>
    </row>
    <row r="7275">
      <c r="A7275" t="inlineStr">
        <is>
          <t>2026-09-08</t>
        </is>
      </c>
      <c r="B7275" t="inlineStr">
        <is>
          <t>F265548</t>
        </is>
      </c>
      <c r="C7275" t="inlineStr">
        <is>
          <t>C10292</t>
        </is>
      </c>
      <c r="D7275" t="inlineStr">
        <is>
          <t>SKU-10169</t>
        </is>
      </c>
      <c r="E7275" t="inlineStr">
        <is>
          <t>AM05</t>
        </is>
      </c>
      <c r="F7275" s="5" t="n">
        <v>154.3</v>
      </c>
      <c r="G7275">
        <f>IF(LEFT(B7275,1)="C","Credit","Factuur")</f>
        <v/>
      </c>
      <c r="H7275">
        <f>IF(AND(B7275=B7274,D7275=D7274,A7275=A7274,F7275=F7274),1,0)</f>
        <v/>
      </c>
      <c r="I7275">
        <f>IF(C7275="C99999",1,0)</f>
        <v/>
      </c>
      <c r="J7275" s="5">
        <f>IF(OR(H7275=1,I7275=1),0,IF(G7275="Credit",-F7275,F7275))</f>
        <v/>
      </c>
    </row>
    <row r="7276">
      <c r="A7276" t="inlineStr">
        <is>
          <t>2026-09-08</t>
        </is>
      </c>
      <c r="B7276" t="inlineStr">
        <is>
          <t>F265548</t>
        </is>
      </c>
      <c r="C7276" t="inlineStr">
        <is>
          <t>C10292</t>
        </is>
      </c>
      <c r="D7276" t="inlineStr">
        <is>
          <t>SKU-10182</t>
        </is>
      </c>
      <c r="E7276" t="inlineStr">
        <is>
          <t>AM05</t>
        </is>
      </c>
      <c r="F7276" s="5" t="n">
        <v>140.84</v>
      </c>
      <c r="G7276">
        <f>IF(LEFT(B7276,1)="C","Credit","Factuur")</f>
        <v/>
      </c>
      <c r="H7276">
        <f>IF(AND(B7276=B7275,D7276=D7275,A7276=A7275,F7276=F7275),1,0)</f>
        <v/>
      </c>
      <c r="I7276">
        <f>IF(C7276="C99999",1,0)</f>
        <v/>
      </c>
      <c r="J7276" s="5">
        <f>IF(OR(H7276=1,I7276=1),0,IF(G7276="Credit",-F7276,F7276))</f>
        <v/>
      </c>
    </row>
    <row r="7277">
      <c r="A7277" t="inlineStr">
        <is>
          <t>2026-09-08</t>
        </is>
      </c>
      <c r="B7277" t="inlineStr">
        <is>
          <t>F265548</t>
        </is>
      </c>
      <c r="C7277" t="inlineStr">
        <is>
          <t>C10292</t>
        </is>
      </c>
      <c r="D7277" t="inlineStr">
        <is>
          <t>SKU-10184</t>
        </is>
      </c>
      <c r="E7277" t="inlineStr">
        <is>
          <t>AM05</t>
        </is>
      </c>
      <c r="F7277" s="5" t="n">
        <v>129.7</v>
      </c>
      <c r="G7277">
        <f>IF(LEFT(B7277,1)="C","Credit","Factuur")</f>
        <v/>
      </c>
      <c r="H7277">
        <f>IF(AND(B7277=B7276,D7277=D7276,A7277=A7276,F7277=F7276),1,0)</f>
        <v/>
      </c>
      <c r="I7277">
        <f>IF(C7277="C99999",1,0)</f>
        <v/>
      </c>
      <c r="J7277" s="5">
        <f>IF(OR(H7277=1,I7277=1),0,IF(G7277="Credit",-F7277,F7277))</f>
        <v/>
      </c>
    </row>
    <row r="7278">
      <c r="A7278" t="inlineStr">
        <is>
          <t>2026-09-08</t>
        </is>
      </c>
      <c r="B7278" t="inlineStr">
        <is>
          <t>F266114</t>
        </is>
      </c>
      <c r="C7278" t="inlineStr">
        <is>
          <t>C10319</t>
        </is>
      </c>
      <c r="D7278" t="inlineStr">
        <is>
          <t>SKU-10013</t>
        </is>
      </c>
      <c r="E7278" t="inlineStr">
        <is>
          <t>AM02</t>
        </is>
      </c>
      <c r="F7278" s="5" t="n">
        <v>338.49</v>
      </c>
      <c r="G7278">
        <f>IF(LEFT(B7278,1)="C","Credit","Factuur")</f>
        <v/>
      </c>
      <c r="H7278">
        <f>IF(AND(B7278=B7277,D7278=D7277,A7278=A7277,F7278=F7277),1,0)</f>
        <v/>
      </c>
      <c r="I7278">
        <f>IF(C7278="C99999",1,0)</f>
        <v/>
      </c>
      <c r="J7278" s="5">
        <f>IF(OR(H7278=1,I7278=1),0,IF(G7278="Credit",-F7278,F7278))</f>
        <v/>
      </c>
    </row>
    <row r="7279">
      <c r="A7279" t="inlineStr">
        <is>
          <t>2026-09-08</t>
        </is>
      </c>
      <c r="B7279" t="inlineStr">
        <is>
          <t>F266114</t>
        </is>
      </c>
      <c r="C7279" t="inlineStr">
        <is>
          <t>C10319</t>
        </is>
      </c>
      <c r="D7279" t="inlineStr">
        <is>
          <t>SKU-10178</t>
        </is>
      </c>
      <c r="E7279" t="inlineStr">
        <is>
          <t>AM02</t>
        </is>
      </c>
      <c r="F7279" s="5" t="n">
        <v>342.96</v>
      </c>
      <c r="G7279">
        <f>IF(LEFT(B7279,1)="C","Credit","Factuur")</f>
        <v/>
      </c>
      <c r="H7279">
        <f>IF(AND(B7279=B7278,D7279=D7278,A7279=A7278,F7279=F7278),1,0)</f>
        <v/>
      </c>
      <c r="I7279">
        <f>IF(C7279="C99999",1,0)</f>
        <v/>
      </c>
      <c r="J7279" s="5">
        <f>IF(OR(H7279=1,I7279=1),0,IF(G7279="Credit",-F7279,F7279))</f>
        <v/>
      </c>
    </row>
    <row r="7280">
      <c r="A7280" t="inlineStr">
        <is>
          <t>2026-09-08</t>
        </is>
      </c>
      <c r="B7280" t="inlineStr">
        <is>
          <t>F266860</t>
        </is>
      </c>
      <c r="C7280" t="inlineStr">
        <is>
          <t>C10361</t>
        </is>
      </c>
      <c r="D7280" t="inlineStr">
        <is>
          <t>SKU-10294</t>
        </is>
      </c>
      <c r="E7280" t="inlineStr">
        <is>
          <t>AM05</t>
        </is>
      </c>
      <c r="F7280" s="5" t="n">
        <v>700.53</v>
      </c>
      <c r="G7280">
        <f>IF(LEFT(B7280,1)="C","Credit","Factuur")</f>
        <v/>
      </c>
      <c r="H7280">
        <f>IF(AND(B7280=B7279,D7280=D7279,A7280=A7279,F7280=F7279),1,0)</f>
        <v/>
      </c>
      <c r="I7280">
        <f>IF(C7280="C99999",1,0)</f>
        <v/>
      </c>
      <c r="J7280" s="5">
        <f>IF(OR(H7280=1,I7280=1),0,IF(G7280="Credit",-F7280,F7280))</f>
        <v/>
      </c>
    </row>
    <row r="7281">
      <c r="A7281" t="inlineStr">
        <is>
          <t>2026-09-08</t>
        </is>
      </c>
      <c r="B7281" t="inlineStr">
        <is>
          <t>F266860</t>
        </is>
      </c>
      <c r="C7281" t="inlineStr">
        <is>
          <t>C10361</t>
        </is>
      </c>
      <c r="D7281" t="inlineStr">
        <is>
          <t>SKU-10298</t>
        </is>
      </c>
      <c r="E7281" t="inlineStr">
        <is>
          <t>AM05</t>
        </is>
      </c>
      <c r="F7281" s="5" t="n">
        <v>677.7</v>
      </c>
      <c r="G7281">
        <f>IF(LEFT(B7281,1)="C","Credit","Factuur")</f>
        <v/>
      </c>
      <c r="H7281">
        <f>IF(AND(B7281=B7280,D7281=D7280,A7281=A7280,F7281=F7280),1,0)</f>
        <v/>
      </c>
      <c r="I7281">
        <f>IF(C7281="C99999",1,0)</f>
        <v/>
      </c>
      <c r="J7281" s="5">
        <f>IF(OR(H7281=1,I7281=1),0,IF(G7281="Credit",-F7281,F7281))</f>
        <v/>
      </c>
    </row>
    <row r="7282">
      <c r="A7282" t="inlineStr">
        <is>
          <t>2026-09-08</t>
        </is>
      </c>
      <c r="B7282" t="inlineStr">
        <is>
          <t>F268264</t>
        </is>
      </c>
      <c r="C7282" t="inlineStr">
        <is>
          <t>C10432</t>
        </is>
      </c>
      <c r="D7282" t="inlineStr">
        <is>
          <t>SKU-10019</t>
        </is>
      </c>
      <c r="E7282" t="inlineStr">
        <is>
          <t>AM12</t>
        </is>
      </c>
      <c r="F7282" s="5" t="n">
        <v>1012.23</v>
      </c>
      <c r="G7282">
        <f>IF(LEFT(B7282,1)="C","Credit","Factuur")</f>
        <v/>
      </c>
      <c r="H7282">
        <f>IF(AND(B7282=B7281,D7282=D7281,A7282=A7281,F7282=F7281),1,0)</f>
        <v/>
      </c>
      <c r="I7282">
        <f>IF(C7282="C99999",1,0)</f>
        <v/>
      </c>
      <c r="J7282" s="5">
        <f>IF(OR(H7282=1,I7282=1),0,IF(G7282="Credit",-F7282,F7282))</f>
        <v/>
      </c>
    </row>
    <row r="7283">
      <c r="A7283" t="inlineStr">
        <is>
          <t>2026-09-08</t>
        </is>
      </c>
      <c r="B7283" t="inlineStr">
        <is>
          <t>F268635</t>
        </is>
      </c>
      <c r="C7283" t="inlineStr">
        <is>
          <t>C10452</t>
        </is>
      </c>
      <c r="D7283" t="inlineStr">
        <is>
          <t>SKU-10161</t>
        </is>
      </c>
      <c r="E7283" t="inlineStr">
        <is>
          <t>AM08</t>
        </is>
      </c>
      <c r="F7283" s="5" t="n">
        <v>321</v>
      </c>
      <c r="G7283">
        <f>IF(LEFT(B7283,1)="C","Credit","Factuur")</f>
        <v/>
      </c>
      <c r="H7283">
        <f>IF(AND(B7283=B7282,D7283=D7282,A7283=A7282,F7283=F7282),1,0)</f>
        <v/>
      </c>
      <c r="I7283">
        <f>IF(C7283="C99999",1,0)</f>
        <v/>
      </c>
      <c r="J7283" s="5">
        <f>IF(OR(H7283=1,I7283=1),0,IF(G7283="Credit",-F7283,F7283))</f>
        <v/>
      </c>
    </row>
    <row r="7284">
      <c r="A7284" t="inlineStr">
        <is>
          <t>2026-09-08</t>
        </is>
      </c>
      <c r="B7284" t="inlineStr">
        <is>
          <t>F268635</t>
        </is>
      </c>
      <c r="C7284" t="inlineStr">
        <is>
          <t>C10452</t>
        </is>
      </c>
      <c r="D7284" t="inlineStr">
        <is>
          <t>SKU-10182</t>
        </is>
      </c>
      <c r="E7284" t="inlineStr">
        <is>
          <t>AM08</t>
        </is>
      </c>
      <c r="F7284" s="5" t="n">
        <v>306.83</v>
      </c>
      <c r="G7284">
        <f>IF(LEFT(B7284,1)="C","Credit","Factuur")</f>
        <v/>
      </c>
      <c r="H7284">
        <f>IF(AND(B7284=B7283,D7284=D7283,A7284=A7283,F7284=F7283),1,0)</f>
        <v/>
      </c>
      <c r="I7284">
        <f>IF(C7284="C99999",1,0)</f>
        <v/>
      </c>
      <c r="J7284" s="5">
        <f>IF(OR(H7284=1,I7284=1),0,IF(G7284="Credit",-F7284,F7284))</f>
        <v/>
      </c>
    </row>
    <row r="7285">
      <c r="A7285" t="inlineStr">
        <is>
          <t>2026-09-08</t>
        </is>
      </c>
      <c r="B7285" t="inlineStr">
        <is>
          <t>F268635</t>
        </is>
      </c>
      <c r="C7285" t="inlineStr">
        <is>
          <t>C10452</t>
        </is>
      </c>
      <c r="D7285" t="inlineStr">
        <is>
          <t>SKU-10314</t>
        </is>
      </c>
      <c r="E7285" t="inlineStr">
        <is>
          <t>AM08</t>
        </is>
      </c>
      <c r="F7285" s="5" t="n">
        <v>290.47</v>
      </c>
      <c r="G7285">
        <f>IF(LEFT(B7285,1)="C","Credit","Factuur")</f>
        <v/>
      </c>
      <c r="H7285">
        <f>IF(AND(B7285=B7284,D7285=D7284,A7285=A7284,F7285=F7284),1,0)</f>
        <v/>
      </c>
      <c r="I7285">
        <f>IF(C7285="C99999",1,0)</f>
        <v/>
      </c>
      <c r="J7285" s="5">
        <f>IF(OR(H7285=1,I7285=1),0,IF(G7285="Credit",-F7285,F7285))</f>
        <v/>
      </c>
    </row>
    <row r="7286">
      <c r="A7286" t="inlineStr">
        <is>
          <t>2026-09-08</t>
        </is>
      </c>
      <c r="B7286" t="inlineStr">
        <is>
          <t>F268635</t>
        </is>
      </c>
      <c r="C7286" t="inlineStr">
        <is>
          <t>C10452</t>
        </is>
      </c>
      <c r="D7286" t="inlineStr">
        <is>
          <t>SKU-10328</t>
        </is>
      </c>
      <c r="E7286" t="inlineStr">
        <is>
          <t>AM08</t>
        </is>
      </c>
      <c r="F7286" s="5" t="n">
        <v>312.4</v>
      </c>
      <c r="G7286">
        <f>IF(LEFT(B7286,1)="C","Credit","Factuur")</f>
        <v/>
      </c>
      <c r="H7286">
        <f>IF(AND(B7286=B7285,D7286=D7285,A7286=A7285,F7286=F7285),1,0)</f>
        <v/>
      </c>
      <c r="I7286">
        <f>IF(C7286="C99999",1,0)</f>
        <v/>
      </c>
      <c r="J7286" s="5">
        <f>IF(OR(H7286=1,I7286=1),0,IF(G7286="Credit",-F7286,F7286))</f>
        <v/>
      </c>
    </row>
    <row r="7287">
      <c r="A7287" t="inlineStr">
        <is>
          <t>2026-09-08</t>
        </is>
      </c>
      <c r="B7287" t="inlineStr">
        <is>
          <t>F268635</t>
        </is>
      </c>
      <c r="C7287" t="inlineStr">
        <is>
          <t>C10452</t>
        </is>
      </c>
      <c r="D7287" t="inlineStr">
        <is>
          <t>SKU-10338</t>
        </is>
      </c>
      <c r="E7287" t="inlineStr">
        <is>
          <t>AM08</t>
        </is>
      </c>
      <c r="F7287" s="5" t="n">
        <v>318.48</v>
      </c>
      <c r="G7287">
        <f>IF(LEFT(B7287,1)="C","Credit","Factuur")</f>
        <v/>
      </c>
      <c r="H7287">
        <f>IF(AND(B7287=B7286,D7287=D7286,A7287=A7286,F7287=F7286),1,0)</f>
        <v/>
      </c>
      <c r="I7287">
        <f>IF(C7287="C99999",1,0)</f>
        <v/>
      </c>
      <c r="J7287" s="5">
        <f>IF(OR(H7287=1,I7287=1),0,IF(G7287="Credit",-F7287,F7287))</f>
        <v/>
      </c>
    </row>
    <row r="7288">
      <c r="A7288" t="inlineStr">
        <is>
          <t>2026-09-08</t>
        </is>
      </c>
      <c r="B7288" t="inlineStr">
        <is>
          <t>F268694</t>
        </is>
      </c>
      <c r="C7288" t="inlineStr">
        <is>
          <t>C10454</t>
        </is>
      </c>
      <c r="D7288" t="inlineStr">
        <is>
          <t>SKU-10065</t>
        </is>
      </c>
      <c r="E7288" t="inlineStr">
        <is>
          <t>AM12</t>
        </is>
      </c>
      <c r="F7288" s="5" t="n">
        <v>68.22</v>
      </c>
      <c r="G7288">
        <f>IF(LEFT(B7288,1)="C","Credit","Factuur")</f>
        <v/>
      </c>
      <c r="H7288">
        <f>IF(AND(B7288=B7287,D7288=D7287,A7288=A7287,F7288=F7287),1,0)</f>
        <v/>
      </c>
      <c r="I7288">
        <f>IF(C7288="C99999",1,0)</f>
        <v/>
      </c>
      <c r="J7288" s="5">
        <f>IF(OR(H7288=1,I7288=1),0,IF(G7288="Credit",-F7288,F7288))</f>
        <v/>
      </c>
    </row>
    <row r="7289">
      <c r="A7289" t="inlineStr">
        <is>
          <t>2026-09-08</t>
        </is>
      </c>
      <c r="B7289" t="inlineStr">
        <is>
          <t>F268694</t>
        </is>
      </c>
      <c r="C7289" t="inlineStr">
        <is>
          <t>C10454</t>
        </is>
      </c>
      <c r="D7289" t="inlineStr">
        <is>
          <t>SKU-10070</t>
        </is>
      </c>
      <c r="E7289" t="inlineStr">
        <is>
          <t>AM12</t>
        </is>
      </c>
      <c r="F7289" s="5" t="n">
        <v>67.43000000000001</v>
      </c>
      <c r="G7289">
        <f>IF(LEFT(B7289,1)="C","Credit","Factuur")</f>
        <v/>
      </c>
      <c r="H7289">
        <f>IF(AND(B7289=B7288,D7289=D7288,A7289=A7288,F7289=F7288),1,0)</f>
        <v/>
      </c>
      <c r="I7289">
        <f>IF(C7289="C99999",1,0)</f>
        <v/>
      </c>
      <c r="J7289" s="5">
        <f>IF(OR(H7289=1,I7289=1),0,IF(G7289="Credit",-F7289,F7289))</f>
        <v/>
      </c>
    </row>
    <row r="7290">
      <c r="A7290" t="inlineStr">
        <is>
          <t>2026-09-08</t>
        </is>
      </c>
      <c r="B7290" t="inlineStr">
        <is>
          <t>F268694</t>
        </is>
      </c>
      <c r="C7290" t="inlineStr">
        <is>
          <t>C10454</t>
        </is>
      </c>
      <c r="D7290" t="inlineStr">
        <is>
          <t>SKU-10093</t>
        </is>
      </c>
      <c r="E7290" t="inlineStr">
        <is>
          <t>AM12</t>
        </is>
      </c>
      <c r="F7290" s="5" t="n">
        <v>96.89</v>
      </c>
      <c r="G7290">
        <f>IF(LEFT(B7290,1)="C","Credit","Factuur")</f>
        <v/>
      </c>
      <c r="H7290">
        <f>IF(AND(B7290=B7289,D7290=D7289,A7290=A7289,F7290=F7289),1,0)</f>
        <v/>
      </c>
      <c r="I7290">
        <f>IF(C7290="C99999",1,0)</f>
        <v/>
      </c>
      <c r="J7290" s="5">
        <f>IF(OR(H7290=1,I7290=1),0,IF(G7290="Credit",-F7290,F7290))</f>
        <v/>
      </c>
    </row>
    <row r="7291">
      <c r="A7291" t="inlineStr">
        <is>
          <t>2026-09-08</t>
        </is>
      </c>
      <c r="B7291" t="inlineStr">
        <is>
          <t>F268694</t>
        </is>
      </c>
      <c r="C7291" t="inlineStr">
        <is>
          <t>C10454</t>
        </is>
      </c>
      <c r="D7291" t="inlineStr">
        <is>
          <t>SKU-10349</t>
        </is>
      </c>
      <c r="E7291" t="inlineStr">
        <is>
          <t>AM12</t>
        </is>
      </c>
      <c r="F7291" s="5" t="n">
        <v>69.29000000000001</v>
      </c>
      <c r="G7291">
        <f>IF(LEFT(B7291,1)="C","Credit","Factuur")</f>
        <v/>
      </c>
      <c r="H7291">
        <f>IF(AND(B7291=B7290,D7291=D7290,A7291=A7290,F7291=F7290),1,0)</f>
        <v/>
      </c>
      <c r="I7291">
        <f>IF(C7291="C99999",1,0)</f>
        <v/>
      </c>
      <c r="J7291" s="5">
        <f>IF(OR(H7291=1,I7291=1),0,IF(G7291="Credit",-F7291,F7291))</f>
        <v/>
      </c>
    </row>
    <row r="7292">
      <c r="A7292" t="inlineStr">
        <is>
          <t>2026-09-08</t>
        </is>
      </c>
      <c r="B7292" t="inlineStr">
        <is>
          <t>F268872</t>
        </is>
      </c>
      <c r="C7292" t="inlineStr">
        <is>
          <t>C10463</t>
        </is>
      </c>
      <c r="D7292" t="inlineStr">
        <is>
          <t>SKU-10065</t>
        </is>
      </c>
      <c r="E7292" t="inlineStr">
        <is>
          <t>AM01</t>
        </is>
      </c>
      <c r="F7292" s="5" t="n">
        <v>151.6</v>
      </c>
      <c r="G7292">
        <f>IF(LEFT(B7292,1)="C","Credit","Factuur")</f>
        <v/>
      </c>
      <c r="H7292">
        <f>IF(AND(B7292=B7291,D7292=D7291,A7292=A7291,F7292=F7291),1,0)</f>
        <v/>
      </c>
      <c r="I7292">
        <f>IF(C7292="C99999",1,0)</f>
        <v/>
      </c>
      <c r="J7292" s="5">
        <f>IF(OR(H7292=1,I7292=1),0,IF(G7292="Credit",-F7292,F7292))</f>
        <v/>
      </c>
    </row>
    <row r="7293">
      <c r="A7293" t="inlineStr">
        <is>
          <t>2026-09-08</t>
        </is>
      </c>
      <c r="B7293" t="inlineStr">
        <is>
          <t>F268872</t>
        </is>
      </c>
      <c r="C7293" t="inlineStr">
        <is>
          <t>C10463</t>
        </is>
      </c>
      <c r="D7293" t="inlineStr">
        <is>
          <t>SKU-10222</t>
        </is>
      </c>
      <c r="E7293" t="inlineStr">
        <is>
          <t>AM01</t>
        </is>
      </c>
      <c r="F7293" s="5" t="n">
        <v>144.76</v>
      </c>
      <c r="G7293">
        <f>IF(LEFT(B7293,1)="C","Credit","Factuur")</f>
        <v/>
      </c>
      <c r="H7293">
        <f>IF(AND(B7293=B7292,D7293=D7292,A7293=A7292,F7293=F7292),1,0)</f>
        <v/>
      </c>
      <c r="I7293">
        <f>IF(C7293="C99999",1,0)</f>
        <v/>
      </c>
      <c r="J7293" s="5">
        <f>IF(OR(H7293=1,I7293=1),0,IF(G7293="Credit",-F7293,F7293))</f>
        <v/>
      </c>
    </row>
    <row r="7294">
      <c r="A7294" t="inlineStr">
        <is>
          <t>2026-09-08</t>
        </is>
      </c>
      <c r="B7294" t="inlineStr">
        <is>
          <t>F268872</t>
        </is>
      </c>
      <c r="C7294" t="inlineStr">
        <is>
          <t>C10463</t>
        </is>
      </c>
      <c r="D7294" t="inlineStr">
        <is>
          <t>SKU-10325</t>
        </is>
      </c>
      <c r="E7294" t="inlineStr">
        <is>
          <t>AM01</t>
        </is>
      </c>
      <c r="F7294" s="5" t="n">
        <v>141.3</v>
      </c>
      <c r="G7294">
        <f>IF(LEFT(B7294,1)="C","Credit","Factuur")</f>
        <v/>
      </c>
      <c r="H7294">
        <f>IF(AND(B7294=B7293,D7294=D7293,A7294=A7293,F7294=F7293),1,0)</f>
        <v/>
      </c>
      <c r="I7294">
        <f>IF(C7294="C99999",1,0)</f>
        <v/>
      </c>
      <c r="J7294" s="5">
        <f>IF(OR(H7294=1,I7294=1),0,IF(G7294="Credit",-F7294,F7294))</f>
        <v/>
      </c>
    </row>
    <row r="7295">
      <c r="A7295" t="inlineStr">
        <is>
          <t>2026-09-08</t>
        </is>
      </c>
      <c r="B7295" t="inlineStr">
        <is>
          <t>F268872</t>
        </is>
      </c>
      <c r="C7295" t="inlineStr">
        <is>
          <t>C10463</t>
        </is>
      </c>
      <c r="D7295" t="inlineStr">
        <is>
          <t>SKU-10344</t>
        </is>
      </c>
      <c r="E7295" t="inlineStr">
        <is>
          <t>AM01</t>
        </is>
      </c>
      <c r="F7295" s="5" t="n">
        <v>126</v>
      </c>
      <c r="G7295">
        <f>IF(LEFT(B7295,1)="C","Credit","Factuur")</f>
        <v/>
      </c>
      <c r="H7295">
        <f>IF(AND(B7295=B7294,D7295=D7294,A7295=A7294,F7295=F7294),1,0)</f>
        <v/>
      </c>
      <c r="I7295">
        <f>IF(C7295="C99999",1,0)</f>
        <v/>
      </c>
      <c r="J7295" s="5">
        <f>IF(OR(H7295=1,I7295=1),0,IF(G7295="Credit",-F7295,F7295))</f>
        <v/>
      </c>
    </row>
    <row r="7296">
      <c r="A7296" t="inlineStr">
        <is>
          <t>2026-09-08</t>
        </is>
      </c>
      <c r="B7296" t="inlineStr">
        <is>
          <t>F269028</t>
        </is>
      </c>
      <c r="C7296" t="inlineStr">
        <is>
          <t>C10469</t>
        </is>
      </c>
      <c r="D7296" t="inlineStr">
        <is>
          <t>SKU-10346</t>
        </is>
      </c>
      <c r="E7296" t="inlineStr">
        <is>
          <t>AM06</t>
        </is>
      </c>
      <c r="F7296" s="5" t="n">
        <v>1135.35</v>
      </c>
      <c r="G7296">
        <f>IF(LEFT(B7296,1)="C","Credit","Factuur")</f>
        <v/>
      </c>
      <c r="H7296">
        <f>IF(AND(B7296=B7295,D7296=D7295,A7296=A7295,F7296=F7295),1,0)</f>
        <v/>
      </c>
      <c r="I7296">
        <f>IF(C7296="C99999",1,0)</f>
        <v/>
      </c>
      <c r="J7296" s="5">
        <f>IF(OR(H7296=1,I7296=1),0,IF(G7296="Credit",-F7296,F7296))</f>
        <v/>
      </c>
    </row>
    <row r="7297">
      <c r="A7297" t="inlineStr">
        <is>
          <t>2026-09-08</t>
        </is>
      </c>
      <c r="B7297" t="inlineStr">
        <is>
          <t>F270194</t>
        </is>
      </c>
      <c r="C7297" t="inlineStr">
        <is>
          <t>C10539</t>
        </is>
      </c>
      <c r="D7297" t="inlineStr">
        <is>
          <t>SKU-10273</t>
        </is>
      </c>
      <c r="E7297" t="inlineStr">
        <is>
          <t>AM03</t>
        </is>
      </c>
      <c r="F7297" s="5" t="n">
        <v>995.72</v>
      </c>
      <c r="G7297">
        <f>IF(LEFT(B7297,1)="C","Credit","Factuur")</f>
        <v/>
      </c>
      <c r="H7297">
        <f>IF(AND(B7297=B7296,D7297=D7296,A7297=A7296,F7297=F7296),1,0)</f>
        <v/>
      </c>
      <c r="I7297">
        <f>IF(C7297="C99999",1,0)</f>
        <v/>
      </c>
      <c r="J7297" s="5">
        <f>IF(OR(H7297=1,I7297=1),0,IF(G7297="Credit",-F7297,F7297))</f>
        <v/>
      </c>
    </row>
    <row r="7298">
      <c r="A7298" t="inlineStr">
        <is>
          <t>2026-09-08</t>
        </is>
      </c>
      <c r="B7298" t="inlineStr">
        <is>
          <t>F270194</t>
        </is>
      </c>
      <c r="C7298" t="inlineStr">
        <is>
          <t>C10539</t>
        </is>
      </c>
      <c r="D7298" t="inlineStr">
        <is>
          <t>SKU-10332</t>
        </is>
      </c>
      <c r="E7298" t="inlineStr">
        <is>
          <t>AM03</t>
        </is>
      </c>
      <c r="F7298" s="5" t="n">
        <v>976.5599999999999</v>
      </c>
      <c r="G7298">
        <f>IF(LEFT(B7298,1)="C","Credit","Factuur")</f>
        <v/>
      </c>
      <c r="H7298">
        <f>IF(AND(B7298=B7297,D7298=D7297,A7298=A7297,F7298=F7297),1,0)</f>
        <v/>
      </c>
      <c r="I7298">
        <f>IF(C7298="C99999",1,0)</f>
        <v/>
      </c>
      <c r="J7298" s="5">
        <f>IF(OR(H7298=1,I7298=1),0,IF(G7298="Credit",-F7298,F7298))</f>
        <v/>
      </c>
    </row>
    <row r="7299">
      <c r="A7299" t="inlineStr">
        <is>
          <t>2026-09-08</t>
        </is>
      </c>
      <c r="B7299" t="inlineStr">
        <is>
          <t>F270385</t>
        </is>
      </c>
      <c r="C7299" t="inlineStr">
        <is>
          <t>C10546</t>
        </is>
      </c>
      <c r="D7299" t="inlineStr">
        <is>
          <t>SKU-10273</t>
        </is>
      </c>
      <c r="E7299" t="inlineStr">
        <is>
          <t>AM09</t>
        </is>
      </c>
      <c r="F7299" s="5" t="n">
        <v>22979.93</v>
      </c>
      <c r="G7299">
        <f>IF(LEFT(B7299,1)="C","Credit","Factuur")</f>
        <v/>
      </c>
      <c r="H7299">
        <f>IF(AND(B7299=B7298,D7299=D7298,A7299=A7298,F7299=F7298),1,0)</f>
        <v/>
      </c>
      <c r="I7299">
        <f>IF(C7299="C99999",1,0)</f>
        <v/>
      </c>
      <c r="J7299" s="5">
        <f>IF(OR(H7299=1,I7299=1),0,IF(G7299="Credit",-F7299,F7299))</f>
        <v/>
      </c>
    </row>
    <row r="7300">
      <c r="A7300" t="inlineStr">
        <is>
          <t>2026-09-08</t>
        </is>
      </c>
      <c r="B7300" t="inlineStr">
        <is>
          <t>F270719</t>
        </is>
      </c>
      <c r="C7300" t="inlineStr">
        <is>
          <t>C10563</t>
        </is>
      </c>
      <c r="D7300" t="inlineStr">
        <is>
          <t>SKU-10016</t>
        </is>
      </c>
      <c r="E7300" t="inlineStr">
        <is>
          <t>AM06</t>
        </is>
      </c>
      <c r="F7300" s="5" t="n">
        <v>431.36</v>
      </c>
      <c r="G7300">
        <f>IF(LEFT(B7300,1)="C","Credit","Factuur")</f>
        <v/>
      </c>
      <c r="H7300">
        <f>IF(AND(B7300=B7299,D7300=D7299,A7300=A7299,F7300=F7299),1,0)</f>
        <v/>
      </c>
      <c r="I7300">
        <f>IF(C7300="C99999",1,0)</f>
        <v/>
      </c>
      <c r="J7300" s="5">
        <f>IF(OR(H7300=1,I7300=1),0,IF(G7300="Credit",-F7300,F7300))</f>
        <v/>
      </c>
    </row>
    <row r="7301">
      <c r="A7301" t="inlineStr">
        <is>
          <t>2026-09-08</t>
        </is>
      </c>
      <c r="B7301" t="inlineStr">
        <is>
          <t>F270719</t>
        </is>
      </c>
      <c r="C7301" t="inlineStr">
        <is>
          <t>C10563</t>
        </is>
      </c>
      <c r="D7301" t="inlineStr">
        <is>
          <t>SKU-10214</t>
        </is>
      </c>
      <c r="E7301" t="inlineStr">
        <is>
          <t>AM06</t>
        </is>
      </c>
      <c r="F7301" s="5" t="n">
        <v>414.05</v>
      </c>
      <c r="G7301">
        <f>IF(LEFT(B7301,1)="C","Credit","Factuur")</f>
        <v/>
      </c>
      <c r="H7301">
        <f>IF(AND(B7301=B7300,D7301=D7300,A7301=A7300,F7301=F7300),1,0)</f>
        <v/>
      </c>
      <c r="I7301">
        <f>IF(C7301="C99999",1,0)</f>
        <v/>
      </c>
      <c r="J7301" s="5">
        <f>IF(OR(H7301=1,I7301=1),0,IF(G7301="Credit",-F7301,F7301))</f>
        <v/>
      </c>
    </row>
    <row r="7302">
      <c r="A7302" t="inlineStr">
        <is>
          <t>2026-09-08</t>
        </is>
      </c>
      <c r="B7302" t="inlineStr">
        <is>
          <t>F270719</t>
        </is>
      </c>
      <c r="C7302" t="inlineStr">
        <is>
          <t>C10563</t>
        </is>
      </c>
      <c r="D7302" t="inlineStr">
        <is>
          <t>SKU-10352</t>
        </is>
      </c>
      <c r="E7302" t="inlineStr">
        <is>
          <t>AM06</t>
        </is>
      </c>
      <c r="F7302" s="5" t="n">
        <v>450.27</v>
      </c>
      <c r="G7302">
        <f>IF(LEFT(B7302,1)="C","Credit","Factuur")</f>
        <v/>
      </c>
      <c r="H7302">
        <f>IF(AND(B7302=B7301,D7302=D7301,A7302=A7301,F7302=F7301),1,0)</f>
        <v/>
      </c>
      <c r="I7302">
        <f>IF(C7302="C99999",1,0)</f>
        <v/>
      </c>
      <c r="J7302" s="5">
        <f>IF(OR(H7302=1,I7302=1),0,IF(G7302="Credit",-F7302,F7302))</f>
        <v/>
      </c>
    </row>
    <row r="7303">
      <c r="A7303" t="inlineStr">
        <is>
          <t>2026-09-08</t>
        </is>
      </c>
      <c r="B7303" t="inlineStr">
        <is>
          <t>F271345</t>
        </is>
      </c>
      <c r="C7303" t="inlineStr">
        <is>
          <t>C10590</t>
        </is>
      </c>
      <c r="D7303" t="inlineStr">
        <is>
          <t>SKU-10189</t>
        </is>
      </c>
      <c r="E7303" t="inlineStr">
        <is>
          <t>AM02</t>
        </is>
      </c>
      <c r="F7303" s="5" t="n">
        <v>549.08</v>
      </c>
      <c r="G7303">
        <f>IF(LEFT(B7303,1)="C","Credit","Factuur")</f>
        <v/>
      </c>
      <c r="H7303">
        <f>IF(AND(B7303=B7302,D7303=D7302,A7303=A7302,F7303=F7302),1,0)</f>
        <v/>
      </c>
      <c r="I7303">
        <f>IF(C7303="C99999",1,0)</f>
        <v/>
      </c>
      <c r="J7303" s="5">
        <f>IF(OR(H7303=1,I7303=1),0,IF(G7303="Credit",-F7303,F7303))</f>
        <v/>
      </c>
    </row>
    <row r="7304">
      <c r="A7304" t="inlineStr">
        <is>
          <t>2026-09-08</t>
        </is>
      </c>
      <c r="B7304" t="inlineStr">
        <is>
          <t>F271345</t>
        </is>
      </c>
      <c r="C7304" t="inlineStr">
        <is>
          <t>C10590</t>
        </is>
      </c>
      <c r="D7304" t="inlineStr">
        <is>
          <t>SKU-10254</t>
        </is>
      </c>
      <c r="E7304" t="inlineStr">
        <is>
          <t>AM02</t>
        </is>
      </c>
      <c r="F7304" s="5" t="n">
        <v>494.1</v>
      </c>
      <c r="G7304">
        <f>IF(LEFT(B7304,1)="C","Credit","Factuur")</f>
        <v/>
      </c>
      <c r="H7304">
        <f>IF(AND(B7304=B7303,D7304=D7303,A7304=A7303,F7304=F7303),1,0)</f>
        <v/>
      </c>
      <c r="I7304">
        <f>IF(C7304="C99999",1,0)</f>
        <v/>
      </c>
      <c r="J7304" s="5">
        <f>IF(OR(H7304=1,I7304=1),0,IF(G7304="Credit",-F7304,F7304))</f>
        <v/>
      </c>
    </row>
    <row r="7305">
      <c r="A7305" t="inlineStr">
        <is>
          <t>2026-09-08</t>
        </is>
      </c>
      <c r="B7305" t="inlineStr">
        <is>
          <t>F271393</t>
        </is>
      </c>
      <c r="C7305" t="inlineStr">
        <is>
          <t>C10591</t>
        </is>
      </c>
      <c r="D7305" t="inlineStr">
        <is>
          <t>SKU-10129</t>
        </is>
      </c>
      <c r="E7305" t="inlineStr">
        <is>
          <t>AM08</t>
        </is>
      </c>
      <c r="F7305" s="5" t="n">
        <v>414.52</v>
      </c>
      <c r="G7305">
        <f>IF(LEFT(B7305,1)="C","Credit","Factuur")</f>
        <v/>
      </c>
      <c r="H7305">
        <f>IF(AND(B7305=B7304,D7305=D7304,A7305=A7304,F7305=F7304),1,0)</f>
        <v/>
      </c>
      <c r="I7305">
        <f>IF(C7305="C99999",1,0)</f>
        <v/>
      </c>
      <c r="J7305" s="5">
        <f>IF(OR(H7305=1,I7305=1),0,IF(G7305="Credit",-F7305,F7305))</f>
        <v/>
      </c>
    </row>
    <row r="7306">
      <c r="A7306" t="inlineStr">
        <is>
          <t>2026-09-08</t>
        </is>
      </c>
      <c r="B7306" t="inlineStr">
        <is>
          <t>F271393</t>
        </is>
      </c>
      <c r="C7306" t="inlineStr">
        <is>
          <t>C10591</t>
        </is>
      </c>
      <c r="D7306" t="inlineStr">
        <is>
          <t>SKU-10234</t>
        </is>
      </c>
      <c r="E7306" t="inlineStr">
        <is>
          <t>AM08</t>
        </is>
      </c>
      <c r="F7306" s="5" t="n">
        <v>350.44</v>
      </c>
      <c r="G7306">
        <f>IF(LEFT(B7306,1)="C","Credit","Factuur")</f>
        <v/>
      </c>
      <c r="H7306">
        <f>IF(AND(B7306=B7305,D7306=D7305,A7306=A7305,F7306=F7305),1,0)</f>
        <v/>
      </c>
      <c r="I7306">
        <f>IF(C7306="C99999",1,0)</f>
        <v/>
      </c>
      <c r="J7306" s="5">
        <f>IF(OR(H7306=1,I7306=1),0,IF(G7306="Credit",-F7306,F7306))</f>
        <v/>
      </c>
    </row>
    <row r="7307">
      <c r="A7307" t="inlineStr">
        <is>
          <t>2026-09-08</t>
        </is>
      </c>
      <c r="B7307" t="inlineStr">
        <is>
          <t>F271411</t>
        </is>
      </c>
      <c r="C7307" t="inlineStr">
        <is>
          <t>C10591</t>
        </is>
      </c>
      <c r="D7307" t="inlineStr">
        <is>
          <t>SKU-10047</t>
        </is>
      </c>
      <c r="E7307" t="inlineStr">
        <is>
          <t>AM08</t>
        </is>
      </c>
      <c r="F7307" s="5" t="n">
        <v>241.35</v>
      </c>
      <c r="G7307">
        <f>IF(LEFT(B7307,1)="C","Credit","Factuur")</f>
        <v/>
      </c>
      <c r="H7307">
        <f>IF(AND(B7307=B7306,D7307=D7306,A7307=A7306,F7307=F7306),1,0)</f>
        <v/>
      </c>
      <c r="I7307">
        <f>IF(C7307="C99999",1,0)</f>
        <v/>
      </c>
      <c r="J7307" s="5">
        <f>IF(OR(H7307=1,I7307=1),0,IF(G7307="Credit",-F7307,F7307))</f>
        <v/>
      </c>
    </row>
    <row r="7308">
      <c r="A7308" t="inlineStr">
        <is>
          <t>2026-09-08</t>
        </is>
      </c>
      <c r="B7308" t="inlineStr">
        <is>
          <t>F271411</t>
        </is>
      </c>
      <c r="C7308" t="inlineStr">
        <is>
          <t>C10591</t>
        </is>
      </c>
      <c r="D7308" t="inlineStr">
        <is>
          <t>SKU-10066</t>
        </is>
      </c>
      <c r="E7308" t="inlineStr">
        <is>
          <t>AM08</t>
        </is>
      </c>
      <c r="F7308" s="5" t="n">
        <v>244.85</v>
      </c>
      <c r="G7308">
        <f>IF(LEFT(B7308,1)="C","Credit","Factuur")</f>
        <v/>
      </c>
      <c r="H7308">
        <f>IF(AND(B7308=B7307,D7308=D7307,A7308=A7307,F7308=F7307),1,0)</f>
        <v/>
      </c>
      <c r="I7308">
        <f>IF(C7308="C99999",1,0)</f>
        <v/>
      </c>
      <c r="J7308" s="5">
        <f>IF(OR(H7308=1,I7308=1),0,IF(G7308="Credit",-F7308,F7308))</f>
        <v/>
      </c>
    </row>
    <row r="7309">
      <c r="A7309" t="inlineStr">
        <is>
          <t>2026-09-08</t>
        </is>
      </c>
      <c r="B7309" t="inlineStr">
        <is>
          <t>F271411</t>
        </is>
      </c>
      <c r="C7309" t="inlineStr">
        <is>
          <t>C10591</t>
        </is>
      </c>
      <c r="D7309" t="inlineStr">
        <is>
          <t>SKU-10130</t>
        </is>
      </c>
      <c r="E7309" t="inlineStr">
        <is>
          <t>AM08</t>
        </is>
      </c>
      <c r="F7309" s="5" t="n">
        <v>277.64</v>
      </c>
      <c r="G7309">
        <f>IF(LEFT(B7309,1)="C","Credit","Factuur")</f>
        <v/>
      </c>
      <c r="H7309">
        <f>IF(AND(B7309=B7308,D7309=D7308,A7309=A7308,F7309=F7308),1,0)</f>
        <v/>
      </c>
      <c r="I7309">
        <f>IF(C7309="C99999",1,0)</f>
        <v/>
      </c>
      <c r="J7309" s="5">
        <f>IF(OR(H7309=1,I7309=1),0,IF(G7309="Credit",-F7309,F7309))</f>
        <v/>
      </c>
    </row>
    <row r="7310">
      <c r="A7310" t="inlineStr">
        <is>
          <t>2026-09-08</t>
        </is>
      </c>
      <c r="B7310" t="inlineStr">
        <is>
          <t>F271411</t>
        </is>
      </c>
      <c r="C7310" t="inlineStr">
        <is>
          <t>C10591</t>
        </is>
      </c>
      <c r="D7310" t="inlineStr">
        <is>
          <t>SKU-10232</t>
        </is>
      </c>
      <c r="E7310" t="inlineStr">
        <is>
          <t>AM08</t>
        </is>
      </c>
      <c r="F7310" s="5" t="n">
        <v>287.04</v>
      </c>
      <c r="G7310">
        <f>IF(LEFT(B7310,1)="C","Credit","Factuur")</f>
        <v/>
      </c>
      <c r="H7310">
        <f>IF(AND(B7310=B7309,D7310=D7309,A7310=A7309,F7310=F7309),1,0)</f>
        <v/>
      </c>
      <c r="I7310">
        <f>IF(C7310="C99999",1,0)</f>
        <v/>
      </c>
      <c r="J7310" s="5">
        <f>IF(OR(H7310=1,I7310=1),0,IF(G7310="Credit",-F7310,F7310))</f>
        <v/>
      </c>
    </row>
    <row r="7311">
      <c r="A7311" t="inlineStr">
        <is>
          <t>2026-09-08</t>
        </is>
      </c>
      <c r="B7311" t="inlineStr">
        <is>
          <t>F271411</t>
        </is>
      </c>
      <c r="C7311" t="inlineStr">
        <is>
          <t>C10591</t>
        </is>
      </c>
      <c r="D7311" t="inlineStr">
        <is>
          <t>SKU-10244</t>
        </is>
      </c>
      <c r="E7311" t="inlineStr">
        <is>
          <t>AM08</t>
        </is>
      </c>
      <c r="F7311" s="5" t="n">
        <v>261.54</v>
      </c>
      <c r="G7311">
        <f>IF(LEFT(B7311,1)="C","Credit","Factuur")</f>
        <v/>
      </c>
      <c r="H7311">
        <f>IF(AND(B7311=B7310,D7311=D7310,A7311=A7310,F7311=F7310),1,0)</f>
        <v/>
      </c>
      <c r="I7311">
        <f>IF(C7311="C99999",1,0)</f>
        <v/>
      </c>
      <c r="J7311" s="5">
        <f>IF(OR(H7311=1,I7311=1),0,IF(G7311="Credit",-F7311,F7311))</f>
        <v/>
      </c>
    </row>
    <row r="7312">
      <c r="A7312" t="inlineStr">
        <is>
          <t>2026-09-08</t>
        </is>
      </c>
      <c r="B7312" t="inlineStr">
        <is>
          <t>F271411</t>
        </is>
      </c>
      <c r="C7312" t="inlineStr">
        <is>
          <t>C10591</t>
        </is>
      </c>
      <c r="D7312" t="inlineStr">
        <is>
          <t>SKU-10291</t>
        </is>
      </c>
      <c r="E7312" t="inlineStr">
        <is>
          <t>AM08</t>
        </is>
      </c>
      <c r="F7312" s="5" t="n">
        <v>257.16</v>
      </c>
      <c r="G7312">
        <f>IF(LEFT(B7312,1)="C","Credit","Factuur")</f>
        <v/>
      </c>
      <c r="H7312">
        <f>IF(AND(B7312=B7311,D7312=D7311,A7312=A7311,F7312=F7311),1,0)</f>
        <v/>
      </c>
      <c r="I7312">
        <f>IF(C7312="C99999",1,0)</f>
        <v/>
      </c>
      <c r="J7312" s="5">
        <f>IF(OR(H7312=1,I7312=1),0,IF(G7312="Credit",-F7312,F7312))</f>
        <v/>
      </c>
    </row>
    <row r="7313">
      <c r="A7313" t="inlineStr">
        <is>
          <t>2026-09-08</t>
        </is>
      </c>
      <c r="B7313" t="inlineStr">
        <is>
          <t>F271726</t>
        </is>
      </c>
      <c r="C7313" t="inlineStr">
        <is>
          <t>C10602</t>
        </is>
      </c>
      <c r="D7313" t="inlineStr">
        <is>
          <t>SKU-10003</t>
        </is>
      </c>
      <c r="E7313" t="inlineStr">
        <is>
          <t>AM05</t>
        </is>
      </c>
      <c r="F7313" s="5" t="n">
        <v>290.93</v>
      </c>
      <c r="G7313">
        <f>IF(LEFT(B7313,1)="C","Credit","Factuur")</f>
        <v/>
      </c>
      <c r="H7313">
        <f>IF(AND(B7313=B7312,D7313=D7312,A7313=A7312,F7313=F7312),1,0)</f>
        <v/>
      </c>
      <c r="I7313">
        <f>IF(C7313="C99999",1,0)</f>
        <v/>
      </c>
      <c r="J7313" s="5">
        <f>IF(OR(H7313=1,I7313=1),0,IF(G7313="Credit",-F7313,F7313))</f>
        <v/>
      </c>
    </row>
    <row r="7314">
      <c r="A7314" t="inlineStr">
        <is>
          <t>2026-09-08</t>
        </is>
      </c>
      <c r="B7314" t="inlineStr">
        <is>
          <t>F271726</t>
        </is>
      </c>
      <c r="C7314" t="inlineStr">
        <is>
          <t>C10602</t>
        </is>
      </c>
      <c r="D7314" t="inlineStr">
        <is>
          <t>SKU-10160</t>
        </is>
      </c>
      <c r="E7314" t="inlineStr">
        <is>
          <t>AM05</t>
        </is>
      </c>
      <c r="F7314" s="5" t="n">
        <v>277.92</v>
      </c>
      <c r="G7314">
        <f>IF(LEFT(B7314,1)="C","Credit","Factuur")</f>
        <v/>
      </c>
      <c r="H7314">
        <f>IF(AND(B7314=B7313,D7314=D7313,A7314=A7313,F7314=F7313),1,0)</f>
        <v/>
      </c>
      <c r="I7314">
        <f>IF(C7314="C99999",1,0)</f>
        <v/>
      </c>
      <c r="J7314" s="5">
        <f>IF(OR(H7314=1,I7314=1),0,IF(G7314="Credit",-F7314,F7314))</f>
        <v/>
      </c>
    </row>
    <row r="7315">
      <c r="A7315" t="inlineStr">
        <is>
          <t>2026-09-08</t>
        </is>
      </c>
      <c r="B7315" t="inlineStr">
        <is>
          <t>F271726</t>
        </is>
      </c>
      <c r="C7315" t="inlineStr">
        <is>
          <t>C10602</t>
        </is>
      </c>
      <c r="D7315" t="inlineStr">
        <is>
          <t>SKU-10262</t>
        </is>
      </c>
      <c r="E7315" t="inlineStr">
        <is>
          <t>AM05</t>
        </is>
      </c>
      <c r="F7315" s="5" t="n">
        <v>296.05</v>
      </c>
      <c r="G7315">
        <f>IF(LEFT(B7315,1)="C","Credit","Factuur")</f>
        <v/>
      </c>
      <c r="H7315">
        <f>IF(AND(B7315=B7314,D7315=D7314,A7315=A7314,F7315=F7314),1,0)</f>
        <v/>
      </c>
      <c r="I7315">
        <f>IF(C7315="C99999",1,0)</f>
        <v/>
      </c>
      <c r="J7315" s="5">
        <f>IF(OR(H7315=1,I7315=1),0,IF(G7315="Credit",-F7315,F7315))</f>
        <v/>
      </c>
    </row>
    <row r="7316">
      <c r="A7316" t="inlineStr">
        <is>
          <t>2026-09-08</t>
        </is>
      </c>
      <c r="B7316" t="inlineStr">
        <is>
          <t>F271726</t>
        </is>
      </c>
      <c r="C7316" t="inlineStr">
        <is>
          <t>C10602</t>
        </is>
      </c>
      <c r="D7316" t="inlineStr">
        <is>
          <t>SKU-10385</t>
        </is>
      </c>
      <c r="E7316" t="inlineStr">
        <is>
          <t>AM05</t>
        </is>
      </c>
      <c r="F7316" s="5" t="n">
        <v>245.54</v>
      </c>
      <c r="G7316">
        <f>IF(LEFT(B7316,1)="C","Credit","Factuur")</f>
        <v/>
      </c>
      <c r="H7316">
        <f>IF(AND(B7316=B7315,D7316=D7315,A7316=A7315,F7316=F7315),1,0)</f>
        <v/>
      </c>
      <c r="I7316">
        <f>IF(C7316="C99999",1,0)</f>
        <v/>
      </c>
      <c r="J7316" s="5">
        <f>IF(OR(H7316=1,I7316=1),0,IF(G7316="Credit",-F7316,F7316))</f>
        <v/>
      </c>
    </row>
    <row r="7317">
      <c r="A7317" t="inlineStr">
        <is>
          <t>2026-09-08</t>
        </is>
      </c>
      <c r="B7317" t="inlineStr">
        <is>
          <t>F271798</t>
        </is>
      </c>
      <c r="C7317" t="inlineStr">
        <is>
          <t>C10606</t>
        </is>
      </c>
      <c r="D7317" t="inlineStr">
        <is>
          <t>SKU-10056</t>
        </is>
      </c>
      <c r="E7317" t="inlineStr">
        <is>
          <t>AM03</t>
        </is>
      </c>
      <c r="F7317" s="5" t="n">
        <v>416</v>
      </c>
      <c r="G7317">
        <f>IF(LEFT(B7317,1)="C","Credit","Factuur")</f>
        <v/>
      </c>
      <c r="H7317">
        <f>IF(AND(B7317=B7316,D7317=D7316,A7317=A7316,F7317=F7316),1,0)</f>
        <v/>
      </c>
      <c r="I7317">
        <f>IF(C7317="C99999",1,0)</f>
        <v/>
      </c>
      <c r="J7317" s="5">
        <f>IF(OR(H7317=1,I7317=1),0,IF(G7317="Credit",-F7317,F7317))</f>
        <v/>
      </c>
    </row>
    <row r="7318">
      <c r="A7318" t="inlineStr">
        <is>
          <t>2026-09-08</t>
        </is>
      </c>
      <c r="B7318" t="inlineStr">
        <is>
          <t>F271798</t>
        </is>
      </c>
      <c r="C7318" t="inlineStr">
        <is>
          <t>C10606</t>
        </is>
      </c>
      <c r="D7318" t="inlineStr">
        <is>
          <t>SKU-10059</t>
        </is>
      </c>
      <c r="E7318" t="inlineStr">
        <is>
          <t>AM03</t>
        </is>
      </c>
      <c r="F7318" s="5" t="n">
        <v>403.56</v>
      </c>
      <c r="G7318">
        <f>IF(LEFT(B7318,1)="C","Credit","Factuur")</f>
        <v/>
      </c>
      <c r="H7318">
        <f>IF(AND(B7318=B7317,D7318=D7317,A7318=A7317,F7318=F7317),1,0)</f>
        <v/>
      </c>
      <c r="I7318">
        <f>IF(C7318="C99999",1,0)</f>
        <v/>
      </c>
      <c r="J7318" s="5">
        <f>IF(OR(H7318=1,I7318=1),0,IF(G7318="Credit",-F7318,F7318))</f>
        <v/>
      </c>
    </row>
    <row r="7319">
      <c r="A7319" t="inlineStr">
        <is>
          <t>2026-09-08</t>
        </is>
      </c>
      <c r="B7319" t="inlineStr">
        <is>
          <t>F271798</t>
        </is>
      </c>
      <c r="C7319" t="inlineStr">
        <is>
          <t>C10606</t>
        </is>
      </c>
      <c r="D7319" t="inlineStr">
        <is>
          <t>SKU-10169</t>
        </is>
      </c>
      <c r="E7319" t="inlineStr">
        <is>
          <t>AM03</t>
        </is>
      </c>
      <c r="F7319" s="5" t="n">
        <v>401.18</v>
      </c>
      <c r="G7319">
        <f>IF(LEFT(B7319,1)="C","Credit","Factuur")</f>
        <v/>
      </c>
      <c r="H7319">
        <f>IF(AND(B7319=B7318,D7319=D7318,A7319=A7318,F7319=F7318),1,0)</f>
        <v/>
      </c>
      <c r="I7319">
        <f>IF(C7319="C99999",1,0)</f>
        <v/>
      </c>
      <c r="J7319" s="5">
        <f>IF(OR(H7319=1,I7319=1),0,IF(G7319="Credit",-F7319,F7319))</f>
        <v/>
      </c>
    </row>
    <row r="7320">
      <c r="A7320" t="inlineStr">
        <is>
          <t>2026-09-08</t>
        </is>
      </c>
      <c r="B7320" t="inlineStr">
        <is>
          <t>F271798</t>
        </is>
      </c>
      <c r="C7320" t="inlineStr">
        <is>
          <t>C10606</t>
        </is>
      </c>
      <c r="D7320" t="inlineStr">
        <is>
          <t>SKU-10195</t>
        </is>
      </c>
      <c r="E7320" t="inlineStr">
        <is>
          <t>AM03</t>
        </is>
      </c>
      <c r="F7320" s="5" t="n">
        <v>399.28</v>
      </c>
      <c r="G7320">
        <f>IF(LEFT(B7320,1)="C","Credit","Factuur")</f>
        <v/>
      </c>
      <c r="H7320">
        <f>IF(AND(B7320=B7319,D7320=D7319,A7320=A7319,F7320=F7319),1,0)</f>
        <v/>
      </c>
      <c r="I7320">
        <f>IF(C7320="C99999",1,0)</f>
        <v/>
      </c>
      <c r="J7320" s="5">
        <f>IF(OR(H7320=1,I7320=1),0,IF(G7320="Credit",-F7320,F7320))</f>
        <v/>
      </c>
    </row>
    <row r="7321">
      <c r="A7321" t="inlineStr">
        <is>
          <t>2026-09-08</t>
        </is>
      </c>
      <c r="B7321" t="inlineStr">
        <is>
          <t>F271798</t>
        </is>
      </c>
      <c r="C7321" t="inlineStr">
        <is>
          <t>C10606</t>
        </is>
      </c>
      <c r="D7321" t="inlineStr">
        <is>
          <t>SKU-10284</t>
        </is>
      </c>
      <c r="E7321" t="inlineStr">
        <is>
          <t>AM03</t>
        </is>
      </c>
      <c r="F7321" s="5" t="n">
        <v>408.72</v>
      </c>
      <c r="G7321">
        <f>IF(LEFT(B7321,1)="C","Credit","Factuur")</f>
        <v/>
      </c>
      <c r="H7321">
        <f>IF(AND(B7321=B7320,D7321=D7320,A7321=A7320,F7321=F7320),1,0)</f>
        <v/>
      </c>
      <c r="I7321">
        <f>IF(C7321="C99999",1,0)</f>
        <v/>
      </c>
      <c r="J7321" s="5">
        <f>IF(OR(H7321=1,I7321=1),0,IF(G7321="Credit",-F7321,F7321))</f>
        <v/>
      </c>
    </row>
    <row r="7322">
      <c r="A7322" t="inlineStr">
        <is>
          <t>2026-09-08</t>
        </is>
      </c>
      <c r="B7322" t="inlineStr">
        <is>
          <t>F271798</t>
        </is>
      </c>
      <c r="C7322" t="inlineStr">
        <is>
          <t>C10606</t>
        </is>
      </c>
      <c r="D7322" t="inlineStr">
        <is>
          <t>SKU-10292</t>
        </is>
      </c>
      <c r="E7322" t="inlineStr">
        <is>
          <t>AM03</t>
        </is>
      </c>
      <c r="F7322" s="5" t="n">
        <v>412.08</v>
      </c>
      <c r="G7322">
        <f>IF(LEFT(B7322,1)="C","Credit","Factuur")</f>
        <v/>
      </c>
      <c r="H7322">
        <f>IF(AND(B7322=B7321,D7322=D7321,A7322=A7321,F7322=F7321),1,0)</f>
        <v/>
      </c>
      <c r="I7322">
        <f>IF(C7322="C99999",1,0)</f>
        <v/>
      </c>
      <c r="J7322" s="5">
        <f>IF(OR(H7322=1,I7322=1),0,IF(G7322="Credit",-F7322,F7322))</f>
        <v/>
      </c>
    </row>
    <row r="7323">
      <c r="A7323" t="inlineStr">
        <is>
          <t>2026-09-08</t>
        </is>
      </c>
      <c r="B7323" t="inlineStr">
        <is>
          <t>F272044</t>
        </is>
      </c>
      <c r="C7323" t="inlineStr">
        <is>
          <t>C10621</t>
        </is>
      </c>
      <c r="D7323" t="inlineStr">
        <is>
          <t>SKU-10014</t>
        </is>
      </c>
      <c r="E7323" t="inlineStr">
        <is>
          <t>AM09</t>
        </is>
      </c>
      <c r="F7323" s="5" t="n">
        <v>4012.42</v>
      </c>
      <c r="G7323">
        <f>IF(LEFT(B7323,1)="C","Credit","Factuur")</f>
        <v/>
      </c>
      <c r="H7323">
        <f>IF(AND(B7323=B7322,D7323=D7322,A7323=A7322,F7323=F7322),1,0)</f>
        <v/>
      </c>
      <c r="I7323">
        <f>IF(C7323="C99999",1,0)</f>
        <v/>
      </c>
      <c r="J7323" s="5">
        <f>IF(OR(H7323=1,I7323=1),0,IF(G7323="Credit",-F7323,F7323))</f>
        <v/>
      </c>
    </row>
    <row r="7324">
      <c r="A7324" t="inlineStr">
        <is>
          <t>2026-09-08</t>
        </is>
      </c>
      <c r="B7324" t="inlineStr">
        <is>
          <t>F272044</t>
        </is>
      </c>
      <c r="C7324" t="inlineStr">
        <is>
          <t>C10621</t>
        </is>
      </c>
      <c r="D7324" t="inlineStr">
        <is>
          <t>SKU-10371</t>
        </is>
      </c>
      <c r="E7324" t="inlineStr">
        <is>
          <t>AM09</t>
        </is>
      </c>
      <c r="F7324" s="5" t="n">
        <v>4517.37</v>
      </c>
      <c r="G7324">
        <f>IF(LEFT(B7324,1)="C","Credit","Factuur")</f>
        <v/>
      </c>
      <c r="H7324">
        <f>IF(AND(B7324=B7323,D7324=D7323,A7324=A7323,F7324=F7323),1,0)</f>
        <v/>
      </c>
      <c r="I7324">
        <f>IF(C7324="C99999",1,0)</f>
        <v/>
      </c>
      <c r="J7324" s="5">
        <f>IF(OR(H7324=1,I7324=1),0,IF(G7324="Credit",-F7324,F7324))</f>
        <v/>
      </c>
    </row>
    <row r="7325">
      <c r="A7325" t="inlineStr">
        <is>
          <t>2026-09-08</t>
        </is>
      </c>
      <c r="B7325" t="inlineStr">
        <is>
          <t>F274412</t>
        </is>
      </c>
      <c r="C7325" t="inlineStr">
        <is>
          <t>C10761</t>
        </is>
      </c>
      <c r="D7325" t="inlineStr">
        <is>
          <t>SKU-10059</t>
        </is>
      </c>
      <c r="E7325" t="inlineStr">
        <is>
          <t>AM02</t>
        </is>
      </c>
      <c r="F7325" s="5" t="n">
        <v>212.4</v>
      </c>
      <c r="G7325">
        <f>IF(LEFT(B7325,1)="C","Credit","Factuur")</f>
        <v/>
      </c>
      <c r="H7325">
        <f>IF(AND(B7325=B7324,D7325=D7324,A7325=A7324,F7325=F7324),1,0)</f>
        <v/>
      </c>
      <c r="I7325">
        <f>IF(C7325="C99999",1,0)</f>
        <v/>
      </c>
      <c r="J7325" s="5">
        <f>IF(OR(H7325=1,I7325=1),0,IF(G7325="Credit",-F7325,F7325))</f>
        <v/>
      </c>
    </row>
    <row r="7326">
      <c r="A7326" t="inlineStr">
        <is>
          <t>2026-09-08</t>
        </is>
      </c>
      <c r="B7326" t="inlineStr">
        <is>
          <t>F274412</t>
        </is>
      </c>
      <c r="C7326" t="inlineStr">
        <is>
          <t>C10761</t>
        </is>
      </c>
      <c r="D7326" t="inlineStr">
        <is>
          <t>SKU-10248</t>
        </is>
      </c>
      <c r="E7326" t="inlineStr">
        <is>
          <t>AM02</t>
        </is>
      </c>
      <c r="F7326" s="5" t="n">
        <v>205.4</v>
      </c>
      <c r="G7326">
        <f>IF(LEFT(B7326,1)="C","Credit","Factuur")</f>
        <v/>
      </c>
      <c r="H7326">
        <f>IF(AND(B7326=B7325,D7326=D7325,A7326=A7325,F7326=F7325),1,0)</f>
        <v/>
      </c>
      <c r="I7326">
        <f>IF(C7326="C99999",1,0)</f>
        <v/>
      </c>
      <c r="J7326" s="5">
        <f>IF(OR(H7326=1,I7326=1),0,IF(G7326="Credit",-F7326,F7326))</f>
        <v/>
      </c>
    </row>
    <row r="7327">
      <c r="A7327" t="inlineStr">
        <is>
          <t>2026-09-08</t>
        </is>
      </c>
      <c r="B7327" t="inlineStr">
        <is>
          <t>F274412</t>
        </is>
      </c>
      <c r="C7327" t="inlineStr">
        <is>
          <t>C10761</t>
        </is>
      </c>
      <c r="D7327" t="inlineStr">
        <is>
          <t>SKU-10344</t>
        </is>
      </c>
      <c r="E7327" t="inlineStr">
        <is>
          <t>AM02</t>
        </is>
      </c>
      <c r="F7327" s="5" t="n">
        <v>212.8</v>
      </c>
      <c r="G7327">
        <f>IF(LEFT(B7327,1)="C","Credit","Factuur")</f>
        <v/>
      </c>
      <c r="H7327">
        <f>IF(AND(B7327=B7326,D7327=D7326,A7327=A7326,F7327=F7326),1,0)</f>
        <v/>
      </c>
      <c r="I7327">
        <f>IF(C7327="C99999",1,0)</f>
        <v/>
      </c>
      <c r="J7327" s="5">
        <f>IF(OR(H7327=1,I7327=1),0,IF(G7327="Credit",-F7327,F7327))</f>
        <v/>
      </c>
    </row>
    <row r="7328">
      <c r="A7328" t="inlineStr">
        <is>
          <t>2026-09-08</t>
        </is>
      </c>
      <c r="B7328" t="inlineStr">
        <is>
          <t>F275730</t>
        </is>
      </c>
      <c r="C7328" t="inlineStr">
        <is>
          <t>C10832</t>
        </is>
      </c>
      <c r="D7328" t="inlineStr">
        <is>
          <t>SKU-10039</t>
        </is>
      </c>
      <c r="E7328" t="inlineStr">
        <is>
          <t>AM05</t>
        </is>
      </c>
      <c r="F7328" s="5" t="n">
        <v>162.15</v>
      </c>
      <c r="G7328">
        <f>IF(LEFT(B7328,1)="C","Credit","Factuur")</f>
        <v/>
      </c>
      <c r="H7328">
        <f>IF(AND(B7328=B7327,D7328=D7327,A7328=A7327,F7328=F7327),1,0)</f>
        <v/>
      </c>
      <c r="I7328">
        <f>IF(C7328="C99999",1,0)</f>
        <v/>
      </c>
      <c r="J7328" s="5">
        <f>IF(OR(H7328=1,I7328=1),0,IF(G7328="Credit",-F7328,F7328))</f>
        <v/>
      </c>
    </row>
    <row r="7329">
      <c r="A7329" t="inlineStr">
        <is>
          <t>2026-09-08</t>
        </is>
      </c>
      <c r="B7329" t="inlineStr">
        <is>
          <t>F275730</t>
        </is>
      </c>
      <c r="C7329" t="inlineStr">
        <is>
          <t>C10832</t>
        </is>
      </c>
      <c r="D7329" t="inlineStr">
        <is>
          <t>SKU-10120</t>
        </is>
      </c>
      <c r="E7329" t="inlineStr">
        <is>
          <t>AM05</t>
        </is>
      </c>
      <c r="F7329" s="5" t="n">
        <v>170.28</v>
      </c>
      <c r="G7329">
        <f>IF(LEFT(B7329,1)="C","Credit","Factuur")</f>
        <v/>
      </c>
      <c r="H7329">
        <f>IF(AND(B7329=B7328,D7329=D7328,A7329=A7328,F7329=F7328),1,0)</f>
        <v/>
      </c>
      <c r="I7329">
        <f>IF(C7329="C99999",1,0)</f>
        <v/>
      </c>
      <c r="J7329" s="5">
        <f>IF(OR(H7329=1,I7329=1),0,IF(G7329="Credit",-F7329,F7329))</f>
        <v/>
      </c>
    </row>
    <row r="7330">
      <c r="A7330" t="inlineStr">
        <is>
          <t>2026-09-08</t>
        </is>
      </c>
      <c r="B7330" t="inlineStr">
        <is>
          <t>F275730</t>
        </is>
      </c>
      <c r="C7330" t="inlineStr">
        <is>
          <t>C10832</t>
        </is>
      </c>
      <c r="D7330" t="inlineStr">
        <is>
          <t>SKU-10174</t>
        </is>
      </c>
      <c r="E7330" t="inlineStr">
        <is>
          <t>AM05</t>
        </is>
      </c>
      <c r="F7330" s="5" t="n">
        <v>159.64</v>
      </c>
      <c r="G7330">
        <f>IF(LEFT(B7330,1)="C","Credit","Factuur")</f>
        <v/>
      </c>
      <c r="H7330">
        <f>IF(AND(B7330=B7329,D7330=D7329,A7330=A7329,F7330=F7329),1,0)</f>
        <v/>
      </c>
      <c r="I7330">
        <f>IF(C7330="C99999",1,0)</f>
        <v/>
      </c>
      <c r="J7330" s="5">
        <f>IF(OR(H7330=1,I7330=1),0,IF(G7330="Credit",-F7330,F7330))</f>
        <v/>
      </c>
    </row>
    <row r="7331">
      <c r="A7331" t="inlineStr">
        <is>
          <t>2026-09-08</t>
        </is>
      </c>
      <c r="B7331" t="inlineStr">
        <is>
          <t>F275730</t>
        </is>
      </c>
      <c r="C7331" t="inlineStr">
        <is>
          <t>C10832</t>
        </is>
      </c>
      <c r="D7331" t="inlineStr">
        <is>
          <t>SKU-10184</t>
        </is>
      </c>
      <c r="E7331" t="inlineStr">
        <is>
          <t>AM05</t>
        </is>
      </c>
      <c r="F7331" s="5" t="n">
        <v>181.58</v>
      </c>
      <c r="G7331">
        <f>IF(LEFT(B7331,1)="C","Credit","Factuur")</f>
        <v/>
      </c>
      <c r="H7331">
        <f>IF(AND(B7331=B7330,D7331=D7330,A7331=A7330,F7331=F7330),1,0)</f>
        <v/>
      </c>
      <c r="I7331">
        <f>IF(C7331="C99999",1,0)</f>
        <v/>
      </c>
      <c r="J7331" s="5">
        <f>IF(OR(H7331=1,I7331=1),0,IF(G7331="Credit",-F7331,F7331))</f>
        <v/>
      </c>
    </row>
    <row r="7332">
      <c r="A7332" t="inlineStr">
        <is>
          <t>2026-09-08</t>
        </is>
      </c>
      <c r="B7332" t="inlineStr">
        <is>
          <t>F275730</t>
        </is>
      </c>
      <c r="C7332" t="inlineStr">
        <is>
          <t>C10832</t>
        </is>
      </c>
      <c r="D7332" t="inlineStr">
        <is>
          <t>SKU-10334</t>
        </is>
      </c>
      <c r="E7332" t="inlineStr">
        <is>
          <t>AM05</t>
        </is>
      </c>
      <c r="F7332" s="5" t="n">
        <v>162.93</v>
      </c>
      <c r="G7332">
        <f>IF(LEFT(B7332,1)="C","Credit","Factuur")</f>
        <v/>
      </c>
      <c r="H7332">
        <f>IF(AND(B7332=B7331,D7332=D7331,A7332=A7331,F7332=F7331),1,0)</f>
        <v/>
      </c>
      <c r="I7332">
        <f>IF(C7332="C99999",1,0)</f>
        <v/>
      </c>
      <c r="J7332" s="5">
        <f>IF(OR(H7332=1,I7332=1),0,IF(G7332="Credit",-F7332,F7332))</f>
        <v/>
      </c>
    </row>
    <row r="7333">
      <c r="A7333" t="inlineStr">
        <is>
          <t>2026-09-08</t>
        </is>
      </c>
      <c r="B7333" t="inlineStr">
        <is>
          <t>F276482</t>
        </is>
      </c>
      <c r="C7333" t="inlineStr">
        <is>
          <t>C10872</t>
        </is>
      </c>
      <c r="D7333" t="inlineStr">
        <is>
          <t>SKU-10001</t>
        </is>
      </c>
      <c r="E7333" t="inlineStr">
        <is>
          <t>AM08</t>
        </is>
      </c>
      <c r="F7333" s="5" t="n">
        <v>131.45</v>
      </c>
      <c r="G7333">
        <f>IF(LEFT(B7333,1)="C","Credit","Factuur")</f>
        <v/>
      </c>
      <c r="H7333">
        <f>IF(AND(B7333=B7332,D7333=D7332,A7333=A7332,F7333=F7332),1,0)</f>
        <v/>
      </c>
      <c r="I7333">
        <f>IF(C7333="C99999",1,0)</f>
        <v/>
      </c>
      <c r="J7333" s="5">
        <f>IF(OR(H7333=1,I7333=1),0,IF(G7333="Credit",-F7333,F7333))</f>
        <v/>
      </c>
    </row>
    <row r="7334">
      <c r="A7334" t="inlineStr">
        <is>
          <t>2026-09-08</t>
        </is>
      </c>
      <c r="B7334" t="inlineStr">
        <is>
          <t>F276482</t>
        </is>
      </c>
      <c r="C7334" t="inlineStr">
        <is>
          <t>C10872</t>
        </is>
      </c>
      <c r="D7334" t="inlineStr">
        <is>
          <t>SKU-10026</t>
        </is>
      </c>
      <c r="E7334" t="inlineStr">
        <is>
          <t>AM08</t>
        </is>
      </c>
      <c r="F7334" s="5" t="n">
        <v>144.95</v>
      </c>
      <c r="G7334">
        <f>IF(LEFT(B7334,1)="C","Credit","Factuur")</f>
        <v/>
      </c>
      <c r="H7334">
        <f>IF(AND(B7334=B7333,D7334=D7333,A7334=A7333,F7334=F7333),1,0)</f>
        <v/>
      </c>
      <c r="I7334">
        <f>IF(C7334="C99999",1,0)</f>
        <v/>
      </c>
      <c r="J7334" s="5">
        <f>IF(OR(H7334=1,I7334=1),0,IF(G7334="Credit",-F7334,F7334))</f>
        <v/>
      </c>
    </row>
    <row r="7335">
      <c r="A7335" t="inlineStr">
        <is>
          <t>2026-09-08</t>
        </is>
      </c>
      <c r="B7335" t="inlineStr">
        <is>
          <t>F276482</t>
        </is>
      </c>
      <c r="C7335" t="inlineStr">
        <is>
          <t>C10872</t>
        </is>
      </c>
      <c r="D7335" t="inlineStr">
        <is>
          <t>SKU-10045</t>
        </is>
      </c>
      <c r="E7335" t="inlineStr">
        <is>
          <t>AM08</t>
        </is>
      </c>
      <c r="F7335" s="5" t="n">
        <v>147.86</v>
      </c>
      <c r="G7335">
        <f>IF(LEFT(B7335,1)="C","Credit","Factuur")</f>
        <v/>
      </c>
      <c r="H7335">
        <f>IF(AND(B7335=B7334,D7335=D7334,A7335=A7334,F7335=F7334),1,0)</f>
        <v/>
      </c>
      <c r="I7335">
        <f>IF(C7335="C99999",1,0)</f>
        <v/>
      </c>
      <c r="J7335" s="5">
        <f>IF(OR(H7335=1,I7335=1),0,IF(G7335="Credit",-F7335,F7335))</f>
        <v/>
      </c>
    </row>
    <row r="7336">
      <c r="A7336" t="inlineStr">
        <is>
          <t>2026-09-08</t>
        </is>
      </c>
      <c r="B7336" t="inlineStr">
        <is>
          <t>F276482</t>
        </is>
      </c>
      <c r="C7336" t="inlineStr">
        <is>
          <t>C10872</t>
        </is>
      </c>
      <c r="D7336" t="inlineStr">
        <is>
          <t>SKU-10244</t>
        </is>
      </c>
      <c r="E7336" t="inlineStr">
        <is>
          <t>AM08</t>
        </is>
      </c>
      <c r="F7336" s="5" t="n">
        <v>143.64</v>
      </c>
      <c r="G7336">
        <f>IF(LEFT(B7336,1)="C","Credit","Factuur")</f>
        <v/>
      </c>
      <c r="H7336">
        <f>IF(AND(B7336=B7335,D7336=D7335,A7336=A7335,F7336=F7335),1,0)</f>
        <v/>
      </c>
      <c r="I7336">
        <f>IF(C7336="C99999",1,0)</f>
        <v/>
      </c>
      <c r="J7336" s="5">
        <f>IF(OR(H7336=1,I7336=1),0,IF(G7336="Credit",-F7336,F7336))</f>
        <v/>
      </c>
    </row>
    <row r="7337">
      <c r="A7337" t="inlineStr">
        <is>
          <t>2026-09-08</t>
        </is>
      </c>
      <c r="B7337" t="inlineStr">
        <is>
          <t>F276482</t>
        </is>
      </c>
      <c r="C7337" t="inlineStr">
        <is>
          <t>C10872</t>
        </is>
      </c>
      <c r="D7337" t="inlineStr">
        <is>
          <t>SKU-10305</t>
        </is>
      </c>
      <c r="E7337" t="inlineStr">
        <is>
          <t>AM08</t>
        </is>
      </c>
      <c r="F7337" s="5" t="n">
        <v>144.1</v>
      </c>
      <c r="G7337">
        <f>IF(LEFT(B7337,1)="C","Credit","Factuur")</f>
        <v/>
      </c>
      <c r="H7337">
        <f>IF(AND(B7337=B7336,D7337=D7336,A7337=A7336,F7337=F7336),1,0)</f>
        <v/>
      </c>
      <c r="I7337">
        <f>IF(C7337="C99999",1,0)</f>
        <v/>
      </c>
      <c r="J7337" s="5">
        <f>IF(OR(H7337=1,I7337=1),0,IF(G7337="Credit",-F7337,F7337))</f>
        <v/>
      </c>
    </row>
    <row r="7338">
      <c r="A7338" t="inlineStr">
        <is>
          <t>2026-09-08</t>
        </is>
      </c>
      <c r="B7338" t="inlineStr">
        <is>
          <t>F276482</t>
        </is>
      </c>
      <c r="C7338" t="inlineStr">
        <is>
          <t>C10872</t>
        </is>
      </c>
      <c r="D7338" t="inlineStr">
        <is>
          <t>SKU-10314</t>
        </is>
      </c>
      <c r="E7338" t="inlineStr">
        <is>
          <t>AM08</t>
        </is>
      </c>
      <c r="F7338" s="5" t="n">
        <v>134.06</v>
      </c>
      <c r="G7338">
        <f>IF(LEFT(B7338,1)="C","Credit","Factuur")</f>
        <v/>
      </c>
      <c r="H7338">
        <f>IF(AND(B7338=B7337,D7338=D7337,A7338=A7337,F7338=F7337),1,0)</f>
        <v/>
      </c>
      <c r="I7338">
        <f>IF(C7338="C99999",1,0)</f>
        <v/>
      </c>
      <c r="J7338" s="5">
        <f>IF(OR(H7338=1,I7338=1),0,IF(G7338="Credit",-F7338,F7338))</f>
        <v/>
      </c>
    </row>
    <row r="7339">
      <c r="A7339" t="inlineStr">
        <is>
          <t>2026-09-08</t>
        </is>
      </c>
      <c r="B7339" t="inlineStr">
        <is>
          <t>F276482</t>
        </is>
      </c>
      <c r="C7339" t="inlineStr">
        <is>
          <t>C10872</t>
        </is>
      </c>
      <c r="D7339" t="inlineStr">
        <is>
          <t>SKU-10373</t>
        </is>
      </c>
      <c r="E7339" t="inlineStr">
        <is>
          <t>AM08</t>
        </is>
      </c>
      <c r="F7339" s="5" t="n">
        <v>306.16</v>
      </c>
      <c r="G7339">
        <f>IF(LEFT(B7339,1)="C","Credit","Factuur")</f>
        <v/>
      </c>
      <c r="H7339">
        <f>IF(AND(B7339=B7338,D7339=D7338,A7339=A7338,F7339=F7338),1,0)</f>
        <v/>
      </c>
      <c r="I7339">
        <f>IF(C7339="C99999",1,0)</f>
        <v/>
      </c>
      <c r="J7339" s="5">
        <f>IF(OR(H7339=1,I7339=1),0,IF(G7339="Credit",-F7339,F7339))</f>
        <v/>
      </c>
    </row>
    <row r="7340">
      <c r="A7340" t="inlineStr">
        <is>
          <t>2026-09-08</t>
        </is>
      </c>
      <c r="B7340" t="inlineStr">
        <is>
          <t>F276560</t>
        </is>
      </c>
      <c r="C7340" t="inlineStr">
        <is>
          <t>C10879</t>
        </is>
      </c>
      <c r="D7340" t="inlineStr">
        <is>
          <t>SKU-10010</t>
        </is>
      </c>
      <c r="E7340" t="inlineStr">
        <is>
          <t>AM12</t>
        </is>
      </c>
      <c r="F7340" s="5" t="n">
        <v>132.36</v>
      </c>
      <c r="G7340">
        <f>IF(LEFT(B7340,1)="C","Credit","Factuur")</f>
        <v/>
      </c>
      <c r="H7340">
        <f>IF(AND(B7340=B7339,D7340=D7339,A7340=A7339,F7340=F7339),1,0)</f>
        <v/>
      </c>
      <c r="I7340">
        <f>IF(C7340="C99999",1,0)</f>
        <v/>
      </c>
      <c r="J7340" s="5">
        <f>IF(OR(H7340=1,I7340=1),0,IF(G7340="Credit",-F7340,F7340))</f>
        <v/>
      </c>
    </row>
    <row r="7341">
      <c r="A7341" t="inlineStr">
        <is>
          <t>2026-09-08</t>
        </is>
      </c>
      <c r="B7341" t="inlineStr">
        <is>
          <t>F276560</t>
        </is>
      </c>
      <c r="C7341" t="inlineStr">
        <is>
          <t>C10879</t>
        </is>
      </c>
      <c r="D7341" t="inlineStr">
        <is>
          <t>SKU-10084</t>
        </is>
      </c>
      <c r="E7341" t="inlineStr">
        <is>
          <t>AM12</t>
        </is>
      </c>
      <c r="F7341" s="5" t="n">
        <v>125.85</v>
      </c>
      <c r="G7341">
        <f>IF(LEFT(B7341,1)="C","Credit","Factuur")</f>
        <v/>
      </c>
      <c r="H7341">
        <f>IF(AND(B7341=B7340,D7341=D7340,A7341=A7340,F7341=F7340),1,0)</f>
        <v/>
      </c>
      <c r="I7341">
        <f>IF(C7341="C99999",1,0)</f>
        <v/>
      </c>
      <c r="J7341" s="5">
        <f>IF(OR(H7341=1,I7341=1),0,IF(G7341="Credit",-F7341,F7341))</f>
        <v/>
      </c>
    </row>
    <row r="7342">
      <c r="A7342" t="inlineStr">
        <is>
          <t>2026-09-08</t>
        </is>
      </c>
      <c r="B7342" t="inlineStr">
        <is>
          <t>F276560</t>
        </is>
      </c>
      <c r="C7342" t="inlineStr">
        <is>
          <t>C10879</t>
        </is>
      </c>
      <c r="D7342" t="inlineStr">
        <is>
          <t>SKU-10103</t>
        </is>
      </c>
      <c r="E7342" t="inlineStr">
        <is>
          <t>AM12</t>
        </is>
      </c>
      <c r="F7342" s="5" t="n">
        <v>158.86</v>
      </c>
      <c r="G7342">
        <f>IF(LEFT(B7342,1)="C","Credit","Factuur")</f>
        <v/>
      </c>
      <c r="H7342">
        <f>IF(AND(B7342=B7341,D7342=D7341,A7342=A7341,F7342=F7341),1,0)</f>
        <v/>
      </c>
      <c r="I7342">
        <f>IF(C7342="C99999",1,0)</f>
        <v/>
      </c>
      <c r="J7342" s="5">
        <f>IF(OR(H7342=1,I7342=1),0,IF(G7342="Credit",-F7342,F7342))</f>
        <v/>
      </c>
    </row>
    <row r="7343">
      <c r="A7343" t="inlineStr">
        <is>
          <t>2026-09-08</t>
        </is>
      </c>
      <c r="B7343" t="inlineStr">
        <is>
          <t>F276939</t>
        </is>
      </c>
      <c r="C7343" t="inlineStr">
        <is>
          <t>C10898</t>
        </is>
      </c>
      <c r="D7343" t="inlineStr">
        <is>
          <t>SKU-10070</t>
        </is>
      </c>
      <c r="E7343" t="inlineStr">
        <is>
          <t>AM03</t>
        </is>
      </c>
      <c r="F7343" s="5" t="n">
        <v>448.41</v>
      </c>
      <c r="G7343">
        <f>IF(LEFT(B7343,1)="C","Credit","Factuur")</f>
        <v/>
      </c>
      <c r="H7343">
        <f>IF(AND(B7343=B7342,D7343=D7342,A7343=A7342,F7343=F7342),1,0)</f>
        <v/>
      </c>
      <c r="I7343">
        <f>IF(C7343="C99999",1,0)</f>
        <v/>
      </c>
      <c r="J7343" s="5">
        <f>IF(OR(H7343=1,I7343=1),0,IF(G7343="Credit",-F7343,F7343))</f>
        <v/>
      </c>
    </row>
    <row r="7344">
      <c r="A7344" t="inlineStr">
        <is>
          <t>2026-09-08</t>
        </is>
      </c>
      <c r="B7344" t="inlineStr">
        <is>
          <t>F276939</t>
        </is>
      </c>
      <c r="C7344" t="inlineStr">
        <is>
          <t>C10898</t>
        </is>
      </c>
      <c r="D7344" t="inlineStr">
        <is>
          <t>SKU-10304</t>
        </is>
      </c>
      <c r="E7344" t="inlineStr">
        <is>
          <t>AM03</t>
        </is>
      </c>
      <c r="F7344" s="5" t="n">
        <v>450</v>
      </c>
      <c r="G7344">
        <f>IF(LEFT(B7344,1)="C","Credit","Factuur")</f>
        <v/>
      </c>
      <c r="H7344">
        <f>IF(AND(B7344=B7343,D7344=D7343,A7344=A7343,F7344=F7343),1,0)</f>
        <v/>
      </c>
      <c r="I7344">
        <f>IF(C7344="C99999",1,0)</f>
        <v/>
      </c>
      <c r="J7344" s="5">
        <f>IF(OR(H7344=1,I7344=1),0,IF(G7344="Credit",-F7344,F7344))</f>
        <v/>
      </c>
    </row>
    <row r="7345">
      <c r="A7345" t="inlineStr">
        <is>
          <t>2026-09-08</t>
        </is>
      </c>
      <c r="B7345" t="inlineStr">
        <is>
          <t>F276939</t>
        </is>
      </c>
      <c r="C7345" t="inlineStr">
        <is>
          <t>C10898</t>
        </is>
      </c>
      <c r="D7345" t="inlineStr">
        <is>
          <t>SKU-10319</t>
        </is>
      </c>
      <c r="E7345" t="inlineStr">
        <is>
          <t>AM03</t>
        </is>
      </c>
      <c r="F7345" s="5" t="n">
        <v>463.04</v>
      </c>
      <c r="G7345">
        <f>IF(LEFT(B7345,1)="C","Credit","Factuur")</f>
        <v/>
      </c>
      <c r="H7345">
        <f>IF(AND(B7345=B7344,D7345=D7344,A7345=A7344,F7345=F7344),1,0)</f>
        <v/>
      </c>
      <c r="I7345">
        <f>IF(C7345="C99999",1,0)</f>
        <v/>
      </c>
      <c r="J7345" s="5">
        <f>IF(OR(H7345=1,I7345=1),0,IF(G7345="Credit",-F7345,F7345))</f>
        <v/>
      </c>
    </row>
    <row r="7346">
      <c r="A7346" t="inlineStr">
        <is>
          <t>2026-09-08</t>
        </is>
      </c>
      <c r="B7346" t="inlineStr">
        <is>
          <t>F276939</t>
        </is>
      </c>
      <c r="C7346" t="inlineStr">
        <is>
          <t>C10898</t>
        </is>
      </c>
      <c r="D7346" t="inlineStr">
        <is>
          <t>SKU-10335</t>
        </is>
      </c>
      <c r="E7346" t="inlineStr">
        <is>
          <t>AM03</t>
        </is>
      </c>
      <c r="F7346" s="5" t="n">
        <v>470.56</v>
      </c>
      <c r="G7346">
        <f>IF(LEFT(B7346,1)="C","Credit","Factuur")</f>
        <v/>
      </c>
      <c r="H7346">
        <f>IF(AND(B7346=B7345,D7346=D7345,A7346=A7345,F7346=F7345),1,0)</f>
        <v/>
      </c>
      <c r="I7346">
        <f>IF(C7346="C99999",1,0)</f>
        <v/>
      </c>
      <c r="J7346" s="5">
        <f>IF(OR(H7346=1,I7346=1),0,IF(G7346="Credit",-F7346,F7346))</f>
        <v/>
      </c>
    </row>
    <row r="7347">
      <c r="A7347" t="inlineStr">
        <is>
          <t>2026-09-08</t>
        </is>
      </c>
      <c r="B7347" t="inlineStr">
        <is>
          <t>F277112</t>
        </is>
      </c>
      <c r="C7347" t="inlineStr">
        <is>
          <t>C10905</t>
        </is>
      </c>
      <c r="D7347" t="inlineStr">
        <is>
          <t>SKU-10309</t>
        </is>
      </c>
      <c r="E7347" t="inlineStr">
        <is>
          <t>AM05</t>
        </is>
      </c>
      <c r="F7347" s="5" t="n">
        <v>374.3</v>
      </c>
      <c r="G7347">
        <f>IF(LEFT(B7347,1)="C","Credit","Factuur")</f>
        <v/>
      </c>
      <c r="H7347">
        <f>IF(AND(B7347=B7346,D7347=D7346,A7347=A7346,F7347=F7346),1,0)</f>
        <v/>
      </c>
      <c r="I7347">
        <f>IF(C7347="C99999",1,0)</f>
        <v/>
      </c>
      <c r="J7347" s="5">
        <f>IF(OR(H7347=1,I7347=1),0,IF(G7347="Credit",-F7347,F7347))</f>
        <v/>
      </c>
    </row>
    <row r="7348">
      <c r="A7348" t="inlineStr">
        <is>
          <t>2026-09-08</t>
        </is>
      </c>
      <c r="B7348" t="inlineStr">
        <is>
          <t>F278182</t>
        </is>
      </c>
      <c r="C7348" t="inlineStr">
        <is>
          <t>C10965</t>
        </is>
      </c>
      <c r="D7348" t="inlineStr">
        <is>
          <t>SKU-10081</t>
        </is>
      </c>
      <c r="E7348" t="inlineStr">
        <is>
          <t>AM01</t>
        </is>
      </c>
      <c r="F7348" s="5" t="n">
        <v>127.14</v>
      </c>
      <c r="G7348">
        <f>IF(LEFT(B7348,1)="C","Credit","Factuur")</f>
        <v/>
      </c>
      <c r="H7348">
        <f>IF(AND(B7348=B7347,D7348=D7347,A7348=A7347,F7348=F7347),1,0)</f>
        <v/>
      </c>
      <c r="I7348">
        <f>IF(C7348="C99999",1,0)</f>
        <v/>
      </c>
      <c r="J7348" s="5">
        <f>IF(OR(H7348=1,I7348=1),0,IF(G7348="Credit",-F7348,F7348))</f>
        <v/>
      </c>
    </row>
    <row r="7349">
      <c r="A7349" t="inlineStr">
        <is>
          <t>2026-09-08</t>
        </is>
      </c>
      <c r="B7349" t="inlineStr">
        <is>
          <t>F278182</t>
        </is>
      </c>
      <c r="C7349" t="inlineStr">
        <is>
          <t>C10965</t>
        </is>
      </c>
      <c r="D7349" t="inlineStr">
        <is>
          <t>SKU-10104</t>
        </is>
      </c>
      <c r="E7349" t="inlineStr">
        <is>
          <t>AM01</t>
        </is>
      </c>
      <c r="F7349" s="5" t="n">
        <v>182.28</v>
      </c>
      <c r="G7349">
        <f>IF(LEFT(B7349,1)="C","Credit","Factuur")</f>
        <v/>
      </c>
      <c r="H7349">
        <f>IF(AND(B7349=B7348,D7349=D7348,A7349=A7348,F7349=F7348),1,0)</f>
        <v/>
      </c>
      <c r="I7349">
        <f>IF(C7349="C99999",1,0)</f>
        <v/>
      </c>
      <c r="J7349" s="5">
        <f>IF(OR(H7349=1,I7349=1),0,IF(G7349="Credit",-F7349,F7349))</f>
        <v/>
      </c>
    </row>
    <row r="7350">
      <c r="A7350" t="inlineStr">
        <is>
          <t>2026-09-08</t>
        </is>
      </c>
      <c r="B7350" t="inlineStr">
        <is>
          <t>F279105</t>
        </is>
      </c>
      <c r="C7350" t="inlineStr">
        <is>
          <t>C11011</t>
        </is>
      </c>
      <c r="D7350" t="inlineStr">
        <is>
          <t>SKU-10223</t>
        </is>
      </c>
      <c r="E7350" t="inlineStr">
        <is>
          <t>AM05</t>
        </is>
      </c>
      <c r="F7350" s="5" t="n">
        <v>562.42</v>
      </c>
      <c r="G7350">
        <f>IF(LEFT(B7350,1)="C","Credit","Factuur")</f>
        <v/>
      </c>
      <c r="H7350">
        <f>IF(AND(B7350=B7349,D7350=D7349,A7350=A7349,F7350=F7349),1,0)</f>
        <v/>
      </c>
      <c r="I7350">
        <f>IF(C7350="C99999",1,0)</f>
        <v/>
      </c>
      <c r="J7350" s="5">
        <f>IF(OR(H7350=1,I7350=1),0,IF(G7350="Credit",-F7350,F7350))</f>
        <v/>
      </c>
    </row>
    <row r="7351">
      <c r="A7351" t="inlineStr">
        <is>
          <t>2026-09-08</t>
        </is>
      </c>
      <c r="B7351" t="inlineStr">
        <is>
          <t>F279105</t>
        </is>
      </c>
      <c r="C7351" t="inlineStr">
        <is>
          <t>C11011</t>
        </is>
      </c>
      <c r="D7351" t="inlineStr">
        <is>
          <t>SKU-10257</t>
        </is>
      </c>
      <c r="E7351" t="inlineStr">
        <is>
          <t>AM05</t>
        </is>
      </c>
      <c r="F7351" s="5" t="n">
        <v>589.17</v>
      </c>
      <c r="G7351">
        <f>IF(LEFT(B7351,1)="C","Credit","Factuur")</f>
        <v/>
      </c>
      <c r="H7351">
        <f>IF(AND(B7351=B7350,D7351=D7350,A7351=A7350,F7351=F7350),1,0)</f>
        <v/>
      </c>
      <c r="I7351">
        <f>IF(C7351="C99999",1,0)</f>
        <v/>
      </c>
      <c r="J7351" s="5">
        <f>IF(OR(H7351=1,I7351=1),0,IF(G7351="Credit",-F7351,F7351))</f>
        <v/>
      </c>
    </row>
    <row r="7352">
      <c r="A7352" t="inlineStr">
        <is>
          <t>2026-09-08</t>
        </is>
      </c>
      <c r="B7352" t="inlineStr">
        <is>
          <t>F279874</t>
        </is>
      </c>
      <c r="C7352" t="inlineStr">
        <is>
          <t>C11051</t>
        </is>
      </c>
      <c r="D7352" t="inlineStr">
        <is>
          <t>SKU-10250</t>
        </is>
      </c>
      <c r="E7352" t="inlineStr">
        <is>
          <t>AM03</t>
        </is>
      </c>
      <c r="F7352" s="5" t="n">
        <v>682.29</v>
      </c>
      <c r="G7352">
        <f>IF(LEFT(B7352,1)="C","Credit","Factuur")</f>
        <v/>
      </c>
      <c r="H7352">
        <f>IF(AND(B7352=B7351,D7352=D7351,A7352=A7351,F7352=F7351),1,0)</f>
        <v/>
      </c>
      <c r="I7352">
        <f>IF(C7352="C99999",1,0)</f>
        <v/>
      </c>
      <c r="J7352" s="5">
        <f>IF(OR(H7352=1,I7352=1),0,IF(G7352="Credit",-F7352,F7352))</f>
        <v/>
      </c>
    </row>
    <row r="7353">
      <c r="A7353" t="inlineStr">
        <is>
          <t>2026-09-08</t>
        </is>
      </c>
      <c r="B7353" t="inlineStr">
        <is>
          <t>F279874</t>
        </is>
      </c>
      <c r="C7353" t="inlineStr">
        <is>
          <t>C11051</t>
        </is>
      </c>
      <c r="D7353" t="inlineStr">
        <is>
          <t>SKU-10319</t>
        </is>
      </c>
      <c r="E7353" t="inlineStr">
        <is>
          <t>AM03</t>
        </is>
      </c>
      <c r="F7353" s="5" t="n">
        <v>636.6799999999999</v>
      </c>
      <c r="G7353">
        <f>IF(LEFT(B7353,1)="C","Credit","Factuur")</f>
        <v/>
      </c>
      <c r="H7353">
        <f>IF(AND(B7353=B7352,D7353=D7352,A7353=A7352,F7353=F7352),1,0)</f>
        <v/>
      </c>
      <c r="I7353">
        <f>IF(C7353="C99999",1,0)</f>
        <v/>
      </c>
      <c r="J7353" s="5">
        <f>IF(OR(H7353=1,I7353=1),0,IF(G7353="Credit",-F7353,F7353))</f>
        <v/>
      </c>
    </row>
    <row r="7354">
      <c r="A7354" t="inlineStr">
        <is>
          <t>2026-09-08</t>
        </is>
      </c>
      <c r="B7354" t="inlineStr">
        <is>
          <t>F280250</t>
        </is>
      </c>
      <c r="C7354" t="inlineStr">
        <is>
          <t>C11070</t>
        </is>
      </c>
      <c r="D7354" t="inlineStr">
        <is>
          <t>SKU-10001</t>
        </is>
      </c>
      <c r="E7354" t="inlineStr">
        <is>
          <t>AM03</t>
        </is>
      </c>
      <c r="F7354" s="5" t="n">
        <v>81.09</v>
      </c>
      <c r="G7354">
        <f>IF(LEFT(B7354,1)="C","Credit","Factuur")</f>
        <v/>
      </c>
      <c r="H7354">
        <f>IF(AND(B7354=B7353,D7354=D7353,A7354=A7353,F7354=F7353),1,0)</f>
        <v/>
      </c>
      <c r="I7354">
        <f>IF(C7354="C99999",1,0)</f>
        <v/>
      </c>
      <c r="J7354" s="5">
        <f>IF(OR(H7354=1,I7354=1),0,IF(G7354="Credit",-F7354,F7354))</f>
        <v/>
      </c>
    </row>
    <row r="7355">
      <c r="A7355" t="inlineStr">
        <is>
          <t>2026-09-08</t>
        </is>
      </c>
      <c r="B7355" t="inlineStr">
        <is>
          <t>F280250</t>
        </is>
      </c>
      <c r="C7355" t="inlineStr">
        <is>
          <t>C11070</t>
        </is>
      </c>
      <c r="D7355" t="inlineStr">
        <is>
          <t>SKU-10100</t>
        </is>
      </c>
      <c r="E7355" t="inlineStr">
        <is>
          <t>AM03</t>
        </is>
      </c>
      <c r="F7355" s="5" t="n">
        <v>86.58</v>
      </c>
      <c r="G7355">
        <f>IF(LEFT(B7355,1)="C","Credit","Factuur")</f>
        <v/>
      </c>
      <c r="H7355">
        <f>IF(AND(B7355=B7354,D7355=D7354,A7355=A7354,F7355=F7354),1,0)</f>
        <v/>
      </c>
      <c r="I7355">
        <f>IF(C7355="C99999",1,0)</f>
        <v/>
      </c>
      <c r="J7355" s="5">
        <f>IF(OR(H7355=1,I7355=1),0,IF(G7355="Credit",-F7355,F7355))</f>
        <v/>
      </c>
    </row>
    <row r="7356">
      <c r="A7356" t="inlineStr">
        <is>
          <t>2026-09-08</t>
        </is>
      </c>
      <c r="B7356" t="inlineStr">
        <is>
          <t>F280250</t>
        </is>
      </c>
      <c r="C7356" t="inlineStr">
        <is>
          <t>C11070</t>
        </is>
      </c>
      <c r="D7356" t="inlineStr">
        <is>
          <t>SKU-10130</t>
        </is>
      </c>
      <c r="E7356" t="inlineStr">
        <is>
          <t>AM03</t>
        </is>
      </c>
      <c r="F7356" s="5" t="n">
        <v>75.72</v>
      </c>
      <c r="G7356">
        <f>IF(LEFT(B7356,1)="C","Credit","Factuur")</f>
        <v/>
      </c>
      <c r="H7356">
        <f>IF(AND(B7356=B7355,D7356=D7355,A7356=A7355,F7356=F7355),1,0)</f>
        <v/>
      </c>
      <c r="I7356">
        <f>IF(C7356="C99999",1,0)</f>
        <v/>
      </c>
      <c r="J7356" s="5">
        <f>IF(OR(H7356=1,I7356=1),0,IF(G7356="Credit",-F7356,F7356))</f>
        <v/>
      </c>
    </row>
    <row r="7357">
      <c r="A7357" t="inlineStr">
        <is>
          <t>2026-09-08</t>
        </is>
      </c>
      <c r="B7357" t="inlineStr">
        <is>
          <t>F280250</t>
        </is>
      </c>
      <c r="C7357" t="inlineStr">
        <is>
          <t>C11070</t>
        </is>
      </c>
      <c r="D7357" t="inlineStr">
        <is>
          <t>SKU-10273</t>
        </is>
      </c>
      <c r="E7357" t="inlineStr">
        <is>
          <t>AM03</t>
        </is>
      </c>
      <c r="F7357" s="5" t="n">
        <v>96.36</v>
      </c>
      <c r="G7357">
        <f>IF(LEFT(B7357,1)="C","Credit","Factuur")</f>
        <v/>
      </c>
      <c r="H7357">
        <f>IF(AND(B7357=B7356,D7357=D7356,A7357=A7356,F7357=F7356),1,0)</f>
        <v/>
      </c>
      <c r="I7357">
        <f>IF(C7357="C99999",1,0)</f>
        <v/>
      </c>
      <c r="J7357" s="5">
        <f>IF(OR(H7357=1,I7357=1),0,IF(G7357="Credit",-F7357,F7357))</f>
        <v/>
      </c>
    </row>
    <row r="7358">
      <c r="A7358" t="inlineStr">
        <is>
          <t>2026-09-08</t>
        </is>
      </c>
      <c r="B7358" t="inlineStr">
        <is>
          <t>F280551</t>
        </is>
      </c>
      <c r="C7358" t="inlineStr">
        <is>
          <t>C11083</t>
        </is>
      </c>
      <c r="D7358" t="inlineStr">
        <is>
          <t>SKU-10315</t>
        </is>
      </c>
      <c r="E7358" t="inlineStr">
        <is>
          <t>AM11</t>
        </is>
      </c>
      <c r="F7358" s="5" t="n">
        <v>762.3</v>
      </c>
      <c r="G7358">
        <f>IF(LEFT(B7358,1)="C","Credit","Factuur")</f>
        <v/>
      </c>
      <c r="H7358">
        <f>IF(AND(B7358=B7357,D7358=D7357,A7358=A7357,F7358=F7357),1,0)</f>
        <v/>
      </c>
      <c r="I7358">
        <f>IF(C7358="C99999",1,0)</f>
        <v/>
      </c>
      <c r="J7358" s="5">
        <f>IF(OR(H7358=1,I7358=1),0,IF(G7358="Credit",-F7358,F7358))</f>
        <v/>
      </c>
    </row>
    <row r="7359">
      <c r="A7359" t="inlineStr">
        <is>
          <t>2026-09-08</t>
        </is>
      </c>
      <c r="B7359" t="inlineStr">
        <is>
          <t>F281510</t>
        </is>
      </c>
      <c r="C7359" t="inlineStr">
        <is>
          <t>C11134</t>
        </is>
      </c>
      <c r="D7359" t="inlineStr">
        <is>
          <t>SKU-10140</t>
        </is>
      </c>
      <c r="E7359" t="inlineStr">
        <is>
          <t>AM02</t>
        </is>
      </c>
      <c r="F7359" s="5" t="n">
        <v>209.84</v>
      </c>
      <c r="G7359">
        <f>IF(LEFT(B7359,1)="C","Credit","Factuur")</f>
        <v/>
      </c>
      <c r="H7359">
        <f>IF(AND(B7359=B7358,D7359=D7358,A7359=A7358,F7359=F7358),1,0)</f>
        <v/>
      </c>
      <c r="I7359">
        <f>IF(C7359="C99999",1,0)</f>
        <v/>
      </c>
      <c r="J7359" s="5">
        <f>IF(OR(H7359=1,I7359=1),0,IF(G7359="Credit",-F7359,F7359))</f>
        <v/>
      </c>
    </row>
    <row r="7360">
      <c r="A7360" t="inlineStr">
        <is>
          <t>2026-09-08</t>
        </is>
      </c>
      <c r="B7360" t="inlineStr">
        <is>
          <t>F281510</t>
        </is>
      </c>
      <c r="C7360" t="inlineStr">
        <is>
          <t>C11134</t>
        </is>
      </c>
      <c r="D7360" t="inlineStr">
        <is>
          <t>SKU-10312</t>
        </is>
      </c>
      <c r="E7360" t="inlineStr">
        <is>
          <t>AM02</t>
        </is>
      </c>
      <c r="F7360" s="5" t="n">
        <v>196.08</v>
      </c>
      <c r="G7360">
        <f>IF(LEFT(B7360,1)="C","Credit","Factuur")</f>
        <v/>
      </c>
      <c r="H7360">
        <f>IF(AND(B7360=B7359,D7360=D7359,A7360=A7359,F7360=F7359),1,0)</f>
        <v/>
      </c>
      <c r="I7360">
        <f>IF(C7360="C99999",1,0)</f>
        <v/>
      </c>
      <c r="J7360" s="5">
        <f>IF(OR(H7360=1,I7360=1),0,IF(G7360="Credit",-F7360,F7360))</f>
        <v/>
      </c>
    </row>
    <row r="7361">
      <c r="A7361" t="inlineStr">
        <is>
          <t>2026-09-08</t>
        </is>
      </c>
      <c r="B7361" t="inlineStr">
        <is>
          <t>F281510</t>
        </is>
      </c>
      <c r="C7361" t="inlineStr">
        <is>
          <t>C11134</t>
        </is>
      </c>
      <c r="D7361" t="inlineStr">
        <is>
          <t>SKU-10322</t>
        </is>
      </c>
      <c r="E7361" t="inlineStr">
        <is>
          <t>AM02</t>
        </is>
      </c>
      <c r="F7361" s="5" t="n">
        <v>216.88</v>
      </c>
      <c r="G7361">
        <f>IF(LEFT(B7361,1)="C","Credit","Factuur")</f>
        <v/>
      </c>
      <c r="H7361">
        <f>IF(AND(B7361=B7360,D7361=D7360,A7361=A7360,F7361=F7360),1,0)</f>
        <v/>
      </c>
      <c r="I7361">
        <f>IF(C7361="C99999",1,0)</f>
        <v/>
      </c>
      <c r="J7361" s="5">
        <f>IF(OR(H7361=1,I7361=1),0,IF(G7361="Credit",-F7361,F7361))</f>
        <v/>
      </c>
    </row>
    <row r="7362">
      <c r="A7362" t="inlineStr">
        <is>
          <t>2026-09-08</t>
        </is>
      </c>
      <c r="B7362" t="inlineStr">
        <is>
          <t>F281533</t>
        </is>
      </c>
      <c r="C7362" t="inlineStr">
        <is>
          <t>C11135</t>
        </is>
      </c>
      <c r="D7362" t="inlineStr">
        <is>
          <t>SKU-10123</t>
        </is>
      </c>
      <c r="E7362" t="inlineStr">
        <is>
          <t>AM05</t>
        </is>
      </c>
      <c r="F7362" s="5" t="n">
        <v>86.8</v>
      </c>
      <c r="G7362">
        <f>IF(LEFT(B7362,1)="C","Credit","Factuur")</f>
        <v/>
      </c>
      <c r="H7362">
        <f>IF(AND(B7362=B7361,D7362=D7361,A7362=A7361,F7362=F7361),1,0)</f>
        <v/>
      </c>
      <c r="I7362">
        <f>IF(C7362="C99999",1,0)</f>
        <v/>
      </c>
      <c r="J7362" s="5">
        <f>IF(OR(H7362=1,I7362=1),0,IF(G7362="Credit",-F7362,F7362))</f>
        <v/>
      </c>
    </row>
    <row r="7363">
      <c r="A7363" t="inlineStr">
        <is>
          <t>2026-09-08</t>
        </is>
      </c>
      <c r="B7363" t="inlineStr">
        <is>
          <t>F281533</t>
        </is>
      </c>
      <c r="C7363" t="inlineStr">
        <is>
          <t>C11135</t>
        </is>
      </c>
      <c r="D7363" t="inlineStr">
        <is>
          <t>SKU-10154</t>
        </is>
      </c>
      <c r="E7363" t="inlineStr">
        <is>
          <t>AM05</t>
        </is>
      </c>
      <c r="F7363" s="5" t="n">
        <v>93.37</v>
      </c>
      <c r="G7363">
        <f>IF(LEFT(B7363,1)="C","Credit","Factuur")</f>
        <v/>
      </c>
      <c r="H7363">
        <f>IF(AND(B7363=B7362,D7363=D7362,A7363=A7362,F7363=F7362),1,0)</f>
        <v/>
      </c>
      <c r="I7363">
        <f>IF(C7363="C99999",1,0)</f>
        <v/>
      </c>
      <c r="J7363" s="5">
        <f>IF(OR(H7363=1,I7363=1),0,IF(G7363="Credit",-F7363,F7363))</f>
        <v/>
      </c>
    </row>
    <row r="7364">
      <c r="A7364" t="inlineStr">
        <is>
          <t>2026-09-08</t>
        </is>
      </c>
      <c r="B7364" t="inlineStr">
        <is>
          <t>F281533</t>
        </is>
      </c>
      <c r="C7364" t="inlineStr">
        <is>
          <t>C11135</t>
        </is>
      </c>
      <c r="D7364" t="inlineStr">
        <is>
          <t>SKU-10244</t>
        </is>
      </c>
      <c r="E7364" t="inlineStr">
        <is>
          <t>AM05</t>
        </is>
      </c>
      <c r="F7364" s="5" t="n">
        <v>107.73</v>
      </c>
      <c r="G7364">
        <f>IF(LEFT(B7364,1)="C","Credit","Factuur")</f>
        <v/>
      </c>
      <c r="H7364">
        <f>IF(AND(B7364=B7363,D7364=D7363,A7364=A7363,F7364=F7363),1,0)</f>
        <v/>
      </c>
      <c r="I7364">
        <f>IF(C7364="C99999",1,0)</f>
        <v/>
      </c>
      <c r="J7364" s="5">
        <f>IF(OR(H7364=1,I7364=1),0,IF(G7364="Credit",-F7364,F7364))</f>
        <v/>
      </c>
    </row>
    <row r="7365">
      <c r="A7365" t="inlineStr">
        <is>
          <t>2026-09-08</t>
        </is>
      </c>
      <c r="B7365" t="inlineStr">
        <is>
          <t>F281533</t>
        </is>
      </c>
      <c r="C7365" t="inlineStr">
        <is>
          <t>C11135</t>
        </is>
      </c>
      <c r="D7365" t="inlineStr">
        <is>
          <t>SKU-10293</t>
        </is>
      </c>
      <c r="E7365" t="inlineStr">
        <is>
          <t>AM05</t>
        </is>
      </c>
      <c r="F7365" s="5" t="n">
        <v>101.16</v>
      </c>
      <c r="G7365">
        <f>IF(LEFT(B7365,1)="C","Credit","Factuur")</f>
        <v/>
      </c>
      <c r="H7365">
        <f>IF(AND(B7365=B7364,D7365=D7364,A7365=A7364,F7365=F7364),1,0)</f>
        <v/>
      </c>
      <c r="I7365">
        <f>IF(C7365="C99999",1,0)</f>
        <v/>
      </c>
      <c r="J7365" s="5">
        <f>IF(OR(H7365=1,I7365=1),0,IF(G7365="Credit",-F7365,F7365))</f>
        <v/>
      </c>
    </row>
    <row r="7366">
      <c r="A7366" t="inlineStr">
        <is>
          <t>2026-09-08</t>
        </is>
      </c>
      <c r="B7366" t="inlineStr">
        <is>
          <t>F282107</t>
        </is>
      </c>
      <c r="C7366" t="inlineStr">
        <is>
          <t>C11161</t>
        </is>
      </c>
      <c r="D7366" t="inlineStr">
        <is>
          <t>SKU-10032</t>
        </is>
      </c>
      <c r="E7366" t="inlineStr">
        <is>
          <t>AM01</t>
        </is>
      </c>
      <c r="F7366" s="5" t="n">
        <v>276.88</v>
      </c>
      <c r="G7366">
        <f>IF(LEFT(B7366,1)="C","Credit","Factuur")</f>
        <v/>
      </c>
      <c r="H7366">
        <f>IF(AND(B7366=B7365,D7366=D7365,A7366=A7365,F7366=F7365),1,0)</f>
        <v/>
      </c>
      <c r="I7366">
        <f>IF(C7366="C99999",1,0)</f>
        <v/>
      </c>
      <c r="J7366" s="5">
        <f>IF(OR(H7366=1,I7366=1),0,IF(G7366="Credit",-F7366,F7366))</f>
        <v/>
      </c>
    </row>
    <row r="7367">
      <c r="A7367" t="inlineStr">
        <is>
          <t>2026-09-08</t>
        </is>
      </c>
      <c r="B7367" t="inlineStr">
        <is>
          <t>F282107</t>
        </is>
      </c>
      <c r="C7367" t="inlineStr">
        <is>
          <t>C11161</t>
        </is>
      </c>
      <c r="D7367" t="inlineStr">
        <is>
          <t>SKU-10267</t>
        </is>
      </c>
      <c r="E7367" t="inlineStr">
        <is>
          <t>AM01</t>
        </is>
      </c>
      <c r="F7367" s="5" t="n">
        <v>288.21</v>
      </c>
      <c r="G7367">
        <f>IF(LEFT(B7367,1)="C","Credit","Factuur")</f>
        <v/>
      </c>
      <c r="H7367">
        <f>IF(AND(B7367=B7366,D7367=D7366,A7367=A7366,F7367=F7366),1,0)</f>
        <v/>
      </c>
      <c r="I7367">
        <f>IF(C7367="C99999",1,0)</f>
        <v/>
      </c>
      <c r="J7367" s="5">
        <f>IF(OR(H7367=1,I7367=1),0,IF(G7367="Credit",-F7367,F7367))</f>
        <v/>
      </c>
    </row>
    <row r="7368">
      <c r="A7368" t="inlineStr">
        <is>
          <t>2026-09-08</t>
        </is>
      </c>
      <c r="B7368" t="inlineStr">
        <is>
          <t>F282130</t>
        </is>
      </c>
      <c r="C7368" t="inlineStr">
        <is>
          <t>C11163</t>
        </is>
      </c>
      <c r="D7368" t="inlineStr">
        <is>
          <t>SKU-10023</t>
        </is>
      </c>
      <c r="E7368" t="inlineStr">
        <is>
          <t>AM01</t>
        </is>
      </c>
      <c r="F7368" s="5" t="n">
        <v>53.39</v>
      </c>
      <c r="G7368">
        <f>IF(LEFT(B7368,1)="C","Credit","Factuur")</f>
        <v/>
      </c>
      <c r="H7368">
        <f>IF(AND(B7368=B7367,D7368=D7367,A7368=A7367,F7368=F7367),1,0)</f>
        <v/>
      </c>
      <c r="I7368">
        <f>IF(C7368="C99999",1,0)</f>
        <v/>
      </c>
      <c r="J7368" s="5">
        <f>IF(OR(H7368=1,I7368=1),0,IF(G7368="Credit",-F7368,F7368))</f>
        <v/>
      </c>
    </row>
    <row r="7369">
      <c r="A7369" t="inlineStr">
        <is>
          <t>2026-09-08</t>
        </is>
      </c>
      <c r="B7369" t="inlineStr">
        <is>
          <t>F282130</t>
        </is>
      </c>
      <c r="C7369" t="inlineStr">
        <is>
          <t>C11163</t>
        </is>
      </c>
      <c r="D7369" t="inlineStr">
        <is>
          <t>SKU-10158</t>
        </is>
      </c>
      <c r="E7369" t="inlineStr">
        <is>
          <t>AM01</t>
        </is>
      </c>
      <c r="F7369" s="5" t="n">
        <v>45.25</v>
      </c>
      <c r="G7369">
        <f>IF(LEFT(B7369,1)="C","Credit","Factuur")</f>
        <v/>
      </c>
      <c r="H7369">
        <f>IF(AND(B7369=B7368,D7369=D7368,A7369=A7368,F7369=F7368),1,0)</f>
        <v/>
      </c>
      <c r="I7369">
        <f>IF(C7369="C99999",1,0)</f>
        <v/>
      </c>
      <c r="J7369" s="5">
        <f>IF(OR(H7369=1,I7369=1),0,IF(G7369="Credit",-F7369,F7369))</f>
        <v/>
      </c>
    </row>
    <row r="7370">
      <c r="A7370" t="inlineStr">
        <is>
          <t>2026-09-08</t>
        </is>
      </c>
      <c r="B7370" t="inlineStr">
        <is>
          <t>F282130</t>
        </is>
      </c>
      <c r="C7370" t="inlineStr">
        <is>
          <t>C11163</t>
        </is>
      </c>
      <c r="D7370" t="inlineStr">
        <is>
          <t>SKU-10172</t>
        </is>
      </c>
      <c r="E7370" t="inlineStr">
        <is>
          <t>AM01</t>
        </is>
      </c>
      <c r="F7370" s="5" t="n">
        <v>38.96</v>
      </c>
      <c r="G7370">
        <f>IF(LEFT(B7370,1)="C","Credit","Factuur")</f>
        <v/>
      </c>
      <c r="H7370">
        <f>IF(AND(B7370=B7369,D7370=D7369,A7370=A7369,F7370=F7369),1,0)</f>
        <v/>
      </c>
      <c r="I7370">
        <f>IF(C7370="C99999",1,0)</f>
        <v/>
      </c>
      <c r="J7370" s="5">
        <f>IF(OR(H7370=1,I7370=1),0,IF(G7370="Credit",-F7370,F7370))</f>
        <v/>
      </c>
    </row>
    <row r="7371">
      <c r="A7371" t="inlineStr">
        <is>
          <t>2026-09-08</t>
        </is>
      </c>
      <c r="B7371" t="inlineStr">
        <is>
          <t>F282130</t>
        </is>
      </c>
      <c r="C7371" t="inlineStr">
        <is>
          <t>C11163</t>
        </is>
      </c>
      <c r="D7371" t="inlineStr">
        <is>
          <t>SKU-10215</t>
        </is>
      </c>
      <c r="E7371" t="inlineStr">
        <is>
          <t>AM01</t>
        </is>
      </c>
      <c r="F7371" s="5" t="n">
        <v>48.64</v>
      </c>
      <c r="G7371">
        <f>IF(LEFT(B7371,1)="C","Credit","Factuur")</f>
        <v/>
      </c>
      <c r="H7371">
        <f>IF(AND(B7371=B7370,D7371=D7370,A7371=A7370,F7371=F7370),1,0)</f>
        <v/>
      </c>
      <c r="I7371">
        <f>IF(C7371="C99999",1,0)</f>
        <v/>
      </c>
      <c r="J7371" s="5">
        <f>IF(OR(H7371=1,I7371=1),0,IF(G7371="Credit",-F7371,F7371))</f>
        <v/>
      </c>
    </row>
    <row r="7372">
      <c r="A7372" t="inlineStr">
        <is>
          <t>2026-09-08</t>
        </is>
      </c>
      <c r="B7372" t="inlineStr">
        <is>
          <t>F282603</t>
        </is>
      </c>
      <c r="C7372" t="inlineStr">
        <is>
          <t>C11186</t>
        </is>
      </c>
      <c r="D7372" t="inlineStr">
        <is>
          <t>SKU-10052</t>
        </is>
      </c>
      <c r="E7372" t="inlineStr">
        <is>
          <t>AM03</t>
        </is>
      </c>
      <c r="F7372" s="5" t="n">
        <v>210.44</v>
      </c>
      <c r="G7372">
        <f>IF(LEFT(B7372,1)="C","Credit","Factuur")</f>
        <v/>
      </c>
      <c r="H7372">
        <f>IF(AND(B7372=B7371,D7372=D7371,A7372=A7371,F7372=F7371),1,0)</f>
        <v/>
      </c>
      <c r="I7372">
        <f>IF(C7372="C99999",1,0)</f>
        <v/>
      </c>
      <c r="J7372" s="5">
        <f>IF(OR(H7372=1,I7372=1),0,IF(G7372="Credit",-F7372,F7372))</f>
        <v/>
      </c>
    </row>
    <row r="7373">
      <c r="A7373" t="inlineStr">
        <is>
          <t>2026-09-08</t>
        </is>
      </c>
      <c r="B7373" t="inlineStr">
        <is>
          <t>F282603</t>
        </is>
      </c>
      <c r="C7373" t="inlineStr">
        <is>
          <t>C11186</t>
        </is>
      </c>
      <c r="D7373" t="inlineStr">
        <is>
          <t>SKU-10063</t>
        </is>
      </c>
      <c r="E7373" t="inlineStr">
        <is>
          <t>AM03</t>
        </is>
      </c>
      <c r="F7373" s="5" t="n">
        <v>201.07</v>
      </c>
      <c r="G7373">
        <f>IF(LEFT(B7373,1)="C","Credit","Factuur")</f>
        <v/>
      </c>
      <c r="H7373">
        <f>IF(AND(B7373=B7372,D7373=D7372,A7373=A7372,F7373=F7372),1,0)</f>
        <v/>
      </c>
      <c r="I7373">
        <f>IF(C7373="C99999",1,0)</f>
        <v/>
      </c>
      <c r="J7373" s="5">
        <f>IF(OR(H7373=1,I7373=1),0,IF(G7373="Credit",-F7373,F7373))</f>
        <v/>
      </c>
    </row>
    <row r="7374">
      <c r="A7374" t="inlineStr">
        <is>
          <t>2026-09-08</t>
        </is>
      </c>
      <c r="B7374" t="inlineStr">
        <is>
          <t>F282603</t>
        </is>
      </c>
      <c r="C7374" t="inlineStr">
        <is>
          <t>C11186</t>
        </is>
      </c>
      <c r="D7374" t="inlineStr">
        <is>
          <t>SKU-10171</t>
        </is>
      </c>
      <c r="E7374" t="inlineStr">
        <is>
          <t>AM03</t>
        </is>
      </c>
      <c r="F7374" s="5" t="n">
        <v>204.08</v>
      </c>
      <c r="G7374">
        <f>IF(LEFT(B7374,1)="C","Credit","Factuur")</f>
        <v/>
      </c>
      <c r="H7374">
        <f>IF(AND(B7374=B7373,D7374=D7373,A7374=A7373,F7374=F7373),1,0)</f>
        <v/>
      </c>
      <c r="I7374">
        <f>IF(C7374="C99999",1,0)</f>
        <v/>
      </c>
      <c r="J7374" s="5">
        <f>IF(OR(H7374=1,I7374=1),0,IF(G7374="Credit",-F7374,F7374))</f>
        <v/>
      </c>
    </row>
    <row r="7375">
      <c r="A7375" t="inlineStr">
        <is>
          <t>2026-09-08</t>
        </is>
      </c>
      <c r="B7375" t="inlineStr">
        <is>
          <t>F282603</t>
        </is>
      </c>
      <c r="C7375" t="inlineStr">
        <is>
          <t>C11186</t>
        </is>
      </c>
      <c r="D7375" t="inlineStr">
        <is>
          <t>SKU-10199</t>
        </is>
      </c>
      <c r="E7375" t="inlineStr">
        <is>
          <t>AM03</t>
        </is>
      </c>
      <c r="F7375" s="5" t="n">
        <v>199.22</v>
      </c>
      <c r="G7375">
        <f>IF(LEFT(B7375,1)="C","Credit","Factuur")</f>
        <v/>
      </c>
      <c r="H7375">
        <f>IF(AND(B7375=B7374,D7375=D7374,A7375=A7374,F7375=F7374),1,0)</f>
        <v/>
      </c>
      <c r="I7375">
        <f>IF(C7375="C99999",1,0)</f>
        <v/>
      </c>
      <c r="J7375" s="5">
        <f>IF(OR(H7375=1,I7375=1),0,IF(G7375="Credit",-F7375,F7375))</f>
        <v/>
      </c>
    </row>
    <row r="7376">
      <c r="A7376" t="inlineStr">
        <is>
          <t>2026-09-08</t>
        </is>
      </c>
      <c r="B7376" t="inlineStr">
        <is>
          <t>F282678</t>
        </is>
      </c>
      <c r="C7376" t="inlineStr">
        <is>
          <t>C11191</t>
        </is>
      </c>
      <c r="D7376" t="inlineStr">
        <is>
          <t>SKU-10044</t>
        </is>
      </c>
      <c r="E7376" t="inlineStr">
        <is>
          <t>AM06</t>
        </is>
      </c>
      <c r="F7376" s="5" t="n">
        <v>839.27</v>
      </c>
      <c r="G7376">
        <f>IF(LEFT(B7376,1)="C","Credit","Factuur")</f>
        <v/>
      </c>
      <c r="H7376">
        <f>IF(AND(B7376=B7375,D7376=D7375,A7376=A7375,F7376=F7375),1,0)</f>
        <v/>
      </c>
      <c r="I7376">
        <f>IF(C7376="C99999",1,0)</f>
        <v/>
      </c>
      <c r="J7376" s="5">
        <f>IF(OR(H7376=1,I7376=1),0,IF(G7376="Credit",-F7376,F7376))</f>
        <v/>
      </c>
    </row>
    <row r="7377">
      <c r="A7377" t="inlineStr">
        <is>
          <t>2026-09-08</t>
        </is>
      </c>
      <c r="B7377" t="inlineStr">
        <is>
          <t>F283051</t>
        </is>
      </c>
      <c r="C7377" t="inlineStr">
        <is>
          <t>C11211</t>
        </is>
      </c>
      <c r="D7377" t="inlineStr">
        <is>
          <t>SKU-10305</t>
        </is>
      </c>
      <c r="E7377" t="inlineStr">
        <is>
          <t>AM11</t>
        </is>
      </c>
      <c r="F7377" s="5" t="n">
        <v>635.35</v>
      </c>
      <c r="G7377">
        <f>IF(LEFT(B7377,1)="C","Credit","Factuur")</f>
        <v/>
      </c>
      <c r="H7377">
        <f>IF(AND(B7377=B7376,D7377=D7376,A7377=A7376,F7377=F7376),1,0)</f>
        <v/>
      </c>
      <c r="I7377">
        <f>IF(C7377="C99999",1,0)</f>
        <v/>
      </c>
      <c r="J7377" s="5">
        <f>IF(OR(H7377=1,I7377=1),0,IF(G7377="Credit",-F7377,F7377))</f>
        <v/>
      </c>
    </row>
    <row r="7378">
      <c r="A7378" t="inlineStr">
        <is>
          <t>2026-09-08</t>
        </is>
      </c>
      <c r="B7378" t="inlineStr">
        <is>
          <t>F283051</t>
        </is>
      </c>
      <c r="C7378" t="inlineStr">
        <is>
          <t>C11211</t>
        </is>
      </c>
      <c r="D7378" t="inlineStr">
        <is>
          <t>SKU-10355</t>
        </is>
      </c>
      <c r="E7378" t="inlineStr">
        <is>
          <t>AM11</t>
        </is>
      </c>
      <c r="F7378" s="5" t="n">
        <v>493.28</v>
      </c>
      <c r="G7378">
        <f>IF(LEFT(B7378,1)="C","Credit","Factuur")</f>
        <v/>
      </c>
      <c r="H7378">
        <f>IF(AND(B7378=B7377,D7378=D7377,A7378=A7377,F7378=F7377),1,0)</f>
        <v/>
      </c>
      <c r="I7378">
        <f>IF(C7378="C99999",1,0)</f>
        <v/>
      </c>
      <c r="J7378" s="5">
        <f>IF(OR(H7378=1,I7378=1),0,IF(G7378="Credit",-F7378,F7378))</f>
        <v/>
      </c>
    </row>
    <row r="7379">
      <c r="A7379" t="inlineStr">
        <is>
          <t>2026-09-08</t>
        </is>
      </c>
      <c r="B7379" t="inlineStr">
        <is>
          <t>F283162</t>
        </is>
      </c>
      <c r="C7379" t="inlineStr">
        <is>
          <t>C11219</t>
        </is>
      </c>
      <c r="D7379" t="inlineStr">
        <is>
          <t>SKU-10005</t>
        </is>
      </c>
      <c r="E7379" t="inlineStr">
        <is>
          <t>AM03</t>
        </is>
      </c>
      <c r="F7379" s="5" t="n">
        <v>198.72</v>
      </c>
      <c r="G7379">
        <f>IF(LEFT(B7379,1)="C","Credit","Factuur")</f>
        <v/>
      </c>
      <c r="H7379">
        <f>IF(AND(B7379=B7378,D7379=D7378,A7379=A7378,F7379=F7378),1,0)</f>
        <v/>
      </c>
      <c r="I7379">
        <f>IF(C7379="C99999",1,0)</f>
        <v/>
      </c>
      <c r="J7379" s="5">
        <f>IF(OR(H7379=1,I7379=1),0,IF(G7379="Credit",-F7379,F7379))</f>
        <v/>
      </c>
    </row>
    <row r="7380">
      <c r="A7380" t="inlineStr">
        <is>
          <t>2026-09-08</t>
        </is>
      </c>
      <c r="B7380" t="inlineStr">
        <is>
          <t>F283162</t>
        </is>
      </c>
      <c r="C7380" t="inlineStr">
        <is>
          <t>C11219</t>
        </is>
      </c>
      <c r="D7380" t="inlineStr">
        <is>
          <t>SKU-10134</t>
        </is>
      </c>
      <c r="E7380" t="inlineStr">
        <is>
          <t>AM03</t>
        </is>
      </c>
      <c r="F7380" s="5" t="n">
        <v>205.02</v>
      </c>
      <c r="G7380">
        <f>IF(LEFT(B7380,1)="C","Credit","Factuur")</f>
        <v/>
      </c>
      <c r="H7380">
        <f>IF(AND(B7380=B7379,D7380=D7379,A7380=A7379,F7380=F7379),1,0)</f>
        <v/>
      </c>
      <c r="I7380">
        <f>IF(C7380="C99999",1,0)</f>
        <v/>
      </c>
      <c r="J7380" s="5">
        <f>IF(OR(H7380=1,I7380=1),0,IF(G7380="Credit",-F7380,F7380))</f>
        <v/>
      </c>
    </row>
    <row r="7381">
      <c r="A7381" t="inlineStr">
        <is>
          <t>2026-09-08</t>
        </is>
      </c>
      <c r="B7381" t="inlineStr">
        <is>
          <t>F283162</t>
        </is>
      </c>
      <c r="C7381" t="inlineStr">
        <is>
          <t>C11219</t>
        </is>
      </c>
      <c r="D7381" t="inlineStr">
        <is>
          <t>SKU-10281</t>
        </is>
      </c>
      <c r="E7381" t="inlineStr">
        <is>
          <t>AM03</t>
        </is>
      </c>
      <c r="F7381" s="5" t="n">
        <v>203.4</v>
      </c>
      <c r="G7381">
        <f>IF(LEFT(B7381,1)="C","Credit","Factuur")</f>
        <v/>
      </c>
      <c r="H7381">
        <f>IF(AND(B7381=B7380,D7381=D7380,A7381=A7380,F7381=F7380),1,0)</f>
        <v/>
      </c>
      <c r="I7381">
        <f>IF(C7381="C99999",1,0)</f>
        <v/>
      </c>
      <c r="J7381" s="5">
        <f>IF(OR(H7381=1,I7381=1),0,IF(G7381="Credit",-F7381,F7381))</f>
        <v/>
      </c>
    </row>
    <row r="7382">
      <c r="A7382" t="inlineStr">
        <is>
          <t>2026-09-08</t>
        </is>
      </c>
      <c r="B7382" t="inlineStr">
        <is>
          <t>F283162</t>
        </is>
      </c>
      <c r="C7382" t="inlineStr">
        <is>
          <t>C11219</t>
        </is>
      </c>
      <c r="D7382" t="inlineStr">
        <is>
          <t>SKU-10336</t>
        </is>
      </c>
      <c r="E7382" t="inlineStr">
        <is>
          <t>AM03</t>
        </is>
      </c>
      <c r="F7382" s="5" t="n">
        <v>197.52</v>
      </c>
      <c r="G7382">
        <f>IF(LEFT(B7382,1)="C","Credit","Factuur")</f>
        <v/>
      </c>
      <c r="H7382">
        <f>IF(AND(B7382=B7381,D7382=D7381,A7382=A7381,F7382=F7381),1,0)</f>
        <v/>
      </c>
      <c r="I7382">
        <f>IF(C7382="C99999",1,0)</f>
        <v/>
      </c>
      <c r="J7382" s="5">
        <f>IF(OR(H7382=1,I7382=1),0,IF(G7382="Credit",-F7382,F7382))</f>
        <v/>
      </c>
    </row>
    <row r="7383">
      <c r="A7383" t="inlineStr">
        <is>
          <t>2026-09-08</t>
        </is>
      </c>
      <c r="B7383" t="inlineStr">
        <is>
          <t>F283440</t>
        </is>
      </c>
      <c r="C7383" t="inlineStr">
        <is>
          <t>C11231</t>
        </is>
      </c>
      <c r="D7383" t="inlineStr">
        <is>
          <t>SKU-10113</t>
        </is>
      </c>
      <c r="E7383" t="inlineStr">
        <is>
          <t>AM03</t>
        </is>
      </c>
      <c r="F7383" s="5" t="n">
        <v>688.5</v>
      </c>
      <c r="G7383">
        <f>IF(LEFT(B7383,1)="C","Credit","Factuur")</f>
        <v/>
      </c>
      <c r="H7383">
        <f>IF(AND(B7383=B7382,D7383=D7382,A7383=A7382,F7383=F7382),1,0)</f>
        <v/>
      </c>
      <c r="I7383">
        <f>IF(C7383="C99999",1,0)</f>
        <v/>
      </c>
      <c r="J7383" s="5">
        <f>IF(OR(H7383=1,I7383=1),0,IF(G7383="Credit",-F7383,F7383))</f>
        <v/>
      </c>
    </row>
    <row r="7384">
      <c r="A7384" t="inlineStr">
        <is>
          <t>2026-09-08</t>
        </is>
      </c>
      <c r="B7384" t="inlineStr">
        <is>
          <t>F283568</t>
        </is>
      </c>
      <c r="C7384" t="inlineStr">
        <is>
          <t>C11238</t>
        </is>
      </c>
      <c r="D7384" t="inlineStr">
        <is>
          <t>SKU-10204</t>
        </is>
      </c>
      <c r="E7384" t="inlineStr">
        <is>
          <t>AM07</t>
        </is>
      </c>
      <c r="F7384" s="5" t="n">
        <v>3522.6</v>
      </c>
      <c r="G7384">
        <f>IF(LEFT(B7384,1)="C","Credit","Factuur")</f>
        <v/>
      </c>
      <c r="H7384">
        <f>IF(AND(B7384=B7383,D7384=D7383,A7384=A7383,F7384=F7383),1,0)</f>
        <v/>
      </c>
      <c r="I7384">
        <f>IF(C7384="C99999",1,0)</f>
        <v/>
      </c>
      <c r="J7384" s="5">
        <f>IF(OR(H7384=1,I7384=1),0,IF(G7384="Credit",-F7384,F7384))</f>
        <v/>
      </c>
    </row>
    <row r="7385">
      <c r="A7385" t="inlineStr">
        <is>
          <t>2026-09-08</t>
        </is>
      </c>
      <c r="B7385" t="inlineStr">
        <is>
          <t>F283820</t>
        </is>
      </c>
      <c r="C7385" t="inlineStr">
        <is>
          <t>C11248</t>
        </is>
      </c>
      <c r="D7385" t="inlineStr">
        <is>
          <t>SKU-10144</t>
        </is>
      </c>
      <c r="E7385" t="inlineStr">
        <is>
          <t>AM05</t>
        </is>
      </c>
      <c r="F7385" s="5" t="n">
        <v>337.5</v>
      </c>
      <c r="G7385">
        <f>IF(LEFT(B7385,1)="C","Credit","Factuur")</f>
        <v/>
      </c>
      <c r="H7385">
        <f>IF(AND(B7385=B7384,D7385=D7384,A7385=A7384,F7385=F7384),1,0)</f>
        <v/>
      </c>
      <c r="I7385">
        <f>IF(C7385="C99999",1,0)</f>
        <v/>
      </c>
      <c r="J7385" s="5">
        <f>IF(OR(H7385=1,I7385=1),0,IF(G7385="Credit",-F7385,F7385))</f>
        <v/>
      </c>
    </row>
    <row r="7386">
      <c r="A7386" t="inlineStr">
        <is>
          <t>2026-09-08</t>
        </is>
      </c>
      <c r="B7386" t="inlineStr">
        <is>
          <t>F283820</t>
        </is>
      </c>
      <c r="C7386" t="inlineStr">
        <is>
          <t>C11248</t>
        </is>
      </c>
      <c r="D7386" t="inlineStr">
        <is>
          <t>SKU-10237</t>
        </is>
      </c>
      <c r="E7386" t="inlineStr"/>
      <c r="F7386" s="5" t="n">
        <v>369.9</v>
      </c>
      <c r="G7386">
        <f>IF(LEFT(B7386,1)="C","Credit","Factuur")</f>
        <v/>
      </c>
      <c r="H7386">
        <f>IF(AND(B7386=B7385,D7386=D7385,A7386=A7385,F7386=F7385),1,0)</f>
        <v/>
      </c>
      <c r="I7386">
        <f>IF(C7386="C99999",1,0)</f>
        <v/>
      </c>
      <c r="J7386" s="5">
        <f>IF(OR(H7386=1,I7386=1),0,IF(G7386="Credit",-F7386,F7386))</f>
        <v/>
      </c>
    </row>
    <row r="7387">
      <c r="A7387" t="inlineStr">
        <is>
          <t>2026-09-08</t>
        </is>
      </c>
      <c r="B7387" t="inlineStr">
        <is>
          <t>F283820</t>
        </is>
      </c>
      <c r="C7387" t="inlineStr">
        <is>
          <t>C11248</t>
        </is>
      </c>
      <c r="D7387" t="inlineStr">
        <is>
          <t>SKU-10336</t>
        </is>
      </c>
      <c r="E7387" t="inlineStr">
        <is>
          <t>AM05</t>
        </is>
      </c>
      <c r="F7387" s="5" t="n">
        <v>370.35</v>
      </c>
      <c r="G7387">
        <f>IF(LEFT(B7387,1)="C","Credit","Factuur")</f>
        <v/>
      </c>
      <c r="H7387">
        <f>IF(AND(B7387=B7386,D7387=D7386,A7387=A7386,F7387=F7386),1,0)</f>
        <v/>
      </c>
      <c r="I7387">
        <f>IF(C7387="C99999",1,0)</f>
        <v/>
      </c>
      <c r="J7387" s="5">
        <f>IF(OR(H7387=1,I7387=1),0,IF(G7387="Credit",-F7387,F7387))</f>
        <v/>
      </c>
    </row>
    <row r="7388">
      <c r="A7388" t="inlineStr">
        <is>
          <t>2026-09-08</t>
        </is>
      </c>
      <c r="B7388" t="inlineStr">
        <is>
          <t>F283820</t>
        </is>
      </c>
      <c r="C7388" t="inlineStr">
        <is>
          <t>C11248</t>
        </is>
      </c>
      <c r="D7388" t="inlineStr">
        <is>
          <t>SKU-10338</t>
        </is>
      </c>
      <c r="E7388" t="inlineStr">
        <is>
          <t>AM05</t>
        </is>
      </c>
      <c r="F7388" s="5" t="n">
        <v>352.98</v>
      </c>
      <c r="G7388">
        <f>IF(LEFT(B7388,1)="C","Credit","Factuur")</f>
        <v/>
      </c>
      <c r="H7388">
        <f>IF(AND(B7388=B7387,D7388=D7387,A7388=A7387,F7388=F7387),1,0)</f>
        <v/>
      </c>
      <c r="I7388">
        <f>IF(C7388="C99999",1,0)</f>
        <v/>
      </c>
      <c r="J7388" s="5">
        <f>IF(OR(H7388=1,I7388=1),0,IF(G7388="Credit",-F7388,F7388))</f>
        <v/>
      </c>
    </row>
    <row r="7389">
      <c r="A7389" t="inlineStr">
        <is>
          <t>2026-09-08</t>
        </is>
      </c>
      <c r="B7389" t="inlineStr">
        <is>
          <t>F283860</t>
        </is>
      </c>
      <c r="C7389" t="inlineStr">
        <is>
          <t>C11249</t>
        </is>
      </c>
      <c r="D7389" t="inlineStr">
        <is>
          <t>SKU-10257</t>
        </is>
      </c>
      <c r="E7389" t="inlineStr">
        <is>
          <t>AM11</t>
        </is>
      </c>
      <c r="F7389" s="5" t="n">
        <v>1130.44</v>
      </c>
      <c r="G7389">
        <f>IF(LEFT(B7389,1)="C","Credit","Factuur")</f>
        <v/>
      </c>
      <c r="H7389">
        <f>IF(AND(B7389=B7388,D7389=D7388,A7389=A7388,F7389=F7388),1,0)</f>
        <v/>
      </c>
      <c r="I7389">
        <f>IF(C7389="C99999",1,0)</f>
        <v/>
      </c>
      <c r="J7389" s="5">
        <f>IF(OR(H7389=1,I7389=1),0,IF(G7389="Credit",-F7389,F7389))</f>
        <v/>
      </c>
    </row>
    <row r="7390">
      <c r="A7390" t="inlineStr">
        <is>
          <t>2026-09-08</t>
        </is>
      </c>
      <c r="B7390" t="inlineStr">
        <is>
          <t>F283860</t>
        </is>
      </c>
      <c r="C7390" t="inlineStr">
        <is>
          <t>C11249</t>
        </is>
      </c>
      <c r="D7390" t="inlineStr">
        <is>
          <t>SKU-10328</t>
        </is>
      </c>
      <c r="E7390" t="inlineStr">
        <is>
          <t>AM11</t>
        </is>
      </c>
      <c r="F7390" s="5" t="n">
        <v>989.6799999999999</v>
      </c>
      <c r="G7390">
        <f>IF(LEFT(B7390,1)="C","Credit","Factuur")</f>
        <v/>
      </c>
      <c r="H7390">
        <f>IF(AND(B7390=B7389,D7390=D7389,A7390=A7389,F7390=F7389),1,0)</f>
        <v/>
      </c>
      <c r="I7390">
        <f>IF(C7390="C99999",1,0)</f>
        <v/>
      </c>
      <c r="J7390" s="5">
        <f>IF(OR(H7390=1,I7390=1),0,IF(G7390="Credit",-F7390,F7390))</f>
        <v/>
      </c>
    </row>
    <row r="7391">
      <c r="A7391" t="inlineStr">
        <is>
          <t>2026-09-08</t>
        </is>
      </c>
      <c r="B7391" t="inlineStr">
        <is>
          <t>F284226</t>
        </is>
      </c>
      <c r="C7391" t="inlineStr">
        <is>
          <t>C11267</t>
        </is>
      </c>
      <c r="D7391" t="inlineStr">
        <is>
          <t>SKU-10030</t>
        </is>
      </c>
      <c r="E7391" t="inlineStr">
        <is>
          <t>AM06</t>
        </is>
      </c>
      <c r="F7391" s="5" t="n">
        <v>519.33</v>
      </c>
      <c r="G7391">
        <f>IF(LEFT(B7391,1)="C","Credit","Factuur")</f>
        <v/>
      </c>
      <c r="H7391">
        <f>IF(AND(B7391=B7390,D7391=D7390,A7391=A7390,F7391=F7390),1,0)</f>
        <v/>
      </c>
      <c r="I7391">
        <f>IF(C7391="C99999",1,0)</f>
        <v/>
      </c>
      <c r="J7391" s="5">
        <f>IF(OR(H7391=1,I7391=1),0,IF(G7391="Credit",-F7391,F7391))</f>
        <v/>
      </c>
    </row>
    <row r="7392">
      <c r="A7392" t="inlineStr">
        <is>
          <t>2026-09-08</t>
        </is>
      </c>
      <c r="B7392" t="inlineStr">
        <is>
          <t>F284524</t>
        </is>
      </c>
      <c r="C7392" t="inlineStr">
        <is>
          <t>C11286</t>
        </is>
      </c>
      <c r="D7392" t="inlineStr">
        <is>
          <t>SKU-10270</t>
        </is>
      </c>
      <c r="E7392" t="inlineStr">
        <is>
          <t>AM11</t>
        </is>
      </c>
      <c r="F7392" s="5" t="n">
        <v>302.96</v>
      </c>
      <c r="G7392">
        <f>IF(LEFT(B7392,1)="C","Credit","Factuur")</f>
        <v/>
      </c>
      <c r="H7392">
        <f>IF(AND(B7392=B7391,D7392=D7391,A7392=A7391,F7392=F7391),1,0)</f>
        <v/>
      </c>
      <c r="I7392">
        <f>IF(C7392="C99999",1,0)</f>
        <v/>
      </c>
      <c r="J7392" s="5">
        <f>IF(OR(H7392=1,I7392=1),0,IF(G7392="Credit",-F7392,F7392))</f>
        <v/>
      </c>
    </row>
    <row r="7393">
      <c r="A7393" t="inlineStr">
        <is>
          <t>2026-09-08</t>
        </is>
      </c>
      <c r="B7393" t="inlineStr">
        <is>
          <t>F284524</t>
        </is>
      </c>
      <c r="C7393" t="inlineStr">
        <is>
          <t>C11286</t>
        </is>
      </c>
      <c r="D7393" t="inlineStr">
        <is>
          <t>SKU-10303</t>
        </is>
      </c>
      <c r="E7393" t="inlineStr">
        <is>
          <t>AM11</t>
        </is>
      </c>
      <c r="F7393" s="5" t="n">
        <v>295.84</v>
      </c>
      <c r="G7393">
        <f>IF(LEFT(B7393,1)="C","Credit","Factuur")</f>
        <v/>
      </c>
      <c r="H7393">
        <f>IF(AND(B7393=B7392,D7393=D7392,A7393=A7392,F7393=F7392),1,0)</f>
        <v/>
      </c>
      <c r="I7393">
        <f>IF(C7393="C99999",1,0)</f>
        <v/>
      </c>
      <c r="J7393" s="5">
        <f>IF(OR(H7393=1,I7393=1),0,IF(G7393="Credit",-F7393,F7393))</f>
        <v/>
      </c>
    </row>
    <row r="7394">
      <c r="A7394" t="inlineStr">
        <is>
          <t>2026-09-08</t>
        </is>
      </c>
      <c r="B7394" t="inlineStr">
        <is>
          <t>F284524</t>
        </is>
      </c>
      <c r="C7394" t="inlineStr">
        <is>
          <t>C11286</t>
        </is>
      </c>
      <c r="D7394" t="inlineStr">
        <is>
          <t>SKU-10327</t>
        </is>
      </c>
      <c r="E7394" t="inlineStr">
        <is>
          <t>AM11</t>
        </is>
      </c>
      <c r="F7394" s="5" t="n">
        <v>285.9</v>
      </c>
      <c r="G7394">
        <f>IF(LEFT(B7394,1)="C","Credit","Factuur")</f>
        <v/>
      </c>
      <c r="H7394">
        <f>IF(AND(B7394=B7393,D7394=D7393,A7394=A7393,F7394=F7393),1,0)</f>
        <v/>
      </c>
      <c r="I7394">
        <f>IF(C7394="C99999",1,0)</f>
        <v/>
      </c>
      <c r="J7394" s="5">
        <f>IF(OR(H7394=1,I7394=1),0,IF(G7394="Credit",-F7394,F7394))</f>
        <v/>
      </c>
    </row>
    <row r="7395">
      <c r="A7395" t="inlineStr">
        <is>
          <t>2026-09-08</t>
        </is>
      </c>
      <c r="B7395" t="inlineStr">
        <is>
          <t>F284799</t>
        </is>
      </c>
      <c r="C7395" t="inlineStr">
        <is>
          <t>C11299</t>
        </is>
      </c>
      <c r="D7395" t="inlineStr">
        <is>
          <t>SKU-10077</t>
        </is>
      </c>
      <c r="E7395" t="inlineStr">
        <is>
          <t>AM07</t>
        </is>
      </c>
      <c r="F7395" s="5" t="n">
        <v>1445.76</v>
      </c>
      <c r="G7395">
        <f>IF(LEFT(B7395,1)="C","Credit","Factuur")</f>
        <v/>
      </c>
      <c r="H7395">
        <f>IF(AND(B7395=B7394,D7395=D7394,A7395=A7394,F7395=F7394),1,0)</f>
        <v/>
      </c>
      <c r="I7395">
        <f>IF(C7395="C99999",1,0)</f>
        <v/>
      </c>
      <c r="J7395" s="5">
        <f>IF(OR(H7395=1,I7395=1),0,IF(G7395="Credit",-F7395,F7395))</f>
        <v/>
      </c>
    </row>
    <row r="7396">
      <c r="A7396" t="inlineStr">
        <is>
          <t>2026-09-08</t>
        </is>
      </c>
      <c r="B7396" t="inlineStr">
        <is>
          <t>F284799</t>
        </is>
      </c>
      <c r="C7396" t="inlineStr">
        <is>
          <t>C11299</t>
        </is>
      </c>
      <c r="D7396" t="inlineStr">
        <is>
          <t>SKU-10160</t>
        </is>
      </c>
      <c r="E7396" t="inlineStr">
        <is>
          <t>AM07</t>
        </is>
      </c>
      <c r="F7396" s="5" t="n">
        <v>1432.44</v>
      </c>
      <c r="G7396">
        <f>IF(LEFT(B7396,1)="C","Credit","Factuur")</f>
        <v/>
      </c>
      <c r="H7396">
        <f>IF(AND(B7396=B7395,D7396=D7395,A7396=A7395,F7396=F7395),1,0)</f>
        <v/>
      </c>
      <c r="I7396">
        <f>IF(C7396="C99999",1,0)</f>
        <v/>
      </c>
      <c r="J7396" s="5">
        <f>IF(OR(H7396=1,I7396=1),0,IF(G7396="Credit",-F7396,F7396))</f>
        <v/>
      </c>
    </row>
    <row r="7397">
      <c r="A7397" t="inlineStr">
        <is>
          <t>2026-09-08</t>
        </is>
      </c>
      <c r="B7397" t="inlineStr">
        <is>
          <t>F284799</t>
        </is>
      </c>
      <c r="C7397" t="inlineStr">
        <is>
          <t>C11299</t>
        </is>
      </c>
      <c r="D7397" t="inlineStr">
        <is>
          <t>SKU-10242</t>
        </is>
      </c>
      <c r="E7397" t="inlineStr">
        <is>
          <t>AM07</t>
        </is>
      </c>
      <c r="F7397" s="5" t="n">
        <v>1440</v>
      </c>
      <c r="G7397">
        <f>IF(LEFT(B7397,1)="C","Credit","Factuur")</f>
        <v/>
      </c>
      <c r="H7397">
        <f>IF(AND(B7397=B7396,D7397=D7396,A7397=A7396,F7397=F7396),1,0)</f>
        <v/>
      </c>
      <c r="I7397">
        <f>IF(C7397="C99999",1,0)</f>
        <v/>
      </c>
      <c r="J7397" s="5">
        <f>IF(OR(H7397=1,I7397=1),0,IF(G7397="Credit",-F7397,F7397))</f>
        <v/>
      </c>
    </row>
    <row r="7398">
      <c r="A7398" t="inlineStr">
        <is>
          <t>2026-09-08</t>
        </is>
      </c>
      <c r="B7398" t="inlineStr">
        <is>
          <t>F284799</t>
        </is>
      </c>
      <c r="C7398" t="inlineStr">
        <is>
          <t>C11299</t>
        </is>
      </c>
      <c r="D7398" t="inlineStr">
        <is>
          <t>SKU-10247</t>
        </is>
      </c>
      <c r="E7398" t="inlineStr">
        <is>
          <t>AM07</t>
        </is>
      </c>
      <c r="F7398" s="5" t="n">
        <v>1372.43</v>
      </c>
      <c r="G7398">
        <f>IF(LEFT(B7398,1)="C","Credit","Factuur")</f>
        <v/>
      </c>
      <c r="H7398">
        <f>IF(AND(B7398=B7397,D7398=D7397,A7398=A7397,F7398=F7397),1,0)</f>
        <v/>
      </c>
      <c r="I7398">
        <f>IF(C7398="C99999",1,0)</f>
        <v/>
      </c>
      <c r="J7398" s="5">
        <f>IF(OR(H7398=1,I7398=1),0,IF(G7398="Credit",-F7398,F7398))</f>
        <v/>
      </c>
    </row>
    <row r="7399">
      <c r="A7399" t="inlineStr">
        <is>
          <t>2026-09-08</t>
        </is>
      </c>
      <c r="B7399" t="inlineStr">
        <is>
          <t>F285508</t>
        </is>
      </c>
      <c r="C7399" t="inlineStr">
        <is>
          <t>C11332</t>
        </is>
      </c>
      <c r="D7399" t="inlineStr">
        <is>
          <t>SKU-10091</t>
        </is>
      </c>
      <c r="E7399" t="inlineStr">
        <is>
          <t>AM05</t>
        </is>
      </c>
      <c r="F7399" s="5" t="n">
        <v>223.12</v>
      </c>
      <c r="G7399">
        <f>IF(LEFT(B7399,1)="C","Credit","Factuur")</f>
        <v/>
      </c>
      <c r="H7399">
        <f>IF(AND(B7399=B7398,D7399=D7398,A7399=A7398,F7399=F7398),1,0)</f>
        <v/>
      </c>
      <c r="I7399">
        <f>IF(C7399="C99999",1,0)</f>
        <v/>
      </c>
      <c r="J7399" s="5">
        <f>IF(OR(H7399=1,I7399=1),0,IF(G7399="Credit",-F7399,F7399))</f>
        <v/>
      </c>
    </row>
    <row r="7400">
      <c r="A7400" t="inlineStr">
        <is>
          <t>2026-09-08</t>
        </is>
      </c>
      <c r="B7400" t="inlineStr">
        <is>
          <t>F285508</t>
        </is>
      </c>
      <c r="C7400" t="inlineStr">
        <is>
          <t>C11332</t>
        </is>
      </c>
      <c r="D7400" t="inlineStr">
        <is>
          <t>SKU-10140</t>
        </is>
      </c>
      <c r="E7400" t="inlineStr">
        <is>
          <t>AM05</t>
        </is>
      </c>
      <c r="F7400" s="5" t="n">
        <v>199.35</v>
      </c>
      <c r="G7400">
        <f>IF(LEFT(B7400,1)="C","Credit","Factuur")</f>
        <v/>
      </c>
      <c r="H7400">
        <f>IF(AND(B7400=B7399,D7400=D7399,A7400=A7399,F7400=F7399),1,0)</f>
        <v/>
      </c>
      <c r="I7400">
        <f>IF(C7400="C99999",1,0)</f>
        <v/>
      </c>
      <c r="J7400" s="5">
        <f>IF(OR(H7400=1,I7400=1),0,IF(G7400="Credit",-F7400,F7400))</f>
        <v/>
      </c>
    </row>
    <row r="7401">
      <c r="A7401" t="inlineStr">
        <is>
          <t>2026-09-08</t>
        </is>
      </c>
      <c r="B7401" t="inlineStr">
        <is>
          <t>F285508</t>
        </is>
      </c>
      <c r="C7401" t="inlineStr">
        <is>
          <t>C11332</t>
        </is>
      </c>
      <c r="D7401" t="inlineStr">
        <is>
          <t>SKU-10143</t>
        </is>
      </c>
      <c r="E7401" t="inlineStr">
        <is>
          <t>AM05</t>
        </is>
      </c>
      <c r="F7401" s="5" t="n">
        <v>218.04</v>
      </c>
      <c r="G7401">
        <f>IF(LEFT(B7401,1)="C","Credit","Factuur")</f>
        <v/>
      </c>
      <c r="H7401">
        <f>IF(AND(B7401=B7400,D7401=D7400,A7401=A7400,F7401=F7400),1,0)</f>
        <v/>
      </c>
      <c r="I7401">
        <f>IF(C7401="C99999",1,0)</f>
        <v/>
      </c>
      <c r="J7401" s="5">
        <f>IF(OR(H7401=1,I7401=1),0,IF(G7401="Credit",-F7401,F7401))</f>
        <v/>
      </c>
    </row>
    <row r="7402">
      <c r="A7402" t="inlineStr">
        <is>
          <t>2026-09-08</t>
        </is>
      </c>
      <c r="B7402" t="inlineStr">
        <is>
          <t>F285508</t>
        </is>
      </c>
      <c r="C7402" t="inlineStr">
        <is>
          <t>C11332</t>
        </is>
      </c>
      <c r="D7402" t="inlineStr">
        <is>
          <t>SKU-10167</t>
        </is>
      </c>
      <c r="E7402" t="inlineStr">
        <is>
          <t>AM05</t>
        </is>
      </c>
      <c r="F7402" s="5" t="n">
        <v>220.88</v>
      </c>
      <c r="G7402">
        <f>IF(LEFT(B7402,1)="C","Credit","Factuur")</f>
        <v/>
      </c>
      <c r="H7402">
        <f>IF(AND(B7402=B7401,D7402=D7401,A7402=A7401,F7402=F7401),1,0)</f>
        <v/>
      </c>
      <c r="I7402">
        <f>IF(C7402="C99999",1,0)</f>
        <v/>
      </c>
      <c r="J7402" s="5">
        <f>IF(OR(H7402=1,I7402=1),0,IF(G7402="Credit",-F7402,F7402))</f>
        <v/>
      </c>
    </row>
    <row r="7403">
      <c r="A7403" t="inlineStr">
        <is>
          <t>2026-09-09</t>
        </is>
      </c>
      <c r="B7403" t="inlineStr">
        <is>
          <t>C900950</t>
        </is>
      </c>
      <c r="C7403" t="inlineStr">
        <is>
          <t>C10041</t>
        </is>
      </c>
      <c r="D7403" t="inlineStr">
        <is>
          <t>SKU-10324</t>
        </is>
      </c>
      <c r="E7403" t="inlineStr">
        <is>
          <t>AM06</t>
        </is>
      </c>
      <c r="F7403" s="5" t="n">
        <v>499.56</v>
      </c>
      <c r="G7403">
        <f>IF(LEFT(B7403,1)="C","Credit","Factuur")</f>
        <v/>
      </c>
      <c r="H7403">
        <f>IF(AND(B7403=B7402,D7403=D7402,A7403=A7402,F7403=F7402),1,0)</f>
        <v/>
      </c>
      <c r="I7403">
        <f>IF(C7403="C99999",1,0)</f>
        <v/>
      </c>
      <c r="J7403" s="5">
        <f>IF(OR(H7403=1,I7403=1),0,IF(G7403="Credit",-F7403,F7403))</f>
        <v/>
      </c>
    </row>
    <row r="7404">
      <c r="A7404" t="inlineStr">
        <is>
          <t>2026-09-09</t>
        </is>
      </c>
      <c r="B7404" t="inlineStr">
        <is>
          <t>C901584</t>
        </is>
      </c>
      <c r="C7404" t="inlineStr">
        <is>
          <t>C10670</t>
        </is>
      </c>
      <c r="D7404" t="inlineStr">
        <is>
          <t>SKU-10200</t>
        </is>
      </c>
      <c r="E7404" t="inlineStr">
        <is>
          <t>AM03</t>
        </is>
      </c>
      <c r="F7404" s="5" t="n">
        <v>186.53</v>
      </c>
      <c r="G7404">
        <f>IF(LEFT(B7404,1)="C","Credit","Factuur")</f>
        <v/>
      </c>
      <c r="H7404">
        <f>IF(AND(B7404=B7403,D7404=D7403,A7404=A7403,F7404=F7403),1,0)</f>
        <v/>
      </c>
      <c r="I7404">
        <f>IF(C7404="C99999",1,0)</f>
        <v/>
      </c>
      <c r="J7404" s="5">
        <f>IF(OR(H7404=1,I7404=1),0,IF(G7404="Credit",-F7404,F7404))</f>
        <v/>
      </c>
    </row>
    <row r="7405">
      <c r="A7405" t="inlineStr">
        <is>
          <t>2026-09-09</t>
        </is>
      </c>
      <c r="B7405" t="inlineStr">
        <is>
          <t>F260743</t>
        </is>
      </c>
      <c r="C7405" t="inlineStr">
        <is>
          <t>C10045</t>
        </is>
      </c>
      <c r="D7405" t="inlineStr">
        <is>
          <t>SKU-10066</t>
        </is>
      </c>
      <c r="E7405" t="inlineStr">
        <is>
          <t>AM12</t>
        </is>
      </c>
      <c r="F7405" s="5" t="n">
        <v>140.62</v>
      </c>
      <c r="G7405">
        <f>IF(LEFT(B7405,1)="C","Credit","Factuur")</f>
        <v/>
      </c>
      <c r="H7405">
        <f>IF(AND(B7405=B7404,D7405=D7404,A7405=A7404,F7405=F7404),1,0)</f>
        <v/>
      </c>
      <c r="I7405">
        <f>IF(C7405="C99999",1,0)</f>
        <v/>
      </c>
      <c r="J7405" s="5">
        <f>IF(OR(H7405=1,I7405=1),0,IF(G7405="Credit",-F7405,F7405))</f>
        <v/>
      </c>
    </row>
    <row r="7406">
      <c r="A7406" t="inlineStr">
        <is>
          <t>2026-09-09</t>
        </is>
      </c>
      <c r="B7406" t="inlineStr">
        <is>
          <t>F260743</t>
        </is>
      </c>
      <c r="C7406" t="inlineStr">
        <is>
          <t>C10045</t>
        </is>
      </c>
      <c r="D7406" t="inlineStr">
        <is>
          <t>SKU-10221</t>
        </is>
      </c>
      <c r="E7406" t="inlineStr">
        <is>
          <t>AM12</t>
        </is>
      </c>
      <c r="F7406" s="5" t="n">
        <v>172.62</v>
      </c>
      <c r="G7406">
        <f>IF(LEFT(B7406,1)="C","Credit","Factuur")</f>
        <v/>
      </c>
      <c r="H7406">
        <f>IF(AND(B7406=B7405,D7406=D7405,A7406=A7405,F7406=F7405),1,0)</f>
        <v/>
      </c>
      <c r="I7406">
        <f>IF(C7406="C99999",1,0)</f>
        <v/>
      </c>
      <c r="J7406" s="5">
        <f>IF(OR(H7406=1,I7406=1),0,IF(G7406="Credit",-F7406,F7406))</f>
        <v/>
      </c>
    </row>
    <row r="7407">
      <c r="A7407" t="inlineStr">
        <is>
          <t>2026-09-09</t>
        </is>
      </c>
      <c r="B7407" t="inlineStr">
        <is>
          <t>F260743</t>
        </is>
      </c>
      <c r="C7407" t="inlineStr">
        <is>
          <t>C10045</t>
        </is>
      </c>
      <c r="D7407" t="inlineStr">
        <is>
          <t>SKU-10227</t>
        </is>
      </c>
      <c r="E7407" t="inlineStr">
        <is>
          <t>AM12</t>
        </is>
      </c>
      <c r="F7407" s="5" t="n">
        <v>159.84</v>
      </c>
      <c r="G7407">
        <f>IF(LEFT(B7407,1)="C","Credit","Factuur")</f>
        <v/>
      </c>
      <c r="H7407">
        <f>IF(AND(B7407=B7406,D7407=D7406,A7407=A7406,F7407=F7406),1,0)</f>
        <v/>
      </c>
      <c r="I7407">
        <f>IF(C7407="C99999",1,0)</f>
        <v/>
      </c>
      <c r="J7407" s="5">
        <f>IF(OR(H7407=1,I7407=1),0,IF(G7407="Credit",-F7407,F7407))</f>
        <v/>
      </c>
    </row>
    <row r="7408">
      <c r="A7408" t="inlineStr">
        <is>
          <t>2026-09-09</t>
        </is>
      </c>
      <c r="B7408" t="inlineStr">
        <is>
          <t>F260743</t>
        </is>
      </c>
      <c r="C7408" t="inlineStr">
        <is>
          <t>C10045</t>
        </is>
      </c>
      <c r="D7408" t="inlineStr">
        <is>
          <t>SKU-10256</t>
        </is>
      </c>
      <c r="E7408" t="inlineStr">
        <is>
          <t>AM12</t>
        </is>
      </c>
      <c r="F7408" s="5" t="n">
        <v>140.56</v>
      </c>
      <c r="G7408">
        <f>IF(LEFT(B7408,1)="C","Credit","Factuur")</f>
        <v/>
      </c>
      <c r="H7408">
        <f>IF(AND(B7408=B7407,D7408=D7407,A7408=A7407,F7408=F7407),1,0)</f>
        <v/>
      </c>
      <c r="I7408">
        <f>IF(C7408="C99999",1,0)</f>
        <v/>
      </c>
      <c r="J7408" s="5">
        <f>IF(OR(H7408=1,I7408=1),0,IF(G7408="Credit",-F7408,F7408))</f>
        <v/>
      </c>
    </row>
    <row r="7409">
      <c r="A7409" t="inlineStr">
        <is>
          <t>2026-09-09</t>
        </is>
      </c>
      <c r="B7409" t="inlineStr">
        <is>
          <t>F260743</t>
        </is>
      </c>
      <c r="C7409" t="inlineStr">
        <is>
          <t>C10045</t>
        </is>
      </c>
      <c r="D7409" t="inlineStr">
        <is>
          <t>SKU-10260</t>
        </is>
      </c>
      <c r="E7409" t="inlineStr">
        <is>
          <t>AM12</t>
        </is>
      </c>
      <c r="F7409" s="5" t="n">
        <v>162.84</v>
      </c>
      <c r="G7409">
        <f>IF(LEFT(B7409,1)="C","Credit","Factuur")</f>
        <v/>
      </c>
      <c r="H7409">
        <f>IF(AND(B7409=B7408,D7409=D7408,A7409=A7408,F7409=F7408),1,0)</f>
        <v/>
      </c>
      <c r="I7409">
        <f>IF(C7409="C99999",1,0)</f>
        <v/>
      </c>
      <c r="J7409" s="5">
        <f>IF(OR(H7409=1,I7409=1),0,IF(G7409="Credit",-F7409,F7409))</f>
        <v/>
      </c>
    </row>
    <row r="7410">
      <c r="A7410" t="inlineStr">
        <is>
          <t>2026-09-09</t>
        </is>
      </c>
      <c r="B7410" t="inlineStr">
        <is>
          <t>F260948</t>
        </is>
      </c>
      <c r="C7410" t="inlineStr">
        <is>
          <t>C10054</t>
        </is>
      </c>
      <c r="D7410" t="inlineStr">
        <is>
          <t>SKU-10016</t>
        </is>
      </c>
      <c r="E7410" t="inlineStr">
        <is>
          <t>AM01</t>
        </is>
      </c>
      <c r="F7410" s="5" t="n">
        <v>272.84</v>
      </c>
      <c r="G7410">
        <f>IF(LEFT(B7410,1)="C","Credit","Factuur")</f>
        <v/>
      </c>
      <c r="H7410">
        <f>IF(AND(B7410=B7409,D7410=D7409,A7410=A7409,F7410=F7409),1,0)</f>
        <v/>
      </c>
      <c r="I7410">
        <f>IF(C7410="C99999",1,0)</f>
        <v/>
      </c>
      <c r="J7410" s="5">
        <f>IF(OR(H7410=1,I7410=1),0,IF(G7410="Credit",-F7410,F7410))</f>
        <v/>
      </c>
    </row>
    <row r="7411">
      <c r="A7411" t="inlineStr">
        <is>
          <t>2026-09-09</t>
        </is>
      </c>
      <c r="B7411" t="inlineStr">
        <is>
          <t>F260948</t>
        </is>
      </c>
      <c r="C7411" t="inlineStr">
        <is>
          <t>C10054</t>
        </is>
      </c>
      <c r="D7411" t="inlineStr">
        <is>
          <t>SKU-10315</t>
        </is>
      </c>
      <c r="E7411" t="inlineStr">
        <is>
          <t>AM01</t>
        </is>
      </c>
      <c r="F7411" s="5" t="n">
        <v>326.7</v>
      </c>
      <c r="G7411">
        <f>IF(LEFT(B7411,1)="C","Credit","Factuur")</f>
        <v/>
      </c>
      <c r="H7411">
        <f>IF(AND(B7411=B7410,D7411=D7410,A7411=A7410,F7411=F7410),1,0)</f>
        <v/>
      </c>
      <c r="I7411">
        <f>IF(C7411="C99999",1,0)</f>
        <v/>
      </c>
      <c r="J7411" s="5">
        <f>IF(OR(H7411=1,I7411=1),0,IF(G7411="Credit",-F7411,F7411))</f>
        <v/>
      </c>
    </row>
    <row r="7412">
      <c r="A7412" t="inlineStr">
        <is>
          <t>2026-09-09</t>
        </is>
      </c>
      <c r="B7412" t="inlineStr">
        <is>
          <t>F261295</t>
        </is>
      </c>
      <c r="C7412" t="inlineStr">
        <is>
          <t>C10072</t>
        </is>
      </c>
      <c r="D7412" t="inlineStr">
        <is>
          <t>SKU-10036</t>
        </is>
      </c>
      <c r="E7412" t="inlineStr">
        <is>
          <t>AM08</t>
        </is>
      </c>
      <c r="F7412" s="5" t="n">
        <v>753.95</v>
      </c>
      <c r="G7412">
        <f>IF(LEFT(B7412,1)="C","Credit","Factuur")</f>
        <v/>
      </c>
      <c r="H7412">
        <f>IF(AND(B7412=B7411,D7412=D7411,A7412=A7411,F7412=F7411),1,0)</f>
        <v/>
      </c>
      <c r="I7412">
        <f>IF(C7412="C99999",1,0)</f>
        <v/>
      </c>
      <c r="J7412" s="5">
        <f>IF(OR(H7412=1,I7412=1),0,IF(G7412="Credit",-F7412,F7412))</f>
        <v/>
      </c>
    </row>
    <row r="7413">
      <c r="A7413" t="inlineStr">
        <is>
          <t>2026-09-09</t>
        </is>
      </c>
      <c r="B7413" t="inlineStr">
        <is>
          <t>F261447</t>
        </is>
      </c>
      <c r="C7413" t="inlineStr">
        <is>
          <t>C10077</t>
        </is>
      </c>
      <c r="D7413" t="inlineStr">
        <is>
          <t>SKU-10055</t>
        </is>
      </c>
      <c r="E7413" t="inlineStr">
        <is>
          <t>AM11</t>
        </is>
      </c>
      <c r="F7413" s="5" t="n">
        <v>771.1900000000001</v>
      </c>
      <c r="G7413">
        <f>IF(LEFT(B7413,1)="C","Credit","Factuur")</f>
        <v/>
      </c>
      <c r="H7413">
        <f>IF(AND(B7413=B7412,D7413=D7412,A7413=A7412,F7413=F7412),1,0)</f>
        <v/>
      </c>
      <c r="I7413">
        <f>IF(C7413="C99999",1,0)</f>
        <v/>
      </c>
      <c r="J7413" s="5">
        <f>IF(OR(H7413=1,I7413=1),0,IF(G7413="Credit",-F7413,F7413))</f>
        <v/>
      </c>
    </row>
    <row r="7414">
      <c r="A7414" t="inlineStr">
        <is>
          <t>2026-09-09</t>
        </is>
      </c>
      <c r="B7414" t="inlineStr">
        <is>
          <t>F261447</t>
        </is>
      </c>
      <c r="C7414" t="inlineStr">
        <is>
          <t>C10077</t>
        </is>
      </c>
      <c r="D7414" t="inlineStr">
        <is>
          <t>SKU-10113</t>
        </is>
      </c>
      <c r="E7414" t="inlineStr">
        <is>
          <t>AM11</t>
        </is>
      </c>
      <c r="F7414" s="5" t="n">
        <v>765</v>
      </c>
      <c r="G7414">
        <f>IF(LEFT(B7414,1)="C","Credit","Factuur")</f>
        <v/>
      </c>
      <c r="H7414">
        <f>IF(AND(B7414=B7413,D7414=D7413,A7414=A7413,F7414=F7413),1,0)</f>
        <v/>
      </c>
      <c r="I7414">
        <f>IF(C7414="C99999",1,0)</f>
        <v/>
      </c>
      <c r="J7414" s="5">
        <f>IF(OR(H7414=1,I7414=1),0,IF(G7414="Credit",-F7414,F7414))</f>
        <v/>
      </c>
    </row>
    <row r="7415">
      <c r="A7415" t="inlineStr">
        <is>
          <t>2026-09-09</t>
        </is>
      </c>
      <c r="B7415" t="inlineStr">
        <is>
          <t>F261447</t>
        </is>
      </c>
      <c r="C7415" t="inlineStr">
        <is>
          <t>C10077</t>
        </is>
      </c>
      <c r="D7415" t="inlineStr">
        <is>
          <t>SKU-10176</t>
        </is>
      </c>
      <c r="E7415" t="inlineStr">
        <is>
          <t>AM11</t>
        </is>
      </c>
      <c r="F7415" s="5" t="n">
        <v>784</v>
      </c>
      <c r="G7415">
        <f>IF(LEFT(B7415,1)="C","Credit","Factuur")</f>
        <v/>
      </c>
      <c r="H7415">
        <f>IF(AND(B7415=B7414,D7415=D7414,A7415=A7414,F7415=F7414),1,0)</f>
        <v/>
      </c>
      <c r="I7415">
        <f>IF(C7415="C99999",1,0)</f>
        <v/>
      </c>
      <c r="J7415" s="5">
        <f>IF(OR(H7415=1,I7415=1),0,IF(G7415="Credit",-F7415,F7415))</f>
        <v/>
      </c>
    </row>
    <row r="7416">
      <c r="A7416" t="inlineStr">
        <is>
          <t>2026-09-09</t>
        </is>
      </c>
      <c r="B7416" t="inlineStr">
        <is>
          <t>F261447</t>
        </is>
      </c>
      <c r="C7416" t="inlineStr">
        <is>
          <t>C10077</t>
        </is>
      </c>
      <c r="D7416" t="inlineStr">
        <is>
          <t>SKU-10327</t>
        </is>
      </c>
      <c r="E7416" t="inlineStr">
        <is>
          <t>AM11</t>
        </is>
      </c>
      <c r="F7416" s="5" t="n">
        <v>787.1</v>
      </c>
      <c r="G7416">
        <f>IF(LEFT(B7416,1)="C","Credit","Factuur")</f>
        <v/>
      </c>
      <c r="H7416">
        <f>IF(AND(B7416=B7415,D7416=D7415,A7416=A7415,F7416=F7415),1,0)</f>
        <v/>
      </c>
      <c r="I7416">
        <f>IF(C7416="C99999",1,0)</f>
        <v/>
      </c>
      <c r="J7416" s="5">
        <f>IF(OR(H7416=1,I7416=1),0,IF(G7416="Credit",-F7416,F7416))</f>
        <v/>
      </c>
    </row>
    <row r="7417">
      <c r="A7417" t="inlineStr">
        <is>
          <t>2026-09-09</t>
        </is>
      </c>
      <c r="B7417" t="inlineStr">
        <is>
          <t>F261654</t>
        </is>
      </c>
      <c r="C7417" t="inlineStr">
        <is>
          <t>C10087</t>
        </is>
      </c>
      <c r="D7417" t="inlineStr">
        <is>
          <t>SKU-10050</t>
        </is>
      </c>
      <c r="E7417" t="inlineStr">
        <is>
          <t>AM11</t>
        </is>
      </c>
      <c r="F7417" s="5" t="n">
        <v>213.72</v>
      </c>
      <c r="G7417">
        <f>IF(LEFT(B7417,1)="C","Credit","Factuur")</f>
        <v/>
      </c>
      <c r="H7417">
        <f>IF(AND(B7417=B7416,D7417=D7416,A7417=A7416,F7417=F7416),1,0)</f>
        <v/>
      </c>
      <c r="I7417">
        <f>IF(C7417="C99999",1,0)</f>
        <v/>
      </c>
      <c r="J7417" s="5">
        <f>IF(OR(H7417=1,I7417=1),0,IF(G7417="Credit",-F7417,F7417))</f>
        <v/>
      </c>
    </row>
    <row r="7418">
      <c r="A7418" t="inlineStr">
        <is>
          <t>2026-09-09</t>
        </is>
      </c>
      <c r="B7418" t="inlineStr">
        <is>
          <t>F261654</t>
        </is>
      </c>
      <c r="C7418" t="inlineStr">
        <is>
          <t>C10087</t>
        </is>
      </c>
      <c r="D7418" t="inlineStr">
        <is>
          <t>SKU-10132</t>
        </is>
      </c>
      <c r="E7418" t="inlineStr">
        <is>
          <t>AM11</t>
        </is>
      </c>
      <c r="F7418" s="5" t="n">
        <v>184.54</v>
      </c>
      <c r="G7418">
        <f>IF(LEFT(B7418,1)="C","Credit","Factuur")</f>
        <v/>
      </c>
      <c r="H7418">
        <f>IF(AND(B7418=B7417,D7418=D7417,A7418=A7417,F7418=F7417),1,0)</f>
        <v/>
      </c>
      <c r="I7418">
        <f>IF(C7418="C99999",1,0)</f>
        <v/>
      </c>
      <c r="J7418" s="5">
        <f>IF(OR(H7418=1,I7418=1),0,IF(G7418="Credit",-F7418,F7418))</f>
        <v/>
      </c>
    </row>
    <row r="7419">
      <c r="A7419" t="inlineStr">
        <is>
          <t>2026-09-09</t>
        </is>
      </c>
      <c r="B7419" t="inlineStr">
        <is>
          <t>F261654</t>
        </is>
      </c>
      <c r="C7419" t="inlineStr">
        <is>
          <t>C10087</t>
        </is>
      </c>
      <c r="D7419" t="inlineStr">
        <is>
          <t>SKU-10151</t>
        </is>
      </c>
      <c r="E7419" t="inlineStr">
        <is>
          <t>AM11</t>
        </is>
      </c>
      <c r="F7419" s="5" t="n">
        <v>173.96</v>
      </c>
      <c r="G7419">
        <f>IF(LEFT(B7419,1)="C","Credit","Factuur")</f>
        <v/>
      </c>
      <c r="H7419">
        <f>IF(AND(B7419=B7418,D7419=D7418,A7419=A7418,F7419=F7418),1,0)</f>
        <v/>
      </c>
      <c r="I7419">
        <f>IF(C7419="C99999",1,0)</f>
        <v/>
      </c>
      <c r="J7419" s="5">
        <f>IF(OR(H7419=1,I7419=1),0,IF(G7419="Credit",-F7419,F7419))</f>
        <v/>
      </c>
    </row>
    <row r="7420">
      <c r="A7420" t="inlineStr">
        <is>
          <t>2026-09-09</t>
        </is>
      </c>
      <c r="B7420" t="inlineStr">
        <is>
          <t>F261872</t>
        </is>
      </c>
      <c r="C7420" t="inlineStr">
        <is>
          <t>C10099</t>
        </is>
      </c>
      <c r="D7420" t="inlineStr">
        <is>
          <t>SKU-10166</t>
        </is>
      </c>
      <c r="E7420" t="inlineStr">
        <is>
          <t>AM02</t>
        </is>
      </c>
      <c r="F7420" s="5" t="n">
        <v>482.13</v>
      </c>
      <c r="G7420">
        <f>IF(LEFT(B7420,1)="C","Credit","Factuur")</f>
        <v/>
      </c>
      <c r="H7420">
        <f>IF(AND(B7420=B7419,D7420=D7419,A7420=A7419,F7420=F7419),1,0)</f>
        <v/>
      </c>
      <c r="I7420">
        <f>IF(C7420="C99999",1,0)</f>
        <v/>
      </c>
      <c r="J7420" s="5">
        <f>IF(OR(H7420=1,I7420=1),0,IF(G7420="Credit",-F7420,F7420))</f>
        <v/>
      </c>
    </row>
    <row r="7421">
      <c r="A7421" t="inlineStr">
        <is>
          <t>2026-09-09</t>
        </is>
      </c>
      <c r="B7421" t="inlineStr">
        <is>
          <t>F261872</t>
        </is>
      </c>
      <c r="C7421" t="inlineStr">
        <is>
          <t>C10099</t>
        </is>
      </c>
      <c r="D7421" t="inlineStr">
        <is>
          <t>SKU-10357</t>
        </is>
      </c>
      <c r="E7421" t="inlineStr">
        <is>
          <t>AM02</t>
        </is>
      </c>
      <c r="F7421" s="5" t="n">
        <v>464.66</v>
      </c>
      <c r="G7421">
        <f>IF(LEFT(B7421,1)="C","Credit","Factuur")</f>
        <v/>
      </c>
      <c r="H7421">
        <f>IF(AND(B7421=B7420,D7421=D7420,A7421=A7420,F7421=F7420),1,0)</f>
        <v/>
      </c>
      <c r="I7421">
        <f>IF(C7421="C99999",1,0)</f>
        <v/>
      </c>
      <c r="J7421" s="5">
        <f>IF(OR(H7421=1,I7421=1),0,IF(G7421="Credit",-F7421,F7421))</f>
        <v/>
      </c>
    </row>
    <row r="7422">
      <c r="A7422" t="inlineStr">
        <is>
          <t>2026-09-09</t>
        </is>
      </c>
      <c r="B7422" t="inlineStr">
        <is>
          <t>F262448</t>
        </is>
      </c>
      <c r="C7422" t="inlineStr">
        <is>
          <t>C10130</t>
        </is>
      </c>
      <c r="D7422" t="inlineStr">
        <is>
          <t>SKU-10061</t>
        </is>
      </c>
      <c r="E7422" t="inlineStr">
        <is>
          <t>AM01</t>
        </is>
      </c>
      <c r="F7422" s="5" t="n">
        <v>502.74</v>
      </c>
      <c r="G7422">
        <f>IF(LEFT(B7422,1)="C","Credit","Factuur")</f>
        <v/>
      </c>
      <c r="H7422">
        <f>IF(AND(B7422=B7421,D7422=D7421,A7422=A7421,F7422=F7421),1,0)</f>
        <v/>
      </c>
      <c r="I7422">
        <f>IF(C7422="C99999",1,0)</f>
        <v/>
      </c>
      <c r="J7422" s="5">
        <f>IF(OR(H7422=1,I7422=1),0,IF(G7422="Credit",-F7422,F7422))</f>
        <v/>
      </c>
    </row>
    <row r="7423">
      <c r="A7423" t="inlineStr">
        <is>
          <t>2026-09-09</t>
        </is>
      </c>
      <c r="B7423" t="inlineStr">
        <is>
          <t>F262475</t>
        </is>
      </c>
      <c r="C7423" t="inlineStr">
        <is>
          <t>C10131</t>
        </is>
      </c>
      <c r="D7423" t="inlineStr">
        <is>
          <t>SKU-10030</t>
        </is>
      </c>
      <c r="E7423" t="inlineStr">
        <is>
          <t>AM11</t>
        </is>
      </c>
      <c r="F7423" s="5" t="n">
        <v>108.81</v>
      </c>
      <c r="G7423">
        <f>IF(LEFT(B7423,1)="C","Credit","Factuur")</f>
        <v/>
      </c>
      <c r="H7423">
        <f>IF(AND(B7423=B7422,D7423=D7422,A7423=A7422,F7423=F7422),1,0)</f>
        <v/>
      </c>
      <c r="I7423">
        <f>IF(C7423="C99999",1,0)</f>
        <v/>
      </c>
      <c r="J7423" s="5">
        <f>IF(OR(H7423=1,I7423=1),0,IF(G7423="Credit",-F7423,F7423))</f>
        <v/>
      </c>
    </row>
    <row r="7424">
      <c r="A7424" t="inlineStr">
        <is>
          <t>2026-09-09</t>
        </is>
      </c>
      <c r="B7424" t="inlineStr">
        <is>
          <t>F262475</t>
        </is>
      </c>
      <c r="C7424" t="inlineStr">
        <is>
          <t>C10131</t>
        </is>
      </c>
      <c r="D7424" t="inlineStr">
        <is>
          <t>SKU-10096</t>
        </is>
      </c>
      <c r="E7424" t="inlineStr">
        <is>
          <t>AM11</t>
        </is>
      </c>
      <c r="F7424" s="5" t="n">
        <v>108.7</v>
      </c>
      <c r="G7424">
        <f>IF(LEFT(B7424,1)="C","Credit","Factuur")</f>
        <v/>
      </c>
      <c r="H7424">
        <f>IF(AND(B7424=B7423,D7424=D7423,A7424=A7423,F7424=F7423),1,0)</f>
        <v/>
      </c>
      <c r="I7424">
        <f>IF(C7424="C99999",1,0)</f>
        <v/>
      </c>
      <c r="J7424" s="5">
        <f>IF(OR(H7424=1,I7424=1),0,IF(G7424="Credit",-F7424,F7424))</f>
        <v/>
      </c>
    </row>
    <row r="7425">
      <c r="A7425" t="inlineStr">
        <is>
          <t>2026-09-09</t>
        </is>
      </c>
      <c r="B7425" t="inlineStr">
        <is>
          <t>F262475</t>
        </is>
      </c>
      <c r="C7425" t="inlineStr">
        <is>
          <t>C10131</t>
        </is>
      </c>
      <c r="D7425" t="inlineStr">
        <is>
          <t>SKU-10157</t>
        </is>
      </c>
      <c r="E7425" t="inlineStr">
        <is>
          <t>AM11</t>
        </is>
      </c>
      <c r="F7425" s="5" t="n">
        <v>102.29</v>
      </c>
      <c r="G7425">
        <f>IF(LEFT(B7425,1)="C","Credit","Factuur")</f>
        <v/>
      </c>
      <c r="H7425">
        <f>IF(AND(B7425=B7424,D7425=D7424,A7425=A7424,F7425=F7424),1,0)</f>
        <v/>
      </c>
      <c r="I7425">
        <f>IF(C7425="C99999",1,0)</f>
        <v/>
      </c>
      <c r="J7425" s="5">
        <f>IF(OR(H7425=1,I7425=1),0,IF(G7425="Credit",-F7425,F7425))</f>
        <v/>
      </c>
    </row>
    <row r="7426">
      <c r="A7426" t="inlineStr">
        <is>
          <t>2026-09-09</t>
        </is>
      </c>
      <c r="B7426" t="inlineStr">
        <is>
          <t>F262475</t>
        </is>
      </c>
      <c r="C7426" t="inlineStr">
        <is>
          <t>C10131</t>
        </is>
      </c>
      <c r="D7426" t="inlineStr">
        <is>
          <t>SKU-10168</t>
        </is>
      </c>
      <c r="E7426" t="inlineStr">
        <is>
          <t>AM11</t>
        </is>
      </c>
      <c r="F7426" s="5" t="n">
        <v>88.69</v>
      </c>
      <c r="G7426">
        <f>IF(LEFT(B7426,1)="C","Credit","Factuur")</f>
        <v/>
      </c>
      <c r="H7426">
        <f>IF(AND(B7426=B7425,D7426=D7425,A7426=A7425,F7426=F7425),1,0)</f>
        <v/>
      </c>
      <c r="I7426">
        <f>IF(C7426="C99999",1,0)</f>
        <v/>
      </c>
      <c r="J7426" s="5">
        <f>IF(OR(H7426=1,I7426=1),0,IF(G7426="Credit",-F7426,F7426))</f>
        <v/>
      </c>
    </row>
    <row r="7427">
      <c r="A7427" t="inlineStr">
        <is>
          <t>2026-09-09</t>
        </is>
      </c>
      <c r="B7427" t="inlineStr">
        <is>
          <t>F262475</t>
        </is>
      </c>
      <c r="C7427" t="inlineStr">
        <is>
          <t>C10131</t>
        </is>
      </c>
      <c r="D7427" t="inlineStr">
        <is>
          <t>SKU-10261</t>
        </is>
      </c>
      <c r="E7427" t="inlineStr">
        <is>
          <t>AM11</t>
        </is>
      </c>
      <c r="F7427" s="5" t="n">
        <v>98.73999999999999</v>
      </c>
      <c r="G7427">
        <f>IF(LEFT(B7427,1)="C","Credit","Factuur")</f>
        <v/>
      </c>
      <c r="H7427">
        <f>IF(AND(B7427=B7426,D7427=D7426,A7427=A7426,F7427=F7426),1,0)</f>
        <v/>
      </c>
      <c r="I7427">
        <f>IF(C7427="C99999",1,0)</f>
        <v/>
      </c>
      <c r="J7427" s="5">
        <f>IF(OR(H7427=1,I7427=1),0,IF(G7427="Credit",-F7427,F7427))</f>
        <v/>
      </c>
    </row>
    <row r="7428">
      <c r="A7428" t="inlineStr">
        <is>
          <t>2026-09-09</t>
        </is>
      </c>
      <c r="B7428" t="inlineStr">
        <is>
          <t>F262475</t>
        </is>
      </c>
      <c r="C7428" t="inlineStr">
        <is>
          <t>C10131</t>
        </is>
      </c>
      <c r="D7428" t="inlineStr">
        <is>
          <t>SKU-10269</t>
        </is>
      </c>
      <c r="E7428" t="inlineStr">
        <is>
          <t>AM11</t>
        </is>
      </c>
      <c r="F7428" s="5" t="n">
        <v>115.44</v>
      </c>
      <c r="G7428">
        <f>IF(LEFT(B7428,1)="C","Credit","Factuur")</f>
        <v/>
      </c>
      <c r="H7428">
        <f>IF(AND(B7428=B7427,D7428=D7427,A7428=A7427,F7428=F7427),1,0)</f>
        <v/>
      </c>
      <c r="I7428">
        <f>IF(C7428="C99999",1,0)</f>
        <v/>
      </c>
      <c r="J7428" s="5">
        <f>IF(OR(H7428=1,I7428=1),0,IF(G7428="Credit",-F7428,F7428))</f>
        <v/>
      </c>
    </row>
    <row r="7429">
      <c r="A7429" t="inlineStr">
        <is>
          <t>2026-09-09</t>
        </is>
      </c>
      <c r="B7429" t="inlineStr">
        <is>
          <t>F262492</t>
        </is>
      </c>
      <c r="C7429" t="inlineStr">
        <is>
          <t>C10132</t>
        </is>
      </c>
      <c r="D7429" t="inlineStr">
        <is>
          <t>SKU-10020</t>
        </is>
      </c>
      <c r="E7429" t="inlineStr">
        <is>
          <t>AM05</t>
        </is>
      </c>
      <c r="F7429" s="5" t="n">
        <v>1058.15</v>
      </c>
      <c r="G7429">
        <f>IF(LEFT(B7429,1)="C","Credit","Factuur")</f>
        <v/>
      </c>
      <c r="H7429">
        <f>IF(AND(B7429=B7428,D7429=D7428,A7429=A7428,F7429=F7428),1,0)</f>
        <v/>
      </c>
      <c r="I7429">
        <f>IF(C7429="C99999",1,0)</f>
        <v/>
      </c>
      <c r="J7429" s="5">
        <f>IF(OR(H7429=1,I7429=1),0,IF(G7429="Credit",-F7429,F7429))</f>
        <v/>
      </c>
    </row>
    <row r="7430">
      <c r="A7430" t="inlineStr">
        <is>
          <t>2026-09-09</t>
        </is>
      </c>
      <c r="B7430" t="inlineStr">
        <is>
          <t>F262492</t>
        </is>
      </c>
      <c r="C7430" t="inlineStr">
        <is>
          <t>C10132</t>
        </is>
      </c>
      <c r="D7430" t="inlineStr">
        <is>
          <t>SKU-10144</t>
        </is>
      </c>
      <c r="E7430" t="inlineStr">
        <is>
          <t>AM05</t>
        </is>
      </c>
      <c r="F7430" s="5" t="n">
        <v>1184.2</v>
      </c>
      <c r="G7430">
        <f>IF(LEFT(B7430,1)="C","Credit","Factuur")</f>
        <v/>
      </c>
      <c r="H7430">
        <f>IF(AND(B7430=B7429,D7430=D7429,A7430=A7429,F7430=F7429),1,0)</f>
        <v/>
      </c>
      <c r="I7430">
        <f>IF(C7430="C99999",1,0)</f>
        <v/>
      </c>
      <c r="J7430" s="5">
        <f>IF(OR(H7430=1,I7430=1),0,IF(G7430="Credit",-F7430,F7430))</f>
        <v/>
      </c>
    </row>
    <row r="7431">
      <c r="A7431" t="inlineStr">
        <is>
          <t>2026-09-09</t>
        </is>
      </c>
      <c r="B7431" t="inlineStr">
        <is>
          <t>F262492</t>
        </is>
      </c>
      <c r="C7431" t="inlineStr">
        <is>
          <t>C10132</t>
        </is>
      </c>
      <c r="D7431" t="inlineStr">
        <is>
          <t>SKU-10193</t>
        </is>
      </c>
      <c r="E7431" t="inlineStr">
        <is>
          <t>AM05</t>
        </is>
      </c>
      <c r="F7431" s="5" t="n">
        <v>1081.56</v>
      </c>
      <c r="G7431">
        <f>IF(LEFT(B7431,1)="C","Credit","Factuur")</f>
        <v/>
      </c>
      <c r="H7431">
        <f>IF(AND(B7431=B7430,D7431=D7430,A7431=A7430,F7431=F7430),1,0)</f>
        <v/>
      </c>
      <c r="I7431">
        <f>IF(C7431="C99999",1,0)</f>
        <v/>
      </c>
      <c r="J7431" s="5">
        <f>IF(OR(H7431=1,I7431=1),0,IF(G7431="Credit",-F7431,F7431))</f>
        <v/>
      </c>
    </row>
    <row r="7432">
      <c r="A7432" t="inlineStr">
        <is>
          <t>2026-09-09</t>
        </is>
      </c>
      <c r="B7432" t="inlineStr">
        <is>
          <t>F262742</t>
        </is>
      </c>
      <c r="C7432" t="inlineStr">
        <is>
          <t>C10148</t>
        </is>
      </c>
      <c r="D7432" t="inlineStr">
        <is>
          <t>SKU-10041</t>
        </is>
      </c>
      <c r="E7432" t="inlineStr">
        <is>
          <t>AM09</t>
        </is>
      </c>
      <c r="F7432" s="5" t="n">
        <v>986.87</v>
      </c>
      <c r="G7432">
        <f>IF(LEFT(B7432,1)="C","Credit","Factuur")</f>
        <v/>
      </c>
      <c r="H7432">
        <f>IF(AND(B7432=B7431,D7432=D7431,A7432=A7431,F7432=F7431),1,0)</f>
        <v/>
      </c>
      <c r="I7432">
        <f>IF(C7432="C99999",1,0)</f>
        <v/>
      </c>
      <c r="J7432" s="5">
        <f>IF(OR(H7432=1,I7432=1),0,IF(G7432="Credit",-F7432,F7432))</f>
        <v/>
      </c>
    </row>
    <row r="7433">
      <c r="A7433" t="inlineStr">
        <is>
          <t>2026-09-09</t>
        </is>
      </c>
      <c r="B7433" t="inlineStr">
        <is>
          <t>F262742</t>
        </is>
      </c>
      <c r="C7433" t="inlineStr">
        <is>
          <t>C10148</t>
        </is>
      </c>
      <c r="D7433" t="inlineStr">
        <is>
          <t>SKU-10074</t>
        </is>
      </c>
      <c r="E7433" t="inlineStr">
        <is>
          <t>AM09</t>
        </is>
      </c>
      <c r="F7433" s="5" t="n">
        <v>1116.99</v>
      </c>
      <c r="G7433">
        <f>IF(LEFT(B7433,1)="C","Credit","Factuur")</f>
        <v/>
      </c>
      <c r="H7433">
        <f>IF(AND(B7433=B7432,D7433=D7432,A7433=A7432,F7433=F7432),1,0)</f>
        <v/>
      </c>
      <c r="I7433">
        <f>IF(C7433="C99999",1,0)</f>
        <v/>
      </c>
      <c r="J7433" s="5">
        <f>IF(OR(H7433=1,I7433=1),0,IF(G7433="Credit",-F7433,F7433))</f>
        <v/>
      </c>
    </row>
    <row r="7434">
      <c r="A7434" t="inlineStr">
        <is>
          <t>2026-09-09</t>
        </is>
      </c>
      <c r="B7434" t="inlineStr">
        <is>
          <t>F262742</t>
        </is>
      </c>
      <c r="C7434" t="inlineStr">
        <is>
          <t>C10148</t>
        </is>
      </c>
      <c r="D7434" t="inlineStr">
        <is>
          <t>SKU-10145</t>
        </is>
      </c>
      <c r="E7434" t="inlineStr">
        <is>
          <t>AM09</t>
        </is>
      </c>
      <c r="F7434" s="5" t="n">
        <v>965.36</v>
      </c>
      <c r="G7434">
        <f>IF(LEFT(B7434,1)="C","Credit","Factuur")</f>
        <v/>
      </c>
      <c r="H7434">
        <f>IF(AND(B7434=B7433,D7434=D7433,A7434=A7433,F7434=F7433),1,0)</f>
        <v/>
      </c>
      <c r="I7434">
        <f>IF(C7434="C99999",1,0)</f>
        <v/>
      </c>
      <c r="J7434" s="5">
        <f>IF(OR(H7434=1,I7434=1),0,IF(G7434="Credit",-F7434,F7434))</f>
        <v/>
      </c>
    </row>
    <row r="7435">
      <c r="A7435" t="inlineStr">
        <is>
          <t>2026-09-09</t>
        </is>
      </c>
      <c r="B7435" t="inlineStr">
        <is>
          <t>F262742</t>
        </is>
      </c>
      <c r="C7435" t="inlineStr">
        <is>
          <t>C10148</t>
        </is>
      </c>
      <c r="D7435" t="inlineStr">
        <is>
          <t>SKU-10230</t>
        </is>
      </c>
      <c r="E7435" t="inlineStr">
        <is>
          <t>AM09</t>
        </is>
      </c>
      <c r="F7435" s="5" t="n">
        <v>1120.14</v>
      </c>
      <c r="G7435">
        <f>IF(LEFT(B7435,1)="C","Credit","Factuur")</f>
        <v/>
      </c>
      <c r="H7435">
        <f>IF(AND(B7435=B7434,D7435=D7434,A7435=A7434,F7435=F7434),1,0)</f>
        <v/>
      </c>
      <c r="I7435">
        <f>IF(C7435="C99999",1,0)</f>
        <v/>
      </c>
      <c r="J7435" s="5">
        <f>IF(OR(H7435=1,I7435=1),0,IF(G7435="Credit",-F7435,F7435))</f>
        <v/>
      </c>
    </row>
    <row r="7436">
      <c r="A7436" t="inlineStr">
        <is>
          <t>2026-09-09</t>
        </is>
      </c>
      <c r="B7436" t="inlineStr">
        <is>
          <t>F262742</t>
        </is>
      </c>
      <c r="C7436" t="inlineStr">
        <is>
          <t>C10148</t>
        </is>
      </c>
      <c r="D7436" t="inlineStr">
        <is>
          <t>SKU-10234</t>
        </is>
      </c>
      <c r="E7436" t="inlineStr">
        <is>
          <t>AM09</t>
        </is>
      </c>
      <c r="F7436" s="5" t="n">
        <v>1063.39</v>
      </c>
      <c r="G7436">
        <f>IF(LEFT(B7436,1)="C","Credit","Factuur")</f>
        <v/>
      </c>
      <c r="H7436">
        <f>IF(AND(B7436=B7435,D7436=D7435,A7436=A7435,F7436=F7435),1,0)</f>
        <v/>
      </c>
      <c r="I7436">
        <f>IF(C7436="C99999",1,0)</f>
        <v/>
      </c>
      <c r="J7436" s="5">
        <f>IF(OR(H7436=1,I7436=1),0,IF(G7436="Credit",-F7436,F7436))</f>
        <v/>
      </c>
    </row>
    <row r="7437">
      <c r="A7437" t="inlineStr">
        <is>
          <t>2026-09-09</t>
        </is>
      </c>
      <c r="B7437" t="inlineStr">
        <is>
          <t>F262879</t>
        </is>
      </c>
      <c r="C7437" t="inlineStr">
        <is>
          <t>C10156</t>
        </is>
      </c>
      <c r="D7437" t="inlineStr">
        <is>
          <t>SKU-10025</t>
        </is>
      </c>
      <c r="E7437" t="inlineStr">
        <is>
          <t>AM03</t>
        </is>
      </c>
      <c r="F7437" s="5" t="n">
        <v>391.56</v>
      </c>
      <c r="G7437">
        <f>IF(LEFT(B7437,1)="C","Credit","Factuur")</f>
        <v/>
      </c>
      <c r="H7437">
        <f>IF(AND(B7437=B7436,D7437=D7436,A7437=A7436,F7437=F7436),1,0)</f>
        <v/>
      </c>
      <c r="I7437">
        <f>IF(C7437="C99999",1,0)</f>
        <v/>
      </c>
      <c r="J7437" s="5">
        <f>IF(OR(H7437=1,I7437=1),0,IF(G7437="Credit",-F7437,F7437))</f>
        <v/>
      </c>
    </row>
    <row r="7438">
      <c r="A7438" t="inlineStr">
        <is>
          <t>2026-09-09</t>
        </is>
      </c>
      <c r="B7438" t="inlineStr">
        <is>
          <t>F262879</t>
        </is>
      </c>
      <c r="C7438" t="inlineStr">
        <is>
          <t>C10156</t>
        </is>
      </c>
      <c r="D7438" t="inlineStr">
        <is>
          <t>SKU-10032</t>
        </is>
      </c>
      <c r="E7438" t="inlineStr">
        <is>
          <t>AM03</t>
        </is>
      </c>
      <c r="F7438" s="5" t="n">
        <v>380.71</v>
      </c>
      <c r="G7438">
        <f>IF(LEFT(B7438,1)="C","Credit","Factuur")</f>
        <v/>
      </c>
      <c r="H7438">
        <f>IF(AND(B7438=B7437,D7438=D7437,A7438=A7437,F7438=F7437),1,0)</f>
        <v/>
      </c>
      <c r="I7438">
        <f>IF(C7438="C99999",1,0)</f>
        <v/>
      </c>
      <c r="J7438" s="5">
        <f>IF(OR(H7438=1,I7438=1),0,IF(G7438="Credit",-F7438,F7438))</f>
        <v/>
      </c>
    </row>
    <row r="7439">
      <c r="A7439" t="inlineStr">
        <is>
          <t>2026-09-09</t>
        </is>
      </c>
      <c r="B7439" t="inlineStr">
        <is>
          <t>F262879</t>
        </is>
      </c>
      <c r="C7439" t="inlineStr">
        <is>
          <t>C10156</t>
        </is>
      </c>
      <c r="D7439" t="inlineStr">
        <is>
          <t>SKU-10239</t>
        </is>
      </c>
      <c r="E7439" t="inlineStr">
        <is>
          <t>AM03</t>
        </is>
      </c>
      <c r="F7439" s="5" t="n">
        <v>364.08</v>
      </c>
      <c r="G7439">
        <f>IF(LEFT(B7439,1)="C","Credit","Factuur")</f>
        <v/>
      </c>
      <c r="H7439">
        <f>IF(AND(B7439=B7438,D7439=D7438,A7439=A7438,F7439=F7438),1,0)</f>
        <v/>
      </c>
      <c r="I7439">
        <f>IF(C7439="C99999",1,0)</f>
        <v/>
      </c>
      <c r="J7439" s="5">
        <f>IF(OR(H7439=1,I7439=1),0,IF(G7439="Credit",-F7439,F7439))</f>
        <v/>
      </c>
    </row>
    <row r="7440">
      <c r="A7440" t="inlineStr">
        <is>
          <t>2026-09-09</t>
        </is>
      </c>
      <c r="B7440" t="inlineStr">
        <is>
          <t>F262879</t>
        </is>
      </c>
      <c r="C7440" t="inlineStr">
        <is>
          <t>C10156</t>
        </is>
      </c>
      <c r="D7440" t="inlineStr">
        <is>
          <t>SKU-10258</t>
        </is>
      </c>
      <c r="E7440" t="inlineStr"/>
      <c r="F7440" s="5" t="n">
        <v>393.07</v>
      </c>
      <c r="G7440">
        <f>IF(LEFT(B7440,1)="C","Credit","Factuur")</f>
        <v/>
      </c>
      <c r="H7440">
        <f>IF(AND(B7440=B7439,D7440=D7439,A7440=A7439,F7440=F7439),1,0)</f>
        <v/>
      </c>
      <c r="I7440">
        <f>IF(C7440="C99999",1,0)</f>
        <v/>
      </c>
      <c r="J7440" s="5">
        <f>IF(OR(H7440=1,I7440=1),0,IF(G7440="Credit",-F7440,F7440))</f>
        <v/>
      </c>
    </row>
    <row r="7441">
      <c r="A7441" t="inlineStr">
        <is>
          <t>2026-09-09</t>
        </is>
      </c>
      <c r="B7441" t="inlineStr">
        <is>
          <t>F262879</t>
        </is>
      </c>
      <c r="C7441" t="inlineStr">
        <is>
          <t>C10156</t>
        </is>
      </c>
      <c r="D7441" t="inlineStr">
        <is>
          <t>SKU-10327</t>
        </is>
      </c>
      <c r="E7441" t="inlineStr">
        <is>
          <t>AM03</t>
        </is>
      </c>
      <c r="F7441" s="5" t="n">
        <v>393.55</v>
      </c>
      <c r="G7441">
        <f>IF(LEFT(B7441,1)="C","Credit","Factuur")</f>
        <v/>
      </c>
      <c r="H7441">
        <f>IF(AND(B7441=B7440,D7441=D7440,A7441=A7440,F7441=F7440),1,0)</f>
        <v/>
      </c>
      <c r="I7441">
        <f>IF(C7441="C99999",1,0)</f>
        <v/>
      </c>
      <c r="J7441" s="5">
        <f>IF(OR(H7441=1,I7441=1),0,IF(G7441="Credit",-F7441,F7441))</f>
        <v/>
      </c>
    </row>
    <row r="7442">
      <c r="A7442" t="inlineStr">
        <is>
          <t>2026-09-09</t>
        </is>
      </c>
      <c r="B7442" t="inlineStr">
        <is>
          <t>F263004</t>
        </is>
      </c>
      <c r="C7442" t="inlineStr">
        <is>
          <t>C10161</t>
        </is>
      </c>
      <c r="D7442" t="inlineStr">
        <is>
          <t>SKU-10020</t>
        </is>
      </c>
      <c r="E7442" t="inlineStr">
        <is>
          <t>AM08</t>
        </is>
      </c>
      <c r="F7442" s="5" t="n">
        <v>265.2</v>
      </c>
      <c r="G7442">
        <f>IF(LEFT(B7442,1)="C","Credit","Factuur")</f>
        <v/>
      </c>
      <c r="H7442">
        <f>IF(AND(B7442=B7441,D7442=D7441,A7442=A7441,F7442=F7441),1,0)</f>
        <v/>
      </c>
      <c r="I7442">
        <f>IF(C7442="C99999",1,0)</f>
        <v/>
      </c>
      <c r="J7442" s="5">
        <f>IF(OR(H7442=1,I7442=1),0,IF(G7442="Credit",-F7442,F7442))</f>
        <v/>
      </c>
    </row>
    <row r="7443">
      <c r="A7443" t="inlineStr">
        <is>
          <t>2026-09-09</t>
        </is>
      </c>
      <c r="B7443" t="inlineStr">
        <is>
          <t>F263004</t>
        </is>
      </c>
      <c r="C7443" t="inlineStr">
        <is>
          <t>C10161</t>
        </is>
      </c>
      <c r="D7443" t="inlineStr">
        <is>
          <t>SKU-10091</t>
        </is>
      </c>
      <c r="E7443" t="inlineStr">
        <is>
          <t>AM08</t>
        </is>
      </c>
      <c r="F7443" s="5" t="n">
        <v>234.86</v>
      </c>
      <c r="G7443">
        <f>IF(LEFT(B7443,1)="C","Credit","Factuur")</f>
        <v/>
      </c>
      <c r="H7443">
        <f>IF(AND(B7443=B7442,D7443=D7442,A7443=A7442,F7443=F7442),1,0)</f>
        <v/>
      </c>
      <c r="I7443">
        <f>IF(C7443="C99999",1,0)</f>
        <v/>
      </c>
      <c r="J7443" s="5">
        <f>IF(OR(H7443=1,I7443=1),0,IF(G7443="Credit",-F7443,F7443))</f>
        <v/>
      </c>
    </row>
    <row r="7444">
      <c r="A7444" t="inlineStr">
        <is>
          <t>2026-09-09</t>
        </is>
      </c>
      <c r="B7444" t="inlineStr">
        <is>
          <t>F263004</t>
        </is>
      </c>
      <c r="C7444" t="inlineStr">
        <is>
          <t>C10161</t>
        </is>
      </c>
      <c r="D7444" t="inlineStr">
        <is>
          <t>SKU-10145</t>
        </is>
      </c>
      <c r="E7444" t="inlineStr">
        <is>
          <t>AM08</t>
        </is>
      </c>
      <c r="F7444" s="5" t="n">
        <v>238.36</v>
      </c>
      <c r="G7444">
        <f>IF(LEFT(B7444,1)="C","Credit","Factuur")</f>
        <v/>
      </c>
      <c r="H7444">
        <f>IF(AND(B7444=B7443,D7444=D7443,A7444=A7443,F7444=F7443),1,0)</f>
        <v/>
      </c>
      <c r="I7444">
        <f>IF(C7444="C99999",1,0)</f>
        <v/>
      </c>
      <c r="J7444" s="5">
        <f>IF(OR(H7444=1,I7444=1),0,IF(G7444="Credit",-F7444,F7444))</f>
        <v/>
      </c>
    </row>
    <row r="7445">
      <c r="A7445" t="inlineStr">
        <is>
          <t>2026-09-09</t>
        </is>
      </c>
      <c r="B7445" t="inlineStr">
        <is>
          <t>F263004</t>
        </is>
      </c>
      <c r="C7445" t="inlineStr">
        <is>
          <t>C10161</t>
        </is>
      </c>
      <c r="D7445" t="inlineStr">
        <is>
          <t>SKU-10156</t>
        </is>
      </c>
      <c r="E7445" t="inlineStr">
        <is>
          <t>AM08</t>
        </is>
      </c>
      <c r="F7445" s="5" t="n">
        <v>255.82</v>
      </c>
      <c r="G7445">
        <f>IF(LEFT(B7445,1)="C","Credit","Factuur")</f>
        <v/>
      </c>
      <c r="H7445">
        <f>IF(AND(B7445=B7444,D7445=D7444,A7445=A7444,F7445=F7444),1,0)</f>
        <v/>
      </c>
      <c r="I7445">
        <f>IF(C7445="C99999",1,0)</f>
        <v/>
      </c>
      <c r="J7445" s="5">
        <f>IF(OR(H7445=1,I7445=1),0,IF(G7445="Credit",-F7445,F7445))</f>
        <v/>
      </c>
    </row>
    <row r="7446">
      <c r="A7446" t="inlineStr">
        <is>
          <t>2026-09-09</t>
        </is>
      </c>
      <c r="B7446" t="inlineStr">
        <is>
          <t>F263004</t>
        </is>
      </c>
      <c r="C7446" t="inlineStr">
        <is>
          <t>C10161</t>
        </is>
      </c>
      <c r="D7446" t="inlineStr">
        <is>
          <t>SKU-10165</t>
        </is>
      </c>
      <c r="E7446" t="inlineStr">
        <is>
          <t>AM08</t>
        </is>
      </c>
      <c r="F7446" s="5" t="n">
        <v>275.04</v>
      </c>
      <c r="G7446">
        <f>IF(LEFT(B7446,1)="C","Credit","Factuur")</f>
        <v/>
      </c>
      <c r="H7446">
        <f>IF(AND(B7446=B7445,D7446=D7445,A7446=A7445,F7446=F7445),1,0)</f>
        <v/>
      </c>
      <c r="I7446">
        <f>IF(C7446="C99999",1,0)</f>
        <v/>
      </c>
      <c r="J7446" s="5">
        <f>IF(OR(H7446=1,I7446=1),0,IF(G7446="Credit",-F7446,F7446))</f>
        <v/>
      </c>
    </row>
    <row r="7447">
      <c r="A7447" t="inlineStr">
        <is>
          <t>2026-09-09</t>
        </is>
      </c>
      <c r="B7447" t="inlineStr">
        <is>
          <t>F263043</t>
        </is>
      </c>
      <c r="C7447" t="inlineStr">
        <is>
          <t>C10163</t>
        </is>
      </c>
      <c r="D7447" t="inlineStr">
        <is>
          <t>SKU-10006</t>
        </is>
      </c>
      <c r="E7447" t="inlineStr">
        <is>
          <t>AM03</t>
        </is>
      </c>
      <c r="F7447" s="5" t="n">
        <v>863.97</v>
      </c>
      <c r="G7447">
        <f>IF(LEFT(B7447,1)="C","Credit","Factuur")</f>
        <v/>
      </c>
      <c r="H7447">
        <f>IF(AND(B7447=B7446,D7447=D7446,A7447=A7446,F7447=F7446),1,0)</f>
        <v/>
      </c>
      <c r="I7447">
        <f>IF(C7447="C99999",1,0)</f>
        <v/>
      </c>
      <c r="J7447" s="5">
        <f>IF(OR(H7447=1,I7447=1),0,IF(G7447="Credit",-F7447,F7447))</f>
        <v/>
      </c>
    </row>
    <row r="7448">
      <c r="A7448" t="inlineStr">
        <is>
          <t>2026-09-09</t>
        </is>
      </c>
      <c r="B7448" t="inlineStr">
        <is>
          <t>F263043</t>
        </is>
      </c>
      <c r="C7448" t="inlineStr">
        <is>
          <t>C10163</t>
        </is>
      </c>
      <c r="D7448" t="inlineStr">
        <is>
          <t>SKU-10281</t>
        </is>
      </c>
      <c r="E7448" t="inlineStr">
        <is>
          <t>AM03</t>
        </is>
      </c>
      <c r="F7448" s="5" t="n">
        <v>905.13</v>
      </c>
      <c r="G7448">
        <f>IF(LEFT(B7448,1)="C","Credit","Factuur")</f>
        <v/>
      </c>
      <c r="H7448">
        <f>IF(AND(B7448=B7447,D7448=D7447,A7448=A7447,F7448=F7447),1,0)</f>
        <v/>
      </c>
      <c r="I7448">
        <f>IF(C7448="C99999",1,0)</f>
        <v/>
      </c>
      <c r="J7448" s="5">
        <f>IF(OR(H7448=1,I7448=1),0,IF(G7448="Credit",-F7448,F7448))</f>
        <v/>
      </c>
    </row>
    <row r="7449">
      <c r="A7449" t="inlineStr">
        <is>
          <t>2026-09-09</t>
        </is>
      </c>
      <c r="B7449" t="inlineStr">
        <is>
          <t>F264387</t>
        </is>
      </c>
      <c r="C7449" t="inlineStr">
        <is>
          <t>C10228</t>
        </is>
      </c>
      <c r="D7449" t="inlineStr">
        <is>
          <t>SKU-10106</t>
        </is>
      </c>
      <c r="E7449" t="inlineStr">
        <is>
          <t>AM02</t>
        </is>
      </c>
      <c r="F7449" s="5" t="n">
        <v>278.91</v>
      </c>
      <c r="G7449">
        <f>IF(LEFT(B7449,1)="C","Credit","Factuur")</f>
        <v/>
      </c>
      <c r="H7449">
        <f>IF(AND(B7449=B7448,D7449=D7448,A7449=A7448,F7449=F7448),1,0)</f>
        <v/>
      </c>
      <c r="I7449">
        <f>IF(C7449="C99999",1,0)</f>
        <v/>
      </c>
      <c r="J7449" s="5">
        <f>IF(OR(H7449=1,I7449=1),0,IF(G7449="Credit",-F7449,F7449))</f>
        <v/>
      </c>
    </row>
    <row r="7450">
      <c r="A7450" t="inlineStr">
        <is>
          <t>2026-09-09</t>
        </is>
      </c>
      <c r="B7450" t="inlineStr">
        <is>
          <t>F264387</t>
        </is>
      </c>
      <c r="C7450" t="inlineStr">
        <is>
          <t>C10228</t>
        </is>
      </c>
      <c r="D7450" t="inlineStr">
        <is>
          <t>SKU-10302</t>
        </is>
      </c>
      <c r="E7450" t="inlineStr"/>
      <c r="F7450" s="5" t="n">
        <v>237.11</v>
      </c>
      <c r="G7450">
        <f>IF(LEFT(B7450,1)="C","Credit","Factuur")</f>
        <v/>
      </c>
      <c r="H7450">
        <f>IF(AND(B7450=B7449,D7450=D7449,A7450=A7449,F7450=F7449),1,0)</f>
        <v/>
      </c>
      <c r="I7450">
        <f>IF(C7450="C99999",1,0)</f>
        <v/>
      </c>
      <c r="J7450" s="5">
        <f>IF(OR(H7450=1,I7450=1),0,IF(G7450="Credit",-F7450,F7450))</f>
        <v/>
      </c>
    </row>
    <row r="7451">
      <c r="A7451" t="inlineStr">
        <is>
          <t>2026-09-09</t>
        </is>
      </c>
      <c r="B7451" t="inlineStr">
        <is>
          <t>F264387</t>
        </is>
      </c>
      <c r="C7451" t="inlineStr">
        <is>
          <t>C10228</t>
        </is>
      </c>
      <c r="D7451" t="inlineStr">
        <is>
          <t>SKU-10384</t>
        </is>
      </c>
      <c r="E7451" t="inlineStr">
        <is>
          <t>AM02</t>
        </is>
      </c>
      <c r="F7451" s="5" t="n">
        <v>178.53</v>
      </c>
      <c r="G7451">
        <f>IF(LEFT(B7451,1)="C","Credit","Factuur")</f>
        <v/>
      </c>
      <c r="H7451">
        <f>IF(AND(B7451=B7450,D7451=D7450,A7451=A7450,F7451=F7450),1,0)</f>
        <v/>
      </c>
      <c r="I7451">
        <f>IF(C7451="C99999",1,0)</f>
        <v/>
      </c>
      <c r="J7451" s="5">
        <f>IF(OR(H7451=1,I7451=1),0,IF(G7451="Credit",-F7451,F7451))</f>
        <v/>
      </c>
    </row>
    <row r="7452">
      <c r="A7452" t="inlineStr">
        <is>
          <t>2026-09-09</t>
        </is>
      </c>
      <c r="B7452" t="inlineStr">
        <is>
          <t>F265132</t>
        </is>
      </c>
      <c r="C7452" t="inlineStr">
        <is>
          <t>C10271</t>
        </is>
      </c>
      <c r="D7452" t="inlineStr">
        <is>
          <t>SKU-10204</t>
        </is>
      </c>
      <c r="E7452" t="inlineStr">
        <is>
          <t>AM02</t>
        </is>
      </c>
      <c r="F7452" s="5" t="n">
        <v>1163.9</v>
      </c>
      <c r="G7452">
        <f>IF(LEFT(B7452,1)="C","Credit","Factuur")</f>
        <v/>
      </c>
      <c r="H7452">
        <f>IF(AND(B7452=B7451,D7452=D7451,A7452=A7451,F7452=F7451),1,0)</f>
        <v/>
      </c>
      <c r="I7452">
        <f>IF(C7452="C99999",1,0)</f>
        <v/>
      </c>
      <c r="J7452" s="5">
        <f>IF(OR(H7452=1,I7452=1),0,IF(G7452="Credit",-F7452,F7452))</f>
        <v/>
      </c>
    </row>
    <row r="7453">
      <c r="A7453" t="inlineStr">
        <is>
          <t>2026-09-09</t>
        </is>
      </c>
      <c r="B7453" t="inlineStr">
        <is>
          <t>F265482</t>
        </is>
      </c>
      <c r="C7453" t="inlineStr">
        <is>
          <t>C10288</t>
        </is>
      </c>
      <c r="D7453" t="inlineStr">
        <is>
          <t>SKU-10135</t>
        </is>
      </c>
      <c r="E7453" t="inlineStr">
        <is>
          <t>AM03</t>
        </is>
      </c>
      <c r="F7453" s="5" t="n">
        <v>406.8</v>
      </c>
      <c r="G7453">
        <f>IF(LEFT(B7453,1)="C","Credit","Factuur")</f>
        <v/>
      </c>
      <c r="H7453">
        <f>IF(AND(B7453=B7452,D7453=D7452,A7453=A7452,F7453=F7452),1,0)</f>
        <v/>
      </c>
      <c r="I7453">
        <f>IF(C7453="C99999",1,0)</f>
        <v/>
      </c>
      <c r="J7453" s="5">
        <f>IF(OR(H7453=1,I7453=1),0,IF(G7453="Credit",-F7453,F7453))</f>
        <v/>
      </c>
    </row>
    <row r="7454">
      <c r="A7454" t="inlineStr">
        <is>
          <t>2026-09-09</t>
        </is>
      </c>
      <c r="B7454" t="inlineStr">
        <is>
          <t>F265951</t>
        </is>
      </c>
      <c r="C7454" t="inlineStr">
        <is>
          <t>C10312</t>
        </is>
      </c>
      <c r="D7454" t="inlineStr">
        <is>
          <t>SKU-10044</t>
        </is>
      </c>
      <c r="E7454" t="inlineStr">
        <is>
          <t>AM08</t>
        </is>
      </c>
      <c r="F7454" s="5" t="n">
        <v>196.32</v>
      </c>
      <c r="G7454">
        <f>IF(LEFT(B7454,1)="C","Credit","Factuur")</f>
        <v/>
      </c>
      <c r="H7454">
        <f>IF(AND(B7454=B7453,D7454=D7453,A7454=A7453,F7454=F7453),1,0)</f>
        <v/>
      </c>
      <c r="I7454">
        <f>IF(C7454="C99999",1,0)</f>
        <v/>
      </c>
      <c r="J7454" s="5">
        <f>IF(OR(H7454=1,I7454=1),0,IF(G7454="Credit",-F7454,F7454))</f>
        <v/>
      </c>
    </row>
    <row r="7455">
      <c r="A7455" t="inlineStr">
        <is>
          <t>2026-09-09</t>
        </is>
      </c>
      <c r="B7455" t="inlineStr">
        <is>
          <t>F265951</t>
        </is>
      </c>
      <c r="C7455" t="inlineStr">
        <is>
          <t>C10312</t>
        </is>
      </c>
      <c r="D7455" t="inlineStr">
        <is>
          <t>SKU-10100</t>
        </is>
      </c>
      <c r="E7455" t="inlineStr">
        <is>
          <t>AM08</t>
        </is>
      </c>
      <c r="F7455" s="5" t="n">
        <v>173.16</v>
      </c>
      <c r="G7455">
        <f>IF(LEFT(B7455,1)="C","Credit","Factuur")</f>
        <v/>
      </c>
      <c r="H7455">
        <f>IF(AND(B7455=B7454,D7455=D7454,A7455=A7454,F7455=F7454),1,0)</f>
        <v/>
      </c>
      <c r="I7455">
        <f>IF(C7455="C99999",1,0)</f>
        <v/>
      </c>
      <c r="J7455" s="5">
        <f>IF(OR(H7455=1,I7455=1),0,IF(G7455="Credit",-F7455,F7455))</f>
        <v/>
      </c>
    </row>
    <row r="7456">
      <c r="A7456" t="inlineStr">
        <is>
          <t>2026-09-09</t>
        </is>
      </c>
      <c r="B7456" t="inlineStr">
        <is>
          <t>F265951</t>
        </is>
      </c>
      <c r="C7456" t="inlineStr">
        <is>
          <t>C10312</t>
        </is>
      </c>
      <c r="D7456" t="inlineStr">
        <is>
          <t>SKU-10343</t>
        </is>
      </c>
      <c r="E7456" t="inlineStr">
        <is>
          <t>AM08</t>
        </is>
      </c>
      <c r="F7456" s="5" t="n">
        <v>179.36</v>
      </c>
      <c r="G7456">
        <f>IF(LEFT(B7456,1)="C","Credit","Factuur")</f>
        <v/>
      </c>
      <c r="H7456">
        <f>IF(AND(B7456=B7455,D7456=D7455,A7456=A7455,F7456=F7455),1,0)</f>
        <v/>
      </c>
      <c r="I7456">
        <f>IF(C7456="C99999",1,0)</f>
        <v/>
      </c>
      <c r="J7456" s="5">
        <f>IF(OR(H7456=1,I7456=1),0,IF(G7456="Credit",-F7456,F7456))</f>
        <v/>
      </c>
    </row>
    <row r="7457">
      <c r="A7457" t="inlineStr">
        <is>
          <t>2026-09-09</t>
        </is>
      </c>
      <c r="B7457" t="inlineStr">
        <is>
          <t>F266410</t>
        </is>
      </c>
      <c r="C7457" t="inlineStr">
        <is>
          <t>C10337</t>
        </is>
      </c>
      <c r="D7457" t="inlineStr">
        <is>
          <t>SKU-10140</t>
        </is>
      </c>
      <c r="E7457" t="inlineStr">
        <is>
          <t>AM07</t>
        </is>
      </c>
      <c r="F7457" s="5" t="n">
        <v>209.84</v>
      </c>
      <c r="G7457">
        <f>IF(LEFT(B7457,1)="C","Credit","Factuur")</f>
        <v/>
      </c>
      <c r="H7457">
        <f>IF(AND(B7457=B7456,D7457=D7456,A7457=A7456,F7457=F7456),1,0)</f>
        <v/>
      </c>
      <c r="I7457">
        <f>IF(C7457="C99999",1,0)</f>
        <v/>
      </c>
      <c r="J7457" s="5">
        <f>IF(OR(H7457=1,I7457=1),0,IF(G7457="Credit",-F7457,F7457))</f>
        <v/>
      </c>
    </row>
    <row r="7458">
      <c r="A7458" t="inlineStr">
        <is>
          <t>2026-09-09</t>
        </is>
      </c>
      <c r="B7458" t="inlineStr">
        <is>
          <t>F266410</t>
        </is>
      </c>
      <c r="C7458" t="inlineStr">
        <is>
          <t>C10337</t>
        </is>
      </c>
      <c r="D7458" t="inlineStr">
        <is>
          <t>SKU-10163</t>
        </is>
      </c>
      <c r="E7458" t="inlineStr">
        <is>
          <t>AM07</t>
        </is>
      </c>
      <c r="F7458" s="5" t="n">
        <v>233.28</v>
      </c>
      <c r="G7458">
        <f>IF(LEFT(B7458,1)="C","Credit","Factuur")</f>
        <v/>
      </c>
      <c r="H7458">
        <f>IF(AND(B7458=B7457,D7458=D7457,A7458=A7457,F7458=F7457),1,0)</f>
        <v/>
      </c>
      <c r="I7458">
        <f>IF(C7458="C99999",1,0)</f>
        <v/>
      </c>
      <c r="J7458" s="5">
        <f>IF(OR(H7458=1,I7458=1),0,IF(G7458="Credit",-F7458,F7458))</f>
        <v/>
      </c>
    </row>
    <row r="7459">
      <c r="A7459" t="inlineStr">
        <is>
          <t>2026-09-09</t>
        </is>
      </c>
      <c r="B7459" t="inlineStr">
        <is>
          <t>F266410</t>
        </is>
      </c>
      <c r="C7459" t="inlineStr">
        <is>
          <t>C10337</t>
        </is>
      </c>
      <c r="D7459" t="inlineStr">
        <is>
          <t>SKU-10189</t>
        </is>
      </c>
      <c r="E7459" t="inlineStr">
        <is>
          <t>AM07</t>
        </is>
      </c>
      <c r="F7459" s="5" t="n">
        <v>244.86</v>
      </c>
      <c r="G7459">
        <f>IF(LEFT(B7459,1)="C","Credit","Factuur")</f>
        <v/>
      </c>
      <c r="H7459">
        <f>IF(AND(B7459=B7458,D7459=D7458,A7459=A7458,F7459=F7458),1,0)</f>
        <v/>
      </c>
      <c r="I7459">
        <f>IF(C7459="C99999",1,0)</f>
        <v/>
      </c>
      <c r="J7459" s="5">
        <f>IF(OR(H7459=1,I7459=1),0,IF(G7459="Credit",-F7459,F7459))</f>
        <v/>
      </c>
    </row>
    <row r="7460">
      <c r="A7460" t="inlineStr">
        <is>
          <t>2026-09-09</t>
        </is>
      </c>
      <c r="B7460" t="inlineStr">
        <is>
          <t>F266410</t>
        </is>
      </c>
      <c r="C7460" t="inlineStr">
        <is>
          <t>C10337</t>
        </is>
      </c>
      <c r="D7460" t="inlineStr">
        <is>
          <t>SKU-10341</t>
        </is>
      </c>
      <c r="E7460" t="inlineStr">
        <is>
          <t>AM07</t>
        </is>
      </c>
      <c r="F7460" s="5" t="n">
        <v>241.44</v>
      </c>
      <c r="G7460">
        <f>IF(LEFT(B7460,1)="C","Credit","Factuur")</f>
        <v/>
      </c>
      <c r="H7460">
        <f>IF(AND(B7460=B7459,D7460=D7459,A7460=A7459,F7460=F7459),1,0)</f>
        <v/>
      </c>
      <c r="I7460">
        <f>IF(C7460="C99999",1,0)</f>
        <v/>
      </c>
      <c r="J7460" s="5">
        <f>IF(OR(H7460=1,I7460=1),0,IF(G7460="Credit",-F7460,F7460))</f>
        <v/>
      </c>
    </row>
    <row r="7461">
      <c r="A7461" t="inlineStr">
        <is>
          <t>2026-09-09</t>
        </is>
      </c>
      <c r="B7461" t="inlineStr">
        <is>
          <t>F267206</t>
        </is>
      </c>
      <c r="C7461" t="inlineStr">
        <is>
          <t>C10383</t>
        </is>
      </c>
      <c r="D7461" t="inlineStr">
        <is>
          <t>SKU-10019</t>
        </is>
      </c>
      <c r="E7461" t="inlineStr">
        <is>
          <t>AM05</t>
        </is>
      </c>
      <c r="F7461" s="5" t="n">
        <v>616.14</v>
      </c>
      <c r="G7461">
        <f>IF(LEFT(B7461,1)="C","Credit","Factuur")</f>
        <v/>
      </c>
      <c r="H7461">
        <f>IF(AND(B7461=B7460,D7461=D7460,A7461=A7460,F7461=F7460),1,0)</f>
        <v/>
      </c>
      <c r="I7461">
        <f>IF(C7461="C99999",1,0)</f>
        <v/>
      </c>
      <c r="J7461" s="5">
        <f>IF(OR(H7461=1,I7461=1),0,IF(G7461="Credit",-F7461,F7461))</f>
        <v/>
      </c>
    </row>
    <row r="7462">
      <c r="A7462" t="inlineStr">
        <is>
          <t>2026-09-09</t>
        </is>
      </c>
      <c r="B7462" t="inlineStr">
        <is>
          <t>F267206</t>
        </is>
      </c>
      <c r="C7462" t="inlineStr">
        <is>
          <t>C10383</t>
        </is>
      </c>
      <c r="D7462" t="inlineStr">
        <is>
          <t>SKU-10211</t>
        </is>
      </c>
      <c r="E7462" t="inlineStr">
        <is>
          <t>AM05</t>
        </is>
      </c>
      <c r="F7462" s="5" t="n">
        <v>607.91</v>
      </c>
      <c r="G7462">
        <f>IF(LEFT(B7462,1)="C","Credit","Factuur")</f>
        <v/>
      </c>
      <c r="H7462">
        <f>IF(AND(B7462=B7461,D7462=D7461,A7462=A7461,F7462=F7461),1,0)</f>
        <v/>
      </c>
      <c r="I7462">
        <f>IF(C7462="C99999",1,0)</f>
        <v/>
      </c>
      <c r="J7462" s="5">
        <f>IF(OR(H7462=1,I7462=1),0,IF(G7462="Credit",-F7462,F7462))</f>
        <v/>
      </c>
    </row>
    <row r="7463">
      <c r="A7463" t="inlineStr">
        <is>
          <t>2026-09-09</t>
        </is>
      </c>
      <c r="B7463" t="inlineStr">
        <is>
          <t>F267206</t>
        </is>
      </c>
      <c r="C7463" t="inlineStr">
        <is>
          <t>C10383</t>
        </is>
      </c>
      <c r="D7463" t="inlineStr">
        <is>
          <t>SKU-10280</t>
        </is>
      </c>
      <c r="E7463" t="inlineStr">
        <is>
          <t>AM05</t>
        </is>
      </c>
      <c r="F7463" s="5" t="n">
        <v>607.89</v>
      </c>
      <c r="G7463">
        <f>IF(LEFT(B7463,1)="C","Credit","Factuur")</f>
        <v/>
      </c>
      <c r="H7463">
        <f>IF(AND(B7463=B7462,D7463=D7462,A7463=A7462,F7463=F7462),1,0)</f>
        <v/>
      </c>
      <c r="I7463">
        <f>IF(C7463="C99999",1,0)</f>
        <v/>
      </c>
      <c r="J7463" s="5">
        <f>IF(OR(H7463=1,I7463=1),0,IF(G7463="Credit",-F7463,F7463))</f>
        <v/>
      </c>
    </row>
    <row r="7464">
      <c r="A7464" t="inlineStr">
        <is>
          <t>2026-09-09</t>
        </is>
      </c>
      <c r="B7464" t="inlineStr">
        <is>
          <t>F268308</t>
        </is>
      </c>
      <c r="C7464" t="inlineStr">
        <is>
          <t>C10434</t>
        </is>
      </c>
      <c r="D7464" t="inlineStr">
        <is>
          <t>SKU-10285</t>
        </is>
      </c>
      <c r="E7464" t="inlineStr">
        <is>
          <t>AM01</t>
        </is>
      </c>
      <c r="F7464" s="5" t="n">
        <v>267.96</v>
      </c>
      <c r="G7464">
        <f>IF(LEFT(B7464,1)="C","Credit","Factuur")</f>
        <v/>
      </c>
      <c r="H7464">
        <f>IF(AND(B7464=B7463,D7464=D7463,A7464=A7463,F7464=F7463),1,0)</f>
        <v/>
      </c>
      <c r="I7464">
        <f>IF(C7464="C99999",1,0)</f>
        <v/>
      </c>
      <c r="J7464" s="5">
        <f>IF(OR(H7464=1,I7464=1),0,IF(G7464="Credit",-F7464,F7464))</f>
        <v/>
      </c>
    </row>
    <row r="7465">
      <c r="A7465" t="inlineStr">
        <is>
          <t>2026-09-09</t>
        </is>
      </c>
      <c r="B7465" t="inlineStr">
        <is>
          <t>F268308</t>
        </is>
      </c>
      <c r="C7465" t="inlineStr">
        <is>
          <t>C10434</t>
        </is>
      </c>
      <c r="D7465" t="inlineStr">
        <is>
          <t>SKU-10326</t>
        </is>
      </c>
      <c r="E7465" t="inlineStr">
        <is>
          <t>AM01</t>
        </is>
      </c>
      <c r="F7465" s="5" t="n">
        <v>276.5</v>
      </c>
      <c r="G7465">
        <f>IF(LEFT(B7465,1)="C","Credit","Factuur")</f>
        <v/>
      </c>
      <c r="H7465">
        <f>IF(AND(B7465=B7464,D7465=D7464,A7465=A7464,F7465=F7464),1,0)</f>
        <v/>
      </c>
      <c r="I7465">
        <f>IF(C7465="C99999",1,0)</f>
        <v/>
      </c>
      <c r="J7465" s="5">
        <f>IF(OR(H7465=1,I7465=1),0,IF(G7465="Credit",-F7465,F7465))</f>
        <v/>
      </c>
    </row>
    <row r="7466">
      <c r="A7466" t="inlineStr">
        <is>
          <t>2026-09-09</t>
        </is>
      </c>
      <c r="B7466" t="inlineStr">
        <is>
          <t>F268684</t>
        </is>
      </c>
      <c r="C7466" t="inlineStr">
        <is>
          <t>C10454</t>
        </is>
      </c>
      <c r="D7466" t="inlineStr">
        <is>
          <t>SKU-10082</t>
        </is>
      </c>
      <c r="E7466" t="inlineStr">
        <is>
          <t>AM12</t>
        </is>
      </c>
      <c r="F7466" s="5" t="n">
        <v>105.75</v>
      </c>
      <c r="G7466">
        <f>IF(LEFT(B7466,1)="C","Credit","Factuur")</f>
        <v/>
      </c>
      <c r="H7466">
        <f>IF(AND(B7466=B7465,D7466=D7465,A7466=A7465,F7466=F7465),1,0)</f>
        <v/>
      </c>
      <c r="I7466">
        <f>IF(C7466="C99999",1,0)</f>
        <v/>
      </c>
      <c r="J7466" s="5">
        <f>IF(OR(H7466=1,I7466=1),0,IF(G7466="Credit",-F7466,F7466))</f>
        <v/>
      </c>
    </row>
    <row r="7467">
      <c r="A7467" t="inlineStr">
        <is>
          <t>2026-09-09</t>
        </is>
      </c>
      <c r="B7467" t="inlineStr">
        <is>
          <t>F268684</t>
        </is>
      </c>
      <c r="C7467" t="inlineStr">
        <is>
          <t>C10454</t>
        </is>
      </c>
      <c r="D7467" t="inlineStr">
        <is>
          <t>SKU-10259</t>
        </is>
      </c>
      <c r="E7467" t="inlineStr">
        <is>
          <t>AM12</t>
        </is>
      </c>
      <c r="F7467" s="5" t="n">
        <v>119.62</v>
      </c>
      <c r="G7467">
        <f>IF(LEFT(B7467,1)="C","Credit","Factuur")</f>
        <v/>
      </c>
      <c r="H7467">
        <f>IF(AND(B7467=B7466,D7467=D7466,A7467=A7466,F7467=F7466),1,0)</f>
        <v/>
      </c>
      <c r="I7467">
        <f>IF(C7467="C99999",1,0)</f>
        <v/>
      </c>
      <c r="J7467" s="5">
        <f>IF(OR(H7467=1,I7467=1),0,IF(G7467="Credit",-F7467,F7467))</f>
        <v/>
      </c>
    </row>
    <row r="7468">
      <c r="A7468" t="inlineStr">
        <is>
          <t>2026-09-09</t>
        </is>
      </c>
      <c r="B7468" t="inlineStr">
        <is>
          <t>F268684</t>
        </is>
      </c>
      <c r="C7468" t="inlineStr">
        <is>
          <t>C10454</t>
        </is>
      </c>
      <c r="D7468" t="inlineStr">
        <is>
          <t>SKU-10268</t>
        </is>
      </c>
      <c r="E7468" t="inlineStr">
        <is>
          <t>AM12</t>
        </is>
      </c>
      <c r="F7468" s="5" t="n">
        <v>111.02</v>
      </c>
      <c r="G7468">
        <f>IF(LEFT(B7468,1)="C","Credit","Factuur")</f>
        <v/>
      </c>
      <c r="H7468">
        <f>IF(AND(B7468=B7467,D7468=D7467,A7468=A7467,F7468=F7467),1,0)</f>
        <v/>
      </c>
      <c r="I7468">
        <f>IF(C7468="C99999",1,0)</f>
        <v/>
      </c>
      <c r="J7468" s="5">
        <f>IF(OR(H7468=1,I7468=1),0,IF(G7468="Credit",-F7468,F7468))</f>
        <v/>
      </c>
    </row>
    <row r="7469">
      <c r="A7469" t="inlineStr">
        <is>
          <t>2026-09-09</t>
        </is>
      </c>
      <c r="B7469" t="inlineStr">
        <is>
          <t>F268684</t>
        </is>
      </c>
      <c r="C7469" t="inlineStr">
        <is>
          <t>C10454</t>
        </is>
      </c>
      <c r="D7469" t="inlineStr">
        <is>
          <t>SKU-10269</t>
        </is>
      </c>
      <c r="E7469" t="inlineStr">
        <is>
          <t>AM12</t>
        </is>
      </c>
      <c r="F7469" s="5" t="n">
        <v>115.44</v>
      </c>
      <c r="G7469">
        <f>IF(LEFT(B7469,1)="C","Credit","Factuur")</f>
        <v/>
      </c>
      <c r="H7469">
        <f>IF(AND(B7469=B7468,D7469=D7468,A7469=A7468,F7469=F7468),1,0)</f>
        <v/>
      </c>
      <c r="I7469">
        <f>IF(C7469="C99999",1,0)</f>
        <v/>
      </c>
      <c r="J7469" s="5">
        <f>IF(OR(H7469=1,I7469=1),0,IF(G7469="Credit",-F7469,F7469))</f>
        <v/>
      </c>
    </row>
    <row r="7470">
      <c r="A7470" t="inlineStr">
        <is>
          <t>2026-09-09</t>
        </is>
      </c>
      <c r="B7470" t="inlineStr">
        <is>
          <t>F268684</t>
        </is>
      </c>
      <c r="C7470" t="inlineStr">
        <is>
          <t>C10454</t>
        </is>
      </c>
      <c r="D7470" t="inlineStr">
        <is>
          <t>SKU-10377</t>
        </is>
      </c>
      <c r="E7470" t="inlineStr">
        <is>
          <t>AM12</t>
        </is>
      </c>
      <c r="F7470" s="5" t="n">
        <v>88.87</v>
      </c>
      <c r="G7470">
        <f>IF(LEFT(B7470,1)="C","Credit","Factuur")</f>
        <v/>
      </c>
      <c r="H7470">
        <f>IF(AND(B7470=B7469,D7470=D7469,A7470=A7469,F7470=F7469),1,0)</f>
        <v/>
      </c>
      <c r="I7470">
        <f>IF(C7470="C99999",1,0)</f>
        <v/>
      </c>
      <c r="J7470" s="5">
        <f>IF(OR(H7470=1,I7470=1),0,IF(G7470="Credit",-F7470,F7470))</f>
        <v/>
      </c>
    </row>
    <row r="7471">
      <c r="A7471" t="inlineStr">
        <is>
          <t>2026-09-09</t>
        </is>
      </c>
      <c r="B7471" t="inlineStr">
        <is>
          <t>F269886</t>
        </is>
      </c>
      <c r="C7471" t="inlineStr">
        <is>
          <t>C10521</t>
        </is>
      </c>
      <c r="D7471" t="inlineStr">
        <is>
          <t>SKU-10179</t>
        </is>
      </c>
      <c r="E7471" t="inlineStr">
        <is>
          <t>AM12</t>
        </is>
      </c>
      <c r="F7471" s="5" t="n">
        <v>174.16</v>
      </c>
      <c r="G7471">
        <f>IF(LEFT(B7471,1)="C","Credit","Factuur")</f>
        <v/>
      </c>
      <c r="H7471">
        <f>IF(AND(B7471=B7470,D7471=D7470,A7471=A7470,F7471=F7470),1,0)</f>
        <v/>
      </c>
      <c r="I7471">
        <f>IF(C7471="C99999",1,0)</f>
        <v/>
      </c>
      <c r="J7471" s="5">
        <f>IF(OR(H7471=1,I7471=1),0,IF(G7471="Credit",-F7471,F7471))</f>
        <v/>
      </c>
    </row>
    <row r="7472">
      <c r="A7472" t="inlineStr">
        <is>
          <t>2026-09-09</t>
        </is>
      </c>
      <c r="B7472" t="inlineStr">
        <is>
          <t>F269886</t>
        </is>
      </c>
      <c r="C7472" t="inlineStr">
        <is>
          <t>C10521</t>
        </is>
      </c>
      <c r="D7472" t="inlineStr">
        <is>
          <t>SKU-10189</t>
        </is>
      </c>
      <c r="E7472" t="inlineStr">
        <is>
          <t>AM12</t>
        </is>
      </c>
      <c r="F7472" s="5" t="n">
        <v>185.5</v>
      </c>
      <c r="G7472">
        <f>IF(LEFT(B7472,1)="C","Credit","Factuur")</f>
        <v/>
      </c>
      <c r="H7472">
        <f>IF(AND(B7472=B7471,D7472=D7471,A7472=A7471,F7472=F7471),1,0)</f>
        <v/>
      </c>
      <c r="I7472">
        <f>IF(C7472="C99999",1,0)</f>
        <v/>
      </c>
      <c r="J7472" s="5">
        <f>IF(OR(H7472=1,I7472=1),0,IF(G7472="Credit",-F7472,F7472))</f>
        <v/>
      </c>
    </row>
    <row r="7473">
      <c r="A7473" t="inlineStr">
        <is>
          <t>2026-09-09</t>
        </is>
      </c>
      <c r="B7473" t="inlineStr">
        <is>
          <t>F270413</t>
        </is>
      </c>
      <c r="C7473" t="inlineStr">
        <is>
          <t>C10548</t>
        </is>
      </c>
      <c r="D7473" t="inlineStr">
        <is>
          <t>SKU-10018</t>
        </is>
      </c>
      <c r="E7473" t="inlineStr">
        <is>
          <t>AM03</t>
        </is>
      </c>
      <c r="F7473" s="5" t="n">
        <v>356.51</v>
      </c>
      <c r="G7473">
        <f>IF(LEFT(B7473,1)="C","Credit","Factuur")</f>
        <v/>
      </c>
      <c r="H7473">
        <f>IF(AND(B7473=B7472,D7473=D7472,A7473=A7472,F7473=F7472),1,0)</f>
        <v/>
      </c>
      <c r="I7473">
        <f>IF(C7473="C99999",1,0)</f>
        <v/>
      </c>
      <c r="J7473" s="5">
        <f>IF(OR(H7473=1,I7473=1),0,IF(G7473="Credit",-F7473,F7473))</f>
        <v/>
      </c>
    </row>
    <row r="7474">
      <c r="A7474" t="inlineStr">
        <is>
          <t>2026-09-09</t>
        </is>
      </c>
      <c r="B7474" t="inlineStr">
        <is>
          <t>F270413</t>
        </is>
      </c>
      <c r="C7474" t="inlineStr">
        <is>
          <t>C10548</t>
        </is>
      </c>
      <c r="D7474" t="inlineStr">
        <is>
          <t>SKU-10203</t>
        </is>
      </c>
      <c r="E7474" t="inlineStr">
        <is>
          <t>AM03</t>
        </is>
      </c>
      <c r="F7474" s="5" t="n">
        <v>356.64</v>
      </c>
      <c r="G7474">
        <f>IF(LEFT(B7474,1)="C","Credit","Factuur")</f>
        <v/>
      </c>
      <c r="H7474">
        <f>IF(AND(B7474=B7473,D7474=D7473,A7474=A7473,F7474=F7473),1,0)</f>
        <v/>
      </c>
      <c r="I7474">
        <f>IF(C7474="C99999",1,0)</f>
        <v/>
      </c>
      <c r="J7474" s="5">
        <f>IF(OR(H7474=1,I7474=1),0,IF(G7474="Credit",-F7474,F7474))</f>
        <v/>
      </c>
    </row>
    <row r="7475">
      <c r="A7475" t="inlineStr">
        <is>
          <t>2026-09-09</t>
        </is>
      </c>
      <c r="B7475" t="inlineStr">
        <is>
          <t>F270516</t>
        </is>
      </c>
      <c r="C7475" t="inlineStr">
        <is>
          <t>C10553</t>
        </is>
      </c>
      <c r="D7475" t="inlineStr">
        <is>
          <t>SKU-10104</t>
        </is>
      </c>
      <c r="E7475" t="inlineStr">
        <is>
          <t>AM11</t>
        </is>
      </c>
      <c r="F7475" s="5" t="n">
        <v>432.91</v>
      </c>
      <c r="G7475">
        <f>IF(LEFT(B7475,1)="C","Credit","Factuur")</f>
        <v/>
      </c>
      <c r="H7475">
        <f>IF(AND(B7475=B7474,D7475=D7474,A7475=A7474,F7475=F7474),1,0)</f>
        <v/>
      </c>
      <c r="I7475">
        <f>IF(C7475="C99999",1,0)</f>
        <v/>
      </c>
      <c r="J7475" s="5">
        <f>IF(OR(H7475=1,I7475=1),0,IF(G7475="Credit",-F7475,F7475))</f>
        <v/>
      </c>
    </row>
    <row r="7476">
      <c r="A7476" t="inlineStr">
        <is>
          <t>2026-09-09</t>
        </is>
      </c>
      <c r="B7476" t="inlineStr">
        <is>
          <t>F270516</t>
        </is>
      </c>
      <c r="C7476" t="inlineStr">
        <is>
          <t>C10553</t>
        </is>
      </c>
      <c r="D7476" t="inlineStr">
        <is>
          <t>SKU-10140</t>
        </is>
      </c>
      <c r="E7476" t="inlineStr">
        <is>
          <t>AM11</t>
        </is>
      </c>
      <c r="F7476" s="5" t="n">
        <v>419.68</v>
      </c>
      <c r="G7476">
        <f>IF(LEFT(B7476,1)="C","Credit","Factuur")</f>
        <v/>
      </c>
      <c r="H7476">
        <f>IF(AND(B7476=B7475,D7476=D7475,A7476=A7475,F7476=F7475),1,0)</f>
        <v/>
      </c>
      <c r="I7476">
        <f>IF(C7476="C99999",1,0)</f>
        <v/>
      </c>
      <c r="J7476" s="5">
        <f>IF(OR(H7476=1,I7476=1),0,IF(G7476="Credit",-F7476,F7476))</f>
        <v/>
      </c>
    </row>
    <row r="7477">
      <c r="A7477" t="inlineStr">
        <is>
          <t>2026-09-09</t>
        </is>
      </c>
      <c r="B7477" t="inlineStr">
        <is>
          <t>F270516</t>
        </is>
      </c>
      <c r="C7477" t="inlineStr">
        <is>
          <t>C10553</t>
        </is>
      </c>
      <c r="D7477" t="inlineStr">
        <is>
          <t>SKU-10185</t>
        </is>
      </c>
      <c r="E7477" t="inlineStr">
        <is>
          <t>AM11</t>
        </is>
      </c>
      <c r="F7477" s="5" t="n">
        <v>446.04</v>
      </c>
      <c r="G7477">
        <f>IF(LEFT(B7477,1)="C","Credit","Factuur")</f>
        <v/>
      </c>
      <c r="H7477">
        <f>IF(AND(B7477=B7476,D7477=D7476,A7477=A7476,F7477=F7476),1,0)</f>
        <v/>
      </c>
      <c r="I7477">
        <f>IF(C7477="C99999",1,0)</f>
        <v/>
      </c>
      <c r="J7477" s="5">
        <f>IF(OR(H7477=1,I7477=1),0,IF(G7477="Credit",-F7477,F7477))</f>
        <v/>
      </c>
    </row>
    <row r="7478">
      <c r="A7478" t="inlineStr">
        <is>
          <t>2026-09-09</t>
        </is>
      </c>
      <c r="B7478" t="inlineStr">
        <is>
          <t>F271065</t>
        </is>
      </c>
      <c r="C7478" t="inlineStr">
        <is>
          <t>C10576</t>
        </is>
      </c>
      <c r="D7478" t="inlineStr">
        <is>
          <t>SKU-10155</t>
        </is>
      </c>
      <c r="E7478" t="inlineStr">
        <is>
          <t>AM08</t>
        </is>
      </c>
      <c r="F7478" s="5" t="n">
        <v>215.88</v>
      </c>
      <c r="G7478">
        <f>IF(LEFT(B7478,1)="C","Credit","Factuur")</f>
        <v/>
      </c>
      <c r="H7478">
        <f>IF(AND(B7478=B7477,D7478=D7477,A7478=A7477,F7478=F7477),1,0)</f>
        <v/>
      </c>
      <c r="I7478">
        <f>IF(C7478="C99999",1,0)</f>
        <v/>
      </c>
      <c r="J7478" s="5">
        <f>IF(OR(H7478=1,I7478=1),0,IF(G7478="Credit",-F7478,F7478))</f>
        <v/>
      </c>
    </row>
    <row r="7479">
      <c r="A7479" t="inlineStr">
        <is>
          <t>2026-09-09</t>
        </is>
      </c>
      <c r="B7479" t="inlineStr">
        <is>
          <t>F271065</t>
        </is>
      </c>
      <c r="C7479" t="inlineStr">
        <is>
          <t>C10576</t>
        </is>
      </c>
      <c r="D7479" t="inlineStr">
        <is>
          <t>SKU-10170</t>
        </is>
      </c>
      <c r="E7479" t="inlineStr">
        <is>
          <t>AM08</t>
        </is>
      </c>
      <c r="F7479" s="5" t="n">
        <v>197.05</v>
      </c>
      <c r="G7479">
        <f>IF(LEFT(B7479,1)="C","Credit","Factuur")</f>
        <v/>
      </c>
      <c r="H7479">
        <f>IF(AND(B7479=B7478,D7479=D7478,A7479=A7478,F7479=F7478),1,0)</f>
        <v/>
      </c>
      <c r="I7479">
        <f>IF(C7479="C99999",1,0)</f>
        <v/>
      </c>
      <c r="J7479" s="5">
        <f>IF(OR(H7479=1,I7479=1),0,IF(G7479="Credit",-F7479,F7479))</f>
        <v/>
      </c>
    </row>
    <row r="7480">
      <c r="A7480" t="inlineStr">
        <is>
          <t>2026-09-09</t>
        </is>
      </c>
      <c r="B7480" t="inlineStr">
        <is>
          <t>F271065</t>
        </is>
      </c>
      <c r="C7480" t="inlineStr">
        <is>
          <t>C10576</t>
        </is>
      </c>
      <c r="D7480" t="inlineStr">
        <is>
          <t>SKU-10226</t>
        </is>
      </c>
      <c r="E7480" t="inlineStr">
        <is>
          <t>AM08</t>
        </is>
      </c>
      <c r="F7480" s="5" t="n">
        <v>196.75</v>
      </c>
      <c r="G7480">
        <f>IF(LEFT(B7480,1)="C","Credit","Factuur")</f>
        <v/>
      </c>
      <c r="H7480">
        <f>IF(AND(B7480=B7479,D7480=D7479,A7480=A7479,F7480=F7479),1,0)</f>
        <v/>
      </c>
      <c r="I7480">
        <f>IF(C7480="C99999",1,0)</f>
        <v/>
      </c>
      <c r="J7480" s="5">
        <f>IF(OR(H7480=1,I7480=1),0,IF(G7480="Credit",-F7480,F7480))</f>
        <v/>
      </c>
    </row>
    <row r="7481">
      <c r="A7481" t="inlineStr">
        <is>
          <t>2026-09-09</t>
        </is>
      </c>
      <c r="B7481" t="inlineStr">
        <is>
          <t>F271065</t>
        </is>
      </c>
      <c r="C7481" t="inlineStr">
        <is>
          <t>C10576</t>
        </is>
      </c>
      <c r="D7481" t="inlineStr">
        <is>
          <t>SKU-10233</t>
        </is>
      </c>
      <c r="E7481" t="inlineStr">
        <is>
          <t>AM08</t>
        </is>
      </c>
      <c r="F7481" s="5" t="n">
        <v>200.51</v>
      </c>
      <c r="G7481">
        <f>IF(LEFT(B7481,1)="C","Credit","Factuur")</f>
        <v/>
      </c>
      <c r="H7481">
        <f>IF(AND(B7481=B7480,D7481=D7480,A7481=A7480,F7481=F7480),1,0)</f>
        <v/>
      </c>
      <c r="I7481">
        <f>IF(C7481="C99999",1,0)</f>
        <v/>
      </c>
      <c r="J7481" s="5">
        <f>IF(OR(H7481=1,I7481=1),0,IF(G7481="Credit",-F7481,F7481))</f>
        <v/>
      </c>
    </row>
    <row r="7482">
      <c r="A7482" t="inlineStr">
        <is>
          <t>2026-09-09</t>
        </is>
      </c>
      <c r="B7482" t="inlineStr">
        <is>
          <t>F273041</t>
        </is>
      </c>
      <c r="C7482" t="inlineStr">
        <is>
          <t>C10682</t>
        </is>
      </c>
      <c r="D7482" t="inlineStr">
        <is>
          <t>SKU-10023</t>
        </is>
      </c>
      <c r="E7482" t="inlineStr">
        <is>
          <t>AM05</t>
        </is>
      </c>
      <c r="F7482" s="5" t="n">
        <v>811.53</v>
      </c>
      <c r="G7482">
        <f>IF(LEFT(B7482,1)="C","Credit","Factuur")</f>
        <v/>
      </c>
      <c r="H7482">
        <f>IF(AND(B7482=B7481,D7482=D7481,A7482=A7481,F7482=F7481),1,0)</f>
        <v/>
      </c>
      <c r="I7482">
        <f>IF(C7482="C99999",1,0)</f>
        <v/>
      </c>
      <c r="J7482" s="5">
        <f>IF(OR(H7482=1,I7482=1),0,IF(G7482="Credit",-F7482,F7482))</f>
        <v/>
      </c>
    </row>
    <row r="7483">
      <c r="A7483" t="inlineStr">
        <is>
          <t>2026-09-09</t>
        </is>
      </c>
      <c r="B7483" t="inlineStr">
        <is>
          <t>F273041</t>
        </is>
      </c>
      <c r="C7483" t="inlineStr">
        <is>
          <t>C10682</t>
        </is>
      </c>
      <c r="D7483" t="inlineStr">
        <is>
          <t>SKU-10055</t>
        </is>
      </c>
      <c r="E7483" t="inlineStr">
        <is>
          <t>AM05</t>
        </is>
      </c>
      <c r="F7483" s="5" t="n">
        <v>838.25</v>
      </c>
      <c r="G7483">
        <f>IF(LEFT(B7483,1)="C","Credit","Factuur")</f>
        <v/>
      </c>
      <c r="H7483">
        <f>IF(AND(B7483=B7482,D7483=D7482,A7483=A7482,F7483=F7482),1,0)</f>
        <v/>
      </c>
      <c r="I7483">
        <f>IF(C7483="C99999",1,0)</f>
        <v/>
      </c>
      <c r="J7483" s="5">
        <f>IF(OR(H7483=1,I7483=1),0,IF(G7483="Credit",-F7483,F7483))</f>
        <v/>
      </c>
    </row>
    <row r="7484">
      <c r="A7484" t="inlineStr">
        <is>
          <t>2026-09-09</t>
        </is>
      </c>
      <c r="B7484" t="inlineStr">
        <is>
          <t>F273041</t>
        </is>
      </c>
      <c r="C7484" t="inlineStr">
        <is>
          <t>C10682</t>
        </is>
      </c>
      <c r="D7484" t="inlineStr">
        <is>
          <t>SKU-10113</t>
        </is>
      </c>
      <c r="E7484" t="inlineStr">
        <is>
          <t>AM05</t>
        </is>
      </c>
      <c r="F7484" s="5" t="n">
        <v>841.5</v>
      </c>
      <c r="G7484">
        <f>IF(LEFT(B7484,1)="C","Credit","Factuur")</f>
        <v/>
      </c>
      <c r="H7484">
        <f>IF(AND(B7484=B7483,D7484=D7483,A7484=A7483,F7484=F7483),1,0)</f>
        <v/>
      </c>
      <c r="I7484">
        <f>IF(C7484="C99999",1,0)</f>
        <v/>
      </c>
      <c r="J7484" s="5">
        <f>IF(OR(H7484=1,I7484=1),0,IF(G7484="Credit",-F7484,F7484))</f>
        <v/>
      </c>
    </row>
    <row r="7485">
      <c r="A7485" t="inlineStr">
        <is>
          <t>2026-09-09</t>
        </is>
      </c>
      <c r="B7485" t="inlineStr">
        <is>
          <t>F273041</t>
        </is>
      </c>
      <c r="C7485" t="inlineStr">
        <is>
          <t>C10682</t>
        </is>
      </c>
      <c r="D7485" t="inlineStr">
        <is>
          <t>SKU-10179</t>
        </is>
      </c>
      <c r="E7485" t="inlineStr">
        <is>
          <t>AM05</t>
        </is>
      </c>
      <c r="F7485" s="5" t="n">
        <v>845.92</v>
      </c>
      <c r="G7485">
        <f>IF(LEFT(B7485,1)="C","Credit","Factuur")</f>
        <v/>
      </c>
      <c r="H7485">
        <f>IF(AND(B7485=B7484,D7485=D7484,A7485=A7484,F7485=F7484),1,0)</f>
        <v/>
      </c>
      <c r="I7485">
        <f>IF(C7485="C99999",1,0)</f>
        <v/>
      </c>
      <c r="J7485" s="5">
        <f>IF(OR(H7485=1,I7485=1),0,IF(G7485="Credit",-F7485,F7485))</f>
        <v/>
      </c>
    </row>
    <row r="7486">
      <c r="A7486" t="inlineStr">
        <is>
          <t>2026-09-09</t>
        </is>
      </c>
      <c r="B7486" t="inlineStr">
        <is>
          <t>F273203</t>
        </is>
      </c>
      <c r="C7486" t="inlineStr">
        <is>
          <t>C10689</t>
        </is>
      </c>
      <c r="D7486" t="inlineStr">
        <is>
          <t>SKU-10148</t>
        </is>
      </c>
      <c r="E7486" t="inlineStr">
        <is>
          <t>AM07</t>
        </is>
      </c>
      <c r="F7486" s="5" t="n">
        <v>1608.66</v>
      </c>
      <c r="G7486">
        <f>IF(LEFT(B7486,1)="C","Credit","Factuur")</f>
        <v/>
      </c>
      <c r="H7486">
        <f>IF(AND(B7486=B7485,D7486=D7485,A7486=A7485,F7486=F7485),1,0)</f>
        <v/>
      </c>
      <c r="I7486">
        <f>IF(C7486="C99999",1,0)</f>
        <v/>
      </c>
      <c r="J7486" s="5">
        <f>IF(OR(H7486=1,I7486=1),0,IF(G7486="Credit",-F7486,F7486))</f>
        <v/>
      </c>
    </row>
    <row r="7487">
      <c r="A7487" t="inlineStr">
        <is>
          <t>2026-09-09</t>
        </is>
      </c>
      <c r="B7487" t="inlineStr">
        <is>
          <t>F273511</t>
        </is>
      </c>
      <c r="C7487" t="inlineStr">
        <is>
          <t>C10708</t>
        </is>
      </c>
      <c r="D7487" t="inlineStr">
        <is>
          <t>SKU-10023</t>
        </is>
      </c>
      <c r="E7487" t="inlineStr">
        <is>
          <t>AM11</t>
        </is>
      </c>
      <c r="F7487" s="5" t="n">
        <v>202.88</v>
      </c>
      <c r="G7487">
        <f>IF(LEFT(B7487,1)="C","Credit","Factuur")</f>
        <v/>
      </c>
      <c r="H7487">
        <f>IF(AND(B7487=B7486,D7487=D7486,A7487=A7486,F7487=F7486),1,0)</f>
        <v/>
      </c>
      <c r="I7487">
        <f>IF(C7487="C99999",1,0)</f>
        <v/>
      </c>
      <c r="J7487" s="5">
        <f>IF(OR(H7487=1,I7487=1),0,IF(G7487="Credit",-F7487,F7487))</f>
        <v/>
      </c>
    </row>
    <row r="7488">
      <c r="A7488" t="inlineStr">
        <is>
          <t>2026-09-09</t>
        </is>
      </c>
      <c r="B7488" t="inlineStr">
        <is>
          <t>F273511</t>
        </is>
      </c>
      <c r="C7488" t="inlineStr">
        <is>
          <t>C10708</t>
        </is>
      </c>
      <c r="D7488" t="inlineStr">
        <is>
          <t>SKU-10100</t>
        </is>
      </c>
      <c r="E7488" t="inlineStr">
        <is>
          <t>AM11</t>
        </is>
      </c>
      <c r="F7488" s="5" t="n">
        <v>230.88</v>
      </c>
      <c r="G7488">
        <f>IF(LEFT(B7488,1)="C","Credit","Factuur")</f>
        <v/>
      </c>
      <c r="H7488">
        <f>IF(AND(B7488=B7487,D7488=D7487,A7488=A7487,F7488=F7487),1,0)</f>
        <v/>
      </c>
      <c r="I7488">
        <f>IF(C7488="C99999",1,0)</f>
        <v/>
      </c>
      <c r="J7488" s="5">
        <f>IF(OR(H7488=1,I7488=1),0,IF(G7488="Credit",-F7488,F7488))</f>
        <v/>
      </c>
    </row>
    <row r="7489">
      <c r="A7489" t="inlineStr">
        <is>
          <t>2026-09-09</t>
        </is>
      </c>
      <c r="B7489" t="inlineStr">
        <is>
          <t>F273511</t>
        </is>
      </c>
      <c r="C7489" t="inlineStr">
        <is>
          <t>C10708</t>
        </is>
      </c>
      <c r="D7489" t="inlineStr">
        <is>
          <t>SKU-10196</t>
        </is>
      </c>
      <c r="E7489" t="inlineStr">
        <is>
          <t>AM11</t>
        </is>
      </c>
      <c r="F7489" s="5" t="n">
        <v>196.74</v>
      </c>
      <c r="G7489">
        <f>IF(LEFT(B7489,1)="C","Credit","Factuur")</f>
        <v/>
      </c>
      <c r="H7489">
        <f>IF(AND(B7489=B7488,D7489=D7488,A7489=A7488,F7489=F7488),1,0)</f>
        <v/>
      </c>
      <c r="I7489">
        <f>IF(C7489="C99999",1,0)</f>
        <v/>
      </c>
      <c r="J7489" s="5">
        <f>IF(OR(H7489=1,I7489=1),0,IF(G7489="Credit",-F7489,F7489))</f>
        <v/>
      </c>
    </row>
    <row r="7490">
      <c r="A7490" t="inlineStr">
        <is>
          <t>2026-09-09</t>
        </is>
      </c>
      <c r="B7490" t="inlineStr">
        <is>
          <t>F273511</t>
        </is>
      </c>
      <c r="C7490" t="inlineStr">
        <is>
          <t>C10708</t>
        </is>
      </c>
      <c r="D7490" t="inlineStr">
        <is>
          <t>SKU-10250</t>
        </is>
      </c>
      <c r="E7490" t="inlineStr">
        <is>
          <t>AM11</t>
        </is>
      </c>
      <c r="F7490" s="5" t="n">
        <v>215.46</v>
      </c>
      <c r="G7490">
        <f>IF(LEFT(B7490,1)="C","Credit","Factuur")</f>
        <v/>
      </c>
      <c r="H7490">
        <f>IF(AND(B7490=B7489,D7490=D7489,A7490=A7489,F7490=F7489),1,0)</f>
        <v/>
      </c>
      <c r="I7490">
        <f>IF(C7490="C99999",1,0)</f>
        <v/>
      </c>
      <c r="J7490" s="5">
        <f>IF(OR(H7490=1,I7490=1),0,IF(G7490="Credit",-F7490,F7490))</f>
        <v/>
      </c>
    </row>
    <row r="7491">
      <c r="A7491" t="inlineStr">
        <is>
          <t>2026-09-09</t>
        </is>
      </c>
      <c r="B7491" t="inlineStr">
        <is>
          <t>F273511</t>
        </is>
      </c>
      <c r="C7491" t="inlineStr">
        <is>
          <t>C10708</t>
        </is>
      </c>
      <c r="D7491" t="inlineStr">
        <is>
          <t>SKU-10310</t>
        </is>
      </c>
      <c r="E7491" t="inlineStr">
        <is>
          <t>AM11</t>
        </is>
      </c>
      <c r="F7491" s="5" t="n">
        <v>223.9</v>
      </c>
      <c r="G7491">
        <f>IF(LEFT(B7491,1)="C","Credit","Factuur")</f>
        <v/>
      </c>
      <c r="H7491">
        <f>IF(AND(B7491=B7490,D7491=D7490,A7491=A7490,F7491=F7490),1,0)</f>
        <v/>
      </c>
      <c r="I7491">
        <f>IF(C7491="C99999",1,0)</f>
        <v/>
      </c>
      <c r="J7491" s="5">
        <f>IF(OR(H7491=1,I7491=1),0,IF(G7491="Credit",-F7491,F7491))</f>
        <v/>
      </c>
    </row>
    <row r="7492">
      <c r="A7492" t="inlineStr">
        <is>
          <t>2026-09-09</t>
        </is>
      </c>
      <c r="B7492" t="inlineStr">
        <is>
          <t>F273751</t>
        </is>
      </c>
      <c r="C7492" t="inlineStr">
        <is>
          <t>C10723</t>
        </is>
      </c>
      <c r="D7492" t="inlineStr">
        <is>
          <t>SKU-10189</t>
        </is>
      </c>
      <c r="E7492" t="inlineStr">
        <is>
          <t>AM09</t>
        </is>
      </c>
      <c r="F7492" s="5" t="n">
        <v>5815.43</v>
      </c>
      <c r="G7492">
        <f>IF(LEFT(B7492,1)="C","Credit","Factuur")</f>
        <v/>
      </c>
      <c r="H7492">
        <f>IF(AND(B7492=B7491,D7492=D7491,A7492=A7491,F7492=F7491),1,0)</f>
        <v/>
      </c>
      <c r="I7492">
        <f>IF(C7492="C99999",1,0)</f>
        <v/>
      </c>
      <c r="J7492" s="5">
        <f>IF(OR(H7492=1,I7492=1),0,IF(G7492="Credit",-F7492,F7492))</f>
        <v/>
      </c>
    </row>
    <row r="7493">
      <c r="A7493" t="inlineStr">
        <is>
          <t>2026-09-09</t>
        </is>
      </c>
      <c r="B7493" t="inlineStr">
        <is>
          <t>F273751</t>
        </is>
      </c>
      <c r="C7493" t="inlineStr">
        <is>
          <t>C10723</t>
        </is>
      </c>
      <c r="D7493" t="inlineStr">
        <is>
          <t>SKU-10207</t>
        </is>
      </c>
      <c r="E7493" t="inlineStr">
        <is>
          <t>AM09</t>
        </is>
      </c>
      <c r="F7493" s="5" t="n">
        <v>6114.24</v>
      </c>
      <c r="G7493">
        <f>IF(LEFT(B7493,1)="C","Credit","Factuur")</f>
        <v/>
      </c>
      <c r="H7493">
        <f>IF(AND(B7493=B7492,D7493=D7492,A7493=A7492,F7493=F7492),1,0)</f>
        <v/>
      </c>
      <c r="I7493">
        <f>IF(C7493="C99999",1,0)</f>
        <v/>
      </c>
      <c r="J7493" s="5">
        <f>IF(OR(H7493=1,I7493=1),0,IF(G7493="Credit",-F7493,F7493))</f>
        <v/>
      </c>
    </row>
    <row r="7494">
      <c r="A7494" t="inlineStr">
        <is>
          <t>2026-09-09</t>
        </is>
      </c>
      <c r="B7494" t="inlineStr">
        <is>
          <t>F273751</t>
        </is>
      </c>
      <c r="C7494" t="inlineStr">
        <is>
          <t>C10723</t>
        </is>
      </c>
      <c r="D7494" t="inlineStr">
        <is>
          <t>SKU-10316</t>
        </is>
      </c>
      <c r="E7494" t="inlineStr">
        <is>
          <t>AM09</t>
        </is>
      </c>
      <c r="F7494" s="5" t="n">
        <v>5805.42</v>
      </c>
      <c r="G7494">
        <f>IF(LEFT(B7494,1)="C","Credit","Factuur")</f>
        <v/>
      </c>
      <c r="H7494">
        <f>IF(AND(B7494=B7493,D7494=D7493,A7494=A7493,F7494=F7493),1,0)</f>
        <v/>
      </c>
      <c r="I7494">
        <f>IF(C7494="C99999",1,0)</f>
        <v/>
      </c>
      <c r="J7494" s="5">
        <f>IF(OR(H7494=1,I7494=1),0,IF(G7494="Credit",-F7494,F7494))</f>
        <v/>
      </c>
    </row>
    <row r="7495">
      <c r="A7495" t="inlineStr">
        <is>
          <t>2026-09-09</t>
        </is>
      </c>
      <c r="B7495" t="inlineStr">
        <is>
          <t>F273792</t>
        </is>
      </c>
      <c r="C7495" t="inlineStr">
        <is>
          <t>C10725</t>
        </is>
      </c>
      <c r="D7495" t="inlineStr">
        <is>
          <t>SKU-10079</t>
        </is>
      </c>
      <c r="E7495" t="inlineStr">
        <is>
          <t>AM03</t>
        </is>
      </c>
      <c r="F7495" s="5" t="n">
        <v>120.84</v>
      </c>
      <c r="G7495">
        <f>IF(LEFT(B7495,1)="C","Credit","Factuur")</f>
        <v/>
      </c>
      <c r="H7495">
        <f>IF(AND(B7495=B7494,D7495=D7494,A7495=A7494,F7495=F7494),1,0)</f>
        <v/>
      </c>
      <c r="I7495">
        <f>IF(C7495="C99999",1,0)</f>
        <v/>
      </c>
      <c r="J7495" s="5">
        <f>IF(OR(H7495=1,I7495=1),0,IF(G7495="Credit",-F7495,F7495))</f>
        <v/>
      </c>
    </row>
    <row r="7496">
      <c r="A7496" t="inlineStr">
        <is>
          <t>2026-09-09</t>
        </is>
      </c>
      <c r="B7496" t="inlineStr">
        <is>
          <t>F273792</t>
        </is>
      </c>
      <c r="C7496" t="inlineStr">
        <is>
          <t>C10725</t>
        </is>
      </c>
      <c r="D7496" t="inlineStr">
        <is>
          <t>SKU-10096</t>
        </is>
      </c>
      <c r="E7496" t="inlineStr">
        <is>
          <t>AM03</t>
        </is>
      </c>
      <c r="F7496" s="5" t="n">
        <v>114.42</v>
      </c>
      <c r="G7496">
        <f>IF(LEFT(B7496,1)="C","Credit","Factuur")</f>
        <v/>
      </c>
      <c r="H7496">
        <f>IF(AND(B7496=B7495,D7496=D7495,A7496=A7495,F7496=F7495),1,0)</f>
        <v/>
      </c>
      <c r="I7496">
        <f>IF(C7496="C99999",1,0)</f>
        <v/>
      </c>
      <c r="J7496" s="5">
        <f>IF(OR(H7496=1,I7496=1),0,IF(G7496="Credit",-F7496,F7496))</f>
        <v/>
      </c>
    </row>
    <row r="7497">
      <c r="A7497" t="inlineStr">
        <is>
          <t>2026-09-09</t>
        </is>
      </c>
      <c r="B7497" t="inlineStr">
        <is>
          <t>F273792</t>
        </is>
      </c>
      <c r="C7497" t="inlineStr">
        <is>
          <t>C10725</t>
        </is>
      </c>
      <c r="D7497" t="inlineStr">
        <is>
          <t>SKU-10201</t>
        </is>
      </c>
      <c r="E7497" t="inlineStr">
        <is>
          <t>AM03</t>
        </is>
      </c>
      <c r="F7497" s="5" t="n">
        <v>106.56</v>
      </c>
      <c r="G7497">
        <f>IF(LEFT(B7497,1)="C","Credit","Factuur")</f>
        <v/>
      </c>
      <c r="H7497">
        <f>IF(AND(B7497=B7496,D7497=D7496,A7497=A7496,F7497=F7496),1,0)</f>
        <v/>
      </c>
      <c r="I7497">
        <f>IF(C7497="C99999",1,0)</f>
        <v/>
      </c>
      <c r="J7497" s="5">
        <f>IF(OR(H7497=1,I7497=1),0,IF(G7497="Credit",-F7497,F7497))</f>
        <v/>
      </c>
    </row>
    <row r="7498">
      <c r="A7498" t="inlineStr">
        <is>
          <t>2026-09-09</t>
        </is>
      </c>
      <c r="B7498" t="inlineStr">
        <is>
          <t>F273792</t>
        </is>
      </c>
      <c r="C7498" t="inlineStr">
        <is>
          <t>C10725</t>
        </is>
      </c>
      <c r="D7498" t="inlineStr">
        <is>
          <t>SKU-10227</t>
        </is>
      </c>
      <c r="E7498" t="inlineStr">
        <is>
          <t>AM03</t>
        </is>
      </c>
      <c r="F7498" s="5" t="n">
        <v>106.56</v>
      </c>
      <c r="G7498">
        <f>IF(LEFT(B7498,1)="C","Credit","Factuur")</f>
        <v/>
      </c>
      <c r="H7498">
        <f>IF(AND(B7498=B7497,D7498=D7497,A7498=A7497,F7498=F7497),1,0)</f>
        <v/>
      </c>
      <c r="I7498">
        <f>IF(C7498="C99999",1,0)</f>
        <v/>
      </c>
      <c r="J7498" s="5">
        <f>IF(OR(H7498=1,I7498=1),0,IF(G7498="Credit",-F7498,F7498))</f>
        <v/>
      </c>
    </row>
    <row r="7499">
      <c r="A7499" t="inlineStr">
        <is>
          <t>2026-09-09</t>
        </is>
      </c>
      <c r="B7499" t="inlineStr">
        <is>
          <t>F273792</t>
        </is>
      </c>
      <c r="C7499" t="inlineStr">
        <is>
          <t>C10725</t>
        </is>
      </c>
      <c r="D7499" t="inlineStr">
        <is>
          <t>SKU-10275</t>
        </is>
      </c>
      <c r="E7499" t="inlineStr">
        <is>
          <t>AM03</t>
        </is>
      </c>
      <c r="F7499" s="5" t="n">
        <v>109.44</v>
      </c>
      <c r="G7499">
        <f>IF(LEFT(B7499,1)="C","Credit","Factuur")</f>
        <v/>
      </c>
      <c r="H7499">
        <f>IF(AND(B7499=B7498,D7499=D7498,A7499=A7498,F7499=F7498),1,0)</f>
        <v/>
      </c>
      <c r="I7499">
        <f>IF(C7499="C99999",1,0)</f>
        <v/>
      </c>
      <c r="J7499" s="5">
        <f>IF(OR(H7499=1,I7499=1),0,IF(G7499="Credit",-F7499,F7499))</f>
        <v/>
      </c>
    </row>
    <row r="7500">
      <c r="A7500" t="inlineStr">
        <is>
          <t>2026-09-09</t>
        </is>
      </c>
      <c r="B7500" t="inlineStr">
        <is>
          <t>F273892</t>
        </is>
      </c>
      <c r="C7500" t="inlineStr">
        <is>
          <t>C10731</t>
        </is>
      </c>
      <c r="D7500" t="inlineStr">
        <is>
          <t>SKU-10301</t>
        </is>
      </c>
      <c r="E7500" t="inlineStr">
        <is>
          <t>AM08</t>
        </is>
      </c>
      <c r="F7500" s="5" t="n">
        <v>1762.9</v>
      </c>
      <c r="G7500">
        <f>IF(LEFT(B7500,1)="C","Credit","Factuur")</f>
        <v/>
      </c>
      <c r="H7500">
        <f>IF(AND(B7500=B7499,D7500=D7499,A7500=A7499,F7500=F7499),1,0)</f>
        <v/>
      </c>
      <c r="I7500">
        <f>IF(C7500="C99999",1,0)</f>
        <v/>
      </c>
      <c r="J7500" s="5">
        <f>IF(OR(H7500=1,I7500=1),0,IF(G7500="Credit",-F7500,F7500))</f>
        <v/>
      </c>
    </row>
    <row r="7501">
      <c r="A7501" t="inlineStr">
        <is>
          <t>2026-09-09</t>
        </is>
      </c>
      <c r="B7501" t="inlineStr">
        <is>
          <t>F274056</t>
        </is>
      </c>
      <c r="C7501" t="inlineStr">
        <is>
          <t>C10743</t>
        </is>
      </c>
      <c r="D7501" t="inlineStr">
        <is>
          <t>SKU-10042</t>
        </is>
      </c>
      <c r="E7501" t="inlineStr"/>
      <c r="F7501" s="5" t="n">
        <v>92.31</v>
      </c>
      <c r="G7501">
        <f>IF(LEFT(B7501,1)="C","Credit","Factuur")</f>
        <v/>
      </c>
      <c r="H7501">
        <f>IF(AND(B7501=B7500,D7501=D7500,A7501=A7500,F7501=F7500),1,0)</f>
        <v/>
      </c>
      <c r="I7501">
        <f>IF(C7501="C99999",1,0)</f>
        <v/>
      </c>
      <c r="J7501" s="5">
        <f>IF(OR(H7501=1,I7501=1),0,IF(G7501="Credit",-F7501,F7501))</f>
        <v/>
      </c>
    </row>
    <row r="7502">
      <c r="A7502" t="inlineStr">
        <is>
          <t>2026-09-09</t>
        </is>
      </c>
      <c r="B7502" t="inlineStr">
        <is>
          <t>F274056</t>
        </is>
      </c>
      <c r="C7502" t="inlineStr">
        <is>
          <t>C10743</t>
        </is>
      </c>
      <c r="D7502" t="inlineStr">
        <is>
          <t>SKU-10053</t>
        </is>
      </c>
      <c r="E7502" t="inlineStr">
        <is>
          <t>AM11</t>
        </is>
      </c>
      <c r="F7502" s="5" t="n">
        <v>93.75</v>
      </c>
      <c r="G7502">
        <f>IF(LEFT(B7502,1)="C","Credit","Factuur")</f>
        <v/>
      </c>
      <c r="H7502">
        <f>IF(AND(B7502=B7501,D7502=D7501,A7502=A7501,F7502=F7501),1,0)</f>
        <v/>
      </c>
      <c r="I7502">
        <f>IF(C7502="C99999",1,0)</f>
        <v/>
      </c>
      <c r="J7502" s="5">
        <f>IF(OR(H7502=1,I7502=1),0,IF(G7502="Credit",-F7502,F7502))</f>
        <v/>
      </c>
    </row>
    <row r="7503">
      <c r="A7503" t="inlineStr">
        <is>
          <t>2026-09-09</t>
        </is>
      </c>
      <c r="B7503" t="inlineStr">
        <is>
          <t>F274056</t>
        </is>
      </c>
      <c r="C7503" t="inlineStr">
        <is>
          <t>C10743</t>
        </is>
      </c>
      <c r="D7503" t="inlineStr">
        <is>
          <t>SKU-10101</t>
        </is>
      </c>
      <c r="E7503" t="inlineStr">
        <is>
          <t>AM11</t>
        </is>
      </c>
      <c r="F7503" s="5" t="n">
        <v>112.82</v>
      </c>
      <c r="G7503">
        <f>IF(LEFT(B7503,1)="C","Credit","Factuur")</f>
        <v/>
      </c>
      <c r="H7503">
        <f>IF(AND(B7503=B7502,D7503=D7502,A7503=A7502,F7503=F7502),1,0)</f>
        <v/>
      </c>
      <c r="I7503">
        <f>IF(C7503="C99999",1,0)</f>
        <v/>
      </c>
      <c r="J7503" s="5">
        <f>IF(OR(H7503=1,I7503=1),0,IF(G7503="Credit",-F7503,F7503))</f>
        <v/>
      </c>
    </row>
    <row r="7504">
      <c r="A7504" t="inlineStr">
        <is>
          <t>2026-09-09</t>
        </is>
      </c>
      <c r="B7504" t="inlineStr">
        <is>
          <t>F274056</t>
        </is>
      </c>
      <c r="C7504" t="inlineStr">
        <is>
          <t>C10743</t>
        </is>
      </c>
      <c r="D7504" t="inlineStr">
        <is>
          <t>SKU-10333</t>
        </is>
      </c>
      <c r="E7504" t="inlineStr">
        <is>
          <t>AM11</t>
        </is>
      </c>
      <c r="F7504" s="5" t="n">
        <v>87.12</v>
      </c>
      <c r="G7504">
        <f>IF(LEFT(B7504,1)="C","Credit","Factuur")</f>
        <v/>
      </c>
      <c r="H7504">
        <f>IF(AND(B7504=B7503,D7504=D7503,A7504=A7503,F7504=F7503),1,0)</f>
        <v/>
      </c>
      <c r="I7504">
        <f>IF(C7504="C99999",1,0)</f>
        <v/>
      </c>
      <c r="J7504" s="5">
        <f>IF(OR(H7504=1,I7504=1),0,IF(G7504="Credit",-F7504,F7504))</f>
        <v/>
      </c>
    </row>
    <row r="7505">
      <c r="A7505" t="inlineStr">
        <is>
          <t>2026-09-09</t>
        </is>
      </c>
      <c r="B7505" t="inlineStr">
        <is>
          <t>F274530</t>
        </is>
      </c>
      <c r="C7505" t="inlineStr">
        <is>
          <t>C10767</t>
        </is>
      </c>
      <c r="D7505" t="inlineStr">
        <is>
          <t>SKU-10094</t>
        </is>
      </c>
      <c r="E7505" t="inlineStr">
        <is>
          <t>AM12</t>
        </is>
      </c>
      <c r="F7505" s="5" t="n">
        <v>84.90000000000001</v>
      </c>
      <c r="G7505">
        <f>IF(LEFT(B7505,1)="C","Credit","Factuur")</f>
        <v/>
      </c>
      <c r="H7505">
        <f>IF(AND(B7505=B7504,D7505=D7504,A7505=A7504,F7505=F7504),1,0)</f>
        <v/>
      </c>
      <c r="I7505">
        <f>IF(C7505="C99999",1,0)</f>
        <v/>
      </c>
      <c r="J7505" s="5">
        <f>IF(OR(H7505=1,I7505=1),0,IF(G7505="Credit",-F7505,F7505))</f>
        <v/>
      </c>
    </row>
    <row r="7506">
      <c r="A7506" t="inlineStr">
        <is>
          <t>2026-09-09</t>
        </is>
      </c>
      <c r="B7506" t="inlineStr">
        <is>
          <t>F274530</t>
        </is>
      </c>
      <c r="C7506" t="inlineStr">
        <is>
          <t>C10767</t>
        </is>
      </c>
      <c r="D7506" t="inlineStr">
        <is>
          <t>SKU-10122</t>
        </is>
      </c>
      <c r="E7506" t="inlineStr">
        <is>
          <t>AM12</t>
        </is>
      </c>
      <c r="F7506" s="5" t="n">
        <v>119.04</v>
      </c>
      <c r="G7506">
        <f>IF(LEFT(B7506,1)="C","Credit","Factuur")</f>
        <v/>
      </c>
      <c r="H7506">
        <f>IF(AND(B7506=B7505,D7506=D7505,A7506=A7505,F7506=F7505),1,0)</f>
        <v/>
      </c>
      <c r="I7506">
        <f>IF(C7506="C99999",1,0)</f>
        <v/>
      </c>
      <c r="J7506" s="5">
        <f>IF(OR(H7506=1,I7506=1),0,IF(G7506="Credit",-F7506,F7506))</f>
        <v/>
      </c>
    </row>
    <row r="7507">
      <c r="A7507" t="inlineStr">
        <is>
          <t>2026-09-09</t>
        </is>
      </c>
      <c r="B7507" t="inlineStr">
        <is>
          <t>F274530</t>
        </is>
      </c>
      <c r="C7507" t="inlineStr">
        <is>
          <t>C10767</t>
        </is>
      </c>
      <c r="D7507" t="inlineStr">
        <is>
          <t>SKU-10146</t>
        </is>
      </c>
      <c r="E7507" t="inlineStr">
        <is>
          <t>AM12</t>
        </is>
      </c>
      <c r="F7507" s="5" t="n">
        <v>115.57</v>
      </c>
      <c r="G7507">
        <f>IF(LEFT(B7507,1)="C","Credit","Factuur")</f>
        <v/>
      </c>
      <c r="H7507">
        <f>IF(AND(B7507=B7506,D7507=D7506,A7507=A7506,F7507=F7506),1,0)</f>
        <v/>
      </c>
      <c r="I7507">
        <f>IF(C7507="C99999",1,0)</f>
        <v/>
      </c>
      <c r="J7507" s="5">
        <f>IF(OR(H7507=1,I7507=1),0,IF(G7507="Credit",-F7507,F7507))</f>
        <v/>
      </c>
    </row>
    <row r="7508">
      <c r="A7508" t="inlineStr">
        <is>
          <t>2026-09-09</t>
        </is>
      </c>
      <c r="B7508" t="inlineStr">
        <is>
          <t>F274530</t>
        </is>
      </c>
      <c r="C7508" t="inlineStr">
        <is>
          <t>C10767</t>
        </is>
      </c>
      <c r="D7508" t="inlineStr">
        <is>
          <t>SKU-10212</t>
        </is>
      </c>
      <c r="E7508" t="inlineStr">
        <is>
          <t>AM12</t>
        </is>
      </c>
      <c r="F7508" s="5" t="n">
        <v>93.69</v>
      </c>
      <c r="G7508">
        <f>IF(LEFT(B7508,1)="C","Credit","Factuur")</f>
        <v/>
      </c>
      <c r="H7508">
        <f>IF(AND(B7508=B7507,D7508=D7507,A7508=A7507,F7508=F7507),1,0)</f>
        <v/>
      </c>
      <c r="I7508">
        <f>IF(C7508="C99999",1,0)</f>
        <v/>
      </c>
      <c r="J7508" s="5">
        <f>IF(OR(H7508=1,I7508=1),0,IF(G7508="Credit",-F7508,F7508))</f>
        <v/>
      </c>
    </row>
    <row r="7509">
      <c r="A7509" t="inlineStr">
        <is>
          <t>2026-09-09</t>
        </is>
      </c>
      <c r="B7509" t="inlineStr">
        <is>
          <t>F274724</t>
        </is>
      </c>
      <c r="C7509" t="inlineStr">
        <is>
          <t>C10779</t>
        </is>
      </c>
      <c r="D7509" t="inlineStr">
        <is>
          <t>SKU-10002</t>
        </is>
      </c>
      <c r="E7509" t="inlineStr">
        <is>
          <t>AM09</t>
        </is>
      </c>
      <c r="F7509" s="5" t="n">
        <v>2507.07</v>
      </c>
      <c r="G7509">
        <f>IF(LEFT(B7509,1)="C","Credit","Factuur")</f>
        <v/>
      </c>
      <c r="H7509">
        <f>IF(AND(B7509=B7508,D7509=D7508,A7509=A7508,F7509=F7508),1,0)</f>
        <v/>
      </c>
      <c r="I7509">
        <f>IF(C7509="C99999",1,0)</f>
        <v/>
      </c>
      <c r="J7509" s="5">
        <f>IF(OR(H7509=1,I7509=1),0,IF(G7509="Credit",-F7509,F7509))</f>
        <v/>
      </c>
    </row>
    <row r="7510">
      <c r="A7510" t="inlineStr">
        <is>
          <t>2026-09-09</t>
        </is>
      </c>
      <c r="B7510" t="inlineStr">
        <is>
          <t>F274724</t>
        </is>
      </c>
      <c r="C7510" t="inlineStr">
        <is>
          <t>C10779</t>
        </is>
      </c>
      <c r="D7510" t="inlineStr">
        <is>
          <t>SKU-10205</t>
        </is>
      </c>
      <c r="E7510" t="inlineStr">
        <is>
          <t>AM09</t>
        </is>
      </c>
      <c r="F7510" s="5" t="n">
        <v>2511.65</v>
      </c>
      <c r="G7510">
        <f>IF(LEFT(B7510,1)="C","Credit","Factuur")</f>
        <v/>
      </c>
      <c r="H7510">
        <f>IF(AND(B7510=B7509,D7510=D7509,A7510=A7509,F7510=F7509),1,0)</f>
        <v/>
      </c>
      <c r="I7510">
        <f>IF(C7510="C99999",1,0)</f>
        <v/>
      </c>
      <c r="J7510" s="5">
        <f>IF(OR(H7510=1,I7510=1),0,IF(G7510="Credit",-F7510,F7510))</f>
        <v/>
      </c>
    </row>
    <row r="7511">
      <c r="A7511" t="inlineStr">
        <is>
          <t>2026-09-09</t>
        </is>
      </c>
      <c r="B7511" t="inlineStr">
        <is>
          <t>F274724</t>
        </is>
      </c>
      <c r="C7511" t="inlineStr">
        <is>
          <t>C10779</t>
        </is>
      </c>
      <c r="D7511" t="inlineStr">
        <is>
          <t>SKU-10315</t>
        </is>
      </c>
      <c r="E7511" t="inlineStr">
        <is>
          <t>AM09</t>
        </is>
      </c>
      <c r="F7511" s="5" t="n">
        <v>2668.05</v>
      </c>
      <c r="G7511">
        <f>IF(LEFT(B7511,1)="C","Credit","Factuur")</f>
        <v/>
      </c>
      <c r="H7511">
        <f>IF(AND(B7511=B7510,D7511=D7510,A7511=A7510,F7511=F7510),1,0)</f>
        <v/>
      </c>
      <c r="I7511">
        <f>IF(C7511="C99999",1,0)</f>
        <v/>
      </c>
      <c r="J7511" s="5">
        <f>IF(OR(H7511=1,I7511=1),0,IF(G7511="Credit",-F7511,F7511))</f>
        <v/>
      </c>
    </row>
    <row r="7512">
      <c r="A7512" t="inlineStr">
        <is>
          <t>2026-09-09</t>
        </is>
      </c>
      <c r="B7512" t="inlineStr">
        <is>
          <t>F274724</t>
        </is>
      </c>
      <c r="C7512" t="inlineStr">
        <is>
          <t>C10779</t>
        </is>
      </c>
      <c r="D7512" t="inlineStr">
        <is>
          <t>SKU-10342</t>
        </is>
      </c>
      <c r="E7512" t="inlineStr">
        <is>
          <t>AM09</t>
        </is>
      </c>
      <c r="F7512" s="5" t="n">
        <v>2642.64</v>
      </c>
      <c r="G7512">
        <f>IF(LEFT(B7512,1)="C","Credit","Factuur")</f>
        <v/>
      </c>
      <c r="H7512">
        <f>IF(AND(B7512=B7511,D7512=D7511,A7512=A7511,F7512=F7511),1,0)</f>
        <v/>
      </c>
      <c r="I7512">
        <f>IF(C7512="C99999",1,0)</f>
        <v/>
      </c>
      <c r="J7512" s="5">
        <f>IF(OR(H7512=1,I7512=1),0,IF(G7512="Credit",-F7512,F7512))</f>
        <v/>
      </c>
    </row>
    <row r="7513">
      <c r="A7513" t="inlineStr">
        <is>
          <t>2026-09-09</t>
        </is>
      </c>
      <c r="B7513" t="inlineStr">
        <is>
          <t>F274724</t>
        </is>
      </c>
      <c r="C7513" t="inlineStr">
        <is>
          <t>C10779</t>
        </is>
      </c>
      <c r="D7513" t="inlineStr">
        <is>
          <t>SKU-10347</t>
        </is>
      </c>
      <c r="E7513" t="inlineStr">
        <is>
          <t>AM09</t>
        </is>
      </c>
      <c r="F7513" s="5" t="n">
        <v>2641.6</v>
      </c>
      <c r="G7513">
        <f>IF(LEFT(B7513,1)="C","Credit","Factuur")</f>
        <v/>
      </c>
      <c r="H7513">
        <f>IF(AND(B7513=B7512,D7513=D7512,A7513=A7512,F7513=F7512),1,0)</f>
        <v/>
      </c>
      <c r="I7513">
        <f>IF(C7513="C99999",1,0)</f>
        <v/>
      </c>
      <c r="J7513" s="5">
        <f>IF(OR(H7513=1,I7513=1),0,IF(G7513="Credit",-F7513,F7513))</f>
        <v/>
      </c>
    </row>
    <row r="7514">
      <c r="A7514" t="inlineStr">
        <is>
          <t>2026-09-09</t>
        </is>
      </c>
      <c r="B7514" t="inlineStr">
        <is>
          <t>F274927</t>
        </is>
      </c>
      <c r="C7514" t="inlineStr">
        <is>
          <t>C10787</t>
        </is>
      </c>
      <c r="D7514" t="inlineStr">
        <is>
          <t>SKU-10133</t>
        </is>
      </c>
      <c r="E7514" t="inlineStr">
        <is>
          <t>AM11</t>
        </is>
      </c>
      <c r="F7514" s="5" t="n">
        <v>119.11</v>
      </c>
      <c r="G7514">
        <f>IF(LEFT(B7514,1)="C","Credit","Factuur")</f>
        <v/>
      </c>
      <c r="H7514">
        <f>IF(AND(B7514=B7513,D7514=D7513,A7514=A7513,F7514=F7513),1,0)</f>
        <v/>
      </c>
      <c r="I7514">
        <f>IF(C7514="C99999",1,0)</f>
        <v/>
      </c>
      <c r="J7514" s="5">
        <f>IF(OR(H7514=1,I7514=1),0,IF(G7514="Credit",-F7514,F7514))</f>
        <v/>
      </c>
    </row>
    <row r="7515">
      <c r="A7515" t="inlineStr">
        <is>
          <t>2026-09-09</t>
        </is>
      </c>
      <c r="B7515" t="inlineStr">
        <is>
          <t>F274927</t>
        </is>
      </c>
      <c r="C7515" t="inlineStr">
        <is>
          <t>C10787</t>
        </is>
      </c>
      <c r="D7515" t="inlineStr">
        <is>
          <t>SKU-10136</t>
        </is>
      </c>
      <c r="E7515" t="inlineStr">
        <is>
          <t>AM11</t>
        </is>
      </c>
      <c r="F7515" s="5" t="n">
        <v>125.71</v>
      </c>
      <c r="G7515">
        <f>IF(LEFT(B7515,1)="C","Credit","Factuur")</f>
        <v/>
      </c>
      <c r="H7515">
        <f>IF(AND(B7515=B7514,D7515=D7514,A7515=A7514,F7515=F7514),1,0)</f>
        <v/>
      </c>
      <c r="I7515">
        <f>IF(C7515="C99999",1,0)</f>
        <v/>
      </c>
      <c r="J7515" s="5">
        <f>IF(OR(H7515=1,I7515=1),0,IF(G7515="Credit",-F7515,F7515))</f>
        <v/>
      </c>
    </row>
    <row r="7516">
      <c r="A7516" t="inlineStr">
        <is>
          <t>2026-09-09</t>
        </is>
      </c>
      <c r="B7516" t="inlineStr">
        <is>
          <t>F274927</t>
        </is>
      </c>
      <c r="C7516" t="inlineStr">
        <is>
          <t>C10787</t>
        </is>
      </c>
      <c r="D7516" t="inlineStr">
        <is>
          <t>SKU-10307</t>
        </is>
      </c>
      <c r="E7516" t="inlineStr">
        <is>
          <t>AM11</t>
        </is>
      </c>
      <c r="F7516" s="5" t="n">
        <v>115.09</v>
      </c>
      <c r="G7516">
        <f>IF(LEFT(B7516,1)="C","Credit","Factuur")</f>
        <v/>
      </c>
      <c r="H7516">
        <f>IF(AND(B7516=B7515,D7516=D7515,A7516=A7515,F7516=F7515),1,0)</f>
        <v/>
      </c>
      <c r="I7516">
        <f>IF(C7516="C99999",1,0)</f>
        <v/>
      </c>
      <c r="J7516" s="5">
        <f>IF(OR(H7516=1,I7516=1),0,IF(G7516="Credit",-F7516,F7516))</f>
        <v/>
      </c>
    </row>
    <row r="7517">
      <c r="A7517" t="inlineStr">
        <is>
          <t>2026-09-09</t>
        </is>
      </c>
      <c r="B7517" t="inlineStr">
        <is>
          <t>F276090</t>
        </is>
      </c>
      <c r="C7517" t="inlineStr">
        <is>
          <t>C10855</t>
        </is>
      </c>
      <c r="D7517" t="inlineStr">
        <is>
          <t>SKU-10038</t>
        </is>
      </c>
      <c r="E7517" t="inlineStr">
        <is>
          <t>AM08</t>
        </is>
      </c>
      <c r="F7517" s="5" t="n">
        <v>261.9</v>
      </c>
      <c r="G7517">
        <f>IF(LEFT(B7517,1)="C","Credit","Factuur")</f>
        <v/>
      </c>
      <c r="H7517">
        <f>IF(AND(B7517=B7516,D7517=D7516,A7517=A7516,F7517=F7516),1,0)</f>
        <v/>
      </c>
      <c r="I7517">
        <f>IF(C7517="C99999",1,0)</f>
        <v/>
      </c>
      <c r="J7517" s="5">
        <f>IF(OR(H7517=1,I7517=1),0,IF(G7517="Credit",-F7517,F7517))</f>
        <v/>
      </c>
    </row>
    <row r="7518">
      <c r="A7518" t="inlineStr">
        <is>
          <t>2026-09-09</t>
        </is>
      </c>
      <c r="B7518" t="inlineStr">
        <is>
          <t>F276090</t>
        </is>
      </c>
      <c r="C7518" t="inlineStr">
        <is>
          <t>C10855</t>
        </is>
      </c>
      <c r="D7518" t="inlineStr">
        <is>
          <t>SKU-10156</t>
        </is>
      </c>
      <c r="E7518" t="inlineStr">
        <is>
          <t>AM08</t>
        </is>
      </c>
      <c r="F7518" s="5" t="n">
        <v>255.82</v>
      </c>
      <c r="G7518">
        <f>IF(LEFT(B7518,1)="C","Credit","Factuur")</f>
        <v/>
      </c>
      <c r="H7518">
        <f>IF(AND(B7518=B7517,D7518=D7517,A7518=A7517,F7518=F7517),1,0)</f>
        <v/>
      </c>
      <c r="I7518">
        <f>IF(C7518="C99999",1,0)</f>
        <v/>
      </c>
      <c r="J7518" s="5">
        <f>IF(OR(H7518=1,I7518=1),0,IF(G7518="Credit",-F7518,F7518))</f>
        <v/>
      </c>
    </row>
    <row r="7519">
      <c r="A7519" t="inlineStr">
        <is>
          <t>2026-09-09</t>
        </is>
      </c>
      <c r="B7519" t="inlineStr">
        <is>
          <t>F276090</t>
        </is>
      </c>
      <c r="C7519" t="inlineStr">
        <is>
          <t>C10855</t>
        </is>
      </c>
      <c r="D7519" t="inlineStr">
        <is>
          <t>SKU-10267</t>
        </is>
      </c>
      <c r="E7519" t="inlineStr">
        <is>
          <t>AM08</t>
        </is>
      </c>
      <c r="F7519" s="5" t="n">
        <v>266.04</v>
      </c>
      <c r="G7519">
        <f>IF(LEFT(B7519,1)="C","Credit","Factuur")</f>
        <v/>
      </c>
      <c r="H7519">
        <f>IF(AND(B7519=B7518,D7519=D7518,A7519=A7518,F7519=F7518),1,0)</f>
        <v/>
      </c>
      <c r="I7519">
        <f>IF(C7519="C99999",1,0)</f>
        <v/>
      </c>
      <c r="J7519" s="5">
        <f>IF(OR(H7519=1,I7519=1),0,IF(G7519="Credit",-F7519,F7519))</f>
        <v/>
      </c>
    </row>
    <row r="7520">
      <c r="A7520" t="inlineStr">
        <is>
          <t>2026-09-09</t>
        </is>
      </c>
      <c r="B7520" t="inlineStr">
        <is>
          <t>F277149</t>
        </is>
      </c>
      <c r="C7520" t="inlineStr">
        <is>
          <t>C10910</t>
        </is>
      </c>
      <c r="D7520" t="inlineStr">
        <is>
          <t>SKU-10071</t>
        </is>
      </c>
      <c r="E7520" t="inlineStr">
        <is>
          <t>AM01</t>
        </is>
      </c>
      <c r="F7520" s="5" t="n">
        <v>994.51</v>
      </c>
      <c r="G7520">
        <f>IF(LEFT(B7520,1)="C","Credit","Factuur")</f>
        <v/>
      </c>
      <c r="H7520">
        <f>IF(AND(B7520=B7519,D7520=D7519,A7520=A7519,F7520=F7519),1,0)</f>
        <v/>
      </c>
      <c r="I7520">
        <f>IF(C7520="C99999",1,0)</f>
        <v/>
      </c>
      <c r="J7520" s="5">
        <f>IF(OR(H7520=1,I7520=1),0,IF(G7520="Credit",-F7520,F7520))</f>
        <v/>
      </c>
    </row>
    <row r="7521">
      <c r="A7521" t="inlineStr">
        <is>
          <t>2026-09-09</t>
        </is>
      </c>
      <c r="B7521" t="inlineStr">
        <is>
          <t>F277149</t>
        </is>
      </c>
      <c r="C7521" t="inlineStr">
        <is>
          <t>C10910</t>
        </is>
      </c>
      <c r="D7521" t="inlineStr">
        <is>
          <t>SKU-10312</t>
        </is>
      </c>
      <c r="E7521" t="inlineStr">
        <is>
          <t>AM01</t>
        </is>
      </c>
      <c r="F7521" s="5" t="n">
        <v>1032</v>
      </c>
      <c r="G7521">
        <f>IF(LEFT(B7521,1)="C","Credit","Factuur")</f>
        <v/>
      </c>
      <c r="H7521">
        <f>IF(AND(B7521=B7520,D7521=D7520,A7521=A7520,F7521=F7520),1,0)</f>
        <v/>
      </c>
      <c r="I7521">
        <f>IF(C7521="C99999",1,0)</f>
        <v/>
      </c>
      <c r="J7521" s="5">
        <f>IF(OR(H7521=1,I7521=1),0,IF(G7521="Credit",-F7521,F7521))</f>
        <v/>
      </c>
    </row>
    <row r="7522">
      <c r="A7522" t="inlineStr">
        <is>
          <t>2026-09-09</t>
        </is>
      </c>
      <c r="B7522" t="inlineStr">
        <is>
          <t>F277220</t>
        </is>
      </c>
      <c r="C7522" t="inlineStr">
        <is>
          <t>C10915</t>
        </is>
      </c>
      <c r="D7522" t="inlineStr">
        <is>
          <t>SKU-10018</t>
        </is>
      </c>
      <c r="E7522" t="inlineStr">
        <is>
          <t>AM01</t>
        </is>
      </c>
      <c r="F7522" s="5" t="n">
        <v>916.73</v>
      </c>
      <c r="G7522">
        <f>IF(LEFT(B7522,1)="C","Credit","Factuur")</f>
        <v/>
      </c>
      <c r="H7522">
        <f>IF(AND(B7522=B7521,D7522=D7521,A7522=A7521,F7522=F7521),1,0)</f>
        <v/>
      </c>
      <c r="I7522">
        <f>IF(C7522="C99999",1,0)</f>
        <v/>
      </c>
      <c r="J7522" s="5">
        <f>IF(OR(H7522=1,I7522=1),0,IF(G7522="Credit",-F7522,F7522))</f>
        <v/>
      </c>
    </row>
    <row r="7523">
      <c r="A7523" t="inlineStr">
        <is>
          <t>2026-09-09</t>
        </is>
      </c>
      <c r="B7523" t="inlineStr">
        <is>
          <t>F277220</t>
        </is>
      </c>
      <c r="C7523" t="inlineStr">
        <is>
          <t>C10915</t>
        </is>
      </c>
      <c r="D7523" t="inlineStr">
        <is>
          <t>SKU-10057</t>
        </is>
      </c>
      <c r="E7523" t="inlineStr">
        <is>
          <t>AM01</t>
        </is>
      </c>
      <c r="F7523" s="5" t="n">
        <v>850.5</v>
      </c>
      <c r="G7523">
        <f>IF(LEFT(B7523,1)="C","Credit","Factuur")</f>
        <v/>
      </c>
      <c r="H7523">
        <f>IF(AND(B7523=B7522,D7523=D7522,A7523=A7522,F7523=F7522),1,0)</f>
        <v/>
      </c>
      <c r="I7523">
        <f>IF(C7523="C99999",1,0)</f>
        <v/>
      </c>
      <c r="J7523" s="5">
        <f>IF(OR(H7523=1,I7523=1),0,IF(G7523="Credit",-F7523,F7523))</f>
        <v/>
      </c>
    </row>
    <row r="7524">
      <c r="A7524" t="inlineStr">
        <is>
          <t>2026-09-09</t>
        </is>
      </c>
      <c r="B7524" t="inlineStr">
        <is>
          <t>F277220</t>
        </is>
      </c>
      <c r="C7524" t="inlineStr">
        <is>
          <t>C10915</t>
        </is>
      </c>
      <c r="D7524" t="inlineStr">
        <is>
          <t>SKU-10207</t>
        </is>
      </c>
      <c r="E7524" t="inlineStr">
        <is>
          <t>AM01</t>
        </is>
      </c>
      <c r="F7524" s="5" t="n">
        <v>855.36</v>
      </c>
      <c r="G7524">
        <f>IF(LEFT(B7524,1)="C","Credit","Factuur")</f>
        <v/>
      </c>
      <c r="H7524">
        <f>IF(AND(B7524=B7523,D7524=D7523,A7524=A7523,F7524=F7523),1,0)</f>
        <v/>
      </c>
      <c r="I7524">
        <f>IF(C7524="C99999",1,0)</f>
        <v/>
      </c>
      <c r="J7524" s="5">
        <f>IF(OR(H7524=1,I7524=1),0,IF(G7524="Credit",-F7524,F7524))</f>
        <v/>
      </c>
    </row>
    <row r="7525">
      <c r="A7525" t="inlineStr">
        <is>
          <t>2026-09-09</t>
        </is>
      </c>
      <c r="B7525" t="inlineStr">
        <is>
          <t>F277220</t>
        </is>
      </c>
      <c r="C7525" t="inlineStr">
        <is>
          <t>C10915</t>
        </is>
      </c>
      <c r="D7525" t="inlineStr">
        <is>
          <t>SKU-10212</t>
        </is>
      </c>
      <c r="E7525" t="inlineStr">
        <is>
          <t>AM01</t>
        </is>
      </c>
      <c r="F7525" s="5" t="n">
        <v>796.37</v>
      </c>
      <c r="G7525">
        <f>IF(LEFT(B7525,1)="C","Credit","Factuur")</f>
        <v/>
      </c>
      <c r="H7525">
        <f>IF(AND(B7525=B7524,D7525=D7524,A7525=A7524,F7525=F7524),1,0)</f>
        <v/>
      </c>
      <c r="I7525">
        <f>IF(C7525="C99999",1,0)</f>
        <v/>
      </c>
      <c r="J7525" s="5">
        <f>IF(OR(H7525=1,I7525=1),0,IF(G7525="Credit",-F7525,F7525))</f>
        <v/>
      </c>
    </row>
    <row r="7526">
      <c r="A7526" t="inlineStr">
        <is>
          <t>2026-09-09</t>
        </is>
      </c>
      <c r="B7526" t="inlineStr">
        <is>
          <t>F277220</t>
        </is>
      </c>
      <c r="C7526" t="inlineStr">
        <is>
          <t>C10915</t>
        </is>
      </c>
      <c r="D7526" t="inlineStr">
        <is>
          <t>SKU-10245</t>
        </is>
      </c>
      <c r="E7526" t="inlineStr">
        <is>
          <t>AM01</t>
        </is>
      </c>
      <c r="F7526" s="5" t="n">
        <v>807.5</v>
      </c>
      <c r="G7526">
        <f>IF(LEFT(B7526,1)="C","Credit","Factuur")</f>
        <v/>
      </c>
      <c r="H7526">
        <f>IF(AND(B7526=B7525,D7526=D7525,A7526=A7525,F7526=F7525),1,0)</f>
        <v/>
      </c>
      <c r="I7526">
        <f>IF(C7526="C99999",1,0)</f>
        <v/>
      </c>
      <c r="J7526" s="5">
        <f>IF(OR(H7526=1,I7526=1),0,IF(G7526="Credit",-F7526,F7526))</f>
        <v/>
      </c>
    </row>
    <row r="7527">
      <c r="A7527" t="inlineStr">
        <is>
          <t>2026-09-09</t>
        </is>
      </c>
      <c r="B7527" t="inlineStr">
        <is>
          <t>F277268</t>
        </is>
      </c>
      <c r="C7527" t="inlineStr">
        <is>
          <t>C10918</t>
        </is>
      </c>
      <c r="D7527" t="inlineStr">
        <is>
          <t>SKU-10198</t>
        </is>
      </c>
      <c r="E7527" t="inlineStr">
        <is>
          <t>AM01</t>
        </is>
      </c>
      <c r="F7527" s="5" t="n">
        <v>1545.85</v>
      </c>
      <c r="G7527">
        <f>IF(LEFT(B7527,1)="C","Credit","Factuur")</f>
        <v/>
      </c>
      <c r="H7527">
        <f>IF(AND(B7527=B7526,D7527=D7526,A7527=A7526,F7527=F7526),1,0)</f>
        <v/>
      </c>
      <c r="I7527">
        <f>IF(C7527="C99999",1,0)</f>
        <v/>
      </c>
      <c r="J7527" s="5">
        <f>IF(OR(H7527=1,I7527=1),0,IF(G7527="Credit",-F7527,F7527))</f>
        <v/>
      </c>
    </row>
    <row r="7528">
      <c r="A7528" t="inlineStr">
        <is>
          <t>2026-09-09</t>
        </is>
      </c>
      <c r="B7528" t="inlineStr">
        <is>
          <t>F277268</t>
        </is>
      </c>
      <c r="C7528" t="inlineStr">
        <is>
          <t>C10918</t>
        </is>
      </c>
      <c r="D7528" t="inlineStr">
        <is>
          <t>SKU-10274</t>
        </is>
      </c>
      <c r="E7528" t="inlineStr">
        <is>
          <t>AM01</t>
        </is>
      </c>
      <c r="F7528" s="5" t="n">
        <v>1540.2</v>
      </c>
      <c r="G7528">
        <f>IF(LEFT(B7528,1)="C","Credit","Factuur")</f>
        <v/>
      </c>
      <c r="H7528">
        <f>IF(AND(B7528=B7527,D7528=D7527,A7528=A7527,F7528=F7527),1,0)</f>
        <v/>
      </c>
      <c r="I7528">
        <f>IF(C7528="C99999",1,0)</f>
        <v/>
      </c>
      <c r="J7528" s="5">
        <f>IF(OR(H7528=1,I7528=1),0,IF(G7528="Credit",-F7528,F7528))</f>
        <v/>
      </c>
    </row>
    <row r="7529">
      <c r="A7529" t="inlineStr">
        <is>
          <t>2026-09-09</t>
        </is>
      </c>
      <c r="B7529" t="inlineStr">
        <is>
          <t>F277763</t>
        </is>
      </c>
      <c r="C7529" t="inlineStr">
        <is>
          <t>C10943</t>
        </is>
      </c>
      <c r="D7529" t="inlineStr">
        <is>
          <t>SKU-10088</t>
        </is>
      </c>
      <c r="E7529" t="inlineStr">
        <is>
          <t>AM01</t>
        </is>
      </c>
      <c r="F7529" s="5" t="n">
        <v>3591.33</v>
      </c>
      <c r="G7529">
        <f>IF(LEFT(B7529,1)="C","Credit","Factuur")</f>
        <v/>
      </c>
      <c r="H7529">
        <f>IF(AND(B7529=B7528,D7529=D7528,A7529=A7528,F7529=F7528),1,0)</f>
        <v/>
      </c>
      <c r="I7529">
        <f>IF(C7529="C99999",1,0)</f>
        <v/>
      </c>
      <c r="J7529" s="5">
        <f>IF(OR(H7529=1,I7529=1),0,IF(G7529="Credit",-F7529,F7529))</f>
        <v/>
      </c>
    </row>
    <row r="7530">
      <c r="A7530" t="inlineStr">
        <is>
          <t>2026-09-09</t>
        </is>
      </c>
      <c r="B7530" t="inlineStr">
        <is>
          <t>F278393</t>
        </is>
      </c>
      <c r="C7530" t="inlineStr">
        <is>
          <t>C10974</t>
        </is>
      </c>
      <c r="D7530" t="inlineStr">
        <is>
          <t>SKU-10025</t>
        </is>
      </c>
      <c r="E7530" t="inlineStr">
        <is>
          <t>AM02</t>
        </is>
      </c>
      <c r="F7530" s="5" t="n">
        <v>340.98</v>
      </c>
      <c r="G7530">
        <f>IF(LEFT(B7530,1)="C","Credit","Factuur")</f>
        <v/>
      </c>
      <c r="H7530">
        <f>IF(AND(B7530=B7529,D7530=D7529,A7530=A7529,F7530=F7529),1,0)</f>
        <v/>
      </c>
      <c r="I7530">
        <f>IF(C7530="C99999",1,0)</f>
        <v/>
      </c>
      <c r="J7530" s="5">
        <f>IF(OR(H7530=1,I7530=1),0,IF(G7530="Credit",-F7530,F7530))</f>
        <v/>
      </c>
    </row>
    <row r="7531">
      <c r="A7531" t="inlineStr">
        <is>
          <t>2026-09-09</t>
        </is>
      </c>
      <c r="B7531" t="inlineStr">
        <is>
          <t>F278393</t>
        </is>
      </c>
      <c r="C7531" t="inlineStr">
        <is>
          <t>C10974</t>
        </is>
      </c>
      <c r="D7531" t="inlineStr">
        <is>
          <t>SKU-10083</t>
        </is>
      </c>
      <c r="E7531" t="inlineStr">
        <is>
          <t>AM02</t>
        </is>
      </c>
      <c r="F7531" s="5" t="n">
        <v>362.34</v>
      </c>
      <c r="G7531">
        <f>IF(LEFT(B7531,1)="C","Credit","Factuur")</f>
        <v/>
      </c>
      <c r="H7531">
        <f>IF(AND(B7531=B7530,D7531=D7530,A7531=A7530,F7531=F7530),1,0)</f>
        <v/>
      </c>
      <c r="I7531">
        <f>IF(C7531="C99999",1,0)</f>
        <v/>
      </c>
      <c r="J7531" s="5">
        <f>IF(OR(H7531=1,I7531=1),0,IF(G7531="Credit",-F7531,F7531))</f>
        <v/>
      </c>
    </row>
    <row r="7532">
      <c r="A7532" t="inlineStr">
        <is>
          <t>2026-09-09</t>
        </is>
      </c>
      <c r="B7532" t="inlineStr">
        <is>
          <t>F278393</t>
        </is>
      </c>
      <c r="C7532" t="inlineStr">
        <is>
          <t>C10974</t>
        </is>
      </c>
      <c r="D7532" t="inlineStr">
        <is>
          <t>SKU-10154</t>
        </is>
      </c>
      <c r="E7532" t="inlineStr">
        <is>
          <t>AM02</t>
        </is>
      </c>
      <c r="F7532" s="5" t="n">
        <v>368.55</v>
      </c>
      <c r="G7532">
        <f>IF(LEFT(B7532,1)="C","Credit","Factuur")</f>
        <v/>
      </c>
      <c r="H7532">
        <f>IF(AND(B7532=B7531,D7532=D7531,A7532=A7531,F7532=F7531),1,0)</f>
        <v/>
      </c>
      <c r="I7532">
        <f>IF(C7532="C99999",1,0)</f>
        <v/>
      </c>
      <c r="J7532" s="5">
        <f>IF(OR(H7532=1,I7532=1),0,IF(G7532="Credit",-F7532,F7532))</f>
        <v/>
      </c>
    </row>
    <row r="7533">
      <c r="A7533" t="inlineStr">
        <is>
          <t>2026-09-09</t>
        </is>
      </c>
      <c r="B7533" t="inlineStr">
        <is>
          <t>F278393</t>
        </is>
      </c>
      <c r="C7533" t="inlineStr">
        <is>
          <t>C10974</t>
        </is>
      </c>
      <c r="D7533" t="inlineStr">
        <is>
          <t>SKU-10180</t>
        </is>
      </c>
      <c r="E7533" t="inlineStr">
        <is>
          <t>AM02</t>
        </is>
      </c>
      <c r="F7533" s="5" t="n">
        <v>354.88</v>
      </c>
      <c r="G7533">
        <f>IF(LEFT(B7533,1)="C","Credit","Factuur")</f>
        <v/>
      </c>
      <c r="H7533">
        <f>IF(AND(B7533=B7532,D7533=D7532,A7533=A7532,F7533=F7532),1,0)</f>
        <v/>
      </c>
      <c r="I7533">
        <f>IF(C7533="C99999",1,0)</f>
        <v/>
      </c>
      <c r="J7533" s="5">
        <f>IF(OR(H7533=1,I7533=1),0,IF(G7533="Credit",-F7533,F7533))</f>
        <v/>
      </c>
    </row>
    <row r="7534">
      <c r="A7534" t="inlineStr">
        <is>
          <t>2026-09-09</t>
        </is>
      </c>
      <c r="B7534" t="inlineStr">
        <is>
          <t>F278393</t>
        </is>
      </c>
      <c r="C7534" t="inlineStr">
        <is>
          <t>C10974</t>
        </is>
      </c>
      <c r="D7534" t="inlineStr">
        <is>
          <t>SKU-10183</t>
        </is>
      </c>
      <c r="E7534" t="inlineStr">
        <is>
          <t>AM02</t>
        </is>
      </c>
      <c r="F7534" s="5" t="n">
        <v>369.9</v>
      </c>
      <c r="G7534">
        <f>IF(LEFT(B7534,1)="C","Credit","Factuur")</f>
        <v/>
      </c>
      <c r="H7534">
        <f>IF(AND(B7534=B7533,D7534=D7533,A7534=A7533,F7534=F7533),1,0)</f>
        <v/>
      </c>
      <c r="I7534">
        <f>IF(C7534="C99999",1,0)</f>
        <v/>
      </c>
      <c r="J7534" s="5">
        <f>IF(OR(H7534=1,I7534=1),0,IF(G7534="Credit",-F7534,F7534))</f>
        <v/>
      </c>
    </row>
    <row r="7535">
      <c r="A7535" t="inlineStr">
        <is>
          <t>2026-09-09</t>
        </is>
      </c>
      <c r="B7535" t="inlineStr">
        <is>
          <t>F278393</t>
        </is>
      </c>
      <c r="C7535" t="inlineStr">
        <is>
          <t>C10974</t>
        </is>
      </c>
      <c r="D7535" t="inlineStr">
        <is>
          <t>SKU-10193</t>
        </is>
      </c>
      <c r="E7535" t="inlineStr">
        <is>
          <t>AM02</t>
        </is>
      </c>
      <c r="F7535" s="5" t="n">
        <v>365.94</v>
      </c>
      <c r="G7535">
        <f>IF(LEFT(B7535,1)="C","Credit","Factuur")</f>
        <v/>
      </c>
      <c r="H7535">
        <f>IF(AND(B7535=B7534,D7535=D7534,A7535=A7534,F7535=F7534),1,0)</f>
        <v/>
      </c>
      <c r="I7535">
        <f>IF(C7535="C99999",1,0)</f>
        <v/>
      </c>
      <c r="J7535" s="5">
        <f>IF(OR(H7535=1,I7535=1),0,IF(G7535="Credit",-F7535,F7535))</f>
        <v/>
      </c>
    </row>
    <row r="7536">
      <c r="A7536" t="inlineStr">
        <is>
          <t>2026-09-09</t>
        </is>
      </c>
      <c r="B7536" t="inlineStr">
        <is>
          <t>F278393</t>
        </is>
      </c>
      <c r="C7536" t="inlineStr">
        <is>
          <t>C10974</t>
        </is>
      </c>
      <c r="D7536" t="inlineStr">
        <is>
          <t>SKU-10317</t>
        </is>
      </c>
      <c r="E7536" t="inlineStr">
        <is>
          <t>AM02</t>
        </is>
      </c>
      <c r="F7536" s="5" t="n">
        <v>387.94</v>
      </c>
      <c r="G7536">
        <f>IF(LEFT(B7536,1)="C","Credit","Factuur")</f>
        <v/>
      </c>
      <c r="H7536">
        <f>IF(AND(B7536=B7535,D7536=D7535,A7536=A7535,F7536=F7535),1,0)</f>
        <v/>
      </c>
      <c r="I7536">
        <f>IF(C7536="C99999",1,0)</f>
        <v/>
      </c>
      <c r="J7536" s="5">
        <f>IF(OR(H7536=1,I7536=1),0,IF(G7536="Credit",-F7536,F7536))</f>
        <v/>
      </c>
    </row>
    <row r="7537">
      <c r="A7537" t="inlineStr">
        <is>
          <t>2026-09-09</t>
        </is>
      </c>
      <c r="B7537" t="inlineStr">
        <is>
          <t>F278820</t>
        </is>
      </c>
      <c r="C7537" t="inlineStr">
        <is>
          <t>C10997</t>
        </is>
      </c>
      <c r="D7537" t="inlineStr">
        <is>
          <t>SKU-10001</t>
        </is>
      </c>
      <c r="E7537" t="inlineStr">
        <is>
          <t>AM07</t>
        </is>
      </c>
      <c r="F7537" s="5" t="n">
        <v>266.75</v>
      </c>
      <c r="G7537">
        <f>IF(LEFT(B7537,1)="C","Credit","Factuur")</f>
        <v/>
      </c>
      <c r="H7537">
        <f>IF(AND(B7537=B7536,D7537=D7536,A7537=A7536,F7537=F7536),1,0)</f>
        <v/>
      </c>
      <c r="I7537">
        <f>IF(C7537="C99999",1,0)</f>
        <v/>
      </c>
      <c r="J7537" s="5">
        <f>IF(OR(H7537=1,I7537=1),0,IF(G7537="Credit",-F7537,F7537))</f>
        <v/>
      </c>
    </row>
    <row r="7538">
      <c r="A7538" t="inlineStr">
        <is>
          <t>2026-09-09</t>
        </is>
      </c>
      <c r="B7538" t="inlineStr">
        <is>
          <t>F278820</t>
        </is>
      </c>
      <c r="C7538" t="inlineStr">
        <is>
          <t>C10997</t>
        </is>
      </c>
      <c r="D7538" t="inlineStr">
        <is>
          <t>SKU-10104</t>
        </is>
      </c>
      <c r="E7538" t="inlineStr">
        <is>
          <t>AM07</t>
        </is>
      </c>
      <c r="F7538" s="5" t="n">
        <v>273.42</v>
      </c>
      <c r="G7538">
        <f>IF(LEFT(B7538,1)="C","Credit","Factuur")</f>
        <v/>
      </c>
      <c r="H7538">
        <f>IF(AND(B7538=B7537,D7538=D7537,A7538=A7537,F7538=F7537),1,0)</f>
        <v/>
      </c>
      <c r="I7538">
        <f>IF(C7538="C99999",1,0)</f>
        <v/>
      </c>
      <c r="J7538" s="5">
        <f>IF(OR(H7538=1,I7538=1),0,IF(G7538="Credit",-F7538,F7538))</f>
        <v/>
      </c>
    </row>
    <row r="7539">
      <c r="A7539" t="inlineStr">
        <is>
          <t>2026-09-09</t>
        </is>
      </c>
      <c r="B7539" t="inlineStr">
        <is>
          <t>F278820</t>
        </is>
      </c>
      <c r="C7539" t="inlineStr">
        <is>
          <t>C10997</t>
        </is>
      </c>
      <c r="D7539" t="inlineStr">
        <is>
          <t>SKU-10183</t>
        </is>
      </c>
      <c r="E7539" t="inlineStr">
        <is>
          <t>AM07</t>
        </is>
      </c>
      <c r="F7539" s="5" t="n">
        <v>274</v>
      </c>
      <c r="G7539">
        <f>IF(LEFT(B7539,1)="C","Credit","Factuur")</f>
        <v/>
      </c>
      <c r="H7539">
        <f>IF(AND(B7539=B7538,D7539=D7538,A7539=A7538,F7539=F7538),1,0)</f>
        <v/>
      </c>
      <c r="I7539">
        <f>IF(C7539="C99999",1,0)</f>
        <v/>
      </c>
      <c r="J7539" s="5">
        <f>IF(OR(H7539=1,I7539=1),0,IF(G7539="Credit",-F7539,F7539))</f>
        <v/>
      </c>
    </row>
    <row r="7540">
      <c r="A7540" t="inlineStr">
        <is>
          <t>2026-09-09</t>
        </is>
      </c>
      <c r="B7540" t="inlineStr">
        <is>
          <t>F278820</t>
        </is>
      </c>
      <c r="C7540" t="inlineStr">
        <is>
          <t>C10997</t>
        </is>
      </c>
      <c r="D7540" t="inlineStr">
        <is>
          <t>SKU-10330</t>
        </is>
      </c>
      <c r="E7540" t="inlineStr">
        <is>
          <t>AM07</t>
        </is>
      </c>
      <c r="F7540" s="5" t="n">
        <v>254.61</v>
      </c>
      <c r="G7540">
        <f>IF(LEFT(B7540,1)="C","Credit","Factuur")</f>
        <v/>
      </c>
      <c r="H7540">
        <f>IF(AND(B7540=B7539,D7540=D7539,A7540=A7539,F7540=F7539),1,0)</f>
        <v/>
      </c>
      <c r="I7540">
        <f>IF(C7540="C99999",1,0)</f>
        <v/>
      </c>
      <c r="J7540" s="5">
        <f>IF(OR(H7540=1,I7540=1),0,IF(G7540="Credit",-F7540,F7540))</f>
        <v/>
      </c>
    </row>
    <row r="7541">
      <c r="A7541" t="inlineStr">
        <is>
          <t>2026-09-09</t>
        </is>
      </c>
      <c r="B7541" t="inlineStr">
        <is>
          <t>F278853</t>
        </is>
      </c>
      <c r="C7541" t="inlineStr">
        <is>
          <t>C10998</t>
        </is>
      </c>
      <c r="D7541" t="inlineStr">
        <is>
          <t>SKU-10035</t>
        </is>
      </c>
      <c r="E7541" t="inlineStr">
        <is>
          <t>AM05</t>
        </is>
      </c>
      <c r="F7541" s="5" t="n">
        <v>366.5</v>
      </c>
      <c r="G7541">
        <f>IF(LEFT(B7541,1)="C","Credit","Factuur")</f>
        <v/>
      </c>
      <c r="H7541">
        <f>IF(AND(B7541=B7540,D7541=D7540,A7541=A7540,F7541=F7540),1,0)</f>
        <v/>
      </c>
      <c r="I7541">
        <f>IF(C7541="C99999",1,0)</f>
        <v/>
      </c>
      <c r="J7541" s="5">
        <f>IF(OR(H7541=1,I7541=1),0,IF(G7541="Credit",-F7541,F7541))</f>
        <v/>
      </c>
    </row>
    <row r="7542">
      <c r="A7542" t="inlineStr">
        <is>
          <t>2026-09-09</t>
        </is>
      </c>
      <c r="B7542" t="inlineStr">
        <is>
          <t>F278853</t>
        </is>
      </c>
      <c r="C7542" t="inlineStr">
        <is>
          <t>C10998</t>
        </is>
      </c>
      <c r="D7542" t="inlineStr">
        <is>
          <t>SKU-10287</t>
        </is>
      </c>
      <c r="E7542" t="inlineStr">
        <is>
          <t>AM05</t>
        </is>
      </c>
      <c r="F7542" s="5" t="n">
        <v>361.32</v>
      </c>
      <c r="G7542">
        <f>IF(LEFT(B7542,1)="C","Credit","Factuur")</f>
        <v/>
      </c>
      <c r="H7542">
        <f>IF(AND(B7542=B7541,D7542=D7541,A7542=A7541,F7542=F7541),1,0)</f>
        <v/>
      </c>
      <c r="I7542">
        <f>IF(C7542="C99999",1,0)</f>
        <v/>
      </c>
      <c r="J7542" s="5">
        <f>IF(OR(H7542=1,I7542=1),0,IF(G7542="Credit",-F7542,F7542))</f>
        <v/>
      </c>
    </row>
    <row r="7543">
      <c r="A7543" t="inlineStr">
        <is>
          <t>2026-09-09</t>
        </is>
      </c>
      <c r="B7543" t="inlineStr">
        <is>
          <t>F278853</t>
        </is>
      </c>
      <c r="C7543" t="inlineStr">
        <is>
          <t>C10998</t>
        </is>
      </c>
      <c r="D7543" t="inlineStr">
        <is>
          <t>SKU-10307</t>
        </is>
      </c>
      <c r="E7543" t="inlineStr">
        <is>
          <t>AM05</t>
        </is>
      </c>
      <c r="F7543" s="5" t="n">
        <v>353.73</v>
      </c>
      <c r="G7543">
        <f>IF(LEFT(B7543,1)="C","Credit","Factuur")</f>
        <v/>
      </c>
      <c r="H7543">
        <f>IF(AND(B7543=B7542,D7543=D7542,A7543=A7542,F7543=F7542),1,0)</f>
        <v/>
      </c>
      <c r="I7543">
        <f>IF(C7543="C99999",1,0)</f>
        <v/>
      </c>
      <c r="J7543" s="5">
        <f>IF(OR(H7543=1,I7543=1),0,IF(G7543="Credit",-F7543,F7543))</f>
        <v/>
      </c>
    </row>
    <row r="7544">
      <c r="A7544" t="inlineStr">
        <is>
          <t>2026-09-09</t>
        </is>
      </c>
      <c r="B7544" t="inlineStr">
        <is>
          <t>F278853</t>
        </is>
      </c>
      <c r="C7544" t="inlineStr">
        <is>
          <t>C10998</t>
        </is>
      </c>
      <c r="D7544" t="inlineStr">
        <is>
          <t>SKU-10339</t>
        </is>
      </c>
      <c r="E7544" t="inlineStr">
        <is>
          <t>AM05</t>
        </is>
      </c>
      <c r="F7544" s="5" t="n">
        <v>361.2</v>
      </c>
      <c r="G7544">
        <f>IF(LEFT(B7544,1)="C","Credit","Factuur")</f>
        <v/>
      </c>
      <c r="H7544">
        <f>IF(AND(B7544=B7543,D7544=D7543,A7544=A7543,F7544=F7543),1,0)</f>
        <v/>
      </c>
      <c r="I7544">
        <f>IF(C7544="C99999",1,0)</f>
        <v/>
      </c>
      <c r="J7544" s="5">
        <f>IF(OR(H7544=1,I7544=1),0,IF(G7544="Credit",-F7544,F7544))</f>
        <v/>
      </c>
    </row>
    <row r="7545">
      <c r="A7545" t="inlineStr">
        <is>
          <t>2026-09-09</t>
        </is>
      </c>
      <c r="B7545" t="inlineStr">
        <is>
          <t>F278911</t>
        </is>
      </c>
      <c r="C7545" t="inlineStr">
        <is>
          <t>C11002</t>
        </is>
      </c>
      <c r="D7545" t="inlineStr">
        <is>
          <t>SKU-10142</t>
        </is>
      </c>
      <c r="E7545" t="inlineStr">
        <is>
          <t>AM06</t>
        </is>
      </c>
      <c r="F7545" s="5" t="n">
        <v>579.6799999999999</v>
      </c>
      <c r="G7545">
        <f>IF(LEFT(B7545,1)="C","Credit","Factuur")</f>
        <v/>
      </c>
      <c r="H7545">
        <f>IF(AND(B7545=B7544,D7545=D7544,A7545=A7544,F7545=F7544),1,0)</f>
        <v/>
      </c>
      <c r="I7545">
        <f>IF(C7545="C99999",1,0)</f>
        <v/>
      </c>
      <c r="J7545" s="5">
        <f>IF(OR(H7545=1,I7545=1),0,IF(G7545="Credit",-F7545,F7545))</f>
        <v/>
      </c>
    </row>
    <row r="7546">
      <c r="A7546" t="inlineStr">
        <is>
          <t>2026-09-09</t>
        </is>
      </c>
      <c r="B7546" t="inlineStr">
        <is>
          <t>F279678</t>
        </is>
      </c>
      <c r="C7546" t="inlineStr">
        <is>
          <t>C11043</t>
        </is>
      </c>
      <c r="D7546" t="inlineStr">
        <is>
          <t>SKU-10071</t>
        </is>
      </c>
      <c r="E7546" t="inlineStr">
        <is>
          <t>AM02</t>
        </is>
      </c>
      <c r="F7546" s="5" t="n">
        <v>89.73</v>
      </c>
      <c r="G7546">
        <f>IF(LEFT(B7546,1)="C","Credit","Factuur")</f>
        <v/>
      </c>
      <c r="H7546">
        <f>IF(AND(B7546=B7545,D7546=D7545,A7546=A7545,F7546=F7545),1,0)</f>
        <v/>
      </c>
      <c r="I7546">
        <f>IF(C7546="C99999",1,0)</f>
        <v/>
      </c>
      <c r="J7546" s="5">
        <f>IF(OR(H7546=1,I7546=1),0,IF(G7546="Credit",-F7546,F7546))</f>
        <v/>
      </c>
    </row>
    <row r="7547">
      <c r="A7547" t="inlineStr">
        <is>
          <t>2026-09-09</t>
        </is>
      </c>
      <c r="B7547" t="inlineStr">
        <is>
          <t>F279678</t>
        </is>
      </c>
      <c r="C7547" t="inlineStr">
        <is>
          <t>C11043</t>
        </is>
      </c>
      <c r="D7547" t="inlineStr">
        <is>
          <t>SKU-10365</t>
        </is>
      </c>
      <c r="E7547" t="inlineStr">
        <is>
          <t>AM02</t>
        </is>
      </c>
      <c r="F7547" s="5" t="n">
        <v>318.02</v>
      </c>
      <c r="G7547">
        <f>IF(LEFT(B7547,1)="C","Credit","Factuur")</f>
        <v/>
      </c>
      <c r="H7547">
        <f>IF(AND(B7547=B7546,D7547=D7546,A7547=A7546,F7547=F7546),1,0)</f>
        <v/>
      </c>
      <c r="I7547">
        <f>IF(C7547="C99999",1,0)</f>
        <v/>
      </c>
      <c r="J7547" s="5">
        <f>IF(OR(H7547=1,I7547=1),0,IF(G7547="Credit",-F7547,F7547))</f>
        <v/>
      </c>
    </row>
    <row r="7548">
      <c r="A7548" t="inlineStr">
        <is>
          <t>2026-09-09</t>
        </is>
      </c>
      <c r="B7548" t="inlineStr">
        <is>
          <t>F279963</t>
        </is>
      </c>
      <c r="C7548" t="inlineStr">
        <is>
          <t>C11055</t>
        </is>
      </c>
      <c r="D7548" t="inlineStr">
        <is>
          <t>SKU-10002</t>
        </is>
      </c>
      <c r="E7548" t="inlineStr">
        <is>
          <t>AM03</t>
        </is>
      </c>
      <c r="F7548" s="5" t="n">
        <v>218.01</v>
      </c>
      <c r="G7548">
        <f>IF(LEFT(B7548,1)="C","Credit","Factuur")</f>
        <v/>
      </c>
      <c r="H7548">
        <f>IF(AND(B7548=B7547,D7548=D7547,A7548=A7547,F7548=F7547),1,0)</f>
        <v/>
      </c>
      <c r="I7548">
        <f>IF(C7548="C99999",1,0)</f>
        <v/>
      </c>
      <c r="J7548" s="5">
        <f>IF(OR(H7548=1,I7548=1),0,IF(G7548="Credit",-F7548,F7548))</f>
        <v/>
      </c>
    </row>
    <row r="7549">
      <c r="A7549" t="inlineStr">
        <is>
          <t>2026-09-09</t>
        </is>
      </c>
      <c r="B7549" t="inlineStr">
        <is>
          <t>F279963</t>
        </is>
      </c>
      <c r="C7549" t="inlineStr">
        <is>
          <t>C11055</t>
        </is>
      </c>
      <c r="D7549" t="inlineStr">
        <is>
          <t>SKU-10048</t>
        </is>
      </c>
      <c r="E7549" t="inlineStr">
        <is>
          <t>AM03</t>
        </is>
      </c>
      <c r="F7549" s="5" t="n">
        <v>236.75</v>
      </c>
      <c r="G7549">
        <f>IF(LEFT(B7549,1)="C","Credit","Factuur")</f>
        <v/>
      </c>
      <c r="H7549">
        <f>IF(AND(B7549=B7548,D7549=D7548,A7549=A7548,F7549=F7548),1,0)</f>
        <v/>
      </c>
      <c r="I7549">
        <f>IF(C7549="C99999",1,0)</f>
        <v/>
      </c>
      <c r="J7549" s="5">
        <f>IF(OR(H7549=1,I7549=1),0,IF(G7549="Credit",-F7549,F7549))</f>
        <v/>
      </c>
    </row>
    <row r="7550">
      <c r="A7550" t="inlineStr">
        <is>
          <t>2026-09-09</t>
        </is>
      </c>
      <c r="B7550" t="inlineStr">
        <is>
          <t>F279963</t>
        </is>
      </c>
      <c r="C7550" t="inlineStr">
        <is>
          <t>C11055</t>
        </is>
      </c>
      <c r="D7550" t="inlineStr">
        <is>
          <t>SKU-10053</t>
        </is>
      </c>
      <c r="E7550" t="inlineStr">
        <is>
          <t>AM03</t>
        </is>
      </c>
      <c r="F7550" s="5" t="n">
        <v>249.38</v>
      </c>
      <c r="G7550">
        <f>IF(LEFT(B7550,1)="C","Credit","Factuur")</f>
        <v/>
      </c>
      <c r="H7550">
        <f>IF(AND(B7550=B7549,D7550=D7549,A7550=A7549,F7550=F7549),1,0)</f>
        <v/>
      </c>
      <c r="I7550">
        <f>IF(C7550="C99999",1,0)</f>
        <v/>
      </c>
      <c r="J7550" s="5">
        <f>IF(OR(H7550=1,I7550=1),0,IF(G7550="Credit",-F7550,F7550))</f>
        <v/>
      </c>
    </row>
    <row r="7551">
      <c r="A7551" t="inlineStr">
        <is>
          <t>2026-09-09</t>
        </is>
      </c>
      <c r="B7551" t="inlineStr">
        <is>
          <t>F279963</t>
        </is>
      </c>
      <c r="C7551" t="inlineStr">
        <is>
          <t>C11055</t>
        </is>
      </c>
      <c r="D7551" t="inlineStr">
        <is>
          <t>SKU-10221</t>
        </is>
      </c>
      <c r="E7551" t="inlineStr">
        <is>
          <t>AM03</t>
        </is>
      </c>
      <c r="F7551" s="5" t="n">
        <v>221.94</v>
      </c>
      <c r="G7551">
        <f>IF(LEFT(B7551,1)="C","Credit","Factuur")</f>
        <v/>
      </c>
      <c r="H7551">
        <f>IF(AND(B7551=B7550,D7551=D7550,A7551=A7550,F7551=F7550),1,0)</f>
        <v/>
      </c>
      <c r="I7551">
        <f>IF(C7551="C99999",1,0)</f>
        <v/>
      </c>
      <c r="J7551" s="5">
        <f>IF(OR(H7551=1,I7551=1),0,IF(G7551="Credit",-F7551,F7551))</f>
        <v/>
      </c>
    </row>
    <row r="7552">
      <c r="A7552" t="inlineStr">
        <is>
          <t>2026-09-09</t>
        </is>
      </c>
      <c r="B7552" t="inlineStr">
        <is>
          <t>F279963</t>
        </is>
      </c>
      <c r="C7552" t="inlineStr">
        <is>
          <t>C11055</t>
        </is>
      </c>
      <c r="D7552" t="inlineStr">
        <is>
          <t>SKU-10259</t>
        </is>
      </c>
      <c r="E7552" t="inlineStr">
        <is>
          <t>AM03</t>
        </is>
      </c>
      <c r="F7552" s="5" t="n">
        <v>214.06</v>
      </c>
      <c r="G7552">
        <f>IF(LEFT(B7552,1)="C","Credit","Factuur")</f>
        <v/>
      </c>
      <c r="H7552">
        <f>IF(AND(B7552=B7551,D7552=D7551,A7552=A7551,F7552=F7551),1,0)</f>
        <v/>
      </c>
      <c r="I7552">
        <f>IF(C7552="C99999",1,0)</f>
        <v/>
      </c>
      <c r="J7552" s="5">
        <f>IF(OR(H7552=1,I7552=1),0,IF(G7552="Credit",-F7552,F7552))</f>
        <v/>
      </c>
    </row>
    <row r="7553">
      <c r="A7553" t="inlineStr">
        <is>
          <t>2026-09-09</t>
        </is>
      </c>
      <c r="B7553" t="inlineStr">
        <is>
          <t>F280568</t>
        </is>
      </c>
      <c r="C7553" t="inlineStr">
        <is>
          <t>C11084</t>
        </is>
      </c>
      <c r="D7553" t="inlineStr">
        <is>
          <t>SKU-10108</t>
        </is>
      </c>
      <c r="E7553" t="inlineStr">
        <is>
          <t>AM12</t>
        </is>
      </c>
      <c r="F7553" s="5" t="n">
        <v>278.79</v>
      </c>
      <c r="G7553">
        <f>IF(LEFT(B7553,1)="C","Credit","Factuur")</f>
        <v/>
      </c>
      <c r="H7553">
        <f>IF(AND(B7553=B7552,D7553=D7552,A7553=A7552,F7553=F7552),1,0)</f>
        <v/>
      </c>
      <c r="I7553">
        <f>IF(C7553="C99999",1,0)</f>
        <v/>
      </c>
      <c r="J7553" s="5">
        <f>IF(OR(H7553=1,I7553=1),0,IF(G7553="Credit",-F7553,F7553))</f>
        <v/>
      </c>
    </row>
    <row r="7554">
      <c r="A7554" t="inlineStr">
        <is>
          <t>2026-09-09</t>
        </is>
      </c>
      <c r="B7554" t="inlineStr">
        <is>
          <t>F280568</t>
        </is>
      </c>
      <c r="C7554" t="inlineStr">
        <is>
          <t>C11084</t>
        </is>
      </c>
      <c r="D7554" t="inlineStr">
        <is>
          <t>SKU-10126</t>
        </is>
      </c>
      <c r="E7554" t="inlineStr">
        <is>
          <t>AM12</t>
        </is>
      </c>
      <c r="F7554" s="5" t="n">
        <v>262.3</v>
      </c>
      <c r="G7554">
        <f>IF(LEFT(B7554,1)="C","Credit","Factuur")</f>
        <v/>
      </c>
      <c r="H7554">
        <f>IF(AND(B7554=B7553,D7554=D7553,A7554=A7553,F7554=F7553),1,0)</f>
        <v/>
      </c>
      <c r="I7554">
        <f>IF(C7554="C99999",1,0)</f>
        <v/>
      </c>
      <c r="J7554" s="5">
        <f>IF(OR(H7554=1,I7554=1),0,IF(G7554="Credit",-F7554,F7554))</f>
        <v/>
      </c>
    </row>
    <row r="7555">
      <c r="A7555" t="inlineStr">
        <is>
          <t>2026-09-09</t>
        </is>
      </c>
      <c r="B7555" t="inlineStr">
        <is>
          <t>F280568</t>
        </is>
      </c>
      <c r="C7555" t="inlineStr">
        <is>
          <t>C11084</t>
        </is>
      </c>
      <c r="D7555" t="inlineStr">
        <is>
          <t>SKU-10277</t>
        </is>
      </c>
      <c r="E7555" t="inlineStr">
        <is>
          <t>AM12</t>
        </is>
      </c>
      <c r="F7555" s="5" t="n">
        <v>270.18</v>
      </c>
      <c r="G7555">
        <f>IF(LEFT(B7555,1)="C","Credit","Factuur")</f>
        <v/>
      </c>
      <c r="H7555">
        <f>IF(AND(B7555=B7554,D7555=D7554,A7555=A7554,F7555=F7554),1,0)</f>
        <v/>
      </c>
      <c r="I7555">
        <f>IF(C7555="C99999",1,0)</f>
        <v/>
      </c>
      <c r="J7555" s="5">
        <f>IF(OR(H7555=1,I7555=1),0,IF(G7555="Credit",-F7555,F7555))</f>
        <v/>
      </c>
    </row>
    <row r="7556">
      <c r="A7556" t="inlineStr">
        <is>
          <t>2026-09-09</t>
        </is>
      </c>
      <c r="B7556" t="inlineStr">
        <is>
          <t>F281133</t>
        </is>
      </c>
      <c r="C7556" t="inlineStr">
        <is>
          <t>C11113</t>
        </is>
      </c>
      <c r="D7556" t="inlineStr">
        <is>
          <t>SKU-10354</t>
        </is>
      </c>
      <c r="E7556" t="inlineStr">
        <is>
          <t>AM01</t>
        </is>
      </c>
      <c r="F7556" s="5" t="n">
        <v>972.71</v>
      </c>
      <c r="G7556">
        <f>IF(LEFT(B7556,1)="C","Credit","Factuur")</f>
        <v/>
      </c>
      <c r="H7556">
        <f>IF(AND(B7556=B7555,D7556=D7555,A7556=A7555,F7556=F7555),1,0)</f>
        <v/>
      </c>
      <c r="I7556">
        <f>IF(C7556="C99999",1,0)</f>
        <v/>
      </c>
      <c r="J7556" s="5">
        <f>IF(OR(H7556=1,I7556=1),0,IF(G7556="Credit",-F7556,F7556))</f>
        <v/>
      </c>
    </row>
    <row r="7557">
      <c r="A7557" t="inlineStr">
        <is>
          <t>2026-09-09</t>
        </is>
      </c>
      <c r="B7557" t="inlineStr">
        <is>
          <t>F282665</t>
        </is>
      </c>
      <c r="C7557" t="inlineStr">
        <is>
          <t>C11190</t>
        </is>
      </c>
      <c r="D7557" t="inlineStr">
        <is>
          <t>SKU-10252</t>
        </is>
      </c>
      <c r="E7557" t="inlineStr">
        <is>
          <t>AM07</t>
        </is>
      </c>
      <c r="F7557" s="5" t="n">
        <v>1993.86</v>
      </c>
      <c r="G7557">
        <f>IF(LEFT(B7557,1)="C","Credit","Factuur")</f>
        <v/>
      </c>
      <c r="H7557">
        <f>IF(AND(B7557=B7556,D7557=D7556,A7557=A7556,F7557=F7556),1,0)</f>
        <v/>
      </c>
      <c r="I7557">
        <f>IF(C7557="C99999",1,0)</f>
        <v/>
      </c>
      <c r="J7557" s="5">
        <f>IF(OR(H7557=1,I7557=1),0,IF(G7557="Credit",-F7557,F7557))</f>
        <v/>
      </c>
    </row>
    <row r="7558">
      <c r="A7558" t="inlineStr">
        <is>
          <t>2026-09-09</t>
        </is>
      </c>
      <c r="B7558" t="inlineStr">
        <is>
          <t>F282668</t>
        </is>
      </c>
      <c r="C7558" t="inlineStr">
        <is>
          <t>C11190</t>
        </is>
      </c>
      <c r="D7558" t="inlineStr">
        <is>
          <t>SKU-10033</t>
        </is>
      </c>
      <c r="E7558" t="inlineStr">
        <is>
          <t>AM07</t>
        </is>
      </c>
      <c r="F7558" s="5" t="n">
        <v>419.49</v>
      </c>
      <c r="G7558">
        <f>IF(LEFT(B7558,1)="C","Credit","Factuur")</f>
        <v/>
      </c>
      <c r="H7558">
        <f>IF(AND(B7558=B7557,D7558=D7557,A7558=A7557,F7558=F7557),1,0)</f>
        <v/>
      </c>
      <c r="I7558">
        <f>IF(C7558="C99999",1,0)</f>
        <v/>
      </c>
      <c r="J7558" s="5">
        <f>IF(OR(H7558=1,I7558=1),0,IF(G7558="Credit",-F7558,F7558))</f>
        <v/>
      </c>
    </row>
    <row r="7559">
      <c r="A7559" t="inlineStr">
        <is>
          <t>2026-09-09</t>
        </is>
      </c>
      <c r="B7559" t="inlineStr">
        <is>
          <t>F282668</t>
        </is>
      </c>
      <c r="C7559" t="inlineStr">
        <is>
          <t>C11190</t>
        </is>
      </c>
      <c r="D7559" t="inlineStr">
        <is>
          <t>SKU-10040</t>
        </is>
      </c>
      <c r="E7559" t="inlineStr">
        <is>
          <t>AM07</t>
        </is>
      </c>
      <c r="F7559" s="5" t="n">
        <v>383.31</v>
      </c>
      <c r="G7559">
        <f>IF(LEFT(B7559,1)="C","Credit","Factuur")</f>
        <v/>
      </c>
      <c r="H7559">
        <f>IF(AND(B7559=B7558,D7559=D7558,A7559=A7558,F7559=F7558),1,0)</f>
        <v/>
      </c>
      <c r="I7559">
        <f>IF(C7559="C99999",1,0)</f>
        <v/>
      </c>
      <c r="J7559" s="5">
        <f>IF(OR(H7559=1,I7559=1),0,IF(G7559="Credit",-F7559,F7559))</f>
        <v/>
      </c>
    </row>
    <row r="7560">
      <c r="A7560" t="inlineStr">
        <is>
          <t>2026-09-09</t>
        </is>
      </c>
      <c r="B7560" t="inlineStr">
        <is>
          <t>F282668</t>
        </is>
      </c>
      <c r="C7560" t="inlineStr">
        <is>
          <t>C11190</t>
        </is>
      </c>
      <c r="D7560" t="inlineStr">
        <is>
          <t>SKU-10079</t>
        </is>
      </c>
      <c r="E7560" t="inlineStr">
        <is>
          <t>AM07</t>
        </is>
      </c>
      <c r="F7560" s="5" t="n">
        <v>443.08</v>
      </c>
      <c r="G7560">
        <f>IF(LEFT(B7560,1)="C","Credit","Factuur")</f>
        <v/>
      </c>
      <c r="H7560">
        <f>IF(AND(B7560=B7559,D7560=D7559,A7560=A7559,F7560=F7559),1,0)</f>
        <v/>
      </c>
      <c r="I7560">
        <f>IF(C7560="C99999",1,0)</f>
        <v/>
      </c>
      <c r="J7560" s="5">
        <f>IF(OR(H7560=1,I7560=1),0,IF(G7560="Credit",-F7560,F7560))</f>
        <v/>
      </c>
    </row>
    <row r="7561">
      <c r="A7561" t="inlineStr">
        <is>
          <t>2026-09-09</t>
        </is>
      </c>
      <c r="B7561" t="inlineStr">
        <is>
          <t>F282668</t>
        </is>
      </c>
      <c r="C7561" t="inlineStr">
        <is>
          <t>C11190</t>
        </is>
      </c>
      <c r="D7561" t="inlineStr">
        <is>
          <t>SKU-10261</t>
        </is>
      </c>
      <c r="E7561" t="inlineStr">
        <is>
          <t>AM07</t>
        </is>
      </c>
      <c r="F7561" s="5" t="n">
        <v>438.24</v>
      </c>
      <c r="G7561">
        <f>IF(LEFT(B7561,1)="C","Credit","Factuur")</f>
        <v/>
      </c>
      <c r="H7561">
        <f>IF(AND(B7561=B7560,D7561=D7560,A7561=A7560,F7561=F7560),1,0)</f>
        <v/>
      </c>
      <c r="I7561">
        <f>IF(C7561="C99999",1,0)</f>
        <v/>
      </c>
      <c r="J7561" s="5">
        <f>IF(OR(H7561=1,I7561=1),0,IF(G7561="Credit",-F7561,F7561))</f>
        <v/>
      </c>
    </row>
    <row r="7562">
      <c r="A7562" t="inlineStr">
        <is>
          <t>2026-09-09</t>
        </is>
      </c>
      <c r="B7562" t="inlineStr">
        <is>
          <t>F283344</t>
        </is>
      </c>
      <c r="C7562" t="inlineStr">
        <is>
          <t>C11226</t>
        </is>
      </c>
      <c r="D7562" t="inlineStr">
        <is>
          <t>SKU-10043</t>
        </is>
      </c>
      <c r="E7562" t="inlineStr">
        <is>
          <t>AM07</t>
        </is>
      </c>
      <c r="F7562" s="5" t="n">
        <v>178.08</v>
      </c>
      <c r="G7562">
        <f>IF(LEFT(B7562,1)="C","Credit","Factuur")</f>
        <v/>
      </c>
      <c r="H7562">
        <f>IF(AND(B7562=B7561,D7562=D7561,A7562=A7561,F7562=F7561),1,0)</f>
        <v/>
      </c>
      <c r="I7562">
        <f>IF(C7562="C99999",1,0)</f>
        <v/>
      </c>
      <c r="J7562" s="5">
        <f>IF(OR(H7562=1,I7562=1),0,IF(G7562="Credit",-F7562,F7562))</f>
        <v/>
      </c>
    </row>
    <row r="7563">
      <c r="A7563" t="inlineStr">
        <is>
          <t>2026-09-09</t>
        </is>
      </c>
      <c r="B7563" t="inlineStr">
        <is>
          <t>F283344</t>
        </is>
      </c>
      <c r="C7563" t="inlineStr">
        <is>
          <t>C11226</t>
        </is>
      </c>
      <c r="D7563" t="inlineStr">
        <is>
          <t>SKU-10095</t>
        </is>
      </c>
      <c r="E7563" t="inlineStr">
        <is>
          <t>AM07</t>
        </is>
      </c>
      <c r="F7563" s="5" t="n">
        <v>157.84</v>
      </c>
      <c r="G7563">
        <f>IF(LEFT(B7563,1)="C","Credit","Factuur")</f>
        <v/>
      </c>
      <c r="H7563">
        <f>IF(AND(B7563=B7562,D7563=D7562,A7563=A7562,F7563=F7562),1,0)</f>
        <v/>
      </c>
      <c r="I7563">
        <f>IF(C7563="C99999",1,0)</f>
        <v/>
      </c>
      <c r="J7563" s="5">
        <f>IF(OR(H7563=1,I7563=1),0,IF(G7563="Credit",-F7563,F7563))</f>
        <v/>
      </c>
    </row>
    <row r="7564">
      <c r="A7564" t="inlineStr">
        <is>
          <t>2026-09-09</t>
        </is>
      </c>
      <c r="B7564" t="inlineStr">
        <is>
          <t>F283344</t>
        </is>
      </c>
      <c r="C7564" t="inlineStr">
        <is>
          <t>C11226</t>
        </is>
      </c>
      <c r="D7564" t="inlineStr">
        <is>
          <t>SKU-10148</t>
        </is>
      </c>
      <c r="E7564" t="inlineStr">
        <is>
          <t>AM07</t>
        </is>
      </c>
      <c r="F7564" s="5" t="n">
        <v>178.74</v>
      </c>
      <c r="G7564">
        <f>IF(LEFT(B7564,1)="C","Credit","Factuur")</f>
        <v/>
      </c>
      <c r="H7564">
        <f>IF(AND(B7564=B7563,D7564=D7563,A7564=A7563,F7564=F7563),1,0)</f>
        <v/>
      </c>
      <c r="I7564">
        <f>IF(C7564="C99999",1,0)</f>
        <v/>
      </c>
      <c r="J7564" s="5">
        <f>IF(OR(H7564=1,I7564=1),0,IF(G7564="Credit",-F7564,F7564))</f>
        <v/>
      </c>
    </row>
    <row r="7565">
      <c r="A7565" t="inlineStr">
        <is>
          <t>2026-09-09</t>
        </is>
      </c>
      <c r="B7565" t="inlineStr">
        <is>
          <t>F283344</t>
        </is>
      </c>
      <c r="C7565" t="inlineStr">
        <is>
          <t>C11226</t>
        </is>
      </c>
      <c r="D7565" t="inlineStr">
        <is>
          <t>SKU-10211</t>
        </is>
      </c>
      <c r="E7565" t="inlineStr">
        <is>
          <t>AM07</t>
        </is>
      </c>
      <c r="F7565" s="5" t="n">
        <v>146.24</v>
      </c>
      <c r="G7565">
        <f>IF(LEFT(B7565,1)="C","Credit","Factuur")</f>
        <v/>
      </c>
      <c r="H7565">
        <f>IF(AND(B7565=B7564,D7565=D7564,A7565=A7564,F7565=F7564),1,0)</f>
        <v/>
      </c>
      <c r="I7565">
        <f>IF(C7565="C99999",1,0)</f>
        <v/>
      </c>
      <c r="J7565" s="5">
        <f>IF(OR(H7565=1,I7565=1),0,IF(G7565="Credit",-F7565,F7565))</f>
        <v/>
      </c>
    </row>
    <row r="7566">
      <c r="A7566" t="inlineStr">
        <is>
          <t>2026-09-09</t>
        </is>
      </c>
      <c r="B7566" t="inlineStr">
        <is>
          <t>F283344</t>
        </is>
      </c>
      <c r="C7566" t="inlineStr">
        <is>
          <t>C11226</t>
        </is>
      </c>
      <c r="D7566" t="inlineStr">
        <is>
          <t>SKU-10238</t>
        </is>
      </c>
      <c r="E7566" t="inlineStr">
        <is>
          <t>AM07</t>
        </is>
      </c>
      <c r="F7566" s="5" t="n">
        <v>166.25</v>
      </c>
      <c r="G7566">
        <f>IF(LEFT(B7566,1)="C","Credit","Factuur")</f>
        <v/>
      </c>
      <c r="H7566">
        <f>IF(AND(B7566=B7565,D7566=D7565,A7566=A7565,F7566=F7565),1,0)</f>
        <v/>
      </c>
      <c r="I7566">
        <f>IF(C7566="C99999",1,0)</f>
        <v/>
      </c>
      <c r="J7566" s="5">
        <f>IF(OR(H7566=1,I7566=1),0,IF(G7566="Credit",-F7566,F7566))</f>
        <v/>
      </c>
    </row>
    <row r="7567">
      <c r="A7567" t="inlineStr">
        <is>
          <t>2026-09-09</t>
        </is>
      </c>
      <c r="B7567" t="inlineStr">
        <is>
          <t>F283344</t>
        </is>
      </c>
      <c r="C7567" t="inlineStr">
        <is>
          <t>C11226</t>
        </is>
      </c>
      <c r="D7567" t="inlineStr">
        <is>
          <t>SKU-10323</t>
        </is>
      </c>
      <c r="E7567" t="inlineStr">
        <is>
          <t>AM07</t>
        </is>
      </c>
      <c r="F7567" s="5" t="n">
        <v>176.5</v>
      </c>
      <c r="G7567">
        <f>IF(LEFT(B7567,1)="C","Credit","Factuur")</f>
        <v/>
      </c>
      <c r="H7567">
        <f>IF(AND(B7567=B7566,D7567=D7566,A7567=A7566,F7567=F7566),1,0)</f>
        <v/>
      </c>
      <c r="I7567">
        <f>IF(C7567="C99999",1,0)</f>
        <v/>
      </c>
      <c r="J7567" s="5">
        <f>IF(OR(H7567=1,I7567=1),0,IF(G7567="Credit",-F7567,F7567))</f>
        <v/>
      </c>
    </row>
    <row r="7568">
      <c r="A7568" t="inlineStr">
        <is>
          <t>2026-09-09</t>
        </is>
      </c>
      <c r="B7568" t="inlineStr">
        <is>
          <t>F283344</t>
        </is>
      </c>
      <c r="C7568" t="inlineStr">
        <is>
          <t>C11226</t>
        </is>
      </c>
      <c r="D7568" t="inlineStr">
        <is>
          <t>SKU-10345</t>
        </is>
      </c>
      <c r="E7568" t="inlineStr">
        <is>
          <t>AM07</t>
        </is>
      </c>
      <c r="F7568" s="5" t="n">
        <v>180.55</v>
      </c>
      <c r="G7568">
        <f>IF(LEFT(B7568,1)="C","Credit","Factuur")</f>
        <v/>
      </c>
      <c r="H7568">
        <f>IF(AND(B7568=B7567,D7568=D7567,A7568=A7567,F7568=F7567),1,0)</f>
        <v/>
      </c>
      <c r="I7568">
        <f>IF(C7568="C99999",1,0)</f>
        <v/>
      </c>
      <c r="J7568" s="5">
        <f>IF(OR(H7568=1,I7568=1),0,IF(G7568="Credit",-F7568,F7568))</f>
        <v/>
      </c>
    </row>
    <row r="7569">
      <c r="A7569" t="inlineStr">
        <is>
          <t>2026-09-09</t>
        </is>
      </c>
      <c r="B7569" t="inlineStr">
        <is>
          <t>F283399</t>
        </is>
      </c>
      <c r="C7569" t="inlineStr">
        <is>
          <t>C11228</t>
        </is>
      </c>
      <c r="D7569" t="inlineStr">
        <is>
          <t>SKU-10053</t>
        </is>
      </c>
      <c r="E7569" t="inlineStr">
        <is>
          <t>AM02</t>
        </is>
      </c>
      <c r="F7569" s="5" t="n">
        <v>659.0599999999999</v>
      </c>
      <c r="G7569">
        <f>IF(LEFT(B7569,1)="C","Credit","Factuur")</f>
        <v/>
      </c>
      <c r="H7569">
        <f>IF(AND(B7569=B7568,D7569=D7568,A7569=A7568,F7569=F7568),1,0)</f>
        <v/>
      </c>
      <c r="I7569">
        <f>IF(C7569="C99999",1,0)</f>
        <v/>
      </c>
      <c r="J7569" s="5">
        <f>IF(OR(H7569=1,I7569=1),0,IF(G7569="Credit",-F7569,F7569))</f>
        <v/>
      </c>
    </row>
    <row r="7570">
      <c r="A7570" t="inlineStr">
        <is>
          <t>2026-09-09</t>
        </is>
      </c>
      <c r="B7570" t="inlineStr">
        <is>
          <t>F283399</t>
        </is>
      </c>
      <c r="C7570" t="inlineStr">
        <is>
          <t>C11228</t>
        </is>
      </c>
      <c r="D7570" t="inlineStr">
        <is>
          <t>SKU-10269</t>
        </is>
      </c>
      <c r="E7570" t="inlineStr">
        <is>
          <t>AM02</t>
        </is>
      </c>
      <c r="F7570" s="5" t="n">
        <v>609.52</v>
      </c>
      <c r="G7570">
        <f>IF(LEFT(B7570,1)="C","Credit","Factuur")</f>
        <v/>
      </c>
      <c r="H7570">
        <f>IF(AND(B7570=B7569,D7570=D7569,A7570=A7569,F7570=F7569),1,0)</f>
        <v/>
      </c>
      <c r="I7570">
        <f>IF(C7570="C99999",1,0)</f>
        <v/>
      </c>
      <c r="J7570" s="5">
        <f>IF(OR(H7570=1,I7570=1),0,IF(G7570="Credit",-F7570,F7570))</f>
        <v/>
      </c>
    </row>
    <row r="7571">
      <c r="A7571" t="inlineStr">
        <is>
          <t>2026-09-09</t>
        </is>
      </c>
      <c r="B7571" t="inlineStr">
        <is>
          <t>F283399</t>
        </is>
      </c>
      <c r="C7571" t="inlineStr">
        <is>
          <t>C11228</t>
        </is>
      </c>
      <c r="D7571" t="inlineStr">
        <is>
          <t>SKU-10330</t>
        </is>
      </c>
      <c r="E7571" t="inlineStr">
        <is>
          <t>AM02</t>
        </is>
      </c>
      <c r="F7571" s="5" t="n">
        <v>707.25</v>
      </c>
      <c r="G7571">
        <f>IF(LEFT(B7571,1)="C","Credit","Factuur")</f>
        <v/>
      </c>
      <c r="H7571">
        <f>IF(AND(B7571=B7570,D7571=D7570,A7571=A7570,F7571=F7570),1,0)</f>
        <v/>
      </c>
      <c r="I7571">
        <f>IF(C7571="C99999",1,0)</f>
        <v/>
      </c>
      <c r="J7571" s="5">
        <f>IF(OR(H7571=1,I7571=1),0,IF(G7571="Credit",-F7571,F7571))</f>
        <v/>
      </c>
    </row>
    <row r="7572">
      <c r="A7572" t="inlineStr">
        <is>
          <t>2026-09-09</t>
        </is>
      </c>
      <c r="B7572" t="inlineStr">
        <is>
          <t>F283586</t>
        </is>
      </c>
      <c r="C7572" t="inlineStr">
        <is>
          <t>C11238</t>
        </is>
      </c>
      <c r="D7572" t="inlineStr">
        <is>
          <t>SKU-10173</t>
        </is>
      </c>
      <c r="E7572" t="inlineStr">
        <is>
          <t>AM07</t>
        </is>
      </c>
      <c r="F7572" s="5" t="n">
        <v>752.5</v>
      </c>
      <c r="G7572">
        <f>IF(LEFT(B7572,1)="C","Credit","Factuur")</f>
        <v/>
      </c>
      <c r="H7572">
        <f>IF(AND(B7572=B7571,D7572=D7571,A7572=A7571,F7572=F7571),1,0)</f>
        <v/>
      </c>
      <c r="I7572">
        <f>IF(C7572="C99999",1,0)</f>
        <v/>
      </c>
      <c r="J7572" s="5">
        <f>IF(OR(H7572=1,I7572=1),0,IF(G7572="Credit",-F7572,F7572))</f>
        <v/>
      </c>
    </row>
    <row r="7573">
      <c r="A7573" t="inlineStr">
        <is>
          <t>2026-09-09</t>
        </is>
      </c>
      <c r="B7573" t="inlineStr">
        <is>
          <t>F283586</t>
        </is>
      </c>
      <c r="C7573" t="inlineStr">
        <is>
          <t>C11238</t>
        </is>
      </c>
      <c r="D7573" t="inlineStr">
        <is>
          <t>SKU-10306</t>
        </is>
      </c>
      <c r="E7573" t="inlineStr">
        <is>
          <t>AM07</t>
        </is>
      </c>
      <c r="F7573" s="5" t="n">
        <v>698.29</v>
      </c>
      <c r="G7573">
        <f>IF(LEFT(B7573,1)="C","Credit","Factuur")</f>
        <v/>
      </c>
      <c r="H7573">
        <f>IF(AND(B7573=B7572,D7573=D7572,A7573=A7572,F7573=F7572),1,0)</f>
        <v/>
      </c>
      <c r="I7573">
        <f>IF(C7573="C99999",1,0)</f>
        <v/>
      </c>
      <c r="J7573" s="5">
        <f>IF(OR(H7573=1,I7573=1),0,IF(G7573="Credit",-F7573,F7573))</f>
        <v/>
      </c>
    </row>
    <row r="7574">
      <c r="A7574" t="inlineStr">
        <is>
          <t>2026-09-09</t>
        </is>
      </c>
      <c r="B7574" t="inlineStr">
        <is>
          <t>F283586</t>
        </is>
      </c>
      <c r="C7574" t="inlineStr">
        <is>
          <t>C11238</t>
        </is>
      </c>
      <c r="D7574" t="inlineStr">
        <is>
          <t>SKU-10324</t>
        </is>
      </c>
      <c r="E7574" t="inlineStr">
        <is>
          <t>AM07</t>
        </is>
      </c>
      <c r="F7574" s="5" t="n">
        <v>701.5599999999999</v>
      </c>
      <c r="G7574">
        <f>IF(LEFT(B7574,1)="C","Credit","Factuur")</f>
        <v/>
      </c>
      <c r="H7574">
        <f>IF(AND(B7574=B7573,D7574=D7573,A7574=A7573,F7574=F7573),1,0)</f>
        <v/>
      </c>
      <c r="I7574">
        <f>IF(C7574="C99999",1,0)</f>
        <v/>
      </c>
      <c r="J7574" s="5">
        <f>IF(OR(H7574=1,I7574=1),0,IF(G7574="Credit",-F7574,F7574))</f>
        <v/>
      </c>
    </row>
    <row r="7575">
      <c r="A7575" t="inlineStr">
        <is>
          <t>2026-09-09</t>
        </is>
      </c>
      <c r="B7575" t="inlineStr">
        <is>
          <t>F283783</t>
        </is>
      </c>
      <c r="C7575" t="inlineStr">
        <is>
          <t>C11246</t>
        </is>
      </c>
      <c r="D7575" t="inlineStr">
        <is>
          <t>SKU-10042</t>
        </is>
      </c>
      <c r="E7575" t="inlineStr">
        <is>
          <t>AM02</t>
        </is>
      </c>
      <c r="F7575" s="5" t="n">
        <v>159.91</v>
      </c>
      <c r="G7575">
        <f>IF(LEFT(B7575,1)="C","Credit","Factuur")</f>
        <v/>
      </c>
      <c r="H7575">
        <f>IF(AND(B7575=B7574,D7575=D7574,A7575=A7574,F7575=F7574),1,0)</f>
        <v/>
      </c>
      <c r="I7575">
        <f>IF(C7575="C99999",1,0)</f>
        <v/>
      </c>
      <c r="J7575" s="5">
        <f>IF(OR(H7575=1,I7575=1),0,IF(G7575="Credit",-F7575,F7575))</f>
        <v/>
      </c>
    </row>
    <row r="7576">
      <c r="A7576" t="inlineStr">
        <is>
          <t>2026-09-09</t>
        </is>
      </c>
      <c r="B7576" t="inlineStr">
        <is>
          <t>F283783</t>
        </is>
      </c>
      <c r="C7576" t="inlineStr">
        <is>
          <t>C11246</t>
        </is>
      </c>
      <c r="D7576" t="inlineStr">
        <is>
          <t>SKU-10058</t>
        </is>
      </c>
      <c r="E7576" t="inlineStr">
        <is>
          <t>AM02</t>
        </is>
      </c>
      <c r="F7576" s="5" t="n">
        <v>164.82</v>
      </c>
      <c r="G7576">
        <f>IF(LEFT(B7576,1)="C","Credit","Factuur")</f>
        <v/>
      </c>
      <c r="H7576">
        <f>IF(AND(B7576=B7575,D7576=D7575,A7576=A7575,F7576=F7575),1,0)</f>
        <v/>
      </c>
      <c r="I7576">
        <f>IF(C7576="C99999",1,0)</f>
        <v/>
      </c>
      <c r="J7576" s="5">
        <f>IF(OR(H7576=1,I7576=1),0,IF(G7576="Credit",-F7576,F7576))</f>
        <v/>
      </c>
    </row>
    <row r="7577">
      <c r="A7577" t="inlineStr">
        <is>
          <t>2026-09-09</t>
        </is>
      </c>
      <c r="B7577" t="inlineStr">
        <is>
          <t>F283783</t>
        </is>
      </c>
      <c r="C7577" t="inlineStr">
        <is>
          <t>C11246</t>
        </is>
      </c>
      <c r="D7577" t="inlineStr">
        <is>
          <t>SKU-10086</t>
        </is>
      </c>
      <c r="E7577" t="inlineStr">
        <is>
          <t>AM02</t>
        </is>
      </c>
      <c r="F7577" s="5" t="n">
        <v>160.8</v>
      </c>
      <c r="G7577">
        <f>IF(LEFT(B7577,1)="C","Credit","Factuur")</f>
        <v/>
      </c>
      <c r="H7577">
        <f>IF(AND(B7577=B7576,D7577=D7576,A7577=A7576,F7577=F7576),1,0)</f>
        <v/>
      </c>
      <c r="I7577">
        <f>IF(C7577="C99999",1,0)</f>
        <v/>
      </c>
      <c r="J7577" s="5">
        <f>IF(OR(H7577=1,I7577=1),0,IF(G7577="Credit",-F7577,F7577))</f>
        <v/>
      </c>
    </row>
    <row r="7578">
      <c r="A7578" t="inlineStr">
        <is>
          <t>2026-09-09</t>
        </is>
      </c>
      <c r="B7578" t="inlineStr">
        <is>
          <t>F283783</t>
        </is>
      </c>
      <c r="C7578" t="inlineStr">
        <is>
          <t>C11246</t>
        </is>
      </c>
      <c r="D7578" t="inlineStr">
        <is>
          <t>SKU-10129</t>
        </is>
      </c>
      <c r="E7578" t="inlineStr">
        <is>
          <t>AM02</t>
        </is>
      </c>
      <c r="F7578" s="5" t="n">
        <v>207.26</v>
      </c>
      <c r="G7578">
        <f>IF(LEFT(B7578,1)="C","Credit","Factuur")</f>
        <v/>
      </c>
      <c r="H7578">
        <f>IF(AND(B7578=B7577,D7578=D7577,A7578=A7577,F7578=F7577),1,0)</f>
        <v/>
      </c>
      <c r="I7578">
        <f>IF(C7578="C99999",1,0)</f>
        <v/>
      </c>
      <c r="J7578" s="5">
        <f>IF(OR(H7578=1,I7578=1),0,IF(G7578="Credit",-F7578,F7578))</f>
        <v/>
      </c>
    </row>
    <row r="7579">
      <c r="A7579" t="inlineStr">
        <is>
          <t>2026-09-09</t>
        </is>
      </c>
      <c r="B7579" t="inlineStr">
        <is>
          <t>F283783</t>
        </is>
      </c>
      <c r="C7579" t="inlineStr">
        <is>
          <t>C11246</t>
        </is>
      </c>
      <c r="D7579" t="inlineStr">
        <is>
          <t>SKU-10190</t>
        </is>
      </c>
      <c r="E7579" t="inlineStr">
        <is>
          <t>AM02</t>
        </is>
      </c>
      <c r="F7579" s="5" t="n">
        <v>175.28</v>
      </c>
      <c r="G7579">
        <f>IF(LEFT(B7579,1)="C","Credit","Factuur")</f>
        <v/>
      </c>
      <c r="H7579">
        <f>IF(AND(B7579=B7578,D7579=D7578,A7579=A7578,F7579=F7578),1,0)</f>
        <v/>
      </c>
      <c r="I7579">
        <f>IF(C7579="C99999",1,0)</f>
        <v/>
      </c>
      <c r="J7579" s="5">
        <f>IF(OR(H7579=1,I7579=1),0,IF(G7579="Credit",-F7579,F7579))</f>
        <v/>
      </c>
    </row>
    <row r="7580">
      <c r="A7580" t="inlineStr">
        <is>
          <t>2026-09-09</t>
        </is>
      </c>
      <c r="B7580" t="inlineStr">
        <is>
          <t>F283915</t>
        </is>
      </c>
      <c r="C7580" t="inlineStr">
        <is>
          <t>C11252</t>
        </is>
      </c>
      <c r="D7580" t="inlineStr">
        <is>
          <t>SKU-10024</t>
        </is>
      </c>
      <c r="E7580" t="inlineStr">
        <is>
          <t>AM08</t>
        </is>
      </c>
      <c r="F7580" s="5" t="n">
        <v>169.12</v>
      </c>
      <c r="G7580">
        <f>IF(LEFT(B7580,1)="C","Credit","Factuur")</f>
        <v/>
      </c>
      <c r="H7580">
        <f>IF(AND(B7580=B7579,D7580=D7579,A7580=A7579,F7580=F7579),1,0)</f>
        <v/>
      </c>
      <c r="I7580">
        <f>IF(C7580="C99999",1,0)</f>
        <v/>
      </c>
      <c r="J7580" s="5">
        <f>IF(OR(H7580=1,I7580=1),0,IF(G7580="Credit",-F7580,F7580))</f>
        <v/>
      </c>
    </row>
    <row r="7581">
      <c r="A7581" t="inlineStr">
        <is>
          <t>2026-09-09</t>
        </is>
      </c>
      <c r="B7581" t="inlineStr">
        <is>
          <t>F283915</t>
        </is>
      </c>
      <c r="C7581" t="inlineStr">
        <is>
          <t>C11252</t>
        </is>
      </c>
      <c r="D7581" t="inlineStr">
        <is>
          <t>SKU-10213</t>
        </is>
      </c>
      <c r="E7581" t="inlineStr">
        <is>
          <t>AM08</t>
        </is>
      </c>
      <c r="F7581" s="5" t="n">
        <v>171.45</v>
      </c>
      <c r="G7581">
        <f>IF(LEFT(B7581,1)="C","Credit","Factuur")</f>
        <v/>
      </c>
      <c r="H7581">
        <f>IF(AND(B7581=B7580,D7581=D7580,A7581=A7580,F7581=F7580),1,0)</f>
        <v/>
      </c>
      <c r="I7581">
        <f>IF(C7581="C99999",1,0)</f>
        <v/>
      </c>
      <c r="J7581" s="5">
        <f>IF(OR(H7581=1,I7581=1),0,IF(G7581="Credit",-F7581,F7581))</f>
        <v/>
      </c>
    </row>
    <row r="7582">
      <c r="A7582" t="inlineStr">
        <is>
          <t>2026-09-09</t>
        </is>
      </c>
      <c r="B7582" t="inlineStr">
        <is>
          <t>F283915</t>
        </is>
      </c>
      <c r="C7582" t="inlineStr">
        <is>
          <t>C11252</t>
        </is>
      </c>
      <c r="D7582" t="inlineStr">
        <is>
          <t>SKU-10274</t>
        </is>
      </c>
      <c r="E7582" t="inlineStr">
        <is>
          <t>AM08</t>
        </is>
      </c>
      <c r="F7582" s="5" t="n">
        <v>154.02</v>
      </c>
      <c r="G7582">
        <f>IF(LEFT(B7582,1)="C","Credit","Factuur")</f>
        <v/>
      </c>
      <c r="H7582">
        <f>IF(AND(B7582=B7581,D7582=D7581,A7582=A7581,F7582=F7581),1,0)</f>
        <v/>
      </c>
      <c r="I7582">
        <f>IF(C7582="C99999",1,0)</f>
        <v/>
      </c>
      <c r="J7582" s="5">
        <f>IF(OR(H7582=1,I7582=1),0,IF(G7582="Credit",-F7582,F7582))</f>
        <v/>
      </c>
    </row>
    <row r="7583">
      <c r="A7583" t="inlineStr">
        <is>
          <t>2026-09-09</t>
        </is>
      </c>
      <c r="B7583" t="inlineStr">
        <is>
          <t>F283915</t>
        </is>
      </c>
      <c r="C7583" t="inlineStr">
        <is>
          <t>C11252</t>
        </is>
      </c>
      <c r="D7583" t="inlineStr">
        <is>
          <t>SKU-10311</t>
        </is>
      </c>
      <c r="E7583" t="inlineStr">
        <is>
          <t>AM08</t>
        </is>
      </c>
      <c r="F7583" s="5" t="n">
        <v>161.81</v>
      </c>
      <c r="G7583">
        <f>IF(LEFT(B7583,1)="C","Credit","Factuur")</f>
        <v/>
      </c>
      <c r="H7583">
        <f>IF(AND(B7583=B7582,D7583=D7582,A7583=A7582,F7583=F7582),1,0)</f>
        <v/>
      </c>
      <c r="I7583">
        <f>IF(C7583="C99999",1,0)</f>
        <v/>
      </c>
      <c r="J7583" s="5">
        <f>IF(OR(H7583=1,I7583=1),0,IF(G7583="Credit",-F7583,F7583))</f>
        <v/>
      </c>
    </row>
    <row r="7584">
      <c r="A7584" t="inlineStr">
        <is>
          <t>2026-09-09</t>
        </is>
      </c>
      <c r="B7584" t="inlineStr">
        <is>
          <t>F284193</t>
        </is>
      </c>
      <c r="C7584" t="inlineStr">
        <is>
          <t>C11265</t>
        </is>
      </c>
      <c r="D7584" t="inlineStr">
        <is>
          <t>SKU-10329</t>
        </is>
      </c>
      <c r="E7584" t="inlineStr">
        <is>
          <t>AM07</t>
        </is>
      </c>
      <c r="F7584" s="5" t="n">
        <v>489.71</v>
      </c>
      <c r="G7584">
        <f>IF(LEFT(B7584,1)="C","Credit","Factuur")</f>
        <v/>
      </c>
      <c r="H7584">
        <f>IF(AND(B7584=B7583,D7584=D7583,A7584=A7583,F7584=F7583),1,0)</f>
        <v/>
      </c>
      <c r="I7584">
        <f>IF(C7584="C99999",1,0)</f>
        <v/>
      </c>
      <c r="J7584" s="5">
        <f>IF(OR(H7584=1,I7584=1),0,IF(G7584="Credit",-F7584,F7584))</f>
        <v/>
      </c>
    </row>
    <row r="7585">
      <c r="A7585" t="inlineStr">
        <is>
          <t>2026-09-09</t>
        </is>
      </c>
      <c r="B7585" t="inlineStr">
        <is>
          <t>F284200</t>
        </is>
      </c>
      <c r="C7585" t="inlineStr">
        <is>
          <t>C11265</t>
        </is>
      </c>
      <c r="D7585" t="inlineStr">
        <is>
          <t>SKU-10271</t>
        </is>
      </c>
      <c r="E7585" t="inlineStr">
        <is>
          <t>AM07</t>
        </is>
      </c>
      <c r="F7585" s="5" t="n">
        <v>254.36</v>
      </c>
      <c r="G7585">
        <f>IF(LEFT(B7585,1)="C","Credit","Factuur")</f>
        <v/>
      </c>
      <c r="H7585">
        <f>IF(AND(B7585=B7584,D7585=D7584,A7585=A7584,F7585=F7584),1,0)</f>
        <v/>
      </c>
      <c r="I7585">
        <f>IF(C7585="C99999",1,0)</f>
        <v/>
      </c>
      <c r="J7585" s="5">
        <f>IF(OR(H7585=1,I7585=1),0,IF(G7585="Credit",-F7585,F7585))</f>
        <v/>
      </c>
    </row>
    <row r="7586">
      <c r="A7586" t="inlineStr">
        <is>
          <t>2026-09-09</t>
        </is>
      </c>
      <c r="B7586" t="inlineStr">
        <is>
          <t>F284200</t>
        </is>
      </c>
      <c r="C7586" t="inlineStr">
        <is>
          <t>C11265</t>
        </is>
      </c>
      <c r="D7586" t="inlineStr">
        <is>
          <t>SKU-10339</t>
        </is>
      </c>
      <c r="E7586" t="inlineStr">
        <is>
          <t>AM07</t>
        </is>
      </c>
      <c r="F7586" s="5" t="n">
        <v>278.12</v>
      </c>
      <c r="G7586">
        <f>IF(LEFT(B7586,1)="C","Credit","Factuur")</f>
        <v/>
      </c>
      <c r="H7586">
        <f>IF(AND(B7586=B7585,D7586=D7585,A7586=A7585,F7586=F7585),1,0)</f>
        <v/>
      </c>
      <c r="I7586">
        <f>IF(C7586="C99999",1,0)</f>
        <v/>
      </c>
      <c r="J7586" s="5">
        <f>IF(OR(H7586=1,I7586=1),0,IF(G7586="Credit",-F7586,F7586))</f>
        <v/>
      </c>
    </row>
    <row r="7587">
      <c r="A7587" t="inlineStr">
        <is>
          <t>2026-09-09</t>
        </is>
      </c>
      <c r="B7587" t="inlineStr">
        <is>
          <t>F284342</t>
        </is>
      </c>
      <c r="C7587" t="inlineStr">
        <is>
          <t>C11273</t>
        </is>
      </c>
      <c r="D7587" t="inlineStr">
        <is>
          <t>SKU-10011</t>
        </is>
      </c>
      <c r="E7587" t="inlineStr">
        <is>
          <t>IS01</t>
        </is>
      </c>
      <c r="F7587" s="5" t="n">
        <v>24.36</v>
      </c>
      <c r="G7587">
        <f>IF(LEFT(B7587,1)="C","Credit","Factuur")</f>
        <v/>
      </c>
      <c r="H7587">
        <f>IF(AND(B7587=B7586,D7587=D7586,A7587=A7586,F7587=F7586),1,0)</f>
        <v/>
      </c>
      <c r="I7587">
        <f>IF(C7587="C99999",1,0)</f>
        <v/>
      </c>
      <c r="J7587" s="5">
        <f>IF(OR(H7587=1,I7587=1),0,IF(G7587="Credit",-F7587,F7587))</f>
        <v/>
      </c>
    </row>
    <row r="7588">
      <c r="A7588" t="inlineStr">
        <is>
          <t>2026-09-09</t>
        </is>
      </c>
      <c r="B7588" t="inlineStr">
        <is>
          <t>F284342</t>
        </is>
      </c>
      <c r="C7588" t="inlineStr">
        <is>
          <t>C11273</t>
        </is>
      </c>
      <c r="D7588" t="inlineStr">
        <is>
          <t>SKU-10029</t>
        </is>
      </c>
      <c r="E7588" t="inlineStr">
        <is>
          <t>IS01</t>
        </is>
      </c>
      <c r="F7588" s="5" t="n">
        <v>44.77</v>
      </c>
      <c r="G7588">
        <f>IF(LEFT(B7588,1)="C","Credit","Factuur")</f>
        <v/>
      </c>
      <c r="H7588">
        <f>IF(AND(B7588=B7587,D7588=D7587,A7588=A7587,F7588=F7587),1,0)</f>
        <v/>
      </c>
      <c r="I7588">
        <f>IF(C7588="C99999",1,0)</f>
        <v/>
      </c>
      <c r="J7588" s="5">
        <f>IF(OR(H7588=1,I7588=1),0,IF(G7588="Credit",-F7588,F7588))</f>
        <v/>
      </c>
    </row>
    <row r="7589">
      <c r="A7589" t="inlineStr">
        <is>
          <t>2026-09-09</t>
        </is>
      </c>
      <c r="B7589" t="inlineStr">
        <is>
          <t>F284342</t>
        </is>
      </c>
      <c r="C7589" t="inlineStr">
        <is>
          <t>C11273</t>
        </is>
      </c>
      <c r="D7589" t="inlineStr">
        <is>
          <t>SKU-10068</t>
        </is>
      </c>
      <c r="E7589" t="inlineStr">
        <is>
          <t>IS01</t>
        </is>
      </c>
      <c r="F7589" s="5" t="n">
        <v>21.78</v>
      </c>
      <c r="G7589">
        <f>IF(LEFT(B7589,1)="C","Credit","Factuur")</f>
        <v/>
      </c>
      <c r="H7589">
        <f>IF(AND(B7589=B7588,D7589=D7588,A7589=A7588,F7589=F7588),1,0)</f>
        <v/>
      </c>
      <c r="I7589">
        <f>IF(C7589="C99999",1,0)</f>
        <v/>
      </c>
      <c r="J7589" s="5">
        <f>IF(OR(H7589=1,I7589=1),0,IF(G7589="Credit",-F7589,F7589))</f>
        <v/>
      </c>
    </row>
    <row r="7590">
      <c r="A7590" t="inlineStr">
        <is>
          <t>2026-09-09</t>
        </is>
      </c>
      <c r="B7590" t="inlineStr">
        <is>
          <t>F284342</t>
        </is>
      </c>
      <c r="C7590" t="inlineStr">
        <is>
          <t>C11273</t>
        </is>
      </c>
      <c r="D7590" t="inlineStr">
        <is>
          <t>SKU-10085</t>
        </is>
      </c>
      <c r="E7590" t="inlineStr">
        <is>
          <t>IS01</t>
        </is>
      </c>
      <c r="F7590" s="5" t="n">
        <v>24.98</v>
      </c>
      <c r="G7590">
        <f>IF(LEFT(B7590,1)="C","Credit","Factuur")</f>
        <v/>
      </c>
      <c r="H7590">
        <f>IF(AND(B7590=B7589,D7590=D7589,A7590=A7589,F7590=F7589),1,0)</f>
        <v/>
      </c>
      <c r="I7590">
        <f>IF(C7590="C99999",1,0)</f>
        <v/>
      </c>
      <c r="J7590" s="5">
        <f>IF(OR(H7590=1,I7590=1),0,IF(G7590="Credit",-F7590,F7590))</f>
        <v/>
      </c>
    </row>
    <row r="7591">
      <c r="A7591" t="inlineStr">
        <is>
          <t>2026-09-09</t>
        </is>
      </c>
      <c r="B7591" t="inlineStr">
        <is>
          <t>F284511</t>
        </is>
      </c>
      <c r="C7591" t="inlineStr">
        <is>
          <t>C11285</t>
        </is>
      </c>
      <c r="D7591" t="inlineStr">
        <is>
          <t>SKU-10027</t>
        </is>
      </c>
      <c r="E7591" t="inlineStr">
        <is>
          <t>AM01</t>
        </is>
      </c>
      <c r="F7591" s="5" t="n">
        <v>664.08</v>
      </c>
      <c r="G7591">
        <f>IF(LEFT(B7591,1)="C","Credit","Factuur")</f>
        <v/>
      </c>
      <c r="H7591">
        <f>IF(AND(B7591=B7590,D7591=D7590,A7591=A7590,F7591=F7590),1,0)</f>
        <v/>
      </c>
      <c r="I7591">
        <f>IF(C7591="C99999",1,0)</f>
        <v/>
      </c>
      <c r="J7591" s="5">
        <f>IF(OR(H7591=1,I7591=1),0,IF(G7591="Credit",-F7591,F7591))</f>
        <v/>
      </c>
    </row>
    <row r="7592">
      <c r="A7592" t="inlineStr">
        <is>
          <t>2026-09-09</t>
        </is>
      </c>
      <c r="B7592" t="inlineStr">
        <is>
          <t>F284511</t>
        </is>
      </c>
      <c r="C7592" t="inlineStr">
        <is>
          <t>C11285</t>
        </is>
      </c>
      <c r="D7592" t="inlineStr">
        <is>
          <t>SKU-10277</t>
        </is>
      </c>
      <c r="E7592" t="inlineStr">
        <is>
          <t>AM01</t>
        </is>
      </c>
      <c r="F7592" s="5" t="n">
        <v>639.9</v>
      </c>
      <c r="G7592">
        <f>IF(LEFT(B7592,1)="C","Credit","Factuur")</f>
        <v/>
      </c>
      <c r="H7592">
        <f>IF(AND(B7592=B7591,D7592=D7591,A7592=A7591,F7592=F7591),1,0)</f>
        <v/>
      </c>
      <c r="I7592">
        <f>IF(C7592="C99999",1,0)</f>
        <v/>
      </c>
      <c r="J7592" s="5">
        <f>IF(OR(H7592=1,I7592=1),0,IF(G7592="Credit",-F7592,F7592))</f>
        <v/>
      </c>
    </row>
    <row r="7593">
      <c r="A7593" t="inlineStr">
        <is>
          <t>2026-09-09</t>
        </is>
      </c>
      <c r="B7593" t="inlineStr">
        <is>
          <t>F284563</t>
        </is>
      </c>
      <c r="C7593" t="inlineStr">
        <is>
          <t>C11289</t>
        </is>
      </c>
      <c r="D7593" t="inlineStr">
        <is>
          <t>SKU-10154</t>
        </is>
      </c>
      <c r="E7593" t="inlineStr">
        <is>
          <t>AM01</t>
        </is>
      </c>
      <c r="F7593" s="5" t="n">
        <v>1228.5</v>
      </c>
      <c r="G7593">
        <f>IF(LEFT(B7593,1)="C","Credit","Factuur")</f>
        <v/>
      </c>
      <c r="H7593">
        <f>IF(AND(B7593=B7592,D7593=D7592,A7593=A7592,F7593=F7592),1,0)</f>
        <v/>
      </c>
      <c r="I7593">
        <f>IF(C7593="C99999",1,0)</f>
        <v/>
      </c>
      <c r="J7593" s="5">
        <f>IF(OR(H7593=1,I7593=1),0,IF(G7593="Credit",-F7593,F7593))</f>
        <v/>
      </c>
    </row>
    <row r="7594">
      <c r="A7594" t="inlineStr">
        <is>
          <t>2026-09-09</t>
        </is>
      </c>
      <c r="B7594" t="inlineStr">
        <is>
          <t>F284563</t>
        </is>
      </c>
      <c r="C7594" t="inlineStr">
        <is>
          <t>C11289</t>
        </is>
      </c>
      <c r="D7594" t="inlineStr">
        <is>
          <t>SKU-10188</t>
        </is>
      </c>
      <c r="E7594" t="inlineStr">
        <is>
          <t>AM01</t>
        </is>
      </c>
      <c r="F7594" s="5" t="n">
        <v>1234.08</v>
      </c>
      <c r="G7594">
        <f>IF(LEFT(B7594,1)="C","Credit","Factuur")</f>
        <v/>
      </c>
      <c r="H7594">
        <f>IF(AND(B7594=B7593,D7594=D7593,A7594=A7593,F7594=F7593),1,0)</f>
        <v/>
      </c>
      <c r="I7594">
        <f>IF(C7594="C99999",1,0)</f>
        <v/>
      </c>
      <c r="J7594" s="5">
        <f>IF(OR(H7594=1,I7594=1),0,IF(G7594="Credit",-F7594,F7594))</f>
        <v/>
      </c>
    </row>
    <row r="7595">
      <c r="A7595" t="inlineStr">
        <is>
          <t>2026-09-09</t>
        </is>
      </c>
      <c r="B7595" t="inlineStr">
        <is>
          <t>F285034</t>
        </is>
      </c>
      <c r="C7595" t="inlineStr">
        <is>
          <t>C11310</t>
        </is>
      </c>
      <c r="D7595" t="inlineStr">
        <is>
          <t>SKU-10201</t>
        </is>
      </c>
      <c r="E7595" t="inlineStr">
        <is>
          <t>AM02</t>
        </is>
      </c>
      <c r="F7595" s="5" t="n">
        <v>1113.55</v>
      </c>
      <c r="G7595">
        <f>IF(LEFT(B7595,1)="C","Credit","Factuur")</f>
        <v/>
      </c>
      <c r="H7595">
        <f>IF(AND(B7595=B7594,D7595=D7594,A7595=A7594,F7595=F7594),1,0)</f>
        <v/>
      </c>
      <c r="I7595">
        <f>IF(C7595="C99999",1,0)</f>
        <v/>
      </c>
      <c r="J7595" s="5">
        <f>IF(OR(H7595=1,I7595=1),0,IF(G7595="Credit",-F7595,F7595))</f>
        <v/>
      </c>
    </row>
    <row r="7596">
      <c r="A7596" t="inlineStr">
        <is>
          <t>2026-09-09</t>
        </is>
      </c>
      <c r="B7596" t="inlineStr">
        <is>
          <t>F285676</t>
        </is>
      </c>
      <c r="C7596" t="inlineStr">
        <is>
          <t>C11340</t>
        </is>
      </c>
      <c r="D7596" t="inlineStr">
        <is>
          <t>SKU-10194</t>
        </is>
      </c>
      <c r="E7596" t="inlineStr">
        <is>
          <t>AM07</t>
        </is>
      </c>
      <c r="F7596" s="5" t="n">
        <v>211.52</v>
      </c>
      <c r="G7596">
        <f>IF(LEFT(B7596,1)="C","Credit","Factuur")</f>
        <v/>
      </c>
      <c r="H7596">
        <f>IF(AND(B7596=B7595,D7596=D7595,A7596=A7595,F7596=F7595),1,0)</f>
        <v/>
      </c>
      <c r="I7596">
        <f>IF(C7596="C99999",1,0)</f>
        <v/>
      </c>
      <c r="J7596" s="5">
        <f>IF(OR(H7596=1,I7596=1),0,IF(G7596="Credit",-F7596,F7596))</f>
        <v/>
      </c>
    </row>
    <row r="7597">
      <c r="A7597" t="inlineStr">
        <is>
          <t>2026-09-09</t>
        </is>
      </c>
      <c r="B7597" t="inlineStr">
        <is>
          <t>F285676</t>
        </is>
      </c>
      <c r="C7597" t="inlineStr">
        <is>
          <t>C11340</t>
        </is>
      </c>
      <c r="D7597" t="inlineStr">
        <is>
          <t>SKU-10294</t>
        </is>
      </c>
      <c r="E7597" t="inlineStr">
        <is>
          <t>AM07</t>
        </is>
      </c>
      <c r="F7597" s="5" t="n">
        <v>221.22</v>
      </c>
      <c r="G7597">
        <f>IF(LEFT(B7597,1)="C","Credit","Factuur")</f>
        <v/>
      </c>
      <c r="H7597">
        <f>IF(AND(B7597=B7596,D7597=D7596,A7597=A7596,F7597=F7596),1,0)</f>
        <v/>
      </c>
      <c r="I7597">
        <f>IF(C7597="C99999",1,0)</f>
        <v/>
      </c>
      <c r="J7597" s="5">
        <f>IF(OR(H7597=1,I7597=1),0,IF(G7597="Credit",-F7597,F7597))</f>
        <v/>
      </c>
    </row>
    <row r="7598">
      <c r="A7598" t="inlineStr">
        <is>
          <t>2026-09-09</t>
        </is>
      </c>
      <c r="B7598" t="inlineStr">
        <is>
          <t>F285676</t>
        </is>
      </c>
      <c r="C7598" t="inlineStr">
        <is>
          <t>C11340</t>
        </is>
      </c>
      <c r="D7598" t="inlineStr">
        <is>
          <t>SKU-10335</t>
        </is>
      </c>
      <c r="E7598" t="inlineStr">
        <is>
          <t>AM07</t>
        </is>
      </c>
      <c r="F7598" s="5" t="n">
        <v>210.37</v>
      </c>
      <c r="G7598">
        <f>IF(LEFT(B7598,1)="C","Credit","Factuur")</f>
        <v/>
      </c>
      <c r="H7598">
        <f>IF(AND(B7598=B7597,D7598=D7597,A7598=A7597,F7598=F7597),1,0)</f>
        <v/>
      </c>
      <c r="I7598">
        <f>IF(C7598="C99999",1,0)</f>
        <v/>
      </c>
      <c r="J7598" s="5">
        <f>IF(OR(H7598=1,I7598=1),0,IF(G7598="Credit",-F7598,F7598))</f>
        <v/>
      </c>
    </row>
    <row r="7599">
      <c r="A7599" t="inlineStr">
        <is>
          <t>2026-09-09</t>
        </is>
      </c>
      <c r="B7599" t="inlineStr">
        <is>
          <t>F285880</t>
        </is>
      </c>
      <c r="C7599" t="inlineStr">
        <is>
          <t>C11354</t>
        </is>
      </c>
      <c r="D7599" t="inlineStr">
        <is>
          <t>SKU-10166</t>
        </is>
      </c>
      <c r="E7599" t="inlineStr">
        <is>
          <t>AM08</t>
        </is>
      </c>
      <c r="F7599" s="5" t="n">
        <v>1241.85</v>
      </c>
      <c r="G7599">
        <f>IF(LEFT(B7599,1)="C","Credit","Factuur")</f>
        <v/>
      </c>
      <c r="H7599">
        <f>IF(AND(B7599=B7598,D7599=D7598,A7599=A7598,F7599=F7598),1,0)</f>
        <v/>
      </c>
      <c r="I7599">
        <f>IF(C7599="C99999",1,0)</f>
        <v/>
      </c>
      <c r="J7599" s="5">
        <f>IF(OR(H7599=1,I7599=1),0,IF(G7599="Credit",-F7599,F7599))</f>
        <v/>
      </c>
    </row>
    <row r="7600">
      <c r="A7600" t="inlineStr">
        <is>
          <t>2026-09-09</t>
        </is>
      </c>
      <c r="B7600" t="inlineStr">
        <is>
          <t>F285880</t>
        </is>
      </c>
      <c r="C7600" t="inlineStr">
        <is>
          <t>C11354</t>
        </is>
      </c>
      <c r="D7600" t="inlineStr">
        <is>
          <t>SKU-10268</t>
        </is>
      </c>
      <c r="E7600" t="inlineStr">
        <is>
          <t>AM08</t>
        </is>
      </c>
      <c r="F7600" s="5" t="n">
        <v>1171.92</v>
      </c>
      <c r="G7600">
        <f>IF(LEFT(B7600,1)="C","Credit","Factuur")</f>
        <v/>
      </c>
      <c r="H7600">
        <f>IF(AND(B7600=B7599,D7600=D7599,A7600=A7599,F7600=F7599),1,0)</f>
        <v/>
      </c>
      <c r="I7600">
        <f>IF(C7600="C99999",1,0)</f>
        <v/>
      </c>
      <c r="J7600" s="5">
        <f>IF(OR(H7600=1,I7600=1),0,IF(G7600="Credit",-F7600,F7600))</f>
        <v/>
      </c>
    </row>
    <row r="7601">
      <c r="A7601" t="inlineStr">
        <is>
          <t>2026-09-09</t>
        </is>
      </c>
      <c r="B7601" t="inlineStr">
        <is>
          <t>F285880</t>
        </is>
      </c>
      <c r="C7601" t="inlineStr">
        <is>
          <t>C11354</t>
        </is>
      </c>
      <c r="D7601" t="inlineStr">
        <is>
          <t>SKU-10315</t>
        </is>
      </c>
      <c r="E7601" t="inlineStr">
        <is>
          <t>AM08</t>
        </is>
      </c>
      <c r="F7601" s="5" t="n">
        <v>1252.35</v>
      </c>
      <c r="G7601">
        <f>IF(LEFT(B7601,1)="C","Credit","Factuur")</f>
        <v/>
      </c>
      <c r="H7601">
        <f>IF(AND(B7601=B7600,D7601=D7600,A7601=A7600,F7601=F7600),1,0)</f>
        <v/>
      </c>
      <c r="I7601">
        <f>IF(C7601="C99999",1,0)</f>
        <v/>
      </c>
      <c r="J7601" s="5">
        <f>IF(OR(H7601=1,I7601=1),0,IF(G7601="Credit",-F7601,F7601))</f>
        <v/>
      </c>
    </row>
    <row r="7602">
      <c r="A7602" t="inlineStr">
        <is>
          <t>2026-09-09</t>
        </is>
      </c>
      <c r="B7602" t="inlineStr">
        <is>
          <t>F286424</t>
        </is>
      </c>
      <c r="C7602" t="inlineStr">
        <is>
          <t>C99999</t>
        </is>
      </c>
      <c r="D7602" t="inlineStr">
        <is>
          <t>SKU-10013</t>
        </is>
      </c>
      <c r="E7602" t="inlineStr">
        <is>
          <t>IS01</t>
        </is>
      </c>
      <c r="F7602" s="5" t="n">
        <v>37.61</v>
      </c>
      <c r="G7602">
        <f>IF(LEFT(B7602,1)="C","Credit","Factuur")</f>
        <v/>
      </c>
      <c r="H7602">
        <f>IF(AND(B7602=B7601,D7602=D7601,A7602=A7601,F7602=F7601),1,0)</f>
        <v/>
      </c>
      <c r="I7602">
        <f>IF(C7602="C99999",1,0)</f>
        <v/>
      </c>
      <c r="J7602" s="5">
        <f>IF(OR(H7602=1,I7602=1),0,IF(G7602="Credit",-F7602,F7602))</f>
        <v/>
      </c>
    </row>
    <row r="7603">
      <c r="A7603" t="inlineStr">
        <is>
          <t>2026-09-09</t>
        </is>
      </c>
      <c r="B7603" t="inlineStr">
        <is>
          <t>F286424</t>
        </is>
      </c>
      <c r="C7603" t="inlineStr">
        <is>
          <t>C99999</t>
        </is>
      </c>
      <c r="D7603" t="inlineStr">
        <is>
          <t>SKU-10079</t>
        </is>
      </c>
      <c r="E7603" t="inlineStr">
        <is>
          <t>IS01</t>
        </is>
      </c>
      <c r="F7603" s="5" t="n">
        <v>40.28</v>
      </c>
      <c r="G7603">
        <f>IF(LEFT(B7603,1)="C","Credit","Factuur")</f>
        <v/>
      </c>
      <c r="H7603">
        <f>IF(AND(B7603=B7602,D7603=D7602,A7603=A7602,F7603=F7602),1,0)</f>
        <v/>
      </c>
      <c r="I7603">
        <f>IF(C7603="C99999",1,0)</f>
        <v/>
      </c>
      <c r="J7603" s="5">
        <f>IF(OR(H7603=1,I7603=1),0,IF(G7603="Credit",-F7603,F7603))</f>
        <v/>
      </c>
    </row>
    <row r="7604">
      <c r="A7604" t="inlineStr">
        <is>
          <t>2026-09-09</t>
        </is>
      </c>
      <c r="B7604" t="inlineStr">
        <is>
          <t>F286424</t>
        </is>
      </c>
      <c r="C7604" t="inlineStr">
        <is>
          <t>C99999</t>
        </is>
      </c>
      <c r="D7604" t="inlineStr">
        <is>
          <t>SKU-10089</t>
        </is>
      </c>
      <c r="E7604" t="inlineStr">
        <is>
          <t>IS01</t>
        </is>
      </c>
      <c r="F7604" s="5" t="n">
        <v>29.83</v>
      </c>
      <c r="G7604">
        <f>IF(LEFT(B7604,1)="C","Credit","Factuur")</f>
        <v/>
      </c>
      <c r="H7604">
        <f>IF(AND(B7604=B7603,D7604=D7603,A7604=A7603,F7604=F7603),1,0)</f>
        <v/>
      </c>
      <c r="I7604">
        <f>IF(C7604="C99999",1,0)</f>
        <v/>
      </c>
      <c r="J7604" s="5">
        <f>IF(OR(H7604=1,I7604=1),0,IF(G7604="Credit",-F7604,F7604))</f>
        <v/>
      </c>
    </row>
    <row r="7605">
      <c r="A7605" t="inlineStr">
        <is>
          <t>2026-09-09</t>
        </is>
      </c>
      <c r="B7605" t="inlineStr">
        <is>
          <t>F286424</t>
        </is>
      </c>
      <c r="C7605" t="inlineStr">
        <is>
          <t>C99999</t>
        </is>
      </c>
      <c r="D7605" t="inlineStr">
        <is>
          <t>SKU-10132</t>
        </is>
      </c>
      <c r="E7605" t="inlineStr">
        <is>
          <t>IS01</t>
        </is>
      </c>
      <c r="F7605" s="5" t="n">
        <v>24.6</v>
      </c>
      <c r="G7605">
        <f>IF(LEFT(B7605,1)="C","Credit","Factuur")</f>
        <v/>
      </c>
      <c r="H7605">
        <f>IF(AND(B7605=B7604,D7605=D7604,A7605=A7604,F7605=F7604),1,0)</f>
        <v/>
      </c>
      <c r="I7605">
        <f>IF(C7605="C99999",1,0)</f>
        <v/>
      </c>
      <c r="J7605" s="5">
        <f>IF(OR(H7605=1,I7605=1),0,IF(G7605="Credit",-F7605,F7605))</f>
        <v/>
      </c>
    </row>
    <row r="7606">
      <c r="A7606" t="inlineStr">
        <is>
          <t>2026-09-09</t>
        </is>
      </c>
      <c r="B7606" t="inlineStr">
        <is>
          <t>F286424</t>
        </is>
      </c>
      <c r="C7606" t="inlineStr">
        <is>
          <t>C99999</t>
        </is>
      </c>
      <c r="D7606" t="inlineStr">
        <is>
          <t>SKU-10150</t>
        </is>
      </c>
      <c r="E7606" t="inlineStr">
        <is>
          <t>IS01</t>
        </is>
      </c>
      <c r="F7606" s="5" t="n">
        <v>138.53</v>
      </c>
      <c r="G7606">
        <f>IF(LEFT(B7606,1)="C","Credit","Factuur")</f>
        <v/>
      </c>
      <c r="H7606">
        <f>IF(AND(B7606=B7605,D7606=D7605,A7606=A7605,F7606=F7605),1,0)</f>
        <v/>
      </c>
      <c r="I7606">
        <f>IF(C7606="C99999",1,0)</f>
        <v/>
      </c>
      <c r="J7606" s="5">
        <f>IF(OR(H7606=1,I7606=1),0,IF(G7606="Credit",-F7606,F7606))</f>
        <v/>
      </c>
    </row>
    <row r="7607">
      <c r="A7607" t="inlineStr">
        <is>
          <t>2026-09-09</t>
        </is>
      </c>
      <c r="B7607" t="inlineStr">
        <is>
          <t>F286424</t>
        </is>
      </c>
      <c r="C7607" t="inlineStr">
        <is>
          <t>C99999</t>
        </is>
      </c>
      <c r="D7607" t="inlineStr">
        <is>
          <t>SKU-10183</t>
        </is>
      </c>
      <c r="E7607" t="inlineStr">
        <is>
          <t>IS01</t>
        </is>
      </c>
      <c r="F7607" s="5" t="n">
        <v>27.4</v>
      </c>
      <c r="G7607">
        <f>IF(LEFT(B7607,1)="C","Credit","Factuur")</f>
        <v/>
      </c>
      <c r="H7607">
        <f>IF(AND(B7607=B7606,D7607=D7606,A7607=A7606,F7607=F7606),1,0)</f>
        <v/>
      </c>
      <c r="I7607">
        <f>IF(C7607="C99999",1,0)</f>
        <v/>
      </c>
      <c r="J7607" s="5">
        <f>IF(OR(H7607=1,I7607=1),0,IF(G7607="Credit",-F7607,F7607))</f>
        <v/>
      </c>
    </row>
    <row r="7608">
      <c r="A7608" t="inlineStr">
        <is>
          <t>2026-09-10</t>
        </is>
      </c>
      <c r="B7608" t="inlineStr">
        <is>
          <t>C900584</t>
        </is>
      </c>
      <c r="C7608" t="inlineStr">
        <is>
          <t>C11277</t>
        </is>
      </c>
      <c r="D7608" t="inlineStr">
        <is>
          <t>SKU-10250</t>
        </is>
      </c>
      <c r="E7608" t="inlineStr">
        <is>
          <t>AM11</t>
        </is>
      </c>
      <c r="F7608" s="5" t="n">
        <v>81.40000000000001</v>
      </c>
      <c r="G7608">
        <f>IF(LEFT(B7608,1)="C","Credit","Factuur")</f>
        <v/>
      </c>
      <c r="H7608">
        <f>IF(AND(B7608=B7607,D7608=D7607,A7608=A7607,F7608=F7607),1,0)</f>
        <v/>
      </c>
      <c r="I7608">
        <f>IF(C7608="C99999",1,0)</f>
        <v/>
      </c>
      <c r="J7608" s="5">
        <f>IF(OR(H7608=1,I7608=1),0,IF(G7608="Credit",-F7608,F7608))</f>
        <v/>
      </c>
    </row>
    <row r="7609">
      <c r="A7609" t="inlineStr">
        <is>
          <t>2026-09-10</t>
        </is>
      </c>
      <c r="B7609" t="inlineStr">
        <is>
          <t>C901002</t>
        </is>
      </c>
      <c r="C7609" t="inlineStr">
        <is>
          <t>C11233</t>
        </is>
      </c>
      <c r="D7609" t="inlineStr">
        <is>
          <t>SKU-10252</t>
        </is>
      </c>
      <c r="E7609" t="inlineStr">
        <is>
          <t>AM11</t>
        </is>
      </c>
      <c r="F7609" s="5" t="n">
        <v>31.8</v>
      </c>
      <c r="G7609">
        <f>IF(LEFT(B7609,1)="C","Credit","Factuur")</f>
        <v/>
      </c>
      <c r="H7609">
        <f>IF(AND(B7609=B7608,D7609=D7608,A7609=A7608,F7609=F7608),1,0)</f>
        <v/>
      </c>
      <c r="I7609">
        <f>IF(C7609="C99999",1,0)</f>
        <v/>
      </c>
      <c r="J7609" s="5">
        <f>IF(OR(H7609=1,I7609=1),0,IF(G7609="Credit",-F7609,F7609))</f>
        <v/>
      </c>
    </row>
    <row r="7610">
      <c r="A7610" t="inlineStr">
        <is>
          <t>2026-09-10</t>
        </is>
      </c>
      <c r="B7610" t="inlineStr">
        <is>
          <t>C901677</t>
        </is>
      </c>
      <c r="C7610" t="inlineStr">
        <is>
          <t>C11254</t>
        </is>
      </c>
      <c r="D7610" t="inlineStr">
        <is>
          <t>SKU-10247</t>
        </is>
      </c>
      <c r="E7610" t="inlineStr">
        <is>
          <t>AM11</t>
        </is>
      </c>
      <c r="F7610" s="5" t="n">
        <v>400.62</v>
      </c>
      <c r="G7610">
        <f>IF(LEFT(B7610,1)="C","Credit","Factuur")</f>
        <v/>
      </c>
      <c r="H7610">
        <f>IF(AND(B7610=B7609,D7610=D7609,A7610=A7609,F7610=F7609),1,0)</f>
        <v/>
      </c>
      <c r="I7610">
        <f>IF(C7610="C99999",1,0)</f>
        <v/>
      </c>
      <c r="J7610" s="5">
        <f>IF(OR(H7610=1,I7610=1),0,IF(G7610="Credit",-F7610,F7610))</f>
        <v/>
      </c>
    </row>
    <row r="7611">
      <c r="A7611" t="inlineStr">
        <is>
          <t>2026-09-10</t>
        </is>
      </c>
      <c r="B7611" t="inlineStr">
        <is>
          <t>F260022</t>
        </is>
      </c>
      <c r="C7611" t="inlineStr">
        <is>
          <t>C10003</t>
        </is>
      </c>
      <c r="D7611" t="inlineStr">
        <is>
          <t>SKU-10053</t>
        </is>
      </c>
      <c r="E7611" t="inlineStr">
        <is>
          <t>AM01</t>
        </is>
      </c>
      <c r="F7611" s="5" t="n">
        <v>281.25</v>
      </c>
      <c r="G7611">
        <f>IF(LEFT(B7611,1)="C","Credit","Factuur")</f>
        <v/>
      </c>
      <c r="H7611">
        <f>IF(AND(B7611=B7610,D7611=D7610,A7611=A7610,F7611=F7610),1,0)</f>
        <v/>
      </c>
      <c r="I7611">
        <f>IF(C7611="C99999",1,0)</f>
        <v/>
      </c>
      <c r="J7611" s="5">
        <f>IF(OR(H7611=1,I7611=1),0,IF(G7611="Credit",-F7611,F7611))</f>
        <v/>
      </c>
    </row>
    <row r="7612">
      <c r="A7612" t="inlineStr">
        <is>
          <t>2026-09-10</t>
        </is>
      </c>
      <c r="B7612" t="inlineStr">
        <is>
          <t>F260388</t>
        </is>
      </c>
      <c r="C7612" t="inlineStr">
        <is>
          <t>C10022</t>
        </is>
      </c>
      <c r="D7612" t="inlineStr">
        <is>
          <t>SKU-10185</t>
        </is>
      </c>
      <c r="E7612" t="inlineStr">
        <is>
          <t>AM08</t>
        </is>
      </c>
      <c r="F7612" s="5" t="n">
        <v>2564.73</v>
      </c>
      <c r="G7612">
        <f>IF(LEFT(B7612,1)="C","Credit","Factuur")</f>
        <v/>
      </c>
      <c r="H7612">
        <f>IF(AND(B7612=B7611,D7612=D7611,A7612=A7611,F7612=F7611),1,0)</f>
        <v/>
      </c>
      <c r="I7612">
        <f>IF(C7612="C99999",1,0)</f>
        <v/>
      </c>
      <c r="J7612" s="5">
        <f>IF(OR(H7612=1,I7612=1),0,IF(G7612="Credit",-F7612,F7612))</f>
        <v/>
      </c>
    </row>
    <row r="7613">
      <c r="A7613" t="inlineStr">
        <is>
          <t>2026-09-10</t>
        </is>
      </c>
      <c r="B7613" t="inlineStr">
        <is>
          <t>F260705</t>
        </is>
      </c>
      <c r="C7613" t="inlineStr">
        <is>
          <t>C10042</t>
        </is>
      </c>
      <c r="D7613" t="inlineStr">
        <is>
          <t>SKU-10005</t>
        </is>
      </c>
      <c r="E7613" t="inlineStr">
        <is>
          <t>AM12</t>
        </is>
      </c>
      <c r="F7613" s="5" t="n">
        <v>117.99</v>
      </c>
      <c r="G7613">
        <f>IF(LEFT(B7613,1)="C","Credit","Factuur")</f>
        <v/>
      </c>
      <c r="H7613">
        <f>IF(AND(B7613=B7612,D7613=D7612,A7613=A7612,F7613=F7612),1,0)</f>
        <v/>
      </c>
      <c r="I7613">
        <f>IF(C7613="C99999",1,0)</f>
        <v/>
      </c>
      <c r="J7613" s="5">
        <f>IF(OR(H7613=1,I7613=1),0,IF(G7613="Credit",-F7613,F7613))</f>
        <v/>
      </c>
    </row>
    <row r="7614">
      <c r="A7614" t="inlineStr">
        <is>
          <t>2026-09-10</t>
        </is>
      </c>
      <c r="B7614" t="inlineStr">
        <is>
          <t>F260705</t>
        </is>
      </c>
      <c r="C7614" t="inlineStr">
        <is>
          <t>C10042</t>
        </is>
      </c>
      <c r="D7614" t="inlineStr">
        <is>
          <t>SKU-10079</t>
        </is>
      </c>
      <c r="E7614" t="inlineStr">
        <is>
          <t>AM12</t>
        </is>
      </c>
      <c r="F7614" s="5" t="n">
        <v>120.84</v>
      </c>
      <c r="G7614">
        <f>IF(LEFT(B7614,1)="C","Credit","Factuur")</f>
        <v/>
      </c>
      <c r="H7614">
        <f>IF(AND(B7614=B7613,D7614=D7613,A7614=A7613,F7614=F7613),1,0)</f>
        <v/>
      </c>
      <c r="I7614">
        <f>IF(C7614="C99999",1,0)</f>
        <v/>
      </c>
      <c r="J7614" s="5">
        <f>IF(OR(H7614=1,I7614=1),0,IF(G7614="Credit",-F7614,F7614))</f>
        <v/>
      </c>
    </row>
    <row r="7615">
      <c r="A7615" t="inlineStr">
        <is>
          <t>2026-09-10</t>
        </is>
      </c>
      <c r="B7615" t="inlineStr">
        <is>
          <t>F260705</t>
        </is>
      </c>
      <c r="C7615" t="inlineStr">
        <is>
          <t>C10042</t>
        </is>
      </c>
      <c r="D7615" t="inlineStr">
        <is>
          <t>SKU-10179</t>
        </is>
      </c>
      <c r="E7615" t="inlineStr">
        <is>
          <t>AM12</t>
        </is>
      </c>
      <c r="F7615" s="5" t="n">
        <v>124.4</v>
      </c>
      <c r="G7615">
        <f>IF(LEFT(B7615,1)="C","Credit","Factuur")</f>
        <v/>
      </c>
      <c r="H7615">
        <f>IF(AND(B7615=B7614,D7615=D7614,A7615=A7614,F7615=F7614),1,0)</f>
        <v/>
      </c>
      <c r="I7615">
        <f>IF(C7615="C99999",1,0)</f>
        <v/>
      </c>
      <c r="J7615" s="5">
        <f>IF(OR(H7615=1,I7615=1),0,IF(G7615="Credit",-F7615,F7615))</f>
        <v/>
      </c>
    </row>
    <row r="7616">
      <c r="A7616" t="inlineStr">
        <is>
          <t>2026-09-10</t>
        </is>
      </c>
      <c r="B7616" t="inlineStr">
        <is>
          <t>F260705</t>
        </is>
      </c>
      <c r="C7616" t="inlineStr">
        <is>
          <t>C10042</t>
        </is>
      </c>
      <c r="D7616" t="inlineStr">
        <is>
          <t>SKU-10184</t>
        </is>
      </c>
      <c r="E7616" t="inlineStr">
        <is>
          <t>AM12</t>
        </is>
      </c>
      <c r="F7616" s="5" t="n">
        <v>129.7</v>
      </c>
      <c r="G7616">
        <f>IF(LEFT(B7616,1)="C","Credit","Factuur")</f>
        <v/>
      </c>
      <c r="H7616">
        <f>IF(AND(B7616=B7615,D7616=D7615,A7616=A7615,F7616=F7615),1,0)</f>
        <v/>
      </c>
      <c r="I7616">
        <f>IF(C7616="C99999",1,0)</f>
        <v/>
      </c>
      <c r="J7616" s="5">
        <f>IF(OR(H7616=1,I7616=1),0,IF(G7616="Credit",-F7616,F7616))</f>
        <v/>
      </c>
    </row>
    <row r="7617">
      <c r="A7617" t="inlineStr">
        <is>
          <t>2026-09-10</t>
        </is>
      </c>
      <c r="B7617" t="inlineStr">
        <is>
          <t>F260705</t>
        </is>
      </c>
      <c r="C7617" t="inlineStr">
        <is>
          <t>C10042</t>
        </is>
      </c>
      <c r="D7617" t="inlineStr">
        <is>
          <t>SKU-10250</t>
        </is>
      </c>
      <c r="E7617" t="inlineStr">
        <is>
          <t>AM12</t>
        </is>
      </c>
      <c r="F7617" s="5" t="n">
        <v>119.7</v>
      </c>
      <c r="G7617">
        <f>IF(LEFT(B7617,1)="C","Credit","Factuur")</f>
        <v/>
      </c>
      <c r="H7617">
        <f>IF(AND(B7617=B7616,D7617=D7616,A7617=A7616,F7617=F7616),1,0)</f>
        <v/>
      </c>
      <c r="I7617">
        <f>IF(C7617="C99999",1,0)</f>
        <v/>
      </c>
      <c r="J7617" s="5">
        <f>IF(OR(H7617=1,I7617=1),0,IF(G7617="Credit",-F7617,F7617))</f>
        <v/>
      </c>
    </row>
    <row r="7618">
      <c r="A7618" t="inlineStr">
        <is>
          <t>2026-09-10</t>
        </is>
      </c>
      <c r="B7618" t="inlineStr">
        <is>
          <t>F260972</t>
        </is>
      </c>
      <c r="C7618" t="inlineStr">
        <is>
          <t>C10055</t>
        </is>
      </c>
      <c r="D7618" t="inlineStr">
        <is>
          <t>SKU-10027</t>
        </is>
      </c>
      <c r="E7618" t="inlineStr">
        <is>
          <t>AM01</t>
        </is>
      </c>
      <c r="F7618" s="5" t="n">
        <v>166.02</v>
      </c>
      <c r="G7618">
        <f>IF(LEFT(B7618,1)="C","Credit","Factuur")</f>
        <v/>
      </c>
      <c r="H7618">
        <f>IF(AND(B7618=B7617,D7618=D7617,A7618=A7617,F7618=F7617),1,0)</f>
        <v/>
      </c>
      <c r="I7618">
        <f>IF(C7618="C99999",1,0)</f>
        <v/>
      </c>
      <c r="J7618" s="5">
        <f>IF(OR(H7618=1,I7618=1),0,IF(G7618="Credit",-F7618,F7618))</f>
        <v/>
      </c>
    </row>
    <row r="7619">
      <c r="A7619" t="inlineStr">
        <is>
          <t>2026-09-10</t>
        </is>
      </c>
      <c r="B7619" t="inlineStr">
        <is>
          <t>F260972</t>
        </is>
      </c>
      <c r="C7619" t="inlineStr">
        <is>
          <t>C10055</t>
        </is>
      </c>
      <c r="D7619" t="inlineStr">
        <is>
          <t>SKU-10138</t>
        </is>
      </c>
      <c r="E7619" t="inlineStr">
        <is>
          <t>AM01</t>
        </is>
      </c>
      <c r="F7619" s="5" t="n">
        <v>203.92</v>
      </c>
      <c r="G7619">
        <f>IF(LEFT(B7619,1)="C","Credit","Factuur")</f>
        <v/>
      </c>
      <c r="H7619">
        <f>IF(AND(B7619=B7618,D7619=D7618,A7619=A7618,F7619=F7618),1,0)</f>
        <v/>
      </c>
      <c r="I7619">
        <f>IF(C7619="C99999",1,0)</f>
        <v/>
      </c>
      <c r="J7619" s="5">
        <f>IF(OR(H7619=1,I7619=1),0,IF(G7619="Credit",-F7619,F7619))</f>
        <v/>
      </c>
    </row>
    <row r="7620">
      <c r="A7620" t="inlineStr">
        <is>
          <t>2026-09-10</t>
        </is>
      </c>
      <c r="B7620" t="inlineStr">
        <is>
          <t>F260972</t>
        </is>
      </c>
      <c r="C7620" t="inlineStr">
        <is>
          <t>C10055</t>
        </is>
      </c>
      <c r="D7620" t="inlineStr">
        <is>
          <t>SKU-10340</t>
        </is>
      </c>
      <c r="E7620" t="inlineStr">
        <is>
          <t>AM01</t>
        </is>
      </c>
      <c r="F7620" s="5" t="n">
        <v>173.36</v>
      </c>
      <c r="G7620">
        <f>IF(LEFT(B7620,1)="C","Credit","Factuur")</f>
        <v/>
      </c>
      <c r="H7620">
        <f>IF(AND(B7620=B7619,D7620=D7619,A7620=A7619,F7620=F7619),1,0)</f>
        <v/>
      </c>
      <c r="I7620">
        <f>IF(C7620="C99999",1,0)</f>
        <v/>
      </c>
      <c r="J7620" s="5">
        <f>IF(OR(H7620=1,I7620=1),0,IF(G7620="Credit",-F7620,F7620))</f>
        <v/>
      </c>
    </row>
    <row r="7621">
      <c r="A7621" t="inlineStr">
        <is>
          <t>2026-09-10</t>
        </is>
      </c>
      <c r="B7621" t="inlineStr">
        <is>
          <t>F261967</t>
        </is>
      </c>
      <c r="C7621" t="inlineStr">
        <is>
          <t>C10105</t>
        </is>
      </c>
      <c r="D7621" t="inlineStr">
        <is>
          <t>SKU-10095</t>
        </is>
      </c>
      <c r="E7621" t="inlineStr">
        <is>
          <t>AM03</t>
        </is>
      </c>
      <c r="F7621" s="5" t="n">
        <v>185.7</v>
      </c>
      <c r="G7621">
        <f>IF(LEFT(B7621,1)="C","Credit","Factuur")</f>
        <v/>
      </c>
      <c r="H7621">
        <f>IF(AND(B7621=B7620,D7621=D7620,A7621=A7620,F7621=F7620),1,0)</f>
        <v/>
      </c>
      <c r="I7621">
        <f>IF(C7621="C99999",1,0)</f>
        <v/>
      </c>
      <c r="J7621" s="5">
        <f>IF(OR(H7621=1,I7621=1),0,IF(G7621="Credit",-F7621,F7621))</f>
        <v/>
      </c>
    </row>
    <row r="7622">
      <c r="A7622" t="inlineStr">
        <is>
          <t>2026-09-10</t>
        </is>
      </c>
      <c r="B7622" t="inlineStr">
        <is>
          <t>F261967</t>
        </is>
      </c>
      <c r="C7622" t="inlineStr">
        <is>
          <t>C10105</t>
        </is>
      </c>
      <c r="D7622" t="inlineStr">
        <is>
          <t>SKU-10132</t>
        </is>
      </c>
      <c r="E7622" t="inlineStr">
        <is>
          <t>AM03</t>
        </is>
      </c>
      <c r="F7622" s="5" t="n">
        <v>194.25</v>
      </c>
      <c r="G7622">
        <f>IF(LEFT(B7622,1)="C","Credit","Factuur")</f>
        <v/>
      </c>
      <c r="H7622">
        <f>IF(AND(B7622=B7621,D7622=D7621,A7622=A7621,F7622=F7621),1,0)</f>
        <v/>
      </c>
      <c r="I7622">
        <f>IF(C7622="C99999",1,0)</f>
        <v/>
      </c>
      <c r="J7622" s="5">
        <f>IF(OR(H7622=1,I7622=1),0,IF(G7622="Credit",-F7622,F7622))</f>
        <v/>
      </c>
    </row>
    <row r="7623">
      <c r="A7623" t="inlineStr">
        <is>
          <t>2026-09-10</t>
        </is>
      </c>
      <c r="B7623" t="inlineStr">
        <is>
          <t>F261967</t>
        </is>
      </c>
      <c r="C7623" t="inlineStr">
        <is>
          <t>C10105</t>
        </is>
      </c>
      <c r="D7623" t="inlineStr">
        <is>
          <t>SKU-10165</t>
        </is>
      </c>
      <c r="E7623" t="inlineStr">
        <is>
          <t>AM03</t>
        </is>
      </c>
      <c r="F7623" s="5" t="n">
        <v>206.28</v>
      </c>
      <c r="G7623">
        <f>IF(LEFT(B7623,1)="C","Credit","Factuur")</f>
        <v/>
      </c>
      <c r="H7623">
        <f>IF(AND(B7623=B7622,D7623=D7622,A7623=A7622,F7623=F7622),1,0)</f>
        <v/>
      </c>
      <c r="I7623">
        <f>IF(C7623="C99999",1,0)</f>
        <v/>
      </c>
      <c r="J7623" s="5">
        <f>IF(OR(H7623=1,I7623=1),0,IF(G7623="Credit",-F7623,F7623))</f>
        <v/>
      </c>
    </row>
    <row r="7624">
      <c r="A7624" t="inlineStr">
        <is>
          <t>2026-09-10</t>
        </is>
      </c>
      <c r="B7624" t="inlineStr">
        <is>
          <t>F262713</t>
        </is>
      </c>
      <c r="C7624" t="inlineStr">
        <is>
          <t>C10146</t>
        </is>
      </c>
      <c r="D7624" t="inlineStr">
        <is>
          <t>SKU-10016</t>
        </is>
      </c>
      <c r="E7624" t="inlineStr">
        <is>
          <t>AM07</t>
        </is>
      </c>
      <c r="F7624" s="5" t="n">
        <v>761.62</v>
      </c>
      <c r="G7624">
        <f>IF(LEFT(B7624,1)="C","Credit","Factuur")</f>
        <v/>
      </c>
      <c r="H7624">
        <f>IF(AND(B7624=B7623,D7624=D7623,A7624=A7623,F7624=F7623),1,0)</f>
        <v/>
      </c>
      <c r="I7624">
        <f>IF(C7624="C99999",1,0)</f>
        <v/>
      </c>
      <c r="J7624" s="5">
        <f>IF(OR(H7624=1,I7624=1),0,IF(G7624="Credit",-F7624,F7624))</f>
        <v/>
      </c>
    </row>
    <row r="7625">
      <c r="A7625" t="inlineStr">
        <is>
          <t>2026-09-10</t>
        </is>
      </c>
      <c r="B7625" t="inlineStr">
        <is>
          <t>F262713</t>
        </is>
      </c>
      <c r="C7625" t="inlineStr">
        <is>
          <t>C10146</t>
        </is>
      </c>
      <c r="D7625" t="inlineStr">
        <is>
          <t>SKU-10031</t>
        </is>
      </c>
      <c r="E7625" t="inlineStr">
        <is>
          <t>AM07</t>
        </is>
      </c>
      <c r="F7625" s="5" t="n">
        <v>720.5</v>
      </c>
      <c r="G7625">
        <f>IF(LEFT(B7625,1)="C","Credit","Factuur")</f>
        <v/>
      </c>
      <c r="H7625">
        <f>IF(AND(B7625=B7624,D7625=D7624,A7625=A7624,F7625=F7624),1,0)</f>
        <v/>
      </c>
      <c r="I7625">
        <f>IF(C7625="C99999",1,0)</f>
        <v/>
      </c>
      <c r="J7625" s="5">
        <f>IF(OR(H7625=1,I7625=1),0,IF(G7625="Credit",-F7625,F7625))</f>
        <v/>
      </c>
    </row>
    <row r="7626">
      <c r="A7626" t="inlineStr">
        <is>
          <t>2026-09-10</t>
        </is>
      </c>
      <c r="B7626" t="inlineStr">
        <is>
          <t>F262713</t>
        </is>
      </c>
      <c r="C7626" t="inlineStr">
        <is>
          <t>C10146</t>
        </is>
      </c>
      <c r="D7626" t="inlineStr">
        <is>
          <t>SKU-10168</t>
        </is>
      </c>
      <c r="E7626" t="inlineStr">
        <is>
          <t>AM07</t>
        </is>
      </c>
      <c r="F7626" s="5" t="n">
        <v>726.9</v>
      </c>
      <c r="G7626">
        <f>IF(LEFT(B7626,1)="C","Credit","Factuur")</f>
        <v/>
      </c>
      <c r="H7626">
        <f>IF(AND(B7626=B7625,D7626=D7625,A7626=A7625,F7626=F7625),1,0)</f>
        <v/>
      </c>
      <c r="I7626">
        <f>IF(C7626="C99999",1,0)</f>
        <v/>
      </c>
      <c r="J7626" s="5">
        <f>IF(OR(H7626=1,I7626=1),0,IF(G7626="Credit",-F7626,F7626))</f>
        <v/>
      </c>
    </row>
    <row r="7627">
      <c r="A7627" t="inlineStr">
        <is>
          <t>2026-09-10</t>
        </is>
      </c>
      <c r="B7627" t="inlineStr">
        <is>
          <t>F262973</t>
        </is>
      </c>
      <c r="C7627" t="inlineStr">
        <is>
          <t>C10160</t>
        </is>
      </c>
      <c r="D7627" t="inlineStr">
        <is>
          <t>SKU-10275</t>
        </is>
      </c>
      <c r="E7627" t="inlineStr">
        <is>
          <t>AM01</t>
        </is>
      </c>
      <c r="F7627" s="5" t="n">
        <v>85.12</v>
      </c>
      <c r="G7627">
        <f>IF(LEFT(B7627,1)="C","Credit","Factuur")</f>
        <v/>
      </c>
      <c r="H7627">
        <f>IF(AND(B7627=B7626,D7627=D7626,A7627=A7626,F7627=F7626),1,0)</f>
        <v/>
      </c>
      <c r="I7627">
        <f>IF(C7627="C99999",1,0)</f>
        <v/>
      </c>
      <c r="J7627" s="5">
        <f>IF(OR(H7627=1,I7627=1),0,IF(G7627="Credit",-F7627,F7627))</f>
        <v/>
      </c>
    </row>
    <row r="7628">
      <c r="A7628" t="inlineStr">
        <is>
          <t>2026-09-10</t>
        </is>
      </c>
      <c r="B7628" t="inlineStr">
        <is>
          <t>F262973</t>
        </is>
      </c>
      <c r="C7628" t="inlineStr">
        <is>
          <t>C10160</t>
        </is>
      </c>
      <c r="D7628" t="inlineStr">
        <is>
          <t>SKU-10284</t>
        </is>
      </c>
      <c r="E7628" t="inlineStr">
        <is>
          <t>AM01</t>
        </is>
      </c>
      <c r="F7628" s="5" t="n">
        <v>85.15000000000001</v>
      </c>
      <c r="G7628">
        <f>IF(LEFT(B7628,1)="C","Credit","Factuur")</f>
        <v/>
      </c>
      <c r="H7628">
        <f>IF(AND(B7628=B7627,D7628=D7627,A7628=A7627,F7628=F7627),1,0)</f>
        <v/>
      </c>
      <c r="I7628">
        <f>IF(C7628="C99999",1,0)</f>
        <v/>
      </c>
      <c r="J7628" s="5">
        <f>IF(OR(H7628=1,I7628=1),0,IF(G7628="Credit",-F7628,F7628))</f>
        <v/>
      </c>
    </row>
    <row r="7629">
      <c r="A7629" t="inlineStr">
        <is>
          <t>2026-09-10</t>
        </is>
      </c>
      <c r="B7629" t="inlineStr">
        <is>
          <t>F262973</t>
        </is>
      </c>
      <c r="C7629" t="inlineStr">
        <is>
          <t>C10160</t>
        </is>
      </c>
      <c r="D7629" t="inlineStr">
        <is>
          <t>SKU-10343</t>
        </is>
      </c>
      <c r="E7629" t="inlineStr">
        <is>
          <t>AM01</t>
        </is>
      </c>
      <c r="F7629" s="5" t="n">
        <v>94.40000000000001</v>
      </c>
      <c r="G7629">
        <f>IF(LEFT(B7629,1)="C","Credit","Factuur")</f>
        <v/>
      </c>
      <c r="H7629">
        <f>IF(AND(B7629=B7628,D7629=D7628,A7629=A7628,F7629=F7628),1,0)</f>
        <v/>
      </c>
      <c r="I7629">
        <f>IF(C7629="C99999",1,0)</f>
        <v/>
      </c>
      <c r="J7629" s="5">
        <f>IF(OR(H7629=1,I7629=1),0,IF(G7629="Credit",-F7629,F7629))</f>
        <v/>
      </c>
    </row>
    <row r="7630">
      <c r="A7630" t="inlineStr">
        <is>
          <t>2026-09-10</t>
        </is>
      </c>
      <c r="B7630" t="inlineStr">
        <is>
          <t>F263056</t>
        </is>
      </c>
      <c r="C7630" t="inlineStr">
        <is>
          <t>C10164</t>
        </is>
      </c>
      <c r="D7630" t="inlineStr">
        <is>
          <t>SKU-10081</t>
        </is>
      </c>
      <c r="E7630" t="inlineStr">
        <is>
          <t>IS01</t>
        </is>
      </c>
      <c r="F7630" s="5" t="n">
        <v>63.57</v>
      </c>
      <c r="G7630">
        <f>IF(LEFT(B7630,1)="C","Credit","Factuur")</f>
        <v/>
      </c>
      <c r="H7630">
        <f>IF(AND(B7630=B7629,D7630=D7629,A7630=A7629,F7630=F7629),1,0)</f>
        <v/>
      </c>
      <c r="I7630">
        <f>IF(C7630="C99999",1,0)</f>
        <v/>
      </c>
      <c r="J7630" s="5">
        <f>IF(OR(H7630=1,I7630=1),0,IF(G7630="Credit",-F7630,F7630))</f>
        <v/>
      </c>
    </row>
    <row r="7631">
      <c r="A7631" t="inlineStr">
        <is>
          <t>2026-09-10</t>
        </is>
      </c>
      <c r="B7631" t="inlineStr">
        <is>
          <t>F263056</t>
        </is>
      </c>
      <c r="C7631" t="inlineStr">
        <is>
          <t>C10164</t>
        </is>
      </c>
      <c r="D7631" t="inlineStr">
        <is>
          <t>SKU-10158</t>
        </is>
      </c>
      <c r="E7631" t="inlineStr">
        <is>
          <t>IS01</t>
        </is>
      </c>
      <c r="F7631" s="5" t="n">
        <v>81.45</v>
      </c>
      <c r="G7631">
        <f>IF(LEFT(B7631,1)="C","Credit","Factuur")</f>
        <v/>
      </c>
      <c r="H7631">
        <f>IF(AND(B7631=B7630,D7631=D7630,A7631=A7630,F7631=F7630),1,0)</f>
        <v/>
      </c>
      <c r="I7631">
        <f>IF(C7631="C99999",1,0)</f>
        <v/>
      </c>
      <c r="J7631" s="5">
        <f>IF(OR(H7631=1,I7631=1),0,IF(G7631="Credit",-F7631,F7631))</f>
        <v/>
      </c>
    </row>
    <row r="7632">
      <c r="A7632" t="inlineStr">
        <is>
          <t>2026-09-10</t>
        </is>
      </c>
      <c r="B7632" t="inlineStr">
        <is>
          <t>F263121</t>
        </is>
      </c>
      <c r="C7632" t="inlineStr">
        <is>
          <t>C10167</t>
        </is>
      </c>
      <c r="D7632" t="inlineStr">
        <is>
          <t>SKU-10104</t>
        </is>
      </c>
      <c r="E7632" t="inlineStr">
        <is>
          <t>IS01</t>
        </is>
      </c>
      <c r="F7632" s="5" t="n">
        <v>91.14</v>
      </c>
      <c r="G7632">
        <f>IF(LEFT(B7632,1)="C","Credit","Factuur")</f>
        <v/>
      </c>
      <c r="H7632">
        <f>IF(AND(B7632=B7631,D7632=D7631,A7632=A7631,F7632=F7631),1,0)</f>
        <v/>
      </c>
      <c r="I7632">
        <f>IF(C7632="C99999",1,0)</f>
        <v/>
      </c>
      <c r="J7632" s="5">
        <f>IF(OR(H7632=1,I7632=1),0,IF(G7632="Credit",-F7632,F7632))</f>
        <v/>
      </c>
    </row>
    <row r="7633">
      <c r="A7633" t="inlineStr">
        <is>
          <t>2026-09-10</t>
        </is>
      </c>
      <c r="B7633" t="inlineStr">
        <is>
          <t>F263166</t>
        </is>
      </c>
      <c r="C7633" t="inlineStr">
        <is>
          <t>C10169</t>
        </is>
      </c>
      <c r="D7633" t="inlineStr">
        <is>
          <t>SKU-10054</t>
        </is>
      </c>
      <c r="E7633" t="inlineStr">
        <is>
          <t>AM11</t>
        </is>
      </c>
      <c r="F7633" s="5" t="n">
        <v>754.75</v>
      </c>
      <c r="G7633">
        <f>IF(LEFT(B7633,1)="C","Credit","Factuur")</f>
        <v/>
      </c>
      <c r="H7633">
        <f>IF(AND(B7633=B7632,D7633=D7632,A7633=A7632,F7633=F7632),1,0)</f>
        <v/>
      </c>
      <c r="I7633">
        <f>IF(C7633="C99999",1,0)</f>
        <v/>
      </c>
      <c r="J7633" s="5">
        <f>IF(OR(H7633=1,I7633=1),0,IF(G7633="Credit",-F7633,F7633))</f>
        <v/>
      </c>
    </row>
    <row r="7634">
      <c r="A7634" t="inlineStr">
        <is>
          <t>2026-09-10</t>
        </is>
      </c>
      <c r="B7634" t="inlineStr">
        <is>
          <t>F263166</t>
        </is>
      </c>
      <c r="C7634" t="inlineStr">
        <is>
          <t>C10169</t>
        </is>
      </c>
      <c r="D7634" t="inlineStr">
        <is>
          <t>SKU-10126</t>
        </is>
      </c>
      <c r="E7634" t="inlineStr">
        <is>
          <t>AM11</t>
        </is>
      </c>
      <c r="F7634" s="5" t="n">
        <v>734.4400000000001</v>
      </c>
      <c r="G7634">
        <f>IF(LEFT(B7634,1)="C","Credit","Factuur")</f>
        <v/>
      </c>
      <c r="H7634">
        <f>IF(AND(B7634=B7633,D7634=D7633,A7634=A7633,F7634=F7633),1,0)</f>
        <v/>
      </c>
      <c r="I7634">
        <f>IF(C7634="C99999",1,0)</f>
        <v/>
      </c>
      <c r="J7634" s="5">
        <f>IF(OR(H7634=1,I7634=1),0,IF(G7634="Credit",-F7634,F7634))</f>
        <v/>
      </c>
    </row>
    <row r="7635">
      <c r="A7635" t="inlineStr">
        <is>
          <t>2026-09-10</t>
        </is>
      </c>
      <c r="B7635" t="inlineStr">
        <is>
          <t>F263166</t>
        </is>
      </c>
      <c r="C7635" t="inlineStr">
        <is>
          <t>C10169</t>
        </is>
      </c>
      <c r="D7635" t="inlineStr">
        <is>
          <t>SKU-10148</t>
        </is>
      </c>
      <c r="E7635" t="inlineStr">
        <is>
          <t>AM11</t>
        </is>
      </c>
      <c r="F7635" s="5" t="n">
        <v>714.96</v>
      </c>
      <c r="G7635">
        <f>IF(LEFT(B7635,1)="C","Credit","Factuur")</f>
        <v/>
      </c>
      <c r="H7635">
        <f>IF(AND(B7635=B7634,D7635=D7634,A7635=A7634,F7635=F7634),1,0)</f>
        <v/>
      </c>
      <c r="I7635">
        <f>IF(C7635="C99999",1,0)</f>
        <v/>
      </c>
      <c r="J7635" s="5">
        <f>IF(OR(H7635=1,I7635=1),0,IF(G7635="Credit",-F7635,F7635))</f>
        <v/>
      </c>
    </row>
    <row r="7636">
      <c r="A7636" t="inlineStr">
        <is>
          <t>2026-09-10</t>
        </is>
      </c>
      <c r="B7636" t="inlineStr">
        <is>
          <t>F263166</t>
        </is>
      </c>
      <c r="C7636" t="inlineStr">
        <is>
          <t>C10169</t>
        </is>
      </c>
      <c r="D7636" t="inlineStr">
        <is>
          <t>SKU-10271</t>
        </is>
      </c>
      <c r="E7636" t="inlineStr">
        <is>
          <t>AM11</t>
        </is>
      </c>
      <c r="F7636" s="5" t="n">
        <v>764.75</v>
      </c>
      <c r="G7636">
        <f>IF(LEFT(B7636,1)="C","Credit","Factuur")</f>
        <v/>
      </c>
      <c r="H7636">
        <f>IF(AND(B7636=B7635,D7636=D7635,A7636=A7635,F7636=F7635),1,0)</f>
        <v/>
      </c>
      <c r="I7636">
        <f>IF(C7636="C99999",1,0)</f>
        <v/>
      </c>
      <c r="J7636" s="5">
        <f>IF(OR(H7636=1,I7636=1),0,IF(G7636="Credit",-F7636,F7636))</f>
        <v/>
      </c>
    </row>
    <row r="7637">
      <c r="A7637" t="inlineStr">
        <is>
          <t>2026-09-10</t>
        </is>
      </c>
      <c r="B7637" t="inlineStr">
        <is>
          <t>F264003</t>
        </is>
      </c>
      <c r="C7637" t="inlineStr">
        <is>
          <t>C10210</t>
        </is>
      </c>
      <c r="D7637" t="inlineStr">
        <is>
          <t>SKU-10077</t>
        </is>
      </c>
      <c r="E7637" t="inlineStr">
        <is>
          <t>AM11</t>
        </is>
      </c>
      <c r="F7637" s="5" t="n">
        <v>210.84</v>
      </c>
      <c r="G7637">
        <f>IF(LEFT(B7637,1)="C","Credit","Factuur")</f>
        <v/>
      </c>
      <c r="H7637">
        <f>IF(AND(B7637=B7636,D7637=D7636,A7637=A7636,F7637=F7636),1,0)</f>
        <v/>
      </c>
      <c r="I7637">
        <f>IF(C7637="C99999",1,0)</f>
        <v/>
      </c>
      <c r="J7637" s="5">
        <f>IF(OR(H7637=1,I7637=1),0,IF(G7637="Credit",-F7637,F7637))</f>
        <v/>
      </c>
    </row>
    <row r="7638">
      <c r="A7638" t="inlineStr">
        <is>
          <t>2026-09-10</t>
        </is>
      </c>
      <c r="B7638" t="inlineStr">
        <is>
          <t>F264003</t>
        </is>
      </c>
      <c r="C7638" t="inlineStr">
        <is>
          <t>C10210</t>
        </is>
      </c>
      <c r="D7638" t="inlineStr">
        <is>
          <t>SKU-10098</t>
        </is>
      </c>
      <c r="E7638" t="inlineStr">
        <is>
          <t>AM11</t>
        </is>
      </c>
      <c r="F7638" s="5" t="n">
        <v>240.06</v>
      </c>
      <c r="G7638">
        <f>IF(LEFT(B7638,1)="C","Credit","Factuur")</f>
        <v/>
      </c>
      <c r="H7638">
        <f>IF(AND(B7638=B7637,D7638=D7637,A7638=A7637,F7638=F7637),1,0)</f>
        <v/>
      </c>
      <c r="I7638">
        <f>IF(C7638="C99999",1,0)</f>
        <v/>
      </c>
      <c r="J7638" s="5">
        <f>IF(OR(H7638=1,I7638=1),0,IF(G7638="Credit",-F7638,F7638))</f>
        <v/>
      </c>
    </row>
    <row r="7639">
      <c r="A7639" t="inlineStr">
        <is>
          <t>2026-09-10</t>
        </is>
      </c>
      <c r="B7639" t="inlineStr">
        <is>
          <t>F264003</t>
        </is>
      </c>
      <c r="C7639" t="inlineStr">
        <is>
          <t>C10210</t>
        </is>
      </c>
      <c r="D7639" t="inlineStr">
        <is>
          <t>SKU-10284</t>
        </is>
      </c>
      <c r="E7639" t="inlineStr">
        <is>
          <t>AM11</t>
        </is>
      </c>
      <c r="F7639" s="5" t="n">
        <v>194.14</v>
      </c>
      <c r="G7639">
        <f>IF(LEFT(B7639,1)="C","Credit","Factuur")</f>
        <v/>
      </c>
      <c r="H7639">
        <f>IF(AND(B7639=B7638,D7639=D7638,A7639=A7638,F7639=F7638),1,0)</f>
        <v/>
      </c>
      <c r="I7639">
        <f>IF(C7639="C99999",1,0)</f>
        <v/>
      </c>
      <c r="J7639" s="5">
        <f>IF(OR(H7639=1,I7639=1),0,IF(G7639="Credit",-F7639,F7639))</f>
        <v/>
      </c>
    </row>
    <row r="7640">
      <c r="A7640" t="inlineStr">
        <is>
          <t>2026-09-10</t>
        </is>
      </c>
      <c r="B7640" t="inlineStr">
        <is>
          <t>F264003</t>
        </is>
      </c>
      <c r="C7640" t="inlineStr">
        <is>
          <t>C10210</t>
        </is>
      </c>
      <c r="D7640" t="inlineStr">
        <is>
          <t>SKU-10289</t>
        </is>
      </c>
      <c r="E7640" t="inlineStr">
        <is>
          <t>AM11</t>
        </is>
      </c>
      <c r="F7640" s="5" t="n">
        <v>182.35</v>
      </c>
      <c r="G7640">
        <f>IF(LEFT(B7640,1)="C","Credit","Factuur")</f>
        <v/>
      </c>
      <c r="H7640">
        <f>IF(AND(B7640=B7639,D7640=D7639,A7640=A7639,F7640=F7639),1,0)</f>
        <v/>
      </c>
      <c r="I7640">
        <f>IF(C7640="C99999",1,0)</f>
        <v/>
      </c>
      <c r="J7640" s="5">
        <f>IF(OR(H7640=1,I7640=1),0,IF(G7640="Credit",-F7640,F7640))</f>
        <v/>
      </c>
    </row>
    <row r="7641">
      <c r="A7641" t="inlineStr">
        <is>
          <t>2026-09-10</t>
        </is>
      </c>
      <c r="B7641" t="inlineStr">
        <is>
          <t>F265127</t>
        </is>
      </c>
      <c r="C7641" t="inlineStr">
        <is>
          <t>C10270</t>
        </is>
      </c>
      <c r="D7641" t="inlineStr">
        <is>
          <t>SKU-10225</t>
        </is>
      </c>
      <c r="E7641" t="inlineStr">
        <is>
          <t>AM02</t>
        </is>
      </c>
      <c r="F7641" s="5" t="n">
        <v>327.51</v>
      </c>
      <c r="G7641">
        <f>IF(LEFT(B7641,1)="C","Credit","Factuur")</f>
        <v/>
      </c>
      <c r="H7641">
        <f>IF(AND(B7641=B7640,D7641=D7640,A7641=A7640,F7641=F7640),1,0)</f>
        <v/>
      </c>
      <c r="I7641">
        <f>IF(C7641="C99999",1,0)</f>
        <v/>
      </c>
      <c r="J7641" s="5">
        <f>IF(OR(H7641=1,I7641=1),0,IF(G7641="Credit",-F7641,F7641))</f>
        <v/>
      </c>
    </row>
    <row r="7642">
      <c r="A7642" t="inlineStr">
        <is>
          <t>2026-09-10</t>
        </is>
      </c>
      <c r="B7642" t="inlineStr">
        <is>
          <t>F265127</t>
        </is>
      </c>
      <c r="C7642" t="inlineStr">
        <is>
          <t>C10270</t>
        </is>
      </c>
      <c r="D7642" t="inlineStr">
        <is>
          <t>SKU-10289</t>
        </is>
      </c>
      <c r="E7642" t="inlineStr">
        <is>
          <t>AM02</t>
        </is>
      </c>
      <c r="F7642" s="5" t="n">
        <v>345.51</v>
      </c>
      <c r="G7642">
        <f>IF(LEFT(B7642,1)="C","Credit","Factuur")</f>
        <v/>
      </c>
      <c r="H7642">
        <f>IF(AND(B7642=B7641,D7642=D7641,A7642=A7641,F7642=F7641),1,0)</f>
        <v/>
      </c>
      <c r="I7642">
        <f>IF(C7642="C99999",1,0)</f>
        <v/>
      </c>
      <c r="J7642" s="5">
        <f>IF(OR(H7642=1,I7642=1),0,IF(G7642="Credit",-F7642,F7642))</f>
        <v/>
      </c>
    </row>
    <row r="7643">
      <c r="A7643" t="inlineStr">
        <is>
          <t>2026-09-10</t>
        </is>
      </c>
      <c r="B7643" t="inlineStr">
        <is>
          <t>F265325</t>
        </is>
      </c>
      <c r="C7643" t="inlineStr">
        <is>
          <t>C10281</t>
        </is>
      </c>
      <c r="D7643" t="inlineStr">
        <is>
          <t>SKU-10304</t>
        </is>
      </c>
      <c r="E7643" t="inlineStr">
        <is>
          <t>AM06</t>
        </is>
      </c>
      <c r="F7643" s="5" t="n">
        <v>427.84</v>
      </c>
      <c r="G7643">
        <f>IF(LEFT(B7643,1)="C","Credit","Factuur")</f>
        <v/>
      </c>
      <c r="H7643">
        <f>IF(AND(B7643=B7642,D7643=D7642,A7643=A7642,F7643=F7642),1,0)</f>
        <v/>
      </c>
      <c r="I7643">
        <f>IF(C7643="C99999",1,0)</f>
        <v/>
      </c>
      <c r="J7643" s="5">
        <f>IF(OR(H7643=1,I7643=1),0,IF(G7643="Credit",-F7643,F7643))</f>
        <v/>
      </c>
    </row>
    <row r="7644">
      <c r="A7644" t="inlineStr">
        <is>
          <t>2026-09-10</t>
        </is>
      </c>
      <c r="B7644" t="inlineStr">
        <is>
          <t>F265325</t>
        </is>
      </c>
      <c r="C7644" t="inlineStr">
        <is>
          <t>C10281</t>
        </is>
      </c>
      <c r="D7644" t="inlineStr">
        <is>
          <t>SKU-10314</t>
        </is>
      </c>
      <c r="E7644" t="inlineStr">
        <is>
          <t>AM06</t>
        </is>
      </c>
      <c r="F7644" s="5" t="n">
        <v>423.36</v>
      </c>
      <c r="G7644">
        <f>IF(LEFT(B7644,1)="C","Credit","Factuur")</f>
        <v/>
      </c>
      <c r="H7644">
        <f>IF(AND(B7644=B7643,D7644=D7643,A7644=A7643,F7644=F7643),1,0)</f>
        <v/>
      </c>
      <c r="I7644">
        <f>IF(C7644="C99999",1,0)</f>
        <v/>
      </c>
      <c r="J7644" s="5">
        <f>IF(OR(H7644=1,I7644=1),0,IF(G7644="Credit",-F7644,F7644))</f>
        <v/>
      </c>
    </row>
    <row r="7645">
      <c r="A7645" t="inlineStr">
        <is>
          <t>2026-09-10</t>
        </is>
      </c>
      <c r="B7645" t="inlineStr">
        <is>
          <t>F265325</t>
        </is>
      </c>
      <c r="C7645" t="inlineStr">
        <is>
          <t>C10281</t>
        </is>
      </c>
      <c r="D7645" t="inlineStr">
        <is>
          <t>SKU-10366</t>
        </is>
      </c>
      <c r="E7645" t="inlineStr">
        <is>
          <t>AM06</t>
        </is>
      </c>
      <c r="F7645" s="5" t="n">
        <v>451.71</v>
      </c>
      <c r="G7645">
        <f>IF(LEFT(B7645,1)="C","Credit","Factuur")</f>
        <v/>
      </c>
      <c r="H7645">
        <f>IF(AND(B7645=B7644,D7645=D7644,A7645=A7644,F7645=F7644),1,0)</f>
        <v/>
      </c>
      <c r="I7645">
        <f>IF(C7645="C99999",1,0)</f>
        <v/>
      </c>
      <c r="J7645" s="5">
        <f>IF(OR(H7645=1,I7645=1),0,IF(G7645="Credit",-F7645,F7645))</f>
        <v/>
      </c>
    </row>
    <row r="7646">
      <c r="A7646" t="inlineStr">
        <is>
          <t>2026-09-10</t>
        </is>
      </c>
      <c r="B7646" t="inlineStr">
        <is>
          <t>F265410</t>
        </is>
      </c>
      <c r="C7646" t="inlineStr">
        <is>
          <t>C10286</t>
        </is>
      </c>
      <c r="D7646" t="inlineStr">
        <is>
          <t>SKU-10032</t>
        </is>
      </c>
      <c r="E7646" t="inlineStr">
        <is>
          <t>AM02</t>
        </is>
      </c>
      <c r="F7646" s="5" t="n">
        <v>280.34</v>
      </c>
      <c r="G7646">
        <f>IF(LEFT(B7646,1)="C","Credit","Factuur")</f>
        <v/>
      </c>
      <c r="H7646">
        <f>IF(AND(B7646=B7645,D7646=D7645,A7646=A7645,F7646=F7645),1,0)</f>
        <v/>
      </c>
      <c r="I7646">
        <f>IF(C7646="C99999",1,0)</f>
        <v/>
      </c>
      <c r="J7646" s="5">
        <f>IF(OR(H7646=1,I7646=1),0,IF(G7646="Credit",-F7646,F7646))</f>
        <v/>
      </c>
    </row>
    <row r="7647">
      <c r="A7647" t="inlineStr">
        <is>
          <t>2026-09-10</t>
        </is>
      </c>
      <c r="B7647" t="inlineStr">
        <is>
          <t>F265410</t>
        </is>
      </c>
      <c r="C7647" t="inlineStr">
        <is>
          <t>C10286</t>
        </is>
      </c>
      <c r="D7647" t="inlineStr">
        <is>
          <t>SKU-10097</t>
        </is>
      </c>
      <c r="E7647" t="inlineStr">
        <is>
          <t>AM02</t>
        </is>
      </c>
      <c r="F7647" s="5" t="n">
        <v>319.5</v>
      </c>
      <c r="G7647">
        <f>IF(LEFT(B7647,1)="C","Credit","Factuur")</f>
        <v/>
      </c>
      <c r="H7647">
        <f>IF(AND(B7647=B7646,D7647=D7646,A7647=A7646,F7647=F7646),1,0)</f>
        <v/>
      </c>
      <c r="I7647">
        <f>IF(C7647="C99999",1,0)</f>
        <v/>
      </c>
      <c r="J7647" s="5">
        <f>IF(OR(H7647=1,I7647=1),0,IF(G7647="Credit",-F7647,F7647))</f>
        <v/>
      </c>
    </row>
    <row r="7648">
      <c r="A7648" t="inlineStr">
        <is>
          <t>2026-09-10</t>
        </is>
      </c>
      <c r="B7648" t="inlineStr">
        <is>
          <t>F265493</t>
        </is>
      </c>
      <c r="C7648" t="inlineStr">
        <is>
          <t>C10289</t>
        </is>
      </c>
      <c r="D7648" t="inlineStr">
        <is>
          <t>SKU-10014</t>
        </is>
      </c>
      <c r="E7648" t="inlineStr">
        <is>
          <t>AM07</t>
        </is>
      </c>
      <c r="F7648" s="5" t="n">
        <v>825.6</v>
      </c>
      <c r="G7648">
        <f>IF(LEFT(B7648,1)="C","Credit","Factuur")</f>
        <v/>
      </c>
      <c r="H7648">
        <f>IF(AND(B7648=B7647,D7648=D7647,A7648=A7647,F7648=F7647),1,0)</f>
        <v/>
      </c>
      <c r="I7648">
        <f>IF(C7648="C99999",1,0)</f>
        <v/>
      </c>
      <c r="J7648" s="5">
        <f>IF(OR(H7648=1,I7648=1),0,IF(G7648="Credit",-F7648,F7648))</f>
        <v/>
      </c>
    </row>
    <row r="7649">
      <c r="A7649" t="inlineStr">
        <is>
          <t>2026-09-10</t>
        </is>
      </c>
      <c r="B7649" t="inlineStr">
        <is>
          <t>F265493</t>
        </is>
      </c>
      <c r="C7649" t="inlineStr">
        <is>
          <t>C10289</t>
        </is>
      </c>
      <c r="D7649" t="inlineStr">
        <is>
          <t>SKU-10270</t>
        </is>
      </c>
      <c r="E7649" t="inlineStr">
        <is>
          <t>AM07</t>
        </is>
      </c>
      <c r="F7649" s="5" t="n">
        <v>749.83</v>
      </c>
      <c r="G7649">
        <f>IF(LEFT(B7649,1)="C","Credit","Factuur")</f>
        <v/>
      </c>
      <c r="H7649">
        <f>IF(AND(B7649=B7648,D7649=D7648,A7649=A7648,F7649=F7648),1,0)</f>
        <v/>
      </c>
      <c r="I7649">
        <f>IF(C7649="C99999",1,0)</f>
        <v/>
      </c>
      <c r="J7649" s="5">
        <f>IF(OR(H7649=1,I7649=1),0,IF(G7649="Credit",-F7649,F7649))</f>
        <v/>
      </c>
    </row>
    <row r="7650">
      <c r="A7650" t="inlineStr">
        <is>
          <t>2026-09-10</t>
        </is>
      </c>
      <c r="B7650" t="inlineStr">
        <is>
          <t>F265493</t>
        </is>
      </c>
      <c r="C7650" t="inlineStr">
        <is>
          <t>C10289</t>
        </is>
      </c>
      <c r="D7650" t="inlineStr">
        <is>
          <t>SKU-10340</t>
        </is>
      </c>
      <c r="E7650" t="inlineStr">
        <is>
          <t>AM07</t>
        </is>
      </c>
      <c r="F7650" s="5" t="n">
        <v>793.52</v>
      </c>
      <c r="G7650">
        <f>IF(LEFT(B7650,1)="C","Credit","Factuur")</f>
        <v/>
      </c>
      <c r="H7650">
        <f>IF(AND(B7650=B7649,D7650=D7649,A7650=A7649,F7650=F7649),1,0)</f>
        <v/>
      </c>
      <c r="I7650">
        <f>IF(C7650="C99999",1,0)</f>
        <v/>
      </c>
      <c r="J7650" s="5">
        <f>IF(OR(H7650=1,I7650=1),0,IF(G7650="Credit",-F7650,F7650))</f>
        <v/>
      </c>
    </row>
    <row r="7651">
      <c r="A7651" t="inlineStr">
        <is>
          <t>2026-09-10</t>
        </is>
      </c>
      <c r="B7651" t="inlineStr">
        <is>
          <t>F266420</t>
        </is>
      </c>
      <c r="C7651" t="inlineStr">
        <is>
          <t>C10337</t>
        </is>
      </c>
      <c r="D7651" t="inlineStr">
        <is>
          <t>SKU-10044</t>
        </is>
      </c>
      <c r="E7651" t="inlineStr">
        <is>
          <t>AM07</t>
        </is>
      </c>
      <c r="F7651" s="5" t="n">
        <v>245.4</v>
      </c>
      <c r="G7651">
        <f>IF(LEFT(B7651,1)="C","Credit","Factuur")</f>
        <v/>
      </c>
      <c r="H7651">
        <f>IF(AND(B7651=B7650,D7651=D7650,A7651=A7650,F7651=F7650),1,0)</f>
        <v/>
      </c>
      <c r="I7651">
        <f>IF(C7651="C99999",1,0)</f>
        <v/>
      </c>
      <c r="J7651" s="5">
        <f>IF(OR(H7651=1,I7651=1),0,IF(G7651="Credit",-F7651,F7651))</f>
        <v/>
      </c>
    </row>
    <row r="7652">
      <c r="A7652" t="inlineStr">
        <is>
          <t>2026-09-10</t>
        </is>
      </c>
      <c r="B7652" t="inlineStr">
        <is>
          <t>F266420</t>
        </is>
      </c>
      <c r="C7652" t="inlineStr">
        <is>
          <t>C10337</t>
        </is>
      </c>
      <c r="D7652" t="inlineStr">
        <is>
          <t>SKU-10322</t>
        </is>
      </c>
      <c r="E7652" t="inlineStr">
        <is>
          <t>AM07</t>
        </is>
      </c>
      <c r="F7652" s="5" t="n">
        <v>216.88</v>
      </c>
      <c r="G7652">
        <f>IF(LEFT(B7652,1)="C","Credit","Factuur")</f>
        <v/>
      </c>
      <c r="H7652">
        <f>IF(AND(B7652=B7651,D7652=D7651,A7652=A7651,F7652=F7651),1,0)</f>
        <v/>
      </c>
      <c r="I7652">
        <f>IF(C7652="C99999",1,0)</f>
        <v/>
      </c>
      <c r="J7652" s="5">
        <f>IF(OR(H7652=1,I7652=1),0,IF(G7652="Credit",-F7652,F7652))</f>
        <v/>
      </c>
    </row>
    <row r="7653">
      <c r="A7653" t="inlineStr">
        <is>
          <t>2026-09-10</t>
        </is>
      </c>
      <c r="B7653" t="inlineStr">
        <is>
          <t>F266420</t>
        </is>
      </c>
      <c r="C7653" t="inlineStr">
        <is>
          <t>C10337</t>
        </is>
      </c>
      <c r="D7653" t="inlineStr">
        <is>
          <t>SKU-10338</t>
        </is>
      </c>
      <c r="E7653" t="inlineStr">
        <is>
          <t>AM07</t>
        </is>
      </c>
      <c r="F7653" s="5" t="n">
        <v>238.86</v>
      </c>
      <c r="G7653">
        <f>IF(LEFT(B7653,1)="C","Credit","Factuur")</f>
        <v/>
      </c>
      <c r="H7653">
        <f>IF(AND(B7653=B7652,D7653=D7652,A7653=A7652,F7653=F7652),1,0)</f>
        <v/>
      </c>
      <c r="I7653">
        <f>IF(C7653="C99999",1,0)</f>
        <v/>
      </c>
      <c r="J7653" s="5">
        <f>IF(OR(H7653=1,I7653=1),0,IF(G7653="Credit",-F7653,F7653))</f>
        <v/>
      </c>
    </row>
    <row r="7654">
      <c r="A7654" t="inlineStr">
        <is>
          <t>2026-09-10</t>
        </is>
      </c>
      <c r="B7654" t="inlineStr">
        <is>
          <t>F267996</t>
        </is>
      </c>
      <c r="C7654" t="inlineStr">
        <is>
          <t>C10421</t>
        </is>
      </c>
      <c r="D7654" t="inlineStr">
        <is>
          <t>SKU-10011</t>
        </is>
      </c>
      <c r="E7654" t="inlineStr">
        <is>
          <t>AM02</t>
        </is>
      </c>
      <c r="F7654" s="5" t="n">
        <v>347.13</v>
      </c>
      <c r="G7654">
        <f>IF(LEFT(B7654,1)="C","Credit","Factuur")</f>
        <v/>
      </c>
      <c r="H7654">
        <f>IF(AND(B7654=B7653,D7654=D7653,A7654=A7653,F7654=F7653),1,0)</f>
        <v/>
      </c>
      <c r="I7654">
        <f>IF(C7654="C99999",1,0)</f>
        <v/>
      </c>
      <c r="J7654" s="5">
        <f>IF(OR(H7654=1,I7654=1),0,IF(G7654="Credit",-F7654,F7654))</f>
        <v/>
      </c>
    </row>
    <row r="7655">
      <c r="A7655" t="inlineStr">
        <is>
          <t>2026-09-10</t>
        </is>
      </c>
      <c r="B7655" t="inlineStr">
        <is>
          <t>F267996</t>
        </is>
      </c>
      <c r="C7655" t="inlineStr">
        <is>
          <t>C10421</t>
        </is>
      </c>
      <c r="D7655" t="inlineStr">
        <is>
          <t>SKU-10014</t>
        </is>
      </c>
      <c r="E7655" t="inlineStr">
        <is>
          <t>AM02</t>
        </is>
      </c>
      <c r="F7655" s="5" t="n">
        <v>385.28</v>
      </c>
      <c r="G7655">
        <f>IF(LEFT(B7655,1)="C","Credit","Factuur")</f>
        <v/>
      </c>
      <c r="H7655">
        <f>IF(AND(B7655=B7654,D7655=D7654,A7655=A7654,F7655=F7654),1,0)</f>
        <v/>
      </c>
      <c r="I7655">
        <f>IF(C7655="C99999",1,0)</f>
        <v/>
      </c>
      <c r="J7655" s="5">
        <f>IF(OR(H7655=1,I7655=1),0,IF(G7655="Credit",-F7655,F7655))</f>
        <v/>
      </c>
    </row>
    <row r="7656">
      <c r="A7656" t="inlineStr">
        <is>
          <t>2026-09-10</t>
        </is>
      </c>
      <c r="B7656" t="inlineStr">
        <is>
          <t>F267996</t>
        </is>
      </c>
      <c r="C7656" t="inlineStr">
        <is>
          <t>C10421</t>
        </is>
      </c>
      <c r="D7656" t="inlineStr">
        <is>
          <t>SKU-10090</t>
        </is>
      </c>
      <c r="E7656" t="inlineStr">
        <is>
          <t>AM02</t>
        </is>
      </c>
      <c r="F7656" s="5" t="n">
        <v>382.8</v>
      </c>
      <c r="G7656">
        <f>IF(LEFT(B7656,1)="C","Credit","Factuur")</f>
        <v/>
      </c>
      <c r="H7656">
        <f>IF(AND(B7656=B7655,D7656=D7655,A7656=A7655,F7656=F7655),1,0)</f>
        <v/>
      </c>
      <c r="I7656">
        <f>IF(C7656="C99999",1,0)</f>
        <v/>
      </c>
      <c r="J7656" s="5">
        <f>IF(OR(H7656=1,I7656=1),0,IF(G7656="Credit",-F7656,F7656))</f>
        <v/>
      </c>
    </row>
    <row r="7657">
      <c r="A7657" t="inlineStr">
        <is>
          <t>2026-09-10</t>
        </is>
      </c>
      <c r="B7657" t="inlineStr">
        <is>
          <t>F267996</t>
        </is>
      </c>
      <c r="C7657" t="inlineStr">
        <is>
          <t>C10421</t>
        </is>
      </c>
      <c r="D7657" t="inlineStr">
        <is>
          <t>SKU-10122</t>
        </is>
      </c>
      <c r="E7657" t="inlineStr">
        <is>
          <t>AM02</t>
        </is>
      </c>
      <c r="F7657" s="5" t="n">
        <v>357.12</v>
      </c>
      <c r="G7657">
        <f>IF(LEFT(B7657,1)="C","Credit","Factuur")</f>
        <v/>
      </c>
      <c r="H7657">
        <f>IF(AND(B7657=B7656,D7657=D7656,A7657=A7656,F7657=F7656),1,0)</f>
        <v/>
      </c>
      <c r="I7657">
        <f>IF(C7657="C99999",1,0)</f>
        <v/>
      </c>
      <c r="J7657" s="5">
        <f>IF(OR(H7657=1,I7657=1),0,IF(G7657="Credit",-F7657,F7657))</f>
        <v/>
      </c>
    </row>
    <row r="7658">
      <c r="A7658" t="inlineStr">
        <is>
          <t>2026-09-10</t>
        </is>
      </c>
      <c r="B7658" t="inlineStr">
        <is>
          <t>F268493</t>
        </is>
      </c>
      <c r="C7658" t="inlineStr">
        <is>
          <t>C10444</t>
        </is>
      </c>
      <c r="D7658" t="inlineStr">
        <is>
          <t>SKU-10113</t>
        </is>
      </c>
      <c r="E7658" t="inlineStr">
        <is>
          <t>AM01</t>
        </is>
      </c>
      <c r="F7658" s="5" t="n">
        <v>153</v>
      </c>
      <c r="G7658">
        <f>IF(LEFT(B7658,1)="C","Credit","Factuur")</f>
        <v/>
      </c>
      <c r="H7658">
        <f>IF(AND(B7658=B7657,D7658=D7657,A7658=A7657,F7658=F7657),1,0)</f>
        <v/>
      </c>
      <c r="I7658">
        <f>IF(C7658="C99999",1,0)</f>
        <v/>
      </c>
      <c r="J7658" s="5">
        <f>IF(OR(H7658=1,I7658=1),0,IF(G7658="Credit",-F7658,F7658))</f>
        <v/>
      </c>
    </row>
    <row r="7659">
      <c r="A7659" t="inlineStr">
        <is>
          <t>2026-09-10</t>
        </is>
      </c>
      <c r="B7659" t="inlineStr">
        <is>
          <t>F268493</t>
        </is>
      </c>
      <c r="C7659" t="inlineStr">
        <is>
          <t>C10444</t>
        </is>
      </c>
      <c r="D7659" t="inlineStr">
        <is>
          <t>SKU-10117</t>
        </is>
      </c>
      <c r="E7659" t="inlineStr">
        <is>
          <t>AM01</t>
        </is>
      </c>
      <c r="F7659" s="5" t="n">
        <v>115.1</v>
      </c>
      <c r="G7659">
        <f>IF(LEFT(B7659,1)="C","Credit","Factuur")</f>
        <v/>
      </c>
      <c r="H7659">
        <f>IF(AND(B7659=B7658,D7659=D7658,A7659=A7658,F7659=F7658),1,0)</f>
        <v/>
      </c>
      <c r="I7659">
        <f>IF(C7659="C99999",1,0)</f>
        <v/>
      </c>
      <c r="J7659" s="5">
        <f>IF(OR(H7659=1,I7659=1),0,IF(G7659="Credit",-F7659,F7659))</f>
        <v/>
      </c>
    </row>
    <row r="7660">
      <c r="A7660" t="inlineStr">
        <is>
          <t>2026-09-10</t>
        </is>
      </c>
      <c r="B7660" t="inlineStr">
        <is>
          <t>F268997</t>
        </is>
      </c>
      <c r="C7660" t="inlineStr">
        <is>
          <t>C10467</t>
        </is>
      </c>
      <c r="D7660" t="inlineStr">
        <is>
          <t>SKU-10060</t>
        </is>
      </c>
      <c r="E7660" t="inlineStr">
        <is>
          <t>AM05</t>
        </is>
      </c>
      <c r="F7660" s="5" t="n">
        <v>194.04</v>
      </c>
      <c r="G7660">
        <f>IF(LEFT(B7660,1)="C","Credit","Factuur")</f>
        <v/>
      </c>
      <c r="H7660">
        <f>IF(AND(B7660=B7659,D7660=D7659,A7660=A7659,F7660=F7659),1,0)</f>
        <v/>
      </c>
      <c r="I7660">
        <f>IF(C7660="C99999",1,0)</f>
        <v/>
      </c>
      <c r="J7660" s="5">
        <f>IF(OR(H7660=1,I7660=1),0,IF(G7660="Credit",-F7660,F7660))</f>
        <v/>
      </c>
    </row>
    <row r="7661">
      <c r="A7661" t="inlineStr">
        <is>
          <t>2026-09-10</t>
        </is>
      </c>
      <c r="B7661" t="inlineStr">
        <is>
          <t>F268997</t>
        </is>
      </c>
      <c r="C7661" t="inlineStr">
        <is>
          <t>C10467</t>
        </is>
      </c>
      <c r="D7661" t="inlineStr">
        <is>
          <t>SKU-10120</t>
        </is>
      </c>
      <c r="E7661" t="inlineStr">
        <is>
          <t>AM05</t>
        </is>
      </c>
      <c r="F7661" s="5" t="n">
        <v>215.69</v>
      </c>
      <c r="G7661">
        <f>IF(LEFT(B7661,1)="C","Credit","Factuur")</f>
        <v/>
      </c>
      <c r="H7661">
        <f>IF(AND(B7661=B7660,D7661=D7660,A7661=A7660,F7661=F7660),1,0)</f>
        <v/>
      </c>
      <c r="I7661">
        <f>IF(C7661="C99999",1,0)</f>
        <v/>
      </c>
      <c r="J7661" s="5">
        <f>IF(OR(H7661=1,I7661=1),0,IF(G7661="Credit",-F7661,F7661))</f>
        <v/>
      </c>
    </row>
    <row r="7662">
      <c r="A7662" t="inlineStr">
        <is>
          <t>2026-09-10</t>
        </is>
      </c>
      <c r="B7662" t="inlineStr">
        <is>
          <t>F268997</t>
        </is>
      </c>
      <c r="C7662" t="inlineStr">
        <is>
          <t>C10467</t>
        </is>
      </c>
      <c r="D7662" t="inlineStr">
        <is>
          <t>SKU-10187</t>
        </is>
      </c>
      <c r="E7662" t="inlineStr">
        <is>
          <t>AM05</t>
        </is>
      </c>
      <c r="F7662" s="5" t="n">
        <v>219.36</v>
      </c>
      <c r="G7662">
        <f>IF(LEFT(B7662,1)="C","Credit","Factuur")</f>
        <v/>
      </c>
      <c r="H7662">
        <f>IF(AND(B7662=B7661,D7662=D7661,A7662=A7661,F7662=F7661),1,0)</f>
        <v/>
      </c>
      <c r="I7662">
        <f>IF(C7662="C99999",1,0)</f>
        <v/>
      </c>
      <c r="J7662" s="5">
        <f>IF(OR(H7662=1,I7662=1),0,IF(G7662="Credit",-F7662,F7662))</f>
        <v/>
      </c>
    </row>
    <row r="7663">
      <c r="A7663" t="inlineStr">
        <is>
          <t>2026-09-10</t>
        </is>
      </c>
      <c r="B7663" t="inlineStr">
        <is>
          <t>F269778</t>
        </is>
      </c>
      <c r="C7663" t="inlineStr">
        <is>
          <t>C10516</t>
        </is>
      </c>
      <c r="D7663" t="inlineStr">
        <is>
          <t>SKU-10078</t>
        </is>
      </c>
      <c r="E7663" t="inlineStr"/>
      <c r="F7663" s="5" t="n">
        <v>141.31</v>
      </c>
      <c r="G7663">
        <f>IF(LEFT(B7663,1)="C","Credit","Factuur")</f>
        <v/>
      </c>
      <c r="H7663">
        <f>IF(AND(B7663=B7662,D7663=D7662,A7663=A7662,F7663=F7662),1,0)</f>
        <v/>
      </c>
      <c r="I7663">
        <f>IF(C7663="C99999",1,0)</f>
        <v/>
      </c>
      <c r="J7663" s="5">
        <f>IF(OR(H7663=1,I7663=1),0,IF(G7663="Credit",-F7663,F7663))</f>
        <v/>
      </c>
    </row>
    <row r="7664">
      <c r="A7664" t="inlineStr">
        <is>
          <t>2026-09-10</t>
        </is>
      </c>
      <c r="B7664" t="inlineStr">
        <is>
          <t>F269778</t>
        </is>
      </c>
      <c r="C7664" t="inlineStr">
        <is>
          <t>C10516</t>
        </is>
      </c>
      <c r="D7664" t="inlineStr">
        <is>
          <t>SKU-10169</t>
        </is>
      </c>
      <c r="E7664" t="inlineStr">
        <is>
          <t>AM06</t>
        </is>
      </c>
      <c r="F7664" s="5" t="n">
        <v>146.59</v>
      </c>
      <c r="G7664">
        <f>IF(LEFT(B7664,1)="C","Credit","Factuur")</f>
        <v/>
      </c>
      <c r="H7664">
        <f>IF(AND(B7664=B7663,D7664=D7663,A7664=A7663,F7664=F7663),1,0)</f>
        <v/>
      </c>
      <c r="I7664">
        <f>IF(C7664="C99999",1,0)</f>
        <v/>
      </c>
      <c r="J7664" s="5">
        <f>IF(OR(H7664=1,I7664=1),0,IF(G7664="Credit",-F7664,F7664))</f>
        <v/>
      </c>
    </row>
    <row r="7665">
      <c r="A7665" t="inlineStr">
        <is>
          <t>2026-09-10</t>
        </is>
      </c>
      <c r="B7665" t="inlineStr">
        <is>
          <t>F269778</t>
        </is>
      </c>
      <c r="C7665" t="inlineStr">
        <is>
          <t>C10516</t>
        </is>
      </c>
      <c r="D7665" t="inlineStr">
        <is>
          <t>SKU-10211</t>
        </is>
      </c>
      <c r="E7665" t="inlineStr">
        <is>
          <t>AM06</t>
        </is>
      </c>
      <c r="F7665" s="5" t="n">
        <v>137.64</v>
      </c>
      <c r="G7665">
        <f>IF(LEFT(B7665,1)="C","Credit","Factuur")</f>
        <v/>
      </c>
      <c r="H7665">
        <f>IF(AND(B7665=B7664,D7665=D7664,A7665=A7664,F7665=F7664),1,0)</f>
        <v/>
      </c>
      <c r="I7665">
        <f>IF(C7665="C99999",1,0)</f>
        <v/>
      </c>
      <c r="J7665" s="5">
        <f>IF(OR(H7665=1,I7665=1),0,IF(G7665="Credit",-F7665,F7665))</f>
        <v/>
      </c>
    </row>
    <row r="7666">
      <c r="A7666" t="inlineStr">
        <is>
          <t>2026-09-10</t>
        </is>
      </c>
      <c r="B7666" t="inlineStr">
        <is>
          <t>F270241</t>
        </is>
      </c>
      <c r="C7666" t="inlineStr">
        <is>
          <t>C10541</t>
        </is>
      </c>
      <c r="D7666" t="inlineStr">
        <is>
          <t>SKU-10021</t>
        </is>
      </c>
      <c r="E7666" t="inlineStr">
        <is>
          <t>AM01</t>
        </is>
      </c>
      <c r="F7666" s="5" t="n">
        <v>113.81</v>
      </c>
      <c r="G7666">
        <f>IF(LEFT(B7666,1)="C","Credit","Factuur")</f>
        <v/>
      </c>
      <c r="H7666">
        <f>IF(AND(B7666=B7665,D7666=D7665,A7666=A7665,F7666=F7665),1,0)</f>
        <v/>
      </c>
      <c r="I7666">
        <f>IF(C7666="C99999",1,0)</f>
        <v/>
      </c>
      <c r="J7666" s="5">
        <f>IF(OR(H7666=1,I7666=1),0,IF(G7666="Credit",-F7666,F7666))</f>
        <v/>
      </c>
    </row>
    <row r="7667">
      <c r="A7667" t="inlineStr">
        <is>
          <t>2026-09-10</t>
        </is>
      </c>
      <c r="B7667" t="inlineStr">
        <is>
          <t>F270241</t>
        </is>
      </c>
      <c r="C7667" t="inlineStr">
        <is>
          <t>C10541</t>
        </is>
      </c>
      <c r="D7667" t="inlineStr">
        <is>
          <t>SKU-10046</t>
        </is>
      </c>
      <c r="E7667" t="inlineStr">
        <is>
          <t>AM01</t>
        </is>
      </c>
      <c r="F7667" s="5" t="n">
        <v>97.2</v>
      </c>
      <c r="G7667">
        <f>IF(LEFT(B7667,1)="C","Credit","Factuur")</f>
        <v/>
      </c>
      <c r="H7667">
        <f>IF(AND(B7667=B7666,D7667=D7666,A7667=A7666,F7667=F7666),1,0)</f>
        <v/>
      </c>
      <c r="I7667">
        <f>IF(C7667="C99999",1,0)</f>
        <v/>
      </c>
      <c r="J7667" s="5">
        <f>IF(OR(H7667=1,I7667=1),0,IF(G7667="Credit",-F7667,F7667))</f>
        <v/>
      </c>
    </row>
    <row r="7668">
      <c r="A7668" t="inlineStr">
        <is>
          <t>2026-09-10</t>
        </is>
      </c>
      <c r="B7668" t="inlineStr">
        <is>
          <t>F270241</t>
        </is>
      </c>
      <c r="C7668" t="inlineStr">
        <is>
          <t>C10541</t>
        </is>
      </c>
      <c r="D7668" t="inlineStr">
        <is>
          <t>SKU-10241</t>
        </is>
      </c>
      <c r="E7668" t="inlineStr">
        <is>
          <t>AM01</t>
        </is>
      </c>
      <c r="F7668" s="5" t="n">
        <v>91.94</v>
      </c>
      <c r="G7668">
        <f>IF(LEFT(B7668,1)="C","Credit","Factuur")</f>
        <v/>
      </c>
      <c r="H7668">
        <f>IF(AND(B7668=B7667,D7668=D7667,A7668=A7667,F7668=F7667),1,0)</f>
        <v/>
      </c>
      <c r="I7668">
        <f>IF(C7668="C99999",1,0)</f>
        <v/>
      </c>
      <c r="J7668" s="5">
        <f>IF(OR(H7668=1,I7668=1),0,IF(G7668="Credit",-F7668,F7668))</f>
        <v/>
      </c>
    </row>
    <row r="7669">
      <c r="A7669" t="inlineStr">
        <is>
          <t>2026-09-10</t>
        </is>
      </c>
      <c r="B7669" t="inlineStr">
        <is>
          <t>F270241</t>
        </is>
      </c>
      <c r="C7669" t="inlineStr">
        <is>
          <t>C10541</t>
        </is>
      </c>
      <c r="D7669" t="inlineStr">
        <is>
          <t>SKU-10242</t>
        </is>
      </c>
      <c r="E7669" t="inlineStr">
        <is>
          <t>AM01</t>
        </is>
      </c>
      <c r="F7669" s="5" t="n">
        <v>102.6</v>
      </c>
      <c r="G7669">
        <f>IF(LEFT(B7669,1)="C","Credit","Factuur")</f>
        <v/>
      </c>
      <c r="H7669">
        <f>IF(AND(B7669=B7668,D7669=D7668,A7669=A7668,F7669=F7668),1,0)</f>
        <v/>
      </c>
      <c r="I7669">
        <f>IF(C7669="C99999",1,0)</f>
        <v/>
      </c>
      <c r="J7669" s="5">
        <f>IF(OR(H7669=1,I7669=1),0,IF(G7669="Credit",-F7669,F7669))</f>
        <v/>
      </c>
    </row>
    <row r="7670">
      <c r="A7670" t="inlineStr">
        <is>
          <t>2026-09-10</t>
        </is>
      </c>
      <c r="B7670" t="inlineStr">
        <is>
          <t>F270241</t>
        </is>
      </c>
      <c r="C7670" t="inlineStr">
        <is>
          <t>C10541</t>
        </is>
      </c>
      <c r="D7670" t="inlineStr">
        <is>
          <t>SKU-10244</t>
        </is>
      </c>
      <c r="E7670" t="inlineStr">
        <is>
          <t>AM01</t>
        </is>
      </c>
      <c r="F7670" s="5" t="n">
        <v>107.73</v>
      </c>
      <c r="G7670">
        <f>IF(LEFT(B7670,1)="C","Credit","Factuur")</f>
        <v/>
      </c>
      <c r="H7670">
        <f>IF(AND(B7670=B7669,D7670=D7669,A7670=A7669,F7670=F7669),1,0)</f>
        <v/>
      </c>
      <c r="I7670">
        <f>IF(C7670="C99999",1,0)</f>
        <v/>
      </c>
      <c r="J7670" s="5">
        <f>IF(OR(H7670=1,I7670=1),0,IF(G7670="Credit",-F7670,F7670))</f>
        <v/>
      </c>
    </row>
    <row r="7671">
      <c r="A7671" t="inlineStr">
        <is>
          <t>2026-09-10</t>
        </is>
      </c>
      <c r="B7671" t="inlineStr">
        <is>
          <t>F270384</t>
        </is>
      </c>
      <c r="C7671" t="inlineStr">
        <is>
          <t>C10546</t>
        </is>
      </c>
      <c r="D7671" t="inlineStr">
        <is>
          <t>SKU-10222</t>
        </is>
      </c>
      <c r="E7671" t="inlineStr">
        <is>
          <t>AM09</t>
        </is>
      </c>
      <c r="F7671" s="5" t="n">
        <v>3881.87</v>
      </c>
      <c r="G7671">
        <f>IF(LEFT(B7671,1)="C","Credit","Factuur")</f>
        <v/>
      </c>
      <c r="H7671">
        <f>IF(AND(B7671=B7670,D7671=D7670,A7671=A7670,F7671=F7670),1,0)</f>
        <v/>
      </c>
      <c r="I7671">
        <f>IF(C7671="C99999",1,0)</f>
        <v/>
      </c>
      <c r="J7671" s="5">
        <f>IF(OR(H7671=1,I7671=1),0,IF(G7671="Credit",-F7671,F7671))</f>
        <v/>
      </c>
    </row>
    <row r="7672">
      <c r="A7672" t="inlineStr">
        <is>
          <t>2026-09-10</t>
        </is>
      </c>
      <c r="B7672" t="inlineStr">
        <is>
          <t>F270384</t>
        </is>
      </c>
      <c r="C7672" t="inlineStr">
        <is>
          <t>C10546</t>
        </is>
      </c>
      <c r="D7672" t="inlineStr">
        <is>
          <t>SKU-10236</t>
        </is>
      </c>
      <c r="E7672" t="inlineStr">
        <is>
          <t>AM09</t>
        </is>
      </c>
      <c r="F7672" s="5" t="n">
        <v>3590.12</v>
      </c>
      <c r="G7672">
        <f>IF(LEFT(B7672,1)="C","Credit","Factuur")</f>
        <v/>
      </c>
      <c r="H7672">
        <f>IF(AND(B7672=B7671,D7672=D7671,A7672=A7671,F7672=F7671),1,0)</f>
        <v/>
      </c>
      <c r="I7672">
        <f>IF(C7672="C99999",1,0)</f>
        <v/>
      </c>
      <c r="J7672" s="5">
        <f>IF(OR(H7672=1,I7672=1),0,IF(G7672="Credit",-F7672,F7672))</f>
        <v/>
      </c>
    </row>
    <row r="7673">
      <c r="A7673" t="inlineStr">
        <is>
          <t>2026-09-10</t>
        </is>
      </c>
      <c r="B7673" t="inlineStr">
        <is>
          <t>F270384</t>
        </is>
      </c>
      <c r="C7673" t="inlineStr">
        <is>
          <t>C10546</t>
        </is>
      </c>
      <c r="D7673" t="inlineStr">
        <is>
          <t>SKU-10365</t>
        </is>
      </c>
      <c r="E7673" t="inlineStr">
        <is>
          <t>AM09</t>
        </is>
      </c>
      <c r="F7673" s="5" t="n">
        <v>3720.83</v>
      </c>
      <c r="G7673">
        <f>IF(LEFT(B7673,1)="C","Credit","Factuur")</f>
        <v/>
      </c>
      <c r="H7673">
        <f>IF(AND(B7673=B7672,D7673=D7672,A7673=A7672,F7673=F7672),1,0)</f>
        <v/>
      </c>
      <c r="I7673">
        <f>IF(C7673="C99999",1,0)</f>
        <v/>
      </c>
      <c r="J7673" s="5">
        <f>IF(OR(H7673=1,I7673=1),0,IF(G7673="Credit",-F7673,F7673))</f>
        <v/>
      </c>
    </row>
    <row r="7674">
      <c r="A7674" t="inlineStr">
        <is>
          <t>2026-09-10</t>
        </is>
      </c>
      <c r="B7674" t="inlineStr">
        <is>
          <t>F270569</t>
        </is>
      </c>
      <c r="C7674" t="inlineStr">
        <is>
          <t>C10555</t>
        </is>
      </c>
      <c r="D7674" t="inlineStr">
        <is>
          <t>SKU-10095</t>
        </is>
      </c>
      <c r="E7674" t="inlineStr">
        <is>
          <t>AM08</t>
        </is>
      </c>
      <c r="F7674" s="5" t="n">
        <v>495.2</v>
      </c>
      <c r="G7674">
        <f>IF(LEFT(B7674,1)="C","Credit","Factuur")</f>
        <v/>
      </c>
      <c r="H7674">
        <f>IF(AND(B7674=B7673,D7674=D7673,A7674=A7673,F7674=F7673),1,0)</f>
        <v/>
      </c>
      <c r="I7674">
        <f>IF(C7674="C99999",1,0)</f>
        <v/>
      </c>
      <c r="J7674" s="5">
        <f>IF(OR(H7674=1,I7674=1),0,IF(G7674="Credit",-F7674,F7674))</f>
        <v/>
      </c>
    </row>
    <row r="7675">
      <c r="A7675" t="inlineStr">
        <is>
          <t>2026-09-10</t>
        </is>
      </c>
      <c r="B7675" t="inlineStr">
        <is>
          <t>F270735</t>
        </is>
      </c>
      <c r="C7675" t="inlineStr">
        <is>
          <t>C10564</t>
        </is>
      </c>
      <c r="D7675" t="inlineStr">
        <is>
          <t>SKU-10153</t>
        </is>
      </c>
      <c r="E7675" t="inlineStr">
        <is>
          <t>AM05</t>
        </is>
      </c>
      <c r="F7675" s="5" t="n">
        <v>277.63</v>
      </c>
      <c r="G7675">
        <f>IF(LEFT(B7675,1)="C","Credit","Factuur")</f>
        <v/>
      </c>
      <c r="H7675">
        <f>IF(AND(B7675=B7674,D7675=D7674,A7675=A7674,F7675=F7674),1,0)</f>
        <v/>
      </c>
      <c r="I7675">
        <f>IF(C7675="C99999",1,0)</f>
        <v/>
      </c>
      <c r="J7675" s="5">
        <f>IF(OR(H7675=1,I7675=1),0,IF(G7675="Credit",-F7675,F7675))</f>
        <v/>
      </c>
    </row>
    <row r="7676">
      <c r="A7676" t="inlineStr">
        <is>
          <t>2026-09-10</t>
        </is>
      </c>
      <c r="B7676" t="inlineStr">
        <is>
          <t>F270735</t>
        </is>
      </c>
      <c r="C7676" t="inlineStr">
        <is>
          <t>C10564</t>
        </is>
      </c>
      <c r="D7676" t="inlineStr">
        <is>
          <t>SKU-10229</t>
        </is>
      </c>
      <c r="E7676" t="inlineStr">
        <is>
          <t>AM05</t>
        </is>
      </c>
      <c r="F7676" s="5" t="n">
        <v>283.59</v>
      </c>
      <c r="G7676">
        <f>IF(LEFT(B7676,1)="C","Credit","Factuur")</f>
        <v/>
      </c>
      <c r="H7676">
        <f>IF(AND(B7676=B7675,D7676=D7675,A7676=A7675,F7676=F7675),1,0)</f>
        <v/>
      </c>
      <c r="I7676">
        <f>IF(C7676="C99999",1,0)</f>
        <v/>
      </c>
      <c r="J7676" s="5">
        <f>IF(OR(H7676=1,I7676=1),0,IF(G7676="Credit",-F7676,F7676))</f>
        <v/>
      </c>
    </row>
    <row r="7677">
      <c r="A7677" t="inlineStr">
        <is>
          <t>2026-09-10</t>
        </is>
      </c>
      <c r="B7677" t="inlineStr">
        <is>
          <t>F270735</t>
        </is>
      </c>
      <c r="C7677" t="inlineStr">
        <is>
          <t>C10564</t>
        </is>
      </c>
      <c r="D7677" t="inlineStr">
        <is>
          <t>SKU-10323</t>
        </is>
      </c>
      <c r="E7677" t="inlineStr">
        <is>
          <t>AM05</t>
        </is>
      </c>
      <c r="F7677" s="5" t="n">
        <v>264.04</v>
      </c>
      <c r="G7677">
        <f>IF(LEFT(B7677,1)="C","Credit","Factuur")</f>
        <v/>
      </c>
      <c r="H7677">
        <f>IF(AND(B7677=B7676,D7677=D7676,A7677=A7676,F7677=F7676),1,0)</f>
        <v/>
      </c>
      <c r="I7677">
        <f>IF(C7677="C99999",1,0)</f>
        <v/>
      </c>
      <c r="J7677" s="5">
        <f>IF(OR(H7677=1,I7677=1),0,IF(G7677="Credit",-F7677,F7677))</f>
        <v/>
      </c>
    </row>
    <row r="7678">
      <c r="A7678" t="inlineStr">
        <is>
          <t>2026-09-10</t>
        </is>
      </c>
      <c r="B7678" t="inlineStr">
        <is>
          <t>F271716</t>
        </is>
      </c>
      <c r="C7678" t="inlineStr">
        <is>
          <t>C10602</t>
        </is>
      </c>
      <c r="D7678" t="inlineStr">
        <is>
          <t>SKU-10385</t>
        </is>
      </c>
      <c r="E7678" t="inlineStr">
        <is>
          <t>AM05</t>
        </is>
      </c>
      <c r="F7678" s="5" t="n">
        <v>1275.43</v>
      </c>
      <c r="G7678">
        <f>IF(LEFT(B7678,1)="C","Credit","Factuur")</f>
        <v/>
      </c>
      <c r="H7678">
        <f>IF(AND(B7678=B7677,D7678=D7677,A7678=A7677,F7678=F7677),1,0)</f>
        <v/>
      </c>
      <c r="I7678">
        <f>IF(C7678="C99999",1,0)</f>
        <v/>
      </c>
      <c r="J7678" s="5">
        <f>IF(OR(H7678=1,I7678=1),0,IF(G7678="Credit",-F7678,F7678))</f>
        <v/>
      </c>
    </row>
    <row r="7679">
      <c r="A7679" t="inlineStr">
        <is>
          <t>2026-09-10</t>
        </is>
      </c>
      <c r="B7679" t="inlineStr">
        <is>
          <t>F272740</t>
        </is>
      </c>
      <c r="C7679" t="inlineStr">
        <is>
          <t>C10664</t>
        </is>
      </c>
      <c r="D7679" t="inlineStr">
        <is>
          <t>SKU-10080</t>
        </is>
      </c>
      <c r="E7679" t="inlineStr">
        <is>
          <t>AM05</t>
        </is>
      </c>
      <c r="F7679" s="5" t="n">
        <v>110.7</v>
      </c>
      <c r="G7679">
        <f>IF(LEFT(B7679,1)="C","Credit","Factuur")</f>
        <v/>
      </c>
      <c r="H7679">
        <f>IF(AND(B7679=B7678,D7679=D7678,A7679=A7678,F7679=F7678),1,0)</f>
        <v/>
      </c>
      <c r="I7679">
        <f>IF(C7679="C99999",1,0)</f>
        <v/>
      </c>
      <c r="J7679" s="5">
        <f>IF(OR(H7679=1,I7679=1),0,IF(G7679="Credit",-F7679,F7679))</f>
        <v/>
      </c>
    </row>
    <row r="7680">
      <c r="A7680" t="inlineStr">
        <is>
          <t>2026-09-10</t>
        </is>
      </c>
      <c r="B7680" t="inlineStr">
        <is>
          <t>F272740</t>
        </is>
      </c>
      <c r="C7680" t="inlineStr">
        <is>
          <t>C10664</t>
        </is>
      </c>
      <c r="D7680" t="inlineStr">
        <is>
          <t>SKU-10127</t>
        </is>
      </c>
      <c r="E7680" t="inlineStr">
        <is>
          <t>AM05</t>
        </is>
      </c>
      <c r="F7680" s="5" t="n">
        <v>91.55</v>
      </c>
      <c r="G7680">
        <f>IF(LEFT(B7680,1)="C","Credit","Factuur")</f>
        <v/>
      </c>
      <c r="H7680">
        <f>IF(AND(B7680=B7679,D7680=D7679,A7680=A7679,F7680=F7679),1,0)</f>
        <v/>
      </c>
      <c r="I7680">
        <f>IF(C7680="C99999",1,0)</f>
        <v/>
      </c>
      <c r="J7680" s="5">
        <f>IF(OR(H7680=1,I7680=1),0,IF(G7680="Credit",-F7680,F7680))</f>
        <v/>
      </c>
    </row>
    <row r="7681">
      <c r="A7681" t="inlineStr">
        <is>
          <t>2026-09-10</t>
        </is>
      </c>
      <c r="B7681" t="inlineStr">
        <is>
          <t>F272740</t>
        </is>
      </c>
      <c r="C7681" t="inlineStr">
        <is>
          <t>C10664</t>
        </is>
      </c>
      <c r="D7681" t="inlineStr">
        <is>
          <t>SKU-10176</t>
        </is>
      </c>
      <c r="E7681" t="inlineStr">
        <is>
          <t>AM05</t>
        </is>
      </c>
      <c r="F7681" s="5" t="n">
        <v>117.6</v>
      </c>
      <c r="G7681">
        <f>IF(LEFT(B7681,1)="C","Credit","Factuur")</f>
        <v/>
      </c>
      <c r="H7681">
        <f>IF(AND(B7681=B7680,D7681=D7680,A7681=A7680,F7681=F7680),1,0)</f>
        <v/>
      </c>
      <c r="I7681">
        <f>IF(C7681="C99999",1,0)</f>
        <v/>
      </c>
      <c r="J7681" s="5">
        <f>IF(OR(H7681=1,I7681=1),0,IF(G7681="Credit",-F7681,F7681))</f>
        <v/>
      </c>
    </row>
    <row r="7682">
      <c r="A7682" t="inlineStr">
        <is>
          <t>2026-09-10</t>
        </is>
      </c>
      <c r="B7682" t="inlineStr">
        <is>
          <t>F272821</t>
        </is>
      </c>
      <c r="C7682" t="inlineStr">
        <is>
          <t>C10669</t>
        </is>
      </c>
      <c r="D7682" t="inlineStr">
        <is>
          <t>SKU-10005</t>
        </is>
      </c>
      <c r="E7682" t="inlineStr">
        <is>
          <t>AM08</t>
        </is>
      </c>
      <c r="F7682" s="5" t="n">
        <v>608.58</v>
      </c>
      <c r="G7682">
        <f>IF(LEFT(B7682,1)="C","Credit","Factuur")</f>
        <v/>
      </c>
      <c r="H7682">
        <f>IF(AND(B7682=B7681,D7682=D7681,A7682=A7681,F7682=F7681),1,0)</f>
        <v/>
      </c>
      <c r="I7682">
        <f>IF(C7682="C99999",1,0)</f>
        <v/>
      </c>
      <c r="J7682" s="5">
        <f>IF(OR(H7682=1,I7682=1),0,IF(G7682="Credit",-F7682,F7682))</f>
        <v/>
      </c>
    </row>
    <row r="7683">
      <c r="A7683" t="inlineStr">
        <is>
          <t>2026-09-10</t>
        </is>
      </c>
      <c r="B7683" t="inlineStr">
        <is>
          <t>F272821</t>
        </is>
      </c>
      <c r="C7683" t="inlineStr">
        <is>
          <t>C10669</t>
        </is>
      </c>
      <c r="D7683" t="inlineStr">
        <is>
          <t>SKU-10285</t>
        </is>
      </c>
      <c r="E7683" t="inlineStr">
        <is>
          <t>AM08</t>
        </is>
      </c>
      <c r="F7683" s="5" t="n">
        <v>538.98</v>
      </c>
      <c r="G7683">
        <f>IF(LEFT(B7683,1)="C","Credit","Factuur")</f>
        <v/>
      </c>
      <c r="H7683">
        <f>IF(AND(B7683=B7682,D7683=D7682,A7683=A7682,F7683=F7682),1,0)</f>
        <v/>
      </c>
      <c r="I7683">
        <f>IF(C7683="C99999",1,0)</f>
        <v/>
      </c>
      <c r="J7683" s="5">
        <f>IF(OR(H7683=1,I7683=1),0,IF(G7683="Credit",-F7683,F7683))</f>
        <v/>
      </c>
    </row>
    <row r="7684">
      <c r="A7684" t="inlineStr">
        <is>
          <t>2026-09-10</t>
        </is>
      </c>
      <c r="B7684" t="inlineStr">
        <is>
          <t>F272821</t>
        </is>
      </c>
      <c r="C7684" t="inlineStr">
        <is>
          <t>C10669</t>
        </is>
      </c>
      <c r="D7684" t="inlineStr">
        <is>
          <t>SKU-10364</t>
        </is>
      </c>
      <c r="E7684" t="inlineStr">
        <is>
          <t>AM08</t>
        </is>
      </c>
      <c r="F7684" s="5" t="n">
        <v>700.78</v>
      </c>
      <c r="G7684">
        <f>IF(LEFT(B7684,1)="C","Credit","Factuur")</f>
        <v/>
      </c>
      <c r="H7684">
        <f>IF(AND(B7684=B7683,D7684=D7683,A7684=A7683,F7684=F7683),1,0)</f>
        <v/>
      </c>
      <c r="I7684">
        <f>IF(C7684="C99999",1,0)</f>
        <v/>
      </c>
      <c r="J7684" s="5">
        <f>IF(OR(H7684=1,I7684=1),0,IF(G7684="Credit",-F7684,F7684))</f>
        <v/>
      </c>
    </row>
    <row r="7685">
      <c r="A7685" t="inlineStr">
        <is>
          <t>2026-09-10</t>
        </is>
      </c>
      <c r="B7685" t="inlineStr">
        <is>
          <t>F273285</t>
        </is>
      </c>
      <c r="C7685" t="inlineStr">
        <is>
          <t>C10693</t>
        </is>
      </c>
      <c r="D7685" t="inlineStr">
        <is>
          <t>SKU-10030</t>
        </is>
      </c>
      <c r="E7685" t="inlineStr">
        <is>
          <t>AM02</t>
        </is>
      </c>
      <c r="F7685" s="5" t="n">
        <v>247.3</v>
      </c>
      <c r="G7685">
        <f>IF(LEFT(B7685,1)="C","Credit","Factuur")</f>
        <v/>
      </c>
      <c r="H7685">
        <f>IF(AND(B7685=B7684,D7685=D7684,A7685=A7684,F7685=F7684),1,0)</f>
        <v/>
      </c>
      <c r="I7685">
        <f>IF(C7685="C99999",1,0)</f>
        <v/>
      </c>
      <c r="J7685" s="5">
        <f>IF(OR(H7685=1,I7685=1),0,IF(G7685="Credit",-F7685,F7685))</f>
        <v/>
      </c>
    </row>
    <row r="7686">
      <c r="A7686" t="inlineStr">
        <is>
          <t>2026-09-10</t>
        </is>
      </c>
      <c r="B7686" t="inlineStr">
        <is>
          <t>F273285</t>
        </is>
      </c>
      <c r="C7686" t="inlineStr">
        <is>
          <t>C10693</t>
        </is>
      </c>
      <c r="D7686" t="inlineStr">
        <is>
          <t>SKU-10080</t>
        </is>
      </c>
      <c r="E7686" t="inlineStr">
        <is>
          <t>AM02</t>
        </is>
      </c>
      <c r="F7686" s="5" t="n">
        <v>232.47</v>
      </c>
      <c r="G7686">
        <f>IF(LEFT(B7686,1)="C","Credit","Factuur")</f>
        <v/>
      </c>
      <c r="H7686">
        <f>IF(AND(B7686=B7685,D7686=D7685,A7686=A7685,F7686=F7685),1,0)</f>
        <v/>
      </c>
      <c r="I7686">
        <f>IF(C7686="C99999",1,0)</f>
        <v/>
      </c>
      <c r="J7686" s="5">
        <f>IF(OR(H7686=1,I7686=1),0,IF(G7686="Credit",-F7686,F7686))</f>
        <v/>
      </c>
    </row>
    <row r="7687">
      <c r="A7687" t="inlineStr">
        <is>
          <t>2026-09-10</t>
        </is>
      </c>
      <c r="B7687" t="inlineStr">
        <is>
          <t>F273726</t>
        </is>
      </c>
      <c r="C7687" t="inlineStr">
        <is>
          <t>C10722</t>
        </is>
      </c>
      <c r="D7687" t="inlineStr">
        <is>
          <t>SKU-10090</t>
        </is>
      </c>
      <c r="E7687" t="inlineStr">
        <is>
          <t>AM11</t>
        </is>
      </c>
      <c r="F7687" s="5" t="n">
        <v>255.2</v>
      </c>
      <c r="G7687">
        <f>IF(LEFT(B7687,1)="C","Credit","Factuur")</f>
        <v/>
      </c>
      <c r="H7687">
        <f>IF(AND(B7687=B7686,D7687=D7686,A7687=A7686,F7687=F7686),1,0)</f>
        <v/>
      </c>
      <c r="I7687">
        <f>IF(C7687="C99999",1,0)</f>
        <v/>
      </c>
      <c r="J7687" s="5">
        <f>IF(OR(H7687=1,I7687=1),0,IF(G7687="Credit",-F7687,F7687))</f>
        <v/>
      </c>
    </row>
    <row r="7688">
      <c r="A7688" t="inlineStr">
        <is>
          <t>2026-09-10</t>
        </is>
      </c>
      <c r="B7688" t="inlineStr">
        <is>
          <t>F273726</t>
        </is>
      </c>
      <c r="C7688" t="inlineStr">
        <is>
          <t>C10722</t>
        </is>
      </c>
      <c r="D7688" t="inlineStr">
        <is>
          <t>SKU-10248</t>
        </is>
      </c>
      <c r="E7688" t="inlineStr">
        <is>
          <t>AM11</t>
        </is>
      </c>
      <c r="F7688" s="5" t="n">
        <v>246.48</v>
      </c>
      <c r="G7688">
        <f>IF(LEFT(B7688,1)="C","Credit","Factuur")</f>
        <v/>
      </c>
      <c r="H7688">
        <f>IF(AND(B7688=B7687,D7688=D7687,A7688=A7687,F7688=F7687),1,0)</f>
        <v/>
      </c>
      <c r="I7688">
        <f>IF(C7688="C99999",1,0)</f>
        <v/>
      </c>
      <c r="J7688" s="5">
        <f>IF(OR(H7688=1,I7688=1),0,IF(G7688="Credit",-F7688,F7688))</f>
        <v/>
      </c>
    </row>
    <row r="7689">
      <c r="A7689" t="inlineStr">
        <is>
          <t>2026-09-10</t>
        </is>
      </c>
      <c r="B7689" t="inlineStr">
        <is>
          <t>F274113</t>
        </is>
      </c>
      <c r="C7689" t="inlineStr">
        <is>
          <t>C10746</t>
        </is>
      </c>
      <c r="D7689" t="inlineStr">
        <is>
          <t>SKU-10105</t>
        </is>
      </c>
      <c r="E7689" t="inlineStr">
        <is>
          <t>AM11</t>
        </is>
      </c>
      <c r="F7689" s="5" t="n">
        <v>156.61</v>
      </c>
      <c r="G7689">
        <f>IF(LEFT(B7689,1)="C","Credit","Factuur")</f>
        <v/>
      </c>
      <c r="H7689">
        <f>IF(AND(B7689=B7688,D7689=D7688,A7689=A7688,F7689=F7688),1,0)</f>
        <v/>
      </c>
      <c r="I7689">
        <f>IF(C7689="C99999",1,0)</f>
        <v/>
      </c>
      <c r="J7689" s="5">
        <f>IF(OR(H7689=1,I7689=1),0,IF(G7689="Credit",-F7689,F7689))</f>
        <v/>
      </c>
    </row>
    <row r="7690">
      <c r="A7690" t="inlineStr">
        <is>
          <t>2026-09-10</t>
        </is>
      </c>
      <c r="B7690" t="inlineStr">
        <is>
          <t>F274113</t>
        </is>
      </c>
      <c r="C7690" t="inlineStr">
        <is>
          <t>C10746</t>
        </is>
      </c>
      <c r="D7690" t="inlineStr">
        <is>
          <t>SKU-10334</t>
        </is>
      </c>
      <c r="E7690" t="inlineStr">
        <is>
          <t>AM11</t>
        </is>
      </c>
      <c r="F7690" s="5" t="n">
        <v>154.78</v>
      </c>
      <c r="G7690">
        <f>IF(LEFT(B7690,1)="C","Credit","Factuur")</f>
        <v/>
      </c>
      <c r="H7690">
        <f>IF(AND(B7690=B7689,D7690=D7689,A7690=A7689,F7690=F7689),1,0)</f>
        <v/>
      </c>
      <c r="I7690">
        <f>IF(C7690="C99999",1,0)</f>
        <v/>
      </c>
      <c r="J7690" s="5">
        <f>IF(OR(H7690=1,I7690=1),0,IF(G7690="Credit",-F7690,F7690))</f>
        <v/>
      </c>
    </row>
    <row r="7691">
      <c r="A7691" t="inlineStr">
        <is>
          <t>2026-09-10</t>
        </is>
      </c>
      <c r="B7691" t="inlineStr">
        <is>
          <t>F275235</t>
        </is>
      </c>
      <c r="C7691" t="inlineStr">
        <is>
          <t>C10802</t>
        </is>
      </c>
      <c r="D7691" t="inlineStr">
        <is>
          <t>SKU-10023</t>
        </is>
      </c>
      <c r="E7691" t="inlineStr">
        <is>
          <t>AM03</t>
        </is>
      </c>
      <c r="F7691" s="5" t="n">
        <v>106.78</v>
      </c>
      <c r="G7691">
        <f>IF(LEFT(B7691,1)="C","Credit","Factuur")</f>
        <v/>
      </c>
      <c r="H7691">
        <f>IF(AND(B7691=B7690,D7691=D7690,A7691=A7690,F7691=F7690),1,0)</f>
        <v/>
      </c>
      <c r="I7691">
        <f>IF(C7691="C99999",1,0)</f>
        <v/>
      </c>
      <c r="J7691" s="5">
        <f>IF(OR(H7691=1,I7691=1),0,IF(G7691="Credit",-F7691,F7691))</f>
        <v/>
      </c>
    </row>
    <row r="7692">
      <c r="A7692" t="inlineStr">
        <is>
          <t>2026-09-10</t>
        </is>
      </c>
      <c r="B7692" t="inlineStr">
        <is>
          <t>F275235</t>
        </is>
      </c>
      <c r="C7692" t="inlineStr">
        <is>
          <t>C10802</t>
        </is>
      </c>
      <c r="D7692" t="inlineStr">
        <is>
          <t>SKU-10050</t>
        </is>
      </c>
      <c r="E7692" t="inlineStr">
        <is>
          <t>AM03</t>
        </is>
      </c>
      <c r="F7692" s="5" t="n">
        <v>106.86</v>
      </c>
      <c r="G7692">
        <f>IF(LEFT(B7692,1)="C","Credit","Factuur")</f>
        <v/>
      </c>
      <c r="H7692">
        <f>IF(AND(B7692=B7691,D7692=D7691,A7692=A7691,F7692=F7691),1,0)</f>
        <v/>
      </c>
      <c r="I7692">
        <f>IF(C7692="C99999",1,0)</f>
        <v/>
      </c>
      <c r="J7692" s="5">
        <f>IF(OR(H7692=1,I7692=1),0,IF(G7692="Credit",-F7692,F7692))</f>
        <v/>
      </c>
    </row>
    <row r="7693">
      <c r="A7693" t="inlineStr">
        <is>
          <t>2026-09-10</t>
        </is>
      </c>
      <c r="B7693" t="inlineStr">
        <is>
          <t>F275235</t>
        </is>
      </c>
      <c r="C7693" t="inlineStr">
        <is>
          <t>C10802</t>
        </is>
      </c>
      <c r="D7693" t="inlineStr">
        <is>
          <t>SKU-10063</t>
        </is>
      </c>
      <c r="E7693" t="inlineStr">
        <is>
          <t>AM03</t>
        </is>
      </c>
      <c r="F7693" s="5" t="n">
        <v>120.64</v>
      </c>
      <c r="G7693">
        <f>IF(LEFT(B7693,1)="C","Credit","Factuur")</f>
        <v/>
      </c>
      <c r="H7693">
        <f>IF(AND(B7693=B7692,D7693=D7692,A7693=A7692,F7693=F7692),1,0)</f>
        <v/>
      </c>
      <c r="I7693">
        <f>IF(C7693="C99999",1,0)</f>
        <v/>
      </c>
      <c r="J7693" s="5">
        <f>IF(OR(H7693=1,I7693=1),0,IF(G7693="Credit",-F7693,F7693))</f>
        <v/>
      </c>
    </row>
    <row r="7694">
      <c r="A7694" t="inlineStr">
        <is>
          <t>2026-09-10</t>
        </is>
      </c>
      <c r="B7694" t="inlineStr">
        <is>
          <t>F275235</t>
        </is>
      </c>
      <c r="C7694" t="inlineStr">
        <is>
          <t>C10802</t>
        </is>
      </c>
      <c r="D7694" t="inlineStr">
        <is>
          <t>SKU-10233</t>
        </is>
      </c>
      <c r="E7694" t="inlineStr">
        <is>
          <t>AM03</t>
        </is>
      </c>
      <c r="F7694" s="5" t="n">
        <v>106.33</v>
      </c>
      <c r="G7694">
        <f>IF(LEFT(B7694,1)="C","Credit","Factuur")</f>
        <v/>
      </c>
      <c r="H7694">
        <f>IF(AND(B7694=B7693,D7694=D7693,A7694=A7693,F7694=F7693),1,0)</f>
        <v/>
      </c>
      <c r="I7694">
        <f>IF(C7694="C99999",1,0)</f>
        <v/>
      </c>
      <c r="J7694" s="5">
        <f>IF(OR(H7694=1,I7694=1),0,IF(G7694="Credit",-F7694,F7694))</f>
        <v/>
      </c>
    </row>
    <row r="7695">
      <c r="A7695" t="inlineStr">
        <is>
          <t>2026-09-10</t>
        </is>
      </c>
      <c r="B7695" t="inlineStr">
        <is>
          <t>F275235</t>
        </is>
      </c>
      <c r="C7695" t="inlineStr">
        <is>
          <t>C10802</t>
        </is>
      </c>
      <c r="D7695" t="inlineStr">
        <is>
          <t>SKU-10256</t>
        </is>
      </c>
      <c r="E7695" t="inlineStr">
        <is>
          <t>AM03</t>
        </is>
      </c>
      <c r="F7695" s="5" t="n">
        <v>102.46</v>
      </c>
      <c r="G7695">
        <f>IF(LEFT(B7695,1)="C","Credit","Factuur")</f>
        <v/>
      </c>
      <c r="H7695">
        <f>IF(AND(B7695=B7694,D7695=D7694,A7695=A7694,F7695=F7694),1,0)</f>
        <v/>
      </c>
      <c r="I7695">
        <f>IF(C7695="C99999",1,0)</f>
        <v/>
      </c>
      <c r="J7695" s="5">
        <f>IF(OR(H7695=1,I7695=1),0,IF(G7695="Credit",-F7695,F7695))</f>
        <v/>
      </c>
    </row>
    <row r="7696">
      <c r="A7696" t="inlineStr">
        <is>
          <t>2026-09-10</t>
        </is>
      </c>
      <c r="B7696" t="inlineStr">
        <is>
          <t>F275298</t>
        </is>
      </c>
      <c r="C7696" t="inlineStr">
        <is>
          <t>C10806</t>
        </is>
      </c>
      <c r="D7696" t="inlineStr">
        <is>
          <t>SKU-10171</t>
        </is>
      </c>
      <c r="E7696" t="inlineStr">
        <is>
          <t>AM12</t>
        </is>
      </c>
      <c r="F7696" s="5" t="n">
        <v>816.3200000000001</v>
      </c>
      <c r="G7696">
        <f>IF(LEFT(B7696,1)="C","Credit","Factuur")</f>
        <v/>
      </c>
      <c r="H7696">
        <f>IF(AND(B7696=B7695,D7696=D7695,A7696=A7695,F7696=F7695),1,0)</f>
        <v/>
      </c>
      <c r="I7696">
        <f>IF(C7696="C99999",1,0)</f>
        <v/>
      </c>
      <c r="J7696" s="5">
        <f>IF(OR(H7696=1,I7696=1),0,IF(G7696="Credit",-F7696,F7696))</f>
        <v/>
      </c>
    </row>
    <row r="7697">
      <c r="A7697" t="inlineStr">
        <is>
          <t>2026-09-10</t>
        </is>
      </c>
      <c r="B7697" t="inlineStr">
        <is>
          <t>F276776</t>
        </is>
      </c>
      <c r="C7697" t="inlineStr">
        <is>
          <t>C10890</t>
        </is>
      </c>
      <c r="D7697" t="inlineStr">
        <is>
          <t>SKU-10078</t>
        </is>
      </c>
      <c r="E7697" t="inlineStr">
        <is>
          <t>AM11</t>
        </is>
      </c>
      <c r="F7697" s="5" t="n">
        <v>225.01</v>
      </c>
      <c r="G7697">
        <f>IF(LEFT(B7697,1)="C","Credit","Factuur")</f>
        <v/>
      </c>
      <c r="H7697">
        <f>IF(AND(B7697=B7696,D7697=D7696,A7697=A7696,F7697=F7696),1,0)</f>
        <v/>
      </c>
      <c r="I7697">
        <f>IF(C7697="C99999",1,0)</f>
        <v/>
      </c>
      <c r="J7697" s="5">
        <f>IF(OR(H7697=1,I7697=1),0,IF(G7697="Credit",-F7697,F7697))</f>
        <v/>
      </c>
    </row>
    <row r="7698">
      <c r="A7698" t="inlineStr">
        <is>
          <t>2026-09-10</t>
        </is>
      </c>
      <c r="B7698" t="inlineStr">
        <is>
          <t>F276776</t>
        </is>
      </c>
      <c r="C7698" t="inlineStr">
        <is>
          <t>C10890</t>
        </is>
      </c>
      <c r="D7698" t="inlineStr">
        <is>
          <t>SKU-10245</t>
        </is>
      </c>
      <c r="E7698" t="inlineStr">
        <is>
          <t>AM11</t>
        </is>
      </c>
      <c r="F7698" s="5" t="n">
        <v>220.7</v>
      </c>
      <c r="G7698">
        <f>IF(LEFT(B7698,1)="C","Credit","Factuur")</f>
        <v/>
      </c>
      <c r="H7698">
        <f>IF(AND(B7698=B7697,D7698=D7697,A7698=A7697,F7698=F7697),1,0)</f>
        <v/>
      </c>
      <c r="I7698">
        <f>IF(C7698="C99999",1,0)</f>
        <v/>
      </c>
      <c r="J7698" s="5">
        <f>IF(OR(H7698=1,I7698=1),0,IF(G7698="Credit",-F7698,F7698))</f>
        <v/>
      </c>
    </row>
    <row r="7699">
      <c r="A7699" t="inlineStr">
        <is>
          <t>2026-09-10</t>
        </is>
      </c>
      <c r="B7699" t="inlineStr">
        <is>
          <t>F276776</t>
        </is>
      </c>
      <c r="C7699" t="inlineStr">
        <is>
          <t>C10890</t>
        </is>
      </c>
      <c r="D7699" t="inlineStr">
        <is>
          <t>SKU-10341</t>
        </is>
      </c>
      <c r="E7699" t="inlineStr">
        <is>
          <t>AM11</t>
        </is>
      </c>
      <c r="F7699" s="5" t="n">
        <v>212.47</v>
      </c>
      <c r="G7699">
        <f>IF(LEFT(B7699,1)="C","Credit","Factuur")</f>
        <v/>
      </c>
      <c r="H7699">
        <f>IF(AND(B7699=B7698,D7699=D7698,A7699=A7698,F7699=F7698),1,0)</f>
        <v/>
      </c>
      <c r="I7699">
        <f>IF(C7699="C99999",1,0)</f>
        <v/>
      </c>
      <c r="J7699" s="5">
        <f>IF(OR(H7699=1,I7699=1),0,IF(G7699="Credit",-F7699,F7699))</f>
        <v/>
      </c>
    </row>
    <row r="7700">
      <c r="A7700" t="inlineStr">
        <is>
          <t>2026-09-10</t>
        </is>
      </c>
      <c r="B7700" t="inlineStr">
        <is>
          <t>F278061</t>
        </is>
      </c>
      <c r="C7700" t="inlineStr">
        <is>
          <t>C10959</t>
        </is>
      </c>
      <c r="D7700" t="inlineStr">
        <is>
          <t>SKU-10039</t>
        </is>
      </c>
      <c r="E7700" t="inlineStr">
        <is>
          <t>AM08</t>
        </is>
      </c>
      <c r="F7700" s="5" t="n">
        <v>408.62</v>
      </c>
      <c r="G7700">
        <f>IF(LEFT(B7700,1)="C","Credit","Factuur")</f>
        <v/>
      </c>
      <c r="H7700">
        <f>IF(AND(B7700=B7699,D7700=D7699,A7700=A7699,F7700=F7699),1,0)</f>
        <v/>
      </c>
      <c r="I7700">
        <f>IF(C7700="C99999",1,0)</f>
        <v/>
      </c>
      <c r="J7700" s="5">
        <f>IF(OR(H7700=1,I7700=1),0,IF(G7700="Credit",-F7700,F7700))</f>
        <v/>
      </c>
    </row>
    <row r="7701">
      <c r="A7701" t="inlineStr">
        <is>
          <t>2026-09-10</t>
        </is>
      </c>
      <c r="B7701" t="inlineStr">
        <is>
          <t>F278061</t>
        </is>
      </c>
      <c r="C7701" t="inlineStr">
        <is>
          <t>C10959</t>
        </is>
      </c>
      <c r="D7701" t="inlineStr">
        <is>
          <t>SKU-10045</t>
        </is>
      </c>
      <c r="E7701" t="inlineStr">
        <is>
          <t>AM08</t>
        </is>
      </c>
      <c r="F7701" s="5" t="n">
        <v>443.57</v>
      </c>
      <c r="G7701">
        <f>IF(LEFT(B7701,1)="C","Credit","Factuur")</f>
        <v/>
      </c>
      <c r="H7701">
        <f>IF(AND(B7701=B7700,D7701=D7700,A7701=A7700,F7701=F7700),1,0)</f>
        <v/>
      </c>
      <c r="I7701">
        <f>IF(C7701="C99999",1,0)</f>
        <v/>
      </c>
      <c r="J7701" s="5">
        <f>IF(OR(H7701=1,I7701=1),0,IF(G7701="Credit",-F7701,F7701))</f>
        <v/>
      </c>
    </row>
    <row r="7702">
      <c r="A7702" t="inlineStr">
        <is>
          <t>2026-09-10</t>
        </is>
      </c>
      <c r="B7702" t="inlineStr">
        <is>
          <t>F278061</t>
        </is>
      </c>
      <c r="C7702" t="inlineStr">
        <is>
          <t>C10959</t>
        </is>
      </c>
      <c r="D7702" t="inlineStr">
        <is>
          <t>SKU-10083</t>
        </is>
      </c>
      <c r="E7702" t="inlineStr">
        <is>
          <t>AM08</t>
        </is>
      </c>
      <c r="F7702" s="5" t="n">
        <v>483.12</v>
      </c>
      <c r="G7702">
        <f>IF(LEFT(B7702,1)="C","Credit","Factuur")</f>
        <v/>
      </c>
      <c r="H7702">
        <f>IF(AND(B7702=B7701,D7702=D7701,A7702=A7701,F7702=F7701),1,0)</f>
        <v/>
      </c>
      <c r="I7702">
        <f>IF(C7702="C99999",1,0)</f>
        <v/>
      </c>
      <c r="J7702" s="5">
        <f>IF(OR(H7702=1,I7702=1),0,IF(G7702="Credit",-F7702,F7702))</f>
        <v/>
      </c>
    </row>
    <row r="7703">
      <c r="A7703" t="inlineStr">
        <is>
          <t>2026-09-10</t>
        </is>
      </c>
      <c r="B7703" t="inlineStr">
        <is>
          <t>F278061</t>
        </is>
      </c>
      <c r="C7703" t="inlineStr">
        <is>
          <t>C10959</t>
        </is>
      </c>
      <c r="D7703" t="inlineStr">
        <is>
          <t>SKU-10248</t>
        </is>
      </c>
      <c r="E7703" t="inlineStr">
        <is>
          <t>AM08</t>
        </is>
      </c>
      <c r="F7703" s="5" t="n">
        <v>429.29</v>
      </c>
      <c r="G7703">
        <f>IF(LEFT(B7703,1)="C","Credit","Factuur")</f>
        <v/>
      </c>
      <c r="H7703">
        <f>IF(AND(B7703=B7702,D7703=D7702,A7703=A7702,F7703=F7702),1,0)</f>
        <v/>
      </c>
      <c r="I7703">
        <f>IF(C7703="C99999",1,0)</f>
        <v/>
      </c>
      <c r="J7703" s="5">
        <f>IF(OR(H7703=1,I7703=1),0,IF(G7703="Credit",-F7703,F7703))</f>
        <v/>
      </c>
    </row>
    <row r="7704">
      <c r="A7704" t="inlineStr">
        <is>
          <t>2026-09-10</t>
        </is>
      </c>
      <c r="B7704" t="inlineStr">
        <is>
          <t>F278061</t>
        </is>
      </c>
      <c r="C7704" t="inlineStr">
        <is>
          <t>C10959</t>
        </is>
      </c>
      <c r="D7704" t="inlineStr">
        <is>
          <t>SKU-10334</t>
        </is>
      </c>
      <c r="E7704" t="inlineStr">
        <is>
          <t>AM08</t>
        </is>
      </c>
      <c r="F7704" s="5" t="n">
        <v>434.48</v>
      </c>
      <c r="G7704">
        <f>IF(LEFT(B7704,1)="C","Credit","Factuur")</f>
        <v/>
      </c>
      <c r="H7704">
        <f>IF(AND(B7704=B7703,D7704=D7703,A7704=A7703,F7704=F7703),1,0)</f>
        <v/>
      </c>
      <c r="I7704">
        <f>IF(C7704="C99999",1,0)</f>
        <v/>
      </c>
      <c r="J7704" s="5">
        <f>IF(OR(H7704=1,I7704=1),0,IF(G7704="Credit",-F7704,F7704))</f>
        <v/>
      </c>
    </row>
    <row r="7705">
      <c r="A7705" t="inlineStr">
        <is>
          <t>2026-09-10</t>
        </is>
      </c>
      <c r="B7705" t="inlineStr">
        <is>
          <t>F278061</t>
        </is>
      </c>
      <c r="C7705" t="inlineStr">
        <is>
          <t>C10959</t>
        </is>
      </c>
      <c r="D7705" t="inlineStr">
        <is>
          <t>SKU-10339</t>
        </is>
      </c>
      <c r="E7705" t="inlineStr">
        <is>
          <t>AM08</t>
        </is>
      </c>
      <c r="F7705" s="5" t="n">
        <v>406.35</v>
      </c>
      <c r="G7705">
        <f>IF(LEFT(B7705,1)="C","Credit","Factuur")</f>
        <v/>
      </c>
      <c r="H7705">
        <f>IF(AND(B7705=B7704,D7705=D7704,A7705=A7704,F7705=F7704),1,0)</f>
        <v/>
      </c>
      <c r="I7705">
        <f>IF(C7705="C99999",1,0)</f>
        <v/>
      </c>
      <c r="J7705" s="5">
        <f>IF(OR(H7705=1,I7705=1),0,IF(G7705="Credit",-F7705,F7705))</f>
        <v/>
      </c>
    </row>
    <row r="7706">
      <c r="A7706" t="inlineStr">
        <is>
          <t>2026-09-10</t>
        </is>
      </c>
      <c r="B7706" t="inlineStr">
        <is>
          <t>F278061</t>
        </is>
      </c>
      <c r="C7706" t="inlineStr">
        <is>
          <t>C10959</t>
        </is>
      </c>
      <c r="D7706" t="inlineStr">
        <is>
          <t>SKU-10367</t>
        </is>
      </c>
      <c r="E7706" t="inlineStr">
        <is>
          <t>AM08</t>
        </is>
      </c>
      <c r="F7706" s="5" t="n">
        <v>325.46</v>
      </c>
      <c r="G7706">
        <f>IF(LEFT(B7706,1)="C","Credit","Factuur")</f>
        <v/>
      </c>
      <c r="H7706">
        <f>IF(AND(B7706=B7705,D7706=D7705,A7706=A7705,F7706=F7705),1,0)</f>
        <v/>
      </c>
      <c r="I7706">
        <f>IF(C7706="C99999",1,0)</f>
        <v/>
      </c>
      <c r="J7706" s="5">
        <f>IF(OR(H7706=1,I7706=1),0,IF(G7706="Credit",-F7706,F7706))</f>
        <v/>
      </c>
    </row>
    <row r="7707">
      <c r="A7707" t="inlineStr">
        <is>
          <t>2026-09-10</t>
        </is>
      </c>
      <c r="B7707" t="inlineStr">
        <is>
          <t>F278784</t>
        </is>
      </c>
      <c r="C7707" t="inlineStr">
        <is>
          <t>C10996</t>
        </is>
      </c>
      <c r="D7707" t="inlineStr">
        <is>
          <t>SKU-10018</t>
        </is>
      </c>
      <c r="E7707" t="inlineStr">
        <is>
          <t>AM02</t>
        </is>
      </c>
      <c r="F7707" s="5" t="n">
        <v>152.79</v>
      </c>
      <c r="G7707">
        <f>IF(LEFT(B7707,1)="C","Credit","Factuur")</f>
        <v/>
      </c>
      <c r="H7707">
        <f>IF(AND(B7707=B7706,D7707=D7706,A7707=A7706,F7707=F7706),1,0)</f>
        <v/>
      </c>
      <c r="I7707">
        <f>IF(C7707="C99999",1,0)</f>
        <v/>
      </c>
      <c r="J7707" s="5">
        <f>IF(OR(H7707=1,I7707=1),0,IF(G7707="Credit",-F7707,F7707))</f>
        <v/>
      </c>
    </row>
    <row r="7708">
      <c r="A7708" t="inlineStr">
        <is>
          <t>2026-09-10</t>
        </is>
      </c>
      <c r="B7708" t="inlineStr">
        <is>
          <t>F278784</t>
        </is>
      </c>
      <c r="C7708" t="inlineStr">
        <is>
          <t>C10996</t>
        </is>
      </c>
      <c r="D7708" t="inlineStr">
        <is>
          <t>SKU-10306</t>
        </is>
      </c>
      <c r="E7708" t="inlineStr">
        <is>
          <t>AM02</t>
        </is>
      </c>
      <c r="F7708" s="5" t="n">
        <v>183.76</v>
      </c>
      <c r="G7708">
        <f>IF(LEFT(B7708,1)="C","Credit","Factuur")</f>
        <v/>
      </c>
      <c r="H7708">
        <f>IF(AND(B7708=B7707,D7708=D7707,A7708=A7707,F7708=F7707),1,0)</f>
        <v/>
      </c>
      <c r="I7708">
        <f>IF(C7708="C99999",1,0)</f>
        <v/>
      </c>
      <c r="J7708" s="5">
        <f>IF(OR(H7708=1,I7708=1),0,IF(G7708="Credit",-F7708,F7708))</f>
        <v/>
      </c>
    </row>
    <row r="7709">
      <c r="A7709" t="inlineStr">
        <is>
          <t>2026-09-10</t>
        </is>
      </c>
      <c r="B7709" t="inlineStr">
        <is>
          <t>F279471</t>
        </is>
      </c>
      <c r="C7709" t="inlineStr">
        <is>
          <t>C11032</t>
        </is>
      </c>
      <c r="D7709" t="inlineStr">
        <is>
          <t>SKU-10048</t>
        </is>
      </c>
      <c r="E7709" t="inlineStr">
        <is>
          <t>AM11</t>
        </is>
      </c>
      <c r="F7709" s="5" t="n">
        <v>449.82</v>
      </c>
      <c r="G7709">
        <f>IF(LEFT(B7709,1)="C","Credit","Factuur")</f>
        <v/>
      </c>
      <c r="H7709">
        <f>IF(AND(B7709=B7708,D7709=D7708,A7709=A7708,F7709=F7708),1,0)</f>
        <v/>
      </c>
      <c r="I7709">
        <f>IF(C7709="C99999",1,0)</f>
        <v/>
      </c>
      <c r="J7709" s="5">
        <f>IF(OR(H7709=1,I7709=1),0,IF(G7709="Credit",-F7709,F7709))</f>
        <v/>
      </c>
    </row>
    <row r="7710">
      <c r="A7710" t="inlineStr">
        <is>
          <t>2026-09-10</t>
        </is>
      </c>
      <c r="B7710" t="inlineStr">
        <is>
          <t>F279471</t>
        </is>
      </c>
      <c r="C7710" t="inlineStr">
        <is>
          <t>C11032</t>
        </is>
      </c>
      <c r="D7710" t="inlineStr">
        <is>
          <t>SKU-10100</t>
        </is>
      </c>
      <c r="E7710" t="inlineStr">
        <is>
          <t>AM11</t>
        </is>
      </c>
      <c r="F7710" s="5" t="n">
        <v>461.76</v>
      </c>
      <c r="G7710">
        <f>IF(LEFT(B7710,1)="C","Credit","Factuur")</f>
        <v/>
      </c>
      <c r="H7710">
        <f>IF(AND(B7710=B7709,D7710=D7709,A7710=A7709,F7710=F7709),1,0)</f>
        <v/>
      </c>
      <c r="I7710">
        <f>IF(C7710="C99999",1,0)</f>
        <v/>
      </c>
      <c r="J7710" s="5">
        <f>IF(OR(H7710=1,I7710=1),0,IF(G7710="Credit",-F7710,F7710))</f>
        <v/>
      </c>
    </row>
    <row r="7711">
      <c r="A7711" t="inlineStr">
        <is>
          <t>2026-09-10</t>
        </is>
      </c>
      <c r="B7711" t="inlineStr">
        <is>
          <t>F279471</t>
        </is>
      </c>
      <c r="C7711" t="inlineStr">
        <is>
          <t>C11032</t>
        </is>
      </c>
      <c r="D7711" t="inlineStr">
        <is>
          <t>SKU-10175</t>
        </is>
      </c>
      <c r="E7711" t="inlineStr">
        <is>
          <t>AM11</t>
        </is>
      </c>
      <c r="F7711" s="5" t="n">
        <v>454.32</v>
      </c>
      <c r="G7711">
        <f>IF(LEFT(B7711,1)="C","Credit","Factuur")</f>
        <v/>
      </c>
      <c r="H7711">
        <f>IF(AND(B7711=B7710,D7711=D7710,A7711=A7710,F7711=F7710),1,0)</f>
        <v/>
      </c>
      <c r="I7711">
        <f>IF(C7711="C99999",1,0)</f>
        <v/>
      </c>
      <c r="J7711" s="5">
        <f>IF(OR(H7711=1,I7711=1),0,IF(G7711="Credit",-F7711,F7711))</f>
        <v/>
      </c>
    </row>
    <row r="7712">
      <c r="A7712" t="inlineStr">
        <is>
          <t>2026-09-10</t>
        </is>
      </c>
      <c r="B7712" t="inlineStr">
        <is>
          <t>F280257</t>
        </is>
      </c>
      <c r="C7712" t="inlineStr">
        <is>
          <t>C11071</t>
        </is>
      </c>
      <c r="D7712" t="inlineStr">
        <is>
          <t>SKU-10083</t>
        </is>
      </c>
      <c r="E7712" t="inlineStr">
        <is>
          <t>AM11</t>
        </is>
      </c>
      <c r="F7712" s="5" t="n">
        <v>362.34</v>
      </c>
      <c r="G7712">
        <f>IF(LEFT(B7712,1)="C","Credit","Factuur")</f>
        <v/>
      </c>
      <c r="H7712">
        <f>IF(AND(B7712=B7711,D7712=D7711,A7712=A7711,F7712=F7711),1,0)</f>
        <v/>
      </c>
      <c r="I7712">
        <f>IF(C7712="C99999",1,0)</f>
        <v/>
      </c>
      <c r="J7712" s="5">
        <f>IF(OR(H7712=1,I7712=1),0,IF(G7712="Credit",-F7712,F7712))</f>
        <v/>
      </c>
    </row>
    <row r="7713">
      <c r="A7713" t="inlineStr">
        <is>
          <t>2026-09-10</t>
        </is>
      </c>
      <c r="B7713" t="inlineStr">
        <is>
          <t>F280257</t>
        </is>
      </c>
      <c r="C7713" t="inlineStr">
        <is>
          <t>C11071</t>
        </is>
      </c>
      <c r="D7713" t="inlineStr">
        <is>
          <t>SKU-10137</t>
        </is>
      </c>
      <c r="E7713" t="inlineStr">
        <is>
          <t>AM11</t>
        </is>
      </c>
      <c r="F7713" s="5" t="n">
        <v>387.4</v>
      </c>
      <c r="G7713">
        <f>IF(LEFT(B7713,1)="C","Credit","Factuur")</f>
        <v/>
      </c>
      <c r="H7713">
        <f>IF(AND(B7713=B7712,D7713=D7712,A7713=A7712,F7713=F7712),1,0)</f>
        <v/>
      </c>
      <c r="I7713">
        <f>IF(C7713="C99999",1,0)</f>
        <v/>
      </c>
      <c r="J7713" s="5">
        <f>IF(OR(H7713=1,I7713=1),0,IF(G7713="Credit",-F7713,F7713))</f>
        <v/>
      </c>
    </row>
    <row r="7714">
      <c r="A7714" t="inlineStr">
        <is>
          <t>2026-09-10</t>
        </is>
      </c>
      <c r="B7714" t="inlineStr">
        <is>
          <t>F280257</t>
        </is>
      </c>
      <c r="C7714" t="inlineStr">
        <is>
          <t>C11071</t>
        </is>
      </c>
      <c r="D7714" t="inlineStr">
        <is>
          <t>SKU-10189</t>
        </is>
      </c>
      <c r="E7714" t="inlineStr"/>
      <c r="F7714" s="5" t="n">
        <v>385.84</v>
      </c>
      <c r="G7714">
        <f>IF(LEFT(B7714,1)="C","Credit","Factuur")</f>
        <v/>
      </c>
      <c r="H7714">
        <f>IF(AND(B7714=B7713,D7714=D7713,A7714=A7713,F7714=F7713),1,0)</f>
        <v/>
      </c>
      <c r="I7714">
        <f>IF(C7714="C99999",1,0)</f>
        <v/>
      </c>
      <c r="J7714" s="5">
        <f>IF(OR(H7714=1,I7714=1),0,IF(G7714="Credit",-F7714,F7714))</f>
        <v/>
      </c>
    </row>
    <row r="7715">
      <c r="A7715" t="inlineStr">
        <is>
          <t>2026-09-10</t>
        </is>
      </c>
      <c r="B7715" t="inlineStr">
        <is>
          <t>F280257</t>
        </is>
      </c>
      <c r="C7715" t="inlineStr">
        <is>
          <t>C11071</t>
        </is>
      </c>
      <c r="D7715" t="inlineStr">
        <is>
          <t>SKU-10311</t>
        </is>
      </c>
      <c r="E7715" t="inlineStr">
        <is>
          <t>AM11</t>
        </is>
      </c>
      <c r="F7715" s="5" t="n">
        <v>363.34</v>
      </c>
      <c r="G7715">
        <f>IF(LEFT(B7715,1)="C","Credit","Factuur")</f>
        <v/>
      </c>
      <c r="H7715">
        <f>IF(AND(B7715=B7714,D7715=D7714,A7715=A7714,F7715=F7714),1,0)</f>
        <v/>
      </c>
      <c r="I7715">
        <f>IF(C7715="C99999",1,0)</f>
        <v/>
      </c>
      <c r="J7715" s="5">
        <f>IF(OR(H7715=1,I7715=1),0,IF(G7715="Credit",-F7715,F7715))</f>
        <v/>
      </c>
    </row>
    <row r="7716">
      <c r="A7716" t="inlineStr">
        <is>
          <t>2026-09-10</t>
        </is>
      </c>
      <c r="B7716" t="inlineStr">
        <is>
          <t>F280257</t>
        </is>
      </c>
      <c r="C7716" t="inlineStr">
        <is>
          <t>C11071</t>
        </is>
      </c>
      <c r="D7716" t="inlineStr">
        <is>
          <t>SKU-10335</t>
        </is>
      </c>
      <c r="E7716" t="inlineStr">
        <is>
          <t>AM11</t>
        </is>
      </c>
      <c r="F7716" s="5" t="n">
        <v>387.52</v>
      </c>
      <c r="G7716">
        <f>IF(LEFT(B7716,1)="C","Credit","Factuur")</f>
        <v/>
      </c>
      <c r="H7716">
        <f>IF(AND(B7716=B7715,D7716=D7715,A7716=A7715,F7716=F7715),1,0)</f>
        <v/>
      </c>
      <c r="I7716">
        <f>IF(C7716="C99999",1,0)</f>
        <v/>
      </c>
      <c r="J7716" s="5">
        <f>IF(OR(H7716=1,I7716=1),0,IF(G7716="Credit",-F7716,F7716))</f>
        <v/>
      </c>
    </row>
    <row r="7717">
      <c r="A7717" t="inlineStr">
        <is>
          <t>2026-09-10</t>
        </is>
      </c>
      <c r="B7717" t="inlineStr">
        <is>
          <t>F280332</t>
        </is>
      </c>
      <c r="C7717" t="inlineStr">
        <is>
          <t>C11074</t>
        </is>
      </c>
      <c r="D7717" t="inlineStr">
        <is>
          <t>SKU-10109</t>
        </is>
      </c>
      <c r="E7717" t="inlineStr">
        <is>
          <t>AM12</t>
        </is>
      </c>
      <c r="F7717" s="5" t="n">
        <v>455.52</v>
      </c>
      <c r="G7717">
        <f>IF(LEFT(B7717,1)="C","Credit","Factuur")</f>
        <v/>
      </c>
      <c r="H7717">
        <f>IF(AND(B7717=B7716,D7717=D7716,A7717=A7716,F7717=F7716),1,0)</f>
        <v/>
      </c>
      <c r="I7717">
        <f>IF(C7717="C99999",1,0)</f>
        <v/>
      </c>
      <c r="J7717" s="5">
        <f>IF(OR(H7717=1,I7717=1),0,IF(G7717="Credit",-F7717,F7717))</f>
        <v/>
      </c>
    </row>
    <row r="7718">
      <c r="A7718" t="inlineStr">
        <is>
          <t>2026-09-10</t>
        </is>
      </c>
      <c r="B7718" t="inlineStr">
        <is>
          <t>F280332</t>
        </is>
      </c>
      <c r="C7718" t="inlineStr">
        <is>
          <t>C11074</t>
        </is>
      </c>
      <c r="D7718" t="inlineStr">
        <is>
          <t>SKU-10160</t>
        </is>
      </c>
      <c r="E7718" t="inlineStr">
        <is>
          <t>AM12</t>
        </is>
      </c>
      <c r="F7718" s="5" t="n">
        <v>443.75</v>
      </c>
      <c r="G7718">
        <f>IF(LEFT(B7718,1)="C","Credit","Factuur")</f>
        <v/>
      </c>
      <c r="H7718">
        <f>IF(AND(B7718=B7717,D7718=D7717,A7718=A7717,F7718=F7717),1,0)</f>
        <v/>
      </c>
      <c r="I7718">
        <f>IF(C7718="C99999",1,0)</f>
        <v/>
      </c>
      <c r="J7718" s="5">
        <f>IF(OR(H7718=1,I7718=1),0,IF(G7718="Credit",-F7718,F7718))</f>
        <v/>
      </c>
    </row>
    <row r="7719">
      <c r="A7719" t="inlineStr">
        <is>
          <t>2026-09-10</t>
        </is>
      </c>
      <c r="B7719" t="inlineStr">
        <is>
          <t>F280389</t>
        </is>
      </c>
      <c r="C7719" t="inlineStr">
        <is>
          <t>C11075</t>
        </is>
      </c>
      <c r="D7719" t="inlineStr">
        <is>
          <t>SKU-10020</t>
        </is>
      </c>
      <c r="E7719" t="inlineStr">
        <is>
          <t>AM05</t>
        </is>
      </c>
      <c r="F7719" s="5" t="n">
        <v>159.12</v>
      </c>
      <c r="G7719">
        <f>IF(LEFT(B7719,1)="C","Credit","Factuur")</f>
        <v/>
      </c>
      <c r="H7719">
        <f>IF(AND(B7719=B7718,D7719=D7718,A7719=A7718,F7719=F7718),1,0)</f>
        <v/>
      </c>
      <c r="I7719">
        <f>IF(C7719="C99999",1,0)</f>
        <v/>
      </c>
      <c r="J7719" s="5">
        <f>IF(OR(H7719=1,I7719=1),0,IF(G7719="Credit",-F7719,F7719))</f>
        <v/>
      </c>
    </row>
    <row r="7720">
      <c r="A7720" t="inlineStr">
        <is>
          <t>2026-09-10</t>
        </is>
      </c>
      <c r="B7720" t="inlineStr">
        <is>
          <t>F280389</t>
        </is>
      </c>
      <c r="C7720" t="inlineStr">
        <is>
          <t>C11075</t>
        </is>
      </c>
      <c r="D7720" t="inlineStr">
        <is>
          <t>SKU-10178</t>
        </is>
      </c>
      <c r="E7720" t="inlineStr">
        <is>
          <t>AM05</t>
        </is>
      </c>
      <c r="F7720" s="5" t="n">
        <v>162.91</v>
      </c>
      <c r="G7720">
        <f>IF(LEFT(B7720,1)="C","Credit","Factuur")</f>
        <v/>
      </c>
      <c r="H7720">
        <f>IF(AND(B7720=B7719,D7720=D7719,A7720=A7719,F7720=F7719),1,0)</f>
        <v/>
      </c>
      <c r="I7720">
        <f>IF(C7720="C99999",1,0)</f>
        <v/>
      </c>
      <c r="J7720" s="5">
        <f>IF(OR(H7720=1,I7720=1),0,IF(G7720="Credit",-F7720,F7720))</f>
        <v/>
      </c>
    </row>
    <row r="7721">
      <c r="A7721" t="inlineStr">
        <is>
          <t>2026-09-10</t>
        </is>
      </c>
      <c r="B7721" t="inlineStr">
        <is>
          <t>F280389</t>
        </is>
      </c>
      <c r="C7721" t="inlineStr">
        <is>
          <t>C11075</t>
        </is>
      </c>
      <c r="D7721" t="inlineStr">
        <is>
          <t>SKU-10282</t>
        </is>
      </c>
      <c r="E7721" t="inlineStr">
        <is>
          <t>AM05</t>
        </is>
      </c>
      <c r="F7721" s="5" t="n">
        <v>164.92</v>
      </c>
      <c r="G7721">
        <f>IF(LEFT(B7721,1)="C","Credit","Factuur")</f>
        <v/>
      </c>
      <c r="H7721">
        <f>IF(AND(B7721=B7720,D7721=D7720,A7721=A7720,F7721=F7720),1,0)</f>
        <v/>
      </c>
      <c r="I7721">
        <f>IF(C7721="C99999",1,0)</f>
        <v/>
      </c>
      <c r="J7721" s="5">
        <f>IF(OR(H7721=1,I7721=1),0,IF(G7721="Credit",-F7721,F7721))</f>
        <v/>
      </c>
    </row>
    <row r="7722">
      <c r="A7722" t="inlineStr">
        <is>
          <t>2026-09-10</t>
        </is>
      </c>
      <c r="B7722" t="inlineStr">
        <is>
          <t>F280389</t>
        </is>
      </c>
      <c r="C7722" t="inlineStr">
        <is>
          <t>C11075</t>
        </is>
      </c>
      <c r="D7722" t="inlineStr">
        <is>
          <t>SKU-10296</t>
        </is>
      </c>
      <c r="E7722" t="inlineStr">
        <is>
          <t>AM05</t>
        </is>
      </c>
      <c r="F7722" s="5" t="n">
        <v>166.92</v>
      </c>
      <c r="G7722">
        <f>IF(LEFT(B7722,1)="C","Credit","Factuur")</f>
        <v/>
      </c>
      <c r="H7722">
        <f>IF(AND(B7722=B7721,D7722=D7721,A7722=A7721,F7722=F7721),1,0)</f>
        <v/>
      </c>
      <c r="I7722">
        <f>IF(C7722="C99999",1,0)</f>
        <v/>
      </c>
      <c r="J7722" s="5">
        <f>IF(OR(H7722=1,I7722=1),0,IF(G7722="Credit",-F7722,F7722))</f>
        <v/>
      </c>
    </row>
    <row r="7723">
      <c r="A7723" t="inlineStr">
        <is>
          <t>2026-09-10</t>
        </is>
      </c>
      <c r="B7723" t="inlineStr">
        <is>
          <t>F284239</t>
        </is>
      </c>
      <c r="C7723" t="inlineStr">
        <is>
          <t>C11268</t>
        </is>
      </c>
      <c r="D7723" t="inlineStr">
        <is>
          <t>SKU-10019</t>
        </is>
      </c>
      <c r="E7723" t="inlineStr"/>
      <c r="F7723" s="5" t="n">
        <v>220.05</v>
      </c>
      <c r="G7723">
        <f>IF(LEFT(B7723,1)="C","Credit","Factuur")</f>
        <v/>
      </c>
      <c r="H7723">
        <f>IF(AND(B7723=B7722,D7723=D7722,A7723=A7722,F7723=F7722),1,0)</f>
        <v/>
      </c>
      <c r="I7723">
        <f>IF(C7723="C99999",1,0)</f>
        <v/>
      </c>
      <c r="J7723" s="5">
        <f>IF(OR(H7723=1,I7723=1),0,IF(G7723="Credit",-F7723,F7723))</f>
        <v/>
      </c>
    </row>
    <row r="7724">
      <c r="A7724" t="inlineStr">
        <is>
          <t>2026-09-10</t>
        </is>
      </c>
      <c r="B7724" t="inlineStr">
        <is>
          <t>F284239</t>
        </is>
      </c>
      <c r="C7724" t="inlineStr">
        <is>
          <t>C11268</t>
        </is>
      </c>
      <c r="D7724" t="inlineStr">
        <is>
          <t>SKU-10164</t>
        </is>
      </c>
      <c r="E7724" t="inlineStr">
        <is>
          <t>AM11</t>
        </is>
      </c>
      <c r="F7724" s="5" t="n">
        <v>221.49</v>
      </c>
      <c r="G7724">
        <f>IF(LEFT(B7724,1)="C","Credit","Factuur")</f>
        <v/>
      </c>
      <c r="H7724">
        <f>IF(AND(B7724=B7723,D7724=D7723,A7724=A7723,F7724=F7723),1,0)</f>
        <v/>
      </c>
      <c r="I7724">
        <f>IF(C7724="C99999",1,0)</f>
        <v/>
      </c>
      <c r="J7724" s="5">
        <f>IF(OR(H7724=1,I7724=1),0,IF(G7724="Credit",-F7724,F7724))</f>
        <v/>
      </c>
    </row>
    <row r="7725">
      <c r="A7725" t="inlineStr">
        <is>
          <t>2026-09-10</t>
        </is>
      </c>
      <c r="B7725" t="inlineStr">
        <is>
          <t>F284239</t>
        </is>
      </c>
      <c r="C7725" t="inlineStr">
        <is>
          <t>C11268</t>
        </is>
      </c>
      <c r="D7725" t="inlineStr">
        <is>
          <t>SKU-10271</t>
        </is>
      </c>
      <c r="E7725" t="inlineStr">
        <is>
          <t>AM11</t>
        </is>
      </c>
      <c r="F7725" s="5" t="n">
        <v>232.75</v>
      </c>
      <c r="G7725">
        <f>IF(LEFT(B7725,1)="C","Credit","Factuur")</f>
        <v/>
      </c>
      <c r="H7725">
        <f>IF(AND(B7725=B7724,D7725=D7724,A7725=A7724,F7725=F7724),1,0)</f>
        <v/>
      </c>
      <c r="I7725">
        <f>IF(C7725="C99999",1,0)</f>
        <v/>
      </c>
      <c r="J7725" s="5">
        <f>IF(OR(H7725=1,I7725=1),0,IF(G7725="Credit",-F7725,F7725))</f>
        <v/>
      </c>
    </row>
    <row r="7726">
      <c r="A7726" t="inlineStr">
        <is>
          <t>2026-09-10</t>
        </is>
      </c>
      <c r="B7726" t="inlineStr">
        <is>
          <t>F284240</t>
        </is>
      </c>
      <c r="C7726" t="inlineStr">
        <is>
          <t>C11268</t>
        </is>
      </c>
      <c r="D7726" t="inlineStr">
        <is>
          <t>SKU-10014</t>
        </is>
      </c>
      <c r="E7726" t="inlineStr">
        <is>
          <t>AM11</t>
        </is>
      </c>
      <c r="F7726" s="5" t="n">
        <v>104.58</v>
      </c>
      <c r="G7726">
        <f>IF(LEFT(B7726,1)="C","Credit","Factuur")</f>
        <v/>
      </c>
      <c r="H7726">
        <f>IF(AND(B7726=B7725,D7726=D7725,A7726=A7725,F7726=F7725),1,0)</f>
        <v/>
      </c>
      <c r="I7726">
        <f>IF(C7726="C99999",1,0)</f>
        <v/>
      </c>
      <c r="J7726" s="5">
        <f>IF(OR(H7726=1,I7726=1),0,IF(G7726="Credit",-F7726,F7726))</f>
        <v/>
      </c>
    </row>
    <row r="7727">
      <c r="A7727" t="inlineStr">
        <is>
          <t>2026-09-10</t>
        </is>
      </c>
      <c r="B7727" t="inlineStr">
        <is>
          <t>F284240</t>
        </is>
      </c>
      <c r="C7727" t="inlineStr">
        <is>
          <t>C11268</t>
        </is>
      </c>
      <c r="D7727" t="inlineStr">
        <is>
          <t>SKU-10092</t>
        </is>
      </c>
      <c r="E7727" t="inlineStr">
        <is>
          <t>AM11</t>
        </is>
      </c>
      <c r="F7727" s="5" t="n">
        <v>137.24</v>
      </c>
      <c r="G7727">
        <f>IF(LEFT(B7727,1)="C","Credit","Factuur")</f>
        <v/>
      </c>
      <c r="H7727">
        <f>IF(AND(B7727=B7726,D7727=D7726,A7727=A7726,F7727=F7726),1,0)</f>
        <v/>
      </c>
      <c r="I7727">
        <f>IF(C7727="C99999",1,0)</f>
        <v/>
      </c>
      <c r="J7727" s="5">
        <f>IF(OR(H7727=1,I7727=1),0,IF(G7727="Credit",-F7727,F7727))</f>
        <v/>
      </c>
    </row>
    <row r="7728">
      <c r="A7728" t="inlineStr">
        <is>
          <t>2026-09-10</t>
        </is>
      </c>
      <c r="B7728" t="inlineStr">
        <is>
          <t>F284240</t>
        </is>
      </c>
      <c r="C7728" t="inlineStr">
        <is>
          <t>C11268</t>
        </is>
      </c>
      <c r="D7728" t="inlineStr">
        <is>
          <t>SKU-10245</t>
        </is>
      </c>
      <c r="E7728" t="inlineStr">
        <is>
          <t>AM11</t>
        </is>
      </c>
      <c r="F7728" s="5" t="n">
        <v>114</v>
      </c>
      <c r="G7728">
        <f>IF(LEFT(B7728,1)="C","Credit","Factuur")</f>
        <v/>
      </c>
      <c r="H7728">
        <f>IF(AND(B7728=B7727,D7728=D7727,A7728=A7727,F7728=F7727),1,0)</f>
        <v/>
      </c>
      <c r="I7728">
        <f>IF(C7728="C99999",1,0)</f>
        <v/>
      </c>
      <c r="J7728" s="5">
        <f>IF(OR(H7728=1,I7728=1),0,IF(G7728="Credit",-F7728,F7728))</f>
        <v/>
      </c>
    </row>
    <row r="7729">
      <c r="A7729" t="inlineStr">
        <is>
          <t>2026-09-10</t>
        </is>
      </c>
      <c r="B7729" t="inlineStr">
        <is>
          <t>F284240</t>
        </is>
      </c>
      <c r="C7729" t="inlineStr">
        <is>
          <t>C11268</t>
        </is>
      </c>
      <c r="D7729" t="inlineStr">
        <is>
          <t>SKU-10279</t>
        </is>
      </c>
      <c r="E7729" t="inlineStr">
        <is>
          <t>AM11</t>
        </is>
      </c>
      <c r="F7729" s="5" t="n">
        <v>110.26</v>
      </c>
      <c r="G7729">
        <f>IF(LEFT(B7729,1)="C","Credit","Factuur")</f>
        <v/>
      </c>
      <c r="H7729">
        <f>IF(AND(B7729=B7728,D7729=D7728,A7729=A7728,F7729=F7728),1,0)</f>
        <v/>
      </c>
      <c r="I7729">
        <f>IF(C7729="C99999",1,0)</f>
        <v/>
      </c>
      <c r="J7729" s="5">
        <f>IF(OR(H7729=1,I7729=1),0,IF(G7729="Credit",-F7729,F7729))</f>
        <v/>
      </c>
    </row>
    <row r="7730">
      <c r="A7730" t="inlineStr">
        <is>
          <t>2026-09-10</t>
        </is>
      </c>
      <c r="B7730" t="inlineStr">
        <is>
          <t>F284791</t>
        </is>
      </c>
      <c r="C7730" t="inlineStr">
        <is>
          <t>C11298</t>
        </is>
      </c>
      <c r="D7730" t="inlineStr">
        <is>
          <t>SKU-10069</t>
        </is>
      </c>
      <c r="E7730" t="inlineStr">
        <is>
          <t>AM01</t>
        </is>
      </c>
      <c r="F7730" s="5" t="n">
        <v>238.35</v>
      </c>
      <c r="G7730">
        <f>IF(LEFT(B7730,1)="C","Credit","Factuur")</f>
        <v/>
      </c>
      <c r="H7730">
        <f>IF(AND(B7730=B7729,D7730=D7729,A7730=A7729,F7730=F7729),1,0)</f>
        <v/>
      </c>
      <c r="I7730">
        <f>IF(C7730="C99999",1,0)</f>
        <v/>
      </c>
      <c r="J7730" s="5">
        <f>IF(OR(H7730=1,I7730=1),0,IF(G7730="Credit",-F7730,F7730))</f>
        <v/>
      </c>
    </row>
    <row r="7731">
      <c r="A7731" t="inlineStr">
        <is>
          <t>2026-09-10</t>
        </is>
      </c>
      <c r="B7731" t="inlineStr">
        <is>
          <t>F284791</t>
        </is>
      </c>
      <c r="C7731" t="inlineStr">
        <is>
          <t>C11298</t>
        </is>
      </c>
      <c r="D7731" t="inlineStr">
        <is>
          <t>SKU-10098</t>
        </is>
      </c>
      <c r="E7731" t="inlineStr">
        <is>
          <t>AM01</t>
        </is>
      </c>
      <c r="F7731" s="5" t="n">
        <v>228.06</v>
      </c>
      <c r="G7731">
        <f>IF(LEFT(B7731,1)="C","Credit","Factuur")</f>
        <v/>
      </c>
      <c r="H7731">
        <f>IF(AND(B7731=B7730,D7731=D7730,A7731=A7730,F7731=F7730),1,0)</f>
        <v/>
      </c>
      <c r="I7731">
        <f>IF(C7731="C99999",1,0)</f>
        <v/>
      </c>
      <c r="J7731" s="5">
        <f>IF(OR(H7731=1,I7731=1),0,IF(G7731="Credit",-F7731,F7731))</f>
        <v/>
      </c>
    </row>
    <row r="7732">
      <c r="A7732" t="inlineStr">
        <is>
          <t>2026-09-10</t>
        </is>
      </c>
      <c r="B7732" t="inlineStr">
        <is>
          <t>F284791</t>
        </is>
      </c>
      <c r="C7732" t="inlineStr">
        <is>
          <t>C11298</t>
        </is>
      </c>
      <c r="D7732" t="inlineStr">
        <is>
          <t>SKU-10193</t>
        </is>
      </c>
      <c r="E7732" t="inlineStr">
        <is>
          <t>AM01</t>
        </is>
      </c>
      <c r="F7732" s="5" t="n">
        <v>243.96</v>
      </c>
      <c r="G7732">
        <f>IF(LEFT(B7732,1)="C","Credit","Factuur")</f>
        <v/>
      </c>
      <c r="H7732">
        <f>IF(AND(B7732=B7731,D7732=D7731,A7732=A7731,F7732=F7731),1,0)</f>
        <v/>
      </c>
      <c r="I7732">
        <f>IF(C7732="C99999",1,0)</f>
        <v/>
      </c>
      <c r="J7732" s="5">
        <f>IF(OR(H7732=1,I7732=1),0,IF(G7732="Credit",-F7732,F7732))</f>
        <v/>
      </c>
    </row>
    <row r="7733">
      <c r="A7733" t="inlineStr">
        <is>
          <t>2026-09-10</t>
        </is>
      </c>
      <c r="B7733" t="inlineStr">
        <is>
          <t>F285405</t>
        </is>
      </c>
      <c r="C7733" t="inlineStr">
        <is>
          <t>C11327</t>
        </is>
      </c>
      <c r="D7733" t="inlineStr">
        <is>
          <t>SKU-10071</t>
        </is>
      </c>
      <c r="E7733" t="inlineStr">
        <is>
          <t>AM11</t>
        </is>
      </c>
      <c r="F7733" s="5" t="n">
        <v>598.2</v>
      </c>
      <c r="G7733">
        <f>IF(LEFT(B7733,1)="C","Credit","Factuur")</f>
        <v/>
      </c>
      <c r="H7733">
        <f>IF(AND(B7733=B7732,D7733=D7732,A7733=A7732,F7733=F7732),1,0)</f>
        <v/>
      </c>
      <c r="I7733">
        <f>IF(C7733="C99999",1,0)</f>
        <v/>
      </c>
      <c r="J7733" s="5">
        <f>IF(OR(H7733=1,I7733=1),0,IF(G7733="Credit",-F7733,F7733))</f>
        <v/>
      </c>
    </row>
    <row r="7734">
      <c r="A7734" t="inlineStr">
        <is>
          <t>2026-09-10</t>
        </is>
      </c>
      <c r="B7734" t="inlineStr">
        <is>
          <t>F285405</t>
        </is>
      </c>
      <c r="C7734" t="inlineStr">
        <is>
          <t>C11327</t>
        </is>
      </c>
      <c r="D7734" t="inlineStr">
        <is>
          <t>SKU-10192</t>
        </is>
      </c>
      <c r="E7734" t="inlineStr">
        <is>
          <t>AM11</t>
        </is>
      </c>
      <c r="F7734" s="5" t="n">
        <v>564.98</v>
      </c>
      <c r="G7734">
        <f>IF(LEFT(B7734,1)="C","Credit","Factuur")</f>
        <v/>
      </c>
      <c r="H7734">
        <f>IF(AND(B7734=B7733,D7734=D7733,A7734=A7733,F7734=F7733),1,0)</f>
        <v/>
      </c>
      <c r="I7734">
        <f>IF(C7734="C99999",1,0)</f>
        <v/>
      </c>
      <c r="J7734" s="5">
        <f>IF(OR(H7734=1,I7734=1),0,IF(G7734="Credit",-F7734,F7734))</f>
        <v/>
      </c>
    </row>
    <row r="7735">
      <c r="A7735" t="inlineStr">
        <is>
          <t>2026-09-10</t>
        </is>
      </c>
      <c r="B7735" t="inlineStr">
        <is>
          <t>F285405</t>
        </is>
      </c>
      <c r="C7735" t="inlineStr">
        <is>
          <t>C11327</t>
        </is>
      </c>
      <c r="D7735" t="inlineStr">
        <is>
          <t>SKU-10327</t>
        </is>
      </c>
      <c r="E7735" t="inlineStr">
        <is>
          <t>AM11</t>
        </is>
      </c>
      <c r="F7735" s="5" t="n">
        <v>529.67</v>
      </c>
      <c r="G7735">
        <f>IF(LEFT(B7735,1)="C","Credit","Factuur")</f>
        <v/>
      </c>
      <c r="H7735">
        <f>IF(AND(B7735=B7734,D7735=D7734,A7735=A7734,F7735=F7734),1,0)</f>
        <v/>
      </c>
      <c r="I7735">
        <f>IF(C7735="C99999",1,0)</f>
        <v/>
      </c>
      <c r="J7735" s="5">
        <f>IF(OR(H7735=1,I7735=1),0,IF(G7735="Credit",-F7735,F7735))</f>
        <v/>
      </c>
    </row>
    <row r="7736">
      <c r="A7736" t="inlineStr">
        <is>
          <t>2026-09-10</t>
        </is>
      </c>
      <c r="B7736" t="inlineStr">
        <is>
          <t>F285405</t>
        </is>
      </c>
      <c r="C7736" t="inlineStr">
        <is>
          <t>C11327</t>
        </is>
      </c>
      <c r="D7736" t="inlineStr">
        <is>
          <t>SKU-10334</t>
        </is>
      </c>
      <c r="E7736" t="inlineStr">
        <is>
          <t>AM11</t>
        </is>
      </c>
      <c r="F7736" s="5" t="n">
        <v>567.54</v>
      </c>
      <c r="G7736">
        <f>IF(LEFT(B7736,1)="C","Credit","Factuur")</f>
        <v/>
      </c>
      <c r="H7736">
        <f>IF(AND(B7736=B7735,D7736=D7735,A7736=A7735,F7736=F7735),1,0)</f>
        <v/>
      </c>
      <c r="I7736">
        <f>IF(C7736="C99999",1,0)</f>
        <v/>
      </c>
      <c r="J7736" s="5">
        <f>IF(OR(H7736=1,I7736=1),0,IF(G7736="Credit",-F7736,F7736))</f>
        <v/>
      </c>
    </row>
    <row r="7737">
      <c r="A7737" t="inlineStr">
        <is>
          <t>2026-09-11</t>
        </is>
      </c>
      <c r="B7737" t="inlineStr">
        <is>
          <t>C900068</t>
        </is>
      </c>
      <c r="C7737" t="inlineStr">
        <is>
          <t>C10463</t>
        </is>
      </c>
      <c r="D7737" t="inlineStr">
        <is>
          <t>SKU-10011</t>
        </is>
      </c>
      <c r="E7737" t="inlineStr">
        <is>
          <t>AM01</t>
        </is>
      </c>
      <c r="F7737" s="5" t="n">
        <v>121.8</v>
      </c>
      <c r="G7737">
        <f>IF(LEFT(B7737,1)="C","Credit","Factuur")</f>
        <v/>
      </c>
      <c r="H7737">
        <f>IF(AND(B7737=B7736,D7737=D7736,A7737=A7736,F7737=F7736),1,0)</f>
        <v/>
      </c>
      <c r="I7737">
        <f>IF(C7737="C99999",1,0)</f>
        <v/>
      </c>
      <c r="J7737" s="5">
        <f>IF(OR(H7737=1,I7737=1),0,IF(G7737="Credit",-F7737,F7737))</f>
        <v/>
      </c>
    </row>
    <row r="7738">
      <c r="A7738" t="inlineStr">
        <is>
          <t>2026-09-11</t>
        </is>
      </c>
      <c r="B7738" t="inlineStr">
        <is>
          <t>C900854</t>
        </is>
      </c>
      <c r="C7738" t="inlineStr">
        <is>
          <t>C10674</t>
        </is>
      </c>
      <c r="D7738" t="inlineStr">
        <is>
          <t>SKU-10022</t>
        </is>
      </c>
      <c r="E7738" t="inlineStr">
        <is>
          <t>AM05</t>
        </is>
      </c>
      <c r="F7738" s="5" t="n">
        <v>719.87</v>
      </c>
      <c r="G7738">
        <f>IF(LEFT(B7738,1)="C","Credit","Factuur")</f>
        <v/>
      </c>
      <c r="H7738">
        <f>IF(AND(B7738=B7737,D7738=D7737,A7738=A7737,F7738=F7737),1,0)</f>
        <v/>
      </c>
      <c r="I7738">
        <f>IF(C7738="C99999",1,0)</f>
        <v/>
      </c>
      <c r="J7738" s="5">
        <f>IF(OR(H7738=1,I7738=1),0,IF(G7738="Credit",-F7738,F7738))</f>
        <v/>
      </c>
    </row>
    <row r="7739">
      <c r="A7739" t="inlineStr">
        <is>
          <t>2026-09-11</t>
        </is>
      </c>
      <c r="B7739" t="inlineStr">
        <is>
          <t>C901366</t>
        </is>
      </c>
      <c r="C7739" t="inlineStr">
        <is>
          <t>C10777</t>
        </is>
      </c>
      <c r="D7739" t="inlineStr">
        <is>
          <t>SKU-10019</t>
        </is>
      </c>
      <c r="E7739" t="inlineStr">
        <is>
          <t>AM07</t>
        </is>
      </c>
      <c r="F7739" s="5" t="n">
        <v>376.29</v>
      </c>
      <c r="G7739">
        <f>IF(LEFT(B7739,1)="C","Credit","Factuur")</f>
        <v/>
      </c>
      <c r="H7739">
        <f>IF(AND(B7739=B7738,D7739=D7738,A7739=A7738,F7739=F7738),1,0)</f>
        <v/>
      </c>
      <c r="I7739">
        <f>IF(C7739="C99999",1,0)</f>
        <v/>
      </c>
      <c r="J7739" s="5">
        <f>IF(OR(H7739=1,I7739=1),0,IF(G7739="Credit",-F7739,F7739))</f>
        <v/>
      </c>
    </row>
    <row r="7740">
      <c r="A7740" t="inlineStr">
        <is>
          <t>2026-09-11</t>
        </is>
      </c>
      <c r="B7740" t="inlineStr">
        <is>
          <t>C901374</t>
        </is>
      </c>
      <c r="C7740" t="inlineStr">
        <is>
          <t>C10469</t>
        </is>
      </c>
      <c r="D7740" t="inlineStr">
        <is>
          <t>SKU-10299</t>
        </is>
      </c>
      <c r="E7740" t="inlineStr">
        <is>
          <t>AM06</t>
        </is>
      </c>
      <c r="F7740" s="5" t="n">
        <v>150.56</v>
      </c>
      <c r="G7740">
        <f>IF(LEFT(B7740,1)="C","Credit","Factuur")</f>
        <v/>
      </c>
      <c r="H7740">
        <f>IF(AND(B7740=B7739,D7740=D7739,A7740=A7739,F7740=F7739),1,0)</f>
        <v/>
      </c>
      <c r="I7740">
        <f>IF(C7740="C99999",1,0)</f>
        <v/>
      </c>
      <c r="J7740" s="5">
        <f>IF(OR(H7740=1,I7740=1),0,IF(G7740="Credit",-F7740,F7740))</f>
        <v/>
      </c>
    </row>
    <row r="7741">
      <c r="A7741" t="inlineStr">
        <is>
          <t>2026-09-11</t>
        </is>
      </c>
      <c r="B7741" t="inlineStr">
        <is>
          <t>C901406</t>
        </is>
      </c>
      <c r="C7741" t="inlineStr">
        <is>
          <t>C10974</t>
        </is>
      </c>
      <c r="D7741" t="inlineStr">
        <is>
          <t>SKU-10274</t>
        </is>
      </c>
      <c r="E7741" t="inlineStr">
        <is>
          <t>AM02</t>
        </is>
      </c>
      <c r="F7741" s="5" t="n">
        <v>256.7</v>
      </c>
      <c r="G7741">
        <f>IF(LEFT(B7741,1)="C","Credit","Factuur")</f>
        <v/>
      </c>
      <c r="H7741">
        <f>IF(AND(B7741=B7740,D7741=D7740,A7741=A7740,F7741=F7740),1,0)</f>
        <v/>
      </c>
      <c r="I7741">
        <f>IF(C7741="C99999",1,0)</f>
        <v/>
      </c>
      <c r="J7741" s="5">
        <f>IF(OR(H7741=1,I7741=1),0,IF(G7741="Credit",-F7741,F7741))</f>
        <v/>
      </c>
    </row>
    <row r="7742">
      <c r="A7742" t="inlineStr">
        <is>
          <t>2026-09-11</t>
        </is>
      </c>
      <c r="B7742" t="inlineStr">
        <is>
          <t>C901876</t>
        </is>
      </c>
      <c r="C7742" t="inlineStr">
        <is>
          <t>C10187</t>
        </is>
      </c>
      <c r="D7742" t="inlineStr">
        <is>
          <t>SKU-10015</t>
        </is>
      </c>
      <c r="E7742" t="inlineStr">
        <is>
          <t>AM12</t>
        </is>
      </c>
      <c r="F7742" s="5" t="n">
        <v>49.09</v>
      </c>
      <c r="G7742">
        <f>IF(LEFT(B7742,1)="C","Credit","Factuur")</f>
        <v/>
      </c>
      <c r="H7742">
        <f>IF(AND(B7742=B7741,D7742=D7741,A7742=A7741,F7742=F7741),1,0)</f>
        <v/>
      </c>
      <c r="I7742">
        <f>IF(C7742="C99999",1,0)</f>
        <v/>
      </c>
      <c r="J7742" s="5">
        <f>IF(OR(H7742=1,I7742=1),0,IF(G7742="Credit",-F7742,F7742))</f>
        <v/>
      </c>
    </row>
    <row r="7743">
      <c r="A7743" t="inlineStr">
        <is>
          <t>2026-09-11</t>
        </is>
      </c>
      <c r="B7743" t="inlineStr">
        <is>
          <t>F260052</t>
        </is>
      </c>
      <c r="C7743" t="inlineStr">
        <is>
          <t>C10004</t>
        </is>
      </c>
      <c r="D7743" t="inlineStr">
        <is>
          <t>SKU-10042</t>
        </is>
      </c>
      <c r="E7743" t="inlineStr">
        <is>
          <t>AM08</t>
        </is>
      </c>
      <c r="F7743" s="5" t="n">
        <v>272.31</v>
      </c>
      <c r="G7743">
        <f>IF(LEFT(B7743,1)="C","Credit","Factuur")</f>
        <v/>
      </c>
      <c r="H7743">
        <f>IF(AND(B7743=B7742,D7743=D7742,A7743=A7742,F7743=F7742),1,0)</f>
        <v/>
      </c>
      <c r="I7743">
        <f>IF(C7743="C99999",1,0)</f>
        <v/>
      </c>
      <c r="J7743" s="5">
        <f>IF(OR(H7743=1,I7743=1),0,IF(G7743="Credit",-F7743,F7743))</f>
        <v/>
      </c>
    </row>
    <row r="7744">
      <c r="A7744" t="inlineStr">
        <is>
          <t>2026-09-11</t>
        </is>
      </c>
      <c r="B7744" t="inlineStr">
        <is>
          <t>F260052</t>
        </is>
      </c>
      <c r="C7744" t="inlineStr">
        <is>
          <t>C10004</t>
        </is>
      </c>
      <c r="D7744" t="inlineStr">
        <is>
          <t>SKU-10299</t>
        </is>
      </c>
      <c r="E7744" t="inlineStr">
        <is>
          <t>AM08</t>
        </is>
      </c>
      <c r="F7744" s="5" t="n">
        <v>286.06</v>
      </c>
      <c r="G7744">
        <f>IF(LEFT(B7744,1)="C","Credit","Factuur")</f>
        <v/>
      </c>
      <c r="H7744">
        <f>IF(AND(B7744=B7743,D7744=D7743,A7744=A7743,F7744=F7743),1,0)</f>
        <v/>
      </c>
      <c r="I7744">
        <f>IF(C7744="C99999",1,0)</f>
        <v/>
      </c>
      <c r="J7744" s="5">
        <f>IF(OR(H7744=1,I7744=1),0,IF(G7744="Credit",-F7744,F7744))</f>
        <v/>
      </c>
    </row>
    <row r="7745">
      <c r="A7745" t="inlineStr">
        <is>
          <t>2026-09-11</t>
        </is>
      </c>
      <c r="B7745" t="inlineStr">
        <is>
          <t>F260064</t>
        </is>
      </c>
      <c r="C7745" t="inlineStr">
        <is>
          <t>C10004</t>
        </is>
      </c>
      <c r="D7745" t="inlineStr">
        <is>
          <t>SKU-10036</t>
        </is>
      </c>
      <c r="E7745" t="inlineStr">
        <is>
          <t>AM08</t>
        </is>
      </c>
      <c r="F7745" s="5" t="n">
        <v>88.7</v>
      </c>
      <c r="G7745">
        <f>IF(LEFT(B7745,1)="C","Credit","Factuur")</f>
        <v/>
      </c>
      <c r="H7745">
        <f>IF(AND(B7745=B7744,D7745=D7744,A7745=A7744,F7745=F7744),1,0)</f>
        <v/>
      </c>
      <c r="I7745">
        <f>IF(C7745="C99999",1,0)</f>
        <v/>
      </c>
      <c r="J7745" s="5">
        <f>IF(OR(H7745=1,I7745=1),0,IF(G7745="Credit",-F7745,F7745))</f>
        <v/>
      </c>
    </row>
    <row r="7746">
      <c r="A7746" t="inlineStr">
        <is>
          <t>2026-09-11</t>
        </is>
      </c>
      <c r="B7746" t="inlineStr">
        <is>
          <t>F260064</t>
        </is>
      </c>
      <c r="C7746" t="inlineStr">
        <is>
          <t>C10004</t>
        </is>
      </c>
      <c r="D7746" t="inlineStr">
        <is>
          <t>SKU-10148</t>
        </is>
      </c>
      <c r="E7746" t="inlineStr">
        <is>
          <t>AM08</t>
        </is>
      </c>
      <c r="F7746" s="5" t="n">
        <v>80.43000000000001</v>
      </c>
      <c r="G7746">
        <f>IF(LEFT(B7746,1)="C","Credit","Factuur")</f>
        <v/>
      </c>
      <c r="H7746">
        <f>IF(AND(B7746=B7745,D7746=D7745,A7746=A7745,F7746=F7745),1,0)</f>
        <v/>
      </c>
      <c r="I7746">
        <f>IF(C7746="C99999",1,0)</f>
        <v/>
      </c>
      <c r="J7746" s="5">
        <f>IF(OR(H7746=1,I7746=1),0,IF(G7746="Credit",-F7746,F7746))</f>
        <v/>
      </c>
    </row>
    <row r="7747">
      <c r="A7747" t="inlineStr">
        <is>
          <t>2026-09-11</t>
        </is>
      </c>
      <c r="B7747" t="inlineStr">
        <is>
          <t>F260064</t>
        </is>
      </c>
      <c r="C7747" t="inlineStr">
        <is>
          <t>C10004</t>
        </is>
      </c>
      <c r="D7747" t="inlineStr">
        <is>
          <t>SKU-10339</t>
        </is>
      </c>
      <c r="E7747" t="inlineStr">
        <is>
          <t>AM08</t>
        </is>
      </c>
      <c r="F7747" s="5" t="n">
        <v>89.55</v>
      </c>
      <c r="G7747">
        <f>IF(LEFT(B7747,1)="C","Credit","Factuur")</f>
        <v/>
      </c>
      <c r="H7747">
        <f>IF(AND(B7747=B7746,D7747=D7746,A7747=A7746,F7747=F7746),1,0)</f>
        <v/>
      </c>
      <c r="I7747">
        <f>IF(C7747="C99999",1,0)</f>
        <v/>
      </c>
      <c r="J7747" s="5">
        <f>IF(OR(H7747=1,I7747=1),0,IF(G7747="Credit",-F7747,F7747))</f>
        <v/>
      </c>
    </row>
    <row r="7748">
      <c r="A7748" t="inlineStr">
        <is>
          <t>2026-09-11</t>
        </is>
      </c>
      <c r="B7748" t="inlineStr">
        <is>
          <t>F260064</t>
        </is>
      </c>
      <c r="C7748" t="inlineStr">
        <is>
          <t>C10004</t>
        </is>
      </c>
      <c r="D7748" t="inlineStr">
        <is>
          <t>SKU-10342</t>
        </is>
      </c>
      <c r="E7748" t="inlineStr">
        <is>
          <t>AM08</t>
        </is>
      </c>
      <c r="F7748" s="5" t="n">
        <v>101.64</v>
      </c>
      <c r="G7748">
        <f>IF(LEFT(B7748,1)="C","Credit","Factuur")</f>
        <v/>
      </c>
      <c r="H7748">
        <f>IF(AND(B7748=B7747,D7748=D7747,A7748=A7747,F7748=F7747),1,0)</f>
        <v/>
      </c>
      <c r="I7748">
        <f>IF(C7748="C99999",1,0)</f>
        <v/>
      </c>
      <c r="J7748" s="5">
        <f>IF(OR(H7748=1,I7748=1),0,IF(G7748="Credit",-F7748,F7748))</f>
        <v/>
      </c>
    </row>
    <row r="7749">
      <c r="A7749" t="inlineStr">
        <is>
          <t>2026-09-11</t>
        </is>
      </c>
      <c r="B7749" t="inlineStr">
        <is>
          <t>F260931</t>
        </is>
      </c>
      <c r="C7749" t="inlineStr">
        <is>
          <t>C10053</t>
        </is>
      </c>
      <c r="D7749" t="inlineStr">
        <is>
          <t>SKU-10014</t>
        </is>
      </c>
      <c r="E7749" t="inlineStr">
        <is>
          <t>AM11</t>
        </is>
      </c>
      <c r="F7749" s="5" t="n">
        <v>330.24</v>
      </c>
      <c r="G7749">
        <f>IF(LEFT(B7749,1)="C","Credit","Factuur")</f>
        <v/>
      </c>
      <c r="H7749">
        <f>IF(AND(B7749=B7748,D7749=D7748,A7749=A7748,F7749=F7748),1,0)</f>
        <v/>
      </c>
      <c r="I7749">
        <f>IF(C7749="C99999",1,0)</f>
        <v/>
      </c>
      <c r="J7749" s="5">
        <f>IF(OR(H7749=1,I7749=1),0,IF(G7749="Credit",-F7749,F7749))</f>
        <v/>
      </c>
    </row>
    <row r="7750">
      <c r="A7750" t="inlineStr">
        <is>
          <t>2026-09-11</t>
        </is>
      </c>
      <c r="B7750" t="inlineStr">
        <is>
          <t>F260931</t>
        </is>
      </c>
      <c r="C7750" t="inlineStr">
        <is>
          <t>C10053</t>
        </is>
      </c>
      <c r="D7750" t="inlineStr">
        <is>
          <t>SKU-10258</t>
        </is>
      </c>
      <c r="E7750" t="inlineStr">
        <is>
          <t>AM11</t>
        </is>
      </c>
      <c r="F7750" s="5" t="n">
        <v>324.71</v>
      </c>
      <c r="G7750">
        <f>IF(LEFT(B7750,1)="C","Credit","Factuur")</f>
        <v/>
      </c>
      <c r="H7750">
        <f>IF(AND(B7750=B7749,D7750=D7749,A7750=A7749,F7750=F7749),1,0)</f>
        <v/>
      </c>
      <c r="I7750">
        <f>IF(C7750="C99999",1,0)</f>
        <v/>
      </c>
      <c r="J7750" s="5">
        <f>IF(OR(H7750=1,I7750=1),0,IF(G7750="Credit",-F7750,F7750))</f>
        <v/>
      </c>
    </row>
    <row r="7751">
      <c r="A7751" t="inlineStr">
        <is>
          <t>2026-09-11</t>
        </is>
      </c>
      <c r="B7751" t="inlineStr">
        <is>
          <t>F260931</t>
        </is>
      </c>
      <c r="C7751" t="inlineStr">
        <is>
          <t>C10053</t>
        </is>
      </c>
      <c r="D7751" t="inlineStr">
        <is>
          <t>SKU-10324</t>
        </is>
      </c>
      <c r="E7751" t="inlineStr">
        <is>
          <t>AM11</t>
        </is>
      </c>
      <c r="F7751" s="5" t="n">
        <v>325.8</v>
      </c>
      <c r="G7751">
        <f>IF(LEFT(B7751,1)="C","Credit","Factuur")</f>
        <v/>
      </c>
      <c r="H7751">
        <f>IF(AND(B7751=B7750,D7751=D7750,A7751=A7750,F7751=F7750),1,0)</f>
        <v/>
      </c>
      <c r="I7751">
        <f>IF(C7751="C99999",1,0)</f>
        <v/>
      </c>
      <c r="J7751" s="5">
        <f>IF(OR(H7751=1,I7751=1),0,IF(G7751="Credit",-F7751,F7751))</f>
        <v/>
      </c>
    </row>
    <row r="7752">
      <c r="A7752" t="inlineStr">
        <is>
          <t>2026-09-11</t>
        </is>
      </c>
      <c r="B7752" t="inlineStr">
        <is>
          <t>F261089</t>
        </is>
      </c>
      <c r="C7752" t="inlineStr">
        <is>
          <t>C10062</t>
        </is>
      </c>
      <c r="D7752" t="inlineStr">
        <is>
          <t>SKU-10089</t>
        </is>
      </c>
      <c r="E7752" t="inlineStr">
        <is>
          <t>AM05</t>
        </is>
      </c>
      <c r="F7752" s="5" t="n">
        <v>720.63</v>
      </c>
      <c r="G7752">
        <f>IF(LEFT(B7752,1)="C","Credit","Factuur")</f>
        <v/>
      </c>
      <c r="H7752">
        <f>IF(AND(B7752=B7751,D7752=D7751,A7752=A7751,F7752=F7751),1,0)</f>
        <v/>
      </c>
      <c r="I7752">
        <f>IF(C7752="C99999",1,0)</f>
        <v/>
      </c>
      <c r="J7752" s="5">
        <f>IF(OR(H7752=1,I7752=1),0,IF(G7752="Credit",-F7752,F7752))</f>
        <v/>
      </c>
    </row>
    <row r="7753">
      <c r="A7753" t="inlineStr">
        <is>
          <t>2026-09-11</t>
        </is>
      </c>
      <c r="B7753" t="inlineStr">
        <is>
          <t>F261543</t>
        </is>
      </c>
      <c r="C7753" t="inlineStr">
        <is>
          <t>C10082</t>
        </is>
      </c>
      <c r="D7753" t="inlineStr">
        <is>
          <t>SKU-10339</t>
        </is>
      </c>
      <c r="E7753" t="inlineStr">
        <is>
          <t>AM09</t>
        </is>
      </c>
      <c r="F7753" s="5" t="n">
        <v>9315.950000000001</v>
      </c>
      <c r="G7753">
        <f>IF(LEFT(B7753,1)="C","Credit","Factuur")</f>
        <v/>
      </c>
      <c r="H7753">
        <f>IF(AND(B7753=B7752,D7753=D7752,A7753=A7752,F7753=F7752),1,0)</f>
        <v/>
      </c>
      <c r="I7753">
        <f>IF(C7753="C99999",1,0)</f>
        <v/>
      </c>
      <c r="J7753" s="5">
        <f>IF(OR(H7753=1,I7753=1),0,IF(G7753="Credit",-F7753,F7753))</f>
        <v/>
      </c>
    </row>
    <row r="7754">
      <c r="A7754" t="inlineStr">
        <is>
          <t>2026-09-11</t>
        </is>
      </c>
      <c r="B7754" t="inlineStr">
        <is>
          <t>F261543</t>
        </is>
      </c>
      <c r="C7754" t="inlineStr">
        <is>
          <t>C10082</t>
        </is>
      </c>
      <c r="D7754" t="inlineStr">
        <is>
          <t>SKU-10340</t>
        </is>
      </c>
      <c r="E7754" t="inlineStr">
        <is>
          <t>AM09</t>
        </is>
      </c>
      <c r="F7754" s="5" t="n">
        <v>7917.04</v>
      </c>
      <c r="G7754">
        <f>IF(LEFT(B7754,1)="C","Credit","Factuur")</f>
        <v/>
      </c>
      <c r="H7754">
        <f>IF(AND(B7754=B7753,D7754=D7753,A7754=A7753,F7754=F7753),1,0)</f>
        <v/>
      </c>
      <c r="I7754">
        <f>IF(C7754="C99999",1,0)</f>
        <v/>
      </c>
      <c r="J7754" s="5">
        <f>IF(OR(H7754=1,I7754=1),0,IF(G7754="Credit",-F7754,F7754))</f>
        <v/>
      </c>
    </row>
    <row r="7755">
      <c r="A7755" t="inlineStr">
        <is>
          <t>2026-09-11</t>
        </is>
      </c>
      <c r="B7755" t="inlineStr">
        <is>
          <t>F261788</t>
        </is>
      </c>
      <c r="C7755" t="inlineStr">
        <is>
          <t>C10093</t>
        </is>
      </c>
      <c r="D7755" t="inlineStr">
        <is>
          <t>SKU-10039</t>
        </is>
      </c>
      <c r="E7755" t="inlineStr">
        <is>
          <t>AM01</t>
        </is>
      </c>
      <c r="F7755" s="5" t="n">
        <v>184.85</v>
      </c>
      <c r="G7755">
        <f>IF(LEFT(B7755,1)="C","Credit","Factuur")</f>
        <v/>
      </c>
      <c r="H7755">
        <f>IF(AND(B7755=B7754,D7755=D7754,A7755=A7754,F7755=F7754),1,0)</f>
        <v/>
      </c>
      <c r="I7755">
        <f>IF(C7755="C99999",1,0)</f>
        <v/>
      </c>
      <c r="J7755" s="5">
        <f>IF(OR(H7755=1,I7755=1),0,IF(G7755="Credit",-F7755,F7755))</f>
        <v/>
      </c>
    </row>
    <row r="7756">
      <c r="A7756" t="inlineStr">
        <is>
          <t>2026-09-11</t>
        </is>
      </c>
      <c r="B7756" t="inlineStr">
        <is>
          <t>F261788</t>
        </is>
      </c>
      <c r="C7756" t="inlineStr">
        <is>
          <t>C10093</t>
        </is>
      </c>
      <c r="D7756" t="inlineStr">
        <is>
          <t>SKU-10052</t>
        </is>
      </c>
      <c r="E7756" t="inlineStr">
        <is>
          <t>AM01</t>
        </is>
      </c>
      <c r="F7756" s="5" t="n">
        <v>157.83</v>
      </c>
      <c r="G7756">
        <f>IF(LEFT(B7756,1)="C","Credit","Factuur")</f>
        <v/>
      </c>
      <c r="H7756">
        <f>IF(AND(B7756=B7755,D7756=D7755,A7756=A7755,F7756=F7755),1,0)</f>
        <v/>
      </c>
      <c r="I7756">
        <f>IF(C7756="C99999",1,0)</f>
        <v/>
      </c>
      <c r="J7756" s="5">
        <f>IF(OR(H7756=1,I7756=1),0,IF(G7756="Credit",-F7756,F7756))</f>
        <v/>
      </c>
    </row>
    <row r="7757">
      <c r="A7757" t="inlineStr">
        <is>
          <t>2026-09-11</t>
        </is>
      </c>
      <c r="B7757" t="inlineStr">
        <is>
          <t>F261788</t>
        </is>
      </c>
      <c r="C7757" t="inlineStr">
        <is>
          <t>C10093</t>
        </is>
      </c>
      <c r="D7757" t="inlineStr">
        <is>
          <t>SKU-10085</t>
        </is>
      </c>
      <c r="E7757" t="inlineStr">
        <is>
          <t>AM01</t>
        </is>
      </c>
      <c r="F7757" s="5" t="n">
        <v>174.89</v>
      </c>
      <c r="G7757">
        <f>IF(LEFT(B7757,1)="C","Credit","Factuur")</f>
        <v/>
      </c>
      <c r="H7757">
        <f>IF(AND(B7757=B7756,D7757=D7756,A7757=A7756,F7757=F7756),1,0)</f>
        <v/>
      </c>
      <c r="I7757">
        <f>IF(C7757="C99999",1,0)</f>
        <v/>
      </c>
      <c r="J7757" s="5">
        <f>IF(OR(H7757=1,I7757=1),0,IF(G7757="Credit",-F7757,F7757))</f>
        <v/>
      </c>
    </row>
    <row r="7758">
      <c r="A7758" t="inlineStr">
        <is>
          <t>2026-09-11</t>
        </is>
      </c>
      <c r="B7758" t="inlineStr">
        <is>
          <t>F261788</t>
        </is>
      </c>
      <c r="C7758" t="inlineStr">
        <is>
          <t>C10093</t>
        </is>
      </c>
      <c r="D7758" t="inlineStr">
        <is>
          <t>SKU-10143</t>
        </is>
      </c>
      <c r="E7758" t="inlineStr">
        <is>
          <t>AM01</t>
        </is>
      </c>
      <c r="F7758" s="5" t="n">
        <v>145.36</v>
      </c>
      <c r="G7758">
        <f>IF(LEFT(B7758,1)="C","Credit","Factuur")</f>
        <v/>
      </c>
      <c r="H7758">
        <f>IF(AND(B7758=B7757,D7758=D7757,A7758=A7757,F7758=F7757),1,0)</f>
        <v/>
      </c>
      <c r="I7758">
        <f>IF(C7758="C99999",1,0)</f>
        <v/>
      </c>
      <c r="J7758" s="5">
        <f>IF(OR(H7758=1,I7758=1),0,IF(G7758="Credit",-F7758,F7758))</f>
        <v/>
      </c>
    </row>
    <row r="7759">
      <c r="A7759" t="inlineStr">
        <is>
          <t>2026-09-11</t>
        </is>
      </c>
      <c r="B7759" t="inlineStr">
        <is>
          <t>F261883</t>
        </is>
      </c>
      <c r="C7759" t="inlineStr">
        <is>
          <t>C10099</t>
        </is>
      </c>
      <c r="D7759" t="inlineStr">
        <is>
          <t>SKU-10295</t>
        </is>
      </c>
      <c r="E7759" t="inlineStr">
        <is>
          <t>AM02</t>
        </is>
      </c>
      <c r="F7759" s="5" t="n">
        <v>650.79</v>
      </c>
      <c r="G7759">
        <f>IF(LEFT(B7759,1)="C","Credit","Factuur")</f>
        <v/>
      </c>
      <c r="H7759">
        <f>IF(AND(B7759=B7758,D7759=D7758,A7759=A7758,F7759=F7758),1,0)</f>
        <v/>
      </c>
      <c r="I7759">
        <f>IF(C7759="C99999",1,0)</f>
        <v/>
      </c>
      <c r="J7759" s="5">
        <f>IF(OR(H7759=1,I7759=1),0,IF(G7759="Credit",-F7759,F7759))</f>
        <v/>
      </c>
    </row>
    <row r="7760">
      <c r="A7760" t="inlineStr">
        <is>
          <t>2026-09-11</t>
        </is>
      </c>
      <c r="B7760" t="inlineStr">
        <is>
          <t>F261883</t>
        </is>
      </c>
      <c r="C7760" t="inlineStr">
        <is>
          <t>C10099</t>
        </is>
      </c>
      <c r="D7760" t="inlineStr">
        <is>
          <t>SKU-10296</t>
        </is>
      </c>
      <c r="E7760" t="inlineStr">
        <is>
          <t>AM02</t>
        </is>
      </c>
      <c r="F7760" s="5" t="n">
        <v>652.6</v>
      </c>
      <c r="G7760">
        <f>IF(LEFT(B7760,1)="C","Credit","Factuur")</f>
        <v/>
      </c>
      <c r="H7760">
        <f>IF(AND(B7760=B7759,D7760=D7759,A7760=A7759,F7760=F7759),1,0)</f>
        <v/>
      </c>
      <c r="I7760">
        <f>IF(C7760="C99999",1,0)</f>
        <v/>
      </c>
      <c r="J7760" s="5">
        <f>IF(OR(H7760=1,I7760=1),0,IF(G7760="Credit",-F7760,F7760))</f>
        <v/>
      </c>
    </row>
    <row r="7761">
      <c r="A7761" t="inlineStr">
        <is>
          <t>2026-09-11</t>
        </is>
      </c>
      <c r="B7761" t="inlineStr">
        <is>
          <t>F262128</t>
        </is>
      </c>
      <c r="C7761" t="inlineStr">
        <is>
          <t>C10112</t>
        </is>
      </c>
      <c r="D7761" t="inlineStr">
        <is>
          <t>SKU-10030</t>
        </is>
      </c>
      <c r="E7761" t="inlineStr">
        <is>
          <t>AM06</t>
        </is>
      </c>
      <c r="F7761" s="5" t="n">
        <v>74.19</v>
      </c>
      <c r="G7761">
        <f>IF(LEFT(B7761,1)="C","Credit","Factuur")</f>
        <v/>
      </c>
      <c r="H7761">
        <f>IF(AND(B7761=B7760,D7761=D7760,A7761=A7760,F7761=F7760),1,0)</f>
        <v/>
      </c>
      <c r="I7761">
        <f>IF(C7761="C99999",1,0)</f>
        <v/>
      </c>
      <c r="J7761" s="5">
        <f>IF(OR(H7761=1,I7761=1),0,IF(G7761="Credit",-F7761,F7761))</f>
        <v/>
      </c>
    </row>
    <row r="7762">
      <c r="A7762" t="inlineStr">
        <is>
          <t>2026-09-11</t>
        </is>
      </c>
      <c r="B7762" t="inlineStr">
        <is>
          <t>F262128</t>
        </is>
      </c>
      <c r="C7762" t="inlineStr">
        <is>
          <t>C10112</t>
        </is>
      </c>
      <c r="D7762" t="inlineStr">
        <is>
          <t>SKU-10046</t>
        </is>
      </c>
      <c r="E7762" t="inlineStr">
        <is>
          <t>AM06</t>
        </is>
      </c>
      <c r="F7762" s="5" t="n">
        <v>62.49</v>
      </c>
      <c r="G7762">
        <f>IF(LEFT(B7762,1)="C","Credit","Factuur")</f>
        <v/>
      </c>
      <c r="H7762">
        <f>IF(AND(B7762=B7761,D7762=D7761,A7762=A7761,F7762=F7761),1,0)</f>
        <v/>
      </c>
      <c r="I7762">
        <f>IF(C7762="C99999",1,0)</f>
        <v/>
      </c>
      <c r="J7762" s="5">
        <f>IF(OR(H7762=1,I7762=1),0,IF(G7762="Credit",-F7762,F7762))</f>
        <v/>
      </c>
    </row>
    <row r="7763">
      <c r="A7763" t="inlineStr">
        <is>
          <t>2026-09-11</t>
        </is>
      </c>
      <c r="B7763" t="inlineStr">
        <is>
          <t>F262128</t>
        </is>
      </c>
      <c r="C7763" t="inlineStr">
        <is>
          <t>C10112</t>
        </is>
      </c>
      <c r="D7763" t="inlineStr">
        <is>
          <t>SKU-10096</t>
        </is>
      </c>
      <c r="E7763" t="inlineStr">
        <is>
          <t>AM06</t>
        </is>
      </c>
      <c r="F7763" s="5" t="n">
        <v>50.34</v>
      </c>
      <c r="G7763">
        <f>IF(LEFT(B7763,1)="C","Credit","Factuur")</f>
        <v/>
      </c>
      <c r="H7763">
        <f>IF(AND(B7763=B7762,D7763=D7762,A7763=A7762,F7763=F7762),1,0)</f>
        <v/>
      </c>
      <c r="I7763">
        <f>IF(C7763="C99999",1,0)</f>
        <v/>
      </c>
      <c r="J7763" s="5">
        <f>IF(OR(H7763=1,I7763=1),0,IF(G7763="Credit",-F7763,F7763))</f>
        <v/>
      </c>
    </row>
    <row r="7764">
      <c r="A7764" t="inlineStr">
        <is>
          <t>2026-09-11</t>
        </is>
      </c>
      <c r="B7764" t="inlineStr">
        <is>
          <t>F262128</t>
        </is>
      </c>
      <c r="C7764" t="inlineStr">
        <is>
          <t>C10112</t>
        </is>
      </c>
      <c r="D7764" t="inlineStr">
        <is>
          <t>SKU-10223</t>
        </is>
      </c>
      <c r="E7764" t="inlineStr">
        <is>
          <t>AM06</t>
        </is>
      </c>
      <c r="F7764" s="5" t="n">
        <v>68.31</v>
      </c>
      <c r="G7764">
        <f>IF(LEFT(B7764,1)="C","Credit","Factuur")</f>
        <v/>
      </c>
      <c r="H7764">
        <f>IF(AND(B7764=B7763,D7764=D7763,A7764=A7763,F7764=F7763),1,0)</f>
        <v/>
      </c>
      <c r="I7764">
        <f>IF(C7764="C99999",1,0)</f>
        <v/>
      </c>
      <c r="J7764" s="5">
        <f>IF(OR(H7764=1,I7764=1),0,IF(G7764="Credit",-F7764,F7764))</f>
        <v/>
      </c>
    </row>
    <row r="7765">
      <c r="A7765" t="inlineStr">
        <is>
          <t>2026-09-11</t>
        </is>
      </c>
      <c r="B7765" t="inlineStr">
        <is>
          <t>F262128</t>
        </is>
      </c>
      <c r="C7765" t="inlineStr">
        <is>
          <t>C10112</t>
        </is>
      </c>
      <c r="D7765" t="inlineStr">
        <is>
          <t>SKU-10259</t>
        </is>
      </c>
      <c r="E7765" t="inlineStr">
        <is>
          <t>AM06</t>
        </is>
      </c>
      <c r="F7765" s="5" t="n">
        <v>53.52</v>
      </c>
      <c r="G7765">
        <f>IF(LEFT(B7765,1)="C","Credit","Factuur")</f>
        <v/>
      </c>
      <c r="H7765">
        <f>IF(AND(B7765=B7764,D7765=D7764,A7765=A7764,F7765=F7764),1,0)</f>
        <v/>
      </c>
      <c r="I7765">
        <f>IF(C7765="C99999",1,0)</f>
        <v/>
      </c>
      <c r="J7765" s="5">
        <f>IF(OR(H7765=1,I7765=1),0,IF(G7765="Credit",-F7765,F7765))</f>
        <v/>
      </c>
    </row>
    <row r="7766">
      <c r="A7766" t="inlineStr">
        <is>
          <t>2026-09-11</t>
        </is>
      </c>
      <c r="B7766" t="inlineStr">
        <is>
          <t>F262215</t>
        </is>
      </c>
      <c r="C7766" t="inlineStr">
        <is>
          <t>C10117</t>
        </is>
      </c>
      <c r="D7766" t="inlineStr">
        <is>
          <t>SKU-10006</t>
        </is>
      </c>
      <c r="E7766" t="inlineStr">
        <is>
          <t>AM02</t>
        </is>
      </c>
      <c r="F7766" s="5" t="n">
        <v>338.72</v>
      </c>
      <c r="G7766">
        <f>IF(LEFT(B7766,1)="C","Credit","Factuur")</f>
        <v/>
      </c>
      <c r="H7766">
        <f>IF(AND(B7766=B7765,D7766=D7765,A7766=A7765,F7766=F7765),1,0)</f>
        <v/>
      </c>
      <c r="I7766">
        <f>IF(C7766="C99999",1,0)</f>
        <v/>
      </c>
      <c r="J7766" s="5">
        <f>IF(OR(H7766=1,I7766=1),0,IF(G7766="Credit",-F7766,F7766))</f>
        <v/>
      </c>
    </row>
    <row r="7767">
      <c r="A7767" t="inlineStr">
        <is>
          <t>2026-09-11</t>
        </is>
      </c>
      <c r="B7767" t="inlineStr">
        <is>
          <t>F262215</t>
        </is>
      </c>
      <c r="C7767" t="inlineStr">
        <is>
          <t>C10117</t>
        </is>
      </c>
      <c r="D7767" t="inlineStr">
        <is>
          <t>SKU-10014</t>
        </is>
      </c>
      <c r="E7767" t="inlineStr">
        <is>
          <t>AM02</t>
        </is>
      </c>
      <c r="F7767" s="5" t="n">
        <v>313.73</v>
      </c>
      <c r="G7767">
        <f>IF(LEFT(B7767,1)="C","Credit","Factuur")</f>
        <v/>
      </c>
      <c r="H7767">
        <f>IF(AND(B7767=B7766,D7767=D7766,A7767=A7766,F7767=F7766),1,0)</f>
        <v/>
      </c>
      <c r="I7767">
        <f>IF(C7767="C99999",1,0)</f>
        <v/>
      </c>
      <c r="J7767" s="5">
        <f>IF(OR(H7767=1,I7767=1),0,IF(G7767="Credit",-F7767,F7767))</f>
        <v/>
      </c>
    </row>
    <row r="7768">
      <c r="A7768" t="inlineStr">
        <is>
          <t>2026-09-11</t>
        </is>
      </c>
      <c r="B7768" t="inlineStr">
        <is>
          <t>F262215</t>
        </is>
      </c>
      <c r="C7768" t="inlineStr">
        <is>
          <t>C10117</t>
        </is>
      </c>
      <c r="D7768" t="inlineStr">
        <is>
          <t>SKU-10239</t>
        </is>
      </c>
      <c r="E7768" t="inlineStr">
        <is>
          <t>AM02</t>
        </is>
      </c>
      <c r="F7768" s="5" t="n">
        <v>348.4</v>
      </c>
      <c r="G7768">
        <f>IF(LEFT(B7768,1)="C","Credit","Factuur")</f>
        <v/>
      </c>
      <c r="H7768">
        <f>IF(AND(B7768=B7767,D7768=D7767,A7768=A7767,F7768=F7767),1,0)</f>
        <v/>
      </c>
      <c r="I7768">
        <f>IF(C7768="C99999",1,0)</f>
        <v/>
      </c>
      <c r="J7768" s="5">
        <f>IF(OR(H7768=1,I7768=1),0,IF(G7768="Credit",-F7768,F7768))</f>
        <v/>
      </c>
    </row>
    <row r="7769">
      <c r="A7769" t="inlineStr">
        <is>
          <t>2026-09-11</t>
        </is>
      </c>
      <c r="B7769" t="inlineStr">
        <is>
          <t>F262595</t>
        </is>
      </c>
      <c r="C7769" t="inlineStr">
        <is>
          <t>C10138</t>
        </is>
      </c>
      <c r="D7769" t="inlineStr">
        <is>
          <t>SKU-10043</t>
        </is>
      </c>
      <c r="E7769" t="inlineStr">
        <is>
          <t>AM07</t>
        </is>
      </c>
      <c r="F7769" s="5" t="n">
        <v>430.95</v>
      </c>
      <c r="G7769">
        <f>IF(LEFT(B7769,1)="C","Credit","Factuur")</f>
        <v/>
      </c>
      <c r="H7769">
        <f>IF(AND(B7769=B7768,D7769=D7768,A7769=A7768,F7769=F7768),1,0)</f>
        <v/>
      </c>
      <c r="I7769">
        <f>IF(C7769="C99999",1,0)</f>
        <v/>
      </c>
      <c r="J7769" s="5">
        <f>IF(OR(H7769=1,I7769=1),0,IF(G7769="Credit",-F7769,F7769))</f>
        <v/>
      </c>
    </row>
    <row r="7770">
      <c r="A7770" t="inlineStr">
        <is>
          <t>2026-09-11</t>
        </is>
      </c>
      <c r="B7770" t="inlineStr">
        <is>
          <t>F262597</t>
        </is>
      </c>
      <c r="C7770" t="inlineStr">
        <is>
          <t>C10138</t>
        </is>
      </c>
      <c r="D7770" t="inlineStr">
        <is>
          <t>SKU-10016</t>
        </is>
      </c>
      <c r="E7770" t="inlineStr">
        <is>
          <t>AM07</t>
        </is>
      </c>
      <c r="F7770" s="5" t="n">
        <v>64.03</v>
      </c>
      <c r="G7770">
        <f>IF(LEFT(B7770,1)="C","Credit","Factuur")</f>
        <v/>
      </c>
      <c r="H7770">
        <f>IF(AND(B7770=B7769,D7770=D7769,A7770=A7769,F7770=F7769),1,0)</f>
        <v/>
      </c>
      <c r="I7770">
        <f>IF(C7770="C99999",1,0)</f>
        <v/>
      </c>
      <c r="J7770" s="5">
        <f>IF(OR(H7770=1,I7770=1),0,IF(G7770="Credit",-F7770,F7770))</f>
        <v/>
      </c>
    </row>
    <row r="7771">
      <c r="A7771" t="inlineStr">
        <is>
          <t>2026-09-11</t>
        </is>
      </c>
      <c r="B7771" t="inlineStr">
        <is>
          <t>F262597</t>
        </is>
      </c>
      <c r="C7771" t="inlineStr">
        <is>
          <t>C10138</t>
        </is>
      </c>
      <c r="D7771" t="inlineStr">
        <is>
          <t>SKU-10263</t>
        </is>
      </c>
      <c r="E7771" t="inlineStr">
        <is>
          <t>AM07</t>
        </is>
      </c>
      <c r="F7771" s="5" t="n">
        <v>57.13</v>
      </c>
      <c r="G7771">
        <f>IF(LEFT(B7771,1)="C","Credit","Factuur")</f>
        <v/>
      </c>
      <c r="H7771">
        <f>IF(AND(B7771=B7770,D7771=D7770,A7771=A7770,F7771=F7770),1,0)</f>
        <v/>
      </c>
      <c r="I7771">
        <f>IF(C7771="C99999",1,0)</f>
        <v/>
      </c>
      <c r="J7771" s="5">
        <f>IF(OR(H7771=1,I7771=1),0,IF(G7771="Credit",-F7771,F7771))</f>
        <v/>
      </c>
    </row>
    <row r="7772">
      <c r="A7772" t="inlineStr">
        <is>
          <t>2026-09-11</t>
        </is>
      </c>
      <c r="B7772" t="inlineStr">
        <is>
          <t>F262597</t>
        </is>
      </c>
      <c r="C7772" t="inlineStr">
        <is>
          <t>C10138</t>
        </is>
      </c>
      <c r="D7772" t="inlineStr">
        <is>
          <t>SKU-10313</t>
        </is>
      </c>
      <c r="E7772" t="inlineStr">
        <is>
          <t>AM07</t>
        </is>
      </c>
      <c r="F7772" s="5" t="n">
        <v>69.5</v>
      </c>
      <c r="G7772">
        <f>IF(LEFT(B7772,1)="C","Credit","Factuur")</f>
        <v/>
      </c>
      <c r="H7772">
        <f>IF(AND(B7772=B7771,D7772=D7771,A7772=A7771,F7772=F7771),1,0)</f>
        <v/>
      </c>
      <c r="I7772">
        <f>IF(C7772="C99999",1,0)</f>
        <v/>
      </c>
      <c r="J7772" s="5">
        <f>IF(OR(H7772=1,I7772=1),0,IF(G7772="Credit",-F7772,F7772))</f>
        <v/>
      </c>
    </row>
    <row r="7773">
      <c r="A7773" t="inlineStr">
        <is>
          <t>2026-09-11</t>
        </is>
      </c>
      <c r="B7773" t="inlineStr">
        <is>
          <t>F262597</t>
        </is>
      </c>
      <c r="C7773" t="inlineStr">
        <is>
          <t>C10138</t>
        </is>
      </c>
      <c r="D7773" t="inlineStr">
        <is>
          <t>SKU-10362</t>
        </is>
      </c>
      <c r="E7773" t="inlineStr">
        <is>
          <t>AM07</t>
        </is>
      </c>
      <c r="F7773" s="5" t="n">
        <v>64.12</v>
      </c>
      <c r="G7773">
        <f>IF(LEFT(B7773,1)="C","Credit","Factuur")</f>
        <v/>
      </c>
      <c r="H7773">
        <f>IF(AND(B7773=B7772,D7773=D7772,A7773=A7772,F7773=F7772),1,0)</f>
        <v/>
      </c>
      <c r="I7773">
        <f>IF(C7773="C99999",1,0)</f>
        <v/>
      </c>
      <c r="J7773" s="5">
        <f>IF(OR(H7773=1,I7773=1),0,IF(G7773="Credit",-F7773,F7773))</f>
        <v/>
      </c>
    </row>
    <row r="7774">
      <c r="A7774" t="inlineStr">
        <is>
          <t>2026-09-11</t>
        </is>
      </c>
      <c r="B7774" t="inlineStr">
        <is>
          <t>F262865</t>
        </is>
      </c>
      <c r="C7774" t="inlineStr">
        <is>
          <t>C10155</t>
        </is>
      </c>
      <c r="D7774" t="inlineStr">
        <is>
          <t>SKU-10003</t>
        </is>
      </c>
      <c r="E7774" t="inlineStr">
        <is>
          <t>AM06</t>
        </is>
      </c>
      <c r="F7774" s="5" t="n">
        <v>909.15</v>
      </c>
      <c r="G7774">
        <f>IF(LEFT(B7774,1)="C","Credit","Factuur")</f>
        <v/>
      </c>
      <c r="H7774">
        <f>IF(AND(B7774=B7773,D7774=D7773,A7774=A7773,F7774=F7773),1,0)</f>
        <v/>
      </c>
      <c r="I7774">
        <f>IF(C7774="C99999",1,0)</f>
        <v/>
      </c>
      <c r="J7774" s="5">
        <f>IF(OR(H7774=1,I7774=1),0,IF(G7774="Credit",-F7774,F7774))</f>
        <v/>
      </c>
    </row>
    <row r="7775">
      <c r="A7775" t="inlineStr">
        <is>
          <t>2026-09-11</t>
        </is>
      </c>
      <c r="B7775" t="inlineStr">
        <is>
          <t>F262865</t>
        </is>
      </c>
      <c r="C7775" t="inlineStr">
        <is>
          <t>C10155</t>
        </is>
      </c>
      <c r="D7775" t="inlineStr">
        <is>
          <t>SKU-10197</t>
        </is>
      </c>
      <c r="E7775" t="inlineStr">
        <is>
          <t>AM06</t>
        </is>
      </c>
      <c r="F7775" s="5" t="n">
        <v>939.62</v>
      </c>
      <c r="G7775">
        <f>IF(LEFT(B7775,1)="C","Credit","Factuur")</f>
        <v/>
      </c>
      <c r="H7775">
        <f>IF(AND(B7775=B7774,D7775=D7774,A7775=A7774,F7775=F7774),1,0)</f>
        <v/>
      </c>
      <c r="I7775">
        <f>IF(C7775="C99999",1,0)</f>
        <v/>
      </c>
      <c r="J7775" s="5">
        <f>IF(OR(H7775=1,I7775=1),0,IF(G7775="Credit",-F7775,F7775))</f>
        <v/>
      </c>
    </row>
    <row r="7776">
      <c r="A7776" t="inlineStr">
        <is>
          <t>2026-09-11</t>
        </is>
      </c>
      <c r="B7776" t="inlineStr">
        <is>
          <t>F262865</t>
        </is>
      </c>
      <c r="C7776" t="inlineStr">
        <is>
          <t>C10155</t>
        </is>
      </c>
      <c r="D7776" t="inlineStr">
        <is>
          <t>SKU-10338</t>
        </is>
      </c>
      <c r="E7776" t="inlineStr">
        <is>
          <t>AM06</t>
        </is>
      </c>
      <c r="F7776" s="5" t="n">
        <v>928.9</v>
      </c>
      <c r="G7776">
        <f>IF(LEFT(B7776,1)="C","Credit","Factuur")</f>
        <v/>
      </c>
      <c r="H7776">
        <f>IF(AND(B7776=B7775,D7776=D7775,A7776=A7775,F7776=F7775),1,0)</f>
        <v/>
      </c>
      <c r="I7776">
        <f>IF(C7776="C99999",1,0)</f>
        <v/>
      </c>
      <c r="J7776" s="5">
        <f>IF(OR(H7776=1,I7776=1),0,IF(G7776="Credit",-F7776,F7776))</f>
        <v/>
      </c>
    </row>
    <row r="7777">
      <c r="A7777" t="inlineStr">
        <is>
          <t>2026-09-11</t>
        </is>
      </c>
      <c r="B7777" t="inlineStr">
        <is>
          <t>F263106</t>
        </is>
      </c>
      <c r="C7777" t="inlineStr">
        <is>
          <t>C10166</t>
        </is>
      </c>
      <c r="D7777" t="inlineStr">
        <is>
          <t>SKU-10117</t>
        </is>
      </c>
      <c r="E7777" t="inlineStr">
        <is>
          <t>AM01</t>
        </is>
      </c>
      <c r="F7777" s="5" t="n">
        <v>242.32</v>
      </c>
      <c r="G7777">
        <f>IF(LEFT(B7777,1)="C","Credit","Factuur")</f>
        <v/>
      </c>
      <c r="H7777">
        <f>IF(AND(B7777=B7776,D7777=D7776,A7777=A7776,F7777=F7776),1,0)</f>
        <v/>
      </c>
      <c r="I7777">
        <f>IF(C7777="C99999",1,0)</f>
        <v/>
      </c>
      <c r="J7777" s="5">
        <f>IF(OR(H7777=1,I7777=1),0,IF(G7777="Credit",-F7777,F7777))</f>
        <v/>
      </c>
    </row>
    <row r="7778">
      <c r="A7778" t="inlineStr">
        <is>
          <t>2026-09-11</t>
        </is>
      </c>
      <c r="B7778" t="inlineStr">
        <is>
          <t>F263106</t>
        </is>
      </c>
      <c r="C7778" t="inlineStr">
        <is>
          <t>C10166</t>
        </is>
      </c>
      <c r="D7778" t="inlineStr">
        <is>
          <t>SKU-10125</t>
        </is>
      </c>
      <c r="E7778" t="inlineStr">
        <is>
          <t>AM01</t>
        </is>
      </c>
      <c r="F7778" s="5" t="n">
        <v>182.19</v>
      </c>
      <c r="G7778">
        <f>IF(LEFT(B7778,1)="C","Credit","Factuur")</f>
        <v/>
      </c>
      <c r="H7778">
        <f>IF(AND(B7778=B7777,D7778=D7777,A7778=A7777,F7778=F7777),1,0)</f>
        <v/>
      </c>
      <c r="I7778">
        <f>IF(C7778="C99999",1,0)</f>
        <v/>
      </c>
      <c r="J7778" s="5">
        <f>IF(OR(H7778=1,I7778=1),0,IF(G7778="Credit",-F7778,F7778))</f>
        <v/>
      </c>
    </row>
    <row r="7779">
      <c r="A7779" t="inlineStr">
        <is>
          <t>2026-09-11</t>
        </is>
      </c>
      <c r="B7779" t="inlineStr">
        <is>
          <t>F263106</t>
        </is>
      </c>
      <c r="C7779" t="inlineStr">
        <is>
          <t>C10166</t>
        </is>
      </c>
      <c r="D7779" t="inlineStr">
        <is>
          <t>SKU-10290</t>
        </is>
      </c>
      <c r="E7779" t="inlineStr">
        <is>
          <t>AM01</t>
        </is>
      </c>
      <c r="F7779" s="5" t="n">
        <v>207.6</v>
      </c>
      <c r="G7779">
        <f>IF(LEFT(B7779,1)="C","Credit","Factuur")</f>
        <v/>
      </c>
      <c r="H7779">
        <f>IF(AND(B7779=B7778,D7779=D7778,A7779=A7778,F7779=F7778),1,0)</f>
        <v/>
      </c>
      <c r="I7779">
        <f>IF(C7779="C99999",1,0)</f>
        <v/>
      </c>
      <c r="J7779" s="5">
        <f>IF(OR(H7779=1,I7779=1),0,IF(G7779="Credit",-F7779,F7779))</f>
        <v/>
      </c>
    </row>
    <row r="7780">
      <c r="A7780" t="inlineStr">
        <is>
          <t>2026-09-11</t>
        </is>
      </c>
      <c r="B7780" t="inlineStr">
        <is>
          <t>F263117</t>
        </is>
      </c>
      <c r="C7780" t="inlineStr">
        <is>
          <t>C10167</t>
        </is>
      </c>
      <c r="D7780" t="inlineStr">
        <is>
          <t>SKU-10022</t>
        </is>
      </c>
      <c r="E7780" t="inlineStr">
        <is>
          <t>IS01</t>
        </is>
      </c>
      <c r="F7780" s="5" t="n">
        <v>40.96</v>
      </c>
      <c r="G7780">
        <f>IF(LEFT(B7780,1)="C","Credit","Factuur")</f>
        <v/>
      </c>
      <c r="H7780">
        <f>IF(AND(B7780=B7779,D7780=D7779,A7780=A7779,F7780=F7779),1,0)</f>
        <v/>
      </c>
      <c r="I7780">
        <f>IF(C7780="C99999",1,0)</f>
        <v/>
      </c>
      <c r="J7780" s="5">
        <f>IF(OR(H7780=1,I7780=1),0,IF(G7780="Credit",-F7780,F7780))</f>
        <v/>
      </c>
    </row>
    <row r="7781">
      <c r="A7781" t="inlineStr">
        <is>
          <t>2026-09-11</t>
        </is>
      </c>
      <c r="B7781" t="inlineStr">
        <is>
          <t>F263117</t>
        </is>
      </c>
      <c r="C7781" t="inlineStr">
        <is>
          <t>C10167</t>
        </is>
      </c>
      <c r="D7781" t="inlineStr">
        <is>
          <t>SKU-10038</t>
        </is>
      </c>
      <c r="E7781" t="inlineStr">
        <is>
          <t>IS01</t>
        </is>
      </c>
      <c r="F7781" s="5" t="n">
        <v>41.47</v>
      </c>
      <c r="G7781">
        <f>IF(LEFT(B7781,1)="C","Credit","Factuur")</f>
        <v/>
      </c>
      <c r="H7781">
        <f>IF(AND(B7781=B7780,D7781=D7780,A7781=A7780,F7781=F7780),1,0)</f>
        <v/>
      </c>
      <c r="I7781">
        <f>IF(C7781="C99999",1,0)</f>
        <v/>
      </c>
      <c r="J7781" s="5">
        <f>IF(OR(H7781=1,I7781=1),0,IF(G7781="Credit",-F7781,F7781))</f>
        <v/>
      </c>
    </row>
    <row r="7782">
      <c r="A7782" t="inlineStr">
        <is>
          <t>2026-09-11</t>
        </is>
      </c>
      <c r="B7782" t="inlineStr">
        <is>
          <t>F263117</t>
        </is>
      </c>
      <c r="C7782" t="inlineStr">
        <is>
          <t>C10167</t>
        </is>
      </c>
      <c r="D7782" t="inlineStr">
        <is>
          <t>SKU-10051</t>
        </is>
      </c>
      <c r="E7782" t="inlineStr">
        <is>
          <t>IS01</t>
        </is>
      </c>
      <c r="F7782" s="5" t="n">
        <v>48.72</v>
      </c>
      <c r="G7782">
        <f>IF(LEFT(B7782,1)="C","Credit","Factuur")</f>
        <v/>
      </c>
      <c r="H7782">
        <f>IF(AND(B7782=B7781,D7782=D7781,A7782=A7781,F7782=F7781),1,0)</f>
        <v/>
      </c>
      <c r="I7782">
        <f>IF(C7782="C99999",1,0)</f>
        <v/>
      </c>
      <c r="J7782" s="5">
        <f>IF(OR(H7782=1,I7782=1),0,IF(G7782="Credit",-F7782,F7782))</f>
        <v/>
      </c>
    </row>
    <row r="7783">
      <c r="A7783" t="inlineStr">
        <is>
          <t>2026-09-11</t>
        </is>
      </c>
      <c r="B7783" t="inlineStr">
        <is>
          <t>F263117</t>
        </is>
      </c>
      <c r="C7783" t="inlineStr">
        <is>
          <t>C10167</t>
        </is>
      </c>
      <c r="D7783" t="inlineStr">
        <is>
          <t>SKU-10074</t>
        </is>
      </c>
      <c r="E7783" t="inlineStr">
        <is>
          <t>IS01</t>
        </is>
      </c>
      <c r="F7783" s="5" t="n">
        <v>53.19</v>
      </c>
      <c r="G7783">
        <f>IF(LEFT(B7783,1)="C","Credit","Factuur")</f>
        <v/>
      </c>
      <c r="H7783">
        <f>IF(AND(B7783=B7782,D7783=D7782,A7783=A7782,F7783=F7782),1,0)</f>
        <v/>
      </c>
      <c r="I7783">
        <f>IF(C7783="C99999",1,0)</f>
        <v/>
      </c>
      <c r="J7783" s="5">
        <f>IF(OR(H7783=1,I7783=1),0,IF(G7783="Credit",-F7783,F7783))</f>
        <v/>
      </c>
    </row>
    <row r="7784">
      <c r="A7784" t="inlineStr">
        <is>
          <t>2026-09-11</t>
        </is>
      </c>
      <c r="B7784" t="inlineStr">
        <is>
          <t>F263698</t>
        </is>
      </c>
      <c r="C7784" t="inlineStr">
        <is>
          <t>C10197</t>
        </is>
      </c>
      <c r="D7784" t="inlineStr">
        <is>
          <t>SKU-10019</t>
        </is>
      </c>
      <c r="E7784" t="inlineStr">
        <is>
          <t>AM07</t>
        </is>
      </c>
      <c r="F7784" s="5" t="n">
        <v>396.09</v>
      </c>
      <c r="G7784">
        <f>IF(LEFT(B7784,1)="C","Credit","Factuur")</f>
        <v/>
      </c>
      <c r="H7784">
        <f>IF(AND(B7784=B7783,D7784=D7783,A7784=A7783,F7784=F7783),1,0)</f>
        <v/>
      </c>
      <c r="I7784">
        <f>IF(C7784="C99999",1,0)</f>
        <v/>
      </c>
      <c r="J7784" s="5">
        <f>IF(OR(H7784=1,I7784=1),0,IF(G7784="Credit",-F7784,F7784))</f>
        <v/>
      </c>
    </row>
    <row r="7785">
      <c r="A7785" t="inlineStr">
        <is>
          <t>2026-09-11</t>
        </is>
      </c>
      <c r="B7785" t="inlineStr">
        <is>
          <t>F263698</t>
        </is>
      </c>
      <c r="C7785" t="inlineStr">
        <is>
          <t>C10197</t>
        </is>
      </c>
      <c r="D7785" t="inlineStr">
        <is>
          <t>SKU-10082</t>
        </is>
      </c>
      <c r="E7785" t="inlineStr">
        <is>
          <t>AM07</t>
        </is>
      </c>
      <c r="F7785" s="5" t="n">
        <v>411.25</v>
      </c>
      <c r="G7785">
        <f>IF(LEFT(B7785,1)="C","Credit","Factuur")</f>
        <v/>
      </c>
      <c r="H7785">
        <f>IF(AND(B7785=B7784,D7785=D7784,A7785=A7784,F7785=F7784),1,0)</f>
        <v/>
      </c>
      <c r="I7785">
        <f>IF(C7785="C99999",1,0)</f>
        <v/>
      </c>
      <c r="J7785" s="5">
        <f>IF(OR(H7785=1,I7785=1),0,IF(G7785="Credit",-F7785,F7785))</f>
        <v/>
      </c>
    </row>
    <row r="7786">
      <c r="A7786" t="inlineStr">
        <is>
          <t>2026-09-11</t>
        </is>
      </c>
      <c r="B7786" t="inlineStr">
        <is>
          <t>F263698</t>
        </is>
      </c>
      <c r="C7786" t="inlineStr">
        <is>
          <t>C10197</t>
        </is>
      </c>
      <c r="D7786" t="inlineStr">
        <is>
          <t>SKU-10084</t>
        </is>
      </c>
      <c r="E7786" t="inlineStr">
        <is>
          <t>AM07</t>
        </is>
      </c>
      <c r="F7786" s="5" t="n">
        <v>387.22</v>
      </c>
      <c r="G7786">
        <f>IF(LEFT(B7786,1)="C","Credit","Factuur")</f>
        <v/>
      </c>
      <c r="H7786">
        <f>IF(AND(B7786=B7785,D7786=D7785,A7786=A7785,F7786=F7785),1,0)</f>
        <v/>
      </c>
      <c r="I7786">
        <f>IF(C7786="C99999",1,0)</f>
        <v/>
      </c>
      <c r="J7786" s="5">
        <f>IF(OR(H7786=1,I7786=1),0,IF(G7786="Credit",-F7786,F7786))</f>
        <v/>
      </c>
    </row>
    <row r="7787">
      <c r="A7787" t="inlineStr">
        <is>
          <t>2026-09-11</t>
        </is>
      </c>
      <c r="B7787" t="inlineStr">
        <is>
          <t>F263698</t>
        </is>
      </c>
      <c r="C7787" t="inlineStr">
        <is>
          <t>C10197</t>
        </is>
      </c>
      <c r="D7787" t="inlineStr">
        <is>
          <t>SKU-10314</t>
        </is>
      </c>
      <c r="E7787" t="inlineStr">
        <is>
          <t>AM07</t>
        </is>
      </c>
      <c r="F7787" s="5" t="n">
        <v>411.6</v>
      </c>
      <c r="G7787">
        <f>IF(LEFT(B7787,1)="C","Credit","Factuur")</f>
        <v/>
      </c>
      <c r="H7787">
        <f>IF(AND(B7787=B7786,D7787=D7786,A7787=A7786,F7787=F7786),1,0)</f>
        <v/>
      </c>
      <c r="I7787">
        <f>IF(C7787="C99999",1,0)</f>
        <v/>
      </c>
      <c r="J7787" s="5">
        <f>IF(OR(H7787=1,I7787=1),0,IF(G7787="Credit",-F7787,F7787))</f>
        <v/>
      </c>
    </row>
    <row r="7788">
      <c r="A7788" t="inlineStr">
        <is>
          <t>2026-09-11</t>
        </is>
      </c>
      <c r="B7788" t="inlineStr">
        <is>
          <t>F263719</t>
        </is>
      </c>
      <c r="C7788" t="inlineStr">
        <is>
          <t>C10198</t>
        </is>
      </c>
      <c r="D7788" t="inlineStr">
        <is>
          <t>SKU-10113</t>
        </is>
      </c>
      <c r="E7788" t="inlineStr">
        <is>
          <t>AM11</t>
        </is>
      </c>
      <c r="F7788" s="5" t="n">
        <v>2543.62</v>
      </c>
      <c r="G7788">
        <f>IF(LEFT(B7788,1)="C","Credit","Factuur")</f>
        <v/>
      </c>
      <c r="H7788">
        <f>IF(AND(B7788=B7787,D7788=D7787,A7788=A7787,F7788=F7787),1,0)</f>
        <v/>
      </c>
      <c r="I7788">
        <f>IF(C7788="C99999",1,0)</f>
        <v/>
      </c>
      <c r="J7788" s="5">
        <f>IF(OR(H7788=1,I7788=1),0,IF(G7788="Credit",-F7788,F7788))</f>
        <v/>
      </c>
    </row>
    <row r="7789">
      <c r="A7789" t="inlineStr">
        <is>
          <t>2026-09-11</t>
        </is>
      </c>
      <c r="B7789" t="inlineStr">
        <is>
          <t>F263719</t>
        </is>
      </c>
      <c r="C7789" t="inlineStr">
        <is>
          <t>C10198</t>
        </is>
      </c>
      <c r="D7789" t="inlineStr">
        <is>
          <t>SKU-10298</t>
        </is>
      </c>
      <c r="E7789" t="inlineStr">
        <is>
          <t>AM11</t>
        </is>
      </c>
      <c r="F7789" s="5" t="n">
        <v>2539.49</v>
      </c>
      <c r="G7789">
        <f>IF(LEFT(B7789,1)="C","Credit","Factuur")</f>
        <v/>
      </c>
      <c r="H7789">
        <f>IF(AND(B7789=B7788,D7789=D7788,A7789=A7788,F7789=F7788),1,0)</f>
        <v/>
      </c>
      <c r="I7789">
        <f>IF(C7789="C99999",1,0)</f>
        <v/>
      </c>
      <c r="J7789" s="5">
        <f>IF(OR(H7789=1,I7789=1),0,IF(G7789="Credit",-F7789,F7789))</f>
        <v/>
      </c>
    </row>
    <row r="7790">
      <c r="A7790" t="inlineStr">
        <is>
          <t>2026-09-11</t>
        </is>
      </c>
      <c r="B7790" t="inlineStr">
        <is>
          <t>F263719</t>
        </is>
      </c>
      <c r="C7790" t="inlineStr">
        <is>
          <t>C10198</t>
        </is>
      </c>
      <c r="D7790" t="inlineStr">
        <is>
          <t>SKU-10320</t>
        </is>
      </c>
      <c r="E7790" t="inlineStr">
        <is>
          <t>AM11</t>
        </is>
      </c>
      <c r="F7790" s="5" t="n">
        <v>2407.78</v>
      </c>
      <c r="G7790">
        <f>IF(LEFT(B7790,1)="C","Credit","Factuur")</f>
        <v/>
      </c>
      <c r="H7790">
        <f>IF(AND(B7790=B7789,D7790=D7789,A7790=A7789,F7790=F7789),1,0)</f>
        <v/>
      </c>
      <c r="I7790">
        <f>IF(C7790="C99999",1,0)</f>
        <v/>
      </c>
      <c r="J7790" s="5">
        <f>IF(OR(H7790=1,I7790=1),0,IF(G7790="Credit",-F7790,F7790))</f>
        <v/>
      </c>
    </row>
    <row r="7791">
      <c r="A7791" t="inlineStr">
        <is>
          <t>2026-09-11</t>
        </is>
      </c>
      <c r="B7791" t="inlineStr">
        <is>
          <t>F263800</t>
        </is>
      </c>
      <c r="C7791" t="inlineStr">
        <is>
          <t>C10202</t>
        </is>
      </c>
      <c r="D7791" t="inlineStr">
        <is>
          <t>SKU-10032</t>
        </is>
      </c>
      <c r="E7791" t="inlineStr">
        <is>
          <t>AM12</t>
        </is>
      </c>
      <c r="F7791" s="5" t="n">
        <v>493.19</v>
      </c>
      <c r="G7791">
        <f>IF(LEFT(B7791,1)="C","Credit","Factuur")</f>
        <v/>
      </c>
      <c r="H7791">
        <f>IF(AND(B7791=B7790,D7791=D7790,A7791=A7790,F7791=F7790),1,0)</f>
        <v/>
      </c>
      <c r="I7791">
        <f>IF(C7791="C99999",1,0)</f>
        <v/>
      </c>
      <c r="J7791" s="5">
        <f>IF(OR(H7791=1,I7791=1),0,IF(G7791="Credit",-F7791,F7791))</f>
        <v/>
      </c>
    </row>
    <row r="7792">
      <c r="A7792" t="inlineStr">
        <is>
          <t>2026-09-11</t>
        </is>
      </c>
      <c r="B7792" t="inlineStr">
        <is>
          <t>F263800</t>
        </is>
      </c>
      <c r="C7792" t="inlineStr">
        <is>
          <t>C10202</t>
        </is>
      </c>
      <c r="D7792" t="inlineStr">
        <is>
          <t>SKU-10191</t>
        </is>
      </c>
      <c r="E7792" t="inlineStr">
        <is>
          <t>AM12</t>
        </is>
      </c>
      <c r="F7792" s="5" t="n">
        <v>522.27</v>
      </c>
      <c r="G7792">
        <f>IF(LEFT(B7792,1)="C","Credit","Factuur")</f>
        <v/>
      </c>
      <c r="H7792">
        <f>IF(AND(B7792=B7791,D7792=D7791,A7792=A7791,F7792=F7791),1,0)</f>
        <v/>
      </c>
      <c r="I7792">
        <f>IF(C7792="C99999",1,0)</f>
        <v/>
      </c>
      <c r="J7792" s="5">
        <f>IF(OR(H7792=1,I7792=1),0,IF(G7792="Credit",-F7792,F7792))</f>
        <v/>
      </c>
    </row>
    <row r="7793">
      <c r="A7793" t="inlineStr">
        <is>
          <t>2026-09-11</t>
        </is>
      </c>
      <c r="B7793" t="inlineStr">
        <is>
          <t>F263800</t>
        </is>
      </c>
      <c r="C7793" t="inlineStr">
        <is>
          <t>C10202</t>
        </is>
      </c>
      <c r="D7793" t="inlineStr">
        <is>
          <t>SKU-10301</t>
        </is>
      </c>
      <c r="E7793" t="inlineStr">
        <is>
          <t>AM12</t>
        </is>
      </c>
      <c r="F7793" s="5" t="n">
        <v>494.19</v>
      </c>
      <c r="G7793">
        <f>IF(LEFT(B7793,1)="C","Credit","Factuur")</f>
        <v/>
      </c>
      <c r="H7793">
        <f>IF(AND(B7793=B7792,D7793=D7792,A7793=A7792,F7793=F7792),1,0)</f>
        <v/>
      </c>
      <c r="I7793">
        <f>IF(C7793="C99999",1,0)</f>
        <v/>
      </c>
      <c r="J7793" s="5">
        <f>IF(OR(H7793=1,I7793=1),0,IF(G7793="Credit",-F7793,F7793))</f>
        <v/>
      </c>
    </row>
    <row r="7794">
      <c r="A7794" t="inlineStr">
        <is>
          <t>2026-09-11</t>
        </is>
      </c>
      <c r="B7794" t="inlineStr">
        <is>
          <t>F263831</t>
        </is>
      </c>
      <c r="C7794" t="inlineStr">
        <is>
          <t>C10204</t>
        </is>
      </c>
      <c r="D7794" t="inlineStr">
        <is>
          <t>SKU-10048</t>
        </is>
      </c>
      <c r="E7794" t="inlineStr">
        <is>
          <t>AM01</t>
        </is>
      </c>
      <c r="F7794" s="5" t="n">
        <v>1210.03</v>
      </c>
      <c r="G7794">
        <f>IF(LEFT(B7794,1)="C","Credit","Factuur")</f>
        <v/>
      </c>
      <c r="H7794">
        <f>IF(AND(B7794=B7793,D7794=D7793,A7794=A7793,F7794=F7793),1,0)</f>
        <v/>
      </c>
      <c r="I7794">
        <f>IF(C7794="C99999",1,0)</f>
        <v/>
      </c>
      <c r="J7794" s="5">
        <f>IF(OR(H7794=1,I7794=1),0,IF(G7794="Credit",-F7794,F7794))</f>
        <v/>
      </c>
    </row>
    <row r="7795">
      <c r="A7795" t="inlineStr">
        <is>
          <t>2026-09-11</t>
        </is>
      </c>
      <c r="B7795" t="inlineStr">
        <is>
          <t>F263831</t>
        </is>
      </c>
      <c r="C7795" t="inlineStr">
        <is>
          <t>C10204</t>
        </is>
      </c>
      <c r="D7795" t="inlineStr">
        <is>
          <t>SKU-10163</t>
        </is>
      </c>
      <c r="E7795" t="inlineStr">
        <is>
          <t>AM01</t>
        </is>
      </c>
      <c r="F7795" s="5" t="n">
        <v>1195.56</v>
      </c>
      <c r="G7795">
        <f>IF(LEFT(B7795,1)="C","Credit","Factuur")</f>
        <v/>
      </c>
      <c r="H7795">
        <f>IF(AND(B7795=B7794,D7795=D7794,A7795=A7794,F7795=F7794),1,0)</f>
        <v/>
      </c>
      <c r="I7795">
        <f>IF(C7795="C99999",1,0)</f>
        <v/>
      </c>
      <c r="J7795" s="5">
        <f>IF(OR(H7795=1,I7795=1),0,IF(G7795="Credit",-F7795,F7795))</f>
        <v/>
      </c>
    </row>
    <row r="7796">
      <c r="A7796" t="inlineStr">
        <is>
          <t>2026-09-11</t>
        </is>
      </c>
      <c r="B7796" t="inlineStr">
        <is>
          <t>F263831</t>
        </is>
      </c>
      <c r="C7796" t="inlineStr">
        <is>
          <t>C10204</t>
        </is>
      </c>
      <c r="D7796" t="inlineStr">
        <is>
          <t>SKU-10168</t>
        </is>
      </c>
      <c r="E7796" t="inlineStr">
        <is>
          <t>AM01</t>
        </is>
      </c>
      <c r="F7796" s="5" t="n">
        <v>1156.43</v>
      </c>
      <c r="G7796">
        <f>IF(LEFT(B7796,1)="C","Credit","Factuur")</f>
        <v/>
      </c>
      <c r="H7796">
        <f>IF(AND(B7796=B7795,D7796=D7795,A7796=A7795,F7796=F7795),1,0)</f>
        <v/>
      </c>
      <c r="I7796">
        <f>IF(C7796="C99999",1,0)</f>
        <v/>
      </c>
      <c r="J7796" s="5">
        <f>IF(OR(H7796=1,I7796=1),0,IF(G7796="Credit",-F7796,F7796))</f>
        <v/>
      </c>
    </row>
    <row r="7797">
      <c r="A7797" t="inlineStr">
        <is>
          <t>2026-09-11</t>
        </is>
      </c>
      <c r="B7797" t="inlineStr">
        <is>
          <t>F263948</t>
        </is>
      </c>
      <c r="C7797" t="inlineStr">
        <is>
          <t>C10207</t>
        </is>
      </c>
      <c r="D7797" t="inlineStr">
        <is>
          <t>SKU-10024</t>
        </is>
      </c>
      <c r="E7797" t="inlineStr">
        <is>
          <t>AM02</t>
        </is>
      </c>
      <c r="F7797" s="5" t="n">
        <v>1354.17</v>
      </c>
      <c r="G7797">
        <f>IF(LEFT(B7797,1)="C","Credit","Factuur")</f>
        <v/>
      </c>
      <c r="H7797">
        <f>IF(AND(B7797=B7796,D7797=D7796,A7797=A7796,F7797=F7796),1,0)</f>
        <v/>
      </c>
      <c r="I7797">
        <f>IF(C7797="C99999",1,0)</f>
        <v/>
      </c>
      <c r="J7797" s="5">
        <f>IF(OR(H7797=1,I7797=1),0,IF(G7797="Credit",-F7797,F7797))</f>
        <v/>
      </c>
    </row>
    <row r="7798">
      <c r="A7798" t="inlineStr">
        <is>
          <t>2026-09-11</t>
        </is>
      </c>
      <c r="B7798" t="inlineStr">
        <is>
          <t>F263948</t>
        </is>
      </c>
      <c r="C7798" t="inlineStr">
        <is>
          <t>C10207</t>
        </is>
      </c>
      <c r="D7798" t="inlineStr">
        <is>
          <t>SKU-10054</t>
        </is>
      </c>
      <c r="E7798" t="inlineStr">
        <is>
          <t>AM02</t>
        </is>
      </c>
      <c r="F7798" s="5" t="n">
        <v>1277.04</v>
      </c>
      <c r="G7798">
        <f>IF(LEFT(B7798,1)="C","Credit","Factuur")</f>
        <v/>
      </c>
      <c r="H7798">
        <f>IF(AND(B7798=B7797,D7798=D7797,A7798=A7797,F7798=F7797),1,0)</f>
        <v/>
      </c>
      <c r="I7798">
        <f>IF(C7798="C99999",1,0)</f>
        <v/>
      </c>
      <c r="J7798" s="5">
        <f>IF(OR(H7798=1,I7798=1),0,IF(G7798="Credit",-F7798,F7798))</f>
        <v/>
      </c>
    </row>
    <row r="7799">
      <c r="A7799" t="inlineStr">
        <is>
          <t>2026-09-11</t>
        </is>
      </c>
      <c r="B7799" t="inlineStr">
        <is>
          <t>F264137</t>
        </is>
      </c>
      <c r="C7799" t="inlineStr">
        <is>
          <t>C10219</t>
        </is>
      </c>
      <c r="D7799" t="inlineStr">
        <is>
          <t>SKU-10236</t>
        </is>
      </c>
      <c r="E7799" t="inlineStr">
        <is>
          <t>AM07</t>
        </is>
      </c>
      <c r="F7799" s="5" t="n">
        <v>1053.36</v>
      </c>
      <c r="G7799">
        <f>IF(LEFT(B7799,1)="C","Credit","Factuur")</f>
        <v/>
      </c>
      <c r="H7799">
        <f>IF(AND(B7799=B7798,D7799=D7798,A7799=A7798,F7799=F7798),1,0)</f>
        <v/>
      </c>
      <c r="I7799">
        <f>IF(C7799="C99999",1,0)</f>
        <v/>
      </c>
      <c r="J7799" s="5">
        <f>IF(OR(H7799=1,I7799=1),0,IF(G7799="Credit",-F7799,F7799))</f>
        <v/>
      </c>
    </row>
    <row r="7800">
      <c r="A7800" t="inlineStr">
        <is>
          <t>2026-09-11</t>
        </is>
      </c>
      <c r="B7800" t="inlineStr">
        <is>
          <t>F264245</t>
        </is>
      </c>
      <c r="C7800" t="inlineStr">
        <is>
          <t>C10223</t>
        </is>
      </c>
      <c r="D7800" t="inlineStr">
        <is>
          <t>SKU-10040</t>
        </is>
      </c>
      <c r="E7800" t="inlineStr">
        <is>
          <t>AM07</t>
        </is>
      </c>
      <c r="F7800" s="5" t="n">
        <v>489.05</v>
      </c>
      <c r="G7800">
        <f>IF(LEFT(B7800,1)="C","Credit","Factuur")</f>
        <v/>
      </c>
      <c r="H7800">
        <f>IF(AND(B7800=B7799,D7800=D7799,A7800=A7799,F7800=F7799),1,0)</f>
        <v/>
      </c>
      <c r="I7800">
        <f>IF(C7800="C99999",1,0)</f>
        <v/>
      </c>
      <c r="J7800" s="5">
        <f>IF(OR(H7800=1,I7800=1),0,IF(G7800="Credit",-F7800,F7800))</f>
        <v/>
      </c>
    </row>
    <row r="7801">
      <c r="A7801" t="inlineStr">
        <is>
          <t>2026-09-11</t>
        </is>
      </c>
      <c r="B7801" t="inlineStr">
        <is>
          <t>F264245</t>
        </is>
      </c>
      <c r="C7801" t="inlineStr">
        <is>
          <t>C10223</t>
        </is>
      </c>
      <c r="D7801" t="inlineStr">
        <is>
          <t>SKU-10100</t>
        </is>
      </c>
      <c r="E7801" t="inlineStr">
        <is>
          <t>AM07</t>
        </is>
      </c>
      <c r="F7801" s="5" t="n">
        <v>548.34</v>
      </c>
      <c r="G7801">
        <f>IF(LEFT(B7801,1)="C","Credit","Factuur")</f>
        <v/>
      </c>
      <c r="H7801">
        <f>IF(AND(B7801=B7800,D7801=D7800,A7801=A7800,F7801=F7800),1,0)</f>
        <v/>
      </c>
      <c r="I7801">
        <f>IF(C7801="C99999",1,0)</f>
        <v/>
      </c>
      <c r="J7801" s="5">
        <f>IF(OR(H7801=1,I7801=1),0,IF(G7801="Credit",-F7801,F7801))</f>
        <v/>
      </c>
    </row>
    <row r="7802">
      <c r="A7802" t="inlineStr">
        <is>
          <t>2026-09-11</t>
        </is>
      </c>
      <c r="B7802" t="inlineStr">
        <is>
          <t>F264245</t>
        </is>
      </c>
      <c r="C7802" t="inlineStr">
        <is>
          <t>C10223</t>
        </is>
      </c>
      <c r="D7802" t="inlineStr">
        <is>
          <t>SKU-10314</t>
        </is>
      </c>
      <c r="E7802" t="inlineStr">
        <is>
          <t>AM07</t>
        </is>
      </c>
      <c r="F7802" s="5" t="n">
        <v>552.72</v>
      </c>
      <c r="G7802">
        <f>IF(LEFT(B7802,1)="C","Credit","Factuur")</f>
        <v/>
      </c>
      <c r="H7802">
        <f>IF(AND(B7802=B7801,D7802=D7801,A7802=A7801,F7802=F7801),1,0)</f>
        <v/>
      </c>
      <c r="I7802">
        <f>IF(C7802="C99999",1,0)</f>
        <v/>
      </c>
      <c r="J7802" s="5">
        <f>IF(OR(H7802=1,I7802=1),0,IF(G7802="Credit",-F7802,F7802))</f>
        <v/>
      </c>
    </row>
    <row r="7803">
      <c r="A7803" t="inlineStr">
        <is>
          <t>2026-09-11</t>
        </is>
      </c>
      <c r="B7803" t="inlineStr">
        <is>
          <t>F264325</t>
        </is>
      </c>
      <c r="C7803" t="inlineStr">
        <is>
          <t>C10226</t>
        </is>
      </c>
      <c r="D7803" t="inlineStr">
        <is>
          <t>SKU-10143</t>
        </is>
      </c>
      <c r="E7803" t="inlineStr">
        <is>
          <t>AM03</t>
        </is>
      </c>
      <c r="F7803" s="5" t="n">
        <v>145.36</v>
      </c>
      <c r="G7803">
        <f>IF(LEFT(B7803,1)="C","Credit","Factuur")</f>
        <v/>
      </c>
      <c r="H7803">
        <f>IF(AND(B7803=B7802,D7803=D7802,A7803=A7802,F7803=F7802),1,0)</f>
        <v/>
      </c>
      <c r="I7803">
        <f>IF(C7803="C99999",1,0)</f>
        <v/>
      </c>
      <c r="J7803" s="5">
        <f>IF(OR(H7803=1,I7803=1),0,IF(G7803="Credit",-F7803,F7803))</f>
        <v/>
      </c>
    </row>
    <row r="7804">
      <c r="A7804" t="inlineStr">
        <is>
          <t>2026-09-11</t>
        </is>
      </c>
      <c r="B7804" t="inlineStr">
        <is>
          <t>F264325</t>
        </is>
      </c>
      <c r="C7804" t="inlineStr">
        <is>
          <t>C10226</t>
        </is>
      </c>
      <c r="D7804" t="inlineStr">
        <is>
          <t>SKU-10259</t>
        </is>
      </c>
      <c r="E7804" t="inlineStr">
        <is>
          <t>AM03</t>
        </is>
      </c>
      <c r="F7804" s="5" t="n">
        <v>149.53</v>
      </c>
      <c r="G7804">
        <f>IF(LEFT(B7804,1)="C","Credit","Factuur")</f>
        <v/>
      </c>
      <c r="H7804">
        <f>IF(AND(B7804=B7803,D7804=D7803,A7804=A7803,F7804=F7803),1,0)</f>
        <v/>
      </c>
      <c r="I7804">
        <f>IF(C7804="C99999",1,0)</f>
        <v/>
      </c>
      <c r="J7804" s="5">
        <f>IF(OR(H7804=1,I7804=1),0,IF(G7804="Credit",-F7804,F7804))</f>
        <v/>
      </c>
    </row>
    <row r="7805">
      <c r="A7805" t="inlineStr">
        <is>
          <t>2026-09-11</t>
        </is>
      </c>
      <c r="B7805" t="inlineStr">
        <is>
          <t>F264325</t>
        </is>
      </c>
      <c r="C7805" t="inlineStr">
        <is>
          <t>C10226</t>
        </is>
      </c>
      <c r="D7805" t="inlineStr">
        <is>
          <t>SKU-10289</t>
        </is>
      </c>
      <c r="E7805" t="inlineStr">
        <is>
          <t>AM03</t>
        </is>
      </c>
      <c r="F7805" s="5" t="n">
        <v>153.56</v>
      </c>
      <c r="G7805">
        <f>IF(LEFT(B7805,1)="C","Credit","Factuur")</f>
        <v/>
      </c>
      <c r="H7805">
        <f>IF(AND(B7805=B7804,D7805=D7804,A7805=A7804,F7805=F7804),1,0)</f>
        <v/>
      </c>
      <c r="I7805">
        <f>IF(C7805="C99999",1,0)</f>
        <v/>
      </c>
      <c r="J7805" s="5">
        <f>IF(OR(H7805=1,I7805=1),0,IF(G7805="Credit",-F7805,F7805))</f>
        <v/>
      </c>
    </row>
    <row r="7806">
      <c r="A7806" t="inlineStr">
        <is>
          <t>2026-09-11</t>
        </is>
      </c>
      <c r="B7806" t="inlineStr">
        <is>
          <t>F264325</t>
        </is>
      </c>
      <c r="C7806" t="inlineStr">
        <is>
          <t>C10226</t>
        </is>
      </c>
      <c r="D7806" t="inlineStr">
        <is>
          <t>SKU-10319</t>
        </is>
      </c>
      <c r="E7806" t="inlineStr">
        <is>
          <t>AM03</t>
        </is>
      </c>
      <c r="F7806" s="5" t="n">
        <v>144.7</v>
      </c>
      <c r="G7806">
        <f>IF(LEFT(B7806,1)="C","Credit","Factuur")</f>
        <v/>
      </c>
      <c r="H7806">
        <f>IF(AND(B7806=B7805,D7806=D7805,A7806=A7805,F7806=F7805),1,0)</f>
        <v/>
      </c>
      <c r="I7806">
        <f>IF(C7806="C99999",1,0)</f>
        <v/>
      </c>
      <c r="J7806" s="5">
        <f>IF(OR(H7806=1,I7806=1),0,IF(G7806="Credit",-F7806,F7806))</f>
        <v/>
      </c>
    </row>
    <row r="7807">
      <c r="A7807" t="inlineStr">
        <is>
          <t>2026-09-11</t>
        </is>
      </c>
      <c r="B7807" t="inlineStr">
        <is>
          <t>F264325</t>
        </is>
      </c>
      <c r="C7807" t="inlineStr">
        <is>
          <t>C10226</t>
        </is>
      </c>
      <c r="D7807" t="inlineStr">
        <is>
          <t>SKU-10331</t>
        </is>
      </c>
      <c r="E7807" t="inlineStr">
        <is>
          <t>AM03</t>
        </is>
      </c>
      <c r="F7807" s="5" t="n">
        <v>143.1</v>
      </c>
      <c r="G7807">
        <f>IF(LEFT(B7807,1)="C","Credit","Factuur")</f>
        <v/>
      </c>
      <c r="H7807">
        <f>IF(AND(B7807=B7806,D7807=D7806,A7807=A7806,F7807=F7806),1,0)</f>
        <v/>
      </c>
      <c r="I7807">
        <f>IF(C7807="C99999",1,0)</f>
        <v/>
      </c>
      <c r="J7807" s="5">
        <f>IF(OR(H7807=1,I7807=1),0,IF(G7807="Credit",-F7807,F7807))</f>
        <v/>
      </c>
    </row>
    <row r="7808">
      <c r="A7808" t="inlineStr">
        <is>
          <t>2026-09-11</t>
        </is>
      </c>
      <c r="B7808" t="inlineStr">
        <is>
          <t>F264362</t>
        </is>
      </c>
      <c r="C7808" t="inlineStr">
        <is>
          <t>C10228</t>
        </is>
      </c>
      <c r="D7808" t="inlineStr">
        <is>
          <t>SKU-10254</t>
        </is>
      </c>
      <c r="E7808" t="inlineStr">
        <is>
          <t>AM02</t>
        </is>
      </c>
      <c r="F7808" s="5" t="n">
        <v>666.42</v>
      </c>
      <c r="G7808">
        <f>IF(LEFT(B7808,1)="C","Credit","Factuur")</f>
        <v/>
      </c>
      <c r="H7808">
        <f>IF(AND(B7808=B7807,D7808=D7807,A7808=A7807,F7808=F7807),1,0)</f>
        <v/>
      </c>
      <c r="I7808">
        <f>IF(C7808="C99999",1,0)</f>
        <v/>
      </c>
      <c r="J7808" s="5">
        <f>IF(OR(H7808=1,I7808=1),0,IF(G7808="Credit",-F7808,F7808))</f>
        <v/>
      </c>
    </row>
    <row r="7809">
      <c r="A7809" t="inlineStr">
        <is>
          <t>2026-09-11</t>
        </is>
      </c>
      <c r="B7809" t="inlineStr">
        <is>
          <t>F264606</t>
        </is>
      </c>
      <c r="C7809" t="inlineStr">
        <is>
          <t>C10239</t>
        </is>
      </c>
      <c r="D7809" t="inlineStr">
        <is>
          <t>SKU-10315</t>
        </is>
      </c>
      <c r="E7809" t="inlineStr">
        <is>
          <t>AM02</t>
        </is>
      </c>
      <c r="F7809" s="5" t="n">
        <v>381.15</v>
      </c>
      <c r="G7809">
        <f>IF(LEFT(B7809,1)="C","Credit","Factuur")</f>
        <v/>
      </c>
      <c r="H7809">
        <f>IF(AND(B7809=B7808,D7809=D7808,A7809=A7808,F7809=F7808),1,0)</f>
        <v/>
      </c>
      <c r="I7809">
        <f>IF(C7809="C99999",1,0)</f>
        <v/>
      </c>
      <c r="J7809" s="5">
        <f>IF(OR(H7809=1,I7809=1),0,IF(G7809="Credit",-F7809,F7809))</f>
        <v/>
      </c>
    </row>
    <row r="7810">
      <c r="A7810" t="inlineStr">
        <is>
          <t>2026-09-11</t>
        </is>
      </c>
      <c r="B7810" t="inlineStr">
        <is>
          <t>F264726</t>
        </is>
      </c>
      <c r="C7810" t="inlineStr">
        <is>
          <t>C10247</t>
        </is>
      </c>
      <c r="D7810" t="inlineStr">
        <is>
          <t>SKU-10031</t>
        </is>
      </c>
      <c r="E7810" t="inlineStr">
        <is>
          <t>IS01</t>
        </is>
      </c>
      <c r="F7810" s="5" t="n">
        <v>87.51000000000001</v>
      </c>
      <c r="G7810">
        <f>IF(LEFT(B7810,1)="C","Credit","Factuur")</f>
        <v/>
      </c>
      <c r="H7810">
        <f>IF(AND(B7810=B7809,D7810=D7809,A7810=A7809,F7810=F7809),1,0)</f>
        <v/>
      </c>
      <c r="I7810">
        <f>IF(C7810="C99999",1,0)</f>
        <v/>
      </c>
      <c r="J7810" s="5">
        <f>IF(OR(H7810=1,I7810=1),0,IF(G7810="Credit",-F7810,F7810))</f>
        <v/>
      </c>
    </row>
    <row r="7811">
      <c r="A7811" t="inlineStr">
        <is>
          <t>2026-09-11</t>
        </is>
      </c>
      <c r="B7811" t="inlineStr">
        <is>
          <t>F264726</t>
        </is>
      </c>
      <c r="C7811" t="inlineStr">
        <is>
          <t>C10247</t>
        </is>
      </c>
      <c r="D7811" t="inlineStr">
        <is>
          <t>SKU-10045</t>
        </is>
      </c>
      <c r="E7811" t="inlineStr">
        <is>
          <t>IS01</t>
        </is>
      </c>
      <c r="F7811" s="5" t="n">
        <v>77.81999999999999</v>
      </c>
      <c r="G7811">
        <f>IF(LEFT(B7811,1)="C","Credit","Factuur")</f>
        <v/>
      </c>
      <c r="H7811">
        <f>IF(AND(B7811=B7810,D7811=D7810,A7811=A7810,F7811=F7810),1,0)</f>
        <v/>
      </c>
      <c r="I7811">
        <f>IF(C7811="C99999",1,0)</f>
        <v/>
      </c>
      <c r="J7811" s="5">
        <f>IF(OR(H7811=1,I7811=1),0,IF(G7811="Credit",-F7811,F7811))</f>
        <v/>
      </c>
    </row>
    <row r="7812">
      <c r="A7812" t="inlineStr">
        <is>
          <t>2026-09-11</t>
        </is>
      </c>
      <c r="B7812" t="inlineStr">
        <is>
          <t>F264726</t>
        </is>
      </c>
      <c r="C7812" t="inlineStr">
        <is>
          <t>C10247</t>
        </is>
      </c>
      <c r="D7812" t="inlineStr">
        <is>
          <t>SKU-10211</t>
        </is>
      </c>
      <c r="E7812" t="inlineStr">
        <is>
          <t>IS01</t>
        </is>
      </c>
      <c r="F7812" s="5" t="n">
        <v>80.29000000000001</v>
      </c>
      <c r="G7812">
        <f>IF(LEFT(B7812,1)="C","Credit","Factuur")</f>
        <v/>
      </c>
      <c r="H7812">
        <f>IF(AND(B7812=B7811,D7812=D7811,A7812=A7811,F7812=F7811),1,0)</f>
        <v/>
      </c>
      <c r="I7812">
        <f>IF(C7812="C99999",1,0)</f>
        <v/>
      </c>
      <c r="J7812" s="5">
        <f>IF(OR(H7812=1,I7812=1),0,IF(G7812="Credit",-F7812,F7812))</f>
        <v/>
      </c>
    </row>
    <row r="7813">
      <c r="A7813" t="inlineStr">
        <is>
          <t>2026-09-11</t>
        </is>
      </c>
      <c r="B7813" t="inlineStr">
        <is>
          <t>F264800</t>
        </is>
      </c>
      <c r="C7813" t="inlineStr">
        <is>
          <t>C10250</t>
        </is>
      </c>
      <c r="D7813" t="inlineStr">
        <is>
          <t>SKU-10107</t>
        </is>
      </c>
      <c r="E7813" t="inlineStr">
        <is>
          <t>AM01</t>
        </is>
      </c>
      <c r="F7813" s="5" t="n">
        <v>355.68</v>
      </c>
      <c r="G7813">
        <f>IF(LEFT(B7813,1)="C","Credit","Factuur")</f>
        <v/>
      </c>
      <c r="H7813">
        <f>IF(AND(B7813=B7812,D7813=D7812,A7813=A7812,F7813=F7812),1,0)</f>
        <v/>
      </c>
      <c r="I7813">
        <f>IF(C7813="C99999",1,0)</f>
        <v/>
      </c>
      <c r="J7813" s="5">
        <f>IF(OR(H7813=1,I7813=1),0,IF(G7813="Credit",-F7813,F7813))</f>
        <v/>
      </c>
    </row>
    <row r="7814">
      <c r="A7814" t="inlineStr">
        <is>
          <t>2026-09-11</t>
        </is>
      </c>
      <c r="B7814" t="inlineStr">
        <is>
          <t>F264800</t>
        </is>
      </c>
      <c r="C7814" t="inlineStr">
        <is>
          <t>C10250</t>
        </is>
      </c>
      <c r="D7814" t="inlineStr">
        <is>
          <t>SKU-10119</t>
        </is>
      </c>
      <c r="E7814" t="inlineStr">
        <is>
          <t>AM01</t>
        </is>
      </c>
      <c r="F7814" s="5" t="n">
        <v>379.47</v>
      </c>
      <c r="G7814">
        <f>IF(LEFT(B7814,1)="C","Credit","Factuur")</f>
        <v/>
      </c>
      <c r="H7814">
        <f>IF(AND(B7814=B7813,D7814=D7813,A7814=A7813,F7814=F7813),1,0)</f>
        <v/>
      </c>
      <c r="I7814">
        <f>IF(C7814="C99999",1,0)</f>
        <v/>
      </c>
      <c r="J7814" s="5">
        <f>IF(OR(H7814=1,I7814=1),0,IF(G7814="Credit",-F7814,F7814))</f>
        <v/>
      </c>
    </row>
    <row r="7815">
      <c r="A7815" t="inlineStr">
        <is>
          <t>2026-09-11</t>
        </is>
      </c>
      <c r="B7815" t="inlineStr">
        <is>
          <t>F264822</t>
        </is>
      </c>
      <c r="C7815" t="inlineStr">
        <is>
          <t>C10251</t>
        </is>
      </c>
      <c r="D7815" t="inlineStr">
        <is>
          <t>SKU-10173</t>
        </is>
      </c>
      <c r="E7815" t="inlineStr">
        <is>
          <t>AM07</t>
        </is>
      </c>
      <c r="F7815" s="5" t="n">
        <v>1548</v>
      </c>
      <c r="G7815">
        <f>IF(LEFT(B7815,1)="C","Credit","Factuur")</f>
        <v/>
      </c>
      <c r="H7815">
        <f>IF(AND(B7815=B7814,D7815=D7814,A7815=A7814,F7815=F7814),1,0)</f>
        <v/>
      </c>
      <c r="I7815">
        <f>IF(C7815="C99999",1,0)</f>
        <v/>
      </c>
      <c r="J7815" s="5">
        <f>IF(OR(H7815=1,I7815=1),0,IF(G7815="Credit",-F7815,F7815))</f>
        <v/>
      </c>
    </row>
    <row r="7816">
      <c r="A7816" t="inlineStr">
        <is>
          <t>2026-09-11</t>
        </is>
      </c>
      <c r="B7816" t="inlineStr">
        <is>
          <t>F264822</t>
        </is>
      </c>
      <c r="C7816" t="inlineStr">
        <is>
          <t>C10251</t>
        </is>
      </c>
      <c r="D7816" t="inlineStr">
        <is>
          <t>SKU-10252</t>
        </is>
      </c>
      <c r="E7816" t="inlineStr">
        <is>
          <t>AM07</t>
        </is>
      </c>
      <c r="F7816" s="5" t="n">
        <v>1465.18</v>
      </c>
      <c r="G7816">
        <f>IF(LEFT(B7816,1)="C","Credit","Factuur")</f>
        <v/>
      </c>
      <c r="H7816">
        <f>IF(AND(B7816=B7815,D7816=D7815,A7816=A7815,F7816=F7815),1,0)</f>
        <v/>
      </c>
      <c r="I7816">
        <f>IF(C7816="C99999",1,0)</f>
        <v/>
      </c>
      <c r="J7816" s="5">
        <f>IF(OR(H7816=1,I7816=1),0,IF(G7816="Credit",-F7816,F7816))</f>
        <v/>
      </c>
    </row>
    <row r="7817">
      <c r="A7817" t="inlineStr">
        <is>
          <t>2026-09-11</t>
        </is>
      </c>
      <c r="B7817" t="inlineStr">
        <is>
          <t>F264854</t>
        </is>
      </c>
      <c r="C7817" t="inlineStr">
        <is>
          <t>C10252</t>
        </is>
      </c>
      <c r="D7817" t="inlineStr">
        <is>
          <t>SKU-10083</t>
        </is>
      </c>
      <c r="E7817" t="inlineStr">
        <is>
          <t>AM09</t>
        </is>
      </c>
      <c r="F7817" s="5" t="n">
        <v>8609.200000000001</v>
      </c>
      <c r="G7817">
        <f>IF(LEFT(B7817,1)="C","Credit","Factuur")</f>
        <v/>
      </c>
      <c r="H7817">
        <f>IF(AND(B7817=B7816,D7817=D7816,A7817=A7816,F7817=F7816),1,0)</f>
        <v/>
      </c>
      <c r="I7817">
        <f>IF(C7817="C99999",1,0)</f>
        <v/>
      </c>
      <c r="J7817" s="5">
        <f>IF(OR(H7817=1,I7817=1),0,IF(G7817="Credit",-F7817,F7817))</f>
        <v/>
      </c>
    </row>
    <row r="7818">
      <c r="A7818" t="inlineStr">
        <is>
          <t>2026-09-11</t>
        </is>
      </c>
      <c r="B7818" t="inlineStr">
        <is>
          <t>F264854</t>
        </is>
      </c>
      <c r="C7818" t="inlineStr">
        <is>
          <t>C10252</t>
        </is>
      </c>
      <c r="D7818" t="inlineStr">
        <is>
          <t>SKU-10337</t>
        </is>
      </c>
      <c r="E7818" t="inlineStr">
        <is>
          <t>AM09</t>
        </is>
      </c>
      <c r="F7818" s="5" t="n">
        <v>8577.709999999999</v>
      </c>
      <c r="G7818">
        <f>IF(LEFT(B7818,1)="C","Credit","Factuur")</f>
        <v/>
      </c>
      <c r="H7818">
        <f>IF(AND(B7818=B7817,D7818=D7817,A7818=A7817,F7818=F7817),1,0)</f>
        <v/>
      </c>
      <c r="I7818">
        <f>IF(C7818="C99999",1,0)</f>
        <v/>
      </c>
      <c r="J7818" s="5">
        <f>IF(OR(H7818=1,I7818=1),0,IF(G7818="Credit",-F7818,F7818))</f>
        <v/>
      </c>
    </row>
    <row r="7819">
      <c r="A7819" t="inlineStr">
        <is>
          <t>2026-09-11</t>
        </is>
      </c>
      <c r="B7819" t="inlineStr">
        <is>
          <t>F264917</t>
        </is>
      </c>
      <c r="C7819" t="inlineStr">
        <is>
          <t>C10256</t>
        </is>
      </c>
      <c r="D7819" t="inlineStr">
        <is>
          <t>SKU-10027</t>
        </is>
      </c>
      <c r="E7819" t="inlineStr">
        <is>
          <t>AM05</t>
        </is>
      </c>
      <c r="F7819" s="5" t="n">
        <v>55.34</v>
      </c>
      <c r="G7819">
        <f>IF(LEFT(B7819,1)="C","Credit","Factuur")</f>
        <v/>
      </c>
      <c r="H7819">
        <f>IF(AND(B7819=B7818,D7819=D7818,A7819=A7818,F7819=F7818),1,0)</f>
        <v/>
      </c>
      <c r="I7819">
        <f>IF(C7819="C99999",1,0)</f>
        <v/>
      </c>
      <c r="J7819" s="5">
        <f>IF(OR(H7819=1,I7819=1),0,IF(G7819="Credit",-F7819,F7819))</f>
        <v/>
      </c>
    </row>
    <row r="7820">
      <c r="A7820" t="inlineStr">
        <is>
          <t>2026-09-11</t>
        </is>
      </c>
      <c r="B7820" t="inlineStr">
        <is>
          <t>F264917</t>
        </is>
      </c>
      <c r="C7820" t="inlineStr">
        <is>
          <t>C10256</t>
        </is>
      </c>
      <c r="D7820" t="inlineStr">
        <is>
          <t>SKU-10043</t>
        </is>
      </c>
      <c r="E7820" t="inlineStr">
        <is>
          <t>AM05</t>
        </is>
      </c>
      <c r="F7820" s="5" t="n">
        <v>63.44</v>
      </c>
      <c r="G7820">
        <f>IF(LEFT(B7820,1)="C","Credit","Factuur")</f>
        <v/>
      </c>
      <c r="H7820">
        <f>IF(AND(B7820=B7819,D7820=D7819,A7820=A7819,F7820=F7819),1,0)</f>
        <v/>
      </c>
      <c r="I7820">
        <f>IF(C7820="C99999",1,0)</f>
        <v/>
      </c>
      <c r="J7820" s="5">
        <f>IF(OR(H7820=1,I7820=1),0,IF(G7820="Credit",-F7820,F7820))</f>
        <v/>
      </c>
    </row>
    <row r="7821">
      <c r="A7821" t="inlineStr">
        <is>
          <t>2026-09-11</t>
        </is>
      </c>
      <c r="B7821" t="inlineStr">
        <is>
          <t>F264917</t>
        </is>
      </c>
      <c r="C7821" t="inlineStr">
        <is>
          <t>C10256</t>
        </is>
      </c>
      <c r="D7821" t="inlineStr">
        <is>
          <t>SKU-10150</t>
        </is>
      </c>
      <c r="E7821" t="inlineStr">
        <is>
          <t>AM05</t>
        </is>
      </c>
      <c r="F7821" s="5" t="n">
        <v>131.6</v>
      </c>
      <c r="G7821">
        <f>IF(LEFT(B7821,1)="C","Credit","Factuur")</f>
        <v/>
      </c>
      <c r="H7821">
        <f>IF(AND(B7821=B7820,D7821=D7820,A7821=A7820,F7821=F7820),1,0)</f>
        <v/>
      </c>
      <c r="I7821">
        <f>IF(C7821="C99999",1,0)</f>
        <v/>
      </c>
      <c r="J7821" s="5">
        <f>IF(OR(H7821=1,I7821=1),0,IF(G7821="Credit",-F7821,F7821))</f>
        <v/>
      </c>
    </row>
    <row r="7822">
      <c r="A7822" t="inlineStr">
        <is>
          <t>2026-09-11</t>
        </is>
      </c>
      <c r="B7822" t="inlineStr">
        <is>
          <t>F264917</t>
        </is>
      </c>
      <c r="C7822" t="inlineStr">
        <is>
          <t>C10256</t>
        </is>
      </c>
      <c r="D7822" t="inlineStr">
        <is>
          <t>SKU-10203</t>
        </is>
      </c>
      <c r="E7822" t="inlineStr">
        <is>
          <t>AM05</t>
        </is>
      </c>
      <c r="F7822" s="5" t="n">
        <v>80.23999999999999</v>
      </c>
      <c r="G7822">
        <f>IF(LEFT(B7822,1)="C","Credit","Factuur")</f>
        <v/>
      </c>
      <c r="H7822">
        <f>IF(AND(B7822=B7821,D7822=D7821,A7822=A7821,F7822=F7821),1,0)</f>
        <v/>
      </c>
      <c r="I7822">
        <f>IF(C7822="C99999",1,0)</f>
        <v/>
      </c>
      <c r="J7822" s="5">
        <f>IF(OR(H7822=1,I7822=1),0,IF(G7822="Credit",-F7822,F7822))</f>
        <v/>
      </c>
    </row>
    <row r="7823">
      <c r="A7823" t="inlineStr">
        <is>
          <t>2026-09-11</t>
        </is>
      </c>
      <c r="B7823" t="inlineStr">
        <is>
          <t>F265334</t>
        </is>
      </c>
      <c r="C7823" t="inlineStr">
        <is>
          <t>C10282</t>
        </is>
      </c>
      <c r="D7823" t="inlineStr">
        <is>
          <t>SKU-10120</t>
        </is>
      </c>
      <c r="E7823" t="inlineStr">
        <is>
          <t>AM03</t>
        </is>
      </c>
      <c r="F7823" s="5" t="n">
        <v>227.04</v>
      </c>
      <c r="G7823">
        <f>IF(LEFT(B7823,1)="C","Credit","Factuur")</f>
        <v/>
      </c>
      <c r="H7823">
        <f>IF(AND(B7823=B7822,D7823=D7822,A7823=A7822,F7823=F7822),1,0)</f>
        <v/>
      </c>
      <c r="I7823">
        <f>IF(C7823="C99999",1,0)</f>
        <v/>
      </c>
      <c r="J7823" s="5">
        <f>IF(OR(H7823=1,I7823=1),0,IF(G7823="Credit",-F7823,F7823))</f>
        <v/>
      </c>
    </row>
    <row r="7824">
      <c r="A7824" t="inlineStr">
        <is>
          <t>2026-09-11</t>
        </is>
      </c>
      <c r="B7824" t="inlineStr">
        <is>
          <t>F265334</t>
        </is>
      </c>
      <c r="C7824" t="inlineStr">
        <is>
          <t>C10282</t>
        </is>
      </c>
      <c r="D7824" t="inlineStr">
        <is>
          <t>SKU-10328</t>
        </is>
      </c>
      <c r="E7824" t="inlineStr">
        <is>
          <t>AM03</t>
        </is>
      </c>
      <c r="F7824" s="5" t="n">
        <v>218.68</v>
      </c>
      <c r="G7824">
        <f>IF(LEFT(B7824,1)="C","Credit","Factuur")</f>
        <v/>
      </c>
      <c r="H7824">
        <f>IF(AND(B7824=B7823,D7824=D7823,A7824=A7823,F7824=F7823),1,0)</f>
        <v/>
      </c>
      <c r="I7824">
        <f>IF(C7824="C99999",1,0)</f>
        <v/>
      </c>
      <c r="J7824" s="5">
        <f>IF(OR(H7824=1,I7824=1),0,IF(G7824="Credit",-F7824,F7824))</f>
        <v/>
      </c>
    </row>
    <row r="7825">
      <c r="A7825" t="inlineStr">
        <is>
          <t>2026-09-11</t>
        </is>
      </c>
      <c r="B7825" t="inlineStr">
        <is>
          <t>F265635</t>
        </is>
      </c>
      <c r="C7825" t="inlineStr">
        <is>
          <t>C10295</t>
        </is>
      </c>
      <c r="D7825" t="inlineStr">
        <is>
          <t>SKU-10089</t>
        </is>
      </c>
      <c r="E7825" t="inlineStr">
        <is>
          <t>AM08</t>
        </is>
      </c>
      <c r="F7825" s="5" t="n">
        <v>447.45</v>
      </c>
      <c r="G7825">
        <f>IF(LEFT(B7825,1)="C","Credit","Factuur")</f>
        <v/>
      </c>
      <c r="H7825">
        <f>IF(AND(B7825=B7824,D7825=D7824,A7825=A7824,F7825=F7824),1,0)</f>
        <v/>
      </c>
      <c r="I7825">
        <f>IF(C7825="C99999",1,0)</f>
        <v/>
      </c>
      <c r="J7825" s="5">
        <f>IF(OR(H7825=1,I7825=1),0,IF(G7825="Credit",-F7825,F7825))</f>
        <v/>
      </c>
    </row>
    <row r="7826">
      <c r="A7826" t="inlineStr">
        <is>
          <t>2026-09-11</t>
        </is>
      </c>
      <c r="B7826" t="inlineStr">
        <is>
          <t>F265635</t>
        </is>
      </c>
      <c r="C7826" t="inlineStr">
        <is>
          <t>C10295</t>
        </is>
      </c>
      <c r="D7826" t="inlineStr">
        <is>
          <t>SKU-10315</t>
        </is>
      </c>
      <c r="E7826" t="inlineStr">
        <is>
          <t>AM08</t>
        </is>
      </c>
      <c r="F7826" s="5" t="n">
        <v>490.05</v>
      </c>
      <c r="G7826">
        <f>IF(LEFT(B7826,1)="C","Credit","Factuur")</f>
        <v/>
      </c>
      <c r="H7826">
        <f>IF(AND(B7826=B7825,D7826=D7825,A7826=A7825,F7826=F7825),1,0)</f>
        <v/>
      </c>
      <c r="I7826">
        <f>IF(C7826="C99999",1,0)</f>
        <v/>
      </c>
      <c r="J7826" s="5">
        <f>IF(OR(H7826=1,I7826=1),0,IF(G7826="Credit",-F7826,F7826))</f>
        <v/>
      </c>
    </row>
    <row r="7827">
      <c r="A7827" t="inlineStr">
        <is>
          <t>2026-09-11</t>
        </is>
      </c>
      <c r="B7827" t="inlineStr">
        <is>
          <t>F265635</t>
        </is>
      </c>
      <c r="C7827" t="inlineStr">
        <is>
          <t>C10295</t>
        </is>
      </c>
      <c r="D7827" t="inlineStr">
        <is>
          <t>SKU-10323</t>
        </is>
      </c>
      <c r="E7827" t="inlineStr">
        <is>
          <t>AM08</t>
        </is>
      </c>
      <c r="F7827" s="5" t="n">
        <v>476.55</v>
      </c>
      <c r="G7827">
        <f>IF(LEFT(B7827,1)="C","Credit","Factuur")</f>
        <v/>
      </c>
      <c r="H7827">
        <f>IF(AND(B7827=B7826,D7827=D7826,A7827=A7826,F7827=F7826),1,0)</f>
        <v/>
      </c>
      <c r="I7827">
        <f>IF(C7827="C99999",1,0)</f>
        <v/>
      </c>
      <c r="J7827" s="5">
        <f>IF(OR(H7827=1,I7827=1),0,IF(G7827="Credit",-F7827,F7827))</f>
        <v/>
      </c>
    </row>
    <row r="7828">
      <c r="A7828" t="inlineStr">
        <is>
          <t>2026-09-11</t>
        </is>
      </c>
      <c r="B7828" t="inlineStr">
        <is>
          <t>F265635</t>
        </is>
      </c>
      <c r="C7828" t="inlineStr">
        <is>
          <t>C10295</t>
        </is>
      </c>
      <c r="D7828" t="inlineStr">
        <is>
          <t>SKU-10329</t>
        </is>
      </c>
      <c r="E7828" t="inlineStr">
        <is>
          <t>AM08</t>
        </is>
      </c>
      <c r="F7828" s="5" t="n">
        <v>478.66</v>
      </c>
      <c r="G7828">
        <f>IF(LEFT(B7828,1)="C","Credit","Factuur")</f>
        <v/>
      </c>
      <c r="H7828">
        <f>IF(AND(B7828=B7827,D7828=D7827,A7828=A7827,F7828=F7827),1,0)</f>
        <v/>
      </c>
      <c r="I7828">
        <f>IF(C7828="C99999",1,0)</f>
        <v/>
      </c>
      <c r="J7828" s="5">
        <f>IF(OR(H7828=1,I7828=1),0,IF(G7828="Credit",-F7828,F7828))</f>
        <v/>
      </c>
    </row>
    <row r="7829">
      <c r="A7829" t="inlineStr">
        <is>
          <t>2026-09-11</t>
        </is>
      </c>
      <c r="B7829" t="inlineStr">
        <is>
          <t>F265635</t>
        </is>
      </c>
      <c r="C7829" t="inlineStr">
        <is>
          <t>C10295</t>
        </is>
      </c>
      <c r="D7829" t="inlineStr">
        <is>
          <t>SKU-10333</t>
        </is>
      </c>
      <c r="E7829" t="inlineStr">
        <is>
          <t>AM08</t>
        </is>
      </c>
      <c r="F7829" s="5" t="n">
        <v>479.16</v>
      </c>
      <c r="G7829">
        <f>IF(LEFT(B7829,1)="C","Credit","Factuur")</f>
        <v/>
      </c>
      <c r="H7829">
        <f>IF(AND(B7829=B7828,D7829=D7828,A7829=A7828,F7829=F7828),1,0)</f>
        <v/>
      </c>
      <c r="I7829">
        <f>IF(C7829="C99999",1,0)</f>
        <v/>
      </c>
      <c r="J7829" s="5">
        <f>IF(OR(H7829=1,I7829=1),0,IF(G7829="Credit",-F7829,F7829))</f>
        <v/>
      </c>
    </row>
    <row r="7830">
      <c r="A7830" t="inlineStr">
        <is>
          <t>2026-09-11</t>
        </is>
      </c>
      <c r="B7830" t="inlineStr">
        <is>
          <t>F265940</t>
        </is>
      </c>
      <c r="C7830" t="inlineStr">
        <is>
          <t>C10312</t>
        </is>
      </c>
      <c r="D7830" t="inlineStr">
        <is>
          <t>SKU-10093</t>
        </is>
      </c>
      <c r="E7830" t="inlineStr"/>
      <c r="F7830" s="5" t="n">
        <v>96.89</v>
      </c>
      <c r="G7830">
        <f>IF(LEFT(B7830,1)="C","Credit","Factuur")</f>
        <v/>
      </c>
      <c r="H7830">
        <f>IF(AND(B7830=B7829,D7830=D7829,A7830=A7829,F7830=F7829),1,0)</f>
        <v/>
      </c>
      <c r="I7830">
        <f>IF(C7830="C99999",1,0)</f>
        <v/>
      </c>
      <c r="J7830" s="5">
        <f>IF(OR(H7830=1,I7830=1),0,IF(G7830="Credit",-F7830,F7830))</f>
        <v/>
      </c>
    </row>
    <row r="7831">
      <c r="A7831" t="inlineStr">
        <is>
          <t>2026-09-11</t>
        </is>
      </c>
      <c r="B7831" t="inlineStr">
        <is>
          <t>F265940</t>
        </is>
      </c>
      <c r="C7831" t="inlineStr">
        <is>
          <t>C10312</t>
        </is>
      </c>
      <c r="D7831" t="inlineStr">
        <is>
          <t>SKU-10130</t>
        </is>
      </c>
      <c r="E7831" t="inlineStr">
        <is>
          <t>AM08</t>
        </is>
      </c>
      <c r="F7831" s="5" t="n">
        <v>75.72</v>
      </c>
      <c r="G7831">
        <f>IF(LEFT(B7831,1)="C","Credit","Factuur")</f>
        <v/>
      </c>
      <c r="H7831">
        <f>IF(AND(B7831=B7830,D7831=D7830,A7831=A7830,F7831=F7830),1,0)</f>
        <v/>
      </c>
      <c r="I7831">
        <f>IF(C7831="C99999",1,0)</f>
        <v/>
      </c>
      <c r="J7831" s="5">
        <f>IF(OR(H7831=1,I7831=1),0,IF(G7831="Credit",-F7831,F7831))</f>
        <v/>
      </c>
    </row>
    <row r="7832">
      <c r="A7832" t="inlineStr">
        <is>
          <t>2026-09-11</t>
        </is>
      </c>
      <c r="B7832" t="inlineStr">
        <is>
          <t>F265940</t>
        </is>
      </c>
      <c r="C7832" t="inlineStr">
        <is>
          <t>C10312</t>
        </is>
      </c>
      <c r="D7832" t="inlineStr">
        <is>
          <t>SKU-10237</t>
        </is>
      </c>
      <c r="E7832" t="inlineStr">
        <is>
          <t>AM08</t>
        </is>
      </c>
      <c r="F7832" s="5" t="n">
        <v>61.65</v>
      </c>
      <c r="G7832">
        <f>IF(LEFT(B7832,1)="C","Credit","Factuur")</f>
        <v/>
      </c>
      <c r="H7832">
        <f>IF(AND(B7832=B7831,D7832=D7831,A7832=A7831,F7832=F7831),1,0)</f>
        <v/>
      </c>
      <c r="I7832">
        <f>IF(C7832="C99999",1,0)</f>
        <v/>
      </c>
      <c r="J7832" s="5">
        <f>IF(OR(H7832=1,I7832=1),0,IF(G7832="Credit",-F7832,F7832))</f>
        <v/>
      </c>
    </row>
    <row r="7833">
      <c r="A7833" t="inlineStr">
        <is>
          <t>2026-09-11</t>
        </is>
      </c>
      <c r="B7833" t="inlineStr">
        <is>
          <t>F265940</t>
        </is>
      </c>
      <c r="C7833" t="inlineStr">
        <is>
          <t>C10312</t>
        </is>
      </c>
      <c r="D7833" t="inlineStr">
        <is>
          <t>SKU-10290</t>
        </is>
      </c>
      <c r="E7833" t="inlineStr">
        <is>
          <t>AM08</t>
        </is>
      </c>
      <c r="F7833" s="5" t="n">
        <v>69.2</v>
      </c>
      <c r="G7833">
        <f>IF(LEFT(B7833,1)="C","Credit","Factuur")</f>
        <v/>
      </c>
      <c r="H7833">
        <f>IF(AND(B7833=B7832,D7833=D7832,A7833=A7832,F7833=F7832),1,0)</f>
        <v/>
      </c>
      <c r="I7833">
        <f>IF(C7833="C99999",1,0)</f>
        <v/>
      </c>
      <c r="J7833" s="5">
        <f>IF(OR(H7833=1,I7833=1),0,IF(G7833="Credit",-F7833,F7833))</f>
        <v/>
      </c>
    </row>
    <row r="7834">
      <c r="A7834" t="inlineStr">
        <is>
          <t>2026-09-11</t>
        </is>
      </c>
      <c r="B7834" t="inlineStr">
        <is>
          <t>F265940</t>
        </is>
      </c>
      <c r="C7834" t="inlineStr">
        <is>
          <t>C10312</t>
        </is>
      </c>
      <c r="D7834" t="inlineStr">
        <is>
          <t>SKU-10333</t>
        </is>
      </c>
      <c r="E7834" t="inlineStr">
        <is>
          <t>AM08</t>
        </is>
      </c>
      <c r="F7834" s="5" t="n">
        <v>65.34</v>
      </c>
      <c r="G7834">
        <f>IF(LEFT(B7834,1)="C","Credit","Factuur")</f>
        <v/>
      </c>
      <c r="H7834">
        <f>IF(AND(B7834=B7833,D7834=D7833,A7834=A7833,F7834=F7833),1,0)</f>
        <v/>
      </c>
      <c r="I7834">
        <f>IF(C7834="C99999",1,0)</f>
        <v/>
      </c>
      <c r="J7834" s="5">
        <f>IF(OR(H7834=1,I7834=1),0,IF(G7834="Credit",-F7834,F7834))</f>
        <v/>
      </c>
    </row>
    <row r="7835">
      <c r="A7835" t="inlineStr">
        <is>
          <t>2026-09-11</t>
        </is>
      </c>
      <c r="B7835" t="inlineStr">
        <is>
          <t>F266010</t>
        </is>
      </c>
      <c r="C7835" t="inlineStr">
        <is>
          <t>C10315</t>
        </is>
      </c>
      <c r="D7835" t="inlineStr">
        <is>
          <t>SKU-10028</t>
        </is>
      </c>
      <c r="E7835" t="inlineStr">
        <is>
          <t>AM08</t>
        </is>
      </c>
      <c r="F7835" s="5" t="n">
        <v>578.8</v>
      </c>
      <c r="G7835">
        <f>IF(LEFT(B7835,1)="C","Credit","Factuur")</f>
        <v/>
      </c>
      <c r="H7835">
        <f>IF(AND(B7835=B7834,D7835=D7834,A7835=A7834,F7835=F7834),1,0)</f>
        <v/>
      </c>
      <c r="I7835">
        <f>IF(C7835="C99999",1,0)</f>
        <v/>
      </c>
      <c r="J7835" s="5">
        <f>IF(OR(H7835=1,I7835=1),0,IF(G7835="Credit",-F7835,F7835))</f>
        <v/>
      </c>
    </row>
    <row r="7836">
      <c r="A7836" t="inlineStr">
        <is>
          <t>2026-09-11</t>
        </is>
      </c>
      <c r="B7836" t="inlineStr">
        <is>
          <t>F266010</t>
        </is>
      </c>
      <c r="C7836" t="inlineStr">
        <is>
          <t>C10315</t>
        </is>
      </c>
      <c r="D7836" t="inlineStr">
        <is>
          <t>SKU-10042</t>
        </is>
      </c>
      <c r="E7836" t="inlineStr">
        <is>
          <t>AM08</t>
        </is>
      </c>
      <c r="F7836" s="5" t="n">
        <v>581.01</v>
      </c>
      <c r="G7836">
        <f>IF(LEFT(B7836,1)="C","Credit","Factuur")</f>
        <v/>
      </c>
      <c r="H7836">
        <f>IF(AND(B7836=B7835,D7836=D7835,A7836=A7835,F7836=F7835),1,0)</f>
        <v/>
      </c>
      <c r="I7836">
        <f>IF(C7836="C99999",1,0)</f>
        <v/>
      </c>
      <c r="J7836" s="5">
        <f>IF(OR(H7836=1,I7836=1),0,IF(G7836="Credit",-F7836,F7836))</f>
        <v/>
      </c>
    </row>
    <row r="7837">
      <c r="A7837" t="inlineStr">
        <is>
          <t>2026-09-11</t>
        </is>
      </c>
      <c r="B7837" t="inlineStr">
        <is>
          <t>F266010</t>
        </is>
      </c>
      <c r="C7837" t="inlineStr">
        <is>
          <t>C10315</t>
        </is>
      </c>
      <c r="D7837" t="inlineStr">
        <is>
          <t>SKU-10110</t>
        </is>
      </c>
      <c r="E7837" t="inlineStr">
        <is>
          <t>AM08</t>
        </is>
      </c>
      <c r="F7837" s="5" t="n">
        <v>592.8</v>
      </c>
      <c r="G7837">
        <f>IF(LEFT(B7837,1)="C","Credit","Factuur")</f>
        <v/>
      </c>
      <c r="H7837">
        <f>IF(AND(B7837=B7836,D7837=D7836,A7837=A7836,F7837=F7836),1,0)</f>
        <v/>
      </c>
      <c r="I7837">
        <f>IF(C7837="C99999",1,0)</f>
        <v/>
      </c>
      <c r="J7837" s="5">
        <f>IF(OR(H7837=1,I7837=1),0,IF(G7837="Credit",-F7837,F7837))</f>
        <v/>
      </c>
    </row>
    <row r="7838">
      <c r="A7838" t="inlineStr">
        <is>
          <t>2026-09-11</t>
        </is>
      </c>
      <c r="B7838" t="inlineStr">
        <is>
          <t>F266010</t>
        </is>
      </c>
      <c r="C7838" t="inlineStr">
        <is>
          <t>C10315</t>
        </is>
      </c>
      <c r="D7838" t="inlineStr">
        <is>
          <t>SKU-10205</t>
        </is>
      </c>
      <c r="E7838" t="inlineStr">
        <is>
          <t>AM08</t>
        </is>
      </c>
      <c r="F7838" s="5" t="n">
        <v>549.42</v>
      </c>
      <c r="G7838">
        <f>IF(LEFT(B7838,1)="C","Credit","Factuur")</f>
        <v/>
      </c>
      <c r="H7838">
        <f>IF(AND(B7838=B7837,D7838=D7837,A7838=A7837,F7838=F7837),1,0)</f>
        <v/>
      </c>
      <c r="I7838">
        <f>IF(C7838="C99999",1,0)</f>
        <v/>
      </c>
      <c r="J7838" s="5">
        <f>IF(OR(H7838=1,I7838=1),0,IF(G7838="Credit",-F7838,F7838))</f>
        <v/>
      </c>
    </row>
    <row r="7839">
      <c r="A7839" t="inlineStr">
        <is>
          <t>2026-09-11</t>
        </is>
      </c>
      <c r="B7839" t="inlineStr">
        <is>
          <t>F266045</t>
        </is>
      </c>
      <c r="C7839" t="inlineStr">
        <is>
          <t>C10317</t>
        </is>
      </c>
      <c r="D7839" t="inlineStr">
        <is>
          <t>SKU-10138</t>
        </is>
      </c>
      <c r="E7839" t="inlineStr">
        <is>
          <t>AM03</t>
        </is>
      </c>
      <c r="F7839" s="5" t="n">
        <v>91.76000000000001</v>
      </c>
      <c r="G7839">
        <f>IF(LEFT(B7839,1)="C","Credit","Factuur")</f>
        <v/>
      </c>
      <c r="H7839">
        <f>IF(AND(B7839=B7838,D7839=D7838,A7839=A7838,F7839=F7838),1,0)</f>
        <v/>
      </c>
      <c r="I7839">
        <f>IF(C7839="C99999",1,0)</f>
        <v/>
      </c>
      <c r="J7839" s="5">
        <f>IF(OR(H7839=1,I7839=1),0,IF(G7839="Credit",-F7839,F7839))</f>
        <v/>
      </c>
    </row>
    <row r="7840">
      <c r="A7840" t="inlineStr">
        <is>
          <t>2026-09-11</t>
        </is>
      </c>
      <c r="B7840" t="inlineStr">
        <is>
          <t>F266045</t>
        </is>
      </c>
      <c r="C7840" t="inlineStr">
        <is>
          <t>C10317</t>
        </is>
      </c>
      <c r="D7840" t="inlineStr">
        <is>
          <t>SKU-10274</t>
        </is>
      </c>
      <c r="E7840" t="inlineStr">
        <is>
          <t>AM03</t>
        </is>
      </c>
      <c r="F7840" s="5" t="n">
        <v>128.35</v>
      </c>
      <c r="G7840">
        <f>IF(LEFT(B7840,1)="C","Credit","Factuur")</f>
        <v/>
      </c>
      <c r="H7840">
        <f>IF(AND(B7840=B7839,D7840=D7839,A7840=A7839,F7840=F7839),1,0)</f>
        <v/>
      </c>
      <c r="I7840">
        <f>IF(C7840="C99999",1,0)</f>
        <v/>
      </c>
      <c r="J7840" s="5">
        <f>IF(OR(H7840=1,I7840=1),0,IF(G7840="Credit",-F7840,F7840))</f>
        <v/>
      </c>
    </row>
    <row r="7841">
      <c r="A7841" t="inlineStr">
        <is>
          <t>2026-09-11</t>
        </is>
      </c>
      <c r="B7841" t="inlineStr">
        <is>
          <t>F266045</t>
        </is>
      </c>
      <c r="C7841" t="inlineStr">
        <is>
          <t>C10317</t>
        </is>
      </c>
      <c r="D7841" t="inlineStr">
        <is>
          <t>SKU-10304</t>
        </is>
      </c>
      <c r="E7841" t="inlineStr">
        <is>
          <t>AM03</t>
        </is>
      </c>
      <c r="F7841" s="5" t="n">
        <v>137.52</v>
      </c>
      <c r="G7841">
        <f>IF(LEFT(B7841,1)="C","Credit","Factuur")</f>
        <v/>
      </c>
      <c r="H7841">
        <f>IF(AND(B7841=B7840,D7841=D7840,A7841=A7840,F7841=F7840),1,0)</f>
        <v/>
      </c>
      <c r="I7841">
        <f>IF(C7841="C99999",1,0)</f>
        <v/>
      </c>
      <c r="J7841" s="5">
        <f>IF(OR(H7841=1,I7841=1),0,IF(G7841="Credit",-F7841,F7841))</f>
        <v/>
      </c>
    </row>
    <row r="7842">
      <c r="A7842" t="inlineStr">
        <is>
          <t>2026-09-11</t>
        </is>
      </c>
      <c r="B7842" t="inlineStr">
        <is>
          <t>F266595</t>
        </is>
      </c>
      <c r="C7842" t="inlineStr">
        <is>
          <t>C10346</t>
        </is>
      </c>
      <c r="D7842" t="inlineStr">
        <is>
          <t>SKU-10169</t>
        </is>
      </c>
      <c r="E7842" t="inlineStr">
        <is>
          <t>AM12</t>
        </is>
      </c>
      <c r="F7842" s="5" t="n">
        <v>527.71</v>
      </c>
      <c r="G7842">
        <f>IF(LEFT(B7842,1)="C","Credit","Factuur")</f>
        <v/>
      </c>
      <c r="H7842">
        <f>IF(AND(B7842=B7841,D7842=D7841,A7842=A7841,F7842=F7841),1,0)</f>
        <v/>
      </c>
      <c r="I7842">
        <f>IF(C7842="C99999",1,0)</f>
        <v/>
      </c>
      <c r="J7842" s="5">
        <f>IF(OR(H7842=1,I7842=1),0,IF(G7842="Credit",-F7842,F7842))</f>
        <v/>
      </c>
    </row>
    <row r="7843">
      <c r="A7843" t="inlineStr">
        <is>
          <t>2026-09-11</t>
        </is>
      </c>
      <c r="B7843" t="inlineStr">
        <is>
          <t>F266595</t>
        </is>
      </c>
      <c r="C7843" t="inlineStr">
        <is>
          <t>C10346</t>
        </is>
      </c>
      <c r="D7843" t="inlineStr">
        <is>
          <t>SKU-10378</t>
        </is>
      </c>
      <c r="E7843" t="inlineStr">
        <is>
          <t>AM12</t>
        </is>
      </c>
      <c r="F7843" s="5" t="n">
        <v>672.99</v>
      </c>
      <c r="G7843">
        <f>IF(LEFT(B7843,1)="C","Credit","Factuur")</f>
        <v/>
      </c>
      <c r="H7843">
        <f>IF(AND(B7843=B7842,D7843=D7842,A7843=A7842,F7843=F7842),1,0)</f>
        <v/>
      </c>
      <c r="I7843">
        <f>IF(C7843="C99999",1,0)</f>
        <v/>
      </c>
      <c r="J7843" s="5">
        <f>IF(OR(H7843=1,I7843=1),0,IF(G7843="Credit",-F7843,F7843))</f>
        <v/>
      </c>
    </row>
    <row r="7844">
      <c r="A7844" t="inlineStr">
        <is>
          <t>2026-09-11</t>
        </is>
      </c>
      <c r="B7844" t="inlineStr">
        <is>
          <t>F266993</t>
        </is>
      </c>
      <c r="C7844" t="inlineStr">
        <is>
          <t>C10367</t>
        </is>
      </c>
      <c r="D7844" t="inlineStr">
        <is>
          <t>SKU-10063</t>
        </is>
      </c>
      <c r="E7844" t="inlineStr">
        <is>
          <t>AM07</t>
        </is>
      </c>
      <c r="F7844" s="5" t="n">
        <v>935.49</v>
      </c>
      <c r="G7844">
        <f>IF(LEFT(B7844,1)="C","Credit","Factuur")</f>
        <v/>
      </c>
      <c r="H7844">
        <f>IF(AND(B7844=B7843,D7844=D7843,A7844=A7843,F7844=F7843),1,0)</f>
        <v/>
      </c>
      <c r="I7844">
        <f>IF(C7844="C99999",1,0)</f>
        <v/>
      </c>
      <c r="J7844" s="5">
        <f>IF(OR(H7844=1,I7844=1),0,IF(G7844="Credit",-F7844,F7844))</f>
        <v/>
      </c>
    </row>
    <row r="7845">
      <c r="A7845" t="inlineStr">
        <is>
          <t>2026-09-11</t>
        </is>
      </c>
      <c r="B7845" t="inlineStr">
        <is>
          <t>F266993</t>
        </is>
      </c>
      <c r="C7845" t="inlineStr">
        <is>
          <t>C10367</t>
        </is>
      </c>
      <c r="D7845" t="inlineStr">
        <is>
          <t>SKU-10198</t>
        </is>
      </c>
      <c r="E7845" t="inlineStr">
        <is>
          <t>AM07</t>
        </is>
      </c>
      <c r="F7845" s="5" t="n">
        <v>1078.5</v>
      </c>
      <c r="G7845">
        <f>IF(LEFT(B7845,1)="C","Credit","Factuur")</f>
        <v/>
      </c>
      <c r="H7845">
        <f>IF(AND(B7845=B7844,D7845=D7844,A7845=A7844,F7845=F7844),1,0)</f>
        <v/>
      </c>
      <c r="I7845">
        <f>IF(C7845="C99999",1,0)</f>
        <v/>
      </c>
      <c r="J7845" s="5">
        <f>IF(OR(H7845=1,I7845=1),0,IF(G7845="Credit",-F7845,F7845))</f>
        <v/>
      </c>
    </row>
    <row r="7846">
      <c r="A7846" t="inlineStr">
        <is>
          <t>2026-09-11</t>
        </is>
      </c>
      <c r="B7846" t="inlineStr">
        <is>
          <t>F266993</t>
        </is>
      </c>
      <c r="C7846" t="inlineStr">
        <is>
          <t>C10367</t>
        </is>
      </c>
      <c r="D7846" t="inlineStr">
        <is>
          <t>SKU-10274</t>
        </is>
      </c>
      <c r="E7846" t="inlineStr">
        <is>
          <t>AM07</t>
        </is>
      </c>
      <c r="F7846" s="5" t="n">
        <v>1048.62</v>
      </c>
      <c r="G7846">
        <f>IF(LEFT(B7846,1)="C","Credit","Factuur")</f>
        <v/>
      </c>
      <c r="H7846">
        <f>IF(AND(B7846=B7845,D7846=D7845,A7846=A7845,F7846=F7845),1,0)</f>
        <v/>
      </c>
      <c r="I7846">
        <f>IF(C7846="C99999",1,0)</f>
        <v/>
      </c>
      <c r="J7846" s="5">
        <f>IF(OR(H7846=1,I7846=1),0,IF(G7846="Credit",-F7846,F7846))</f>
        <v/>
      </c>
    </row>
    <row r="7847">
      <c r="A7847" t="inlineStr">
        <is>
          <t>2026-09-11</t>
        </is>
      </c>
      <c r="B7847" t="inlineStr">
        <is>
          <t>F267487</t>
        </is>
      </c>
      <c r="C7847" t="inlineStr">
        <is>
          <t>C10395</t>
        </is>
      </c>
      <c r="D7847" t="inlineStr">
        <is>
          <t>SKU-10101</t>
        </is>
      </c>
      <c r="E7847" t="inlineStr">
        <is>
          <t>AM07</t>
        </is>
      </c>
      <c r="F7847" s="5" t="n">
        <v>415.66</v>
      </c>
      <c r="G7847">
        <f>IF(LEFT(B7847,1)="C","Credit","Factuur")</f>
        <v/>
      </c>
      <c r="H7847">
        <f>IF(AND(B7847=B7846,D7847=D7846,A7847=A7846,F7847=F7846),1,0)</f>
        <v/>
      </c>
      <c r="I7847">
        <f>IF(C7847="C99999",1,0)</f>
        <v/>
      </c>
      <c r="J7847" s="5">
        <f>IF(OR(H7847=1,I7847=1),0,IF(G7847="Credit",-F7847,F7847))</f>
        <v/>
      </c>
    </row>
    <row r="7848">
      <c r="A7848" t="inlineStr">
        <is>
          <t>2026-09-11</t>
        </is>
      </c>
      <c r="B7848" t="inlineStr">
        <is>
          <t>F267487</t>
        </is>
      </c>
      <c r="C7848" t="inlineStr">
        <is>
          <t>C10395</t>
        </is>
      </c>
      <c r="D7848" t="inlineStr">
        <is>
          <t>SKU-10165</t>
        </is>
      </c>
      <c r="E7848" t="inlineStr">
        <is>
          <t>AM07</t>
        </is>
      </c>
      <c r="F7848" s="5" t="n">
        <v>412.56</v>
      </c>
      <c r="G7848">
        <f>IF(LEFT(B7848,1)="C","Credit","Factuur")</f>
        <v/>
      </c>
      <c r="H7848">
        <f>IF(AND(B7848=B7847,D7848=D7847,A7848=A7847,F7848=F7847),1,0)</f>
        <v/>
      </c>
      <c r="I7848">
        <f>IF(C7848="C99999",1,0)</f>
        <v/>
      </c>
      <c r="J7848" s="5">
        <f>IF(OR(H7848=1,I7848=1),0,IF(G7848="Credit",-F7848,F7848))</f>
        <v/>
      </c>
    </row>
    <row r="7849">
      <c r="A7849" t="inlineStr">
        <is>
          <t>2026-09-11</t>
        </is>
      </c>
      <c r="B7849" t="inlineStr">
        <is>
          <t>F267487</t>
        </is>
      </c>
      <c r="C7849" t="inlineStr">
        <is>
          <t>C10395</t>
        </is>
      </c>
      <c r="D7849" t="inlineStr">
        <is>
          <t>SKU-10203</t>
        </is>
      </c>
      <c r="E7849" t="inlineStr">
        <is>
          <t>AM07</t>
        </is>
      </c>
      <c r="F7849" s="5" t="n">
        <v>401.22</v>
      </c>
      <c r="G7849">
        <f>IF(LEFT(B7849,1)="C","Credit","Factuur")</f>
        <v/>
      </c>
      <c r="H7849">
        <f>IF(AND(B7849=B7848,D7849=D7848,A7849=A7848,F7849=F7848),1,0)</f>
        <v/>
      </c>
      <c r="I7849">
        <f>IF(C7849="C99999",1,0)</f>
        <v/>
      </c>
      <c r="J7849" s="5">
        <f>IF(OR(H7849=1,I7849=1),0,IF(G7849="Credit",-F7849,F7849))</f>
        <v/>
      </c>
    </row>
    <row r="7850">
      <c r="A7850" t="inlineStr">
        <is>
          <t>2026-09-11</t>
        </is>
      </c>
      <c r="B7850" t="inlineStr">
        <is>
          <t>F267487</t>
        </is>
      </c>
      <c r="C7850" t="inlineStr">
        <is>
          <t>C10395</t>
        </is>
      </c>
      <c r="D7850" t="inlineStr">
        <is>
          <t>SKU-10260</t>
        </is>
      </c>
      <c r="E7850" t="inlineStr">
        <is>
          <t>AM07</t>
        </is>
      </c>
      <c r="F7850" s="5" t="n">
        <v>386.75</v>
      </c>
      <c r="G7850">
        <f>IF(LEFT(B7850,1)="C","Credit","Factuur")</f>
        <v/>
      </c>
      <c r="H7850">
        <f>IF(AND(B7850=B7849,D7850=D7849,A7850=A7849,F7850=F7849),1,0)</f>
        <v/>
      </c>
      <c r="I7850">
        <f>IF(C7850="C99999",1,0)</f>
        <v/>
      </c>
      <c r="J7850" s="5">
        <f>IF(OR(H7850=1,I7850=1),0,IF(G7850="Credit",-F7850,F7850))</f>
        <v/>
      </c>
    </row>
    <row r="7851">
      <c r="A7851" t="inlineStr">
        <is>
          <t>2026-09-11</t>
        </is>
      </c>
      <c r="B7851" t="inlineStr">
        <is>
          <t>F267550</t>
        </is>
      </c>
      <c r="C7851" t="inlineStr">
        <is>
          <t>C10397</t>
        </is>
      </c>
      <c r="D7851" t="inlineStr">
        <is>
          <t>SKU-10077</t>
        </is>
      </c>
      <c r="E7851" t="inlineStr">
        <is>
          <t>AM03</t>
        </is>
      </c>
      <c r="F7851" s="5" t="n">
        <v>120.48</v>
      </c>
      <c r="G7851">
        <f>IF(LEFT(B7851,1)="C","Credit","Factuur")</f>
        <v/>
      </c>
      <c r="H7851">
        <f>IF(AND(B7851=B7850,D7851=D7850,A7851=A7850,F7851=F7850),1,0)</f>
        <v/>
      </c>
      <c r="I7851">
        <f>IF(C7851="C99999",1,0)</f>
        <v/>
      </c>
      <c r="J7851" s="5">
        <f>IF(OR(H7851=1,I7851=1),0,IF(G7851="Credit",-F7851,F7851))</f>
        <v/>
      </c>
    </row>
    <row r="7852">
      <c r="A7852" t="inlineStr">
        <is>
          <t>2026-09-11</t>
        </is>
      </c>
      <c r="B7852" t="inlineStr">
        <is>
          <t>F267550</t>
        </is>
      </c>
      <c r="C7852" t="inlineStr">
        <is>
          <t>C10397</t>
        </is>
      </c>
      <c r="D7852" t="inlineStr">
        <is>
          <t>SKU-10127</t>
        </is>
      </c>
      <c r="E7852" t="inlineStr">
        <is>
          <t>AM03</t>
        </is>
      </c>
      <c r="F7852" s="5" t="n">
        <v>86.97</v>
      </c>
      <c r="G7852">
        <f>IF(LEFT(B7852,1)="C","Credit","Factuur")</f>
        <v/>
      </c>
      <c r="H7852">
        <f>IF(AND(B7852=B7851,D7852=D7851,A7852=A7851,F7852=F7851),1,0)</f>
        <v/>
      </c>
      <c r="I7852">
        <f>IF(C7852="C99999",1,0)</f>
        <v/>
      </c>
      <c r="J7852" s="5">
        <f>IF(OR(H7852=1,I7852=1),0,IF(G7852="Credit",-F7852,F7852))</f>
        <v/>
      </c>
    </row>
    <row r="7853">
      <c r="A7853" t="inlineStr">
        <is>
          <t>2026-09-11</t>
        </is>
      </c>
      <c r="B7853" t="inlineStr">
        <is>
          <t>F267550</t>
        </is>
      </c>
      <c r="C7853" t="inlineStr">
        <is>
          <t>C10397</t>
        </is>
      </c>
      <c r="D7853" t="inlineStr">
        <is>
          <t>SKU-10213</t>
        </is>
      </c>
      <c r="E7853" t="inlineStr">
        <is>
          <t>AM03</t>
        </is>
      </c>
      <c r="F7853" s="5" t="n">
        <v>126.68</v>
      </c>
      <c r="G7853">
        <f>IF(LEFT(B7853,1)="C","Credit","Factuur")</f>
        <v/>
      </c>
      <c r="H7853">
        <f>IF(AND(B7853=B7852,D7853=D7852,A7853=A7852,F7853=F7852),1,0)</f>
        <v/>
      </c>
      <c r="I7853">
        <f>IF(C7853="C99999",1,0)</f>
        <v/>
      </c>
      <c r="J7853" s="5">
        <f>IF(OR(H7853=1,I7853=1),0,IF(G7853="Credit",-F7853,F7853))</f>
        <v/>
      </c>
    </row>
    <row r="7854">
      <c r="A7854" t="inlineStr">
        <is>
          <t>2026-09-11</t>
        </is>
      </c>
      <c r="B7854" t="inlineStr">
        <is>
          <t>F267550</t>
        </is>
      </c>
      <c r="C7854" t="inlineStr">
        <is>
          <t>C10397</t>
        </is>
      </c>
      <c r="D7854" t="inlineStr">
        <is>
          <t>SKU-10373</t>
        </is>
      </c>
      <c r="E7854" t="inlineStr">
        <is>
          <t>AM03</t>
        </is>
      </c>
      <c r="F7854" s="5" t="n">
        <v>340.18</v>
      </c>
      <c r="G7854">
        <f>IF(LEFT(B7854,1)="C","Credit","Factuur")</f>
        <v/>
      </c>
      <c r="H7854">
        <f>IF(AND(B7854=B7853,D7854=D7853,A7854=A7853,F7854=F7853),1,0)</f>
        <v/>
      </c>
      <c r="I7854">
        <f>IF(C7854="C99999",1,0)</f>
        <v/>
      </c>
      <c r="J7854" s="5">
        <f>IF(OR(H7854=1,I7854=1),0,IF(G7854="Credit",-F7854,F7854))</f>
        <v/>
      </c>
    </row>
    <row r="7855">
      <c r="A7855" t="inlineStr">
        <is>
          <t>2026-09-11</t>
        </is>
      </c>
      <c r="B7855" t="inlineStr">
        <is>
          <t>F267735</t>
        </is>
      </c>
      <c r="C7855" t="inlineStr">
        <is>
          <t>C10407</t>
        </is>
      </c>
      <c r="D7855" t="inlineStr">
        <is>
          <t>SKU-10134</t>
        </is>
      </c>
      <c r="E7855" t="inlineStr">
        <is>
          <t>AM12</t>
        </is>
      </c>
      <c r="F7855" s="5" t="n">
        <v>478.38</v>
      </c>
      <c r="G7855">
        <f>IF(LEFT(B7855,1)="C","Credit","Factuur")</f>
        <v/>
      </c>
      <c r="H7855">
        <f>IF(AND(B7855=B7854,D7855=D7854,A7855=A7854,F7855=F7854),1,0)</f>
        <v/>
      </c>
      <c r="I7855">
        <f>IF(C7855="C99999",1,0)</f>
        <v/>
      </c>
      <c r="J7855" s="5">
        <f>IF(OR(H7855=1,I7855=1),0,IF(G7855="Credit",-F7855,F7855))</f>
        <v/>
      </c>
    </row>
    <row r="7856">
      <c r="A7856" t="inlineStr">
        <is>
          <t>2026-09-11</t>
        </is>
      </c>
      <c r="B7856" t="inlineStr">
        <is>
          <t>F267735</t>
        </is>
      </c>
      <c r="C7856" t="inlineStr">
        <is>
          <t>C10407</t>
        </is>
      </c>
      <c r="D7856" t="inlineStr">
        <is>
          <t>SKU-10301</t>
        </is>
      </c>
      <c r="E7856" t="inlineStr">
        <is>
          <t>AM12</t>
        </is>
      </c>
      <c r="F7856" s="5" t="n">
        <v>462.4</v>
      </c>
      <c r="G7856">
        <f>IF(LEFT(B7856,1)="C","Credit","Factuur")</f>
        <v/>
      </c>
      <c r="H7856">
        <f>IF(AND(B7856=B7855,D7856=D7855,A7856=A7855,F7856=F7855),1,0)</f>
        <v/>
      </c>
      <c r="I7856">
        <f>IF(C7856="C99999",1,0)</f>
        <v/>
      </c>
      <c r="J7856" s="5">
        <f>IF(OR(H7856=1,I7856=1),0,IF(G7856="Credit",-F7856,F7856))</f>
        <v/>
      </c>
    </row>
    <row r="7857">
      <c r="A7857" t="inlineStr">
        <is>
          <t>2026-09-11</t>
        </is>
      </c>
      <c r="B7857" t="inlineStr">
        <is>
          <t>F267735</t>
        </is>
      </c>
      <c r="C7857" t="inlineStr">
        <is>
          <t>C10407</t>
        </is>
      </c>
      <c r="D7857" t="inlineStr">
        <is>
          <t>SKU-10345</t>
        </is>
      </c>
      <c r="E7857" t="inlineStr">
        <is>
          <t>AM12</t>
        </is>
      </c>
      <c r="F7857" s="5" t="n">
        <v>469.43</v>
      </c>
      <c r="G7857">
        <f>IF(LEFT(B7857,1)="C","Credit","Factuur")</f>
        <v/>
      </c>
      <c r="H7857">
        <f>IF(AND(B7857=B7856,D7857=D7856,A7857=A7856,F7857=F7856),1,0)</f>
        <v/>
      </c>
      <c r="I7857">
        <f>IF(C7857="C99999",1,0)</f>
        <v/>
      </c>
      <c r="J7857" s="5">
        <f>IF(OR(H7857=1,I7857=1),0,IF(G7857="Credit",-F7857,F7857))</f>
        <v/>
      </c>
    </row>
    <row r="7858">
      <c r="A7858" t="inlineStr">
        <is>
          <t>2026-09-11</t>
        </is>
      </c>
      <c r="B7858" t="inlineStr">
        <is>
          <t>F267751</t>
        </is>
      </c>
      <c r="C7858" t="inlineStr">
        <is>
          <t>C10407</t>
        </is>
      </c>
      <c r="D7858" t="inlineStr">
        <is>
          <t>SKU-10173</t>
        </is>
      </c>
      <c r="E7858" t="inlineStr">
        <is>
          <t>AM12</t>
        </is>
      </c>
      <c r="F7858" s="5" t="n">
        <v>731</v>
      </c>
      <c r="G7858">
        <f>IF(LEFT(B7858,1)="C","Credit","Factuur")</f>
        <v/>
      </c>
      <c r="H7858">
        <f>IF(AND(B7858=B7857,D7858=D7857,A7858=A7857,F7858=F7857),1,0)</f>
        <v/>
      </c>
      <c r="I7858">
        <f>IF(C7858="C99999",1,0)</f>
        <v/>
      </c>
      <c r="J7858" s="5">
        <f>IF(OR(H7858=1,I7858=1),0,IF(G7858="Credit",-F7858,F7858))</f>
        <v/>
      </c>
    </row>
    <row r="7859">
      <c r="A7859" t="inlineStr">
        <is>
          <t>2026-09-11</t>
        </is>
      </c>
      <c r="B7859" t="inlineStr">
        <is>
          <t>F267751</t>
        </is>
      </c>
      <c r="C7859" t="inlineStr">
        <is>
          <t>C10407</t>
        </is>
      </c>
      <c r="D7859" t="inlineStr">
        <is>
          <t>SKU-10194</t>
        </is>
      </c>
      <c r="E7859" t="inlineStr">
        <is>
          <t>AM12</t>
        </is>
      </c>
      <c r="F7859" s="5" t="n">
        <v>705.0599999999999</v>
      </c>
      <c r="G7859">
        <f>IF(LEFT(B7859,1)="C","Credit","Factuur")</f>
        <v/>
      </c>
      <c r="H7859">
        <f>IF(AND(B7859=B7858,D7859=D7858,A7859=A7858,F7859=F7858),1,0)</f>
        <v/>
      </c>
      <c r="I7859">
        <f>IF(C7859="C99999",1,0)</f>
        <v/>
      </c>
      <c r="J7859" s="5">
        <f>IF(OR(H7859=1,I7859=1),0,IF(G7859="Credit",-F7859,F7859))</f>
        <v/>
      </c>
    </row>
    <row r="7860">
      <c r="A7860" t="inlineStr">
        <is>
          <t>2026-09-11</t>
        </is>
      </c>
      <c r="B7860" t="inlineStr">
        <is>
          <t>F267907</t>
        </is>
      </c>
      <c r="C7860" t="inlineStr">
        <is>
          <t>C10415</t>
        </is>
      </c>
      <c r="D7860" t="inlineStr">
        <is>
          <t>SKU-10098</t>
        </is>
      </c>
      <c r="E7860" t="inlineStr">
        <is>
          <t>AM01</t>
        </is>
      </c>
      <c r="F7860" s="5" t="n">
        <v>105.63</v>
      </c>
      <c r="G7860">
        <f>IF(LEFT(B7860,1)="C","Credit","Factuur")</f>
        <v/>
      </c>
      <c r="H7860">
        <f>IF(AND(B7860=B7859,D7860=D7859,A7860=A7859,F7860=F7859),1,0)</f>
        <v/>
      </c>
      <c r="I7860">
        <f>IF(C7860="C99999",1,0)</f>
        <v/>
      </c>
      <c r="J7860" s="5">
        <f>IF(OR(H7860=1,I7860=1),0,IF(G7860="Credit",-F7860,F7860))</f>
        <v/>
      </c>
    </row>
    <row r="7861">
      <c r="A7861" t="inlineStr">
        <is>
          <t>2026-09-11</t>
        </is>
      </c>
      <c r="B7861" t="inlineStr">
        <is>
          <t>F267907</t>
        </is>
      </c>
      <c r="C7861" t="inlineStr">
        <is>
          <t>C10415</t>
        </is>
      </c>
      <c r="D7861" t="inlineStr">
        <is>
          <t>SKU-10113</t>
        </is>
      </c>
      <c r="E7861" t="inlineStr">
        <is>
          <t>AM01</t>
        </is>
      </c>
      <c r="F7861" s="5" t="n">
        <v>76.5</v>
      </c>
      <c r="G7861">
        <f>IF(LEFT(B7861,1)="C","Credit","Factuur")</f>
        <v/>
      </c>
      <c r="H7861">
        <f>IF(AND(B7861=B7860,D7861=D7860,A7861=A7860,F7861=F7860),1,0)</f>
        <v/>
      </c>
      <c r="I7861">
        <f>IF(C7861="C99999",1,0)</f>
        <v/>
      </c>
      <c r="J7861" s="5">
        <f>IF(OR(H7861=1,I7861=1),0,IF(G7861="Credit",-F7861,F7861))</f>
        <v/>
      </c>
    </row>
    <row r="7862">
      <c r="A7862" t="inlineStr">
        <is>
          <t>2026-09-11</t>
        </is>
      </c>
      <c r="B7862" t="inlineStr">
        <is>
          <t>F267907</t>
        </is>
      </c>
      <c r="C7862" t="inlineStr">
        <is>
          <t>C10415</t>
        </is>
      </c>
      <c r="D7862" t="inlineStr">
        <is>
          <t>SKU-10223</t>
        </is>
      </c>
      <c r="E7862" t="inlineStr">
        <is>
          <t>AM01</t>
        </is>
      </c>
      <c r="F7862" s="5" t="n">
        <v>91.08</v>
      </c>
      <c r="G7862">
        <f>IF(LEFT(B7862,1)="C","Credit","Factuur")</f>
        <v/>
      </c>
      <c r="H7862">
        <f>IF(AND(B7862=B7861,D7862=D7861,A7862=A7861,F7862=F7861),1,0)</f>
        <v/>
      </c>
      <c r="I7862">
        <f>IF(C7862="C99999",1,0)</f>
        <v/>
      </c>
      <c r="J7862" s="5">
        <f>IF(OR(H7862=1,I7862=1),0,IF(G7862="Credit",-F7862,F7862))</f>
        <v/>
      </c>
    </row>
    <row r="7863">
      <c r="A7863" t="inlineStr">
        <is>
          <t>2026-09-11</t>
        </is>
      </c>
      <c r="B7863" t="inlineStr">
        <is>
          <t>F267907</t>
        </is>
      </c>
      <c r="C7863" t="inlineStr">
        <is>
          <t>C10415</t>
        </is>
      </c>
      <c r="D7863" t="inlineStr">
        <is>
          <t>SKU-10351</t>
        </is>
      </c>
      <c r="E7863" t="inlineStr">
        <is>
          <t>AM01</t>
        </is>
      </c>
      <c r="F7863" s="5" t="n">
        <v>636.89</v>
      </c>
      <c r="G7863">
        <f>IF(LEFT(B7863,1)="C","Credit","Factuur")</f>
        <v/>
      </c>
      <c r="H7863">
        <f>IF(AND(B7863=B7862,D7863=D7862,A7863=A7862,F7863=F7862),1,0)</f>
        <v/>
      </c>
      <c r="I7863">
        <f>IF(C7863="C99999",1,0)</f>
        <v/>
      </c>
      <c r="J7863" s="5">
        <f>IF(OR(H7863=1,I7863=1),0,IF(G7863="Credit",-F7863,F7863))</f>
        <v/>
      </c>
    </row>
    <row r="7864">
      <c r="A7864" t="inlineStr">
        <is>
          <t>2026-09-11</t>
        </is>
      </c>
      <c r="B7864" t="inlineStr">
        <is>
          <t>F268026</t>
        </is>
      </c>
      <c r="C7864" t="inlineStr">
        <is>
          <t>C10422</t>
        </is>
      </c>
      <c r="D7864" t="inlineStr">
        <is>
          <t>SKU-10303</t>
        </is>
      </c>
      <c r="E7864" t="inlineStr">
        <is>
          <t>AM12</t>
        </is>
      </c>
      <c r="F7864" s="5" t="n">
        <v>942.99</v>
      </c>
      <c r="G7864">
        <f>IF(LEFT(B7864,1)="C","Credit","Factuur")</f>
        <v/>
      </c>
      <c r="H7864">
        <f>IF(AND(B7864=B7863,D7864=D7863,A7864=A7863,F7864=F7863),1,0)</f>
        <v/>
      </c>
      <c r="I7864">
        <f>IF(C7864="C99999",1,0)</f>
        <v/>
      </c>
      <c r="J7864" s="5">
        <f>IF(OR(H7864=1,I7864=1),0,IF(G7864="Credit",-F7864,F7864))</f>
        <v/>
      </c>
    </row>
    <row r="7865">
      <c r="A7865" t="inlineStr">
        <is>
          <t>2026-09-11</t>
        </is>
      </c>
      <c r="B7865" t="inlineStr">
        <is>
          <t>F268435</t>
        </is>
      </c>
      <c r="C7865" t="inlineStr">
        <is>
          <t>C10442</t>
        </is>
      </c>
      <c r="D7865" t="inlineStr">
        <is>
          <t>SKU-10128</t>
        </is>
      </c>
      <c r="E7865" t="inlineStr">
        <is>
          <t>AM06</t>
        </is>
      </c>
      <c r="F7865" s="5" t="n">
        <v>107.13</v>
      </c>
      <c r="G7865">
        <f>IF(LEFT(B7865,1)="C","Credit","Factuur")</f>
        <v/>
      </c>
      <c r="H7865">
        <f>IF(AND(B7865=B7864,D7865=D7864,A7865=A7864,F7865=F7864),1,0)</f>
        <v/>
      </c>
      <c r="I7865">
        <f>IF(C7865="C99999",1,0)</f>
        <v/>
      </c>
      <c r="J7865" s="5">
        <f>IF(OR(H7865=1,I7865=1),0,IF(G7865="Credit",-F7865,F7865))</f>
        <v/>
      </c>
    </row>
    <row r="7866">
      <c r="A7866" t="inlineStr">
        <is>
          <t>2026-09-11</t>
        </is>
      </c>
      <c r="B7866" t="inlineStr">
        <is>
          <t>F268435</t>
        </is>
      </c>
      <c r="C7866" t="inlineStr">
        <is>
          <t>C10442</t>
        </is>
      </c>
      <c r="D7866" t="inlineStr">
        <is>
          <t>SKU-10291</t>
        </is>
      </c>
      <c r="E7866" t="inlineStr">
        <is>
          <t>AM06</t>
        </is>
      </c>
      <c r="F7866" s="5" t="n">
        <v>116.01</v>
      </c>
      <c r="G7866">
        <f>IF(LEFT(B7866,1)="C","Credit","Factuur")</f>
        <v/>
      </c>
      <c r="H7866">
        <f>IF(AND(B7866=B7865,D7866=D7865,A7866=A7865,F7866=F7865),1,0)</f>
        <v/>
      </c>
      <c r="I7866">
        <f>IF(C7866="C99999",1,0)</f>
        <v/>
      </c>
      <c r="J7866" s="5">
        <f>IF(OR(H7866=1,I7866=1),0,IF(G7866="Credit",-F7866,F7866))</f>
        <v/>
      </c>
    </row>
    <row r="7867">
      <c r="A7867" t="inlineStr">
        <is>
          <t>2026-09-11</t>
        </is>
      </c>
      <c r="B7867" t="inlineStr">
        <is>
          <t>F268435</t>
        </is>
      </c>
      <c r="C7867" t="inlineStr">
        <is>
          <t>C10442</t>
        </is>
      </c>
      <c r="D7867" t="inlineStr">
        <is>
          <t>SKU-10322</t>
        </is>
      </c>
      <c r="E7867" t="inlineStr">
        <is>
          <t>AM06</t>
        </is>
      </c>
      <c r="F7867" s="5" t="n">
        <v>108.44</v>
      </c>
      <c r="G7867">
        <f>IF(LEFT(B7867,1)="C","Credit","Factuur")</f>
        <v/>
      </c>
      <c r="H7867">
        <f>IF(AND(B7867=B7866,D7867=D7866,A7867=A7866,F7867=F7866),1,0)</f>
        <v/>
      </c>
      <c r="I7867">
        <f>IF(C7867="C99999",1,0)</f>
        <v/>
      </c>
      <c r="J7867" s="5">
        <f>IF(OR(H7867=1,I7867=1),0,IF(G7867="Credit",-F7867,F7867))</f>
        <v/>
      </c>
    </row>
    <row r="7868">
      <c r="A7868" t="inlineStr">
        <is>
          <t>2026-09-11</t>
        </is>
      </c>
      <c r="B7868" t="inlineStr">
        <is>
          <t>F268435</t>
        </is>
      </c>
      <c r="C7868" t="inlineStr">
        <is>
          <t>C10442</t>
        </is>
      </c>
      <c r="D7868" t="inlineStr">
        <is>
          <t>SKU-10338</t>
        </is>
      </c>
      <c r="E7868" t="inlineStr">
        <is>
          <t>AM06</t>
        </is>
      </c>
      <c r="F7868" s="5" t="n">
        <v>106.16</v>
      </c>
      <c r="G7868">
        <f>IF(LEFT(B7868,1)="C","Credit","Factuur")</f>
        <v/>
      </c>
      <c r="H7868">
        <f>IF(AND(B7868=B7867,D7868=D7867,A7868=A7867,F7868=F7867),1,0)</f>
        <v/>
      </c>
      <c r="I7868">
        <f>IF(C7868="C99999",1,0)</f>
        <v/>
      </c>
      <c r="J7868" s="5">
        <f>IF(OR(H7868=1,I7868=1),0,IF(G7868="Credit",-F7868,F7868))</f>
        <v/>
      </c>
    </row>
    <row r="7869">
      <c r="A7869" t="inlineStr">
        <is>
          <t>2026-09-11</t>
        </is>
      </c>
      <c r="B7869" t="inlineStr">
        <is>
          <t>F268644</t>
        </is>
      </c>
      <c r="C7869" t="inlineStr">
        <is>
          <t>C10453</t>
        </is>
      </c>
      <c r="D7869" t="inlineStr">
        <is>
          <t>SKU-10038</t>
        </is>
      </c>
      <c r="E7869" t="inlineStr">
        <is>
          <t>AM12</t>
        </is>
      </c>
      <c r="F7869" s="5" t="n">
        <v>1161.09</v>
      </c>
      <c r="G7869">
        <f>IF(LEFT(B7869,1)="C","Credit","Factuur")</f>
        <v/>
      </c>
      <c r="H7869">
        <f>IF(AND(B7869=B7868,D7869=D7868,A7869=A7868,F7869=F7868),1,0)</f>
        <v/>
      </c>
      <c r="I7869">
        <f>IF(C7869="C99999",1,0)</f>
        <v/>
      </c>
      <c r="J7869" s="5">
        <f>IF(OR(H7869=1,I7869=1),0,IF(G7869="Credit",-F7869,F7869))</f>
        <v/>
      </c>
    </row>
    <row r="7870">
      <c r="A7870" t="inlineStr">
        <is>
          <t>2026-09-11</t>
        </is>
      </c>
      <c r="B7870" t="inlineStr">
        <is>
          <t>F268644</t>
        </is>
      </c>
      <c r="C7870" t="inlineStr">
        <is>
          <t>C10453</t>
        </is>
      </c>
      <c r="D7870" t="inlineStr">
        <is>
          <t>SKU-10055</t>
        </is>
      </c>
      <c r="E7870" t="inlineStr">
        <is>
          <t>AM12</t>
        </is>
      </c>
      <c r="F7870" s="5" t="n">
        <v>1146.73</v>
      </c>
      <c r="G7870">
        <f>IF(LEFT(B7870,1)="C","Credit","Factuur")</f>
        <v/>
      </c>
      <c r="H7870">
        <f>IF(AND(B7870=B7869,D7870=D7869,A7870=A7869,F7870=F7869),1,0)</f>
        <v/>
      </c>
      <c r="I7870">
        <f>IF(C7870="C99999",1,0)</f>
        <v/>
      </c>
      <c r="J7870" s="5">
        <f>IF(OR(H7870=1,I7870=1),0,IF(G7870="Credit",-F7870,F7870))</f>
        <v/>
      </c>
    </row>
    <row r="7871">
      <c r="A7871" t="inlineStr">
        <is>
          <t>2026-09-11</t>
        </is>
      </c>
      <c r="B7871" t="inlineStr">
        <is>
          <t>F268644</t>
        </is>
      </c>
      <c r="C7871" t="inlineStr">
        <is>
          <t>C10453</t>
        </is>
      </c>
      <c r="D7871" t="inlineStr">
        <is>
          <t>SKU-10319</t>
        </is>
      </c>
      <c r="E7871" t="inlineStr">
        <is>
          <t>AM12</t>
        </is>
      </c>
      <c r="F7871" s="5" t="n">
        <v>1154.71</v>
      </c>
      <c r="G7871">
        <f>IF(LEFT(B7871,1)="C","Credit","Factuur")</f>
        <v/>
      </c>
      <c r="H7871">
        <f>IF(AND(B7871=B7870,D7871=D7870,A7871=A7870,F7871=F7870),1,0)</f>
        <v/>
      </c>
      <c r="I7871">
        <f>IF(C7871="C99999",1,0)</f>
        <v/>
      </c>
      <c r="J7871" s="5">
        <f>IF(OR(H7871=1,I7871=1),0,IF(G7871="Credit",-F7871,F7871))</f>
        <v/>
      </c>
    </row>
    <row r="7872">
      <c r="A7872" t="inlineStr">
        <is>
          <t>2026-09-11</t>
        </is>
      </c>
      <c r="B7872" t="inlineStr">
        <is>
          <t>F268916</t>
        </is>
      </c>
      <c r="C7872" t="inlineStr">
        <is>
          <t>C10464</t>
        </is>
      </c>
      <c r="D7872" t="inlineStr">
        <is>
          <t>SKU-10048</t>
        </is>
      </c>
      <c r="E7872" t="inlineStr">
        <is>
          <t>AM07</t>
        </is>
      </c>
      <c r="F7872" s="5" t="n">
        <v>1049.57</v>
      </c>
      <c r="G7872">
        <f>IF(LEFT(B7872,1)="C","Credit","Factuur")</f>
        <v/>
      </c>
      <c r="H7872">
        <f>IF(AND(B7872=B7871,D7872=D7871,A7872=A7871,F7872=F7871),1,0)</f>
        <v/>
      </c>
      <c r="I7872">
        <f>IF(C7872="C99999",1,0)</f>
        <v/>
      </c>
      <c r="J7872" s="5">
        <f>IF(OR(H7872=1,I7872=1),0,IF(G7872="Credit",-F7872,F7872))</f>
        <v/>
      </c>
    </row>
    <row r="7873">
      <c r="A7873" t="inlineStr">
        <is>
          <t>2026-09-11</t>
        </is>
      </c>
      <c r="B7873" t="inlineStr">
        <is>
          <t>F268916</t>
        </is>
      </c>
      <c r="C7873" t="inlineStr">
        <is>
          <t>C10464</t>
        </is>
      </c>
      <c r="D7873" t="inlineStr">
        <is>
          <t>SKU-10315</t>
        </is>
      </c>
      <c r="E7873" t="inlineStr">
        <is>
          <t>AM07</t>
        </is>
      </c>
      <c r="F7873" s="5" t="n">
        <v>1089</v>
      </c>
      <c r="G7873">
        <f>IF(LEFT(B7873,1)="C","Credit","Factuur")</f>
        <v/>
      </c>
      <c r="H7873">
        <f>IF(AND(B7873=B7872,D7873=D7872,A7873=A7872,F7873=F7872),1,0)</f>
        <v/>
      </c>
      <c r="I7873">
        <f>IF(C7873="C99999",1,0)</f>
        <v/>
      </c>
      <c r="J7873" s="5">
        <f>IF(OR(H7873=1,I7873=1),0,IF(G7873="Credit",-F7873,F7873))</f>
        <v/>
      </c>
    </row>
    <row r="7874">
      <c r="A7874" t="inlineStr">
        <is>
          <t>2026-09-11</t>
        </is>
      </c>
      <c r="B7874" t="inlineStr">
        <is>
          <t>F268959</t>
        </is>
      </c>
      <c r="C7874" t="inlineStr">
        <is>
          <t>C10466</t>
        </is>
      </c>
      <c r="D7874" t="inlineStr">
        <is>
          <t>SKU-10077</t>
        </is>
      </c>
      <c r="E7874" t="inlineStr">
        <is>
          <t>AM05</t>
        </is>
      </c>
      <c r="F7874" s="5" t="n">
        <v>180.72</v>
      </c>
      <c r="G7874">
        <f>IF(LEFT(B7874,1)="C","Credit","Factuur")</f>
        <v/>
      </c>
      <c r="H7874">
        <f>IF(AND(B7874=B7873,D7874=D7873,A7874=A7873,F7874=F7873),1,0)</f>
        <v/>
      </c>
      <c r="I7874">
        <f>IF(C7874="C99999",1,0)</f>
        <v/>
      </c>
      <c r="J7874" s="5">
        <f>IF(OR(H7874=1,I7874=1),0,IF(G7874="Credit",-F7874,F7874))</f>
        <v/>
      </c>
    </row>
    <row r="7875">
      <c r="A7875" t="inlineStr">
        <is>
          <t>2026-09-11</t>
        </is>
      </c>
      <c r="B7875" t="inlineStr">
        <is>
          <t>F268959</t>
        </is>
      </c>
      <c r="C7875" t="inlineStr">
        <is>
          <t>C10466</t>
        </is>
      </c>
      <c r="D7875" t="inlineStr">
        <is>
          <t>SKU-10231</t>
        </is>
      </c>
      <c r="E7875" t="inlineStr">
        <is>
          <t>AM05</t>
        </is>
      </c>
      <c r="F7875" s="5" t="n">
        <v>163.19</v>
      </c>
      <c r="G7875">
        <f>IF(LEFT(B7875,1)="C","Credit","Factuur")</f>
        <v/>
      </c>
      <c r="H7875">
        <f>IF(AND(B7875=B7874,D7875=D7874,A7875=A7874,F7875=F7874),1,0)</f>
        <v/>
      </c>
      <c r="I7875">
        <f>IF(C7875="C99999",1,0)</f>
        <v/>
      </c>
      <c r="J7875" s="5">
        <f>IF(OR(H7875=1,I7875=1),0,IF(G7875="Credit",-F7875,F7875))</f>
        <v/>
      </c>
    </row>
    <row r="7876">
      <c r="A7876" t="inlineStr">
        <is>
          <t>2026-09-11</t>
        </is>
      </c>
      <c r="B7876" t="inlineStr">
        <is>
          <t>F268959</t>
        </is>
      </c>
      <c r="C7876" t="inlineStr">
        <is>
          <t>C10466</t>
        </is>
      </c>
      <c r="D7876" t="inlineStr">
        <is>
          <t>SKU-10340</t>
        </is>
      </c>
      <c r="E7876" t="inlineStr">
        <is>
          <t>AM05</t>
        </is>
      </c>
      <c r="F7876" s="5" t="n">
        <v>173.36</v>
      </c>
      <c r="G7876">
        <f>IF(LEFT(B7876,1)="C","Credit","Factuur")</f>
        <v/>
      </c>
      <c r="H7876">
        <f>IF(AND(B7876=B7875,D7876=D7875,A7876=A7875,F7876=F7875),1,0)</f>
        <v/>
      </c>
      <c r="I7876">
        <f>IF(C7876="C99999",1,0)</f>
        <v/>
      </c>
      <c r="J7876" s="5">
        <f>IF(OR(H7876=1,I7876=1),0,IF(G7876="Credit",-F7876,F7876))</f>
        <v/>
      </c>
    </row>
    <row r="7877">
      <c r="A7877" t="inlineStr">
        <is>
          <t>2026-09-11</t>
        </is>
      </c>
      <c r="B7877" t="inlineStr">
        <is>
          <t>F269169</t>
        </is>
      </c>
      <c r="C7877" t="inlineStr">
        <is>
          <t>C10480</t>
        </is>
      </c>
      <c r="D7877" t="inlineStr">
        <is>
          <t>SKU-10110</t>
        </is>
      </c>
      <c r="E7877" t="inlineStr">
        <is>
          <t>AM07</t>
        </is>
      </c>
      <c r="F7877" s="5" t="n">
        <v>703.95</v>
      </c>
      <c r="G7877">
        <f>IF(LEFT(B7877,1)="C","Credit","Factuur")</f>
        <v/>
      </c>
      <c r="H7877">
        <f>IF(AND(B7877=B7876,D7877=D7876,A7877=A7876,F7877=F7876),1,0)</f>
        <v/>
      </c>
      <c r="I7877">
        <f>IF(C7877="C99999",1,0)</f>
        <v/>
      </c>
      <c r="J7877" s="5">
        <f>IF(OR(H7877=1,I7877=1),0,IF(G7877="Credit",-F7877,F7877))</f>
        <v/>
      </c>
    </row>
    <row r="7878">
      <c r="A7878" t="inlineStr">
        <is>
          <t>2026-09-11</t>
        </is>
      </c>
      <c r="B7878" t="inlineStr">
        <is>
          <t>F269169</t>
        </is>
      </c>
      <c r="C7878" t="inlineStr">
        <is>
          <t>C10480</t>
        </is>
      </c>
      <c r="D7878" t="inlineStr">
        <is>
          <t>SKU-10177</t>
        </is>
      </c>
      <c r="E7878" t="inlineStr">
        <is>
          <t>AM07</t>
        </is>
      </c>
      <c r="F7878" s="5" t="n">
        <v>736.16</v>
      </c>
      <c r="G7878">
        <f>IF(LEFT(B7878,1)="C","Credit","Factuur")</f>
        <v/>
      </c>
      <c r="H7878">
        <f>IF(AND(B7878=B7877,D7878=D7877,A7878=A7877,F7878=F7877),1,0)</f>
        <v/>
      </c>
      <c r="I7878">
        <f>IF(C7878="C99999",1,0)</f>
        <v/>
      </c>
      <c r="J7878" s="5">
        <f>IF(OR(H7878=1,I7878=1),0,IF(G7878="Credit",-F7878,F7878))</f>
        <v/>
      </c>
    </row>
    <row r="7879">
      <c r="A7879" t="inlineStr">
        <is>
          <t>2026-09-11</t>
        </is>
      </c>
      <c r="B7879" t="inlineStr">
        <is>
          <t>F269255</t>
        </is>
      </c>
      <c r="C7879" t="inlineStr">
        <is>
          <t>C10487</t>
        </is>
      </c>
      <c r="D7879" t="inlineStr">
        <is>
          <t>SKU-10170</t>
        </is>
      </c>
      <c r="E7879" t="inlineStr">
        <is>
          <t>AM01</t>
        </is>
      </c>
      <c r="F7879" s="5" t="n">
        <v>311</v>
      </c>
      <c r="G7879">
        <f>IF(LEFT(B7879,1)="C","Credit","Factuur")</f>
        <v/>
      </c>
      <c r="H7879">
        <f>IF(AND(B7879=B7878,D7879=D7878,A7879=A7878,F7879=F7878),1,0)</f>
        <v/>
      </c>
      <c r="I7879">
        <f>IF(C7879="C99999",1,0)</f>
        <v/>
      </c>
      <c r="J7879" s="5">
        <f>IF(OR(H7879=1,I7879=1),0,IF(G7879="Credit",-F7879,F7879))</f>
        <v/>
      </c>
    </row>
    <row r="7880">
      <c r="A7880" t="inlineStr">
        <is>
          <t>2026-09-11</t>
        </is>
      </c>
      <c r="B7880" t="inlineStr">
        <is>
          <t>F269255</t>
        </is>
      </c>
      <c r="C7880" t="inlineStr">
        <is>
          <t>C10487</t>
        </is>
      </c>
      <c r="D7880" t="inlineStr">
        <is>
          <t>SKU-10193</t>
        </is>
      </c>
      <c r="E7880" t="inlineStr">
        <is>
          <t>AM01</t>
        </is>
      </c>
      <c r="F7880" s="5" t="n">
        <v>309.02</v>
      </c>
      <c r="G7880">
        <f>IF(LEFT(B7880,1)="C","Credit","Factuur")</f>
        <v/>
      </c>
      <c r="H7880">
        <f>IF(AND(B7880=B7879,D7880=D7879,A7880=A7879,F7880=F7879),1,0)</f>
        <v/>
      </c>
      <c r="I7880">
        <f>IF(C7880="C99999",1,0)</f>
        <v/>
      </c>
      <c r="J7880" s="5">
        <f>IF(OR(H7880=1,I7880=1),0,IF(G7880="Credit",-F7880,F7880))</f>
        <v/>
      </c>
    </row>
    <row r="7881">
      <c r="A7881" t="inlineStr">
        <is>
          <t>2026-09-11</t>
        </is>
      </c>
      <c r="B7881" t="inlineStr">
        <is>
          <t>F269306</t>
        </is>
      </c>
      <c r="C7881" t="inlineStr">
        <is>
          <t>C10490</t>
        </is>
      </c>
      <c r="D7881" t="inlineStr">
        <is>
          <t>SKU-10056</t>
        </is>
      </c>
      <c r="E7881" t="inlineStr">
        <is>
          <t>AM02</t>
        </is>
      </c>
      <c r="F7881" s="5" t="n">
        <v>288.8</v>
      </c>
      <c r="G7881">
        <f>IF(LEFT(B7881,1)="C","Credit","Factuur")</f>
        <v/>
      </c>
      <c r="H7881">
        <f>IF(AND(B7881=B7880,D7881=D7880,A7881=A7880,F7881=F7880),1,0)</f>
        <v/>
      </c>
      <c r="I7881">
        <f>IF(C7881="C99999",1,0)</f>
        <v/>
      </c>
      <c r="J7881" s="5">
        <f>IF(OR(H7881=1,I7881=1),0,IF(G7881="Credit",-F7881,F7881))</f>
        <v/>
      </c>
    </row>
    <row r="7882">
      <c r="A7882" t="inlineStr">
        <is>
          <t>2026-09-11</t>
        </is>
      </c>
      <c r="B7882" t="inlineStr">
        <is>
          <t>F269306</t>
        </is>
      </c>
      <c r="C7882" t="inlineStr">
        <is>
          <t>C10490</t>
        </is>
      </c>
      <c r="D7882" t="inlineStr">
        <is>
          <t>SKU-10112</t>
        </is>
      </c>
      <c r="E7882" t="inlineStr">
        <is>
          <t>AM02</t>
        </is>
      </c>
      <c r="F7882" s="5" t="n">
        <v>266.42</v>
      </c>
      <c r="G7882">
        <f>IF(LEFT(B7882,1)="C","Credit","Factuur")</f>
        <v/>
      </c>
      <c r="H7882">
        <f>IF(AND(B7882=B7881,D7882=D7881,A7882=A7881,F7882=F7881),1,0)</f>
        <v/>
      </c>
      <c r="I7882">
        <f>IF(C7882="C99999",1,0)</f>
        <v/>
      </c>
      <c r="J7882" s="5">
        <f>IF(OR(H7882=1,I7882=1),0,IF(G7882="Credit",-F7882,F7882))</f>
        <v/>
      </c>
    </row>
    <row r="7883">
      <c r="A7883" t="inlineStr">
        <is>
          <t>2026-09-11</t>
        </is>
      </c>
      <c r="B7883" t="inlineStr">
        <is>
          <t>F269306</t>
        </is>
      </c>
      <c r="C7883" t="inlineStr">
        <is>
          <t>C10490</t>
        </is>
      </c>
      <c r="D7883" t="inlineStr">
        <is>
          <t>SKU-10192</t>
        </is>
      </c>
      <c r="E7883" t="inlineStr">
        <is>
          <t>AM02</t>
        </is>
      </c>
      <c r="F7883" s="5" t="n">
        <v>295.94</v>
      </c>
      <c r="G7883">
        <f>IF(LEFT(B7883,1)="C","Credit","Factuur")</f>
        <v/>
      </c>
      <c r="H7883">
        <f>IF(AND(B7883=B7882,D7883=D7882,A7883=A7882,F7883=F7882),1,0)</f>
        <v/>
      </c>
      <c r="I7883">
        <f>IF(C7883="C99999",1,0)</f>
        <v/>
      </c>
      <c r="J7883" s="5">
        <f>IF(OR(H7883=1,I7883=1),0,IF(G7883="Credit",-F7883,F7883))</f>
        <v/>
      </c>
    </row>
    <row r="7884">
      <c r="A7884" t="inlineStr">
        <is>
          <t>2026-09-11</t>
        </is>
      </c>
      <c r="B7884" t="inlineStr">
        <is>
          <t>F269306</t>
        </is>
      </c>
      <c r="C7884" t="inlineStr">
        <is>
          <t>C10490</t>
        </is>
      </c>
      <c r="D7884" t="inlineStr">
        <is>
          <t>SKU-10267</t>
        </is>
      </c>
      <c r="E7884" t="inlineStr">
        <is>
          <t>AM02</t>
        </is>
      </c>
      <c r="F7884" s="5" t="n">
        <v>310.38</v>
      </c>
      <c r="G7884">
        <f>IF(LEFT(B7884,1)="C","Credit","Factuur")</f>
        <v/>
      </c>
      <c r="H7884">
        <f>IF(AND(B7884=B7883,D7884=D7883,A7884=A7883,F7884=F7883),1,0)</f>
        <v/>
      </c>
      <c r="I7884">
        <f>IF(C7884="C99999",1,0)</f>
        <v/>
      </c>
      <c r="J7884" s="5">
        <f>IF(OR(H7884=1,I7884=1),0,IF(G7884="Credit",-F7884,F7884))</f>
        <v/>
      </c>
    </row>
    <row r="7885">
      <c r="A7885" t="inlineStr">
        <is>
          <t>2026-09-11</t>
        </is>
      </c>
      <c r="B7885" t="inlineStr">
        <is>
          <t>F269306</t>
        </is>
      </c>
      <c r="C7885" t="inlineStr">
        <is>
          <t>C10490</t>
        </is>
      </c>
      <c r="D7885" t="inlineStr">
        <is>
          <t>SKU-10316</t>
        </is>
      </c>
      <c r="E7885" t="inlineStr">
        <is>
          <t>AM02</t>
        </is>
      </c>
      <c r="F7885" s="5" t="n">
        <v>315.59</v>
      </c>
      <c r="G7885">
        <f>IF(LEFT(B7885,1)="C","Credit","Factuur")</f>
        <v/>
      </c>
      <c r="H7885">
        <f>IF(AND(B7885=B7884,D7885=D7884,A7885=A7884,F7885=F7884),1,0)</f>
        <v/>
      </c>
      <c r="I7885">
        <f>IF(C7885="C99999",1,0)</f>
        <v/>
      </c>
      <c r="J7885" s="5">
        <f>IF(OR(H7885=1,I7885=1),0,IF(G7885="Credit",-F7885,F7885))</f>
        <v/>
      </c>
    </row>
    <row r="7886">
      <c r="A7886" t="inlineStr">
        <is>
          <t>2026-09-11</t>
        </is>
      </c>
      <c r="B7886" t="inlineStr">
        <is>
          <t>F269306</t>
        </is>
      </c>
      <c r="C7886" t="inlineStr">
        <is>
          <t>C10490</t>
        </is>
      </c>
      <c r="D7886" t="inlineStr">
        <is>
          <t>SKU-10364</t>
        </is>
      </c>
      <c r="E7886" t="inlineStr">
        <is>
          <t>AM02</t>
        </is>
      </c>
      <c r="F7886" s="5" t="n">
        <v>350.39</v>
      </c>
      <c r="G7886">
        <f>IF(LEFT(B7886,1)="C","Credit","Factuur")</f>
        <v/>
      </c>
      <c r="H7886">
        <f>IF(AND(B7886=B7885,D7886=D7885,A7886=A7885,F7886=F7885),1,0)</f>
        <v/>
      </c>
      <c r="I7886">
        <f>IF(C7886="C99999",1,0)</f>
        <v/>
      </c>
      <c r="J7886" s="5">
        <f>IF(OR(H7886=1,I7886=1),0,IF(G7886="Credit",-F7886,F7886))</f>
        <v/>
      </c>
    </row>
    <row r="7887">
      <c r="A7887" t="inlineStr">
        <is>
          <t>2026-09-11</t>
        </is>
      </c>
      <c r="B7887" t="inlineStr">
        <is>
          <t>F269392</t>
        </is>
      </c>
      <c r="C7887" t="inlineStr">
        <is>
          <t>C10492</t>
        </is>
      </c>
      <c r="D7887" t="inlineStr">
        <is>
          <t>SKU-10078</t>
        </is>
      </c>
      <c r="E7887" t="inlineStr">
        <is>
          <t>AM08</t>
        </is>
      </c>
      <c r="F7887" s="5" t="n">
        <v>392.41</v>
      </c>
      <c r="G7887">
        <f>IF(LEFT(B7887,1)="C","Credit","Factuur")</f>
        <v/>
      </c>
      <c r="H7887">
        <f>IF(AND(B7887=B7886,D7887=D7886,A7887=A7886,F7887=F7886),1,0)</f>
        <v/>
      </c>
      <c r="I7887">
        <f>IF(C7887="C99999",1,0)</f>
        <v/>
      </c>
      <c r="J7887" s="5">
        <f>IF(OR(H7887=1,I7887=1),0,IF(G7887="Credit",-F7887,F7887))</f>
        <v/>
      </c>
    </row>
    <row r="7888">
      <c r="A7888" t="inlineStr">
        <is>
          <t>2026-09-11</t>
        </is>
      </c>
      <c r="B7888" t="inlineStr">
        <is>
          <t>F269392</t>
        </is>
      </c>
      <c r="C7888" t="inlineStr">
        <is>
          <t>C10492</t>
        </is>
      </c>
      <c r="D7888" t="inlineStr">
        <is>
          <t>SKU-10266</t>
        </is>
      </c>
      <c r="E7888" t="inlineStr">
        <is>
          <t>AM08</t>
        </is>
      </c>
      <c r="F7888" s="5" t="n">
        <v>386.64</v>
      </c>
      <c r="G7888">
        <f>IF(LEFT(B7888,1)="C","Credit","Factuur")</f>
        <v/>
      </c>
      <c r="H7888">
        <f>IF(AND(B7888=B7887,D7888=D7887,A7888=A7887,F7888=F7887),1,0)</f>
        <v/>
      </c>
      <c r="I7888">
        <f>IF(C7888="C99999",1,0)</f>
        <v/>
      </c>
      <c r="J7888" s="5">
        <f>IF(OR(H7888=1,I7888=1),0,IF(G7888="Credit",-F7888,F7888))</f>
        <v/>
      </c>
    </row>
    <row r="7889">
      <c r="A7889" t="inlineStr">
        <is>
          <t>2026-09-11</t>
        </is>
      </c>
      <c r="B7889" t="inlineStr">
        <is>
          <t>F269392</t>
        </is>
      </c>
      <c r="C7889" t="inlineStr">
        <is>
          <t>C10492</t>
        </is>
      </c>
      <c r="D7889" t="inlineStr">
        <is>
          <t>SKU-10321</t>
        </is>
      </c>
      <c r="E7889" t="inlineStr">
        <is>
          <t>AM08</t>
        </is>
      </c>
      <c r="F7889" s="5" t="n">
        <v>390.48</v>
      </c>
      <c r="G7889">
        <f>IF(LEFT(B7889,1)="C","Credit","Factuur")</f>
        <v/>
      </c>
      <c r="H7889">
        <f>IF(AND(B7889=B7888,D7889=D7888,A7889=A7888,F7889=F7888),1,0)</f>
        <v/>
      </c>
      <c r="I7889">
        <f>IF(C7889="C99999",1,0)</f>
        <v/>
      </c>
      <c r="J7889" s="5">
        <f>IF(OR(H7889=1,I7889=1),0,IF(G7889="Credit",-F7889,F7889))</f>
        <v/>
      </c>
    </row>
    <row r="7890">
      <c r="A7890" t="inlineStr">
        <is>
          <t>2026-09-11</t>
        </is>
      </c>
      <c r="B7890" t="inlineStr">
        <is>
          <t>F269509</t>
        </is>
      </c>
      <c r="C7890" t="inlineStr">
        <is>
          <t>C10499</t>
        </is>
      </c>
      <c r="D7890" t="inlineStr">
        <is>
          <t>SKU-10261</t>
        </is>
      </c>
      <c r="E7890" t="inlineStr">
        <is>
          <t>AM09</t>
        </is>
      </c>
      <c r="F7890" s="5" t="n">
        <v>11505.12</v>
      </c>
      <c r="G7890">
        <f>IF(LEFT(B7890,1)="C","Credit","Factuur")</f>
        <v/>
      </c>
      <c r="H7890">
        <f>IF(AND(B7890=B7889,D7890=D7889,A7890=A7889,F7890=F7889),1,0)</f>
        <v/>
      </c>
      <c r="I7890">
        <f>IF(C7890="C99999",1,0)</f>
        <v/>
      </c>
      <c r="J7890" s="5">
        <f>IF(OR(H7890=1,I7890=1),0,IF(G7890="Credit",-F7890,F7890))</f>
        <v/>
      </c>
    </row>
    <row r="7891">
      <c r="A7891" t="inlineStr">
        <is>
          <t>2026-09-11</t>
        </is>
      </c>
      <c r="B7891" t="inlineStr">
        <is>
          <t>F269814</t>
        </is>
      </c>
      <c r="C7891" t="inlineStr">
        <is>
          <t>C10517</t>
        </is>
      </c>
      <c r="D7891" t="inlineStr">
        <is>
          <t>SKU-10274</t>
        </is>
      </c>
      <c r="E7891" t="inlineStr">
        <is>
          <t>AM06</t>
        </is>
      </c>
      <c r="F7891" s="5" t="n">
        <v>1463.19</v>
      </c>
      <c r="G7891">
        <f>IF(LEFT(B7891,1)="C","Credit","Factuur")</f>
        <v/>
      </c>
      <c r="H7891">
        <f>IF(AND(B7891=B7890,D7891=D7890,A7891=A7890,F7891=F7890),1,0)</f>
        <v/>
      </c>
      <c r="I7891">
        <f>IF(C7891="C99999",1,0)</f>
        <v/>
      </c>
      <c r="J7891" s="5">
        <f>IF(OR(H7891=1,I7891=1),0,IF(G7891="Credit",-F7891,F7891))</f>
        <v/>
      </c>
    </row>
    <row r="7892">
      <c r="A7892" t="inlineStr">
        <is>
          <t>2026-09-11</t>
        </is>
      </c>
      <c r="B7892" t="inlineStr">
        <is>
          <t>F269954</t>
        </is>
      </c>
      <c r="C7892" t="inlineStr">
        <is>
          <t>C10523</t>
        </is>
      </c>
      <c r="D7892" t="inlineStr">
        <is>
          <t>SKU-10189</t>
        </is>
      </c>
      <c r="E7892" t="inlineStr">
        <is>
          <t>AM02</t>
        </is>
      </c>
      <c r="F7892" s="5" t="n">
        <v>1985</v>
      </c>
      <c r="G7892">
        <f>IF(LEFT(B7892,1)="C","Credit","Factuur")</f>
        <v/>
      </c>
      <c r="H7892">
        <f>IF(AND(B7892=B7891,D7892=D7891,A7892=A7891,F7892=F7891),1,0)</f>
        <v/>
      </c>
      <c r="I7892">
        <f>IF(C7892="C99999",1,0)</f>
        <v/>
      </c>
      <c r="J7892" s="5">
        <f>IF(OR(H7892=1,I7892=1),0,IF(G7892="Credit",-F7892,F7892))</f>
        <v/>
      </c>
    </row>
    <row r="7893">
      <c r="A7893" t="inlineStr">
        <is>
          <t>2026-09-11</t>
        </is>
      </c>
      <c r="B7893" t="inlineStr">
        <is>
          <t>F270291</t>
        </is>
      </c>
      <c r="C7893" t="inlineStr">
        <is>
          <t>C10542</t>
        </is>
      </c>
      <c r="D7893" t="inlineStr">
        <is>
          <t>SKU-10175</t>
        </is>
      </c>
      <c r="E7893" t="inlineStr">
        <is>
          <t>AM08</t>
        </is>
      </c>
      <c r="F7893" s="5" t="n">
        <v>883.4</v>
      </c>
      <c r="G7893">
        <f>IF(LEFT(B7893,1)="C","Credit","Factuur")</f>
        <v/>
      </c>
      <c r="H7893">
        <f>IF(AND(B7893=B7892,D7893=D7892,A7893=A7892,F7893=F7892),1,0)</f>
        <v/>
      </c>
      <c r="I7893">
        <f>IF(C7893="C99999",1,0)</f>
        <v/>
      </c>
      <c r="J7893" s="5">
        <f>IF(OR(H7893=1,I7893=1),0,IF(G7893="Credit",-F7893,F7893))</f>
        <v/>
      </c>
    </row>
    <row r="7894">
      <c r="A7894" t="inlineStr">
        <is>
          <t>2026-09-11</t>
        </is>
      </c>
      <c r="B7894" t="inlineStr">
        <is>
          <t>F270291</t>
        </is>
      </c>
      <c r="C7894" t="inlineStr">
        <is>
          <t>C10542</t>
        </is>
      </c>
      <c r="D7894" t="inlineStr">
        <is>
          <t>SKU-10336</t>
        </is>
      </c>
      <c r="E7894" t="inlineStr">
        <is>
          <t>AM08</t>
        </is>
      </c>
      <c r="F7894" s="5" t="n">
        <v>799.96</v>
      </c>
      <c r="G7894">
        <f>IF(LEFT(B7894,1)="C","Credit","Factuur")</f>
        <v/>
      </c>
      <c r="H7894">
        <f>IF(AND(B7894=B7893,D7894=D7893,A7894=A7893,F7894=F7893),1,0)</f>
        <v/>
      </c>
      <c r="I7894">
        <f>IF(C7894="C99999",1,0)</f>
        <v/>
      </c>
      <c r="J7894" s="5">
        <f>IF(OR(H7894=1,I7894=1),0,IF(G7894="Credit",-F7894,F7894))</f>
        <v/>
      </c>
    </row>
    <row r="7895">
      <c r="A7895" t="inlineStr">
        <is>
          <t>2026-09-11</t>
        </is>
      </c>
      <c r="B7895" t="inlineStr">
        <is>
          <t>F270988</t>
        </is>
      </c>
      <c r="C7895" t="inlineStr">
        <is>
          <t>C10573</t>
        </is>
      </c>
      <c r="D7895" t="inlineStr">
        <is>
          <t>SKU-10265</t>
        </is>
      </c>
      <c r="E7895" t="inlineStr">
        <is>
          <t>AM08</t>
        </is>
      </c>
      <c r="F7895" s="5" t="n">
        <v>1097.58</v>
      </c>
      <c r="G7895">
        <f>IF(LEFT(B7895,1)="C","Credit","Factuur")</f>
        <v/>
      </c>
      <c r="H7895">
        <f>IF(AND(B7895=B7894,D7895=D7894,A7895=A7894,F7895=F7894),1,0)</f>
        <v/>
      </c>
      <c r="I7895">
        <f>IF(C7895="C99999",1,0)</f>
        <v/>
      </c>
      <c r="J7895" s="5">
        <f>IF(OR(H7895=1,I7895=1),0,IF(G7895="Credit",-F7895,F7895))</f>
        <v/>
      </c>
    </row>
    <row r="7896">
      <c r="A7896" t="inlineStr">
        <is>
          <t>2026-09-11</t>
        </is>
      </c>
      <c r="B7896" t="inlineStr">
        <is>
          <t>F271122</t>
        </is>
      </c>
      <c r="C7896" t="inlineStr">
        <is>
          <t>C10579</t>
        </is>
      </c>
      <c r="D7896" t="inlineStr">
        <is>
          <t>SKU-10135</t>
        </is>
      </c>
      <c r="E7896" t="inlineStr">
        <is>
          <t>AM06</t>
        </is>
      </c>
      <c r="F7896" s="5" t="n">
        <v>406.8</v>
      </c>
      <c r="G7896">
        <f>IF(LEFT(B7896,1)="C","Credit","Factuur")</f>
        <v/>
      </c>
      <c r="H7896">
        <f>IF(AND(B7896=B7895,D7896=D7895,A7896=A7895,F7896=F7895),1,0)</f>
        <v/>
      </c>
      <c r="I7896">
        <f>IF(C7896="C99999",1,0)</f>
        <v/>
      </c>
      <c r="J7896" s="5">
        <f>IF(OR(H7896=1,I7896=1),0,IF(G7896="Credit",-F7896,F7896))</f>
        <v/>
      </c>
    </row>
    <row r="7897">
      <c r="A7897" t="inlineStr">
        <is>
          <t>2026-09-11</t>
        </is>
      </c>
      <c r="B7897" t="inlineStr">
        <is>
          <t>F271122</t>
        </is>
      </c>
      <c r="C7897" t="inlineStr">
        <is>
          <t>C10579</t>
        </is>
      </c>
      <c r="D7897" t="inlineStr">
        <is>
          <t>SKU-10326</t>
        </is>
      </c>
      <c r="E7897" t="inlineStr">
        <is>
          <t>AM06</t>
        </is>
      </c>
      <c r="F7897" s="5" t="n">
        <v>412.77</v>
      </c>
      <c r="G7897">
        <f>IF(LEFT(B7897,1)="C","Credit","Factuur")</f>
        <v/>
      </c>
      <c r="H7897">
        <f>IF(AND(B7897=B7896,D7897=D7896,A7897=A7896,F7897=F7896),1,0)</f>
        <v/>
      </c>
      <c r="I7897">
        <f>IF(C7897="C99999",1,0)</f>
        <v/>
      </c>
      <c r="J7897" s="5">
        <f>IF(OR(H7897=1,I7897=1),0,IF(G7897="Credit",-F7897,F7897))</f>
        <v/>
      </c>
    </row>
    <row r="7898">
      <c r="A7898" t="inlineStr">
        <is>
          <t>2026-09-11</t>
        </is>
      </c>
      <c r="B7898" t="inlineStr">
        <is>
          <t>F271132</t>
        </is>
      </c>
      <c r="C7898" t="inlineStr">
        <is>
          <t>C10580</t>
        </is>
      </c>
      <c r="D7898" t="inlineStr">
        <is>
          <t>SKU-10040</t>
        </is>
      </c>
      <c r="E7898" t="inlineStr">
        <is>
          <t>AM01</t>
        </is>
      </c>
      <c r="F7898" s="5" t="n">
        <v>90.12</v>
      </c>
      <c r="G7898">
        <f>IF(LEFT(B7898,1)="C","Credit","Factuur")</f>
        <v/>
      </c>
      <c r="H7898">
        <f>IF(AND(B7898=B7897,D7898=D7897,A7898=A7897,F7898=F7897),1,0)</f>
        <v/>
      </c>
      <c r="I7898">
        <f>IF(C7898="C99999",1,0)</f>
        <v/>
      </c>
      <c r="J7898" s="5">
        <f>IF(OR(H7898=1,I7898=1),0,IF(G7898="Credit",-F7898,F7898))</f>
        <v/>
      </c>
    </row>
    <row r="7899">
      <c r="A7899" t="inlineStr">
        <is>
          <t>2026-09-11</t>
        </is>
      </c>
      <c r="B7899" t="inlineStr">
        <is>
          <t>F271132</t>
        </is>
      </c>
      <c r="C7899" t="inlineStr">
        <is>
          <t>C10580</t>
        </is>
      </c>
      <c r="D7899" t="inlineStr">
        <is>
          <t>SKU-10091</t>
        </is>
      </c>
      <c r="E7899" t="inlineStr"/>
      <c r="F7899" s="5" t="n">
        <v>117.43</v>
      </c>
      <c r="G7899">
        <f>IF(LEFT(B7899,1)="C","Credit","Factuur")</f>
        <v/>
      </c>
      <c r="H7899">
        <f>IF(AND(B7899=B7898,D7899=D7898,A7899=A7898,F7899=F7898),1,0)</f>
        <v/>
      </c>
      <c r="I7899">
        <f>IF(C7899="C99999",1,0)</f>
        <v/>
      </c>
      <c r="J7899" s="5">
        <f>IF(OR(H7899=1,I7899=1),0,IF(G7899="Credit",-F7899,F7899))</f>
        <v/>
      </c>
    </row>
    <row r="7900">
      <c r="A7900" t="inlineStr">
        <is>
          <t>2026-09-11</t>
        </is>
      </c>
      <c r="B7900" t="inlineStr">
        <is>
          <t>F271132</t>
        </is>
      </c>
      <c r="C7900" t="inlineStr">
        <is>
          <t>C10580</t>
        </is>
      </c>
      <c r="D7900" t="inlineStr">
        <is>
          <t>SKU-10156</t>
        </is>
      </c>
      <c r="E7900" t="inlineStr">
        <is>
          <t>AM01</t>
        </is>
      </c>
      <c r="F7900" s="5" t="n">
        <v>89.76000000000001</v>
      </c>
      <c r="G7900">
        <f>IF(LEFT(B7900,1)="C","Credit","Factuur")</f>
        <v/>
      </c>
      <c r="H7900">
        <f>IF(AND(B7900=B7899,D7900=D7899,A7900=A7899,F7900=F7899),1,0)</f>
        <v/>
      </c>
      <c r="I7900">
        <f>IF(C7900="C99999",1,0)</f>
        <v/>
      </c>
      <c r="J7900" s="5">
        <f>IF(OR(H7900=1,I7900=1),0,IF(G7900="Credit",-F7900,F7900))</f>
        <v/>
      </c>
    </row>
    <row r="7901">
      <c r="A7901" t="inlineStr">
        <is>
          <t>2026-09-11</t>
        </is>
      </c>
      <c r="B7901" t="inlineStr">
        <is>
          <t>F271132</t>
        </is>
      </c>
      <c r="C7901" t="inlineStr">
        <is>
          <t>C10580</t>
        </is>
      </c>
      <c r="D7901" t="inlineStr">
        <is>
          <t>SKU-10206</t>
        </is>
      </c>
      <c r="E7901" t="inlineStr">
        <is>
          <t>AM01</t>
        </is>
      </c>
      <c r="F7901" s="5" t="n">
        <v>75.95999999999999</v>
      </c>
      <c r="G7901">
        <f>IF(LEFT(B7901,1)="C","Credit","Factuur")</f>
        <v/>
      </c>
      <c r="H7901">
        <f>IF(AND(B7901=B7900,D7901=D7900,A7901=A7900,F7901=F7900),1,0)</f>
        <v/>
      </c>
      <c r="I7901">
        <f>IF(C7901="C99999",1,0)</f>
        <v/>
      </c>
      <c r="J7901" s="5">
        <f>IF(OR(H7901=1,I7901=1),0,IF(G7901="Credit",-F7901,F7901))</f>
        <v/>
      </c>
    </row>
    <row r="7902">
      <c r="A7902" t="inlineStr">
        <is>
          <t>2026-09-11</t>
        </is>
      </c>
      <c r="B7902" t="inlineStr">
        <is>
          <t>F271219</t>
        </is>
      </c>
      <c r="C7902" t="inlineStr">
        <is>
          <t>C10583</t>
        </is>
      </c>
      <c r="D7902" t="inlineStr">
        <is>
          <t>SKU-10104</t>
        </is>
      </c>
      <c r="E7902" t="inlineStr">
        <is>
          <t>AM01</t>
        </is>
      </c>
      <c r="F7902" s="5" t="n">
        <v>91.14</v>
      </c>
      <c r="G7902">
        <f>IF(LEFT(B7902,1)="C","Credit","Factuur")</f>
        <v/>
      </c>
      <c r="H7902">
        <f>IF(AND(B7902=B7901,D7902=D7901,A7902=A7901,F7902=F7901),1,0)</f>
        <v/>
      </c>
      <c r="I7902">
        <f>IF(C7902="C99999",1,0)</f>
        <v/>
      </c>
      <c r="J7902" s="5">
        <f>IF(OR(H7902=1,I7902=1),0,IF(G7902="Credit",-F7902,F7902))</f>
        <v/>
      </c>
    </row>
    <row r="7903">
      <c r="A7903" t="inlineStr">
        <is>
          <t>2026-09-11</t>
        </is>
      </c>
      <c r="B7903" t="inlineStr">
        <is>
          <t>F271219</t>
        </is>
      </c>
      <c r="C7903" t="inlineStr">
        <is>
          <t>C10583</t>
        </is>
      </c>
      <c r="D7903" t="inlineStr">
        <is>
          <t>SKU-10163</t>
        </is>
      </c>
      <c r="E7903" t="inlineStr">
        <is>
          <t>AM01</t>
        </is>
      </c>
      <c r="F7903" s="5" t="n">
        <v>87.48</v>
      </c>
      <c r="G7903">
        <f>IF(LEFT(B7903,1)="C","Credit","Factuur")</f>
        <v/>
      </c>
      <c r="H7903">
        <f>IF(AND(B7903=B7902,D7903=D7902,A7903=A7902,F7903=F7902),1,0)</f>
        <v/>
      </c>
      <c r="I7903">
        <f>IF(C7903="C99999",1,0)</f>
        <v/>
      </c>
      <c r="J7903" s="5">
        <f>IF(OR(H7903=1,I7903=1),0,IF(G7903="Credit",-F7903,F7903))</f>
        <v/>
      </c>
    </row>
    <row r="7904">
      <c r="A7904" t="inlineStr">
        <is>
          <t>2026-09-11</t>
        </is>
      </c>
      <c r="B7904" t="inlineStr">
        <is>
          <t>F271219</t>
        </is>
      </c>
      <c r="C7904" t="inlineStr">
        <is>
          <t>C10583</t>
        </is>
      </c>
      <c r="D7904" t="inlineStr">
        <is>
          <t>SKU-10288</t>
        </is>
      </c>
      <c r="E7904" t="inlineStr">
        <is>
          <t>AM01</t>
        </is>
      </c>
      <c r="F7904" s="5" t="n">
        <v>91.68000000000001</v>
      </c>
      <c r="G7904">
        <f>IF(LEFT(B7904,1)="C","Credit","Factuur")</f>
        <v/>
      </c>
      <c r="H7904">
        <f>IF(AND(B7904=B7903,D7904=D7903,A7904=A7903,F7904=F7903),1,0)</f>
        <v/>
      </c>
      <c r="I7904">
        <f>IF(C7904="C99999",1,0)</f>
        <v/>
      </c>
      <c r="J7904" s="5">
        <f>IF(OR(H7904=1,I7904=1),0,IF(G7904="Credit",-F7904,F7904))</f>
        <v/>
      </c>
    </row>
    <row r="7905">
      <c r="A7905" t="inlineStr">
        <is>
          <t>2026-09-11</t>
        </is>
      </c>
      <c r="B7905" t="inlineStr">
        <is>
          <t>F271219</t>
        </is>
      </c>
      <c r="C7905" t="inlineStr">
        <is>
          <t>C10583</t>
        </is>
      </c>
      <c r="D7905" t="inlineStr">
        <is>
          <t>SKU-10330</t>
        </is>
      </c>
      <c r="E7905" t="inlineStr">
        <is>
          <t>AM01</t>
        </is>
      </c>
      <c r="F7905" s="5" t="n">
        <v>84.87</v>
      </c>
      <c r="G7905">
        <f>IF(LEFT(B7905,1)="C","Credit","Factuur")</f>
        <v/>
      </c>
      <c r="H7905">
        <f>IF(AND(B7905=B7904,D7905=D7904,A7905=A7904,F7905=F7904),1,0)</f>
        <v/>
      </c>
      <c r="I7905">
        <f>IF(C7905="C99999",1,0)</f>
        <v/>
      </c>
      <c r="J7905" s="5">
        <f>IF(OR(H7905=1,I7905=1),0,IF(G7905="Credit",-F7905,F7905))</f>
        <v/>
      </c>
    </row>
    <row r="7906">
      <c r="A7906" t="inlineStr">
        <is>
          <t>2026-09-11</t>
        </is>
      </c>
      <c r="B7906" t="inlineStr">
        <is>
          <t>F271471</t>
        </is>
      </c>
      <c r="C7906" t="inlineStr">
        <is>
          <t>C10593</t>
        </is>
      </c>
      <c r="D7906" t="inlineStr">
        <is>
          <t>SKU-10333</t>
        </is>
      </c>
      <c r="E7906" t="inlineStr">
        <is>
          <t>AM01</t>
        </is>
      </c>
      <c r="F7906" s="5" t="n">
        <v>283.14</v>
      </c>
      <c r="G7906">
        <f>IF(LEFT(B7906,1)="C","Credit","Factuur")</f>
        <v/>
      </c>
      <c r="H7906">
        <f>IF(AND(B7906=B7905,D7906=D7905,A7906=A7905,F7906=F7905),1,0)</f>
        <v/>
      </c>
      <c r="I7906">
        <f>IF(C7906="C99999",1,0)</f>
        <v/>
      </c>
      <c r="J7906" s="5">
        <f>IF(OR(H7906=1,I7906=1),0,IF(G7906="Credit",-F7906,F7906))</f>
        <v/>
      </c>
    </row>
    <row r="7907">
      <c r="A7907" t="inlineStr">
        <is>
          <t>2026-09-11</t>
        </is>
      </c>
      <c r="B7907" t="inlineStr">
        <is>
          <t>F271471</t>
        </is>
      </c>
      <c r="C7907" t="inlineStr">
        <is>
          <t>C10593</t>
        </is>
      </c>
      <c r="D7907" t="inlineStr">
        <is>
          <t>SKU-10378</t>
        </is>
      </c>
      <c r="E7907" t="inlineStr">
        <is>
          <t>AM01</t>
        </is>
      </c>
      <c r="F7907" s="5" t="n">
        <v>224.33</v>
      </c>
      <c r="G7907">
        <f>IF(LEFT(B7907,1)="C","Credit","Factuur")</f>
        <v/>
      </c>
      <c r="H7907">
        <f>IF(AND(B7907=B7906,D7907=D7906,A7907=A7906,F7907=F7906),1,0)</f>
        <v/>
      </c>
      <c r="I7907">
        <f>IF(C7907="C99999",1,0)</f>
        <v/>
      </c>
      <c r="J7907" s="5">
        <f>IF(OR(H7907=1,I7907=1),0,IF(G7907="Credit",-F7907,F7907))</f>
        <v/>
      </c>
    </row>
    <row r="7908">
      <c r="A7908" t="inlineStr">
        <is>
          <t>2026-09-11</t>
        </is>
      </c>
      <c r="B7908" t="inlineStr">
        <is>
          <t>F271476</t>
        </is>
      </c>
      <c r="C7908" t="inlineStr">
        <is>
          <t>C10593</t>
        </is>
      </c>
      <c r="D7908" t="inlineStr">
        <is>
          <t>SKU-10298</t>
        </is>
      </c>
      <c r="E7908" t="inlineStr">
        <is>
          <t>AM01</t>
        </is>
      </c>
      <c r="F7908" s="5" t="n">
        <v>464.98</v>
      </c>
      <c r="G7908">
        <f>IF(LEFT(B7908,1)="C","Credit","Factuur")</f>
        <v/>
      </c>
      <c r="H7908">
        <f>IF(AND(B7908=B7907,D7908=D7907,A7908=A7907,F7908=F7907),1,0)</f>
        <v/>
      </c>
      <c r="I7908">
        <f>IF(C7908="C99999",1,0)</f>
        <v/>
      </c>
      <c r="J7908" s="5">
        <f>IF(OR(H7908=1,I7908=1),0,IF(G7908="Credit",-F7908,F7908))</f>
        <v/>
      </c>
    </row>
    <row r="7909">
      <c r="A7909" t="inlineStr">
        <is>
          <t>2026-09-11</t>
        </is>
      </c>
      <c r="B7909" t="inlineStr">
        <is>
          <t>F271566</t>
        </is>
      </c>
      <c r="C7909" t="inlineStr">
        <is>
          <t>C10596</t>
        </is>
      </c>
      <c r="D7909" t="inlineStr">
        <is>
          <t>SKU-10011</t>
        </is>
      </c>
      <c r="E7909" t="inlineStr"/>
      <c r="F7909" s="5" t="n">
        <v>121.8</v>
      </c>
      <c r="G7909">
        <f>IF(LEFT(B7909,1)="C","Credit","Factuur")</f>
        <v/>
      </c>
      <c r="H7909">
        <f>IF(AND(B7909=B7908,D7909=D7908,A7909=A7908,F7909=F7908),1,0)</f>
        <v/>
      </c>
      <c r="I7909">
        <f>IF(C7909="C99999",1,0)</f>
        <v/>
      </c>
      <c r="J7909" s="5">
        <f>IF(OR(H7909=1,I7909=1),0,IF(G7909="Credit",-F7909,F7909))</f>
        <v/>
      </c>
    </row>
    <row r="7910">
      <c r="A7910" t="inlineStr">
        <is>
          <t>2026-09-11</t>
        </is>
      </c>
      <c r="B7910" t="inlineStr">
        <is>
          <t>F271566</t>
        </is>
      </c>
      <c r="C7910" t="inlineStr">
        <is>
          <t>C10596</t>
        </is>
      </c>
      <c r="D7910" t="inlineStr">
        <is>
          <t>SKU-10237</t>
        </is>
      </c>
      <c r="E7910" t="inlineStr">
        <is>
          <t>AM01</t>
        </is>
      </c>
      <c r="F7910" s="5" t="n">
        <v>123.3</v>
      </c>
      <c r="G7910">
        <f>IF(LEFT(B7910,1)="C","Credit","Factuur")</f>
        <v/>
      </c>
      <c r="H7910">
        <f>IF(AND(B7910=B7909,D7910=D7909,A7910=A7909,F7910=F7909),1,0)</f>
        <v/>
      </c>
      <c r="I7910">
        <f>IF(C7910="C99999",1,0)</f>
        <v/>
      </c>
      <c r="J7910" s="5">
        <f>IF(OR(H7910=1,I7910=1),0,IF(G7910="Credit",-F7910,F7910))</f>
        <v/>
      </c>
    </row>
    <row r="7911">
      <c r="A7911" t="inlineStr">
        <is>
          <t>2026-09-11</t>
        </is>
      </c>
      <c r="B7911" t="inlineStr">
        <is>
          <t>F271566</t>
        </is>
      </c>
      <c r="C7911" t="inlineStr">
        <is>
          <t>C10596</t>
        </is>
      </c>
      <c r="D7911" t="inlineStr">
        <is>
          <t>SKU-10348</t>
        </is>
      </c>
      <c r="E7911" t="inlineStr">
        <is>
          <t>AM01</t>
        </is>
      </c>
      <c r="F7911" s="5" t="n">
        <v>145.34</v>
      </c>
      <c r="G7911">
        <f>IF(LEFT(B7911,1)="C","Credit","Factuur")</f>
        <v/>
      </c>
      <c r="H7911">
        <f>IF(AND(B7911=B7910,D7911=D7910,A7911=A7910,F7911=F7910),1,0)</f>
        <v/>
      </c>
      <c r="I7911">
        <f>IF(C7911="C99999",1,0)</f>
        <v/>
      </c>
      <c r="J7911" s="5">
        <f>IF(OR(H7911=1,I7911=1),0,IF(G7911="Credit",-F7911,F7911))</f>
        <v/>
      </c>
    </row>
    <row r="7912">
      <c r="A7912" t="inlineStr">
        <is>
          <t>2026-09-11</t>
        </is>
      </c>
      <c r="B7912" t="inlineStr">
        <is>
          <t>F271641</t>
        </is>
      </c>
      <c r="C7912" t="inlineStr">
        <is>
          <t>C10598</t>
        </is>
      </c>
      <c r="D7912" t="inlineStr">
        <is>
          <t>SKU-10002</t>
        </is>
      </c>
      <c r="E7912" t="inlineStr">
        <is>
          <t>AM03</t>
        </is>
      </c>
      <c r="F7912" s="5" t="n">
        <v>57.37</v>
      </c>
      <c r="G7912">
        <f>IF(LEFT(B7912,1)="C","Credit","Factuur")</f>
        <v/>
      </c>
      <c r="H7912">
        <f>IF(AND(B7912=B7911,D7912=D7911,A7912=A7911,F7912=F7911),1,0)</f>
        <v/>
      </c>
      <c r="I7912">
        <f>IF(C7912="C99999",1,0)</f>
        <v/>
      </c>
      <c r="J7912" s="5">
        <f>IF(OR(H7912=1,I7912=1),0,IF(G7912="Credit",-F7912,F7912))</f>
        <v/>
      </c>
    </row>
    <row r="7913">
      <c r="A7913" t="inlineStr">
        <is>
          <t>2026-09-11</t>
        </is>
      </c>
      <c r="B7913" t="inlineStr">
        <is>
          <t>F271641</t>
        </is>
      </c>
      <c r="C7913" t="inlineStr">
        <is>
          <t>C10598</t>
        </is>
      </c>
      <c r="D7913" t="inlineStr">
        <is>
          <t>SKU-10024</t>
        </is>
      </c>
      <c r="E7913" t="inlineStr">
        <is>
          <t>AM03</t>
        </is>
      </c>
      <c r="F7913" s="5" t="n">
        <v>45.9</v>
      </c>
      <c r="G7913">
        <f>IF(LEFT(B7913,1)="C","Credit","Factuur")</f>
        <v/>
      </c>
      <c r="H7913">
        <f>IF(AND(B7913=B7912,D7913=D7912,A7913=A7912,F7913=F7912),1,0)</f>
        <v/>
      </c>
      <c r="I7913">
        <f>IF(C7913="C99999",1,0)</f>
        <v/>
      </c>
      <c r="J7913" s="5">
        <f>IF(OR(H7913=1,I7913=1),0,IF(G7913="Credit",-F7913,F7913))</f>
        <v/>
      </c>
    </row>
    <row r="7914">
      <c r="A7914" t="inlineStr">
        <is>
          <t>2026-09-11</t>
        </is>
      </c>
      <c r="B7914" t="inlineStr">
        <is>
          <t>F271641</t>
        </is>
      </c>
      <c r="C7914" t="inlineStr">
        <is>
          <t>C10598</t>
        </is>
      </c>
      <c r="D7914" t="inlineStr">
        <is>
          <t>SKU-10144</t>
        </is>
      </c>
      <c r="E7914" t="inlineStr">
        <is>
          <t>AM03</t>
        </is>
      </c>
      <c r="F7914" s="5" t="n">
        <v>112.5</v>
      </c>
      <c r="G7914">
        <f>IF(LEFT(B7914,1)="C","Credit","Factuur")</f>
        <v/>
      </c>
      <c r="H7914">
        <f>IF(AND(B7914=B7913,D7914=D7913,A7914=A7913,F7914=F7913),1,0)</f>
        <v/>
      </c>
      <c r="I7914">
        <f>IF(C7914="C99999",1,0)</f>
        <v/>
      </c>
      <c r="J7914" s="5">
        <f>IF(OR(H7914=1,I7914=1),0,IF(G7914="Credit",-F7914,F7914))</f>
        <v/>
      </c>
    </row>
    <row r="7915">
      <c r="A7915" t="inlineStr">
        <is>
          <t>2026-09-11</t>
        </is>
      </c>
      <c r="B7915" t="inlineStr">
        <is>
          <t>F271641</t>
        </is>
      </c>
      <c r="C7915" t="inlineStr">
        <is>
          <t>C10598</t>
        </is>
      </c>
      <c r="D7915" t="inlineStr">
        <is>
          <t>SKU-10316</t>
        </is>
      </c>
      <c r="E7915" t="inlineStr">
        <is>
          <t>AM03</t>
        </is>
      </c>
      <c r="F7915" s="5" t="n">
        <v>57.38</v>
      </c>
      <c r="G7915">
        <f>IF(LEFT(B7915,1)="C","Credit","Factuur")</f>
        <v/>
      </c>
      <c r="H7915">
        <f>IF(AND(B7915=B7914,D7915=D7914,A7915=A7914,F7915=F7914),1,0)</f>
        <v/>
      </c>
      <c r="I7915">
        <f>IF(C7915="C99999",1,0)</f>
        <v/>
      </c>
      <c r="J7915" s="5">
        <f>IF(OR(H7915=1,I7915=1),0,IF(G7915="Credit",-F7915,F7915))</f>
        <v/>
      </c>
    </row>
    <row r="7916">
      <c r="A7916" t="inlineStr">
        <is>
          <t>2026-09-11</t>
        </is>
      </c>
      <c r="B7916" t="inlineStr">
        <is>
          <t>F271666</t>
        </is>
      </c>
      <c r="C7916" t="inlineStr">
        <is>
          <t>C10600</t>
        </is>
      </c>
      <c r="D7916" t="inlineStr">
        <is>
          <t>SKU-10095</t>
        </is>
      </c>
      <c r="E7916" t="inlineStr">
        <is>
          <t>AM02</t>
        </is>
      </c>
      <c r="F7916" s="5" t="n">
        <v>247.6</v>
      </c>
      <c r="G7916">
        <f>IF(LEFT(B7916,1)="C","Credit","Factuur")</f>
        <v/>
      </c>
      <c r="H7916">
        <f>IF(AND(B7916=B7915,D7916=D7915,A7916=A7915,F7916=F7915),1,0)</f>
        <v/>
      </c>
      <c r="I7916">
        <f>IF(C7916="C99999",1,0)</f>
        <v/>
      </c>
      <c r="J7916" s="5">
        <f>IF(OR(H7916=1,I7916=1),0,IF(G7916="Credit",-F7916,F7916))</f>
        <v/>
      </c>
    </row>
    <row r="7917">
      <c r="A7917" t="inlineStr">
        <is>
          <t>2026-09-11</t>
        </is>
      </c>
      <c r="B7917" t="inlineStr">
        <is>
          <t>F271666</t>
        </is>
      </c>
      <c r="C7917" t="inlineStr">
        <is>
          <t>C10600</t>
        </is>
      </c>
      <c r="D7917" t="inlineStr">
        <is>
          <t>SKU-10145</t>
        </is>
      </c>
      <c r="E7917" t="inlineStr">
        <is>
          <t>AM02</t>
        </is>
      </c>
      <c r="F7917" s="5" t="n">
        <v>238.36</v>
      </c>
      <c r="G7917">
        <f>IF(LEFT(B7917,1)="C","Credit","Factuur")</f>
        <v/>
      </c>
      <c r="H7917">
        <f>IF(AND(B7917=B7916,D7917=D7916,A7917=A7916,F7917=F7916),1,0)</f>
        <v/>
      </c>
      <c r="I7917">
        <f>IF(C7917="C99999",1,0)</f>
        <v/>
      </c>
      <c r="J7917" s="5">
        <f>IF(OR(H7917=1,I7917=1),0,IF(G7917="Credit",-F7917,F7917))</f>
        <v/>
      </c>
    </row>
    <row r="7918">
      <c r="A7918" t="inlineStr">
        <is>
          <t>2026-09-11</t>
        </is>
      </c>
      <c r="B7918" t="inlineStr">
        <is>
          <t>F271666</t>
        </is>
      </c>
      <c r="C7918" t="inlineStr">
        <is>
          <t>C10600</t>
        </is>
      </c>
      <c r="D7918" t="inlineStr">
        <is>
          <t>SKU-10306</t>
        </is>
      </c>
      <c r="E7918" t="inlineStr">
        <is>
          <t>AM02</t>
        </is>
      </c>
      <c r="F7918" s="5" t="n">
        <v>206.73</v>
      </c>
      <c r="G7918">
        <f>IF(LEFT(B7918,1)="C","Credit","Factuur")</f>
        <v/>
      </c>
      <c r="H7918">
        <f>IF(AND(B7918=B7917,D7918=D7917,A7918=A7917,F7918=F7917),1,0)</f>
        <v/>
      </c>
      <c r="I7918">
        <f>IF(C7918="C99999",1,0)</f>
        <v/>
      </c>
      <c r="J7918" s="5">
        <f>IF(OR(H7918=1,I7918=1),0,IF(G7918="Credit",-F7918,F7918))</f>
        <v/>
      </c>
    </row>
    <row r="7919">
      <c r="A7919" t="inlineStr">
        <is>
          <t>2026-09-11</t>
        </is>
      </c>
      <c r="B7919" t="inlineStr">
        <is>
          <t>F271666</t>
        </is>
      </c>
      <c r="C7919" t="inlineStr">
        <is>
          <t>C10600</t>
        </is>
      </c>
      <c r="D7919" t="inlineStr">
        <is>
          <t>SKU-10336</t>
        </is>
      </c>
      <c r="E7919" t="inlineStr">
        <is>
          <t>AM02</t>
        </is>
      </c>
      <c r="F7919" s="5" t="n">
        <v>222.21</v>
      </c>
      <c r="G7919">
        <f>IF(LEFT(B7919,1)="C","Credit","Factuur")</f>
        <v/>
      </c>
      <c r="H7919">
        <f>IF(AND(B7919=B7918,D7919=D7918,A7919=A7918,F7919=F7918),1,0)</f>
        <v/>
      </c>
      <c r="I7919">
        <f>IF(C7919="C99999",1,0)</f>
        <v/>
      </c>
      <c r="J7919" s="5">
        <f>IF(OR(H7919=1,I7919=1),0,IF(G7919="Credit",-F7919,F7919))</f>
        <v/>
      </c>
    </row>
    <row r="7920">
      <c r="A7920" t="inlineStr">
        <is>
          <t>2026-09-11</t>
        </is>
      </c>
      <c r="B7920" t="inlineStr">
        <is>
          <t>F272158</t>
        </is>
      </c>
      <c r="C7920" t="inlineStr">
        <is>
          <t>C10629</t>
        </is>
      </c>
      <c r="D7920" t="inlineStr">
        <is>
          <t>SKU-10024</t>
        </is>
      </c>
      <c r="E7920" t="inlineStr">
        <is>
          <t>AM12</t>
        </is>
      </c>
      <c r="F7920" s="5" t="n">
        <v>555.6799999999999</v>
      </c>
      <c r="G7920">
        <f>IF(LEFT(B7920,1)="C","Credit","Factuur")</f>
        <v/>
      </c>
      <c r="H7920">
        <f>IF(AND(B7920=B7919,D7920=D7919,A7920=A7919,F7920=F7919),1,0)</f>
        <v/>
      </c>
      <c r="I7920">
        <f>IF(C7920="C99999",1,0)</f>
        <v/>
      </c>
      <c r="J7920" s="5">
        <f>IF(OR(H7920=1,I7920=1),0,IF(G7920="Credit",-F7920,F7920))</f>
        <v/>
      </c>
    </row>
    <row r="7921">
      <c r="A7921" t="inlineStr">
        <is>
          <t>2026-09-11</t>
        </is>
      </c>
      <c r="B7921" t="inlineStr">
        <is>
          <t>F272158</t>
        </is>
      </c>
      <c r="C7921" t="inlineStr">
        <is>
          <t>C10629</t>
        </is>
      </c>
      <c r="D7921" t="inlineStr">
        <is>
          <t>SKU-10093</t>
        </is>
      </c>
      <c r="E7921" t="inlineStr">
        <is>
          <t>AM12</t>
        </is>
      </c>
      <c r="F7921" s="5" t="n">
        <v>552.27</v>
      </c>
      <c r="G7921">
        <f>IF(LEFT(B7921,1)="C","Credit","Factuur")</f>
        <v/>
      </c>
      <c r="H7921">
        <f>IF(AND(B7921=B7920,D7921=D7920,A7921=A7920,F7921=F7920),1,0)</f>
        <v/>
      </c>
      <c r="I7921">
        <f>IF(C7921="C99999",1,0)</f>
        <v/>
      </c>
      <c r="J7921" s="5">
        <f>IF(OR(H7921=1,I7921=1),0,IF(G7921="Credit",-F7921,F7921))</f>
        <v/>
      </c>
    </row>
    <row r="7922">
      <c r="A7922" t="inlineStr">
        <is>
          <t>2026-09-11</t>
        </is>
      </c>
      <c r="B7922" t="inlineStr">
        <is>
          <t>F272158</t>
        </is>
      </c>
      <c r="C7922" t="inlineStr">
        <is>
          <t>C10629</t>
        </is>
      </c>
      <c r="D7922" t="inlineStr">
        <is>
          <t>SKU-10342</t>
        </is>
      </c>
      <c r="E7922" t="inlineStr">
        <is>
          <t>AM12</t>
        </is>
      </c>
      <c r="F7922" s="5" t="n">
        <v>542.08</v>
      </c>
      <c r="G7922">
        <f>IF(LEFT(B7922,1)="C","Credit","Factuur")</f>
        <v/>
      </c>
      <c r="H7922">
        <f>IF(AND(B7922=B7921,D7922=D7921,A7922=A7921,F7922=F7921),1,0)</f>
        <v/>
      </c>
      <c r="I7922">
        <f>IF(C7922="C99999",1,0)</f>
        <v/>
      </c>
      <c r="J7922" s="5">
        <f>IF(OR(H7922=1,I7922=1),0,IF(G7922="Credit",-F7922,F7922))</f>
        <v/>
      </c>
    </row>
    <row r="7923">
      <c r="A7923" t="inlineStr">
        <is>
          <t>2026-09-11</t>
        </is>
      </c>
      <c r="B7923" t="inlineStr">
        <is>
          <t>F272223</t>
        </is>
      </c>
      <c r="C7923" t="inlineStr">
        <is>
          <t>C10633</t>
        </is>
      </c>
      <c r="D7923" t="inlineStr">
        <is>
          <t>SKU-10305</t>
        </is>
      </c>
      <c r="E7923" t="inlineStr">
        <is>
          <t>AM03</t>
        </is>
      </c>
      <c r="F7923" s="5" t="n">
        <v>982.5</v>
      </c>
      <c r="G7923">
        <f>IF(LEFT(B7923,1)="C","Credit","Factuur")</f>
        <v/>
      </c>
      <c r="H7923">
        <f>IF(AND(B7923=B7922,D7923=D7922,A7923=A7922,F7923=F7922),1,0)</f>
        <v/>
      </c>
      <c r="I7923">
        <f>IF(C7923="C99999",1,0)</f>
        <v/>
      </c>
      <c r="J7923" s="5">
        <f>IF(OR(H7923=1,I7923=1),0,IF(G7923="Credit",-F7923,F7923))</f>
        <v/>
      </c>
    </row>
    <row r="7924">
      <c r="A7924" t="inlineStr">
        <is>
          <t>2026-09-11</t>
        </is>
      </c>
      <c r="B7924" t="inlineStr">
        <is>
          <t>F272223</t>
        </is>
      </c>
      <c r="C7924" t="inlineStr">
        <is>
          <t>C10633</t>
        </is>
      </c>
      <c r="D7924" t="inlineStr">
        <is>
          <t>SKU-10309</t>
        </is>
      </c>
      <c r="E7924" t="inlineStr">
        <is>
          <t>AM03</t>
        </is>
      </c>
      <c r="F7924" s="5" t="n">
        <v>921.89</v>
      </c>
      <c r="G7924">
        <f>IF(LEFT(B7924,1)="C","Credit","Factuur")</f>
        <v/>
      </c>
      <c r="H7924">
        <f>IF(AND(B7924=B7923,D7924=D7923,A7924=A7923,F7924=F7923),1,0)</f>
        <v/>
      </c>
      <c r="I7924">
        <f>IF(C7924="C99999",1,0)</f>
        <v/>
      </c>
      <c r="J7924" s="5">
        <f>IF(OR(H7924=1,I7924=1),0,IF(G7924="Credit",-F7924,F7924))</f>
        <v/>
      </c>
    </row>
    <row r="7925">
      <c r="A7925" t="inlineStr">
        <is>
          <t>2026-09-11</t>
        </is>
      </c>
      <c r="B7925" t="inlineStr">
        <is>
          <t>F272391</t>
        </is>
      </c>
      <c r="C7925" t="inlineStr">
        <is>
          <t>C10640</t>
        </is>
      </c>
      <c r="D7925" t="inlineStr">
        <is>
          <t>SKU-10088</t>
        </is>
      </c>
      <c r="E7925" t="inlineStr">
        <is>
          <t>AM01</t>
        </is>
      </c>
      <c r="F7925" s="5" t="n">
        <v>123.44</v>
      </c>
      <c r="G7925">
        <f>IF(LEFT(B7925,1)="C","Credit","Factuur")</f>
        <v/>
      </c>
      <c r="H7925">
        <f>IF(AND(B7925=B7924,D7925=D7924,A7925=A7924,F7925=F7924),1,0)</f>
        <v/>
      </c>
      <c r="I7925">
        <f>IF(C7925="C99999",1,0)</f>
        <v/>
      </c>
      <c r="J7925" s="5">
        <f>IF(OR(H7925=1,I7925=1),0,IF(G7925="Credit",-F7925,F7925))</f>
        <v/>
      </c>
    </row>
    <row r="7926">
      <c r="A7926" t="inlineStr">
        <is>
          <t>2026-09-11</t>
        </is>
      </c>
      <c r="B7926" t="inlineStr">
        <is>
          <t>F272391</t>
        </is>
      </c>
      <c r="C7926" t="inlineStr">
        <is>
          <t>C10640</t>
        </is>
      </c>
      <c r="D7926" t="inlineStr">
        <is>
          <t>SKU-10172</t>
        </is>
      </c>
      <c r="E7926" t="inlineStr">
        <is>
          <t>AM01</t>
        </is>
      </c>
      <c r="F7926" s="5" t="n">
        <v>116.88</v>
      </c>
      <c r="G7926">
        <f>IF(LEFT(B7926,1)="C","Credit","Factuur")</f>
        <v/>
      </c>
      <c r="H7926">
        <f>IF(AND(B7926=B7925,D7926=D7925,A7926=A7925,F7926=F7925),1,0)</f>
        <v/>
      </c>
      <c r="I7926">
        <f>IF(C7926="C99999",1,0)</f>
        <v/>
      </c>
      <c r="J7926" s="5">
        <f>IF(OR(H7926=1,I7926=1),0,IF(G7926="Credit",-F7926,F7926))</f>
        <v/>
      </c>
    </row>
    <row r="7927">
      <c r="A7927" t="inlineStr">
        <is>
          <t>2026-09-11</t>
        </is>
      </c>
      <c r="B7927" t="inlineStr">
        <is>
          <t>F272422</t>
        </is>
      </c>
      <c r="C7927" t="inlineStr">
        <is>
          <t>C10643</t>
        </is>
      </c>
      <c r="D7927" t="inlineStr">
        <is>
          <t>SKU-10139</t>
        </is>
      </c>
      <c r="E7927" t="inlineStr">
        <is>
          <t>AM05</t>
        </is>
      </c>
      <c r="F7927" s="5" t="n">
        <v>223.06</v>
      </c>
      <c r="G7927">
        <f>IF(LEFT(B7927,1)="C","Credit","Factuur")</f>
        <v/>
      </c>
      <c r="H7927">
        <f>IF(AND(B7927=B7926,D7927=D7926,A7927=A7926,F7927=F7926),1,0)</f>
        <v/>
      </c>
      <c r="I7927">
        <f>IF(C7927="C99999",1,0)</f>
        <v/>
      </c>
      <c r="J7927" s="5">
        <f>IF(OR(H7927=1,I7927=1),0,IF(G7927="Credit",-F7927,F7927))</f>
        <v/>
      </c>
    </row>
    <row r="7928">
      <c r="A7928" t="inlineStr">
        <is>
          <t>2026-09-11</t>
        </is>
      </c>
      <c r="B7928" t="inlineStr">
        <is>
          <t>F272422</t>
        </is>
      </c>
      <c r="C7928" t="inlineStr">
        <is>
          <t>C10643</t>
        </is>
      </c>
      <c r="D7928" t="inlineStr">
        <is>
          <t>SKU-10340</t>
        </is>
      </c>
      <c r="E7928" t="inlineStr">
        <is>
          <t>AM05</t>
        </is>
      </c>
      <c r="F7928" s="5" t="n">
        <v>220.64</v>
      </c>
      <c r="G7928">
        <f>IF(LEFT(B7928,1)="C","Credit","Factuur")</f>
        <v/>
      </c>
      <c r="H7928">
        <f>IF(AND(B7928=B7927,D7928=D7927,A7928=A7927,F7928=F7927),1,0)</f>
        <v/>
      </c>
      <c r="I7928">
        <f>IF(C7928="C99999",1,0)</f>
        <v/>
      </c>
      <c r="J7928" s="5">
        <f>IF(OR(H7928=1,I7928=1),0,IF(G7928="Credit",-F7928,F7928))</f>
        <v/>
      </c>
    </row>
    <row r="7929">
      <c r="A7929" t="inlineStr">
        <is>
          <t>2026-09-11</t>
        </is>
      </c>
      <c r="B7929" t="inlineStr">
        <is>
          <t>F272422</t>
        </is>
      </c>
      <c r="C7929" t="inlineStr">
        <is>
          <t>C10643</t>
        </is>
      </c>
      <c r="D7929" t="inlineStr">
        <is>
          <t>SKU-10376</t>
        </is>
      </c>
      <c r="E7929" t="inlineStr">
        <is>
          <t>AM05</t>
        </is>
      </c>
      <c r="F7929" s="5" t="n">
        <v>247.92</v>
      </c>
      <c r="G7929">
        <f>IF(LEFT(B7929,1)="C","Credit","Factuur")</f>
        <v/>
      </c>
      <c r="H7929">
        <f>IF(AND(B7929=B7928,D7929=D7928,A7929=A7928,F7929=F7928),1,0)</f>
        <v/>
      </c>
      <c r="I7929">
        <f>IF(C7929="C99999",1,0)</f>
        <v/>
      </c>
      <c r="J7929" s="5">
        <f>IF(OR(H7929=1,I7929=1),0,IF(G7929="Credit",-F7929,F7929))</f>
        <v/>
      </c>
    </row>
    <row r="7930">
      <c r="A7930" t="inlineStr">
        <is>
          <t>2026-09-11</t>
        </is>
      </c>
      <c r="B7930" t="inlineStr">
        <is>
          <t>F272429</t>
        </is>
      </c>
      <c r="C7930" t="inlineStr">
        <is>
          <t>C10643</t>
        </is>
      </c>
      <c r="D7930" t="inlineStr">
        <is>
          <t>SKU-10030</t>
        </is>
      </c>
      <c r="E7930" t="inlineStr">
        <is>
          <t>AM05</t>
        </is>
      </c>
      <c r="F7930" s="5" t="n">
        <v>197.84</v>
      </c>
      <c r="G7930">
        <f>IF(LEFT(B7930,1)="C","Credit","Factuur")</f>
        <v/>
      </c>
      <c r="H7930">
        <f>IF(AND(B7930=B7929,D7930=D7929,A7930=A7929,F7930=F7929),1,0)</f>
        <v/>
      </c>
      <c r="I7930">
        <f>IF(C7930="C99999",1,0)</f>
        <v/>
      </c>
      <c r="J7930" s="5">
        <f>IF(OR(H7930=1,I7930=1),0,IF(G7930="Credit",-F7930,F7930))</f>
        <v/>
      </c>
    </row>
    <row r="7931">
      <c r="A7931" t="inlineStr">
        <is>
          <t>2026-09-11</t>
        </is>
      </c>
      <c r="B7931" t="inlineStr">
        <is>
          <t>F272429</t>
        </is>
      </c>
      <c r="C7931" t="inlineStr">
        <is>
          <t>C10643</t>
        </is>
      </c>
      <c r="D7931" t="inlineStr">
        <is>
          <t>SKU-10041</t>
        </is>
      </c>
      <c r="E7931" t="inlineStr">
        <is>
          <t>AM05</t>
        </is>
      </c>
      <c r="F7931" s="5" t="n">
        <v>206.4</v>
      </c>
      <c r="G7931">
        <f>IF(LEFT(B7931,1)="C","Credit","Factuur")</f>
        <v/>
      </c>
      <c r="H7931">
        <f>IF(AND(B7931=B7930,D7931=D7930,A7931=A7930,F7931=F7930),1,0)</f>
        <v/>
      </c>
      <c r="I7931">
        <f>IF(C7931="C99999",1,0)</f>
        <v/>
      </c>
      <c r="J7931" s="5">
        <f>IF(OR(H7931=1,I7931=1),0,IF(G7931="Credit",-F7931,F7931))</f>
        <v/>
      </c>
    </row>
    <row r="7932">
      <c r="A7932" t="inlineStr">
        <is>
          <t>2026-09-11</t>
        </is>
      </c>
      <c r="B7932" t="inlineStr">
        <is>
          <t>F272429</t>
        </is>
      </c>
      <c r="C7932" t="inlineStr">
        <is>
          <t>C10643</t>
        </is>
      </c>
      <c r="D7932" t="inlineStr">
        <is>
          <t>SKU-10091</t>
        </is>
      </c>
      <c r="E7932" t="inlineStr">
        <is>
          <t>AM05</t>
        </is>
      </c>
      <c r="F7932" s="5" t="n">
        <v>234.86</v>
      </c>
      <c r="G7932">
        <f>IF(LEFT(B7932,1)="C","Credit","Factuur")</f>
        <v/>
      </c>
      <c r="H7932">
        <f>IF(AND(B7932=B7931,D7932=D7931,A7932=A7931,F7932=F7931),1,0)</f>
        <v/>
      </c>
      <c r="I7932">
        <f>IF(C7932="C99999",1,0)</f>
        <v/>
      </c>
      <c r="J7932" s="5">
        <f>IF(OR(H7932=1,I7932=1),0,IF(G7932="Credit",-F7932,F7932))</f>
        <v/>
      </c>
    </row>
    <row r="7933">
      <c r="A7933" t="inlineStr">
        <is>
          <t>2026-09-11</t>
        </is>
      </c>
      <c r="B7933" t="inlineStr">
        <is>
          <t>F272429</t>
        </is>
      </c>
      <c r="C7933" t="inlineStr">
        <is>
          <t>C10643</t>
        </is>
      </c>
      <c r="D7933" t="inlineStr">
        <is>
          <t>SKU-10368</t>
        </is>
      </c>
      <c r="E7933" t="inlineStr">
        <is>
          <t>AM05</t>
        </is>
      </c>
      <c r="F7933" s="5" t="n">
        <v>576.3</v>
      </c>
      <c r="G7933">
        <f>IF(LEFT(B7933,1)="C","Credit","Factuur")</f>
        <v/>
      </c>
      <c r="H7933">
        <f>IF(AND(B7933=B7932,D7933=D7932,A7933=A7932,F7933=F7932),1,0)</f>
        <v/>
      </c>
      <c r="I7933">
        <f>IF(C7933="C99999",1,0)</f>
        <v/>
      </c>
      <c r="J7933" s="5">
        <f>IF(OR(H7933=1,I7933=1),0,IF(G7933="Credit",-F7933,F7933))</f>
        <v/>
      </c>
    </row>
    <row r="7934">
      <c r="A7934" t="inlineStr">
        <is>
          <t>2026-09-11</t>
        </is>
      </c>
      <c r="B7934" t="inlineStr">
        <is>
          <t>F272477</t>
        </is>
      </c>
      <c r="C7934" t="inlineStr">
        <is>
          <t>C10647</t>
        </is>
      </c>
      <c r="D7934" t="inlineStr">
        <is>
          <t>SKU-10074</t>
        </is>
      </c>
      <c r="E7934" t="inlineStr">
        <is>
          <t>AM07</t>
        </is>
      </c>
      <c r="F7934" s="5" t="n">
        <v>252.65</v>
      </c>
      <c r="G7934">
        <f>IF(LEFT(B7934,1)="C","Credit","Factuur")</f>
        <v/>
      </c>
      <c r="H7934">
        <f>IF(AND(B7934=B7933,D7934=D7933,A7934=A7933,F7934=F7933),1,0)</f>
        <v/>
      </c>
      <c r="I7934">
        <f>IF(C7934="C99999",1,0)</f>
        <v/>
      </c>
      <c r="J7934" s="5">
        <f>IF(OR(H7934=1,I7934=1),0,IF(G7934="Credit",-F7934,F7934))</f>
        <v/>
      </c>
    </row>
    <row r="7935">
      <c r="A7935" t="inlineStr">
        <is>
          <t>2026-09-11</t>
        </is>
      </c>
      <c r="B7935" t="inlineStr">
        <is>
          <t>F272477</t>
        </is>
      </c>
      <c r="C7935" t="inlineStr">
        <is>
          <t>C10647</t>
        </is>
      </c>
      <c r="D7935" t="inlineStr">
        <is>
          <t>SKU-10104</t>
        </is>
      </c>
      <c r="E7935" t="inlineStr">
        <is>
          <t>AM07</t>
        </is>
      </c>
      <c r="F7935" s="5" t="n">
        <v>259.75</v>
      </c>
      <c r="G7935">
        <f>IF(LEFT(B7935,1)="C","Credit","Factuur")</f>
        <v/>
      </c>
      <c r="H7935">
        <f>IF(AND(B7935=B7934,D7935=D7934,A7935=A7934,F7935=F7934),1,0)</f>
        <v/>
      </c>
      <c r="I7935">
        <f>IF(C7935="C99999",1,0)</f>
        <v/>
      </c>
      <c r="J7935" s="5">
        <f>IF(OR(H7935=1,I7935=1),0,IF(G7935="Credit",-F7935,F7935))</f>
        <v/>
      </c>
    </row>
    <row r="7936">
      <c r="A7936" t="inlineStr">
        <is>
          <t>2026-09-11</t>
        </is>
      </c>
      <c r="B7936" t="inlineStr">
        <is>
          <t>F272477</t>
        </is>
      </c>
      <c r="C7936" t="inlineStr">
        <is>
          <t>C10647</t>
        </is>
      </c>
      <c r="D7936" t="inlineStr">
        <is>
          <t>SKU-10286</t>
        </is>
      </c>
      <c r="E7936" t="inlineStr">
        <is>
          <t>AM07</t>
        </is>
      </c>
      <c r="F7936" s="5" t="n">
        <v>225.39</v>
      </c>
      <c r="G7936">
        <f>IF(LEFT(B7936,1)="C","Credit","Factuur")</f>
        <v/>
      </c>
      <c r="H7936">
        <f>IF(AND(B7936=B7935,D7936=D7935,A7936=A7935,F7936=F7935),1,0)</f>
        <v/>
      </c>
      <c r="I7936">
        <f>IF(C7936="C99999",1,0)</f>
        <v/>
      </c>
      <c r="J7936" s="5">
        <f>IF(OR(H7936=1,I7936=1),0,IF(G7936="Credit",-F7936,F7936))</f>
        <v/>
      </c>
    </row>
    <row r="7937">
      <c r="A7937" t="inlineStr">
        <is>
          <t>2026-09-11</t>
        </is>
      </c>
      <c r="B7937" t="inlineStr">
        <is>
          <t>F272479</t>
        </is>
      </c>
      <c r="C7937" t="inlineStr">
        <is>
          <t>C10647</t>
        </is>
      </c>
      <c r="D7937" t="inlineStr">
        <is>
          <t>SKU-10266</t>
        </is>
      </c>
      <c r="E7937" t="inlineStr">
        <is>
          <t>AM07</t>
        </is>
      </c>
      <c r="F7937" s="5" t="n">
        <v>646.1900000000001</v>
      </c>
      <c r="G7937">
        <f>IF(LEFT(B7937,1)="C","Credit","Factuur")</f>
        <v/>
      </c>
      <c r="H7937">
        <f>IF(AND(B7937=B7936,D7937=D7936,A7937=A7936,F7937=F7936),1,0)</f>
        <v/>
      </c>
      <c r="I7937">
        <f>IF(C7937="C99999",1,0)</f>
        <v/>
      </c>
      <c r="J7937" s="5">
        <f>IF(OR(H7937=1,I7937=1),0,IF(G7937="Credit",-F7937,F7937))</f>
        <v/>
      </c>
    </row>
    <row r="7938">
      <c r="A7938" t="inlineStr">
        <is>
          <t>2026-09-11</t>
        </is>
      </c>
      <c r="B7938" t="inlineStr">
        <is>
          <t>F272864</t>
        </is>
      </c>
      <c r="C7938" t="inlineStr">
        <is>
          <t>C10670</t>
        </is>
      </c>
      <c r="D7938" t="inlineStr">
        <is>
          <t>SKU-10074</t>
        </is>
      </c>
      <c r="E7938" t="inlineStr">
        <is>
          <t>AM03</t>
        </is>
      </c>
      <c r="F7938" s="5" t="n">
        <v>265.95</v>
      </c>
      <c r="G7938">
        <f>IF(LEFT(B7938,1)="C","Credit","Factuur")</f>
        <v/>
      </c>
      <c r="H7938">
        <f>IF(AND(B7938=B7937,D7938=D7937,A7938=A7937,F7938=F7937),1,0)</f>
        <v/>
      </c>
      <c r="I7938">
        <f>IF(C7938="C99999",1,0)</f>
        <v/>
      </c>
      <c r="J7938" s="5">
        <f>IF(OR(H7938=1,I7938=1),0,IF(G7938="Credit",-F7938,F7938))</f>
        <v/>
      </c>
    </row>
    <row r="7939">
      <c r="A7939" t="inlineStr">
        <is>
          <t>2026-09-11</t>
        </is>
      </c>
      <c r="B7939" t="inlineStr">
        <is>
          <t>F272864</t>
        </is>
      </c>
      <c r="C7939" t="inlineStr">
        <is>
          <t>C10670</t>
        </is>
      </c>
      <c r="D7939" t="inlineStr">
        <is>
          <t>SKU-10229</t>
        </is>
      </c>
      <c r="E7939" t="inlineStr">
        <is>
          <t>AM03</t>
        </is>
      </c>
      <c r="F7939" s="5" t="n">
        <v>250.23</v>
      </c>
      <c r="G7939">
        <f>IF(LEFT(B7939,1)="C","Credit","Factuur")</f>
        <v/>
      </c>
      <c r="H7939">
        <f>IF(AND(B7939=B7938,D7939=D7938,A7939=A7938,F7939=F7938),1,0)</f>
        <v/>
      </c>
      <c r="I7939">
        <f>IF(C7939="C99999",1,0)</f>
        <v/>
      </c>
      <c r="J7939" s="5">
        <f>IF(OR(H7939=1,I7939=1),0,IF(G7939="Credit",-F7939,F7939))</f>
        <v/>
      </c>
    </row>
    <row r="7940">
      <c r="A7940" t="inlineStr">
        <is>
          <t>2026-09-11</t>
        </is>
      </c>
      <c r="B7940" t="inlineStr">
        <is>
          <t>F272864</t>
        </is>
      </c>
      <c r="C7940" t="inlineStr">
        <is>
          <t>C10670</t>
        </is>
      </c>
      <c r="D7940" t="inlineStr">
        <is>
          <t>SKU-10320</t>
        </is>
      </c>
      <c r="E7940" t="inlineStr">
        <is>
          <t>AM03</t>
        </is>
      </c>
      <c r="F7940" s="5" t="n">
        <v>245.05</v>
      </c>
      <c r="G7940">
        <f>IF(LEFT(B7940,1)="C","Credit","Factuur")</f>
        <v/>
      </c>
      <c r="H7940">
        <f>IF(AND(B7940=B7939,D7940=D7939,A7940=A7939,F7940=F7939),1,0)</f>
        <v/>
      </c>
      <c r="I7940">
        <f>IF(C7940="C99999",1,0)</f>
        <v/>
      </c>
      <c r="J7940" s="5">
        <f>IF(OR(H7940=1,I7940=1),0,IF(G7940="Credit",-F7940,F7940))</f>
        <v/>
      </c>
    </row>
    <row r="7941">
      <c r="A7941" t="inlineStr">
        <is>
          <t>2026-09-11</t>
        </is>
      </c>
      <c r="B7941" t="inlineStr">
        <is>
          <t>F273003</t>
        </is>
      </c>
      <c r="C7941" t="inlineStr">
        <is>
          <t>C10677</t>
        </is>
      </c>
      <c r="D7941" t="inlineStr">
        <is>
          <t>SKU-10199</t>
        </is>
      </c>
      <c r="E7941" t="inlineStr">
        <is>
          <t>AM08</t>
        </is>
      </c>
      <c r="F7941" s="5" t="n">
        <v>156.53</v>
      </c>
      <c r="G7941">
        <f>IF(LEFT(B7941,1)="C","Credit","Factuur")</f>
        <v/>
      </c>
      <c r="H7941">
        <f>IF(AND(B7941=B7940,D7941=D7940,A7941=A7940,F7941=F7940),1,0)</f>
        <v/>
      </c>
      <c r="I7941">
        <f>IF(C7941="C99999",1,0)</f>
        <v/>
      </c>
      <c r="J7941" s="5">
        <f>IF(OR(H7941=1,I7941=1),0,IF(G7941="Credit",-F7941,F7941))</f>
        <v/>
      </c>
    </row>
    <row r="7942">
      <c r="A7942" t="inlineStr">
        <is>
          <t>2026-09-11</t>
        </is>
      </c>
      <c r="B7942" t="inlineStr">
        <is>
          <t>F273003</t>
        </is>
      </c>
      <c r="C7942" t="inlineStr">
        <is>
          <t>C10677</t>
        </is>
      </c>
      <c r="D7942" t="inlineStr">
        <is>
          <t>SKU-10284</t>
        </is>
      </c>
      <c r="E7942" t="inlineStr">
        <is>
          <t>AM08</t>
        </is>
      </c>
      <c r="F7942" s="5" t="n">
        <v>153.27</v>
      </c>
      <c r="G7942">
        <f>IF(LEFT(B7942,1)="C","Credit","Factuur")</f>
        <v/>
      </c>
      <c r="H7942">
        <f>IF(AND(B7942=B7941,D7942=D7941,A7942=A7941,F7942=F7941),1,0)</f>
        <v/>
      </c>
      <c r="I7942">
        <f>IF(C7942="C99999",1,0)</f>
        <v/>
      </c>
      <c r="J7942" s="5">
        <f>IF(OR(H7942=1,I7942=1),0,IF(G7942="Credit",-F7942,F7942))</f>
        <v/>
      </c>
    </row>
    <row r="7943">
      <c r="A7943" t="inlineStr">
        <is>
          <t>2026-09-11</t>
        </is>
      </c>
      <c r="B7943" t="inlineStr">
        <is>
          <t>F273003</t>
        </is>
      </c>
      <c r="C7943" t="inlineStr">
        <is>
          <t>C10677</t>
        </is>
      </c>
      <c r="D7943" t="inlineStr">
        <is>
          <t>SKU-10302</t>
        </is>
      </c>
      <c r="E7943" t="inlineStr">
        <is>
          <t>AM08</t>
        </is>
      </c>
      <c r="F7943" s="5" t="n">
        <v>175.64</v>
      </c>
      <c r="G7943">
        <f>IF(LEFT(B7943,1)="C","Credit","Factuur")</f>
        <v/>
      </c>
      <c r="H7943">
        <f>IF(AND(B7943=B7942,D7943=D7942,A7943=A7942,F7943=F7942),1,0)</f>
        <v/>
      </c>
      <c r="I7943">
        <f>IF(C7943="C99999",1,0)</f>
        <v/>
      </c>
      <c r="J7943" s="5">
        <f>IF(OR(H7943=1,I7943=1),0,IF(G7943="Credit",-F7943,F7943))</f>
        <v/>
      </c>
    </row>
    <row r="7944">
      <c r="A7944" t="inlineStr">
        <is>
          <t>2026-09-11</t>
        </is>
      </c>
      <c r="B7944" t="inlineStr">
        <is>
          <t>F273003</t>
        </is>
      </c>
      <c r="C7944" t="inlineStr">
        <is>
          <t>C10677</t>
        </is>
      </c>
      <c r="D7944" t="inlineStr">
        <is>
          <t>SKU-10331</t>
        </is>
      </c>
      <c r="E7944" t="inlineStr">
        <is>
          <t>AM08</t>
        </is>
      </c>
      <c r="F7944" s="5" t="n">
        <v>143.1</v>
      </c>
      <c r="G7944">
        <f>IF(LEFT(B7944,1)="C","Credit","Factuur")</f>
        <v/>
      </c>
      <c r="H7944">
        <f>IF(AND(B7944=B7943,D7944=D7943,A7944=A7943,F7944=F7943),1,0)</f>
        <v/>
      </c>
      <c r="I7944">
        <f>IF(C7944="C99999",1,0)</f>
        <v/>
      </c>
      <c r="J7944" s="5">
        <f>IF(OR(H7944=1,I7944=1),0,IF(G7944="Credit",-F7944,F7944))</f>
        <v/>
      </c>
    </row>
    <row r="7945">
      <c r="A7945" t="inlineStr">
        <is>
          <t>2026-09-11</t>
        </is>
      </c>
      <c r="B7945" t="inlineStr">
        <is>
          <t>F273037</t>
        </is>
      </c>
      <c r="C7945" t="inlineStr">
        <is>
          <t>C10681</t>
        </is>
      </c>
      <c r="D7945" t="inlineStr">
        <is>
          <t>SKU-10010</t>
        </is>
      </c>
      <c r="E7945" t="inlineStr">
        <is>
          <t>AM07</t>
        </is>
      </c>
      <c r="F7945" s="5" t="n">
        <v>352.96</v>
      </c>
      <c r="G7945">
        <f>IF(LEFT(B7945,1)="C","Credit","Factuur")</f>
        <v/>
      </c>
      <c r="H7945">
        <f>IF(AND(B7945=B7944,D7945=D7944,A7945=A7944,F7945=F7944),1,0)</f>
        <v/>
      </c>
      <c r="I7945">
        <f>IF(C7945="C99999",1,0)</f>
        <v/>
      </c>
      <c r="J7945" s="5">
        <f>IF(OR(H7945=1,I7945=1),0,IF(G7945="Credit",-F7945,F7945))</f>
        <v/>
      </c>
    </row>
    <row r="7946">
      <c r="A7946" t="inlineStr">
        <is>
          <t>2026-09-11</t>
        </is>
      </c>
      <c r="B7946" t="inlineStr">
        <is>
          <t>F273037</t>
        </is>
      </c>
      <c r="C7946" t="inlineStr">
        <is>
          <t>C10681</t>
        </is>
      </c>
      <c r="D7946" t="inlineStr">
        <is>
          <t>SKU-10336</t>
        </is>
      </c>
      <c r="E7946" t="inlineStr">
        <is>
          <t>AM07</t>
        </is>
      </c>
      <c r="F7946" s="5" t="n">
        <v>345.66</v>
      </c>
      <c r="G7946">
        <f>IF(LEFT(B7946,1)="C","Credit","Factuur")</f>
        <v/>
      </c>
      <c r="H7946">
        <f>IF(AND(B7946=B7945,D7946=D7945,A7946=A7945,F7946=F7945),1,0)</f>
        <v/>
      </c>
      <c r="I7946">
        <f>IF(C7946="C99999",1,0)</f>
        <v/>
      </c>
      <c r="J7946" s="5">
        <f>IF(OR(H7946=1,I7946=1),0,IF(G7946="Credit",-F7946,F7946))</f>
        <v/>
      </c>
    </row>
    <row r="7947">
      <c r="A7947" t="inlineStr">
        <is>
          <t>2026-09-11</t>
        </is>
      </c>
      <c r="B7947" t="inlineStr">
        <is>
          <t>F273037</t>
        </is>
      </c>
      <c r="C7947" t="inlineStr">
        <is>
          <t>C10681</t>
        </is>
      </c>
      <c r="D7947" t="inlineStr">
        <is>
          <t>SKU-10376</t>
        </is>
      </c>
      <c r="E7947" t="inlineStr">
        <is>
          <t>AM07</t>
        </is>
      </c>
      <c r="F7947" s="5" t="n">
        <v>330.56</v>
      </c>
      <c r="G7947">
        <f>IF(LEFT(B7947,1)="C","Credit","Factuur")</f>
        <v/>
      </c>
      <c r="H7947">
        <f>IF(AND(B7947=B7946,D7947=D7946,A7947=A7946,F7947=F7946),1,0)</f>
        <v/>
      </c>
      <c r="I7947">
        <f>IF(C7947="C99999",1,0)</f>
        <v/>
      </c>
      <c r="J7947" s="5">
        <f>IF(OR(H7947=1,I7947=1),0,IF(G7947="Credit",-F7947,F7947))</f>
        <v/>
      </c>
    </row>
    <row r="7948">
      <c r="A7948" t="inlineStr">
        <is>
          <t>2026-09-11</t>
        </is>
      </c>
      <c r="B7948" t="inlineStr">
        <is>
          <t>F273232</t>
        </is>
      </c>
      <c r="C7948" t="inlineStr">
        <is>
          <t>C10691</t>
        </is>
      </c>
      <c r="D7948" t="inlineStr">
        <is>
          <t>SKU-10054</t>
        </is>
      </c>
      <c r="E7948" t="inlineStr">
        <is>
          <t>AM02</t>
        </is>
      </c>
      <c r="F7948" s="5" t="n">
        <v>422.66</v>
      </c>
      <c r="G7948">
        <f>IF(LEFT(B7948,1)="C","Credit","Factuur")</f>
        <v/>
      </c>
      <c r="H7948">
        <f>IF(AND(B7948=B7947,D7948=D7947,A7948=A7947,F7948=F7947),1,0)</f>
        <v/>
      </c>
      <c r="I7948">
        <f>IF(C7948="C99999",1,0)</f>
        <v/>
      </c>
      <c r="J7948" s="5">
        <f>IF(OR(H7948=1,I7948=1),0,IF(G7948="Credit",-F7948,F7948))</f>
        <v/>
      </c>
    </row>
    <row r="7949">
      <c r="A7949" t="inlineStr">
        <is>
          <t>2026-09-11</t>
        </is>
      </c>
      <c r="B7949" t="inlineStr">
        <is>
          <t>F273232</t>
        </is>
      </c>
      <c r="C7949" t="inlineStr">
        <is>
          <t>C10691</t>
        </is>
      </c>
      <c r="D7949" t="inlineStr">
        <is>
          <t>SKU-10102</t>
        </is>
      </c>
      <c r="E7949" t="inlineStr">
        <is>
          <t>AM02</t>
        </is>
      </c>
      <c r="F7949" s="5" t="n">
        <v>431.2</v>
      </c>
      <c r="G7949">
        <f>IF(LEFT(B7949,1)="C","Credit","Factuur")</f>
        <v/>
      </c>
      <c r="H7949">
        <f>IF(AND(B7949=B7948,D7949=D7948,A7949=A7948,F7949=F7948),1,0)</f>
        <v/>
      </c>
      <c r="I7949">
        <f>IF(C7949="C99999",1,0)</f>
        <v/>
      </c>
      <c r="J7949" s="5">
        <f>IF(OR(H7949=1,I7949=1),0,IF(G7949="Credit",-F7949,F7949))</f>
        <v/>
      </c>
    </row>
    <row r="7950">
      <c r="A7950" t="inlineStr">
        <is>
          <t>2026-09-11</t>
        </is>
      </c>
      <c r="B7950" t="inlineStr">
        <is>
          <t>F273442</t>
        </is>
      </c>
      <c r="C7950" t="inlineStr">
        <is>
          <t>C10703</t>
        </is>
      </c>
      <c r="D7950" t="inlineStr">
        <is>
          <t>SKU-10198</t>
        </is>
      </c>
      <c r="E7950" t="inlineStr">
        <is>
          <t>AM05</t>
        </is>
      </c>
      <c r="F7950" s="5" t="n">
        <v>467.35</v>
      </c>
      <c r="G7950">
        <f>IF(LEFT(B7950,1)="C","Credit","Factuur")</f>
        <v/>
      </c>
      <c r="H7950">
        <f>IF(AND(B7950=B7949,D7950=D7949,A7950=A7949,F7950=F7949),1,0)</f>
        <v/>
      </c>
      <c r="I7950">
        <f>IF(C7950="C99999",1,0)</f>
        <v/>
      </c>
      <c r="J7950" s="5">
        <f>IF(OR(H7950=1,I7950=1),0,IF(G7950="Credit",-F7950,F7950))</f>
        <v/>
      </c>
    </row>
    <row r="7951">
      <c r="A7951" t="inlineStr">
        <is>
          <t>2026-09-11</t>
        </is>
      </c>
      <c r="B7951" t="inlineStr">
        <is>
          <t>F273442</t>
        </is>
      </c>
      <c r="C7951" t="inlineStr">
        <is>
          <t>C10703</t>
        </is>
      </c>
      <c r="D7951" t="inlineStr">
        <is>
          <t>SKU-10250</t>
        </is>
      </c>
      <c r="E7951" t="inlineStr">
        <is>
          <t>AM05</t>
        </is>
      </c>
      <c r="F7951" s="5" t="n">
        <v>454.86</v>
      </c>
      <c r="G7951">
        <f>IF(LEFT(B7951,1)="C","Credit","Factuur")</f>
        <v/>
      </c>
      <c r="H7951">
        <f>IF(AND(B7951=B7950,D7951=D7950,A7951=A7950,F7951=F7950),1,0)</f>
        <v/>
      </c>
      <c r="I7951">
        <f>IF(C7951="C99999",1,0)</f>
        <v/>
      </c>
      <c r="J7951" s="5">
        <f>IF(OR(H7951=1,I7951=1),0,IF(G7951="Credit",-F7951,F7951))</f>
        <v/>
      </c>
    </row>
    <row r="7952">
      <c r="A7952" t="inlineStr">
        <is>
          <t>2026-09-11</t>
        </is>
      </c>
      <c r="B7952" t="inlineStr">
        <is>
          <t>F273475</t>
        </is>
      </c>
      <c r="C7952" t="inlineStr">
        <is>
          <t>C10705</t>
        </is>
      </c>
      <c r="D7952" t="inlineStr">
        <is>
          <t>SKU-10301</t>
        </is>
      </c>
      <c r="E7952" t="inlineStr">
        <is>
          <t>AM02</t>
        </is>
      </c>
      <c r="F7952" s="5" t="n">
        <v>466.73</v>
      </c>
      <c r="G7952">
        <f>IF(LEFT(B7952,1)="C","Credit","Factuur")</f>
        <v/>
      </c>
      <c r="H7952">
        <f>IF(AND(B7952=B7951,D7952=D7951,A7952=A7951,F7952=F7951),1,0)</f>
        <v/>
      </c>
      <c r="I7952">
        <f>IF(C7952="C99999",1,0)</f>
        <v/>
      </c>
      <c r="J7952" s="5">
        <f>IF(OR(H7952=1,I7952=1),0,IF(G7952="Credit",-F7952,F7952))</f>
        <v/>
      </c>
    </row>
    <row r="7953">
      <c r="A7953" t="inlineStr">
        <is>
          <t>2026-09-11</t>
        </is>
      </c>
      <c r="B7953" t="inlineStr">
        <is>
          <t>F273475</t>
        </is>
      </c>
      <c r="C7953" t="inlineStr">
        <is>
          <t>C10705</t>
        </is>
      </c>
      <c r="D7953" t="inlineStr">
        <is>
          <t>SKU-10376</t>
        </is>
      </c>
      <c r="E7953" t="inlineStr">
        <is>
          <t>AM02</t>
        </is>
      </c>
      <c r="F7953" s="5" t="n">
        <v>495.84</v>
      </c>
      <c r="G7953">
        <f>IF(LEFT(B7953,1)="C","Credit","Factuur")</f>
        <v/>
      </c>
      <c r="H7953">
        <f>IF(AND(B7953=B7952,D7953=D7952,A7953=A7952,F7953=F7952),1,0)</f>
        <v/>
      </c>
      <c r="I7953">
        <f>IF(C7953="C99999",1,0)</f>
        <v/>
      </c>
      <c r="J7953" s="5">
        <f>IF(OR(H7953=1,I7953=1),0,IF(G7953="Credit",-F7953,F7953))</f>
        <v/>
      </c>
    </row>
    <row r="7954">
      <c r="A7954" t="inlineStr">
        <is>
          <t>2026-09-11</t>
        </is>
      </c>
      <c r="B7954" t="inlineStr">
        <is>
          <t>F273558</t>
        </is>
      </c>
      <c r="C7954" t="inlineStr">
        <is>
          <t>C10711</t>
        </is>
      </c>
      <c r="D7954" t="inlineStr">
        <is>
          <t>SKU-10201</t>
        </is>
      </c>
      <c r="E7954" t="inlineStr">
        <is>
          <t>AM09</t>
        </is>
      </c>
      <c r="F7954" s="5" t="n">
        <v>8439.549999999999</v>
      </c>
      <c r="G7954">
        <f>IF(LEFT(B7954,1)="C","Credit","Factuur")</f>
        <v/>
      </c>
      <c r="H7954">
        <f>IF(AND(B7954=B7953,D7954=D7953,A7954=A7953,F7954=F7953),1,0)</f>
        <v/>
      </c>
      <c r="I7954">
        <f>IF(C7954="C99999",1,0)</f>
        <v/>
      </c>
      <c r="J7954" s="5">
        <f>IF(OR(H7954=1,I7954=1),0,IF(G7954="Credit",-F7954,F7954))</f>
        <v/>
      </c>
    </row>
    <row r="7955">
      <c r="A7955" t="inlineStr">
        <is>
          <t>2026-09-11</t>
        </is>
      </c>
      <c r="B7955" t="inlineStr">
        <is>
          <t>F273558</t>
        </is>
      </c>
      <c r="C7955" t="inlineStr">
        <is>
          <t>C10711</t>
        </is>
      </c>
      <c r="D7955" t="inlineStr">
        <is>
          <t>SKU-10373</t>
        </is>
      </c>
      <c r="E7955" t="inlineStr">
        <is>
          <t>AM09</t>
        </is>
      </c>
      <c r="F7955" s="5" t="n">
        <v>9048.790000000001</v>
      </c>
      <c r="G7955">
        <f>IF(LEFT(B7955,1)="C","Credit","Factuur")</f>
        <v/>
      </c>
      <c r="H7955">
        <f>IF(AND(B7955=B7954,D7955=D7954,A7955=A7954,F7955=F7954),1,0)</f>
        <v/>
      </c>
      <c r="I7955">
        <f>IF(C7955="C99999",1,0)</f>
        <v/>
      </c>
      <c r="J7955" s="5">
        <f>IF(OR(H7955=1,I7955=1),0,IF(G7955="Credit",-F7955,F7955))</f>
        <v/>
      </c>
    </row>
    <row r="7956">
      <c r="A7956" t="inlineStr">
        <is>
          <t>2026-09-11</t>
        </is>
      </c>
      <c r="B7956" t="inlineStr">
        <is>
          <t>F273883</t>
        </is>
      </c>
      <c r="C7956" t="inlineStr">
        <is>
          <t>C10731</t>
        </is>
      </c>
      <c r="D7956" t="inlineStr">
        <is>
          <t>SKU-10106</t>
        </is>
      </c>
      <c r="E7956" t="inlineStr">
        <is>
          <t>AM08</t>
        </is>
      </c>
      <c r="F7956" s="5" t="n">
        <v>413.2</v>
      </c>
      <c r="G7956">
        <f>IF(LEFT(B7956,1)="C","Credit","Factuur")</f>
        <v/>
      </c>
      <c r="H7956">
        <f>IF(AND(B7956=B7955,D7956=D7955,A7956=A7955,F7956=F7955),1,0)</f>
        <v/>
      </c>
      <c r="I7956">
        <f>IF(C7956="C99999",1,0)</f>
        <v/>
      </c>
      <c r="J7956" s="5">
        <f>IF(OR(H7956=1,I7956=1),0,IF(G7956="Credit",-F7956,F7956))</f>
        <v/>
      </c>
    </row>
    <row r="7957">
      <c r="A7957" t="inlineStr">
        <is>
          <t>2026-09-11</t>
        </is>
      </c>
      <c r="B7957" t="inlineStr">
        <is>
          <t>F273883</t>
        </is>
      </c>
      <c r="C7957" t="inlineStr">
        <is>
          <t>C10731</t>
        </is>
      </c>
      <c r="D7957" t="inlineStr">
        <is>
          <t>SKU-10168</t>
        </is>
      </c>
      <c r="E7957" t="inlineStr">
        <is>
          <t>AM08</t>
        </is>
      </c>
      <c r="F7957" s="5" t="n">
        <v>452.14</v>
      </c>
      <c r="G7957">
        <f>IF(LEFT(B7957,1)="C","Credit","Factuur")</f>
        <v/>
      </c>
      <c r="H7957">
        <f>IF(AND(B7957=B7956,D7957=D7956,A7957=A7956,F7957=F7956),1,0)</f>
        <v/>
      </c>
      <c r="I7957">
        <f>IF(C7957="C99999",1,0)</f>
        <v/>
      </c>
      <c r="J7957" s="5">
        <f>IF(OR(H7957=1,I7957=1),0,IF(G7957="Credit",-F7957,F7957))</f>
        <v/>
      </c>
    </row>
    <row r="7958">
      <c r="A7958" t="inlineStr">
        <is>
          <t>2026-09-11</t>
        </is>
      </c>
      <c r="B7958" t="inlineStr">
        <is>
          <t>F273883</t>
        </is>
      </c>
      <c r="C7958" t="inlineStr">
        <is>
          <t>C10731</t>
        </is>
      </c>
      <c r="D7958" t="inlineStr">
        <is>
          <t>SKU-10340</t>
        </is>
      </c>
      <c r="E7958" t="inlineStr">
        <is>
          <t>AM08</t>
        </is>
      </c>
      <c r="F7958" s="5" t="n">
        <v>457.04</v>
      </c>
      <c r="G7958">
        <f>IF(LEFT(B7958,1)="C","Credit","Factuur")</f>
        <v/>
      </c>
      <c r="H7958">
        <f>IF(AND(B7958=B7957,D7958=D7957,A7958=A7957,F7958=F7957),1,0)</f>
        <v/>
      </c>
      <c r="I7958">
        <f>IF(C7958="C99999",1,0)</f>
        <v/>
      </c>
      <c r="J7958" s="5">
        <f>IF(OR(H7958=1,I7958=1),0,IF(G7958="Credit",-F7958,F7958))</f>
        <v/>
      </c>
    </row>
    <row r="7959">
      <c r="A7959" t="inlineStr">
        <is>
          <t>2026-09-11</t>
        </is>
      </c>
      <c r="B7959" t="inlineStr">
        <is>
          <t>F273994</t>
        </is>
      </c>
      <c r="C7959" t="inlineStr">
        <is>
          <t>C10738</t>
        </is>
      </c>
      <c r="D7959" t="inlineStr">
        <is>
          <t>SKU-10053</t>
        </is>
      </c>
      <c r="E7959" t="inlineStr">
        <is>
          <t>AM06</t>
        </is>
      </c>
      <c r="F7959" s="5" t="n">
        <v>391.88</v>
      </c>
      <c r="G7959">
        <f>IF(LEFT(B7959,1)="C","Credit","Factuur")</f>
        <v/>
      </c>
      <c r="H7959">
        <f>IF(AND(B7959=B7958,D7959=D7958,A7959=A7958,F7959=F7958),1,0)</f>
        <v/>
      </c>
      <c r="I7959">
        <f>IF(C7959="C99999",1,0)</f>
        <v/>
      </c>
      <c r="J7959" s="5">
        <f>IF(OR(H7959=1,I7959=1),0,IF(G7959="Credit",-F7959,F7959))</f>
        <v/>
      </c>
    </row>
    <row r="7960">
      <c r="A7960" t="inlineStr">
        <is>
          <t>2026-09-11</t>
        </is>
      </c>
      <c r="B7960" t="inlineStr">
        <is>
          <t>F273994</t>
        </is>
      </c>
      <c r="C7960" t="inlineStr">
        <is>
          <t>C10738</t>
        </is>
      </c>
      <c r="D7960" t="inlineStr">
        <is>
          <t>SKU-10260</t>
        </is>
      </c>
      <c r="E7960" t="inlineStr">
        <is>
          <t>AM06</t>
        </is>
      </c>
      <c r="F7960" s="5" t="n">
        <v>358.25</v>
      </c>
      <c r="G7960">
        <f>IF(LEFT(B7960,1)="C","Credit","Factuur")</f>
        <v/>
      </c>
      <c r="H7960">
        <f>IF(AND(B7960=B7959,D7960=D7959,A7960=A7959,F7960=F7959),1,0)</f>
        <v/>
      </c>
      <c r="I7960">
        <f>IF(C7960="C99999",1,0)</f>
        <v/>
      </c>
      <c r="J7960" s="5">
        <f>IF(OR(H7960=1,I7960=1),0,IF(G7960="Credit",-F7960,F7960))</f>
        <v/>
      </c>
    </row>
    <row r="7961">
      <c r="A7961" t="inlineStr">
        <is>
          <t>2026-09-11</t>
        </is>
      </c>
      <c r="B7961" t="inlineStr">
        <is>
          <t>F273994</t>
        </is>
      </c>
      <c r="C7961" t="inlineStr">
        <is>
          <t>C10738</t>
        </is>
      </c>
      <c r="D7961" t="inlineStr">
        <is>
          <t>SKU-10309</t>
        </is>
      </c>
      <c r="E7961" t="inlineStr">
        <is>
          <t>AM06</t>
        </is>
      </c>
      <c r="F7961" s="5" t="n">
        <v>415.89</v>
      </c>
      <c r="G7961">
        <f>IF(LEFT(B7961,1)="C","Credit","Factuur")</f>
        <v/>
      </c>
      <c r="H7961">
        <f>IF(AND(B7961=B7960,D7961=D7960,A7961=A7960,F7961=F7960),1,0)</f>
        <v/>
      </c>
      <c r="I7961">
        <f>IF(C7961="C99999",1,0)</f>
        <v/>
      </c>
      <c r="J7961" s="5">
        <f>IF(OR(H7961=1,I7961=1),0,IF(G7961="Credit",-F7961,F7961))</f>
        <v/>
      </c>
    </row>
    <row r="7962">
      <c r="A7962" t="inlineStr">
        <is>
          <t>2026-09-11</t>
        </is>
      </c>
      <c r="B7962" t="inlineStr">
        <is>
          <t>F274196</t>
        </is>
      </c>
      <c r="C7962" t="inlineStr">
        <is>
          <t>C10751</t>
        </is>
      </c>
      <c r="D7962" t="inlineStr">
        <is>
          <t>SKU-10146</t>
        </is>
      </c>
      <c r="E7962" t="inlineStr">
        <is>
          <t>AM08</t>
        </is>
      </c>
      <c r="F7962" s="5" t="n">
        <v>462.28</v>
      </c>
      <c r="G7962">
        <f>IF(LEFT(B7962,1)="C","Credit","Factuur")</f>
        <v/>
      </c>
      <c r="H7962">
        <f>IF(AND(B7962=B7961,D7962=D7961,A7962=A7961,F7962=F7961),1,0)</f>
        <v/>
      </c>
      <c r="I7962">
        <f>IF(C7962="C99999",1,0)</f>
        <v/>
      </c>
      <c r="J7962" s="5">
        <f>IF(OR(H7962=1,I7962=1),0,IF(G7962="Credit",-F7962,F7962))</f>
        <v/>
      </c>
    </row>
    <row r="7963">
      <c r="A7963" t="inlineStr">
        <is>
          <t>2026-09-11</t>
        </is>
      </c>
      <c r="B7963" t="inlineStr">
        <is>
          <t>F274196</t>
        </is>
      </c>
      <c r="C7963" t="inlineStr">
        <is>
          <t>C10751</t>
        </is>
      </c>
      <c r="D7963" t="inlineStr">
        <is>
          <t>SKU-10302</t>
        </is>
      </c>
      <c r="E7963" t="inlineStr">
        <is>
          <t>AM08</t>
        </is>
      </c>
      <c r="F7963" s="5" t="n">
        <v>458.86</v>
      </c>
      <c r="G7963">
        <f>IF(LEFT(B7963,1)="C","Credit","Factuur")</f>
        <v/>
      </c>
      <c r="H7963">
        <f>IF(AND(B7963=B7962,D7963=D7962,A7963=A7962,F7963=F7962),1,0)</f>
        <v/>
      </c>
      <c r="I7963">
        <f>IF(C7963="C99999",1,0)</f>
        <v/>
      </c>
      <c r="J7963" s="5">
        <f>IF(OR(H7963=1,I7963=1),0,IF(G7963="Credit",-F7963,F7963))</f>
        <v/>
      </c>
    </row>
    <row r="7964">
      <c r="A7964" t="inlineStr">
        <is>
          <t>2026-09-11</t>
        </is>
      </c>
      <c r="B7964" t="inlineStr">
        <is>
          <t>F274196</t>
        </is>
      </c>
      <c r="C7964" t="inlineStr">
        <is>
          <t>C10751</t>
        </is>
      </c>
      <c r="D7964" t="inlineStr">
        <is>
          <t>SKU-10343</t>
        </is>
      </c>
      <c r="E7964" t="inlineStr">
        <is>
          <t>AM08</t>
        </is>
      </c>
      <c r="F7964" s="5" t="n">
        <v>481.44</v>
      </c>
      <c r="G7964">
        <f>IF(LEFT(B7964,1)="C","Credit","Factuur")</f>
        <v/>
      </c>
      <c r="H7964">
        <f>IF(AND(B7964=B7963,D7964=D7963,A7964=A7963,F7964=F7963),1,0)</f>
        <v/>
      </c>
      <c r="I7964">
        <f>IF(C7964="C99999",1,0)</f>
        <v/>
      </c>
      <c r="J7964" s="5">
        <f>IF(OR(H7964=1,I7964=1),0,IF(G7964="Credit",-F7964,F7964))</f>
        <v/>
      </c>
    </row>
    <row r="7965">
      <c r="A7965" t="inlineStr">
        <is>
          <t>2026-09-11</t>
        </is>
      </c>
      <c r="B7965" t="inlineStr">
        <is>
          <t>F274609</t>
        </is>
      </c>
      <c r="C7965" t="inlineStr">
        <is>
          <t>C10774</t>
        </is>
      </c>
      <c r="D7965" t="inlineStr">
        <is>
          <t>SKU-10064</t>
        </is>
      </c>
      <c r="E7965" t="inlineStr">
        <is>
          <t>AM06</t>
        </is>
      </c>
      <c r="F7965" s="5" t="n">
        <v>432.08</v>
      </c>
      <c r="G7965">
        <f>IF(LEFT(B7965,1)="C","Credit","Factuur")</f>
        <v/>
      </c>
      <c r="H7965">
        <f>IF(AND(B7965=B7964,D7965=D7964,A7965=A7964,F7965=F7964),1,0)</f>
        <v/>
      </c>
      <c r="I7965">
        <f>IF(C7965="C99999",1,0)</f>
        <v/>
      </c>
      <c r="J7965" s="5">
        <f>IF(OR(H7965=1,I7965=1),0,IF(G7965="Credit",-F7965,F7965))</f>
        <v/>
      </c>
    </row>
    <row r="7966">
      <c r="A7966" t="inlineStr">
        <is>
          <t>2026-09-11</t>
        </is>
      </c>
      <c r="B7966" t="inlineStr">
        <is>
          <t>F274609</t>
        </is>
      </c>
      <c r="C7966" t="inlineStr">
        <is>
          <t>C10774</t>
        </is>
      </c>
      <c r="D7966" t="inlineStr">
        <is>
          <t>SKU-10092</t>
        </is>
      </c>
      <c r="E7966" t="inlineStr">
        <is>
          <t>AM06</t>
        </is>
      </c>
      <c r="F7966" s="5" t="n">
        <v>411.72</v>
      </c>
      <c r="G7966">
        <f>IF(LEFT(B7966,1)="C","Credit","Factuur")</f>
        <v/>
      </c>
      <c r="H7966">
        <f>IF(AND(B7966=B7965,D7966=D7965,A7966=A7965,F7966=F7965),1,0)</f>
        <v/>
      </c>
      <c r="I7966">
        <f>IF(C7966="C99999",1,0)</f>
        <v/>
      </c>
      <c r="J7966" s="5">
        <f>IF(OR(H7966=1,I7966=1),0,IF(G7966="Credit",-F7966,F7966))</f>
        <v/>
      </c>
    </row>
    <row r="7967">
      <c r="A7967" t="inlineStr">
        <is>
          <t>2026-09-11</t>
        </is>
      </c>
      <c r="B7967" t="inlineStr">
        <is>
          <t>F274609</t>
        </is>
      </c>
      <c r="C7967" t="inlineStr">
        <is>
          <t>C10774</t>
        </is>
      </c>
      <c r="D7967" t="inlineStr">
        <is>
          <t>SKU-10138</t>
        </is>
      </c>
      <c r="E7967" t="inlineStr">
        <is>
          <t>AM06</t>
        </is>
      </c>
      <c r="F7967" s="5" t="n">
        <v>387.45</v>
      </c>
      <c r="G7967">
        <f>IF(LEFT(B7967,1)="C","Credit","Factuur")</f>
        <v/>
      </c>
      <c r="H7967">
        <f>IF(AND(B7967=B7966,D7967=D7966,A7967=A7966,F7967=F7966),1,0)</f>
        <v/>
      </c>
      <c r="I7967">
        <f>IF(C7967="C99999",1,0)</f>
        <v/>
      </c>
      <c r="J7967" s="5">
        <f>IF(OR(H7967=1,I7967=1),0,IF(G7967="Credit",-F7967,F7967))</f>
        <v/>
      </c>
    </row>
    <row r="7968">
      <c r="A7968" t="inlineStr">
        <is>
          <t>2026-09-11</t>
        </is>
      </c>
      <c r="B7968" t="inlineStr">
        <is>
          <t>F274629</t>
        </is>
      </c>
      <c r="C7968" t="inlineStr">
        <is>
          <t>C10775</t>
        </is>
      </c>
      <c r="D7968" t="inlineStr">
        <is>
          <t>SKU-10015</t>
        </is>
      </c>
      <c r="E7968" t="inlineStr">
        <is>
          <t>AM01</t>
        </is>
      </c>
      <c r="F7968" s="5" t="n">
        <v>98.18000000000001</v>
      </c>
      <c r="G7968">
        <f>IF(LEFT(B7968,1)="C","Credit","Factuur")</f>
        <v/>
      </c>
      <c r="H7968">
        <f>IF(AND(B7968=B7967,D7968=D7967,A7968=A7967,F7968=F7967),1,0)</f>
        <v/>
      </c>
      <c r="I7968">
        <f>IF(C7968="C99999",1,0)</f>
        <v/>
      </c>
      <c r="J7968" s="5">
        <f>IF(OR(H7968=1,I7968=1),0,IF(G7968="Credit",-F7968,F7968))</f>
        <v/>
      </c>
    </row>
    <row r="7969">
      <c r="A7969" t="inlineStr">
        <is>
          <t>2026-09-11</t>
        </is>
      </c>
      <c r="B7969" t="inlineStr">
        <is>
          <t>F274629</t>
        </is>
      </c>
      <c r="C7969" t="inlineStr">
        <is>
          <t>C10775</t>
        </is>
      </c>
      <c r="D7969" t="inlineStr">
        <is>
          <t>SKU-10050</t>
        </is>
      </c>
      <c r="E7969" t="inlineStr">
        <is>
          <t>AM01</t>
        </is>
      </c>
      <c r="F7969" s="5" t="n">
        <v>106.86</v>
      </c>
      <c r="G7969">
        <f>IF(LEFT(B7969,1)="C","Credit","Factuur")</f>
        <v/>
      </c>
      <c r="H7969">
        <f>IF(AND(B7969=B7968,D7969=D7968,A7969=A7968,F7969=F7968),1,0)</f>
        <v/>
      </c>
      <c r="I7969">
        <f>IF(C7969="C99999",1,0)</f>
        <v/>
      </c>
      <c r="J7969" s="5">
        <f>IF(OR(H7969=1,I7969=1),0,IF(G7969="Credit",-F7969,F7969))</f>
        <v/>
      </c>
    </row>
    <row r="7970">
      <c r="A7970" t="inlineStr">
        <is>
          <t>2026-09-11</t>
        </is>
      </c>
      <c r="B7970" t="inlineStr">
        <is>
          <t>F274629</t>
        </is>
      </c>
      <c r="C7970" t="inlineStr">
        <is>
          <t>C10775</t>
        </is>
      </c>
      <c r="D7970" t="inlineStr">
        <is>
          <t>SKU-10115</t>
        </is>
      </c>
      <c r="E7970" t="inlineStr">
        <is>
          <t>AM01</t>
        </is>
      </c>
      <c r="F7970" s="5" t="n">
        <v>98.38</v>
      </c>
      <c r="G7970">
        <f>IF(LEFT(B7970,1)="C","Credit","Factuur")</f>
        <v/>
      </c>
      <c r="H7970">
        <f>IF(AND(B7970=B7969,D7970=D7969,A7970=A7969,F7970=F7969),1,0)</f>
        <v/>
      </c>
      <c r="I7970">
        <f>IF(C7970="C99999",1,0)</f>
        <v/>
      </c>
      <c r="J7970" s="5">
        <f>IF(OR(H7970=1,I7970=1),0,IF(G7970="Credit",-F7970,F7970))</f>
        <v/>
      </c>
    </row>
    <row r="7971">
      <c r="A7971" t="inlineStr">
        <is>
          <t>2026-09-11</t>
        </is>
      </c>
      <c r="B7971" t="inlineStr">
        <is>
          <t>F274776</t>
        </is>
      </c>
      <c r="C7971" t="inlineStr">
        <is>
          <t>C10781</t>
        </is>
      </c>
      <c r="D7971" t="inlineStr">
        <is>
          <t>SKU-10064</t>
        </is>
      </c>
      <c r="E7971" t="inlineStr">
        <is>
          <t>AM08</t>
        </is>
      </c>
      <c r="F7971" s="5" t="n">
        <v>392.8</v>
      </c>
      <c r="G7971">
        <f>IF(LEFT(B7971,1)="C","Credit","Factuur")</f>
        <v/>
      </c>
      <c r="H7971">
        <f>IF(AND(B7971=B7970,D7971=D7970,A7971=A7970,F7971=F7970),1,0)</f>
        <v/>
      </c>
      <c r="I7971">
        <f>IF(C7971="C99999",1,0)</f>
        <v/>
      </c>
      <c r="J7971" s="5">
        <f>IF(OR(H7971=1,I7971=1),0,IF(G7971="Credit",-F7971,F7971))</f>
        <v/>
      </c>
    </row>
    <row r="7972">
      <c r="A7972" t="inlineStr">
        <is>
          <t>2026-09-11</t>
        </is>
      </c>
      <c r="B7972" t="inlineStr">
        <is>
          <t>F274776</t>
        </is>
      </c>
      <c r="C7972" t="inlineStr">
        <is>
          <t>C10781</t>
        </is>
      </c>
      <c r="D7972" t="inlineStr">
        <is>
          <t>SKU-10294</t>
        </is>
      </c>
      <c r="E7972" t="inlineStr">
        <is>
          <t>AM08</t>
        </is>
      </c>
      <c r="F7972" s="5" t="n">
        <v>368.7</v>
      </c>
      <c r="G7972">
        <f>IF(LEFT(B7972,1)="C","Credit","Factuur")</f>
        <v/>
      </c>
      <c r="H7972">
        <f>IF(AND(B7972=B7971,D7972=D7971,A7972=A7971,F7972=F7971),1,0)</f>
        <v/>
      </c>
      <c r="I7972">
        <f>IF(C7972="C99999",1,0)</f>
        <v/>
      </c>
      <c r="J7972" s="5">
        <f>IF(OR(H7972=1,I7972=1),0,IF(G7972="Credit",-F7972,F7972))</f>
        <v/>
      </c>
    </row>
    <row r="7973">
      <c r="A7973" t="inlineStr">
        <is>
          <t>2026-09-11</t>
        </is>
      </c>
      <c r="B7973" t="inlineStr">
        <is>
          <t>F274776</t>
        </is>
      </c>
      <c r="C7973" t="inlineStr">
        <is>
          <t>C10781</t>
        </is>
      </c>
      <c r="D7973" t="inlineStr">
        <is>
          <t>SKU-10314</t>
        </is>
      </c>
      <c r="E7973" t="inlineStr">
        <is>
          <t>AM08</t>
        </is>
      </c>
      <c r="F7973" s="5" t="n">
        <v>376.32</v>
      </c>
      <c r="G7973">
        <f>IF(LEFT(B7973,1)="C","Credit","Factuur")</f>
        <v/>
      </c>
      <c r="H7973">
        <f>IF(AND(B7973=B7972,D7973=D7972,A7973=A7972,F7973=F7972),1,0)</f>
        <v/>
      </c>
      <c r="I7973">
        <f>IF(C7973="C99999",1,0)</f>
        <v/>
      </c>
      <c r="J7973" s="5">
        <f>IF(OR(H7973=1,I7973=1),0,IF(G7973="Credit",-F7973,F7973))</f>
        <v/>
      </c>
    </row>
    <row r="7974">
      <c r="A7974" t="inlineStr">
        <is>
          <t>2026-09-11</t>
        </is>
      </c>
      <c r="B7974" t="inlineStr">
        <is>
          <t>F274776</t>
        </is>
      </c>
      <c r="C7974" t="inlineStr">
        <is>
          <t>C10781</t>
        </is>
      </c>
      <c r="D7974" t="inlineStr">
        <is>
          <t>SKU-10340</t>
        </is>
      </c>
      <c r="E7974" t="inlineStr">
        <is>
          <t>AM08</t>
        </is>
      </c>
      <c r="F7974" s="5" t="n">
        <v>378.24</v>
      </c>
      <c r="G7974">
        <f>IF(LEFT(B7974,1)="C","Credit","Factuur")</f>
        <v/>
      </c>
      <c r="H7974">
        <f>IF(AND(B7974=B7973,D7974=D7973,A7974=A7973,F7974=F7973),1,0)</f>
        <v/>
      </c>
      <c r="I7974">
        <f>IF(C7974="C99999",1,0)</f>
        <v/>
      </c>
      <c r="J7974" s="5">
        <f>IF(OR(H7974=1,I7974=1),0,IF(G7974="Credit",-F7974,F7974))</f>
        <v/>
      </c>
    </row>
    <row r="7975">
      <c r="A7975" t="inlineStr">
        <is>
          <t>2026-09-11</t>
        </is>
      </c>
      <c r="B7975" t="inlineStr">
        <is>
          <t>F274776</t>
        </is>
      </c>
      <c r="C7975" t="inlineStr">
        <is>
          <t>C10781</t>
        </is>
      </c>
      <c r="D7975" t="inlineStr">
        <is>
          <t>SKU-10341</t>
        </is>
      </c>
      <c r="E7975" t="inlineStr">
        <is>
          <t>AM08</t>
        </is>
      </c>
      <c r="F7975" s="5" t="n">
        <v>362.16</v>
      </c>
      <c r="G7975">
        <f>IF(LEFT(B7975,1)="C","Credit","Factuur")</f>
        <v/>
      </c>
      <c r="H7975">
        <f>IF(AND(B7975=B7974,D7975=D7974,A7975=A7974,F7975=F7974),1,0)</f>
        <v/>
      </c>
      <c r="I7975">
        <f>IF(C7975="C99999",1,0)</f>
        <v/>
      </c>
      <c r="J7975" s="5">
        <f>IF(OR(H7975=1,I7975=1),0,IF(G7975="Credit",-F7975,F7975))</f>
        <v/>
      </c>
    </row>
    <row r="7976">
      <c r="A7976" t="inlineStr">
        <is>
          <t>2026-09-11</t>
        </is>
      </c>
      <c r="B7976" t="inlineStr">
        <is>
          <t>F274926</t>
        </is>
      </c>
      <c r="C7976" t="inlineStr">
        <is>
          <t>C10787</t>
        </is>
      </c>
      <c r="D7976" t="inlineStr">
        <is>
          <t>SKU-10294</t>
        </is>
      </c>
      <c r="E7976" t="inlineStr">
        <is>
          <t>AM11</t>
        </is>
      </c>
      <c r="F7976" s="5" t="n">
        <v>294.96</v>
      </c>
      <c r="G7976">
        <f>IF(LEFT(B7976,1)="C","Credit","Factuur")</f>
        <v/>
      </c>
      <c r="H7976">
        <f>IF(AND(B7976=B7975,D7976=D7975,A7976=A7975,F7976=F7975),1,0)</f>
        <v/>
      </c>
      <c r="I7976">
        <f>IF(C7976="C99999",1,0)</f>
        <v/>
      </c>
      <c r="J7976" s="5">
        <f>IF(OR(H7976=1,I7976=1),0,IF(G7976="Credit",-F7976,F7976))</f>
        <v/>
      </c>
    </row>
    <row r="7977">
      <c r="A7977" t="inlineStr">
        <is>
          <t>2026-09-11</t>
        </is>
      </c>
      <c r="B7977" t="inlineStr">
        <is>
          <t>F274926</t>
        </is>
      </c>
      <c r="C7977" t="inlineStr">
        <is>
          <t>C10787</t>
        </is>
      </c>
      <c r="D7977" t="inlineStr">
        <is>
          <t>SKU-10299</t>
        </is>
      </c>
      <c r="E7977" t="inlineStr">
        <is>
          <t>AM11</t>
        </is>
      </c>
      <c r="F7977" s="5" t="n">
        <v>286.06</v>
      </c>
      <c r="G7977">
        <f>IF(LEFT(B7977,1)="C","Credit","Factuur")</f>
        <v/>
      </c>
      <c r="H7977">
        <f>IF(AND(B7977=B7976,D7977=D7976,A7977=A7976,F7977=F7976),1,0)</f>
        <v/>
      </c>
      <c r="I7977">
        <f>IF(C7977="C99999",1,0)</f>
        <v/>
      </c>
      <c r="J7977" s="5">
        <f>IF(OR(H7977=1,I7977=1),0,IF(G7977="Credit",-F7977,F7977))</f>
        <v/>
      </c>
    </row>
    <row r="7978">
      <c r="A7978" t="inlineStr">
        <is>
          <t>2026-09-11</t>
        </is>
      </c>
      <c r="B7978" t="inlineStr">
        <is>
          <t>F274962</t>
        </is>
      </c>
      <c r="C7978" t="inlineStr">
        <is>
          <t>C10789</t>
        </is>
      </c>
      <c r="D7978" t="inlineStr">
        <is>
          <t>SKU-10041</t>
        </is>
      </c>
      <c r="E7978" t="inlineStr">
        <is>
          <t>AM01</t>
        </is>
      </c>
      <c r="F7978" s="5" t="n">
        <v>323.36</v>
      </c>
      <c r="G7978">
        <f>IF(LEFT(B7978,1)="C","Credit","Factuur")</f>
        <v/>
      </c>
      <c r="H7978">
        <f>IF(AND(B7978=B7977,D7978=D7977,A7978=A7977,F7978=F7977),1,0)</f>
        <v/>
      </c>
      <c r="I7978">
        <f>IF(C7978="C99999",1,0)</f>
        <v/>
      </c>
      <c r="J7978" s="5">
        <f>IF(OR(H7978=1,I7978=1),0,IF(G7978="Credit",-F7978,F7978))</f>
        <v/>
      </c>
    </row>
    <row r="7979">
      <c r="A7979" t="inlineStr">
        <is>
          <t>2026-09-11</t>
        </is>
      </c>
      <c r="B7979" t="inlineStr">
        <is>
          <t>F274962</t>
        </is>
      </c>
      <c r="C7979" t="inlineStr">
        <is>
          <t>C10789</t>
        </is>
      </c>
      <c r="D7979" t="inlineStr">
        <is>
          <t>SKU-10049</t>
        </is>
      </c>
      <c r="E7979" t="inlineStr">
        <is>
          <t>AM01</t>
        </is>
      </c>
      <c r="F7979" s="5" t="n">
        <v>303.01</v>
      </c>
      <c r="G7979">
        <f>IF(LEFT(B7979,1)="C","Credit","Factuur")</f>
        <v/>
      </c>
      <c r="H7979">
        <f>IF(AND(B7979=B7978,D7979=D7978,A7979=A7978,F7979=F7978),1,0)</f>
        <v/>
      </c>
      <c r="I7979">
        <f>IF(C7979="C99999",1,0)</f>
        <v/>
      </c>
      <c r="J7979" s="5">
        <f>IF(OR(H7979=1,I7979=1),0,IF(G7979="Credit",-F7979,F7979))</f>
        <v/>
      </c>
    </row>
    <row r="7980">
      <c r="A7980" t="inlineStr">
        <is>
          <t>2026-09-11</t>
        </is>
      </c>
      <c r="B7980" t="inlineStr">
        <is>
          <t>F274962</t>
        </is>
      </c>
      <c r="C7980" t="inlineStr">
        <is>
          <t>C10789</t>
        </is>
      </c>
      <c r="D7980" t="inlineStr">
        <is>
          <t>SKU-10332</t>
        </is>
      </c>
      <c r="E7980" t="inlineStr">
        <is>
          <t>AM01</t>
        </is>
      </c>
      <c r="F7980" s="5" t="n">
        <v>325.52</v>
      </c>
      <c r="G7980">
        <f>IF(LEFT(B7980,1)="C","Credit","Factuur")</f>
        <v/>
      </c>
      <c r="H7980">
        <f>IF(AND(B7980=B7979,D7980=D7979,A7980=A7979,F7980=F7979),1,0)</f>
        <v/>
      </c>
      <c r="I7980">
        <f>IF(C7980="C99999",1,0)</f>
        <v/>
      </c>
      <c r="J7980" s="5">
        <f>IF(OR(H7980=1,I7980=1),0,IF(G7980="Credit",-F7980,F7980))</f>
        <v/>
      </c>
    </row>
    <row r="7981">
      <c r="A7981" t="inlineStr">
        <is>
          <t>2026-09-11</t>
        </is>
      </c>
      <c r="B7981" t="inlineStr">
        <is>
          <t>F275468</t>
        </is>
      </c>
      <c r="C7981" t="inlineStr">
        <is>
          <t>C10818</t>
        </is>
      </c>
      <c r="D7981" t="inlineStr">
        <is>
          <t>SKU-10109</t>
        </is>
      </c>
      <c r="E7981" t="inlineStr">
        <is>
          <t>AM07</t>
        </is>
      </c>
      <c r="F7981" s="5" t="n">
        <v>95.90000000000001</v>
      </c>
      <c r="G7981">
        <f>IF(LEFT(B7981,1)="C","Credit","Factuur")</f>
        <v/>
      </c>
      <c r="H7981">
        <f>IF(AND(B7981=B7980,D7981=D7980,A7981=A7980,F7981=F7980),1,0)</f>
        <v/>
      </c>
      <c r="I7981">
        <f>IF(C7981="C99999",1,0)</f>
        <v/>
      </c>
      <c r="J7981" s="5">
        <f>IF(OR(H7981=1,I7981=1),0,IF(G7981="Credit",-F7981,F7981))</f>
        <v/>
      </c>
    </row>
    <row r="7982">
      <c r="A7982" t="inlineStr">
        <is>
          <t>2026-09-11</t>
        </is>
      </c>
      <c r="B7982" t="inlineStr">
        <is>
          <t>F275468</t>
        </is>
      </c>
      <c r="C7982" t="inlineStr">
        <is>
          <t>C10818</t>
        </is>
      </c>
      <c r="D7982" t="inlineStr">
        <is>
          <t>SKU-10208</t>
        </is>
      </c>
      <c r="E7982" t="inlineStr">
        <is>
          <t>AM07</t>
        </is>
      </c>
      <c r="F7982" s="5" t="n">
        <v>69.64</v>
      </c>
      <c r="G7982">
        <f>IF(LEFT(B7982,1)="C","Credit","Factuur")</f>
        <v/>
      </c>
      <c r="H7982">
        <f>IF(AND(B7982=B7981,D7982=D7981,A7982=A7981,F7982=F7981),1,0)</f>
        <v/>
      </c>
      <c r="I7982">
        <f>IF(C7982="C99999",1,0)</f>
        <v/>
      </c>
      <c r="J7982" s="5">
        <f>IF(OR(H7982=1,I7982=1),0,IF(G7982="Credit",-F7982,F7982))</f>
        <v/>
      </c>
    </row>
    <row r="7983">
      <c r="A7983" t="inlineStr">
        <is>
          <t>2026-09-11</t>
        </is>
      </c>
      <c r="B7983" t="inlineStr">
        <is>
          <t>F275468</t>
        </is>
      </c>
      <c r="C7983" t="inlineStr">
        <is>
          <t>C10818</t>
        </is>
      </c>
      <c r="D7983" t="inlineStr">
        <is>
          <t>SKU-10317</t>
        </is>
      </c>
      <c r="E7983" t="inlineStr">
        <is>
          <t>AM07</t>
        </is>
      </c>
      <c r="F7983" s="5" t="n">
        <v>83.13</v>
      </c>
      <c r="G7983">
        <f>IF(LEFT(B7983,1)="C","Credit","Factuur")</f>
        <v/>
      </c>
      <c r="H7983">
        <f>IF(AND(B7983=B7982,D7983=D7982,A7983=A7982,F7983=F7982),1,0)</f>
        <v/>
      </c>
      <c r="I7983">
        <f>IF(C7983="C99999",1,0)</f>
        <v/>
      </c>
      <c r="J7983" s="5">
        <f>IF(OR(H7983=1,I7983=1),0,IF(G7983="Credit",-F7983,F7983))</f>
        <v/>
      </c>
    </row>
    <row r="7984">
      <c r="A7984" t="inlineStr">
        <is>
          <t>2026-09-11</t>
        </is>
      </c>
      <c r="B7984" t="inlineStr">
        <is>
          <t>F275468</t>
        </is>
      </c>
      <c r="C7984" t="inlineStr">
        <is>
          <t>C10818</t>
        </is>
      </c>
      <c r="D7984" t="inlineStr">
        <is>
          <t>SKU-10357</t>
        </is>
      </c>
      <c r="E7984" t="inlineStr">
        <is>
          <t>AM07</t>
        </is>
      </c>
      <c r="F7984" s="5" t="n">
        <v>53.45</v>
      </c>
      <c r="G7984">
        <f>IF(LEFT(B7984,1)="C","Credit","Factuur")</f>
        <v/>
      </c>
      <c r="H7984">
        <f>IF(AND(B7984=B7983,D7984=D7983,A7984=A7983,F7984=F7983),1,0)</f>
        <v/>
      </c>
      <c r="I7984">
        <f>IF(C7984="C99999",1,0)</f>
        <v/>
      </c>
      <c r="J7984" s="5">
        <f>IF(OR(H7984=1,I7984=1),0,IF(G7984="Credit",-F7984,F7984))</f>
        <v/>
      </c>
    </row>
    <row r="7985">
      <c r="A7985" t="inlineStr">
        <is>
          <t>2026-09-11</t>
        </is>
      </c>
      <c r="B7985" t="inlineStr">
        <is>
          <t>F275710</t>
        </is>
      </c>
      <c r="C7985" t="inlineStr">
        <is>
          <t>C10832</t>
        </is>
      </c>
      <c r="D7985" t="inlineStr">
        <is>
          <t>SKU-10147</t>
        </is>
      </c>
      <c r="E7985" t="inlineStr">
        <is>
          <t>AM05</t>
        </is>
      </c>
      <c r="F7985" s="5" t="n">
        <v>271.52</v>
      </c>
      <c r="G7985">
        <f>IF(LEFT(B7985,1)="C","Credit","Factuur")</f>
        <v/>
      </c>
      <c r="H7985">
        <f>IF(AND(B7985=B7984,D7985=D7984,A7985=A7984,F7985=F7984),1,0)</f>
        <v/>
      </c>
      <c r="I7985">
        <f>IF(C7985="C99999",1,0)</f>
        <v/>
      </c>
      <c r="J7985" s="5">
        <f>IF(OR(H7985=1,I7985=1),0,IF(G7985="Credit",-F7985,F7985))</f>
        <v/>
      </c>
    </row>
    <row r="7986">
      <c r="A7986" t="inlineStr">
        <is>
          <t>2026-09-11</t>
        </is>
      </c>
      <c r="B7986" t="inlineStr">
        <is>
          <t>F275710</t>
        </is>
      </c>
      <c r="C7986" t="inlineStr">
        <is>
          <t>C10832</t>
        </is>
      </c>
      <c r="D7986" t="inlineStr">
        <is>
          <t>SKU-10162</t>
        </is>
      </c>
      <c r="E7986" t="inlineStr">
        <is>
          <t>AM05</t>
        </is>
      </c>
      <c r="F7986" s="5" t="n">
        <v>299.25</v>
      </c>
      <c r="G7986">
        <f>IF(LEFT(B7986,1)="C","Credit","Factuur")</f>
        <v/>
      </c>
      <c r="H7986">
        <f>IF(AND(B7986=B7985,D7986=D7985,A7986=A7985,F7986=F7985),1,0)</f>
        <v/>
      </c>
      <c r="I7986">
        <f>IF(C7986="C99999",1,0)</f>
        <v/>
      </c>
      <c r="J7986" s="5">
        <f>IF(OR(H7986=1,I7986=1),0,IF(G7986="Credit",-F7986,F7986))</f>
        <v/>
      </c>
    </row>
    <row r="7987">
      <c r="A7987" t="inlineStr">
        <is>
          <t>2026-09-11</t>
        </is>
      </c>
      <c r="B7987" t="inlineStr">
        <is>
          <t>F275710</t>
        </is>
      </c>
      <c r="C7987" t="inlineStr">
        <is>
          <t>C10832</t>
        </is>
      </c>
      <c r="D7987" t="inlineStr">
        <is>
          <t>SKU-10307</t>
        </is>
      </c>
      <c r="E7987" t="inlineStr">
        <is>
          <t>AM05</t>
        </is>
      </c>
      <c r="F7987" s="5" t="n">
        <v>304.65</v>
      </c>
      <c r="G7987">
        <f>IF(LEFT(B7987,1)="C","Credit","Factuur")</f>
        <v/>
      </c>
      <c r="H7987">
        <f>IF(AND(B7987=B7986,D7987=D7986,A7987=A7986,F7987=F7986),1,0)</f>
        <v/>
      </c>
      <c r="I7987">
        <f>IF(C7987="C99999",1,0)</f>
        <v/>
      </c>
      <c r="J7987" s="5">
        <f>IF(OR(H7987=1,I7987=1),0,IF(G7987="Credit",-F7987,F7987))</f>
        <v/>
      </c>
    </row>
    <row r="7988">
      <c r="A7988" t="inlineStr">
        <is>
          <t>2026-09-11</t>
        </is>
      </c>
      <c r="B7988" t="inlineStr">
        <is>
          <t>F275836</t>
        </is>
      </c>
      <c r="C7988" t="inlineStr">
        <is>
          <t>C10840</t>
        </is>
      </c>
      <c r="D7988" t="inlineStr">
        <is>
          <t>SKU-10008</t>
        </is>
      </c>
      <c r="E7988" t="inlineStr">
        <is>
          <t>AM05</t>
        </is>
      </c>
      <c r="F7988" s="5" t="n">
        <v>196.56</v>
      </c>
      <c r="G7988">
        <f>IF(LEFT(B7988,1)="C","Credit","Factuur")</f>
        <v/>
      </c>
      <c r="H7988">
        <f>IF(AND(B7988=B7987,D7988=D7987,A7988=A7987,F7988=F7987),1,0)</f>
        <v/>
      </c>
      <c r="I7988">
        <f>IF(C7988="C99999",1,0)</f>
        <v/>
      </c>
      <c r="J7988" s="5">
        <f>IF(OR(H7988=1,I7988=1),0,IF(G7988="Credit",-F7988,F7988))</f>
        <v/>
      </c>
    </row>
    <row r="7989">
      <c r="A7989" t="inlineStr">
        <is>
          <t>2026-09-11</t>
        </is>
      </c>
      <c r="B7989" t="inlineStr">
        <is>
          <t>F275836</t>
        </is>
      </c>
      <c r="C7989" t="inlineStr">
        <is>
          <t>C10840</t>
        </is>
      </c>
      <c r="D7989" t="inlineStr">
        <is>
          <t>SKU-10136</t>
        </is>
      </c>
      <c r="E7989" t="inlineStr">
        <is>
          <t>AM05</t>
        </is>
      </c>
      <c r="F7989" s="5" t="n">
        <v>199.99</v>
      </c>
      <c r="G7989">
        <f>IF(LEFT(B7989,1)="C","Credit","Factuur")</f>
        <v/>
      </c>
      <c r="H7989">
        <f>IF(AND(B7989=B7988,D7989=D7988,A7989=A7988,F7989=F7988),1,0)</f>
        <v/>
      </c>
      <c r="I7989">
        <f>IF(C7989="C99999",1,0)</f>
        <v/>
      </c>
      <c r="J7989" s="5">
        <f>IF(OR(H7989=1,I7989=1),0,IF(G7989="Credit",-F7989,F7989))</f>
        <v/>
      </c>
    </row>
    <row r="7990">
      <c r="A7990" t="inlineStr">
        <is>
          <t>2026-09-11</t>
        </is>
      </c>
      <c r="B7990" t="inlineStr">
        <is>
          <t>F275836</t>
        </is>
      </c>
      <c r="C7990" t="inlineStr">
        <is>
          <t>C10840</t>
        </is>
      </c>
      <c r="D7990" t="inlineStr">
        <is>
          <t>SKU-10157</t>
        </is>
      </c>
      <c r="E7990" t="inlineStr">
        <is>
          <t>AM05</t>
        </is>
      </c>
      <c r="F7990" s="5" t="n">
        <v>196.92</v>
      </c>
      <c r="G7990">
        <f>IF(LEFT(B7990,1)="C","Credit","Factuur")</f>
        <v/>
      </c>
      <c r="H7990">
        <f>IF(AND(B7990=B7989,D7990=D7989,A7990=A7989,F7990=F7989),1,0)</f>
        <v/>
      </c>
      <c r="I7990">
        <f>IF(C7990="C99999",1,0)</f>
        <v/>
      </c>
      <c r="J7990" s="5">
        <f>IF(OR(H7990=1,I7990=1),0,IF(G7990="Credit",-F7990,F7990))</f>
        <v/>
      </c>
    </row>
    <row r="7991">
      <c r="A7991" t="inlineStr">
        <is>
          <t>2026-09-11</t>
        </is>
      </c>
      <c r="B7991" t="inlineStr">
        <is>
          <t>F275948</t>
        </is>
      </c>
      <c r="C7991" t="inlineStr">
        <is>
          <t>C10847</t>
        </is>
      </c>
      <c r="D7991" t="inlineStr">
        <is>
          <t>SKU-10019</t>
        </is>
      </c>
      <c r="E7991" t="inlineStr">
        <is>
          <t>AM12</t>
        </is>
      </c>
      <c r="F7991" s="5" t="n">
        <v>673.35</v>
      </c>
      <c r="G7991">
        <f>IF(LEFT(B7991,1)="C","Credit","Factuur")</f>
        <v/>
      </c>
      <c r="H7991">
        <f>IF(AND(B7991=B7990,D7991=D7990,A7991=A7990,F7991=F7990),1,0)</f>
        <v/>
      </c>
      <c r="I7991">
        <f>IF(C7991="C99999",1,0)</f>
        <v/>
      </c>
      <c r="J7991" s="5">
        <f>IF(OR(H7991=1,I7991=1),0,IF(G7991="Credit",-F7991,F7991))</f>
        <v/>
      </c>
    </row>
    <row r="7992">
      <c r="A7992" t="inlineStr">
        <is>
          <t>2026-09-11</t>
        </is>
      </c>
      <c r="B7992" t="inlineStr">
        <is>
          <t>F275948</t>
        </is>
      </c>
      <c r="C7992" t="inlineStr">
        <is>
          <t>C10847</t>
        </is>
      </c>
      <c r="D7992" t="inlineStr">
        <is>
          <t>SKU-10093</t>
        </is>
      </c>
      <c r="E7992" t="inlineStr">
        <is>
          <t>AM12</t>
        </is>
      </c>
      <c r="F7992" s="5" t="n">
        <v>682.11</v>
      </c>
      <c r="G7992">
        <f>IF(LEFT(B7992,1)="C","Credit","Factuur")</f>
        <v/>
      </c>
      <c r="H7992">
        <f>IF(AND(B7992=B7991,D7992=D7991,A7992=A7991,F7992=F7991),1,0)</f>
        <v/>
      </c>
      <c r="I7992">
        <f>IF(C7992="C99999",1,0)</f>
        <v/>
      </c>
      <c r="J7992" s="5">
        <f>IF(OR(H7992=1,I7992=1),0,IF(G7992="Credit",-F7992,F7992))</f>
        <v/>
      </c>
    </row>
    <row r="7993">
      <c r="A7993" t="inlineStr">
        <is>
          <t>2026-09-11</t>
        </is>
      </c>
      <c r="B7993" t="inlineStr">
        <is>
          <t>F275955</t>
        </is>
      </c>
      <c r="C7993" t="inlineStr">
        <is>
          <t>C10847</t>
        </is>
      </c>
      <c r="D7993" t="inlineStr">
        <is>
          <t>SKU-10299</t>
        </is>
      </c>
      <c r="E7993" t="inlineStr">
        <is>
          <t>AM12</t>
        </is>
      </c>
      <c r="F7993" s="5" t="n">
        <v>790.4400000000001</v>
      </c>
      <c r="G7993">
        <f>IF(LEFT(B7993,1)="C","Credit","Factuur")</f>
        <v/>
      </c>
      <c r="H7993">
        <f>IF(AND(B7993=B7992,D7993=D7992,A7993=A7992,F7993=F7992),1,0)</f>
        <v/>
      </c>
      <c r="I7993">
        <f>IF(C7993="C99999",1,0)</f>
        <v/>
      </c>
      <c r="J7993" s="5">
        <f>IF(OR(H7993=1,I7993=1),0,IF(G7993="Credit",-F7993,F7993))</f>
        <v/>
      </c>
    </row>
    <row r="7994">
      <c r="A7994" t="inlineStr">
        <is>
          <t>2026-09-11</t>
        </is>
      </c>
      <c r="B7994" t="inlineStr">
        <is>
          <t>F275955</t>
        </is>
      </c>
      <c r="C7994" t="inlineStr">
        <is>
          <t>C10847</t>
        </is>
      </c>
      <c r="D7994" t="inlineStr">
        <is>
          <t>SKU-10357</t>
        </is>
      </c>
      <c r="E7994" t="inlineStr">
        <is>
          <t>AM12</t>
        </is>
      </c>
      <c r="F7994" s="5" t="n">
        <v>750.14</v>
      </c>
      <c r="G7994">
        <f>IF(LEFT(B7994,1)="C","Credit","Factuur")</f>
        <v/>
      </c>
      <c r="H7994">
        <f>IF(AND(B7994=B7993,D7994=D7993,A7994=A7993,F7994=F7993),1,0)</f>
        <v/>
      </c>
      <c r="I7994">
        <f>IF(C7994="C99999",1,0)</f>
        <v/>
      </c>
      <c r="J7994" s="5">
        <f>IF(OR(H7994=1,I7994=1),0,IF(G7994="Credit",-F7994,F7994))</f>
        <v/>
      </c>
    </row>
    <row r="7995">
      <c r="A7995" t="inlineStr">
        <is>
          <t>2026-09-11</t>
        </is>
      </c>
      <c r="B7995" t="inlineStr">
        <is>
          <t>F276220</t>
        </is>
      </c>
      <c r="C7995" t="inlineStr">
        <is>
          <t>C10860</t>
        </is>
      </c>
      <c r="D7995" t="inlineStr">
        <is>
          <t>SKU-10115</t>
        </is>
      </c>
      <c r="E7995" t="inlineStr"/>
      <c r="F7995" s="5" t="n">
        <v>787.04</v>
      </c>
      <c r="G7995">
        <f>IF(LEFT(B7995,1)="C","Credit","Factuur")</f>
        <v/>
      </c>
      <c r="H7995">
        <f>IF(AND(B7995=B7994,D7995=D7994,A7995=A7994,F7995=F7994),1,0)</f>
        <v/>
      </c>
      <c r="I7995">
        <f>IF(C7995="C99999",1,0)</f>
        <v/>
      </c>
      <c r="J7995" s="5">
        <f>IF(OR(H7995=1,I7995=1),0,IF(G7995="Credit",-F7995,F7995))</f>
        <v/>
      </c>
    </row>
    <row r="7996">
      <c r="A7996" t="inlineStr">
        <is>
          <t>2026-09-11</t>
        </is>
      </c>
      <c r="B7996" t="inlineStr">
        <is>
          <t>F276220</t>
        </is>
      </c>
      <c r="C7996" t="inlineStr">
        <is>
          <t>C10860</t>
        </is>
      </c>
      <c r="D7996" t="inlineStr">
        <is>
          <t>SKU-10307</t>
        </is>
      </c>
      <c r="E7996" t="inlineStr">
        <is>
          <t>AM07</t>
        </is>
      </c>
      <c r="F7996" s="5" t="n">
        <v>739.62</v>
      </c>
      <c r="G7996">
        <f>IF(LEFT(B7996,1)="C","Credit","Factuur")</f>
        <v/>
      </c>
      <c r="H7996">
        <f>IF(AND(B7996=B7995,D7996=D7995,A7996=A7995,F7996=F7995),1,0)</f>
        <v/>
      </c>
      <c r="I7996">
        <f>IF(C7996="C99999",1,0)</f>
        <v/>
      </c>
      <c r="J7996" s="5">
        <f>IF(OR(H7996=1,I7996=1),0,IF(G7996="Credit",-F7996,F7996))</f>
        <v/>
      </c>
    </row>
    <row r="7997">
      <c r="A7997" t="inlineStr">
        <is>
          <t>2026-09-11</t>
        </is>
      </c>
      <c r="B7997" t="inlineStr">
        <is>
          <t>F276292</t>
        </is>
      </c>
      <c r="C7997" t="inlineStr">
        <is>
          <t>C10863</t>
        </is>
      </c>
      <c r="D7997" t="inlineStr">
        <is>
          <t>SKU-10045</t>
        </is>
      </c>
      <c r="E7997" t="inlineStr">
        <is>
          <t>AM02</t>
        </is>
      </c>
      <c r="F7997" s="5" t="n">
        <v>5175.03</v>
      </c>
      <c r="G7997">
        <f>IF(LEFT(B7997,1)="C","Credit","Factuur")</f>
        <v/>
      </c>
      <c r="H7997">
        <f>IF(AND(B7997=B7996,D7997=D7996,A7997=A7996,F7997=F7996),1,0)</f>
        <v/>
      </c>
      <c r="I7997">
        <f>IF(C7997="C99999",1,0)</f>
        <v/>
      </c>
      <c r="J7997" s="5">
        <f>IF(OR(H7997=1,I7997=1),0,IF(G7997="Credit",-F7997,F7997))</f>
        <v/>
      </c>
    </row>
    <row r="7998">
      <c r="A7998" t="inlineStr">
        <is>
          <t>2026-09-11</t>
        </is>
      </c>
      <c r="B7998" t="inlineStr">
        <is>
          <t>F276429</t>
        </is>
      </c>
      <c r="C7998" t="inlineStr">
        <is>
          <t>C10869</t>
        </is>
      </c>
      <c r="D7998" t="inlineStr">
        <is>
          <t>SKU-10083</t>
        </is>
      </c>
      <c r="E7998" t="inlineStr">
        <is>
          <t>AM05</t>
        </is>
      </c>
      <c r="F7998" s="5" t="n">
        <v>181.17</v>
      </c>
      <c r="G7998">
        <f>IF(LEFT(B7998,1)="C","Credit","Factuur")</f>
        <v/>
      </c>
      <c r="H7998">
        <f>IF(AND(B7998=B7997,D7998=D7997,A7998=A7997,F7998=F7997),1,0)</f>
        <v/>
      </c>
      <c r="I7998">
        <f>IF(C7998="C99999",1,0)</f>
        <v/>
      </c>
      <c r="J7998" s="5">
        <f>IF(OR(H7998=1,I7998=1),0,IF(G7998="Credit",-F7998,F7998))</f>
        <v/>
      </c>
    </row>
    <row r="7999">
      <c r="A7999" t="inlineStr">
        <is>
          <t>2026-09-11</t>
        </is>
      </c>
      <c r="B7999" t="inlineStr">
        <is>
          <t>F276429</t>
        </is>
      </c>
      <c r="C7999" t="inlineStr">
        <is>
          <t>C10869</t>
        </is>
      </c>
      <c r="D7999" t="inlineStr">
        <is>
          <t>SKU-10157</t>
        </is>
      </c>
      <c r="E7999" t="inlineStr">
        <is>
          <t>AM05</t>
        </is>
      </c>
      <c r="F7999" s="5" t="n">
        <v>164.1</v>
      </c>
      <c r="G7999">
        <f>IF(LEFT(B7999,1)="C","Credit","Factuur")</f>
        <v/>
      </c>
      <c r="H7999">
        <f>IF(AND(B7999=B7998,D7999=D7998,A7999=A7998,F7999=F7998),1,0)</f>
        <v/>
      </c>
      <c r="I7999">
        <f>IF(C7999="C99999",1,0)</f>
        <v/>
      </c>
      <c r="J7999" s="5">
        <f>IF(OR(H7999=1,I7999=1),0,IF(G7999="Credit",-F7999,F7999))</f>
        <v/>
      </c>
    </row>
    <row r="8000">
      <c r="A8000" t="inlineStr">
        <is>
          <t>2026-09-11</t>
        </is>
      </c>
      <c r="B8000" t="inlineStr">
        <is>
          <t>F276470</t>
        </is>
      </c>
      <c r="C8000" t="inlineStr">
        <is>
          <t>C10872</t>
        </is>
      </c>
      <c r="D8000" t="inlineStr">
        <is>
          <t>SKU-10112</t>
        </is>
      </c>
      <c r="E8000" t="inlineStr">
        <is>
          <t>AM08</t>
        </is>
      </c>
      <c r="F8000" s="5" t="n">
        <v>444.03</v>
      </c>
      <c r="G8000">
        <f>IF(LEFT(B8000,1)="C","Credit","Factuur")</f>
        <v/>
      </c>
      <c r="H8000">
        <f>IF(AND(B8000=B7999,D8000=D7999,A8000=A7999,F8000=F7999),1,0)</f>
        <v/>
      </c>
      <c r="I8000">
        <f>IF(C8000="C99999",1,0)</f>
        <v/>
      </c>
      <c r="J8000" s="5">
        <f>IF(OR(H8000=1,I8000=1),0,IF(G8000="Credit",-F8000,F8000))</f>
        <v/>
      </c>
    </row>
    <row r="8001">
      <c r="A8001" t="inlineStr">
        <is>
          <t>2026-09-11</t>
        </is>
      </c>
      <c r="B8001" t="inlineStr">
        <is>
          <t>F276470</t>
        </is>
      </c>
      <c r="C8001" t="inlineStr">
        <is>
          <t>C10872</t>
        </is>
      </c>
      <c r="D8001" t="inlineStr">
        <is>
          <t>SKU-10230</t>
        </is>
      </c>
      <c r="E8001" t="inlineStr">
        <is>
          <t>AM08</t>
        </is>
      </c>
      <c r="F8001" s="5" t="n">
        <v>426.72</v>
      </c>
      <c r="G8001">
        <f>IF(LEFT(B8001,1)="C","Credit","Factuur")</f>
        <v/>
      </c>
      <c r="H8001">
        <f>IF(AND(B8001=B8000,D8001=D8000,A8001=A8000,F8001=F8000),1,0)</f>
        <v/>
      </c>
      <c r="I8001">
        <f>IF(C8001="C99999",1,0)</f>
        <v/>
      </c>
      <c r="J8001" s="5">
        <f>IF(OR(H8001=1,I8001=1),0,IF(G8001="Credit",-F8001,F8001))</f>
        <v/>
      </c>
    </row>
    <row r="8002">
      <c r="A8002" t="inlineStr">
        <is>
          <t>2026-09-11</t>
        </is>
      </c>
      <c r="B8002" t="inlineStr">
        <is>
          <t>F276470</t>
        </is>
      </c>
      <c r="C8002" t="inlineStr">
        <is>
          <t>C10872</t>
        </is>
      </c>
      <c r="D8002" t="inlineStr">
        <is>
          <t>SKU-10381</t>
        </is>
      </c>
      <c r="E8002" t="inlineStr">
        <is>
          <t>AM08</t>
        </is>
      </c>
      <c r="F8002" s="5" t="n">
        <v>514.36</v>
      </c>
      <c r="G8002">
        <f>IF(LEFT(B8002,1)="C","Credit","Factuur")</f>
        <v/>
      </c>
      <c r="H8002">
        <f>IF(AND(B8002=B8001,D8002=D8001,A8002=A8001,F8002=F8001),1,0)</f>
        <v/>
      </c>
      <c r="I8002">
        <f>IF(C8002="C99999",1,0)</f>
        <v/>
      </c>
      <c r="J8002" s="5">
        <f>IF(OR(H8002=1,I8002=1),0,IF(G8002="Credit",-F8002,F8002))</f>
        <v/>
      </c>
    </row>
    <row r="8003">
      <c r="A8003" t="inlineStr">
        <is>
          <t>2026-09-11</t>
        </is>
      </c>
      <c r="B8003" t="inlineStr">
        <is>
          <t>F276544</t>
        </is>
      </c>
      <c r="C8003" t="inlineStr">
        <is>
          <t>C10878</t>
        </is>
      </c>
      <c r="D8003" t="inlineStr">
        <is>
          <t>SKU-10031</t>
        </is>
      </c>
      <c r="E8003" t="inlineStr">
        <is>
          <t>AM11</t>
        </is>
      </c>
      <c r="F8003" s="5" t="n">
        <v>1195.97</v>
      </c>
      <c r="G8003">
        <f>IF(LEFT(B8003,1)="C","Credit","Factuur")</f>
        <v/>
      </c>
      <c r="H8003">
        <f>IF(AND(B8003=B8002,D8003=D8002,A8003=A8002,F8003=F8002),1,0)</f>
        <v/>
      </c>
      <c r="I8003">
        <f>IF(C8003="C99999",1,0)</f>
        <v/>
      </c>
      <c r="J8003" s="5">
        <f>IF(OR(H8003=1,I8003=1),0,IF(G8003="Credit",-F8003,F8003))</f>
        <v/>
      </c>
    </row>
    <row r="8004">
      <c r="A8004" t="inlineStr">
        <is>
          <t>2026-09-11</t>
        </is>
      </c>
      <c r="B8004" t="inlineStr">
        <is>
          <t>F276544</t>
        </is>
      </c>
      <c r="C8004" t="inlineStr">
        <is>
          <t>C10878</t>
        </is>
      </c>
      <c r="D8004" t="inlineStr">
        <is>
          <t>SKU-10100</t>
        </is>
      </c>
      <c r="E8004" t="inlineStr">
        <is>
          <t>AM11</t>
        </is>
      </c>
      <c r="F8004" s="5" t="n">
        <v>1183.26</v>
      </c>
      <c r="G8004">
        <f>IF(LEFT(B8004,1)="C","Credit","Factuur")</f>
        <v/>
      </c>
      <c r="H8004">
        <f>IF(AND(B8004=B8003,D8004=D8003,A8004=A8003,F8004=F8003),1,0)</f>
        <v/>
      </c>
      <c r="I8004">
        <f>IF(C8004="C99999",1,0)</f>
        <v/>
      </c>
      <c r="J8004" s="5">
        <f>IF(OR(H8004=1,I8004=1),0,IF(G8004="Credit",-F8004,F8004))</f>
        <v/>
      </c>
    </row>
    <row r="8005">
      <c r="A8005" t="inlineStr">
        <is>
          <t>2026-09-11</t>
        </is>
      </c>
      <c r="B8005" t="inlineStr">
        <is>
          <t>F276544</t>
        </is>
      </c>
      <c r="C8005" t="inlineStr">
        <is>
          <t>C10878</t>
        </is>
      </c>
      <c r="D8005" t="inlineStr">
        <is>
          <t>SKU-10112</t>
        </is>
      </c>
      <c r="E8005" t="inlineStr">
        <is>
          <t>AM11</t>
        </is>
      </c>
      <c r="F8005" s="5" t="n">
        <v>1215.24</v>
      </c>
      <c r="G8005">
        <f>IF(LEFT(B8005,1)="C","Credit","Factuur")</f>
        <v/>
      </c>
      <c r="H8005">
        <f>IF(AND(B8005=B8004,D8005=D8004,A8005=A8004,F8005=F8004),1,0)</f>
        <v/>
      </c>
      <c r="I8005">
        <f>IF(C8005="C99999",1,0)</f>
        <v/>
      </c>
      <c r="J8005" s="5">
        <f>IF(OR(H8005=1,I8005=1),0,IF(G8005="Credit",-F8005,F8005))</f>
        <v/>
      </c>
    </row>
    <row r="8006">
      <c r="A8006" t="inlineStr">
        <is>
          <t>2026-09-11</t>
        </is>
      </c>
      <c r="B8006" t="inlineStr">
        <is>
          <t>F276937</t>
        </is>
      </c>
      <c r="C8006" t="inlineStr">
        <is>
          <t>C10898</t>
        </is>
      </c>
      <c r="D8006" t="inlineStr">
        <is>
          <t>SKU-10007</t>
        </is>
      </c>
      <c r="E8006" t="inlineStr">
        <is>
          <t>AM03</t>
        </is>
      </c>
      <c r="F8006" s="5" t="n">
        <v>520.41</v>
      </c>
      <c r="G8006">
        <f>IF(LEFT(B8006,1)="C","Credit","Factuur")</f>
        <v/>
      </c>
      <c r="H8006">
        <f>IF(AND(B8006=B8005,D8006=D8005,A8006=A8005,F8006=F8005),1,0)</f>
        <v/>
      </c>
      <c r="I8006">
        <f>IF(C8006="C99999",1,0)</f>
        <v/>
      </c>
      <c r="J8006" s="5">
        <f>IF(OR(H8006=1,I8006=1),0,IF(G8006="Credit",-F8006,F8006))</f>
        <v/>
      </c>
    </row>
    <row r="8007">
      <c r="A8007" t="inlineStr">
        <is>
          <t>2026-09-11</t>
        </is>
      </c>
      <c r="B8007" t="inlineStr">
        <is>
          <t>F276937</t>
        </is>
      </c>
      <c r="C8007" t="inlineStr">
        <is>
          <t>C10898</t>
        </is>
      </c>
      <c r="D8007" t="inlineStr">
        <is>
          <t>SKU-10117</t>
        </is>
      </c>
      <c r="E8007" t="inlineStr">
        <is>
          <t>AM03</t>
        </is>
      </c>
      <c r="F8007" s="5" t="n">
        <v>484.64</v>
      </c>
      <c r="G8007">
        <f>IF(LEFT(B8007,1)="C","Credit","Factuur")</f>
        <v/>
      </c>
      <c r="H8007">
        <f>IF(AND(B8007=B8006,D8007=D8006,A8007=A8006,F8007=F8006),1,0)</f>
        <v/>
      </c>
      <c r="I8007">
        <f>IF(C8007="C99999",1,0)</f>
        <v/>
      </c>
      <c r="J8007" s="5">
        <f>IF(OR(H8007=1,I8007=1),0,IF(G8007="Credit",-F8007,F8007))</f>
        <v/>
      </c>
    </row>
    <row r="8008">
      <c r="A8008" t="inlineStr">
        <is>
          <t>2026-09-11</t>
        </is>
      </c>
      <c r="B8008" t="inlineStr">
        <is>
          <t>F276937</t>
        </is>
      </c>
      <c r="C8008" t="inlineStr">
        <is>
          <t>C10898</t>
        </is>
      </c>
      <c r="D8008" t="inlineStr">
        <is>
          <t>SKU-10302</t>
        </is>
      </c>
      <c r="E8008" t="inlineStr">
        <is>
          <t>AM03</t>
        </is>
      </c>
      <c r="F8008" s="5" t="n">
        <v>526.92</v>
      </c>
      <c r="G8008">
        <f>IF(LEFT(B8008,1)="C","Credit","Factuur")</f>
        <v/>
      </c>
      <c r="H8008">
        <f>IF(AND(B8008=B8007,D8008=D8007,A8008=A8007,F8008=F8007),1,0)</f>
        <v/>
      </c>
      <c r="I8008">
        <f>IF(C8008="C99999",1,0)</f>
        <v/>
      </c>
      <c r="J8008" s="5">
        <f>IF(OR(H8008=1,I8008=1),0,IF(G8008="Credit",-F8008,F8008))</f>
        <v/>
      </c>
    </row>
    <row r="8009">
      <c r="A8009" t="inlineStr">
        <is>
          <t>2026-09-11</t>
        </is>
      </c>
      <c r="B8009" t="inlineStr">
        <is>
          <t>F277098</t>
        </is>
      </c>
      <c r="C8009" t="inlineStr">
        <is>
          <t>C10905</t>
        </is>
      </c>
      <c r="D8009" t="inlineStr">
        <is>
          <t>SKU-10168</t>
        </is>
      </c>
      <c r="E8009" t="inlineStr">
        <is>
          <t>AM05</t>
        </is>
      </c>
      <c r="F8009" s="5" t="n">
        <v>739.0700000000001</v>
      </c>
      <c r="G8009">
        <f>IF(LEFT(B8009,1)="C","Credit","Factuur")</f>
        <v/>
      </c>
      <c r="H8009">
        <f>IF(AND(B8009=B8008,D8009=D8008,A8009=A8008,F8009=F8008),1,0)</f>
        <v/>
      </c>
      <c r="I8009">
        <f>IF(C8009="C99999",1,0)</f>
        <v/>
      </c>
      <c r="J8009" s="5">
        <f>IF(OR(H8009=1,I8009=1),0,IF(G8009="Credit",-F8009,F8009))</f>
        <v/>
      </c>
    </row>
    <row r="8010">
      <c r="A8010" t="inlineStr">
        <is>
          <t>2026-09-11</t>
        </is>
      </c>
      <c r="B8010" t="inlineStr">
        <is>
          <t>F277303</t>
        </is>
      </c>
      <c r="C8010" t="inlineStr">
        <is>
          <t>C10920</t>
        </is>
      </c>
      <c r="D8010" t="inlineStr">
        <is>
          <t>SKU-10007</t>
        </is>
      </c>
      <c r="E8010" t="inlineStr">
        <is>
          <t>AM06</t>
        </is>
      </c>
      <c r="F8010" s="5" t="n">
        <v>599.26</v>
      </c>
      <c r="G8010">
        <f>IF(LEFT(B8010,1)="C","Credit","Factuur")</f>
        <v/>
      </c>
      <c r="H8010">
        <f>IF(AND(B8010=B8009,D8010=D8009,A8010=A8009,F8010=F8009),1,0)</f>
        <v/>
      </c>
      <c r="I8010">
        <f>IF(C8010="C99999",1,0)</f>
        <v/>
      </c>
      <c r="J8010" s="5">
        <f>IF(OR(H8010=1,I8010=1),0,IF(G8010="Credit",-F8010,F8010))</f>
        <v/>
      </c>
    </row>
    <row r="8011">
      <c r="A8011" t="inlineStr">
        <is>
          <t>2026-09-11</t>
        </is>
      </c>
      <c r="B8011" t="inlineStr">
        <is>
          <t>F277303</t>
        </is>
      </c>
      <c r="C8011" t="inlineStr">
        <is>
          <t>C10920</t>
        </is>
      </c>
      <c r="D8011" t="inlineStr">
        <is>
          <t>SKU-10065</t>
        </is>
      </c>
      <c r="E8011" t="inlineStr">
        <is>
          <t>AM06</t>
        </is>
      </c>
      <c r="F8011" s="5" t="n">
        <v>591.24</v>
      </c>
      <c r="G8011">
        <f>IF(LEFT(B8011,1)="C","Credit","Factuur")</f>
        <v/>
      </c>
      <c r="H8011">
        <f>IF(AND(B8011=B8010,D8011=D8010,A8011=A8010,F8011=F8010),1,0)</f>
        <v/>
      </c>
      <c r="I8011">
        <f>IF(C8011="C99999",1,0)</f>
        <v/>
      </c>
      <c r="J8011" s="5">
        <f>IF(OR(H8011=1,I8011=1),0,IF(G8011="Credit",-F8011,F8011))</f>
        <v/>
      </c>
    </row>
    <row r="8012">
      <c r="A8012" t="inlineStr">
        <is>
          <t>2026-09-11</t>
        </is>
      </c>
      <c r="B8012" t="inlineStr">
        <is>
          <t>F277390</t>
        </is>
      </c>
      <c r="C8012" t="inlineStr">
        <is>
          <t>C10925</t>
        </is>
      </c>
      <c r="D8012" t="inlineStr">
        <is>
          <t>SKU-10020</t>
        </is>
      </c>
      <c r="E8012" t="inlineStr">
        <is>
          <t>AM05</t>
        </is>
      </c>
      <c r="F8012" s="5" t="n">
        <v>159.12</v>
      </c>
      <c r="G8012">
        <f>IF(LEFT(B8012,1)="C","Credit","Factuur")</f>
        <v/>
      </c>
      <c r="H8012">
        <f>IF(AND(B8012=B8011,D8012=D8011,A8012=A8011,F8012=F8011),1,0)</f>
        <v/>
      </c>
      <c r="I8012">
        <f>IF(C8012="C99999",1,0)</f>
        <v/>
      </c>
      <c r="J8012" s="5">
        <f>IF(OR(H8012=1,I8012=1),0,IF(G8012="Credit",-F8012,F8012))</f>
        <v/>
      </c>
    </row>
    <row r="8013">
      <c r="A8013" t="inlineStr">
        <is>
          <t>2026-09-11</t>
        </is>
      </c>
      <c r="B8013" t="inlineStr">
        <is>
          <t>F277390</t>
        </is>
      </c>
      <c r="C8013" t="inlineStr">
        <is>
          <t>C10925</t>
        </is>
      </c>
      <c r="D8013" t="inlineStr">
        <is>
          <t>SKU-10214</t>
        </is>
      </c>
      <c r="E8013" t="inlineStr">
        <is>
          <t>AM05</t>
        </is>
      </c>
      <c r="F8013" s="5" t="n">
        <v>163.44</v>
      </c>
      <c r="G8013">
        <f>IF(LEFT(B8013,1)="C","Credit","Factuur")</f>
        <v/>
      </c>
      <c r="H8013">
        <f>IF(AND(B8013=B8012,D8013=D8012,A8013=A8012,F8013=F8012),1,0)</f>
        <v/>
      </c>
      <c r="I8013">
        <f>IF(C8013="C99999",1,0)</f>
        <v/>
      </c>
      <c r="J8013" s="5">
        <f>IF(OR(H8013=1,I8013=1),0,IF(G8013="Credit",-F8013,F8013))</f>
        <v/>
      </c>
    </row>
    <row r="8014">
      <c r="A8014" t="inlineStr">
        <is>
          <t>2026-09-11</t>
        </is>
      </c>
      <c r="B8014" t="inlineStr">
        <is>
          <t>F277390</t>
        </is>
      </c>
      <c r="C8014" t="inlineStr">
        <is>
          <t>C10925</t>
        </is>
      </c>
      <c r="D8014" t="inlineStr">
        <is>
          <t>SKU-10278</t>
        </is>
      </c>
      <c r="E8014" t="inlineStr">
        <is>
          <t>AM05</t>
        </is>
      </c>
      <c r="F8014" s="5" t="n">
        <v>168.16</v>
      </c>
      <c r="G8014">
        <f>IF(LEFT(B8014,1)="C","Credit","Factuur")</f>
        <v/>
      </c>
      <c r="H8014">
        <f>IF(AND(B8014=B8013,D8014=D8013,A8014=A8013,F8014=F8013),1,0)</f>
        <v/>
      </c>
      <c r="I8014">
        <f>IF(C8014="C99999",1,0)</f>
        <v/>
      </c>
      <c r="J8014" s="5">
        <f>IF(OR(H8014=1,I8014=1),0,IF(G8014="Credit",-F8014,F8014))</f>
        <v/>
      </c>
    </row>
    <row r="8015">
      <c r="A8015" t="inlineStr">
        <is>
          <t>2026-09-11</t>
        </is>
      </c>
      <c r="B8015" t="inlineStr">
        <is>
          <t>F277390</t>
        </is>
      </c>
      <c r="C8015" t="inlineStr">
        <is>
          <t>C10925</t>
        </is>
      </c>
      <c r="D8015" t="inlineStr">
        <is>
          <t>SKU-10317</t>
        </is>
      </c>
      <c r="E8015" t="inlineStr">
        <is>
          <t>AM05</t>
        </is>
      </c>
      <c r="F8015" s="5" t="n">
        <v>166.26</v>
      </c>
      <c r="G8015">
        <f>IF(LEFT(B8015,1)="C","Credit","Factuur")</f>
        <v/>
      </c>
      <c r="H8015">
        <f>IF(AND(B8015=B8014,D8015=D8014,A8015=A8014,F8015=F8014),1,0)</f>
        <v/>
      </c>
      <c r="I8015">
        <f>IF(C8015="C99999",1,0)</f>
        <v/>
      </c>
      <c r="J8015" s="5">
        <f>IF(OR(H8015=1,I8015=1),0,IF(G8015="Credit",-F8015,F8015))</f>
        <v/>
      </c>
    </row>
    <row r="8016">
      <c r="A8016" t="inlineStr">
        <is>
          <t>2026-09-11</t>
        </is>
      </c>
      <c r="B8016" t="inlineStr">
        <is>
          <t>F277424</t>
        </is>
      </c>
      <c r="C8016" t="inlineStr">
        <is>
          <t>C10926</t>
        </is>
      </c>
      <c r="D8016" t="inlineStr">
        <is>
          <t>SKU-10089</t>
        </is>
      </c>
      <c r="E8016" t="inlineStr">
        <is>
          <t>AM02</t>
        </is>
      </c>
      <c r="F8016" s="5" t="n">
        <v>600.52</v>
      </c>
      <c r="G8016">
        <f>IF(LEFT(B8016,1)="C","Credit","Factuur")</f>
        <v/>
      </c>
      <c r="H8016">
        <f>IF(AND(B8016=B8015,D8016=D8015,A8016=A8015,F8016=F8015),1,0)</f>
        <v/>
      </c>
      <c r="I8016">
        <f>IF(C8016="C99999",1,0)</f>
        <v/>
      </c>
      <c r="J8016" s="5">
        <f>IF(OR(H8016=1,I8016=1),0,IF(G8016="Credit",-F8016,F8016))</f>
        <v/>
      </c>
    </row>
    <row r="8017">
      <c r="A8017" t="inlineStr">
        <is>
          <t>2026-09-11</t>
        </is>
      </c>
      <c r="B8017" t="inlineStr">
        <is>
          <t>F277424</t>
        </is>
      </c>
      <c r="C8017" t="inlineStr">
        <is>
          <t>C10926</t>
        </is>
      </c>
      <c r="D8017" t="inlineStr">
        <is>
          <t>SKU-10300</t>
        </is>
      </c>
      <c r="E8017" t="inlineStr">
        <is>
          <t>AM02</t>
        </is>
      </c>
      <c r="F8017" s="5" t="n">
        <v>704.72</v>
      </c>
      <c r="G8017">
        <f>IF(LEFT(B8017,1)="C","Credit","Factuur")</f>
        <v/>
      </c>
      <c r="H8017">
        <f>IF(AND(B8017=B8016,D8017=D8016,A8017=A8016,F8017=F8016),1,0)</f>
        <v/>
      </c>
      <c r="I8017">
        <f>IF(C8017="C99999",1,0)</f>
        <v/>
      </c>
      <c r="J8017" s="5">
        <f>IF(OR(H8017=1,I8017=1),0,IF(G8017="Credit",-F8017,F8017))</f>
        <v/>
      </c>
    </row>
    <row r="8018">
      <c r="A8018" t="inlineStr">
        <is>
          <t>2026-09-11</t>
        </is>
      </c>
      <c r="B8018" t="inlineStr">
        <is>
          <t>F277698</t>
        </is>
      </c>
      <c r="C8018" t="inlineStr">
        <is>
          <t>C10940</t>
        </is>
      </c>
      <c r="D8018" t="inlineStr">
        <is>
          <t>SKU-10196</t>
        </is>
      </c>
      <c r="E8018" t="inlineStr">
        <is>
          <t>AM06</t>
        </is>
      </c>
      <c r="F8018" s="5" t="n">
        <v>1472.64</v>
      </c>
      <c r="G8018">
        <f>IF(LEFT(B8018,1)="C","Credit","Factuur")</f>
        <v/>
      </c>
      <c r="H8018">
        <f>IF(AND(B8018=B8017,D8018=D8017,A8018=A8017,F8018=F8017),1,0)</f>
        <v/>
      </c>
      <c r="I8018">
        <f>IF(C8018="C99999",1,0)</f>
        <v/>
      </c>
      <c r="J8018" s="5">
        <f>IF(OR(H8018=1,I8018=1),0,IF(G8018="Credit",-F8018,F8018))</f>
        <v/>
      </c>
    </row>
    <row r="8019">
      <c r="A8019" t="inlineStr">
        <is>
          <t>2026-09-11</t>
        </is>
      </c>
      <c r="B8019" t="inlineStr">
        <is>
          <t>F277698</t>
        </is>
      </c>
      <c r="C8019" t="inlineStr">
        <is>
          <t>C10940</t>
        </is>
      </c>
      <c r="D8019" t="inlineStr">
        <is>
          <t>SKU-10201</t>
        </is>
      </c>
      <c r="E8019" t="inlineStr">
        <is>
          <t>AM06</t>
        </is>
      </c>
      <c r="F8019" s="5" t="n">
        <v>1289.38</v>
      </c>
      <c r="G8019">
        <f>IF(LEFT(B8019,1)="C","Credit","Factuur")</f>
        <v/>
      </c>
      <c r="H8019">
        <f>IF(AND(B8019=B8018,D8019=D8018,A8019=A8018,F8019=F8018),1,0)</f>
        <v/>
      </c>
      <c r="I8019">
        <f>IF(C8019="C99999",1,0)</f>
        <v/>
      </c>
      <c r="J8019" s="5">
        <f>IF(OR(H8019=1,I8019=1),0,IF(G8019="Credit",-F8019,F8019))</f>
        <v/>
      </c>
    </row>
    <row r="8020">
      <c r="A8020" t="inlineStr">
        <is>
          <t>2026-09-11</t>
        </is>
      </c>
      <c r="B8020" t="inlineStr">
        <is>
          <t>F277886</t>
        </is>
      </c>
      <c r="C8020" t="inlineStr">
        <is>
          <t>C10950</t>
        </is>
      </c>
      <c r="D8020" t="inlineStr">
        <is>
          <t>SKU-10088</t>
        </is>
      </c>
      <c r="E8020" t="inlineStr">
        <is>
          <t>AM11</t>
        </is>
      </c>
      <c r="F8020" s="5" t="n">
        <v>1296.12</v>
      </c>
      <c r="G8020">
        <f>IF(LEFT(B8020,1)="C","Credit","Factuur")</f>
        <v/>
      </c>
      <c r="H8020">
        <f>IF(AND(B8020=B8019,D8020=D8019,A8020=A8019,F8020=F8019),1,0)</f>
        <v/>
      </c>
      <c r="I8020">
        <f>IF(C8020="C99999",1,0)</f>
        <v/>
      </c>
      <c r="J8020" s="5">
        <f>IF(OR(H8020=1,I8020=1),0,IF(G8020="Credit",-F8020,F8020))</f>
        <v/>
      </c>
    </row>
    <row r="8021">
      <c r="A8021" t="inlineStr">
        <is>
          <t>2026-09-11</t>
        </is>
      </c>
      <c r="B8021" t="inlineStr">
        <is>
          <t>F277886</t>
        </is>
      </c>
      <c r="C8021" t="inlineStr">
        <is>
          <t>C10950</t>
        </is>
      </c>
      <c r="D8021" t="inlineStr">
        <is>
          <t>SKU-10180</t>
        </is>
      </c>
      <c r="E8021" t="inlineStr">
        <is>
          <t>AM11</t>
        </is>
      </c>
      <c r="F8021" s="5" t="n">
        <v>1286.44</v>
      </c>
      <c r="G8021">
        <f>IF(LEFT(B8021,1)="C","Credit","Factuur")</f>
        <v/>
      </c>
      <c r="H8021">
        <f>IF(AND(B8021=B8020,D8021=D8020,A8021=A8020,F8021=F8020),1,0)</f>
        <v/>
      </c>
      <c r="I8021">
        <f>IF(C8021="C99999",1,0)</f>
        <v/>
      </c>
      <c r="J8021" s="5">
        <f>IF(OR(H8021=1,I8021=1),0,IF(G8021="Credit",-F8021,F8021))</f>
        <v/>
      </c>
    </row>
    <row r="8022">
      <c r="A8022" t="inlineStr">
        <is>
          <t>2026-09-11</t>
        </is>
      </c>
      <c r="B8022" t="inlineStr">
        <is>
          <t>F277886</t>
        </is>
      </c>
      <c r="C8022" t="inlineStr">
        <is>
          <t>C10950</t>
        </is>
      </c>
      <c r="D8022" t="inlineStr">
        <is>
          <t>SKU-10302</t>
        </is>
      </c>
      <c r="E8022" t="inlineStr">
        <is>
          <t>AM11</t>
        </is>
      </c>
      <c r="F8022" s="5" t="n">
        <v>1317.3</v>
      </c>
      <c r="G8022">
        <f>IF(LEFT(B8022,1)="C","Credit","Factuur")</f>
        <v/>
      </c>
      <c r="H8022">
        <f>IF(AND(B8022=B8021,D8022=D8021,A8022=A8021,F8022=F8021),1,0)</f>
        <v/>
      </c>
      <c r="I8022">
        <f>IF(C8022="C99999",1,0)</f>
        <v/>
      </c>
      <c r="J8022" s="5">
        <f>IF(OR(H8022=1,I8022=1),0,IF(G8022="Credit",-F8022,F8022))</f>
        <v/>
      </c>
    </row>
    <row r="8023">
      <c r="A8023" t="inlineStr">
        <is>
          <t>2026-09-11</t>
        </is>
      </c>
      <c r="B8023" t="inlineStr">
        <is>
          <t>F278125</t>
        </is>
      </c>
      <c r="C8023" t="inlineStr">
        <is>
          <t>C10963</t>
        </is>
      </c>
      <c r="D8023" t="inlineStr">
        <is>
          <t>SKU-10059</t>
        </is>
      </c>
      <c r="E8023" t="inlineStr">
        <is>
          <t>AM07</t>
        </is>
      </c>
      <c r="F8023" s="5" t="n">
        <v>686.05</v>
      </c>
      <c r="G8023">
        <f>IF(LEFT(B8023,1)="C","Credit","Factuur")</f>
        <v/>
      </c>
      <c r="H8023">
        <f>IF(AND(B8023=B8022,D8023=D8022,A8023=A8022,F8023=F8022),1,0)</f>
        <v/>
      </c>
      <c r="I8023">
        <f>IF(C8023="C99999",1,0)</f>
        <v/>
      </c>
      <c r="J8023" s="5">
        <f>IF(OR(H8023=1,I8023=1),0,IF(G8023="Credit",-F8023,F8023))</f>
        <v/>
      </c>
    </row>
    <row r="8024">
      <c r="A8024" t="inlineStr">
        <is>
          <t>2026-09-11</t>
        </is>
      </c>
      <c r="B8024" t="inlineStr">
        <is>
          <t>F278125</t>
        </is>
      </c>
      <c r="C8024" t="inlineStr">
        <is>
          <t>C10963</t>
        </is>
      </c>
      <c r="D8024" t="inlineStr">
        <is>
          <t>SKU-10333</t>
        </is>
      </c>
      <c r="E8024" t="inlineStr">
        <is>
          <t>AM07</t>
        </is>
      </c>
      <c r="F8024" s="5" t="n">
        <v>805.86</v>
      </c>
      <c r="G8024">
        <f>IF(LEFT(B8024,1)="C","Credit","Factuur")</f>
        <v/>
      </c>
      <c r="H8024">
        <f>IF(AND(B8024=B8023,D8024=D8023,A8024=A8023,F8024=F8023),1,0)</f>
        <v/>
      </c>
      <c r="I8024">
        <f>IF(C8024="C99999",1,0)</f>
        <v/>
      </c>
      <c r="J8024" s="5">
        <f>IF(OR(H8024=1,I8024=1),0,IF(G8024="Credit",-F8024,F8024))</f>
        <v/>
      </c>
    </row>
    <row r="8025">
      <c r="A8025" t="inlineStr">
        <is>
          <t>2026-09-11</t>
        </is>
      </c>
      <c r="B8025" t="inlineStr">
        <is>
          <t>F278281</t>
        </is>
      </c>
      <c r="C8025" t="inlineStr">
        <is>
          <t>C10970</t>
        </is>
      </c>
      <c r="D8025" t="inlineStr">
        <is>
          <t>SKU-10274</t>
        </is>
      </c>
      <c r="E8025" t="inlineStr">
        <is>
          <t>AM02</t>
        </is>
      </c>
      <c r="F8025" s="5" t="n">
        <v>436.39</v>
      </c>
      <c r="G8025">
        <f>IF(LEFT(B8025,1)="C","Credit","Factuur")</f>
        <v/>
      </c>
      <c r="H8025">
        <f>IF(AND(B8025=B8024,D8025=D8024,A8025=A8024,F8025=F8024),1,0)</f>
        <v/>
      </c>
      <c r="I8025">
        <f>IF(C8025="C99999",1,0)</f>
        <v/>
      </c>
      <c r="J8025" s="5">
        <f>IF(OR(H8025=1,I8025=1),0,IF(G8025="Credit",-F8025,F8025))</f>
        <v/>
      </c>
    </row>
    <row r="8026">
      <c r="A8026" t="inlineStr">
        <is>
          <t>2026-09-11</t>
        </is>
      </c>
      <c r="B8026" t="inlineStr">
        <is>
          <t>F278281</t>
        </is>
      </c>
      <c r="C8026" t="inlineStr">
        <is>
          <t>C10970</t>
        </is>
      </c>
      <c r="D8026" t="inlineStr">
        <is>
          <t>SKU-10311</t>
        </is>
      </c>
      <c r="E8026" t="inlineStr">
        <is>
          <t>AM02</t>
        </is>
      </c>
      <c r="F8026" s="5" t="n">
        <v>441.3</v>
      </c>
      <c r="G8026">
        <f>IF(LEFT(B8026,1)="C","Credit","Factuur")</f>
        <v/>
      </c>
      <c r="H8026">
        <f>IF(AND(B8026=B8025,D8026=D8025,A8026=A8025,F8026=F8025),1,0)</f>
        <v/>
      </c>
      <c r="I8026">
        <f>IF(C8026="C99999",1,0)</f>
        <v/>
      </c>
      <c r="J8026" s="5">
        <f>IF(OR(H8026=1,I8026=1),0,IF(G8026="Credit",-F8026,F8026))</f>
        <v/>
      </c>
    </row>
    <row r="8027">
      <c r="A8027" t="inlineStr">
        <is>
          <t>2026-09-11</t>
        </is>
      </c>
      <c r="B8027" t="inlineStr">
        <is>
          <t>F278289</t>
        </is>
      </c>
      <c r="C8027" t="inlineStr">
        <is>
          <t>C10970</t>
        </is>
      </c>
      <c r="D8027" t="inlineStr">
        <is>
          <t>SKU-10041</t>
        </is>
      </c>
      <c r="E8027" t="inlineStr">
        <is>
          <t>AM02</t>
        </is>
      </c>
      <c r="F8027" s="5" t="n">
        <v>543.52</v>
      </c>
      <c r="G8027">
        <f>IF(LEFT(B8027,1)="C","Credit","Factuur")</f>
        <v/>
      </c>
      <c r="H8027">
        <f>IF(AND(B8027=B8026,D8027=D8026,A8027=A8026,F8027=F8026),1,0)</f>
        <v/>
      </c>
      <c r="I8027">
        <f>IF(C8027="C99999",1,0)</f>
        <v/>
      </c>
      <c r="J8027" s="5">
        <f>IF(OR(H8027=1,I8027=1),0,IF(G8027="Credit",-F8027,F8027))</f>
        <v/>
      </c>
    </row>
    <row r="8028">
      <c r="A8028" t="inlineStr">
        <is>
          <t>2026-09-11</t>
        </is>
      </c>
      <c r="B8028" t="inlineStr">
        <is>
          <t>F278289</t>
        </is>
      </c>
      <c r="C8028" t="inlineStr">
        <is>
          <t>C10970</t>
        </is>
      </c>
      <c r="D8028" t="inlineStr">
        <is>
          <t>SKU-10219</t>
        </is>
      </c>
      <c r="E8028" t="inlineStr">
        <is>
          <t>AM02</t>
        </is>
      </c>
      <c r="F8028" s="5" t="n">
        <v>506.92</v>
      </c>
      <c r="G8028">
        <f>IF(LEFT(B8028,1)="C","Credit","Factuur")</f>
        <v/>
      </c>
      <c r="H8028">
        <f>IF(AND(B8028=B8027,D8028=D8027,A8028=A8027,F8028=F8027),1,0)</f>
        <v/>
      </c>
      <c r="I8028">
        <f>IF(C8028="C99999",1,0)</f>
        <v/>
      </c>
      <c r="J8028" s="5">
        <f>IF(OR(H8028=1,I8028=1),0,IF(G8028="Credit",-F8028,F8028))</f>
        <v/>
      </c>
    </row>
    <row r="8029">
      <c r="A8029" t="inlineStr">
        <is>
          <t>2026-09-11</t>
        </is>
      </c>
      <c r="B8029" t="inlineStr">
        <is>
          <t>F278321</t>
        </is>
      </c>
      <c r="C8029" t="inlineStr">
        <is>
          <t>C10971</t>
        </is>
      </c>
      <c r="D8029" t="inlineStr">
        <is>
          <t>SKU-10012</t>
        </is>
      </c>
      <c r="E8029" t="inlineStr">
        <is>
          <t>AM07</t>
        </is>
      </c>
      <c r="F8029" s="5" t="n">
        <v>1182.27</v>
      </c>
      <c r="G8029">
        <f>IF(LEFT(B8029,1)="C","Credit","Factuur")</f>
        <v/>
      </c>
      <c r="H8029">
        <f>IF(AND(B8029=B8028,D8029=D8028,A8029=A8028,F8029=F8028),1,0)</f>
        <v/>
      </c>
      <c r="I8029">
        <f>IF(C8029="C99999",1,0)</f>
        <v/>
      </c>
      <c r="J8029" s="5">
        <f>IF(OR(H8029=1,I8029=1),0,IF(G8029="Credit",-F8029,F8029))</f>
        <v/>
      </c>
    </row>
    <row r="8030">
      <c r="A8030" t="inlineStr">
        <is>
          <t>2026-09-11</t>
        </is>
      </c>
      <c r="B8030" t="inlineStr">
        <is>
          <t>F279179</t>
        </is>
      </c>
      <c r="C8030" t="inlineStr">
        <is>
          <t>C11017</t>
        </is>
      </c>
      <c r="D8030" t="inlineStr">
        <is>
          <t>SKU-10014</t>
        </is>
      </c>
      <c r="E8030" t="inlineStr">
        <is>
          <t>AM02</t>
        </is>
      </c>
      <c r="F8030" s="5" t="n">
        <v>715.52</v>
      </c>
      <c r="G8030">
        <f>IF(LEFT(B8030,1)="C","Credit","Factuur")</f>
        <v/>
      </c>
      <c r="H8030">
        <f>IF(AND(B8030=B8029,D8030=D8029,A8030=A8029,F8030=F8029),1,0)</f>
        <v/>
      </c>
      <c r="I8030">
        <f>IF(C8030="C99999",1,0)</f>
        <v/>
      </c>
      <c r="J8030" s="5">
        <f>IF(OR(H8030=1,I8030=1),0,IF(G8030="Credit",-F8030,F8030))</f>
        <v/>
      </c>
    </row>
    <row r="8031">
      <c r="A8031" t="inlineStr">
        <is>
          <t>2026-09-11</t>
        </is>
      </c>
      <c r="B8031" t="inlineStr">
        <is>
          <t>F279179</t>
        </is>
      </c>
      <c r="C8031" t="inlineStr">
        <is>
          <t>C11017</t>
        </is>
      </c>
      <c r="D8031" t="inlineStr">
        <is>
          <t>SKU-10120</t>
        </is>
      </c>
      <c r="E8031" t="inlineStr">
        <is>
          <t>AM02</t>
        </is>
      </c>
      <c r="F8031" s="5" t="n">
        <v>603.0700000000001</v>
      </c>
      <c r="G8031">
        <f>IF(LEFT(B8031,1)="C","Credit","Factuur")</f>
        <v/>
      </c>
      <c r="H8031">
        <f>IF(AND(B8031=B8030,D8031=D8030,A8031=A8030,F8031=F8030),1,0)</f>
        <v/>
      </c>
      <c r="I8031">
        <f>IF(C8031="C99999",1,0)</f>
        <v/>
      </c>
      <c r="J8031" s="5">
        <f>IF(OR(H8031=1,I8031=1),0,IF(G8031="Credit",-F8031,F8031))</f>
        <v/>
      </c>
    </row>
    <row r="8032">
      <c r="A8032" t="inlineStr">
        <is>
          <t>2026-09-11</t>
        </is>
      </c>
      <c r="B8032" t="inlineStr">
        <is>
          <t>F279179</t>
        </is>
      </c>
      <c r="C8032" t="inlineStr">
        <is>
          <t>C11017</t>
        </is>
      </c>
      <c r="D8032" t="inlineStr">
        <is>
          <t>SKU-10221</t>
        </is>
      </c>
      <c r="E8032" t="inlineStr">
        <is>
          <t>AM02</t>
        </is>
      </c>
      <c r="F8032" s="5" t="n">
        <v>715.14</v>
      </c>
      <c r="G8032">
        <f>IF(LEFT(B8032,1)="C","Credit","Factuur")</f>
        <v/>
      </c>
      <c r="H8032">
        <f>IF(AND(B8032=B8031,D8032=D8031,A8032=A8031,F8032=F8031),1,0)</f>
        <v/>
      </c>
      <c r="I8032">
        <f>IF(C8032="C99999",1,0)</f>
        <v/>
      </c>
      <c r="J8032" s="5">
        <f>IF(OR(H8032=1,I8032=1),0,IF(G8032="Credit",-F8032,F8032))</f>
        <v/>
      </c>
    </row>
    <row r="8033">
      <c r="A8033" t="inlineStr">
        <is>
          <t>2026-09-11</t>
        </is>
      </c>
      <c r="B8033" t="inlineStr">
        <is>
          <t>F279527</t>
        </is>
      </c>
      <c r="C8033" t="inlineStr">
        <is>
          <t>C11034</t>
        </is>
      </c>
      <c r="D8033" t="inlineStr">
        <is>
          <t>SKU-10070</t>
        </is>
      </c>
      <c r="E8033" t="inlineStr">
        <is>
          <t>AM03</t>
        </is>
      </c>
      <c r="F8033" s="5" t="n">
        <v>541.59</v>
      </c>
      <c r="G8033">
        <f>IF(LEFT(B8033,1)="C","Credit","Factuur")</f>
        <v/>
      </c>
      <c r="H8033">
        <f>IF(AND(B8033=B8032,D8033=D8032,A8033=A8032,F8033=F8032),1,0)</f>
        <v/>
      </c>
      <c r="I8033">
        <f>IF(C8033="C99999",1,0)</f>
        <v/>
      </c>
      <c r="J8033" s="5">
        <f>IF(OR(H8033=1,I8033=1),0,IF(G8033="Credit",-F8033,F8033))</f>
        <v/>
      </c>
    </row>
    <row r="8034">
      <c r="A8034" t="inlineStr">
        <is>
          <t>2026-09-11</t>
        </is>
      </c>
      <c r="B8034" t="inlineStr">
        <is>
          <t>F279527</t>
        </is>
      </c>
      <c r="C8034" t="inlineStr">
        <is>
          <t>C11034</t>
        </is>
      </c>
      <c r="D8034" t="inlineStr">
        <is>
          <t>SKU-10305</t>
        </is>
      </c>
      <c r="E8034" t="inlineStr">
        <is>
          <t>AM03</t>
        </is>
      </c>
      <c r="F8034" s="5" t="n">
        <v>569.85</v>
      </c>
      <c r="G8034">
        <f>IF(LEFT(B8034,1)="C","Credit","Factuur")</f>
        <v/>
      </c>
      <c r="H8034">
        <f>IF(AND(B8034=B8033,D8034=D8033,A8034=A8033,F8034=F8033),1,0)</f>
        <v/>
      </c>
      <c r="I8034">
        <f>IF(C8034="C99999",1,0)</f>
        <v/>
      </c>
      <c r="J8034" s="5">
        <f>IF(OR(H8034=1,I8034=1),0,IF(G8034="Credit",-F8034,F8034))</f>
        <v/>
      </c>
    </row>
    <row r="8035">
      <c r="A8035" t="inlineStr">
        <is>
          <t>2026-09-11</t>
        </is>
      </c>
      <c r="B8035" t="inlineStr">
        <is>
          <t>F279674</t>
        </is>
      </c>
      <c r="C8035" t="inlineStr">
        <is>
          <t>C11043</t>
        </is>
      </c>
      <c r="D8035" t="inlineStr">
        <is>
          <t>SKU-10037</t>
        </is>
      </c>
      <c r="E8035" t="inlineStr">
        <is>
          <t>AM02</t>
        </is>
      </c>
      <c r="F8035" s="5" t="n">
        <v>79.90000000000001</v>
      </c>
      <c r="G8035">
        <f>IF(LEFT(B8035,1)="C","Credit","Factuur")</f>
        <v/>
      </c>
      <c r="H8035">
        <f>IF(AND(B8035=B8034,D8035=D8034,A8035=A8034,F8035=F8034),1,0)</f>
        <v/>
      </c>
      <c r="I8035">
        <f>IF(C8035="C99999",1,0)</f>
        <v/>
      </c>
      <c r="J8035" s="5">
        <f>IF(OR(H8035=1,I8035=1),0,IF(G8035="Credit",-F8035,F8035))</f>
        <v/>
      </c>
    </row>
    <row r="8036">
      <c r="A8036" t="inlineStr">
        <is>
          <t>2026-09-11</t>
        </is>
      </c>
      <c r="B8036" t="inlineStr">
        <is>
          <t>F279674</t>
        </is>
      </c>
      <c r="C8036" t="inlineStr">
        <is>
          <t>C11043</t>
        </is>
      </c>
      <c r="D8036" t="inlineStr">
        <is>
          <t>SKU-10294</t>
        </is>
      </c>
      <c r="E8036" t="inlineStr">
        <is>
          <t>AM02</t>
        </is>
      </c>
      <c r="F8036" s="5" t="n">
        <v>70.05</v>
      </c>
      <c r="G8036">
        <f>IF(LEFT(B8036,1)="C","Credit","Factuur")</f>
        <v/>
      </c>
      <c r="H8036">
        <f>IF(AND(B8036=B8035,D8036=D8035,A8036=A8035,F8036=F8035),1,0)</f>
        <v/>
      </c>
      <c r="I8036">
        <f>IF(C8036="C99999",1,0)</f>
        <v/>
      </c>
      <c r="J8036" s="5">
        <f>IF(OR(H8036=1,I8036=1),0,IF(G8036="Credit",-F8036,F8036))</f>
        <v/>
      </c>
    </row>
    <row r="8037">
      <c r="A8037" t="inlineStr">
        <is>
          <t>2026-09-11</t>
        </is>
      </c>
      <c r="B8037" t="inlineStr">
        <is>
          <t>F279674</t>
        </is>
      </c>
      <c r="C8037" t="inlineStr">
        <is>
          <t>C11043</t>
        </is>
      </c>
      <c r="D8037" t="inlineStr">
        <is>
          <t>SKU-10312</t>
        </is>
      </c>
      <c r="E8037" t="inlineStr">
        <is>
          <t>AM02</t>
        </is>
      </c>
      <c r="F8037" s="5" t="n">
        <v>103.2</v>
      </c>
      <c r="G8037">
        <f>IF(LEFT(B8037,1)="C","Credit","Factuur")</f>
        <v/>
      </c>
      <c r="H8037">
        <f>IF(AND(B8037=B8036,D8037=D8036,A8037=A8036,F8037=F8036),1,0)</f>
        <v/>
      </c>
      <c r="I8037">
        <f>IF(C8037="C99999",1,0)</f>
        <v/>
      </c>
      <c r="J8037" s="5">
        <f>IF(OR(H8037=1,I8037=1),0,IF(G8037="Credit",-F8037,F8037))</f>
        <v/>
      </c>
    </row>
    <row r="8038">
      <c r="A8038" t="inlineStr">
        <is>
          <t>2026-09-11</t>
        </is>
      </c>
      <c r="B8038" t="inlineStr">
        <is>
          <t>F279694</t>
        </is>
      </c>
      <c r="C8038" t="inlineStr">
        <is>
          <t>C11043</t>
        </is>
      </c>
      <c r="D8038" t="inlineStr">
        <is>
          <t>SKU-10048</t>
        </is>
      </c>
      <c r="E8038" t="inlineStr">
        <is>
          <t>AM02</t>
        </is>
      </c>
      <c r="F8038" s="5" t="n">
        <v>315.66</v>
      </c>
      <c r="G8038">
        <f>IF(LEFT(B8038,1)="C","Credit","Factuur")</f>
        <v/>
      </c>
      <c r="H8038">
        <f>IF(AND(B8038=B8037,D8038=D8037,A8038=A8037,F8038=F8037),1,0)</f>
        <v/>
      </c>
      <c r="I8038">
        <f>IF(C8038="C99999",1,0)</f>
        <v/>
      </c>
      <c r="J8038" s="5">
        <f>IF(OR(H8038=1,I8038=1),0,IF(G8038="Credit",-F8038,F8038))</f>
        <v/>
      </c>
    </row>
    <row r="8039">
      <c r="A8039" t="inlineStr">
        <is>
          <t>2026-09-11</t>
        </is>
      </c>
      <c r="B8039" t="inlineStr">
        <is>
          <t>F279831</t>
        </is>
      </c>
      <c r="C8039" t="inlineStr">
        <is>
          <t>C11050</t>
        </is>
      </c>
      <c r="D8039" t="inlineStr">
        <is>
          <t>SKU-10066</t>
        </is>
      </c>
      <c r="E8039" t="inlineStr">
        <is>
          <t>AM01</t>
        </is>
      </c>
      <c r="F8039" s="5" t="n">
        <v>542.9400000000001</v>
      </c>
      <c r="G8039">
        <f>IF(LEFT(B8039,1)="C","Credit","Factuur")</f>
        <v/>
      </c>
      <c r="H8039">
        <f>IF(AND(B8039=B8038,D8039=D8038,A8039=A8038,F8039=F8038),1,0)</f>
        <v/>
      </c>
      <c r="I8039">
        <f>IF(C8039="C99999",1,0)</f>
        <v/>
      </c>
      <c r="J8039" s="5">
        <f>IF(OR(H8039=1,I8039=1),0,IF(G8039="Credit",-F8039,F8039))</f>
        <v/>
      </c>
    </row>
    <row r="8040">
      <c r="A8040" t="inlineStr">
        <is>
          <t>2026-09-11</t>
        </is>
      </c>
      <c r="B8040" t="inlineStr">
        <is>
          <t>F279831</t>
        </is>
      </c>
      <c r="C8040" t="inlineStr">
        <is>
          <t>C11050</t>
        </is>
      </c>
      <c r="D8040" t="inlineStr">
        <is>
          <t>SKU-10216</t>
        </is>
      </c>
      <c r="E8040" t="inlineStr">
        <is>
          <t>AM01</t>
        </is>
      </c>
      <c r="F8040" s="5" t="n">
        <v>582.48</v>
      </c>
      <c r="G8040">
        <f>IF(LEFT(B8040,1)="C","Credit","Factuur")</f>
        <v/>
      </c>
      <c r="H8040">
        <f>IF(AND(B8040=B8039,D8040=D8039,A8040=A8039,F8040=F8039),1,0)</f>
        <v/>
      </c>
      <c r="I8040">
        <f>IF(C8040="C99999",1,0)</f>
        <v/>
      </c>
      <c r="J8040" s="5">
        <f>IF(OR(H8040=1,I8040=1),0,IF(G8040="Credit",-F8040,F8040))</f>
        <v/>
      </c>
    </row>
    <row r="8041">
      <c r="A8041" t="inlineStr">
        <is>
          <t>2026-09-11</t>
        </is>
      </c>
      <c r="B8041" t="inlineStr">
        <is>
          <t>F280482</t>
        </is>
      </c>
      <c r="C8041" t="inlineStr">
        <is>
          <t>C11080</t>
        </is>
      </c>
      <c r="D8041" t="inlineStr">
        <is>
          <t>SKU-10330</t>
        </is>
      </c>
      <c r="E8041" t="inlineStr">
        <is>
          <t>AM01</t>
        </is>
      </c>
      <c r="F8041" s="5" t="n">
        <v>5488.26</v>
      </c>
      <c r="G8041">
        <f>IF(LEFT(B8041,1)="C","Credit","Factuur")</f>
        <v/>
      </c>
      <c r="H8041">
        <f>IF(AND(B8041=B8040,D8041=D8040,A8041=A8040,F8041=F8040),1,0)</f>
        <v/>
      </c>
      <c r="I8041">
        <f>IF(C8041="C99999",1,0)</f>
        <v/>
      </c>
      <c r="J8041" s="5">
        <f>IF(OR(H8041=1,I8041=1),0,IF(G8041="Credit",-F8041,F8041))</f>
        <v/>
      </c>
    </row>
    <row r="8042">
      <c r="A8042" t="inlineStr">
        <is>
          <t>2026-09-11</t>
        </is>
      </c>
      <c r="B8042" t="inlineStr">
        <is>
          <t>F280616</t>
        </is>
      </c>
      <c r="C8042" t="inlineStr">
        <is>
          <t>C11088</t>
        </is>
      </c>
      <c r="D8042" t="inlineStr">
        <is>
          <t>SKU-10222</t>
        </is>
      </c>
      <c r="E8042" t="inlineStr">
        <is>
          <t>AM11</t>
        </is>
      </c>
      <c r="F8042" s="5" t="n">
        <v>660.11</v>
      </c>
      <c r="G8042">
        <f>IF(LEFT(B8042,1)="C","Credit","Factuur")</f>
        <v/>
      </c>
      <c r="H8042">
        <f>IF(AND(B8042=B8041,D8042=D8041,A8042=A8041,F8042=F8041),1,0)</f>
        <v/>
      </c>
      <c r="I8042">
        <f>IF(C8042="C99999",1,0)</f>
        <v/>
      </c>
      <c r="J8042" s="5">
        <f>IF(OR(H8042=1,I8042=1),0,IF(G8042="Credit",-F8042,F8042))</f>
        <v/>
      </c>
    </row>
    <row r="8043">
      <c r="A8043" t="inlineStr">
        <is>
          <t>2026-09-11</t>
        </is>
      </c>
      <c r="B8043" t="inlineStr">
        <is>
          <t>F280616</t>
        </is>
      </c>
      <c r="C8043" t="inlineStr">
        <is>
          <t>C11088</t>
        </is>
      </c>
      <c r="D8043" t="inlineStr">
        <is>
          <t>SKU-10339</t>
        </is>
      </c>
      <c r="E8043" t="inlineStr">
        <is>
          <t>AM11</t>
        </is>
      </c>
      <c r="F8043" s="5" t="n">
        <v>677.25</v>
      </c>
      <c r="G8043">
        <f>IF(LEFT(B8043,1)="C","Credit","Factuur")</f>
        <v/>
      </c>
      <c r="H8043">
        <f>IF(AND(B8043=B8042,D8043=D8042,A8043=A8042,F8043=F8042),1,0)</f>
        <v/>
      </c>
      <c r="I8043">
        <f>IF(C8043="C99999",1,0)</f>
        <v/>
      </c>
      <c r="J8043" s="5">
        <f>IF(OR(H8043=1,I8043=1),0,IF(G8043="Credit",-F8043,F8043))</f>
        <v/>
      </c>
    </row>
    <row r="8044">
      <c r="A8044" t="inlineStr">
        <is>
          <t>2026-09-11</t>
        </is>
      </c>
      <c r="B8044" t="inlineStr">
        <is>
          <t>F280616</t>
        </is>
      </c>
      <c r="C8044" t="inlineStr">
        <is>
          <t>C11088</t>
        </is>
      </c>
      <c r="D8044" t="inlineStr">
        <is>
          <t>SKU-10363</t>
        </is>
      </c>
      <c r="E8044" t="inlineStr">
        <is>
          <t>AM11</t>
        </is>
      </c>
      <c r="F8044" s="5" t="n">
        <v>669.8200000000001</v>
      </c>
      <c r="G8044">
        <f>IF(LEFT(B8044,1)="C","Credit","Factuur")</f>
        <v/>
      </c>
      <c r="H8044">
        <f>IF(AND(B8044=B8043,D8044=D8043,A8044=A8043,F8044=F8043),1,0)</f>
        <v/>
      </c>
      <c r="I8044">
        <f>IF(C8044="C99999",1,0)</f>
        <v/>
      </c>
      <c r="J8044" s="5">
        <f>IF(OR(H8044=1,I8044=1),0,IF(G8044="Credit",-F8044,F8044))</f>
        <v/>
      </c>
    </row>
    <row r="8045">
      <c r="A8045" t="inlineStr">
        <is>
          <t>2026-09-11</t>
        </is>
      </c>
      <c r="B8045" t="inlineStr">
        <is>
          <t>F281118</t>
        </is>
      </c>
      <c r="C8045" t="inlineStr">
        <is>
          <t>C11112</t>
        </is>
      </c>
      <c r="D8045" t="inlineStr">
        <is>
          <t>SKU-10016</t>
        </is>
      </c>
      <c r="E8045" t="inlineStr">
        <is>
          <t>AM01</t>
        </is>
      </c>
      <c r="F8045" s="5" t="n">
        <v>2554.8</v>
      </c>
      <c r="G8045">
        <f>IF(LEFT(B8045,1)="C","Credit","Factuur")</f>
        <v/>
      </c>
      <c r="H8045">
        <f>IF(AND(B8045=B8044,D8045=D8044,A8045=A8044,F8045=F8044),1,0)</f>
        <v/>
      </c>
      <c r="I8045">
        <f>IF(C8045="C99999",1,0)</f>
        <v/>
      </c>
      <c r="J8045" s="5">
        <f>IF(OR(H8045=1,I8045=1),0,IF(G8045="Credit",-F8045,F8045))</f>
        <v/>
      </c>
    </row>
    <row r="8046">
      <c r="A8046" t="inlineStr">
        <is>
          <t>2026-09-11</t>
        </is>
      </c>
      <c r="B8046" t="inlineStr">
        <is>
          <t>F281118</t>
        </is>
      </c>
      <c r="C8046" t="inlineStr">
        <is>
          <t>C11112</t>
        </is>
      </c>
      <c r="D8046" t="inlineStr">
        <is>
          <t>SKU-10337</t>
        </is>
      </c>
      <c r="E8046" t="inlineStr">
        <is>
          <t>AM01</t>
        </is>
      </c>
      <c r="F8046" s="5" t="n">
        <v>2556.45</v>
      </c>
      <c r="G8046">
        <f>IF(LEFT(B8046,1)="C","Credit","Factuur")</f>
        <v/>
      </c>
      <c r="H8046">
        <f>IF(AND(B8046=B8045,D8046=D8045,A8046=A8045,F8046=F8045),1,0)</f>
        <v/>
      </c>
      <c r="I8046">
        <f>IF(C8046="C99999",1,0)</f>
        <v/>
      </c>
      <c r="J8046" s="5">
        <f>IF(OR(H8046=1,I8046=1),0,IF(G8046="Credit",-F8046,F8046))</f>
        <v/>
      </c>
    </row>
    <row r="8047">
      <c r="A8047" t="inlineStr">
        <is>
          <t>2026-09-11</t>
        </is>
      </c>
      <c r="B8047" t="inlineStr">
        <is>
          <t>F281394</t>
        </is>
      </c>
      <c r="C8047" t="inlineStr">
        <is>
          <t>C11127</t>
        </is>
      </c>
      <c r="D8047" t="inlineStr">
        <is>
          <t>SKU-10288</t>
        </is>
      </c>
      <c r="E8047" t="inlineStr">
        <is>
          <t>AM03</t>
        </is>
      </c>
      <c r="F8047" s="5" t="n">
        <v>643.4</v>
      </c>
      <c r="G8047">
        <f>IF(LEFT(B8047,1)="C","Credit","Factuur")</f>
        <v/>
      </c>
      <c r="H8047">
        <f>IF(AND(B8047=B8046,D8047=D8046,A8047=A8046,F8047=F8046),1,0)</f>
        <v/>
      </c>
      <c r="I8047">
        <f>IF(C8047="C99999",1,0)</f>
        <v/>
      </c>
      <c r="J8047" s="5">
        <f>IF(OR(H8047=1,I8047=1),0,IF(G8047="Credit",-F8047,F8047))</f>
        <v/>
      </c>
    </row>
    <row r="8048">
      <c r="A8048" t="inlineStr">
        <is>
          <t>2026-09-11</t>
        </is>
      </c>
      <c r="B8048" t="inlineStr">
        <is>
          <t>F281514</t>
        </is>
      </c>
      <c r="C8048" t="inlineStr">
        <is>
          <t>C11134</t>
        </is>
      </c>
      <c r="D8048" t="inlineStr">
        <is>
          <t>SKU-10024</t>
        </is>
      </c>
      <c r="E8048" t="inlineStr">
        <is>
          <t>AM02</t>
        </is>
      </c>
      <c r="F8048" s="5" t="n">
        <v>241.6</v>
      </c>
      <c r="G8048">
        <f>IF(LEFT(B8048,1)="C","Credit","Factuur")</f>
        <v/>
      </c>
      <c r="H8048">
        <f>IF(AND(B8048=B8047,D8048=D8047,A8048=A8047,F8048=F8047),1,0)</f>
        <v/>
      </c>
      <c r="I8048">
        <f>IF(C8048="C99999",1,0)</f>
        <v/>
      </c>
      <c r="J8048" s="5">
        <f>IF(OR(H8048=1,I8048=1),0,IF(G8048="Credit",-F8048,F8048))</f>
        <v/>
      </c>
    </row>
    <row r="8049">
      <c r="A8049" t="inlineStr">
        <is>
          <t>2026-09-11</t>
        </is>
      </c>
      <c r="B8049" t="inlineStr">
        <is>
          <t>F281514</t>
        </is>
      </c>
      <c r="C8049" t="inlineStr">
        <is>
          <t>C11134</t>
        </is>
      </c>
      <c r="D8049" t="inlineStr">
        <is>
          <t>SKU-10032</t>
        </is>
      </c>
      <c r="E8049" t="inlineStr">
        <is>
          <t>AM02</t>
        </is>
      </c>
      <c r="F8049" s="5" t="n">
        <v>242.27</v>
      </c>
      <c r="G8049">
        <f>IF(LEFT(B8049,1)="C","Credit","Factuur")</f>
        <v/>
      </c>
      <c r="H8049">
        <f>IF(AND(B8049=B8048,D8049=D8048,A8049=A8048,F8049=F8048),1,0)</f>
        <v/>
      </c>
      <c r="I8049">
        <f>IF(C8049="C99999",1,0)</f>
        <v/>
      </c>
      <c r="J8049" s="5">
        <f>IF(OR(H8049=1,I8049=1),0,IF(G8049="Credit",-F8049,F8049))</f>
        <v/>
      </c>
    </row>
    <row r="8050">
      <c r="A8050" t="inlineStr">
        <is>
          <t>2026-09-11</t>
        </is>
      </c>
      <c r="B8050" t="inlineStr">
        <is>
          <t>F281573</t>
        </is>
      </c>
      <c r="C8050" t="inlineStr">
        <is>
          <t>C11137</t>
        </is>
      </c>
      <c r="D8050" t="inlineStr">
        <is>
          <t>SKU-10098</t>
        </is>
      </c>
      <c r="E8050" t="inlineStr">
        <is>
          <t>AM02</t>
        </is>
      </c>
      <c r="F8050" s="5" t="n">
        <v>684.17</v>
      </c>
      <c r="G8050">
        <f>IF(LEFT(B8050,1)="C","Credit","Factuur")</f>
        <v/>
      </c>
      <c r="H8050">
        <f>IF(AND(B8050=B8049,D8050=D8049,A8050=A8049,F8050=F8049),1,0)</f>
        <v/>
      </c>
      <c r="I8050">
        <f>IF(C8050="C99999",1,0)</f>
        <v/>
      </c>
      <c r="J8050" s="5">
        <f>IF(OR(H8050=1,I8050=1),0,IF(G8050="Credit",-F8050,F8050))</f>
        <v/>
      </c>
    </row>
    <row r="8051">
      <c r="A8051" t="inlineStr">
        <is>
          <t>2026-09-11</t>
        </is>
      </c>
      <c r="B8051" t="inlineStr">
        <is>
          <t>F281573</t>
        </is>
      </c>
      <c r="C8051" t="inlineStr">
        <is>
          <t>C11137</t>
        </is>
      </c>
      <c r="D8051" t="inlineStr">
        <is>
          <t>SKU-10265</t>
        </is>
      </c>
      <c r="E8051" t="inlineStr">
        <is>
          <t>AM02</t>
        </is>
      </c>
      <c r="F8051" s="5" t="n">
        <v>695.13</v>
      </c>
      <c r="G8051">
        <f>IF(LEFT(B8051,1)="C","Credit","Factuur")</f>
        <v/>
      </c>
      <c r="H8051">
        <f>IF(AND(B8051=B8050,D8051=D8050,A8051=A8050,F8051=F8050),1,0)</f>
        <v/>
      </c>
      <c r="I8051">
        <f>IF(C8051="C99999",1,0)</f>
        <v/>
      </c>
      <c r="J8051" s="5">
        <f>IF(OR(H8051=1,I8051=1),0,IF(G8051="Credit",-F8051,F8051))</f>
        <v/>
      </c>
    </row>
    <row r="8052">
      <c r="A8052" t="inlineStr">
        <is>
          <t>2026-09-11</t>
        </is>
      </c>
      <c r="B8052" t="inlineStr">
        <is>
          <t>F281794</t>
        </is>
      </c>
      <c r="C8052" t="inlineStr">
        <is>
          <t>C11147</t>
        </is>
      </c>
      <c r="D8052" t="inlineStr">
        <is>
          <t>SKU-10011</t>
        </is>
      </c>
      <c r="E8052" t="inlineStr">
        <is>
          <t>AM08</t>
        </is>
      </c>
      <c r="F8052" s="5" t="n">
        <v>214.37</v>
      </c>
      <c r="G8052">
        <f>IF(LEFT(B8052,1)="C","Credit","Factuur")</f>
        <v/>
      </c>
      <c r="H8052">
        <f>IF(AND(B8052=B8051,D8052=D8051,A8052=A8051,F8052=F8051),1,0)</f>
        <v/>
      </c>
      <c r="I8052">
        <f>IF(C8052="C99999",1,0)</f>
        <v/>
      </c>
      <c r="J8052" s="5">
        <f>IF(OR(H8052=1,I8052=1),0,IF(G8052="Credit",-F8052,F8052))</f>
        <v/>
      </c>
    </row>
    <row r="8053">
      <c r="A8053" t="inlineStr">
        <is>
          <t>2026-09-11</t>
        </is>
      </c>
      <c r="B8053" t="inlineStr">
        <is>
          <t>F281794</t>
        </is>
      </c>
      <c r="C8053" t="inlineStr">
        <is>
          <t>C11147</t>
        </is>
      </c>
      <c r="D8053" t="inlineStr">
        <is>
          <t>SKU-10249</t>
        </is>
      </c>
      <c r="E8053" t="inlineStr">
        <is>
          <t>AM08</t>
        </is>
      </c>
      <c r="F8053" s="5" t="n">
        <v>248.8</v>
      </c>
      <c r="G8053">
        <f>IF(LEFT(B8053,1)="C","Credit","Factuur")</f>
        <v/>
      </c>
      <c r="H8053">
        <f>IF(AND(B8053=B8052,D8053=D8052,A8053=A8052,F8053=F8052),1,0)</f>
        <v/>
      </c>
      <c r="I8053">
        <f>IF(C8053="C99999",1,0)</f>
        <v/>
      </c>
      <c r="J8053" s="5">
        <f>IF(OR(H8053=1,I8053=1),0,IF(G8053="Credit",-F8053,F8053))</f>
        <v/>
      </c>
    </row>
    <row r="8054">
      <c r="A8054" t="inlineStr">
        <is>
          <t>2026-09-11</t>
        </is>
      </c>
      <c r="B8054" t="inlineStr">
        <is>
          <t>F281794</t>
        </is>
      </c>
      <c r="C8054" t="inlineStr">
        <is>
          <t>C11147</t>
        </is>
      </c>
      <c r="D8054" t="inlineStr">
        <is>
          <t>SKU-10288</t>
        </is>
      </c>
      <c r="E8054" t="inlineStr">
        <is>
          <t>AM08</t>
        </is>
      </c>
      <c r="F8054" s="5" t="n">
        <v>231.62</v>
      </c>
      <c r="G8054">
        <f>IF(LEFT(B8054,1)="C","Credit","Factuur")</f>
        <v/>
      </c>
      <c r="H8054">
        <f>IF(AND(B8054=B8053,D8054=D8053,A8054=A8053,F8054=F8053),1,0)</f>
        <v/>
      </c>
      <c r="I8054">
        <f>IF(C8054="C99999",1,0)</f>
        <v/>
      </c>
      <c r="J8054" s="5">
        <f>IF(OR(H8054=1,I8054=1),0,IF(G8054="Credit",-F8054,F8054))</f>
        <v/>
      </c>
    </row>
    <row r="8055">
      <c r="A8055" t="inlineStr">
        <is>
          <t>2026-09-11</t>
        </is>
      </c>
      <c r="B8055" t="inlineStr">
        <is>
          <t>F282344</t>
        </is>
      </c>
      <c r="C8055" t="inlineStr">
        <is>
          <t>C11172</t>
        </is>
      </c>
      <c r="D8055" t="inlineStr">
        <is>
          <t>SKU-10092</t>
        </is>
      </c>
      <c r="E8055" t="inlineStr">
        <is>
          <t>AM08</t>
        </is>
      </c>
      <c r="F8055" s="5" t="n">
        <v>205.86</v>
      </c>
      <c r="G8055">
        <f>IF(LEFT(B8055,1)="C","Credit","Factuur")</f>
        <v/>
      </c>
      <c r="H8055">
        <f>IF(AND(B8055=B8054,D8055=D8054,A8055=A8054,F8055=F8054),1,0)</f>
        <v/>
      </c>
      <c r="I8055">
        <f>IF(C8055="C99999",1,0)</f>
        <v/>
      </c>
      <c r="J8055" s="5">
        <f>IF(OR(H8055=1,I8055=1),0,IF(G8055="Credit",-F8055,F8055))</f>
        <v/>
      </c>
    </row>
    <row r="8056">
      <c r="A8056" t="inlineStr">
        <is>
          <t>2026-09-11</t>
        </is>
      </c>
      <c r="B8056" t="inlineStr">
        <is>
          <t>F282344</t>
        </is>
      </c>
      <c r="C8056" t="inlineStr">
        <is>
          <t>C11172</t>
        </is>
      </c>
      <c r="D8056" t="inlineStr">
        <is>
          <t>SKU-10226</t>
        </is>
      </c>
      <c r="E8056" t="inlineStr">
        <is>
          <t>AM08</t>
        </is>
      </c>
      <c r="F8056" s="5" t="n">
        <v>242.9</v>
      </c>
      <c r="G8056">
        <f>IF(LEFT(B8056,1)="C","Credit","Factuur")</f>
        <v/>
      </c>
      <c r="H8056">
        <f>IF(AND(B8056=B8055,D8056=D8055,A8056=A8055,F8056=F8055),1,0)</f>
        <v/>
      </c>
      <c r="I8056">
        <f>IF(C8056="C99999",1,0)</f>
        <v/>
      </c>
      <c r="J8056" s="5">
        <f>IF(OR(H8056=1,I8056=1),0,IF(G8056="Credit",-F8056,F8056))</f>
        <v/>
      </c>
    </row>
    <row r="8057">
      <c r="A8057" t="inlineStr">
        <is>
          <t>2026-09-11</t>
        </is>
      </c>
      <c r="B8057" t="inlineStr">
        <is>
          <t>F282344</t>
        </is>
      </c>
      <c r="C8057" t="inlineStr">
        <is>
          <t>C11172</t>
        </is>
      </c>
      <c r="D8057" t="inlineStr">
        <is>
          <t>SKU-10329</t>
        </is>
      </c>
      <c r="E8057" t="inlineStr">
        <is>
          <t>AM08</t>
        </is>
      </c>
      <c r="F8057" s="5" t="n">
        <v>220.92</v>
      </c>
      <c r="G8057">
        <f>IF(LEFT(B8057,1)="C","Credit","Factuur")</f>
        <v/>
      </c>
      <c r="H8057">
        <f>IF(AND(B8057=B8056,D8057=D8056,A8057=A8056,F8057=F8056),1,0)</f>
        <v/>
      </c>
      <c r="I8057">
        <f>IF(C8057="C99999",1,0)</f>
        <v/>
      </c>
      <c r="J8057" s="5">
        <f>IF(OR(H8057=1,I8057=1),0,IF(G8057="Credit",-F8057,F8057))</f>
        <v/>
      </c>
    </row>
    <row r="8058">
      <c r="A8058" t="inlineStr">
        <is>
          <t>2026-09-11</t>
        </is>
      </c>
      <c r="B8058" t="inlineStr">
        <is>
          <t>F282510</t>
        </is>
      </c>
      <c r="C8058" t="inlineStr">
        <is>
          <t>C11182</t>
        </is>
      </c>
      <c r="D8058" t="inlineStr">
        <is>
          <t>SKU-10088</t>
        </is>
      </c>
      <c r="E8058" t="inlineStr">
        <is>
          <t>AM12</t>
        </is>
      </c>
      <c r="F8058" s="5" t="n">
        <v>1527.57</v>
      </c>
      <c r="G8058">
        <f>IF(LEFT(B8058,1)="C","Credit","Factuur")</f>
        <v/>
      </c>
      <c r="H8058">
        <f>IF(AND(B8058=B8057,D8058=D8057,A8058=A8057,F8058=F8057),1,0)</f>
        <v/>
      </c>
      <c r="I8058">
        <f>IF(C8058="C99999",1,0)</f>
        <v/>
      </c>
      <c r="J8058" s="5">
        <f>IF(OR(H8058=1,I8058=1),0,IF(G8058="Credit",-F8058,F8058))</f>
        <v/>
      </c>
    </row>
    <row r="8059">
      <c r="A8059" t="inlineStr">
        <is>
          <t>2026-09-11</t>
        </is>
      </c>
      <c r="B8059" t="inlineStr">
        <is>
          <t>F282607</t>
        </is>
      </c>
      <c r="C8059" t="inlineStr">
        <is>
          <t>C11186</t>
        </is>
      </c>
      <c r="D8059" t="inlineStr">
        <is>
          <t>SKU-10053</t>
        </is>
      </c>
      <c r="E8059" t="inlineStr">
        <is>
          <t>AM03</t>
        </is>
      </c>
      <c r="F8059" s="5" t="n">
        <v>75</v>
      </c>
      <c r="G8059">
        <f>IF(LEFT(B8059,1)="C","Credit","Factuur")</f>
        <v/>
      </c>
      <c r="H8059">
        <f>IF(AND(B8059=B8058,D8059=D8058,A8059=A8058,F8059=F8058),1,0)</f>
        <v/>
      </c>
      <c r="I8059">
        <f>IF(C8059="C99999",1,0)</f>
        <v/>
      </c>
      <c r="J8059" s="5">
        <f>IF(OR(H8059=1,I8059=1),0,IF(G8059="Credit",-F8059,F8059))</f>
        <v/>
      </c>
    </row>
    <row r="8060">
      <c r="A8060" t="inlineStr">
        <is>
          <t>2026-09-11</t>
        </is>
      </c>
      <c r="B8060" t="inlineStr">
        <is>
          <t>F282607</t>
        </is>
      </c>
      <c r="C8060" t="inlineStr">
        <is>
          <t>C11186</t>
        </is>
      </c>
      <c r="D8060" t="inlineStr">
        <is>
          <t>SKU-10130</t>
        </is>
      </c>
      <c r="E8060" t="inlineStr">
        <is>
          <t>AM03</t>
        </is>
      </c>
      <c r="F8060" s="5" t="n">
        <v>75.72</v>
      </c>
      <c r="G8060">
        <f>IF(LEFT(B8060,1)="C","Credit","Factuur")</f>
        <v/>
      </c>
      <c r="H8060">
        <f>IF(AND(B8060=B8059,D8060=D8059,A8060=A8059,F8060=F8059),1,0)</f>
        <v/>
      </c>
      <c r="I8060">
        <f>IF(C8060="C99999",1,0)</f>
        <v/>
      </c>
      <c r="J8060" s="5">
        <f>IF(OR(H8060=1,I8060=1),0,IF(G8060="Credit",-F8060,F8060))</f>
        <v/>
      </c>
    </row>
    <row r="8061">
      <c r="A8061" t="inlineStr">
        <is>
          <t>2026-09-11</t>
        </is>
      </c>
      <c r="B8061" t="inlineStr">
        <is>
          <t>F282607</t>
        </is>
      </c>
      <c r="C8061" t="inlineStr">
        <is>
          <t>C11186</t>
        </is>
      </c>
      <c r="D8061" t="inlineStr">
        <is>
          <t>SKU-10142</t>
        </is>
      </c>
      <c r="E8061" t="inlineStr">
        <is>
          <t>AM03</t>
        </is>
      </c>
      <c r="F8061" s="5" t="n">
        <v>72.45999999999999</v>
      </c>
      <c r="G8061">
        <f>IF(LEFT(B8061,1)="C","Credit","Factuur")</f>
        <v/>
      </c>
      <c r="H8061">
        <f>IF(AND(B8061=B8060,D8061=D8060,A8061=A8060,F8061=F8060),1,0)</f>
        <v/>
      </c>
      <c r="I8061">
        <f>IF(C8061="C99999",1,0)</f>
        <v/>
      </c>
      <c r="J8061" s="5">
        <f>IF(OR(H8061=1,I8061=1),0,IF(G8061="Credit",-F8061,F8061))</f>
        <v/>
      </c>
    </row>
    <row r="8062">
      <c r="A8062" t="inlineStr">
        <is>
          <t>2026-09-11</t>
        </is>
      </c>
      <c r="B8062" t="inlineStr">
        <is>
          <t>F282607</t>
        </is>
      </c>
      <c r="C8062" t="inlineStr">
        <is>
          <t>C11186</t>
        </is>
      </c>
      <c r="D8062" t="inlineStr">
        <is>
          <t>SKU-10207</t>
        </is>
      </c>
      <c r="E8062" t="inlineStr">
        <is>
          <t>AM03</t>
        </is>
      </c>
      <c r="F8062" s="5" t="n">
        <v>95.04000000000001</v>
      </c>
      <c r="G8062">
        <f>IF(LEFT(B8062,1)="C","Credit","Factuur")</f>
        <v/>
      </c>
      <c r="H8062">
        <f>IF(AND(B8062=B8061,D8062=D8061,A8062=A8061,F8062=F8061),1,0)</f>
        <v/>
      </c>
      <c r="I8062">
        <f>IF(C8062="C99999",1,0)</f>
        <v/>
      </c>
      <c r="J8062" s="5">
        <f>IF(OR(H8062=1,I8062=1),0,IF(G8062="Credit",-F8062,F8062))</f>
        <v/>
      </c>
    </row>
    <row r="8063">
      <c r="A8063" t="inlineStr">
        <is>
          <t>2026-09-11</t>
        </is>
      </c>
      <c r="B8063" t="inlineStr">
        <is>
          <t>F282607</t>
        </is>
      </c>
      <c r="C8063" t="inlineStr">
        <is>
          <t>C11186</t>
        </is>
      </c>
      <c r="D8063" t="inlineStr">
        <is>
          <t>SKU-10254</t>
        </is>
      </c>
      <c r="E8063" t="inlineStr">
        <is>
          <t>AM03</t>
        </is>
      </c>
      <c r="F8063" s="5" t="n">
        <v>91.5</v>
      </c>
      <c r="G8063">
        <f>IF(LEFT(B8063,1)="C","Credit","Factuur")</f>
        <v/>
      </c>
      <c r="H8063">
        <f>IF(AND(B8063=B8062,D8063=D8062,A8063=A8062,F8063=F8062),1,0)</f>
        <v/>
      </c>
      <c r="I8063">
        <f>IF(C8063="C99999",1,0)</f>
        <v/>
      </c>
      <c r="J8063" s="5">
        <f>IF(OR(H8063=1,I8063=1),0,IF(G8063="Credit",-F8063,F8063))</f>
        <v/>
      </c>
    </row>
    <row r="8064">
      <c r="A8064" t="inlineStr">
        <is>
          <t>2026-09-11</t>
        </is>
      </c>
      <c r="B8064" t="inlineStr">
        <is>
          <t>F282607</t>
        </is>
      </c>
      <c r="C8064" t="inlineStr">
        <is>
          <t>C11186</t>
        </is>
      </c>
      <c r="D8064" t="inlineStr">
        <is>
          <t>SKU-10316</t>
        </is>
      </c>
      <c r="E8064" t="inlineStr">
        <is>
          <t>AM03</t>
        </is>
      </c>
      <c r="F8064" s="5" t="n">
        <v>86.06999999999999</v>
      </c>
      <c r="G8064">
        <f>IF(LEFT(B8064,1)="C","Credit","Factuur")</f>
        <v/>
      </c>
      <c r="H8064">
        <f>IF(AND(B8064=B8063,D8064=D8063,A8064=A8063,F8064=F8063),1,0)</f>
        <v/>
      </c>
      <c r="I8064">
        <f>IF(C8064="C99999",1,0)</f>
        <v/>
      </c>
      <c r="J8064" s="5">
        <f>IF(OR(H8064=1,I8064=1),0,IF(G8064="Credit",-F8064,F8064))</f>
        <v/>
      </c>
    </row>
    <row r="8065">
      <c r="A8065" t="inlineStr">
        <is>
          <t>2026-09-11</t>
        </is>
      </c>
      <c r="B8065" t="inlineStr">
        <is>
          <t>F282671</t>
        </is>
      </c>
      <c r="C8065" t="inlineStr">
        <is>
          <t>C11190</t>
        </is>
      </c>
      <c r="D8065" t="inlineStr">
        <is>
          <t>SKU-10277</t>
        </is>
      </c>
      <c r="E8065" t="inlineStr"/>
      <c r="F8065" s="5" t="n">
        <v>2061.9</v>
      </c>
      <c r="G8065">
        <f>IF(LEFT(B8065,1)="C","Credit","Factuur")</f>
        <v/>
      </c>
      <c r="H8065">
        <f>IF(AND(B8065=B8064,D8065=D8064,A8065=A8064,F8065=F8064),1,0)</f>
        <v/>
      </c>
      <c r="I8065">
        <f>IF(C8065="C99999",1,0)</f>
        <v/>
      </c>
      <c r="J8065" s="5">
        <f>IF(OR(H8065=1,I8065=1),0,IF(G8065="Credit",-F8065,F8065))</f>
        <v/>
      </c>
    </row>
    <row r="8066">
      <c r="A8066" t="inlineStr">
        <is>
          <t>2026-09-11</t>
        </is>
      </c>
      <c r="B8066" t="inlineStr">
        <is>
          <t>F282844</t>
        </is>
      </c>
      <c r="C8066" t="inlineStr">
        <is>
          <t>C11200</t>
        </is>
      </c>
      <c r="D8066" t="inlineStr">
        <is>
          <t>SKU-10302</t>
        </is>
      </c>
      <c r="E8066" t="inlineStr">
        <is>
          <t>AM11</t>
        </is>
      </c>
      <c r="F8066" s="5" t="n">
        <v>888.74</v>
      </c>
      <c r="G8066">
        <f>IF(LEFT(B8066,1)="C","Credit","Factuur")</f>
        <v/>
      </c>
      <c r="H8066">
        <f>IF(AND(B8066=B8065,D8066=D8065,A8066=A8065,F8066=F8065),1,0)</f>
        <v/>
      </c>
      <c r="I8066">
        <f>IF(C8066="C99999",1,0)</f>
        <v/>
      </c>
      <c r="J8066" s="5">
        <f>IF(OR(H8066=1,I8066=1),0,IF(G8066="Credit",-F8066,F8066))</f>
        <v/>
      </c>
    </row>
    <row r="8067">
      <c r="A8067" t="inlineStr">
        <is>
          <t>2026-09-11</t>
        </is>
      </c>
      <c r="B8067" t="inlineStr">
        <is>
          <t>F283577</t>
        </is>
      </c>
      <c r="C8067" t="inlineStr">
        <is>
          <t>C11238</t>
        </is>
      </c>
      <c r="D8067" t="inlineStr">
        <is>
          <t>SKU-10023</t>
        </is>
      </c>
      <c r="E8067" t="inlineStr">
        <is>
          <t>AM07</t>
        </is>
      </c>
      <c r="F8067" s="5" t="n">
        <v>587.29</v>
      </c>
      <c r="G8067">
        <f>IF(LEFT(B8067,1)="C","Credit","Factuur")</f>
        <v/>
      </c>
      <c r="H8067">
        <f>IF(AND(B8067=B8066,D8067=D8066,A8067=A8066,F8067=F8066),1,0)</f>
        <v/>
      </c>
      <c r="I8067">
        <f>IF(C8067="C99999",1,0)</f>
        <v/>
      </c>
      <c r="J8067" s="5">
        <f>IF(OR(H8067=1,I8067=1),0,IF(G8067="Credit",-F8067,F8067))</f>
        <v/>
      </c>
    </row>
    <row r="8068">
      <c r="A8068" t="inlineStr">
        <is>
          <t>2026-09-11</t>
        </is>
      </c>
      <c r="B8068" t="inlineStr">
        <is>
          <t>F283577</t>
        </is>
      </c>
      <c r="C8068" t="inlineStr">
        <is>
          <t>C11238</t>
        </is>
      </c>
      <c r="D8068" t="inlineStr">
        <is>
          <t>SKU-10065</t>
        </is>
      </c>
      <c r="E8068" t="inlineStr">
        <is>
          <t>AM07</t>
        </is>
      </c>
      <c r="F8068" s="5" t="n">
        <v>561.6799999999999</v>
      </c>
      <c r="G8068">
        <f>IF(LEFT(B8068,1)="C","Credit","Factuur")</f>
        <v/>
      </c>
      <c r="H8068">
        <f>IF(AND(B8068=B8067,D8068=D8067,A8068=A8067,F8068=F8067),1,0)</f>
        <v/>
      </c>
      <c r="I8068">
        <f>IF(C8068="C99999",1,0)</f>
        <v/>
      </c>
      <c r="J8068" s="5">
        <f>IF(OR(H8068=1,I8068=1),0,IF(G8068="Credit",-F8068,F8068))</f>
        <v/>
      </c>
    </row>
    <row r="8069">
      <c r="A8069" t="inlineStr">
        <is>
          <t>2026-09-11</t>
        </is>
      </c>
      <c r="B8069" t="inlineStr">
        <is>
          <t>F283577</t>
        </is>
      </c>
      <c r="C8069" t="inlineStr">
        <is>
          <t>C11238</t>
        </is>
      </c>
      <c r="D8069" t="inlineStr">
        <is>
          <t>SKU-10305</t>
        </is>
      </c>
      <c r="E8069" t="inlineStr">
        <is>
          <t>AM07</t>
        </is>
      </c>
      <c r="F8069" s="5" t="n">
        <v>589.5</v>
      </c>
      <c r="G8069">
        <f>IF(LEFT(B8069,1)="C","Credit","Factuur")</f>
        <v/>
      </c>
      <c r="H8069">
        <f>IF(AND(B8069=B8068,D8069=D8068,A8069=A8068,F8069=F8068),1,0)</f>
        <v/>
      </c>
      <c r="I8069">
        <f>IF(C8069="C99999",1,0)</f>
        <v/>
      </c>
      <c r="J8069" s="5">
        <f>IF(OR(H8069=1,I8069=1),0,IF(G8069="Credit",-F8069,F8069))</f>
        <v/>
      </c>
    </row>
    <row r="8070">
      <c r="A8070" t="inlineStr">
        <is>
          <t>2026-09-11</t>
        </is>
      </c>
      <c r="B8070" t="inlineStr">
        <is>
          <t>F283577</t>
        </is>
      </c>
      <c r="C8070" t="inlineStr">
        <is>
          <t>C11238</t>
        </is>
      </c>
      <c r="D8070" t="inlineStr">
        <is>
          <t>SKU-10329</t>
        </is>
      </c>
      <c r="E8070" t="inlineStr">
        <is>
          <t>AM07</t>
        </is>
      </c>
      <c r="F8070" s="5" t="n">
        <v>589.12</v>
      </c>
      <c r="G8070">
        <f>IF(LEFT(B8070,1)="C","Credit","Factuur")</f>
        <v/>
      </c>
      <c r="H8070">
        <f>IF(AND(B8070=B8069,D8070=D8069,A8070=A8069,F8070=F8069),1,0)</f>
        <v/>
      </c>
      <c r="I8070">
        <f>IF(C8070="C99999",1,0)</f>
        <v/>
      </c>
      <c r="J8070" s="5">
        <f>IF(OR(H8070=1,I8070=1),0,IF(G8070="Credit",-F8070,F8070))</f>
        <v/>
      </c>
    </row>
    <row r="8071">
      <c r="A8071" t="inlineStr">
        <is>
          <t>2026-09-11</t>
        </is>
      </c>
      <c r="B8071" t="inlineStr">
        <is>
          <t>F283630</t>
        </is>
      </c>
      <c r="C8071" t="inlineStr">
        <is>
          <t>C11240</t>
        </is>
      </c>
      <c r="D8071" t="inlineStr">
        <is>
          <t>SKU-10032</t>
        </is>
      </c>
      <c r="E8071" t="inlineStr">
        <is>
          <t>AM02</t>
        </is>
      </c>
      <c r="F8071" s="5" t="n">
        <v>131.52</v>
      </c>
      <c r="G8071">
        <f>IF(LEFT(B8071,1)="C","Credit","Factuur")</f>
        <v/>
      </c>
      <c r="H8071">
        <f>IF(AND(B8071=B8070,D8071=D8070,A8071=A8070,F8071=F8070),1,0)</f>
        <v/>
      </c>
      <c r="I8071">
        <f>IF(C8071="C99999",1,0)</f>
        <v/>
      </c>
      <c r="J8071" s="5">
        <f>IF(OR(H8071=1,I8071=1),0,IF(G8071="Credit",-F8071,F8071))</f>
        <v/>
      </c>
    </row>
    <row r="8072">
      <c r="A8072" t="inlineStr">
        <is>
          <t>2026-09-11</t>
        </is>
      </c>
      <c r="B8072" t="inlineStr">
        <is>
          <t>F283630</t>
        </is>
      </c>
      <c r="C8072" t="inlineStr">
        <is>
          <t>C11240</t>
        </is>
      </c>
      <c r="D8072" t="inlineStr">
        <is>
          <t>SKU-10052</t>
        </is>
      </c>
      <c r="E8072" t="inlineStr">
        <is>
          <t>AM02</t>
        </is>
      </c>
      <c r="F8072" s="5" t="n">
        <v>157.83</v>
      </c>
      <c r="G8072">
        <f>IF(LEFT(B8072,1)="C","Credit","Factuur")</f>
        <v/>
      </c>
      <c r="H8072">
        <f>IF(AND(B8072=B8071,D8072=D8071,A8072=A8071,F8072=F8071),1,0)</f>
        <v/>
      </c>
      <c r="I8072">
        <f>IF(C8072="C99999",1,0)</f>
        <v/>
      </c>
      <c r="J8072" s="5">
        <f>IF(OR(H8072=1,I8072=1),0,IF(G8072="Credit",-F8072,F8072))</f>
        <v/>
      </c>
    </row>
    <row r="8073">
      <c r="A8073" t="inlineStr">
        <is>
          <t>2026-09-11</t>
        </is>
      </c>
      <c r="B8073" t="inlineStr">
        <is>
          <t>F283630</t>
        </is>
      </c>
      <c r="C8073" t="inlineStr">
        <is>
          <t>C11240</t>
        </is>
      </c>
      <c r="D8073" t="inlineStr">
        <is>
          <t>SKU-10074</t>
        </is>
      </c>
      <c r="E8073" t="inlineStr">
        <is>
          <t>AM02</t>
        </is>
      </c>
      <c r="F8073" s="5" t="n">
        <v>159.57</v>
      </c>
      <c r="G8073">
        <f>IF(LEFT(B8073,1)="C","Credit","Factuur")</f>
        <v/>
      </c>
      <c r="H8073">
        <f>IF(AND(B8073=B8072,D8073=D8072,A8073=A8072,F8073=F8072),1,0)</f>
        <v/>
      </c>
      <c r="I8073">
        <f>IF(C8073="C99999",1,0)</f>
        <v/>
      </c>
      <c r="J8073" s="5">
        <f>IF(OR(H8073=1,I8073=1),0,IF(G8073="Credit",-F8073,F8073))</f>
        <v/>
      </c>
    </row>
    <row r="8074">
      <c r="A8074" t="inlineStr">
        <is>
          <t>2026-09-11</t>
        </is>
      </c>
      <c r="B8074" t="inlineStr">
        <is>
          <t>F283630</t>
        </is>
      </c>
      <c r="C8074" t="inlineStr">
        <is>
          <t>C11240</t>
        </is>
      </c>
      <c r="D8074" t="inlineStr">
        <is>
          <t>SKU-10129</t>
        </is>
      </c>
      <c r="E8074" t="inlineStr">
        <is>
          <t>AM02</t>
        </is>
      </c>
      <c r="F8074" s="5" t="n">
        <v>103.63</v>
      </c>
      <c r="G8074">
        <f>IF(LEFT(B8074,1)="C","Credit","Factuur")</f>
        <v/>
      </c>
      <c r="H8074">
        <f>IF(AND(B8074=B8073,D8074=D8073,A8074=A8073,F8074=F8073),1,0)</f>
        <v/>
      </c>
      <c r="I8074">
        <f>IF(C8074="C99999",1,0)</f>
        <v/>
      </c>
      <c r="J8074" s="5">
        <f>IF(OR(H8074=1,I8074=1),0,IF(G8074="Credit",-F8074,F8074))</f>
        <v/>
      </c>
    </row>
    <row r="8075">
      <c r="A8075" t="inlineStr">
        <is>
          <t>2026-09-11</t>
        </is>
      </c>
      <c r="B8075" t="inlineStr">
        <is>
          <t>F283630</t>
        </is>
      </c>
      <c r="C8075" t="inlineStr">
        <is>
          <t>C11240</t>
        </is>
      </c>
      <c r="D8075" t="inlineStr">
        <is>
          <t>SKU-10336</t>
        </is>
      </c>
      <c r="E8075" t="inlineStr">
        <is>
          <t>AM02</t>
        </is>
      </c>
      <c r="F8075" s="5" t="n">
        <v>140.73</v>
      </c>
      <c r="G8075">
        <f>IF(LEFT(B8075,1)="C","Credit","Factuur")</f>
        <v/>
      </c>
      <c r="H8075">
        <f>IF(AND(B8075=B8074,D8075=D8074,A8075=A8074,F8075=F8074),1,0)</f>
        <v/>
      </c>
      <c r="I8075">
        <f>IF(C8075="C99999",1,0)</f>
        <v/>
      </c>
      <c r="J8075" s="5">
        <f>IF(OR(H8075=1,I8075=1),0,IF(G8075="Credit",-F8075,F8075))</f>
        <v/>
      </c>
    </row>
    <row r="8076">
      <c r="A8076" t="inlineStr">
        <is>
          <t>2026-09-11</t>
        </is>
      </c>
      <c r="B8076" t="inlineStr">
        <is>
          <t>F283630</t>
        </is>
      </c>
      <c r="C8076" t="inlineStr">
        <is>
          <t>C11240</t>
        </is>
      </c>
      <c r="D8076" t="inlineStr">
        <is>
          <t>SKU-10375</t>
        </is>
      </c>
      <c r="E8076" t="inlineStr">
        <is>
          <t>AM02</t>
        </is>
      </c>
      <c r="F8076" s="5" t="n">
        <v>144.08</v>
      </c>
      <c r="G8076">
        <f>IF(LEFT(B8076,1)="C","Credit","Factuur")</f>
        <v/>
      </c>
      <c r="H8076">
        <f>IF(AND(B8076=B8075,D8076=D8075,A8076=A8075,F8076=F8075),1,0)</f>
        <v/>
      </c>
      <c r="I8076">
        <f>IF(C8076="C99999",1,0)</f>
        <v/>
      </c>
      <c r="J8076" s="5">
        <f>IF(OR(H8076=1,I8076=1),0,IF(G8076="Credit",-F8076,F8076))</f>
        <v/>
      </c>
    </row>
    <row r="8077">
      <c r="A8077" t="inlineStr">
        <is>
          <t>2026-09-11</t>
        </is>
      </c>
      <c r="B8077" t="inlineStr">
        <is>
          <t>F283869</t>
        </is>
      </c>
      <c r="C8077" t="inlineStr">
        <is>
          <t>C11249</t>
        </is>
      </c>
      <c r="D8077" t="inlineStr">
        <is>
          <t>SKU-10042</t>
        </is>
      </c>
      <c r="E8077" t="inlineStr">
        <is>
          <t>AM11</t>
        </is>
      </c>
      <c r="F8077" s="5" t="n">
        <v>2423.95</v>
      </c>
      <c r="G8077">
        <f>IF(LEFT(B8077,1)="C","Credit","Factuur")</f>
        <v/>
      </c>
      <c r="H8077">
        <f>IF(AND(B8077=B8076,D8077=D8076,A8077=A8076,F8077=F8076),1,0)</f>
        <v/>
      </c>
      <c r="I8077">
        <f>IF(C8077="C99999",1,0)</f>
        <v/>
      </c>
      <c r="J8077" s="5">
        <f>IF(OR(H8077=1,I8077=1),0,IF(G8077="Credit",-F8077,F8077))</f>
        <v/>
      </c>
    </row>
    <row r="8078">
      <c r="A8078" t="inlineStr">
        <is>
          <t>2026-09-11</t>
        </is>
      </c>
      <c r="B8078" t="inlineStr">
        <is>
          <t>F283948</t>
        </is>
      </c>
      <c r="C8078" t="inlineStr">
        <is>
          <t>C11254</t>
        </is>
      </c>
      <c r="D8078" t="inlineStr">
        <is>
          <t>SKU-10025</t>
        </is>
      </c>
      <c r="E8078" t="inlineStr">
        <is>
          <t>AM11</t>
        </is>
      </c>
      <c r="F8078" s="5" t="n">
        <v>166.41</v>
      </c>
      <c r="G8078">
        <f>IF(LEFT(B8078,1)="C","Credit","Factuur")</f>
        <v/>
      </c>
      <c r="H8078">
        <f>IF(AND(B8078=B8077,D8078=D8077,A8078=A8077,F8078=F8077),1,0)</f>
        <v/>
      </c>
      <c r="I8078">
        <f>IF(C8078="C99999",1,0)</f>
        <v/>
      </c>
      <c r="J8078" s="5">
        <f>IF(OR(H8078=1,I8078=1),0,IF(G8078="Credit",-F8078,F8078))</f>
        <v/>
      </c>
    </row>
    <row r="8079">
      <c r="A8079" t="inlineStr">
        <is>
          <t>2026-09-11</t>
        </is>
      </c>
      <c r="B8079" t="inlineStr">
        <is>
          <t>F283948</t>
        </is>
      </c>
      <c r="C8079" t="inlineStr">
        <is>
          <t>C11254</t>
        </is>
      </c>
      <c r="D8079" t="inlineStr">
        <is>
          <t>SKU-10062</t>
        </is>
      </c>
      <c r="E8079" t="inlineStr">
        <is>
          <t>AM11</t>
        </is>
      </c>
      <c r="F8079" s="5" t="n">
        <v>183.92</v>
      </c>
      <c r="G8079">
        <f>IF(LEFT(B8079,1)="C","Credit","Factuur")</f>
        <v/>
      </c>
      <c r="H8079">
        <f>IF(AND(B8079=B8078,D8079=D8078,A8079=A8078,F8079=F8078),1,0)</f>
        <v/>
      </c>
      <c r="I8079">
        <f>IF(C8079="C99999",1,0)</f>
        <v/>
      </c>
      <c r="J8079" s="5">
        <f>IF(OR(H8079=1,I8079=1),0,IF(G8079="Credit",-F8079,F8079))</f>
        <v/>
      </c>
    </row>
    <row r="8080">
      <c r="A8080" t="inlineStr">
        <is>
          <t>2026-09-11</t>
        </is>
      </c>
      <c r="B8080" t="inlineStr">
        <is>
          <t>F283948</t>
        </is>
      </c>
      <c r="C8080" t="inlineStr">
        <is>
          <t>C11254</t>
        </is>
      </c>
      <c r="D8080" t="inlineStr">
        <is>
          <t>SKU-10122</t>
        </is>
      </c>
      <c r="E8080" t="inlineStr">
        <is>
          <t>AM11</t>
        </is>
      </c>
      <c r="F8080" s="5" t="n">
        <v>226.18</v>
      </c>
      <c r="G8080">
        <f>IF(LEFT(B8080,1)="C","Credit","Factuur")</f>
        <v/>
      </c>
      <c r="H8080">
        <f>IF(AND(B8080=B8079,D8080=D8079,A8080=A8079,F8080=F8079),1,0)</f>
        <v/>
      </c>
      <c r="I8080">
        <f>IF(C8080="C99999",1,0)</f>
        <v/>
      </c>
      <c r="J8080" s="5">
        <f>IF(OR(H8080=1,I8080=1),0,IF(G8080="Credit",-F8080,F8080))</f>
        <v/>
      </c>
    </row>
    <row r="8081">
      <c r="A8081" t="inlineStr">
        <is>
          <t>2026-09-11</t>
        </is>
      </c>
      <c r="B8081" t="inlineStr">
        <is>
          <t>F283948</t>
        </is>
      </c>
      <c r="C8081" t="inlineStr">
        <is>
          <t>C11254</t>
        </is>
      </c>
      <c r="D8081" t="inlineStr">
        <is>
          <t>SKU-10255</t>
        </is>
      </c>
      <c r="E8081" t="inlineStr">
        <is>
          <t>AM11</t>
        </is>
      </c>
      <c r="F8081" s="5" t="n">
        <v>173.09</v>
      </c>
      <c r="G8081">
        <f>IF(LEFT(B8081,1)="C","Credit","Factuur")</f>
        <v/>
      </c>
      <c r="H8081">
        <f>IF(AND(B8081=B8080,D8081=D8080,A8081=A8080,F8081=F8080),1,0)</f>
        <v/>
      </c>
      <c r="I8081">
        <f>IF(C8081="C99999",1,0)</f>
        <v/>
      </c>
      <c r="J8081" s="5">
        <f>IF(OR(H8081=1,I8081=1),0,IF(G8081="Credit",-F8081,F8081))</f>
        <v/>
      </c>
    </row>
    <row r="8082">
      <c r="A8082" t="inlineStr">
        <is>
          <t>2026-09-11</t>
        </is>
      </c>
      <c r="B8082" t="inlineStr">
        <is>
          <t>F283948</t>
        </is>
      </c>
      <c r="C8082" t="inlineStr">
        <is>
          <t>C11254</t>
        </is>
      </c>
      <c r="D8082" t="inlineStr">
        <is>
          <t>SKU-10260</t>
        </is>
      </c>
      <c r="E8082" t="inlineStr">
        <is>
          <t>AM11</t>
        </is>
      </c>
      <c r="F8082" s="5" t="n">
        <v>189.98</v>
      </c>
      <c r="G8082">
        <f>IF(LEFT(B8082,1)="C","Credit","Factuur")</f>
        <v/>
      </c>
      <c r="H8082">
        <f>IF(AND(B8082=B8081,D8082=D8081,A8082=A8081,F8082=F8081),1,0)</f>
        <v/>
      </c>
      <c r="I8082">
        <f>IF(C8082="C99999",1,0)</f>
        <v/>
      </c>
      <c r="J8082" s="5">
        <f>IF(OR(H8082=1,I8082=1),0,IF(G8082="Credit",-F8082,F8082))</f>
        <v/>
      </c>
    </row>
    <row r="8083">
      <c r="A8083" t="inlineStr">
        <is>
          <t>2026-09-11</t>
        </is>
      </c>
      <c r="B8083" t="inlineStr">
        <is>
          <t>F284132</t>
        </is>
      </c>
      <c r="C8083" t="inlineStr">
        <is>
          <t>C11260</t>
        </is>
      </c>
      <c r="D8083" t="inlineStr">
        <is>
          <t>SKU-10191</t>
        </is>
      </c>
      <c r="E8083" t="inlineStr">
        <is>
          <t>AM08</t>
        </is>
      </c>
      <c r="F8083" s="5" t="n">
        <v>646.62</v>
      </c>
      <c r="G8083">
        <f>IF(LEFT(B8083,1)="C","Credit","Factuur")</f>
        <v/>
      </c>
      <c r="H8083">
        <f>IF(AND(B8083=B8082,D8083=D8082,A8083=A8082,F8083=F8082),1,0)</f>
        <v/>
      </c>
      <c r="I8083">
        <f>IF(C8083="C99999",1,0)</f>
        <v/>
      </c>
      <c r="J8083" s="5">
        <f>IF(OR(H8083=1,I8083=1),0,IF(G8083="Credit",-F8083,F8083))</f>
        <v/>
      </c>
    </row>
    <row r="8084">
      <c r="A8084" t="inlineStr">
        <is>
          <t>2026-09-11</t>
        </is>
      </c>
      <c r="B8084" t="inlineStr">
        <is>
          <t>F284132</t>
        </is>
      </c>
      <c r="C8084" t="inlineStr">
        <is>
          <t>C11260</t>
        </is>
      </c>
      <c r="D8084" t="inlineStr">
        <is>
          <t>SKU-10274</t>
        </is>
      </c>
      <c r="E8084" t="inlineStr">
        <is>
          <t>AM08</t>
        </is>
      </c>
      <c r="F8084" s="5" t="n">
        <v>667.42</v>
      </c>
      <c r="G8084">
        <f>IF(LEFT(B8084,1)="C","Credit","Factuur")</f>
        <v/>
      </c>
      <c r="H8084">
        <f>IF(AND(B8084=B8083,D8084=D8083,A8084=A8083,F8084=F8083),1,0)</f>
        <v/>
      </c>
      <c r="I8084">
        <f>IF(C8084="C99999",1,0)</f>
        <v/>
      </c>
      <c r="J8084" s="5">
        <f>IF(OR(H8084=1,I8084=1),0,IF(G8084="Credit",-F8084,F8084))</f>
        <v/>
      </c>
    </row>
    <row r="8085">
      <c r="A8085" t="inlineStr">
        <is>
          <t>2026-09-11</t>
        </is>
      </c>
      <c r="B8085" t="inlineStr">
        <is>
          <t>F284294</t>
        </is>
      </c>
      <c r="C8085" t="inlineStr">
        <is>
          <t>C11271</t>
        </is>
      </c>
      <c r="D8085" t="inlineStr">
        <is>
          <t>SKU-10134</t>
        </is>
      </c>
      <c r="E8085" t="inlineStr">
        <is>
          <t>AM02</t>
        </is>
      </c>
      <c r="F8085" s="5" t="n">
        <v>273.36</v>
      </c>
      <c r="G8085">
        <f>IF(LEFT(B8085,1)="C","Credit","Factuur")</f>
        <v/>
      </c>
      <c r="H8085">
        <f>IF(AND(B8085=B8084,D8085=D8084,A8085=A8084,F8085=F8084),1,0)</f>
        <v/>
      </c>
      <c r="I8085">
        <f>IF(C8085="C99999",1,0)</f>
        <v/>
      </c>
      <c r="J8085" s="5">
        <f>IF(OR(H8085=1,I8085=1),0,IF(G8085="Credit",-F8085,F8085))</f>
        <v/>
      </c>
    </row>
    <row r="8086">
      <c r="A8086" t="inlineStr">
        <is>
          <t>2026-09-11</t>
        </is>
      </c>
      <c r="B8086" t="inlineStr">
        <is>
          <t>F284294</t>
        </is>
      </c>
      <c r="C8086" t="inlineStr">
        <is>
          <t>C11271</t>
        </is>
      </c>
      <c r="D8086" t="inlineStr">
        <is>
          <t>SKU-10287</t>
        </is>
      </c>
      <c r="E8086" t="inlineStr">
        <is>
          <t>AM02</t>
        </is>
      </c>
      <c r="F8086" s="5" t="n">
        <v>257.44</v>
      </c>
      <c r="G8086">
        <f>IF(LEFT(B8086,1)="C","Credit","Factuur")</f>
        <v/>
      </c>
      <c r="H8086">
        <f>IF(AND(B8086=B8085,D8086=D8085,A8086=A8085,F8086=F8085),1,0)</f>
        <v/>
      </c>
      <c r="I8086">
        <f>IF(C8086="C99999",1,0)</f>
        <v/>
      </c>
      <c r="J8086" s="5">
        <f>IF(OR(H8086=1,I8086=1),0,IF(G8086="Credit",-F8086,F8086))</f>
        <v/>
      </c>
    </row>
    <row r="8087">
      <c r="A8087" t="inlineStr">
        <is>
          <t>2026-09-11</t>
        </is>
      </c>
      <c r="B8087" t="inlineStr">
        <is>
          <t>F284294</t>
        </is>
      </c>
      <c r="C8087" t="inlineStr">
        <is>
          <t>C11271</t>
        </is>
      </c>
      <c r="D8087" t="inlineStr">
        <is>
          <t>SKU-10356</t>
        </is>
      </c>
      <c r="E8087" t="inlineStr">
        <is>
          <t>AM02</t>
        </is>
      </c>
      <c r="F8087" s="5" t="n">
        <v>322.65</v>
      </c>
      <c r="G8087">
        <f>IF(LEFT(B8087,1)="C","Credit","Factuur")</f>
        <v/>
      </c>
      <c r="H8087">
        <f>IF(AND(B8087=B8086,D8087=D8086,A8087=A8086,F8087=F8086),1,0)</f>
        <v/>
      </c>
      <c r="I8087">
        <f>IF(C8087="C99999",1,0)</f>
        <v/>
      </c>
      <c r="J8087" s="5">
        <f>IF(OR(H8087=1,I8087=1),0,IF(G8087="Credit",-F8087,F8087))</f>
        <v/>
      </c>
    </row>
    <row r="8088">
      <c r="A8088" t="inlineStr">
        <is>
          <t>2026-09-11</t>
        </is>
      </c>
      <c r="B8088" t="inlineStr">
        <is>
          <t>F284363</t>
        </is>
      </c>
      <c r="C8088" t="inlineStr">
        <is>
          <t>C11275</t>
        </is>
      </c>
      <c r="D8088" t="inlineStr">
        <is>
          <t>SKU-10015</t>
        </is>
      </c>
      <c r="E8088" t="inlineStr">
        <is>
          <t>AM01</t>
        </is>
      </c>
      <c r="F8088" s="5" t="n">
        <v>245.45</v>
      </c>
      <c r="G8088">
        <f>IF(LEFT(B8088,1)="C","Credit","Factuur")</f>
        <v/>
      </c>
      <c r="H8088">
        <f>IF(AND(B8088=B8087,D8088=D8087,A8088=A8087,F8088=F8087),1,0)</f>
        <v/>
      </c>
      <c r="I8088">
        <f>IF(C8088="C99999",1,0)</f>
        <v/>
      </c>
      <c r="J8088" s="5">
        <f>IF(OR(H8088=1,I8088=1),0,IF(G8088="Credit",-F8088,F8088))</f>
        <v/>
      </c>
    </row>
    <row r="8089">
      <c r="A8089" t="inlineStr">
        <is>
          <t>2026-09-11</t>
        </is>
      </c>
      <c r="B8089" t="inlineStr">
        <is>
          <t>F284363</t>
        </is>
      </c>
      <c r="C8089" t="inlineStr">
        <is>
          <t>C11275</t>
        </is>
      </c>
      <c r="D8089" t="inlineStr">
        <is>
          <t>SKU-10129</t>
        </is>
      </c>
      <c r="E8089" t="inlineStr">
        <is>
          <t>AM01</t>
        </is>
      </c>
      <c r="F8089" s="5" t="n">
        <v>196.9</v>
      </c>
      <c r="G8089">
        <f>IF(LEFT(B8089,1)="C","Credit","Factuur")</f>
        <v/>
      </c>
      <c r="H8089">
        <f>IF(AND(B8089=B8088,D8089=D8088,A8089=A8088,F8089=F8088),1,0)</f>
        <v/>
      </c>
      <c r="I8089">
        <f>IF(C8089="C99999",1,0)</f>
        <v/>
      </c>
      <c r="J8089" s="5">
        <f>IF(OR(H8089=1,I8089=1),0,IF(G8089="Credit",-F8089,F8089))</f>
        <v/>
      </c>
    </row>
    <row r="8090">
      <c r="A8090" t="inlineStr">
        <is>
          <t>2026-09-11</t>
        </is>
      </c>
      <c r="B8090" t="inlineStr">
        <is>
          <t>F284363</t>
        </is>
      </c>
      <c r="C8090" t="inlineStr">
        <is>
          <t>C11275</t>
        </is>
      </c>
      <c r="D8090" t="inlineStr">
        <is>
          <t>SKU-10292</t>
        </is>
      </c>
      <c r="E8090" t="inlineStr">
        <is>
          <t>AM01</t>
        </is>
      </c>
      <c r="F8090" s="5" t="n">
        <v>218.16</v>
      </c>
      <c r="G8090">
        <f>IF(LEFT(B8090,1)="C","Credit","Factuur")</f>
        <v/>
      </c>
      <c r="H8090">
        <f>IF(AND(B8090=B8089,D8090=D8089,A8090=A8089,F8090=F8089),1,0)</f>
        <v/>
      </c>
      <c r="I8090">
        <f>IF(C8090="C99999",1,0)</f>
        <v/>
      </c>
      <c r="J8090" s="5">
        <f>IF(OR(H8090=1,I8090=1),0,IF(G8090="Credit",-F8090,F8090))</f>
        <v/>
      </c>
    </row>
    <row r="8091">
      <c r="A8091" t="inlineStr">
        <is>
          <t>2026-09-11</t>
        </is>
      </c>
      <c r="B8091" t="inlineStr">
        <is>
          <t>F284389</t>
        </is>
      </c>
      <c r="C8091" t="inlineStr">
        <is>
          <t>C11277</t>
        </is>
      </c>
      <c r="D8091" t="inlineStr">
        <is>
          <t>SKU-10099</t>
        </is>
      </c>
      <c r="E8091" t="inlineStr">
        <is>
          <t>AM11</t>
        </is>
      </c>
      <c r="F8091" s="5" t="n">
        <v>553.28</v>
      </c>
      <c r="G8091">
        <f>IF(LEFT(B8091,1)="C","Credit","Factuur")</f>
        <v/>
      </c>
      <c r="H8091">
        <f>IF(AND(B8091=B8090,D8091=D8090,A8091=A8090,F8091=F8090),1,0)</f>
        <v/>
      </c>
      <c r="I8091">
        <f>IF(C8091="C99999",1,0)</f>
        <v/>
      </c>
      <c r="J8091" s="5">
        <f>IF(OR(H8091=1,I8091=1),0,IF(G8091="Credit",-F8091,F8091))</f>
        <v/>
      </c>
    </row>
    <row r="8092">
      <c r="A8092" t="inlineStr">
        <is>
          <t>2026-09-11</t>
        </is>
      </c>
      <c r="B8092" t="inlineStr">
        <is>
          <t>F284389</t>
        </is>
      </c>
      <c r="C8092" t="inlineStr">
        <is>
          <t>C11277</t>
        </is>
      </c>
      <c r="D8092" t="inlineStr">
        <is>
          <t>SKU-10246</t>
        </is>
      </c>
      <c r="E8092" t="inlineStr">
        <is>
          <t>AM11</t>
        </is>
      </c>
      <c r="F8092" s="5" t="n">
        <v>552.96</v>
      </c>
      <c r="G8092">
        <f>IF(LEFT(B8092,1)="C","Credit","Factuur")</f>
        <v/>
      </c>
      <c r="H8092">
        <f>IF(AND(B8092=B8091,D8092=D8091,A8092=A8091,F8092=F8091),1,0)</f>
        <v/>
      </c>
      <c r="I8092">
        <f>IF(C8092="C99999",1,0)</f>
        <v/>
      </c>
      <c r="J8092" s="5">
        <f>IF(OR(H8092=1,I8092=1),0,IF(G8092="Credit",-F8092,F8092))</f>
        <v/>
      </c>
    </row>
    <row r="8093">
      <c r="A8093" t="inlineStr">
        <is>
          <t>2026-09-11</t>
        </is>
      </c>
      <c r="B8093" t="inlineStr">
        <is>
          <t>F284389</t>
        </is>
      </c>
      <c r="C8093" t="inlineStr">
        <is>
          <t>C11277</t>
        </is>
      </c>
      <c r="D8093" t="inlineStr">
        <is>
          <t>SKU-10326</t>
        </is>
      </c>
      <c r="E8093" t="inlineStr">
        <is>
          <t>AM11</t>
        </is>
      </c>
      <c r="F8093" s="5" t="n">
        <v>553</v>
      </c>
      <c r="G8093">
        <f>IF(LEFT(B8093,1)="C","Credit","Factuur")</f>
        <v/>
      </c>
      <c r="H8093">
        <f>IF(AND(B8093=B8092,D8093=D8092,A8093=A8092,F8093=F8092),1,0)</f>
        <v/>
      </c>
      <c r="I8093">
        <f>IF(C8093="C99999",1,0)</f>
        <v/>
      </c>
      <c r="J8093" s="5">
        <f>IF(OR(H8093=1,I8093=1),0,IF(G8093="Credit",-F8093,F8093))</f>
        <v/>
      </c>
    </row>
    <row r="8094">
      <c r="A8094" t="inlineStr">
        <is>
          <t>2026-09-11</t>
        </is>
      </c>
      <c r="B8094" t="inlineStr">
        <is>
          <t>F284389</t>
        </is>
      </c>
      <c r="C8094" t="inlineStr">
        <is>
          <t>C11277</t>
        </is>
      </c>
      <c r="D8094" t="inlineStr">
        <is>
          <t>SKU-10330</t>
        </is>
      </c>
      <c r="E8094" t="inlineStr">
        <is>
          <t>AM11</t>
        </is>
      </c>
      <c r="F8094" s="5" t="n">
        <v>565.8</v>
      </c>
      <c r="G8094">
        <f>IF(LEFT(B8094,1)="C","Credit","Factuur")</f>
        <v/>
      </c>
      <c r="H8094">
        <f>IF(AND(B8094=B8093,D8094=D8093,A8094=A8093,F8094=F8093),1,0)</f>
        <v/>
      </c>
      <c r="I8094">
        <f>IF(C8094="C99999",1,0)</f>
        <v/>
      </c>
      <c r="J8094" s="5">
        <f>IF(OR(H8094=1,I8094=1),0,IF(G8094="Credit",-F8094,F8094))</f>
        <v/>
      </c>
    </row>
    <row r="8095">
      <c r="A8095" t="inlineStr">
        <is>
          <t>2026-09-11</t>
        </is>
      </c>
      <c r="B8095" t="inlineStr">
        <is>
          <t>F284566</t>
        </is>
      </c>
      <c r="C8095" t="inlineStr">
        <is>
          <t>C11289</t>
        </is>
      </c>
      <c r="D8095" t="inlineStr">
        <is>
          <t>SKU-10203</t>
        </is>
      </c>
      <c r="E8095" t="inlineStr">
        <is>
          <t>AM01</t>
        </is>
      </c>
      <c r="F8095" s="5" t="n">
        <v>1292.82</v>
      </c>
      <c r="G8095">
        <f>IF(LEFT(B8095,1)="C","Credit","Factuur")</f>
        <v/>
      </c>
      <c r="H8095">
        <f>IF(AND(B8095=B8094,D8095=D8094,A8095=A8094,F8095=F8094),1,0)</f>
        <v/>
      </c>
      <c r="I8095">
        <f>IF(C8095="C99999",1,0)</f>
        <v/>
      </c>
      <c r="J8095" s="5">
        <f>IF(OR(H8095=1,I8095=1),0,IF(G8095="Credit",-F8095,F8095))</f>
        <v/>
      </c>
    </row>
    <row r="8096">
      <c r="A8096" t="inlineStr">
        <is>
          <t>2026-09-11</t>
        </is>
      </c>
      <c r="B8096" t="inlineStr">
        <is>
          <t>F284566</t>
        </is>
      </c>
      <c r="C8096" t="inlineStr">
        <is>
          <t>C11289</t>
        </is>
      </c>
      <c r="D8096" t="inlineStr">
        <is>
          <t>SKU-10214</t>
        </is>
      </c>
      <c r="E8096" t="inlineStr">
        <is>
          <t>AM01</t>
        </is>
      </c>
      <c r="F8096" s="5" t="n">
        <v>1293.9</v>
      </c>
      <c r="G8096">
        <f>IF(LEFT(B8096,1)="C","Credit","Factuur")</f>
        <v/>
      </c>
      <c r="H8096">
        <f>IF(AND(B8096=B8095,D8096=D8095,A8096=A8095,F8096=F8095),1,0)</f>
        <v/>
      </c>
      <c r="I8096">
        <f>IF(C8096="C99999",1,0)</f>
        <v/>
      </c>
      <c r="J8096" s="5">
        <f>IF(OR(H8096=1,I8096=1),0,IF(G8096="Credit",-F8096,F8096))</f>
        <v/>
      </c>
    </row>
    <row r="8097">
      <c r="A8097" t="inlineStr">
        <is>
          <t>2026-09-11</t>
        </is>
      </c>
      <c r="B8097" t="inlineStr">
        <is>
          <t>F284585</t>
        </is>
      </c>
      <c r="C8097" t="inlineStr">
        <is>
          <t>C11290</t>
        </is>
      </c>
      <c r="D8097" t="inlineStr">
        <is>
          <t>SKU-10093</t>
        </is>
      </c>
      <c r="E8097" t="inlineStr">
        <is>
          <t>AM05</t>
        </is>
      </c>
      <c r="F8097" s="5" t="n">
        <v>290.67</v>
      </c>
      <c r="G8097">
        <f>IF(LEFT(B8097,1)="C","Credit","Factuur")</f>
        <v/>
      </c>
      <c r="H8097">
        <f>IF(AND(B8097=B8096,D8097=D8096,A8097=A8096,F8097=F8096),1,0)</f>
        <v/>
      </c>
      <c r="I8097">
        <f>IF(C8097="C99999",1,0)</f>
        <v/>
      </c>
      <c r="J8097" s="5">
        <f>IF(OR(H8097=1,I8097=1),0,IF(G8097="Credit",-F8097,F8097))</f>
        <v/>
      </c>
    </row>
    <row r="8098">
      <c r="A8098" t="inlineStr">
        <is>
          <t>2026-09-11</t>
        </is>
      </c>
      <c r="B8098" t="inlineStr">
        <is>
          <t>F284585</t>
        </is>
      </c>
      <c r="C8098" t="inlineStr">
        <is>
          <t>C11290</t>
        </is>
      </c>
      <c r="D8098" t="inlineStr">
        <is>
          <t>SKU-10197</t>
        </is>
      </c>
      <c r="E8098" t="inlineStr">
        <is>
          <t>AM05</t>
        </is>
      </c>
      <c r="F8098" s="5" t="n">
        <v>217.82</v>
      </c>
      <c r="G8098">
        <f>IF(LEFT(B8098,1)="C","Credit","Factuur")</f>
        <v/>
      </c>
      <c r="H8098">
        <f>IF(AND(B8098=B8097,D8098=D8097,A8098=A8097,F8098=F8097),1,0)</f>
        <v/>
      </c>
      <c r="I8098">
        <f>IF(C8098="C99999",1,0)</f>
        <v/>
      </c>
      <c r="J8098" s="5">
        <f>IF(OR(H8098=1,I8098=1),0,IF(G8098="Credit",-F8098,F8098))</f>
        <v/>
      </c>
    </row>
    <row r="8099">
      <c r="A8099" t="inlineStr">
        <is>
          <t>2026-09-11</t>
        </is>
      </c>
      <c r="B8099" t="inlineStr">
        <is>
          <t>F284585</t>
        </is>
      </c>
      <c r="C8099" t="inlineStr">
        <is>
          <t>C11290</t>
        </is>
      </c>
      <c r="D8099" t="inlineStr">
        <is>
          <t>SKU-10333</t>
        </is>
      </c>
      <c r="E8099" t="inlineStr">
        <is>
          <t>AM05</t>
        </is>
      </c>
      <c r="F8099" s="5" t="n">
        <v>239.58</v>
      </c>
      <c r="G8099">
        <f>IF(LEFT(B8099,1)="C","Credit","Factuur")</f>
        <v/>
      </c>
      <c r="H8099">
        <f>IF(AND(B8099=B8098,D8099=D8098,A8099=A8098,F8099=F8098),1,0)</f>
        <v/>
      </c>
      <c r="I8099">
        <f>IF(C8099="C99999",1,0)</f>
        <v/>
      </c>
      <c r="J8099" s="5">
        <f>IF(OR(H8099=1,I8099=1),0,IF(G8099="Credit",-F8099,F8099))</f>
        <v/>
      </c>
    </row>
    <row r="8100">
      <c r="A8100" t="inlineStr">
        <is>
          <t>2026-09-11</t>
        </is>
      </c>
      <c r="B8100" t="inlineStr">
        <is>
          <t>F284585</t>
        </is>
      </c>
      <c r="C8100" t="inlineStr">
        <is>
          <t>C11290</t>
        </is>
      </c>
      <c r="D8100" t="inlineStr">
        <is>
          <t>SKU-10345</t>
        </is>
      </c>
      <c r="E8100" t="inlineStr">
        <is>
          <t>AM05</t>
        </is>
      </c>
      <c r="F8100" s="5" t="n">
        <v>252.77</v>
      </c>
      <c r="G8100">
        <f>IF(LEFT(B8100,1)="C","Credit","Factuur")</f>
        <v/>
      </c>
      <c r="H8100">
        <f>IF(AND(B8100=B8099,D8100=D8099,A8100=A8099,F8100=F8099),1,0)</f>
        <v/>
      </c>
      <c r="I8100">
        <f>IF(C8100="C99999",1,0)</f>
        <v/>
      </c>
      <c r="J8100" s="5">
        <f>IF(OR(H8100=1,I8100=1),0,IF(G8100="Credit",-F8100,F8100))</f>
        <v/>
      </c>
    </row>
    <row r="8101">
      <c r="A8101" t="inlineStr">
        <is>
          <t>2026-09-11</t>
        </is>
      </c>
      <c r="B8101" t="inlineStr">
        <is>
          <t>F284614</t>
        </is>
      </c>
      <c r="C8101" t="inlineStr">
        <is>
          <t>C11291</t>
        </is>
      </c>
      <c r="D8101" t="inlineStr">
        <is>
          <t>SKU-10266</t>
        </is>
      </c>
      <c r="E8101" t="inlineStr">
        <is>
          <t>AM12</t>
        </is>
      </c>
      <c r="F8101" s="5" t="n">
        <v>930.8</v>
      </c>
      <c r="G8101">
        <f>IF(LEFT(B8101,1)="C","Credit","Factuur")</f>
        <v/>
      </c>
      <c r="H8101">
        <f>IF(AND(B8101=B8100,D8101=D8100,A8101=A8100,F8101=F8100),1,0)</f>
        <v/>
      </c>
      <c r="I8101">
        <f>IF(C8101="C99999",1,0)</f>
        <v/>
      </c>
      <c r="J8101" s="5">
        <f>IF(OR(H8101=1,I8101=1),0,IF(G8101="Credit",-F8101,F8101))</f>
        <v/>
      </c>
    </row>
    <row r="8102">
      <c r="A8102" t="inlineStr">
        <is>
          <t>2026-09-11</t>
        </is>
      </c>
      <c r="B8102" t="inlineStr">
        <is>
          <t>F284614</t>
        </is>
      </c>
      <c r="C8102" t="inlineStr">
        <is>
          <t>C11291</t>
        </is>
      </c>
      <c r="D8102" t="inlineStr">
        <is>
          <t>SKU-10298</t>
        </is>
      </c>
      <c r="E8102" t="inlineStr">
        <is>
          <t>AM12</t>
        </is>
      </c>
      <c r="F8102" s="5" t="n">
        <v>941.25</v>
      </c>
      <c r="G8102">
        <f>IF(LEFT(B8102,1)="C","Credit","Factuur")</f>
        <v/>
      </c>
      <c r="H8102">
        <f>IF(AND(B8102=B8101,D8102=D8101,A8102=A8101,F8102=F8101),1,0)</f>
        <v/>
      </c>
      <c r="I8102">
        <f>IF(C8102="C99999",1,0)</f>
        <v/>
      </c>
      <c r="J8102" s="5">
        <f>IF(OR(H8102=1,I8102=1),0,IF(G8102="Credit",-F8102,F8102))</f>
        <v/>
      </c>
    </row>
    <row r="8103">
      <c r="A8103" t="inlineStr">
        <is>
          <t>2026-09-11</t>
        </is>
      </c>
      <c r="B8103" t="inlineStr">
        <is>
          <t>F284644</t>
        </is>
      </c>
      <c r="C8103" t="inlineStr">
        <is>
          <t>C11292</t>
        </is>
      </c>
      <c r="D8103" t="inlineStr">
        <is>
          <t>SKU-10056</t>
        </is>
      </c>
      <c r="E8103" t="inlineStr">
        <is>
          <t>AM07</t>
        </is>
      </c>
      <c r="F8103" s="5" t="n">
        <v>496</v>
      </c>
      <c r="G8103">
        <f>IF(LEFT(B8103,1)="C","Credit","Factuur")</f>
        <v/>
      </c>
      <c r="H8103">
        <f>IF(AND(B8103=B8102,D8103=D8102,A8103=A8102,F8103=F8102),1,0)</f>
        <v/>
      </c>
      <c r="I8103">
        <f>IF(C8103="C99999",1,0)</f>
        <v/>
      </c>
      <c r="J8103" s="5">
        <f>IF(OR(H8103=1,I8103=1),0,IF(G8103="Credit",-F8103,F8103))</f>
        <v/>
      </c>
    </row>
    <row r="8104">
      <c r="A8104" t="inlineStr">
        <is>
          <t>2026-09-11</t>
        </is>
      </c>
      <c r="B8104" t="inlineStr">
        <is>
          <t>F284644</t>
        </is>
      </c>
      <c r="C8104" t="inlineStr">
        <is>
          <t>C11292</t>
        </is>
      </c>
      <c r="D8104" t="inlineStr">
        <is>
          <t>SKU-10182</t>
        </is>
      </c>
      <c r="E8104" t="inlineStr">
        <is>
          <t>AM07</t>
        </is>
      </c>
      <c r="F8104" s="5" t="n">
        <v>503</v>
      </c>
      <c r="G8104">
        <f>IF(LEFT(B8104,1)="C","Credit","Factuur")</f>
        <v/>
      </c>
      <c r="H8104">
        <f>IF(AND(B8104=B8103,D8104=D8103,A8104=A8103,F8104=F8103),1,0)</f>
        <v/>
      </c>
      <c r="I8104">
        <f>IF(C8104="C99999",1,0)</f>
        <v/>
      </c>
      <c r="J8104" s="5">
        <f>IF(OR(H8104=1,I8104=1),0,IF(G8104="Credit",-F8104,F8104))</f>
        <v/>
      </c>
    </row>
    <row r="8105">
      <c r="A8105" t="inlineStr">
        <is>
          <t>2026-09-11</t>
        </is>
      </c>
      <c r="B8105" t="inlineStr">
        <is>
          <t>F284644</t>
        </is>
      </c>
      <c r="C8105" t="inlineStr">
        <is>
          <t>C11292</t>
        </is>
      </c>
      <c r="D8105" t="inlineStr">
        <is>
          <t>SKU-10193</t>
        </is>
      </c>
      <c r="E8105" t="inlineStr">
        <is>
          <t>AM07</t>
        </is>
      </c>
      <c r="F8105" s="5" t="n">
        <v>463.52</v>
      </c>
      <c r="G8105">
        <f>IF(LEFT(B8105,1)="C","Credit","Factuur")</f>
        <v/>
      </c>
      <c r="H8105">
        <f>IF(AND(B8105=B8104,D8105=D8104,A8105=A8104,F8105=F8104),1,0)</f>
        <v/>
      </c>
      <c r="I8105">
        <f>IF(C8105="C99999",1,0)</f>
        <v/>
      </c>
      <c r="J8105" s="5">
        <f>IF(OR(H8105=1,I8105=1),0,IF(G8105="Credit",-F8105,F8105))</f>
        <v/>
      </c>
    </row>
    <row r="8106">
      <c r="A8106" t="inlineStr">
        <is>
          <t>2026-09-11</t>
        </is>
      </c>
      <c r="B8106" t="inlineStr">
        <is>
          <t>F284644</t>
        </is>
      </c>
      <c r="C8106" t="inlineStr">
        <is>
          <t>C11292</t>
        </is>
      </c>
      <c r="D8106" t="inlineStr">
        <is>
          <t>SKU-10272</t>
        </is>
      </c>
      <c r="E8106" t="inlineStr">
        <is>
          <t>AM07</t>
        </is>
      </c>
      <c r="F8106" s="5" t="n">
        <v>490.23</v>
      </c>
      <c r="G8106">
        <f>IF(LEFT(B8106,1)="C","Credit","Factuur")</f>
        <v/>
      </c>
      <c r="H8106">
        <f>IF(AND(B8106=B8105,D8106=D8105,A8106=A8105,F8106=F8105),1,0)</f>
        <v/>
      </c>
      <c r="I8106">
        <f>IF(C8106="C99999",1,0)</f>
        <v/>
      </c>
      <c r="J8106" s="5">
        <f>IF(OR(H8106=1,I8106=1),0,IF(G8106="Credit",-F8106,F8106))</f>
        <v/>
      </c>
    </row>
    <row r="8107">
      <c r="A8107" t="inlineStr">
        <is>
          <t>2026-09-11</t>
        </is>
      </c>
      <c r="B8107" t="inlineStr">
        <is>
          <t>F284766</t>
        </is>
      </c>
      <c r="C8107" t="inlineStr">
        <is>
          <t>C11297</t>
        </is>
      </c>
      <c r="D8107" t="inlineStr">
        <is>
          <t>SKU-10078</t>
        </is>
      </c>
      <c r="E8107" t="inlineStr">
        <is>
          <t>AM09</t>
        </is>
      </c>
      <c r="F8107" s="5" t="n">
        <v>10584.66</v>
      </c>
      <c r="G8107">
        <f>IF(LEFT(B8107,1)="C","Credit","Factuur")</f>
        <v/>
      </c>
      <c r="H8107">
        <f>IF(AND(B8107=B8106,D8107=D8106,A8107=A8106,F8107=F8106),1,0)</f>
        <v/>
      </c>
      <c r="I8107">
        <f>IF(C8107="C99999",1,0)</f>
        <v/>
      </c>
      <c r="J8107" s="5">
        <f>IF(OR(H8107=1,I8107=1),0,IF(G8107="Credit",-F8107,F8107))</f>
        <v/>
      </c>
    </row>
    <row r="8108">
      <c r="A8108" t="inlineStr">
        <is>
          <t>2026-09-11</t>
        </is>
      </c>
      <c r="B8108" t="inlineStr">
        <is>
          <t>F284766</t>
        </is>
      </c>
      <c r="C8108" t="inlineStr">
        <is>
          <t>C11297</t>
        </is>
      </c>
      <c r="D8108" t="inlineStr">
        <is>
          <t>SKU-10227</t>
        </is>
      </c>
      <c r="E8108" t="inlineStr">
        <is>
          <t>AM09</t>
        </is>
      </c>
      <c r="F8108" s="5" t="n">
        <v>11135.52</v>
      </c>
      <c r="G8108">
        <f>IF(LEFT(B8108,1)="C","Credit","Factuur")</f>
        <v/>
      </c>
      <c r="H8108">
        <f>IF(AND(B8108=B8107,D8108=D8107,A8108=A8107,F8108=F8107),1,0)</f>
        <v/>
      </c>
      <c r="I8108">
        <f>IF(C8108="C99999",1,0)</f>
        <v/>
      </c>
      <c r="J8108" s="5">
        <f>IF(OR(H8108=1,I8108=1),0,IF(G8108="Credit",-F8108,F8108))</f>
        <v/>
      </c>
    </row>
    <row r="8109">
      <c r="A8109" t="inlineStr">
        <is>
          <t>2026-09-11</t>
        </is>
      </c>
      <c r="B8109" t="inlineStr">
        <is>
          <t>F284935</t>
        </is>
      </c>
      <c r="C8109" t="inlineStr">
        <is>
          <t>C11304</t>
        </is>
      </c>
      <c r="D8109" t="inlineStr">
        <is>
          <t>SKU-10092</t>
        </is>
      </c>
      <c r="E8109" t="inlineStr">
        <is>
          <t>AM03</t>
        </is>
      </c>
      <c r="F8109" s="5" t="n">
        <v>205.86</v>
      </c>
      <c r="G8109">
        <f>IF(LEFT(B8109,1)="C","Credit","Factuur")</f>
        <v/>
      </c>
      <c r="H8109">
        <f>IF(AND(B8109=B8108,D8109=D8108,A8109=A8108,F8109=F8108),1,0)</f>
        <v/>
      </c>
      <c r="I8109">
        <f>IF(C8109="C99999",1,0)</f>
        <v/>
      </c>
      <c r="J8109" s="5">
        <f>IF(OR(H8109=1,I8109=1),0,IF(G8109="Credit",-F8109,F8109))</f>
        <v/>
      </c>
    </row>
    <row r="8110">
      <c r="A8110" t="inlineStr">
        <is>
          <t>2026-09-11</t>
        </is>
      </c>
      <c r="B8110" t="inlineStr">
        <is>
          <t>F284935</t>
        </is>
      </c>
      <c r="C8110" t="inlineStr">
        <is>
          <t>C11304</t>
        </is>
      </c>
      <c r="D8110" t="inlineStr">
        <is>
          <t>SKU-10213</t>
        </is>
      </c>
      <c r="E8110" t="inlineStr">
        <is>
          <t>AM03</t>
        </is>
      </c>
      <c r="F8110" s="5" t="n">
        <v>209.55</v>
      </c>
      <c r="G8110">
        <f>IF(LEFT(B8110,1)="C","Credit","Factuur")</f>
        <v/>
      </c>
      <c r="H8110">
        <f>IF(AND(B8110=B8109,D8110=D8109,A8110=A8109,F8110=F8109),1,0)</f>
        <v/>
      </c>
      <c r="I8110">
        <f>IF(C8110="C99999",1,0)</f>
        <v/>
      </c>
      <c r="J8110" s="5">
        <f>IF(OR(H8110=1,I8110=1),0,IF(G8110="Credit",-F8110,F8110))</f>
        <v/>
      </c>
    </row>
    <row r="8111">
      <c r="A8111" t="inlineStr">
        <is>
          <t>2026-09-11</t>
        </is>
      </c>
      <c r="B8111" t="inlineStr">
        <is>
          <t>F284935</t>
        </is>
      </c>
      <c r="C8111" t="inlineStr">
        <is>
          <t>C11304</t>
        </is>
      </c>
      <c r="D8111" t="inlineStr">
        <is>
          <t>SKU-10247</t>
        </is>
      </c>
      <c r="E8111" t="inlineStr">
        <is>
          <t>AM03</t>
        </is>
      </c>
      <c r="F8111" s="5" t="n">
        <v>196.06</v>
      </c>
      <c r="G8111">
        <f>IF(LEFT(B8111,1)="C","Credit","Factuur")</f>
        <v/>
      </c>
      <c r="H8111">
        <f>IF(AND(B8111=B8110,D8111=D8110,A8111=A8110,F8111=F8110),1,0)</f>
        <v/>
      </c>
      <c r="I8111">
        <f>IF(C8111="C99999",1,0)</f>
        <v/>
      </c>
      <c r="J8111" s="5">
        <f>IF(OR(H8111=1,I8111=1),0,IF(G8111="Credit",-F8111,F8111))</f>
        <v/>
      </c>
    </row>
    <row r="8112">
      <c r="A8112" t="inlineStr">
        <is>
          <t>2026-09-11</t>
        </is>
      </c>
      <c r="B8112" t="inlineStr">
        <is>
          <t>F284939</t>
        </is>
      </c>
      <c r="C8112" t="inlineStr">
        <is>
          <t>C11304</t>
        </is>
      </c>
      <c r="D8112" t="inlineStr">
        <is>
          <t>SKU-10119</t>
        </is>
      </c>
      <c r="E8112" t="inlineStr">
        <is>
          <t>AM03</t>
        </is>
      </c>
      <c r="F8112" s="5" t="n">
        <v>271.05</v>
      </c>
      <c r="G8112">
        <f>IF(LEFT(B8112,1)="C","Credit","Factuur")</f>
        <v/>
      </c>
      <c r="H8112">
        <f>IF(AND(B8112=B8111,D8112=D8111,A8112=A8111,F8112=F8111),1,0)</f>
        <v/>
      </c>
      <c r="I8112">
        <f>IF(C8112="C99999",1,0)</f>
        <v/>
      </c>
      <c r="J8112" s="5">
        <f>IF(OR(H8112=1,I8112=1),0,IF(G8112="Credit",-F8112,F8112))</f>
        <v/>
      </c>
    </row>
    <row r="8113">
      <c r="A8113" t="inlineStr">
        <is>
          <t>2026-09-11</t>
        </is>
      </c>
      <c r="B8113" t="inlineStr">
        <is>
          <t>F284939</t>
        </is>
      </c>
      <c r="C8113" t="inlineStr">
        <is>
          <t>C11304</t>
        </is>
      </c>
      <c r="D8113" t="inlineStr">
        <is>
          <t>SKU-10270</t>
        </is>
      </c>
      <c r="E8113" t="inlineStr">
        <is>
          <t>AM03</t>
        </is>
      </c>
      <c r="F8113" s="5" t="n">
        <v>259.68</v>
      </c>
      <c r="G8113">
        <f>IF(LEFT(B8113,1)="C","Credit","Factuur")</f>
        <v/>
      </c>
      <c r="H8113">
        <f>IF(AND(B8113=B8112,D8113=D8112,A8113=A8112,F8113=F8112),1,0)</f>
        <v/>
      </c>
      <c r="I8113">
        <f>IF(C8113="C99999",1,0)</f>
        <v/>
      </c>
      <c r="J8113" s="5">
        <f>IF(OR(H8113=1,I8113=1),0,IF(G8113="Credit",-F8113,F8113))</f>
        <v/>
      </c>
    </row>
    <row r="8114">
      <c r="A8114" t="inlineStr">
        <is>
          <t>2026-09-11</t>
        </is>
      </c>
      <c r="B8114" t="inlineStr">
        <is>
          <t>F284955</t>
        </is>
      </c>
      <c r="C8114" t="inlineStr">
        <is>
          <t>C11305</t>
        </is>
      </c>
      <c r="D8114" t="inlineStr">
        <is>
          <t>SKU-10108</t>
        </is>
      </c>
      <c r="E8114" t="inlineStr">
        <is>
          <t>AM08</t>
        </is>
      </c>
      <c r="F8114" s="5" t="n">
        <v>441.42</v>
      </c>
      <c r="G8114">
        <f>IF(LEFT(B8114,1)="C","Credit","Factuur")</f>
        <v/>
      </c>
      <c r="H8114">
        <f>IF(AND(B8114=B8113,D8114=D8113,A8114=A8113,F8114=F8113),1,0)</f>
        <v/>
      </c>
      <c r="I8114">
        <f>IF(C8114="C99999",1,0)</f>
        <v/>
      </c>
      <c r="J8114" s="5">
        <f>IF(OR(H8114=1,I8114=1),0,IF(G8114="Credit",-F8114,F8114))</f>
        <v/>
      </c>
    </row>
    <row r="8115">
      <c r="A8115" t="inlineStr">
        <is>
          <t>2026-09-11</t>
        </is>
      </c>
      <c r="B8115" t="inlineStr">
        <is>
          <t>F285071</t>
        </is>
      </c>
      <c r="C8115" t="inlineStr">
        <is>
          <t>C11312</t>
        </is>
      </c>
      <c r="D8115" t="inlineStr">
        <is>
          <t>SKU-10025</t>
        </is>
      </c>
      <c r="E8115" t="inlineStr">
        <is>
          <t>AM02</t>
        </is>
      </c>
      <c r="F8115" s="5" t="n">
        <v>228.41</v>
      </c>
      <c r="G8115">
        <f>IF(LEFT(B8115,1)="C","Credit","Factuur")</f>
        <v/>
      </c>
      <c r="H8115">
        <f>IF(AND(B8115=B8114,D8115=D8114,A8115=A8114,F8115=F8114),1,0)</f>
        <v/>
      </c>
      <c r="I8115">
        <f>IF(C8115="C99999",1,0)</f>
        <v/>
      </c>
      <c r="J8115" s="5">
        <f>IF(OR(H8115=1,I8115=1),0,IF(G8115="Credit",-F8115,F8115))</f>
        <v/>
      </c>
    </row>
    <row r="8116">
      <c r="A8116" t="inlineStr">
        <is>
          <t>2026-09-11</t>
        </is>
      </c>
      <c r="B8116" t="inlineStr">
        <is>
          <t>F285071</t>
        </is>
      </c>
      <c r="C8116" t="inlineStr">
        <is>
          <t>C11312</t>
        </is>
      </c>
      <c r="D8116" t="inlineStr">
        <is>
          <t>SKU-10052</t>
        </is>
      </c>
      <c r="E8116" t="inlineStr">
        <is>
          <t>AM02</t>
        </is>
      </c>
      <c r="F8116" s="5" t="n">
        <v>263.05</v>
      </c>
      <c r="G8116">
        <f>IF(LEFT(B8116,1)="C","Credit","Factuur")</f>
        <v/>
      </c>
      <c r="H8116">
        <f>IF(AND(B8116=B8115,D8116=D8115,A8116=A8115,F8116=F8115),1,0)</f>
        <v/>
      </c>
      <c r="I8116">
        <f>IF(C8116="C99999",1,0)</f>
        <v/>
      </c>
      <c r="J8116" s="5">
        <f>IF(OR(H8116=1,I8116=1),0,IF(G8116="Credit",-F8116,F8116))</f>
        <v/>
      </c>
    </row>
    <row r="8117">
      <c r="A8117" t="inlineStr">
        <is>
          <t>2026-09-11</t>
        </is>
      </c>
      <c r="B8117" t="inlineStr">
        <is>
          <t>F285071</t>
        </is>
      </c>
      <c r="C8117" t="inlineStr">
        <is>
          <t>C11312</t>
        </is>
      </c>
      <c r="D8117" t="inlineStr">
        <is>
          <t>SKU-10156</t>
        </is>
      </c>
      <c r="E8117" t="inlineStr">
        <is>
          <t>AM02</t>
        </is>
      </c>
      <c r="F8117" s="5" t="n">
        <v>224.4</v>
      </c>
      <c r="G8117">
        <f>IF(LEFT(B8117,1)="C","Credit","Factuur")</f>
        <v/>
      </c>
      <c r="H8117">
        <f>IF(AND(B8117=B8116,D8117=D8116,A8117=A8116,F8117=F8116),1,0)</f>
        <v/>
      </c>
      <c r="I8117">
        <f>IF(C8117="C99999",1,0)</f>
        <v/>
      </c>
      <c r="J8117" s="5">
        <f>IF(OR(H8117=1,I8117=1),0,IF(G8117="Credit",-F8117,F8117))</f>
        <v/>
      </c>
    </row>
    <row r="8118">
      <c r="A8118" t="inlineStr">
        <is>
          <t>2026-09-11</t>
        </is>
      </c>
      <c r="B8118" t="inlineStr">
        <is>
          <t>F285071</t>
        </is>
      </c>
      <c r="C8118" t="inlineStr">
        <is>
          <t>C11312</t>
        </is>
      </c>
      <c r="D8118" t="inlineStr">
        <is>
          <t>SKU-10324</t>
        </is>
      </c>
      <c r="E8118" t="inlineStr">
        <is>
          <t>AM02</t>
        </is>
      </c>
      <c r="F8118" s="5" t="n">
        <v>238.92</v>
      </c>
      <c r="G8118">
        <f>IF(LEFT(B8118,1)="C","Credit","Factuur")</f>
        <v/>
      </c>
      <c r="H8118">
        <f>IF(AND(B8118=B8117,D8118=D8117,A8118=A8117,F8118=F8117),1,0)</f>
        <v/>
      </c>
      <c r="I8118">
        <f>IF(C8118="C99999",1,0)</f>
        <v/>
      </c>
      <c r="J8118" s="5">
        <f>IF(OR(H8118=1,I8118=1),0,IF(G8118="Credit",-F8118,F8118))</f>
        <v/>
      </c>
    </row>
    <row r="8119">
      <c r="A8119" t="inlineStr">
        <is>
          <t>2026-09-11</t>
        </is>
      </c>
      <c r="B8119" t="inlineStr">
        <is>
          <t>F285208</t>
        </is>
      </c>
      <c r="C8119" t="inlineStr">
        <is>
          <t>C11321</t>
        </is>
      </c>
      <c r="D8119" t="inlineStr">
        <is>
          <t>SKU-10037</t>
        </is>
      </c>
      <c r="E8119" t="inlineStr">
        <is>
          <t>AM12</t>
        </is>
      </c>
      <c r="F8119" s="5" t="n">
        <v>349.58</v>
      </c>
      <c r="G8119">
        <f>IF(LEFT(B8119,1)="C","Credit","Factuur")</f>
        <v/>
      </c>
      <c r="H8119">
        <f>IF(AND(B8119=B8118,D8119=D8118,A8119=A8118,F8119=F8118),1,0)</f>
        <v/>
      </c>
      <c r="I8119">
        <f>IF(C8119="C99999",1,0)</f>
        <v/>
      </c>
      <c r="J8119" s="5">
        <f>IF(OR(H8119=1,I8119=1),0,IF(G8119="Credit",-F8119,F8119))</f>
        <v/>
      </c>
    </row>
    <row r="8120">
      <c r="A8120" t="inlineStr">
        <is>
          <t>2026-09-11</t>
        </is>
      </c>
      <c r="B8120" t="inlineStr">
        <is>
          <t>F285264</t>
        </is>
      </c>
      <c r="C8120" t="inlineStr">
        <is>
          <t>C11323</t>
        </is>
      </c>
      <c r="D8120" t="inlineStr">
        <is>
          <t>SKU-10059</t>
        </is>
      </c>
      <c r="E8120" t="inlineStr">
        <is>
          <t>AM08</t>
        </is>
      </c>
      <c r="F8120" s="5" t="n">
        <v>785.03</v>
      </c>
      <c r="G8120">
        <f>IF(LEFT(B8120,1)="C","Credit","Factuur")</f>
        <v/>
      </c>
      <c r="H8120">
        <f>IF(AND(B8120=B8119,D8120=D8119,A8120=A8119,F8120=F8119),1,0)</f>
        <v/>
      </c>
      <c r="I8120">
        <f>IF(C8120="C99999",1,0)</f>
        <v/>
      </c>
      <c r="J8120" s="5">
        <f>IF(OR(H8120=1,I8120=1),0,IF(G8120="Credit",-F8120,F8120))</f>
        <v/>
      </c>
    </row>
    <row r="8121">
      <c r="A8121" t="inlineStr">
        <is>
          <t>2026-09-11</t>
        </is>
      </c>
      <c r="B8121" t="inlineStr">
        <is>
          <t>F285264</t>
        </is>
      </c>
      <c r="C8121" t="inlineStr">
        <is>
          <t>C11323</t>
        </is>
      </c>
      <c r="D8121" t="inlineStr">
        <is>
          <t>SKU-10102</t>
        </is>
      </c>
      <c r="E8121" t="inlineStr">
        <is>
          <t>AM08</t>
        </is>
      </c>
      <c r="F8121" s="5" t="n">
        <v>862.4</v>
      </c>
      <c r="G8121">
        <f>IF(LEFT(B8121,1)="C","Credit","Factuur")</f>
        <v/>
      </c>
      <c r="H8121">
        <f>IF(AND(B8121=B8120,D8121=D8120,A8121=A8120,F8121=F8120),1,0)</f>
        <v/>
      </c>
      <c r="I8121">
        <f>IF(C8121="C99999",1,0)</f>
        <v/>
      </c>
      <c r="J8121" s="5">
        <f>IF(OR(H8121=1,I8121=1),0,IF(G8121="Credit",-F8121,F8121))</f>
        <v/>
      </c>
    </row>
    <row r="8122">
      <c r="A8122" t="inlineStr">
        <is>
          <t>2026-09-11</t>
        </is>
      </c>
      <c r="B8122" t="inlineStr">
        <is>
          <t>F285264</t>
        </is>
      </c>
      <c r="C8122" t="inlineStr">
        <is>
          <t>C11323</t>
        </is>
      </c>
      <c r="D8122" t="inlineStr">
        <is>
          <t>SKU-10245</t>
        </is>
      </c>
      <c r="E8122" t="inlineStr">
        <is>
          <t>AM08</t>
        </is>
      </c>
      <c r="F8122" s="5" t="n">
        <v>904.4</v>
      </c>
      <c r="G8122">
        <f>IF(LEFT(B8122,1)="C","Credit","Factuur")</f>
        <v/>
      </c>
      <c r="H8122">
        <f>IF(AND(B8122=B8121,D8122=D8121,A8122=A8121,F8122=F8121),1,0)</f>
        <v/>
      </c>
      <c r="I8122">
        <f>IF(C8122="C99999",1,0)</f>
        <v/>
      </c>
      <c r="J8122" s="5">
        <f>IF(OR(H8122=1,I8122=1),0,IF(G8122="Credit",-F8122,F8122))</f>
        <v/>
      </c>
    </row>
    <row r="8123">
      <c r="A8123" t="inlineStr">
        <is>
          <t>2026-09-11</t>
        </is>
      </c>
      <c r="B8123" t="inlineStr">
        <is>
          <t>F285264</t>
        </is>
      </c>
      <c r="C8123" t="inlineStr">
        <is>
          <t>C11323</t>
        </is>
      </c>
      <c r="D8123" t="inlineStr">
        <is>
          <t>SKU-10256</t>
        </is>
      </c>
      <c r="E8123" t="inlineStr">
        <is>
          <t>AM08</t>
        </is>
      </c>
      <c r="F8123" s="5" t="n">
        <v>790.9</v>
      </c>
      <c r="G8123">
        <f>IF(LEFT(B8123,1)="C","Credit","Factuur")</f>
        <v/>
      </c>
      <c r="H8123">
        <f>IF(AND(B8123=B8122,D8123=D8122,A8123=A8122,F8123=F8122),1,0)</f>
        <v/>
      </c>
      <c r="I8123">
        <f>IF(C8123="C99999",1,0)</f>
        <v/>
      </c>
      <c r="J8123" s="5">
        <f>IF(OR(H8123=1,I8123=1),0,IF(G8123="Credit",-F8123,F8123))</f>
        <v/>
      </c>
    </row>
    <row r="8124">
      <c r="A8124" t="inlineStr">
        <is>
          <t>2026-09-11</t>
        </is>
      </c>
      <c r="B8124" t="inlineStr">
        <is>
          <t>F285411</t>
        </is>
      </c>
      <c r="C8124" t="inlineStr">
        <is>
          <t>C11328</t>
        </is>
      </c>
      <c r="D8124" t="inlineStr">
        <is>
          <t>SKU-10161</t>
        </is>
      </c>
      <c r="E8124" t="inlineStr">
        <is>
          <t>IS01</t>
        </is>
      </c>
      <c r="F8124" s="5" t="n">
        <v>160.5</v>
      </c>
      <c r="G8124">
        <f>IF(LEFT(B8124,1)="C","Credit","Factuur")</f>
        <v/>
      </c>
      <c r="H8124">
        <f>IF(AND(B8124=B8123,D8124=D8123,A8124=A8123,F8124=F8123),1,0)</f>
        <v/>
      </c>
      <c r="I8124">
        <f>IF(C8124="C99999",1,0)</f>
        <v/>
      </c>
      <c r="J8124" s="5">
        <f>IF(OR(H8124=1,I8124=1),0,IF(G8124="Credit",-F8124,F8124))</f>
        <v/>
      </c>
    </row>
    <row r="8125">
      <c r="A8125" t="inlineStr">
        <is>
          <t>2026-09-11</t>
        </is>
      </c>
      <c r="B8125" t="inlineStr">
        <is>
          <t>F285411</t>
        </is>
      </c>
      <c r="C8125" t="inlineStr">
        <is>
          <t>C11328</t>
        </is>
      </c>
      <c r="D8125" t="inlineStr">
        <is>
          <t>SKU-10258</t>
        </is>
      </c>
      <c r="E8125" t="inlineStr">
        <is>
          <t>IS01</t>
        </is>
      </c>
      <c r="F8125" s="5" t="n">
        <v>153.81</v>
      </c>
      <c r="G8125">
        <f>IF(LEFT(B8125,1)="C","Credit","Factuur")</f>
        <v/>
      </c>
      <c r="H8125">
        <f>IF(AND(B8125=B8124,D8125=D8124,A8125=A8124,F8125=F8124),1,0)</f>
        <v/>
      </c>
      <c r="I8125">
        <f>IF(C8125="C99999",1,0)</f>
        <v/>
      </c>
      <c r="J8125" s="5">
        <f>IF(OR(H8125=1,I8125=1),0,IF(G8125="Credit",-F8125,F8125))</f>
        <v/>
      </c>
    </row>
    <row r="8126">
      <c r="A8126" t="inlineStr">
        <is>
          <t>2026-09-11</t>
        </is>
      </c>
      <c r="B8126" t="inlineStr">
        <is>
          <t>F285866</t>
        </is>
      </c>
      <c r="C8126" t="inlineStr">
        <is>
          <t>C11353</t>
        </is>
      </c>
      <c r="D8126" t="inlineStr">
        <is>
          <t>SKU-10012</t>
        </is>
      </c>
      <c r="E8126" t="inlineStr">
        <is>
          <t>AM11</t>
        </is>
      </c>
      <c r="F8126" s="5" t="n">
        <v>840.83</v>
      </c>
      <c r="G8126">
        <f>IF(LEFT(B8126,1)="C","Credit","Factuur")</f>
        <v/>
      </c>
      <c r="H8126">
        <f>IF(AND(B8126=B8125,D8126=D8125,A8126=A8125,F8126=F8125),1,0)</f>
        <v/>
      </c>
      <c r="I8126">
        <f>IF(C8126="C99999",1,0)</f>
        <v/>
      </c>
      <c r="J8126" s="5">
        <f>IF(OR(H8126=1,I8126=1),0,IF(G8126="Credit",-F8126,F8126))</f>
        <v/>
      </c>
    </row>
    <row r="8127">
      <c r="A8127" t="inlineStr">
        <is>
          <t>2026-09-11</t>
        </is>
      </c>
      <c r="B8127" t="inlineStr">
        <is>
          <t>F285866</t>
        </is>
      </c>
      <c r="C8127" t="inlineStr">
        <is>
          <t>C11353</t>
        </is>
      </c>
      <c r="D8127" t="inlineStr">
        <is>
          <t>SKU-10025</t>
        </is>
      </c>
      <c r="E8127" t="inlineStr">
        <is>
          <t>AM11</t>
        </is>
      </c>
      <c r="F8127" s="5" t="n">
        <v>960.95</v>
      </c>
      <c r="G8127">
        <f>IF(LEFT(B8127,1)="C","Credit","Factuur")</f>
        <v/>
      </c>
      <c r="H8127">
        <f>IF(AND(B8127=B8126,D8127=D8126,A8127=A8126,F8127=F8126),1,0)</f>
        <v/>
      </c>
      <c r="I8127">
        <f>IF(C8127="C99999",1,0)</f>
        <v/>
      </c>
      <c r="J8127" s="5">
        <f>IF(OR(H8127=1,I8127=1),0,IF(G8127="Credit",-F8127,F8127))</f>
        <v/>
      </c>
    </row>
    <row r="8128">
      <c r="A8128" t="inlineStr">
        <is>
          <t>2026-09-11</t>
        </is>
      </c>
      <c r="B8128" t="inlineStr">
        <is>
          <t>F285980</t>
        </is>
      </c>
      <c r="C8128" t="inlineStr">
        <is>
          <t>C11360</t>
        </is>
      </c>
      <c r="D8128" t="inlineStr">
        <is>
          <t>SKU-10343</t>
        </is>
      </c>
      <c r="E8128" t="inlineStr">
        <is>
          <t>AM08</t>
        </is>
      </c>
      <c r="F8128" s="5" t="n">
        <v>896.8</v>
      </c>
      <c r="G8128">
        <f>IF(LEFT(B8128,1)="C","Credit","Factuur")</f>
        <v/>
      </c>
      <c r="H8128">
        <f>IF(AND(B8128=B8127,D8128=D8127,A8128=A8127,F8128=F8127),1,0)</f>
        <v/>
      </c>
      <c r="I8128">
        <f>IF(C8128="C99999",1,0)</f>
        <v/>
      </c>
      <c r="J8128" s="5">
        <f>IF(OR(H8128=1,I8128=1),0,IF(G8128="Credit",-F8128,F8128))</f>
        <v/>
      </c>
    </row>
    <row r="8129">
      <c r="A8129" t="inlineStr">
        <is>
          <t>2026-09-11</t>
        </is>
      </c>
      <c r="B8129" t="inlineStr">
        <is>
          <t>F286198</t>
        </is>
      </c>
      <c r="C8129" t="inlineStr">
        <is>
          <t>C11370</t>
        </is>
      </c>
      <c r="D8129" t="inlineStr">
        <is>
          <t>SKU-10009</t>
        </is>
      </c>
      <c r="E8129" t="inlineStr">
        <is>
          <t>AM09</t>
        </is>
      </c>
      <c r="F8129" s="5" t="n">
        <v>409.56</v>
      </c>
      <c r="G8129">
        <f>IF(LEFT(B8129,1)="C","Credit","Factuur")</f>
        <v/>
      </c>
      <c r="H8129">
        <f>IF(AND(B8129=B8128,D8129=D8128,A8129=A8128,F8129=F8128),1,0)</f>
        <v/>
      </c>
      <c r="I8129">
        <f>IF(C8129="C99999",1,0)</f>
        <v/>
      </c>
      <c r="J8129" s="5">
        <f>IF(OR(H8129=1,I8129=1),0,IF(G8129="Credit",-F8129,F8129))</f>
        <v/>
      </c>
    </row>
    <row r="8130">
      <c r="A8130" t="inlineStr">
        <is>
          <t>2026-09-11</t>
        </is>
      </c>
      <c r="B8130" t="inlineStr">
        <is>
          <t>F286198</t>
        </is>
      </c>
      <c r="C8130" t="inlineStr">
        <is>
          <t>C11370</t>
        </is>
      </c>
      <c r="D8130" t="inlineStr">
        <is>
          <t>SKU-10042</t>
        </is>
      </c>
      <c r="E8130" t="inlineStr">
        <is>
          <t>AM09</t>
        </is>
      </c>
      <c r="F8130" s="5" t="n">
        <v>371.41</v>
      </c>
      <c r="G8130">
        <f>IF(LEFT(B8130,1)="C","Credit","Factuur")</f>
        <v/>
      </c>
      <c r="H8130">
        <f>IF(AND(B8130=B8129,D8130=D8129,A8130=A8129,F8130=F8129),1,0)</f>
        <v/>
      </c>
      <c r="I8130">
        <f>IF(C8130="C99999",1,0)</f>
        <v/>
      </c>
      <c r="J8130" s="5">
        <f>IF(OR(H8130=1,I8130=1),0,IF(G8130="Credit",-F8130,F8130))</f>
        <v/>
      </c>
    </row>
    <row r="8131">
      <c r="A8131" t="inlineStr">
        <is>
          <t>2026-09-11</t>
        </is>
      </c>
      <c r="B8131" t="inlineStr">
        <is>
          <t>F286198</t>
        </is>
      </c>
      <c r="C8131" t="inlineStr">
        <is>
          <t>C11370</t>
        </is>
      </c>
      <c r="D8131" t="inlineStr">
        <is>
          <t>SKU-10175</t>
        </is>
      </c>
      <c r="E8131" t="inlineStr">
        <is>
          <t>AM09</t>
        </is>
      </c>
      <c r="F8131" s="5" t="n">
        <v>410.15</v>
      </c>
      <c r="G8131">
        <f>IF(LEFT(B8131,1)="C","Credit","Factuur")</f>
        <v/>
      </c>
      <c r="H8131">
        <f>IF(AND(B8131=B8130,D8131=D8130,A8131=A8130,F8131=F8130),1,0)</f>
        <v/>
      </c>
      <c r="I8131">
        <f>IF(C8131="C99999",1,0)</f>
        <v/>
      </c>
      <c r="J8131" s="5">
        <f>IF(OR(H8131=1,I8131=1),0,IF(G8131="Credit",-F8131,F8131))</f>
        <v/>
      </c>
    </row>
    <row r="8132">
      <c r="A8132" t="inlineStr">
        <is>
          <t>2026-09-11</t>
        </is>
      </c>
      <c r="B8132" t="inlineStr">
        <is>
          <t>F286198</t>
        </is>
      </c>
      <c r="C8132" t="inlineStr">
        <is>
          <t>C11370</t>
        </is>
      </c>
      <c r="D8132" t="inlineStr">
        <is>
          <t>SKU-10273</t>
        </is>
      </c>
      <c r="E8132" t="inlineStr">
        <is>
          <t>AM09</t>
        </is>
      </c>
      <c r="F8132" s="5" t="n">
        <v>417.56</v>
      </c>
      <c r="G8132">
        <f>IF(LEFT(B8132,1)="C","Credit","Factuur")</f>
        <v/>
      </c>
      <c r="H8132">
        <f>IF(AND(B8132=B8131,D8132=D8131,A8132=A8131,F8132=F8131),1,0)</f>
        <v/>
      </c>
      <c r="I8132">
        <f>IF(C8132="C99999",1,0)</f>
        <v/>
      </c>
      <c r="J8132" s="5">
        <f>IF(OR(H8132=1,I8132=1),0,IF(G8132="Credit",-F8132,F8132))</f>
        <v/>
      </c>
    </row>
    <row r="8133">
      <c r="A8133" t="inlineStr">
        <is>
          <t>2026-09-12</t>
        </is>
      </c>
      <c r="B8133" t="inlineStr">
        <is>
          <t>C900638</t>
        </is>
      </c>
      <c r="C8133" t="inlineStr">
        <is>
          <t>C10133</t>
        </is>
      </c>
      <c r="D8133" t="inlineStr">
        <is>
          <t>SKU-10133</t>
        </is>
      </c>
      <c r="E8133" t="inlineStr">
        <is>
          <t>AM02</t>
        </is>
      </c>
      <c r="F8133" s="5" t="n">
        <v>264.68</v>
      </c>
      <c r="G8133">
        <f>IF(LEFT(B8133,1)="C","Credit","Factuur")</f>
        <v/>
      </c>
      <c r="H8133">
        <f>IF(AND(B8133=B8132,D8133=D8132,A8133=A8132,F8133=F8132),1,0)</f>
        <v/>
      </c>
      <c r="I8133">
        <f>IF(C8133="C99999",1,0)</f>
        <v/>
      </c>
      <c r="J8133" s="5">
        <f>IF(OR(H8133=1,I8133=1),0,IF(G8133="Credit",-F8133,F8133))</f>
        <v/>
      </c>
    </row>
    <row r="8134">
      <c r="A8134" t="inlineStr">
        <is>
          <t>2026-09-12</t>
        </is>
      </c>
      <c r="B8134" t="inlineStr">
        <is>
          <t>C900769</t>
        </is>
      </c>
      <c r="C8134" t="inlineStr">
        <is>
          <t>C10522</t>
        </is>
      </c>
      <c r="D8134" t="inlineStr">
        <is>
          <t>SKU-10074</t>
        </is>
      </c>
      <c r="E8134" t="inlineStr">
        <is>
          <t>AM11</t>
        </is>
      </c>
      <c r="F8134" s="5" t="n">
        <v>106.38</v>
      </c>
      <c r="G8134">
        <f>IF(LEFT(B8134,1)="C","Credit","Factuur")</f>
        <v/>
      </c>
      <c r="H8134">
        <f>IF(AND(B8134=B8133,D8134=D8133,A8134=A8133,F8134=F8133),1,0)</f>
        <v/>
      </c>
      <c r="I8134">
        <f>IF(C8134="C99999",1,0)</f>
        <v/>
      </c>
      <c r="J8134" s="5">
        <f>IF(OR(H8134=1,I8134=1),0,IF(G8134="Credit",-F8134,F8134))</f>
        <v/>
      </c>
    </row>
    <row r="8135">
      <c r="A8135" t="inlineStr">
        <is>
          <t>2026-09-12</t>
        </is>
      </c>
      <c r="B8135" t="inlineStr">
        <is>
          <t>C901213</t>
        </is>
      </c>
      <c r="C8135" t="inlineStr">
        <is>
          <t>C10683</t>
        </is>
      </c>
      <c r="D8135" t="inlineStr">
        <is>
          <t>SKU-10288</t>
        </is>
      </c>
      <c r="E8135" t="inlineStr">
        <is>
          <t>AM05</t>
        </is>
      </c>
      <c r="F8135" s="5" t="n">
        <v>932.9299999999999</v>
      </c>
      <c r="G8135">
        <f>IF(LEFT(B8135,1)="C","Credit","Factuur")</f>
        <v/>
      </c>
      <c r="H8135">
        <f>IF(AND(B8135=B8134,D8135=D8134,A8135=A8134,F8135=F8134),1,0)</f>
        <v/>
      </c>
      <c r="I8135">
        <f>IF(C8135="C99999",1,0)</f>
        <v/>
      </c>
      <c r="J8135" s="5">
        <f>IF(OR(H8135=1,I8135=1),0,IF(G8135="Credit",-F8135,F8135))</f>
        <v/>
      </c>
    </row>
    <row r="8136">
      <c r="A8136" t="inlineStr">
        <is>
          <t>2026-09-12</t>
        </is>
      </c>
      <c r="B8136" t="inlineStr">
        <is>
          <t>C901650</t>
        </is>
      </c>
      <c r="C8136" t="inlineStr">
        <is>
          <t>C10217</t>
        </is>
      </c>
      <c r="D8136" t="inlineStr">
        <is>
          <t>SKU-10226</t>
        </is>
      </c>
      <c r="E8136" t="inlineStr">
        <is>
          <t>AM11</t>
        </is>
      </c>
      <c r="F8136" s="5" t="n">
        <v>582.96</v>
      </c>
      <c r="G8136">
        <f>IF(LEFT(B8136,1)="C","Credit","Factuur")</f>
        <v/>
      </c>
      <c r="H8136">
        <f>IF(AND(B8136=B8135,D8136=D8135,A8136=A8135,F8136=F8135),1,0)</f>
        <v/>
      </c>
      <c r="I8136">
        <f>IF(C8136="C99999",1,0)</f>
        <v/>
      </c>
      <c r="J8136" s="5">
        <f>IF(OR(H8136=1,I8136=1),0,IF(G8136="Credit",-F8136,F8136))</f>
        <v/>
      </c>
    </row>
    <row r="8137">
      <c r="A8137" t="inlineStr">
        <is>
          <t>2026-09-12</t>
        </is>
      </c>
      <c r="B8137" t="inlineStr">
        <is>
          <t>C901982</t>
        </is>
      </c>
      <c r="C8137" t="inlineStr">
        <is>
          <t>C10591</t>
        </is>
      </c>
      <c r="D8137" t="inlineStr">
        <is>
          <t>SKU-10234</t>
        </is>
      </c>
      <c r="E8137" t="inlineStr">
        <is>
          <t>AM08</t>
        </is>
      </c>
      <c r="F8137" s="5" t="n">
        <v>350.44</v>
      </c>
      <c r="G8137">
        <f>IF(LEFT(B8137,1)="C","Credit","Factuur")</f>
        <v/>
      </c>
      <c r="H8137">
        <f>IF(AND(B8137=B8136,D8137=D8136,A8137=A8136,F8137=F8136),1,0)</f>
        <v/>
      </c>
      <c r="I8137">
        <f>IF(C8137="C99999",1,0)</f>
        <v/>
      </c>
      <c r="J8137" s="5">
        <f>IF(OR(H8137=1,I8137=1),0,IF(G8137="Credit",-F8137,F8137))</f>
        <v/>
      </c>
    </row>
    <row r="8138">
      <c r="A8138" t="inlineStr">
        <is>
          <t>2026-09-13</t>
        </is>
      </c>
      <c r="B8138" t="inlineStr">
        <is>
          <t>C901115</t>
        </is>
      </c>
      <c r="C8138" t="inlineStr">
        <is>
          <t>C10961</t>
        </is>
      </c>
      <c r="D8138" t="inlineStr">
        <is>
          <t>SKU-10079</t>
        </is>
      </c>
      <c r="E8138" t="inlineStr">
        <is>
          <t>AM03</t>
        </is>
      </c>
      <c r="F8138" s="5" t="n">
        <v>344.39</v>
      </c>
      <c r="G8138">
        <f>IF(LEFT(B8138,1)="C","Credit","Factuur")</f>
        <v/>
      </c>
      <c r="H8138">
        <f>IF(AND(B8138=B8137,D8138=D8137,A8138=A8137,F8138=F8137),1,0)</f>
        <v/>
      </c>
      <c r="I8138">
        <f>IF(C8138="C99999",1,0)</f>
        <v/>
      </c>
      <c r="J8138" s="5">
        <f>IF(OR(H8138=1,I8138=1),0,IF(G8138="Credit",-F8138,F8138))</f>
        <v/>
      </c>
    </row>
    <row r="8139">
      <c r="A8139" t="inlineStr">
        <is>
          <t>2026-09-13</t>
        </is>
      </c>
      <c r="B8139" t="inlineStr">
        <is>
          <t>C901190</t>
        </is>
      </c>
      <c r="C8139" t="inlineStr">
        <is>
          <t>C11181</t>
        </is>
      </c>
      <c r="D8139" t="inlineStr">
        <is>
          <t>SKU-10277</t>
        </is>
      </c>
      <c r="E8139" t="inlineStr">
        <is>
          <t>AM08</t>
        </is>
      </c>
      <c r="F8139" s="5" t="n">
        <v>213.3</v>
      </c>
      <c r="G8139">
        <f>IF(LEFT(B8139,1)="C","Credit","Factuur")</f>
        <v/>
      </c>
      <c r="H8139">
        <f>IF(AND(B8139=B8138,D8139=D8138,A8139=A8138,F8139=F8138),1,0)</f>
        <v/>
      </c>
      <c r="I8139">
        <f>IF(C8139="C99999",1,0)</f>
        <v/>
      </c>
      <c r="J8139" s="5">
        <f>IF(OR(H8139=1,I8139=1),0,IF(G8139="Credit",-F8139,F8139))</f>
        <v/>
      </c>
    </row>
    <row r="8140">
      <c r="A8140" t="inlineStr">
        <is>
          <t>2026-09-13</t>
        </is>
      </c>
      <c r="B8140" t="inlineStr">
        <is>
          <t>C901626</t>
        </is>
      </c>
      <c r="C8140" t="inlineStr">
        <is>
          <t>C10077</t>
        </is>
      </c>
      <c r="D8140" t="inlineStr">
        <is>
          <t>SKU-10283</t>
        </is>
      </c>
      <c r="E8140" t="inlineStr"/>
      <c r="F8140" s="5" t="n">
        <v>1518.55</v>
      </c>
      <c r="G8140">
        <f>IF(LEFT(B8140,1)="C","Credit","Factuur")</f>
        <v/>
      </c>
      <c r="H8140">
        <f>IF(AND(B8140=B8139,D8140=D8139,A8140=A8139,F8140=F8139),1,0)</f>
        <v/>
      </c>
      <c r="I8140">
        <f>IF(C8140="C99999",1,0)</f>
        <v/>
      </c>
      <c r="J8140" s="5">
        <f>IF(OR(H8140=1,I8140=1),0,IF(G8140="Credit",-F8140,F8140))</f>
        <v/>
      </c>
    </row>
    <row r="8141">
      <c r="A8141" t="inlineStr">
        <is>
          <t>2026-09-13</t>
        </is>
      </c>
      <c r="B8141" t="inlineStr">
        <is>
          <t>C901657</t>
        </is>
      </c>
      <c r="C8141" t="inlineStr">
        <is>
          <t>C10530</t>
        </is>
      </c>
      <c r="D8141" t="inlineStr">
        <is>
          <t>SKU-10131</t>
        </is>
      </c>
      <c r="E8141" t="inlineStr">
        <is>
          <t>AM03</t>
        </is>
      </c>
      <c r="F8141" s="5" t="n">
        <v>110.72</v>
      </c>
      <c r="G8141">
        <f>IF(LEFT(B8141,1)="C","Credit","Factuur")</f>
        <v/>
      </c>
      <c r="H8141">
        <f>IF(AND(B8141=B8140,D8141=D8140,A8141=A8140,F8141=F8140),1,0)</f>
        <v/>
      </c>
      <c r="I8141">
        <f>IF(C8141="C99999",1,0)</f>
        <v/>
      </c>
      <c r="J8141" s="5">
        <f>IF(OR(H8141=1,I8141=1),0,IF(G8141="Credit",-F8141,F8141))</f>
        <v/>
      </c>
    </row>
    <row r="8142">
      <c r="A8142" t="inlineStr">
        <is>
          <t>2026-09-13</t>
        </is>
      </c>
      <c r="B8142" t="inlineStr">
        <is>
          <t>C901869</t>
        </is>
      </c>
      <c r="C8142" t="inlineStr">
        <is>
          <t>C10175</t>
        </is>
      </c>
      <c r="D8142" t="inlineStr">
        <is>
          <t>SKU-10153</t>
        </is>
      </c>
      <c r="E8142" t="inlineStr">
        <is>
          <t>AM01</t>
        </is>
      </c>
      <c r="F8142" s="5" t="n">
        <v>89.92</v>
      </c>
      <c r="G8142">
        <f>IF(LEFT(B8142,1)="C","Credit","Factuur")</f>
        <v/>
      </c>
      <c r="H8142">
        <f>IF(AND(B8142=B8141,D8142=D8141,A8142=A8141,F8142=F8141),1,0)</f>
        <v/>
      </c>
      <c r="I8142">
        <f>IF(C8142="C99999",1,0)</f>
        <v/>
      </c>
      <c r="J8142" s="5">
        <f>IF(OR(H8142=1,I8142=1),0,IF(G8142="Credit",-F8142,F8142))</f>
        <v/>
      </c>
    </row>
    <row r="8143">
      <c r="A8143" t="inlineStr">
        <is>
          <t>2026-09-14</t>
        </is>
      </c>
      <c r="B8143" t="inlineStr">
        <is>
          <t>C900834</t>
        </is>
      </c>
      <c r="C8143" t="inlineStr">
        <is>
          <t>C11140</t>
        </is>
      </c>
      <c r="D8143" t="inlineStr">
        <is>
          <t>SKU-10052</t>
        </is>
      </c>
      <c r="E8143" t="inlineStr">
        <is>
          <t>AM11</t>
        </is>
      </c>
      <c r="F8143" s="5" t="n">
        <v>157.83</v>
      </c>
      <c r="G8143">
        <f>IF(LEFT(B8143,1)="C","Credit","Factuur")</f>
        <v/>
      </c>
      <c r="H8143">
        <f>IF(AND(B8143=B8142,D8143=D8142,A8143=A8142,F8143=F8142),1,0)</f>
        <v/>
      </c>
      <c r="I8143">
        <f>IF(C8143="C99999",1,0)</f>
        <v/>
      </c>
      <c r="J8143" s="5">
        <f>IF(OR(H8143=1,I8143=1),0,IF(G8143="Credit",-F8143,F8143))</f>
        <v/>
      </c>
    </row>
    <row r="8144">
      <c r="A8144" t="inlineStr">
        <is>
          <t>2026-09-14</t>
        </is>
      </c>
      <c r="B8144" t="inlineStr">
        <is>
          <t>C901000</t>
        </is>
      </c>
      <c r="C8144" t="inlineStr">
        <is>
          <t>C10489</t>
        </is>
      </c>
      <c r="D8144" t="inlineStr">
        <is>
          <t>SKU-10059</t>
        </is>
      </c>
      <c r="E8144" t="inlineStr"/>
      <c r="F8144" s="5" t="n">
        <v>169.92</v>
      </c>
      <c r="G8144">
        <f>IF(LEFT(B8144,1)="C","Credit","Factuur")</f>
        <v/>
      </c>
      <c r="H8144">
        <f>IF(AND(B8144=B8143,D8144=D8143,A8144=A8143,F8144=F8143),1,0)</f>
        <v/>
      </c>
      <c r="I8144">
        <f>IF(C8144="C99999",1,0)</f>
        <v/>
      </c>
      <c r="J8144" s="5">
        <f>IF(OR(H8144=1,I8144=1),0,IF(G8144="Credit",-F8144,F8144))</f>
        <v/>
      </c>
    </row>
    <row r="8145">
      <c r="A8145" t="inlineStr">
        <is>
          <t>2026-09-14</t>
        </is>
      </c>
      <c r="B8145" t="inlineStr">
        <is>
          <t>C901311</t>
        </is>
      </c>
      <c r="C8145" t="inlineStr">
        <is>
          <t>C10112</t>
        </is>
      </c>
      <c r="D8145" t="inlineStr">
        <is>
          <t>SKU-10030</t>
        </is>
      </c>
      <c r="E8145" t="inlineStr">
        <is>
          <t>AM06</t>
        </is>
      </c>
      <c r="F8145" s="5" t="n">
        <v>74.19</v>
      </c>
      <c r="G8145">
        <f>IF(LEFT(B8145,1)="C","Credit","Factuur")</f>
        <v/>
      </c>
      <c r="H8145">
        <f>IF(AND(B8145=B8144,D8145=D8144,A8145=A8144,F8145=F8144),1,0)</f>
        <v/>
      </c>
      <c r="I8145">
        <f>IF(C8145="C99999",1,0)</f>
        <v/>
      </c>
      <c r="J8145" s="5">
        <f>IF(OR(H8145=1,I8145=1),0,IF(G8145="Credit",-F8145,F8145))</f>
        <v/>
      </c>
    </row>
    <row r="8146">
      <c r="A8146" t="inlineStr">
        <is>
          <t>2026-09-14</t>
        </is>
      </c>
      <c r="B8146" t="inlineStr">
        <is>
          <t>C901575</t>
        </is>
      </c>
      <c r="C8146" t="inlineStr">
        <is>
          <t>C10292</t>
        </is>
      </c>
      <c r="D8146" t="inlineStr">
        <is>
          <t>SKU-10112</t>
        </is>
      </c>
      <c r="E8146" t="inlineStr">
        <is>
          <t>AM05</t>
        </is>
      </c>
      <c r="F8146" s="5" t="n">
        <v>93.48</v>
      </c>
      <c r="G8146">
        <f>IF(LEFT(B8146,1)="C","Credit","Factuur")</f>
        <v/>
      </c>
      <c r="H8146">
        <f>IF(AND(B8146=B8145,D8146=D8145,A8146=A8145,F8146=F8145),1,0)</f>
        <v/>
      </c>
      <c r="I8146">
        <f>IF(C8146="C99999",1,0)</f>
        <v/>
      </c>
      <c r="J8146" s="5">
        <f>IF(OR(H8146=1,I8146=1),0,IF(G8146="Credit",-F8146,F8146))</f>
        <v/>
      </c>
    </row>
    <row r="8147">
      <c r="A8147" t="inlineStr">
        <is>
          <t>2026-09-14</t>
        </is>
      </c>
      <c r="B8147" t="inlineStr">
        <is>
          <t>C901637</t>
        </is>
      </c>
      <c r="C8147" t="inlineStr">
        <is>
          <t>C10437</t>
        </is>
      </c>
      <c r="D8147" t="inlineStr">
        <is>
          <t>SKU-10042</t>
        </is>
      </c>
      <c r="E8147" t="inlineStr">
        <is>
          <t>AM11</t>
        </is>
      </c>
      <c r="F8147" s="5" t="n">
        <v>309.51</v>
      </c>
      <c r="G8147">
        <f>IF(LEFT(B8147,1)="C","Credit","Factuur")</f>
        <v/>
      </c>
      <c r="H8147">
        <f>IF(AND(B8147=B8146,D8147=D8146,A8147=A8146,F8147=F8146),1,0)</f>
        <v/>
      </c>
      <c r="I8147">
        <f>IF(C8147="C99999",1,0)</f>
        <v/>
      </c>
      <c r="J8147" s="5">
        <f>IF(OR(H8147=1,I8147=1),0,IF(G8147="Credit",-F8147,F8147))</f>
        <v/>
      </c>
    </row>
    <row r="8148">
      <c r="A8148" t="inlineStr">
        <is>
          <t>2026-09-14</t>
        </is>
      </c>
      <c r="B8148" t="inlineStr">
        <is>
          <t>C901715</t>
        </is>
      </c>
      <c r="C8148" t="inlineStr">
        <is>
          <t>C11275</t>
        </is>
      </c>
      <c r="D8148" t="inlineStr">
        <is>
          <t>SKU-10129</t>
        </is>
      </c>
      <c r="E8148" t="inlineStr">
        <is>
          <t>AM01</t>
        </is>
      </c>
      <c r="F8148" s="5" t="n">
        <v>196.9</v>
      </c>
      <c r="G8148">
        <f>IF(LEFT(B8148,1)="C","Credit","Factuur")</f>
        <v/>
      </c>
      <c r="H8148">
        <f>IF(AND(B8148=B8147,D8148=D8147,A8148=A8147,F8148=F8147),1,0)</f>
        <v/>
      </c>
      <c r="I8148">
        <f>IF(C8148="C99999",1,0)</f>
        <v/>
      </c>
      <c r="J8148" s="5">
        <f>IF(OR(H8148=1,I8148=1),0,IF(G8148="Credit",-F8148,F8148))</f>
        <v/>
      </c>
    </row>
    <row r="8149">
      <c r="A8149" t="inlineStr">
        <is>
          <t>2026-09-14</t>
        </is>
      </c>
      <c r="B8149" t="inlineStr">
        <is>
          <t>C901892</t>
        </is>
      </c>
      <c r="C8149" t="inlineStr">
        <is>
          <t>C11165</t>
        </is>
      </c>
      <c r="D8149" t="inlineStr">
        <is>
          <t>SKU-10057</t>
        </is>
      </c>
      <c r="E8149" t="inlineStr">
        <is>
          <t>AM03</t>
        </is>
      </c>
      <c r="F8149" s="5" t="n">
        <v>135</v>
      </c>
      <c r="G8149">
        <f>IF(LEFT(B8149,1)="C","Credit","Factuur")</f>
        <v/>
      </c>
      <c r="H8149">
        <f>IF(AND(B8149=B8148,D8149=D8148,A8149=A8148,F8149=F8148),1,0)</f>
        <v/>
      </c>
      <c r="I8149">
        <f>IF(C8149="C99999",1,0)</f>
        <v/>
      </c>
      <c r="J8149" s="5">
        <f>IF(OR(H8149=1,I8149=1),0,IF(G8149="Credit",-F8149,F8149))</f>
        <v/>
      </c>
    </row>
    <row r="8150">
      <c r="A8150" t="inlineStr">
        <is>
          <t>2026-09-14</t>
        </is>
      </c>
      <c r="B8150" t="inlineStr">
        <is>
          <t>F260018</t>
        </is>
      </c>
      <c r="C8150" t="inlineStr">
        <is>
          <t>C10003</t>
        </is>
      </c>
      <c r="D8150" t="inlineStr">
        <is>
          <t>SKU-10112</t>
        </is>
      </c>
      <c r="E8150" t="inlineStr">
        <is>
          <t>AM01</t>
        </is>
      </c>
      <c r="F8150" s="5" t="n">
        <v>88.81</v>
      </c>
      <c r="G8150">
        <f>IF(LEFT(B8150,1)="C","Credit","Factuur")</f>
        <v/>
      </c>
      <c r="H8150">
        <f>IF(AND(B8150=B8149,D8150=D8149,A8150=A8149,F8150=F8149),1,0)</f>
        <v/>
      </c>
      <c r="I8150">
        <f>IF(C8150="C99999",1,0)</f>
        <v/>
      </c>
      <c r="J8150" s="5">
        <f>IF(OR(H8150=1,I8150=1),0,IF(G8150="Credit",-F8150,F8150))</f>
        <v/>
      </c>
    </row>
    <row r="8151">
      <c r="A8151" t="inlineStr">
        <is>
          <t>2026-09-14</t>
        </is>
      </c>
      <c r="B8151" t="inlineStr">
        <is>
          <t>F260018</t>
        </is>
      </c>
      <c r="C8151" t="inlineStr">
        <is>
          <t>C10003</t>
        </is>
      </c>
      <c r="D8151" t="inlineStr">
        <is>
          <t>SKU-10279</t>
        </is>
      </c>
      <c r="E8151" t="inlineStr">
        <is>
          <t>AM01</t>
        </is>
      </c>
      <c r="F8151" s="5" t="n">
        <v>116.06</v>
      </c>
      <c r="G8151">
        <f>IF(LEFT(B8151,1)="C","Credit","Factuur")</f>
        <v/>
      </c>
      <c r="H8151">
        <f>IF(AND(B8151=B8150,D8151=D8150,A8151=A8150,F8151=F8150),1,0)</f>
        <v/>
      </c>
      <c r="I8151">
        <f>IF(C8151="C99999",1,0)</f>
        <v/>
      </c>
      <c r="J8151" s="5">
        <f>IF(OR(H8151=1,I8151=1),0,IF(G8151="Credit",-F8151,F8151))</f>
        <v/>
      </c>
    </row>
    <row r="8152">
      <c r="A8152" t="inlineStr">
        <is>
          <t>2026-09-14</t>
        </is>
      </c>
      <c r="B8152" t="inlineStr">
        <is>
          <t>F260018</t>
        </is>
      </c>
      <c r="C8152" t="inlineStr">
        <is>
          <t>C10003</t>
        </is>
      </c>
      <c r="D8152" t="inlineStr">
        <is>
          <t>SKU-10318</t>
        </is>
      </c>
      <c r="E8152" t="inlineStr">
        <is>
          <t>AM01</t>
        </is>
      </c>
      <c r="F8152" s="5" t="n">
        <v>122.1</v>
      </c>
      <c r="G8152">
        <f>IF(LEFT(B8152,1)="C","Credit","Factuur")</f>
        <v/>
      </c>
      <c r="H8152">
        <f>IF(AND(B8152=B8151,D8152=D8151,A8152=A8151,F8152=F8151),1,0)</f>
        <v/>
      </c>
      <c r="I8152">
        <f>IF(C8152="C99999",1,0)</f>
        <v/>
      </c>
      <c r="J8152" s="5">
        <f>IF(OR(H8152=1,I8152=1),0,IF(G8152="Credit",-F8152,F8152))</f>
        <v/>
      </c>
    </row>
    <row r="8153">
      <c r="A8153" t="inlineStr">
        <is>
          <t>2026-09-14</t>
        </is>
      </c>
      <c r="B8153" t="inlineStr">
        <is>
          <t>F260163</t>
        </is>
      </c>
      <c r="C8153" t="inlineStr">
        <is>
          <t>C10010</t>
        </is>
      </c>
      <c r="D8153" t="inlineStr">
        <is>
          <t>SKU-10154</t>
        </is>
      </c>
      <c r="E8153" t="inlineStr">
        <is>
          <t>IS02</t>
        </is>
      </c>
      <c r="F8153" s="5" t="n">
        <v>49.14</v>
      </c>
      <c r="G8153">
        <f>IF(LEFT(B8153,1)="C","Credit","Factuur")</f>
        <v/>
      </c>
      <c r="H8153">
        <f>IF(AND(B8153=B8152,D8153=D8152,A8153=A8152,F8153=F8152),1,0)</f>
        <v/>
      </c>
      <c r="I8153">
        <f>IF(C8153="C99999",1,0)</f>
        <v/>
      </c>
      <c r="J8153" s="5">
        <f>IF(OR(H8153=1,I8153=1),0,IF(G8153="Credit",-F8153,F8153))</f>
        <v/>
      </c>
    </row>
    <row r="8154">
      <c r="A8154" t="inlineStr">
        <is>
          <t>2026-09-14</t>
        </is>
      </c>
      <c r="B8154" t="inlineStr">
        <is>
          <t>F260163</t>
        </is>
      </c>
      <c r="C8154" t="inlineStr">
        <is>
          <t>C10010</t>
        </is>
      </c>
      <c r="D8154" t="inlineStr">
        <is>
          <t>SKU-10250</t>
        </is>
      </c>
      <c r="E8154" t="inlineStr">
        <is>
          <t>IS02</t>
        </is>
      </c>
      <c r="F8154" s="5" t="n">
        <v>47.88</v>
      </c>
      <c r="G8154">
        <f>IF(LEFT(B8154,1)="C","Credit","Factuur")</f>
        <v/>
      </c>
      <c r="H8154">
        <f>IF(AND(B8154=B8153,D8154=D8153,A8154=A8153,F8154=F8153),1,0)</f>
        <v/>
      </c>
      <c r="I8154">
        <f>IF(C8154="C99999",1,0)</f>
        <v/>
      </c>
      <c r="J8154" s="5">
        <f>IF(OR(H8154=1,I8154=1),0,IF(G8154="Credit",-F8154,F8154))</f>
        <v/>
      </c>
    </row>
    <row r="8155">
      <c r="A8155" t="inlineStr">
        <is>
          <t>2026-09-14</t>
        </is>
      </c>
      <c r="B8155" t="inlineStr">
        <is>
          <t>F260163</t>
        </is>
      </c>
      <c r="C8155" t="inlineStr">
        <is>
          <t>C10010</t>
        </is>
      </c>
      <c r="D8155" t="inlineStr">
        <is>
          <t>SKU-10306</t>
        </is>
      </c>
      <c r="E8155" t="inlineStr">
        <is>
          <t>IS02</t>
        </is>
      </c>
      <c r="F8155" s="5" t="n">
        <v>45.94</v>
      </c>
      <c r="G8155">
        <f>IF(LEFT(B8155,1)="C","Credit","Factuur")</f>
        <v/>
      </c>
      <c r="H8155">
        <f>IF(AND(B8155=B8154,D8155=D8154,A8155=A8154,F8155=F8154),1,0)</f>
        <v/>
      </c>
      <c r="I8155">
        <f>IF(C8155="C99999",1,0)</f>
        <v/>
      </c>
      <c r="J8155" s="5">
        <f>IF(OR(H8155=1,I8155=1),0,IF(G8155="Credit",-F8155,F8155))</f>
        <v/>
      </c>
    </row>
    <row r="8156">
      <c r="A8156" t="inlineStr">
        <is>
          <t>2026-09-14</t>
        </is>
      </c>
      <c r="B8156" t="inlineStr">
        <is>
          <t>F260317</t>
        </is>
      </c>
      <c r="C8156" t="inlineStr">
        <is>
          <t>C10019</t>
        </is>
      </c>
      <c r="D8156" t="inlineStr">
        <is>
          <t>SKU-10120</t>
        </is>
      </c>
      <c r="E8156" t="inlineStr">
        <is>
          <t>AM02</t>
        </is>
      </c>
      <c r="F8156" s="5" t="n">
        <v>141.9</v>
      </c>
      <c r="G8156">
        <f>IF(LEFT(B8156,1)="C","Credit","Factuur")</f>
        <v/>
      </c>
      <c r="H8156">
        <f>IF(AND(B8156=B8155,D8156=D8155,A8156=A8155,F8156=F8155),1,0)</f>
        <v/>
      </c>
      <c r="I8156">
        <f>IF(C8156="C99999",1,0)</f>
        <v/>
      </c>
      <c r="J8156" s="5">
        <f>IF(OR(H8156=1,I8156=1),0,IF(G8156="Credit",-F8156,F8156))</f>
        <v/>
      </c>
    </row>
    <row r="8157">
      <c r="A8157" t="inlineStr">
        <is>
          <t>2026-09-14</t>
        </is>
      </c>
      <c r="B8157" t="inlineStr">
        <is>
          <t>F260317</t>
        </is>
      </c>
      <c r="C8157" t="inlineStr">
        <is>
          <t>C10019</t>
        </is>
      </c>
      <c r="D8157" t="inlineStr">
        <is>
          <t>SKU-10294</t>
        </is>
      </c>
      <c r="E8157" t="inlineStr">
        <is>
          <t>AM02</t>
        </is>
      </c>
      <c r="F8157" s="5" t="n">
        <v>147.48</v>
      </c>
      <c r="G8157">
        <f>IF(LEFT(B8157,1)="C","Credit","Factuur")</f>
        <v/>
      </c>
      <c r="H8157">
        <f>IF(AND(B8157=B8156,D8157=D8156,A8157=A8156,F8157=F8156),1,0)</f>
        <v/>
      </c>
      <c r="I8157">
        <f>IF(C8157="C99999",1,0)</f>
        <v/>
      </c>
      <c r="J8157" s="5">
        <f>IF(OR(H8157=1,I8157=1),0,IF(G8157="Credit",-F8157,F8157))</f>
        <v/>
      </c>
    </row>
    <row r="8158">
      <c r="A8158" t="inlineStr">
        <is>
          <t>2026-09-14</t>
        </is>
      </c>
      <c r="B8158" t="inlineStr">
        <is>
          <t>F260317</t>
        </is>
      </c>
      <c r="C8158" t="inlineStr">
        <is>
          <t>C10019</t>
        </is>
      </c>
      <c r="D8158" t="inlineStr">
        <is>
          <t>SKU-10303</t>
        </is>
      </c>
      <c r="E8158" t="inlineStr">
        <is>
          <t>AM02</t>
        </is>
      </c>
      <c r="F8158" s="5" t="n">
        <v>122.96</v>
      </c>
      <c r="G8158">
        <f>IF(LEFT(B8158,1)="C","Credit","Factuur")</f>
        <v/>
      </c>
      <c r="H8158">
        <f>IF(AND(B8158=B8157,D8158=D8157,A8158=A8157,F8158=F8157),1,0)</f>
        <v/>
      </c>
      <c r="I8158">
        <f>IF(C8158="C99999",1,0)</f>
        <v/>
      </c>
      <c r="J8158" s="5">
        <f>IF(OR(H8158=1,I8158=1),0,IF(G8158="Credit",-F8158,F8158))</f>
        <v/>
      </c>
    </row>
    <row r="8159">
      <c r="A8159" t="inlineStr">
        <is>
          <t>2026-09-14</t>
        </is>
      </c>
      <c r="B8159" t="inlineStr">
        <is>
          <t>F260386</t>
        </is>
      </c>
      <c r="C8159" t="inlineStr">
        <is>
          <t>C10022</t>
        </is>
      </c>
      <c r="D8159" t="inlineStr">
        <is>
          <t>SKU-10305</t>
        </is>
      </c>
      <c r="E8159" t="inlineStr">
        <is>
          <t>AM08</t>
        </is>
      </c>
      <c r="F8159" s="5" t="n">
        <v>714.74</v>
      </c>
      <c r="G8159">
        <f>IF(LEFT(B8159,1)="C","Credit","Factuur")</f>
        <v/>
      </c>
      <c r="H8159">
        <f>IF(AND(B8159=B8158,D8159=D8158,A8159=A8158,F8159=F8158),1,0)</f>
        <v/>
      </c>
      <c r="I8159">
        <f>IF(C8159="C99999",1,0)</f>
        <v/>
      </c>
      <c r="J8159" s="5">
        <f>IF(OR(H8159=1,I8159=1),0,IF(G8159="Credit",-F8159,F8159))</f>
        <v/>
      </c>
    </row>
    <row r="8160">
      <c r="A8160" t="inlineStr">
        <is>
          <t>2026-09-14</t>
        </is>
      </c>
      <c r="B8160" t="inlineStr">
        <is>
          <t>F260386</t>
        </is>
      </c>
      <c r="C8160" t="inlineStr">
        <is>
          <t>C10022</t>
        </is>
      </c>
      <c r="D8160" t="inlineStr">
        <is>
          <t>SKU-10374</t>
        </is>
      </c>
      <c r="E8160" t="inlineStr">
        <is>
          <t>AM08</t>
        </is>
      </c>
      <c r="F8160" s="5" t="n">
        <v>780.38</v>
      </c>
      <c r="G8160">
        <f>IF(LEFT(B8160,1)="C","Credit","Factuur")</f>
        <v/>
      </c>
      <c r="H8160">
        <f>IF(AND(B8160=B8159,D8160=D8159,A8160=A8159,F8160=F8159),1,0)</f>
        <v/>
      </c>
      <c r="I8160">
        <f>IF(C8160="C99999",1,0)</f>
        <v/>
      </c>
      <c r="J8160" s="5">
        <f>IF(OR(H8160=1,I8160=1),0,IF(G8160="Credit",-F8160,F8160))</f>
        <v/>
      </c>
    </row>
    <row r="8161">
      <c r="A8161" t="inlineStr">
        <is>
          <t>2026-09-14</t>
        </is>
      </c>
      <c r="B8161" t="inlineStr">
        <is>
          <t>F260934</t>
        </is>
      </c>
      <c r="C8161" t="inlineStr">
        <is>
          <t>C10053</t>
        </is>
      </c>
      <c r="D8161" t="inlineStr">
        <is>
          <t>SKU-10056</t>
        </is>
      </c>
      <c r="E8161" t="inlineStr">
        <is>
          <t>AM11</t>
        </is>
      </c>
      <c r="F8161" s="5" t="n">
        <v>640</v>
      </c>
      <c r="G8161">
        <f>IF(LEFT(B8161,1)="C","Credit","Factuur")</f>
        <v/>
      </c>
      <c r="H8161">
        <f>IF(AND(B8161=B8160,D8161=D8160,A8161=A8160,F8161=F8160),1,0)</f>
        <v/>
      </c>
      <c r="I8161">
        <f>IF(C8161="C99999",1,0)</f>
        <v/>
      </c>
      <c r="J8161" s="5">
        <f>IF(OR(H8161=1,I8161=1),0,IF(G8161="Credit",-F8161,F8161))</f>
        <v/>
      </c>
    </row>
    <row r="8162">
      <c r="A8162" t="inlineStr">
        <is>
          <t>2026-09-14</t>
        </is>
      </c>
      <c r="B8162" t="inlineStr">
        <is>
          <t>F260934</t>
        </is>
      </c>
      <c r="C8162" t="inlineStr">
        <is>
          <t>C10053</t>
        </is>
      </c>
      <c r="D8162" t="inlineStr">
        <is>
          <t>SKU-10169</t>
        </is>
      </c>
      <c r="E8162" t="inlineStr">
        <is>
          <t>AM11</t>
        </is>
      </c>
      <c r="F8162" s="5" t="n">
        <v>615.66</v>
      </c>
      <c r="G8162">
        <f>IF(LEFT(B8162,1)="C","Credit","Factuur")</f>
        <v/>
      </c>
      <c r="H8162">
        <f>IF(AND(B8162=B8161,D8162=D8161,A8162=A8161,F8162=F8161),1,0)</f>
        <v/>
      </c>
      <c r="I8162">
        <f>IF(C8162="C99999",1,0)</f>
        <v/>
      </c>
      <c r="J8162" s="5">
        <f>IF(OR(H8162=1,I8162=1),0,IF(G8162="Credit",-F8162,F8162))</f>
        <v/>
      </c>
    </row>
    <row r="8163">
      <c r="A8163" t="inlineStr">
        <is>
          <t>2026-09-14</t>
        </is>
      </c>
      <c r="B8163" t="inlineStr">
        <is>
          <t>F260998</t>
        </is>
      </c>
      <c r="C8163" t="inlineStr">
        <is>
          <t>C10058</t>
        </is>
      </c>
      <c r="D8163" t="inlineStr">
        <is>
          <t>SKU-10073</t>
        </is>
      </c>
      <c r="E8163" t="inlineStr">
        <is>
          <t>IS01</t>
        </is>
      </c>
      <c r="F8163" s="5" t="n">
        <v>57.04</v>
      </c>
      <c r="G8163">
        <f>IF(LEFT(B8163,1)="C","Credit","Factuur")</f>
        <v/>
      </c>
      <c r="H8163">
        <f>IF(AND(B8163=B8162,D8163=D8162,A8163=A8162,F8163=F8162),1,0)</f>
        <v/>
      </c>
      <c r="I8163">
        <f>IF(C8163="C99999",1,0)</f>
        <v/>
      </c>
      <c r="J8163" s="5">
        <f>IF(OR(H8163=1,I8163=1),0,IF(G8163="Credit",-F8163,F8163))</f>
        <v/>
      </c>
    </row>
    <row r="8164">
      <c r="A8164" t="inlineStr">
        <is>
          <t>2026-09-14</t>
        </is>
      </c>
      <c r="B8164" t="inlineStr">
        <is>
          <t>F260998</t>
        </is>
      </c>
      <c r="C8164" t="inlineStr">
        <is>
          <t>C10058</t>
        </is>
      </c>
      <c r="D8164" t="inlineStr">
        <is>
          <t>SKU-10278</t>
        </is>
      </c>
      <c r="E8164" t="inlineStr">
        <is>
          <t>IS01</t>
        </is>
      </c>
      <c r="F8164" s="5" t="n">
        <v>63.06</v>
      </c>
      <c r="G8164">
        <f>IF(LEFT(B8164,1)="C","Credit","Factuur")</f>
        <v/>
      </c>
      <c r="H8164">
        <f>IF(AND(B8164=B8163,D8164=D8163,A8164=A8163,F8164=F8163),1,0)</f>
        <v/>
      </c>
      <c r="I8164">
        <f>IF(C8164="C99999",1,0)</f>
        <v/>
      </c>
      <c r="J8164" s="5">
        <f>IF(OR(H8164=1,I8164=1),0,IF(G8164="Credit",-F8164,F8164))</f>
        <v/>
      </c>
    </row>
    <row r="8165">
      <c r="A8165" t="inlineStr">
        <is>
          <t>2026-09-14</t>
        </is>
      </c>
      <c r="B8165" t="inlineStr">
        <is>
          <t>F261647</t>
        </is>
      </c>
      <c r="C8165" t="inlineStr">
        <is>
          <t>C10087</t>
        </is>
      </c>
      <c r="D8165" t="inlineStr">
        <is>
          <t>SKU-10062</t>
        </is>
      </c>
      <c r="E8165" t="inlineStr">
        <is>
          <t>AM11</t>
        </is>
      </c>
      <c r="F8165" s="5" t="n">
        <v>106.48</v>
      </c>
      <c r="G8165">
        <f>IF(LEFT(B8165,1)="C","Credit","Factuur")</f>
        <v/>
      </c>
      <c r="H8165">
        <f>IF(AND(B8165=B8164,D8165=D8164,A8165=A8164,F8165=F8164),1,0)</f>
        <v/>
      </c>
      <c r="I8165">
        <f>IF(C8165="C99999",1,0)</f>
        <v/>
      </c>
      <c r="J8165" s="5">
        <f>IF(OR(H8165=1,I8165=1),0,IF(G8165="Credit",-F8165,F8165))</f>
        <v/>
      </c>
    </row>
    <row r="8166">
      <c r="A8166" t="inlineStr">
        <is>
          <t>2026-09-14</t>
        </is>
      </c>
      <c r="B8166" t="inlineStr">
        <is>
          <t>F261647</t>
        </is>
      </c>
      <c r="C8166" t="inlineStr">
        <is>
          <t>C10087</t>
        </is>
      </c>
      <c r="D8166" t="inlineStr">
        <is>
          <t>SKU-10064</t>
        </is>
      </c>
      <c r="E8166" t="inlineStr">
        <is>
          <t>AM11</t>
        </is>
      </c>
      <c r="F8166" s="5" t="n">
        <v>117.84</v>
      </c>
      <c r="G8166">
        <f>IF(LEFT(B8166,1)="C","Credit","Factuur")</f>
        <v/>
      </c>
      <c r="H8166">
        <f>IF(AND(B8166=B8165,D8166=D8165,A8166=A8165,F8166=F8165),1,0)</f>
        <v/>
      </c>
      <c r="I8166">
        <f>IF(C8166="C99999",1,0)</f>
        <v/>
      </c>
      <c r="J8166" s="5">
        <f>IF(OR(H8166=1,I8166=1),0,IF(G8166="Credit",-F8166,F8166))</f>
        <v/>
      </c>
    </row>
    <row r="8167">
      <c r="A8167" t="inlineStr">
        <is>
          <t>2026-09-14</t>
        </is>
      </c>
      <c r="B8167" t="inlineStr">
        <is>
          <t>F261647</t>
        </is>
      </c>
      <c r="C8167" t="inlineStr">
        <is>
          <t>C10087</t>
        </is>
      </c>
      <c r="D8167" t="inlineStr">
        <is>
          <t>SKU-10193</t>
        </is>
      </c>
      <c r="E8167" t="inlineStr">
        <is>
          <t>AM11</t>
        </is>
      </c>
      <c r="F8167" s="5" t="n">
        <v>121.98</v>
      </c>
      <c r="G8167">
        <f>IF(LEFT(B8167,1)="C","Credit","Factuur")</f>
        <v/>
      </c>
      <c r="H8167">
        <f>IF(AND(B8167=B8166,D8167=D8166,A8167=A8166,F8167=F8166),1,0)</f>
        <v/>
      </c>
      <c r="I8167">
        <f>IF(C8167="C99999",1,0)</f>
        <v/>
      </c>
      <c r="J8167" s="5">
        <f>IF(OR(H8167=1,I8167=1),0,IF(G8167="Credit",-F8167,F8167))</f>
        <v/>
      </c>
    </row>
    <row r="8168">
      <c r="A8168" t="inlineStr">
        <is>
          <t>2026-09-14</t>
        </is>
      </c>
      <c r="B8168" t="inlineStr">
        <is>
          <t>F261647</t>
        </is>
      </c>
      <c r="C8168" t="inlineStr">
        <is>
          <t>C10087</t>
        </is>
      </c>
      <c r="D8168" t="inlineStr">
        <is>
          <t>SKU-10197</t>
        </is>
      </c>
      <c r="E8168" t="inlineStr">
        <is>
          <t>AM11</t>
        </is>
      </c>
      <c r="F8168" s="5" t="n">
        <v>128.13</v>
      </c>
      <c r="G8168">
        <f>IF(LEFT(B8168,1)="C","Credit","Factuur")</f>
        <v/>
      </c>
      <c r="H8168">
        <f>IF(AND(B8168=B8167,D8168=D8167,A8168=A8167,F8168=F8167),1,0)</f>
        <v/>
      </c>
      <c r="I8168">
        <f>IF(C8168="C99999",1,0)</f>
        <v/>
      </c>
      <c r="J8168" s="5">
        <f>IF(OR(H8168=1,I8168=1),0,IF(G8168="Credit",-F8168,F8168))</f>
        <v/>
      </c>
    </row>
    <row r="8169">
      <c r="A8169" t="inlineStr">
        <is>
          <t>2026-09-14</t>
        </is>
      </c>
      <c r="B8169" t="inlineStr">
        <is>
          <t>F261647</t>
        </is>
      </c>
      <c r="C8169" t="inlineStr">
        <is>
          <t>C10087</t>
        </is>
      </c>
      <c r="D8169" t="inlineStr">
        <is>
          <t>SKU-10281</t>
        </is>
      </c>
      <c r="E8169" t="inlineStr">
        <is>
          <t>AM11</t>
        </is>
      </c>
      <c r="F8169" s="5" t="n">
        <v>111.87</v>
      </c>
      <c r="G8169">
        <f>IF(LEFT(B8169,1)="C","Credit","Factuur")</f>
        <v/>
      </c>
      <c r="H8169">
        <f>IF(AND(B8169=B8168,D8169=D8168,A8169=A8168,F8169=F8168),1,0)</f>
        <v/>
      </c>
      <c r="I8169">
        <f>IF(C8169="C99999",1,0)</f>
        <v/>
      </c>
      <c r="J8169" s="5">
        <f>IF(OR(H8169=1,I8169=1),0,IF(G8169="Credit",-F8169,F8169))</f>
        <v/>
      </c>
    </row>
    <row r="8170">
      <c r="A8170" t="inlineStr">
        <is>
          <t>2026-09-14</t>
        </is>
      </c>
      <c r="B8170" t="inlineStr">
        <is>
          <t>F261807</t>
        </is>
      </c>
      <c r="C8170" t="inlineStr">
        <is>
          <t>C10096</t>
        </is>
      </c>
      <c r="D8170" t="inlineStr">
        <is>
          <t>SKU-10270</t>
        </is>
      </c>
      <c r="E8170" t="inlineStr">
        <is>
          <t>AM03</t>
        </is>
      </c>
      <c r="F8170" s="5" t="n">
        <v>746.58</v>
      </c>
      <c r="G8170">
        <f>IF(LEFT(B8170,1)="C","Credit","Factuur")</f>
        <v/>
      </c>
      <c r="H8170">
        <f>IF(AND(B8170=B8169,D8170=D8169,A8170=A8169,F8170=F8169),1,0)</f>
        <v/>
      </c>
      <c r="I8170">
        <f>IF(C8170="C99999",1,0)</f>
        <v/>
      </c>
      <c r="J8170" s="5">
        <f>IF(OR(H8170=1,I8170=1),0,IF(G8170="Credit",-F8170,F8170))</f>
        <v/>
      </c>
    </row>
    <row r="8171">
      <c r="A8171" t="inlineStr">
        <is>
          <t>2026-09-14</t>
        </is>
      </c>
      <c r="B8171" t="inlineStr">
        <is>
          <t>F261807</t>
        </is>
      </c>
      <c r="C8171" t="inlineStr">
        <is>
          <t>C10096</t>
        </is>
      </c>
      <c r="D8171" t="inlineStr">
        <is>
          <t>SKU-10317</t>
        </is>
      </c>
      <c r="E8171" t="inlineStr">
        <is>
          <t>AM03</t>
        </is>
      </c>
      <c r="F8171" s="5" t="n">
        <v>748.17</v>
      </c>
      <c r="G8171">
        <f>IF(LEFT(B8171,1)="C","Credit","Factuur")</f>
        <v/>
      </c>
      <c r="H8171">
        <f>IF(AND(B8171=B8170,D8171=D8170,A8171=A8170,F8171=F8170),1,0)</f>
        <v/>
      </c>
      <c r="I8171">
        <f>IF(C8171="C99999",1,0)</f>
        <v/>
      </c>
      <c r="J8171" s="5">
        <f>IF(OR(H8171=1,I8171=1),0,IF(G8171="Credit",-F8171,F8171))</f>
        <v/>
      </c>
    </row>
    <row r="8172">
      <c r="A8172" t="inlineStr">
        <is>
          <t>2026-09-14</t>
        </is>
      </c>
      <c r="B8172" t="inlineStr">
        <is>
          <t>F261807</t>
        </is>
      </c>
      <c r="C8172" t="inlineStr">
        <is>
          <t>C10096</t>
        </is>
      </c>
      <c r="D8172" t="inlineStr">
        <is>
          <t>SKU-10322</t>
        </is>
      </c>
      <c r="E8172" t="inlineStr">
        <is>
          <t>AM03</t>
        </is>
      </c>
      <c r="F8172" s="5" t="n">
        <v>759.08</v>
      </c>
      <c r="G8172">
        <f>IF(LEFT(B8172,1)="C","Credit","Factuur")</f>
        <v/>
      </c>
      <c r="H8172">
        <f>IF(AND(B8172=B8171,D8172=D8171,A8172=A8171,F8172=F8171),1,0)</f>
        <v/>
      </c>
      <c r="I8172">
        <f>IF(C8172="C99999",1,0)</f>
        <v/>
      </c>
      <c r="J8172" s="5">
        <f>IF(OR(H8172=1,I8172=1),0,IF(G8172="Credit",-F8172,F8172))</f>
        <v/>
      </c>
    </row>
    <row r="8173">
      <c r="A8173" t="inlineStr">
        <is>
          <t>2026-09-14</t>
        </is>
      </c>
      <c r="B8173" t="inlineStr">
        <is>
          <t>F261807</t>
        </is>
      </c>
      <c r="C8173" t="inlineStr">
        <is>
          <t>C10096</t>
        </is>
      </c>
      <c r="D8173" t="inlineStr">
        <is>
          <t>SKU-10340</t>
        </is>
      </c>
      <c r="E8173" t="inlineStr">
        <is>
          <t>AM03</t>
        </is>
      </c>
      <c r="F8173" s="5" t="n">
        <v>740.72</v>
      </c>
      <c r="G8173">
        <f>IF(LEFT(B8173,1)="C","Credit","Factuur")</f>
        <v/>
      </c>
      <c r="H8173">
        <f>IF(AND(B8173=B8172,D8173=D8172,A8173=A8172,F8173=F8172),1,0)</f>
        <v/>
      </c>
      <c r="I8173">
        <f>IF(C8173="C99999",1,0)</f>
        <v/>
      </c>
      <c r="J8173" s="5">
        <f>IF(OR(H8173=1,I8173=1),0,IF(G8173="Credit",-F8173,F8173))</f>
        <v/>
      </c>
    </row>
    <row r="8174">
      <c r="A8174" t="inlineStr">
        <is>
          <t>2026-09-14</t>
        </is>
      </c>
      <c r="B8174" t="inlineStr">
        <is>
          <t>F262422</t>
        </is>
      </c>
      <c r="C8174" t="inlineStr">
        <is>
          <t>C10130</t>
        </is>
      </c>
      <c r="D8174" t="inlineStr">
        <is>
          <t>SKU-10003</t>
        </is>
      </c>
      <c r="E8174" t="inlineStr">
        <is>
          <t>AM01</t>
        </is>
      </c>
      <c r="F8174" s="5" t="n">
        <v>148.77</v>
      </c>
      <c r="G8174">
        <f>IF(LEFT(B8174,1)="C","Credit","Factuur")</f>
        <v/>
      </c>
      <c r="H8174">
        <f>IF(AND(B8174=B8173,D8174=D8173,A8174=A8173,F8174=F8173),1,0)</f>
        <v/>
      </c>
      <c r="I8174">
        <f>IF(C8174="C99999",1,0)</f>
        <v/>
      </c>
      <c r="J8174" s="5">
        <f>IF(OR(H8174=1,I8174=1),0,IF(G8174="Credit",-F8174,F8174))</f>
        <v/>
      </c>
    </row>
    <row r="8175">
      <c r="A8175" t="inlineStr">
        <is>
          <t>2026-09-14</t>
        </is>
      </c>
      <c r="B8175" t="inlineStr">
        <is>
          <t>F262422</t>
        </is>
      </c>
      <c r="C8175" t="inlineStr">
        <is>
          <t>C10130</t>
        </is>
      </c>
      <c r="D8175" t="inlineStr">
        <is>
          <t>SKU-10183</t>
        </is>
      </c>
      <c r="E8175" t="inlineStr">
        <is>
          <t>AM01</t>
        </is>
      </c>
      <c r="F8175" s="5" t="n">
        <v>151.38</v>
      </c>
      <c r="G8175">
        <f>IF(LEFT(B8175,1)="C","Credit","Factuur")</f>
        <v/>
      </c>
      <c r="H8175">
        <f>IF(AND(B8175=B8174,D8175=D8174,A8175=A8174,F8175=F8174),1,0)</f>
        <v/>
      </c>
      <c r="I8175">
        <f>IF(C8175="C99999",1,0)</f>
        <v/>
      </c>
      <c r="J8175" s="5">
        <f>IF(OR(H8175=1,I8175=1),0,IF(G8175="Credit",-F8175,F8175))</f>
        <v/>
      </c>
    </row>
    <row r="8176">
      <c r="A8176" t="inlineStr">
        <is>
          <t>2026-09-14</t>
        </is>
      </c>
      <c r="B8176" t="inlineStr">
        <is>
          <t>F262422</t>
        </is>
      </c>
      <c r="C8176" t="inlineStr">
        <is>
          <t>C10130</t>
        </is>
      </c>
      <c r="D8176" t="inlineStr">
        <is>
          <t>SKU-10268</t>
        </is>
      </c>
      <c r="E8176" t="inlineStr">
        <is>
          <t>AM01</t>
        </is>
      </c>
      <c r="F8176" s="5" t="n">
        <v>164.48</v>
      </c>
      <c r="G8176">
        <f>IF(LEFT(B8176,1)="C","Credit","Factuur")</f>
        <v/>
      </c>
      <c r="H8176">
        <f>IF(AND(B8176=B8175,D8176=D8175,A8176=A8175,F8176=F8175),1,0)</f>
        <v/>
      </c>
      <c r="I8176">
        <f>IF(C8176="C99999",1,0)</f>
        <v/>
      </c>
      <c r="J8176" s="5">
        <f>IF(OR(H8176=1,I8176=1),0,IF(G8176="Credit",-F8176,F8176))</f>
        <v/>
      </c>
    </row>
    <row r="8177">
      <c r="A8177" t="inlineStr">
        <is>
          <t>2026-09-14</t>
        </is>
      </c>
      <c r="B8177" t="inlineStr">
        <is>
          <t>F262422</t>
        </is>
      </c>
      <c r="C8177" t="inlineStr">
        <is>
          <t>C10130</t>
        </is>
      </c>
      <c r="D8177" t="inlineStr">
        <is>
          <t>SKU-10337</t>
        </is>
      </c>
      <c r="E8177" t="inlineStr">
        <is>
          <t>AM01</t>
        </is>
      </c>
      <c r="F8177" s="5" t="n">
        <v>179.4</v>
      </c>
      <c r="G8177">
        <f>IF(LEFT(B8177,1)="C","Credit","Factuur")</f>
        <v/>
      </c>
      <c r="H8177">
        <f>IF(AND(B8177=B8176,D8177=D8176,A8177=A8176,F8177=F8176),1,0)</f>
        <v/>
      </c>
      <c r="I8177">
        <f>IF(C8177="C99999",1,0)</f>
        <v/>
      </c>
      <c r="J8177" s="5">
        <f>IF(OR(H8177=1,I8177=1),0,IF(G8177="Credit",-F8177,F8177))</f>
        <v/>
      </c>
    </row>
    <row r="8178">
      <c r="A8178" t="inlineStr">
        <is>
          <t>2026-09-14</t>
        </is>
      </c>
      <c r="B8178" t="inlineStr">
        <is>
          <t>F263419</t>
        </is>
      </c>
      <c r="C8178" t="inlineStr">
        <is>
          <t>C10182</t>
        </is>
      </c>
      <c r="D8178" t="inlineStr">
        <is>
          <t>SKU-10059</t>
        </is>
      </c>
      <c r="E8178" t="inlineStr">
        <is>
          <t>AM02</t>
        </is>
      </c>
      <c r="F8178" s="5" t="n">
        <v>5947.2</v>
      </c>
      <c r="G8178">
        <f>IF(LEFT(B8178,1)="C","Credit","Factuur")</f>
        <v/>
      </c>
      <c r="H8178">
        <f>IF(AND(B8178=B8177,D8178=D8177,A8178=A8177,F8178=F8177),1,0)</f>
        <v/>
      </c>
      <c r="I8178">
        <f>IF(C8178="C99999",1,0)</f>
        <v/>
      </c>
      <c r="J8178" s="5">
        <f>IF(OR(H8178=1,I8178=1),0,IF(G8178="Credit",-F8178,F8178))</f>
        <v/>
      </c>
    </row>
    <row r="8179">
      <c r="A8179" t="inlineStr">
        <is>
          <t>2026-09-14</t>
        </is>
      </c>
      <c r="B8179" t="inlineStr">
        <is>
          <t>F263951</t>
        </is>
      </c>
      <c r="C8179" t="inlineStr">
        <is>
          <t>C10208</t>
        </is>
      </c>
      <c r="D8179" t="inlineStr">
        <is>
          <t>SKU-10272</t>
        </is>
      </c>
      <c r="E8179" t="inlineStr">
        <is>
          <t>AM01</t>
        </is>
      </c>
      <c r="F8179" s="5" t="n">
        <v>1791.98</v>
      </c>
      <c r="G8179">
        <f>IF(LEFT(B8179,1)="C","Credit","Factuur")</f>
        <v/>
      </c>
      <c r="H8179">
        <f>IF(AND(B8179=B8178,D8179=D8178,A8179=A8178,F8179=F8178),1,0)</f>
        <v/>
      </c>
      <c r="I8179">
        <f>IF(C8179="C99999",1,0)</f>
        <v/>
      </c>
      <c r="J8179" s="5">
        <f>IF(OR(H8179=1,I8179=1),0,IF(G8179="Credit",-F8179,F8179))</f>
        <v/>
      </c>
    </row>
    <row r="8180">
      <c r="A8180" t="inlineStr">
        <is>
          <t>2026-09-14</t>
        </is>
      </c>
      <c r="B8180" t="inlineStr">
        <is>
          <t>F264347</t>
        </is>
      </c>
      <c r="C8180" t="inlineStr">
        <is>
          <t>C10227</t>
        </is>
      </c>
      <c r="D8180" t="inlineStr">
        <is>
          <t>SKU-10106</t>
        </is>
      </c>
      <c r="E8180" t="inlineStr">
        <is>
          <t>AM07</t>
        </is>
      </c>
      <c r="F8180" s="5" t="n">
        <v>206.6</v>
      </c>
      <c r="G8180">
        <f>IF(LEFT(B8180,1)="C","Credit","Factuur")</f>
        <v/>
      </c>
      <c r="H8180">
        <f>IF(AND(B8180=B8179,D8180=D8179,A8180=A8179,F8180=F8179),1,0)</f>
        <v/>
      </c>
      <c r="I8180">
        <f>IF(C8180="C99999",1,0)</f>
        <v/>
      </c>
      <c r="J8180" s="5">
        <f>IF(OR(H8180=1,I8180=1),0,IF(G8180="Credit",-F8180,F8180))</f>
        <v/>
      </c>
    </row>
    <row r="8181">
      <c r="A8181" t="inlineStr">
        <is>
          <t>2026-09-14</t>
        </is>
      </c>
      <c r="B8181" t="inlineStr">
        <is>
          <t>F264347</t>
        </is>
      </c>
      <c r="C8181" t="inlineStr">
        <is>
          <t>C10227</t>
        </is>
      </c>
      <c r="D8181" t="inlineStr">
        <is>
          <t>SKU-10186</t>
        </is>
      </c>
      <c r="E8181" t="inlineStr">
        <is>
          <t>AM07</t>
        </is>
      </c>
      <c r="F8181" s="5" t="n">
        <v>214.79</v>
      </c>
      <c r="G8181">
        <f>IF(LEFT(B8181,1)="C","Credit","Factuur")</f>
        <v/>
      </c>
      <c r="H8181">
        <f>IF(AND(B8181=B8180,D8181=D8180,A8181=A8180,F8181=F8180),1,0)</f>
        <v/>
      </c>
      <c r="I8181">
        <f>IF(C8181="C99999",1,0)</f>
        <v/>
      </c>
      <c r="J8181" s="5">
        <f>IF(OR(H8181=1,I8181=1),0,IF(G8181="Credit",-F8181,F8181))</f>
        <v/>
      </c>
    </row>
    <row r="8182">
      <c r="A8182" t="inlineStr">
        <is>
          <t>2026-09-14</t>
        </is>
      </c>
      <c r="B8182" t="inlineStr">
        <is>
          <t>F264347</t>
        </is>
      </c>
      <c r="C8182" t="inlineStr">
        <is>
          <t>C10227</t>
        </is>
      </c>
      <c r="D8182" t="inlineStr">
        <is>
          <t>SKU-10303</t>
        </is>
      </c>
      <c r="E8182" t="inlineStr">
        <is>
          <t>AM07</t>
        </is>
      </c>
      <c r="F8182" s="5" t="n">
        <v>221.88</v>
      </c>
      <c r="G8182">
        <f>IF(LEFT(B8182,1)="C","Credit","Factuur")</f>
        <v/>
      </c>
      <c r="H8182">
        <f>IF(AND(B8182=B8181,D8182=D8181,A8182=A8181,F8182=F8181),1,0)</f>
        <v/>
      </c>
      <c r="I8182">
        <f>IF(C8182="C99999",1,0)</f>
        <v/>
      </c>
      <c r="J8182" s="5">
        <f>IF(OR(H8182=1,I8182=1),0,IF(G8182="Credit",-F8182,F8182))</f>
        <v/>
      </c>
    </row>
    <row r="8183">
      <c r="A8183" t="inlineStr">
        <is>
          <t>2026-09-14</t>
        </is>
      </c>
      <c r="B8183" t="inlineStr">
        <is>
          <t>F264347</t>
        </is>
      </c>
      <c r="C8183" t="inlineStr">
        <is>
          <t>C10227</t>
        </is>
      </c>
      <c r="D8183" t="inlineStr">
        <is>
          <t>SKU-10380</t>
        </is>
      </c>
      <c r="E8183" t="inlineStr">
        <is>
          <t>AM07</t>
        </is>
      </c>
      <c r="F8183" s="5" t="n">
        <v>248.28</v>
      </c>
      <c r="G8183">
        <f>IF(LEFT(B8183,1)="C","Credit","Factuur")</f>
        <v/>
      </c>
      <c r="H8183">
        <f>IF(AND(B8183=B8182,D8183=D8182,A8183=A8182,F8183=F8182),1,0)</f>
        <v/>
      </c>
      <c r="I8183">
        <f>IF(C8183="C99999",1,0)</f>
        <v/>
      </c>
      <c r="J8183" s="5">
        <f>IF(OR(H8183=1,I8183=1),0,IF(G8183="Credit",-F8183,F8183))</f>
        <v/>
      </c>
    </row>
    <row r="8184">
      <c r="A8184" t="inlineStr">
        <is>
          <t>2026-09-14</t>
        </is>
      </c>
      <c r="B8184" t="inlineStr">
        <is>
          <t>F264365</t>
        </is>
      </c>
      <c r="C8184" t="inlineStr">
        <is>
          <t>C10228</t>
        </is>
      </c>
      <c r="D8184" t="inlineStr">
        <is>
          <t>SKU-10007</t>
        </is>
      </c>
      <c r="E8184" t="inlineStr">
        <is>
          <t>AM02</t>
        </is>
      </c>
      <c r="F8184" s="5" t="n">
        <v>404.5</v>
      </c>
      <c r="G8184">
        <f>IF(LEFT(B8184,1)="C","Credit","Factuur")</f>
        <v/>
      </c>
      <c r="H8184">
        <f>IF(AND(B8184=B8183,D8184=D8183,A8184=A8183,F8184=F8183),1,0)</f>
        <v/>
      </c>
      <c r="I8184">
        <f>IF(C8184="C99999",1,0)</f>
        <v/>
      </c>
      <c r="J8184" s="5">
        <f>IF(OR(H8184=1,I8184=1),0,IF(G8184="Credit",-F8184,F8184))</f>
        <v/>
      </c>
    </row>
    <row r="8185">
      <c r="A8185" t="inlineStr">
        <is>
          <t>2026-09-14</t>
        </is>
      </c>
      <c r="B8185" t="inlineStr">
        <is>
          <t>F264365</t>
        </is>
      </c>
      <c r="C8185" t="inlineStr">
        <is>
          <t>C10228</t>
        </is>
      </c>
      <c r="D8185" t="inlineStr">
        <is>
          <t>SKU-10046</t>
        </is>
      </c>
      <c r="E8185" t="inlineStr">
        <is>
          <t>AM02</t>
        </is>
      </c>
      <c r="F8185" s="5" t="n">
        <v>418.17</v>
      </c>
      <c r="G8185">
        <f>IF(LEFT(B8185,1)="C","Credit","Factuur")</f>
        <v/>
      </c>
      <c r="H8185">
        <f>IF(AND(B8185=B8184,D8185=D8184,A8185=A8184,F8185=F8184),1,0)</f>
        <v/>
      </c>
      <c r="I8185">
        <f>IF(C8185="C99999",1,0)</f>
        <v/>
      </c>
      <c r="J8185" s="5">
        <f>IF(OR(H8185=1,I8185=1),0,IF(G8185="Credit",-F8185,F8185))</f>
        <v/>
      </c>
    </row>
    <row r="8186">
      <c r="A8186" t="inlineStr">
        <is>
          <t>2026-09-14</t>
        </is>
      </c>
      <c r="B8186" t="inlineStr">
        <is>
          <t>F264365</t>
        </is>
      </c>
      <c r="C8186" t="inlineStr">
        <is>
          <t>C10228</t>
        </is>
      </c>
      <c r="D8186" t="inlineStr">
        <is>
          <t>SKU-10335</t>
        </is>
      </c>
      <c r="E8186" t="inlineStr">
        <is>
          <t>AM02</t>
        </is>
      </c>
      <c r="F8186" s="5" t="n">
        <v>422.12</v>
      </c>
      <c r="G8186">
        <f>IF(LEFT(B8186,1)="C","Credit","Factuur")</f>
        <v/>
      </c>
      <c r="H8186">
        <f>IF(AND(B8186=B8185,D8186=D8185,A8186=A8185,F8186=F8185),1,0)</f>
        <v/>
      </c>
      <c r="I8186">
        <f>IF(C8186="C99999",1,0)</f>
        <v/>
      </c>
      <c r="J8186" s="5">
        <f>IF(OR(H8186=1,I8186=1),0,IF(G8186="Credit",-F8186,F8186))</f>
        <v/>
      </c>
    </row>
    <row r="8187">
      <c r="A8187" t="inlineStr">
        <is>
          <t>2026-09-14</t>
        </is>
      </c>
      <c r="B8187" t="inlineStr">
        <is>
          <t>F264795</t>
        </is>
      </c>
      <c r="C8187" t="inlineStr">
        <is>
          <t>C10250</t>
        </is>
      </c>
      <c r="D8187" t="inlineStr">
        <is>
          <t>SKU-10072</t>
        </is>
      </c>
      <c r="E8187" t="inlineStr">
        <is>
          <t>AM01</t>
        </is>
      </c>
      <c r="F8187" s="5" t="n">
        <v>261.15</v>
      </c>
      <c r="G8187">
        <f>IF(LEFT(B8187,1)="C","Credit","Factuur")</f>
        <v/>
      </c>
      <c r="H8187">
        <f>IF(AND(B8187=B8186,D8187=D8186,A8187=A8186,F8187=F8186),1,0)</f>
        <v/>
      </c>
      <c r="I8187">
        <f>IF(C8187="C99999",1,0)</f>
        <v/>
      </c>
      <c r="J8187" s="5">
        <f>IF(OR(H8187=1,I8187=1),0,IF(G8187="Credit",-F8187,F8187))</f>
        <v/>
      </c>
    </row>
    <row r="8188">
      <c r="A8188" t="inlineStr">
        <is>
          <t>2026-09-14</t>
        </is>
      </c>
      <c r="B8188" t="inlineStr">
        <is>
          <t>F264795</t>
        </is>
      </c>
      <c r="C8188" t="inlineStr">
        <is>
          <t>C10250</t>
        </is>
      </c>
      <c r="D8188" t="inlineStr">
        <is>
          <t>SKU-10088</t>
        </is>
      </c>
      <c r="E8188" t="inlineStr">
        <is>
          <t>AM01</t>
        </is>
      </c>
      <c r="F8188" s="5" t="n">
        <v>231.45</v>
      </c>
      <c r="G8188">
        <f>IF(LEFT(B8188,1)="C","Credit","Factuur")</f>
        <v/>
      </c>
      <c r="H8188">
        <f>IF(AND(B8188=B8187,D8188=D8187,A8188=A8187,F8188=F8187),1,0)</f>
        <v/>
      </c>
      <c r="I8188">
        <f>IF(C8188="C99999",1,0)</f>
        <v/>
      </c>
      <c r="J8188" s="5">
        <f>IF(OR(H8188=1,I8188=1),0,IF(G8188="Credit",-F8188,F8188))</f>
        <v/>
      </c>
    </row>
    <row r="8189">
      <c r="A8189" t="inlineStr">
        <is>
          <t>2026-09-14</t>
        </is>
      </c>
      <c r="B8189" t="inlineStr">
        <is>
          <t>F264795</t>
        </is>
      </c>
      <c r="C8189" t="inlineStr">
        <is>
          <t>C10250</t>
        </is>
      </c>
      <c r="D8189" t="inlineStr">
        <is>
          <t>SKU-10130</t>
        </is>
      </c>
      <c r="E8189" t="inlineStr">
        <is>
          <t>AM01</t>
        </is>
      </c>
      <c r="F8189" s="5" t="n">
        <v>227.16</v>
      </c>
      <c r="G8189">
        <f>IF(LEFT(B8189,1)="C","Credit","Factuur")</f>
        <v/>
      </c>
      <c r="H8189">
        <f>IF(AND(B8189=B8188,D8189=D8188,A8189=A8188,F8189=F8188),1,0)</f>
        <v/>
      </c>
      <c r="I8189">
        <f>IF(C8189="C99999",1,0)</f>
        <v/>
      </c>
      <c r="J8189" s="5">
        <f>IF(OR(H8189=1,I8189=1),0,IF(G8189="Credit",-F8189,F8189))</f>
        <v/>
      </c>
    </row>
    <row r="8190">
      <c r="A8190" t="inlineStr">
        <is>
          <t>2026-09-14</t>
        </is>
      </c>
      <c r="B8190" t="inlineStr">
        <is>
          <t>F264795</t>
        </is>
      </c>
      <c r="C8190" t="inlineStr">
        <is>
          <t>C10250</t>
        </is>
      </c>
      <c r="D8190" t="inlineStr">
        <is>
          <t>SKU-10145</t>
        </is>
      </c>
      <c r="E8190" t="inlineStr">
        <is>
          <t>AM01</t>
        </is>
      </c>
      <c r="F8190" s="5" t="n">
        <v>238.36</v>
      </c>
      <c r="G8190">
        <f>IF(LEFT(B8190,1)="C","Credit","Factuur")</f>
        <v/>
      </c>
      <c r="H8190">
        <f>IF(AND(B8190=B8189,D8190=D8189,A8190=A8189,F8190=F8189),1,0)</f>
        <v/>
      </c>
      <c r="I8190">
        <f>IF(C8190="C99999",1,0)</f>
        <v/>
      </c>
      <c r="J8190" s="5">
        <f>IF(OR(H8190=1,I8190=1),0,IF(G8190="Credit",-F8190,F8190))</f>
        <v/>
      </c>
    </row>
    <row r="8191">
      <c r="A8191" t="inlineStr">
        <is>
          <t>2026-09-14</t>
        </is>
      </c>
      <c r="B8191" t="inlineStr">
        <is>
          <t>F265507</t>
        </is>
      </c>
      <c r="C8191" t="inlineStr">
        <is>
          <t>C10289</t>
        </is>
      </c>
      <c r="D8191" t="inlineStr">
        <is>
          <t>SKU-10084</t>
        </is>
      </c>
      <c r="E8191" t="inlineStr">
        <is>
          <t>AM07</t>
        </is>
      </c>
      <c r="F8191" s="5" t="n">
        <v>2323.32</v>
      </c>
      <c r="G8191">
        <f>IF(LEFT(B8191,1)="C","Credit","Factuur")</f>
        <v/>
      </c>
      <c r="H8191">
        <f>IF(AND(B8191=B8190,D8191=D8190,A8191=A8190,F8191=F8190),1,0)</f>
        <v/>
      </c>
      <c r="I8191">
        <f>IF(C8191="C99999",1,0)</f>
        <v/>
      </c>
      <c r="J8191" s="5">
        <f>IF(OR(H8191=1,I8191=1),0,IF(G8191="Credit",-F8191,F8191))</f>
        <v/>
      </c>
    </row>
    <row r="8192">
      <c r="A8192" t="inlineStr">
        <is>
          <t>2026-09-14</t>
        </is>
      </c>
      <c r="B8192" t="inlineStr">
        <is>
          <t>F265507</t>
        </is>
      </c>
      <c r="C8192" t="inlineStr">
        <is>
          <t>C10289</t>
        </is>
      </c>
      <c r="D8192" t="inlineStr">
        <is>
          <t>SKU-10175</t>
        </is>
      </c>
      <c r="E8192" t="inlineStr">
        <is>
          <t>AM07</t>
        </is>
      </c>
      <c r="F8192" s="5" t="n">
        <v>2322.08</v>
      </c>
      <c r="G8192">
        <f>IF(LEFT(B8192,1)="C","Credit","Factuur")</f>
        <v/>
      </c>
      <c r="H8192">
        <f>IF(AND(B8192=B8191,D8192=D8191,A8192=A8191,F8192=F8191),1,0)</f>
        <v/>
      </c>
      <c r="I8192">
        <f>IF(C8192="C99999",1,0)</f>
        <v/>
      </c>
      <c r="J8192" s="5">
        <f>IF(OR(H8192=1,I8192=1),0,IF(G8192="Credit",-F8192,F8192))</f>
        <v/>
      </c>
    </row>
    <row r="8193">
      <c r="A8193" t="inlineStr">
        <is>
          <t>2026-09-14</t>
        </is>
      </c>
      <c r="B8193" t="inlineStr">
        <is>
          <t>F265512</t>
        </is>
      </c>
      <c r="C8193" t="inlineStr">
        <is>
          <t>C10290</t>
        </is>
      </c>
      <c r="D8193" t="inlineStr">
        <is>
          <t>SKU-10183</t>
        </is>
      </c>
      <c r="E8193" t="inlineStr">
        <is>
          <t>AM11</t>
        </is>
      </c>
      <c r="F8193" s="5" t="n">
        <v>1730.99</v>
      </c>
      <c r="G8193">
        <f>IF(LEFT(B8193,1)="C","Credit","Factuur")</f>
        <v/>
      </c>
      <c r="H8193">
        <f>IF(AND(B8193=B8192,D8193=D8192,A8193=A8192,F8193=F8192),1,0)</f>
        <v/>
      </c>
      <c r="I8193">
        <f>IF(C8193="C99999",1,0)</f>
        <v/>
      </c>
      <c r="J8193" s="5">
        <f>IF(OR(H8193=1,I8193=1),0,IF(G8193="Credit",-F8193,F8193))</f>
        <v/>
      </c>
    </row>
    <row r="8194">
      <c r="A8194" t="inlineStr">
        <is>
          <t>2026-09-14</t>
        </is>
      </c>
      <c r="B8194" t="inlineStr">
        <is>
          <t>F266371</t>
        </is>
      </c>
      <c r="C8194" t="inlineStr">
        <is>
          <t>C10335</t>
        </is>
      </c>
      <c r="D8194" t="inlineStr">
        <is>
          <t>SKU-10023</t>
        </is>
      </c>
      <c r="E8194" t="inlineStr">
        <is>
          <t>AM02</t>
        </is>
      </c>
      <c r="F8194" s="5" t="n">
        <v>480.51</v>
      </c>
      <c r="G8194">
        <f>IF(LEFT(B8194,1)="C","Credit","Factuur")</f>
        <v/>
      </c>
      <c r="H8194">
        <f>IF(AND(B8194=B8193,D8194=D8193,A8194=A8193,F8194=F8193),1,0)</f>
        <v/>
      </c>
      <c r="I8194">
        <f>IF(C8194="C99999",1,0)</f>
        <v/>
      </c>
      <c r="J8194" s="5">
        <f>IF(OR(H8194=1,I8194=1),0,IF(G8194="Credit",-F8194,F8194))</f>
        <v/>
      </c>
    </row>
    <row r="8195">
      <c r="A8195" t="inlineStr">
        <is>
          <t>2026-09-14</t>
        </is>
      </c>
      <c r="B8195" t="inlineStr">
        <is>
          <t>F266371</t>
        </is>
      </c>
      <c r="C8195" t="inlineStr">
        <is>
          <t>C10335</t>
        </is>
      </c>
      <c r="D8195" t="inlineStr">
        <is>
          <t>SKU-10100</t>
        </is>
      </c>
      <c r="E8195" t="inlineStr">
        <is>
          <t>AM02</t>
        </is>
      </c>
      <c r="F8195" s="5" t="n">
        <v>466.09</v>
      </c>
      <c r="G8195">
        <f>IF(LEFT(B8195,1)="C","Credit","Factuur")</f>
        <v/>
      </c>
      <c r="H8195">
        <f>IF(AND(B8195=B8194,D8195=D8194,A8195=A8194,F8195=F8194),1,0)</f>
        <v/>
      </c>
      <c r="I8195">
        <f>IF(C8195="C99999",1,0)</f>
        <v/>
      </c>
      <c r="J8195" s="5">
        <f>IF(OR(H8195=1,I8195=1),0,IF(G8195="Credit",-F8195,F8195))</f>
        <v/>
      </c>
    </row>
    <row r="8196">
      <c r="A8196" t="inlineStr">
        <is>
          <t>2026-09-14</t>
        </is>
      </c>
      <c r="B8196" t="inlineStr">
        <is>
          <t>F266371</t>
        </is>
      </c>
      <c r="C8196" t="inlineStr">
        <is>
          <t>C10335</t>
        </is>
      </c>
      <c r="D8196" t="inlineStr">
        <is>
          <t>SKU-10185</t>
        </is>
      </c>
      <c r="E8196" t="inlineStr">
        <is>
          <t>AM02</t>
        </is>
      </c>
      <c r="F8196" s="5" t="n">
        <v>494.36</v>
      </c>
      <c r="G8196">
        <f>IF(LEFT(B8196,1)="C","Credit","Factuur")</f>
        <v/>
      </c>
      <c r="H8196">
        <f>IF(AND(B8196=B8195,D8196=D8195,A8196=A8195,F8196=F8195),1,0)</f>
        <v/>
      </c>
      <c r="I8196">
        <f>IF(C8196="C99999",1,0)</f>
        <v/>
      </c>
      <c r="J8196" s="5">
        <f>IF(OR(H8196=1,I8196=1),0,IF(G8196="Credit",-F8196,F8196))</f>
        <v/>
      </c>
    </row>
    <row r="8197">
      <c r="A8197" t="inlineStr">
        <is>
          <t>2026-09-14</t>
        </is>
      </c>
      <c r="B8197" t="inlineStr">
        <is>
          <t>F266371</t>
        </is>
      </c>
      <c r="C8197" t="inlineStr">
        <is>
          <t>C10335</t>
        </is>
      </c>
      <c r="D8197" t="inlineStr">
        <is>
          <t>SKU-10310</t>
        </is>
      </c>
      <c r="E8197" t="inlineStr">
        <is>
          <t>AM02</t>
        </is>
      </c>
      <c r="F8197" s="5" t="n">
        <v>514.97</v>
      </c>
      <c r="G8197">
        <f>IF(LEFT(B8197,1)="C","Credit","Factuur")</f>
        <v/>
      </c>
      <c r="H8197">
        <f>IF(AND(B8197=B8196,D8197=D8196,A8197=A8196,F8197=F8196),1,0)</f>
        <v/>
      </c>
      <c r="I8197">
        <f>IF(C8197="C99999",1,0)</f>
        <v/>
      </c>
      <c r="J8197" s="5">
        <f>IF(OR(H8197=1,I8197=1),0,IF(G8197="Credit",-F8197,F8197))</f>
        <v/>
      </c>
    </row>
    <row r="8198">
      <c r="A8198" t="inlineStr">
        <is>
          <t>2026-09-14</t>
        </is>
      </c>
      <c r="B8198" t="inlineStr">
        <is>
          <t>F266371</t>
        </is>
      </c>
      <c r="C8198" t="inlineStr">
        <is>
          <t>C10335</t>
        </is>
      </c>
      <c r="D8198" t="inlineStr">
        <is>
          <t>SKU-10312</t>
        </is>
      </c>
      <c r="E8198" t="inlineStr">
        <is>
          <t>AM02</t>
        </is>
      </c>
      <c r="F8198" s="5" t="n">
        <v>516</v>
      </c>
      <c r="G8198">
        <f>IF(LEFT(B8198,1)="C","Credit","Factuur")</f>
        <v/>
      </c>
      <c r="H8198">
        <f>IF(AND(B8198=B8197,D8198=D8197,A8198=A8197,F8198=F8197),1,0)</f>
        <v/>
      </c>
      <c r="I8198">
        <f>IF(C8198="C99999",1,0)</f>
        <v/>
      </c>
      <c r="J8198" s="5">
        <f>IF(OR(H8198=1,I8198=1),0,IF(G8198="Credit",-F8198,F8198))</f>
        <v/>
      </c>
    </row>
    <row r="8199">
      <c r="A8199" t="inlineStr">
        <is>
          <t>2026-09-14</t>
        </is>
      </c>
      <c r="B8199" t="inlineStr">
        <is>
          <t>F267207</t>
        </is>
      </c>
      <c r="C8199" t="inlineStr">
        <is>
          <t>C10383</t>
        </is>
      </c>
      <c r="D8199" t="inlineStr">
        <is>
          <t>SKU-10016</t>
        </is>
      </c>
      <c r="E8199" t="inlineStr">
        <is>
          <t>AM05</t>
        </is>
      </c>
      <c r="F8199" s="5" t="n">
        <v>465.06</v>
      </c>
      <c r="G8199">
        <f>IF(LEFT(B8199,1)="C","Credit","Factuur")</f>
        <v/>
      </c>
      <c r="H8199">
        <f>IF(AND(B8199=B8198,D8199=D8198,A8199=A8198,F8199=F8198),1,0)</f>
        <v/>
      </c>
      <c r="I8199">
        <f>IF(C8199="C99999",1,0)</f>
        <v/>
      </c>
      <c r="J8199" s="5">
        <f>IF(OR(H8199=1,I8199=1),0,IF(G8199="Credit",-F8199,F8199))</f>
        <v/>
      </c>
    </row>
    <row r="8200">
      <c r="A8200" t="inlineStr">
        <is>
          <t>2026-09-14</t>
        </is>
      </c>
      <c r="B8200" t="inlineStr">
        <is>
          <t>F267207</t>
        </is>
      </c>
      <c r="C8200" t="inlineStr">
        <is>
          <t>C10383</t>
        </is>
      </c>
      <c r="D8200" t="inlineStr">
        <is>
          <t>SKU-10115</t>
        </is>
      </c>
      <c r="E8200" t="inlineStr">
        <is>
          <t>AM05</t>
        </is>
      </c>
      <c r="F8200" s="5" t="n">
        <v>442.71</v>
      </c>
      <c r="G8200">
        <f>IF(LEFT(B8200,1)="C","Credit","Factuur")</f>
        <v/>
      </c>
      <c r="H8200">
        <f>IF(AND(B8200=B8199,D8200=D8199,A8200=A8199,F8200=F8199),1,0)</f>
        <v/>
      </c>
      <c r="I8200">
        <f>IF(C8200="C99999",1,0)</f>
        <v/>
      </c>
      <c r="J8200" s="5">
        <f>IF(OR(H8200=1,I8200=1),0,IF(G8200="Credit",-F8200,F8200))</f>
        <v/>
      </c>
    </row>
    <row r="8201">
      <c r="A8201" t="inlineStr">
        <is>
          <t>2026-09-14</t>
        </is>
      </c>
      <c r="B8201" t="inlineStr">
        <is>
          <t>F267207</t>
        </is>
      </c>
      <c r="C8201" t="inlineStr">
        <is>
          <t>C10383</t>
        </is>
      </c>
      <c r="D8201" t="inlineStr">
        <is>
          <t>SKU-10306</t>
        </is>
      </c>
      <c r="E8201" t="inlineStr">
        <is>
          <t>AM05</t>
        </is>
      </c>
      <c r="F8201" s="5" t="n">
        <v>390.49</v>
      </c>
      <c r="G8201">
        <f>IF(LEFT(B8201,1)="C","Credit","Factuur")</f>
        <v/>
      </c>
      <c r="H8201">
        <f>IF(AND(B8201=B8200,D8201=D8200,A8201=A8200,F8201=F8200),1,0)</f>
        <v/>
      </c>
      <c r="I8201">
        <f>IF(C8201="C99999",1,0)</f>
        <v/>
      </c>
      <c r="J8201" s="5">
        <f>IF(OR(H8201=1,I8201=1),0,IF(G8201="Credit",-F8201,F8201))</f>
        <v/>
      </c>
    </row>
    <row r="8202">
      <c r="A8202" t="inlineStr">
        <is>
          <t>2026-09-14</t>
        </is>
      </c>
      <c r="B8202" t="inlineStr">
        <is>
          <t>F267207</t>
        </is>
      </c>
      <c r="C8202" t="inlineStr">
        <is>
          <t>C10383</t>
        </is>
      </c>
      <c r="D8202" t="inlineStr">
        <is>
          <t>SKU-10319</t>
        </is>
      </c>
      <c r="E8202" t="inlineStr">
        <is>
          <t>AM05</t>
        </is>
      </c>
      <c r="F8202" s="5" t="n">
        <v>463.04</v>
      </c>
      <c r="G8202">
        <f>IF(LEFT(B8202,1)="C","Credit","Factuur")</f>
        <v/>
      </c>
      <c r="H8202">
        <f>IF(AND(B8202=B8201,D8202=D8201,A8202=A8201,F8202=F8201),1,0)</f>
        <v/>
      </c>
      <c r="I8202">
        <f>IF(C8202="C99999",1,0)</f>
        <v/>
      </c>
      <c r="J8202" s="5">
        <f>IF(OR(H8202=1,I8202=1),0,IF(G8202="Credit",-F8202,F8202))</f>
        <v/>
      </c>
    </row>
    <row r="8203">
      <c r="A8203" t="inlineStr">
        <is>
          <t>2026-09-14</t>
        </is>
      </c>
      <c r="B8203" t="inlineStr">
        <is>
          <t>F267207</t>
        </is>
      </c>
      <c r="C8203" t="inlineStr">
        <is>
          <t>C10383</t>
        </is>
      </c>
      <c r="D8203" t="inlineStr">
        <is>
          <t>SKU-10384</t>
        </is>
      </c>
      <c r="E8203" t="inlineStr">
        <is>
          <t>AM05</t>
        </is>
      </c>
      <c r="F8203" s="5" t="n">
        <v>535.59</v>
      </c>
      <c r="G8203">
        <f>IF(LEFT(B8203,1)="C","Credit","Factuur")</f>
        <v/>
      </c>
      <c r="H8203">
        <f>IF(AND(B8203=B8202,D8203=D8202,A8203=A8202,F8203=F8202),1,0)</f>
        <v/>
      </c>
      <c r="I8203">
        <f>IF(C8203="C99999",1,0)</f>
        <v/>
      </c>
      <c r="J8203" s="5">
        <f>IF(OR(H8203=1,I8203=1),0,IF(G8203="Credit",-F8203,F8203))</f>
        <v/>
      </c>
    </row>
    <row r="8204">
      <c r="A8204" t="inlineStr">
        <is>
          <t>2026-09-14</t>
        </is>
      </c>
      <c r="B8204" t="inlineStr">
        <is>
          <t>F267207</t>
        </is>
      </c>
      <c r="C8204" t="inlineStr">
        <is>
          <t>C10383</t>
        </is>
      </c>
      <c r="D8204" t="inlineStr">
        <is>
          <t>SKU-10385</t>
        </is>
      </c>
      <c r="E8204" t="inlineStr">
        <is>
          <t>AM05</t>
        </is>
      </c>
      <c r="F8204" s="5" t="n">
        <v>409.23</v>
      </c>
      <c r="G8204">
        <f>IF(LEFT(B8204,1)="C","Credit","Factuur")</f>
        <v/>
      </c>
      <c r="H8204">
        <f>IF(AND(B8204=B8203,D8204=D8203,A8204=A8203,F8204=F8203),1,0)</f>
        <v/>
      </c>
      <c r="I8204">
        <f>IF(C8204="C99999",1,0)</f>
        <v/>
      </c>
      <c r="J8204" s="5">
        <f>IF(OR(H8204=1,I8204=1),0,IF(G8204="Credit",-F8204,F8204))</f>
        <v/>
      </c>
    </row>
    <row r="8205">
      <c r="A8205" t="inlineStr">
        <is>
          <t>2026-09-14</t>
        </is>
      </c>
      <c r="B8205" t="inlineStr">
        <is>
          <t>F268726</t>
        </is>
      </c>
      <c r="C8205" t="inlineStr">
        <is>
          <t>C10456</t>
        </is>
      </c>
      <c r="D8205" t="inlineStr">
        <is>
          <t>SKU-10007</t>
        </is>
      </c>
      <c r="E8205" t="inlineStr">
        <is>
          <t>AM07</t>
        </is>
      </c>
      <c r="F8205" s="5" t="n">
        <v>299.63</v>
      </c>
      <c r="G8205">
        <f>IF(LEFT(B8205,1)="C","Credit","Factuur")</f>
        <v/>
      </c>
      <c r="H8205">
        <f>IF(AND(B8205=B8204,D8205=D8204,A8205=A8204,F8205=F8204),1,0)</f>
        <v/>
      </c>
      <c r="I8205">
        <f>IF(C8205="C99999",1,0)</f>
        <v/>
      </c>
      <c r="J8205" s="5">
        <f>IF(OR(H8205=1,I8205=1),0,IF(G8205="Credit",-F8205,F8205))</f>
        <v/>
      </c>
    </row>
    <row r="8206">
      <c r="A8206" t="inlineStr">
        <is>
          <t>2026-09-14</t>
        </is>
      </c>
      <c r="B8206" t="inlineStr">
        <is>
          <t>F268726</t>
        </is>
      </c>
      <c r="C8206" t="inlineStr">
        <is>
          <t>C10456</t>
        </is>
      </c>
      <c r="D8206" t="inlineStr">
        <is>
          <t>SKU-10057</t>
        </is>
      </c>
      <c r="E8206" t="inlineStr">
        <is>
          <t>AM07</t>
        </is>
      </c>
      <c r="F8206" s="5" t="n">
        <v>283.5</v>
      </c>
      <c r="G8206">
        <f>IF(LEFT(B8206,1)="C","Credit","Factuur")</f>
        <v/>
      </c>
      <c r="H8206">
        <f>IF(AND(B8206=B8205,D8206=D8205,A8206=A8205,F8206=F8205),1,0)</f>
        <v/>
      </c>
      <c r="I8206">
        <f>IF(C8206="C99999",1,0)</f>
        <v/>
      </c>
      <c r="J8206" s="5">
        <f>IF(OR(H8206=1,I8206=1),0,IF(G8206="Credit",-F8206,F8206))</f>
        <v/>
      </c>
    </row>
    <row r="8207">
      <c r="A8207" t="inlineStr">
        <is>
          <t>2026-09-14</t>
        </is>
      </c>
      <c r="B8207" t="inlineStr">
        <is>
          <t>F268726</t>
        </is>
      </c>
      <c r="C8207" t="inlineStr">
        <is>
          <t>C10456</t>
        </is>
      </c>
      <c r="D8207" t="inlineStr">
        <is>
          <t>SKU-10263</t>
        </is>
      </c>
      <c r="E8207" t="inlineStr">
        <is>
          <t>AM07</t>
        </is>
      </c>
      <c r="F8207" s="5" t="n">
        <v>317.72</v>
      </c>
      <c r="G8207">
        <f>IF(LEFT(B8207,1)="C","Credit","Factuur")</f>
        <v/>
      </c>
      <c r="H8207">
        <f>IF(AND(B8207=B8206,D8207=D8206,A8207=A8206,F8207=F8206),1,0)</f>
        <v/>
      </c>
      <c r="I8207">
        <f>IF(C8207="C99999",1,0)</f>
        <v/>
      </c>
      <c r="J8207" s="5">
        <f>IF(OR(H8207=1,I8207=1),0,IF(G8207="Credit",-F8207,F8207))</f>
        <v/>
      </c>
    </row>
    <row r="8208">
      <c r="A8208" t="inlineStr">
        <is>
          <t>2026-09-14</t>
        </is>
      </c>
      <c r="B8208" t="inlineStr">
        <is>
          <t>F269050</t>
        </is>
      </c>
      <c r="C8208" t="inlineStr">
        <is>
          <t>C10471</t>
        </is>
      </c>
      <c r="D8208" t="inlineStr">
        <is>
          <t>SKU-10080</t>
        </is>
      </c>
      <c r="E8208" t="inlineStr">
        <is>
          <t>AM01</t>
        </is>
      </c>
      <c r="F8208" s="5" t="n">
        <v>99.63</v>
      </c>
      <c r="G8208">
        <f>IF(LEFT(B8208,1)="C","Credit","Factuur")</f>
        <v/>
      </c>
      <c r="H8208">
        <f>IF(AND(B8208=B8207,D8208=D8207,A8208=A8207,F8208=F8207),1,0)</f>
        <v/>
      </c>
      <c r="I8208">
        <f>IF(C8208="C99999",1,0)</f>
        <v/>
      </c>
      <c r="J8208" s="5">
        <f>IF(OR(H8208=1,I8208=1),0,IF(G8208="Credit",-F8208,F8208))</f>
        <v/>
      </c>
    </row>
    <row r="8209">
      <c r="A8209" t="inlineStr">
        <is>
          <t>2026-09-14</t>
        </is>
      </c>
      <c r="B8209" t="inlineStr">
        <is>
          <t>F269050</t>
        </is>
      </c>
      <c r="C8209" t="inlineStr">
        <is>
          <t>C10471</t>
        </is>
      </c>
      <c r="D8209" t="inlineStr">
        <is>
          <t>SKU-10210</t>
        </is>
      </c>
      <c r="E8209" t="inlineStr">
        <is>
          <t>AM01</t>
        </is>
      </c>
      <c r="F8209" s="5" t="n">
        <v>80.91</v>
      </c>
      <c r="G8209">
        <f>IF(LEFT(B8209,1)="C","Credit","Factuur")</f>
        <v/>
      </c>
      <c r="H8209">
        <f>IF(AND(B8209=B8208,D8209=D8208,A8209=A8208,F8209=F8208),1,0)</f>
        <v/>
      </c>
      <c r="I8209">
        <f>IF(C8209="C99999",1,0)</f>
        <v/>
      </c>
      <c r="J8209" s="5">
        <f>IF(OR(H8209=1,I8209=1),0,IF(G8209="Credit",-F8209,F8209))</f>
        <v/>
      </c>
    </row>
    <row r="8210">
      <c r="A8210" t="inlineStr">
        <is>
          <t>2026-09-14</t>
        </is>
      </c>
      <c r="B8210" t="inlineStr">
        <is>
          <t>F269050</t>
        </is>
      </c>
      <c r="C8210" t="inlineStr">
        <is>
          <t>C10471</t>
        </is>
      </c>
      <c r="D8210" t="inlineStr">
        <is>
          <t>SKU-10334</t>
        </is>
      </c>
      <c r="E8210" t="inlineStr">
        <is>
          <t>AM01</t>
        </is>
      </c>
      <c r="F8210" s="5" t="n">
        <v>108.62</v>
      </c>
      <c r="G8210">
        <f>IF(LEFT(B8210,1)="C","Credit","Factuur")</f>
        <v/>
      </c>
      <c r="H8210">
        <f>IF(AND(B8210=B8209,D8210=D8209,A8210=A8209,F8210=F8209),1,0)</f>
        <v/>
      </c>
      <c r="I8210">
        <f>IF(C8210="C99999",1,0)</f>
        <v/>
      </c>
      <c r="J8210" s="5">
        <f>IF(OR(H8210=1,I8210=1),0,IF(G8210="Credit",-F8210,F8210))</f>
        <v/>
      </c>
    </row>
    <row r="8211">
      <c r="A8211" t="inlineStr">
        <is>
          <t>2026-09-14</t>
        </is>
      </c>
      <c r="B8211" t="inlineStr">
        <is>
          <t>F269050</t>
        </is>
      </c>
      <c r="C8211" t="inlineStr">
        <is>
          <t>C10471</t>
        </is>
      </c>
      <c r="D8211" t="inlineStr">
        <is>
          <t>SKU-10370</t>
        </is>
      </c>
      <c r="E8211" t="inlineStr">
        <is>
          <t>AM01</t>
        </is>
      </c>
      <c r="F8211" s="5" t="n">
        <v>66.43000000000001</v>
      </c>
      <c r="G8211">
        <f>IF(LEFT(B8211,1)="C","Credit","Factuur")</f>
        <v/>
      </c>
      <c r="H8211">
        <f>IF(AND(B8211=B8210,D8211=D8210,A8211=A8210,F8211=F8210),1,0)</f>
        <v/>
      </c>
      <c r="I8211">
        <f>IF(C8211="C99999",1,0)</f>
        <v/>
      </c>
      <c r="J8211" s="5">
        <f>IF(OR(H8211=1,I8211=1),0,IF(G8211="Credit",-F8211,F8211))</f>
        <v/>
      </c>
    </row>
    <row r="8212">
      <c r="A8212" t="inlineStr">
        <is>
          <t>2026-09-14</t>
        </is>
      </c>
      <c r="B8212" t="inlineStr">
        <is>
          <t>F269498</t>
        </is>
      </c>
      <c r="C8212" t="inlineStr">
        <is>
          <t>C10499</t>
        </is>
      </c>
      <c r="D8212" t="inlineStr">
        <is>
          <t>SKU-10334</t>
        </is>
      </c>
      <c r="E8212" t="inlineStr">
        <is>
          <t>AM09</t>
        </is>
      </c>
      <c r="F8212" s="5" t="n">
        <v>6625.82</v>
      </c>
      <c r="G8212">
        <f>IF(LEFT(B8212,1)="C","Credit","Factuur")</f>
        <v/>
      </c>
      <c r="H8212">
        <f>IF(AND(B8212=B8211,D8212=D8211,A8212=A8211,F8212=F8211),1,0)</f>
        <v/>
      </c>
      <c r="I8212">
        <f>IF(C8212="C99999",1,0)</f>
        <v/>
      </c>
      <c r="J8212" s="5">
        <f>IF(OR(H8212=1,I8212=1),0,IF(G8212="Credit",-F8212,F8212))</f>
        <v/>
      </c>
    </row>
    <row r="8213">
      <c r="A8213" t="inlineStr">
        <is>
          <t>2026-09-14</t>
        </is>
      </c>
      <c r="B8213" t="inlineStr">
        <is>
          <t>F270259</t>
        </is>
      </c>
      <c r="C8213" t="inlineStr">
        <is>
          <t>C10541</t>
        </is>
      </c>
      <c r="D8213" t="inlineStr">
        <is>
          <t>SKU-10174</t>
        </is>
      </c>
      <c r="E8213" t="inlineStr">
        <is>
          <t>AM01</t>
        </is>
      </c>
      <c r="F8213" s="5" t="n">
        <v>189.57</v>
      </c>
      <c r="G8213">
        <f>IF(LEFT(B8213,1)="C","Credit","Factuur")</f>
        <v/>
      </c>
      <c r="H8213">
        <f>IF(AND(B8213=B8212,D8213=D8212,A8213=A8212,F8213=F8212),1,0)</f>
        <v/>
      </c>
      <c r="I8213">
        <f>IF(C8213="C99999",1,0)</f>
        <v/>
      </c>
      <c r="J8213" s="5">
        <f>IF(OR(H8213=1,I8213=1),0,IF(G8213="Credit",-F8213,F8213))</f>
        <v/>
      </c>
    </row>
    <row r="8214">
      <c r="A8214" t="inlineStr">
        <is>
          <t>2026-09-14</t>
        </is>
      </c>
      <c r="B8214" t="inlineStr">
        <is>
          <t>F270259</t>
        </is>
      </c>
      <c r="C8214" t="inlineStr">
        <is>
          <t>C10541</t>
        </is>
      </c>
      <c r="D8214" t="inlineStr">
        <is>
          <t>SKU-10313</t>
        </is>
      </c>
      <c r="E8214" t="inlineStr">
        <is>
          <t>AM01</t>
        </is>
      </c>
      <c r="F8214" s="5" t="n">
        <v>198.07</v>
      </c>
      <c r="G8214">
        <f>IF(LEFT(B8214,1)="C","Credit","Factuur")</f>
        <v/>
      </c>
      <c r="H8214">
        <f>IF(AND(B8214=B8213,D8214=D8213,A8214=A8213,F8214=F8213),1,0)</f>
        <v/>
      </c>
      <c r="I8214">
        <f>IF(C8214="C99999",1,0)</f>
        <v/>
      </c>
      <c r="J8214" s="5">
        <f>IF(OR(H8214=1,I8214=1),0,IF(G8214="Credit",-F8214,F8214))</f>
        <v/>
      </c>
    </row>
    <row r="8215">
      <c r="A8215" t="inlineStr">
        <is>
          <t>2026-09-14</t>
        </is>
      </c>
      <c r="B8215" t="inlineStr">
        <is>
          <t>F270468</t>
        </is>
      </c>
      <c r="C8215" t="inlineStr">
        <is>
          <t>C10550</t>
        </is>
      </c>
      <c r="D8215" t="inlineStr">
        <is>
          <t>SKU-10106</t>
        </is>
      </c>
      <c r="E8215" t="inlineStr">
        <is>
          <t>AM03</t>
        </is>
      </c>
      <c r="F8215" s="5" t="n">
        <v>2479.2</v>
      </c>
      <c r="G8215">
        <f>IF(LEFT(B8215,1)="C","Credit","Factuur")</f>
        <v/>
      </c>
      <c r="H8215">
        <f>IF(AND(B8215=B8214,D8215=D8214,A8215=A8214,F8215=F8214),1,0)</f>
        <v/>
      </c>
      <c r="I8215">
        <f>IF(C8215="C99999",1,0)</f>
        <v/>
      </c>
      <c r="J8215" s="5">
        <f>IF(OR(H8215=1,I8215=1),0,IF(G8215="Credit",-F8215,F8215))</f>
        <v/>
      </c>
    </row>
    <row r="8216">
      <c r="A8216" t="inlineStr">
        <is>
          <t>2026-09-14</t>
        </is>
      </c>
      <c r="B8216" t="inlineStr">
        <is>
          <t>F271545</t>
        </is>
      </c>
      <c r="C8216" t="inlineStr">
        <is>
          <t>C10596</t>
        </is>
      </c>
      <c r="D8216" t="inlineStr">
        <is>
          <t>SKU-10004</t>
        </is>
      </c>
      <c r="E8216" t="inlineStr">
        <is>
          <t>AM01</t>
        </is>
      </c>
      <c r="F8216" s="5" t="n">
        <v>178.64</v>
      </c>
      <c r="G8216">
        <f>IF(LEFT(B8216,1)="C","Credit","Factuur")</f>
        <v/>
      </c>
      <c r="H8216">
        <f>IF(AND(B8216=B8215,D8216=D8215,A8216=A8215,F8216=F8215),1,0)</f>
        <v/>
      </c>
      <c r="I8216">
        <f>IF(C8216="C99999",1,0)</f>
        <v/>
      </c>
      <c r="J8216" s="5">
        <f>IF(OR(H8216=1,I8216=1),0,IF(G8216="Credit",-F8216,F8216))</f>
        <v/>
      </c>
    </row>
    <row r="8217">
      <c r="A8217" t="inlineStr">
        <is>
          <t>2026-09-14</t>
        </is>
      </c>
      <c r="B8217" t="inlineStr">
        <is>
          <t>F271545</t>
        </is>
      </c>
      <c r="C8217" t="inlineStr">
        <is>
          <t>C10596</t>
        </is>
      </c>
      <c r="D8217" t="inlineStr">
        <is>
          <t>SKU-10061</t>
        </is>
      </c>
      <c r="E8217" t="inlineStr">
        <is>
          <t>AM01</t>
        </is>
      </c>
      <c r="F8217" s="5" t="n">
        <v>179.55</v>
      </c>
      <c r="G8217">
        <f>IF(LEFT(B8217,1)="C","Credit","Factuur")</f>
        <v/>
      </c>
      <c r="H8217">
        <f>IF(AND(B8217=B8216,D8217=D8216,A8217=A8216,F8217=F8216),1,0)</f>
        <v/>
      </c>
      <c r="I8217">
        <f>IF(C8217="C99999",1,0)</f>
        <v/>
      </c>
      <c r="J8217" s="5">
        <f>IF(OR(H8217=1,I8217=1),0,IF(G8217="Credit",-F8217,F8217))</f>
        <v/>
      </c>
    </row>
    <row r="8218">
      <c r="A8218" t="inlineStr">
        <is>
          <t>2026-09-14</t>
        </is>
      </c>
      <c r="B8218" t="inlineStr">
        <is>
          <t>F271665</t>
        </is>
      </c>
      <c r="C8218" t="inlineStr">
        <is>
          <t>C10600</t>
        </is>
      </c>
      <c r="D8218" t="inlineStr">
        <is>
          <t>SKU-10089</t>
        </is>
      </c>
      <c r="E8218" t="inlineStr">
        <is>
          <t>AM02</t>
        </is>
      </c>
      <c r="F8218" s="5" t="n">
        <v>361.1</v>
      </c>
      <c r="G8218">
        <f>IF(LEFT(B8218,1)="C","Credit","Factuur")</f>
        <v/>
      </c>
      <c r="H8218">
        <f>IF(AND(B8218=B8217,D8218=D8217,A8218=A8217,F8218=F8217),1,0)</f>
        <v/>
      </c>
      <c r="I8218">
        <f>IF(C8218="C99999",1,0)</f>
        <v/>
      </c>
      <c r="J8218" s="5">
        <f>IF(OR(H8218=1,I8218=1),0,IF(G8218="Credit",-F8218,F8218))</f>
        <v/>
      </c>
    </row>
    <row r="8219">
      <c r="A8219" t="inlineStr">
        <is>
          <t>2026-09-14</t>
        </is>
      </c>
      <c r="B8219" t="inlineStr">
        <is>
          <t>F271665</t>
        </is>
      </c>
      <c r="C8219" t="inlineStr">
        <is>
          <t>C10600</t>
        </is>
      </c>
      <c r="D8219" t="inlineStr">
        <is>
          <t>SKU-10282</t>
        </is>
      </c>
      <c r="E8219" t="inlineStr">
        <is>
          <t>AM02</t>
        </is>
      </c>
      <c r="F8219" s="5" t="n">
        <v>368.9</v>
      </c>
      <c r="G8219">
        <f>IF(LEFT(B8219,1)="C","Credit","Factuur")</f>
        <v/>
      </c>
      <c r="H8219">
        <f>IF(AND(B8219=B8218,D8219=D8218,A8219=A8218,F8219=F8218),1,0)</f>
        <v/>
      </c>
      <c r="I8219">
        <f>IF(C8219="C99999",1,0)</f>
        <v/>
      </c>
      <c r="J8219" s="5">
        <f>IF(OR(H8219=1,I8219=1),0,IF(G8219="Credit",-F8219,F8219))</f>
        <v/>
      </c>
    </row>
    <row r="8220">
      <c r="A8220" t="inlineStr">
        <is>
          <t>2026-09-14</t>
        </is>
      </c>
      <c r="B8220" t="inlineStr">
        <is>
          <t>F272590</t>
        </is>
      </c>
      <c r="C8220" t="inlineStr">
        <is>
          <t>C10653</t>
        </is>
      </c>
      <c r="D8220" t="inlineStr">
        <is>
          <t>SKU-10068</t>
        </is>
      </c>
      <c r="E8220" t="inlineStr">
        <is>
          <t>AM08</t>
        </is>
      </c>
      <c r="F8220" s="5" t="n">
        <v>217.8</v>
      </c>
      <c r="G8220">
        <f>IF(LEFT(B8220,1)="C","Credit","Factuur")</f>
        <v/>
      </c>
      <c r="H8220">
        <f>IF(AND(B8220=B8219,D8220=D8219,A8220=A8219,F8220=F8219),1,0)</f>
        <v/>
      </c>
      <c r="I8220">
        <f>IF(C8220="C99999",1,0)</f>
        <v/>
      </c>
      <c r="J8220" s="5">
        <f>IF(OR(H8220=1,I8220=1),0,IF(G8220="Credit",-F8220,F8220))</f>
        <v/>
      </c>
    </row>
    <row r="8221">
      <c r="A8221" t="inlineStr">
        <is>
          <t>2026-09-14</t>
        </is>
      </c>
      <c r="B8221" t="inlineStr">
        <is>
          <t>F272590</t>
        </is>
      </c>
      <c r="C8221" t="inlineStr">
        <is>
          <t>C10653</t>
        </is>
      </c>
      <c r="D8221" t="inlineStr">
        <is>
          <t>SKU-10192</t>
        </is>
      </c>
      <c r="E8221" t="inlineStr">
        <is>
          <t>AM08</t>
        </is>
      </c>
      <c r="F8221" s="5" t="n">
        <v>217.12</v>
      </c>
      <c r="G8221">
        <f>IF(LEFT(B8221,1)="C","Credit","Factuur")</f>
        <v/>
      </c>
      <c r="H8221">
        <f>IF(AND(B8221=B8220,D8221=D8220,A8221=A8220,F8221=F8220),1,0)</f>
        <v/>
      </c>
      <c r="I8221">
        <f>IF(C8221="C99999",1,0)</f>
        <v/>
      </c>
      <c r="J8221" s="5">
        <f>IF(OR(H8221=1,I8221=1),0,IF(G8221="Credit",-F8221,F8221))</f>
        <v/>
      </c>
    </row>
    <row r="8222">
      <c r="A8222" t="inlineStr">
        <is>
          <t>2026-09-14</t>
        </is>
      </c>
      <c r="B8222" t="inlineStr">
        <is>
          <t>F272652</t>
        </is>
      </c>
      <c r="C8222" t="inlineStr">
        <is>
          <t>C10658</t>
        </is>
      </c>
      <c r="D8222" t="inlineStr">
        <is>
          <t>SKU-10065</t>
        </is>
      </c>
      <c r="E8222" t="inlineStr"/>
      <c r="F8222" s="5" t="n">
        <v>325.94</v>
      </c>
      <c r="G8222">
        <f>IF(LEFT(B8222,1)="C","Credit","Factuur")</f>
        <v/>
      </c>
      <c r="H8222">
        <f>IF(AND(B8222=B8221,D8222=D8221,A8222=A8221,F8222=F8221),1,0)</f>
        <v/>
      </c>
      <c r="I8222">
        <f>IF(C8222="C99999",1,0)</f>
        <v/>
      </c>
      <c r="J8222" s="5">
        <f>IF(OR(H8222=1,I8222=1),0,IF(G8222="Credit",-F8222,F8222))</f>
        <v/>
      </c>
    </row>
    <row r="8223">
      <c r="A8223" t="inlineStr">
        <is>
          <t>2026-09-14</t>
        </is>
      </c>
      <c r="B8223" t="inlineStr">
        <is>
          <t>F272652</t>
        </is>
      </c>
      <c r="C8223" t="inlineStr">
        <is>
          <t>C10658</t>
        </is>
      </c>
      <c r="D8223" t="inlineStr">
        <is>
          <t>SKU-10069</t>
        </is>
      </c>
      <c r="E8223" t="inlineStr">
        <is>
          <t>AM11</t>
        </is>
      </c>
      <c r="F8223" s="5" t="n">
        <v>317.01</v>
      </c>
      <c r="G8223">
        <f>IF(LEFT(B8223,1)="C","Credit","Factuur")</f>
        <v/>
      </c>
      <c r="H8223">
        <f>IF(AND(B8223=B8222,D8223=D8222,A8223=A8222,F8223=F8222),1,0)</f>
        <v/>
      </c>
      <c r="I8223">
        <f>IF(C8223="C99999",1,0)</f>
        <v/>
      </c>
      <c r="J8223" s="5">
        <f>IF(OR(H8223=1,I8223=1),0,IF(G8223="Credit",-F8223,F8223))</f>
        <v/>
      </c>
    </row>
    <row r="8224">
      <c r="A8224" t="inlineStr">
        <is>
          <t>2026-09-14</t>
        </is>
      </c>
      <c r="B8224" t="inlineStr">
        <is>
          <t>F272652</t>
        </is>
      </c>
      <c r="C8224" t="inlineStr">
        <is>
          <t>C10658</t>
        </is>
      </c>
      <c r="D8224" t="inlineStr">
        <is>
          <t>SKU-10195</t>
        </is>
      </c>
      <c r="E8224" t="inlineStr">
        <is>
          <t>AM11</t>
        </is>
      </c>
      <c r="F8224" s="5" t="n">
        <v>336.24</v>
      </c>
      <c r="G8224">
        <f>IF(LEFT(B8224,1)="C","Credit","Factuur")</f>
        <v/>
      </c>
      <c r="H8224">
        <f>IF(AND(B8224=B8223,D8224=D8223,A8224=A8223,F8224=F8223),1,0)</f>
        <v/>
      </c>
      <c r="I8224">
        <f>IF(C8224="C99999",1,0)</f>
        <v/>
      </c>
      <c r="J8224" s="5">
        <f>IF(OR(H8224=1,I8224=1),0,IF(G8224="Credit",-F8224,F8224))</f>
        <v/>
      </c>
    </row>
    <row r="8225">
      <c r="A8225" t="inlineStr">
        <is>
          <t>2026-09-14</t>
        </is>
      </c>
      <c r="B8225" t="inlineStr">
        <is>
          <t>F272848</t>
        </is>
      </c>
      <c r="C8225" t="inlineStr">
        <is>
          <t>C10669</t>
        </is>
      </c>
      <c r="D8225" t="inlineStr">
        <is>
          <t>SKU-10088</t>
        </is>
      </c>
      <c r="E8225" t="inlineStr">
        <is>
          <t>AM08</t>
        </is>
      </c>
      <c r="F8225" s="5" t="n">
        <v>354.89</v>
      </c>
      <c r="G8225">
        <f>IF(LEFT(B8225,1)="C","Credit","Factuur")</f>
        <v/>
      </c>
      <c r="H8225">
        <f>IF(AND(B8225=B8224,D8225=D8224,A8225=A8224,F8225=F8224),1,0)</f>
        <v/>
      </c>
      <c r="I8225">
        <f>IF(C8225="C99999",1,0)</f>
        <v/>
      </c>
      <c r="J8225" s="5">
        <f>IF(OR(H8225=1,I8225=1),0,IF(G8225="Credit",-F8225,F8225))</f>
        <v/>
      </c>
    </row>
    <row r="8226">
      <c r="A8226" t="inlineStr">
        <is>
          <t>2026-09-14</t>
        </is>
      </c>
      <c r="B8226" t="inlineStr">
        <is>
          <t>F272848</t>
        </is>
      </c>
      <c r="C8226" t="inlineStr">
        <is>
          <t>C10669</t>
        </is>
      </c>
      <c r="D8226" t="inlineStr">
        <is>
          <t>SKU-10093</t>
        </is>
      </c>
      <c r="E8226" t="inlineStr">
        <is>
          <t>AM08</t>
        </is>
      </c>
      <c r="F8226" s="5" t="n">
        <v>368.18</v>
      </c>
      <c r="G8226">
        <f>IF(LEFT(B8226,1)="C","Credit","Factuur")</f>
        <v/>
      </c>
      <c r="H8226">
        <f>IF(AND(B8226=B8225,D8226=D8225,A8226=A8225,F8226=F8225),1,0)</f>
        <v/>
      </c>
      <c r="I8226">
        <f>IF(C8226="C99999",1,0)</f>
        <v/>
      </c>
      <c r="J8226" s="5">
        <f>IF(OR(H8226=1,I8226=1),0,IF(G8226="Credit",-F8226,F8226))</f>
        <v/>
      </c>
    </row>
    <row r="8227">
      <c r="A8227" t="inlineStr">
        <is>
          <t>2026-09-14</t>
        </is>
      </c>
      <c r="B8227" t="inlineStr">
        <is>
          <t>F272848</t>
        </is>
      </c>
      <c r="C8227" t="inlineStr">
        <is>
          <t>C10669</t>
        </is>
      </c>
      <c r="D8227" t="inlineStr">
        <is>
          <t>SKU-10150</t>
        </is>
      </c>
      <c r="E8227" t="inlineStr">
        <is>
          <t>AM08</t>
        </is>
      </c>
      <c r="F8227" s="5" t="n">
        <v>353.25</v>
      </c>
      <c r="G8227">
        <f>IF(LEFT(B8227,1)="C","Credit","Factuur")</f>
        <v/>
      </c>
      <c r="H8227">
        <f>IF(AND(B8227=B8226,D8227=D8226,A8227=A8226,F8227=F8226),1,0)</f>
        <v/>
      </c>
      <c r="I8227">
        <f>IF(C8227="C99999",1,0)</f>
        <v/>
      </c>
      <c r="J8227" s="5">
        <f>IF(OR(H8227=1,I8227=1),0,IF(G8227="Credit",-F8227,F8227))</f>
        <v/>
      </c>
    </row>
    <row r="8228">
      <c r="A8228" t="inlineStr">
        <is>
          <t>2026-09-14</t>
        </is>
      </c>
      <c r="B8228" t="inlineStr">
        <is>
          <t>F272848</t>
        </is>
      </c>
      <c r="C8228" t="inlineStr">
        <is>
          <t>C10669</t>
        </is>
      </c>
      <c r="D8228" t="inlineStr">
        <is>
          <t>SKU-10264</t>
        </is>
      </c>
      <c r="E8228" t="inlineStr">
        <is>
          <t>AM08</t>
        </is>
      </c>
      <c r="F8228" s="5" t="n">
        <v>333.7</v>
      </c>
      <c r="G8228">
        <f>IF(LEFT(B8228,1)="C","Credit","Factuur")</f>
        <v/>
      </c>
      <c r="H8228">
        <f>IF(AND(B8228=B8227,D8228=D8227,A8228=A8227,F8228=F8227),1,0)</f>
        <v/>
      </c>
      <c r="I8228">
        <f>IF(C8228="C99999",1,0)</f>
        <v/>
      </c>
      <c r="J8228" s="5">
        <f>IF(OR(H8228=1,I8228=1),0,IF(G8228="Credit",-F8228,F8228))</f>
        <v/>
      </c>
    </row>
    <row r="8229">
      <c r="A8229" t="inlineStr">
        <is>
          <t>2026-09-14</t>
        </is>
      </c>
      <c r="B8229" t="inlineStr">
        <is>
          <t>F272848</t>
        </is>
      </c>
      <c r="C8229" t="inlineStr">
        <is>
          <t>C10669</t>
        </is>
      </c>
      <c r="D8229" t="inlineStr">
        <is>
          <t>SKU-10320</t>
        </is>
      </c>
      <c r="E8229" t="inlineStr">
        <is>
          <t>AM08</t>
        </is>
      </c>
      <c r="F8229" s="5" t="n">
        <v>336.07</v>
      </c>
      <c r="G8229">
        <f>IF(LEFT(B8229,1)="C","Credit","Factuur")</f>
        <v/>
      </c>
      <c r="H8229">
        <f>IF(AND(B8229=B8228,D8229=D8228,A8229=A8228,F8229=F8228),1,0)</f>
        <v/>
      </c>
      <c r="I8229">
        <f>IF(C8229="C99999",1,0)</f>
        <v/>
      </c>
      <c r="J8229" s="5">
        <f>IF(OR(H8229=1,I8229=1),0,IF(G8229="Credit",-F8229,F8229))</f>
        <v/>
      </c>
    </row>
    <row r="8230">
      <c r="A8230" t="inlineStr">
        <is>
          <t>2026-09-14</t>
        </is>
      </c>
      <c r="B8230" t="inlineStr">
        <is>
          <t>F272848</t>
        </is>
      </c>
      <c r="C8230" t="inlineStr">
        <is>
          <t>C10669</t>
        </is>
      </c>
      <c r="D8230" t="inlineStr">
        <is>
          <t>SKU-10352</t>
        </is>
      </c>
      <c r="E8230" t="inlineStr">
        <is>
          <t>AM08</t>
        </is>
      </c>
      <c r="F8230" s="5" t="n">
        <v>315.98</v>
      </c>
      <c r="G8230">
        <f>IF(LEFT(B8230,1)="C","Credit","Factuur")</f>
        <v/>
      </c>
      <c r="H8230">
        <f>IF(AND(B8230=B8229,D8230=D8229,A8230=A8229,F8230=F8229),1,0)</f>
        <v/>
      </c>
      <c r="I8230">
        <f>IF(C8230="C99999",1,0)</f>
        <v/>
      </c>
      <c r="J8230" s="5">
        <f>IF(OR(H8230=1,I8230=1),0,IF(G8230="Credit",-F8230,F8230))</f>
        <v/>
      </c>
    </row>
    <row r="8231">
      <c r="A8231" t="inlineStr">
        <is>
          <t>2026-09-14</t>
        </is>
      </c>
      <c r="B8231" t="inlineStr">
        <is>
          <t>F273201</t>
        </is>
      </c>
      <c r="C8231" t="inlineStr">
        <is>
          <t>C10689</t>
        </is>
      </c>
      <c r="D8231" t="inlineStr">
        <is>
          <t>SKU-10160</t>
        </is>
      </c>
      <c r="E8231" t="inlineStr">
        <is>
          <t>AM07</t>
        </is>
      </c>
      <c r="F8231" s="5" t="n">
        <v>488.12</v>
      </c>
      <c r="G8231">
        <f>IF(LEFT(B8231,1)="C","Credit","Factuur")</f>
        <v/>
      </c>
      <c r="H8231">
        <f>IF(AND(B8231=B8230,D8231=D8230,A8231=A8230,F8231=F8230),1,0)</f>
        <v/>
      </c>
      <c r="I8231">
        <f>IF(C8231="C99999",1,0)</f>
        <v/>
      </c>
      <c r="J8231" s="5">
        <f>IF(OR(H8231=1,I8231=1),0,IF(G8231="Credit",-F8231,F8231))</f>
        <v/>
      </c>
    </row>
    <row r="8232">
      <c r="A8232" t="inlineStr">
        <is>
          <t>2026-09-14</t>
        </is>
      </c>
      <c r="B8232" t="inlineStr">
        <is>
          <t>F273201</t>
        </is>
      </c>
      <c r="C8232" t="inlineStr">
        <is>
          <t>C10689</t>
        </is>
      </c>
      <c r="D8232" t="inlineStr">
        <is>
          <t>SKU-10305</t>
        </is>
      </c>
      <c r="E8232" t="inlineStr">
        <is>
          <t>AM07</t>
        </is>
      </c>
      <c r="F8232" s="5" t="n">
        <v>510.9</v>
      </c>
      <c r="G8232">
        <f>IF(LEFT(B8232,1)="C","Credit","Factuur")</f>
        <v/>
      </c>
      <c r="H8232">
        <f>IF(AND(B8232=B8231,D8232=D8231,A8232=A8231,F8232=F8231),1,0)</f>
        <v/>
      </c>
      <c r="I8232">
        <f>IF(C8232="C99999",1,0)</f>
        <v/>
      </c>
      <c r="J8232" s="5">
        <f>IF(OR(H8232=1,I8232=1),0,IF(G8232="Credit",-F8232,F8232))</f>
        <v/>
      </c>
    </row>
    <row r="8233">
      <c r="A8233" t="inlineStr">
        <is>
          <t>2026-09-14</t>
        </is>
      </c>
      <c r="B8233" t="inlineStr">
        <is>
          <t>F273201</t>
        </is>
      </c>
      <c r="C8233" t="inlineStr">
        <is>
          <t>C10689</t>
        </is>
      </c>
      <c r="D8233" t="inlineStr">
        <is>
          <t>SKU-10321</t>
        </is>
      </c>
      <c r="E8233" t="inlineStr">
        <is>
          <t>AM07</t>
        </is>
      </c>
      <c r="F8233" s="5" t="n">
        <v>463.69</v>
      </c>
      <c r="G8233">
        <f>IF(LEFT(B8233,1)="C","Credit","Factuur")</f>
        <v/>
      </c>
      <c r="H8233">
        <f>IF(AND(B8233=B8232,D8233=D8232,A8233=A8232,F8233=F8232),1,0)</f>
        <v/>
      </c>
      <c r="I8233">
        <f>IF(C8233="C99999",1,0)</f>
        <v/>
      </c>
      <c r="J8233" s="5">
        <f>IF(OR(H8233=1,I8233=1),0,IF(G8233="Credit",-F8233,F8233))</f>
        <v/>
      </c>
    </row>
    <row r="8234">
      <c r="A8234" t="inlineStr">
        <is>
          <t>2026-09-14</t>
        </is>
      </c>
      <c r="B8234" t="inlineStr">
        <is>
          <t>F273287</t>
        </is>
      </c>
      <c r="C8234" t="inlineStr">
        <is>
          <t>C10693</t>
        </is>
      </c>
      <c r="D8234" t="inlineStr">
        <is>
          <t>SKU-10088</t>
        </is>
      </c>
      <c r="E8234" t="inlineStr">
        <is>
          <t>AM02</t>
        </is>
      </c>
      <c r="F8234" s="5" t="n">
        <v>108.01</v>
      </c>
      <c r="G8234">
        <f>IF(LEFT(B8234,1)="C","Credit","Factuur")</f>
        <v/>
      </c>
      <c r="H8234">
        <f>IF(AND(B8234=B8233,D8234=D8233,A8234=A8233,F8234=F8233),1,0)</f>
        <v/>
      </c>
      <c r="I8234">
        <f>IF(C8234="C99999",1,0)</f>
        <v/>
      </c>
      <c r="J8234" s="5">
        <f>IF(OR(H8234=1,I8234=1),0,IF(G8234="Credit",-F8234,F8234))</f>
        <v/>
      </c>
    </row>
    <row r="8235">
      <c r="A8235" t="inlineStr">
        <is>
          <t>2026-09-14</t>
        </is>
      </c>
      <c r="B8235" t="inlineStr">
        <is>
          <t>F273287</t>
        </is>
      </c>
      <c r="C8235" t="inlineStr">
        <is>
          <t>C10693</t>
        </is>
      </c>
      <c r="D8235" t="inlineStr">
        <is>
          <t>SKU-10124</t>
        </is>
      </c>
      <c r="E8235" t="inlineStr">
        <is>
          <t>AM02</t>
        </is>
      </c>
      <c r="F8235" s="5" t="n">
        <v>115.28</v>
      </c>
      <c r="G8235">
        <f>IF(LEFT(B8235,1)="C","Credit","Factuur")</f>
        <v/>
      </c>
      <c r="H8235">
        <f>IF(AND(B8235=B8234,D8235=D8234,A8235=A8234,F8235=F8234),1,0)</f>
        <v/>
      </c>
      <c r="I8235">
        <f>IF(C8235="C99999",1,0)</f>
        <v/>
      </c>
      <c r="J8235" s="5">
        <f>IF(OR(H8235=1,I8235=1),0,IF(G8235="Credit",-F8235,F8235))</f>
        <v/>
      </c>
    </row>
    <row r="8236">
      <c r="A8236" t="inlineStr">
        <is>
          <t>2026-09-14</t>
        </is>
      </c>
      <c r="B8236" t="inlineStr">
        <is>
          <t>F273287</t>
        </is>
      </c>
      <c r="C8236" t="inlineStr">
        <is>
          <t>C10693</t>
        </is>
      </c>
      <c r="D8236" t="inlineStr">
        <is>
          <t>SKU-10188</t>
        </is>
      </c>
      <c r="E8236" t="inlineStr">
        <is>
          <t>AM02</t>
        </is>
      </c>
      <c r="F8236" s="5" t="n">
        <v>102.84</v>
      </c>
      <c r="G8236">
        <f>IF(LEFT(B8236,1)="C","Credit","Factuur")</f>
        <v/>
      </c>
      <c r="H8236">
        <f>IF(AND(B8236=B8235,D8236=D8235,A8236=A8235,F8236=F8235),1,0)</f>
        <v/>
      </c>
      <c r="I8236">
        <f>IF(C8236="C99999",1,0)</f>
        <v/>
      </c>
      <c r="J8236" s="5">
        <f>IF(OR(H8236=1,I8236=1),0,IF(G8236="Credit",-F8236,F8236))</f>
        <v/>
      </c>
    </row>
    <row r="8237">
      <c r="A8237" t="inlineStr">
        <is>
          <t>2026-09-14</t>
        </is>
      </c>
      <c r="B8237" t="inlineStr">
        <is>
          <t>F273287</t>
        </is>
      </c>
      <c r="C8237" t="inlineStr">
        <is>
          <t>C10693</t>
        </is>
      </c>
      <c r="D8237" t="inlineStr">
        <is>
          <t>SKU-10267</t>
        </is>
      </c>
      <c r="E8237" t="inlineStr">
        <is>
          <t>AM02</t>
        </is>
      </c>
      <c r="F8237" s="5" t="n">
        <v>110.85</v>
      </c>
      <c r="G8237">
        <f>IF(LEFT(B8237,1)="C","Credit","Factuur")</f>
        <v/>
      </c>
      <c r="H8237">
        <f>IF(AND(B8237=B8236,D8237=D8236,A8237=A8236,F8237=F8236),1,0)</f>
        <v/>
      </c>
      <c r="I8237">
        <f>IF(C8237="C99999",1,0)</f>
        <v/>
      </c>
      <c r="J8237" s="5">
        <f>IF(OR(H8237=1,I8237=1),0,IF(G8237="Credit",-F8237,F8237))</f>
        <v/>
      </c>
    </row>
    <row r="8238">
      <c r="A8238" t="inlineStr">
        <is>
          <t>2026-09-14</t>
        </is>
      </c>
      <c r="B8238" t="inlineStr">
        <is>
          <t>F273287</t>
        </is>
      </c>
      <c r="C8238" t="inlineStr">
        <is>
          <t>C10693</t>
        </is>
      </c>
      <c r="D8238" t="inlineStr">
        <is>
          <t>SKU-10286</t>
        </is>
      </c>
      <c r="E8238" t="inlineStr">
        <is>
          <t>AM02</t>
        </is>
      </c>
      <c r="F8238" s="5" t="n">
        <v>109.5</v>
      </c>
      <c r="G8238">
        <f>IF(LEFT(B8238,1)="C","Credit","Factuur")</f>
        <v/>
      </c>
      <c r="H8238">
        <f>IF(AND(B8238=B8237,D8238=D8237,A8238=A8237,F8238=F8237),1,0)</f>
        <v/>
      </c>
      <c r="I8238">
        <f>IF(C8238="C99999",1,0)</f>
        <v/>
      </c>
      <c r="J8238" s="5">
        <f>IF(OR(H8238=1,I8238=1),0,IF(G8238="Credit",-F8238,F8238))</f>
        <v/>
      </c>
    </row>
    <row r="8239">
      <c r="A8239" t="inlineStr">
        <is>
          <t>2026-09-14</t>
        </is>
      </c>
      <c r="B8239" t="inlineStr">
        <is>
          <t>F273711</t>
        </is>
      </c>
      <c r="C8239" t="inlineStr">
        <is>
          <t>C10721</t>
        </is>
      </c>
      <c r="D8239" t="inlineStr">
        <is>
          <t>SKU-10008</t>
        </is>
      </c>
      <c r="E8239" t="inlineStr">
        <is>
          <t>AM05</t>
        </is>
      </c>
      <c r="F8239" s="5" t="n">
        <v>404.59</v>
      </c>
      <c r="G8239">
        <f>IF(LEFT(B8239,1)="C","Credit","Factuur")</f>
        <v/>
      </c>
      <c r="H8239">
        <f>IF(AND(B8239=B8238,D8239=D8238,A8239=A8238,F8239=F8238),1,0)</f>
        <v/>
      </c>
      <c r="I8239">
        <f>IF(C8239="C99999",1,0)</f>
        <v/>
      </c>
      <c r="J8239" s="5">
        <f>IF(OR(H8239=1,I8239=1),0,IF(G8239="Credit",-F8239,F8239))</f>
        <v/>
      </c>
    </row>
    <row r="8240">
      <c r="A8240" t="inlineStr">
        <is>
          <t>2026-09-14</t>
        </is>
      </c>
      <c r="B8240" t="inlineStr">
        <is>
          <t>F273711</t>
        </is>
      </c>
      <c r="C8240" t="inlineStr">
        <is>
          <t>C10721</t>
        </is>
      </c>
      <c r="D8240" t="inlineStr">
        <is>
          <t>SKU-10242</t>
        </is>
      </c>
      <c r="E8240" t="inlineStr">
        <is>
          <t>AM05</t>
        </is>
      </c>
      <c r="F8240" s="5" t="n">
        <v>408</v>
      </c>
      <c r="G8240">
        <f>IF(LEFT(B8240,1)="C","Credit","Factuur")</f>
        <v/>
      </c>
      <c r="H8240">
        <f>IF(AND(B8240=B8239,D8240=D8239,A8240=A8239,F8240=F8239),1,0)</f>
        <v/>
      </c>
      <c r="I8240">
        <f>IF(C8240="C99999",1,0)</f>
        <v/>
      </c>
      <c r="J8240" s="5">
        <f>IF(OR(H8240=1,I8240=1),0,IF(G8240="Credit",-F8240,F8240))</f>
        <v/>
      </c>
    </row>
    <row r="8241">
      <c r="A8241" t="inlineStr">
        <is>
          <t>2026-09-14</t>
        </is>
      </c>
      <c r="B8241" t="inlineStr">
        <is>
          <t>F274965</t>
        </is>
      </c>
      <c r="C8241" t="inlineStr">
        <is>
          <t>C10789</t>
        </is>
      </c>
      <c r="D8241" t="inlineStr">
        <is>
          <t>SKU-10268</t>
        </is>
      </c>
      <c r="E8241" t="inlineStr">
        <is>
          <t>AM01</t>
        </is>
      </c>
      <c r="F8241" s="5" t="n">
        <v>411.2</v>
      </c>
      <c r="G8241">
        <f>IF(LEFT(B8241,1)="C","Credit","Factuur")</f>
        <v/>
      </c>
      <c r="H8241">
        <f>IF(AND(B8241=B8240,D8241=D8240,A8241=A8240,F8241=F8240),1,0)</f>
        <v/>
      </c>
      <c r="I8241">
        <f>IF(C8241="C99999",1,0)</f>
        <v/>
      </c>
      <c r="J8241" s="5">
        <f>IF(OR(H8241=1,I8241=1),0,IF(G8241="Credit",-F8241,F8241))</f>
        <v/>
      </c>
    </row>
    <row r="8242">
      <c r="A8242" t="inlineStr">
        <is>
          <t>2026-09-14</t>
        </is>
      </c>
      <c r="B8242" t="inlineStr">
        <is>
          <t>F274965</t>
        </is>
      </c>
      <c r="C8242" t="inlineStr">
        <is>
          <t>C10789</t>
        </is>
      </c>
      <c r="D8242" t="inlineStr">
        <is>
          <t>SKU-10277</t>
        </is>
      </c>
      <c r="E8242" t="inlineStr">
        <is>
          <t>AM01</t>
        </is>
      </c>
      <c r="F8242" s="5" t="n">
        <v>391.05</v>
      </c>
      <c r="G8242">
        <f>IF(LEFT(B8242,1)="C","Credit","Factuur")</f>
        <v/>
      </c>
      <c r="H8242">
        <f>IF(AND(B8242=B8241,D8242=D8241,A8242=A8241,F8242=F8241),1,0)</f>
        <v/>
      </c>
      <c r="I8242">
        <f>IF(C8242="C99999",1,0)</f>
        <v/>
      </c>
      <c r="J8242" s="5">
        <f>IF(OR(H8242=1,I8242=1),0,IF(G8242="Credit",-F8242,F8242))</f>
        <v/>
      </c>
    </row>
    <row r="8243">
      <c r="A8243" t="inlineStr">
        <is>
          <t>2026-09-14</t>
        </is>
      </c>
      <c r="B8243" t="inlineStr">
        <is>
          <t>F277017</t>
        </is>
      </c>
      <c r="C8243" t="inlineStr">
        <is>
          <t>C10901</t>
        </is>
      </c>
      <c r="D8243" t="inlineStr">
        <is>
          <t>SKU-10343</t>
        </is>
      </c>
      <c r="E8243" t="inlineStr">
        <is>
          <t>AM02</t>
        </is>
      </c>
      <c r="F8243" s="5" t="n">
        <v>519.2</v>
      </c>
      <c r="G8243">
        <f>IF(LEFT(B8243,1)="C","Credit","Factuur")</f>
        <v/>
      </c>
      <c r="H8243">
        <f>IF(AND(B8243=B8242,D8243=D8242,A8243=A8242,F8243=F8242),1,0)</f>
        <v/>
      </c>
      <c r="I8243">
        <f>IF(C8243="C99999",1,0)</f>
        <v/>
      </c>
      <c r="J8243" s="5">
        <f>IF(OR(H8243=1,I8243=1),0,IF(G8243="Credit",-F8243,F8243))</f>
        <v/>
      </c>
    </row>
    <row r="8244">
      <c r="A8244" t="inlineStr">
        <is>
          <t>2026-09-14</t>
        </is>
      </c>
      <c r="B8244" t="inlineStr">
        <is>
          <t>F277864</t>
        </is>
      </c>
      <c r="C8244" t="inlineStr">
        <is>
          <t>C10949</t>
        </is>
      </c>
      <c r="D8244" t="inlineStr">
        <is>
          <t>SKU-10244</t>
        </is>
      </c>
      <c r="E8244" t="inlineStr">
        <is>
          <t>AM01</t>
        </is>
      </c>
      <c r="F8244" s="5" t="n">
        <v>79.59999999999999</v>
      </c>
      <c r="G8244">
        <f>IF(LEFT(B8244,1)="C","Credit","Factuur")</f>
        <v/>
      </c>
      <c r="H8244">
        <f>IF(AND(B8244=B8243,D8244=D8243,A8244=A8243,F8244=F8243),1,0)</f>
        <v/>
      </c>
      <c r="I8244">
        <f>IF(C8244="C99999",1,0)</f>
        <v/>
      </c>
      <c r="J8244" s="5">
        <f>IF(OR(H8244=1,I8244=1),0,IF(G8244="Credit",-F8244,F8244))</f>
        <v/>
      </c>
    </row>
    <row r="8245">
      <c r="A8245" t="inlineStr">
        <is>
          <t>2026-09-14</t>
        </is>
      </c>
      <c r="B8245" t="inlineStr">
        <is>
          <t>F277864</t>
        </is>
      </c>
      <c r="C8245" t="inlineStr">
        <is>
          <t>C10949</t>
        </is>
      </c>
      <c r="D8245" t="inlineStr">
        <is>
          <t>SKU-10298</t>
        </is>
      </c>
      <c r="E8245" t="inlineStr">
        <is>
          <t>AM01</t>
        </is>
      </c>
      <c r="F8245" s="5" t="n">
        <v>75.3</v>
      </c>
      <c r="G8245">
        <f>IF(LEFT(B8245,1)="C","Credit","Factuur")</f>
        <v/>
      </c>
      <c r="H8245">
        <f>IF(AND(B8245=B8244,D8245=D8244,A8245=A8244,F8245=F8244),1,0)</f>
        <v/>
      </c>
      <c r="I8245">
        <f>IF(C8245="C99999",1,0)</f>
        <v/>
      </c>
      <c r="J8245" s="5">
        <f>IF(OR(H8245=1,I8245=1),0,IF(G8245="Credit",-F8245,F8245))</f>
        <v/>
      </c>
    </row>
    <row r="8246">
      <c r="A8246" t="inlineStr">
        <is>
          <t>2026-09-14</t>
        </is>
      </c>
      <c r="B8246" t="inlineStr">
        <is>
          <t>F278085</t>
        </is>
      </c>
      <c r="C8246" t="inlineStr">
        <is>
          <t>C10961</t>
        </is>
      </c>
      <c r="D8246" t="inlineStr">
        <is>
          <t>SKU-10071</t>
        </is>
      </c>
      <c r="E8246" t="inlineStr">
        <is>
          <t>AM03</t>
        </is>
      </c>
      <c r="F8246" s="5" t="n">
        <v>1435.68</v>
      </c>
      <c r="G8246">
        <f>IF(LEFT(B8246,1)="C","Credit","Factuur")</f>
        <v/>
      </c>
      <c r="H8246">
        <f>IF(AND(B8246=B8245,D8246=D8245,A8246=A8245,F8246=F8245),1,0)</f>
        <v/>
      </c>
      <c r="I8246">
        <f>IF(C8246="C99999",1,0)</f>
        <v/>
      </c>
      <c r="J8246" s="5">
        <f>IF(OR(H8246=1,I8246=1),0,IF(G8246="Credit",-F8246,F8246))</f>
        <v/>
      </c>
    </row>
    <row r="8247">
      <c r="A8247" t="inlineStr">
        <is>
          <t>2026-09-14</t>
        </is>
      </c>
      <c r="B8247" t="inlineStr">
        <is>
          <t>F278085</t>
        </is>
      </c>
      <c r="C8247" t="inlineStr">
        <is>
          <t>C10961</t>
        </is>
      </c>
      <c r="D8247" t="inlineStr">
        <is>
          <t>SKU-10113</t>
        </is>
      </c>
      <c r="E8247" t="inlineStr">
        <is>
          <t>AM03</t>
        </is>
      </c>
      <c r="F8247" s="5" t="n">
        <v>1453.5</v>
      </c>
      <c r="G8247">
        <f>IF(LEFT(B8247,1)="C","Credit","Factuur")</f>
        <v/>
      </c>
      <c r="H8247">
        <f>IF(AND(B8247=B8246,D8247=D8246,A8247=A8246,F8247=F8246),1,0)</f>
        <v/>
      </c>
      <c r="I8247">
        <f>IF(C8247="C99999",1,0)</f>
        <v/>
      </c>
      <c r="J8247" s="5">
        <f>IF(OR(H8247=1,I8247=1),0,IF(G8247="Credit",-F8247,F8247))</f>
        <v/>
      </c>
    </row>
    <row r="8248">
      <c r="A8248" t="inlineStr">
        <is>
          <t>2026-09-14</t>
        </is>
      </c>
      <c r="B8248" t="inlineStr">
        <is>
          <t>F279142</t>
        </is>
      </c>
      <c r="C8248" t="inlineStr">
        <is>
          <t>C11013</t>
        </is>
      </c>
      <c r="D8248" t="inlineStr">
        <is>
          <t>SKU-10281</t>
        </is>
      </c>
      <c r="E8248" t="inlineStr">
        <is>
          <t>AM01</t>
        </is>
      </c>
      <c r="F8248" s="5" t="n">
        <v>1574.82</v>
      </c>
      <c r="G8248">
        <f>IF(LEFT(B8248,1)="C","Credit","Factuur")</f>
        <v/>
      </c>
      <c r="H8248">
        <f>IF(AND(B8248=B8247,D8248=D8247,A8248=A8247,F8248=F8247),1,0)</f>
        <v/>
      </c>
      <c r="I8248">
        <f>IF(C8248="C99999",1,0)</f>
        <v/>
      </c>
      <c r="J8248" s="5">
        <f>IF(OR(H8248=1,I8248=1),0,IF(G8248="Credit",-F8248,F8248))</f>
        <v/>
      </c>
    </row>
    <row r="8249">
      <c r="A8249" t="inlineStr">
        <is>
          <t>2026-09-14</t>
        </is>
      </c>
      <c r="B8249" t="inlineStr">
        <is>
          <t>F279419</t>
        </is>
      </c>
      <c r="C8249" t="inlineStr">
        <is>
          <t>C11030</t>
        </is>
      </c>
      <c r="D8249" t="inlineStr">
        <is>
          <t>SKU-10289</t>
        </is>
      </c>
      <c r="E8249" t="inlineStr">
        <is>
          <t>AM11</t>
        </is>
      </c>
      <c r="F8249" s="5" t="n">
        <v>2341.79</v>
      </c>
      <c r="G8249">
        <f>IF(LEFT(B8249,1)="C","Credit","Factuur")</f>
        <v/>
      </c>
      <c r="H8249">
        <f>IF(AND(B8249=B8248,D8249=D8248,A8249=A8248,F8249=F8248),1,0)</f>
        <v/>
      </c>
      <c r="I8249">
        <f>IF(C8249="C99999",1,0)</f>
        <v/>
      </c>
      <c r="J8249" s="5">
        <f>IF(OR(H8249=1,I8249=1),0,IF(G8249="Credit",-F8249,F8249))</f>
        <v/>
      </c>
    </row>
    <row r="8250">
      <c r="A8250" t="inlineStr">
        <is>
          <t>2026-09-14</t>
        </is>
      </c>
      <c r="B8250" t="inlineStr">
        <is>
          <t>F279577</t>
        </is>
      </c>
      <c r="C8250" t="inlineStr">
        <is>
          <t>C11037</t>
        </is>
      </c>
      <c r="D8250" t="inlineStr">
        <is>
          <t>SKU-10071</t>
        </is>
      </c>
      <c r="E8250" t="inlineStr">
        <is>
          <t>AM02</t>
        </is>
      </c>
      <c r="F8250" s="5" t="n">
        <v>179.46</v>
      </c>
      <c r="G8250">
        <f>IF(LEFT(B8250,1)="C","Credit","Factuur")</f>
        <v/>
      </c>
      <c r="H8250">
        <f>IF(AND(B8250=B8249,D8250=D8249,A8250=A8249,F8250=F8249),1,0)</f>
        <v/>
      </c>
      <c r="I8250">
        <f>IF(C8250="C99999",1,0)</f>
        <v/>
      </c>
      <c r="J8250" s="5">
        <f>IF(OR(H8250=1,I8250=1),0,IF(G8250="Credit",-F8250,F8250))</f>
        <v/>
      </c>
    </row>
    <row r="8251">
      <c r="A8251" t="inlineStr">
        <is>
          <t>2026-09-14</t>
        </is>
      </c>
      <c r="B8251" t="inlineStr">
        <is>
          <t>F279577</t>
        </is>
      </c>
      <c r="C8251" t="inlineStr">
        <is>
          <t>C11037</t>
        </is>
      </c>
      <c r="D8251" t="inlineStr">
        <is>
          <t>SKU-10094</t>
        </is>
      </c>
      <c r="E8251" t="inlineStr">
        <is>
          <t>AM02</t>
        </is>
      </c>
      <c r="F8251" s="5" t="n">
        <v>198.1</v>
      </c>
      <c r="G8251">
        <f>IF(LEFT(B8251,1)="C","Credit","Factuur")</f>
        <v/>
      </c>
      <c r="H8251">
        <f>IF(AND(B8251=B8250,D8251=D8250,A8251=A8250,F8251=F8250),1,0)</f>
        <v/>
      </c>
      <c r="I8251">
        <f>IF(C8251="C99999",1,0)</f>
        <v/>
      </c>
      <c r="J8251" s="5">
        <f>IF(OR(H8251=1,I8251=1),0,IF(G8251="Credit",-F8251,F8251))</f>
        <v/>
      </c>
    </row>
    <row r="8252">
      <c r="A8252" t="inlineStr">
        <is>
          <t>2026-09-14</t>
        </is>
      </c>
      <c r="B8252" t="inlineStr">
        <is>
          <t>F279577</t>
        </is>
      </c>
      <c r="C8252" t="inlineStr">
        <is>
          <t>C11037</t>
        </is>
      </c>
      <c r="D8252" t="inlineStr">
        <is>
          <t>SKU-10110</t>
        </is>
      </c>
      <c r="E8252" t="inlineStr">
        <is>
          <t>AM02</t>
        </is>
      </c>
      <c r="F8252" s="5" t="n">
        <v>197.6</v>
      </c>
      <c r="G8252">
        <f>IF(LEFT(B8252,1)="C","Credit","Factuur")</f>
        <v/>
      </c>
      <c r="H8252">
        <f>IF(AND(B8252=B8251,D8252=D8251,A8252=A8251,F8252=F8251),1,0)</f>
        <v/>
      </c>
      <c r="I8252">
        <f>IF(C8252="C99999",1,0)</f>
        <v/>
      </c>
      <c r="J8252" s="5">
        <f>IF(OR(H8252=1,I8252=1),0,IF(G8252="Credit",-F8252,F8252))</f>
        <v/>
      </c>
    </row>
    <row r="8253">
      <c r="A8253" t="inlineStr">
        <is>
          <t>2026-09-14</t>
        </is>
      </c>
      <c r="B8253" t="inlineStr">
        <is>
          <t>F279577</t>
        </is>
      </c>
      <c r="C8253" t="inlineStr">
        <is>
          <t>C11037</t>
        </is>
      </c>
      <c r="D8253" t="inlineStr">
        <is>
          <t>SKU-10118</t>
        </is>
      </c>
      <c r="E8253" t="inlineStr">
        <is>
          <t>AM02</t>
        </is>
      </c>
      <c r="F8253" s="5" t="n">
        <v>207.36</v>
      </c>
      <c r="G8253">
        <f>IF(LEFT(B8253,1)="C","Credit","Factuur")</f>
        <v/>
      </c>
      <c r="H8253">
        <f>IF(AND(B8253=B8252,D8253=D8252,A8253=A8252,F8253=F8252),1,0)</f>
        <v/>
      </c>
      <c r="I8253">
        <f>IF(C8253="C99999",1,0)</f>
        <v/>
      </c>
      <c r="J8253" s="5">
        <f>IF(OR(H8253=1,I8253=1),0,IF(G8253="Credit",-F8253,F8253))</f>
        <v/>
      </c>
    </row>
    <row r="8254">
      <c r="A8254" t="inlineStr">
        <is>
          <t>2026-09-14</t>
        </is>
      </c>
      <c r="B8254" t="inlineStr">
        <is>
          <t>F279577</t>
        </is>
      </c>
      <c r="C8254" t="inlineStr">
        <is>
          <t>C11037</t>
        </is>
      </c>
      <c r="D8254" t="inlineStr">
        <is>
          <t>SKU-10131</t>
        </is>
      </c>
      <c r="E8254" t="inlineStr">
        <is>
          <t>AM02</t>
        </is>
      </c>
      <c r="F8254" s="5" t="n">
        <v>221.44</v>
      </c>
      <c r="G8254">
        <f>IF(LEFT(B8254,1)="C","Credit","Factuur")</f>
        <v/>
      </c>
      <c r="H8254">
        <f>IF(AND(B8254=B8253,D8254=D8253,A8254=A8253,F8254=F8253),1,0)</f>
        <v/>
      </c>
      <c r="I8254">
        <f>IF(C8254="C99999",1,0)</f>
        <v/>
      </c>
      <c r="J8254" s="5">
        <f>IF(OR(H8254=1,I8254=1),0,IF(G8254="Credit",-F8254,F8254))</f>
        <v/>
      </c>
    </row>
    <row r="8255">
      <c r="A8255" t="inlineStr">
        <is>
          <t>2026-09-14</t>
        </is>
      </c>
      <c r="B8255" t="inlineStr">
        <is>
          <t>F279577</t>
        </is>
      </c>
      <c r="C8255" t="inlineStr">
        <is>
          <t>C11037</t>
        </is>
      </c>
      <c r="D8255" t="inlineStr">
        <is>
          <t>SKU-10147</t>
        </is>
      </c>
      <c r="E8255" t="inlineStr">
        <is>
          <t>AM02</t>
        </is>
      </c>
      <c r="F8255" s="5" t="n">
        <v>181.01</v>
      </c>
      <c r="G8255">
        <f>IF(LEFT(B8255,1)="C","Credit","Factuur")</f>
        <v/>
      </c>
      <c r="H8255">
        <f>IF(AND(B8255=B8254,D8255=D8254,A8255=A8254,F8255=F8254),1,0)</f>
        <v/>
      </c>
      <c r="I8255">
        <f>IF(C8255="C99999",1,0)</f>
        <v/>
      </c>
      <c r="J8255" s="5">
        <f>IF(OR(H8255=1,I8255=1),0,IF(G8255="Credit",-F8255,F8255))</f>
        <v/>
      </c>
    </row>
    <row r="8256">
      <c r="A8256" t="inlineStr">
        <is>
          <t>2026-09-14</t>
        </is>
      </c>
      <c r="B8256" t="inlineStr">
        <is>
          <t>F279747</t>
        </is>
      </c>
      <c r="C8256" t="inlineStr">
        <is>
          <t>C11047</t>
        </is>
      </c>
      <c r="D8256" t="inlineStr">
        <is>
          <t>SKU-10036</t>
        </is>
      </c>
      <c r="E8256" t="inlineStr">
        <is>
          <t>AM02</t>
        </is>
      </c>
      <c r="F8256" s="5" t="n">
        <v>842.65</v>
      </c>
      <c r="G8256">
        <f>IF(LEFT(B8256,1)="C","Credit","Factuur")</f>
        <v/>
      </c>
      <c r="H8256">
        <f>IF(AND(B8256=B8255,D8256=D8255,A8256=A8255,F8256=F8255),1,0)</f>
        <v/>
      </c>
      <c r="I8256">
        <f>IF(C8256="C99999",1,0)</f>
        <v/>
      </c>
      <c r="J8256" s="5">
        <f>IF(OR(H8256=1,I8256=1),0,IF(G8256="Credit",-F8256,F8256))</f>
        <v/>
      </c>
    </row>
    <row r="8257">
      <c r="A8257" t="inlineStr">
        <is>
          <t>2026-09-14</t>
        </is>
      </c>
      <c r="B8257" t="inlineStr">
        <is>
          <t>F279747</t>
        </is>
      </c>
      <c r="C8257" t="inlineStr">
        <is>
          <t>C11047</t>
        </is>
      </c>
      <c r="D8257" t="inlineStr">
        <is>
          <t>SKU-10190</t>
        </is>
      </c>
      <c r="E8257" t="inlineStr">
        <is>
          <t>AM02</t>
        </is>
      </c>
      <c r="F8257" s="5" t="n">
        <v>832.58</v>
      </c>
      <c r="G8257">
        <f>IF(LEFT(B8257,1)="C","Credit","Factuur")</f>
        <v/>
      </c>
      <c r="H8257">
        <f>IF(AND(B8257=B8256,D8257=D8256,A8257=A8256,F8257=F8256),1,0)</f>
        <v/>
      </c>
      <c r="I8257">
        <f>IF(C8257="C99999",1,0)</f>
        <v/>
      </c>
      <c r="J8257" s="5">
        <f>IF(OR(H8257=1,I8257=1),0,IF(G8257="Credit",-F8257,F8257))</f>
        <v/>
      </c>
    </row>
    <row r="8258">
      <c r="A8258" t="inlineStr">
        <is>
          <t>2026-09-14</t>
        </is>
      </c>
      <c r="B8258" t="inlineStr">
        <is>
          <t>F280811</t>
        </is>
      </c>
      <c r="C8258" t="inlineStr">
        <is>
          <t>C11097</t>
        </is>
      </c>
      <c r="D8258" t="inlineStr">
        <is>
          <t>SKU-10117</t>
        </is>
      </c>
      <c r="E8258" t="inlineStr">
        <is>
          <t>AM05</t>
        </is>
      </c>
      <c r="F8258" s="5" t="n">
        <v>1266.12</v>
      </c>
      <c r="G8258">
        <f>IF(LEFT(B8258,1)="C","Credit","Factuur")</f>
        <v/>
      </c>
      <c r="H8258">
        <f>IF(AND(B8258=B8257,D8258=D8257,A8258=A8257,F8258=F8257),1,0)</f>
        <v/>
      </c>
      <c r="I8258">
        <f>IF(C8258="C99999",1,0)</f>
        <v/>
      </c>
      <c r="J8258" s="5">
        <f>IF(OR(H8258=1,I8258=1),0,IF(G8258="Credit",-F8258,F8258))</f>
        <v/>
      </c>
    </row>
    <row r="8259">
      <c r="A8259" t="inlineStr">
        <is>
          <t>2026-09-14</t>
        </is>
      </c>
      <c r="B8259" t="inlineStr">
        <is>
          <t>F282035</t>
        </is>
      </c>
      <c r="C8259" t="inlineStr">
        <is>
          <t>C11158</t>
        </is>
      </c>
      <c r="D8259" t="inlineStr">
        <is>
          <t>SKU-10079</t>
        </is>
      </c>
      <c r="E8259" t="inlineStr">
        <is>
          <t>AM06</t>
        </is>
      </c>
      <c r="F8259" s="5" t="n">
        <v>445.09</v>
      </c>
      <c r="G8259">
        <f>IF(LEFT(B8259,1)="C","Credit","Factuur")</f>
        <v/>
      </c>
      <c r="H8259">
        <f>IF(AND(B8259=B8258,D8259=D8258,A8259=A8258,F8259=F8258),1,0)</f>
        <v/>
      </c>
      <c r="I8259">
        <f>IF(C8259="C99999",1,0)</f>
        <v/>
      </c>
      <c r="J8259" s="5">
        <f>IF(OR(H8259=1,I8259=1),0,IF(G8259="Credit",-F8259,F8259))</f>
        <v/>
      </c>
    </row>
    <row r="8260">
      <c r="A8260" t="inlineStr">
        <is>
          <t>2026-09-14</t>
        </is>
      </c>
      <c r="B8260" t="inlineStr">
        <is>
          <t>F282035</t>
        </is>
      </c>
      <c r="C8260" t="inlineStr">
        <is>
          <t>C11158</t>
        </is>
      </c>
      <c r="D8260" t="inlineStr">
        <is>
          <t>SKU-10253</t>
        </is>
      </c>
      <c r="E8260" t="inlineStr">
        <is>
          <t>AM06</t>
        </is>
      </c>
      <c r="F8260" s="5" t="n">
        <v>497.85</v>
      </c>
      <c r="G8260">
        <f>IF(LEFT(B8260,1)="C","Credit","Factuur")</f>
        <v/>
      </c>
      <c r="H8260">
        <f>IF(AND(B8260=B8259,D8260=D8259,A8260=A8259,F8260=F8259),1,0)</f>
        <v/>
      </c>
      <c r="I8260">
        <f>IF(C8260="C99999",1,0)</f>
        <v/>
      </c>
      <c r="J8260" s="5">
        <f>IF(OR(H8260=1,I8260=1),0,IF(G8260="Credit",-F8260,F8260))</f>
        <v/>
      </c>
    </row>
    <row r="8261">
      <c r="A8261" t="inlineStr">
        <is>
          <t>2026-09-14</t>
        </is>
      </c>
      <c r="B8261" t="inlineStr">
        <is>
          <t>F282727</t>
        </is>
      </c>
      <c r="C8261" t="inlineStr">
        <is>
          <t>C11192</t>
        </is>
      </c>
      <c r="D8261" t="inlineStr">
        <is>
          <t>SKU-10087</t>
        </is>
      </c>
      <c r="E8261" t="inlineStr">
        <is>
          <t>AM05</t>
        </is>
      </c>
      <c r="F8261" s="5" t="n">
        <v>109.68</v>
      </c>
      <c r="G8261">
        <f>IF(LEFT(B8261,1)="C","Credit","Factuur")</f>
        <v/>
      </c>
      <c r="H8261">
        <f>IF(AND(B8261=B8260,D8261=D8260,A8261=A8260,F8261=F8260),1,0)</f>
        <v/>
      </c>
      <c r="I8261">
        <f>IF(C8261="C99999",1,0)</f>
        <v/>
      </c>
      <c r="J8261" s="5">
        <f>IF(OR(H8261=1,I8261=1),0,IF(G8261="Credit",-F8261,F8261))</f>
        <v/>
      </c>
    </row>
    <row r="8262">
      <c r="A8262" t="inlineStr">
        <is>
          <t>2026-09-14</t>
        </is>
      </c>
      <c r="B8262" t="inlineStr">
        <is>
          <t>F282727</t>
        </is>
      </c>
      <c r="C8262" t="inlineStr">
        <is>
          <t>C11192</t>
        </is>
      </c>
      <c r="D8262" t="inlineStr">
        <is>
          <t>SKU-10129</t>
        </is>
      </c>
      <c r="E8262" t="inlineStr">
        <is>
          <t>AM05</t>
        </is>
      </c>
      <c r="F8262" s="5" t="n">
        <v>103.63</v>
      </c>
      <c r="G8262">
        <f>IF(LEFT(B8262,1)="C","Credit","Factuur")</f>
        <v/>
      </c>
      <c r="H8262">
        <f>IF(AND(B8262=B8261,D8262=D8261,A8262=A8261,F8262=F8261),1,0)</f>
        <v/>
      </c>
      <c r="I8262">
        <f>IF(C8262="C99999",1,0)</f>
        <v/>
      </c>
      <c r="J8262" s="5">
        <f>IF(OR(H8262=1,I8262=1),0,IF(G8262="Credit",-F8262,F8262))</f>
        <v/>
      </c>
    </row>
    <row r="8263">
      <c r="A8263" t="inlineStr">
        <is>
          <t>2026-09-14</t>
        </is>
      </c>
      <c r="B8263" t="inlineStr">
        <is>
          <t>F282727</t>
        </is>
      </c>
      <c r="C8263" t="inlineStr">
        <is>
          <t>C11192</t>
        </is>
      </c>
      <c r="D8263" t="inlineStr">
        <is>
          <t>SKU-10228</t>
        </is>
      </c>
      <c r="E8263" t="inlineStr">
        <is>
          <t>AM05</t>
        </is>
      </c>
      <c r="F8263" s="5" t="n">
        <v>140.22</v>
      </c>
      <c r="G8263">
        <f>IF(LEFT(B8263,1)="C","Credit","Factuur")</f>
        <v/>
      </c>
      <c r="H8263">
        <f>IF(AND(B8263=B8262,D8263=D8262,A8263=A8262,F8263=F8262),1,0)</f>
        <v/>
      </c>
      <c r="I8263">
        <f>IF(C8263="C99999",1,0)</f>
        <v/>
      </c>
      <c r="J8263" s="5">
        <f>IF(OR(H8263=1,I8263=1),0,IF(G8263="Credit",-F8263,F8263))</f>
        <v/>
      </c>
    </row>
    <row r="8264">
      <c r="A8264" t="inlineStr">
        <is>
          <t>2026-09-14</t>
        </is>
      </c>
      <c r="B8264" t="inlineStr">
        <is>
          <t>F282727</t>
        </is>
      </c>
      <c r="C8264" t="inlineStr">
        <is>
          <t>C11192</t>
        </is>
      </c>
      <c r="D8264" t="inlineStr">
        <is>
          <t>SKU-10262</t>
        </is>
      </c>
      <c r="E8264" t="inlineStr">
        <is>
          <t>AM05</t>
        </is>
      </c>
      <c r="F8264" s="5" t="n">
        <v>124.65</v>
      </c>
      <c r="G8264">
        <f>IF(LEFT(B8264,1)="C","Credit","Factuur")</f>
        <v/>
      </c>
      <c r="H8264">
        <f>IF(AND(B8264=B8263,D8264=D8263,A8264=A8263,F8264=F8263),1,0)</f>
        <v/>
      </c>
      <c r="I8264">
        <f>IF(C8264="C99999",1,0)</f>
        <v/>
      </c>
      <c r="J8264" s="5">
        <f>IF(OR(H8264=1,I8264=1),0,IF(G8264="Credit",-F8264,F8264))</f>
        <v/>
      </c>
    </row>
    <row r="8265">
      <c r="A8265" t="inlineStr">
        <is>
          <t>2026-09-14</t>
        </is>
      </c>
      <c r="B8265" t="inlineStr">
        <is>
          <t>F282727</t>
        </is>
      </c>
      <c r="C8265" t="inlineStr">
        <is>
          <t>C11192</t>
        </is>
      </c>
      <c r="D8265" t="inlineStr">
        <is>
          <t>SKU-10270</t>
        </is>
      </c>
      <c r="E8265" t="inlineStr">
        <is>
          <t>AM05</t>
        </is>
      </c>
      <c r="F8265" s="5" t="n">
        <v>123.78</v>
      </c>
      <c r="G8265">
        <f>IF(LEFT(B8265,1)="C","Credit","Factuur")</f>
        <v/>
      </c>
      <c r="H8265">
        <f>IF(AND(B8265=B8264,D8265=D8264,A8265=A8264,F8265=F8264),1,0)</f>
        <v/>
      </c>
      <c r="I8265">
        <f>IF(C8265="C99999",1,0)</f>
        <v/>
      </c>
      <c r="J8265" s="5">
        <f>IF(OR(H8265=1,I8265=1),0,IF(G8265="Credit",-F8265,F8265))</f>
        <v/>
      </c>
    </row>
    <row r="8266">
      <c r="A8266" t="inlineStr">
        <is>
          <t>2026-09-14</t>
        </is>
      </c>
      <c r="B8266" t="inlineStr">
        <is>
          <t>F283394</t>
        </is>
      </c>
      <c r="C8266" t="inlineStr">
        <is>
          <t>C11228</t>
        </is>
      </c>
      <c r="D8266" t="inlineStr">
        <is>
          <t>SKU-10218</t>
        </is>
      </c>
      <c r="E8266" t="inlineStr">
        <is>
          <t>AM02</t>
        </is>
      </c>
      <c r="F8266" s="5" t="n">
        <v>874.3099999999999</v>
      </c>
      <c r="G8266">
        <f>IF(LEFT(B8266,1)="C","Credit","Factuur")</f>
        <v/>
      </c>
      <c r="H8266">
        <f>IF(AND(B8266=B8265,D8266=D8265,A8266=A8265,F8266=F8265),1,0)</f>
        <v/>
      </c>
      <c r="I8266">
        <f>IF(C8266="C99999",1,0)</f>
        <v/>
      </c>
      <c r="J8266" s="5">
        <f>IF(OR(H8266=1,I8266=1),0,IF(G8266="Credit",-F8266,F8266))</f>
        <v/>
      </c>
    </row>
    <row r="8267">
      <c r="A8267" t="inlineStr">
        <is>
          <t>2026-09-14</t>
        </is>
      </c>
      <c r="B8267" t="inlineStr">
        <is>
          <t>F283394</t>
        </is>
      </c>
      <c r="C8267" t="inlineStr">
        <is>
          <t>C11228</t>
        </is>
      </c>
      <c r="D8267" t="inlineStr">
        <is>
          <t>SKU-10252</t>
        </is>
      </c>
      <c r="E8267" t="inlineStr">
        <is>
          <t>AM02</t>
        </is>
      </c>
      <c r="F8267" s="5" t="n">
        <v>858.6</v>
      </c>
      <c r="G8267">
        <f>IF(LEFT(B8267,1)="C","Credit","Factuur")</f>
        <v/>
      </c>
      <c r="H8267">
        <f>IF(AND(B8267=B8266,D8267=D8266,A8267=A8266,F8267=F8266),1,0)</f>
        <v/>
      </c>
      <c r="I8267">
        <f>IF(C8267="C99999",1,0)</f>
        <v/>
      </c>
      <c r="J8267" s="5">
        <f>IF(OR(H8267=1,I8267=1),0,IF(G8267="Credit",-F8267,F8267))</f>
        <v/>
      </c>
    </row>
    <row r="8268">
      <c r="A8268" t="inlineStr">
        <is>
          <t>2026-09-14</t>
        </is>
      </c>
      <c r="B8268" t="inlineStr">
        <is>
          <t>F283394</t>
        </is>
      </c>
      <c r="C8268" t="inlineStr">
        <is>
          <t>C11228</t>
        </is>
      </c>
      <c r="D8268" t="inlineStr">
        <is>
          <t>SKU-10327</t>
        </is>
      </c>
      <c r="E8268" t="inlineStr">
        <is>
          <t>AM02</t>
        </is>
      </c>
      <c r="F8268" s="5" t="n">
        <v>813.72</v>
      </c>
      <c r="G8268">
        <f>IF(LEFT(B8268,1)="C","Credit","Factuur")</f>
        <v/>
      </c>
      <c r="H8268">
        <f>IF(AND(B8268=B8267,D8268=D8267,A8268=A8267,F8268=F8267),1,0)</f>
        <v/>
      </c>
      <c r="I8268">
        <f>IF(C8268="C99999",1,0)</f>
        <v/>
      </c>
      <c r="J8268" s="5">
        <f>IF(OR(H8268=1,I8268=1),0,IF(G8268="Credit",-F8268,F8268))</f>
        <v/>
      </c>
    </row>
    <row r="8269">
      <c r="A8269" t="inlineStr">
        <is>
          <t>2026-09-14</t>
        </is>
      </c>
      <c r="B8269" t="inlineStr">
        <is>
          <t>F283705</t>
        </is>
      </c>
      <c r="C8269" t="inlineStr">
        <is>
          <t>C11242</t>
        </is>
      </c>
      <c r="D8269" t="inlineStr">
        <is>
          <t>SKU-10070</t>
        </is>
      </c>
      <c r="E8269" t="inlineStr">
        <is>
          <t>AM02</t>
        </is>
      </c>
      <c r="F8269" s="5" t="n">
        <v>2261.97</v>
      </c>
      <c r="G8269">
        <f>IF(LEFT(B8269,1)="C","Credit","Factuur")</f>
        <v/>
      </c>
      <c r="H8269">
        <f>IF(AND(B8269=B8268,D8269=D8268,A8269=A8268,F8269=F8268),1,0)</f>
        <v/>
      </c>
      <c r="I8269">
        <f>IF(C8269="C99999",1,0)</f>
        <v/>
      </c>
      <c r="J8269" s="5">
        <f>IF(OR(H8269=1,I8269=1),0,IF(G8269="Credit",-F8269,F8269))</f>
        <v/>
      </c>
    </row>
    <row r="8270">
      <c r="A8270" t="inlineStr">
        <is>
          <t>2026-09-14</t>
        </is>
      </c>
      <c r="B8270" t="inlineStr">
        <is>
          <t>F283705</t>
        </is>
      </c>
      <c r="C8270" t="inlineStr">
        <is>
          <t>C11242</t>
        </is>
      </c>
      <c r="D8270" t="inlineStr">
        <is>
          <t>SKU-10073</t>
        </is>
      </c>
      <c r="E8270" t="inlineStr">
        <is>
          <t>AM02</t>
        </is>
      </c>
      <c r="F8270" s="5" t="n">
        <v>2281.6</v>
      </c>
      <c r="G8270">
        <f>IF(LEFT(B8270,1)="C","Credit","Factuur")</f>
        <v/>
      </c>
      <c r="H8270">
        <f>IF(AND(B8270=B8269,D8270=D8269,A8270=A8269,F8270=F8269),1,0)</f>
        <v/>
      </c>
      <c r="I8270">
        <f>IF(C8270="C99999",1,0)</f>
        <v/>
      </c>
      <c r="J8270" s="5">
        <f>IF(OR(H8270=1,I8270=1),0,IF(G8270="Credit",-F8270,F8270))</f>
        <v/>
      </c>
    </row>
    <row r="8271">
      <c r="A8271" t="inlineStr">
        <is>
          <t>2026-09-14</t>
        </is>
      </c>
      <c r="B8271" t="inlineStr">
        <is>
          <t>F284120</t>
        </is>
      </c>
      <c r="C8271" t="inlineStr">
        <is>
          <t>C11259</t>
        </is>
      </c>
      <c r="D8271" t="inlineStr">
        <is>
          <t>SKU-10093</t>
        </is>
      </c>
      <c r="E8271" t="inlineStr">
        <is>
          <t>AM08</t>
        </is>
      </c>
      <c r="F8271" s="5" t="n">
        <v>1012.5</v>
      </c>
      <c r="G8271">
        <f>IF(LEFT(B8271,1)="C","Credit","Factuur")</f>
        <v/>
      </c>
      <c r="H8271">
        <f>IF(AND(B8271=B8270,D8271=D8270,A8271=A8270,F8271=F8270),1,0)</f>
        <v/>
      </c>
      <c r="I8271">
        <f>IF(C8271="C99999",1,0)</f>
        <v/>
      </c>
      <c r="J8271" s="5">
        <f>IF(OR(H8271=1,I8271=1),0,IF(G8271="Credit",-F8271,F8271))</f>
        <v/>
      </c>
    </row>
    <row r="8272">
      <c r="A8272" t="inlineStr">
        <is>
          <t>2026-09-14</t>
        </is>
      </c>
      <c r="B8272" t="inlineStr">
        <is>
          <t>F284120</t>
        </is>
      </c>
      <c r="C8272" t="inlineStr">
        <is>
          <t>C11259</t>
        </is>
      </c>
      <c r="D8272" t="inlineStr">
        <is>
          <t>SKU-10174</t>
        </is>
      </c>
      <c r="E8272" t="inlineStr">
        <is>
          <t>AM08</t>
        </is>
      </c>
      <c r="F8272" s="5" t="n">
        <v>985.78</v>
      </c>
      <c r="G8272">
        <f>IF(LEFT(B8272,1)="C","Credit","Factuur")</f>
        <v/>
      </c>
      <c r="H8272">
        <f>IF(AND(B8272=B8271,D8272=D8271,A8272=A8271,F8272=F8271),1,0)</f>
        <v/>
      </c>
      <c r="I8272">
        <f>IF(C8272="C99999",1,0)</f>
        <v/>
      </c>
      <c r="J8272" s="5">
        <f>IF(OR(H8272=1,I8272=1),0,IF(G8272="Credit",-F8272,F8272))</f>
        <v/>
      </c>
    </row>
    <row r="8273">
      <c r="A8273" t="inlineStr">
        <is>
          <t>2026-09-14</t>
        </is>
      </c>
      <c r="B8273" t="inlineStr">
        <is>
          <t>F284543</t>
        </is>
      </c>
      <c r="C8273" t="inlineStr">
        <is>
          <t>C11287</t>
        </is>
      </c>
      <c r="D8273" t="inlineStr">
        <is>
          <t>SKU-10106</t>
        </is>
      </c>
      <c r="E8273" t="inlineStr">
        <is>
          <t>AM03</t>
        </is>
      </c>
      <c r="F8273" s="5" t="n">
        <v>103.3</v>
      </c>
      <c r="G8273">
        <f>IF(LEFT(B8273,1)="C","Credit","Factuur")</f>
        <v/>
      </c>
      <c r="H8273">
        <f>IF(AND(B8273=B8272,D8273=D8272,A8273=A8272,F8273=F8272),1,0)</f>
        <v/>
      </c>
      <c r="I8273">
        <f>IF(C8273="C99999",1,0)</f>
        <v/>
      </c>
      <c r="J8273" s="5">
        <f>IF(OR(H8273=1,I8273=1),0,IF(G8273="Credit",-F8273,F8273))</f>
        <v/>
      </c>
    </row>
    <row r="8274">
      <c r="A8274" t="inlineStr">
        <is>
          <t>2026-09-14</t>
        </is>
      </c>
      <c r="B8274" t="inlineStr">
        <is>
          <t>F284543</t>
        </is>
      </c>
      <c r="C8274" t="inlineStr">
        <is>
          <t>C11287</t>
        </is>
      </c>
      <c r="D8274" t="inlineStr">
        <is>
          <t>SKU-10236</t>
        </is>
      </c>
      <c r="E8274" t="inlineStr">
        <is>
          <t>AM03</t>
        </is>
      </c>
      <c r="F8274" s="5" t="n">
        <v>133.76</v>
      </c>
      <c r="G8274">
        <f>IF(LEFT(B8274,1)="C","Credit","Factuur")</f>
        <v/>
      </c>
      <c r="H8274">
        <f>IF(AND(B8274=B8273,D8274=D8273,A8274=A8273,F8274=F8273),1,0)</f>
        <v/>
      </c>
      <c r="I8274">
        <f>IF(C8274="C99999",1,0)</f>
        <v/>
      </c>
      <c r="J8274" s="5">
        <f>IF(OR(H8274=1,I8274=1),0,IF(G8274="Credit",-F8274,F8274))</f>
        <v/>
      </c>
    </row>
    <row r="8275">
      <c r="A8275" t="inlineStr">
        <is>
          <t>2026-09-14</t>
        </is>
      </c>
      <c r="B8275" t="inlineStr">
        <is>
          <t>F284543</t>
        </is>
      </c>
      <c r="C8275" t="inlineStr">
        <is>
          <t>C11287</t>
        </is>
      </c>
      <c r="D8275" t="inlineStr">
        <is>
          <t>SKU-10261</t>
        </is>
      </c>
      <c r="E8275" t="inlineStr">
        <is>
          <t>AM03</t>
        </is>
      </c>
      <c r="F8275" s="5" t="n">
        <v>137.28</v>
      </c>
      <c r="G8275">
        <f>IF(LEFT(B8275,1)="C","Credit","Factuur")</f>
        <v/>
      </c>
      <c r="H8275">
        <f>IF(AND(B8275=B8274,D8275=D8274,A8275=A8274,F8275=F8274),1,0)</f>
        <v/>
      </c>
      <c r="I8275">
        <f>IF(C8275="C99999",1,0)</f>
        <v/>
      </c>
      <c r="J8275" s="5">
        <f>IF(OR(H8275=1,I8275=1),0,IF(G8275="Credit",-F8275,F8275))</f>
        <v/>
      </c>
    </row>
    <row r="8276">
      <c r="A8276" t="inlineStr">
        <is>
          <t>2026-09-14</t>
        </is>
      </c>
      <c r="B8276" t="inlineStr">
        <is>
          <t>F284543</t>
        </is>
      </c>
      <c r="C8276" t="inlineStr">
        <is>
          <t>C11287</t>
        </is>
      </c>
      <c r="D8276" t="inlineStr">
        <is>
          <t>SKU-10345</t>
        </is>
      </c>
      <c r="E8276" t="inlineStr">
        <is>
          <t>AM03</t>
        </is>
      </c>
      <c r="F8276" s="5" t="n">
        <v>144.44</v>
      </c>
      <c r="G8276">
        <f>IF(LEFT(B8276,1)="C","Credit","Factuur")</f>
        <v/>
      </c>
      <c r="H8276">
        <f>IF(AND(B8276=B8275,D8276=D8275,A8276=A8275,F8276=F8275),1,0)</f>
        <v/>
      </c>
      <c r="I8276">
        <f>IF(C8276="C99999",1,0)</f>
        <v/>
      </c>
      <c r="J8276" s="5">
        <f>IF(OR(H8276=1,I8276=1),0,IF(G8276="Credit",-F8276,F8276))</f>
        <v/>
      </c>
    </row>
    <row r="8277">
      <c r="A8277" t="inlineStr">
        <is>
          <t>2026-09-14</t>
        </is>
      </c>
      <c r="B8277" t="inlineStr">
        <is>
          <t>F284543</t>
        </is>
      </c>
      <c r="C8277" t="inlineStr">
        <is>
          <t>C11287</t>
        </is>
      </c>
      <c r="D8277" t="inlineStr">
        <is>
          <t>SKU-10375</t>
        </is>
      </c>
      <c r="E8277" t="inlineStr">
        <is>
          <t>AM03</t>
        </is>
      </c>
      <c r="F8277" s="5" t="n">
        <v>144.08</v>
      </c>
      <c r="G8277">
        <f>IF(LEFT(B8277,1)="C","Credit","Factuur")</f>
        <v/>
      </c>
      <c r="H8277">
        <f>IF(AND(B8277=B8276,D8277=D8276,A8277=A8276,F8277=F8276),1,0)</f>
        <v/>
      </c>
      <c r="I8277">
        <f>IF(C8277="C99999",1,0)</f>
        <v/>
      </c>
      <c r="J8277" s="5">
        <f>IF(OR(H8277=1,I8277=1),0,IF(G8277="Credit",-F8277,F8277))</f>
        <v/>
      </c>
    </row>
    <row r="8278">
      <c r="A8278" t="inlineStr">
        <is>
          <t>2026-09-14</t>
        </is>
      </c>
      <c r="B8278" t="inlineStr">
        <is>
          <t>F284932</t>
        </is>
      </c>
      <c r="C8278" t="inlineStr">
        <is>
          <t>C11303</t>
        </is>
      </c>
      <c r="D8278" t="inlineStr">
        <is>
          <t>SKU-10287</t>
        </is>
      </c>
      <c r="E8278" t="inlineStr">
        <is>
          <t>AM03</t>
        </is>
      </c>
      <c r="F8278" s="5" t="n">
        <v>1505.5</v>
      </c>
      <c r="G8278">
        <f>IF(LEFT(B8278,1)="C","Credit","Factuur")</f>
        <v/>
      </c>
      <c r="H8278">
        <f>IF(AND(B8278=B8277,D8278=D8277,A8278=A8277,F8278=F8277),1,0)</f>
        <v/>
      </c>
      <c r="I8278">
        <f>IF(C8278="C99999",1,0)</f>
        <v/>
      </c>
      <c r="J8278" s="5">
        <f>IF(OR(H8278=1,I8278=1),0,IF(G8278="Credit",-F8278,F8278))</f>
        <v/>
      </c>
    </row>
    <row r="8279">
      <c r="A8279" t="inlineStr">
        <is>
          <t>2026-09-14</t>
        </is>
      </c>
      <c r="B8279" t="inlineStr">
        <is>
          <t>F285033</t>
        </is>
      </c>
      <c r="C8279" t="inlineStr">
        <is>
          <t>C11310</t>
        </is>
      </c>
      <c r="D8279" t="inlineStr">
        <is>
          <t>SKU-10036</t>
        </is>
      </c>
      <c r="E8279" t="inlineStr">
        <is>
          <t>AM02</t>
        </is>
      </c>
      <c r="F8279" s="5" t="n">
        <v>133.05</v>
      </c>
      <c r="G8279">
        <f>IF(LEFT(B8279,1)="C","Credit","Factuur")</f>
        <v/>
      </c>
      <c r="H8279">
        <f>IF(AND(B8279=B8278,D8279=D8278,A8279=A8278,F8279=F8278),1,0)</f>
        <v/>
      </c>
      <c r="I8279">
        <f>IF(C8279="C99999",1,0)</f>
        <v/>
      </c>
      <c r="J8279" s="5">
        <f>IF(OR(H8279=1,I8279=1),0,IF(G8279="Credit",-F8279,F8279))</f>
        <v/>
      </c>
    </row>
    <row r="8280">
      <c r="A8280" t="inlineStr">
        <is>
          <t>2026-09-14</t>
        </is>
      </c>
      <c r="B8280" t="inlineStr">
        <is>
          <t>F285033</t>
        </is>
      </c>
      <c r="C8280" t="inlineStr">
        <is>
          <t>C11310</t>
        </is>
      </c>
      <c r="D8280" t="inlineStr">
        <is>
          <t>SKU-10076</t>
        </is>
      </c>
      <c r="E8280" t="inlineStr">
        <is>
          <t>AM02</t>
        </is>
      </c>
      <c r="F8280" s="5" t="n">
        <v>136.65</v>
      </c>
      <c r="G8280">
        <f>IF(LEFT(B8280,1)="C","Credit","Factuur")</f>
        <v/>
      </c>
      <c r="H8280">
        <f>IF(AND(B8280=B8279,D8280=D8279,A8280=A8279,F8280=F8279),1,0)</f>
        <v/>
      </c>
      <c r="I8280">
        <f>IF(C8280="C99999",1,0)</f>
        <v/>
      </c>
      <c r="J8280" s="5">
        <f>IF(OR(H8280=1,I8280=1),0,IF(G8280="Credit",-F8280,F8280))</f>
        <v/>
      </c>
    </row>
    <row r="8281">
      <c r="A8281" t="inlineStr">
        <is>
          <t>2026-09-14</t>
        </is>
      </c>
      <c r="B8281" t="inlineStr">
        <is>
          <t>F285033</t>
        </is>
      </c>
      <c r="C8281" t="inlineStr">
        <is>
          <t>C11310</t>
        </is>
      </c>
      <c r="D8281" t="inlineStr">
        <is>
          <t>SKU-10298</t>
        </is>
      </c>
      <c r="E8281" t="inlineStr">
        <is>
          <t>AM02</t>
        </is>
      </c>
      <c r="F8281" s="5" t="n">
        <v>112.95</v>
      </c>
      <c r="G8281">
        <f>IF(LEFT(B8281,1)="C","Credit","Factuur")</f>
        <v/>
      </c>
      <c r="H8281">
        <f>IF(AND(B8281=B8280,D8281=D8280,A8281=A8280,F8281=F8280),1,0)</f>
        <v/>
      </c>
      <c r="I8281">
        <f>IF(C8281="C99999",1,0)</f>
        <v/>
      </c>
      <c r="J8281" s="5">
        <f>IF(OR(H8281=1,I8281=1),0,IF(G8281="Credit",-F8281,F8281))</f>
        <v/>
      </c>
    </row>
    <row r="8282">
      <c r="A8282" t="inlineStr">
        <is>
          <t>2026-09-14</t>
        </is>
      </c>
      <c r="B8282" t="inlineStr">
        <is>
          <t>F285033</t>
        </is>
      </c>
      <c r="C8282" t="inlineStr">
        <is>
          <t>C11310</t>
        </is>
      </c>
      <c r="D8282" t="inlineStr">
        <is>
          <t>SKU-10306</t>
        </is>
      </c>
      <c r="E8282" t="inlineStr">
        <is>
          <t>AM02</t>
        </is>
      </c>
      <c r="F8282" s="5" t="n">
        <v>137.82</v>
      </c>
      <c r="G8282">
        <f>IF(LEFT(B8282,1)="C","Credit","Factuur")</f>
        <v/>
      </c>
      <c r="H8282">
        <f>IF(AND(B8282=B8281,D8282=D8281,A8282=A8281,F8282=F8281),1,0)</f>
        <v/>
      </c>
      <c r="I8282">
        <f>IF(C8282="C99999",1,0)</f>
        <v/>
      </c>
      <c r="J8282" s="5">
        <f>IF(OR(H8282=1,I8282=1),0,IF(G8282="Credit",-F8282,F8282))</f>
        <v/>
      </c>
    </row>
    <row r="8283">
      <c r="A8283" t="inlineStr">
        <is>
          <t>2026-09-14</t>
        </is>
      </c>
      <c r="B8283" t="inlineStr">
        <is>
          <t>F285033</t>
        </is>
      </c>
      <c r="C8283" t="inlineStr">
        <is>
          <t>C11310</t>
        </is>
      </c>
      <c r="D8283" t="inlineStr">
        <is>
          <t>SKU-10332</t>
        </is>
      </c>
      <c r="E8283" t="inlineStr">
        <is>
          <t>AM02</t>
        </is>
      </c>
      <c r="F8283" s="5" t="n">
        <v>122.07</v>
      </c>
      <c r="G8283">
        <f>IF(LEFT(B8283,1)="C","Credit","Factuur")</f>
        <v/>
      </c>
      <c r="H8283">
        <f>IF(AND(B8283=B8282,D8283=D8282,A8283=A8282,F8283=F8282),1,0)</f>
        <v/>
      </c>
      <c r="I8283">
        <f>IF(C8283="C99999",1,0)</f>
        <v/>
      </c>
      <c r="J8283" s="5">
        <f>IF(OR(H8283=1,I8283=1),0,IF(G8283="Credit",-F8283,F8283))</f>
        <v/>
      </c>
    </row>
    <row r="8284">
      <c r="A8284" t="inlineStr">
        <is>
          <t>2026-09-14</t>
        </is>
      </c>
      <c r="B8284" t="inlineStr">
        <is>
          <t>F285033</t>
        </is>
      </c>
      <c r="C8284" t="inlineStr">
        <is>
          <t>C11310</t>
        </is>
      </c>
      <c r="D8284" t="inlineStr">
        <is>
          <t>SKU-10344</t>
        </is>
      </c>
      <c r="E8284" t="inlineStr">
        <is>
          <t>AM02</t>
        </is>
      </c>
      <c r="F8284" s="5" t="n">
        <v>140</v>
      </c>
      <c r="G8284">
        <f>IF(LEFT(B8284,1)="C","Credit","Factuur")</f>
        <v/>
      </c>
      <c r="H8284">
        <f>IF(AND(B8284=B8283,D8284=D8283,A8284=A8283,F8284=F8283),1,0)</f>
        <v/>
      </c>
      <c r="I8284">
        <f>IF(C8284="C99999",1,0)</f>
        <v/>
      </c>
      <c r="J8284" s="5">
        <f>IF(OR(H8284=1,I8284=1),0,IF(G8284="Credit",-F8284,F8284))</f>
        <v/>
      </c>
    </row>
    <row r="8285">
      <c r="A8285" t="inlineStr">
        <is>
          <t>2026-09-14</t>
        </is>
      </c>
      <c r="B8285" t="inlineStr">
        <is>
          <t>F285306</t>
        </is>
      </c>
      <c r="C8285" t="inlineStr">
        <is>
          <t>C11324</t>
        </is>
      </c>
      <c r="D8285" t="inlineStr">
        <is>
          <t>SKU-10183</t>
        </is>
      </c>
      <c r="E8285" t="inlineStr">
        <is>
          <t>AM03</t>
        </is>
      </c>
      <c r="F8285" s="5" t="n">
        <v>1260.4</v>
      </c>
      <c r="G8285">
        <f>IF(LEFT(B8285,1)="C","Credit","Factuur")</f>
        <v/>
      </c>
      <c r="H8285">
        <f>IF(AND(B8285=B8284,D8285=D8284,A8285=A8284,F8285=F8284),1,0)</f>
        <v/>
      </c>
      <c r="I8285">
        <f>IF(C8285="C99999",1,0)</f>
        <v/>
      </c>
      <c r="J8285" s="5">
        <f>IF(OR(H8285=1,I8285=1),0,IF(G8285="Credit",-F8285,F8285))</f>
        <v/>
      </c>
    </row>
    <row r="8286">
      <c r="A8286" t="inlineStr">
        <is>
          <t>2026-09-14</t>
        </is>
      </c>
      <c r="B8286" t="inlineStr">
        <is>
          <t>F285306</t>
        </is>
      </c>
      <c r="C8286" t="inlineStr">
        <is>
          <t>C11324</t>
        </is>
      </c>
      <c r="D8286" t="inlineStr">
        <is>
          <t>SKU-10250</t>
        </is>
      </c>
      <c r="E8286" t="inlineStr">
        <is>
          <t>AM03</t>
        </is>
      </c>
      <c r="F8286" s="5" t="n">
        <v>1268.82</v>
      </c>
      <c r="G8286">
        <f>IF(LEFT(B8286,1)="C","Credit","Factuur")</f>
        <v/>
      </c>
      <c r="H8286">
        <f>IF(AND(B8286=B8285,D8286=D8285,A8286=A8285,F8286=F8285),1,0)</f>
        <v/>
      </c>
      <c r="I8286">
        <f>IF(C8286="C99999",1,0)</f>
        <v/>
      </c>
      <c r="J8286" s="5">
        <f>IF(OR(H8286=1,I8286=1),0,IF(G8286="Credit",-F8286,F8286))</f>
        <v/>
      </c>
    </row>
    <row r="8287">
      <c r="A8287" t="inlineStr">
        <is>
          <t>2026-09-14</t>
        </is>
      </c>
      <c r="B8287" t="inlineStr">
        <is>
          <t>F285347</t>
        </is>
      </c>
      <c r="C8287" t="inlineStr">
        <is>
          <t>C11326</t>
        </is>
      </c>
      <c r="D8287" t="inlineStr">
        <is>
          <t>SKU-10054</t>
        </is>
      </c>
      <c r="E8287" t="inlineStr"/>
      <c r="F8287" s="5" t="n">
        <v>2113.3</v>
      </c>
      <c r="G8287">
        <f>IF(LEFT(B8287,1)="C","Credit","Factuur")</f>
        <v/>
      </c>
      <c r="H8287">
        <f>IF(AND(B8287=B8286,D8287=D8286,A8287=A8286,F8287=F8286),1,0)</f>
        <v/>
      </c>
      <c r="I8287">
        <f>IF(C8287="C99999",1,0)</f>
        <v/>
      </c>
      <c r="J8287" s="5">
        <f>IF(OR(H8287=1,I8287=1),0,IF(G8287="Credit",-F8287,F8287))</f>
        <v/>
      </c>
    </row>
    <row r="8288">
      <c r="A8288" t="inlineStr">
        <is>
          <t>2026-09-15</t>
        </is>
      </c>
      <c r="B8288" t="inlineStr">
        <is>
          <t>C901015</t>
        </is>
      </c>
      <c r="C8288" t="inlineStr">
        <is>
          <t>C10519</t>
        </is>
      </c>
      <c r="D8288" t="inlineStr">
        <is>
          <t>SKU-10169</t>
        </is>
      </c>
      <c r="E8288" t="inlineStr">
        <is>
          <t>AM01</t>
        </is>
      </c>
      <c r="F8288" s="5" t="n">
        <v>1543</v>
      </c>
      <c r="G8288">
        <f>IF(LEFT(B8288,1)="C","Credit","Factuur")</f>
        <v/>
      </c>
      <c r="H8288">
        <f>IF(AND(B8288=B8287,D8288=D8287,A8288=A8287,F8288=F8287),1,0)</f>
        <v/>
      </c>
      <c r="I8288">
        <f>IF(C8288="C99999",1,0)</f>
        <v/>
      </c>
      <c r="J8288" s="5">
        <f>IF(OR(H8288=1,I8288=1),0,IF(G8288="Credit",-F8288,F8288))</f>
        <v/>
      </c>
    </row>
    <row r="8289">
      <c r="A8289" t="inlineStr">
        <is>
          <t>2026-09-15</t>
        </is>
      </c>
      <c r="B8289" t="inlineStr">
        <is>
          <t>C901453</t>
        </is>
      </c>
      <c r="C8289" t="inlineStr">
        <is>
          <t>C11286</t>
        </is>
      </c>
      <c r="D8289" t="inlineStr">
        <is>
          <t>SKU-10270</t>
        </is>
      </c>
      <c r="E8289" t="inlineStr">
        <is>
          <t>AM11</t>
        </is>
      </c>
      <c r="F8289" s="5" t="n">
        <v>151.48</v>
      </c>
      <c r="G8289">
        <f>IF(LEFT(B8289,1)="C","Credit","Factuur")</f>
        <v/>
      </c>
      <c r="H8289">
        <f>IF(AND(B8289=B8288,D8289=D8288,A8289=A8288,F8289=F8288),1,0)</f>
        <v/>
      </c>
      <c r="I8289">
        <f>IF(C8289="C99999",1,0)</f>
        <v/>
      </c>
      <c r="J8289" s="5">
        <f>IF(OR(H8289=1,I8289=1),0,IF(G8289="Credit",-F8289,F8289))</f>
        <v/>
      </c>
    </row>
    <row r="8290">
      <c r="A8290" t="inlineStr">
        <is>
          <t>2026-09-15</t>
        </is>
      </c>
      <c r="B8290" t="inlineStr">
        <is>
          <t>F261009</t>
        </is>
      </c>
      <c r="C8290" t="inlineStr">
        <is>
          <t>C10059</t>
        </is>
      </c>
      <c r="D8290" t="inlineStr">
        <is>
          <t>SKU-10034</t>
        </is>
      </c>
      <c r="E8290" t="inlineStr">
        <is>
          <t>AM03</t>
        </is>
      </c>
      <c r="F8290" s="5" t="n">
        <v>1207.18</v>
      </c>
      <c r="G8290">
        <f>IF(LEFT(B8290,1)="C","Credit","Factuur")</f>
        <v/>
      </c>
      <c r="H8290">
        <f>IF(AND(B8290=B8289,D8290=D8289,A8290=A8289,F8290=F8289),1,0)</f>
        <v/>
      </c>
      <c r="I8290">
        <f>IF(C8290="C99999",1,0)</f>
        <v/>
      </c>
      <c r="J8290" s="5">
        <f>IF(OR(H8290=1,I8290=1),0,IF(G8290="Credit",-F8290,F8290))</f>
        <v/>
      </c>
    </row>
    <row r="8291">
      <c r="A8291" t="inlineStr">
        <is>
          <t>2026-09-15</t>
        </is>
      </c>
      <c r="B8291" t="inlineStr">
        <is>
          <t>F261009</t>
        </is>
      </c>
      <c r="C8291" t="inlineStr">
        <is>
          <t>C10059</t>
        </is>
      </c>
      <c r="D8291" t="inlineStr">
        <is>
          <t>SKU-10160</t>
        </is>
      </c>
      <c r="E8291" t="inlineStr">
        <is>
          <t>AM03</t>
        </is>
      </c>
      <c r="F8291" s="5" t="n">
        <v>1214.46</v>
      </c>
      <c r="G8291">
        <f>IF(LEFT(B8291,1)="C","Credit","Factuur")</f>
        <v/>
      </c>
      <c r="H8291">
        <f>IF(AND(B8291=B8290,D8291=D8290,A8291=A8290,F8291=F8290),1,0)</f>
        <v/>
      </c>
      <c r="I8291">
        <f>IF(C8291="C99999",1,0)</f>
        <v/>
      </c>
      <c r="J8291" s="5">
        <f>IF(OR(H8291=1,I8291=1),0,IF(G8291="Credit",-F8291,F8291))</f>
        <v/>
      </c>
    </row>
    <row r="8292">
      <c r="A8292" t="inlineStr">
        <is>
          <t>2026-09-15</t>
        </is>
      </c>
      <c r="B8292" t="inlineStr">
        <is>
          <t>F261044</t>
        </is>
      </c>
      <c r="C8292" t="inlineStr">
        <is>
          <t>C10060</t>
        </is>
      </c>
      <c r="D8292" t="inlineStr">
        <is>
          <t>SKU-10283</t>
        </is>
      </c>
      <c r="E8292" t="inlineStr">
        <is>
          <t>AM05</t>
        </is>
      </c>
      <c r="F8292" s="5" t="n">
        <v>2630.67</v>
      </c>
      <c r="G8292">
        <f>IF(LEFT(B8292,1)="C","Credit","Factuur")</f>
        <v/>
      </c>
      <c r="H8292">
        <f>IF(AND(B8292=B8291,D8292=D8291,A8292=A8291,F8292=F8291),1,0)</f>
        <v/>
      </c>
      <c r="I8292">
        <f>IF(C8292="C99999",1,0)</f>
        <v/>
      </c>
      <c r="J8292" s="5">
        <f>IF(OR(H8292=1,I8292=1),0,IF(G8292="Credit",-F8292,F8292))</f>
        <v/>
      </c>
    </row>
    <row r="8293">
      <c r="A8293" t="inlineStr">
        <is>
          <t>2026-09-15</t>
        </is>
      </c>
      <c r="B8293" t="inlineStr">
        <is>
          <t>F262236</t>
        </is>
      </c>
      <c r="C8293" t="inlineStr">
        <is>
          <t>C10119</t>
        </is>
      </c>
      <c r="D8293" t="inlineStr">
        <is>
          <t>SKU-10145</t>
        </is>
      </c>
      <c r="E8293" t="inlineStr">
        <is>
          <t>AM12</t>
        </is>
      </c>
      <c r="F8293" s="5" t="n">
        <v>119.18</v>
      </c>
      <c r="G8293">
        <f>IF(LEFT(B8293,1)="C","Credit","Factuur")</f>
        <v/>
      </c>
      <c r="H8293">
        <f>IF(AND(B8293=B8292,D8293=D8292,A8293=A8292,F8293=F8292),1,0)</f>
        <v/>
      </c>
      <c r="I8293">
        <f>IF(C8293="C99999",1,0)</f>
        <v/>
      </c>
      <c r="J8293" s="5">
        <f>IF(OR(H8293=1,I8293=1),0,IF(G8293="Credit",-F8293,F8293))</f>
        <v/>
      </c>
    </row>
    <row r="8294">
      <c r="A8294" t="inlineStr">
        <is>
          <t>2026-09-15</t>
        </is>
      </c>
      <c r="B8294" t="inlineStr">
        <is>
          <t>F262236</t>
        </is>
      </c>
      <c r="C8294" t="inlineStr">
        <is>
          <t>C10119</t>
        </is>
      </c>
      <c r="D8294" t="inlineStr">
        <is>
          <t>SKU-10210</t>
        </is>
      </c>
      <c r="E8294" t="inlineStr">
        <is>
          <t>AM12</t>
        </is>
      </c>
      <c r="F8294" s="5" t="n">
        <v>90.43000000000001</v>
      </c>
      <c r="G8294">
        <f>IF(LEFT(B8294,1)="C","Credit","Factuur")</f>
        <v/>
      </c>
      <c r="H8294">
        <f>IF(AND(B8294=B8293,D8294=D8293,A8294=A8293,F8294=F8293),1,0)</f>
        <v/>
      </c>
      <c r="I8294">
        <f>IF(C8294="C99999",1,0)</f>
        <v/>
      </c>
      <c r="J8294" s="5">
        <f>IF(OR(H8294=1,I8294=1),0,IF(G8294="Credit",-F8294,F8294))</f>
        <v/>
      </c>
    </row>
    <row r="8295">
      <c r="A8295" t="inlineStr">
        <is>
          <t>2026-09-15</t>
        </is>
      </c>
      <c r="B8295" t="inlineStr">
        <is>
          <t>F262236</t>
        </is>
      </c>
      <c r="C8295" t="inlineStr">
        <is>
          <t>C10119</t>
        </is>
      </c>
      <c r="D8295" t="inlineStr">
        <is>
          <t>SKU-10274</t>
        </is>
      </c>
      <c r="E8295" t="inlineStr">
        <is>
          <t>AM12</t>
        </is>
      </c>
      <c r="F8295" s="5" t="n">
        <v>97.55</v>
      </c>
      <c r="G8295">
        <f>IF(LEFT(B8295,1)="C","Credit","Factuur")</f>
        <v/>
      </c>
      <c r="H8295">
        <f>IF(AND(B8295=B8294,D8295=D8294,A8295=A8294,F8295=F8294),1,0)</f>
        <v/>
      </c>
      <c r="I8295">
        <f>IF(C8295="C99999",1,0)</f>
        <v/>
      </c>
      <c r="J8295" s="5">
        <f>IF(OR(H8295=1,I8295=1),0,IF(G8295="Credit",-F8295,F8295))</f>
        <v/>
      </c>
    </row>
    <row r="8296">
      <c r="A8296" t="inlineStr">
        <is>
          <t>2026-09-15</t>
        </is>
      </c>
      <c r="B8296" t="inlineStr">
        <is>
          <t>F263064</t>
        </is>
      </c>
      <c r="C8296" t="inlineStr">
        <is>
          <t>C10164</t>
        </is>
      </c>
      <c r="D8296" t="inlineStr">
        <is>
          <t>SKU-10046</t>
        </is>
      </c>
      <c r="E8296" t="inlineStr">
        <is>
          <t>IS01</t>
        </is>
      </c>
      <c r="F8296" s="5" t="n">
        <v>78.90000000000001</v>
      </c>
      <c r="G8296">
        <f>IF(LEFT(B8296,1)="C","Credit","Factuur")</f>
        <v/>
      </c>
      <c r="H8296">
        <f>IF(AND(B8296=B8295,D8296=D8295,A8296=A8295,F8296=F8295),1,0)</f>
        <v/>
      </c>
      <c r="I8296">
        <f>IF(C8296="C99999",1,0)</f>
        <v/>
      </c>
      <c r="J8296" s="5">
        <f>IF(OR(H8296=1,I8296=1),0,IF(G8296="Credit",-F8296,F8296))</f>
        <v/>
      </c>
    </row>
    <row r="8297">
      <c r="A8297" t="inlineStr">
        <is>
          <t>2026-09-15</t>
        </is>
      </c>
      <c r="B8297" t="inlineStr">
        <is>
          <t>F263064</t>
        </is>
      </c>
      <c r="C8297" t="inlineStr">
        <is>
          <t>C10164</t>
        </is>
      </c>
      <c r="D8297" t="inlineStr">
        <is>
          <t>SKU-10089</t>
        </is>
      </c>
      <c r="E8297" t="inlineStr">
        <is>
          <t>IS01</t>
        </is>
      </c>
      <c r="F8297" s="5" t="n">
        <v>78.5</v>
      </c>
      <c r="G8297">
        <f>IF(LEFT(B8297,1)="C","Credit","Factuur")</f>
        <v/>
      </c>
      <c r="H8297">
        <f>IF(AND(B8297=B8296,D8297=D8296,A8297=A8296,F8297=F8296),1,0)</f>
        <v/>
      </c>
      <c r="I8297">
        <f>IF(C8297="C99999",1,0)</f>
        <v/>
      </c>
      <c r="J8297" s="5">
        <f>IF(OR(H8297=1,I8297=1),0,IF(G8297="Credit",-F8297,F8297))</f>
        <v/>
      </c>
    </row>
    <row r="8298">
      <c r="A8298" t="inlineStr">
        <is>
          <t>2026-09-15</t>
        </is>
      </c>
      <c r="B8298" t="inlineStr">
        <is>
          <t>F264180</t>
        </is>
      </c>
      <c r="C8298" t="inlineStr">
        <is>
          <t>C10221</t>
        </is>
      </c>
      <c r="D8298" t="inlineStr">
        <is>
          <t>SKU-10261</t>
        </is>
      </c>
      <c r="E8298" t="inlineStr">
        <is>
          <t>AM06</t>
        </is>
      </c>
      <c r="F8298" s="5" t="n">
        <v>185.59</v>
      </c>
      <c r="G8298">
        <f>IF(LEFT(B8298,1)="C","Credit","Factuur")</f>
        <v/>
      </c>
      <c r="H8298">
        <f>IF(AND(B8298=B8297,D8298=D8297,A8298=A8297,F8298=F8297),1,0)</f>
        <v/>
      </c>
      <c r="I8298">
        <f>IF(C8298="C99999",1,0)</f>
        <v/>
      </c>
      <c r="J8298" s="5">
        <f>IF(OR(H8298=1,I8298=1),0,IF(G8298="Credit",-F8298,F8298))</f>
        <v/>
      </c>
    </row>
    <row r="8299">
      <c r="A8299" t="inlineStr">
        <is>
          <t>2026-09-15</t>
        </is>
      </c>
      <c r="B8299" t="inlineStr">
        <is>
          <t>F264180</t>
        </is>
      </c>
      <c r="C8299" t="inlineStr">
        <is>
          <t>C10221</t>
        </is>
      </c>
      <c r="D8299" t="inlineStr">
        <is>
          <t>SKU-10340</t>
        </is>
      </c>
      <c r="E8299" t="inlineStr">
        <is>
          <t>AM06</t>
        </is>
      </c>
      <c r="F8299" s="5" t="n">
        <v>189.12</v>
      </c>
      <c r="G8299">
        <f>IF(LEFT(B8299,1)="C","Credit","Factuur")</f>
        <v/>
      </c>
      <c r="H8299">
        <f>IF(AND(B8299=B8298,D8299=D8298,A8299=A8298,F8299=F8298),1,0)</f>
        <v/>
      </c>
      <c r="I8299">
        <f>IF(C8299="C99999",1,0)</f>
        <v/>
      </c>
      <c r="J8299" s="5">
        <f>IF(OR(H8299=1,I8299=1),0,IF(G8299="Credit",-F8299,F8299))</f>
        <v/>
      </c>
    </row>
    <row r="8300">
      <c r="A8300" t="inlineStr">
        <is>
          <t>2026-09-15</t>
        </is>
      </c>
      <c r="B8300" t="inlineStr">
        <is>
          <t>F264180</t>
        </is>
      </c>
      <c r="C8300" t="inlineStr">
        <is>
          <t>C10221</t>
        </is>
      </c>
      <c r="D8300" t="inlineStr">
        <is>
          <t>SKU-10378</t>
        </is>
      </c>
      <c r="E8300" t="inlineStr">
        <is>
          <t>AM06</t>
        </is>
      </c>
      <c r="F8300" s="5" t="n">
        <v>213.11</v>
      </c>
      <c r="G8300">
        <f>IF(LEFT(B8300,1)="C","Credit","Factuur")</f>
        <v/>
      </c>
      <c r="H8300">
        <f>IF(AND(B8300=B8299,D8300=D8299,A8300=A8299,F8300=F8299),1,0)</f>
        <v/>
      </c>
      <c r="I8300">
        <f>IF(C8300="C99999",1,0)</f>
        <v/>
      </c>
      <c r="J8300" s="5">
        <f>IF(OR(H8300=1,I8300=1),0,IF(G8300="Credit",-F8300,F8300))</f>
        <v/>
      </c>
    </row>
    <row r="8301">
      <c r="A8301" t="inlineStr">
        <is>
          <t>2026-09-15</t>
        </is>
      </c>
      <c r="B8301" t="inlineStr">
        <is>
          <t>F264486</t>
        </is>
      </c>
      <c r="C8301" t="inlineStr">
        <is>
          <t>C10232</t>
        </is>
      </c>
      <c r="D8301" t="inlineStr">
        <is>
          <t>SKU-10148</t>
        </is>
      </c>
      <c r="E8301" t="inlineStr">
        <is>
          <t>AM07</t>
        </is>
      </c>
      <c r="F8301" s="5" t="n">
        <v>357.48</v>
      </c>
      <c r="G8301">
        <f>IF(LEFT(B8301,1)="C","Credit","Factuur")</f>
        <v/>
      </c>
      <c r="H8301">
        <f>IF(AND(B8301=B8300,D8301=D8300,A8301=A8300,F8301=F8300),1,0)</f>
        <v/>
      </c>
      <c r="I8301">
        <f>IF(C8301="C99999",1,0)</f>
        <v/>
      </c>
      <c r="J8301" s="5">
        <f>IF(OR(H8301=1,I8301=1),0,IF(G8301="Credit",-F8301,F8301))</f>
        <v/>
      </c>
    </row>
    <row r="8302">
      <c r="A8302" t="inlineStr">
        <is>
          <t>2026-09-15</t>
        </is>
      </c>
      <c r="B8302" t="inlineStr">
        <is>
          <t>F264486</t>
        </is>
      </c>
      <c r="C8302" t="inlineStr">
        <is>
          <t>C10232</t>
        </is>
      </c>
      <c r="D8302" t="inlineStr">
        <is>
          <t>SKU-10175</t>
        </is>
      </c>
      <c r="E8302" t="inlineStr">
        <is>
          <t>AM07</t>
        </is>
      </c>
      <c r="F8302" s="5" t="n">
        <v>359.67</v>
      </c>
      <c r="G8302">
        <f>IF(LEFT(B8302,1)="C","Credit","Factuur")</f>
        <v/>
      </c>
      <c r="H8302">
        <f>IF(AND(B8302=B8301,D8302=D8301,A8302=A8301,F8302=F8301),1,0)</f>
        <v/>
      </c>
      <c r="I8302">
        <f>IF(C8302="C99999",1,0)</f>
        <v/>
      </c>
      <c r="J8302" s="5">
        <f>IF(OR(H8302=1,I8302=1),0,IF(G8302="Credit",-F8302,F8302))</f>
        <v/>
      </c>
    </row>
    <row r="8303">
      <c r="A8303" t="inlineStr">
        <is>
          <t>2026-09-15</t>
        </is>
      </c>
      <c r="B8303" t="inlineStr">
        <is>
          <t>F264486</t>
        </is>
      </c>
      <c r="C8303" t="inlineStr">
        <is>
          <t>C10232</t>
        </is>
      </c>
      <c r="D8303" t="inlineStr">
        <is>
          <t>SKU-10183</t>
        </is>
      </c>
      <c r="E8303" t="inlineStr">
        <is>
          <t>AM07</t>
        </is>
      </c>
      <c r="F8303" s="5" t="n">
        <v>356.2</v>
      </c>
      <c r="G8303">
        <f>IF(LEFT(B8303,1)="C","Credit","Factuur")</f>
        <v/>
      </c>
      <c r="H8303">
        <f>IF(AND(B8303=B8302,D8303=D8302,A8303=A8302,F8303=F8302),1,0)</f>
        <v/>
      </c>
      <c r="I8303">
        <f>IF(C8303="C99999",1,0)</f>
        <v/>
      </c>
      <c r="J8303" s="5">
        <f>IF(OR(H8303=1,I8303=1),0,IF(G8303="Credit",-F8303,F8303))</f>
        <v/>
      </c>
    </row>
    <row r="8304">
      <c r="A8304" t="inlineStr">
        <is>
          <t>2026-09-15</t>
        </is>
      </c>
      <c r="B8304" t="inlineStr">
        <is>
          <t>F265107</t>
        </is>
      </c>
      <c r="C8304" t="inlineStr">
        <is>
          <t>C10269</t>
        </is>
      </c>
      <c r="D8304" t="inlineStr">
        <is>
          <t>SKU-10066</t>
        </is>
      </c>
      <c r="E8304" t="inlineStr">
        <is>
          <t>AM05</t>
        </is>
      </c>
      <c r="F8304" s="5" t="n">
        <v>812.16</v>
      </c>
      <c r="G8304">
        <f>IF(LEFT(B8304,1)="C","Credit","Factuur")</f>
        <v/>
      </c>
      <c r="H8304">
        <f>IF(AND(B8304=B8303,D8304=D8303,A8304=A8303,F8304=F8303),1,0)</f>
        <v/>
      </c>
      <c r="I8304">
        <f>IF(C8304="C99999",1,0)</f>
        <v/>
      </c>
      <c r="J8304" s="5">
        <f>IF(OR(H8304=1,I8304=1),0,IF(G8304="Credit",-F8304,F8304))</f>
        <v/>
      </c>
    </row>
    <row r="8305">
      <c r="A8305" t="inlineStr">
        <is>
          <t>2026-09-15</t>
        </is>
      </c>
      <c r="B8305" t="inlineStr">
        <is>
          <t>F265107</t>
        </is>
      </c>
      <c r="C8305" t="inlineStr">
        <is>
          <t>C10269</t>
        </is>
      </c>
      <c r="D8305" t="inlineStr">
        <is>
          <t>SKU-10156</t>
        </is>
      </c>
      <c r="E8305" t="inlineStr">
        <is>
          <t>AM05</t>
        </is>
      </c>
      <c r="F8305" s="5" t="n">
        <v>807.84</v>
      </c>
      <c r="G8305">
        <f>IF(LEFT(B8305,1)="C","Credit","Factuur")</f>
        <v/>
      </c>
      <c r="H8305">
        <f>IF(AND(B8305=B8304,D8305=D8304,A8305=A8304,F8305=F8304),1,0)</f>
        <v/>
      </c>
      <c r="I8305">
        <f>IF(C8305="C99999",1,0)</f>
        <v/>
      </c>
      <c r="J8305" s="5">
        <f>IF(OR(H8305=1,I8305=1),0,IF(G8305="Credit",-F8305,F8305))</f>
        <v/>
      </c>
    </row>
    <row r="8306">
      <c r="A8306" t="inlineStr">
        <is>
          <t>2026-09-15</t>
        </is>
      </c>
      <c r="B8306" t="inlineStr">
        <is>
          <t>F265107</t>
        </is>
      </c>
      <c r="C8306" t="inlineStr">
        <is>
          <t>C10269</t>
        </is>
      </c>
      <c r="D8306" t="inlineStr">
        <is>
          <t>SKU-10339</t>
        </is>
      </c>
      <c r="E8306" t="inlineStr">
        <is>
          <t>AM05</t>
        </is>
      </c>
      <c r="F8306" s="5" t="n">
        <v>812.7</v>
      </c>
      <c r="G8306">
        <f>IF(LEFT(B8306,1)="C","Credit","Factuur")</f>
        <v/>
      </c>
      <c r="H8306">
        <f>IF(AND(B8306=B8305,D8306=D8305,A8306=A8305,F8306=F8305),1,0)</f>
        <v/>
      </c>
      <c r="I8306">
        <f>IF(C8306="C99999",1,0)</f>
        <v/>
      </c>
      <c r="J8306" s="5">
        <f>IF(OR(H8306=1,I8306=1),0,IF(G8306="Credit",-F8306,F8306))</f>
        <v/>
      </c>
    </row>
    <row r="8307">
      <c r="A8307" t="inlineStr">
        <is>
          <t>2026-09-15</t>
        </is>
      </c>
      <c r="B8307" t="inlineStr">
        <is>
          <t>F265510</t>
        </is>
      </c>
      <c r="C8307" t="inlineStr">
        <is>
          <t>C10290</t>
        </is>
      </c>
      <c r="D8307" t="inlineStr">
        <is>
          <t>SKU-10177</t>
        </is>
      </c>
      <c r="E8307" t="inlineStr">
        <is>
          <t>AM11</t>
        </is>
      </c>
      <c r="F8307" s="5" t="n">
        <v>1134.2</v>
      </c>
      <c r="G8307">
        <f>IF(LEFT(B8307,1)="C","Credit","Factuur")</f>
        <v/>
      </c>
      <c r="H8307">
        <f>IF(AND(B8307=B8306,D8307=D8306,A8307=A8306,F8307=F8306),1,0)</f>
        <v/>
      </c>
      <c r="I8307">
        <f>IF(C8307="C99999",1,0)</f>
        <v/>
      </c>
      <c r="J8307" s="5">
        <f>IF(OR(H8307=1,I8307=1),0,IF(G8307="Credit",-F8307,F8307))</f>
        <v/>
      </c>
    </row>
    <row r="8308">
      <c r="A8308" t="inlineStr">
        <is>
          <t>2026-09-15</t>
        </is>
      </c>
      <c r="B8308" t="inlineStr">
        <is>
          <t>F265510</t>
        </is>
      </c>
      <c r="C8308" t="inlineStr">
        <is>
          <t>C10290</t>
        </is>
      </c>
      <c r="D8308" t="inlineStr">
        <is>
          <t>SKU-10272</t>
        </is>
      </c>
      <c r="E8308" t="inlineStr">
        <is>
          <t>AM11</t>
        </is>
      </c>
      <c r="F8308" s="5" t="n">
        <v>1131.3</v>
      </c>
      <c r="G8308">
        <f>IF(LEFT(B8308,1)="C","Credit","Factuur")</f>
        <v/>
      </c>
      <c r="H8308">
        <f>IF(AND(B8308=B8307,D8308=D8307,A8308=A8307,F8308=F8307),1,0)</f>
        <v/>
      </c>
      <c r="I8308">
        <f>IF(C8308="C99999",1,0)</f>
        <v/>
      </c>
      <c r="J8308" s="5">
        <f>IF(OR(H8308=1,I8308=1),0,IF(G8308="Credit",-F8308,F8308))</f>
        <v/>
      </c>
    </row>
    <row r="8309">
      <c r="A8309" t="inlineStr">
        <is>
          <t>2026-09-15</t>
        </is>
      </c>
      <c r="B8309" t="inlineStr">
        <is>
          <t>F265691</t>
        </is>
      </c>
      <c r="C8309" t="inlineStr">
        <is>
          <t>C10298</t>
        </is>
      </c>
      <c r="D8309" t="inlineStr">
        <is>
          <t>SKU-10014</t>
        </is>
      </c>
      <c r="E8309" t="inlineStr">
        <is>
          <t>AM02</t>
        </is>
      </c>
      <c r="F8309" s="5" t="n">
        <v>1100.8</v>
      </c>
      <c r="G8309">
        <f>IF(LEFT(B8309,1)="C","Credit","Factuur")</f>
        <v/>
      </c>
      <c r="H8309">
        <f>IF(AND(B8309=B8308,D8309=D8308,A8309=A8308,F8309=F8308),1,0)</f>
        <v/>
      </c>
      <c r="I8309">
        <f>IF(C8309="C99999",1,0)</f>
        <v/>
      </c>
      <c r="J8309" s="5">
        <f>IF(OR(H8309=1,I8309=1),0,IF(G8309="Credit",-F8309,F8309))</f>
        <v/>
      </c>
    </row>
    <row r="8310">
      <c r="A8310" t="inlineStr">
        <is>
          <t>2026-09-15</t>
        </is>
      </c>
      <c r="B8310" t="inlineStr">
        <is>
          <t>F265691</t>
        </is>
      </c>
      <c r="C8310" t="inlineStr">
        <is>
          <t>C10298</t>
        </is>
      </c>
      <c r="D8310" t="inlineStr">
        <is>
          <t>SKU-10056</t>
        </is>
      </c>
      <c r="E8310" t="inlineStr">
        <is>
          <t>AM02</t>
        </is>
      </c>
      <c r="F8310" s="5" t="n">
        <v>1088</v>
      </c>
      <c r="G8310">
        <f>IF(LEFT(B8310,1)="C","Credit","Factuur")</f>
        <v/>
      </c>
      <c r="H8310">
        <f>IF(AND(B8310=B8309,D8310=D8309,A8310=A8309,F8310=F8309),1,0)</f>
        <v/>
      </c>
      <c r="I8310">
        <f>IF(C8310="C99999",1,0)</f>
        <v/>
      </c>
      <c r="J8310" s="5">
        <f>IF(OR(H8310=1,I8310=1),0,IF(G8310="Credit",-F8310,F8310))</f>
        <v/>
      </c>
    </row>
    <row r="8311">
      <c r="A8311" t="inlineStr">
        <is>
          <t>2026-09-15</t>
        </is>
      </c>
      <c r="B8311" t="inlineStr">
        <is>
          <t>F265691</t>
        </is>
      </c>
      <c r="C8311" t="inlineStr">
        <is>
          <t>C10298</t>
        </is>
      </c>
      <c r="D8311" t="inlineStr">
        <is>
          <t>SKU-10174</t>
        </is>
      </c>
      <c r="E8311" t="inlineStr">
        <is>
          <t>AM02</t>
        </is>
      </c>
      <c r="F8311" s="5" t="n">
        <v>1077.57</v>
      </c>
      <c r="G8311">
        <f>IF(LEFT(B8311,1)="C","Credit","Factuur")</f>
        <v/>
      </c>
      <c r="H8311">
        <f>IF(AND(B8311=B8310,D8311=D8310,A8311=A8310,F8311=F8310),1,0)</f>
        <v/>
      </c>
      <c r="I8311">
        <f>IF(C8311="C99999",1,0)</f>
        <v/>
      </c>
      <c r="J8311" s="5">
        <f>IF(OR(H8311=1,I8311=1),0,IF(G8311="Credit",-F8311,F8311))</f>
        <v/>
      </c>
    </row>
    <row r="8312">
      <c r="A8312" t="inlineStr">
        <is>
          <t>2026-09-15</t>
        </is>
      </c>
      <c r="B8312" t="inlineStr">
        <is>
          <t>F265784</t>
        </is>
      </c>
      <c r="C8312" t="inlineStr">
        <is>
          <t>C10302</t>
        </is>
      </c>
      <c r="D8312" t="inlineStr">
        <is>
          <t>SKU-10019</t>
        </is>
      </c>
      <c r="E8312" t="inlineStr">
        <is>
          <t>AM07</t>
        </is>
      </c>
      <c r="F8312" s="5" t="n">
        <v>396.09</v>
      </c>
      <c r="G8312">
        <f>IF(LEFT(B8312,1)="C","Credit","Factuur")</f>
        <v/>
      </c>
      <c r="H8312">
        <f>IF(AND(B8312=B8311,D8312=D8311,A8312=A8311,F8312=F8311),1,0)</f>
        <v/>
      </c>
      <c r="I8312">
        <f>IF(C8312="C99999",1,0)</f>
        <v/>
      </c>
      <c r="J8312" s="5">
        <f>IF(OR(H8312=1,I8312=1),0,IF(G8312="Credit",-F8312,F8312))</f>
        <v/>
      </c>
    </row>
    <row r="8313">
      <c r="A8313" t="inlineStr">
        <is>
          <t>2026-09-15</t>
        </is>
      </c>
      <c r="B8313" t="inlineStr">
        <is>
          <t>F265784</t>
        </is>
      </c>
      <c r="C8313" t="inlineStr">
        <is>
          <t>C10302</t>
        </is>
      </c>
      <c r="D8313" t="inlineStr">
        <is>
          <t>SKU-10271</t>
        </is>
      </c>
      <c r="E8313" t="inlineStr">
        <is>
          <t>AM07</t>
        </is>
      </c>
      <c r="F8313" s="5" t="n">
        <v>379.05</v>
      </c>
      <c r="G8313">
        <f>IF(LEFT(B8313,1)="C","Credit","Factuur")</f>
        <v/>
      </c>
      <c r="H8313">
        <f>IF(AND(B8313=B8312,D8313=D8312,A8313=A8312,F8313=F8312),1,0)</f>
        <v/>
      </c>
      <c r="I8313">
        <f>IF(C8313="C99999",1,0)</f>
        <v/>
      </c>
      <c r="J8313" s="5">
        <f>IF(OR(H8313=1,I8313=1),0,IF(G8313="Credit",-F8313,F8313))</f>
        <v/>
      </c>
    </row>
    <row r="8314">
      <c r="A8314" t="inlineStr">
        <is>
          <t>2026-09-15</t>
        </is>
      </c>
      <c r="B8314" t="inlineStr">
        <is>
          <t>F265784</t>
        </is>
      </c>
      <c r="C8314" t="inlineStr">
        <is>
          <t>C10302</t>
        </is>
      </c>
      <c r="D8314" t="inlineStr">
        <is>
          <t>SKU-10318</t>
        </is>
      </c>
      <c r="E8314" t="inlineStr">
        <is>
          <t>AM07</t>
        </is>
      </c>
      <c r="F8314" s="5" t="n">
        <v>367.32</v>
      </c>
      <c r="G8314">
        <f>IF(LEFT(B8314,1)="C","Credit","Factuur")</f>
        <v/>
      </c>
      <c r="H8314">
        <f>IF(AND(B8314=B8313,D8314=D8313,A8314=A8313,F8314=F8313),1,0)</f>
        <v/>
      </c>
      <c r="I8314">
        <f>IF(C8314="C99999",1,0)</f>
        <v/>
      </c>
      <c r="J8314" s="5">
        <f>IF(OR(H8314=1,I8314=1),0,IF(G8314="Credit",-F8314,F8314))</f>
        <v/>
      </c>
    </row>
    <row r="8315">
      <c r="A8315" t="inlineStr">
        <is>
          <t>2026-09-15</t>
        </is>
      </c>
      <c r="B8315" t="inlineStr">
        <is>
          <t>F266222</t>
        </is>
      </c>
      <c r="C8315" t="inlineStr">
        <is>
          <t>C10325</t>
        </is>
      </c>
      <c r="D8315" t="inlineStr">
        <is>
          <t>SKU-10034</t>
        </is>
      </c>
      <c r="E8315" t="inlineStr">
        <is>
          <t>AM01</t>
        </is>
      </c>
      <c r="F8315" s="5" t="n">
        <v>789.3099999999999</v>
      </c>
      <c r="G8315">
        <f>IF(LEFT(B8315,1)="C","Credit","Factuur")</f>
        <v/>
      </c>
      <c r="H8315">
        <f>IF(AND(B8315=B8314,D8315=D8314,A8315=A8314,F8315=F8314),1,0)</f>
        <v/>
      </c>
      <c r="I8315">
        <f>IF(C8315="C99999",1,0)</f>
        <v/>
      </c>
      <c r="J8315" s="5">
        <f>IF(OR(H8315=1,I8315=1),0,IF(G8315="Credit",-F8315,F8315))</f>
        <v/>
      </c>
    </row>
    <row r="8316">
      <c r="A8316" t="inlineStr">
        <is>
          <t>2026-09-15</t>
        </is>
      </c>
      <c r="B8316" t="inlineStr">
        <is>
          <t>F266737</t>
        </is>
      </c>
      <c r="C8316" t="inlineStr">
        <is>
          <t>C10355</t>
        </is>
      </c>
      <c r="D8316" t="inlineStr">
        <is>
          <t>SKU-10049</t>
        </is>
      </c>
      <c r="E8316" t="inlineStr">
        <is>
          <t>AM12</t>
        </is>
      </c>
      <c r="F8316" s="5" t="n">
        <v>265.8</v>
      </c>
      <c r="G8316">
        <f>IF(LEFT(B8316,1)="C","Credit","Factuur")</f>
        <v/>
      </c>
      <c r="H8316">
        <f>IF(AND(B8316=B8315,D8316=D8315,A8316=A8315,F8316=F8315),1,0)</f>
        <v/>
      </c>
      <c r="I8316">
        <f>IF(C8316="C99999",1,0)</f>
        <v/>
      </c>
      <c r="J8316" s="5">
        <f>IF(OR(H8316=1,I8316=1),0,IF(G8316="Credit",-F8316,F8316))</f>
        <v/>
      </c>
    </row>
    <row r="8317">
      <c r="A8317" t="inlineStr">
        <is>
          <t>2026-09-15</t>
        </is>
      </c>
      <c r="B8317" t="inlineStr">
        <is>
          <t>F266737</t>
        </is>
      </c>
      <c r="C8317" t="inlineStr">
        <is>
          <t>C10355</t>
        </is>
      </c>
      <c r="D8317" t="inlineStr">
        <is>
          <t>SKU-10117</t>
        </is>
      </c>
      <c r="E8317" t="inlineStr">
        <is>
          <t>AM12</t>
        </is>
      </c>
      <c r="F8317" s="5" t="n">
        <v>242.32</v>
      </c>
      <c r="G8317">
        <f>IF(LEFT(B8317,1)="C","Credit","Factuur")</f>
        <v/>
      </c>
      <c r="H8317">
        <f>IF(AND(B8317=B8316,D8317=D8316,A8317=A8316,F8317=F8316),1,0)</f>
        <v/>
      </c>
      <c r="I8317">
        <f>IF(C8317="C99999",1,0)</f>
        <v/>
      </c>
      <c r="J8317" s="5">
        <f>IF(OR(H8317=1,I8317=1),0,IF(G8317="Credit",-F8317,F8317))</f>
        <v/>
      </c>
    </row>
    <row r="8318">
      <c r="A8318" t="inlineStr">
        <is>
          <t>2026-09-15</t>
        </is>
      </c>
      <c r="B8318" t="inlineStr">
        <is>
          <t>F266737</t>
        </is>
      </c>
      <c r="C8318" t="inlineStr">
        <is>
          <t>C10355</t>
        </is>
      </c>
      <c r="D8318" t="inlineStr">
        <is>
          <t>SKU-10229</t>
        </is>
      </c>
      <c r="E8318" t="inlineStr">
        <is>
          <t>AM12</t>
        </is>
      </c>
      <c r="F8318" s="5" t="n">
        <v>263.4</v>
      </c>
      <c r="G8318">
        <f>IF(LEFT(B8318,1)="C","Credit","Factuur")</f>
        <v/>
      </c>
      <c r="H8318">
        <f>IF(AND(B8318=B8317,D8318=D8317,A8318=A8317,F8318=F8317),1,0)</f>
        <v/>
      </c>
      <c r="I8318">
        <f>IF(C8318="C99999",1,0)</f>
        <v/>
      </c>
      <c r="J8318" s="5">
        <f>IF(OR(H8318=1,I8318=1),0,IF(G8318="Credit",-F8318,F8318))</f>
        <v/>
      </c>
    </row>
    <row r="8319">
      <c r="A8319" t="inlineStr">
        <is>
          <t>2026-09-15</t>
        </is>
      </c>
      <c r="B8319" t="inlineStr">
        <is>
          <t>F266737</t>
        </is>
      </c>
      <c r="C8319" t="inlineStr">
        <is>
          <t>C10355</t>
        </is>
      </c>
      <c r="D8319" t="inlineStr">
        <is>
          <t>SKU-10285</t>
        </is>
      </c>
      <c r="E8319" t="inlineStr">
        <is>
          <t>AM12</t>
        </is>
      </c>
      <c r="F8319" s="5" t="n">
        <v>267.96</v>
      </c>
      <c r="G8319">
        <f>IF(LEFT(B8319,1)="C","Credit","Factuur")</f>
        <v/>
      </c>
      <c r="H8319">
        <f>IF(AND(B8319=B8318,D8319=D8318,A8319=A8318,F8319=F8318),1,0)</f>
        <v/>
      </c>
      <c r="I8319">
        <f>IF(C8319="C99999",1,0)</f>
        <v/>
      </c>
      <c r="J8319" s="5">
        <f>IF(OR(H8319=1,I8319=1),0,IF(G8319="Credit",-F8319,F8319))</f>
        <v/>
      </c>
    </row>
    <row r="8320">
      <c r="A8320" t="inlineStr">
        <is>
          <t>2026-09-15</t>
        </is>
      </c>
      <c r="B8320" t="inlineStr">
        <is>
          <t>F268866</t>
        </is>
      </c>
      <c r="C8320" t="inlineStr">
        <is>
          <t>C10462</t>
        </is>
      </c>
      <c r="D8320" t="inlineStr">
        <is>
          <t>SKU-10030</t>
        </is>
      </c>
      <c r="E8320" t="inlineStr">
        <is>
          <t>AM08</t>
        </is>
      </c>
      <c r="F8320" s="5" t="n">
        <v>148.38</v>
      </c>
      <c r="G8320">
        <f>IF(LEFT(B8320,1)="C","Credit","Factuur")</f>
        <v/>
      </c>
      <c r="H8320">
        <f>IF(AND(B8320=B8319,D8320=D8319,A8320=A8319,F8320=F8319),1,0)</f>
        <v/>
      </c>
      <c r="I8320">
        <f>IF(C8320="C99999",1,0)</f>
        <v/>
      </c>
      <c r="J8320" s="5">
        <f>IF(OR(H8320=1,I8320=1),0,IF(G8320="Credit",-F8320,F8320))</f>
        <v/>
      </c>
    </row>
    <row r="8321">
      <c r="A8321" t="inlineStr">
        <is>
          <t>2026-09-15</t>
        </is>
      </c>
      <c r="B8321" t="inlineStr">
        <is>
          <t>F268866</t>
        </is>
      </c>
      <c r="C8321" t="inlineStr">
        <is>
          <t>C10462</t>
        </is>
      </c>
      <c r="D8321" t="inlineStr">
        <is>
          <t>SKU-10034</t>
        </is>
      </c>
      <c r="E8321" t="inlineStr">
        <is>
          <t>AM08</t>
        </is>
      </c>
      <c r="F8321" s="5" t="n">
        <v>132.33</v>
      </c>
      <c r="G8321">
        <f>IF(LEFT(B8321,1)="C","Credit","Factuur")</f>
        <v/>
      </c>
      <c r="H8321">
        <f>IF(AND(B8321=B8320,D8321=D8320,A8321=A8320,F8321=F8320),1,0)</f>
        <v/>
      </c>
      <c r="I8321">
        <f>IF(C8321="C99999",1,0)</f>
        <v/>
      </c>
      <c r="J8321" s="5">
        <f>IF(OR(H8321=1,I8321=1),0,IF(G8321="Credit",-F8321,F8321))</f>
        <v/>
      </c>
    </row>
    <row r="8322">
      <c r="A8322" t="inlineStr">
        <is>
          <t>2026-09-15</t>
        </is>
      </c>
      <c r="B8322" t="inlineStr">
        <is>
          <t>F268866</t>
        </is>
      </c>
      <c r="C8322" t="inlineStr">
        <is>
          <t>C10462</t>
        </is>
      </c>
      <c r="D8322" t="inlineStr">
        <is>
          <t>SKU-10042</t>
        </is>
      </c>
      <c r="E8322" t="inlineStr">
        <is>
          <t>AM08</t>
        </is>
      </c>
      <c r="F8322" s="5" t="n">
        <v>141.18</v>
      </c>
      <c r="G8322">
        <f>IF(LEFT(B8322,1)="C","Credit","Factuur")</f>
        <v/>
      </c>
      <c r="H8322">
        <f>IF(AND(B8322=B8321,D8322=D8321,A8322=A8321,F8322=F8321),1,0)</f>
        <v/>
      </c>
      <c r="I8322">
        <f>IF(C8322="C99999",1,0)</f>
        <v/>
      </c>
      <c r="J8322" s="5">
        <f>IF(OR(H8322=1,I8322=1),0,IF(G8322="Credit",-F8322,F8322))</f>
        <v/>
      </c>
    </row>
    <row r="8323">
      <c r="A8323" t="inlineStr">
        <is>
          <t>2026-09-15</t>
        </is>
      </c>
      <c r="B8323" t="inlineStr">
        <is>
          <t>F268866</t>
        </is>
      </c>
      <c r="C8323" t="inlineStr">
        <is>
          <t>C10462</t>
        </is>
      </c>
      <c r="D8323" t="inlineStr">
        <is>
          <t>SKU-10067</t>
        </is>
      </c>
      <c r="E8323" t="inlineStr">
        <is>
          <t>AM08</t>
        </is>
      </c>
      <c r="F8323" s="5" t="n">
        <v>116.12</v>
      </c>
      <c r="G8323">
        <f>IF(LEFT(B8323,1)="C","Credit","Factuur")</f>
        <v/>
      </c>
      <c r="H8323">
        <f>IF(AND(B8323=B8322,D8323=D8322,A8323=A8322,F8323=F8322),1,0)</f>
        <v/>
      </c>
      <c r="I8323">
        <f>IF(C8323="C99999",1,0)</f>
        <v/>
      </c>
      <c r="J8323" s="5">
        <f>IF(OR(H8323=1,I8323=1),0,IF(G8323="Credit",-F8323,F8323))</f>
        <v/>
      </c>
    </row>
    <row r="8324">
      <c r="A8324" t="inlineStr">
        <is>
          <t>2026-09-15</t>
        </is>
      </c>
      <c r="B8324" t="inlineStr">
        <is>
          <t>F268866</t>
        </is>
      </c>
      <c r="C8324" t="inlineStr">
        <is>
          <t>C10462</t>
        </is>
      </c>
      <c r="D8324" t="inlineStr">
        <is>
          <t>SKU-10124</t>
        </is>
      </c>
      <c r="E8324" t="inlineStr">
        <is>
          <t>AM08</t>
        </is>
      </c>
      <c r="F8324" s="5" t="n">
        <v>145.62</v>
      </c>
      <c r="G8324">
        <f>IF(LEFT(B8324,1)="C","Credit","Factuur")</f>
        <v/>
      </c>
      <c r="H8324">
        <f>IF(AND(B8324=B8323,D8324=D8323,A8324=A8323,F8324=F8323),1,0)</f>
        <v/>
      </c>
      <c r="I8324">
        <f>IF(C8324="C99999",1,0)</f>
        <v/>
      </c>
      <c r="J8324" s="5">
        <f>IF(OR(H8324=1,I8324=1),0,IF(G8324="Credit",-F8324,F8324))</f>
        <v/>
      </c>
    </row>
    <row r="8325">
      <c r="A8325" t="inlineStr">
        <is>
          <t>2026-09-15</t>
        </is>
      </c>
      <c r="B8325" t="inlineStr">
        <is>
          <t>F268866</t>
        </is>
      </c>
      <c r="C8325" t="inlineStr">
        <is>
          <t>C10462</t>
        </is>
      </c>
      <c r="D8325" t="inlineStr">
        <is>
          <t>SKU-10331</t>
        </is>
      </c>
      <c r="E8325" t="inlineStr">
        <is>
          <t>AM08</t>
        </is>
      </c>
      <c r="F8325" s="5" t="n">
        <v>143.1</v>
      </c>
      <c r="G8325">
        <f>IF(LEFT(B8325,1)="C","Credit","Factuur")</f>
        <v/>
      </c>
      <c r="H8325">
        <f>IF(AND(B8325=B8324,D8325=D8324,A8325=A8324,F8325=F8324),1,0)</f>
        <v/>
      </c>
      <c r="I8325">
        <f>IF(C8325="C99999",1,0)</f>
        <v/>
      </c>
      <c r="J8325" s="5">
        <f>IF(OR(H8325=1,I8325=1),0,IF(G8325="Credit",-F8325,F8325))</f>
        <v/>
      </c>
    </row>
    <row r="8326">
      <c r="A8326" t="inlineStr">
        <is>
          <t>2026-09-15</t>
        </is>
      </c>
      <c r="B8326" t="inlineStr">
        <is>
          <t>F268869</t>
        </is>
      </c>
      <c r="C8326" t="inlineStr">
        <is>
          <t>C10462</t>
        </is>
      </c>
      <c r="D8326" t="inlineStr">
        <is>
          <t>SKU-10035</t>
        </is>
      </c>
      <c r="E8326" t="inlineStr">
        <is>
          <t>AM08</t>
        </is>
      </c>
      <c r="F8326" s="5" t="n">
        <v>183.25</v>
      </c>
      <c r="G8326">
        <f>IF(LEFT(B8326,1)="C","Credit","Factuur")</f>
        <v/>
      </c>
      <c r="H8326">
        <f>IF(AND(B8326=B8325,D8326=D8325,A8326=A8325,F8326=F8325),1,0)</f>
        <v/>
      </c>
      <c r="I8326">
        <f>IF(C8326="C99999",1,0)</f>
        <v/>
      </c>
      <c r="J8326" s="5">
        <f>IF(OR(H8326=1,I8326=1),0,IF(G8326="Credit",-F8326,F8326))</f>
        <v/>
      </c>
    </row>
    <row r="8327">
      <c r="A8327" t="inlineStr">
        <is>
          <t>2026-09-15</t>
        </is>
      </c>
      <c r="B8327" t="inlineStr">
        <is>
          <t>F268869</t>
        </is>
      </c>
      <c r="C8327" t="inlineStr">
        <is>
          <t>C10462</t>
        </is>
      </c>
      <c r="D8327" t="inlineStr">
        <is>
          <t>SKU-10041</t>
        </is>
      </c>
      <c r="E8327" t="inlineStr">
        <is>
          <t>AM08</t>
        </is>
      </c>
      <c r="F8327" s="5" t="n">
        <v>176.47</v>
      </c>
      <c r="G8327">
        <f>IF(LEFT(B8327,1)="C","Credit","Factuur")</f>
        <v/>
      </c>
      <c r="H8327">
        <f>IF(AND(B8327=B8326,D8327=D8326,A8327=A8326,F8327=F8326),1,0)</f>
        <v/>
      </c>
      <c r="I8327">
        <f>IF(C8327="C99999",1,0)</f>
        <v/>
      </c>
      <c r="J8327" s="5">
        <f>IF(OR(H8327=1,I8327=1),0,IF(G8327="Credit",-F8327,F8327))</f>
        <v/>
      </c>
    </row>
    <row r="8328">
      <c r="A8328" t="inlineStr">
        <is>
          <t>2026-09-15</t>
        </is>
      </c>
      <c r="B8328" t="inlineStr">
        <is>
          <t>F268869</t>
        </is>
      </c>
      <c r="C8328" t="inlineStr">
        <is>
          <t>C10462</t>
        </is>
      </c>
      <c r="D8328" t="inlineStr">
        <is>
          <t>SKU-10111</t>
        </is>
      </c>
      <c r="E8328" t="inlineStr">
        <is>
          <t>AM08</t>
        </is>
      </c>
      <c r="F8328" s="5" t="n">
        <v>237.02</v>
      </c>
      <c r="G8328">
        <f>IF(LEFT(B8328,1)="C","Credit","Factuur")</f>
        <v/>
      </c>
      <c r="H8328">
        <f>IF(AND(B8328=B8327,D8328=D8327,A8328=A8327,F8328=F8327),1,0)</f>
        <v/>
      </c>
      <c r="I8328">
        <f>IF(C8328="C99999",1,0)</f>
        <v/>
      </c>
      <c r="J8328" s="5">
        <f>IF(OR(H8328=1,I8328=1),0,IF(G8328="Credit",-F8328,F8328))</f>
        <v/>
      </c>
    </row>
    <row r="8329">
      <c r="A8329" t="inlineStr">
        <is>
          <t>2026-09-15</t>
        </is>
      </c>
      <c r="B8329" t="inlineStr">
        <is>
          <t>F268869</t>
        </is>
      </c>
      <c r="C8329" t="inlineStr">
        <is>
          <t>C10462</t>
        </is>
      </c>
      <c r="D8329" t="inlineStr">
        <is>
          <t>SKU-10143</t>
        </is>
      </c>
      <c r="E8329" t="inlineStr">
        <is>
          <t>AM08</t>
        </is>
      </c>
      <c r="F8329" s="5" t="n">
        <v>218.04</v>
      </c>
      <c r="G8329">
        <f>IF(LEFT(B8329,1)="C","Credit","Factuur")</f>
        <v/>
      </c>
      <c r="H8329">
        <f>IF(AND(B8329=B8328,D8329=D8328,A8329=A8328,F8329=F8328),1,0)</f>
        <v/>
      </c>
      <c r="I8329">
        <f>IF(C8329="C99999",1,0)</f>
        <v/>
      </c>
      <c r="J8329" s="5">
        <f>IF(OR(H8329=1,I8329=1),0,IF(G8329="Credit",-F8329,F8329))</f>
        <v/>
      </c>
    </row>
    <row r="8330">
      <c r="A8330" t="inlineStr">
        <is>
          <t>2026-09-15</t>
        </is>
      </c>
      <c r="B8330" t="inlineStr">
        <is>
          <t>F270693</t>
        </is>
      </c>
      <c r="C8330" t="inlineStr">
        <is>
          <t>C10562</t>
        </is>
      </c>
      <c r="D8330" t="inlineStr">
        <is>
          <t>SKU-10377</t>
        </is>
      </c>
      <c r="E8330" t="inlineStr">
        <is>
          <t>AM03</t>
        </is>
      </c>
      <c r="F8330" s="5" t="n">
        <v>1421.92</v>
      </c>
      <c r="G8330">
        <f>IF(LEFT(B8330,1)="C","Credit","Factuur")</f>
        <v/>
      </c>
      <c r="H8330">
        <f>IF(AND(B8330=B8329,D8330=D8329,A8330=A8329,F8330=F8329),1,0)</f>
        <v/>
      </c>
      <c r="I8330">
        <f>IF(C8330="C99999",1,0)</f>
        <v/>
      </c>
      <c r="J8330" s="5">
        <f>IF(OR(H8330=1,I8330=1),0,IF(G8330="Credit",-F8330,F8330))</f>
        <v/>
      </c>
    </row>
    <row r="8331">
      <c r="A8331" t="inlineStr">
        <is>
          <t>2026-09-15</t>
        </is>
      </c>
      <c r="B8331" t="inlineStr">
        <is>
          <t>F270777</t>
        </is>
      </c>
      <c r="C8331" t="inlineStr">
        <is>
          <t>C10564</t>
        </is>
      </c>
      <c r="D8331" t="inlineStr">
        <is>
          <t>SKU-10051</t>
        </is>
      </c>
      <c r="E8331" t="inlineStr">
        <is>
          <t>AM05</t>
        </is>
      </c>
      <c r="F8331" s="5" t="n">
        <v>205.12</v>
      </c>
      <c r="G8331">
        <f>IF(LEFT(B8331,1)="C","Credit","Factuur")</f>
        <v/>
      </c>
      <c r="H8331">
        <f>IF(AND(B8331=B8330,D8331=D8330,A8331=A8330,F8331=F8330),1,0)</f>
        <v/>
      </c>
      <c r="I8331">
        <f>IF(C8331="C99999",1,0)</f>
        <v/>
      </c>
      <c r="J8331" s="5">
        <f>IF(OR(H8331=1,I8331=1),0,IF(G8331="Credit",-F8331,F8331))</f>
        <v/>
      </c>
    </row>
    <row r="8332">
      <c r="A8332" t="inlineStr">
        <is>
          <t>2026-09-15</t>
        </is>
      </c>
      <c r="B8332" t="inlineStr">
        <is>
          <t>F270777</t>
        </is>
      </c>
      <c r="C8332" t="inlineStr">
        <is>
          <t>C10564</t>
        </is>
      </c>
      <c r="D8332" t="inlineStr">
        <is>
          <t>SKU-10080</t>
        </is>
      </c>
      <c r="E8332" t="inlineStr">
        <is>
          <t>AM05</t>
        </is>
      </c>
      <c r="F8332" s="5" t="n">
        <v>159.96</v>
      </c>
      <c r="G8332">
        <f>IF(LEFT(B8332,1)="C","Credit","Factuur")</f>
        <v/>
      </c>
      <c r="H8332">
        <f>IF(AND(B8332=B8331,D8332=D8331,A8332=A8331,F8332=F8331),1,0)</f>
        <v/>
      </c>
      <c r="I8332">
        <f>IF(C8332="C99999",1,0)</f>
        <v/>
      </c>
      <c r="J8332" s="5">
        <f>IF(OR(H8332=1,I8332=1),0,IF(G8332="Credit",-F8332,F8332))</f>
        <v/>
      </c>
    </row>
    <row r="8333">
      <c r="A8333" t="inlineStr">
        <is>
          <t>2026-09-15</t>
        </is>
      </c>
      <c r="B8333" t="inlineStr">
        <is>
          <t>F270777</t>
        </is>
      </c>
      <c r="C8333" t="inlineStr">
        <is>
          <t>C10564</t>
        </is>
      </c>
      <c r="D8333" t="inlineStr">
        <is>
          <t>SKU-10250</t>
        </is>
      </c>
      <c r="E8333" t="inlineStr">
        <is>
          <t>AM05</t>
        </is>
      </c>
      <c r="F8333" s="5" t="n">
        <v>162.79</v>
      </c>
      <c r="G8333">
        <f>IF(LEFT(B8333,1)="C","Credit","Factuur")</f>
        <v/>
      </c>
      <c r="H8333">
        <f>IF(AND(B8333=B8332,D8333=D8332,A8333=A8332,F8333=F8332),1,0)</f>
        <v/>
      </c>
      <c r="I8333">
        <f>IF(C8333="C99999",1,0)</f>
        <v/>
      </c>
      <c r="J8333" s="5">
        <f>IF(OR(H8333=1,I8333=1),0,IF(G8333="Credit",-F8333,F8333))</f>
        <v/>
      </c>
    </row>
    <row r="8334">
      <c r="A8334" t="inlineStr">
        <is>
          <t>2026-09-15</t>
        </is>
      </c>
      <c r="B8334" t="inlineStr">
        <is>
          <t>F270777</t>
        </is>
      </c>
      <c r="C8334" t="inlineStr">
        <is>
          <t>C10564</t>
        </is>
      </c>
      <c r="D8334" t="inlineStr">
        <is>
          <t>SKU-10277</t>
        </is>
      </c>
      <c r="E8334" t="inlineStr">
        <is>
          <t>AM05</t>
        </is>
      </c>
      <c r="F8334" s="5" t="n">
        <v>177.75</v>
      </c>
      <c r="G8334">
        <f>IF(LEFT(B8334,1)="C","Credit","Factuur")</f>
        <v/>
      </c>
      <c r="H8334">
        <f>IF(AND(B8334=B8333,D8334=D8333,A8334=A8333,F8334=F8333),1,0)</f>
        <v/>
      </c>
      <c r="I8334">
        <f>IF(C8334="C99999",1,0)</f>
        <v/>
      </c>
      <c r="J8334" s="5">
        <f>IF(OR(H8334=1,I8334=1),0,IF(G8334="Credit",-F8334,F8334))</f>
        <v/>
      </c>
    </row>
    <row r="8335">
      <c r="A8335" t="inlineStr">
        <is>
          <t>2026-09-15</t>
        </is>
      </c>
      <c r="B8335" t="inlineStr">
        <is>
          <t>F270777</t>
        </is>
      </c>
      <c r="C8335" t="inlineStr">
        <is>
          <t>C10564</t>
        </is>
      </c>
      <c r="D8335" t="inlineStr">
        <is>
          <t>SKU-10328</t>
        </is>
      </c>
      <c r="E8335" t="inlineStr">
        <is>
          <t>AM05</t>
        </is>
      </c>
      <c r="F8335" s="5" t="n">
        <v>164.95</v>
      </c>
      <c r="G8335">
        <f>IF(LEFT(B8335,1)="C","Credit","Factuur")</f>
        <v/>
      </c>
      <c r="H8335">
        <f>IF(AND(B8335=B8334,D8335=D8334,A8335=A8334,F8335=F8334),1,0)</f>
        <v/>
      </c>
      <c r="I8335">
        <f>IF(C8335="C99999",1,0)</f>
        <v/>
      </c>
      <c r="J8335" s="5">
        <f>IF(OR(H8335=1,I8335=1),0,IF(G8335="Credit",-F8335,F8335))</f>
        <v/>
      </c>
    </row>
    <row r="8336">
      <c r="A8336" t="inlineStr">
        <is>
          <t>2026-09-15</t>
        </is>
      </c>
      <c r="B8336" t="inlineStr">
        <is>
          <t>F270777</t>
        </is>
      </c>
      <c r="C8336" t="inlineStr">
        <is>
          <t>C10564</t>
        </is>
      </c>
      <c r="D8336" t="inlineStr">
        <is>
          <t>SKU-10345</t>
        </is>
      </c>
      <c r="E8336" t="inlineStr">
        <is>
          <t>AM05</t>
        </is>
      </c>
      <c r="F8336" s="5" t="n">
        <v>162.5</v>
      </c>
      <c r="G8336">
        <f>IF(LEFT(B8336,1)="C","Credit","Factuur")</f>
        <v/>
      </c>
      <c r="H8336">
        <f>IF(AND(B8336=B8335,D8336=D8335,A8336=A8335,F8336=F8335),1,0)</f>
        <v/>
      </c>
      <c r="I8336">
        <f>IF(C8336="C99999",1,0)</f>
        <v/>
      </c>
      <c r="J8336" s="5">
        <f>IF(OR(H8336=1,I8336=1),0,IF(G8336="Credit",-F8336,F8336))</f>
        <v/>
      </c>
    </row>
    <row r="8337">
      <c r="A8337" t="inlineStr">
        <is>
          <t>2026-09-15</t>
        </is>
      </c>
      <c r="B8337" t="inlineStr">
        <is>
          <t>F271139</t>
        </is>
      </c>
      <c r="C8337" t="inlineStr">
        <is>
          <t>C10580</t>
        </is>
      </c>
      <c r="D8337" t="inlineStr">
        <is>
          <t>SKU-10059</t>
        </is>
      </c>
      <c r="E8337" t="inlineStr">
        <is>
          <t>AM01</t>
        </is>
      </c>
      <c r="F8337" s="5" t="n">
        <v>169.92</v>
      </c>
      <c r="G8337">
        <f>IF(LEFT(B8337,1)="C","Credit","Factuur")</f>
        <v/>
      </c>
      <c r="H8337">
        <f>IF(AND(B8337=B8336,D8337=D8336,A8337=A8336,F8337=F8336),1,0)</f>
        <v/>
      </c>
      <c r="I8337">
        <f>IF(C8337="C99999",1,0)</f>
        <v/>
      </c>
      <c r="J8337" s="5">
        <f>IF(OR(H8337=1,I8337=1),0,IF(G8337="Credit",-F8337,F8337))</f>
        <v/>
      </c>
    </row>
    <row r="8338">
      <c r="A8338" t="inlineStr">
        <is>
          <t>2026-09-15</t>
        </is>
      </c>
      <c r="B8338" t="inlineStr">
        <is>
          <t>F271139</t>
        </is>
      </c>
      <c r="C8338" t="inlineStr">
        <is>
          <t>C10580</t>
        </is>
      </c>
      <c r="D8338" t="inlineStr">
        <is>
          <t>SKU-10189</t>
        </is>
      </c>
      <c r="E8338" t="inlineStr">
        <is>
          <t>AM01</t>
        </is>
      </c>
      <c r="F8338" s="5" t="n">
        <v>155.82</v>
      </c>
      <c r="G8338">
        <f>IF(LEFT(B8338,1)="C","Credit","Factuur")</f>
        <v/>
      </c>
      <c r="H8338">
        <f>IF(AND(B8338=B8337,D8338=D8337,A8338=A8337,F8338=F8337),1,0)</f>
        <v/>
      </c>
      <c r="I8338">
        <f>IF(C8338="C99999",1,0)</f>
        <v/>
      </c>
      <c r="J8338" s="5">
        <f>IF(OR(H8338=1,I8338=1),0,IF(G8338="Credit",-F8338,F8338))</f>
        <v/>
      </c>
    </row>
    <row r="8339">
      <c r="A8339" t="inlineStr">
        <is>
          <t>2026-09-15</t>
        </is>
      </c>
      <c r="B8339" t="inlineStr">
        <is>
          <t>F271139</t>
        </is>
      </c>
      <c r="C8339" t="inlineStr">
        <is>
          <t>C10580</t>
        </is>
      </c>
      <c r="D8339" t="inlineStr">
        <is>
          <t>SKU-10266</t>
        </is>
      </c>
      <c r="E8339" t="inlineStr">
        <is>
          <t>AM01</t>
        </is>
      </c>
      <c r="F8339" s="5" t="n">
        <v>143.2</v>
      </c>
      <c r="G8339">
        <f>IF(LEFT(B8339,1)="C","Credit","Factuur")</f>
        <v/>
      </c>
      <c r="H8339">
        <f>IF(AND(B8339=B8338,D8339=D8338,A8339=A8338,F8339=F8338),1,0)</f>
        <v/>
      </c>
      <c r="I8339">
        <f>IF(C8339="C99999",1,0)</f>
        <v/>
      </c>
      <c r="J8339" s="5">
        <f>IF(OR(H8339=1,I8339=1),0,IF(G8339="Credit",-F8339,F8339))</f>
        <v/>
      </c>
    </row>
    <row r="8340">
      <c r="A8340" t="inlineStr">
        <is>
          <t>2026-09-15</t>
        </is>
      </c>
      <c r="B8340" t="inlineStr">
        <is>
          <t>F271400</t>
        </is>
      </c>
      <c r="C8340" t="inlineStr">
        <is>
          <t>C10591</t>
        </is>
      </c>
      <c r="D8340" t="inlineStr">
        <is>
          <t>SKU-10024</t>
        </is>
      </c>
      <c r="E8340" t="inlineStr">
        <is>
          <t>AM08</t>
        </is>
      </c>
      <c r="F8340" s="5" t="n">
        <v>173.95</v>
      </c>
      <c r="G8340">
        <f>IF(LEFT(B8340,1)="C","Credit","Factuur")</f>
        <v/>
      </c>
      <c r="H8340">
        <f>IF(AND(B8340=B8339,D8340=D8339,A8340=A8339,F8340=F8339),1,0)</f>
        <v/>
      </c>
      <c r="I8340">
        <f>IF(C8340="C99999",1,0)</f>
        <v/>
      </c>
      <c r="J8340" s="5">
        <f>IF(OR(H8340=1,I8340=1),0,IF(G8340="Credit",-F8340,F8340))</f>
        <v/>
      </c>
    </row>
    <row r="8341">
      <c r="A8341" t="inlineStr">
        <is>
          <t>2026-09-15</t>
        </is>
      </c>
      <c r="B8341" t="inlineStr">
        <is>
          <t>F271400</t>
        </is>
      </c>
      <c r="C8341" t="inlineStr">
        <is>
          <t>C10591</t>
        </is>
      </c>
      <c r="D8341" t="inlineStr">
        <is>
          <t>SKU-10032</t>
        </is>
      </c>
      <c r="E8341" t="inlineStr">
        <is>
          <t>AM08</t>
        </is>
      </c>
      <c r="F8341" s="5" t="n">
        <v>173.05</v>
      </c>
      <c r="G8341">
        <f>IF(LEFT(B8341,1)="C","Credit","Factuur")</f>
        <v/>
      </c>
      <c r="H8341">
        <f>IF(AND(B8341=B8340,D8341=D8340,A8341=A8340,F8341=F8340),1,0)</f>
        <v/>
      </c>
      <c r="I8341">
        <f>IF(C8341="C99999",1,0)</f>
        <v/>
      </c>
      <c r="J8341" s="5">
        <f>IF(OR(H8341=1,I8341=1),0,IF(G8341="Credit",-F8341,F8341))</f>
        <v/>
      </c>
    </row>
    <row r="8342">
      <c r="A8342" t="inlineStr">
        <is>
          <t>2026-09-15</t>
        </is>
      </c>
      <c r="B8342" t="inlineStr">
        <is>
          <t>F271400</t>
        </is>
      </c>
      <c r="C8342" t="inlineStr">
        <is>
          <t>C10591</t>
        </is>
      </c>
      <c r="D8342" t="inlineStr">
        <is>
          <t>SKU-10096</t>
        </is>
      </c>
      <c r="E8342" t="inlineStr">
        <is>
          <t>AM08</t>
        </is>
      </c>
      <c r="F8342" s="5" t="n">
        <v>171.63</v>
      </c>
      <c r="G8342">
        <f>IF(LEFT(B8342,1)="C","Credit","Factuur")</f>
        <v/>
      </c>
      <c r="H8342">
        <f>IF(AND(B8342=B8341,D8342=D8341,A8342=A8341,F8342=F8341),1,0)</f>
        <v/>
      </c>
      <c r="I8342">
        <f>IF(C8342="C99999",1,0)</f>
        <v/>
      </c>
      <c r="J8342" s="5">
        <f>IF(OR(H8342=1,I8342=1),0,IF(G8342="Credit",-F8342,F8342))</f>
        <v/>
      </c>
    </row>
    <row r="8343">
      <c r="A8343" t="inlineStr">
        <is>
          <t>2026-09-15</t>
        </is>
      </c>
      <c r="B8343" t="inlineStr">
        <is>
          <t>F271400</t>
        </is>
      </c>
      <c r="C8343" t="inlineStr">
        <is>
          <t>C10591</t>
        </is>
      </c>
      <c r="D8343" t="inlineStr">
        <is>
          <t>SKU-10338</t>
        </is>
      </c>
      <c r="E8343" t="inlineStr">
        <is>
          <t>AM08</t>
        </is>
      </c>
      <c r="F8343" s="5" t="n">
        <v>185.78</v>
      </c>
      <c r="G8343">
        <f>IF(LEFT(B8343,1)="C","Credit","Factuur")</f>
        <v/>
      </c>
      <c r="H8343">
        <f>IF(AND(B8343=B8342,D8343=D8342,A8343=A8342,F8343=F8342),1,0)</f>
        <v/>
      </c>
      <c r="I8343">
        <f>IF(C8343="C99999",1,0)</f>
        <v/>
      </c>
      <c r="J8343" s="5">
        <f>IF(OR(H8343=1,I8343=1),0,IF(G8343="Credit",-F8343,F8343))</f>
        <v/>
      </c>
    </row>
    <row r="8344">
      <c r="A8344" t="inlineStr">
        <is>
          <t>2026-09-15</t>
        </is>
      </c>
      <c r="B8344" t="inlineStr">
        <is>
          <t>F271647</t>
        </is>
      </c>
      <c r="C8344" t="inlineStr">
        <is>
          <t>C10598</t>
        </is>
      </c>
      <c r="D8344" t="inlineStr">
        <is>
          <t>SKU-10255</t>
        </is>
      </c>
      <c r="E8344" t="inlineStr">
        <is>
          <t>AM03</t>
        </is>
      </c>
      <c r="F8344" s="5" t="n">
        <v>85.18000000000001</v>
      </c>
      <c r="G8344">
        <f>IF(LEFT(B8344,1)="C","Credit","Factuur")</f>
        <v/>
      </c>
      <c r="H8344">
        <f>IF(AND(B8344=B8343,D8344=D8343,A8344=A8343,F8344=F8343),1,0)</f>
        <v/>
      </c>
      <c r="I8344">
        <f>IF(C8344="C99999",1,0)</f>
        <v/>
      </c>
      <c r="J8344" s="5">
        <f>IF(OR(H8344=1,I8344=1),0,IF(G8344="Credit",-F8344,F8344))</f>
        <v/>
      </c>
    </row>
    <row r="8345">
      <c r="A8345" t="inlineStr">
        <is>
          <t>2026-09-15</t>
        </is>
      </c>
      <c r="B8345" t="inlineStr">
        <is>
          <t>F271647</t>
        </is>
      </c>
      <c r="C8345" t="inlineStr">
        <is>
          <t>C10598</t>
        </is>
      </c>
      <c r="D8345" t="inlineStr">
        <is>
          <t>SKU-10340</t>
        </is>
      </c>
      <c r="E8345" t="inlineStr">
        <is>
          <t>AM03</t>
        </is>
      </c>
      <c r="F8345" s="5" t="n">
        <v>94.56</v>
      </c>
      <c r="G8345">
        <f>IF(LEFT(B8345,1)="C","Credit","Factuur")</f>
        <v/>
      </c>
      <c r="H8345">
        <f>IF(AND(B8345=B8344,D8345=D8344,A8345=A8344,F8345=F8344),1,0)</f>
        <v/>
      </c>
      <c r="I8345">
        <f>IF(C8345="C99999",1,0)</f>
        <v/>
      </c>
      <c r="J8345" s="5">
        <f>IF(OR(H8345=1,I8345=1),0,IF(G8345="Credit",-F8345,F8345))</f>
        <v/>
      </c>
    </row>
    <row r="8346">
      <c r="A8346" t="inlineStr">
        <is>
          <t>2026-09-15</t>
        </is>
      </c>
      <c r="B8346" t="inlineStr">
        <is>
          <t>F272500</t>
        </is>
      </c>
      <c r="C8346" t="inlineStr">
        <is>
          <t>C10647</t>
        </is>
      </c>
      <c r="D8346" t="inlineStr">
        <is>
          <t>SKU-10015</t>
        </is>
      </c>
      <c r="E8346" t="inlineStr">
        <is>
          <t>AM07</t>
        </is>
      </c>
      <c r="F8346" s="5" t="n">
        <v>326.45</v>
      </c>
      <c r="G8346">
        <f>IF(LEFT(B8346,1)="C","Credit","Factuur")</f>
        <v/>
      </c>
      <c r="H8346">
        <f>IF(AND(B8346=B8345,D8346=D8345,A8346=A8345,F8346=F8345),1,0)</f>
        <v/>
      </c>
      <c r="I8346">
        <f>IF(C8346="C99999",1,0)</f>
        <v/>
      </c>
      <c r="J8346" s="5">
        <f>IF(OR(H8346=1,I8346=1),0,IF(G8346="Credit",-F8346,F8346))</f>
        <v/>
      </c>
    </row>
    <row r="8347">
      <c r="A8347" t="inlineStr">
        <is>
          <t>2026-09-15</t>
        </is>
      </c>
      <c r="B8347" t="inlineStr">
        <is>
          <t>F272500</t>
        </is>
      </c>
      <c r="C8347" t="inlineStr">
        <is>
          <t>C10647</t>
        </is>
      </c>
      <c r="D8347" t="inlineStr">
        <is>
          <t>SKU-10089</t>
        </is>
      </c>
      <c r="E8347" t="inlineStr">
        <is>
          <t>AM07</t>
        </is>
      </c>
      <c r="F8347" s="5" t="n">
        <v>290.14</v>
      </c>
      <c r="G8347">
        <f>IF(LEFT(B8347,1)="C","Credit","Factuur")</f>
        <v/>
      </c>
      <c r="H8347">
        <f>IF(AND(B8347=B8346,D8347=D8346,A8347=A8346,F8347=F8346),1,0)</f>
        <v/>
      </c>
      <c r="I8347">
        <f>IF(C8347="C99999",1,0)</f>
        <v/>
      </c>
      <c r="J8347" s="5">
        <f>IF(OR(H8347=1,I8347=1),0,IF(G8347="Credit",-F8347,F8347))</f>
        <v/>
      </c>
    </row>
    <row r="8348">
      <c r="A8348" t="inlineStr">
        <is>
          <t>2026-09-15</t>
        </is>
      </c>
      <c r="B8348" t="inlineStr">
        <is>
          <t>F272596</t>
        </is>
      </c>
      <c r="C8348" t="inlineStr">
        <is>
          <t>C10653</t>
        </is>
      </c>
      <c r="D8348" t="inlineStr">
        <is>
          <t>SKU-10017</t>
        </is>
      </c>
      <c r="E8348" t="inlineStr">
        <is>
          <t>AM08</t>
        </is>
      </c>
      <c r="F8348" s="5" t="n">
        <v>77.7</v>
      </c>
      <c r="G8348">
        <f>IF(LEFT(B8348,1)="C","Credit","Factuur")</f>
        <v/>
      </c>
      <c r="H8348">
        <f>IF(AND(B8348=B8347,D8348=D8347,A8348=A8347,F8348=F8347),1,0)</f>
        <v/>
      </c>
      <c r="I8348">
        <f>IF(C8348="C99999",1,0)</f>
        <v/>
      </c>
      <c r="J8348" s="5">
        <f>IF(OR(H8348=1,I8348=1),0,IF(G8348="Credit",-F8348,F8348))</f>
        <v/>
      </c>
    </row>
    <row r="8349">
      <c r="A8349" t="inlineStr">
        <is>
          <t>2026-09-15</t>
        </is>
      </c>
      <c r="B8349" t="inlineStr">
        <is>
          <t>F272596</t>
        </is>
      </c>
      <c r="C8349" t="inlineStr">
        <is>
          <t>C10653</t>
        </is>
      </c>
      <c r="D8349" t="inlineStr">
        <is>
          <t>SKU-10121</t>
        </is>
      </c>
      <c r="E8349" t="inlineStr">
        <is>
          <t>AM08</t>
        </is>
      </c>
      <c r="F8349" s="5" t="n">
        <v>64.93000000000001</v>
      </c>
      <c r="G8349">
        <f>IF(LEFT(B8349,1)="C","Credit","Factuur")</f>
        <v/>
      </c>
      <c r="H8349">
        <f>IF(AND(B8349=B8348,D8349=D8348,A8349=A8348,F8349=F8348),1,0)</f>
        <v/>
      </c>
      <c r="I8349">
        <f>IF(C8349="C99999",1,0)</f>
        <v/>
      </c>
      <c r="J8349" s="5">
        <f>IF(OR(H8349=1,I8349=1),0,IF(G8349="Credit",-F8349,F8349))</f>
        <v/>
      </c>
    </row>
    <row r="8350">
      <c r="A8350" t="inlineStr">
        <is>
          <t>2026-09-15</t>
        </is>
      </c>
      <c r="B8350" t="inlineStr">
        <is>
          <t>F272596</t>
        </is>
      </c>
      <c r="C8350" t="inlineStr">
        <is>
          <t>C10653</t>
        </is>
      </c>
      <c r="D8350" t="inlineStr">
        <is>
          <t>SKU-10170</t>
        </is>
      </c>
      <c r="E8350" t="inlineStr">
        <is>
          <t>AM08</t>
        </is>
      </c>
      <c r="F8350" s="5" t="n">
        <v>62.2</v>
      </c>
      <c r="G8350">
        <f>IF(LEFT(B8350,1)="C","Credit","Factuur")</f>
        <v/>
      </c>
      <c r="H8350">
        <f>IF(AND(B8350=B8349,D8350=D8349,A8350=A8349,F8350=F8349),1,0)</f>
        <v/>
      </c>
      <c r="I8350">
        <f>IF(C8350="C99999",1,0)</f>
        <v/>
      </c>
      <c r="J8350" s="5">
        <f>IF(OR(H8350=1,I8350=1),0,IF(G8350="Credit",-F8350,F8350))</f>
        <v/>
      </c>
    </row>
    <row r="8351">
      <c r="A8351" t="inlineStr">
        <is>
          <t>2026-09-15</t>
        </is>
      </c>
      <c r="B8351" t="inlineStr">
        <is>
          <t>F272596</t>
        </is>
      </c>
      <c r="C8351" t="inlineStr">
        <is>
          <t>C10653</t>
        </is>
      </c>
      <c r="D8351" t="inlineStr">
        <is>
          <t>SKU-10306</t>
        </is>
      </c>
      <c r="E8351" t="inlineStr">
        <is>
          <t>AM08</t>
        </is>
      </c>
      <c r="F8351" s="5" t="n">
        <v>68.91</v>
      </c>
      <c r="G8351">
        <f>IF(LEFT(B8351,1)="C","Credit","Factuur")</f>
        <v/>
      </c>
      <c r="H8351">
        <f>IF(AND(B8351=B8350,D8351=D8350,A8351=A8350,F8351=F8350),1,0)</f>
        <v/>
      </c>
      <c r="I8351">
        <f>IF(C8351="C99999",1,0)</f>
        <v/>
      </c>
      <c r="J8351" s="5">
        <f>IF(OR(H8351=1,I8351=1),0,IF(G8351="Credit",-F8351,F8351))</f>
        <v/>
      </c>
    </row>
    <row r="8352">
      <c r="A8352" t="inlineStr">
        <is>
          <t>2026-09-15</t>
        </is>
      </c>
      <c r="B8352" t="inlineStr">
        <is>
          <t>F273035</t>
        </is>
      </c>
      <c r="C8352" t="inlineStr">
        <is>
          <t>C10681</t>
        </is>
      </c>
      <c r="D8352" t="inlineStr">
        <is>
          <t>SKU-10085</t>
        </is>
      </c>
      <c r="E8352" t="inlineStr">
        <is>
          <t>AM07</t>
        </is>
      </c>
      <c r="F8352" s="5" t="n">
        <v>724.5700000000001</v>
      </c>
      <c r="G8352">
        <f>IF(LEFT(B8352,1)="C","Credit","Factuur")</f>
        <v/>
      </c>
      <c r="H8352">
        <f>IF(AND(B8352=B8351,D8352=D8351,A8352=A8351,F8352=F8351),1,0)</f>
        <v/>
      </c>
      <c r="I8352">
        <f>IF(C8352="C99999",1,0)</f>
        <v/>
      </c>
      <c r="J8352" s="5">
        <f>IF(OR(H8352=1,I8352=1),0,IF(G8352="Credit",-F8352,F8352))</f>
        <v/>
      </c>
    </row>
    <row r="8353">
      <c r="A8353" t="inlineStr">
        <is>
          <t>2026-09-15</t>
        </is>
      </c>
      <c r="B8353" t="inlineStr">
        <is>
          <t>F273452</t>
        </is>
      </c>
      <c r="C8353" t="inlineStr">
        <is>
          <t>C10703</t>
        </is>
      </c>
      <c r="D8353" t="inlineStr">
        <is>
          <t>SKU-10295</t>
        </is>
      </c>
      <c r="E8353" t="inlineStr">
        <is>
          <t>AM05</t>
        </is>
      </c>
      <c r="F8353" s="5" t="n">
        <v>1118.74</v>
      </c>
      <c r="G8353">
        <f>IF(LEFT(B8353,1)="C","Credit","Factuur")</f>
        <v/>
      </c>
      <c r="H8353">
        <f>IF(AND(B8353=B8352,D8353=D8352,A8353=A8352,F8353=F8352),1,0)</f>
        <v/>
      </c>
      <c r="I8353">
        <f>IF(C8353="C99999",1,0)</f>
        <v/>
      </c>
      <c r="J8353" s="5">
        <f>IF(OR(H8353=1,I8353=1),0,IF(G8353="Credit",-F8353,F8353))</f>
        <v/>
      </c>
    </row>
    <row r="8354">
      <c r="A8354" t="inlineStr">
        <is>
          <t>2026-09-15</t>
        </is>
      </c>
      <c r="B8354" t="inlineStr">
        <is>
          <t>F273830</t>
        </is>
      </c>
      <c r="C8354" t="inlineStr">
        <is>
          <t>C10727</t>
        </is>
      </c>
      <c r="D8354" t="inlineStr">
        <is>
          <t>SKU-10133</t>
        </is>
      </c>
      <c r="E8354" t="inlineStr">
        <is>
          <t>AM11</t>
        </is>
      </c>
      <c r="F8354" s="5" t="n">
        <v>397.02</v>
      </c>
      <c r="G8354">
        <f>IF(LEFT(B8354,1)="C","Credit","Factuur")</f>
        <v/>
      </c>
      <c r="H8354">
        <f>IF(AND(B8354=B8353,D8354=D8353,A8354=A8353,F8354=F8353),1,0)</f>
        <v/>
      </c>
      <c r="I8354">
        <f>IF(C8354="C99999",1,0)</f>
        <v/>
      </c>
      <c r="J8354" s="5">
        <f>IF(OR(H8354=1,I8354=1),0,IF(G8354="Credit",-F8354,F8354))</f>
        <v/>
      </c>
    </row>
    <row r="8355">
      <c r="A8355" t="inlineStr">
        <is>
          <t>2026-09-15</t>
        </is>
      </c>
      <c r="B8355" t="inlineStr">
        <is>
          <t>F273830</t>
        </is>
      </c>
      <c r="C8355" t="inlineStr">
        <is>
          <t>C10727</t>
        </is>
      </c>
      <c r="D8355" t="inlineStr">
        <is>
          <t>SKU-10189</t>
        </is>
      </c>
      <c r="E8355" t="inlineStr">
        <is>
          <t>AM11</t>
        </is>
      </c>
      <c r="F8355" s="5" t="n">
        <v>348.74</v>
      </c>
      <c r="G8355">
        <f>IF(LEFT(B8355,1)="C","Credit","Factuur")</f>
        <v/>
      </c>
      <c r="H8355">
        <f>IF(AND(B8355=B8354,D8355=D8354,A8355=A8354,F8355=F8354),1,0)</f>
        <v/>
      </c>
      <c r="I8355">
        <f>IF(C8355="C99999",1,0)</f>
        <v/>
      </c>
      <c r="J8355" s="5">
        <f>IF(OR(H8355=1,I8355=1),0,IF(G8355="Credit",-F8355,F8355))</f>
        <v/>
      </c>
    </row>
    <row r="8356">
      <c r="A8356" t="inlineStr">
        <is>
          <t>2026-09-15</t>
        </is>
      </c>
      <c r="B8356" t="inlineStr">
        <is>
          <t>F273830</t>
        </is>
      </c>
      <c r="C8356" t="inlineStr">
        <is>
          <t>C10727</t>
        </is>
      </c>
      <c r="D8356" t="inlineStr">
        <is>
          <t>SKU-10296</t>
        </is>
      </c>
      <c r="E8356" t="inlineStr">
        <is>
          <t>AM11</t>
        </is>
      </c>
      <c r="F8356" s="5" t="n">
        <v>351.4</v>
      </c>
      <c r="G8356">
        <f>IF(LEFT(B8356,1)="C","Credit","Factuur")</f>
        <v/>
      </c>
      <c r="H8356">
        <f>IF(AND(B8356=B8355,D8356=D8355,A8356=A8355,F8356=F8355),1,0)</f>
        <v/>
      </c>
      <c r="I8356">
        <f>IF(C8356="C99999",1,0)</f>
        <v/>
      </c>
      <c r="J8356" s="5">
        <f>IF(OR(H8356=1,I8356=1),0,IF(G8356="Credit",-F8356,F8356))</f>
        <v/>
      </c>
    </row>
    <row r="8357">
      <c r="A8357" t="inlineStr">
        <is>
          <t>2026-09-15</t>
        </is>
      </c>
      <c r="B8357" t="inlineStr">
        <is>
          <t>F273830</t>
        </is>
      </c>
      <c r="C8357" t="inlineStr">
        <is>
          <t>C10727</t>
        </is>
      </c>
      <c r="D8357" t="inlineStr">
        <is>
          <t>SKU-10312</t>
        </is>
      </c>
      <c r="E8357" t="inlineStr">
        <is>
          <t>AM11</t>
        </is>
      </c>
      <c r="F8357" s="5" t="n">
        <v>344</v>
      </c>
      <c r="G8357">
        <f>IF(LEFT(B8357,1)="C","Credit","Factuur")</f>
        <v/>
      </c>
      <c r="H8357">
        <f>IF(AND(B8357=B8356,D8357=D8356,A8357=A8356,F8357=F8356),1,0)</f>
        <v/>
      </c>
      <c r="I8357">
        <f>IF(C8357="C99999",1,0)</f>
        <v/>
      </c>
      <c r="J8357" s="5">
        <f>IF(OR(H8357=1,I8357=1),0,IF(G8357="Credit",-F8357,F8357))</f>
        <v/>
      </c>
    </row>
    <row r="8358">
      <c r="A8358" t="inlineStr">
        <is>
          <t>2026-09-15</t>
        </is>
      </c>
      <c r="B8358" t="inlineStr">
        <is>
          <t>F274564</t>
        </is>
      </c>
      <c r="C8358" t="inlineStr">
        <is>
          <t>C10770</t>
        </is>
      </c>
      <c r="D8358" t="inlineStr">
        <is>
          <t>SKU-10123</t>
        </is>
      </c>
      <c r="E8358" t="inlineStr">
        <is>
          <t>AM06</t>
        </is>
      </c>
      <c r="F8358" s="5" t="n">
        <v>520.8</v>
      </c>
      <c r="G8358">
        <f>IF(LEFT(B8358,1)="C","Credit","Factuur")</f>
        <v/>
      </c>
      <c r="H8358">
        <f>IF(AND(B8358=B8357,D8358=D8357,A8358=A8357,F8358=F8357),1,0)</f>
        <v/>
      </c>
      <c r="I8358">
        <f>IF(C8358="C99999",1,0)</f>
        <v/>
      </c>
      <c r="J8358" s="5">
        <f>IF(OR(H8358=1,I8358=1),0,IF(G8358="Credit",-F8358,F8358))</f>
        <v/>
      </c>
    </row>
    <row r="8359">
      <c r="A8359" t="inlineStr">
        <is>
          <t>2026-09-15</t>
        </is>
      </c>
      <c r="B8359" t="inlineStr">
        <is>
          <t>F274564</t>
        </is>
      </c>
      <c r="C8359" t="inlineStr">
        <is>
          <t>C10770</t>
        </is>
      </c>
      <c r="D8359" t="inlineStr">
        <is>
          <t>SKU-10133</t>
        </is>
      </c>
      <c r="E8359" t="inlineStr"/>
      <c r="F8359" s="5" t="n">
        <v>529.36</v>
      </c>
      <c r="G8359">
        <f>IF(LEFT(B8359,1)="C","Credit","Factuur")</f>
        <v/>
      </c>
      <c r="H8359">
        <f>IF(AND(B8359=B8358,D8359=D8358,A8359=A8358,F8359=F8358),1,0)</f>
        <v/>
      </c>
      <c r="I8359">
        <f>IF(C8359="C99999",1,0)</f>
        <v/>
      </c>
      <c r="J8359" s="5">
        <f>IF(OR(H8359=1,I8359=1),0,IF(G8359="Credit",-F8359,F8359))</f>
        <v/>
      </c>
    </row>
    <row r="8360">
      <c r="A8360" t="inlineStr">
        <is>
          <t>2026-09-15</t>
        </is>
      </c>
      <c r="B8360" t="inlineStr">
        <is>
          <t>F274564</t>
        </is>
      </c>
      <c r="C8360" t="inlineStr">
        <is>
          <t>C10770</t>
        </is>
      </c>
      <c r="D8360" t="inlineStr">
        <is>
          <t>SKU-10157</t>
        </is>
      </c>
      <c r="E8360" t="inlineStr">
        <is>
          <t>AM06</t>
        </is>
      </c>
      <c r="F8360" s="5" t="n">
        <v>498.86</v>
      </c>
      <c r="G8360">
        <f>IF(LEFT(B8360,1)="C","Credit","Factuur")</f>
        <v/>
      </c>
      <c r="H8360">
        <f>IF(AND(B8360=B8359,D8360=D8359,A8360=A8359,F8360=F8359),1,0)</f>
        <v/>
      </c>
      <c r="I8360">
        <f>IF(C8360="C99999",1,0)</f>
        <v/>
      </c>
      <c r="J8360" s="5">
        <f>IF(OR(H8360=1,I8360=1),0,IF(G8360="Credit",-F8360,F8360))</f>
        <v/>
      </c>
    </row>
    <row r="8361">
      <c r="A8361" t="inlineStr">
        <is>
          <t>2026-09-15</t>
        </is>
      </c>
      <c r="B8361" t="inlineStr">
        <is>
          <t>F274564</t>
        </is>
      </c>
      <c r="C8361" t="inlineStr">
        <is>
          <t>C10770</t>
        </is>
      </c>
      <c r="D8361" t="inlineStr">
        <is>
          <t>SKU-10302</t>
        </is>
      </c>
      <c r="E8361" t="inlineStr">
        <is>
          <t>AM06</t>
        </is>
      </c>
      <c r="F8361" s="5" t="n">
        <v>526.92</v>
      </c>
      <c r="G8361">
        <f>IF(LEFT(B8361,1)="C","Credit","Factuur")</f>
        <v/>
      </c>
      <c r="H8361">
        <f>IF(AND(B8361=B8360,D8361=D8360,A8361=A8360,F8361=F8360),1,0)</f>
        <v/>
      </c>
      <c r="I8361">
        <f>IF(C8361="C99999",1,0)</f>
        <v/>
      </c>
      <c r="J8361" s="5">
        <f>IF(OR(H8361=1,I8361=1),0,IF(G8361="Credit",-F8361,F8361))</f>
        <v/>
      </c>
    </row>
    <row r="8362">
      <c r="A8362" t="inlineStr">
        <is>
          <t>2026-09-15</t>
        </is>
      </c>
      <c r="B8362" t="inlineStr">
        <is>
          <t>F274682</t>
        </is>
      </c>
      <c r="C8362" t="inlineStr">
        <is>
          <t>C10777</t>
        </is>
      </c>
      <c r="D8362" t="inlineStr">
        <is>
          <t>SKU-10033</t>
        </is>
      </c>
      <c r="E8362" t="inlineStr">
        <is>
          <t>AM07</t>
        </is>
      </c>
      <c r="F8362" s="5" t="n">
        <v>306.94</v>
      </c>
      <c r="G8362">
        <f>IF(LEFT(B8362,1)="C","Credit","Factuur")</f>
        <v/>
      </c>
      <c r="H8362">
        <f>IF(AND(B8362=B8361,D8362=D8361,A8362=A8361,F8362=F8361),1,0)</f>
        <v/>
      </c>
      <c r="I8362">
        <f>IF(C8362="C99999",1,0)</f>
        <v/>
      </c>
      <c r="J8362" s="5">
        <f>IF(OR(H8362=1,I8362=1),0,IF(G8362="Credit",-F8362,F8362))</f>
        <v/>
      </c>
    </row>
    <row r="8363">
      <c r="A8363" t="inlineStr">
        <is>
          <t>2026-09-15</t>
        </is>
      </c>
      <c r="B8363" t="inlineStr">
        <is>
          <t>F274682</t>
        </is>
      </c>
      <c r="C8363" t="inlineStr">
        <is>
          <t>C10777</t>
        </is>
      </c>
      <c r="D8363" t="inlineStr">
        <is>
          <t>SKU-10239</t>
        </is>
      </c>
      <c r="E8363" t="inlineStr">
        <is>
          <t>AM07</t>
        </is>
      </c>
      <c r="F8363" s="5" t="n">
        <v>313.56</v>
      </c>
      <c r="G8363">
        <f>IF(LEFT(B8363,1)="C","Credit","Factuur")</f>
        <v/>
      </c>
      <c r="H8363">
        <f>IF(AND(B8363=B8362,D8363=D8362,A8363=A8362,F8363=F8362),1,0)</f>
        <v/>
      </c>
      <c r="I8363">
        <f>IF(C8363="C99999",1,0)</f>
        <v/>
      </c>
      <c r="J8363" s="5">
        <f>IF(OR(H8363=1,I8363=1),0,IF(G8363="Credit",-F8363,F8363))</f>
        <v/>
      </c>
    </row>
    <row r="8364">
      <c r="A8364" t="inlineStr">
        <is>
          <t>2026-09-15</t>
        </is>
      </c>
      <c r="B8364" t="inlineStr">
        <is>
          <t>F274682</t>
        </is>
      </c>
      <c r="C8364" t="inlineStr">
        <is>
          <t>C10777</t>
        </is>
      </c>
      <c r="D8364" t="inlineStr">
        <is>
          <t>SKU-10349</t>
        </is>
      </c>
      <c r="E8364" t="inlineStr">
        <is>
          <t>AM07</t>
        </is>
      </c>
      <c r="F8364" s="5" t="n">
        <v>346.45</v>
      </c>
      <c r="G8364">
        <f>IF(LEFT(B8364,1)="C","Credit","Factuur")</f>
        <v/>
      </c>
      <c r="H8364">
        <f>IF(AND(B8364=B8363,D8364=D8363,A8364=A8363,F8364=F8363),1,0)</f>
        <v/>
      </c>
      <c r="I8364">
        <f>IF(C8364="C99999",1,0)</f>
        <v/>
      </c>
      <c r="J8364" s="5">
        <f>IF(OR(H8364=1,I8364=1),0,IF(G8364="Credit",-F8364,F8364))</f>
        <v/>
      </c>
    </row>
    <row r="8365">
      <c r="A8365" t="inlineStr">
        <is>
          <t>2026-09-15</t>
        </is>
      </c>
      <c r="B8365" t="inlineStr">
        <is>
          <t>F275502</t>
        </is>
      </c>
      <c r="C8365" t="inlineStr">
        <is>
          <t>C10820</t>
        </is>
      </c>
      <c r="D8365" t="inlineStr">
        <is>
          <t>SKU-10234</t>
        </is>
      </c>
      <c r="E8365" t="inlineStr">
        <is>
          <t>AM02</t>
        </is>
      </c>
      <c r="F8365" s="5" t="n">
        <v>712.96</v>
      </c>
      <c r="G8365">
        <f>IF(LEFT(B8365,1)="C","Credit","Factuur")</f>
        <v/>
      </c>
      <c r="H8365">
        <f>IF(AND(B8365=B8364,D8365=D8364,A8365=A8364,F8365=F8364),1,0)</f>
        <v/>
      </c>
      <c r="I8365">
        <f>IF(C8365="C99999",1,0)</f>
        <v/>
      </c>
      <c r="J8365" s="5">
        <f>IF(OR(H8365=1,I8365=1),0,IF(G8365="Credit",-F8365,F8365))</f>
        <v/>
      </c>
    </row>
    <row r="8366">
      <c r="A8366" t="inlineStr">
        <is>
          <t>2026-09-15</t>
        </is>
      </c>
      <c r="B8366" t="inlineStr">
        <is>
          <t>F275502</t>
        </is>
      </c>
      <c r="C8366" t="inlineStr">
        <is>
          <t>C10820</t>
        </is>
      </c>
      <c r="D8366" t="inlineStr">
        <is>
          <t>SKU-10355</t>
        </is>
      </c>
      <c r="E8366" t="inlineStr">
        <is>
          <t>AM02</t>
        </is>
      </c>
      <c r="F8366" s="5" t="n">
        <v>838.58</v>
      </c>
      <c r="G8366">
        <f>IF(LEFT(B8366,1)="C","Credit","Factuur")</f>
        <v/>
      </c>
      <c r="H8366">
        <f>IF(AND(B8366=B8365,D8366=D8365,A8366=A8365,F8366=F8365),1,0)</f>
        <v/>
      </c>
      <c r="I8366">
        <f>IF(C8366="C99999",1,0)</f>
        <v/>
      </c>
      <c r="J8366" s="5">
        <f>IF(OR(H8366=1,I8366=1),0,IF(G8366="Credit",-F8366,F8366))</f>
        <v/>
      </c>
    </row>
    <row r="8367">
      <c r="A8367" t="inlineStr">
        <is>
          <t>2026-09-15</t>
        </is>
      </c>
      <c r="B8367" t="inlineStr">
        <is>
          <t>F275769</t>
        </is>
      </c>
      <c r="C8367" t="inlineStr">
        <is>
          <t>C10835</t>
        </is>
      </c>
      <c r="D8367" t="inlineStr">
        <is>
          <t>SKU-10022</t>
        </is>
      </c>
      <c r="E8367" t="inlineStr">
        <is>
          <t>AM03</t>
        </is>
      </c>
      <c r="F8367" s="5" t="n">
        <v>512</v>
      </c>
      <c r="G8367">
        <f>IF(LEFT(B8367,1)="C","Credit","Factuur")</f>
        <v/>
      </c>
      <c r="H8367">
        <f>IF(AND(B8367=B8366,D8367=D8366,A8367=A8366,F8367=F8366),1,0)</f>
        <v/>
      </c>
      <c r="I8367">
        <f>IF(C8367="C99999",1,0)</f>
        <v/>
      </c>
      <c r="J8367" s="5">
        <f>IF(OR(H8367=1,I8367=1),0,IF(G8367="Credit",-F8367,F8367))</f>
        <v/>
      </c>
    </row>
    <row r="8368">
      <c r="A8368" t="inlineStr">
        <is>
          <t>2026-09-15</t>
        </is>
      </c>
      <c r="B8368" t="inlineStr">
        <is>
          <t>F275769</t>
        </is>
      </c>
      <c r="C8368" t="inlineStr">
        <is>
          <t>C10835</t>
        </is>
      </c>
      <c r="D8368" t="inlineStr">
        <is>
          <t>SKU-10133</t>
        </is>
      </c>
      <c r="E8368" t="inlineStr">
        <is>
          <t>AM03</t>
        </is>
      </c>
      <c r="F8368" s="5" t="n">
        <v>502.89</v>
      </c>
      <c r="G8368">
        <f>IF(LEFT(B8368,1)="C","Credit","Factuur")</f>
        <v/>
      </c>
      <c r="H8368">
        <f>IF(AND(B8368=B8367,D8368=D8367,A8368=A8367,F8368=F8367),1,0)</f>
        <v/>
      </c>
      <c r="I8368">
        <f>IF(C8368="C99999",1,0)</f>
        <v/>
      </c>
      <c r="J8368" s="5">
        <f>IF(OR(H8368=1,I8368=1),0,IF(G8368="Credit",-F8368,F8368))</f>
        <v/>
      </c>
    </row>
    <row r="8369">
      <c r="A8369" t="inlineStr">
        <is>
          <t>2026-09-15</t>
        </is>
      </c>
      <c r="B8369" t="inlineStr">
        <is>
          <t>F275769</t>
        </is>
      </c>
      <c r="C8369" t="inlineStr">
        <is>
          <t>C10835</t>
        </is>
      </c>
      <c r="D8369" t="inlineStr">
        <is>
          <t>SKU-10313</t>
        </is>
      </c>
      <c r="E8369" t="inlineStr">
        <is>
          <t>AM03</t>
        </is>
      </c>
      <c r="F8369" s="5" t="n">
        <v>488.59</v>
      </c>
      <c r="G8369">
        <f>IF(LEFT(B8369,1)="C","Credit","Factuur")</f>
        <v/>
      </c>
      <c r="H8369">
        <f>IF(AND(B8369=B8368,D8369=D8368,A8369=A8368,F8369=F8368),1,0)</f>
        <v/>
      </c>
      <c r="I8369">
        <f>IF(C8369="C99999",1,0)</f>
        <v/>
      </c>
      <c r="J8369" s="5">
        <f>IF(OR(H8369=1,I8369=1),0,IF(G8369="Credit",-F8369,F8369))</f>
        <v/>
      </c>
    </row>
    <row r="8370">
      <c r="A8370" t="inlineStr">
        <is>
          <t>2026-09-15</t>
        </is>
      </c>
      <c r="B8370" t="inlineStr">
        <is>
          <t>F275769</t>
        </is>
      </c>
      <c r="C8370" t="inlineStr">
        <is>
          <t>C10835</t>
        </is>
      </c>
      <c r="D8370" t="inlineStr">
        <is>
          <t>SKU-10347</t>
        </is>
      </c>
      <c r="E8370" t="inlineStr">
        <is>
          <t>AM03</t>
        </is>
      </c>
      <c r="F8370" s="5" t="n">
        <v>501.9</v>
      </c>
      <c r="G8370">
        <f>IF(LEFT(B8370,1)="C","Credit","Factuur")</f>
        <v/>
      </c>
      <c r="H8370">
        <f>IF(AND(B8370=B8369,D8370=D8369,A8370=A8369,F8370=F8369),1,0)</f>
        <v/>
      </c>
      <c r="I8370">
        <f>IF(C8370="C99999",1,0)</f>
        <v/>
      </c>
      <c r="J8370" s="5">
        <f>IF(OR(H8370=1,I8370=1),0,IF(G8370="Credit",-F8370,F8370))</f>
        <v/>
      </c>
    </row>
    <row r="8371">
      <c r="A8371" t="inlineStr">
        <is>
          <t>2026-09-15</t>
        </is>
      </c>
      <c r="B8371" t="inlineStr">
        <is>
          <t>F276986</t>
        </is>
      </c>
      <c r="C8371" t="inlineStr">
        <is>
          <t>C10901</t>
        </is>
      </c>
      <c r="D8371" t="inlineStr">
        <is>
          <t>SKU-10080</t>
        </is>
      </c>
      <c r="E8371" t="inlineStr">
        <is>
          <t>AM02</t>
        </is>
      </c>
      <c r="F8371" s="5" t="n">
        <v>178.78</v>
      </c>
      <c r="G8371">
        <f>IF(LEFT(B8371,1)="C","Credit","Factuur")</f>
        <v/>
      </c>
      <c r="H8371">
        <f>IF(AND(B8371=B8370,D8371=D8370,A8371=A8370,F8371=F8370),1,0)</f>
        <v/>
      </c>
      <c r="I8371">
        <f>IF(C8371="C99999",1,0)</f>
        <v/>
      </c>
      <c r="J8371" s="5">
        <f>IF(OR(H8371=1,I8371=1),0,IF(G8371="Credit",-F8371,F8371))</f>
        <v/>
      </c>
    </row>
    <row r="8372">
      <c r="A8372" t="inlineStr">
        <is>
          <t>2026-09-15</t>
        </is>
      </c>
      <c r="B8372" t="inlineStr">
        <is>
          <t>F276986</t>
        </is>
      </c>
      <c r="C8372" t="inlineStr">
        <is>
          <t>C10901</t>
        </is>
      </c>
      <c r="D8372" t="inlineStr">
        <is>
          <t>SKU-10233</t>
        </is>
      </c>
      <c r="E8372" t="inlineStr">
        <is>
          <t>AM02</t>
        </is>
      </c>
      <c r="F8372" s="5" t="n">
        <v>185.23</v>
      </c>
      <c r="G8372">
        <f>IF(LEFT(B8372,1)="C","Credit","Factuur")</f>
        <v/>
      </c>
      <c r="H8372">
        <f>IF(AND(B8372=B8371,D8372=D8371,A8372=A8371,F8372=F8371),1,0)</f>
        <v/>
      </c>
      <c r="I8372">
        <f>IF(C8372="C99999",1,0)</f>
        <v/>
      </c>
      <c r="J8372" s="5">
        <f>IF(OR(H8372=1,I8372=1),0,IF(G8372="Credit",-F8372,F8372))</f>
        <v/>
      </c>
    </row>
    <row r="8373">
      <c r="A8373" t="inlineStr">
        <is>
          <t>2026-09-15</t>
        </is>
      </c>
      <c r="B8373" t="inlineStr">
        <is>
          <t>F276986</t>
        </is>
      </c>
      <c r="C8373" t="inlineStr">
        <is>
          <t>C10901</t>
        </is>
      </c>
      <c r="D8373" t="inlineStr">
        <is>
          <t>SKU-10248</t>
        </is>
      </c>
      <c r="E8373" t="inlineStr">
        <is>
          <t>AM02</t>
        </is>
      </c>
      <c r="F8373" s="5" t="n">
        <v>205.4</v>
      </c>
      <c r="G8373">
        <f>IF(LEFT(B8373,1)="C","Credit","Factuur")</f>
        <v/>
      </c>
      <c r="H8373">
        <f>IF(AND(B8373=B8372,D8373=D8372,A8373=A8372,F8373=F8372),1,0)</f>
        <v/>
      </c>
      <c r="I8373">
        <f>IF(C8373="C99999",1,0)</f>
        <v/>
      </c>
      <c r="J8373" s="5">
        <f>IF(OR(H8373=1,I8373=1),0,IF(G8373="Credit",-F8373,F8373))</f>
        <v/>
      </c>
    </row>
    <row r="8374">
      <c r="A8374" t="inlineStr">
        <is>
          <t>2026-09-15</t>
        </is>
      </c>
      <c r="B8374" t="inlineStr">
        <is>
          <t>F277298</t>
        </is>
      </c>
      <c r="C8374" t="inlineStr">
        <is>
          <t>C10920</t>
        </is>
      </c>
      <c r="D8374" t="inlineStr">
        <is>
          <t>SKU-10185</t>
        </is>
      </c>
      <c r="E8374" t="inlineStr">
        <is>
          <t>AM06</t>
        </is>
      </c>
      <c r="F8374" s="5" t="n">
        <v>1226.61</v>
      </c>
      <c r="G8374">
        <f>IF(LEFT(B8374,1)="C","Credit","Factuur")</f>
        <v/>
      </c>
      <c r="H8374">
        <f>IF(AND(B8374=B8373,D8374=D8373,A8374=A8373,F8374=F8373),1,0)</f>
        <v/>
      </c>
      <c r="I8374">
        <f>IF(C8374="C99999",1,0)</f>
        <v/>
      </c>
      <c r="J8374" s="5">
        <f>IF(OR(H8374=1,I8374=1),0,IF(G8374="Credit",-F8374,F8374))</f>
        <v/>
      </c>
    </row>
    <row r="8375">
      <c r="A8375" t="inlineStr">
        <is>
          <t>2026-09-15</t>
        </is>
      </c>
      <c r="B8375" t="inlineStr">
        <is>
          <t>F277339</t>
        </is>
      </c>
      <c r="C8375" t="inlineStr">
        <is>
          <t>C10921</t>
        </is>
      </c>
      <c r="D8375" t="inlineStr">
        <is>
          <t>SKU-10007</t>
        </is>
      </c>
      <c r="E8375" t="inlineStr">
        <is>
          <t>AM07</t>
        </is>
      </c>
      <c r="F8375" s="5" t="n">
        <v>268.09</v>
      </c>
      <c r="G8375">
        <f>IF(LEFT(B8375,1)="C","Credit","Factuur")</f>
        <v/>
      </c>
      <c r="H8375">
        <f>IF(AND(B8375=B8374,D8375=D8374,A8375=A8374,F8375=F8374),1,0)</f>
        <v/>
      </c>
      <c r="I8375">
        <f>IF(C8375="C99999",1,0)</f>
        <v/>
      </c>
      <c r="J8375" s="5">
        <f>IF(OR(H8375=1,I8375=1),0,IF(G8375="Credit",-F8375,F8375))</f>
        <v/>
      </c>
    </row>
    <row r="8376">
      <c r="A8376" t="inlineStr">
        <is>
          <t>2026-09-15</t>
        </is>
      </c>
      <c r="B8376" t="inlineStr">
        <is>
          <t>F277339</t>
        </is>
      </c>
      <c r="C8376" t="inlineStr">
        <is>
          <t>C10921</t>
        </is>
      </c>
      <c r="D8376" t="inlineStr">
        <is>
          <t>SKU-10049</t>
        </is>
      </c>
      <c r="E8376" t="inlineStr">
        <is>
          <t>AM07</t>
        </is>
      </c>
      <c r="F8376" s="5" t="n">
        <v>265.8</v>
      </c>
      <c r="G8376">
        <f>IF(LEFT(B8376,1)="C","Credit","Factuur")</f>
        <v/>
      </c>
      <c r="H8376">
        <f>IF(AND(B8376=B8375,D8376=D8375,A8376=A8375,F8376=F8375),1,0)</f>
        <v/>
      </c>
      <c r="I8376">
        <f>IF(C8376="C99999",1,0)</f>
        <v/>
      </c>
      <c r="J8376" s="5">
        <f>IF(OR(H8376=1,I8376=1),0,IF(G8376="Credit",-F8376,F8376))</f>
        <v/>
      </c>
    </row>
    <row r="8377">
      <c r="A8377" t="inlineStr">
        <is>
          <t>2026-09-15</t>
        </is>
      </c>
      <c r="B8377" t="inlineStr">
        <is>
          <t>F278836</t>
        </is>
      </c>
      <c r="C8377" t="inlineStr">
        <is>
          <t>C10998</t>
        </is>
      </c>
      <c r="D8377" t="inlineStr">
        <is>
          <t>SKU-10010</t>
        </is>
      </c>
      <c r="E8377" t="inlineStr">
        <is>
          <t>AM05</t>
        </is>
      </c>
      <c r="F8377" s="5" t="n">
        <v>308.84</v>
      </c>
      <c r="G8377">
        <f>IF(LEFT(B8377,1)="C","Credit","Factuur")</f>
        <v/>
      </c>
      <c r="H8377">
        <f>IF(AND(B8377=B8376,D8377=D8376,A8377=A8376,F8377=F8376),1,0)</f>
        <v/>
      </c>
      <c r="I8377">
        <f>IF(C8377="C99999",1,0)</f>
        <v/>
      </c>
      <c r="J8377" s="5">
        <f>IF(OR(H8377=1,I8377=1),0,IF(G8377="Credit",-F8377,F8377))</f>
        <v/>
      </c>
    </row>
    <row r="8378">
      <c r="A8378" t="inlineStr">
        <is>
          <t>2026-09-15</t>
        </is>
      </c>
      <c r="B8378" t="inlineStr">
        <is>
          <t>F278836</t>
        </is>
      </c>
      <c r="C8378" t="inlineStr">
        <is>
          <t>C10998</t>
        </is>
      </c>
      <c r="D8378" t="inlineStr">
        <is>
          <t>SKU-10032</t>
        </is>
      </c>
      <c r="E8378" t="inlineStr">
        <is>
          <t>AM05</t>
        </is>
      </c>
      <c r="F8378" s="5" t="n">
        <v>235.35</v>
      </c>
      <c r="G8378">
        <f>IF(LEFT(B8378,1)="C","Credit","Factuur")</f>
        <v/>
      </c>
      <c r="H8378">
        <f>IF(AND(B8378=B8377,D8378=D8377,A8378=A8377,F8378=F8377),1,0)</f>
        <v/>
      </c>
      <c r="I8378">
        <f>IF(C8378="C99999",1,0)</f>
        <v/>
      </c>
      <c r="J8378" s="5">
        <f>IF(OR(H8378=1,I8378=1),0,IF(G8378="Credit",-F8378,F8378))</f>
        <v/>
      </c>
    </row>
    <row r="8379">
      <c r="A8379" t="inlineStr">
        <is>
          <t>2026-09-15</t>
        </is>
      </c>
      <c r="B8379" t="inlineStr">
        <is>
          <t>F278836</t>
        </is>
      </c>
      <c r="C8379" t="inlineStr">
        <is>
          <t>C10998</t>
        </is>
      </c>
      <c r="D8379" t="inlineStr">
        <is>
          <t>SKU-10207</t>
        </is>
      </c>
      <c r="E8379" t="inlineStr">
        <is>
          <t>AM05</t>
        </is>
      </c>
      <c r="F8379" s="5" t="n">
        <v>285.12</v>
      </c>
      <c r="G8379">
        <f>IF(LEFT(B8379,1)="C","Credit","Factuur")</f>
        <v/>
      </c>
      <c r="H8379">
        <f>IF(AND(B8379=B8378,D8379=D8378,A8379=A8378,F8379=F8378),1,0)</f>
        <v/>
      </c>
      <c r="I8379">
        <f>IF(C8379="C99999",1,0)</f>
        <v/>
      </c>
      <c r="J8379" s="5">
        <f>IF(OR(H8379=1,I8379=1),0,IF(G8379="Credit",-F8379,F8379))</f>
        <v/>
      </c>
    </row>
    <row r="8380">
      <c r="A8380" t="inlineStr">
        <is>
          <t>2026-09-15</t>
        </is>
      </c>
      <c r="B8380" t="inlineStr">
        <is>
          <t>F278836</t>
        </is>
      </c>
      <c r="C8380" t="inlineStr">
        <is>
          <t>C10998</t>
        </is>
      </c>
      <c r="D8380" t="inlineStr">
        <is>
          <t>SKU-10312</t>
        </is>
      </c>
      <c r="E8380" t="inlineStr">
        <is>
          <t>AM05</t>
        </is>
      </c>
      <c r="F8380" s="5" t="n">
        <v>261.44</v>
      </c>
      <c r="G8380">
        <f>IF(LEFT(B8380,1)="C","Credit","Factuur")</f>
        <v/>
      </c>
      <c r="H8380">
        <f>IF(AND(B8380=B8379,D8380=D8379,A8380=A8379,F8380=F8379),1,0)</f>
        <v/>
      </c>
      <c r="I8380">
        <f>IF(C8380="C99999",1,0)</f>
        <v/>
      </c>
      <c r="J8380" s="5">
        <f>IF(OR(H8380=1,I8380=1),0,IF(G8380="Credit",-F8380,F8380))</f>
        <v/>
      </c>
    </row>
    <row r="8381">
      <c r="A8381" t="inlineStr">
        <is>
          <t>2026-09-15</t>
        </is>
      </c>
      <c r="B8381" t="inlineStr">
        <is>
          <t>F279281</t>
        </is>
      </c>
      <c r="C8381" t="inlineStr">
        <is>
          <t>C11023</t>
        </is>
      </c>
      <c r="D8381" t="inlineStr">
        <is>
          <t>SKU-10102</t>
        </is>
      </c>
      <c r="E8381" t="inlineStr">
        <is>
          <t>AM02</t>
        </is>
      </c>
      <c r="F8381" s="5" t="n">
        <v>862.4</v>
      </c>
      <c r="G8381">
        <f>IF(LEFT(B8381,1)="C","Credit","Factuur")</f>
        <v/>
      </c>
      <c r="H8381">
        <f>IF(AND(B8381=B8380,D8381=D8380,A8381=A8380,F8381=F8380),1,0)</f>
        <v/>
      </c>
      <c r="I8381">
        <f>IF(C8381="C99999",1,0)</f>
        <v/>
      </c>
      <c r="J8381" s="5">
        <f>IF(OR(H8381=1,I8381=1),0,IF(G8381="Credit",-F8381,F8381))</f>
        <v/>
      </c>
    </row>
    <row r="8382">
      <c r="A8382" t="inlineStr">
        <is>
          <t>2026-09-15</t>
        </is>
      </c>
      <c r="B8382" t="inlineStr">
        <is>
          <t>F280003</t>
        </is>
      </c>
      <c r="C8382" t="inlineStr">
        <is>
          <t>C11057</t>
        </is>
      </c>
      <c r="D8382" t="inlineStr">
        <is>
          <t>SKU-10002</t>
        </is>
      </c>
      <c r="E8382" t="inlineStr">
        <is>
          <t>AM03</t>
        </is>
      </c>
      <c r="F8382" s="5" t="n">
        <v>243.82</v>
      </c>
      <c r="G8382">
        <f>IF(LEFT(B8382,1)="C","Credit","Factuur")</f>
        <v/>
      </c>
      <c r="H8382">
        <f>IF(AND(B8382=B8381,D8382=D8381,A8382=A8381,F8382=F8381),1,0)</f>
        <v/>
      </c>
      <c r="I8382">
        <f>IF(C8382="C99999",1,0)</f>
        <v/>
      </c>
      <c r="J8382" s="5">
        <f>IF(OR(H8382=1,I8382=1),0,IF(G8382="Credit",-F8382,F8382))</f>
        <v/>
      </c>
    </row>
    <row r="8383">
      <c r="A8383" t="inlineStr">
        <is>
          <t>2026-09-15</t>
        </is>
      </c>
      <c r="B8383" t="inlineStr">
        <is>
          <t>F280003</t>
        </is>
      </c>
      <c r="C8383" t="inlineStr">
        <is>
          <t>C11057</t>
        </is>
      </c>
      <c r="D8383" t="inlineStr">
        <is>
          <t>SKU-10140</t>
        </is>
      </c>
      <c r="E8383" t="inlineStr">
        <is>
          <t>AM03</t>
        </is>
      </c>
      <c r="F8383" s="5" t="n">
        <v>299.02</v>
      </c>
      <c r="G8383">
        <f>IF(LEFT(B8383,1)="C","Credit","Factuur")</f>
        <v/>
      </c>
      <c r="H8383">
        <f>IF(AND(B8383=B8382,D8383=D8382,A8383=A8382,F8383=F8382),1,0)</f>
        <v/>
      </c>
      <c r="I8383">
        <f>IF(C8383="C99999",1,0)</f>
        <v/>
      </c>
      <c r="J8383" s="5">
        <f>IF(OR(H8383=1,I8383=1),0,IF(G8383="Credit",-F8383,F8383))</f>
        <v/>
      </c>
    </row>
    <row r="8384">
      <c r="A8384" t="inlineStr">
        <is>
          <t>2026-09-15</t>
        </is>
      </c>
      <c r="B8384" t="inlineStr">
        <is>
          <t>F280275</t>
        </is>
      </c>
      <c r="C8384" t="inlineStr">
        <is>
          <t>C11071</t>
        </is>
      </c>
      <c r="D8384" t="inlineStr">
        <is>
          <t>SKU-10271</t>
        </is>
      </c>
      <c r="E8384" t="inlineStr">
        <is>
          <t>AM11</t>
        </is>
      </c>
      <c r="F8384" s="5" t="n">
        <v>2660</v>
      </c>
      <c r="G8384">
        <f>IF(LEFT(B8384,1)="C","Credit","Factuur")</f>
        <v/>
      </c>
      <c r="H8384">
        <f>IF(AND(B8384=B8383,D8384=D8383,A8384=A8383,F8384=F8383),1,0)</f>
        <v/>
      </c>
      <c r="I8384">
        <f>IF(C8384="C99999",1,0)</f>
        <v/>
      </c>
      <c r="J8384" s="5">
        <f>IF(OR(H8384=1,I8384=1),0,IF(G8384="Credit",-F8384,F8384))</f>
        <v/>
      </c>
    </row>
    <row r="8385">
      <c r="A8385" t="inlineStr">
        <is>
          <t>2026-09-15</t>
        </is>
      </c>
      <c r="B8385" t="inlineStr">
        <is>
          <t>F280467</t>
        </is>
      </c>
      <c r="C8385" t="inlineStr">
        <is>
          <t>C11080</t>
        </is>
      </c>
      <c r="D8385" t="inlineStr">
        <is>
          <t>SKU-10084</t>
        </is>
      </c>
      <c r="E8385" t="inlineStr">
        <is>
          <t>AM01</t>
        </is>
      </c>
      <c r="F8385" s="5" t="n">
        <v>632.8</v>
      </c>
      <c r="G8385">
        <f>IF(LEFT(B8385,1)="C","Credit","Factuur")</f>
        <v/>
      </c>
      <c r="H8385">
        <f>IF(AND(B8385=B8384,D8385=D8384,A8385=A8384,F8385=F8384),1,0)</f>
        <v/>
      </c>
      <c r="I8385">
        <f>IF(C8385="C99999",1,0)</f>
        <v/>
      </c>
      <c r="J8385" s="5">
        <f>IF(OR(H8385=1,I8385=1),0,IF(G8385="Credit",-F8385,F8385))</f>
        <v/>
      </c>
    </row>
    <row r="8386">
      <c r="A8386" t="inlineStr">
        <is>
          <t>2026-09-15</t>
        </is>
      </c>
      <c r="B8386" t="inlineStr">
        <is>
          <t>F280467</t>
        </is>
      </c>
      <c r="C8386" t="inlineStr">
        <is>
          <t>C11080</t>
        </is>
      </c>
      <c r="D8386" t="inlineStr">
        <is>
          <t>SKU-10218</t>
        </is>
      </c>
      <c r="E8386" t="inlineStr">
        <is>
          <t>AM01</t>
        </is>
      </c>
      <c r="F8386" s="5" t="n">
        <v>673.45</v>
      </c>
      <c r="G8386">
        <f>IF(LEFT(B8386,1)="C","Credit","Factuur")</f>
        <v/>
      </c>
      <c r="H8386">
        <f>IF(AND(B8386=B8385,D8386=D8385,A8386=A8385,F8386=F8385),1,0)</f>
        <v/>
      </c>
      <c r="I8386">
        <f>IF(C8386="C99999",1,0)</f>
        <v/>
      </c>
      <c r="J8386" s="5">
        <f>IF(OR(H8386=1,I8386=1),0,IF(G8386="Credit",-F8386,F8386))</f>
        <v/>
      </c>
    </row>
    <row r="8387">
      <c r="A8387" t="inlineStr">
        <is>
          <t>2026-09-15</t>
        </is>
      </c>
      <c r="B8387" t="inlineStr">
        <is>
          <t>F280467</t>
        </is>
      </c>
      <c r="C8387" t="inlineStr">
        <is>
          <t>C11080</t>
        </is>
      </c>
      <c r="D8387" t="inlineStr">
        <is>
          <t>SKU-10271</t>
        </is>
      </c>
      <c r="E8387" t="inlineStr">
        <is>
          <t>AM01</t>
        </is>
      </c>
      <c r="F8387" s="5" t="n">
        <v>663.34</v>
      </c>
      <c r="G8387">
        <f>IF(LEFT(B8387,1)="C","Credit","Factuur")</f>
        <v/>
      </c>
      <c r="H8387">
        <f>IF(AND(B8387=B8386,D8387=D8386,A8387=A8386,F8387=F8386),1,0)</f>
        <v/>
      </c>
      <c r="I8387">
        <f>IF(C8387="C99999",1,0)</f>
        <v/>
      </c>
      <c r="J8387" s="5">
        <f>IF(OR(H8387=1,I8387=1),0,IF(G8387="Credit",-F8387,F8387))</f>
        <v/>
      </c>
    </row>
    <row r="8388">
      <c r="A8388" t="inlineStr">
        <is>
          <t>2026-09-15</t>
        </is>
      </c>
      <c r="B8388" t="inlineStr">
        <is>
          <t>F280467</t>
        </is>
      </c>
      <c r="C8388" t="inlineStr">
        <is>
          <t>C11080</t>
        </is>
      </c>
      <c r="D8388" t="inlineStr">
        <is>
          <t>SKU-10279</t>
        </is>
      </c>
      <c r="E8388" t="inlineStr">
        <is>
          <t>AM01</t>
        </is>
      </c>
      <c r="F8388" s="5" t="n">
        <v>612.8</v>
      </c>
      <c r="G8388">
        <f>IF(LEFT(B8388,1)="C","Credit","Factuur")</f>
        <v/>
      </c>
      <c r="H8388">
        <f>IF(AND(B8388=B8387,D8388=D8387,A8388=A8387,F8388=F8387),1,0)</f>
        <v/>
      </c>
      <c r="I8388">
        <f>IF(C8388="C99999",1,0)</f>
        <v/>
      </c>
      <c r="J8388" s="5">
        <f>IF(OR(H8388=1,I8388=1),0,IF(G8388="Credit",-F8388,F8388))</f>
        <v/>
      </c>
    </row>
    <row r="8389">
      <c r="A8389" t="inlineStr">
        <is>
          <t>2026-09-15</t>
        </is>
      </c>
      <c r="B8389" t="inlineStr">
        <is>
          <t>F281490</t>
        </is>
      </c>
      <c r="C8389" t="inlineStr">
        <is>
          <t>C11133</t>
        </is>
      </c>
      <c r="D8389" t="inlineStr">
        <is>
          <t>SKU-10250</t>
        </is>
      </c>
      <c r="E8389" t="inlineStr">
        <is>
          <t>AM07</t>
        </is>
      </c>
      <c r="F8389" s="5" t="n">
        <v>813.96</v>
      </c>
      <c r="G8389">
        <f>IF(LEFT(B8389,1)="C","Credit","Factuur")</f>
        <v/>
      </c>
      <c r="H8389">
        <f>IF(AND(B8389=B8388,D8389=D8388,A8389=A8388,F8389=F8388),1,0)</f>
        <v/>
      </c>
      <c r="I8389">
        <f>IF(C8389="C99999",1,0)</f>
        <v/>
      </c>
      <c r="J8389" s="5">
        <f>IF(OR(H8389=1,I8389=1),0,IF(G8389="Credit",-F8389,F8389))</f>
        <v/>
      </c>
    </row>
    <row r="8390">
      <c r="A8390" t="inlineStr">
        <is>
          <t>2026-09-15</t>
        </is>
      </c>
      <c r="B8390" t="inlineStr">
        <is>
          <t>F281490</t>
        </is>
      </c>
      <c r="C8390" t="inlineStr">
        <is>
          <t>C11133</t>
        </is>
      </c>
      <c r="D8390" t="inlineStr">
        <is>
          <t>SKU-10320</t>
        </is>
      </c>
      <c r="E8390" t="inlineStr">
        <is>
          <t>AM07</t>
        </is>
      </c>
      <c r="F8390" s="5" t="n">
        <v>729.63</v>
      </c>
      <c r="G8390">
        <f>IF(LEFT(B8390,1)="C","Credit","Factuur")</f>
        <v/>
      </c>
      <c r="H8390">
        <f>IF(AND(B8390=B8389,D8390=D8389,A8390=A8389,F8390=F8389),1,0)</f>
        <v/>
      </c>
      <c r="I8390">
        <f>IF(C8390="C99999",1,0)</f>
        <v/>
      </c>
      <c r="J8390" s="5">
        <f>IF(OR(H8390=1,I8390=1),0,IF(G8390="Credit",-F8390,F8390))</f>
        <v/>
      </c>
    </row>
    <row r="8391">
      <c r="A8391" t="inlineStr">
        <is>
          <t>2026-09-15</t>
        </is>
      </c>
      <c r="B8391" t="inlineStr">
        <is>
          <t>F281598</t>
        </is>
      </c>
      <c r="C8391" t="inlineStr">
        <is>
          <t>C11139</t>
        </is>
      </c>
      <c r="D8391" t="inlineStr">
        <is>
          <t>SKU-10175</t>
        </is>
      </c>
      <c r="E8391" t="inlineStr">
        <is>
          <t>AM03</t>
        </is>
      </c>
      <c r="F8391" s="5" t="n">
        <v>289.63</v>
      </c>
      <c r="G8391">
        <f>IF(LEFT(B8391,1)="C","Credit","Factuur")</f>
        <v/>
      </c>
      <c r="H8391">
        <f>IF(AND(B8391=B8390,D8391=D8390,A8391=A8390,F8391=F8390),1,0)</f>
        <v/>
      </c>
      <c r="I8391">
        <f>IF(C8391="C99999",1,0)</f>
        <v/>
      </c>
      <c r="J8391" s="5">
        <f>IF(OR(H8391=1,I8391=1),0,IF(G8391="Credit",-F8391,F8391))</f>
        <v/>
      </c>
    </row>
    <row r="8392">
      <c r="A8392" t="inlineStr">
        <is>
          <t>2026-09-15</t>
        </is>
      </c>
      <c r="B8392" t="inlineStr">
        <is>
          <t>F281598</t>
        </is>
      </c>
      <c r="C8392" t="inlineStr">
        <is>
          <t>C11139</t>
        </is>
      </c>
      <c r="D8392" t="inlineStr">
        <is>
          <t>SKU-10368</t>
        </is>
      </c>
      <c r="E8392" t="inlineStr">
        <is>
          <t>AM03</t>
        </is>
      </c>
      <c r="F8392" s="5" t="n">
        <v>576.3</v>
      </c>
      <c r="G8392">
        <f>IF(LEFT(B8392,1)="C","Credit","Factuur")</f>
        <v/>
      </c>
      <c r="H8392">
        <f>IF(AND(B8392=B8391,D8392=D8391,A8392=A8391,F8392=F8391),1,0)</f>
        <v/>
      </c>
      <c r="I8392">
        <f>IF(C8392="C99999",1,0)</f>
        <v/>
      </c>
      <c r="J8392" s="5">
        <f>IF(OR(H8392=1,I8392=1),0,IF(G8392="Credit",-F8392,F8392))</f>
        <v/>
      </c>
    </row>
    <row r="8393">
      <c r="A8393" t="inlineStr">
        <is>
          <t>2026-09-15</t>
        </is>
      </c>
      <c r="B8393" t="inlineStr">
        <is>
          <t>F281615</t>
        </is>
      </c>
      <c r="C8393" t="inlineStr">
        <is>
          <t>C11140</t>
        </is>
      </c>
      <c r="D8393" t="inlineStr">
        <is>
          <t>SKU-10066</t>
        </is>
      </c>
      <c r="E8393" t="inlineStr">
        <is>
          <t>AM11</t>
        </is>
      </c>
      <c r="F8393" s="5" t="n">
        <v>478.65</v>
      </c>
      <c r="G8393">
        <f>IF(LEFT(B8393,1)="C","Credit","Factuur")</f>
        <v/>
      </c>
      <c r="H8393">
        <f>IF(AND(B8393=B8392,D8393=D8392,A8393=A8392,F8393=F8392),1,0)</f>
        <v/>
      </c>
      <c r="I8393">
        <f>IF(C8393="C99999",1,0)</f>
        <v/>
      </c>
      <c r="J8393" s="5">
        <f>IF(OR(H8393=1,I8393=1),0,IF(G8393="Credit",-F8393,F8393))</f>
        <v/>
      </c>
    </row>
    <row r="8394">
      <c r="A8394" t="inlineStr">
        <is>
          <t>2026-09-15</t>
        </is>
      </c>
      <c r="B8394" t="inlineStr">
        <is>
          <t>F281735</t>
        </is>
      </c>
      <c r="C8394" t="inlineStr">
        <is>
          <t>C11145</t>
        </is>
      </c>
      <c r="D8394" t="inlineStr">
        <is>
          <t>SKU-10168</t>
        </is>
      </c>
      <c r="E8394" t="inlineStr">
        <is>
          <t>AM11</t>
        </is>
      </c>
      <c r="F8394" s="5" t="n">
        <v>208.68</v>
      </c>
      <c r="G8394">
        <f>IF(LEFT(B8394,1)="C","Credit","Factuur")</f>
        <v/>
      </c>
      <c r="H8394">
        <f>IF(AND(B8394=B8393,D8394=D8393,A8394=A8393,F8394=F8393),1,0)</f>
        <v/>
      </c>
      <c r="I8394">
        <f>IF(C8394="C99999",1,0)</f>
        <v/>
      </c>
      <c r="J8394" s="5">
        <f>IF(OR(H8394=1,I8394=1),0,IF(G8394="Credit",-F8394,F8394))</f>
        <v/>
      </c>
    </row>
    <row r="8395">
      <c r="A8395" t="inlineStr">
        <is>
          <t>2026-09-15</t>
        </is>
      </c>
      <c r="B8395" t="inlineStr">
        <is>
          <t>F281735</t>
        </is>
      </c>
      <c r="C8395" t="inlineStr">
        <is>
          <t>C11145</t>
        </is>
      </c>
      <c r="D8395" t="inlineStr">
        <is>
          <t>SKU-10198</t>
        </is>
      </c>
      <c r="E8395" t="inlineStr">
        <is>
          <t>AM11</t>
        </is>
      </c>
      <c r="F8395" s="5" t="n">
        <v>179.75</v>
      </c>
      <c r="G8395">
        <f>IF(LEFT(B8395,1)="C","Credit","Factuur")</f>
        <v/>
      </c>
      <c r="H8395">
        <f>IF(AND(B8395=B8394,D8395=D8394,A8395=A8394,F8395=F8394),1,0)</f>
        <v/>
      </c>
      <c r="I8395">
        <f>IF(C8395="C99999",1,0)</f>
        <v/>
      </c>
      <c r="J8395" s="5">
        <f>IF(OR(H8395=1,I8395=1),0,IF(G8395="Credit",-F8395,F8395))</f>
        <v/>
      </c>
    </row>
    <row r="8396">
      <c r="A8396" t="inlineStr">
        <is>
          <t>2026-09-15</t>
        </is>
      </c>
      <c r="B8396" t="inlineStr">
        <is>
          <t>F281735</t>
        </is>
      </c>
      <c r="C8396" t="inlineStr">
        <is>
          <t>C11145</t>
        </is>
      </c>
      <c r="D8396" t="inlineStr">
        <is>
          <t>SKU-10343</t>
        </is>
      </c>
      <c r="E8396" t="inlineStr">
        <is>
          <t>AM11</t>
        </is>
      </c>
      <c r="F8396" s="5" t="n">
        <v>198.24</v>
      </c>
      <c r="G8396">
        <f>IF(LEFT(B8396,1)="C","Credit","Factuur")</f>
        <v/>
      </c>
      <c r="H8396">
        <f>IF(AND(B8396=B8395,D8396=D8395,A8396=A8395,F8396=F8395),1,0)</f>
        <v/>
      </c>
      <c r="I8396">
        <f>IF(C8396="C99999",1,0)</f>
        <v/>
      </c>
      <c r="J8396" s="5">
        <f>IF(OR(H8396=1,I8396=1),0,IF(G8396="Credit",-F8396,F8396))</f>
        <v/>
      </c>
    </row>
    <row r="8397">
      <c r="A8397" t="inlineStr">
        <is>
          <t>2026-09-15</t>
        </is>
      </c>
      <c r="B8397" t="inlineStr">
        <is>
          <t>F281956</t>
        </is>
      </c>
      <c r="C8397" t="inlineStr">
        <is>
          <t>C11155</t>
        </is>
      </c>
      <c r="D8397" t="inlineStr">
        <is>
          <t>SKU-10002</t>
        </is>
      </c>
      <c r="E8397" t="inlineStr">
        <is>
          <t>AM05</t>
        </is>
      </c>
      <c r="F8397" s="5" t="n">
        <v>100.97</v>
      </c>
      <c r="G8397">
        <f>IF(LEFT(B8397,1)="C","Credit","Factuur")</f>
        <v/>
      </c>
      <c r="H8397">
        <f>IF(AND(B8397=B8396,D8397=D8396,A8397=A8396,F8397=F8396),1,0)</f>
        <v/>
      </c>
      <c r="I8397">
        <f>IF(C8397="C99999",1,0)</f>
        <v/>
      </c>
      <c r="J8397" s="5">
        <f>IF(OR(H8397=1,I8397=1),0,IF(G8397="Credit",-F8397,F8397))</f>
        <v/>
      </c>
    </row>
    <row r="8398">
      <c r="A8398" t="inlineStr">
        <is>
          <t>2026-09-15</t>
        </is>
      </c>
      <c r="B8398" t="inlineStr">
        <is>
          <t>F281956</t>
        </is>
      </c>
      <c r="C8398" t="inlineStr">
        <is>
          <t>C11155</t>
        </is>
      </c>
      <c r="D8398" t="inlineStr">
        <is>
          <t>SKU-10207</t>
        </is>
      </c>
      <c r="E8398" t="inlineStr">
        <is>
          <t>AM05</t>
        </is>
      </c>
      <c r="F8398" s="5" t="n">
        <v>120.38</v>
      </c>
      <c r="G8398">
        <f>IF(LEFT(B8398,1)="C","Credit","Factuur")</f>
        <v/>
      </c>
      <c r="H8398">
        <f>IF(AND(B8398=B8397,D8398=D8397,A8398=A8397,F8398=F8397),1,0)</f>
        <v/>
      </c>
      <c r="I8398">
        <f>IF(C8398="C99999",1,0)</f>
        <v/>
      </c>
      <c r="J8398" s="5">
        <f>IF(OR(H8398=1,I8398=1),0,IF(G8398="Credit",-F8398,F8398))</f>
        <v/>
      </c>
    </row>
    <row r="8399">
      <c r="A8399" t="inlineStr">
        <is>
          <t>2026-09-15</t>
        </is>
      </c>
      <c r="B8399" t="inlineStr">
        <is>
          <t>F281956</t>
        </is>
      </c>
      <c r="C8399" t="inlineStr">
        <is>
          <t>C11155</t>
        </is>
      </c>
      <c r="D8399" t="inlineStr">
        <is>
          <t>SKU-10219</t>
        </is>
      </c>
      <c r="E8399" t="inlineStr">
        <is>
          <t>AM05</t>
        </is>
      </c>
      <c r="F8399" s="5" t="n">
        <v>126.73</v>
      </c>
      <c r="G8399">
        <f>IF(LEFT(B8399,1)="C","Credit","Factuur")</f>
        <v/>
      </c>
      <c r="H8399">
        <f>IF(AND(B8399=B8398,D8399=D8398,A8399=A8398,F8399=F8398),1,0)</f>
        <v/>
      </c>
      <c r="I8399">
        <f>IF(C8399="C99999",1,0)</f>
        <v/>
      </c>
      <c r="J8399" s="5">
        <f>IF(OR(H8399=1,I8399=1),0,IF(G8399="Credit",-F8399,F8399))</f>
        <v/>
      </c>
    </row>
    <row r="8400">
      <c r="A8400" t="inlineStr">
        <is>
          <t>2026-09-15</t>
        </is>
      </c>
      <c r="B8400" t="inlineStr">
        <is>
          <t>F282495</t>
        </is>
      </c>
      <c r="C8400" t="inlineStr">
        <is>
          <t>C11181</t>
        </is>
      </c>
      <c r="D8400" t="inlineStr">
        <is>
          <t>SKU-10017</t>
        </is>
      </c>
      <c r="E8400" t="inlineStr">
        <is>
          <t>AM08</t>
        </is>
      </c>
      <c r="F8400" s="5" t="n">
        <v>990.67</v>
      </c>
      <c r="G8400">
        <f>IF(LEFT(B8400,1)="C","Credit","Factuur")</f>
        <v/>
      </c>
      <c r="H8400">
        <f>IF(AND(B8400=B8399,D8400=D8399,A8400=A8399,F8400=F8399),1,0)</f>
        <v/>
      </c>
      <c r="I8400">
        <f>IF(C8400="C99999",1,0)</f>
        <v/>
      </c>
      <c r="J8400" s="5">
        <f>IF(OR(H8400=1,I8400=1),0,IF(G8400="Credit",-F8400,F8400))</f>
        <v/>
      </c>
    </row>
    <row r="8401">
      <c r="A8401" t="inlineStr">
        <is>
          <t>2026-09-15</t>
        </is>
      </c>
      <c r="B8401" t="inlineStr">
        <is>
          <t>F282495</t>
        </is>
      </c>
      <c r="C8401" t="inlineStr">
        <is>
          <t>C11181</t>
        </is>
      </c>
      <c r="D8401" t="inlineStr">
        <is>
          <t>SKU-10225</t>
        </is>
      </c>
      <c r="E8401" t="inlineStr">
        <is>
          <t>AM08</t>
        </is>
      </c>
      <c r="F8401" s="5" t="n">
        <v>1046.07</v>
      </c>
      <c r="G8401">
        <f>IF(LEFT(B8401,1)="C","Credit","Factuur")</f>
        <v/>
      </c>
      <c r="H8401">
        <f>IF(AND(B8401=B8400,D8401=D8400,A8401=A8400,F8401=F8400),1,0)</f>
        <v/>
      </c>
      <c r="I8401">
        <f>IF(C8401="C99999",1,0)</f>
        <v/>
      </c>
      <c r="J8401" s="5">
        <f>IF(OR(H8401=1,I8401=1),0,IF(G8401="Credit",-F8401,F8401))</f>
        <v/>
      </c>
    </row>
    <row r="8402">
      <c r="A8402" t="inlineStr">
        <is>
          <t>2026-09-15</t>
        </is>
      </c>
      <c r="B8402" t="inlineStr">
        <is>
          <t>F282495</t>
        </is>
      </c>
      <c r="C8402" t="inlineStr">
        <is>
          <t>C11181</t>
        </is>
      </c>
      <c r="D8402" t="inlineStr">
        <is>
          <t>SKU-10383</t>
        </is>
      </c>
      <c r="E8402" t="inlineStr">
        <is>
          <t>AM08</t>
        </is>
      </c>
      <c r="F8402" s="5" t="n">
        <v>1107.91</v>
      </c>
      <c r="G8402">
        <f>IF(LEFT(B8402,1)="C","Credit","Factuur")</f>
        <v/>
      </c>
      <c r="H8402">
        <f>IF(AND(B8402=B8401,D8402=D8401,A8402=A8401,F8402=F8401),1,0)</f>
        <v/>
      </c>
      <c r="I8402">
        <f>IF(C8402="C99999",1,0)</f>
        <v/>
      </c>
      <c r="J8402" s="5">
        <f>IF(OR(H8402=1,I8402=1),0,IF(G8402="Credit",-F8402,F8402))</f>
        <v/>
      </c>
    </row>
    <row r="8403">
      <c r="A8403" t="inlineStr">
        <is>
          <t>2026-09-15</t>
        </is>
      </c>
      <c r="B8403" t="inlineStr">
        <is>
          <t>F282657</t>
        </is>
      </c>
      <c r="C8403" t="inlineStr">
        <is>
          <t>C11189</t>
        </is>
      </c>
      <c r="D8403" t="inlineStr">
        <is>
          <t>SKU-10039</t>
        </is>
      </c>
      <c r="E8403" t="inlineStr">
        <is>
          <t>AM02</t>
        </is>
      </c>
      <c r="F8403" s="5" t="n">
        <v>129.72</v>
      </c>
      <c r="G8403">
        <f>IF(LEFT(B8403,1)="C","Credit","Factuur")</f>
        <v/>
      </c>
      <c r="H8403">
        <f>IF(AND(B8403=B8402,D8403=D8402,A8403=A8402,F8403=F8402),1,0)</f>
        <v/>
      </c>
      <c r="I8403">
        <f>IF(C8403="C99999",1,0)</f>
        <v/>
      </c>
      <c r="J8403" s="5">
        <f>IF(OR(H8403=1,I8403=1),0,IF(G8403="Credit",-F8403,F8403))</f>
        <v/>
      </c>
    </row>
    <row r="8404">
      <c r="A8404" t="inlineStr">
        <is>
          <t>2026-09-15</t>
        </is>
      </c>
      <c r="B8404" t="inlineStr">
        <is>
          <t>F282657</t>
        </is>
      </c>
      <c r="C8404" t="inlineStr">
        <is>
          <t>C11189</t>
        </is>
      </c>
      <c r="D8404" t="inlineStr">
        <is>
          <t>SKU-10059</t>
        </is>
      </c>
      <c r="E8404" t="inlineStr">
        <is>
          <t>AM02</t>
        </is>
      </c>
      <c r="F8404" s="5" t="n">
        <v>127.44</v>
      </c>
      <c r="G8404">
        <f>IF(LEFT(B8404,1)="C","Credit","Factuur")</f>
        <v/>
      </c>
      <c r="H8404">
        <f>IF(AND(B8404=B8403,D8404=D8403,A8404=A8403,F8404=F8403),1,0)</f>
        <v/>
      </c>
      <c r="I8404">
        <f>IF(C8404="C99999",1,0)</f>
        <v/>
      </c>
      <c r="J8404" s="5">
        <f>IF(OR(H8404=1,I8404=1),0,IF(G8404="Credit",-F8404,F8404))</f>
        <v/>
      </c>
    </row>
    <row r="8405">
      <c r="A8405" t="inlineStr">
        <is>
          <t>2026-09-15</t>
        </is>
      </c>
      <c r="B8405" t="inlineStr">
        <is>
          <t>F282657</t>
        </is>
      </c>
      <c r="C8405" t="inlineStr">
        <is>
          <t>C11189</t>
        </is>
      </c>
      <c r="D8405" t="inlineStr">
        <is>
          <t>SKU-10139</t>
        </is>
      </c>
      <c r="E8405" t="inlineStr">
        <is>
          <t>AM02</t>
        </is>
      </c>
      <c r="F8405" s="5" t="n">
        <v>122.68</v>
      </c>
      <c r="G8405">
        <f>IF(LEFT(B8405,1)="C","Credit","Factuur")</f>
        <v/>
      </c>
      <c r="H8405">
        <f>IF(AND(B8405=B8404,D8405=D8404,A8405=A8404,F8405=F8404),1,0)</f>
        <v/>
      </c>
      <c r="I8405">
        <f>IF(C8405="C99999",1,0)</f>
        <v/>
      </c>
      <c r="J8405" s="5">
        <f>IF(OR(H8405=1,I8405=1),0,IF(G8405="Credit",-F8405,F8405))</f>
        <v/>
      </c>
    </row>
    <row r="8406">
      <c r="A8406" t="inlineStr">
        <is>
          <t>2026-09-15</t>
        </is>
      </c>
      <c r="B8406" t="inlineStr">
        <is>
          <t>F282657</t>
        </is>
      </c>
      <c r="C8406" t="inlineStr">
        <is>
          <t>C11189</t>
        </is>
      </c>
      <c r="D8406" t="inlineStr">
        <is>
          <t>SKU-10198</t>
        </is>
      </c>
      <c r="E8406" t="inlineStr">
        <is>
          <t>AM02</t>
        </is>
      </c>
      <c r="F8406" s="5" t="n">
        <v>107.85</v>
      </c>
      <c r="G8406">
        <f>IF(LEFT(B8406,1)="C","Credit","Factuur")</f>
        <v/>
      </c>
      <c r="H8406">
        <f>IF(AND(B8406=B8405,D8406=D8405,A8406=A8405,F8406=F8405),1,0)</f>
        <v/>
      </c>
      <c r="I8406">
        <f>IF(C8406="C99999",1,0)</f>
        <v/>
      </c>
      <c r="J8406" s="5">
        <f>IF(OR(H8406=1,I8406=1),0,IF(G8406="Credit",-F8406,F8406))</f>
        <v/>
      </c>
    </row>
    <row r="8407">
      <c r="A8407" t="inlineStr">
        <is>
          <t>2026-09-15</t>
        </is>
      </c>
      <c r="B8407" t="inlineStr">
        <is>
          <t>F282657</t>
        </is>
      </c>
      <c r="C8407" t="inlineStr">
        <is>
          <t>C11189</t>
        </is>
      </c>
      <c r="D8407" t="inlineStr">
        <is>
          <t>SKU-10201</t>
        </is>
      </c>
      <c r="E8407" t="inlineStr">
        <is>
          <t>AM02</t>
        </is>
      </c>
      <c r="F8407" s="5" t="n">
        <v>126.54</v>
      </c>
      <c r="G8407">
        <f>IF(LEFT(B8407,1)="C","Credit","Factuur")</f>
        <v/>
      </c>
      <c r="H8407">
        <f>IF(AND(B8407=B8406,D8407=D8406,A8407=A8406,F8407=F8406),1,0)</f>
        <v/>
      </c>
      <c r="I8407">
        <f>IF(C8407="C99999",1,0)</f>
        <v/>
      </c>
      <c r="J8407" s="5">
        <f>IF(OR(H8407=1,I8407=1),0,IF(G8407="Credit",-F8407,F8407))</f>
        <v/>
      </c>
    </row>
    <row r="8408">
      <c r="A8408" t="inlineStr">
        <is>
          <t>2026-09-15</t>
        </is>
      </c>
      <c r="B8408" t="inlineStr">
        <is>
          <t>F283018</t>
        </is>
      </c>
      <c r="C8408" t="inlineStr">
        <is>
          <t>C11210</t>
        </is>
      </c>
      <c r="D8408" t="inlineStr">
        <is>
          <t>SKU-10059</t>
        </is>
      </c>
      <c r="E8408" t="inlineStr">
        <is>
          <t>AM05</t>
        </is>
      </c>
      <c r="F8408" s="5" t="n">
        <v>242.14</v>
      </c>
      <c r="G8408">
        <f>IF(LEFT(B8408,1)="C","Credit","Factuur")</f>
        <v/>
      </c>
      <c r="H8408">
        <f>IF(AND(B8408=B8407,D8408=D8407,A8408=A8407,F8408=F8407),1,0)</f>
        <v/>
      </c>
      <c r="I8408">
        <f>IF(C8408="C99999",1,0)</f>
        <v/>
      </c>
      <c r="J8408" s="5">
        <f>IF(OR(H8408=1,I8408=1),0,IF(G8408="Credit",-F8408,F8408))</f>
        <v/>
      </c>
    </row>
    <row r="8409">
      <c r="A8409" t="inlineStr">
        <is>
          <t>2026-09-15</t>
        </is>
      </c>
      <c r="B8409" t="inlineStr">
        <is>
          <t>F283018</t>
        </is>
      </c>
      <c r="C8409" t="inlineStr">
        <is>
          <t>C11210</t>
        </is>
      </c>
      <c r="D8409" t="inlineStr">
        <is>
          <t>SKU-10060</t>
        </is>
      </c>
      <c r="E8409" t="inlineStr">
        <is>
          <t>AM05</t>
        </is>
      </c>
      <c r="F8409" s="5" t="n">
        <v>264.6</v>
      </c>
      <c r="G8409">
        <f>IF(LEFT(B8409,1)="C","Credit","Factuur")</f>
        <v/>
      </c>
      <c r="H8409">
        <f>IF(AND(B8409=B8408,D8409=D8408,A8409=A8408,F8409=F8408),1,0)</f>
        <v/>
      </c>
      <c r="I8409">
        <f>IF(C8409="C99999",1,0)</f>
        <v/>
      </c>
      <c r="J8409" s="5">
        <f>IF(OR(H8409=1,I8409=1),0,IF(G8409="Credit",-F8409,F8409))</f>
        <v/>
      </c>
    </row>
    <row r="8410">
      <c r="A8410" t="inlineStr">
        <is>
          <t>2026-09-15</t>
        </is>
      </c>
      <c r="B8410" t="inlineStr">
        <is>
          <t>F283018</t>
        </is>
      </c>
      <c r="C8410" t="inlineStr">
        <is>
          <t>C11210</t>
        </is>
      </c>
      <c r="D8410" t="inlineStr">
        <is>
          <t>SKU-10186</t>
        </is>
      </c>
      <c r="E8410" t="inlineStr">
        <is>
          <t>AM05</t>
        </is>
      </c>
      <c r="F8410" s="5" t="n">
        <v>261.8</v>
      </c>
      <c r="G8410">
        <f>IF(LEFT(B8410,1)="C","Credit","Factuur")</f>
        <v/>
      </c>
      <c r="H8410">
        <f>IF(AND(B8410=B8409,D8410=D8409,A8410=A8409,F8410=F8409),1,0)</f>
        <v/>
      </c>
      <c r="I8410">
        <f>IF(C8410="C99999",1,0)</f>
        <v/>
      </c>
      <c r="J8410" s="5">
        <f>IF(OR(H8410=1,I8410=1),0,IF(G8410="Credit",-F8410,F8410))</f>
        <v/>
      </c>
    </row>
    <row r="8411">
      <c r="A8411" t="inlineStr">
        <is>
          <t>2026-09-15</t>
        </is>
      </c>
      <c r="B8411" t="inlineStr">
        <is>
          <t>F283018</t>
        </is>
      </c>
      <c r="C8411" t="inlineStr">
        <is>
          <t>C11210</t>
        </is>
      </c>
      <c r="D8411" t="inlineStr">
        <is>
          <t>SKU-10276</t>
        </is>
      </c>
      <c r="E8411" t="inlineStr">
        <is>
          <t>AM05</t>
        </is>
      </c>
      <c r="F8411" s="5" t="n">
        <v>262.08</v>
      </c>
      <c r="G8411">
        <f>IF(LEFT(B8411,1)="C","Credit","Factuur")</f>
        <v/>
      </c>
      <c r="H8411">
        <f>IF(AND(B8411=B8410,D8411=D8410,A8411=A8410,F8411=F8410),1,0)</f>
        <v/>
      </c>
      <c r="I8411">
        <f>IF(C8411="C99999",1,0)</f>
        <v/>
      </c>
      <c r="J8411" s="5">
        <f>IF(OR(H8411=1,I8411=1),0,IF(G8411="Credit",-F8411,F8411))</f>
        <v/>
      </c>
    </row>
    <row r="8412">
      <c r="A8412" t="inlineStr">
        <is>
          <t>2026-09-15</t>
        </is>
      </c>
      <c r="B8412" t="inlineStr">
        <is>
          <t>F285410</t>
        </is>
      </c>
      <c r="C8412" t="inlineStr">
        <is>
          <t>C11328</t>
        </is>
      </c>
      <c r="D8412" t="inlineStr">
        <is>
          <t>SKU-10018</t>
        </is>
      </c>
      <c r="E8412" t="inlineStr">
        <is>
          <t>IS01</t>
        </is>
      </c>
      <c r="F8412" s="5" t="n">
        <v>53.61</v>
      </c>
      <c r="G8412">
        <f>IF(LEFT(B8412,1)="C","Credit","Factuur")</f>
        <v/>
      </c>
      <c r="H8412">
        <f>IF(AND(B8412=B8411,D8412=D8411,A8412=A8411,F8412=F8411),1,0)</f>
        <v/>
      </c>
      <c r="I8412">
        <f>IF(C8412="C99999",1,0)</f>
        <v/>
      </c>
      <c r="J8412" s="5">
        <f>IF(OR(H8412=1,I8412=1),0,IF(G8412="Credit",-F8412,F8412))</f>
        <v/>
      </c>
    </row>
    <row r="8413">
      <c r="A8413" t="inlineStr">
        <is>
          <t>2026-09-15</t>
        </is>
      </c>
      <c r="B8413" t="inlineStr">
        <is>
          <t>F285410</t>
        </is>
      </c>
      <c r="C8413" t="inlineStr">
        <is>
          <t>C11328</t>
        </is>
      </c>
      <c r="D8413" t="inlineStr">
        <is>
          <t>SKU-10098</t>
        </is>
      </c>
      <c r="E8413" t="inlineStr">
        <is>
          <t>IS01</t>
        </is>
      </c>
      <c r="F8413" s="5" t="n">
        <v>120.03</v>
      </c>
      <c r="G8413">
        <f>IF(LEFT(B8413,1)="C","Credit","Factuur")</f>
        <v/>
      </c>
      <c r="H8413">
        <f>IF(AND(B8413=B8412,D8413=D8412,A8413=A8412,F8413=F8412),1,0)</f>
        <v/>
      </c>
      <c r="I8413">
        <f>IF(C8413="C99999",1,0)</f>
        <v/>
      </c>
      <c r="J8413" s="5">
        <f>IF(OR(H8413=1,I8413=1),0,IF(G8413="Credit",-F8413,F8413))</f>
        <v/>
      </c>
    </row>
    <row r="8414">
      <c r="A8414" t="inlineStr">
        <is>
          <t>2026-09-15</t>
        </is>
      </c>
      <c r="B8414" t="inlineStr">
        <is>
          <t>F285410</t>
        </is>
      </c>
      <c r="C8414" t="inlineStr">
        <is>
          <t>C11328</t>
        </is>
      </c>
      <c r="D8414" t="inlineStr">
        <is>
          <t>SKU-10114</t>
        </is>
      </c>
      <c r="E8414" t="inlineStr">
        <is>
          <t>IS01</t>
        </is>
      </c>
      <c r="F8414" s="5" t="n">
        <v>53.56</v>
      </c>
      <c r="G8414">
        <f>IF(LEFT(B8414,1)="C","Credit","Factuur")</f>
        <v/>
      </c>
      <c r="H8414">
        <f>IF(AND(B8414=B8413,D8414=D8413,A8414=A8413,F8414=F8413),1,0)</f>
        <v/>
      </c>
      <c r="I8414">
        <f>IF(C8414="C99999",1,0)</f>
        <v/>
      </c>
      <c r="J8414" s="5">
        <f>IF(OR(H8414=1,I8414=1),0,IF(G8414="Credit",-F8414,F8414))</f>
        <v/>
      </c>
    </row>
    <row r="8415">
      <c r="A8415" t="inlineStr">
        <is>
          <t>2026-09-15</t>
        </is>
      </c>
      <c r="B8415" t="inlineStr">
        <is>
          <t>F285410</t>
        </is>
      </c>
      <c r="C8415" t="inlineStr">
        <is>
          <t>C11328</t>
        </is>
      </c>
      <c r="D8415" t="inlineStr">
        <is>
          <t>SKU-10159</t>
        </is>
      </c>
      <c r="E8415" t="inlineStr">
        <is>
          <t>IS01</t>
        </is>
      </c>
      <c r="F8415" s="5" t="n">
        <v>61.27</v>
      </c>
      <c r="G8415">
        <f>IF(LEFT(B8415,1)="C","Credit","Factuur")</f>
        <v/>
      </c>
      <c r="H8415">
        <f>IF(AND(B8415=B8414,D8415=D8414,A8415=A8414,F8415=F8414),1,0)</f>
        <v/>
      </c>
      <c r="I8415">
        <f>IF(C8415="C99999",1,0)</f>
        <v/>
      </c>
      <c r="J8415" s="5">
        <f>IF(OR(H8415=1,I8415=1),0,IF(G8415="Credit",-F8415,F8415))</f>
        <v/>
      </c>
    </row>
    <row r="8416">
      <c r="A8416" t="inlineStr">
        <is>
          <t>2026-09-15</t>
        </is>
      </c>
      <c r="B8416" t="inlineStr">
        <is>
          <t>F285410</t>
        </is>
      </c>
      <c r="C8416" t="inlineStr">
        <is>
          <t>C11328</t>
        </is>
      </c>
      <c r="D8416" t="inlineStr">
        <is>
          <t>SKU-10301</t>
        </is>
      </c>
      <c r="E8416" t="inlineStr">
        <is>
          <t>IS01</t>
        </is>
      </c>
      <c r="F8416" s="5" t="n">
        <v>54.91</v>
      </c>
      <c r="G8416">
        <f>IF(LEFT(B8416,1)="C","Credit","Factuur")</f>
        <v/>
      </c>
      <c r="H8416">
        <f>IF(AND(B8416=B8415,D8416=D8415,A8416=A8415,F8416=F8415),1,0)</f>
        <v/>
      </c>
      <c r="I8416">
        <f>IF(C8416="C99999",1,0)</f>
        <v/>
      </c>
      <c r="J8416" s="5">
        <f>IF(OR(H8416=1,I8416=1),0,IF(G8416="Credit",-F8416,F8416))</f>
        <v/>
      </c>
    </row>
    <row r="8417">
      <c r="A8417" t="inlineStr">
        <is>
          <t>2026-09-16</t>
        </is>
      </c>
      <c r="B8417" t="inlineStr">
        <is>
          <t>C900308</t>
        </is>
      </c>
      <c r="C8417" t="inlineStr">
        <is>
          <t>C11085</t>
        </is>
      </c>
      <c r="D8417" t="inlineStr">
        <is>
          <t>SKU-10222</t>
        </is>
      </c>
      <c r="E8417" t="inlineStr">
        <is>
          <t>AM06</t>
        </is>
      </c>
      <c r="F8417" s="5" t="n">
        <v>151.34</v>
      </c>
      <c r="G8417">
        <f>IF(LEFT(B8417,1)="C","Credit","Factuur")</f>
        <v/>
      </c>
      <c r="H8417">
        <f>IF(AND(B8417=B8416,D8417=D8416,A8417=A8416,F8417=F8416),1,0)</f>
        <v/>
      </c>
      <c r="I8417">
        <f>IF(C8417="C99999",1,0)</f>
        <v/>
      </c>
      <c r="J8417" s="5">
        <f>IF(OR(H8417=1,I8417=1),0,IF(G8417="Credit",-F8417,F8417))</f>
        <v/>
      </c>
    </row>
    <row r="8418">
      <c r="A8418" t="inlineStr">
        <is>
          <t>2026-09-16</t>
        </is>
      </c>
      <c r="B8418" t="inlineStr">
        <is>
          <t>C901206</t>
        </is>
      </c>
      <c r="C8418" t="inlineStr">
        <is>
          <t>C10974</t>
        </is>
      </c>
      <c r="D8418" t="inlineStr">
        <is>
          <t>SKU-10317</t>
        </is>
      </c>
      <c r="E8418" t="inlineStr">
        <is>
          <t>AM02</t>
        </is>
      </c>
      <c r="F8418" s="5" t="n">
        <v>387.94</v>
      </c>
      <c r="G8418">
        <f>IF(LEFT(B8418,1)="C","Credit","Factuur")</f>
        <v/>
      </c>
      <c r="H8418">
        <f>IF(AND(B8418=B8417,D8418=D8417,A8418=A8417,F8418=F8417),1,0)</f>
        <v/>
      </c>
      <c r="I8418">
        <f>IF(C8418="C99999",1,0)</f>
        <v/>
      </c>
      <c r="J8418" s="5">
        <f>IF(OR(H8418=1,I8418=1),0,IF(G8418="Credit",-F8418,F8418))</f>
        <v/>
      </c>
    </row>
    <row r="8419">
      <c r="A8419" t="inlineStr">
        <is>
          <t>2026-09-16</t>
        </is>
      </c>
      <c r="B8419" t="inlineStr">
        <is>
          <t>C901375</t>
        </is>
      </c>
      <c r="C8419" t="inlineStr">
        <is>
          <t>C10545</t>
        </is>
      </c>
      <c r="D8419" t="inlineStr">
        <is>
          <t>SKU-10042</t>
        </is>
      </c>
      <c r="E8419" t="inlineStr">
        <is>
          <t>AM02</t>
        </is>
      </c>
      <c r="F8419" s="5" t="n">
        <v>58.64</v>
      </c>
      <c r="G8419">
        <f>IF(LEFT(B8419,1)="C","Credit","Factuur")</f>
        <v/>
      </c>
      <c r="H8419">
        <f>IF(AND(B8419=B8418,D8419=D8418,A8419=A8418,F8419=F8418),1,0)</f>
        <v/>
      </c>
      <c r="I8419">
        <f>IF(C8419="C99999",1,0)</f>
        <v/>
      </c>
      <c r="J8419" s="5">
        <f>IF(OR(H8419=1,I8419=1),0,IF(G8419="Credit",-F8419,F8419))</f>
        <v/>
      </c>
    </row>
    <row r="8420">
      <c r="A8420" t="inlineStr">
        <is>
          <t>2026-09-16</t>
        </is>
      </c>
      <c r="B8420" t="inlineStr">
        <is>
          <t>C901833</t>
        </is>
      </c>
      <c r="C8420" t="inlineStr">
        <is>
          <t>C10078</t>
        </is>
      </c>
      <c r="D8420" t="inlineStr">
        <is>
          <t>SKU-10269</t>
        </is>
      </c>
      <c r="E8420" t="inlineStr">
        <is>
          <t>AM11</t>
        </is>
      </c>
      <c r="F8420" s="5" t="n">
        <v>245.31</v>
      </c>
      <c r="G8420">
        <f>IF(LEFT(B8420,1)="C","Credit","Factuur")</f>
        <v/>
      </c>
      <c r="H8420">
        <f>IF(AND(B8420=B8419,D8420=D8419,A8420=A8419,F8420=F8419),1,0)</f>
        <v/>
      </c>
      <c r="I8420">
        <f>IF(C8420="C99999",1,0)</f>
        <v/>
      </c>
      <c r="J8420" s="5">
        <f>IF(OR(H8420=1,I8420=1),0,IF(G8420="Credit",-F8420,F8420))</f>
        <v/>
      </c>
    </row>
    <row r="8421">
      <c r="A8421" t="inlineStr">
        <is>
          <t>2026-09-16</t>
        </is>
      </c>
      <c r="B8421" t="inlineStr">
        <is>
          <t>C902064</t>
        </is>
      </c>
      <c r="C8421" t="inlineStr">
        <is>
          <t>C10088</t>
        </is>
      </c>
      <c r="D8421" t="inlineStr">
        <is>
          <t>SKU-10078</t>
        </is>
      </c>
      <c r="E8421" t="inlineStr">
        <is>
          <t>AM03</t>
        </is>
      </c>
      <c r="F8421" s="5" t="n">
        <v>113.59</v>
      </c>
      <c r="G8421">
        <f>IF(LEFT(B8421,1)="C","Credit","Factuur")</f>
        <v/>
      </c>
      <c r="H8421">
        <f>IF(AND(B8421=B8420,D8421=D8420,A8421=A8420,F8421=F8420),1,0)</f>
        <v/>
      </c>
      <c r="I8421">
        <f>IF(C8421="C99999",1,0)</f>
        <v/>
      </c>
      <c r="J8421" s="5">
        <f>IF(OR(H8421=1,I8421=1),0,IF(G8421="Credit",-F8421,F8421))</f>
        <v/>
      </c>
    </row>
    <row r="8422">
      <c r="A8422" t="inlineStr">
        <is>
          <t>2026-09-16</t>
        </is>
      </c>
      <c r="B8422" t="inlineStr">
        <is>
          <t>F260130</t>
        </is>
      </c>
      <c r="C8422" t="inlineStr">
        <is>
          <t>C10008</t>
        </is>
      </c>
      <c r="D8422" t="inlineStr">
        <is>
          <t>SKU-10043</t>
        </is>
      </c>
      <c r="E8422" t="inlineStr">
        <is>
          <t>AM03</t>
        </is>
      </c>
      <c r="F8422" s="5" t="n">
        <v>311.64</v>
      </c>
      <c r="G8422">
        <f>IF(LEFT(B8422,1)="C","Credit","Factuur")</f>
        <v/>
      </c>
      <c r="H8422">
        <f>IF(AND(B8422=B8421,D8422=D8421,A8422=A8421,F8422=F8421),1,0)</f>
        <v/>
      </c>
      <c r="I8422">
        <f>IF(C8422="C99999",1,0)</f>
        <v/>
      </c>
      <c r="J8422" s="5">
        <f>IF(OR(H8422=1,I8422=1),0,IF(G8422="Credit",-F8422,F8422))</f>
        <v/>
      </c>
    </row>
    <row r="8423">
      <c r="A8423" t="inlineStr">
        <is>
          <t>2026-09-16</t>
        </is>
      </c>
      <c r="B8423" t="inlineStr">
        <is>
          <t>F260130</t>
        </is>
      </c>
      <c r="C8423" t="inlineStr">
        <is>
          <t>C10008</t>
        </is>
      </c>
      <c r="D8423" t="inlineStr">
        <is>
          <t>SKU-10062</t>
        </is>
      </c>
      <c r="E8423" t="inlineStr">
        <is>
          <t>AM03</t>
        </is>
      </c>
      <c r="F8423" s="5" t="n">
        <v>309.76</v>
      </c>
      <c r="G8423">
        <f>IF(LEFT(B8423,1)="C","Credit","Factuur")</f>
        <v/>
      </c>
      <c r="H8423">
        <f>IF(AND(B8423=B8422,D8423=D8422,A8423=A8422,F8423=F8422),1,0)</f>
        <v/>
      </c>
      <c r="I8423">
        <f>IF(C8423="C99999",1,0)</f>
        <v/>
      </c>
      <c r="J8423" s="5">
        <f>IF(OR(H8423=1,I8423=1),0,IF(G8423="Credit",-F8423,F8423))</f>
        <v/>
      </c>
    </row>
    <row r="8424">
      <c r="A8424" t="inlineStr">
        <is>
          <t>2026-09-16</t>
        </is>
      </c>
      <c r="B8424" t="inlineStr">
        <is>
          <t>F260130</t>
        </is>
      </c>
      <c r="C8424" t="inlineStr">
        <is>
          <t>C10008</t>
        </is>
      </c>
      <c r="D8424" t="inlineStr">
        <is>
          <t>SKU-10080</t>
        </is>
      </c>
      <c r="E8424" t="inlineStr">
        <is>
          <t>AM03</t>
        </is>
      </c>
      <c r="F8424" s="5" t="n">
        <v>309.96</v>
      </c>
      <c r="G8424">
        <f>IF(LEFT(B8424,1)="C","Credit","Factuur")</f>
        <v/>
      </c>
      <c r="H8424">
        <f>IF(AND(B8424=B8423,D8424=D8423,A8424=A8423,F8424=F8423),1,0)</f>
        <v/>
      </c>
      <c r="I8424">
        <f>IF(C8424="C99999",1,0)</f>
        <v/>
      </c>
      <c r="J8424" s="5">
        <f>IF(OR(H8424=1,I8424=1),0,IF(G8424="Credit",-F8424,F8424))</f>
        <v/>
      </c>
    </row>
    <row r="8425">
      <c r="A8425" t="inlineStr">
        <is>
          <t>2026-09-16</t>
        </is>
      </c>
      <c r="B8425" t="inlineStr">
        <is>
          <t>F260130</t>
        </is>
      </c>
      <c r="C8425" t="inlineStr">
        <is>
          <t>C10008</t>
        </is>
      </c>
      <c r="D8425" t="inlineStr">
        <is>
          <t>SKU-10108</t>
        </is>
      </c>
      <c r="E8425" t="inlineStr">
        <is>
          <t>AM03</t>
        </is>
      </c>
      <c r="F8425" s="5" t="n">
        <v>278.79</v>
      </c>
      <c r="G8425">
        <f>IF(LEFT(B8425,1)="C","Credit","Factuur")</f>
        <v/>
      </c>
      <c r="H8425">
        <f>IF(AND(B8425=B8424,D8425=D8424,A8425=A8424,F8425=F8424),1,0)</f>
        <v/>
      </c>
      <c r="I8425">
        <f>IF(C8425="C99999",1,0)</f>
        <v/>
      </c>
      <c r="J8425" s="5">
        <f>IF(OR(H8425=1,I8425=1),0,IF(G8425="Credit",-F8425,F8425))</f>
        <v/>
      </c>
    </row>
    <row r="8426">
      <c r="A8426" t="inlineStr">
        <is>
          <t>2026-09-16</t>
        </is>
      </c>
      <c r="B8426" t="inlineStr">
        <is>
          <t>F262672</t>
        </is>
      </c>
      <c r="C8426" t="inlineStr">
        <is>
          <t>C10143</t>
        </is>
      </c>
      <c r="D8426" t="inlineStr">
        <is>
          <t>SKU-10108</t>
        </is>
      </c>
      <c r="E8426" t="inlineStr">
        <is>
          <t>AM03</t>
        </is>
      </c>
      <c r="F8426" s="5" t="n">
        <v>3903.06</v>
      </c>
      <c r="G8426">
        <f>IF(LEFT(B8426,1)="C","Credit","Factuur")</f>
        <v/>
      </c>
      <c r="H8426">
        <f>IF(AND(B8426=B8425,D8426=D8425,A8426=A8425,F8426=F8425),1,0)</f>
        <v/>
      </c>
      <c r="I8426">
        <f>IF(C8426="C99999",1,0)</f>
        <v/>
      </c>
      <c r="J8426" s="5">
        <f>IF(OR(H8426=1,I8426=1),0,IF(G8426="Credit",-F8426,F8426))</f>
        <v/>
      </c>
    </row>
    <row r="8427">
      <c r="A8427" t="inlineStr">
        <is>
          <t>2026-09-16</t>
        </is>
      </c>
      <c r="B8427" t="inlineStr">
        <is>
          <t>F263163</t>
        </is>
      </c>
      <c r="C8427" t="inlineStr">
        <is>
          <t>C10169</t>
        </is>
      </c>
      <c r="D8427" t="inlineStr">
        <is>
          <t>SKU-10003</t>
        </is>
      </c>
      <c r="E8427" t="inlineStr">
        <is>
          <t>AM11</t>
        </is>
      </c>
      <c r="F8427" s="5" t="n">
        <v>495.9</v>
      </c>
      <c r="G8427">
        <f>IF(LEFT(B8427,1)="C","Credit","Factuur")</f>
        <v/>
      </c>
      <c r="H8427">
        <f>IF(AND(B8427=B8426,D8427=D8426,A8427=A8426,F8427=F8426),1,0)</f>
        <v/>
      </c>
      <c r="I8427">
        <f>IF(C8427="C99999",1,0)</f>
        <v/>
      </c>
      <c r="J8427" s="5">
        <f>IF(OR(H8427=1,I8427=1),0,IF(G8427="Credit",-F8427,F8427))</f>
        <v/>
      </c>
    </row>
    <row r="8428">
      <c r="A8428" t="inlineStr">
        <is>
          <t>2026-09-16</t>
        </is>
      </c>
      <c r="B8428" t="inlineStr">
        <is>
          <t>F263163</t>
        </is>
      </c>
      <c r="C8428" t="inlineStr">
        <is>
          <t>C10169</t>
        </is>
      </c>
      <c r="D8428" t="inlineStr">
        <is>
          <t>SKU-10067</t>
        </is>
      </c>
      <c r="E8428" t="inlineStr">
        <is>
          <t>AM11</t>
        </is>
      </c>
      <c r="F8428" s="5" t="n">
        <v>522.54</v>
      </c>
      <c r="G8428">
        <f>IF(LEFT(B8428,1)="C","Credit","Factuur")</f>
        <v/>
      </c>
      <c r="H8428">
        <f>IF(AND(B8428=B8427,D8428=D8427,A8428=A8427,F8428=F8427),1,0)</f>
        <v/>
      </c>
      <c r="I8428">
        <f>IF(C8428="C99999",1,0)</f>
        <v/>
      </c>
      <c r="J8428" s="5">
        <f>IF(OR(H8428=1,I8428=1),0,IF(G8428="Credit",-F8428,F8428))</f>
        <v/>
      </c>
    </row>
    <row r="8429">
      <c r="A8429" t="inlineStr">
        <is>
          <t>2026-09-16</t>
        </is>
      </c>
      <c r="B8429" t="inlineStr">
        <is>
          <t>F263163</t>
        </is>
      </c>
      <c r="C8429" t="inlineStr">
        <is>
          <t>C10169</t>
        </is>
      </c>
      <c r="D8429" t="inlineStr">
        <is>
          <t>SKU-10176</t>
        </is>
      </c>
      <c r="E8429" t="inlineStr">
        <is>
          <t>AM11</t>
        </is>
      </c>
      <c r="F8429" s="5" t="n">
        <v>509.6</v>
      </c>
      <c r="G8429">
        <f>IF(LEFT(B8429,1)="C","Credit","Factuur")</f>
        <v/>
      </c>
      <c r="H8429">
        <f>IF(AND(B8429=B8428,D8429=D8428,A8429=A8428,F8429=F8428),1,0)</f>
        <v/>
      </c>
      <c r="I8429">
        <f>IF(C8429="C99999",1,0)</f>
        <v/>
      </c>
      <c r="J8429" s="5">
        <f>IF(OR(H8429=1,I8429=1),0,IF(G8429="Credit",-F8429,F8429))</f>
        <v/>
      </c>
    </row>
    <row r="8430">
      <c r="A8430" t="inlineStr">
        <is>
          <t>2026-09-16</t>
        </is>
      </c>
      <c r="B8430" t="inlineStr">
        <is>
          <t>F263163</t>
        </is>
      </c>
      <c r="C8430" t="inlineStr">
        <is>
          <t>C10169</t>
        </is>
      </c>
      <c r="D8430" t="inlineStr">
        <is>
          <t>SKU-10234</t>
        </is>
      </c>
      <c r="E8430" t="inlineStr"/>
      <c r="F8430" s="5" t="n">
        <v>508.8</v>
      </c>
      <c r="G8430">
        <f>IF(LEFT(B8430,1)="C","Credit","Factuur")</f>
        <v/>
      </c>
      <c r="H8430">
        <f>IF(AND(B8430=B8429,D8430=D8429,A8430=A8429,F8430=F8429),1,0)</f>
        <v/>
      </c>
      <c r="I8430">
        <f>IF(C8430="C99999",1,0)</f>
        <v/>
      </c>
      <c r="J8430" s="5">
        <f>IF(OR(H8430=1,I8430=1),0,IF(G8430="Credit",-F8430,F8430))</f>
        <v/>
      </c>
    </row>
    <row r="8431">
      <c r="A8431" t="inlineStr">
        <is>
          <t>2026-09-16</t>
        </is>
      </c>
      <c r="B8431" t="inlineStr">
        <is>
          <t>F263163</t>
        </is>
      </c>
      <c r="C8431" t="inlineStr">
        <is>
          <t>C10169</t>
        </is>
      </c>
      <c r="D8431" t="inlineStr">
        <is>
          <t>SKU-10313</t>
        </is>
      </c>
      <c r="E8431" t="inlineStr">
        <is>
          <t>AM11</t>
        </is>
      </c>
      <c r="F8431" s="5" t="n">
        <v>488.59</v>
      </c>
      <c r="G8431">
        <f>IF(LEFT(B8431,1)="C","Credit","Factuur")</f>
        <v/>
      </c>
      <c r="H8431">
        <f>IF(AND(B8431=B8430,D8431=D8430,A8431=A8430,F8431=F8430),1,0)</f>
        <v/>
      </c>
      <c r="I8431">
        <f>IF(C8431="C99999",1,0)</f>
        <v/>
      </c>
      <c r="J8431" s="5">
        <f>IF(OR(H8431=1,I8431=1),0,IF(G8431="Credit",-F8431,F8431))</f>
        <v/>
      </c>
    </row>
    <row r="8432">
      <c r="A8432" t="inlineStr">
        <is>
          <t>2026-09-16</t>
        </is>
      </c>
      <c r="B8432" t="inlineStr">
        <is>
          <t>F263444</t>
        </is>
      </c>
      <c r="C8432" t="inlineStr">
        <is>
          <t>C10184</t>
        </is>
      </c>
      <c r="D8432" t="inlineStr">
        <is>
          <t>SKU-10009</t>
        </is>
      </c>
      <c r="E8432" t="inlineStr">
        <is>
          <t>AM03</t>
        </is>
      </c>
      <c r="F8432" s="5" t="n">
        <v>989.77</v>
      </c>
      <c r="G8432">
        <f>IF(LEFT(B8432,1)="C","Credit","Factuur")</f>
        <v/>
      </c>
      <c r="H8432">
        <f>IF(AND(B8432=B8431,D8432=D8431,A8432=A8431,F8432=F8431),1,0)</f>
        <v/>
      </c>
      <c r="I8432">
        <f>IF(C8432="C99999",1,0)</f>
        <v/>
      </c>
      <c r="J8432" s="5">
        <f>IF(OR(H8432=1,I8432=1),0,IF(G8432="Credit",-F8432,F8432))</f>
        <v/>
      </c>
    </row>
    <row r="8433">
      <c r="A8433" t="inlineStr">
        <is>
          <t>2026-09-16</t>
        </is>
      </c>
      <c r="B8433" t="inlineStr">
        <is>
          <t>F263444</t>
        </is>
      </c>
      <c r="C8433" t="inlineStr">
        <is>
          <t>C10184</t>
        </is>
      </c>
      <c r="D8433" t="inlineStr">
        <is>
          <t>SKU-10180</t>
        </is>
      </c>
      <c r="E8433" t="inlineStr">
        <is>
          <t>AM03</t>
        </is>
      </c>
      <c r="F8433" s="5" t="n">
        <v>927.12</v>
      </c>
      <c r="G8433">
        <f>IF(LEFT(B8433,1)="C","Credit","Factuur")</f>
        <v/>
      </c>
      <c r="H8433">
        <f>IF(AND(B8433=B8432,D8433=D8432,A8433=A8432,F8433=F8432),1,0)</f>
        <v/>
      </c>
      <c r="I8433">
        <f>IF(C8433="C99999",1,0)</f>
        <v/>
      </c>
      <c r="J8433" s="5">
        <f>IF(OR(H8433=1,I8433=1),0,IF(G8433="Credit",-F8433,F8433))</f>
        <v/>
      </c>
    </row>
    <row r="8434">
      <c r="A8434" t="inlineStr">
        <is>
          <t>2026-09-16</t>
        </is>
      </c>
      <c r="B8434" t="inlineStr">
        <is>
          <t>F263444</t>
        </is>
      </c>
      <c r="C8434" t="inlineStr">
        <is>
          <t>C10184</t>
        </is>
      </c>
      <c r="D8434" t="inlineStr">
        <is>
          <t>SKU-10311</t>
        </is>
      </c>
      <c r="E8434" t="inlineStr">
        <is>
          <t>AM03</t>
        </is>
      </c>
      <c r="F8434" s="5" t="n">
        <v>880.25</v>
      </c>
      <c r="G8434">
        <f>IF(LEFT(B8434,1)="C","Credit","Factuur")</f>
        <v/>
      </c>
      <c r="H8434">
        <f>IF(AND(B8434=B8433,D8434=D8433,A8434=A8433,F8434=F8433),1,0)</f>
        <v/>
      </c>
      <c r="I8434">
        <f>IF(C8434="C99999",1,0)</f>
        <v/>
      </c>
      <c r="J8434" s="5">
        <f>IF(OR(H8434=1,I8434=1),0,IF(G8434="Credit",-F8434,F8434))</f>
        <v/>
      </c>
    </row>
    <row r="8435">
      <c r="A8435" t="inlineStr">
        <is>
          <t>2026-09-16</t>
        </is>
      </c>
      <c r="B8435" t="inlineStr">
        <is>
          <t>F263480</t>
        </is>
      </c>
      <c r="C8435" t="inlineStr">
        <is>
          <t>C10186</t>
        </is>
      </c>
      <c r="D8435" t="inlineStr">
        <is>
          <t>SKU-10011</t>
        </is>
      </c>
      <c r="E8435" t="inlineStr">
        <is>
          <t>AM11</t>
        </is>
      </c>
      <c r="F8435" s="5" t="n">
        <v>755.16</v>
      </c>
      <c r="G8435">
        <f>IF(LEFT(B8435,1)="C","Credit","Factuur")</f>
        <v/>
      </c>
      <c r="H8435">
        <f>IF(AND(B8435=B8434,D8435=D8434,A8435=A8434,F8435=F8434),1,0)</f>
        <v/>
      </c>
      <c r="I8435">
        <f>IF(C8435="C99999",1,0)</f>
        <v/>
      </c>
      <c r="J8435" s="5">
        <f>IF(OR(H8435=1,I8435=1),0,IF(G8435="Credit",-F8435,F8435))</f>
        <v/>
      </c>
    </row>
    <row r="8436">
      <c r="A8436" t="inlineStr">
        <is>
          <t>2026-09-16</t>
        </is>
      </c>
      <c r="B8436" t="inlineStr">
        <is>
          <t>F263480</t>
        </is>
      </c>
      <c r="C8436" t="inlineStr">
        <is>
          <t>C10186</t>
        </is>
      </c>
      <c r="D8436" t="inlineStr">
        <is>
          <t>SKU-10031</t>
        </is>
      </c>
      <c r="E8436" t="inlineStr">
        <is>
          <t>AM11</t>
        </is>
      </c>
      <c r="F8436" s="5" t="n">
        <v>758.42</v>
      </c>
      <c r="G8436">
        <f>IF(LEFT(B8436,1)="C","Credit","Factuur")</f>
        <v/>
      </c>
      <c r="H8436">
        <f>IF(AND(B8436=B8435,D8436=D8435,A8436=A8435,F8436=F8435),1,0)</f>
        <v/>
      </c>
      <c r="I8436">
        <f>IF(C8436="C99999",1,0)</f>
        <v/>
      </c>
      <c r="J8436" s="5">
        <f>IF(OR(H8436=1,I8436=1),0,IF(G8436="Credit",-F8436,F8436))</f>
        <v/>
      </c>
    </row>
    <row r="8437">
      <c r="A8437" t="inlineStr">
        <is>
          <t>2026-09-16</t>
        </is>
      </c>
      <c r="B8437" t="inlineStr">
        <is>
          <t>F263480</t>
        </is>
      </c>
      <c r="C8437" t="inlineStr">
        <is>
          <t>C10186</t>
        </is>
      </c>
      <c r="D8437" t="inlineStr">
        <is>
          <t>SKU-10060</t>
        </is>
      </c>
      <c r="E8437" t="inlineStr">
        <is>
          <t>AM11</t>
        </is>
      </c>
      <c r="F8437" s="5" t="n">
        <v>749.7</v>
      </c>
      <c r="G8437">
        <f>IF(LEFT(B8437,1)="C","Credit","Factuur")</f>
        <v/>
      </c>
      <c r="H8437">
        <f>IF(AND(B8437=B8436,D8437=D8436,A8437=A8436,F8437=F8436),1,0)</f>
        <v/>
      </c>
      <c r="I8437">
        <f>IF(C8437="C99999",1,0)</f>
        <v/>
      </c>
      <c r="J8437" s="5">
        <f>IF(OR(H8437=1,I8437=1),0,IF(G8437="Credit",-F8437,F8437))</f>
        <v/>
      </c>
    </row>
    <row r="8438">
      <c r="A8438" t="inlineStr">
        <is>
          <t>2026-09-16</t>
        </is>
      </c>
      <c r="B8438" t="inlineStr">
        <is>
          <t>F264313</t>
        </is>
      </c>
      <c r="C8438" t="inlineStr">
        <is>
          <t>C10226</t>
        </is>
      </c>
      <c r="D8438" t="inlineStr">
        <is>
          <t>SKU-10104</t>
        </is>
      </c>
      <c r="E8438" t="inlineStr">
        <is>
          <t>AM03</t>
        </is>
      </c>
      <c r="F8438" s="5" t="n">
        <v>455.7</v>
      </c>
      <c r="G8438">
        <f>IF(LEFT(B8438,1)="C","Credit","Factuur")</f>
        <v/>
      </c>
      <c r="H8438">
        <f>IF(AND(B8438=B8437,D8438=D8437,A8438=A8437,F8438=F8437),1,0)</f>
        <v/>
      </c>
      <c r="I8438">
        <f>IF(C8438="C99999",1,0)</f>
        <v/>
      </c>
      <c r="J8438" s="5">
        <f>IF(OR(H8438=1,I8438=1),0,IF(G8438="Credit",-F8438,F8438))</f>
        <v/>
      </c>
    </row>
    <row r="8439">
      <c r="A8439" t="inlineStr">
        <is>
          <t>2026-09-16</t>
        </is>
      </c>
      <c r="B8439" t="inlineStr">
        <is>
          <t>F264313</t>
        </is>
      </c>
      <c r="C8439" t="inlineStr">
        <is>
          <t>C10226</t>
        </is>
      </c>
      <c r="D8439" t="inlineStr">
        <is>
          <t>SKU-10159</t>
        </is>
      </c>
      <c r="E8439" t="inlineStr">
        <is>
          <t>AM03</t>
        </is>
      </c>
      <c r="F8439" s="5" t="n">
        <v>467.88</v>
      </c>
      <c r="G8439">
        <f>IF(LEFT(B8439,1)="C","Credit","Factuur")</f>
        <v/>
      </c>
      <c r="H8439">
        <f>IF(AND(B8439=B8438,D8439=D8438,A8439=A8438,F8439=F8438),1,0)</f>
        <v/>
      </c>
      <c r="I8439">
        <f>IF(C8439="C99999",1,0)</f>
        <v/>
      </c>
      <c r="J8439" s="5">
        <f>IF(OR(H8439=1,I8439=1),0,IF(G8439="Credit",-F8439,F8439))</f>
        <v/>
      </c>
    </row>
    <row r="8440">
      <c r="A8440" t="inlineStr">
        <is>
          <t>2026-09-16</t>
        </is>
      </c>
      <c r="B8440" t="inlineStr">
        <is>
          <t>F264709</t>
        </is>
      </c>
      <c r="C8440" t="inlineStr">
        <is>
          <t>C10245</t>
        </is>
      </c>
      <c r="D8440" t="inlineStr">
        <is>
          <t>SKU-10131</t>
        </is>
      </c>
      <c r="E8440" t="inlineStr">
        <is>
          <t>IS01</t>
        </is>
      </c>
      <c r="F8440" s="5" t="n">
        <v>105.18</v>
      </c>
      <c r="G8440">
        <f>IF(LEFT(B8440,1)="C","Credit","Factuur")</f>
        <v/>
      </c>
      <c r="H8440">
        <f>IF(AND(B8440=B8439,D8440=D8439,A8440=A8439,F8440=F8439),1,0)</f>
        <v/>
      </c>
      <c r="I8440">
        <f>IF(C8440="C99999",1,0)</f>
        <v/>
      </c>
      <c r="J8440" s="5">
        <f>IF(OR(H8440=1,I8440=1),0,IF(G8440="Credit",-F8440,F8440))</f>
        <v/>
      </c>
    </row>
    <row r="8441">
      <c r="A8441" t="inlineStr">
        <is>
          <t>2026-09-16</t>
        </is>
      </c>
      <c r="B8441" t="inlineStr">
        <is>
          <t>F264861</t>
        </is>
      </c>
      <c r="C8441" t="inlineStr">
        <is>
          <t>C10253</t>
        </is>
      </c>
      <c r="D8441" t="inlineStr">
        <is>
          <t>SKU-10010</t>
        </is>
      </c>
      <c r="E8441" t="inlineStr">
        <is>
          <t>AM06</t>
        </is>
      </c>
      <c r="F8441" s="5" t="n">
        <v>1455.96</v>
      </c>
      <c r="G8441">
        <f>IF(LEFT(B8441,1)="C","Credit","Factuur")</f>
        <v/>
      </c>
      <c r="H8441">
        <f>IF(AND(B8441=B8440,D8441=D8440,A8441=A8440,F8441=F8440),1,0)</f>
        <v/>
      </c>
      <c r="I8441">
        <f>IF(C8441="C99999",1,0)</f>
        <v/>
      </c>
      <c r="J8441" s="5">
        <f>IF(OR(H8441=1,I8441=1),0,IF(G8441="Credit",-F8441,F8441))</f>
        <v/>
      </c>
    </row>
    <row r="8442">
      <c r="A8442" t="inlineStr">
        <is>
          <t>2026-09-16</t>
        </is>
      </c>
      <c r="B8442" t="inlineStr">
        <is>
          <t>F265633</t>
        </is>
      </c>
      <c r="C8442" t="inlineStr">
        <is>
          <t>C10295</t>
        </is>
      </c>
      <c r="D8442" t="inlineStr">
        <is>
          <t>SKU-10069</t>
        </is>
      </c>
      <c r="E8442" t="inlineStr">
        <is>
          <t>AM08</t>
        </is>
      </c>
      <c r="F8442" s="5" t="n">
        <v>271.72</v>
      </c>
      <c r="G8442">
        <f>IF(LEFT(B8442,1)="C","Credit","Factuur")</f>
        <v/>
      </c>
      <c r="H8442">
        <f>IF(AND(B8442=B8441,D8442=D8441,A8442=A8441,F8442=F8441),1,0)</f>
        <v/>
      </c>
      <c r="I8442">
        <f>IF(C8442="C99999",1,0)</f>
        <v/>
      </c>
      <c r="J8442" s="5">
        <f>IF(OR(H8442=1,I8442=1),0,IF(G8442="Credit",-F8442,F8442))</f>
        <v/>
      </c>
    </row>
    <row r="8443">
      <c r="A8443" t="inlineStr">
        <is>
          <t>2026-09-16</t>
        </is>
      </c>
      <c r="B8443" t="inlineStr">
        <is>
          <t>F265633</t>
        </is>
      </c>
      <c r="C8443" t="inlineStr">
        <is>
          <t>C10295</t>
        </is>
      </c>
      <c r="D8443" t="inlineStr">
        <is>
          <t>SKU-10227</t>
        </is>
      </c>
      <c r="E8443" t="inlineStr">
        <is>
          <t>AM08</t>
        </is>
      </c>
      <c r="F8443" s="5" t="n">
        <v>293.04</v>
      </c>
      <c r="G8443">
        <f>IF(LEFT(B8443,1)="C","Credit","Factuur")</f>
        <v/>
      </c>
      <c r="H8443">
        <f>IF(AND(B8443=B8442,D8443=D8442,A8443=A8442,F8443=F8442),1,0)</f>
        <v/>
      </c>
      <c r="I8443">
        <f>IF(C8443="C99999",1,0)</f>
        <v/>
      </c>
      <c r="J8443" s="5">
        <f>IF(OR(H8443=1,I8443=1),0,IF(G8443="Credit",-F8443,F8443))</f>
        <v/>
      </c>
    </row>
    <row r="8444">
      <c r="A8444" t="inlineStr">
        <is>
          <t>2026-09-16</t>
        </is>
      </c>
      <c r="B8444" t="inlineStr">
        <is>
          <t>F265633</t>
        </is>
      </c>
      <c r="C8444" t="inlineStr">
        <is>
          <t>C10295</t>
        </is>
      </c>
      <c r="D8444" t="inlineStr">
        <is>
          <t>SKU-10276</t>
        </is>
      </c>
      <c r="E8444" t="inlineStr">
        <is>
          <t>AM08</t>
        </is>
      </c>
      <c r="F8444" s="5" t="n">
        <v>291.2</v>
      </c>
      <c r="G8444">
        <f>IF(LEFT(B8444,1)="C","Credit","Factuur")</f>
        <v/>
      </c>
      <c r="H8444">
        <f>IF(AND(B8444=B8443,D8444=D8443,A8444=A8443,F8444=F8443),1,0)</f>
        <v/>
      </c>
      <c r="I8444">
        <f>IF(C8444="C99999",1,0)</f>
        <v/>
      </c>
      <c r="J8444" s="5">
        <f>IF(OR(H8444=1,I8444=1),0,IF(G8444="Credit",-F8444,F8444))</f>
        <v/>
      </c>
    </row>
    <row r="8445">
      <c r="A8445" t="inlineStr">
        <is>
          <t>2026-09-16</t>
        </is>
      </c>
      <c r="B8445" t="inlineStr">
        <is>
          <t>F265633</t>
        </is>
      </c>
      <c r="C8445" t="inlineStr">
        <is>
          <t>C10295</t>
        </is>
      </c>
      <c r="D8445" t="inlineStr">
        <is>
          <t>SKU-10286</t>
        </is>
      </c>
      <c r="E8445" t="inlineStr">
        <is>
          <t>AM08</t>
        </is>
      </c>
      <c r="F8445" s="5" t="n">
        <v>292</v>
      </c>
      <c r="G8445">
        <f>IF(LEFT(B8445,1)="C","Credit","Factuur")</f>
        <v/>
      </c>
      <c r="H8445">
        <f>IF(AND(B8445=B8444,D8445=D8444,A8445=A8444,F8445=F8444),1,0)</f>
        <v/>
      </c>
      <c r="I8445">
        <f>IF(C8445="C99999",1,0)</f>
        <v/>
      </c>
      <c r="J8445" s="5">
        <f>IF(OR(H8445=1,I8445=1),0,IF(G8445="Credit",-F8445,F8445))</f>
        <v/>
      </c>
    </row>
    <row r="8446">
      <c r="A8446" t="inlineStr">
        <is>
          <t>2026-09-16</t>
        </is>
      </c>
      <c r="B8446" t="inlineStr">
        <is>
          <t>F266335</t>
        </is>
      </c>
      <c r="C8446" t="inlineStr">
        <is>
          <t>C10334</t>
        </is>
      </c>
      <c r="D8446" t="inlineStr">
        <is>
          <t>SKU-10051</t>
        </is>
      </c>
      <c r="E8446" t="inlineStr">
        <is>
          <t>AM02</t>
        </is>
      </c>
      <c r="F8446" s="5" t="n">
        <v>1037.91</v>
      </c>
      <c r="G8446">
        <f>IF(LEFT(B8446,1)="C","Credit","Factuur")</f>
        <v/>
      </c>
      <c r="H8446">
        <f>IF(AND(B8446=B8445,D8446=D8445,A8446=A8445,F8446=F8445),1,0)</f>
        <v/>
      </c>
      <c r="I8446">
        <f>IF(C8446="C99999",1,0)</f>
        <v/>
      </c>
      <c r="J8446" s="5">
        <f>IF(OR(H8446=1,I8446=1),0,IF(G8446="Credit",-F8446,F8446))</f>
        <v/>
      </c>
    </row>
    <row r="8447">
      <c r="A8447" t="inlineStr">
        <is>
          <t>2026-09-16</t>
        </is>
      </c>
      <c r="B8447" t="inlineStr">
        <is>
          <t>F266335</t>
        </is>
      </c>
      <c r="C8447" t="inlineStr">
        <is>
          <t>C10334</t>
        </is>
      </c>
      <c r="D8447" t="inlineStr">
        <is>
          <t>SKU-10158</t>
        </is>
      </c>
      <c r="E8447" t="inlineStr">
        <is>
          <t>AM02</t>
        </is>
      </c>
      <c r="F8447" s="5" t="n">
        <v>1117.67</v>
      </c>
      <c r="G8447">
        <f>IF(LEFT(B8447,1)="C","Credit","Factuur")</f>
        <v/>
      </c>
      <c r="H8447">
        <f>IF(AND(B8447=B8446,D8447=D8446,A8447=A8446,F8447=F8446),1,0)</f>
        <v/>
      </c>
      <c r="I8447">
        <f>IF(C8447="C99999",1,0)</f>
        <v/>
      </c>
      <c r="J8447" s="5">
        <f>IF(OR(H8447=1,I8447=1),0,IF(G8447="Credit",-F8447,F8447))</f>
        <v/>
      </c>
    </row>
    <row r="8448">
      <c r="A8448" t="inlineStr">
        <is>
          <t>2026-09-16</t>
        </is>
      </c>
      <c r="B8448" t="inlineStr">
        <is>
          <t>F266335</t>
        </is>
      </c>
      <c r="C8448" t="inlineStr">
        <is>
          <t>C10334</t>
        </is>
      </c>
      <c r="D8448" t="inlineStr">
        <is>
          <t>SKU-10221</t>
        </is>
      </c>
      <c r="E8448" t="inlineStr">
        <is>
          <t>AM02</t>
        </is>
      </c>
      <c r="F8448" s="5" t="n">
        <v>1006.13</v>
      </c>
      <c r="G8448">
        <f>IF(LEFT(B8448,1)="C","Credit","Factuur")</f>
        <v/>
      </c>
      <c r="H8448">
        <f>IF(AND(B8448=B8447,D8448=D8447,A8448=A8447,F8448=F8447),1,0)</f>
        <v/>
      </c>
      <c r="I8448">
        <f>IF(C8448="C99999",1,0)</f>
        <v/>
      </c>
      <c r="J8448" s="5">
        <f>IF(OR(H8448=1,I8448=1),0,IF(G8448="Credit",-F8448,F8448))</f>
        <v/>
      </c>
    </row>
    <row r="8449">
      <c r="A8449" t="inlineStr">
        <is>
          <t>2026-09-16</t>
        </is>
      </c>
      <c r="B8449" t="inlineStr">
        <is>
          <t>F266982</t>
        </is>
      </c>
      <c r="C8449" t="inlineStr">
        <is>
          <t>C10367</t>
        </is>
      </c>
      <c r="D8449" t="inlineStr">
        <is>
          <t>SKU-10097</t>
        </is>
      </c>
      <c r="E8449" t="inlineStr">
        <is>
          <t>AM07</t>
        </is>
      </c>
      <c r="F8449" s="5" t="n">
        <v>667.75</v>
      </c>
      <c r="G8449">
        <f>IF(LEFT(B8449,1)="C","Credit","Factuur")</f>
        <v/>
      </c>
      <c r="H8449">
        <f>IF(AND(B8449=B8448,D8449=D8448,A8449=A8448,F8449=F8448),1,0)</f>
        <v/>
      </c>
      <c r="I8449">
        <f>IF(C8449="C99999",1,0)</f>
        <v/>
      </c>
      <c r="J8449" s="5">
        <f>IF(OR(H8449=1,I8449=1),0,IF(G8449="Credit",-F8449,F8449))</f>
        <v/>
      </c>
    </row>
    <row r="8450">
      <c r="A8450" t="inlineStr">
        <is>
          <t>2026-09-16</t>
        </is>
      </c>
      <c r="B8450" t="inlineStr">
        <is>
          <t>F266982</t>
        </is>
      </c>
      <c r="C8450" t="inlineStr">
        <is>
          <t>C10367</t>
        </is>
      </c>
      <c r="D8450" t="inlineStr">
        <is>
          <t>SKU-10242</t>
        </is>
      </c>
      <c r="E8450" t="inlineStr">
        <is>
          <t>AM07</t>
        </is>
      </c>
      <c r="F8450" s="5" t="n">
        <v>708</v>
      </c>
      <c r="G8450">
        <f>IF(LEFT(B8450,1)="C","Credit","Factuur")</f>
        <v/>
      </c>
      <c r="H8450">
        <f>IF(AND(B8450=B8449,D8450=D8449,A8450=A8449,F8450=F8449),1,0)</f>
        <v/>
      </c>
      <c r="I8450">
        <f>IF(C8450="C99999",1,0)</f>
        <v/>
      </c>
      <c r="J8450" s="5">
        <f>IF(OR(H8450=1,I8450=1),0,IF(G8450="Credit",-F8450,F8450))</f>
        <v/>
      </c>
    </row>
    <row r="8451">
      <c r="A8451" t="inlineStr">
        <is>
          <t>2026-09-16</t>
        </is>
      </c>
      <c r="B8451" t="inlineStr">
        <is>
          <t>F266982</t>
        </is>
      </c>
      <c r="C8451" t="inlineStr">
        <is>
          <t>C10367</t>
        </is>
      </c>
      <c r="D8451" t="inlineStr">
        <is>
          <t>SKU-10274</t>
        </is>
      </c>
      <c r="E8451" t="inlineStr">
        <is>
          <t>AM07</t>
        </is>
      </c>
      <c r="F8451" s="5" t="n">
        <v>693.09</v>
      </c>
      <c r="G8451">
        <f>IF(LEFT(B8451,1)="C","Credit","Factuur")</f>
        <v/>
      </c>
      <c r="H8451">
        <f>IF(AND(B8451=B8450,D8451=D8450,A8451=A8450,F8451=F8450),1,0)</f>
        <v/>
      </c>
      <c r="I8451">
        <f>IF(C8451="C99999",1,0)</f>
        <v/>
      </c>
      <c r="J8451" s="5">
        <f>IF(OR(H8451=1,I8451=1),0,IF(G8451="Credit",-F8451,F8451))</f>
        <v/>
      </c>
    </row>
    <row r="8452">
      <c r="A8452" t="inlineStr">
        <is>
          <t>2026-09-16</t>
        </is>
      </c>
      <c r="B8452" t="inlineStr">
        <is>
          <t>F266982</t>
        </is>
      </c>
      <c r="C8452" t="inlineStr">
        <is>
          <t>C10367</t>
        </is>
      </c>
      <c r="D8452" t="inlineStr">
        <is>
          <t>SKU-10331</t>
        </is>
      </c>
      <c r="E8452" t="inlineStr">
        <is>
          <t>AM07</t>
        </is>
      </c>
      <c r="F8452" s="5" t="n">
        <v>643.95</v>
      </c>
      <c r="G8452">
        <f>IF(LEFT(B8452,1)="C","Credit","Factuur")</f>
        <v/>
      </c>
      <c r="H8452">
        <f>IF(AND(B8452=B8451,D8452=D8451,A8452=A8451,F8452=F8451),1,0)</f>
        <v/>
      </c>
      <c r="I8452">
        <f>IF(C8452="C99999",1,0)</f>
        <v/>
      </c>
      <c r="J8452" s="5">
        <f>IF(OR(H8452=1,I8452=1),0,IF(G8452="Credit",-F8452,F8452))</f>
        <v/>
      </c>
    </row>
    <row r="8453">
      <c r="A8453" t="inlineStr">
        <is>
          <t>2026-09-16</t>
        </is>
      </c>
      <c r="B8453" t="inlineStr">
        <is>
          <t>F267633</t>
        </is>
      </c>
      <c r="C8453" t="inlineStr">
        <is>
          <t>C10400</t>
        </is>
      </c>
      <c r="D8453" t="inlineStr">
        <is>
          <t>SKU-10107</t>
        </is>
      </c>
      <c r="E8453" t="inlineStr">
        <is>
          <t>AM08</t>
        </is>
      </c>
      <c r="F8453" s="5" t="n">
        <v>521.66</v>
      </c>
      <c r="G8453">
        <f>IF(LEFT(B8453,1)="C","Credit","Factuur")</f>
        <v/>
      </c>
      <c r="H8453">
        <f>IF(AND(B8453=B8452,D8453=D8452,A8453=A8452,F8453=F8452),1,0)</f>
        <v/>
      </c>
      <c r="I8453">
        <f>IF(C8453="C99999",1,0)</f>
        <v/>
      </c>
      <c r="J8453" s="5">
        <f>IF(OR(H8453=1,I8453=1),0,IF(G8453="Credit",-F8453,F8453))</f>
        <v/>
      </c>
    </row>
    <row r="8454">
      <c r="A8454" t="inlineStr">
        <is>
          <t>2026-09-16</t>
        </is>
      </c>
      <c r="B8454" t="inlineStr">
        <is>
          <t>F267633</t>
        </is>
      </c>
      <c r="C8454" t="inlineStr">
        <is>
          <t>C10400</t>
        </is>
      </c>
      <c r="D8454" t="inlineStr">
        <is>
          <t>SKU-10248</t>
        </is>
      </c>
      <c r="E8454" t="inlineStr">
        <is>
          <t>AM08</t>
        </is>
      </c>
      <c r="F8454" s="5" t="n">
        <v>565.88</v>
      </c>
      <c r="G8454">
        <f>IF(LEFT(B8454,1)="C","Credit","Factuur")</f>
        <v/>
      </c>
      <c r="H8454">
        <f>IF(AND(B8454=B8453,D8454=D8453,A8454=A8453,F8454=F8453),1,0)</f>
        <v/>
      </c>
      <c r="I8454">
        <f>IF(C8454="C99999",1,0)</f>
        <v/>
      </c>
      <c r="J8454" s="5">
        <f>IF(OR(H8454=1,I8454=1),0,IF(G8454="Credit",-F8454,F8454))</f>
        <v/>
      </c>
    </row>
    <row r="8455">
      <c r="A8455" t="inlineStr">
        <is>
          <t>2026-09-16</t>
        </is>
      </c>
      <c r="B8455" t="inlineStr">
        <is>
          <t>F267633</t>
        </is>
      </c>
      <c r="C8455" t="inlineStr">
        <is>
          <t>C10400</t>
        </is>
      </c>
      <c r="D8455" t="inlineStr">
        <is>
          <t>SKU-10254</t>
        </is>
      </c>
      <c r="E8455" t="inlineStr">
        <is>
          <t>AM08</t>
        </is>
      </c>
      <c r="F8455" s="5" t="n">
        <v>521.55</v>
      </c>
      <c r="G8455">
        <f>IF(LEFT(B8455,1)="C","Credit","Factuur")</f>
        <v/>
      </c>
      <c r="H8455">
        <f>IF(AND(B8455=B8454,D8455=D8454,A8455=A8454,F8455=F8454),1,0)</f>
        <v/>
      </c>
      <c r="I8455">
        <f>IF(C8455="C99999",1,0)</f>
        <v/>
      </c>
      <c r="J8455" s="5">
        <f>IF(OR(H8455=1,I8455=1),0,IF(G8455="Credit",-F8455,F8455))</f>
        <v/>
      </c>
    </row>
    <row r="8456">
      <c r="A8456" t="inlineStr">
        <is>
          <t>2026-09-16</t>
        </is>
      </c>
      <c r="B8456" t="inlineStr">
        <is>
          <t>F267633</t>
        </is>
      </c>
      <c r="C8456" t="inlineStr">
        <is>
          <t>C10400</t>
        </is>
      </c>
      <c r="D8456" t="inlineStr">
        <is>
          <t>SKU-10321</t>
        </is>
      </c>
      <c r="E8456" t="inlineStr">
        <is>
          <t>AM08</t>
        </is>
      </c>
      <c r="F8456" s="5" t="n">
        <v>527.15</v>
      </c>
      <c r="G8456">
        <f>IF(LEFT(B8456,1)="C","Credit","Factuur")</f>
        <v/>
      </c>
      <c r="H8456">
        <f>IF(AND(B8456=B8455,D8456=D8455,A8456=A8455,F8456=F8455),1,0)</f>
        <v/>
      </c>
      <c r="I8456">
        <f>IF(C8456="C99999",1,0)</f>
        <v/>
      </c>
      <c r="J8456" s="5">
        <f>IF(OR(H8456=1,I8456=1),0,IF(G8456="Credit",-F8456,F8456))</f>
        <v/>
      </c>
    </row>
    <row r="8457">
      <c r="A8457" t="inlineStr">
        <is>
          <t>2026-09-16</t>
        </is>
      </c>
      <c r="B8457" t="inlineStr">
        <is>
          <t>F268328</t>
        </is>
      </c>
      <c r="C8457" t="inlineStr">
        <is>
          <t>C10436</t>
        </is>
      </c>
      <c r="D8457" t="inlineStr">
        <is>
          <t>SKU-10067</t>
        </is>
      </c>
      <c r="E8457" t="inlineStr">
        <is>
          <t>AM06</t>
        </is>
      </c>
      <c r="F8457" s="5" t="n">
        <v>174.18</v>
      </c>
      <c r="G8457">
        <f>IF(LEFT(B8457,1)="C","Credit","Factuur")</f>
        <v/>
      </c>
      <c r="H8457">
        <f>IF(AND(B8457=B8456,D8457=D8456,A8457=A8456,F8457=F8456),1,0)</f>
        <v/>
      </c>
      <c r="I8457">
        <f>IF(C8457="C99999",1,0)</f>
        <v/>
      </c>
      <c r="J8457" s="5">
        <f>IF(OR(H8457=1,I8457=1),0,IF(G8457="Credit",-F8457,F8457))</f>
        <v/>
      </c>
    </row>
    <row r="8458">
      <c r="A8458" t="inlineStr">
        <is>
          <t>2026-09-16</t>
        </is>
      </c>
      <c r="B8458" t="inlineStr">
        <is>
          <t>F268328</t>
        </is>
      </c>
      <c r="C8458" t="inlineStr">
        <is>
          <t>C10436</t>
        </is>
      </c>
      <c r="D8458" t="inlineStr">
        <is>
          <t>SKU-10103</t>
        </is>
      </c>
      <c r="E8458" t="inlineStr">
        <is>
          <t>AM06</t>
        </is>
      </c>
      <c r="F8458" s="5" t="n">
        <v>142.97</v>
      </c>
      <c r="G8458">
        <f>IF(LEFT(B8458,1)="C","Credit","Factuur")</f>
        <v/>
      </c>
      <c r="H8458">
        <f>IF(AND(B8458=B8457,D8458=D8457,A8458=A8457,F8458=F8457),1,0)</f>
        <v/>
      </c>
      <c r="I8458">
        <f>IF(C8458="C99999",1,0)</f>
        <v/>
      </c>
      <c r="J8458" s="5">
        <f>IF(OR(H8458=1,I8458=1),0,IF(G8458="Credit",-F8458,F8458))</f>
        <v/>
      </c>
    </row>
    <row r="8459">
      <c r="A8459" t="inlineStr">
        <is>
          <t>2026-09-16</t>
        </is>
      </c>
      <c r="B8459" t="inlineStr">
        <is>
          <t>F268328</t>
        </is>
      </c>
      <c r="C8459" t="inlineStr">
        <is>
          <t>C10436</t>
        </is>
      </c>
      <c r="D8459" t="inlineStr">
        <is>
          <t>SKU-10275</t>
        </is>
      </c>
      <c r="E8459" t="inlineStr">
        <is>
          <t>AM06</t>
        </is>
      </c>
      <c r="F8459" s="5" t="n">
        <v>173.28</v>
      </c>
      <c r="G8459">
        <f>IF(LEFT(B8459,1)="C","Credit","Factuur")</f>
        <v/>
      </c>
      <c r="H8459">
        <f>IF(AND(B8459=B8458,D8459=D8458,A8459=A8458,F8459=F8458),1,0)</f>
        <v/>
      </c>
      <c r="I8459">
        <f>IF(C8459="C99999",1,0)</f>
        <v/>
      </c>
      <c r="J8459" s="5">
        <f>IF(OR(H8459=1,I8459=1),0,IF(G8459="Credit",-F8459,F8459))</f>
        <v/>
      </c>
    </row>
    <row r="8460">
      <c r="A8460" t="inlineStr">
        <is>
          <t>2026-09-16</t>
        </is>
      </c>
      <c r="B8460" t="inlineStr">
        <is>
          <t>F268328</t>
        </is>
      </c>
      <c r="C8460" t="inlineStr">
        <is>
          <t>C10436</t>
        </is>
      </c>
      <c r="D8460" t="inlineStr">
        <is>
          <t>SKU-10333</t>
        </is>
      </c>
      <c r="E8460" t="inlineStr">
        <is>
          <t>AM06</t>
        </is>
      </c>
      <c r="F8460" s="5" t="n">
        <v>185.13</v>
      </c>
      <c r="G8460">
        <f>IF(LEFT(B8460,1)="C","Credit","Factuur")</f>
        <v/>
      </c>
      <c r="H8460">
        <f>IF(AND(B8460=B8459,D8460=D8459,A8460=A8459,F8460=F8459),1,0)</f>
        <v/>
      </c>
      <c r="I8460">
        <f>IF(C8460="C99999",1,0)</f>
        <v/>
      </c>
      <c r="J8460" s="5">
        <f>IF(OR(H8460=1,I8460=1),0,IF(G8460="Credit",-F8460,F8460))</f>
        <v/>
      </c>
    </row>
    <row r="8461">
      <c r="A8461" t="inlineStr">
        <is>
          <t>2026-09-16</t>
        </is>
      </c>
      <c r="B8461" t="inlineStr">
        <is>
          <t>F269175</t>
        </is>
      </c>
      <c r="C8461" t="inlineStr">
        <is>
          <t>C10481</t>
        </is>
      </c>
      <c r="D8461" t="inlineStr">
        <is>
          <t>SKU-10129</t>
        </is>
      </c>
      <c r="E8461" t="inlineStr">
        <is>
          <t>AM02</t>
        </is>
      </c>
      <c r="F8461" s="5" t="n">
        <v>492.24</v>
      </c>
      <c r="G8461">
        <f>IF(LEFT(B8461,1)="C","Credit","Factuur")</f>
        <v/>
      </c>
      <c r="H8461">
        <f>IF(AND(B8461=B8460,D8461=D8460,A8461=A8460,F8461=F8460),1,0)</f>
        <v/>
      </c>
      <c r="I8461">
        <f>IF(C8461="C99999",1,0)</f>
        <v/>
      </c>
      <c r="J8461" s="5">
        <f>IF(OR(H8461=1,I8461=1),0,IF(G8461="Credit",-F8461,F8461))</f>
        <v/>
      </c>
    </row>
    <row r="8462">
      <c r="A8462" t="inlineStr">
        <is>
          <t>2026-09-16</t>
        </is>
      </c>
      <c r="B8462" t="inlineStr">
        <is>
          <t>F269957</t>
        </is>
      </c>
      <c r="C8462" t="inlineStr">
        <is>
          <t>C10523</t>
        </is>
      </c>
      <c r="D8462" t="inlineStr">
        <is>
          <t>SKU-10063</t>
        </is>
      </c>
      <c r="E8462" t="inlineStr">
        <is>
          <t>AM02</t>
        </is>
      </c>
      <c r="F8462" s="5" t="n">
        <v>507.96</v>
      </c>
      <c r="G8462">
        <f>IF(LEFT(B8462,1)="C","Credit","Factuur")</f>
        <v/>
      </c>
      <c r="H8462">
        <f>IF(AND(B8462=B8461,D8462=D8461,A8462=A8461,F8462=F8461),1,0)</f>
        <v/>
      </c>
      <c r="I8462">
        <f>IF(C8462="C99999",1,0)</f>
        <v/>
      </c>
      <c r="J8462" s="5">
        <f>IF(OR(H8462=1,I8462=1),0,IF(G8462="Credit",-F8462,F8462))</f>
        <v/>
      </c>
    </row>
    <row r="8463">
      <c r="A8463" t="inlineStr">
        <is>
          <t>2026-09-16</t>
        </is>
      </c>
      <c r="B8463" t="inlineStr">
        <is>
          <t>F269957</t>
        </is>
      </c>
      <c r="C8463" t="inlineStr">
        <is>
          <t>C10523</t>
        </is>
      </c>
      <c r="D8463" t="inlineStr">
        <is>
          <t>SKU-10117</t>
        </is>
      </c>
      <c r="E8463" t="inlineStr">
        <is>
          <t>AM02</t>
        </is>
      </c>
      <c r="F8463" s="5" t="n">
        <v>484.64</v>
      </c>
      <c r="G8463">
        <f>IF(LEFT(B8463,1)="C","Credit","Factuur")</f>
        <v/>
      </c>
      <c r="H8463">
        <f>IF(AND(B8463=B8462,D8463=D8462,A8463=A8462,F8463=F8462),1,0)</f>
        <v/>
      </c>
      <c r="I8463">
        <f>IF(C8463="C99999",1,0)</f>
        <v/>
      </c>
      <c r="J8463" s="5">
        <f>IF(OR(H8463=1,I8463=1),0,IF(G8463="Credit",-F8463,F8463))</f>
        <v/>
      </c>
    </row>
    <row r="8464">
      <c r="A8464" t="inlineStr">
        <is>
          <t>2026-09-16</t>
        </is>
      </c>
      <c r="B8464" t="inlineStr">
        <is>
          <t>F269957</t>
        </is>
      </c>
      <c r="C8464" t="inlineStr">
        <is>
          <t>C10523</t>
        </is>
      </c>
      <c r="D8464" t="inlineStr">
        <is>
          <t>SKU-10235</t>
        </is>
      </c>
      <c r="E8464" t="inlineStr">
        <is>
          <t>AM02</t>
        </is>
      </c>
      <c r="F8464" s="5" t="n">
        <v>420.24</v>
      </c>
      <c r="G8464">
        <f>IF(LEFT(B8464,1)="C","Credit","Factuur")</f>
        <v/>
      </c>
      <c r="H8464">
        <f>IF(AND(B8464=B8463,D8464=D8463,A8464=A8463,F8464=F8463),1,0)</f>
        <v/>
      </c>
      <c r="I8464">
        <f>IF(C8464="C99999",1,0)</f>
        <v/>
      </c>
      <c r="J8464" s="5">
        <f>IF(OR(H8464=1,I8464=1),0,IF(G8464="Credit",-F8464,F8464))</f>
        <v/>
      </c>
    </row>
    <row r="8465">
      <c r="A8465" t="inlineStr">
        <is>
          <t>2026-09-16</t>
        </is>
      </c>
      <c r="B8465" t="inlineStr">
        <is>
          <t>F269957</t>
        </is>
      </c>
      <c r="C8465" t="inlineStr">
        <is>
          <t>C10523</t>
        </is>
      </c>
      <c r="D8465" t="inlineStr">
        <is>
          <t>SKU-10298</t>
        </is>
      </c>
      <c r="E8465" t="inlineStr">
        <is>
          <t>AM02</t>
        </is>
      </c>
      <c r="F8465" s="5" t="n">
        <v>489.45</v>
      </c>
      <c r="G8465">
        <f>IF(LEFT(B8465,1)="C","Credit","Factuur")</f>
        <v/>
      </c>
      <c r="H8465">
        <f>IF(AND(B8465=B8464,D8465=D8464,A8465=A8464,F8465=F8464),1,0)</f>
        <v/>
      </c>
      <c r="I8465">
        <f>IF(C8465="C99999",1,0)</f>
        <v/>
      </c>
      <c r="J8465" s="5">
        <f>IF(OR(H8465=1,I8465=1),0,IF(G8465="Credit",-F8465,F8465))</f>
        <v/>
      </c>
    </row>
    <row r="8466">
      <c r="A8466" t="inlineStr">
        <is>
          <t>2026-09-16</t>
        </is>
      </c>
      <c r="B8466" t="inlineStr">
        <is>
          <t>F270018</t>
        </is>
      </c>
      <c r="C8466" t="inlineStr">
        <is>
          <t>C10526</t>
        </is>
      </c>
      <c r="D8466" t="inlineStr">
        <is>
          <t>SKU-10001</t>
        </is>
      </c>
      <c r="E8466" t="inlineStr">
        <is>
          <t>IS01</t>
        </is>
      </c>
      <c r="F8466" s="5" t="n">
        <v>20.27</v>
      </c>
      <c r="G8466">
        <f>IF(LEFT(B8466,1)="C","Credit","Factuur")</f>
        <v/>
      </c>
      <c r="H8466">
        <f>IF(AND(B8466=B8465,D8466=D8465,A8466=A8465,F8466=F8465),1,0)</f>
        <v/>
      </c>
      <c r="I8466">
        <f>IF(C8466="C99999",1,0)</f>
        <v/>
      </c>
      <c r="J8466" s="5">
        <f>IF(OR(H8466=1,I8466=1),0,IF(G8466="Credit",-F8466,F8466))</f>
        <v/>
      </c>
    </row>
    <row r="8467">
      <c r="A8467" t="inlineStr">
        <is>
          <t>2026-09-16</t>
        </is>
      </c>
      <c r="B8467" t="inlineStr">
        <is>
          <t>F270018</t>
        </is>
      </c>
      <c r="C8467" t="inlineStr">
        <is>
          <t>C10526</t>
        </is>
      </c>
      <c r="D8467" t="inlineStr">
        <is>
          <t>SKU-10004</t>
        </is>
      </c>
      <c r="E8467" t="inlineStr">
        <is>
          <t>IS01</t>
        </is>
      </c>
      <c r="F8467" s="5" t="n">
        <v>47.01</v>
      </c>
      <c r="G8467">
        <f>IF(LEFT(B8467,1)="C","Credit","Factuur")</f>
        <v/>
      </c>
      <c r="H8467">
        <f>IF(AND(B8467=B8466,D8467=D8466,A8467=A8466,F8467=F8466),1,0)</f>
        <v/>
      </c>
      <c r="I8467">
        <f>IF(C8467="C99999",1,0)</f>
        <v/>
      </c>
      <c r="J8467" s="5">
        <f>IF(OR(H8467=1,I8467=1),0,IF(G8467="Credit",-F8467,F8467))</f>
        <v/>
      </c>
    </row>
    <row r="8468">
      <c r="A8468" t="inlineStr">
        <is>
          <t>2026-09-16</t>
        </is>
      </c>
      <c r="B8468" t="inlineStr">
        <is>
          <t>F270387</t>
        </is>
      </c>
      <c r="C8468" t="inlineStr">
        <is>
          <t>C10546</t>
        </is>
      </c>
      <c r="D8468" t="inlineStr">
        <is>
          <t>SKU-10057</t>
        </is>
      </c>
      <c r="E8468" t="inlineStr">
        <is>
          <t>AM09</t>
        </is>
      </c>
      <c r="F8468" s="5" t="n">
        <v>5049</v>
      </c>
      <c r="G8468">
        <f>IF(LEFT(B8468,1)="C","Credit","Factuur")</f>
        <v/>
      </c>
      <c r="H8468">
        <f>IF(AND(B8468=B8467,D8468=D8467,A8468=A8467,F8468=F8467),1,0)</f>
        <v/>
      </c>
      <c r="I8468">
        <f>IF(C8468="C99999",1,0)</f>
        <v/>
      </c>
      <c r="J8468" s="5">
        <f>IF(OR(H8468=1,I8468=1),0,IF(G8468="Credit",-F8468,F8468))</f>
        <v/>
      </c>
    </row>
    <row r="8469">
      <c r="A8469" t="inlineStr">
        <is>
          <t>2026-09-16</t>
        </is>
      </c>
      <c r="B8469" t="inlineStr">
        <is>
          <t>F270387</t>
        </is>
      </c>
      <c r="C8469" t="inlineStr">
        <is>
          <t>C10546</t>
        </is>
      </c>
      <c r="D8469" t="inlineStr">
        <is>
          <t>SKU-10216</t>
        </is>
      </c>
      <c r="E8469" t="inlineStr">
        <is>
          <t>AM09</t>
        </is>
      </c>
      <c r="F8469" s="5" t="n">
        <v>5751.99</v>
      </c>
      <c r="G8469">
        <f>IF(LEFT(B8469,1)="C","Credit","Factuur")</f>
        <v/>
      </c>
      <c r="H8469">
        <f>IF(AND(B8469=B8468,D8469=D8468,A8469=A8468,F8469=F8468),1,0)</f>
        <v/>
      </c>
      <c r="I8469">
        <f>IF(C8469="C99999",1,0)</f>
        <v/>
      </c>
      <c r="J8469" s="5">
        <f>IF(OR(H8469=1,I8469=1),0,IF(G8469="Credit",-F8469,F8469))</f>
        <v/>
      </c>
    </row>
    <row r="8470">
      <c r="A8470" t="inlineStr">
        <is>
          <t>2026-09-16</t>
        </is>
      </c>
      <c r="B8470" t="inlineStr">
        <is>
          <t>F270387</t>
        </is>
      </c>
      <c r="C8470" t="inlineStr">
        <is>
          <t>C10546</t>
        </is>
      </c>
      <c r="D8470" t="inlineStr">
        <is>
          <t>SKU-10225</t>
        </is>
      </c>
      <c r="E8470" t="inlineStr">
        <is>
          <t>AM09</t>
        </is>
      </c>
      <c r="F8470" s="5" t="n">
        <v>5053.44</v>
      </c>
      <c r="G8470">
        <f>IF(LEFT(B8470,1)="C","Credit","Factuur")</f>
        <v/>
      </c>
      <c r="H8470">
        <f>IF(AND(B8470=B8469,D8470=D8469,A8470=A8469,F8470=F8469),1,0)</f>
        <v/>
      </c>
      <c r="I8470">
        <f>IF(C8470="C99999",1,0)</f>
        <v/>
      </c>
      <c r="J8470" s="5">
        <f>IF(OR(H8470=1,I8470=1),0,IF(G8470="Credit",-F8470,F8470))</f>
        <v/>
      </c>
    </row>
    <row r="8471">
      <c r="A8471" t="inlineStr">
        <is>
          <t>2026-09-16</t>
        </is>
      </c>
      <c r="B8471" t="inlineStr">
        <is>
          <t>F271180</t>
        </is>
      </c>
      <c r="C8471" t="inlineStr">
        <is>
          <t>C10582</t>
        </is>
      </c>
      <c r="D8471" t="inlineStr">
        <is>
          <t>SKU-10362</t>
        </is>
      </c>
      <c r="E8471" t="inlineStr">
        <is>
          <t>AM08</t>
        </is>
      </c>
      <c r="F8471" s="5" t="n">
        <v>745.88</v>
      </c>
      <c r="G8471">
        <f>IF(LEFT(B8471,1)="C","Credit","Factuur")</f>
        <v/>
      </c>
      <c r="H8471">
        <f>IF(AND(B8471=B8470,D8471=D8470,A8471=A8470,F8471=F8470),1,0)</f>
        <v/>
      </c>
      <c r="I8471">
        <f>IF(C8471="C99999",1,0)</f>
        <v/>
      </c>
      <c r="J8471" s="5">
        <f>IF(OR(H8471=1,I8471=1),0,IF(G8471="Credit",-F8471,F8471))</f>
        <v/>
      </c>
    </row>
    <row r="8472">
      <c r="A8472" t="inlineStr">
        <is>
          <t>2026-09-16</t>
        </is>
      </c>
      <c r="B8472" t="inlineStr">
        <is>
          <t>F271584</t>
        </is>
      </c>
      <c r="C8472" t="inlineStr">
        <is>
          <t>C10596</t>
        </is>
      </c>
      <c r="D8472" t="inlineStr">
        <is>
          <t>SKU-10298</t>
        </is>
      </c>
      <c r="E8472" t="inlineStr">
        <is>
          <t>AM01</t>
        </is>
      </c>
      <c r="F8472" s="5" t="n">
        <v>203.31</v>
      </c>
      <c r="G8472">
        <f>IF(LEFT(B8472,1)="C","Credit","Factuur")</f>
        <v/>
      </c>
      <c r="H8472">
        <f>IF(AND(B8472=B8471,D8472=D8471,A8472=A8471,F8472=F8471),1,0)</f>
        <v/>
      </c>
      <c r="I8472">
        <f>IF(C8472="C99999",1,0)</f>
        <v/>
      </c>
      <c r="J8472" s="5">
        <f>IF(OR(H8472=1,I8472=1),0,IF(G8472="Credit",-F8472,F8472))</f>
        <v/>
      </c>
    </row>
    <row r="8473">
      <c r="A8473" t="inlineStr">
        <is>
          <t>2026-09-16</t>
        </is>
      </c>
      <c r="B8473" t="inlineStr">
        <is>
          <t>F271584</t>
        </is>
      </c>
      <c r="C8473" t="inlineStr">
        <is>
          <t>C10596</t>
        </is>
      </c>
      <c r="D8473" t="inlineStr">
        <is>
          <t>SKU-10303</t>
        </is>
      </c>
      <c r="E8473" t="inlineStr">
        <is>
          <t>AM01</t>
        </is>
      </c>
      <c r="F8473" s="5" t="n">
        <v>188.6</v>
      </c>
      <c r="G8473">
        <f>IF(LEFT(B8473,1)="C","Credit","Factuur")</f>
        <v/>
      </c>
      <c r="H8473">
        <f>IF(AND(B8473=B8472,D8473=D8472,A8473=A8472,F8473=F8472),1,0)</f>
        <v/>
      </c>
      <c r="I8473">
        <f>IF(C8473="C99999",1,0)</f>
        <v/>
      </c>
      <c r="J8473" s="5">
        <f>IF(OR(H8473=1,I8473=1),0,IF(G8473="Credit",-F8473,F8473))</f>
        <v/>
      </c>
    </row>
    <row r="8474">
      <c r="A8474" t="inlineStr">
        <is>
          <t>2026-09-16</t>
        </is>
      </c>
      <c r="B8474" t="inlineStr">
        <is>
          <t>F271730</t>
        </is>
      </c>
      <c r="C8474" t="inlineStr">
        <is>
          <t>C10602</t>
        </is>
      </c>
      <c r="D8474" t="inlineStr">
        <is>
          <t>SKU-10032</t>
        </is>
      </c>
      <c r="E8474" t="inlineStr">
        <is>
          <t>AM05</t>
        </is>
      </c>
      <c r="F8474" s="5" t="n">
        <v>230.16</v>
      </c>
      <c r="G8474">
        <f>IF(LEFT(B8474,1)="C","Credit","Factuur")</f>
        <v/>
      </c>
      <c r="H8474">
        <f>IF(AND(B8474=B8473,D8474=D8473,A8474=A8473,F8474=F8473),1,0)</f>
        <v/>
      </c>
      <c r="I8474">
        <f>IF(C8474="C99999",1,0)</f>
        <v/>
      </c>
      <c r="J8474" s="5">
        <f>IF(OR(H8474=1,I8474=1),0,IF(G8474="Credit",-F8474,F8474))</f>
        <v/>
      </c>
    </row>
    <row r="8475">
      <c r="A8475" t="inlineStr">
        <is>
          <t>2026-09-16</t>
        </is>
      </c>
      <c r="B8475" t="inlineStr">
        <is>
          <t>F271730</t>
        </is>
      </c>
      <c r="C8475" t="inlineStr">
        <is>
          <t>C10602</t>
        </is>
      </c>
      <c r="D8475" t="inlineStr">
        <is>
          <t>SKU-10123</t>
        </is>
      </c>
      <c r="E8475" t="inlineStr">
        <is>
          <t>AM05</t>
        </is>
      </c>
      <c r="F8475" s="5" t="n">
        <v>190.96</v>
      </c>
      <c r="G8475">
        <f>IF(LEFT(B8475,1)="C","Credit","Factuur")</f>
        <v/>
      </c>
      <c r="H8475">
        <f>IF(AND(B8475=B8474,D8475=D8474,A8475=A8474,F8475=F8474),1,0)</f>
        <v/>
      </c>
      <c r="I8475">
        <f>IF(C8475="C99999",1,0)</f>
        <v/>
      </c>
      <c r="J8475" s="5">
        <f>IF(OR(H8475=1,I8475=1),0,IF(G8475="Credit",-F8475,F8475))</f>
        <v/>
      </c>
    </row>
    <row r="8476">
      <c r="A8476" t="inlineStr">
        <is>
          <t>2026-09-16</t>
        </is>
      </c>
      <c r="B8476" t="inlineStr">
        <is>
          <t>F271730</t>
        </is>
      </c>
      <c r="C8476" t="inlineStr">
        <is>
          <t>C10602</t>
        </is>
      </c>
      <c r="D8476" t="inlineStr">
        <is>
          <t>SKU-10250</t>
        </is>
      </c>
      <c r="E8476" t="inlineStr">
        <is>
          <t>AM05</t>
        </is>
      </c>
      <c r="F8476" s="5" t="n">
        <v>189.6</v>
      </c>
      <c r="G8476">
        <f>IF(LEFT(B8476,1)="C","Credit","Factuur")</f>
        <v/>
      </c>
      <c r="H8476">
        <f>IF(AND(B8476=B8475,D8476=D8475,A8476=A8475,F8476=F8475),1,0)</f>
        <v/>
      </c>
      <c r="I8476">
        <f>IF(C8476="C99999",1,0)</f>
        <v/>
      </c>
      <c r="J8476" s="5">
        <f>IF(OR(H8476=1,I8476=1),0,IF(G8476="Credit",-F8476,F8476))</f>
        <v/>
      </c>
    </row>
    <row r="8477">
      <c r="A8477" t="inlineStr">
        <is>
          <t>2026-09-16</t>
        </is>
      </c>
      <c r="B8477" t="inlineStr">
        <is>
          <t>F271730</t>
        </is>
      </c>
      <c r="C8477" t="inlineStr">
        <is>
          <t>C10602</t>
        </is>
      </c>
      <c r="D8477" t="inlineStr">
        <is>
          <t>SKU-10264</t>
        </is>
      </c>
      <c r="E8477" t="inlineStr">
        <is>
          <t>AM05</t>
        </is>
      </c>
      <c r="F8477" s="5" t="n">
        <v>233.59</v>
      </c>
      <c r="G8477">
        <f>IF(LEFT(B8477,1)="C","Credit","Factuur")</f>
        <v/>
      </c>
      <c r="H8477">
        <f>IF(AND(B8477=B8476,D8477=D8476,A8477=A8476,F8477=F8476),1,0)</f>
        <v/>
      </c>
      <c r="I8477">
        <f>IF(C8477="C99999",1,0)</f>
        <v/>
      </c>
      <c r="J8477" s="5">
        <f>IF(OR(H8477=1,I8477=1),0,IF(G8477="Credit",-F8477,F8477))</f>
        <v/>
      </c>
    </row>
    <row r="8478">
      <c r="A8478" t="inlineStr">
        <is>
          <t>2026-09-16</t>
        </is>
      </c>
      <c r="B8478" t="inlineStr">
        <is>
          <t>F271730</t>
        </is>
      </c>
      <c r="C8478" t="inlineStr">
        <is>
          <t>C10602</t>
        </is>
      </c>
      <c r="D8478" t="inlineStr">
        <is>
          <t>SKU-10281</t>
        </is>
      </c>
      <c r="E8478" t="inlineStr">
        <is>
          <t>AM05</t>
        </is>
      </c>
      <c r="F8478" s="5" t="n">
        <v>223.74</v>
      </c>
      <c r="G8478">
        <f>IF(LEFT(B8478,1)="C","Credit","Factuur")</f>
        <v/>
      </c>
      <c r="H8478">
        <f>IF(AND(B8478=B8477,D8478=D8477,A8478=A8477,F8478=F8477),1,0)</f>
        <v/>
      </c>
      <c r="I8478">
        <f>IF(C8478="C99999",1,0)</f>
        <v/>
      </c>
      <c r="J8478" s="5">
        <f>IF(OR(H8478=1,I8478=1),0,IF(G8478="Credit",-F8478,F8478))</f>
        <v/>
      </c>
    </row>
    <row r="8479">
      <c r="A8479" t="inlineStr">
        <is>
          <t>2026-09-16</t>
        </is>
      </c>
      <c r="B8479" t="inlineStr">
        <is>
          <t>F272151</t>
        </is>
      </c>
      <c r="C8479" t="inlineStr">
        <is>
          <t>C10628</t>
        </is>
      </c>
      <c r="D8479" t="inlineStr">
        <is>
          <t>SKU-10185</t>
        </is>
      </c>
      <c r="E8479" t="inlineStr">
        <is>
          <t>AM11</t>
        </is>
      </c>
      <c r="F8479" s="5" t="n">
        <v>929.25</v>
      </c>
      <c r="G8479">
        <f>IF(LEFT(B8479,1)="C","Credit","Factuur")</f>
        <v/>
      </c>
      <c r="H8479">
        <f>IF(AND(B8479=B8478,D8479=D8478,A8479=A8478,F8479=F8478),1,0)</f>
        <v/>
      </c>
      <c r="I8479">
        <f>IF(C8479="C99999",1,0)</f>
        <v/>
      </c>
      <c r="J8479" s="5">
        <f>IF(OR(H8479=1,I8479=1),0,IF(G8479="Credit",-F8479,F8479))</f>
        <v/>
      </c>
    </row>
    <row r="8480">
      <c r="A8480" t="inlineStr">
        <is>
          <t>2026-09-16</t>
        </is>
      </c>
      <c r="B8480" t="inlineStr">
        <is>
          <t>F272151</t>
        </is>
      </c>
      <c r="C8480" t="inlineStr">
        <is>
          <t>C10628</t>
        </is>
      </c>
      <c r="D8480" t="inlineStr">
        <is>
          <t>SKU-10238</t>
        </is>
      </c>
      <c r="E8480" t="inlineStr">
        <is>
          <t>AM11</t>
        </is>
      </c>
      <c r="F8480" s="5" t="n">
        <v>910</v>
      </c>
      <c r="G8480">
        <f>IF(LEFT(B8480,1)="C","Credit","Factuur")</f>
        <v/>
      </c>
      <c r="H8480">
        <f>IF(AND(B8480=B8479,D8480=D8479,A8480=A8479,F8480=F8479),1,0)</f>
        <v/>
      </c>
      <c r="I8480">
        <f>IF(C8480="C99999",1,0)</f>
        <v/>
      </c>
      <c r="J8480" s="5">
        <f>IF(OR(H8480=1,I8480=1),0,IF(G8480="Credit",-F8480,F8480))</f>
        <v/>
      </c>
    </row>
    <row r="8481">
      <c r="A8481" t="inlineStr">
        <is>
          <t>2026-09-16</t>
        </is>
      </c>
      <c r="B8481" t="inlineStr">
        <is>
          <t>F272282</t>
        </is>
      </c>
      <c r="C8481" t="inlineStr">
        <is>
          <t>C10636</t>
        </is>
      </c>
      <c r="D8481" t="inlineStr">
        <is>
          <t>SKU-10061</t>
        </is>
      </c>
      <c r="E8481" t="inlineStr">
        <is>
          <t>AM02</t>
        </is>
      </c>
      <c r="F8481" s="5" t="n">
        <v>574.5599999999999</v>
      </c>
      <c r="G8481">
        <f>IF(LEFT(B8481,1)="C","Credit","Factuur")</f>
        <v/>
      </c>
      <c r="H8481">
        <f>IF(AND(B8481=B8480,D8481=D8480,A8481=A8480,F8481=F8480),1,0)</f>
        <v/>
      </c>
      <c r="I8481">
        <f>IF(C8481="C99999",1,0)</f>
        <v/>
      </c>
      <c r="J8481" s="5">
        <f>IF(OR(H8481=1,I8481=1),0,IF(G8481="Credit",-F8481,F8481))</f>
        <v/>
      </c>
    </row>
    <row r="8482">
      <c r="A8482" t="inlineStr">
        <is>
          <t>2026-09-16</t>
        </is>
      </c>
      <c r="B8482" t="inlineStr">
        <is>
          <t>F272282</t>
        </is>
      </c>
      <c r="C8482" t="inlineStr">
        <is>
          <t>C10636</t>
        </is>
      </c>
      <c r="D8482" t="inlineStr">
        <is>
          <t>SKU-10069</t>
        </is>
      </c>
      <c r="E8482" t="inlineStr">
        <is>
          <t>AM02</t>
        </is>
      </c>
      <c r="F8482" s="5" t="n">
        <v>572.04</v>
      </c>
      <c r="G8482">
        <f>IF(LEFT(B8482,1)="C","Credit","Factuur")</f>
        <v/>
      </c>
      <c r="H8482">
        <f>IF(AND(B8482=B8481,D8482=D8481,A8482=A8481,F8482=F8481),1,0)</f>
        <v/>
      </c>
      <c r="I8482">
        <f>IF(C8482="C99999",1,0)</f>
        <v/>
      </c>
      <c r="J8482" s="5">
        <f>IF(OR(H8482=1,I8482=1),0,IF(G8482="Credit",-F8482,F8482))</f>
        <v/>
      </c>
    </row>
    <row r="8483">
      <c r="A8483" t="inlineStr">
        <is>
          <t>2026-09-16</t>
        </is>
      </c>
      <c r="B8483" t="inlineStr">
        <is>
          <t>F272282</t>
        </is>
      </c>
      <c r="C8483" t="inlineStr">
        <is>
          <t>C10636</t>
        </is>
      </c>
      <c r="D8483" t="inlineStr">
        <is>
          <t>SKU-10206</t>
        </is>
      </c>
      <c r="E8483" t="inlineStr">
        <is>
          <t>AM02</t>
        </is>
      </c>
      <c r="F8483" s="5" t="n">
        <v>501.34</v>
      </c>
      <c r="G8483">
        <f>IF(LEFT(B8483,1)="C","Credit","Factuur")</f>
        <v/>
      </c>
      <c r="H8483">
        <f>IF(AND(B8483=B8482,D8483=D8482,A8483=A8482,F8483=F8482),1,0)</f>
        <v/>
      </c>
      <c r="I8483">
        <f>IF(C8483="C99999",1,0)</f>
        <v/>
      </c>
      <c r="J8483" s="5">
        <f>IF(OR(H8483=1,I8483=1),0,IF(G8483="Credit",-F8483,F8483))</f>
        <v/>
      </c>
    </row>
    <row r="8484">
      <c r="A8484" t="inlineStr">
        <is>
          <t>2026-09-16</t>
        </is>
      </c>
      <c r="B8484" t="inlineStr">
        <is>
          <t>F272282</t>
        </is>
      </c>
      <c r="C8484" t="inlineStr">
        <is>
          <t>C10636</t>
        </is>
      </c>
      <c r="D8484" t="inlineStr">
        <is>
          <t>SKU-10221</t>
        </is>
      </c>
      <c r="E8484" t="inlineStr">
        <is>
          <t>AM02</t>
        </is>
      </c>
      <c r="F8484" s="5" t="n">
        <v>538.8200000000001</v>
      </c>
      <c r="G8484">
        <f>IF(LEFT(B8484,1)="C","Credit","Factuur")</f>
        <v/>
      </c>
      <c r="H8484">
        <f>IF(AND(B8484=B8483,D8484=D8483,A8484=A8483,F8484=F8483),1,0)</f>
        <v/>
      </c>
      <c r="I8484">
        <f>IF(C8484="C99999",1,0)</f>
        <v/>
      </c>
      <c r="J8484" s="5">
        <f>IF(OR(H8484=1,I8484=1),0,IF(G8484="Credit",-F8484,F8484))</f>
        <v/>
      </c>
    </row>
    <row r="8485">
      <c r="A8485" t="inlineStr">
        <is>
          <t>2026-09-16</t>
        </is>
      </c>
      <c r="B8485" t="inlineStr">
        <is>
          <t>F272282</t>
        </is>
      </c>
      <c r="C8485" t="inlineStr">
        <is>
          <t>C10636</t>
        </is>
      </c>
      <c r="D8485" t="inlineStr">
        <is>
          <t>SKU-10311</t>
        </is>
      </c>
      <c r="E8485" t="inlineStr">
        <is>
          <t>AM02</t>
        </is>
      </c>
      <c r="F8485" s="5" t="n">
        <v>503.08</v>
      </c>
      <c r="G8485">
        <f>IF(LEFT(B8485,1)="C","Credit","Factuur")</f>
        <v/>
      </c>
      <c r="H8485">
        <f>IF(AND(B8485=B8484,D8485=D8484,A8485=A8484,F8485=F8484),1,0)</f>
        <v/>
      </c>
      <c r="I8485">
        <f>IF(C8485="C99999",1,0)</f>
        <v/>
      </c>
      <c r="J8485" s="5">
        <f>IF(OR(H8485=1,I8485=1),0,IF(G8485="Credit",-F8485,F8485))</f>
        <v/>
      </c>
    </row>
    <row r="8486">
      <c r="A8486" t="inlineStr">
        <is>
          <t>2026-09-16</t>
        </is>
      </c>
      <c r="B8486" t="inlineStr">
        <is>
          <t>F272455</t>
        </is>
      </c>
      <c r="C8486" t="inlineStr">
        <is>
          <t>C10645</t>
        </is>
      </c>
      <c r="D8486" t="inlineStr">
        <is>
          <t>SKU-10023</t>
        </is>
      </c>
      <c r="E8486" t="inlineStr">
        <is>
          <t>AM11</t>
        </is>
      </c>
      <c r="F8486" s="5" t="n">
        <v>961.02</v>
      </c>
      <c r="G8486">
        <f>IF(LEFT(B8486,1)="C","Credit","Factuur")</f>
        <v/>
      </c>
      <c r="H8486">
        <f>IF(AND(B8486=B8485,D8486=D8485,A8486=A8485,F8486=F8485),1,0)</f>
        <v/>
      </c>
      <c r="I8486">
        <f>IF(C8486="C99999",1,0)</f>
        <v/>
      </c>
      <c r="J8486" s="5">
        <f>IF(OR(H8486=1,I8486=1),0,IF(G8486="Credit",-F8486,F8486))</f>
        <v/>
      </c>
    </row>
    <row r="8487">
      <c r="A8487" t="inlineStr">
        <is>
          <t>2026-09-16</t>
        </is>
      </c>
      <c r="B8487" t="inlineStr">
        <is>
          <t>F272455</t>
        </is>
      </c>
      <c r="C8487" t="inlineStr">
        <is>
          <t>C10645</t>
        </is>
      </c>
      <c r="D8487" t="inlineStr">
        <is>
          <t>SKU-10087</t>
        </is>
      </c>
      <c r="E8487" t="inlineStr">
        <is>
          <t>AM11</t>
        </is>
      </c>
      <c r="F8487" s="5" t="n">
        <v>946.22</v>
      </c>
      <c r="G8487">
        <f>IF(LEFT(B8487,1)="C","Credit","Factuur")</f>
        <v/>
      </c>
      <c r="H8487">
        <f>IF(AND(B8487=B8486,D8487=D8486,A8487=A8486,F8487=F8486),1,0)</f>
        <v/>
      </c>
      <c r="I8487">
        <f>IF(C8487="C99999",1,0)</f>
        <v/>
      </c>
      <c r="J8487" s="5">
        <f>IF(OR(H8487=1,I8487=1),0,IF(G8487="Credit",-F8487,F8487))</f>
        <v/>
      </c>
    </row>
    <row r="8488">
      <c r="A8488" t="inlineStr">
        <is>
          <t>2026-09-16</t>
        </is>
      </c>
      <c r="B8488" t="inlineStr">
        <is>
          <t>F272455</t>
        </is>
      </c>
      <c r="C8488" t="inlineStr">
        <is>
          <t>C10645</t>
        </is>
      </c>
      <c r="D8488" t="inlineStr">
        <is>
          <t>SKU-10229</t>
        </is>
      </c>
      <c r="E8488" t="inlineStr">
        <is>
          <t>AM11</t>
        </is>
      </c>
      <c r="F8488" s="5" t="n">
        <v>791.08</v>
      </c>
      <c r="G8488">
        <f>IF(LEFT(B8488,1)="C","Credit","Factuur")</f>
        <v/>
      </c>
      <c r="H8488">
        <f>IF(AND(B8488=B8487,D8488=D8487,A8488=A8487,F8488=F8487),1,0)</f>
        <v/>
      </c>
      <c r="I8488">
        <f>IF(C8488="C99999",1,0)</f>
        <v/>
      </c>
      <c r="J8488" s="5">
        <f>IF(OR(H8488=1,I8488=1),0,IF(G8488="Credit",-F8488,F8488))</f>
        <v/>
      </c>
    </row>
    <row r="8489">
      <c r="A8489" t="inlineStr">
        <is>
          <t>2026-09-16</t>
        </is>
      </c>
      <c r="B8489" t="inlineStr">
        <is>
          <t>F272455</t>
        </is>
      </c>
      <c r="C8489" t="inlineStr">
        <is>
          <t>C10645</t>
        </is>
      </c>
      <c r="D8489" t="inlineStr">
        <is>
          <t>SKU-10262</t>
        </is>
      </c>
      <c r="E8489" t="inlineStr">
        <is>
          <t>AM11</t>
        </is>
      </c>
      <c r="F8489" s="5" t="n">
        <v>934.89</v>
      </c>
      <c r="G8489">
        <f>IF(LEFT(B8489,1)="C","Credit","Factuur")</f>
        <v/>
      </c>
      <c r="H8489">
        <f>IF(AND(B8489=B8488,D8489=D8488,A8489=A8488,F8489=F8488),1,0)</f>
        <v/>
      </c>
      <c r="I8489">
        <f>IF(C8489="C99999",1,0)</f>
        <v/>
      </c>
      <c r="J8489" s="5">
        <f>IF(OR(H8489=1,I8489=1),0,IF(G8489="Credit",-F8489,F8489))</f>
        <v/>
      </c>
    </row>
    <row r="8490">
      <c r="A8490" t="inlineStr">
        <is>
          <t>2026-09-16</t>
        </is>
      </c>
      <c r="B8490" t="inlineStr">
        <is>
          <t>F272570</t>
        </is>
      </c>
      <c r="C8490" t="inlineStr">
        <is>
          <t>C10652</t>
        </is>
      </c>
      <c r="D8490" t="inlineStr">
        <is>
          <t>SKU-10045</t>
        </is>
      </c>
      <c r="E8490" t="inlineStr">
        <is>
          <t>AM08</t>
        </is>
      </c>
      <c r="F8490" s="5" t="n">
        <v>116.73</v>
      </c>
      <c r="G8490">
        <f>IF(LEFT(B8490,1)="C","Credit","Factuur")</f>
        <v/>
      </c>
      <c r="H8490">
        <f>IF(AND(B8490=B8489,D8490=D8489,A8490=A8489,F8490=F8489),1,0)</f>
        <v/>
      </c>
      <c r="I8490">
        <f>IF(C8490="C99999",1,0)</f>
        <v/>
      </c>
      <c r="J8490" s="5">
        <f>IF(OR(H8490=1,I8490=1),0,IF(G8490="Credit",-F8490,F8490))</f>
        <v/>
      </c>
    </row>
    <row r="8491">
      <c r="A8491" t="inlineStr">
        <is>
          <t>2026-09-16</t>
        </is>
      </c>
      <c r="B8491" t="inlineStr">
        <is>
          <t>F272570</t>
        </is>
      </c>
      <c r="C8491" t="inlineStr">
        <is>
          <t>C10652</t>
        </is>
      </c>
      <c r="D8491" t="inlineStr">
        <is>
          <t>SKU-10082</t>
        </is>
      </c>
      <c r="E8491" t="inlineStr">
        <is>
          <t>AM08</t>
        </is>
      </c>
      <c r="F8491" s="5" t="n">
        <v>105.75</v>
      </c>
      <c r="G8491">
        <f>IF(LEFT(B8491,1)="C","Credit","Factuur")</f>
        <v/>
      </c>
      <c r="H8491">
        <f>IF(AND(B8491=B8490,D8491=D8490,A8491=A8490,F8491=F8490),1,0)</f>
        <v/>
      </c>
      <c r="I8491">
        <f>IF(C8491="C99999",1,0)</f>
        <v/>
      </c>
      <c r="J8491" s="5">
        <f>IF(OR(H8491=1,I8491=1),0,IF(G8491="Credit",-F8491,F8491))</f>
        <v/>
      </c>
    </row>
    <row r="8492">
      <c r="A8492" t="inlineStr">
        <is>
          <t>2026-09-16</t>
        </is>
      </c>
      <c r="B8492" t="inlineStr">
        <is>
          <t>F272570</t>
        </is>
      </c>
      <c r="C8492" t="inlineStr">
        <is>
          <t>C10652</t>
        </is>
      </c>
      <c r="D8492" t="inlineStr">
        <is>
          <t>SKU-10104</t>
        </is>
      </c>
      <c r="E8492" t="inlineStr">
        <is>
          <t>AM08</t>
        </is>
      </c>
      <c r="F8492" s="5" t="n">
        <v>91.14</v>
      </c>
      <c r="G8492">
        <f>IF(LEFT(B8492,1)="C","Credit","Factuur")</f>
        <v/>
      </c>
      <c r="H8492">
        <f>IF(AND(B8492=B8491,D8492=D8491,A8492=A8491,F8492=F8491),1,0)</f>
        <v/>
      </c>
      <c r="I8492">
        <f>IF(C8492="C99999",1,0)</f>
        <v/>
      </c>
      <c r="J8492" s="5">
        <f>IF(OR(H8492=1,I8492=1),0,IF(G8492="Credit",-F8492,F8492))</f>
        <v/>
      </c>
    </row>
    <row r="8493">
      <c r="A8493" t="inlineStr">
        <is>
          <t>2026-09-16</t>
        </is>
      </c>
      <c r="B8493" t="inlineStr">
        <is>
          <t>F273036</t>
        </is>
      </c>
      <c r="C8493" t="inlineStr">
        <is>
          <t>C10681</t>
        </is>
      </c>
      <c r="D8493" t="inlineStr">
        <is>
          <t>SKU-10248</t>
        </is>
      </c>
      <c r="E8493" t="inlineStr">
        <is>
          <t>AM07</t>
        </is>
      </c>
      <c r="F8493" s="5" t="n">
        <v>370.75</v>
      </c>
      <c r="G8493">
        <f>IF(LEFT(B8493,1)="C","Credit","Factuur")</f>
        <v/>
      </c>
      <c r="H8493">
        <f>IF(AND(B8493=B8492,D8493=D8492,A8493=A8492,F8493=F8492),1,0)</f>
        <v/>
      </c>
      <c r="I8493">
        <f>IF(C8493="C99999",1,0)</f>
        <v/>
      </c>
      <c r="J8493" s="5">
        <f>IF(OR(H8493=1,I8493=1),0,IF(G8493="Credit",-F8493,F8493))</f>
        <v/>
      </c>
    </row>
    <row r="8494">
      <c r="A8494" t="inlineStr">
        <is>
          <t>2026-09-16</t>
        </is>
      </c>
      <c r="B8494" t="inlineStr">
        <is>
          <t>F273036</t>
        </is>
      </c>
      <c r="C8494" t="inlineStr">
        <is>
          <t>C10681</t>
        </is>
      </c>
      <c r="D8494" t="inlineStr">
        <is>
          <t>SKU-10287</t>
        </is>
      </c>
      <c r="E8494" t="inlineStr">
        <is>
          <t>AM07</t>
        </is>
      </c>
      <c r="F8494" s="5" t="n">
        <v>371.86</v>
      </c>
      <c r="G8494">
        <f>IF(LEFT(B8494,1)="C","Credit","Factuur")</f>
        <v/>
      </c>
      <c r="H8494">
        <f>IF(AND(B8494=B8493,D8494=D8493,A8494=A8493,F8494=F8493),1,0)</f>
        <v/>
      </c>
      <c r="I8494">
        <f>IF(C8494="C99999",1,0)</f>
        <v/>
      </c>
      <c r="J8494" s="5">
        <f>IF(OR(H8494=1,I8494=1),0,IF(G8494="Credit",-F8494,F8494))</f>
        <v/>
      </c>
    </row>
    <row r="8495">
      <c r="A8495" t="inlineStr">
        <is>
          <t>2026-09-16</t>
        </is>
      </c>
      <c r="B8495" t="inlineStr">
        <is>
          <t>F273180</t>
        </is>
      </c>
      <c r="C8495" t="inlineStr">
        <is>
          <t>C10688</t>
        </is>
      </c>
      <c r="D8495" t="inlineStr">
        <is>
          <t>SKU-10364</t>
        </is>
      </c>
      <c r="E8495" t="inlineStr">
        <is>
          <t>AM03</t>
        </is>
      </c>
      <c r="F8495" s="5" t="n">
        <v>630.7</v>
      </c>
      <c r="G8495">
        <f>IF(LEFT(B8495,1)="C","Credit","Factuur")</f>
        <v/>
      </c>
      <c r="H8495">
        <f>IF(AND(B8495=B8494,D8495=D8494,A8495=A8494,F8495=F8494),1,0)</f>
        <v/>
      </c>
      <c r="I8495">
        <f>IF(C8495="C99999",1,0)</f>
        <v/>
      </c>
      <c r="J8495" s="5">
        <f>IF(OR(H8495=1,I8495=1),0,IF(G8495="Credit",-F8495,F8495))</f>
        <v/>
      </c>
    </row>
    <row r="8496">
      <c r="A8496" t="inlineStr">
        <is>
          <t>2026-09-16</t>
        </is>
      </c>
      <c r="B8496" t="inlineStr">
        <is>
          <t>F273249</t>
        </is>
      </c>
      <c r="C8496" t="inlineStr">
        <is>
          <t>C10692</t>
        </is>
      </c>
      <c r="D8496" t="inlineStr">
        <is>
          <t>SKU-10013</t>
        </is>
      </c>
      <c r="E8496" t="inlineStr">
        <is>
          <t>AM09</t>
        </is>
      </c>
      <c r="F8496" s="5" t="n">
        <v>6038.29</v>
      </c>
      <c r="G8496">
        <f>IF(LEFT(B8496,1)="C","Credit","Factuur")</f>
        <v/>
      </c>
      <c r="H8496">
        <f>IF(AND(B8496=B8495,D8496=D8495,A8496=A8495,F8496=F8495),1,0)</f>
        <v/>
      </c>
      <c r="I8496">
        <f>IF(C8496="C99999",1,0)</f>
        <v/>
      </c>
      <c r="J8496" s="5">
        <f>IF(OR(H8496=1,I8496=1),0,IF(G8496="Credit",-F8496,F8496))</f>
        <v/>
      </c>
    </row>
    <row r="8497">
      <c r="A8497" t="inlineStr">
        <is>
          <t>2026-09-16</t>
        </is>
      </c>
      <c r="B8497" t="inlineStr">
        <is>
          <t>F273249</t>
        </is>
      </c>
      <c r="C8497" t="inlineStr">
        <is>
          <t>C10692</t>
        </is>
      </c>
      <c r="D8497" t="inlineStr">
        <is>
          <t>SKU-10208</t>
        </is>
      </c>
      <c r="E8497" t="inlineStr">
        <is>
          <t>AM09</t>
        </is>
      </c>
      <c r="F8497" s="5" t="n">
        <v>6053.46</v>
      </c>
      <c r="G8497">
        <f>IF(LEFT(B8497,1)="C","Credit","Factuur")</f>
        <v/>
      </c>
      <c r="H8497">
        <f>IF(AND(B8497=B8496,D8497=D8496,A8497=A8496,F8497=F8496),1,0)</f>
        <v/>
      </c>
      <c r="I8497">
        <f>IF(C8497="C99999",1,0)</f>
        <v/>
      </c>
      <c r="J8497" s="5">
        <f>IF(OR(H8497=1,I8497=1),0,IF(G8497="Credit",-F8497,F8497))</f>
        <v/>
      </c>
    </row>
    <row r="8498">
      <c r="A8498" t="inlineStr">
        <is>
          <t>2026-09-16</t>
        </is>
      </c>
      <c r="B8498" t="inlineStr">
        <is>
          <t>F273249</t>
        </is>
      </c>
      <c r="C8498" t="inlineStr">
        <is>
          <t>C10692</t>
        </is>
      </c>
      <c r="D8498" t="inlineStr">
        <is>
          <t>SKU-10217</t>
        </is>
      </c>
      <c r="E8498" t="inlineStr">
        <is>
          <t>AM09</t>
        </is>
      </c>
      <c r="F8498" s="5" t="n">
        <v>6048.04</v>
      </c>
      <c r="G8498">
        <f>IF(LEFT(B8498,1)="C","Credit","Factuur")</f>
        <v/>
      </c>
      <c r="H8498">
        <f>IF(AND(B8498=B8497,D8498=D8497,A8498=A8497,F8498=F8497),1,0)</f>
        <v/>
      </c>
      <c r="I8498">
        <f>IF(C8498="C99999",1,0)</f>
        <v/>
      </c>
      <c r="J8498" s="5">
        <f>IF(OR(H8498=1,I8498=1),0,IF(G8498="Credit",-F8498,F8498))</f>
        <v/>
      </c>
    </row>
    <row r="8499">
      <c r="A8499" t="inlineStr">
        <is>
          <t>2026-09-16</t>
        </is>
      </c>
      <c r="B8499" t="inlineStr">
        <is>
          <t>F273641</t>
        </is>
      </c>
      <c r="C8499" t="inlineStr">
        <is>
          <t>C10715</t>
        </is>
      </c>
      <c r="D8499" t="inlineStr">
        <is>
          <t>SKU-10204</t>
        </is>
      </c>
      <c r="E8499" t="inlineStr">
        <is>
          <t>AM02</t>
        </is>
      </c>
      <c r="F8499" s="5" t="n">
        <v>1982.75</v>
      </c>
      <c r="G8499">
        <f>IF(LEFT(B8499,1)="C","Credit","Factuur")</f>
        <v/>
      </c>
      <c r="H8499">
        <f>IF(AND(B8499=B8498,D8499=D8498,A8499=A8498,F8499=F8498),1,0)</f>
        <v/>
      </c>
      <c r="I8499">
        <f>IF(C8499="C99999",1,0)</f>
        <v/>
      </c>
      <c r="J8499" s="5">
        <f>IF(OR(H8499=1,I8499=1),0,IF(G8499="Credit",-F8499,F8499))</f>
        <v/>
      </c>
    </row>
    <row r="8500">
      <c r="A8500" t="inlineStr">
        <is>
          <t>2026-09-16</t>
        </is>
      </c>
      <c r="B8500" t="inlineStr">
        <is>
          <t>F273641</t>
        </is>
      </c>
      <c r="C8500" t="inlineStr">
        <is>
          <t>C10715</t>
        </is>
      </c>
      <c r="D8500" t="inlineStr">
        <is>
          <t>SKU-10326</t>
        </is>
      </c>
      <c r="E8500" t="inlineStr">
        <is>
          <t>AM02</t>
        </is>
      </c>
      <c r="F8500" s="5" t="n">
        <v>1975</v>
      </c>
      <c r="G8500">
        <f>IF(LEFT(B8500,1)="C","Credit","Factuur")</f>
        <v/>
      </c>
      <c r="H8500">
        <f>IF(AND(B8500=B8499,D8500=D8499,A8500=A8499,F8500=F8499),1,0)</f>
        <v/>
      </c>
      <c r="I8500">
        <f>IF(C8500="C99999",1,0)</f>
        <v/>
      </c>
      <c r="J8500" s="5">
        <f>IF(OR(H8500=1,I8500=1),0,IF(G8500="Credit",-F8500,F8500))</f>
        <v/>
      </c>
    </row>
    <row r="8501">
      <c r="A8501" t="inlineStr">
        <is>
          <t>2026-09-16</t>
        </is>
      </c>
      <c r="B8501" t="inlineStr">
        <is>
          <t>F273756</t>
        </is>
      </c>
      <c r="C8501" t="inlineStr">
        <is>
          <t>C10723</t>
        </is>
      </c>
      <c r="D8501" t="inlineStr">
        <is>
          <t>SKU-10299</t>
        </is>
      </c>
      <c r="E8501" t="inlineStr">
        <is>
          <t>AM09</t>
        </is>
      </c>
      <c r="F8501" s="5" t="n">
        <v>24851.81</v>
      </c>
      <c r="G8501">
        <f>IF(LEFT(B8501,1)="C","Credit","Factuur")</f>
        <v/>
      </c>
      <c r="H8501">
        <f>IF(AND(B8501=B8500,D8501=D8500,A8501=A8500,F8501=F8500),1,0)</f>
        <v/>
      </c>
      <c r="I8501">
        <f>IF(C8501="C99999",1,0)</f>
        <v/>
      </c>
      <c r="J8501" s="5">
        <f>IF(OR(H8501=1,I8501=1),0,IF(G8501="Credit",-F8501,F8501))</f>
        <v/>
      </c>
    </row>
    <row r="8502">
      <c r="A8502" t="inlineStr">
        <is>
          <t>2026-09-16</t>
        </is>
      </c>
      <c r="B8502" t="inlineStr">
        <is>
          <t>F273923</t>
        </is>
      </c>
      <c r="C8502" t="inlineStr">
        <is>
          <t>C10735</t>
        </is>
      </c>
      <c r="D8502" t="inlineStr">
        <is>
          <t>SKU-10271</t>
        </is>
      </c>
      <c r="E8502" t="inlineStr">
        <is>
          <t>AM01</t>
        </is>
      </c>
      <c r="F8502" s="5" t="n">
        <v>1729</v>
      </c>
      <c r="G8502">
        <f>IF(LEFT(B8502,1)="C","Credit","Factuur")</f>
        <v/>
      </c>
      <c r="H8502">
        <f>IF(AND(B8502=B8501,D8502=D8501,A8502=A8501,F8502=F8501),1,0)</f>
        <v/>
      </c>
      <c r="I8502">
        <f>IF(C8502="C99999",1,0)</f>
        <v/>
      </c>
      <c r="J8502" s="5">
        <f>IF(OR(H8502=1,I8502=1),0,IF(G8502="Credit",-F8502,F8502))</f>
        <v/>
      </c>
    </row>
    <row r="8503">
      <c r="A8503" t="inlineStr">
        <is>
          <t>2026-09-16</t>
        </is>
      </c>
      <c r="B8503" t="inlineStr">
        <is>
          <t>F274568</t>
        </is>
      </c>
      <c r="C8503" t="inlineStr">
        <is>
          <t>C10770</t>
        </is>
      </c>
      <c r="D8503" t="inlineStr">
        <is>
          <t>SKU-10029</t>
        </is>
      </c>
      <c r="E8503" t="inlineStr">
        <is>
          <t>AM06</t>
        </is>
      </c>
      <c r="F8503" s="5" t="n">
        <v>582.01</v>
      </c>
      <c r="G8503">
        <f>IF(LEFT(B8503,1)="C","Credit","Factuur")</f>
        <v/>
      </c>
      <c r="H8503">
        <f>IF(AND(B8503=B8502,D8503=D8502,A8503=A8502,F8503=F8502),1,0)</f>
        <v/>
      </c>
      <c r="I8503">
        <f>IF(C8503="C99999",1,0)</f>
        <v/>
      </c>
      <c r="J8503" s="5">
        <f>IF(OR(H8503=1,I8503=1),0,IF(G8503="Credit",-F8503,F8503))</f>
        <v/>
      </c>
    </row>
    <row r="8504">
      <c r="A8504" t="inlineStr">
        <is>
          <t>2026-09-16</t>
        </is>
      </c>
      <c r="B8504" t="inlineStr">
        <is>
          <t>F274568</t>
        </is>
      </c>
      <c r="C8504" t="inlineStr">
        <is>
          <t>C10770</t>
        </is>
      </c>
      <c r="D8504" t="inlineStr">
        <is>
          <t>SKU-10086</t>
        </is>
      </c>
      <c r="E8504" t="inlineStr">
        <is>
          <t>AM06</t>
        </is>
      </c>
      <c r="F8504" s="5" t="n">
        <v>598.92</v>
      </c>
      <c r="G8504">
        <f>IF(LEFT(B8504,1)="C","Credit","Factuur")</f>
        <v/>
      </c>
      <c r="H8504">
        <f>IF(AND(B8504=B8503,D8504=D8503,A8504=A8503,F8504=F8503),1,0)</f>
        <v/>
      </c>
      <c r="I8504">
        <f>IF(C8504="C99999",1,0)</f>
        <v/>
      </c>
      <c r="J8504" s="5">
        <f>IF(OR(H8504=1,I8504=1),0,IF(G8504="Credit",-F8504,F8504))</f>
        <v/>
      </c>
    </row>
    <row r="8505">
      <c r="A8505" t="inlineStr">
        <is>
          <t>2026-09-16</t>
        </is>
      </c>
      <c r="B8505" t="inlineStr">
        <is>
          <t>F274568</t>
        </is>
      </c>
      <c r="C8505" t="inlineStr">
        <is>
          <t>C10770</t>
        </is>
      </c>
      <c r="D8505" t="inlineStr">
        <is>
          <t>SKU-10133</t>
        </is>
      </c>
      <c r="E8505" t="inlineStr">
        <is>
          <t>AM06</t>
        </is>
      </c>
      <c r="F8505" s="5" t="n">
        <v>661.7</v>
      </c>
      <c r="G8505">
        <f>IF(LEFT(B8505,1)="C","Credit","Factuur")</f>
        <v/>
      </c>
      <c r="H8505">
        <f>IF(AND(B8505=B8504,D8505=D8504,A8505=A8504,F8505=F8504),1,0)</f>
        <v/>
      </c>
      <c r="I8505">
        <f>IF(C8505="C99999",1,0)</f>
        <v/>
      </c>
      <c r="J8505" s="5">
        <f>IF(OR(H8505=1,I8505=1),0,IF(G8505="Credit",-F8505,F8505))</f>
        <v/>
      </c>
    </row>
    <row r="8506">
      <c r="A8506" t="inlineStr">
        <is>
          <t>2026-09-16</t>
        </is>
      </c>
      <c r="B8506" t="inlineStr">
        <is>
          <t>F274568</t>
        </is>
      </c>
      <c r="C8506" t="inlineStr">
        <is>
          <t>C10770</t>
        </is>
      </c>
      <c r="D8506" t="inlineStr">
        <is>
          <t>SKU-10139</t>
        </is>
      </c>
      <c r="E8506" t="inlineStr">
        <is>
          <t>AM06</t>
        </is>
      </c>
      <c r="F8506" s="5" t="n">
        <v>598.74</v>
      </c>
      <c r="G8506">
        <f>IF(LEFT(B8506,1)="C","Credit","Factuur")</f>
        <v/>
      </c>
      <c r="H8506">
        <f>IF(AND(B8506=B8505,D8506=D8505,A8506=A8505,F8506=F8505),1,0)</f>
        <v/>
      </c>
      <c r="I8506">
        <f>IF(C8506="C99999",1,0)</f>
        <v/>
      </c>
      <c r="J8506" s="5">
        <f>IF(OR(H8506=1,I8506=1),0,IF(G8506="Credit",-F8506,F8506))</f>
        <v/>
      </c>
    </row>
    <row r="8507">
      <c r="A8507" t="inlineStr">
        <is>
          <t>2026-09-16</t>
        </is>
      </c>
      <c r="B8507" t="inlineStr">
        <is>
          <t>F274568</t>
        </is>
      </c>
      <c r="C8507" t="inlineStr">
        <is>
          <t>C10770</t>
        </is>
      </c>
      <c r="D8507" t="inlineStr">
        <is>
          <t>SKU-10315</t>
        </is>
      </c>
      <c r="E8507" t="inlineStr">
        <is>
          <t>AM06</t>
        </is>
      </c>
      <c r="F8507" s="5" t="n">
        <v>598.95</v>
      </c>
      <c r="G8507">
        <f>IF(LEFT(B8507,1)="C","Credit","Factuur")</f>
        <v/>
      </c>
      <c r="H8507">
        <f>IF(AND(B8507=B8506,D8507=D8506,A8507=A8506,F8507=F8506),1,0)</f>
        <v/>
      </c>
      <c r="I8507">
        <f>IF(C8507="C99999",1,0)</f>
        <v/>
      </c>
      <c r="J8507" s="5">
        <f>IF(OR(H8507=1,I8507=1),0,IF(G8507="Credit",-F8507,F8507))</f>
        <v/>
      </c>
    </row>
    <row r="8508">
      <c r="A8508" t="inlineStr">
        <is>
          <t>2026-09-16</t>
        </is>
      </c>
      <c r="B8508" t="inlineStr">
        <is>
          <t>F275938</t>
        </is>
      </c>
      <c r="C8508" t="inlineStr">
        <is>
          <t>C10847</t>
        </is>
      </c>
      <c r="D8508" t="inlineStr">
        <is>
          <t>SKU-10253</t>
        </is>
      </c>
      <c r="E8508" t="inlineStr">
        <is>
          <t>AM12</t>
        </is>
      </c>
      <c r="F8508" s="5" t="n">
        <v>233.66</v>
      </c>
      <c r="G8508">
        <f>IF(LEFT(B8508,1)="C","Credit","Factuur")</f>
        <v/>
      </c>
      <c r="H8508">
        <f>IF(AND(B8508=B8507,D8508=D8507,A8508=A8507,F8508=F8507),1,0)</f>
        <v/>
      </c>
      <c r="I8508">
        <f>IF(C8508="C99999",1,0)</f>
        <v/>
      </c>
      <c r="J8508" s="5">
        <f>IF(OR(H8508=1,I8508=1),0,IF(G8508="Credit",-F8508,F8508))</f>
        <v/>
      </c>
    </row>
    <row r="8509">
      <c r="A8509" t="inlineStr">
        <is>
          <t>2026-09-16</t>
        </is>
      </c>
      <c r="B8509" t="inlineStr">
        <is>
          <t>F275938</t>
        </is>
      </c>
      <c r="C8509" t="inlineStr">
        <is>
          <t>C10847</t>
        </is>
      </c>
      <c r="D8509" t="inlineStr">
        <is>
          <t>SKU-10264</t>
        </is>
      </c>
      <c r="E8509" t="inlineStr">
        <is>
          <t>AM12</t>
        </is>
      </c>
      <c r="F8509" s="5" t="n">
        <v>266.96</v>
      </c>
      <c r="G8509">
        <f>IF(LEFT(B8509,1)="C","Credit","Factuur")</f>
        <v/>
      </c>
      <c r="H8509">
        <f>IF(AND(B8509=B8508,D8509=D8508,A8509=A8508,F8509=F8508),1,0)</f>
        <v/>
      </c>
      <c r="I8509">
        <f>IF(C8509="C99999",1,0)</f>
        <v/>
      </c>
      <c r="J8509" s="5">
        <f>IF(OR(H8509=1,I8509=1),0,IF(G8509="Credit",-F8509,F8509))</f>
        <v/>
      </c>
    </row>
    <row r="8510">
      <c r="A8510" t="inlineStr">
        <is>
          <t>2026-09-16</t>
        </is>
      </c>
      <c r="B8510" t="inlineStr">
        <is>
          <t>F275938</t>
        </is>
      </c>
      <c r="C8510" t="inlineStr">
        <is>
          <t>C10847</t>
        </is>
      </c>
      <c r="D8510" t="inlineStr">
        <is>
          <t>SKU-10275</t>
        </is>
      </c>
      <c r="E8510" t="inlineStr">
        <is>
          <t>AM12</t>
        </is>
      </c>
      <c r="F8510" s="5" t="n">
        <v>255.36</v>
      </c>
      <c r="G8510">
        <f>IF(LEFT(B8510,1)="C","Credit","Factuur")</f>
        <v/>
      </c>
      <c r="H8510">
        <f>IF(AND(B8510=B8509,D8510=D8509,A8510=A8509,F8510=F8509),1,0)</f>
        <v/>
      </c>
      <c r="I8510">
        <f>IF(C8510="C99999",1,0)</f>
        <v/>
      </c>
      <c r="J8510" s="5">
        <f>IF(OR(H8510=1,I8510=1),0,IF(G8510="Credit",-F8510,F8510))</f>
        <v/>
      </c>
    </row>
    <row r="8511">
      <c r="A8511" t="inlineStr">
        <is>
          <t>2026-09-16</t>
        </is>
      </c>
      <c r="B8511" t="inlineStr">
        <is>
          <t>F275938</t>
        </is>
      </c>
      <c r="C8511" t="inlineStr">
        <is>
          <t>C10847</t>
        </is>
      </c>
      <c r="D8511" t="inlineStr">
        <is>
          <t>SKU-10352</t>
        </is>
      </c>
      <c r="E8511" t="inlineStr">
        <is>
          <t>AM12</t>
        </is>
      </c>
      <c r="F8511" s="5" t="n">
        <v>300.18</v>
      </c>
      <c r="G8511">
        <f>IF(LEFT(B8511,1)="C","Credit","Factuur")</f>
        <v/>
      </c>
      <c r="H8511">
        <f>IF(AND(B8511=B8510,D8511=D8510,A8511=A8510,F8511=F8510),1,0)</f>
        <v/>
      </c>
      <c r="I8511">
        <f>IF(C8511="C99999",1,0)</f>
        <v/>
      </c>
      <c r="J8511" s="5">
        <f>IF(OR(H8511=1,I8511=1),0,IF(G8511="Credit",-F8511,F8511))</f>
        <v/>
      </c>
    </row>
    <row r="8512">
      <c r="A8512" t="inlineStr">
        <is>
          <t>2026-09-16</t>
        </is>
      </c>
      <c r="B8512" t="inlineStr">
        <is>
          <t>F276200</t>
        </is>
      </c>
      <c r="C8512" t="inlineStr">
        <is>
          <t>C10859</t>
        </is>
      </c>
      <c r="D8512" t="inlineStr">
        <is>
          <t>SKU-10231</t>
        </is>
      </c>
      <c r="E8512" t="inlineStr">
        <is>
          <t>AM02</t>
        </is>
      </c>
      <c r="F8512" s="5" t="n">
        <v>279.76</v>
      </c>
      <c r="G8512">
        <f>IF(LEFT(B8512,1)="C","Credit","Factuur")</f>
        <v/>
      </c>
      <c r="H8512">
        <f>IF(AND(B8512=B8511,D8512=D8511,A8512=A8511,F8512=F8511),1,0)</f>
        <v/>
      </c>
      <c r="I8512">
        <f>IF(C8512="C99999",1,0)</f>
        <v/>
      </c>
      <c r="J8512" s="5">
        <f>IF(OR(H8512=1,I8512=1),0,IF(G8512="Credit",-F8512,F8512))</f>
        <v/>
      </c>
    </row>
    <row r="8513">
      <c r="A8513" t="inlineStr">
        <is>
          <t>2026-09-16</t>
        </is>
      </c>
      <c r="B8513" t="inlineStr">
        <is>
          <t>F276200</t>
        </is>
      </c>
      <c r="C8513" t="inlineStr">
        <is>
          <t>C10859</t>
        </is>
      </c>
      <c r="D8513" t="inlineStr">
        <is>
          <t>SKU-10233</t>
        </is>
      </c>
      <c r="E8513" t="inlineStr">
        <is>
          <t>AM02</t>
        </is>
      </c>
      <c r="F8513" s="5" t="n">
        <v>282.43</v>
      </c>
      <c r="G8513">
        <f>IF(LEFT(B8513,1)="C","Credit","Factuur")</f>
        <v/>
      </c>
      <c r="H8513">
        <f>IF(AND(B8513=B8512,D8513=D8512,A8513=A8512,F8513=F8512),1,0)</f>
        <v/>
      </c>
      <c r="I8513">
        <f>IF(C8513="C99999",1,0)</f>
        <v/>
      </c>
      <c r="J8513" s="5">
        <f>IF(OR(H8513=1,I8513=1),0,IF(G8513="Credit",-F8513,F8513))</f>
        <v/>
      </c>
    </row>
    <row r="8514">
      <c r="A8514" t="inlineStr">
        <is>
          <t>2026-09-16</t>
        </is>
      </c>
      <c r="B8514" t="inlineStr">
        <is>
          <t>F276200</t>
        </is>
      </c>
      <c r="C8514" t="inlineStr">
        <is>
          <t>C10859</t>
        </is>
      </c>
      <c r="D8514" t="inlineStr">
        <is>
          <t>SKU-10259</t>
        </is>
      </c>
      <c r="E8514" t="inlineStr">
        <is>
          <t>AM02</t>
        </is>
      </c>
      <c r="F8514" s="5" t="n">
        <v>269.15</v>
      </c>
      <c r="G8514">
        <f>IF(LEFT(B8514,1)="C","Credit","Factuur")</f>
        <v/>
      </c>
      <c r="H8514">
        <f>IF(AND(B8514=B8513,D8514=D8513,A8514=A8513,F8514=F8513),1,0)</f>
        <v/>
      </c>
      <c r="I8514">
        <f>IF(C8514="C99999",1,0)</f>
        <v/>
      </c>
      <c r="J8514" s="5">
        <f>IF(OR(H8514=1,I8514=1),0,IF(G8514="Credit",-F8514,F8514))</f>
        <v/>
      </c>
    </row>
    <row r="8515">
      <c r="A8515" t="inlineStr">
        <is>
          <t>2026-09-16</t>
        </is>
      </c>
      <c r="B8515" t="inlineStr">
        <is>
          <t>F276200</t>
        </is>
      </c>
      <c r="C8515" t="inlineStr">
        <is>
          <t>C10859</t>
        </is>
      </c>
      <c r="D8515" t="inlineStr">
        <is>
          <t>SKU-10316</t>
        </is>
      </c>
      <c r="E8515" t="inlineStr">
        <is>
          <t>AM02</t>
        </is>
      </c>
      <c r="F8515" s="5" t="n">
        <v>258.21</v>
      </c>
      <c r="G8515">
        <f>IF(LEFT(B8515,1)="C","Credit","Factuur")</f>
        <v/>
      </c>
      <c r="H8515">
        <f>IF(AND(B8515=B8514,D8515=D8514,A8515=A8514,F8515=F8514),1,0)</f>
        <v/>
      </c>
      <c r="I8515">
        <f>IF(C8515="C99999",1,0)</f>
        <v/>
      </c>
      <c r="J8515" s="5">
        <f>IF(OR(H8515=1,I8515=1),0,IF(G8515="Credit",-F8515,F8515))</f>
        <v/>
      </c>
    </row>
    <row r="8516">
      <c r="A8516" t="inlineStr">
        <is>
          <t>2026-09-16</t>
        </is>
      </c>
      <c r="B8516" t="inlineStr">
        <is>
          <t>F276976</t>
        </is>
      </c>
      <c r="C8516" t="inlineStr">
        <is>
          <t>C10901</t>
        </is>
      </c>
      <c r="D8516" t="inlineStr">
        <is>
          <t>SKU-10047</t>
        </is>
      </c>
      <c r="E8516" t="inlineStr">
        <is>
          <t>AM02</t>
        </is>
      </c>
      <c r="F8516" s="5" t="n">
        <v>55.83</v>
      </c>
      <c r="G8516">
        <f>IF(LEFT(B8516,1)="C","Credit","Factuur")</f>
        <v/>
      </c>
      <c r="H8516">
        <f>IF(AND(B8516=B8515,D8516=D8515,A8516=A8515,F8516=F8515),1,0)</f>
        <v/>
      </c>
      <c r="I8516">
        <f>IF(C8516="C99999",1,0)</f>
        <v/>
      </c>
      <c r="J8516" s="5">
        <f>IF(OR(H8516=1,I8516=1),0,IF(G8516="Credit",-F8516,F8516))</f>
        <v/>
      </c>
    </row>
    <row r="8517">
      <c r="A8517" t="inlineStr">
        <is>
          <t>2026-09-16</t>
        </is>
      </c>
      <c r="B8517" t="inlineStr">
        <is>
          <t>F276976</t>
        </is>
      </c>
      <c r="C8517" t="inlineStr">
        <is>
          <t>C10901</t>
        </is>
      </c>
      <c r="D8517" t="inlineStr">
        <is>
          <t>SKU-10052</t>
        </is>
      </c>
      <c r="E8517" t="inlineStr">
        <is>
          <t>AM02</t>
        </is>
      </c>
      <c r="F8517" s="5" t="n">
        <v>44.72</v>
      </c>
      <c r="G8517">
        <f>IF(LEFT(B8517,1)="C","Credit","Factuur")</f>
        <v/>
      </c>
      <c r="H8517">
        <f>IF(AND(B8517=B8516,D8517=D8516,A8517=A8516,F8517=F8516),1,0)</f>
        <v/>
      </c>
      <c r="I8517">
        <f>IF(C8517="C99999",1,0)</f>
        <v/>
      </c>
      <c r="J8517" s="5">
        <f>IF(OR(H8517=1,I8517=1),0,IF(G8517="Credit",-F8517,F8517))</f>
        <v/>
      </c>
    </row>
    <row r="8518">
      <c r="A8518" t="inlineStr">
        <is>
          <t>2026-09-16</t>
        </is>
      </c>
      <c r="B8518" t="inlineStr">
        <is>
          <t>F276976</t>
        </is>
      </c>
      <c r="C8518" t="inlineStr">
        <is>
          <t>C10901</t>
        </is>
      </c>
      <c r="D8518" t="inlineStr">
        <is>
          <t>SKU-10068</t>
        </is>
      </c>
      <c r="E8518" t="inlineStr">
        <is>
          <t>AM02</t>
        </is>
      </c>
      <c r="F8518" s="5" t="n">
        <v>62.07</v>
      </c>
      <c r="G8518">
        <f>IF(LEFT(B8518,1)="C","Credit","Factuur")</f>
        <v/>
      </c>
      <c r="H8518">
        <f>IF(AND(B8518=B8517,D8518=D8517,A8518=A8517,F8518=F8517),1,0)</f>
        <v/>
      </c>
      <c r="I8518">
        <f>IF(C8518="C99999",1,0)</f>
        <v/>
      </c>
      <c r="J8518" s="5">
        <f>IF(OR(H8518=1,I8518=1),0,IF(G8518="Credit",-F8518,F8518))</f>
        <v/>
      </c>
    </row>
    <row r="8519">
      <c r="A8519" t="inlineStr">
        <is>
          <t>2026-09-16</t>
        </is>
      </c>
      <c r="B8519" t="inlineStr">
        <is>
          <t>F276976</t>
        </is>
      </c>
      <c r="C8519" t="inlineStr">
        <is>
          <t>C10901</t>
        </is>
      </c>
      <c r="D8519" t="inlineStr">
        <is>
          <t>SKU-10088</t>
        </is>
      </c>
      <c r="E8519" t="inlineStr">
        <is>
          <t>AM02</t>
        </is>
      </c>
      <c r="F8519" s="5" t="n">
        <v>54.31</v>
      </c>
      <c r="G8519">
        <f>IF(LEFT(B8519,1)="C","Credit","Factuur")</f>
        <v/>
      </c>
      <c r="H8519">
        <f>IF(AND(B8519=B8518,D8519=D8518,A8519=A8518,F8519=F8518),1,0)</f>
        <v/>
      </c>
      <c r="I8519">
        <f>IF(C8519="C99999",1,0)</f>
        <v/>
      </c>
      <c r="J8519" s="5">
        <f>IF(OR(H8519=1,I8519=1),0,IF(G8519="Credit",-F8519,F8519))</f>
        <v/>
      </c>
    </row>
    <row r="8520">
      <c r="A8520" t="inlineStr">
        <is>
          <t>2026-09-16</t>
        </is>
      </c>
      <c r="B8520" t="inlineStr">
        <is>
          <t>F276976</t>
        </is>
      </c>
      <c r="C8520" t="inlineStr">
        <is>
          <t>C10901</t>
        </is>
      </c>
      <c r="D8520" t="inlineStr">
        <is>
          <t>SKU-10100</t>
        </is>
      </c>
      <c r="E8520" t="inlineStr">
        <is>
          <t>AM02</t>
        </is>
      </c>
      <c r="F8520" s="5" t="n">
        <v>49.06</v>
      </c>
      <c r="G8520">
        <f>IF(LEFT(B8520,1)="C","Credit","Factuur")</f>
        <v/>
      </c>
      <c r="H8520">
        <f>IF(AND(B8520=B8519,D8520=D8519,A8520=A8519,F8520=F8519),1,0)</f>
        <v/>
      </c>
      <c r="I8520">
        <f>IF(C8520="C99999",1,0)</f>
        <v/>
      </c>
      <c r="J8520" s="5">
        <f>IF(OR(H8520=1,I8520=1),0,IF(G8520="Credit",-F8520,F8520))</f>
        <v/>
      </c>
    </row>
    <row r="8521">
      <c r="A8521" t="inlineStr">
        <is>
          <t>2026-09-16</t>
        </is>
      </c>
      <c r="B8521" t="inlineStr">
        <is>
          <t>F276976</t>
        </is>
      </c>
      <c r="C8521" t="inlineStr">
        <is>
          <t>C10901</t>
        </is>
      </c>
      <c r="D8521" t="inlineStr">
        <is>
          <t>SKU-10145</t>
        </is>
      </c>
      <c r="E8521" t="inlineStr">
        <is>
          <t>AM02</t>
        </is>
      </c>
      <c r="F8521" s="5" t="n">
        <v>113.22</v>
      </c>
      <c r="G8521">
        <f>IF(LEFT(B8521,1)="C","Credit","Factuur")</f>
        <v/>
      </c>
      <c r="H8521">
        <f>IF(AND(B8521=B8520,D8521=D8520,A8521=A8520,F8521=F8520),1,0)</f>
        <v/>
      </c>
      <c r="I8521">
        <f>IF(C8521="C99999",1,0)</f>
        <v/>
      </c>
      <c r="J8521" s="5">
        <f>IF(OR(H8521=1,I8521=1),0,IF(G8521="Credit",-F8521,F8521))</f>
        <v/>
      </c>
    </row>
    <row r="8522">
      <c r="A8522" t="inlineStr">
        <is>
          <t>2026-09-16</t>
        </is>
      </c>
      <c r="B8522" t="inlineStr">
        <is>
          <t>F276976</t>
        </is>
      </c>
      <c r="C8522" t="inlineStr">
        <is>
          <t>C10901</t>
        </is>
      </c>
      <c r="D8522" t="inlineStr">
        <is>
          <t>SKU-10252</t>
        </is>
      </c>
      <c r="E8522" t="inlineStr">
        <is>
          <t>AM02</t>
        </is>
      </c>
      <c r="F8522" s="5" t="n">
        <v>63.6</v>
      </c>
      <c r="G8522">
        <f>IF(LEFT(B8522,1)="C","Credit","Factuur")</f>
        <v/>
      </c>
      <c r="H8522">
        <f>IF(AND(B8522=B8521,D8522=D8521,A8522=A8521,F8522=F8521),1,0)</f>
        <v/>
      </c>
      <c r="I8522">
        <f>IF(C8522="C99999",1,0)</f>
        <v/>
      </c>
      <c r="J8522" s="5">
        <f>IF(OR(H8522=1,I8522=1),0,IF(G8522="Credit",-F8522,F8522))</f>
        <v/>
      </c>
    </row>
    <row r="8523">
      <c r="A8523" t="inlineStr">
        <is>
          <t>2026-09-16</t>
        </is>
      </c>
      <c r="B8523" t="inlineStr">
        <is>
          <t>F276976</t>
        </is>
      </c>
      <c r="C8523" t="inlineStr">
        <is>
          <t>C10901</t>
        </is>
      </c>
      <c r="D8523" t="inlineStr">
        <is>
          <t>SKU-10377</t>
        </is>
      </c>
      <c r="E8523" t="inlineStr">
        <is>
          <t>AM02</t>
        </is>
      </c>
      <c r="F8523" s="5" t="n">
        <v>79.98</v>
      </c>
      <c r="G8523">
        <f>IF(LEFT(B8523,1)="C","Credit","Factuur")</f>
        <v/>
      </c>
      <c r="H8523">
        <f>IF(AND(B8523=B8522,D8523=D8522,A8523=A8522,F8523=F8522),1,0)</f>
        <v/>
      </c>
      <c r="I8523">
        <f>IF(C8523="C99999",1,0)</f>
        <v/>
      </c>
      <c r="J8523" s="5">
        <f>IF(OR(H8523=1,I8523=1),0,IF(G8523="Credit",-F8523,F8523))</f>
        <v/>
      </c>
    </row>
    <row r="8524">
      <c r="A8524" t="inlineStr">
        <is>
          <t>2026-09-16</t>
        </is>
      </c>
      <c r="B8524" t="inlineStr">
        <is>
          <t>F278726</t>
        </is>
      </c>
      <c r="C8524" t="inlineStr">
        <is>
          <t>C10993</t>
        </is>
      </c>
      <c r="D8524" t="inlineStr">
        <is>
          <t>SKU-10023</t>
        </is>
      </c>
      <c r="E8524" t="inlineStr">
        <is>
          <t>AM11</t>
        </is>
      </c>
      <c r="F8524" s="5" t="n">
        <v>106.78</v>
      </c>
      <c r="G8524">
        <f>IF(LEFT(B8524,1)="C","Credit","Factuur")</f>
        <v/>
      </c>
      <c r="H8524">
        <f>IF(AND(B8524=B8523,D8524=D8523,A8524=A8523,F8524=F8523),1,0)</f>
        <v/>
      </c>
      <c r="I8524">
        <f>IF(C8524="C99999",1,0)</f>
        <v/>
      </c>
      <c r="J8524" s="5">
        <f>IF(OR(H8524=1,I8524=1),0,IF(G8524="Credit",-F8524,F8524))</f>
        <v/>
      </c>
    </row>
    <row r="8525">
      <c r="A8525" t="inlineStr">
        <is>
          <t>2026-09-16</t>
        </is>
      </c>
      <c r="B8525" t="inlineStr">
        <is>
          <t>F278726</t>
        </is>
      </c>
      <c r="C8525" t="inlineStr">
        <is>
          <t>C10993</t>
        </is>
      </c>
      <c r="D8525" t="inlineStr">
        <is>
          <t>SKU-10033</t>
        </is>
      </c>
      <c r="E8525" t="inlineStr">
        <is>
          <t>AM11</t>
        </is>
      </c>
      <c r="F8525" s="5" t="n">
        <v>109.85</v>
      </c>
      <c r="G8525">
        <f>IF(LEFT(B8525,1)="C","Credit","Factuur")</f>
        <v/>
      </c>
      <c r="H8525">
        <f>IF(AND(B8525=B8524,D8525=D8524,A8525=A8524,F8525=F8524),1,0)</f>
        <v/>
      </c>
      <c r="I8525">
        <f>IF(C8525="C99999",1,0)</f>
        <v/>
      </c>
      <c r="J8525" s="5">
        <f>IF(OR(H8525=1,I8525=1),0,IF(G8525="Credit",-F8525,F8525))</f>
        <v/>
      </c>
    </row>
    <row r="8526">
      <c r="A8526" t="inlineStr">
        <is>
          <t>2026-09-16</t>
        </is>
      </c>
      <c r="B8526" t="inlineStr">
        <is>
          <t>F278726</t>
        </is>
      </c>
      <c r="C8526" t="inlineStr">
        <is>
          <t>C10993</t>
        </is>
      </c>
      <c r="D8526" t="inlineStr">
        <is>
          <t>SKU-10251</t>
        </is>
      </c>
      <c r="E8526" t="inlineStr">
        <is>
          <t>AM11</t>
        </is>
      </c>
      <c r="F8526" s="5" t="n">
        <v>131.75</v>
      </c>
      <c r="G8526">
        <f>IF(LEFT(B8526,1)="C","Credit","Factuur")</f>
        <v/>
      </c>
      <c r="H8526">
        <f>IF(AND(B8526=B8525,D8526=D8525,A8526=A8525,F8526=F8525),1,0)</f>
        <v/>
      </c>
      <c r="I8526">
        <f>IF(C8526="C99999",1,0)</f>
        <v/>
      </c>
      <c r="J8526" s="5">
        <f>IF(OR(H8526=1,I8526=1),0,IF(G8526="Credit",-F8526,F8526))</f>
        <v/>
      </c>
    </row>
    <row r="8527">
      <c r="A8527" t="inlineStr">
        <is>
          <t>2026-09-16</t>
        </is>
      </c>
      <c r="B8527" t="inlineStr">
        <is>
          <t>F278726</t>
        </is>
      </c>
      <c r="C8527" t="inlineStr">
        <is>
          <t>C10993</t>
        </is>
      </c>
      <c r="D8527" t="inlineStr">
        <is>
          <t>SKU-10294</t>
        </is>
      </c>
      <c r="E8527" t="inlineStr">
        <is>
          <t>AM11</t>
        </is>
      </c>
      <c r="F8527" s="5" t="n">
        <v>97.34</v>
      </c>
      <c r="G8527">
        <f>IF(LEFT(B8527,1)="C","Credit","Factuur")</f>
        <v/>
      </c>
      <c r="H8527">
        <f>IF(AND(B8527=B8526,D8527=D8526,A8527=A8526,F8527=F8526),1,0)</f>
        <v/>
      </c>
      <c r="I8527">
        <f>IF(C8527="C99999",1,0)</f>
        <v/>
      </c>
      <c r="J8527" s="5">
        <f>IF(OR(H8527=1,I8527=1),0,IF(G8527="Credit",-F8527,F8527))</f>
        <v/>
      </c>
    </row>
    <row r="8528">
      <c r="A8528" t="inlineStr">
        <is>
          <t>2026-09-16</t>
        </is>
      </c>
      <c r="B8528" t="inlineStr">
        <is>
          <t>F278726</t>
        </is>
      </c>
      <c r="C8528" t="inlineStr">
        <is>
          <t>C10993</t>
        </is>
      </c>
      <c r="D8528" t="inlineStr">
        <is>
          <t>SKU-10330</t>
        </is>
      </c>
      <c r="E8528" t="inlineStr">
        <is>
          <t>AM11</t>
        </is>
      </c>
      <c r="F8528" s="5" t="n">
        <v>101.84</v>
      </c>
      <c r="G8528">
        <f>IF(LEFT(B8528,1)="C","Credit","Factuur")</f>
        <v/>
      </c>
      <c r="H8528">
        <f>IF(AND(B8528=B8527,D8528=D8527,A8528=A8527,F8528=F8527),1,0)</f>
        <v/>
      </c>
      <c r="I8528">
        <f>IF(C8528="C99999",1,0)</f>
        <v/>
      </c>
      <c r="J8528" s="5">
        <f>IF(OR(H8528=1,I8528=1),0,IF(G8528="Credit",-F8528,F8528))</f>
        <v/>
      </c>
    </row>
    <row r="8529">
      <c r="A8529" t="inlineStr">
        <is>
          <t>2026-09-16</t>
        </is>
      </c>
      <c r="B8529" t="inlineStr">
        <is>
          <t>F279220</t>
        </is>
      </c>
      <c r="C8529" t="inlineStr">
        <is>
          <t>C11020</t>
        </is>
      </c>
      <c r="D8529" t="inlineStr">
        <is>
          <t>SKU-10312</t>
        </is>
      </c>
      <c r="E8529" t="inlineStr">
        <is>
          <t>AM08</t>
        </is>
      </c>
      <c r="F8529" s="5" t="n">
        <v>516</v>
      </c>
      <c r="G8529">
        <f>IF(LEFT(B8529,1)="C","Credit","Factuur")</f>
        <v/>
      </c>
      <c r="H8529">
        <f>IF(AND(B8529=B8528,D8529=D8528,A8529=A8528,F8529=F8528),1,0)</f>
        <v/>
      </c>
      <c r="I8529">
        <f>IF(C8529="C99999",1,0)</f>
        <v/>
      </c>
      <c r="J8529" s="5">
        <f>IF(OR(H8529=1,I8529=1),0,IF(G8529="Credit",-F8529,F8529))</f>
        <v/>
      </c>
    </row>
    <row r="8530">
      <c r="A8530" t="inlineStr">
        <is>
          <t>2026-09-16</t>
        </is>
      </c>
      <c r="B8530" t="inlineStr">
        <is>
          <t>F279220</t>
        </is>
      </c>
      <c r="C8530" t="inlineStr">
        <is>
          <t>C11020</t>
        </is>
      </c>
      <c r="D8530" t="inlineStr">
        <is>
          <t>SKU-10371</t>
        </is>
      </c>
      <c r="E8530" t="inlineStr">
        <is>
          <t>AM08</t>
        </is>
      </c>
      <c r="F8530" s="5" t="n">
        <v>463.32</v>
      </c>
      <c r="G8530">
        <f>IF(LEFT(B8530,1)="C","Credit","Factuur")</f>
        <v/>
      </c>
      <c r="H8530">
        <f>IF(AND(B8530=B8529,D8530=D8529,A8530=A8529,F8530=F8529),1,0)</f>
        <v/>
      </c>
      <c r="I8530">
        <f>IF(C8530="C99999",1,0)</f>
        <v/>
      </c>
      <c r="J8530" s="5">
        <f>IF(OR(H8530=1,I8530=1),0,IF(G8530="Credit",-F8530,F8530))</f>
        <v/>
      </c>
    </row>
    <row r="8531">
      <c r="A8531" t="inlineStr">
        <is>
          <t>2026-09-16</t>
        </is>
      </c>
      <c r="B8531" t="inlineStr">
        <is>
          <t>F279251</t>
        </is>
      </c>
      <c r="C8531" t="inlineStr">
        <is>
          <t>C11022</t>
        </is>
      </c>
      <c r="D8531" t="inlineStr">
        <is>
          <t>SKU-10106</t>
        </is>
      </c>
      <c r="E8531" t="inlineStr">
        <is>
          <t>AM01</t>
        </is>
      </c>
      <c r="F8531" s="5" t="n">
        <v>294.4</v>
      </c>
      <c r="G8531">
        <f>IF(LEFT(B8531,1)="C","Credit","Factuur")</f>
        <v/>
      </c>
      <c r="H8531">
        <f>IF(AND(B8531=B8530,D8531=D8530,A8531=A8530,F8531=F8530),1,0)</f>
        <v/>
      </c>
      <c r="I8531">
        <f>IF(C8531="C99999",1,0)</f>
        <v/>
      </c>
      <c r="J8531" s="5">
        <f>IF(OR(H8531=1,I8531=1),0,IF(G8531="Credit",-F8531,F8531))</f>
        <v/>
      </c>
    </row>
    <row r="8532">
      <c r="A8532" t="inlineStr">
        <is>
          <t>2026-09-16</t>
        </is>
      </c>
      <c r="B8532" t="inlineStr">
        <is>
          <t>F279251</t>
        </is>
      </c>
      <c r="C8532" t="inlineStr">
        <is>
          <t>C11022</t>
        </is>
      </c>
      <c r="D8532" t="inlineStr">
        <is>
          <t>SKU-10253</t>
        </is>
      </c>
      <c r="E8532" t="inlineStr">
        <is>
          <t>AM01</t>
        </is>
      </c>
      <c r="F8532" s="5" t="n">
        <v>315.3</v>
      </c>
      <c r="G8532">
        <f>IF(LEFT(B8532,1)="C","Credit","Factuur")</f>
        <v/>
      </c>
      <c r="H8532">
        <f>IF(AND(B8532=B8531,D8532=D8531,A8532=A8531,F8532=F8531),1,0)</f>
        <v/>
      </c>
      <c r="I8532">
        <f>IF(C8532="C99999",1,0)</f>
        <v/>
      </c>
      <c r="J8532" s="5">
        <f>IF(OR(H8532=1,I8532=1),0,IF(G8532="Credit",-F8532,F8532))</f>
        <v/>
      </c>
    </row>
    <row r="8533">
      <c r="A8533" t="inlineStr">
        <is>
          <t>2026-09-16</t>
        </is>
      </c>
      <c r="B8533" t="inlineStr">
        <is>
          <t>F280322</t>
        </is>
      </c>
      <c r="C8533" t="inlineStr">
        <is>
          <t>C11074</t>
        </is>
      </c>
      <c r="D8533" t="inlineStr">
        <is>
          <t>SKU-10006</t>
        </is>
      </c>
      <c r="E8533" t="inlineStr">
        <is>
          <t>AM12</t>
        </is>
      </c>
      <c r="F8533" s="5" t="n">
        <v>653.3099999999999</v>
      </c>
      <c r="G8533">
        <f>IF(LEFT(B8533,1)="C","Credit","Factuur")</f>
        <v/>
      </c>
      <c r="H8533">
        <f>IF(AND(B8533=B8532,D8533=D8532,A8533=A8532,F8533=F8532),1,0)</f>
        <v/>
      </c>
      <c r="I8533">
        <f>IF(C8533="C99999",1,0)</f>
        <v/>
      </c>
      <c r="J8533" s="5">
        <f>IF(OR(H8533=1,I8533=1),0,IF(G8533="Credit",-F8533,F8533))</f>
        <v/>
      </c>
    </row>
    <row r="8534">
      <c r="A8534" t="inlineStr">
        <is>
          <t>2026-09-16</t>
        </is>
      </c>
      <c r="B8534" t="inlineStr">
        <is>
          <t>F280492</t>
        </is>
      </c>
      <c r="C8534" t="inlineStr">
        <is>
          <t>C11080</t>
        </is>
      </c>
      <c r="D8534" t="inlineStr">
        <is>
          <t>SKU-10006</t>
        </is>
      </c>
      <c r="E8534" t="inlineStr">
        <is>
          <t>AM01</t>
        </is>
      </c>
      <c r="F8534" s="5" t="n">
        <v>1405.92</v>
      </c>
      <c r="G8534">
        <f>IF(LEFT(B8534,1)="C","Credit","Factuur")</f>
        <v/>
      </c>
      <c r="H8534">
        <f>IF(AND(B8534=B8533,D8534=D8533,A8534=A8533,F8534=F8533),1,0)</f>
        <v/>
      </c>
      <c r="I8534">
        <f>IF(C8534="C99999",1,0)</f>
        <v/>
      </c>
      <c r="J8534" s="5">
        <f>IF(OR(H8534=1,I8534=1),0,IF(G8534="Credit",-F8534,F8534))</f>
        <v/>
      </c>
    </row>
    <row r="8535">
      <c r="A8535" t="inlineStr">
        <is>
          <t>2026-09-16</t>
        </is>
      </c>
      <c r="B8535" t="inlineStr">
        <is>
          <t>F280492</t>
        </is>
      </c>
      <c r="C8535" t="inlineStr">
        <is>
          <t>C11080</t>
        </is>
      </c>
      <c r="D8535" t="inlineStr">
        <is>
          <t>SKU-10127</t>
        </is>
      </c>
      <c r="E8535" t="inlineStr">
        <is>
          <t>AM01</t>
        </is>
      </c>
      <c r="F8535" s="5" t="n">
        <v>1373.25</v>
      </c>
      <c r="G8535">
        <f>IF(LEFT(B8535,1)="C","Credit","Factuur")</f>
        <v/>
      </c>
      <c r="H8535">
        <f>IF(AND(B8535=B8534,D8535=D8534,A8535=A8534,F8535=F8534),1,0)</f>
        <v/>
      </c>
      <c r="I8535">
        <f>IF(C8535="C99999",1,0)</f>
        <v/>
      </c>
      <c r="J8535" s="5">
        <f>IF(OR(H8535=1,I8535=1),0,IF(G8535="Credit",-F8535,F8535))</f>
        <v/>
      </c>
    </row>
    <row r="8536">
      <c r="A8536" t="inlineStr">
        <is>
          <t>2026-09-16</t>
        </is>
      </c>
      <c r="B8536" t="inlineStr">
        <is>
          <t>F280492</t>
        </is>
      </c>
      <c r="C8536" t="inlineStr">
        <is>
          <t>C11080</t>
        </is>
      </c>
      <c r="D8536" t="inlineStr">
        <is>
          <t>SKU-10137</t>
        </is>
      </c>
      <c r="E8536" t="inlineStr">
        <is>
          <t>AM01</t>
        </is>
      </c>
      <c r="F8536" s="5" t="n">
        <v>1307.48</v>
      </c>
      <c r="G8536">
        <f>IF(LEFT(B8536,1)="C","Credit","Factuur")</f>
        <v/>
      </c>
      <c r="H8536">
        <f>IF(AND(B8536=B8535,D8536=D8535,A8536=A8535,F8536=F8535),1,0)</f>
        <v/>
      </c>
      <c r="I8536">
        <f>IF(C8536="C99999",1,0)</f>
        <v/>
      </c>
      <c r="J8536" s="5">
        <f>IF(OR(H8536=1,I8536=1),0,IF(G8536="Credit",-F8536,F8536))</f>
        <v/>
      </c>
    </row>
    <row r="8537">
      <c r="A8537" t="inlineStr">
        <is>
          <t>2026-09-16</t>
        </is>
      </c>
      <c r="B8537" t="inlineStr">
        <is>
          <t>F280492</t>
        </is>
      </c>
      <c r="C8537" t="inlineStr">
        <is>
          <t>C11080</t>
        </is>
      </c>
      <c r="D8537" t="inlineStr">
        <is>
          <t>SKU-10382</t>
        </is>
      </c>
      <c r="E8537" t="inlineStr">
        <is>
          <t>AM01</t>
        </is>
      </c>
      <c r="F8537" s="5" t="n">
        <v>1411.92</v>
      </c>
      <c r="G8537">
        <f>IF(LEFT(B8537,1)="C","Credit","Factuur")</f>
        <v/>
      </c>
      <c r="H8537">
        <f>IF(AND(B8537=B8536,D8537=D8536,A8537=A8536,F8537=F8536),1,0)</f>
        <v/>
      </c>
      <c r="I8537">
        <f>IF(C8537="C99999",1,0)</f>
        <v/>
      </c>
      <c r="J8537" s="5">
        <f>IF(OR(H8537=1,I8537=1),0,IF(G8537="Credit",-F8537,F8537))</f>
        <v/>
      </c>
    </row>
    <row r="8538">
      <c r="A8538" t="inlineStr">
        <is>
          <t>2026-09-16</t>
        </is>
      </c>
      <c r="B8538" t="inlineStr">
        <is>
          <t>F280798</t>
        </is>
      </c>
      <c r="C8538" t="inlineStr">
        <is>
          <t>C11096</t>
        </is>
      </c>
      <c r="D8538" t="inlineStr">
        <is>
          <t>SKU-10183</t>
        </is>
      </c>
      <c r="E8538" t="inlineStr">
        <is>
          <t>AM11</t>
        </is>
      </c>
      <c r="F8538" s="5" t="n">
        <v>1479.6</v>
      </c>
      <c r="G8538">
        <f>IF(LEFT(B8538,1)="C","Credit","Factuur")</f>
        <v/>
      </c>
      <c r="H8538">
        <f>IF(AND(B8538=B8537,D8538=D8537,A8538=A8537,F8538=F8537),1,0)</f>
        <v/>
      </c>
      <c r="I8538">
        <f>IF(C8538="C99999",1,0)</f>
        <v/>
      </c>
      <c r="J8538" s="5">
        <f>IF(OR(H8538=1,I8538=1),0,IF(G8538="Credit",-F8538,F8538))</f>
        <v/>
      </c>
    </row>
    <row r="8539">
      <c r="A8539" t="inlineStr">
        <is>
          <t>2026-09-16</t>
        </is>
      </c>
      <c r="B8539" t="inlineStr">
        <is>
          <t>F281412</t>
        </is>
      </c>
      <c r="C8539" t="inlineStr">
        <is>
          <t>C11129</t>
        </is>
      </c>
      <c r="D8539" t="inlineStr">
        <is>
          <t>SKU-10085</t>
        </is>
      </c>
      <c r="E8539" t="inlineStr">
        <is>
          <t>AM01</t>
        </is>
      </c>
      <c r="F8539" s="5" t="n">
        <v>3550.5</v>
      </c>
      <c r="G8539">
        <f>IF(LEFT(B8539,1)="C","Credit","Factuur")</f>
        <v/>
      </c>
      <c r="H8539">
        <f>IF(AND(B8539=B8538,D8539=D8538,A8539=A8538,F8539=F8538),1,0)</f>
        <v/>
      </c>
      <c r="I8539">
        <f>IF(C8539="C99999",1,0)</f>
        <v/>
      </c>
      <c r="J8539" s="5">
        <f>IF(OR(H8539=1,I8539=1),0,IF(G8539="Credit",-F8539,F8539))</f>
        <v/>
      </c>
    </row>
    <row r="8540">
      <c r="A8540" t="inlineStr">
        <is>
          <t>2026-09-16</t>
        </is>
      </c>
      <c r="B8540" t="inlineStr">
        <is>
          <t>F281412</t>
        </is>
      </c>
      <c r="C8540" t="inlineStr">
        <is>
          <t>C11129</t>
        </is>
      </c>
      <c r="D8540" t="inlineStr">
        <is>
          <t>SKU-10337</t>
        </is>
      </c>
      <c r="E8540" t="inlineStr">
        <is>
          <t>AM01</t>
        </is>
      </c>
      <c r="F8540" s="5" t="n">
        <v>3365.99</v>
      </c>
      <c r="G8540">
        <f>IF(LEFT(B8540,1)="C","Credit","Factuur")</f>
        <v/>
      </c>
      <c r="H8540">
        <f>IF(AND(B8540=B8539,D8540=D8539,A8540=A8539,F8540=F8539),1,0)</f>
        <v/>
      </c>
      <c r="I8540">
        <f>IF(C8540="C99999",1,0)</f>
        <v/>
      </c>
      <c r="J8540" s="5">
        <f>IF(OR(H8540=1,I8540=1),0,IF(G8540="Credit",-F8540,F8540))</f>
        <v/>
      </c>
    </row>
    <row r="8541">
      <c r="A8541" t="inlineStr">
        <is>
          <t>2026-09-16</t>
        </is>
      </c>
      <c r="B8541" t="inlineStr">
        <is>
          <t>F282308</t>
        </is>
      </c>
      <c r="C8541" t="inlineStr">
        <is>
          <t>C11170</t>
        </is>
      </c>
      <c r="D8541" t="inlineStr">
        <is>
          <t>SKU-10169</t>
        </is>
      </c>
      <c r="E8541" t="inlineStr">
        <is>
          <t>AM07</t>
        </is>
      </c>
      <c r="F8541" s="5" t="n">
        <v>308.6</v>
      </c>
      <c r="G8541">
        <f>IF(LEFT(B8541,1)="C","Credit","Factuur")</f>
        <v/>
      </c>
      <c r="H8541">
        <f>IF(AND(B8541=B8540,D8541=D8540,A8541=A8540,F8541=F8540),1,0)</f>
        <v/>
      </c>
      <c r="I8541">
        <f>IF(C8541="C99999",1,0)</f>
        <v/>
      </c>
      <c r="J8541" s="5">
        <f>IF(OR(H8541=1,I8541=1),0,IF(G8541="Credit",-F8541,F8541))</f>
        <v/>
      </c>
    </row>
    <row r="8542">
      <c r="A8542" t="inlineStr">
        <is>
          <t>2026-09-16</t>
        </is>
      </c>
      <c r="B8542" t="inlineStr">
        <is>
          <t>F282308</t>
        </is>
      </c>
      <c r="C8542" t="inlineStr">
        <is>
          <t>C11170</t>
        </is>
      </c>
      <c r="D8542" t="inlineStr">
        <is>
          <t>SKU-10184</t>
        </is>
      </c>
      <c r="E8542" t="inlineStr">
        <is>
          <t>AM07</t>
        </is>
      </c>
      <c r="F8542" s="5" t="n">
        <v>311.28</v>
      </c>
      <c r="G8542">
        <f>IF(LEFT(B8542,1)="C","Credit","Factuur")</f>
        <v/>
      </c>
      <c r="H8542">
        <f>IF(AND(B8542=B8541,D8542=D8541,A8542=A8541,F8542=F8541),1,0)</f>
        <v/>
      </c>
      <c r="I8542">
        <f>IF(C8542="C99999",1,0)</f>
        <v/>
      </c>
      <c r="J8542" s="5">
        <f>IF(OR(H8542=1,I8542=1),0,IF(G8542="Credit",-F8542,F8542))</f>
        <v/>
      </c>
    </row>
    <row r="8543">
      <c r="A8543" t="inlineStr">
        <is>
          <t>2026-09-16</t>
        </is>
      </c>
      <c r="B8543" t="inlineStr">
        <is>
          <t>F282388</t>
        </is>
      </c>
      <c r="C8543" t="inlineStr">
        <is>
          <t>C11175</t>
        </is>
      </c>
      <c r="D8543" t="inlineStr">
        <is>
          <t>SKU-10221</t>
        </is>
      </c>
      <c r="E8543" t="inlineStr">
        <is>
          <t>AM03</t>
        </is>
      </c>
      <c r="F8543" s="5" t="n">
        <v>1528.92</v>
      </c>
      <c r="G8543">
        <f>IF(LEFT(B8543,1)="C","Credit","Factuur")</f>
        <v/>
      </c>
      <c r="H8543">
        <f>IF(AND(B8543=B8542,D8543=D8542,A8543=A8542,F8543=F8542),1,0)</f>
        <v/>
      </c>
      <c r="I8543">
        <f>IF(C8543="C99999",1,0)</f>
        <v/>
      </c>
      <c r="J8543" s="5">
        <f>IF(OR(H8543=1,I8543=1),0,IF(G8543="Credit",-F8543,F8543))</f>
        <v/>
      </c>
    </row>
    <row r="8544">
      <c r="A8544" t="inlineStr">
        <is>
          <t>2026-09-16</t>
        </is>
      </c>
      <c r="B8544" t="inlineStr">
        <is>
          <t>F282431</t>
        </is>
      </c>
      <c r="C8544" t="inlineStr">
        <is>
          <t>C11178</t>
        </is>
      </c>
      <c r="D8544" t="inlineStr">
        <is>
          <t>SKU-10288</t>
        </is>
      </c>
      <c r="E8544" t="inlineStr">
        <is>
          <t>AM08</t>
        </is>
      </c>
      <c r="F8544" s="5" t="n">
        <v>804.25</v>
      </c>
      <c r="G8544">
        <f>IF(LEFT(B8544,1)="C","Credit","Factuur")</f>
        <v/>
      </c>
      <c r="H8544">
        <f>IF(AND(B8544=B8543,D8544=D8543,A8544=A8543,F8544=F8543),1,0)</f>
        <v/>
      </c>
      <c r="I8544">
        <f>IF(C8544="C99999",1,0)</f>
        <v/>
      </c>
      <c r="J8544" s="5">
        <f>IF(OR(H8544=1,I8544=1),0,IF(G8544="Credit",-F8544,F8544))</f>
        <v/>
      </c>
    </row>
    <row r="8545">
      <c r="A8545" t="inlineStr">
        <is>
          <t>2026-09-16</t>
        </is>
      </c>
      <c r="B8545" t="inlineStr">
        <is>
          <t>F282781</t>
        </is>
      </c>
      <c r="C8545" t="inlineStr">
        <is>
          <t>C11196</t>
        </is>
      </c>
      <c r="D8545" t="inlineStr">
        <is>
          <t>SKU-10035</t>
        </is>
      </c>
      <c r="E8545" t="inlineStr">
        <is>
          <t>AM08</t>
        </is>
      </c>
      <c r="F8545" s="5" t="n">
        <v>73.3</v>
      </c>
      <c r="G8545">
        <f>IF(LEFT(B8545,1)="C","Credit","Factuur")</f>
        <v/>
      </c>
      <c r="H8545">
        <f>IF(AND(B8545=B8544,D8545=D8544,A8545=A8544,F8545=F8544),1,0)</f>
        <v/>
      </c>
      <c r="I8545">
        <f>IF(C8545="C99999",1,0)</f>
        <v/>
      </c>
      <c r="J8545" s="5">
        <f>IF(OR(H8545=1,I8545=1),0,IF(G8545="Credit",-F8545,F8545))</f>
        <v/>
      </c>
    </row>
    <row r="8546">
      <c r="A8546" t="inlineStr">
        <is>
          <t>2026-09-16</t>
        </is>
      </c>
      <c r="B8546" t="inlineStr">
        <is>
          <t>F282781</t>
        </is>
      </c>
      <c r="C8546" t="inlineStr">
        <is>
          <t>C11196</t>
        </is>
      </c>
      <c r="D8546" t="inlineStr">
        <is>
          <t>SKU-10091</t>
        </is>
      </c>
      <c r="E8546" t="inlineStr">
        <is>
          <t>AM08</t>
        </is>
      </c>
      <c r="F8546" s="5" t="n">
        <v>117.43</v>
      </c>
      <c r="G8546">
        <f>IF(LEFT(B8546,1)="C","Credit","Factuur")</f>
        <v/>
      </c>
      <c r="H8546">
        <f>IF(AND(B8546=B8545,D8546=D8545,A8546=A8545,F8546=F8545),1,0)</f>
        <v/>
      </c>
      <c r="I8546">
        <f>IF(C8546="C99999",1,0)</f>
        <v/>
      </c>
      <c r="J8546" s="5">
        <f>IF(OR(H8546=1,I8546=1),0,IF(G8546="Credit",-F8546,F8546))</f>
        <v/>
      </c>
    </row>
    <row r="8547">
      <c r="A8547" t="inlineStr">
        <is>
          <t>2026-09-16</t>
        </is>
      </c>
      <c r="B8547" t="inlineStr">
        <is>
          <t>F282781</t>
        </is>
      </c>
      <c r="C8547" t="inlineStr">
        <is>
          <t>C11196</t>
        </is>
      </c>
      <c r="D8547" t="inlineStr">
        <is>
          <t>SKU-10128</t>
        </is>
      </c>
      <c r="E8547" t="inlineStr">
        <is>
          <t>AM08</t>
        </is>
      </c>
      <c r="F8547" s="5" t="n">
        <v>71.42</v>
      </c>
      <c r="G8547">
        <f>IF(LEFT(B8547,1)="C","Credit","Factuur")</f>
        <v/>
      </c>
      <c r="H8547">
        <f>IF(AND(B8547=B8546,D8547=D8546,A8547=A8546,F8547=F8546),1,0)</f>
        <v/>
      </c>
      <c r="I8547">
        <f>IF(C8547="C99999",1,0)</f>
        <v/>
      </c>
      <c r="J8547" s="5">
        <f>IF(OR(H8547=1,I8547=1),0,IF(G8547="Credit",-F8547,F8547))</f>
        <v/>
      </c>
    </row>
    <row r="8548">
      <c r="A8548" t="inlineStr">
        <is>
          <t>2026-09-16</t>
        </is>
      </c>
      <c r="B8548" t="inlineStr">
        <is>
          <t>F282781</t>
        </is>
      </c>
      <c r="C8548" t="inlineStr">
        <is>
          <t>C11196</t>
        </is>
      </c>
      <c r="D8548" t="inlineStr">
        <is>
          <t>SKU-10245</t>
        </is>
      </c>
      <c r="E8548" t="inlineStr">
        <is>
          <t>AM08</t>
        </is>
      </c>
      <c r="F8548" s="5" t="n">
        <v>83.59999999999999</v>
      </c>
      <c r="G8548">
        <f>IF(LEFT(B8548,1)="C","Credit","Factuur")</f>
        <v/>
      </c>
      <c r="H8548">
        <f>IF(AND(B8548=B8547,D8548=D8547,A8548=A8547,F8548=F8547),1,0)</f>
        <v/>
      </c>
      <c r="I8548">
        <f>IF(C8548="C99999",1,0)</f>
        <v/>
      </c>
      <c r="J8548" s="5">
        <f>IF(OR(H8548=1,I8548=1),0,IF(G8548="Credit",-F8548,F8548))</f>
        <v/>
      </c>
    </row>
    <row r="8549">
      <c r="A8549" t="inlineStr">
        <is>
          <t>2026-09-16</t>
        </is>
      </c>
      <c r="B8549" t="inlineStr">
        <is>
          <t>F285019</t>
        </is>
      </c>
      <c r="C8549" t="inlineStr">
        <is>
          <t>C11309</t>
        </is>
      </c>
      <c r="D8549" t="inlineStr">
        <is>
          <t>SKU-10274</t>
        </is>
      </c>
      <c r="E8549" t="inlineStr">
        <is>
          <t>AM05</t>
        </is>
      </c>
      <c r="F8549" s="5" t="n">
        <v>170.71</v>
      </c>
      <c r="G8549">
        <f>IF(LEFT(B8549,1)="C","Credit","Factuur")</f>
        <v/>
      </c>
      <c r="H8549">
        <f>IF(AND(B8549=B8548,D8549=D8548,A8549=A8548,F8549=F8548),1,0)</f>
        <v/>
      </c>
      <c r="I8549">
        <f>IF(C8549="C99999",1,0)</f>
        <v/>
      </c>
      <c r="J8549" s="5">
        <f>IF(OR(H8549=1,I8549=1),0,IF(G8549="Credit",-F8549,F8549))</f>
        <v/>
      </c>
    </row>
    <row r="8550">
      <c r="A8550" t="inlineStr">
        <is>
          <t>2026-09-16</t>
        </is>
      </c>
      <c r="B8550" t="inlineStr">
        <is>
          <t>F285019</t>
        </is>
      </c>
      <c r="C8550" t="inlineStr">
        <is>
          <t>C11309</t>
        </is>
      </c>
      <c r="D8550" t="inlineStr">
        <is>
          <t>SKU-10285</t>
        </is>
      </c>
      <c r="E8550" t="inlineStr">
        <is>
          <t>AM05</t>
        </is>
      </c>
      <c r="F8550" s="5" t="n">
        <v>172.26</v>
      </c>
      <c r="G8550">
        <f>IF(LEFT(B8550,1)="C","Credit","Factuur")</f>
        <v/>
      </c>
      <c r="H8550">
        <f>IF(AND(B8550=B8549,D8550=D8549,A8550=A8549,F8550=F8549),1,0)</f>
        <v/>
      </c>
      <c r="I8550">
        <f>IF(C8550="C99999",1,0)</f>
        <v/>
      </c>
      <c r="J8550" s="5">
        <f>IF(OR(H8550=1,I8550=1),0,IF(G8550="Credit",-F8550,F8550))</f>
        <v/>
      </c>
    </row>
    <row r="8551">
      <c r="A8551" t="inlineStr">
        <is>
          <t>2026-09-16</t>
        </is>
      </c>
      <c r="B8551" t="inlineStr">
        <is>
          <t>F285019</t>
        </is>
      </c>
      <c r="C8551" t="inlineStr">
        <is>
          <t>C11309</t>
        </is>
      </c>
      <c r="D8551" t="inlineStr">
        <is>
          <t>SKU-10326</t>
        </is>
      </c>
      <c r="E8551" t="inlineStr">
        <is>
          <t>AM05</t>
        </is>
      </c>
      <c r="F8551" s="5" t="n">
        <v>158</v>
      </c>
      <c r="G8551">
        <f>IF(LEFT(B8551,1)="C","Credit","Factuur")</f>
        <v/>
      </c>
      <c r="H8551">
        <f>IF(AND(B8551=B8550,D8551=D8550,A8551=A8550,F8551=F8550),1,0)</f>
        <v/>
      </c>
      <c r="I8551">
        <f>IF(C8551="C99999",1,0)</f>
        <v/>
      </c>
      <c r="J8551" s="5">
        <f>IF(OR(H8551=1,I8551=1),0,IF(G8551="Credit",-F8551,F8551))</f>
        <v/>
      </c>
    </row>
    <row r="8552">
      <c r="A8552" t="inlineStr">
        <is>
          <t>2026-09-16</t>
        </is>
      </c>
      <c r="B8552" t="inlineStr">
        <is>
          <t>F285019</t>
        </is>
      </c>
      <c r="C8552" t="inlineStr">
        <is>
          <t>C11309</t>
        </is>
      </c>
      <c r="D8552" t="inlineStr">
        <is>
          <t>SKU-10367</t>
        </is>
      </c>
      <c r="E8552" t="inlineStr">
        <is>
          <t>AM05</t>
        </is>
      </c>
      <c r="F8552" s="5" t="n">
        <v>191.45</v>
      </c>
      <c r="G8552">
        <f>IF(LEFT(B8552,1)="C","Credit","Factuur")</f>
        <v/>
      </c>
      <c r="H8552">
        <f>IF(AND(B8552=B8551,D8552=D8551,A8552=A8551,F8552=F8551),1,0)</f>
        <v/>
      </c>
      <c r="I8552">
        <f>IF(C8552="C99999",1,0)</f>
        <v/>
      </c>
      <c r="J8552" s="5">
        <f>IF(OR(H8552=1,I8552=1),0,IF(G8552="Credit",-F8552,F8552))</f>
        <v/>
      </c>
    </row>
    <row r="8553">
      <c r="A8553" t="inlineStr">
        <is>
          <t>2026-09-16</t>
        </is>
      </c>
      <c r="B8553" t="inlineStr">
        <is>
          <t>F285149</t>
        </is>
      </c>
      <c r="C8553" t="inlineStr">
        <is>
          <t>C11318</t>
        </is>
      </c>
      <c r="D8553" t="inlineStr">
        <is>
          <t>SKU-10096</t>
        </is>
      </c>
      <c r="E8553" t="inlineStr">
        <is>
          <t>AM01</t>
        </is>
      </c>
      <c r="F8553" s="5" t="n">
        <v>572.1</v>
      </c>
      <c r="G8553">
        <f>IF(LEFT(B8553,1)="C","Credit","Factuur")</f>
        <v/>
      </c>
      <c r="H8553">
        <f>IF(AND(B8553=B8552,D8553=D8552,A8553=A8552,F8553=F8552),1,0)</f>
        <v/>
      </c>
      <c r="I8553">
        <f>IF(C8553="C99999",1,0)</f>
        <v/>
      </c>
      <c r="J8553" s="5">
        <f>IF(OR(H8553=1,I8553=1),0,IF(G8553="Credit",-F8553,F8553))</f>
        <v/>
      </c>
    </row>
    <row r="8554">
      <c r="A8554" t="inlineStr">
        <is>
          <t>2026-09-16</t>
        </is>
      </c>
      <c r="B8554" t="inlineStr">
        <is>
          <t>F285149</t>
        </is>
      </c>
      <c r="C8554" t="inlineStr">
        <is>
          <t>C11318</t>
        </is>
      </c>
      <c r="D8554" t="inlineStr">
        <is>
          <t>SKU-10116</t>
        </is>
      </c>
      <c r="E8554" t="inlineStr">
        <is>
          <t>AM01</t>
        </is>
      </c>
      <c r="F8554" s="5" t="n">
        <v>520.8</v>
      </c>
      <c r="G8554">
        <f>IF(LEFT(B8554,1)="C","Credit","Factuur")</f>
        <v/>
      </c>
      <c r="H8554">
        <f>IF(AND(B8554=B8553,D8554=D8553,A8554=A8553,F8554=F8553),1,0)</f>
        <v/>
      </c>
      <c r="I8554">
        <f>IF(C8554="C99999",1,0)</f>
        <v/>
      </c>
      <c r="J8554" s="5">
        <f>IF(OR(H8554=1,I8554=1),0,IF(G8554="Credit",-F8554,F8554))</f>
        <v/>
      </c>
    </row>
    <row r="8555">
      <c r="A8555" t="inlineStr">
        <is>
          <t>2026-09-16</t>
        </is>
      </c>
      <c r="B8555" t="inlineStr">
        <is>
          <t>F285149</t>
        </is>
      </c>
      <c r="C8555" t="inlineStr">
        <is>
          <t>C11318</t>
        </is>
      </c>
      <c r="D8555" t="inlineStr">
        <is>
          <t>SKU-10118</t>
        </is>
      </c>
      <c r="E8555" t="inlineStr">
        <is>
          <t>AM01</t>
        </is>
      </c>
      <c r="F8555" s="5" t="n">
        <v>525.3099999999999</v>
      </c>
      <c r="G8555">
        <f>IF(LEFT(B8555,1)="C","Credit","Factuur")</f>
        <v/>
      </c>
      <c r="H8555">
        <f>IF(AND(B8555=B8554,D8555=D8554,A8555=A8554,F8555=F8554),1,0)</f>
        <v/>
      </c>
      <c r="I8555">
        <f>IF(C8555="C99999",1,0)</f>
        <v/>
      </c>
      <c r="J8555" s="5">
        <f>IF(OR(H8555=1,I8555=1),0,IF(G8555="Credit",-F8555,F8555))</f>
        <v/>
      </c>
    </row>
    <row r="8556">
      <c r="A8556" t="inlineStr">
        <is>
          <t>2026-09-16</t>
        </is>
      </c>
      <c r="B8556" t="inlineStr">
        <is>
          <t>F285149</t>
        </is>
      </c>
      <c r="C8556" t="inlineStr">
        <is>
          <t>C11318</t>
        </is>
      </c>
      <c r="D8556" t="inlineStr">
        <is>
          <t>SKU-10144</t>
        </is>
      </c>
      <c r="E8556" t="inlineStr">
        <is>
          <t>AM01</t>
        </is>
      </c>
      <c r="F8556" s="5" t="n">
        <v>592.1</v>
      </c>
      <c r="G8556">
        <f>IF(LEFT(B8556,1)="C","Credit","Factuur")</f>
        <v/>
      </c>
      <c r="H8556">
        <f>IF(AND(B8556=B8555,D8556=D8555,A8556=A8555,F8556=F8555),1,0)</f>
        <v/>
      </c>
      <c r="I8556">
        <f>IF(C8556="C99999",1,0)</f>
        <v/>
      </c>
      <c r="J8556" s="5">
        <f>IF(OR(H8556=1,I8556=1),0,IF(G8556="Credit",-F8556,F8556))</f>
        <v/>
      </c>
    </row>
    <row r="8557">
      <c r="A8557" t="inlineStr">
        <is>
          <t>2026-09-17</t>
        </is>
      </c>
      <c r="B8557" t="inlineStr">
        <is>
          <t>C901113</t>
        </is>
      </c>
      <c r="C8557" t="inlineStr">
        <is>
          <t>C11310</t>
        </is>
      </c>
      <c r="D8557" t="inlineStr">
        <is>
          <t>SKU-10298</t>
        </is>
      </c>
      <c r="E8557" t="inlineStr">
        <is>
          <t>AM02</t>
        </is>
      </c>
      <c r="F8557" s="5" t="n">
        <v>37.65</v>
      </c>
      <c r="G8557">
        <f>IF(LEFT(B8557,1)="C","Credit","Factuur")</f>
        <v/>
      </c>
      <c r="H8557">
        <f>IF(AND(B8557=B8556,D8557=D8556,A8557=A8556,F8557=F8556),1,0)</f>
        <v/>
      </c>
      <c r="I8557">
        <f>IF(C8557="C99999",1,0)</f>
        <v/>
      </c>
      <c r="J8557" s="5">
        <f>IF(OR(H8557=1,I8557=1),0,IF(G8557="Credit",-F8557,F8557))</f>
        <v/>
      </c>
    </row>
    <row r="8558">
      <c r="A8558" t="inlineStr">
        <is>
          <t>2026-09-17</t>
        </is>
      </c>
      <c r="B8558" t="inlineStr">
        <is>
          <t>F260470</t>
        </is>
      </c>
      <c r="C8558" t="inlineStr">
        <is>
          <t>C10025</t>
        </is>
      </c>
      <c r="D8558" t="inlineStr">
        <is>
          <t>SKU-10013</t>
        </is>
      </c>
      <c r="E8558" t="inlineStr">
        <is>
          <t>AM05</t>
        </is>
      </c>
      <c r="F8558" s="5" t="n">
        <v>300.88</v>
      </c>
      <c r="G8558">
        <f>IF(LEFT(B8558,1)="C","Credit","Factuur")</f>
        <v/>
      </c>
      <c r="H8558">
        <f>IF(AND(B8558=B8557,D8558=D8557,A8558=A8557,F8558=F8557),1,0)</f>
        <v/>
      </c>
      <c r="I8558">
        <f>IF(C8558="C99999",1,0)</f>
        <v/>
      </c>
      <c r="J8558" s="5">
        <f>IF(OR(H8558=1,I8558=1),0,IF(G8558="Credit",-F8558,F8558))</f>
        <v/>
      </c>
    </row>
    <row r="8559">
      <c r="A8559" t="inlineStr">
        <is>
          <t>2026-09-17</t>
        </is>
      </c>
      <c r="B8559" t="inlineStr">
        <is>
          <t>F260470</t>
        </is>
      </c>
      <c r="C8559" t="inlineStr">
        <is>
          <t>C10025</t>
        </is>
      </c>
      <c r="D8559" t="inlineStr">
        <is>
          <t>SKU-10127</t>
        </is>
      </c>
      <c r="E8559" t="inlineStr">
        <is>
          <t>AM05</t>
        </is>
      </c>
      <c r="F8559" s="5" t="n">
        <v>274.65</v>
      </c>
      <c r="G8559">
        <f>IF(LEFT(B8559,1)="C","Credit","Factuur")</f>
        <v/>
      </c>
      <c r="H8559">
        <f>IF(AND(B8559=B8558,D8559=D8558,A8559=A8558,F8559=F8558),1,0)</f>
        <v/>
      </c>
      <c r="I8559">
        <f>IF(C8559="C99999",1,0)</f>
        <v/>
      </c>
      <c r="J8559" s="5">
        <f>IF(OR(H8559=1,I8559=1),0,IF(G8559="Credit",-F8559,F8559))</f>
        <v/>
      </c>
    </row>
    <row r="8560">
      <c r="A8560" t="inlineStr">
        <is>
          <t>2026-09-17</t>
        </is>
      </c>
      <c r="B8560" t="inlineStr">
        <is>
          <t>F260470</t>
        </is>
      </c>
      <c r="C8560" t="inlineStr">
        <is>
          <t>C10025</t>
        </is>
      </c>
      <c r="D8560" t="inlineStr">
        <is>
          <t>SKU-10324</t>
        </is>
      </c>
      <c r="E8560" t="inlineStr">
        <is>
          <t>AM05</t>
        </is>
      </c>
      <c r="F8560" s="5" t="n">
        <v>282.36</v>
      </c>
      <c r="G8560">
        <f>IF(LEFT(B8560,1)="C","Credit","Factuur")</f>
        <v/>
      </c>
      <c r="H8560">
        <f>IF(AND(B8560=B8559,D8560=D8559,A8560=A8559,F8560=F8559),1,0)</f>
        <v/>
      </c>
      <c r="I8560">
        <f>IF(C8560="C99999",1,0)</f>
        <v/>
      </c>
      <c r="J8560" s="5">
        <f>IF(OR(H8560=1,I8560=1),0,IF(G8560="Credit",-F8560,F8560))</f>
        <v/>
      </c>
    </row>
    <row r="8561">
      <c r="A8561" t="inlineStr">
        <is>
          <t>2026-09-17</t>
        </is>
      </c>
      <c r="B8561" t="inlineStr">
        <is>
          <t>F260470</t>
        </is>
      </c>
      <c r="C8561" t="inlineStr">
        <is>
          <t>C10025</t>
        </is>
      </c>
      <c r="D8561" t="inlineStr">
        <is>
          <t>SKU-10327</t>
        </is>
      </c>
      <c r="E8561" t="inlineStr">
        <is>
          <t>AM05</t>
        </is>
      </c>
      <c r="F8561" s="5" t="n">
        <v>277.8</v>
      </c>
      <c r="G8561">
        <f>IF(LEFT(B8561,1)="C","Credit","Factuur")</f>
        <v/>
      </c>
      <c r="H8561">
        <f>IF(AND(B8561=B8560,D8561=D8560,A8561=A8560,F8561=F8560),1,0)</f>
        <v/>
      </c>
      <c r="I8561">
        <f>IF(C8561="C99999",1,0)</f>
        <v/>
      </c>
      <c r="J8561" s="5">
        <f>IF(OR(H8561=1,I8561=1),0,IF(G8561="Credit",-F8561,F8561))</f>
        <v/>
      </c>
    </row>
    <row r="8562">
      <c r="A8562" t="inlineStr">
        <is>
          <t>2026-09-17</t>
        </is>
      </c>
      <c r="B8562" t="inlineStr">
        <is>
          <t>F260548</t>
        </is>
      </c>
      <c r="C8562" t="inlineStr">
        <is>
          <t>C10031</t>
        </is>
      </c>
      <c r="D8562" t="inlineStr">
        <is>
          <t>SKU-10077</t>
        </is>
      </c>
      <c r="E8562" t="inlineStr">
        <is>
          <t>AM07</t>
        </is>
      </c>
      <c r="F8562" s="5" t="n">
        <v>2453.27</v>
      </c>
      <c r="G8562">
        <f>IF(LEFT(B8562,1)="C","Credit","Factuur")</f>
        <v/>
      </c>
      <c r="H8562">
        <f>IF(AND(B8562=B8561,D8562=D8561,A8562=A8561,F8562=F8561),1,0)</f>
        <v/>
      </c>
      <c r="I8562">
        <f>IF(C8562="C99999",1,0)</f>
        <v/>
      </c>
      <c r="J8562" s="5">
        <f>IF(OR(H8562=1,I8562=1),0,IF(G8562="Credit",-F8562,F8562))</f>
        <v/>
      </c>
    </row>
    <row r="8563">
      <c r="A8563" t="inlineStr">
        <is>
          <t>2026-09-17</t>
        </is>
      </c>
      <c r="B8563" t="inlineStr">
        <is>
          <t>F261520</t>
        </is>
      </c>
      <c r="C8563" t="inlineStr">
        <is>
          <t>C10081</t>
        </is>
      </c>
      <c r="D8563" t="inlineStr">
        <is>
          <t>SKU-10030</t>
        </is>
      </c>
      <c r="E8563" t="inlineStr">
        <is>
          <t>AM08</t>
        </is>
      </c>
      <c r="F8563" s="5" t="n">
        <v>704.8</v>
      </c>
      <c r="G8563">
        <f>IF(LEFT(B8563,1)="C","Credit","Factuur")</f>
        <v/>
      </c>
      <c r="H8563">
        <f>IF(AND(B8563=B8562,D8563=D8562,A8563=A8562,F8563=F8562),1,0)</f>
        <v/>
      </c>
      <c r="I8563">
        <f>IF(C8563="C99999",1,0)</f>
        <v/>
      </c>
      <c r="J8563" s="5">
        <f>IF(OR(H8563=1,I8563=1),0,IF(G8563="Credit",-F8563,F8563))</f>
        <v/>
      </c>
    </row>
    <row r="8564">
      <c r="A8564" t="inlineStr">
        <is>
          <t>2026-09-17</t>
        </is>
      </c>
      <c r="B8564" t="inlineStr">
        <is>
          <t>F261520</t>
        </is>
      </c>
      <c r="C8564" t="inlineStr">
        <is>
          <t>C10081</t>
        </is>
      </c>
      <c r="D8564" t="inlineStr">
        <is>
          <t>SKU-10223</t>
        </is>
      </c>
      <c r="E8564" t="inlineStr">
        <is>
          <t>AM08</t>
        </is>
      </c>
      <c r="F8564" s="5" t="n">
        <v>713.84</v>
      </c>
      <c r="G8564">
        <f>IF(LEFT(B8564,1)="C","Credit","Factuur")</f>
        <v/>
      </c>
      <c r="H8564">
        <f>IF(AND(B8564=B8563,D8564=D8563,A8564=A8563,F8564=F8563),1,0)</f>
        <v/>
      </c>
      <c r="I8564">
        <f>IF(C8564="C99999",1,0)</f>
        <v/>
      </c>
      <c r="J8564" s="5">
        <f>IF(OR(H8564=1,I8564=1),0,IF(G8564="Credit",-F8564,F8564))</f>
        <v/>
      </c>
    </row>
    <row r="8565">
      <c r="A8565" t="inlineStr">
        <is>
          <t>2026-09-17</t>
        </is>
      </c>
      <c r="B8565" t="inlineStr">
        <is>
          <t>F261520</t>
        </is>
      </c>
      <c r="C8565" t="inlineStr">
        <is>
          <t>C10081</t>
        </is>
      </c>
      <c r="D8565" t="inlineStr">
        <is>
          <t>SKU-10293</t>
        </is>
      </c>
      <c r="E8565" t="inlineStr">
        <is>
          <t>AM08</t>
        </is>
      </c>
      <c r="F8565" s="5" t="n">
        <v>745.36</v>
      </c>
      <c r="G8565">
        <f>IF(LEFT(B8565,1)="C","Credit","Factuur")</f>
        <v/>
      </c>
      <c r="H8565">
        <f>IF(AND(B8565=B8564,D8565=D8564,A8565=A8564,F8565=F8564),1,0)</f>
        <v/>
      </c>
      <c r="I8565">
        <f>IF(C8565="C99999",1,0)</f>
        <v/>
      </c>
      <c r="J8565" s="5">
        <f>IF(OR(H8565=1,I8565=1),0,IF(G8565="Credit",-F8565,F8565))</f>
        <v/>
      </c>
    </row>
    <row r="8566">
      <c r="A8566" t="inlineStr">
        <is>
          <t>2026-09-17</t>
        </is>
      </c>
      <c r="B8566" t="inlineStr">
        <is>
          <t>F261520</t>
        </is>
      </c>
      <c r="C8566" t="inlineStr">
        <is>
          <t>C10081</t>
        </is>
      </c>
      <c r="D8566" t="inlineStr">
        <is>
          <t>SKU-10318</t>
        </is>
      </c>
      <c r="E8566" t="inlineStr">
        <is>
          <t>AM08</t>
        </is>
      </c>
      <c r="F8566" s="5" t="n">
        <v>695.97</v>
      </c>
      <c r="G8566">
        <f>IF(LEFT(B8566,1)="C","Credit","Factuur")</f>
        <v/>
      </c>
      <c r="H8566">
        <f>IF(AND(B8566=B8565,D8566=D8565,A8566=A8565,F8566=F8565),1,0)</f>
        <v/>
      </c>
      <c r="I8566">
        <f>IF(C8566="C99999",1,0)</f>
        <v/>
      </c>
      <c r="J8566" s="5">
        <f>IF(OR(H8566=1,I8566=1),0,IF(G8566="Credit",-F8566,F8566))</f>
        <v/>
      </c>
    </row>
    <row r="8567">
      <c r="A8567" t="inlineStr">
        <is>
          <t>2026-09-17</t>
        </is>
      </c>
      <c r="B8567" t="inlineStr">
        <is>
          <t>F261520</t>
        </is>
      </c>
      <c r="C8567" t="inlineStr">
        <is>
          <t>C10081</t>
        </is>
      </c>
      <c r="D8567" t="inlineStr">
        <is>
          <t>SKU-10339</t>
        </is>
      </c>
      <c r="E8567" t="inlineStr">
        <is>
          <t>AM08</t>
        </is>
      </c>
      <c r="F8567" s="5" t="n">
        <v>648.96</v>
      </c>
      <c r="G8567">
        <f>IF(LEFT(B8567,1)="C","Credit","Factuur")</f>
        <v/>
      </c>
      <c r="H8567">
        <f>IF(AND(B8567=B8566,D8567=D8566,A8567=A8566,F8567=F8566),1,0)</f>
        <v/>
      </c>
      <c r="I8567">
        <f>IF(C8567="C99999",1,0)</f>
        <v/>
      </c>
      <c r="J8567" s="5">
        <f>IF(OR(H8567=1,I8567=1),0,IF(G8567="Credit",-F8567,F8567))</f>
        <v/>
      </c>
    </row>
    <row r="8568">
      <c r="A8568" t="inlineStr">
        <is>
          <t>2026-09-17</t>
        </is>
      </c>
      <c r="B8568" t="inlineStr">
        <is>
          <t>F262273</t>
        </is>
      </c>
      <c r="C8568" t="inlineStr">
        <is>
          <t>C10120</t>
        </is>
      </c>
      <c r="D8568" t="inlineStr">
        <is>
          <t>SKU-10052</t>
        </is>
      </c>
      <c r="E8568" t="inlineStr">
        <is>
          <t>AM02</t>
        </is>
      </c>
      <c r="F8568" s="5" t="n">
        <v>142.05</v>
      </c>
      <c r="G8568">
        <f>IF(LEFT(B8568,1)="C","Credit","Factuur")</f>
        <v/>
      </c>
      <c r="H8568">
        <f>IF(AND(B8568=B8567,D8568=D8567,A8568=A8567,F8568=F8567),1,0)</f>
        <v/>
      </c>
      <c r="I8568">
        <f>IF(C8568="C99999",1,0)</f>
        <v/>
      </c>
      <c r="J8568" s="5">
        <f>IF(OR(H8568=1,I8568=1),0,IF(G8568="Credit",-F8568,F8568))</f>
        <v/>
      </c>
    </row>
    <row r="8569">
      <c r="A8569" t="inlineStr">
        <is>
          <t>2026-09-17</t>
        </is>
      </c>
      <c r="B8569" t="inlineStr">
        <is>
          <t>F262273</t>
        </is>
      </c>
      <c r="C8569" t="inlineStr">
        <is>
          <t>C10120</t>
        </is>
      </c>
      <c r="D8569" t="inlineStr">
        <is>
          <t>SKU-10101</t>
        </is>
      </c>
      <c r="E8569" t="inlineStr">
        <is>
          <t>AM02</t>
        </is>
      </c>
      <c r="F8569" s="5" t="n">
        <v>100.95</v>
      </c>
      <c r="G8569">
        <f>IF(LEFT(B8569,1)="C","Credit","Factuur")</f>
        <v/>
      </c>
      <c r="H8569">
        <f>IF(AND(B8569=B8568,D8569=D8568,A8569=A8568,F8569=F8568),1,0)</f>
        <v/>
      </c>
      <c r="I8569">
        <f>IF(C8569="C99999",1,0)</f>
        <v/>
      </c>
      <c r="J8569" s="5">
        <f>IF(OR(H8569=1,I8569=1),0,IF(G8569="Credit",-F8569,F8569))</f>
        <v/>
      </c>
    </row>
    <row r="8570">
      <c r="A8570" t="inlineStr">
        <is>
          <t>2026-09-17</t>
        </is>
      </c>
      <c r="B8570" t="inlineStr">
        <is>
          <t>F262273</t>
        </is>
      </c>
      <c r="C8570" t="inlineStr">
        <is>
          <t>C10120</t>
        </is>
      </c>
      <c r="D8570" t="inlineStr">
        <is>
          <t>SKU-10332</t>
        </is>
      </c>
      <c r="E8570" t="inlineStr">
        <is>
          <t>AM02</t>
        </is>
      </c>
      <c r="F8570" s="5" t="n">
        <v>115.97</v>
      </c>
      <c r="G8570">
        <f>IF(LEFT(B8570,1)="C","Credit","Factuur")</f>
        <v/>
      </c>
      <c r="H8570">
        <f>IF(AND(B8570=B8569,D8570=D8569,A8570=A8569,F8570=F8569),1,0)</f>
        <v/>
      </c>
      <c r="I8570">
        <f>IF(C8570="C99999",1,0)</f>
        <v/>
      </c>
      <c r="J8570" s="5">
        <f>IF(OR(H8570=1,I8570=1),0,IF(G8570="Credit",-F8570,F8570))</f>
        <v/>
      </c>
    </row>
    <row r="8571">
      <c r="A8571" t="inlineStr">
        <is>
          <t>2026-09-17</t>
        </is>
      </c>
      <c r="B8571" t="inlineStr">
        <is>
          <t>F262435</t>
        </is>
      </c>
      <c r="C8571" t="inlineStr">
        <is>
          <t>C10130</t>
        </is>
      </c>
      <c r="D8571" t="inlineStr">
        <is>
          <t>SKU-10277</t>
        </is>
      </c>
      <c r="E8571" t="inlineStr">
        <is>
          <t>AM01</t>
        </is>
      </c>
      <c r="F8571" s="5" t="n">
        <v>287.95</v>
      </c>
      <c r="G8571">
        <f>IF(LEFT(B8571,1)="C","Credit","Factuur")</f>
        <v/>
      </c>
      <c r="H8571">
        <f>IF(AND(B8571=B8570,D8571=D8570,A8571=A8570,F8571=F8570),1,0)</f>
        <v/>
      </c>
      <c r="I8571">
        <f>IF(C8571="C99999",1,0)</f>
        <v/>
      </c>
      <c r="J8571" s="5">
        <f>IF(OR(H8571=1,I8571=1),0,IF(G8571="Credit",-F8571,F8571))</f>
        <v/>
      </c>
    </row>
    <row r="8572">
      <c r="A8572" t="inlineStr">
        <is>
          <t>2026-09-17</t>
        </is>
      </c>
      <c r="B8572" t="inlineStr">
        <is>
          <t>F262435</t>
        </is>
      </c>
      <c r="C8572" t="inlineStr">
        <is>
          <t>C10130</t>
        </is>
      </c>
      <c r="D8572" t="inlineStr">
        <is>
          <t>SKU-10282</t>
        </is>
      </c>
      <c r="E8572" t="inlineStr">
        <is>
          <t>AM01</t>
        </is>
      </c>
      <c r="F8572" s="5" t="n">
        <v>303.8</v>
      </c>
      <c r="G8572">
        <f>IF(LEFT(B8572,1)="C","Credit","Factuur")</f>
        <v/>
      </c>
      <c r="H8572">
        <f>IF(AND(B8572=B8571,D8572=D8571,A8572=A8571,F8572=F8571),1,0)</f>
        <v/>
      </c>
      <c r="I8572">
        <f>IF(C8572="C99999",1,0)</f>
        <v/>
      </c>
      <c r="J8572" s="5">
        <f>IF(OR(H8572=1,I8572=1),0,IF(G8572="Credit",-F8572,F8572))</f>
        <v/>
      </c>
    </row>
    <row r="8573">
      <c r="A8573" t="inlineStr">
        <is>
          <t>2026-09-17</t>
        </is>
      </c>
      <c r="B8573" t="inlineStr">
        <is>
          <t>F262435</t>
        </is>
      </c>
      <c r="C8573" t="inlineStr">
        <is>
          <t>C10130</t>
        </is>
      </c>
      <c r="D8573" t="inlineStr">
        <is>
          <t>SKU-10283</t>
        </is>
      </c>
      <c r="E8573" t="inlineStr">
        <is>
          <t>AM01</t>
        </is>
      </c>
      <c r="F8573" s="5" t="n">
        <v>275.48</v>
      </c>
      <c r="G8573">
        <f>IF(LEFT(B8573,1)="C","Credit","Factuur")</f>
        <v/>
      </c>
      <c r="H8573">
        <f>IF(AND(B8573=B8572,D8573=D8572,A8573=A8572,F8573=F8572),1,0)</f>
        <v/>
      </c>
      <c r="I8573">
        <f>IF(C8573="C99999",1,0)</f>
        <v/>
      </c>
      <c r="J8573" s="5">
        <f>IF(OR(H8573=1,I8573=1),0,IF(G8573="Credit",-F8573,F8573))</f>
        <v/>
      </c>
    </row>
    <row r="8574">
      <c r="A8574" t="inlineStr">
        <is>
          <t>2026-09-17</t>
        </is>
      </c>
      <c r="B8574" t="inlineStr">
        <is>
          <t>F263278</t>
        </is>
      </c>
      <c r="C8574" t="inlineStr">
        <is>
          <t>C10174</t>
        </is>
      </c>
      <c r="D8574" t="inlineStr">
        <is>
          <t>SKU-10161</t>
        </is>
      </c>
      <c r="E8574" t="inlineStr">
        <is>
          <t>AM11</t>
        </is>
      </c>
      <c r="F8574" s="5" t="n">
        <v>701.38</v>
      </c>
      <c r="G8574">
        <f>IF(LEFT(B8574,1)="C","Credit","Factuur")</f>
        <v/>
      </c>
      <c r="H8574">
        <f>IF(AND(B8574=B8573,D8574=D8573,A8574=A8573,F8574=F8573),1,0)</f>
        <v/>
      </c>
      <c r="I8574">
        <f>IF(C8574="C99999",1,0)</f>
        <v/>
      </c>
      <c r="J8574" s="5">
        <f>IF(OR(H8574=1,I8574=1),0,IF(G8574="Credit",-F8574,F8574))</f>
        <v/>
      </c>
    </row>
    <row r="8575">
      <c r="A8575" t="inlineStr">
        <is>
          <t>2026-09-17</t>
        </is>
      </c>
      <c r="B8575" t="inlineStr">
        <is>
          <t>F263278</t>
        </is>
      </c>
      <c r="C8575" t="inlineStr">
        <is>
          <t>C10174</t>
        </is>
      </c>
      <c r="D8575" t="inlineStr">
        <is>
          <t>SKU-10323</t>
        </is>
      </c>
      <c r="E8575" t="inlineStr">
        <is>
          <t>AM11</t>
        </is>
      </c>
      <c r="F8575" s="5" t="n">
        <v>741.3</v>
      </c>
      <c r="G8575">
        <f>IF(LEFT(B8575,1)="C","Credit","Factuur")</f>
        <v/>
      </c>
      <c r="H8575">
        <f>IF(AND(B8575=B8574,D8575=D8574,A8575=A8574,F8575=F8574),1,0)</f>
        <v/>
      </c>
      <c r="I8575">
        <f>IF(C8575="C99999",1,0)</f>
        <v/>
      </c>
      <c r="J8575" s="5">
        <f>IF(OR(H8575=1,I8575=1),0,IF(G8575="Credit",-F8575,F8575))</f>
        <v/>
      </c>
    </row>
    <row r="8576">
      <c r="A8576" t="inlineStr">
        <is>
          <t>2026-09-17</t>
        </is>
      </c>
      <c r="B8576" t="inlineStr">
        <is>
          <t>F265296</t>
        </is>
      </c>
      <c r="C8576" t="inlineStr">
        <is>
          <t>C10280</t>
        </is>
      </c>
      <c r="D8576" t="inlineStr">
        <is>
          <t>SKU-10022</t>
        </is>
      </c>
      <c r="E8576" t="inlineStr">
        <is>
          <t>AM09</t>
        </is>
      </c>
      <c r="F8576" s="5" t="n">
        <v>2314.24</v>
      </c>
      <c r="G8576">
        <f>IF(LEFT(B8576,1)="C","Credit","Factuur")</f>
        <v/>
      </c>
      <c r="H8576">
        <f>IF(AND(B8576=B8575,D8576=D8575,A8576=A8575,F8576=F8575),1,0)</f>
        <v/>
      </c>
      <c r="I8576">
        <f>IF(C8576="C99999",1,0)</f>
        <v/>
      </c>
      <c r="J8576" s="5">
        <f>IF(OR(H8576=1,I8576=1),0,IF(G8576="Credit",-F8576,F8576))</f>
        <v/>
      </c>
    </row>
    <row r="8577">
      <c r="A8577" t="inlineStr">
        <is>
          <t>2026-09-17</t>
        </is>
      </c>
      <c r="B8577" t="inlineStr">
        <is>
          <t>F265296</t>
        </is>
      </c>
      <c r="C8577" t="inlineStr">
        <is>
          <t>C10280</t>
        </is>
      </c>
      <c r="D8577" t="inlineStr">
        <is>
          <t>SKU-10110</t>
        </is>
      </c>
      <c r="E8577" t="inlineStr">
        <is>
          <t>AM09</t>
        </is>
      </c>
      <c r="F8577" s="5" t="n">
        <v>2089.62</v>
      </c>
      <c r="G8577">
        <f>IF(LEFT(B8577,1)="C","Credit","Factuur")</f>
        <v/>
      </c>
      <c r="H8577">
        <f>IF(AND(B8577=B8576,D8577=D8576,A8577=A8576,F8577=F8576),1,0)</f>
        <v/>
      </c>
      <c r="I8577">
        <f>IF(C8577="C99999",1,0)</f>
        <v/>
      </c>
      <c r="J8577" s="5">
        <f>IF(OR(H8577=1,I8577=1),0,IF(G8577="Credit",-F8577,F8577))</f>
        <v/>
      </c>
    </row>
    <row r="8578">
      <c r="A8578" t="inlineStr">
        <is>
          <t>2026-09-17</t>
        </is>
      </c>
      <c r="B8578" t="inlineStr">
        <is>
          <t>F265296</t>
        </is>
      </c>
      <c r="C8578" t="inlineStr">
        <is>
          <t>C10280</t>
        </is>
      </c>
      <c r="D8578" t="inlineStr">
        <is>
          <t>SKU-10233</t>
        </is>
      </c>
      <c r="E8578" t="inlineStr">
        <is>
          <t>AM09</t>
        </is>
      </c>
      <c r="F8578" s="5" t="n">
        <v>2043.27</v>
      </c>
      <c r="G8578">
        <f>IF(LEFT(B8578,1)="C","Credit","Factuur")</f>
        <v/>
      </c>
      <c r="H8578">
        <f>IF(AND(B8578=B8577,D8578=D8577,A8578=A8577,F8578=F8577),1,0)</f>
        <v/>
      </c>
      <c r="I8578">
        <f>IF(C8578="C99999",1,0)</f>
        <v/>
      </c>
      <c r="J8578" s="5">
        <f>IF(OR(H8578=1,I8578=1),0,IF(G8578="Credit",-F8578,F8578))</f>
        <v/>
      </c>
    </row>
    <row r="8579">
      <c r="A8579" t="inlineStr">
        <is>
          <t>2026-09-17</t>
        </is>
      </c>
      <c r="B8579" t="inlineStr">
        <is>
          <t>F265296</t>
        </is>
      </c>
      <c r="C8579" t="inlineStr">
        <is>
          <t>C10280</t>
        </is>
      </c>
      <c r="D8579" t="inlineStr">
        <is>
          <t>SKU-10255</t>
        </is>
      </c>
      <c r="E8579" t="inlineStr">
        <is>
          <t>AM09</t>
        </is>
      </c>
      <c r="F8579" s="5" t="n">
        <v>2323.05</v>
      </c>
      <c r="G8579">
        <f>IF(LEFT(B8579,1)="C","Credit","Factuur")</f>
        <v/>
      </c>
      <c r="H8579">
        <f>IF(AND(B8579=B8578,D8579=D8578,A8579=A8578,F8579=F8578),1,0)</f>
        <v/>
      </c>
      <c r="I8579">
        <f>IF(C8579="C99999",1,0)</f>
        <v/>
      </c>
      <c r="J8579" s="5">
        <f>IF(OR(H8579=1,I8579=1),0,IF(G8579="Credit",-F8579,F8579))</f>
        <v/>
      </c>
    </row>
    <row r="8580">
      <c r="A8580" t="inlineStr">
        <is>
          <t>2026-09-17</t>
        </is>
      </c>
      <c r="B8580" t="inlineStr">
        <is>
          <t>F265296</t>
        </is>
      </c>
      <c r="C8580" t="inlineStr">
        <is>
          <t>C10280</t>
        </is>
      </c>
      <c r="D8580" t="inlineStr">
        <is>
          <t>SKU-10308</t>
        </is>
      </c>
      <c r="E8580" t="inlineStr">
        <is>
          <t>AM09</t>
        </is>
      </c>
      <c r="F8580" s="5" t="n">
        <v>1983.1</v>
      </c>
      <c r="G8580">
        <f>IF(LEFT(B8580,1)="C","Credit","Factuur")</f>
        <v/>
      </c>
      <c r="H8580">
        <f>IF(AND(B8580=B8579,D8580=D8579,A8580=A8579,F8580=F8579),1,0)</f>
        <v/>
      </c>
      <c r="I8580">
        <f>IF(C8580="C99999",1,0)</f>
        <v/>
      </c>
      <c r="J8580" s="5">
        <f>IF(OR(H8580=1,I8580=1),0,IF(G8580="Credit",-F8580,F8580))</f>
        <v/>
      </c>
    </row>
    <row r="8581">
      <c r="A8581" t="inlineStr">
        <is>
          <t>2026-09-17</t>
        </is>
      </c>
      <c r="B8581" t="inlineStr">
        <is>
          <t>F265803</t>
        </is>
      </c>
      <c r="C8581" t="inlineStr">
        <is>
          <t>C10303</t>
        </is>
      </c>
      <c r="D8581" t="inlineStr">
        <is>
          <t>SKU-10109</t>
        </is>
      </c>
      <c r="E8581" t="inlineStr">
        <is>
          <t>AM02</t>
        </is>
      </c>
      <c r="F8581" s="5" t="n">
        <v>575.4</v>
      </c>
      <c r="G8581">
        <f>IF(LEFT(B8581,1)="C","Credit","Factuur")</f>
        <v/>
      </c>
      <c r="H8581">
        <f>IF(AND(B8581=B8580,D8581=D8580,A8581=A8580,F8581=F8580),1,0)</f>
        <v/>
      </c>
      <c r="I8581">
        <f>IF(C8581="C99999",1,0)</f>
        <v/>
      </c>
      <c r="J8581" s="5">
        <f>IF(OR(H8581=1,I8581=1),0,IF(G8581="Credit",-F8581,F8581))</f>
        <v/>
      </c>
    </row>
    <row r="8582">
      <c r="A8582" t="inlineStr">
        <is>
          <t>2026-09-17</t>
        </is>
      </c>
      <c r="B8582" t="inlineStr">
        <is>
          <t>F265803</t>
        </is>
      </c>
      <c r="C8582" t="inlineStr">
        <is>
          <t>C10303</t>
        </is>
      </c>
      <c r="D8582" t="inlineStr">
        <is>
          <t>SKU-10127</t>
        </is>
      </c>
      <c r="E8582" t="inlineStr">
        <is>
          <t>AM02</t>
        </is>
      </c>
      <c r="F8582" s="5" t="n">
        <v>549.3</v>
      </c>
      <c r="G8582">
        <f>IF(LEFT(B8582,1)="C","Credit","Factuur")</f>
        <v/>
      </c>
      <c r="H8582">
        <f>IF(AND(B8582=B8581,D8582=D8581,A8582=A8581,F8582=F8581),1,0)</f>
        <v/>
      </c>
      <c r="I8582">
        <f>IF(C8582="C99999",1,0)</f>
        <v/>
      </c>
      <c r="J8582" s="5">
        <f>IF(OR(H8582=1,I8582=1),0,IF(G8582="Credit",-F8582,F8582))</f>
        <v/>
      </c>
    </row>
    <row r="8583">
      <c r="A8583" t="inlineStr">
        <is>
          <t>2026-09-17</t>
        </is>
      </c>
      <c r="B8583" t="inlineStr">
        <is>
          <t>F265803</t>
        </is>
      </c>
      <c r="C8583" t="inlineStr">
        <is>
          <t>C10303</t>
        </is>
      </c>
      <c r="D8583" t="inlineStr">
        <is>
          <t>SKU-10298</t>
        </is>
      </c>
      <c r="E8583" t="inlineStr">
        <is>
          <t>AM02</t>
        </is>
      </c>
      <c r="F8583" s="5" t="n">
        <v>564.75</v>
      </c>
      <c r="G8583">
        <f>IF(LEFT(B8583,1)="C","Credit","Factuur")</f>
        <v/>
      </c>
      <c r="H8583">
        <f>IF(AND(B8583=B8582,D8583=D8582,A8583=A8582,F8583=F8582),1,0)</f>
        <v/>
      </c>
      <c r="I8583">
        <f>IF(C8583="C99999",1,0)</f>
        <v/>
      </c>
      <c r="J8583" s="5">
        <f>IF(OR(H8583=1,I8583=1),0,IF(G8583="Credit",-F8583,F8583))</f>
        <v/>
      </c>
    </row>
    <row r="8584">
      <c r="A8584" t="inlineStr">
        <is>
          <t>2026-09-17</t>
        </is>
      </c>
      <c r="B8584" t="inlineStr">
        <is>
          <t>F266248</t>
        </is>
      </c>
      <c r="C8584" t="inlineStr">
        <is>
          <t>C10327</t>
        </is>
      </c>
      <c r="D8584" t="inlineStr">
        <is>
          <t>SKU-10084</t>
        </is>
      </c>
      <c r="E8584" t="inlineStr">
        <is>
          <t>AM11</t>
        </is>
      </c>
      <c r="F8584" s="5" t="n">
        <v>3507.91</v>
      </c>
      <c r="G8584">
        <f>IF(LEFT(B8584,1)="C","Credit","Factuur")</f>
        <v/>
      </c>
      <c r="H8584">
        <f>IF(AND(B8584=B8583,D8584=D8583,A8584=A8583,F8584=F8583),1,0)</f>
        <v/>
      </c>
      <c r="I8584">
        <f>IF(C8584="C99999",1,0)</f>
        <v/>
      </c>
      <c r="J8584" s="5">
        <f>IF(OR(H8584=1,I8584=1),0,IF(G8584="Credit",-F8584,F8584))</f>
        <v/>
      </c>
    </row>
    <row r="8585">
      <c r="A8585" t="inlineStr">
        <is>
          <t>2026-09-17</t>
        </is>
      </c>
      <c r="B8585" t="inlineStr">
        <is>
          <t>F266248</t>
        </is>
      </c>
      <c r="C8585" t="inlineStr">
        <is>
          <t>C10327</t>
        </is>
      </c>
      <c r="D8585" t="inlineStr">
        <is>
          <t>SKU-10225</t>
        </is>
      </c>
      <c r="E8585" t="inlineStr">
        <is>
          <t>AM11</t>
        </is>
      </c>
      <c r="F8585" s="5" t="n">
        <v>3714.43</v>
      </c>
      <c r="G8585">
        <f>IF(LEFT(B8585,1)="C","Credit","Factuur")</f>
        <v/>
      </c>
      <c r="H8585">
        <f>IF(AND(B8585=B8584,D8585=D8584,A8585=A8584,F8585=F8584),1,0)</f>
        <v/>
      </c>
      <c r="I8585">
        <f>IF(C8585="C99999",1,0)</f>
        <v/>
      </c>
      <c r="J8585" s="5">
        <f>IF(OR(H8585=1,I8585=1),0,IF(G8585="Credit",-F8585,F8585))</f>
        <v/>
      </c>
    </row>
    <row r="8586">
      <c r="A8586" t="inlineStr">
        <is>
          <t>2026-09-17</t>
        </is>
      </c>
      <c r="B8586" t="inlineStr">
        <is>
          <t>F267112</t>
        </is>
      </c>
      <c r="C8586" t="inlineStr">
        <is>
          <t>C10375</t>
        </is>
      </c>
      <c r="D8586" t="inlineStr">
        <is>
          <t>SKU-10028</t>
        </is>
      </c>
      <c r="E8586" t="inlineStr">
        <is>
          <t>AM08</t>
        </is>
      </c>
      <c r="F8586" s="5" t="n">
        <v>636.6799999999999</v>
      </c>
      <c r="G8586">
        <f>IF(LEFT(B8586,1)="C","Credit","Factuur")</f>
        <v/>
      </c>
      <c r="H8586">
        <f>IF(AND(B8586=B8585,D8586=D8585,A8586=A8585,F8586=F8585),1,0)</f>
        <v/>
      </c>
      <c r="I8586">
        <f>IF(C8586="C99999",1,0)</f>
        <v/>
      </c>
      <c r="J8586" s="5">
        <f>IF(OR(H8586=1,I8586=1),0,IF(G8586="Credit",-F8586,F8586))</f>
        <v/>
      </c>
    </row>
    <row r="8587">
      <c r="A8587" t="inlineStr">
        <is>
          <t>2026-09-17</t>
        </is>
      </c>
      <c r="B8587" t="inlineStr">
        <is>
          <t>F267112</t>
        </is>
      </c>
      <c r="C8587" t="inlineStr">
        <is>
          <t>C10375</t>
        </is>
      </c>
      <c r="D8587" t="inlineStr">
        <is>
          <t>SKU-10046</t>
        </is>
      </c>
      <c r="E8587" t="inlineStr">
        <is>
          <t>AM08</t>
        </is>
      </c>
      <c r="F8587" s="5" t="n">
        <v>662.76</v>
      </c>
      <c r="G8587">
        <f>IF(LEFT(B8587,1)="C","Credit","Factuur")</f>
        <v/>
      </c>
      <c r="H8587">
        <f>IF(AND(B8587=B8586,D8587=D8586,A8587=A8586,F8587=F8586),1,0)</f>
        <v/>
      </c>
      <c r="I8587">
        <f>IF(C8587="C99999",1,0)</f>
        <v/>
      </c>
      <c r="J8587" s="5">
        <f>IF(OR(H8587=1,I8587=1),0,IF(G8587="Credit",-F8587,F8587))</f>
        <v/>
      </c>
    </row>
    <row r="8588">
      <c r="A8588" t="inlineStr">
        <is>
          <t>2026-09-17</t>
        </is>
      </c>
      <c r="B8588" t="inlineStr">
        <is>
          <t>F267112</t>
        </is>
      </c>
      <c r="C8588" t="inlineStr">
        <is>
          <t>C10375</t>
        </is>
      </c>
      <c r="D8588" t="inlineStr">
        <is>
          <t>SKU-10257</t>
        </is>
      </c>
      <c r="E8588" t="inlineStr">
        <is>
          <t>AM08</t>
        </is>
      </c>
      <c r="F8588" s="5" t="n">
        <v>661.02</v>
      </c>
      <c r="G8588">
        <f>IF(LEFT(B8588,1)="C","Credit","Factuur")</f>
        <v/>
      </c>
      <c r="H8588">
        <f>IF(AND(B8588=B8587,D8588=D8587,A8588=A8587,F8588=F8587),1,0)</f>
        <v/>
      </c>
      <c r="I8588">
        <f>IF(C8588="C99999",1,0)</f>
        <v/>
      </c>
      <c r="J8588" s="5">
        <f>IF(OR(H8588=1,I8588=1),0,IF(G8588="Credit",-F8588,F8588))</f>
        <v/>
      </c>
    </row>
    <row r="8589">
      <c r="A8589" t="inlineStr">
        <is>
          <t>2026-09-17</t>
        </is>
      </c>
      <c r="B8589" t="inlineStr">
        <is>
          <t>F267231</t>
        </is>
      </c>
      <c r="C8589" t="inlineStr">
        <is>
          <t>C10384</t>
        </is>
      </c>
      <c r="D8589" t="inlineStr">
        <is>
          <t>SKU-10118</t>
        </is>
      </c>
      <c r="E8589" t="inlineStr">
        <is>
          <t>AM02</t>
        </is>
      </c>
      <c r="F8589" s="5" t="n">
        <v>425.78</v>
      </c>
      <c r="G8589">
        <f>IF(LEFT(B8589,1)="C","Credit","Factuur")</f>
        <v/>
      </c>
      <c r="H8589">
        <f>IF(AND(B8589=B8588,D8589=D8588,A8589=A8588,F8589=F8588),1,0)</f>
        <v/>
      </c>
      <c r="I8589">
        <f>IF(C8589="C99999",1,0)</f>
        <v/>
      </c>
      <c r="J8589" s="5">
        <f>IF(OR(H8589=1,I8589=1),0,IF(G8589="Credit",-F8589,F8589))</f>
        <v/>
      </c>
    </row>
    <row r="8590">
      <c r="A8590" t="inlineStr">
        <is>
          <t>2026-09-17</t>
        </is>
      </c>
      <c r="B8590" t="inlineStr">
        <is>
          <t>F267231</t>
        </is>
      </c>
      <c r="C8590" t="inlineStr">
        <is>
          <t>C10384</t>
        </is>
      </c>
      <c r="D8590" t="inlineStr">
        <is>
          <t>SKU-10179</t>
        </is>
      </c>
      <c r="E8590" t="inlineStr">
        <is>
          <t>AM02</t>
        </is>
      </c>
      <c r="F8590" s="5" t="n">
        <v>497.6</v>
      </c>
      <c r="G8590">
        <f>IF(LEFT(B8590,1)="C","Credit","Factuur")</f>
        <v/>
      </c>
      <c r="H8590">
        <f>IF(AND(B8590=B8589,D8590=D8589,A8590=A8589,F8590=F8589),1,0)</f>
        <v/>
      </c>
      <c r="I8590">
        <f>IF(C8590="C99999",1,0)</f>
        <v/>
      </c>
      <c r="J8590" s="5">
        <f>IF(OR(H8590=1,I8590=1),0,IF(G8590="Credit",-F8590,F8590))</f>
        <v/>
      </c>
    </row>
    <row r="8591">
      <c r="A8591" t="inlineStr">
        <is>
          <t>2026-09-17</t>
        </is>
      </c>
      <c r="B8591" t="inlineStr">
        <is>
          <t>F267231</t>
        </is>
      </c>
      <c r="C8591" t="inlineStr">
        <is>
          <t>C10384</t>
        </is>
      </c>
      <c r="D8591" t="inlineStr">
        <is>
          <t>SKU-10232</t>
        </is>
      </c>
      <c r="E8591" t="inlineStr">
        <is>
          <t>AM02</t>
        </is>
      </c>
      <c r="F8591" s="5" t="n">
        <v>507.84</v>
      </c>
      <c r="G8591">
        <f>IF(LEFT(B8591,1)="C","Credit","Factuur")</f>
        <v/>
      </c>
      <c r="H8591">
        <f>IF(AND(B8591=B8590,D8591=D8590,A8591=A8590,F8591=F8590),1,0)</f>
        <v/>
      </c>
      <c r="I8591">
        <f>IF(C8591="C99999",1,0)</f>
        <v/>
      </c>
      <c r="J8591" s="5">
        <f>IF(OR(H8591=1,I8591=1),0,IF(G8591="Credit",-F8591,F8591))</f>
        <v/>
      </c>
    </row>
    <row r="8592">
      <c r="A8592" t="inlineStr">
        <is>
          <t>2026-09-17</t>
        </is>
      </c>
      <c r="B8592" t="inlineStr">
        <is>
          <t>F268064</t>
        </is>
      </c>
      <c r="C8592" t="inlineStr">
        <is>
          <t>C10424</t>
        </is>
      </c>
      <c r="D8592" t="inlineStr">
        <is>
          <t>SKU-10034</t>
        </is>
      </c>
      <c r="E8592" t="inlineStr">
        <is>
          <t>AM01</t>
        </is>
      </c>
      <c r="F8592" s="5" t="n">
        <v>132.33</v>
      </c>
      <c r="G8592">
        <f>IF(LEFT(B8592,1)="C","Credit","Factuur")</f>
        <v/>
      </c>
      <c r="H8592">
        <f>IF(AND(B8592=B8591,D8592=D8591,A8592=A8591,F8592=F8591),1,0)</f>
        <v/>
      </c>
      <c r="I8592">
        <f>IF(C8592="C99999",1,0)</f>
        <v/>
      </c>
      <c r="J8592" s="5">
        <f>IF(OR(H8592=1,I8592=1),0,IF(G8592="Credit",-F8592,F8592))</f>
        <v/>
      </c>
    </row>
    <row r="8593">
      <c r="A8593" t="inlineStr">
        <is>
          <t>2026-09-17</t>
        </is>
      </c>
      <c r="B8593" t="inlineStr">
        <is>
          <t>F268064</t>
        </is>
      </c>
      <c r="C8593" t="inlineStr">
        <is>
          <t>C10424</t>
        </is>
      </c>
      <c r="D8593" t="inlineStr">
        <is>
          <t>SKU-10063</t>
        </is>
      </c>
      <c r="E8593" t="inlineStr">
        <is>
          <t>AM01</t>
        </is>
      </c>
      <c r="F8593" s="5" t="n">
        <v>152.39</v>
      </c>
      <c r="G8593">
        <f>IF(LEFT(B8593,1)="C","Credit","Factuur")</f>
        <v/>
      </c>
      <c r="H8593">
        <f>IF(AND(B8593=B8592,D8593=D8592,A8593=A8592,F8593=F8592),1,0)</f>
        <v/>
      </c>
      <c r="I8593">
        <f>IF(C8593="C99999",1,0)</f>
        <v/>
      </c>
      <c r="J8593" s="5">
        <f>IF(OR(H8593=1,I8593=1),0,IF(G8593="Credit",-F8593,F8593))</f>
        <v/>
      </c>
    </row>
    <row r="8594">
      <c r="A8594" t="inlineStr">
        <is>
          <t>2026-09-17</t>
        </is>
      </c>
      <c r="B8594" t="inlineStr">
        <is>
          <t>F268064</t>
        </is>
      </c>
      <c r="C8594" t="inlineStr">
        <is>
          <t>C10424</t>
        </is>
      </c>
      <c r="D8594" t="inlineStr">
        <is>
          <t>SKU-10381</t>
        </is>
      </c>
      <c r="E8594" t="inlineStr">
        <is>
          <t>AM01</t>
        </is>
      </c>
      <c r="F8594" s="5" t="n">
        <v>514.36</v>
      </c>
      <c r="G8594">
        <f>IF(LEFT(B8594,1)="C","Credit","Factuur")</f>
        <v/>
      </c>
      <c r="H8594">
        <f>IF(AND(B8594=B8593,D8594=D8593,A8594=A8593,F8594=F8593),1,0)</f>
        <v/>
      </c>
      <c r="I8594">
        <f>IF(C8594="C99999",1,0)</f>
        <v/>
      </c>
      <c r="J8594" s="5">
        <f>IF(OR(H8594=1,I8594=1),0,IF(G8594="Credit",-F8594,F8594))</f>
        <v/>
      </c>
    </row>
    <row r="8595">
      <c r="A8595" t="inlineStr">
        <is>
          <t>2026-09-17</t>
        </is>
      </c>
      <c r="B8595" t="inlineStr">
        <is>
          <t>F268120</t>
        </is>
      </c>
      <c r="C8595" t="inlineStr">
        <is>
          <t>C10427</t>
        </is>
      </c>
      <c r="D8595" t="inlineStr">
        <is>
          <t>SKU-10044</t>
        </is>
      </c>
      <c r="E8595" t="inlineStr">
        <is>
          <t>AM01</t>
        </is>
      </c>
      <c r="F8595" s="5" t="n">
        <v>530.0599999999999</v>
      </c>
      <c r="G8595">
        <f>IF(LEFT(B8595,1)="C","Credit","Factuur")</f>
        <v/>
      </c>
      <c r="H8595">
        <f>IF(AND(B8595=B8594,D8595=D8594,A8595=A8594,F8595=F8594),1,0)</f>
        <v/>
      </c>
      <c r="I8595">
        <f>IF(C8595="C99999",1,0)</f>
        <v/>
      </c>
      <c r="J8595" s="5">
        <f>IF(OR(H8595=1,I8595=1),0,IF(G8595="Credit",-F8595,F8595))</f>
        <v/>
      </c>
    </row>
    <row r="8596">
      <c r="A8596" t="inlineStr">
        <is>
          <t>2026-09-17</t>
        </is>
      </c>
      <c r="B8596" t="inlineStr">
        <is>
          <t>F268120</t>
        </is>
      </c>
      <c r="C8596" t="inlineStr">
        <is>
          <t>C10427</t>
        </is>
      </c>
      <c r="D8596" t="inlineStr">
        <is>
          <t>SKU-10049</t>
        </is>
      </c>
      <c r="E8596" t="inlineStr">
        <is>
          <t>AM01</t>
        </is>
      </c>
      <c r="F8596" s="5" t="n">
        <v>584.76</v>
      </c>
      <c r="G8596">
        <f>IF(LEFT(B8596,1)="C","Credit","Factuur")</f>
        <v/>
      </c>
      <c r="H8596">
        <f>IF(AND(B8596=B8595,D8596=D8595,A8596=A8595,F8596=F8595),1,0)</f>
        <v/>
      </c>
      <c r="I8596">
        <f>IF(C8596="C99999",1,0)</f>
        <v/>
      </c>
      <c r="J8596" s="5">
        <f>IF(OR(H8596=1,I8596=1),0,IF(G8596="Credit",-F8596,F8596))</f>
        <v/>
      </c>
    </row>
    <row r="8597">
      <c r="A8597" t="inlineStr">
        <is>
          <t>2026-09-17</t>
        </is>
      </c>
      <c r="B8597" t="inlineStr">
        <is>
          <t>F268120</t>
        </is>
      </c>
      <c r="C8597" t="inlineStr">
        <is>
          <t>C10427</t>
        </is>
      </c>
      <c r="D8597" t="inlineStr">
        <is>
          <t>SKU-10240</t>
        </is>
      </c>
      <c r="E8597" t="inlineStr">
        <is>
          <t>AM01</t>
        </is>
      </c>
      <c r="F8597" s="5" t="n">
        <v>581.91</v>
      </c>
      <c r="G8597">
        <f>IF(LEFT(B8597,1)="C","Credit","Factuur")</f>
        <v/>
      </c>
      <c r="H8597">
        <f>IF(AND(B8597=B8596,D8597=D8596,A8597=A8596,F8597=F8596),1,0)</f>
        <v/>
      </c>
      <c r="I8597">
        <f>IF(C8597="C99999",1,0)</f>
        <v/>
      </c>
      <c r="J8597" s="5">
        <f>IF(OR(H8597=1,I8597=1),0,IF(G8597="Credit",-F8597,F8597))</f>
        <v/>
      </c>
    </row>
    <row r="8598">
      <c r="A8598" t="inlineStr">
        <is>
          <t>2026-09-17</t>
        </is>
      </c>
      <c r="B8598" t="inlineStr">
        <is>
          <t>F268431</t>
        </is>
      </c>
      <c r="C8598" t="inlineStr">
        <is>
          <t>C10442</t>
        </is>
      </c>
      <c r="D8598" t="inlineStr">
        <is>
          <t>SKU-10153</t>
        </is>
      </c>
      <c r="E8598" t="inlineStr">
        <is>
          <t>AM06</t>
        </is>
      </c>
      <c r="F8598" s="5" t="n">
        <v>67.44</v>
      </c>
      <c r="G8598">
        <f>IF(LEFT(B8598,1)="C","Credit","Factuur")</f>
        <v/>
      </c>
      <c r="H8598">
        <f>IF(AND(B8598=B8597,D8598=D8597,A8598=A8597,F8598=F8597),1,0)</f>
        <v/>
      </c>
      <c r="I8598">
        <f>IF(C8598="C99999",1,0)</f>
        <v/>
      </c>
      <c r="J8598" s="5">
        <f>IF(OR(H8598=1,I8598=1),0,IF(G8598="Credit",-F8598,F8598))</f>
        <v/>
      </c>
    </row>
    <row r="8599">
      <c r="A8599" t="inlineStr">
        <is>
          <t>2026-09-17</t>
        </is>
      </c>
      <c r="B8599" t="inlineStr">
        <is>
          <t>F268431</t>
        </is>
      </c>
      <c r="C8599" t="inlineStr">
        <is>
          <t>C10442</t>
        </is>
      </c>
      <c r="D8599" t="inlineStr">
        <is>
          <t>SKU-10181</t>
        </is>
      </c>
      <c r="E8599" t="inlineStr">
        <is>
          <t>AM06</t>
        </is>
      </c>
      <c r="F8599" s="5" t="n">
        <v>87.45999999999999</v>
      </c>
      <c r="G8599">
        <f>IF(LEFT(B8599,1)="C","Credit","Factuur")</f>
        <v/>
      </c>
      <c r="H8599">
        <f>IF(AND(B8599=B8598,D8599=D8598,A8599=A8598,F8599=F8598),1,0)</f>
        <v/>
      </c>
      <c r="I8599">
        <f>IF(C8599="C99999",1,0)</f>
        <v/>
      </c>
      <c r="J8599" s="5">
        <f>IF(OR(H8599=1,I8599=1),0,IF(G8599="Credit",-F8599,F8599))</f>
        <v/>
      </c>
    </row>
    <row r="8600">
      <c r="A8600" t="inlineStr">
        <is>
          <t>2026-09-17</t>
        </is>
      </c>
      <c r="B8600" t="inlineStr">
        <is>
          <t>F268431</t>
        </is>
      </c>
      <c r="C8600" t="inlineStr">
        <is>
          <t>C10442</t>
        </is>
      </c>
      <c r="D8600" t="inlineStr">
        <is>
          <t>SKU-10239</t>
        </is>
      </c>
      <c r="E8600" t="inlineStr">
        <is>
          <t>AM06</t>
        </is>
      </c>
      <c r="F8600" s="5" t="n">
        <v>69.68000000000001</v>
      </c>
      <c r="G8600">
        <f>IF(LEFT(B8600,1)="C","Credit","Factuur")</f>
        <v/>
      </c>
      <c r="H8600">
        <f>IF(AND(B8600=B8599,D8600=D8599,A8600=A8599,F8600=F8599),1,0)</f>
        <v/>
      </c>
      <c r="I8600">
        <f>IF(C8600="C99999",1,0)</f>
        <v/>
      </c>
      <c r="J8600" s="5">
        <f>IF(OR(H8600=1,I8600=1),0,IF(G8600="Credit",-F8600,F8600))</f>
        <v/>
      </c>
    </row>
    <row r="8601">
      <c r="A8601" t="inlineStr">
        <is>
          <t>2026-09-17</t>
        </is>
      </c>
      <c r="B8601" t="inlineStr">
        <is>
          <t>F268431</t>
        </is>
      </c>
      <c r="C8601" t="inlineStr">
        <is>
          <t>C10442</t>
        </is>
      </c>
      <c r="D8601" t="inlineStr">
        <is>
          <t>SKU-10320</t>
        </is>
      </c>
      <c r="E8601" t="inlineStr">
        <is>
          <t>AM06</t>
        </is>
      </c>
      <c r="F8601" s="5" t="n">
        <v>73.7</v>
      </c>
      <c r="G8601">
        <f>IF(LEFT(B8601,1)="C","Credit","Factuur")</f>
        <v/>
      </c>
      <c r="H8601">
        <f>IF(AND(B8601=B8600,D8601=D8600,A8601=A8600,F8601=F8600),1,0)</f>
        <v/>
      </c>
      <c r="I8601">
        <f>IF(C8601="C99999",1,0)</f>
        <v/>
      </c>
      <c r="J8601" s="5">
        <f>IF(OR(H8601=1,I8601=1),0,IF(G8601="Credit",-F8601,F8601))</f>
        <v/>
      </c>
    </row>
    <row r="8602">
      <c r="A8602" t="inlineStr">
        <is>
          <t>2026-09-17</t>
        </is>
      </c>
      <c r="B8602" t="inlineStr">
        <is>
          <t>F268431</t>
        </is>
      </c>
      <c r="C8602" t="inlineStr">
        <is>
          <t>C10442</t>
        </is>
      </c>
      <c r="D8602" t="inlineStr">
        <is>
          <t>SKU-10335</t>
        </is>
      </c>
      <c r="E8602" t="inlineStr">
        <is>
          <t>AM06</t>
        </is>
      </c>
      <c r="F8602" s="5" t="n">
        <v>69.2</v>
      </c>
      <c r="G8602">
        <f>IF(LEFT(B8602,1)="C","Credit","Factuur")</f>
        <v/>
      </c>
      <c r="H8602">
        <f>IF(AND(B8602=B8601,D8602=D8601,A8602=A8601,F8602=F8601),1,0)</f>
        <v/>
      </c>
      <c r="I8602">
        <f>IF(C8602="C99999",1,0)</f>
        <v/>
      </c>
      <c r="J8602" s="5">
        <f>IF(OR(H8602=1,I8602=1),0,IF(G8602="Credit",-F8602,F8602))</f>
        <v/>
      </c>
    </row>
    <row r="8603">
      <c r="A8603" t="inlineStr">
        <is>
          <t>2026-09-17</t>
        </is>
      </c>
      <c r="B8603" t="inlineStr">
        <is>
          <t>F268512</t>
        </is>
      </c>
      <c r="C8603" t="inlineStr">
        <is>
          <t>C10446</t>
        </is>
      </c>
      <c r="D8603" t="inlineStr">
        <is>
          <t>SKU-10310</t>
        </is>
      </c>
      <c r="E8603" t="inlineStr">
        <is>
          <t>AM11</t>
        </is>
      </c>
      <c r="F8603" s="5" t="n">
        <v>828.4299999999999</v>
      </c>
      <c r="G8603">
        <f>IF(LEFT(B8603,1)="C","Credit","Factuur")</f>
        <v/>
      </c>
      <c r="H8603">
        <f>IF(AND(B8603=B8602,D8603=D8602,A8603=A8602,F8603=F8602),1,0)</f>
        <v/>
      </c>
      <c r="I8603">
        <f>IF(C8603="C99999",1,0)</f>
        <v/>
      </c>
      <c r="J8603" s="5">
        <f>IF(OR(H8603=1,I8603=1),0,IF(G8603="Credit",-F8603,F8603))</f>
        <v/>
      </c>
    </row>
    <row r="8604">
      <c r="A8604" t="inlineStr">
        <is>
          <t>2026-09-17</t>
        </is>
      </c>
      <c r="B8604" t="inlineStr">
        <is>
          <t>F270010</t>
        </is>
      </c>
      <c r="C8604" t="inlineStr">
        <is>
          <t>C10526</t>
        </is>
      </c>
      <c r="D8604" t="inlineStr">
        <is>
          <t>SKU-10294</t>
        </is>
      </c>
      <c r="E8604" t="inlineStr">
        <is>
          <t>IS01</t>
        </is>
      </c>
      <c r="F8604" s="5" t="n">
        <v>73.73999999999999</v>
      </c>
      <c r="G8604">
        <f>IF(LEFT(B8604,1)="C","Credit","Factuur")</f>
        <v/>
      </c>
      <c r="H8604">
        <f>IF(AND(B8604=B8603,D8604=D8603,A8604=A8603,F8604=F8603),1,0)</f>
        <v/>
      </c>
      <c r="I8604">
        <f>IF(C8604="C99999",1,0)</f>
        <v/>
      </c>
      <c r="J8604" s="5">
        <f>IF(OR(H8604=1,I8604=1),0,IF(G8604="Credit",-F8604,F8604))</f>
        <v/>
      </c>
    </row>
    <row r="8605">
      <c r="A8605" t="inlineStr">
        <is>
          <t>2026-09-17</t>
        </is>
      </c>
      <c r="B8605" t="inlineStr">
        <is>
          <t>F270040</t>
        </is>
      </c>
      <c r="C8605" t="inlineStr">
        <is>
          <t>C10528</t>
        </is>
      </c>
      <c r="D8605" t="inlineStr">
        <is>
          <t>SKU-10263</t>
        </is>
      </c>
      <c r="E8605" t="inlineStr">
        <is>
          <t>AM09</t>
        </is>
      </c>
      <c r="F8605" s="5" t="n">
        <v>5270.49</v>
      </c>
      <c r="G8605">
        <f>IF(LEFT(B8605,1)="C","Credit","Factuur")</f>
        <v/>
      </c>
      <c r="H8605">
        <f>IF(AND(B8605=B8604,D8605=D8604,A8605=A8604,F8605=F8604),1,0)</f>
        <v/>
      </c>
      <c r="I8605">
        <f>IF(C8605="C99999",1,0)</f>
        <v/>
      </c>
      <c r="J8605" s="5">
        <f>IF(OR(H8605=1,I8605=1),0,IF(G8605="Credit",-F8605,F8605))</f>
        <v/>
      </c>
    </row>
    <row r="8606">
      <c r="A8606" t="inlineStr">
        <is>
          <t>2026-09-17</t>
        </is>
      </c>
      <c r="B8606" t="inlineStr">
        <is>
          <t>F270442</t>
        </is>
      </c>
      <c r="C8606" t="inlineStr">
        <is>
          <t>C10549</t>
        </is>
      </c>
      <c r="D8606" t="inlineStr">
        <is>
          <t>SKU-10116</t>
        </is>
      </c>
      <c r="E8606" t="inlineStr">
        <is>
          <t>AM08</t>
        </is>
      </c>
      <c r="F8606" s="5" t="n">
        <v>846.3</v>
      </c>
      <c r="G8606">
        <f>IF(LEFT(B8606,1)="C","Credit","Factuur")</f>
        <v/>
      </c>
      <c r="H8606">
        <f>IF(AND(B8606=B8605,D8606=D8605,A8606=A8605,F8606=F8605),1,0)</f>
        <v/>
      </c>
      <c r="I8606">
        <f>IF(C8606="C99999",1,0)</f>
        <v/>
      </c>
      <c r="J8606" s="5">
        <f>IF(OR(H8606=1,I8606=1),0,IF(G8606="Credit",-F8606,F8606))</f>
        <v/>
      </c>
    </row>
    <row r="8607">
      <c r="A8607" t="inlineStr">
        <is>
          <t>2026-09-17</t>
        </is>
      </c>
      <c r="B8607" t="inlineStr">
        <is>
          <t>F270442</t>
        </is>
      </c>
      <c r="C8607" t="inlineStr">
        <is>
          <t>C10549</t>
        </is>
      </c>
      <c r="D8607" t="inlineStr">
        <is>
          <t>SKU-10175</t>
        </is>
      </c>
      <c r="E8607" t="inlineStr">
        <is>
          <t>AM08</t>
        </is>
      </c>
      <c r="F8607" s="5" t="n">
        <v>813.99</v>
      </c>
      <c r="G8607">
        <f>IF(LEFT(B8607,1)="C","Credit","Factuur")</f>
        <v/>
      </c>
      <c r="H8607">
        <f>IF(AND(B8607=B8606,D8607=D8606,A8607=A8606,F8607=F8606),1,0)</f>
        <v/>
      </c>
      <c r="I8607">
        <f>IF(C8607="C99999",1,0)</f>
        <v/>
      </c>
      <c r="J8607" s="5">
        <f>IF(OR(H8607=1,I8607=1),0,IF(G8607="Credit",-F8607,F8607))</f>
        <v/>
      </c>
    </row>
    <row r="8608">
      <c r="A8608" t="inlineStr">
        <is>
          <t>2026-09-17</t>
        </is>
      </c>
      <c r="B8608" t="inlineStr">
        <is>
          <t>F270442</t>
        </is>
      </c>
      <c r="C8608" t="inlineStr">
        <is>
          <t>C10549</t>
        </is>
      </c>
      <c r="D8608" t="inlineStr">
        <is>
          <t>SKU-10306</t>
        </is>
      </c>
      <c r="E8608" t="inlineStr">
        <is>
          <t>AM08</t>
        </is>
      </c>
      <c r="F8608" s="5" t="n">
        <v>826.92</v>
      </c>
      <c r="G8608">
        <f>IF(LEFT(B8608,1)="C","Credit","Factuur")</f>
        <v/>
      </c>
      <c r="H8608">
        <f>IF(AND(B8608=B8607,D8608=D8607,A8608=A8607,F8608=F8607),1,0)</f>
        <v/>
      </c>
      <c r="I8608">
        <f>IF(C8608="C99999",1,0)</f>
        <v/>
      </c>
      <c r="J8608" s="5">
        <f>IF(OR(H8608=1,I8608=1),0,IF(G8608="Credit",-F8608,F8608))</f>
        <v/>
      </c>
    </row>
    <row r="8609">
      <c r="A8609" t="inlineStr">
        <is>
          <t>2026-09-17</t>
        </is>
      </c>
      <c r="B8609" t="inlineStr">
        <is>
          <t>F270442</t>
        </is>
      </c>
      <c r="C8609" t="inlineStr">
        <is>
          <t>C10549</t>
        </is>
      </c>
      <c r="D8609" t="inlineStr">
        <is>
          <t>SKU-10337</t>
        </is>
      </c>
      <c r="E8609" t="inlineStr">
        <is>
          <t>AM08</t>
        </is>
      </c>
      <c r="F8609" s="5" t="n">
        <v>822.25</v>
      </c>
      <c r="G8609">
        <f>IF(LEFT(B8609,1)="C","Credit","Factuur")</f>
        <v/>
      </c>
      <c r="H8609">
        <f>IF(AND(B8609=B8608,D8609=D8608,A8609=A8608,F8609=F8608),1,0)</f>
        <v/>
      </c>
      <c r="I8609">
        <f>IF(C8609="C99999",1,0)</f>
        <v/>
      </c>
      <c r="J8609" s="5">
        <f>IF(OR(H8609=1,I8609=1),0,IF(G8609="Credit",-F8609,F8609))</f>
        <v/>
      </c>
    </row>
    <row r="8610">
      <c r="A8610" t="inlineStr">
        <is>
          <t>2026-09-17</t>
        </is>
      </c>
      <c r="B8610" t="inlineStr">
        <is>
          <t>F270788</t>
        </is>
      </c>
      <c r="C8610" t="inlineStr">
        <is>
          <t>C10565</t>
        </is>
      </c>
      <c r="D8610" t="inlineStr">
        <is>
          <t>SKU-10068</t>
        </is>
      </c>
      <c r="E8610" t="inlineStr">
        <is>
          <t>AM11</t>
        </is>
      </c>
      <c r="F8610" s="5" t="n">
        <v>675.1799999999999</v>
      </c>
      <c r="G8610">
        <f>IF(LEFT(B8610,1)="C","Credit","Factuur")</f>
        <v/>
      </c>
      <c r="H8610">
        <f>IF(AND(B8610=B8609,D8610=D8609,A8610=A8609,F8610=F8609),1,0)</f>
        <v/>
      </c>
      <c r="I8610">
        <f>IF(C8610="C99999",1,0)</f>
        <v/>
      </c>
      <c r="J8610" s="5">
        <f>IF(OR(H8610=1,I8610=1),0,IF(G8610="Credit",-F8610,F8610))</f>
        <v/>
      </c>
    </row>
    <row r="8611">
      <c r="A8611" t="inlineStr">
        <is>
          <t>2026-09-17</t>
        </is>
      </c>
      <c r="B8611" t="inlineStr">
        <is>
          <t>F270788</t>
        </is>
      </c>
      <c r="C8611" t="inlineStr">
        <is>
          <t>C10565</t>
        </is>
      </c>
      <c r="D8611" t="inlineStr">
        <is>
          <t>SKU-10328</t>
        </is>
      </c>
      <c r="E8611" t="inlineStr">
        <is>
          <t>AM11</t>
        </is>
      </c>
      <c r="F8611" s="5" t="n">
        <v>656.04</v>
      </c>
      <c r="G8611">
        <f>IF(LEFT(B8611,1)="C","Credit","Factuur")</f>
        <v/>
      </c>
      <c r="H8611">
        <f>IF(AND(B8611=B8610,D8611=D8610,A8611=A8610,F8611=F8610),1,0)</f>
        <v/>
      </c>
      <c r="I8611">
        <f>IF(C8611="C99999",1,0)</f>
        <v/>
      </c>
      <c r="J8611" s="5">
        <f>IF(OR(H8611=1,I8611=1),0,IF(G8611="Credit",-F8611,F8611))</f>
        <v/>
      </c>
    </row>
    <row r="8612">
      <c r="A8612" t="inlineStr">
        <is>
          <t>2026-09-17</t>
        </is>
      </c>
      <c r="B8612" t="inlineStr">
        <is>
          <t>F271247</t>
        </is>
      </c>
      <c r="C8612" t="inlineStr">
        <is>
          <t>C10584</t>
        </is>
      </c>
      <c r="D8612" t="inlineStr">
        <is>
          <t>SKU-10226</t>
        </is>
      </c>
      <c r="E8612" t="inlineStr">
        <is>
          <t>AM07</t>
        </is>
      </c>
      <c r="F8612" s="5" t="n">
        <v>3813.53</v>
      </c>
      <c r="G8612">
        <f>IF(LEFT(B8612,1)="C","Credit","Factuur")</f>
        <v/>
      </c>
      <c r="H8612">
        <f>IF(AND(B8612=B8611,D8612=D8611,A8612=A8611,F8612=F8611),1,0)</f>
        <v/>
      </c>
      <c r="I8612">
        <f>IF(C8612="C99999",1,0)</f>
        <v/>
      </c>
      <c r="J8612" s="5">
        <f>IF(OR(H8612=1,I8612=1),0,IF(G8612="Credit",-F8612,F8612))</f>
        <v/>
      </c>
    </row>
    <row r="8613">
      <c r="A8613" t="inlineStr">
        <is>
          <t>2026-09-17</t>
        </is>
      </c>
      <c r="B8613" t="inlineStr">
        <is>
          <t>F271891</t>
        </is>
      </c>
      <c r="C8613" t="inlineStr">
        <is>
          <t>C10613</t>
        </is>
      </c>
      <c r="D8613" t="inlineStr">
        <is>
          <t>SKU-10344</t>
        </is>
      </c>
      <c r="E8613" t="inlineStr">
        <is>
          <t>AM11</t>
        </is>
      </c>
      <c r="F8613" s="5" t="n">
        <v>1540</v>
      </c>
      <c r="G8613">
        <f>IF(LEFT(B8613,1)="C","Credit","Factuur")</f>
        <v/>
      </c>
      <c r="H8613">
        <f>IF(AND(B8613=B8612,D8613=D8612,A8613=A8612,F8613=F8612),1,0)</f>
        <v/>
      </c>
      <c r="I8613">
        <f>IF(C8613="C99999",1,0)</f>
        <v/>
      </c>
      <c r="J8613" s="5">
        <f>IF(OR(H8613=1,I8613=1),0,IF(G8613="Credit",-F8613,F8613))</f>
        <v/>
      </c>
    </row>
    <row r="8614">
      <c r="A8614" t="inlineStr">
        <is>
          <t>2026-09-17</t>
        </is>
      </c>
      <c r="B8614" t="inlineStr">
        <is>
          <t>F271954</t>
        </is>
      </c>
      <c r="C8614" t="inlineStr">
        <is>
          <t>C10616</t>
        </is>
      </c>
      <c r="D8614" t="inlineStr">
        <is>
          <t>SKU-10060</t>
        </is>
      </c>
      <c r="E8614" t="inlineStr">
        <is>
          <t>AM07</t>
        </is>
      </c>
      <c r="F8614" s="5" t="n">
        <v>1102.5</v>
      </c>
      <c r="G8614">
        <f>IF(LEFT(B8614,1)="C","Credit","Factuur")</f>
        <v/>
      </c>
      <c r="H8614">
        <f>IF(AND(B8614=B8613,D8614=D8613,A8614=A8613,F8614=F8613),1,0)</f>
        <v/>
      </c>
      <c r="I8614">
        <f>IF(C8614="C99999",1,0)</f>
        <v/>
      </c>
      <c r="J8614" s="5">
        <f>IF(OR(H8614=1,I8614=1),0,IF(G8614="Credit",-F8614,F8614))</f>
        <v/>
      </c>
    </row>
    <row r="8615">
      <c r="A8615" t="inlineStr">
        <is>
          <t>2026-09-17</t>
        </is>
      </c>
      <c r="B8615" t="inlineStr">
        <is>
          <t>F271954</t>
        </is>
      </c>
      <c r="C8615" t="inlineStr">
        <is>
          <t>C10616</t>
        </is>
      </c>
      <c r="D8615" t="inlineStr">
        <is>
          <t>SKU-10183</t>
        </is>
      </c>
      <c r="E8615" t="inlineStr">
        <is>
          <t>AM07</t>
        </is>
      </c>
      <c r="F8615" s="5" t="n">
        <v>1082.3</v>
      </c>
      <c r="G8615">
        <f>IF(LEFT(B8615,1)="C","Credit","Factuur")</f>
        <v/>
      </c>
      <c r="H8615">
        <f>IF(AND(B8615=B8614,D8615=D8614,A8615=A8614,F8615=F8614),1,0)</f>
        <v/>
      </c>
      <c r="I8615">
        <f>IF(C8615="C99999",1,0)</f>
        <v/>
      </c>
      <c r="J8615" s="5">
        <f>IF(OR(H8615=1,I8615=1),0,IF(G8615="Credit",-F8615,F8615))</f>
        <v/>
      </c>
    </row>
    <row r="8616">
      <c r="A8616" t="inlineStr">
        <is>
          <t>2026-09-17</t>
        </is>
      </c>
      <c r="B8616" t="inlineStr">
        <is>
          <t>F271954</t>
        </is>
      </c>
      <c r="C8616" t="inlineStr">
        <is>
          <t>C10616</t>
        </is>
      </c>
      <c r="D8616" t="inlineStr">
        <is>
          <t>SKU-10321</t>
        </is>
      </c>
      <c r="E8616" t="inlineStr">
        <is>
          <t>AM07</t>
        </is>
      </c>
      <c r="F8616" s="5" t="n">
        <v>1020.13</v>
      </c>
      <c r="G8616">
        <f>IF(LEFT(B8616,1)="C","Credit","Factuur")</f>
        <v/>
      </c>
      <c r="H8616">
        <f>IF(AND(B8616=B8615,D8616=D8615,A8616=A8615,F8616=F8615),1,0)</f>
        <v/>
      </c>
      <c r="I8616">
        <f>IF(C8616="C99999",1,0)</f>
        <v/>
      </c>
      <c r="J8616" s="5">
        <f>IF(OR(H8616=1,I8616=1),0,IF(G8616="Credit",-F8616,F8616))</f>
        <v/>
      </c>
    </row>
    <row r="8617">
      <c r="A8617" t="inlineStr">
        <is>
          <t>2026-09-17</t>
        </is>
      </c>
      <c r="B8617" t="inlineStr">
        <is>
          <t>F273352</t>
        </is>
      </c>
      <c r="C8617" t="inlineStr">
        <is>
          <t>C10700</t>
        </is>
      </c>
      <c r="D8617" t="inlineStr">
        <is>
          <t>SKU-10028</t>
        </is>
      </c>
      <c r="E8617" t="inlineStr">
        <is>
          <t>AM11</t>
        </is>
      </c>
      <c r="F8617" s="5" t="n">
        <v>115.76</v>
      </c>
      <c r="G8617">
        <f>IF(LEFT(B8617,1)="C","Credit","Factuur")</f>
        <v/>
      </c>
      <c r="H8617">
        <f>IF(AND(B8617=B8616,D8617=D8616,A8617=A8616,F8617=F8616),1,0)</f>
        <v/>
      </c>
      <c r="I8617">
        <f>IF(C8617="C99999",1,0)</f>
        <v/>
      </c>
      <c r="J8617" s="5">
        <f>IF(OR(H8617=1,I8617=1),0,IF(G8617="Credit",-F8617,F8617))</f>
        <v/>
      </c>
    </row>
    <row r="8618">
      <c r="A8618" t="inlineStr">
        <is>
          <t>2026-09-17</t>
        </is>
      </c>
      <c r="B8618" t="inlineStr">
        <is>
          <t>F273352</t>
        </is>
      </c>
      <c r="C8618" t="inlineStr">
        <is>
          <t>C10700</t>
        </is>
      </c>
      <c r="D8618" t="inlineStr">
        <is>
          <t>SKU-10055</t>
        </is>
      </c>
      <c r="E8618" t="inlineStr">
        <is>
          <t>AM11</t>
        </is>
      </c>
      <c r="F8618" s="5" t="n">
        <v>100.59</v>
      </c>
      <c r="G8618">
        <f>IF(LEFT(B8618,1)="C","Credit","Factuur")</f>
        <v/>
      </c>
      <c r="H8618">
        <f>IF(AND(B8618=B8617,D8618=D8617,A8618=A8617,F8618=F8617),1,0)</f>
        <v/>
      </c>
      <c r="I8618">
        <f>IF(C8618="C99999",1,0)</f>
        <v/>
      </c>
      <c r="J8618" s="5">
        <f>IF(OR(H8618=1,I8618=1),0,IF(G8618="Credit",-F8618,F8618))</f>
        <v/>
      </c>
    </row>
    <row r="8619">
      <c r="A8619" t="inlineStr">
        <is>
          <t>2026-09-17</t>
        </is>
      </c>
      <c r="B8619" t="inlineStr">
        <is>
          <t>F273352</t>
        </is>
      </c>
      <c r="C8619" t="inlineStr">
        <is>
          <t>C10700</t>
        </is>
      </c>
      <c r="D8619" t="inlineStr">
        <is>
          <t>SKU-10120</t>
        </is>
      </c>
      <c r="E8619" t="inlineStr">
        <is>
          <t>AM11</t>
        </is>
      </c>
      <c r="F8619" s="5" t="n">
        <v>113.52</v>
      </c>
      <c r="G8619">
        <f>IF(LEFT(B8619,1)="C","Credit","Factuur")</f>
        <v/>
      </c>
      <c r="H8619">
        <f>IF(AND(B8619=B8618,D8619=D8618,A8619=A8618,F8619=F8618),1,0)</f>
        <v/>
      </c>
      <c r="I8619">
        <f>IF(C8619="C99999",1,0)</f>
        <v/>
      </c>
      <c r="J8619" s="5">
        <f>IF(OR(H8619=1,I8619=1),0,IF(G8619="Credit",-F8619,F8619))</f>
        <v/>
      </c>
    </row>
    <row r="8620">
      <c r="A8620" t="inlineStr">
        <is>
          <t>2026-09-17</t>
        </is>
      </c>
      <c r="B8620" t="inlineStr">
        <is>
          <t>F273812</t>
        </is>
      </c>
      <c r="C8620" t="inlineStr">
        <is>
          <t>C10726</t>
        </is>
      </c>
      <c r="D8620" t="inlineStr">
        <is>
          <t>SKU-10284</t>
        </is>
      </c>
      <c r="E8620" t="inlineStr">
        <is>
          <t>AM12</t>
        </is>
      </c>
      <c r="F8620" s="5" t="n">
        <v>1141.01</v>
      </c>
      <c r="G8620">
        <f>IF(LEFT(B8620,1)="C","Credit","Factuur")</f>
        <v/>
      </c>
      <c r="H8620">
        <f>IF(AND(B8620=B8619,D8620=D8619,A8620=A8619,F8620=F8619),1,0)</f>
        <v/>
      </c>
      <c r="I8620">
        <f>IF(C8620="C99999",1,0)</f>
        <v/>
      </c>
      <c r="J8620" s="5">
        <f>IF(OR(H8620=1,I8620=1),0,IF(G8620="Credit",-F8620,F8620))</f>
        <v/>
      </c>
    </row>
    <row r="8621">
      <c r="A8621" t="inlineStr">
        <is>
          <t>2026-09-17</t>
        </is>
      </c>
      <c r="B8621" t="inlineStr">
        <is>
          <t>F273812</t>
        </is>
      </c>
      <c r="C8621" t="inlineStr">
        <is>
          <t>C10726</t>
        </is>
      </c>
      <c r="D8621" t="inlineStr">
        <is>
          <t>SKU-10320</t>
        </is>
      </c>
      <c r="E8621" t="inlineStr">
        <is>
          <t>AM12</t>
        </is>
      </c>
      <c r="F8621" s="5" t="n">
        <v>1142.35</v>
      </c>
      <c r="G8621">
        <f>IF(LEFT(B8621,1)="C","Credit","Factuur")</f>
        <v/>
      </c>
      <c r="H8621">
        <f>IF(AND(B8621=B8620,D8621=D8620,A8621=A8620,F8621=F8620),1,0)</f>
        <v/>
      </c>
      <c r="I8621">
        <f>IF(C8621="C99999",1,0)</f>
        <v/>
      </c>
      <c r="J8621" s="5">
        <f>IF(OR(H8621=1,I8621=1),0,IF(G8621="Credit",-F8621,F8621))</f>
        <v/>
      </c>
    </row>
    <row r="8622">
      <c r="A8622" t="inlineStr">
        <is>
          <t>2026-09-17</t>
        </is>
      </c>
      <c r="B8622" t="inlineStr">
        <is>
          <t>F275145</t>
        </is>
      </c>
      <c r="C8622" t="inlineStr">
        <is>
          <t>C10798</t>
        </is>
      </c>
      <c r="D8622" t="inlineStr">
        <is>
          <t>SKU-10137</t>
        </is>
      </c>
      <c r="E8622" t="inlineStr">
        <is>
          <t>AM08</t>
        </is>
      </c>
      <c r="F8622" s="5" t="n">
        <v>96.84999999999999</v>
      </c>
      <c r="G8622">
        <f>IF(LEFT(B8622,1)="C","Credit","Factuur")</f>
        <v/>
      </c>
      <c r="H8622">
        <f>IF(AND(B8622=B8621,D8622=D8621,A8622=A8621,F8622=F8621),1,0)</f>
        <v/>
      </c>
      <c r="I8622">
        <f>IF(C8622="C99999",1,0)</f>
        <v/>
      </c>
      <c r="J8622" s="5">
        <f>IF(OR(H8622=1,I8622=1),0,IF(G8622="Credit",-F8622,F8622))</f>
        <v/>
      </c>
    </row>
    <row r="8623">
      <c r="A8623" t="inlineStr">
        <is>
          <t>2026-09-17</t>
        </is>
      </c>
      <c r="B8623" t="inlineStr">
        <is>
          <t>F275145</t>
        </is>
      </c>
      <c r="C8623" t="inlineStr">
        <is>
          <t>C10798</t>
        </is>
      </c>
      <c r="D8623" t="inlineStr">
        <is>
          <t>SKU-10267</t>
        </is>
      </c>
      <c r="E8623" t="inlineStr">
        <is>
          <t>AM08</t>
        </is>
      </c>
      <c r="F8623" s="5" t="n">
        <v>44.34</v>
      </c>
      <c r="G8623">
        <f>IF(LEFT(B8623,1)="C","Credit","Factuur")</f>
        <v/>
      </c>
      <c r="H8623">
        <f>IF(AND(B8623=B8622,D8623=D8622,A8623=A8622,F8623=F8622),1,0)</f>
        <v/>
      </c>
      <c r="I8623">
        <f>IF(C8623="C99999",1,0)</f>
        <v/>
      </c>
      <c r="J8623" s="5">
        <f>IF(OR(H8623=1,I8623=1),0,IF(G8623="Credit",-F8623,F8623))</f>
        <v/>
      </c>
    </row>
    <row r="8624">
      <c r="A8624" t="inlineStr">
        <is>
          <t>2026-09-17</t>
        </is>
      </c>
      <c r="B8624" t="inlineStr">
        <is>
          <t>F275145</t>
        </is>
      </c>
      <c r="C8624" t="inlineStr">
        <is>
          <t>C10798</t>
        </is>
      </c>
      <c r="D8624" t="inlineStr">
        <is>
          <t>SKU-10329</t>
        </is>
      </c>
      <c r="E8624" t="inlineStr">
        <is>
          <t>AM08</t>
        </is>
      </c>
      <c r="F8624" s="5" t="n">
        <v>34.98</v>
      </c>
      <c r="G8624">
        <f>IF(LEFT(B8624,1)="C","Credit","Factuur")</f>
        <v/>
      </c>
      <c r="H8624">
        <f>IF(AND(B8624=B8623,D8624=D8623,A8624=A8623,F8624=F8623),1,0)</f>
        <v/>
      </c>
      <c r="I8624">
        <f>IF(C8624="C99999",1,0)</f>
        <v/>
      </c>
      <c r="J8624" s="5">
        <f>IF(OR(H8624=1,I8624=1),0,IF(G8624="Credit",-F8624,F8624))</f>
        <v/>
      </c>
    </row>
    <row r="8625">
      <c r="A8625" t="inlineStr">
        <is>
          <t>2026-09-17</t>
        </is>
      </c>
      <c r="B8625" t="inlineStr">
        <is>
          <t>F276444</t>
        </is>
      </c>
      <c r="C8625" t="inlineStr">
        <is>
          <t>C10870</t>
        </is>
      </c>
      <c r="D8625" t="inlineStr">
        <is>
          <t>SKU-10044</t>
        </is>
      </c>
      <c r="E8625" t="inlineStr">
        <is>
          <t>AM05</t>
        </is>
      </c>
      <c r="F8625" s="5" t="n">
        <v>98.16</v>
      </c>
      <c r="G8625">
        <f>IF(LEFT(B8625,1)="C","Credit","Factuur")</f>
        <v/>
      </c>
      <c r="H8625">
        <f>IF(AND(B8625=B8624,D8625=D8624,A8625=A8624,F8625=F8624),1,0)</f>
        <v/>
      </c>
      <c r="I8625">
        <f>IF(C8625="C99999",1,0)</f>
        <v/>
      </c>
      <c r="J8625" s="5">
        <f>IF(OR(H8625=1,I8625=1),0,IF(G8625="Credit",-F8625,F8625))</f>
        <v/>
      </c>
    </row>
    <row r="8626">
      <c r="A8626" t="inlineStr">
        <is>
          <t>2026-09-17</t>
        </is>
      </c>
      <c r="B8626" t="inlineStr">
        <is>
          <t>F276444</t>
        </is>
      </c>
      <c r="C8626" t="inlineStr">
        <is>
          <t>C10870</t>
        </is>
      </c>
      <c r="D8626" t="inlineStr">
        <is>
          <t>SKU-10092</t>
        </is>
      </c>
      <c r="E8626" t="inlineStr">
        <is>
          <t>AM05</t>
        </is>
      </c>
      <c r="F8626" s="5" t="n">
        <v>137.24</v>
      </c>
      <c r="G8626">
        <f>IF(LEFT(B8626,1)="C","Credit","Factuur")</f>
        <v/>
      </c>
      <c r="H8626">
        <f>IF(AND(B8626=B8625,D8626=D8625,A8626=A8625,F8626=F8625),1,0)</f>
        <v/>
      </c>
      <c r="I8626">
        <f>IF(C8626="C99999",1,0)</f>
        <v/>
      </c>
      <c r="J8626" s="5">
        <f>IF(OR(H8626=1,I8626=1),0,IF(G8626="Credit",-F8626,F8626))</f>
        <v/>
      </c>
    </row>
    <row r="8627">
      <c r="A8627" t="inlineStr">
        <is>
          <t>2026-09-17</t>
        </is>
      </c>
      <c r="B8627" t="inlineStr">
        <is>
          <t>F276444</t>
        </is>
      </c>
      <c r="C8627" t="inlineStr">
        <is>
          <t>C10870</t>
        </is>
      </c>
      <c r="D8627" t="inlineStr">
        <is>
          <t>SKU-10279</t>
        </is>
      </c>
      <c r="E8627" t="inlineStr">
        <is>
          <t>AM05</t>
        </is>
      </c>
      <c r="F8627" s="5" t="n">
        <v>116.06</v>
      </c>
      <c r="G8627">
        <f>IF(LEFT(B8627,1)="C","Credit","Factuur")</f>
        <v/>
      </c>
      <c r="H8627">
        <f>IF(AND(B8627=B8626,D8627=D8626,A8627=A8626,F8627=F8626),1,0)</f>
        <v/>
      </c>
      <c r="I8627">
        <f>IF(C8627="C99999",1,0)</f>
        <v/>
      </c>
      <c r="J8627" s="5">
        <f>IF(OR(H8627=1,I8627=1),0,IF(G8627="Credit",-F8627,F8627))</f>
        <v/>
      </c>
    </row>
    <row r="8628">
      <c r="A8628" t="inlineStr">
        <is>
          <t>2026-09-17</t>
        </is>
      </c>
      <c r="B8628" t="inlineStr">
        <is>
          <t>F276444</t>
        </is>
      </c>
      <c r="C8628" t="inlineStr">
        <is>
          <t>C10870</t>
        </is>
      </c>
      <c r="D8628" t="inlineStr">
        <is>
          <t>SKU-10347</t>
        </is>
      </c>
      <c r="E8628" t="inlineStr">
        <is>
          <t>AM05</t>
        </is>
      </c>
      <c r="F8628" s="5" t="n">
        <v>264.16</v>
      </c>
      <c r="G8628">
        <f>IF(LEFT(B8628,1)="C","Credit","Factuur")</f>
        <v/>
      </c>
      <c r="H8628">
        <f>IF(AND(B8628=B8627,D8628=D8627,A8628=A8627,F8628=F8627),1,0)</f>
        <v/>
      </c>
      <c r="I8628">
        <f>IF(C8628="C99999",1,0)</f>
        <v/>
      </c>
      <c r="J8628" s="5">
        <f>IF(OR(H8628=1,I8628=1),0,IF(G8628="Credit",-F8628,F8628))</f>
        <v/>
      </c>
    </row>
    <row r="8629">
      <c r="A8629" t="inlineStr">
        <is>
          <t>2026-09-17</t>
        </is>
      </c>
      <c r="B8629" t="inlineStr">
        <is>
          <t>F276786</t>
        </is>
      </c>
      <c r="C8629" t="inlineStr">
        <is>
          <t>C10890</t>
        </is>
      </c>
      <c r="D8629" t="inlineStr">
        <is>
          <t>SKU-10013</t>
        </is>
      </c>
      <c r="E8629" t="inlineStr">
        <is>
          <t>AM11</t>
        </is>
      </c>
      <c r="F8629" s="5" t="n">
        <v>430.26</v>
      </c>
      <c r="G8629">
        <f>IF(LEFT(B8629,1)="C","Credit","Factuur")</f>
        <v/>
      </c>
      <c r="H8629">
        <f>IF(AND(B8629=B8628,D8629=D8628,A8629=A8628,F8629=F8628),1,0)</f>
        <v/>
      </c>
      <c r="I8629">
        <f>IF(C8629="C99999",1,0)</f>
        <v/>
      </c>
      <c r="J8629" s="5">
        <f>IF(OR(H8629=1,I8629=1),0,IF(G8629="Credit",-F8629,F8629))</f>
        <v/>
      </c>
    </row>
    <row r="8630">
      <c r="A8630" t="inlineStr">
        <is>
          <t>2026-09-17</t>
        </is>
      </c>
      <c r="B8630" t="inlineStr">
        <is>
          <t>F276786</t>
        </is>
      </c>
      <c r="C8630" t="inlineStr">
        <is>
          <t>C10890</t>
        </is>
      </c>
      <c r="D8630" t="inlineStr">
        <is>
          <t>SKU-10269</t>
        </is>
      </c>
      <c r="E8630" t="inlineStr">
        <is>
          <t>AM11</t>
        </is>
      </c>
      <c r="F8630" s="5" t="n">
        <v>444.44</v>
      </c>
      <c r="G8630">
        <f>IF(LEFT(B8630,1)="C","Credit","Factuur")</f>
        <v/>
      </c>
      <c r="H8630">
        <f>IF(AND(B8630=B8629,D8630=D8629,A8630=A8629,F8630=F8629),1,0)</f>
        <v/>
      </c>
      <c r="I8630">
        <f>IF(C8630="C99999",1,0)</f>
        <v/>
      </c>
      <c r="J8630" s="5">
        <f>IF(OR(H8630=1,I8630=1),0,IF(G8630="Credit",-F8630,F8630))</f>
        <v/>
      </c>
    </row>
    <row r="8631">
      <c r="A8631" t="inlineStr">
        <is>
          <t>2026-09-17</t>
        </is>
      </c>
      <c r="B8631" t="inlineStr">
        <is>
          <t>F277195</t>
        </is>
      </c>
      <c r="C8631" t="inlineStr">
        <is>
          <t>C10913</t>
        </is>
      </c>
      <c r="D8631" t="inlineStr">
        <is>
          <t>SKU-10315</t>
        </is>
      </c>
      <c r="E8631" t="inlineStr">
        <is>
          <t>AM06</t>
        </is>
      </c>
      <c r="F8631" s="5" t="n">
        <v>1252.35</v>
      </c>
      <c r="G8631">
        <f>IF(LEFT(B8631,1)="C","Credit","Factuur")</f>
        <v/>
      </c>
      <c r="H8631">
        <f>IF(AND(B8631=B8630,D8631=D8630,A8631=A8630,F8631=F8630),1,0)</f>
        <v/>
      </c>
      <c r="I8631">
        <f>IF(C8631="C99999",1,0)</f>
        <v/>
      </c>
      <c r="J8631" s="5">
        <f>IF(OR(H8631=1,I8631=1),0,IF(G8631="Credit",-F8631,F8631))</f>
        <v/>
      </c>
    </row>
    <row r="8632">
      <c r="A8632" t="inlineStr">
        <is>
          <t>2026-09-17</t>
        </is>
      </c>
      <c r="B8632" t="inlineStr">
        <is>
          <t>F277928</t>
        </is>
      </c>
      <c r="C8632" t="inlineStr">
        <is>
          <t>C10951</t>
        </is>
      </c>
      <c r="D8632" t="inlineStr">
        <is>
          <t>SKU-10201</t>
        </is>
      </c>
      <c r="E8632" t="inlineStr">
        <is>
          <t>AM06</t>
        </is>
      </c>
      <c r="F8632" s="5" t="n">
        <v>3676.32</v>
      </c>
      <c r="G8632">
        <f>IF(LEFT(B8632,1)="C","Credit","Factuur")</f>
        <v/>
      </c>
      <c r="H8632">
        <f>IF(AND(B8632=B8631,D8632=D8631,A8632=A8631,F8632=F8631),1,0)</f>
        <v/>
      </c>
      <c r="I8632">
        <f>IF(C8632="C99999",1,0)</f>
        <v/>
      </c>
      <c r="J8632" s="5">
        <f>IF(OR(H8632=1,I8632=1),0,IF(G8632="Credit",-F8632,F8632))</f>
        <v/>
      </c>
    </row>
    <row r="8633">
      <c r="A8633" t="inlineStr">
        <is>
          <t>2026-09-17</t>
        </is>
      </c>
      <c r="B8633" t="inlineStr">
        <is>
          <t>F277928</t>
        </is>
      </c>
      <c r="C8633" t="inlineStr">
        <is>
          <t>C10951</t>
        </is>
      </c>
      <c r="D8633" t="inlineStr">
        <is>
          <t>SKU-10306</t>
        </is>
      </c>
      <c r="E8633" t="inlineStr">
        <is>
          <t>AM06</t>
        </is>
      </c>
      <c r="F8633" s="5" t="n">
        <v>3675.2</v>
      </c>
      <c r="G8633">
        <f>IF(LEFT(B8633,1)="C","Credit","Factuur")</f>
        <v/>
      </c>
      <c r="H8633">
        <f>IF(AND(B8633=B8632,D8633=D8632,A8633=A8632,F8633=F8632),1,0)</f>
        <v/>
      </c>
      <c r="I8633">
        <f>IF(C8633="C99999",1,0)</f>
        <v/>
      </c>
      <c r="J8633" s="5">
        <f>IF(OR(H8633=1,I8633=1),0,IF(G8633="Credit",-F8633,F8633))</f>
        <v/>
      </c>
    </row>
    <row r="8634">
      <c r="A8634" t="inlineStr">
        <is>
          <t>2026-09-17</t>
        </is>
      </c>
      <c r="B8634" t="inlineStr">
        <is>
          <t>F278336</t>
        </is>
      </c>
      <c r="C8634" t="inlineStr">
        <is>
          <t>C10972</t>
        </is>
      </c>
      <c r="D8634" t="inlineStr">
        <is>
          <t>SKU-10101</t>
        </is>
      </c>
      <c r="E8634" t="inlineStr">
        <is>
          <t>AM03</t>
        </is>
      </c>
      <c r="F8634" s="5" t="n">
        <v>451.29</v>
      </c>
      <c r="G8634">
        <f>IF(LEFT(B8634,1)="C","Credit","Factuur")</f>
        <v/>
      </c>
      <c r="H8634">
        <f>IF(AND(B8634=B8633,D8634=D8633,A8634=A8633,F8634=F8633),1,0)</f>
        <v/>
      </c>
      <c r="I8634">
        <f>IF(C8634="C99999",1,0)</f>
        <v/>
      </c>
      <c r="J8634" s="5">
        <f>IF(OR(H8634=1,I8634=1),0,IF(G8634="Credit",-F8634,F8634))</f>
        <v/>
      </c>
    </row>
    <row r="8635">
      <c r="A8635" t="inlineStr">
        <is>
          <t>2026-09-17</t>
        </is>
      </c>
      <c r="B8635" t="inlineStr">
        <is>
          <t>F278336</t>
        </is>
      </c>
      <c r="C8635" t="inlineStr">
        <is>
          <t>C10972</t>
        </is>
      </c>
      <c r="D8635" t="inlineStr">
        <is>
          <t>SKU-10282</t>
        </is>
      </c>
      <c r="E8635" t="inlineStr">
        <is>
          <t>AM03</t>
        </is>
      </c>
      <c r="F8635" s="5" t="n">
        <v>477.4</v>
      </c>
      <c r="G8635">
        <f>IF(LEFT(B8635,1)="C","Credit","Factuur")</f>
        <v/>
      </c>
      <c r="H8635">
        <f>IF(AND(B8635=B8634,D8635=D8634,A8635=A8634,F8635=F8634),1,0)</f>
        <v/>
      </c>
      <c r="I8635">
        <f>IF(C8635="C99999",1,0)</f>
        <v/>
      </c>
      <c r="J8635" s="5">
        <f>IF(OR(H8635=1,I8635=1),0,IF(G8635="Credit",-F8635,F8635))</f>
        <v/>
      </c>
    </row>
    <row r="8636">
      <c r="A8636" t="inlineStr">
        <is>
          <t>2026-09-17</t>
        </is>
      </c>
      <c r="B8636" t="inlineStr">
        <is>
          <t>F278777</t>
        </is>
      </c>
      <c r="C8636" t="inlineStr">
        <is>
          <t>C10996</t>
        </is>
      </c>
      <c r="D8636" t="inlineStr">
        <is>
          <t>SKU-10098</t>
        </is>
      </c>
      <c r="E8636" t="inlineStr">
        <is>
          <t>AM02</t>
        </is>
      </c>
      <c r="F8636" s="5" t="n">
        <v>120.03</v>
      </c>
      <c r="G8636">
        <f>IF(LEFT(B8636,1)="C","Credit","Factuur")</f>
        <v/>
      </c>
      <c r="H8636">
        <f>IF(AND(B8636=B8635,D8636=D8635,A8636=A8635,F8636=F8635),1,0)</f>
        <v/>
      </c>
      <c r="I8636">
        <f>IF(C8636="C99999",1,0)</f>
        <v/>
      </c>
      <c r="J8636" s="5">
        <f>IF(OR(H8636=1,I8636=1),0,IF(G8636="Credit",-F8636,F8636))</f>
        <v/>
      </c>
    </row>
    <row r="8637">
      <c r="A8637" t="inlineStr">
        <is>
          <t>2026-09-17</t>
        </is>
      </c>
      <c r="B8637" t="inlineStr">
        <is>
          <t>F278777</t>
        </is>
      </c>
      <c r="C8637" t="inlineStr">
        <is>
          <t>C10996</t>
        </is>
      </c>
      <c r="D8637" t="inlineStr">
        <is>
          <t>SKU-10196</t>
        </is>
      </c>
      <c r="E8637" t="inlineStr">
        <is>
          <t>AM02</t>
        </is>
      </c>
      <c r="F8637" s="5" t="n">
        <v>69.03</v>
      </c>
      <c r="G8637">
        <f>IF(LEFT(B8637,1)="C","Credit","Factuur")</f>
        <v/>
      </c>
      <c r="H8637">
        <f>IF(AND(B8637=B8636,D8637=D8636,A8637=A8636,F8637=F8636),1,0)</f>
        <v/>
      </c>
      <c r="I8637">
        <f>IF(C8637="C99999",1,0)</f>
        <v/>
      </c>
      <c r="J8637" s="5">
        <f>IF(OR(H8637=1,I8637=1),0,IF(G8637="Credit",-F8637,F8637))</f>
        <v/>
      </c>
    </row>
    <row r="8638">
      <c r="A8638" t="inlineStr">
        <is>
          <t>2026-09-17</t>
        </is>
      </c>
      <c r="B8638" t="inlineStr">
        <is>
          <t>F278777</t>
        </is>
      </c>
      <c r="C8638" t="inlineStr">
        <is>
          <t>C10996</t>
        </is>
      </c>
      <c r="D8638" t="inlineStr">
        <is>
          <t>SKU-10317</t>
        </is>
      </c>
      <c r="E8638" t="inlineStr">
        <is>
          <t>AM02</t>
        </is>
      </c>
      <c r="F8638" s="5" t="n">
        <v>83.13</v>
      </c>
      <c r="G8638">
        <f>IF(LEFT(B8638,1)="C","Credit","Factuur")</f>
        <v/>
      </c>
      <c r="H8638">
        <f>IF(AND(B8638=B8637,D8638=D8637,A8638=A8637,F8638=F8637),1,0)</f>
        <v/>
      </c>
      <c r="I8638">
        <f>IF(C8638="C99999",1,0)</f>
        <v/>
      </c>
      <c r="J8638" s="5">
        <f>IF(OR(H8638=1,I8638=1),0,IF(G8638="Credit",-F8638,F8638))</f>
        <v/>
      </c>
    </row>
    <row r="8639">
      <c r="A8639" t="inlineStr">
        <is>
          <t>2026-09-17</t>
        </is>
      </c>
      <c r="B8639" t="inlineStr">
        <is>
          <t>F279851</t>
        </is>
      </c>
      <c r="C8639" t="inlineStr">
        <is>
          <t>C11051</t>
        </is>
      </c>
      <c r="D8639" t="inlineStr">
        <is>
          <t>SKU-10086</t>
        </is>
      </c>
      <c r="E8639" t="inlineStr">
        <is>
          <t>AM03</t>
        </is>
      </c>
      <c r="F8639" s="5" t="n">
        <v>494.76</v>
      </c>
      <c r="G8639">
        <f>IF(LEFT(B8639,1)="C","Credit","Factuur")</f>
        <v/>
      </c>
      <c r="H8639">
        <f>IF(AND(B8639=B8638,D8639=D8638,A8639=A8638,F8639=F8638),1,0)</f>
        <v/>
      </c>
      <c r="I8639">
        <f>IF(C8639="C99999",1,0)</f>
        <v/>
      </c>
      <c r="J8639" s="5">
        <f>IF(OR(H8639=1,I8639=1),0,IF(G8639="Credit",-F8639,F8639))</f>
        <v/>
      </c>
    </row>
    <row r="8640">
      <c r="A8640" t="inlineStr">
        <is>
          <t>2026-09-17</t>
        </is>
      </c>
      <c r="B8640" t="inlineStr">
        <is>
          <t>F279851</t>
        </is>
      </c>
      <c r="C8640" t="inlineStr">
        <is>
          <t>C11051</t>
        </is>
      </c>
      <c r="D8640" t="inlineStr">
        <is>
          <t>SKU-10252</t>
        </is>
      </c>
      <c r="E8640" t="inlineStr">
        <is>
          <t>AM03</t>
        </is>
      </c>
      <c r="F8640" s="5" t="n">
        <v>446</v>
      </c>
      <c r="G8640">
        <f>IF(LEFT(B8640,1)="C","Credit","Factuur")</f>
        <v/>
      </c>
      <c r="H8640">
        <f>IF(AND(B8640=B8639,D8640=D8639,A8640=A8639,F8640=F8639),1,0)</f>
        <v/>
      </c>
      <c r="I8640">
        <f>IF(C8640="C99999",1,0)</f>
        <v/>
      </c>
      <c r="J8640" s="5">
        <f>IF(OR(H8640=1,I8640=1),0,IF(G8640="Credit",-F8640,F8640))</f>
        <v/>
      </c>
    </row>
    <row r="8641">
      <c r="A8641" t="inlineStr">
        <is>
          <t>2026-09-17</t>
        </is>
      </c>
      <c r="B8641" t="inlineStr">
        <is>
          <t>F279851</t>
        </is>
      </c>
      <c r="C8641" t="inlineStr">
        <is>
          <t>C11051</t>
        </is>
      </c>
      <c r="D8641" t="inlineStr">
        <is>
          <t>SKU-10273</t>
        </is>
      </c>
      <c r="E8641" t="inlineStr">
        <is>
          <t>AM03</t>
        </is>
      </c>
      <c r="F8641" s="5" t="n">
        <v>436.83</v>
      </c>
      <c r="G8641">
        <f>IF(LEFT(B8641,1)="C","Credit","Factuur")</f>
        <v/>
      </c>
      <c r="H8641">
        <f>IF(AND(B8641=B8640,D8641=D8640,A8641=A8640,F8641=F8640),1,0)</f>
        <v/>
      </c>
      <c r="I8641">
        <f>IF(C8641="C99999",1,0)</f>
        <v/>
      </c>
      <c r="J8641" s="5">
        <f>IF(OR(H8641=1,I8641=1),0,IF(G8641="Credit",-F8641,F8641))</f>
        <v/>
      </c>
    </row>
    <row r="8642">
      <c r="A8642" t="inlineStr">
        <is>
          <t>2026-09-17</t>
        </is>
      </c>
      <c r="B8642" t="inlineStr">
        <is>
          <t>F280034</t>
        </is>
      </c>
      <c r="C8642" t="inlineStr">
        <is>
          <t>C11059</t>
        </is>
      </c>
      <c r="D8642" t="inlineStr">
        <is>
          <t>SKU-10094</t>
        </is>
      </c>
      <c r="E8642" t="inlineStr">
        <is>
          <t>AM11</t>
        </is>
      </c>
      <c r="F8642" s="5" t="n">
        <v>141.5</v>
      </c>
      <c r="G8642">
        <f>IF(LEFT(B8642,1)="C","Credit","Factuur")</f>
        <v/>
      </c>
      <c r="H8642">
        <f>IF(AND(B8642=B8641,D8642=D8641,A8642=A8641,F8642=F8641),1,0)</f>
        <v/>
      </c>
      <c r="I8642">
        <f>IF(C8642="C99999",1,0)</f>
        <v/>
      </c>
      <c r="J8642" s="5">
        <f>IF(OR(H8642=1,I8642=1),0,IF(G8642="Credit",-F8642,F8642))</f>
        <v/>
      </c>
    </row>
    <row r="8643">
      <c r="A8643" t="inlineStr">
        <is>
          <t>2026-09-17</t>
        </is>
      </c>
      <c r="B8643" t="inlineStr">
        <is>
          <t>F280034</t>
        </is>
      </c>
      <c r="C8643" t="inlineStr">
        <is>
          <t>C11059</t>
        </is>
      </c>
      <c r="D8643" t="inlineStr">
        <is>
          <t>SKU-10179</t>
        </is>
      </c>
      <c r="E8643" t="inlineStr">
        <is>
          <t>AM11</t>
        </is>
      </c>
      <c r="F8643" s="5" t="n">
        <v>149.28</v>
      </c>
      <c r="G8643">
        <f>IF(LEFT(B8643,1)="C","Credit","Factuur")</f>
        <v/>
      </c>
      <c r="H8643">
        <f>IF(AND(B8643=B8642,D8643=D8642,A8643=A8642,F8643=F8642),1,0)</f>
        <v/>
      </c>
      <c r="I8643">
        <f>IF(C8643="C99999",1,0)</f>
        <v/>
      </c>
      <c r="J8643" s="5">
        <f>IF(OR(H8643=1,I8643=1),0,IF(G8643="Credit",-F8643,F8643))</f>
        <v/>
      </c>
    </row>
    <row r="8644">
      <c r="A8644" t="inlineStr">
        <is>
          <t>2026-09-17</t>
        </is>
      </c>
      <c r="B8644" t="inlineStr">
        <is>
          <t>F280320</t>
        </is>
      </c>
      <c r="C8644" t="inlineStr">
        <is>
          <t>C11074</t>
        </is>
      </c>
      <c r="D8644" t="inlineStr">
        <is>
          <t>SKU-10047</t>
        </is>
      </c>
      <c r="E8644" t="inlineStr">
        <is>
          <t>AM12</t>
        </is>
      </c>
      <c r="F8644" s="5" t="n">
        <v>228.55</v>
      </c>
      <c r="G8644">
        <f>IF(LEFT(B8644,1)="C","Credit","Factuur")</f>
        <v/>
      </c>
      <c r="H8644">
        <f>IF(AND(B8644=B8643,D8644=D8643,A8644=A8643,F8644=F8643),1,0)</f>
        <v/>
      </c>
      <c r="I8644">
        <f>IF(C8644="C99999",1,0)</f>
        <v/>
      </c>
      <c r="J8644" s="5">
        <f>IF(OR(H8644=1,I8644=1),0,IF(G8644="Credit",-F8644,F8644))</f>
        <v/>
      </c>
    </row>
    <row r="8645">
      <c r="A8645" t="inlineStr">
        <is>
          <t>2026-09-17</t>
        </is>
      </c>
      <c r="B8645" t="inlineStr">
        <is>
          <t>F280320</t>
        </is>
      </c>
      <c r="C8645" t="inlineStr">
        <is>
          <t>C11074</t>
        </is>
      </c>
      <c r="D8645" t="inlineStr">
        <is>
          <t>SKU-10078</t>
        </is>
      </c>
      <c r="E8645" t="inlineStr">
        <is>
          <t>AM12</t>
        </is>
      </c>
      <c r="F8645" s="5" t="n">
        <v>205.44</v>
      </c>
      <c r="G8645">
        <f>IF(LEFT(B8645,1)="C","Credit","Factuur")</f>
        <v/>
      </c>
      <c r="H8645">
        <f>IF(AND(B8645=B8644,D8645=D8644,A8645=A8644,F8645=F8644),1,0)</f>
        <v/>
      </c>
      <c r="I8645">
        <f>IF(C8645="C99999",1,0)</f>
        <v/>
      </c>
      <c r="J8645" s="5">
        <f>IF(OR(H8645=1,I8645=1),0,IF(G8645="Credit",-F8645,F8645))</f>
        <v/>
      </c>
    </row>
    <row r="8646">
      <c r="A8646" t="inlineStr">
        <is>
          <t>2026-09-17</t>
        </is>
      </c>
      <c r="B8646" t="inlineStr">
        <is>
          <t>F280320</t>
        </is>
      </c>
      <c r="C8646" t="inlineStr">
        <is>
          <t>C11074</t>
        </is>
      </c>
      <c r="D8646" t="inlineStr">
        <is>
          <t>SKU-10178</t>
        </is>
      </c>
      <c r="E8646" t="inlineStr">
        <is>
          <t>AM12</t>
        </is>
      </c>
      <c r="F8646" s="5" t="n">
        <v>228.64</v>
      </c>
      <c r="G8646">
        <f>IF(LEFT(B8646,1)="C","Credit","Factuur")</f>
        <v/>
      </c>
      <c r="H8646">
        <f>IF(AND(B8646=B8645,D8646=D8645,A8646=A8645,F8646=F8645),1,0)</f>
        <v/>
      </c>
      <c r="I8646">
        <f>IF(C8646="C99999",1,0)</f>
        <v/>
      </c>
      <c r="J8646" s="5">
        <f>IF(OR(H8646=1,I8646=1),0,IF(G8646="Credit",-F8646,F8646))</f>
        <v/>
      </c>
    </row>
    <row r="8647">
      <c r="A8647" t="inlineStr">
        <is>
          <t>2026-09-17</t>
        </is>
      </c>
      <c r="B8647" t="inlineStr">
        <is>
          <t>F280320</t>
        </is>
      </c>
      <c r="C8647" t="inlineStr">
        <is>
          <t>C11074</t>
        </is>
      </c>
      <c r="D8647" t="inlineStr">
        <is>
          <t>SKU-10232</t>
        </is>
      </c>
      <c r="E8647" t="inlineStr">
        <is>
          <t>AM12</t>
        </is>
      </c>
      <c r="F8647" s="5" t="n">
        <v>209.76</v>
      </c>
      <c r="G8647">
        <f>IF(LEFT(B8647,1)="C","Credit","Factuur")</f>
        <v/>
      </c>
      <c r="H8647">
        <f>IF(AND(B8647=B8646,D8647=D8646,A8647=A8646,F8647=F8646),1,0)</f>
        <v/>
      </c>
      <c r="I8647">
        <f>IF(C8647="C99999",1,0)</f>
        <v/>
      </c>
      <c r="J8647" s="5">
        <f>IF(OR(H8647=1,I8647=1),0,IF(G8647="Credit",-F8647,F8647))</f>
        <v/>
      </c>
    </row>
    <row r="8648">
      <c r="A8648" t="inlineStr">
        <is>
          <t>2026-09-17</t>
        </is>
      </c>
      <c r="B8648" t="inlineStr">
        <is>
          <t>F280476</t>
        </is>
      </c>
      <c r="C8648" t="inlineStr">
        <is>
          <t>C11080</t>
        </is>
      </c>
      <c r="D8648" t="inlineStr">
        <is>
          <t>SKU-10089</t>
        </is>
      </c>
      <c r="E8648" t="inlineStr">
        <is>
          <t>AM01</t>
        </is>
      </c>
      <c r="F8648" s="5" t="n">
        <v>787.35</v>
      </c>
      <c r="G8648">
        <f>IF(LEFT(B8648,1)="C","Credit","Factuur")</f>
        <v/>
      </c>
      <c r="H8648">
        <f>IF(AND(B8648=B8647,D8648=D8647,A8648=A8647,F8648=F8647),1,0)</f>
        <v/>
      </c>
      <c r="I8648">
        <f>IF(C8648="C99999",1,0)</f>
        <v/>
      </c>
      <c r="J8648" s="5">
        <f>IF(OR(H8648=1,I8648=1),0,IF(G8648="Credit",-F8648,F8648))</f>
        <v/>
      </c>
    </row>
    <row r="8649">
      <c r="A8649" t="inlineStr">
        <is>
          <t>2026-09-17</t>
        </is>
      </c>
      <c r="B8649" t="inlineStr">
        <is>
          <t>F280476</t>
        </is>
      </c>
      <c r="C8649" t="inlineStr">
        <is>
          <t>C11080</t>
        </is>
      </c>
      <c r="D8649" t="inlineStr">
        <is>
          <t>SKU-10303</t>
        </is>
      </c>
      <c r="E8649" t="inlineStr">
        <is>
          <t>AM01</t>
        </is>
      </c>
      <c r="F8649" s="5" t="n">
        <v>878.27</v>
      </c>
      <c r="G8649">
        <f>IF(LEFT(B8649,1)="C","Credit","Factuur")</f>
        <v/>
      </c>
      <c r="H8649">
        <f>IF(AND(B8649=B8648,D8649=D8648,A8649=A8648,F8649=F8648),1,0)</f>
        <v/>
      </c>
      <c r="I8649">
        <f>IF(C8649="C99999",1,0)</f>
        <v/>
      </c>
      <c r="J8649" s="5">
        <f>IF(OR(H8649=1,I8649=1),0,IF(G8649="Credit",-F8649,F8649))</f>
        <v/>
      </c>
    </row>
    <row r="8650">
      <c r="A8650" t="inlineStr">
        <is>
          <t>2026-09-17</t>
        </is>
      </c>
      <c r="B8650" t="inlineStr">
        <is>
          <t>F280476</t>
        </is>
      </c>
      <c r="C8650" t="inlineStr">
        <is>
          <t>C11080</t>
        </is>
      </c>
      <c r="D8650" t="inlineStr">
        <is>
          <t>SKU-10322</t>
        </is>
      </c>
      <c r="E8650" t="inlineStr">
        <is>
          <t>AM01</t>
        </is>
      </c>
      <c r="F8650" s="5" t="n">
        <v>921.74</v>
      </c>
      <c r="G8650">
        <f>IF(LEFT(B8650,1)="C","Credit","Factuur")</f>
        <v/>
      </c>
      <c r="H8650">
        <f>IF(AND(B8650=B8649,D8650=D8649,A8650=A8649,F8650=F8649),1,0)</f>
        <v/>
      </c>
      <c r="I8650">
        <f>IF(C8650="C99999",1,0)</f>
        <v/>
      </c>
      <c r="J8650" s="5">
        <f>IF(OR(H8650=1,I8650=1),0,IF(G8650="Credit",-F8650,F8650))</f>
        <v/>
      </c>
    </row>
    <row r="8651">
      <c r="A8651" t="inlineStr">
        <is>
          <t>2026-09-17</t>
        </is>
      </c>
      <c r="B8651" t="inlineStr">
        <is>
          <t>F280653</t>
        </is>
      </c>
      <c r="C8651" t="inlineStr">
        <is>
          <t>C11090</t>
        </is>
      </c>
      <c r="D8651" t="inlineStr">
        <is>
          <t>SKU-10009</t>
        </is>
      </c>
      <c r="E8651" t="inlineStr">
        <is>
          <t>AM02</t>
        </is>
      </c>
      <c r="F8651" s="5" t="n">
        <v>1262.81</v>
      </c>
      <c r="G8651">
        <f>IF(LEFT(B8651,1)="C","Credit","Factuur")</f>
        <v/>
      </c>
      <c r="H8651">
        <f>IF(AND(B8651=B8650,D8651=D8650,A8651=A8650,F8651=F8650),1,0)</f>
        <v/>
      </c>
      <c r="I8651">
        <f>IF(C8651="C99999",1,0)</f>
        <v/>
      </c>
      <c r="J8651" s="5">
        <f>IF(OR(H8651=1,I8651=1),0,IF(G8651="Credit",-F8651,F8651))</f>
        <v/>
      </c>
    </row>
    <row r="8652">
      <c r="A8652" t="inlineStr">
        <is>
          <t>2026-09-17</t>
        </is>
      </c>
      <c r="B8652" t="inlineStr">
        <is>
          <t>F280653</t>
        </is>
      </c>
      <c r="C8652" t="inlineStr">
        <is>
          <t>C11090</t>
        </is>
      </c>
      <c r="D8652" t="inlineStr">
        <is>
          <t>SKU-10196</t>
        </is>
      </c>
      <c r="E8652" t="inlineStr">
        <is>
          <t>AM02</t>
        </is>
      </c>
      <c r="F8652" s="5" t="n">
        <v>1113.68</v>
      </c>
      <c r="G8652">
        <f>IF(LEFT(B8652,1)="C","Credit","Factuur")</f>
        <v/>
      </c>
      <c r="H8652">
        <f>IF(AND(B8652=B8651,D8652=D8651,A8652=A8651,F8652=F8651),1,0)</f>
        <v/>
      </c>
      <c r="I8652">
        <f>IF(C8652="C99999",1,0)</f>
        <v/>
      </c>
      <c r="J8652" s="5">
        <f>IF(OR(H8652=1,I8652=1),0,IF(G8652="Credit",-F8652,F8652))</f>
        <v/>
      </c>
    </row>
    <row r="8653">
      <c r="A8653" t="inlineStr">
        <is>
          <t>2026-09-17</t>
        </is>
      </c>
      <c r="B8653" t="inlineStr">
        <is>
          <t>F280653</t>
        </is>
      </c>
      <c r="C8653" t="inlineStr">
        <is>
          <t>C11090</t>
        </is>
      </c>
      <c r="D8653" t="inlineStr">
        <is>
          <t>SKU-10314</t>
        </is>
      </c>
      <c r="E8653" t="inlineStr">
        <is>
          <t>AM02</t>
        </is>
      </c>
      <c r="F8653" s="5" t="n">
        <v>1270.08</v>
      </c>
      <c r="G8653">
        <f>IF(LEFT(B8653,1)="C","Credit","Factuur")</f>
        <v/>
      </c>
      <c r="H8653">
        <f>IF(AND(B8653=B8652,D8653=D8652,A8653=A8652,F8653=F8652),1,0)</f>
        <v/>
      </c>
      <c r="I8653">
        <f>IF(C8653="C99999",1,0)</f>
        <v/>
      </c>
      <c r="J8653" s="5">
        <f>IF(OR(H8653=1,I8653=1),0,IF(G8653="Credit",-F8653,F8653))</f>
        <v/>
      </c>
    </row>
    <row r="8654">
      <c r="A8654" t="inlineStr">
        <is>
          <t>2026-09-17</t>
        </is>
      </c>
      <c r="B8654" t="inlineStr">
        <is>
          <t>F280882</t>
        </is>
      </c>
      <c r="C8654" t="inlineStr">
        <is>
          <t>C11100</t>
        </is>
      </c>
      <c r="D8654" t="inlineStr">
        <is>
          <t>SKU-10260</t>
        </is>
      </c>
      <c r="E8654" t="inlineStr">
        <is>
          <t>AM12</t>
        </is>
      </c>
      <c r="F8654" s="5" t="n">
        <v>868.48</v>
      </c>
      <c r="G8654">
        <f>IF(LEFT(B8654,1)="C","Credit","Factuur")</f>
        <v/>
      </c>
      <c r="H8654">
        <f>IF(AND(B8654=B8653,D8654=D8653,A8654=A8653,F8654=F8653),1,0)</f>
        <v/>
      </c>
      <c r="I8654">
        <f>IF(C8654="C99999",1,0)</f>
        <v/>
      </c>
      <c r="J8654" s="5">
        <f>IF(OR(H8654=1,I8654=1),0,IF(G8654="Credit",-F8654,F8654))</f>
        <v/>
      </c>
    </row>
    <row r="8655">
      <c r="A8655" t="inlineStr">
        <is>
          <t>2026-09-17</t>
        </is>
      </c>
      <c r="B8655" t="inlineStr">
        <is>
          <t>F280882</t>
        </is>
      </c>
      <c r="C8655" t="inlineStr">
        <is>
          <t>C11100</t>
        </is>
      </c>
      <c r="D8655" t="inlineStr">
        <is>
          <t>SKU-10319</t>
        </is>
      </c>
      <c r="E8655" t="inlineStr">
        <is>
          <t>AM12</t>
        </is>
      </c>
      <c r="F8655" s="5" t="n">
        <v>868.2</v>
      </c>
      <c r="G8655">
        <f>IF(LEFT(B8655,1)="C","Credit","Factuur")</f>
        <v/>
      </c>
      <c r="H8655">
        <f>IF(AND(B8655=B8654,D8655=D8654,A8655=A8654,F8655=F8654),1,0)</f>
        <v/>
      </c>
      <c r="I8655">
        <f>IF(C8655="C99999",1,0)</f>
        <v/>
      </c>
      <c r="J8655" s="5">
        <f>IF(OR(H8655=1,I8655=1),0,IF(G8655="Credit",-F8655,F8655))</f>
        <v/>
      </c>
    </row>
    <row r="8656">
      <c r="A8656" t="inlineStr">
        <is>
          <t>2026-09-17</t>
        </is>
      </c>
      <c r="B8656" t="inlineStr">
        <is>
          <t>F280882</t>
        </is>
      </c>
      <c r="C8656" t="inlineStr">
        <is>
          <t>C11100</t>
        </is>
      </c>
      <c r="D8656" t="inlineStr">
        <is>
          <t>SKU-10321</t>
        </is>
      </c>
      <c r="E8656" t="inlineStr">
        <is>
          <t>AM12</t>
        </is>
      </c>
      <c r="F8656" s="5" t="n">
        <v>878.58</v>
      </c>
      <c r="G8656">
        <f>IF(LEFT(B8656,1)="C","Credit","Factuur")</f>
        <v/>
      </c>
      <c r="H8656">
        <f>IF(AND(B8656=B8655,D8656=D8655,A8656=A8655,F8656=F8655),1,0)</f>
        <v/>
      </c>
      <c r="I8656">
        <f>IF(C8656="C99999",1,0)</f>
        <v/>
      </c>
      <c r="J8656" s="5">
        <f>IF(OR(H8656=1,I8656=1),0,IF(G8656="Credit",-F8656,F8656))</f>
        <v/>
      </c>
    </row>
    <row r="8657">
      <c r="A8657" t="inlineStr">
        <is>
          <t>2026-09-17</t>
        </is>
      </c>
      <c r="B8657" t="inlineStr">
        <is>
          <t>F280932</t>
        </is>
      </c>
      <c r="C8657" t="inlineStr">
        <is>
          <t>C11103</t>
        </is>
      </c>
      <c r="D8657" t="inlineStr">
        <is>
          <t>SKU-10051</t>
        </is>
      </c>
      <c r="E8657" t="inlineStr">
        <is>
          <t>AM02</t>
        </is>
      </c>
      <c r="F8657" s="5" t="n">
        <v>389.73</v>
      </c>
      <c r="G8657">
        <f>IF(LEFT(B8657,1)="C","Credit","Factuur")</f>
        <v/>
      </c>
      <c r="H8657">
        <f>IF(AND(B8657=B8656,D8657=D8656,A8657=A8656,F8657=F8656),1,0)</f>
        <v/>
      </c>
      <c r="I8657">
        <f>IF(C8657="C99999",1,0)</f>
        <v/>
      </c>
      <c r="J8657" s="5">
        <f>IF(OR(H8657=1,I8657=1),0,IF(G8657="Credit",-F8657,F8657))</f>
        <v/>
      </c>
    </row>
    <row r="8658">
      <c r="A8658" t="inlineStr">
        <is>
          <t>2026-09-17</t>
        </is>
      </c>
      <c r="B8658" t="inlineStr">
        <is>
          <t>F280932</t>
        </is>
      </c>
      <c r="C8658" t="inlineStr">
        <is>
          <t>C11103</t>
        </is>
      </c>
      <c r="D8658" t="inlineStr">
        <is>
          <t>SKU-10315</t>
        </is>
      </c>
      <c r="E8658" t="inlineStr">
        <is>
          <t>AM02</t>
        </is>
      </c>
      <c r="F8658" s="5" t="n">
        <v>362.09</v>
      </c>
      <c r="G8658">
        <f>IF(LEFT(B8658,1)="C","Credit","Factuur")</f>
        <v/>
      </c>
      <c r="H8658">
        <f>IF(AND(B8658=B8657,D8658=D8657,A8658=A8657,F8658=F8657),1,0)</f>
        <v/>
      </c>
      <c r="I8658">
        <f>IF(C8658="C99999",1,0)</f>
        <v/>
      </c>
      <c r="J8658" s="5">
        <f>IF(OR(H8658=1,I8658=1),0,IF(G8658="Credit",-F8658,F8658))</f>
        <v/>
      </c>
    </row>
    <row r="8659">
      <c r="A8659" t="inlineStr">
        <is>
          <t>2026-09-17</t>
        </is>
      </c>
      <c r="B8659" t="inlineStr">
        <is>
          <t>F281597</t>
        </is>
      </c>
      <c r="C8659" t="inlineStr">
        <is>
          <t>C11139</t>
        </is>
      </c>
      <c r="D8659" t="inlineStr">
        <is>
          <t>SKU-10254</t>
        </is>
      </c>
      <c r="E8659" t="inlineStr">
        <is>
          <t>AM03</t>
        </is>
      </c>
      <c r="F8659" s="5" t="n">
        <v>427</v>
      </c>
      <c r="G8659">
        <f>IF(LEFT(B8659,1)="C","Credit","Factuur")</f>
        <v/>
      </c>
      <c r="H8659">
        <f>IF(AND(B8659=B8658,D8659=D8658,A8659=A8658,F8659=F8658),1,0)</f>
        <v/>
      </c>
      <c r="I8659">
        <f>IF(C8659="C99999",1,0)</f>
        <v/>
      </c>
      <c r="J8659" s="5">
        <f>IF(OR(H8659=1,I8659=1),0,IF(G8659="Credit",-F8659,F8659))</f>
        <v/>
      </c>
    </row>
    <row r="8660">
      <c r="A8660" t="inlineStr">
        <is>
          <t>2026-09-17</t>
        </is>
      </c>
      <c r="B8660" t="inlineStr">
        <is>
          <t>F281597</t>
        </is>
      </c>
      <c r="C8660" t="inlineStr">
        <is>
          <t>C11139</t>
        </is>
      </c>
      <c r="D8660" t="inlineStr">
        <is>
          <t>SKU-10299</t>
        </is>
      </c>
      <c r="E8660" t="inlineStr">
        <is>
          <t>AM03</t>
        </is>
      </c>
      <c r="F8660" s="5" t="n">
        <v>414.04</v>
      </c>
      <c r="G8660">
        <f>IF(LEFT(B8660,1)="C","Credit","Factuur")</f>
        <v/>
      </c>
      <c r="H8660">
        <f>IF(AND(B8660=B8659,D8660=D8659,A8660=A8659,F8660=F8659),1,0)</f>
        <v/>
      </c>
      <c r="I8660">
        <f>IF(C8660="C99999",1,0)</f>
        <v/>
      </c>
      <c r="J8660" s="5">
        <f>IF(OR(H8660=1,I8660=1),0,IF(G8660="Credit",-F8660,F8660))</f>
        <v/>
      </c>
    </row>
    <row r="8661">
      <c r="A8661" t="inlineStr">
        <is>
          <t>2026-09-17</t>
        </is>
      </c>
      <c r="B8661" t="inlineStr">
        <is>
          <t>F281597</t>
        </is>
      </c>
      <c r="C8661" t="inlineStr">
        <is>
          <t>C11139</t>
        </is>
      </c>
      <c r="D8661" t="inlineStr">
        <is>
          <t>SKU-10361</t>
        </is>
      </c>
      <c r="E8661" t="inlineStr">
        <is>
          <t>AM03</t>
        </is>
      </c>
      <c r="F8661" s="5" t="n">
        <v>400.64</v>
      </c>
      <c r="G8661">
        <f>IF(LEFT(B8661,1)="C","Credit","Factuur")</f>
        <v/>
      </c>
      <c r="H8661">
        <f>IF(AND(B8661=B8660,D8661=D8660,A8661=A8660,F8661=F8660),1,0)</f>
        <v/>
      </c>
      <c r="I8661">
        <f>IF(C8661="C99999",1,0)</f>
        <v/>
      </c>
      <c r="J8661" s="5">
        <f>IF(OR(H8661=1,I8661=1),0,IF(G8661="Credit",-F8661,F8661))</f>
        <v/>
      </c>
    </row>
    <row r="8662">
      <c r="A8662" t="inlineStr">
        <is>
          <t>2026-09-17</t>
        </is>
      </c>
      <c r="B8662" t="inlineStr">
        <is>
          <t>F281642</t>
        </is>
      </c>
      <c r="C8662" t="inlineStr">
        <is>
          <t>C11141</t>
        </is>
      </c>
      <c r="D8662" t="inlineStr">
        <is>
          <t>SKU-10012</t>
        </is>
      </c>
      <c r="E8662" t="inlineStr">
        <is>
          <t>AM01</t>
        </is>
      </c>
      <c r="F8662" s="5" t="n">
        <v>63.82</v>
      </c>
      <c r="G8662">
        <f>IF(LEFT(B8662,1)="C","Credit","Factuur")</f>
        <v/>
      </c>
      <c r="H8662">
        <f>IF(AND(B8662=B8661,D8662=D8661,A8662=A8661,F8662=F8661),1,0)</f>
        <v/>
      </c>
      <c r="I8662">
        <f>IF(C8662="C99999",1,0)</f>
        <v/>
      </c>
      <c r="J8662" s="5">
        <f>IF(OR(H8662=1,I8662=1),0,IF(G8662="Credit",-F8662,F8662))</f>
        <v/>
      </c>
    </row>
    <row r="8663">
      <c r="A8663" t="inlineStr">
        <is>
          <t>2026-09-17</t>
        </is>
      </c>
      <c r="B8663" t="inlineStr">
        <is>
          <t>F281642</t>
        </is>
      </c>
      <c r="C8663" t="inlineStr">
        <is>
          <t>C11141</t>
        </is>
      </c>
      <c r="D8663" t="inlineStr">
        <is>
          <t>SKU-10277</t>
        </is>
      </c>
      <c r="E8663" t="inlineStr">
        <is>
          <t>AM01</t>
        </is>
      </c>
      <c r="F8663" s="5" t="n">
        <v>62.57</v>
      </c>
      <c r="G8663">
        <f>IF(LEFT(B8663,1)="C","Credit","Factuur")</f>
        <v/>
      </c>
      <c r="H8663">
        <f>IF(AND(B8663=B8662,D8663=D8662,A8663=A8662,F8663=F8662),1,0)</f>
        <v/>
      </c>
      <c r="I8663">
        <f>IF(C8663="C99999",1,0)</f>
        <v/>
      </c>
      <c r="J8663" s="5">
        <f>IF(OR(H8663=1,I8663=1),0,IF(G8663="Credit",-F8663,F8663))</f>
        <v/>
      </c>
    </row>
    <row r="8664">
      <c r="A8664" t="inlineStr">
        <is>
          <t>2026-09-17</t>
        </is>
      </c>
      <c r="B8664" t="inlineStr">
        <is>
          <t>F281642</t>
        </is>
      </c>
      <c r="C8664" t="inlineStr">
        <is>
          <t>C11141</t>
        </is>
      </c>
      <c r="D8664" t="inlineStr">
        <is>
          <t>SKU-10312</t>
        </is>
      </c>
      <c r="E8664" t="inlineStr">
        <is>
          <t>AM01</t>
        </is>
      </c>
      <c r="F8664" s="5" t="n">
        <v>60.54</v>
      </c>
      <c r="G8664">
        <f>IF(LEFT(B8664,1)="C","Credit","Factuur")</f>
        <v/>
      </c>
      <c r="H8664">
        <f>IF(AND(B8664=B8663,D8664=D8663,A8664=A8663,F8664=F8663),1,0)</f>
        <v/>
      </c>
      <c r="I8664">
        <f>IF(C8664="C99999",1,0)</f>
        <v/>
      </c>
      <c r="J8664" s="5">
        <f>IF(OR(H8664=1,I8664=1),0,IF(G8664="Credit",-F8664,F8664))</f>
        <v/>
      </c>
    </row>
    <row r="8665">
      <c r="A8665" t="inlineStr">
        <is>
          <t>2026-09-17</t>
        </is>
      </c>
      <c r="B8665" t="inlineStr">
        <is>
          <t>F282488</t>
        </is>
      </c>
      <c r="C8665" t="inlineStr">
        <is>
          <t>C11181</t>
        </is>
      </c>
      <c r="D8665" t="inlineStr">
        <is>
          <t>SKU-10254</t>
        </is>
      </c>
      <c r="E8665" t="inlineStr">
        <is>
          <t>AM08</t>
        </is>
      </c>
      <c r="F8665" s="5" t="n">
        <v>1361.83</v>
      </c>
      <c r="G8665">
        <f>IF(LEFT(B8665,1)="C","Credit","Factuur")</f>
        <v/>
      </c>
      <c r="H8665">
        <f>IF(AND(B8665=B8664,D8665=D8664,A8665=A8664,F8665=F8664),1,0)</f>
        <v/>
      </c>
      <c r="I8665">
        <f>IF(C8665="C99999",1,0)</f>
        <v/>
      </c>
      <c r="J8665" s="5">
        <f>IF(OR(H8665=1,I8665=1),0,IF(G8665="Credit",-F8665,F8665))</f>
        <v/>
      </c>
    </row>
    <row r="8666">
      <c r="A8666" t="inlineStr">
        <is>
          <t>2026-09-17</t>
        </is>
      </c>
      <c r="B8666" t="inlineStr">
        <is>
          <t>F282488</t>
        </is>
      </c>
      <c r="C8666" t="inlineStr">
        <is>
          <t>C11181</t>
        </is>
      </c>
      <c r="D8666" t="inlineStr">
        <is>
          <t>SKU-10306</t>
        </is>
      </c>
      <c r="E8666" t="inlineStr">
        <is>
          <t>AM08</t>
        </is>
      </c>
      <c r="F8666" s="5" t="n">
        <v>1374.75</v>
      </c>
      <c r="G8666">
        <f>IF(LEFT(B8666,1)="C","Credit","Factuur")</f>
        <v/>
      </c>
      <c r="H8666">
        <f>IF(AND(B8666=B8665,D8666=D8665,A8666=A8665,F8666=F8665),1,0)</f>
        <v/>
      </c>
      <c r="I8666">
        <f>IF(C8666="C99999",1,0)</f>
        <v/>
      </c>
      <c r="J8666" s="5">
        <f>IF(OR(H8666=1,I8666=1),0,IF(G8666="Credit",-F8666,F8666))</f>
        <v/>
      </c>
    </row>
    <row r="8667">
      <c r="A8667" t="inlineStr">
        <is>
          <t>2026-09-17</t>
        </is>
      </c>
      <c r="B8667" t="inlineStr">
        <is>
          <t>F282488</t>
        </is>
      </c>
      <c r="C8667" t="inlineStr">
        <is>
          <t>C11181</t>
        </is>
      </c>
      <c r="D8667" t="inlineStr">
        <is>
          <t>SKU-10377</t>
        </is>
      </c>
      <c r="E8667" t="inlineStr">
        <is>
          <t>AM08</t>
        </is>
      </c>
      <c r="F8667" s="5" t="n">
        <v>1251.29</v>
      </c>
      <c r="G8667">
        <f>IF(LEFT(B8667,1)="C","Credit","Factuur")</f>
        <v/>
      </c>
      <c r="H8667">
        <f>IF(AND(B8667=B8666,D8667=D8666,A8667=A8666,F8667=F8666),1,0)</f>
        <v/>
      </c>
      <c r="I8667">
        <f>IF(C8667="C99999",1,0)</f>
        <v/>
      </c>
      <c r="J8667" s="5">
        <f>IF(OR(H8667=1,I8667=1),0,IF(G8667="Credit",-F8667,F8667))</f>
        <v/>
      </c>
    </row>
    <row r="8668">
      <c r="A8668" t="inlineStr">
        <is>
          <t>2026-09-17</t>
        </is>
      </c>
      <c r="B8668" t="inlineStr">
        <is>
          <t>F283096</t>
        </is>
      </c>
      <c r="C8668" t="inlineStr">
        <is>
          <t>C11215</t>
        </is>
      </c>
      <c r="D8668" t="inlineStr">
        <is>
          <t>SKU-10015</t>
        </is>
      </c>
      <c r="E8668" t="inlineStr">
        <is>
          <t>AM03</t>
        </is>
      </c>
      <c r="F8668" s="5" t="n">
        <v>44.18</v>
      </c>
      <c r="G8668">
        <f>IF(LEFT(B8668,1)="C","Credit","Factuur")</f>
        <v/>
      </c>
      <c r="H8668">
        <f>IF(AND(B8668=B8667,D8668=D8667,A8668=A8667,F8668=F8667),1,0)</f>
        <v/>
      </c>
      <c r="I8668">
        <f>IF(C8668="C99999",1,0)</f>
        <v/>
      </c>
      <c r="J8668" s="5">
        <f>IF(OR(H8668=1,I8668=1),0,IF(G8668="Credit",-F8668,F8668))</f>
        <v/>
      </c>
    </row>
    <row r="8669">
      <c r="A8669" t="inlineStr">
        <is>
          <t>2026-09-17</t>
        </is>
      </c>
      <c r="B8669" t="inlineStr">
        <is>
          <t>F283096</t>
        </is>
      </c>
      <c r="C8669" t="inlineStr">
        <is>
          <t>C11215</t>
        </is>
      </c>
      <c r="D8669" t="inlineStr">
        <is>
          <t>SKU-10309</t>
        </is>
      </c>
      <c r="E8669" t="inlineStr">
        <is>
          <t>AM03</t>
        </is>
      </c>
      <c r="F8669" s="5" t="n">
        <v>46.21</v>
      </c>
      <c r="G8669">
        <f>IF(LEFT(B8669,1)="C","Credit","Factuur")</f>
        <v/>
      </c>
      <c r="H8669">
        <f>IF(AND(B8669=B8668,D8669=D8668,A8669=A8668,F8669=F8668),1,0)</f>
        <v/>
      </c>
      <c r="I8669">
        <f>IF(C8669="C99999",1,0)</f>
        <v/>
      </c>
      <c r="J8669" s="5">
        <f>IF(OR(H8669=1,I8669=1),0,IF(G8669="Credit",-F8669,F8669))</f>
        <v/>
      </c>
    </row>
    <row r="8670">
      <c r="A8670" t="inlineStr">
        <is>
          <t>2026-09-17</t>
        </is>
      </c>
      <c r="B8670" t="inlineStr">
        <is>
          <t>F283096</t>
        </is>
      </c>
      <c r="C8670" t="inlineStr">
        <is>
          <t>C11215</t>
        </is>
      </c>
      <c r="D8670" t="inlineStr">
        <is>
          <t>SKU-10348</t>
        </is>
      </c>
      <c r="E8670" t="inlineStr">
        <is>
          <t>AM03</t>
        </is>
      </c>
      <c r="F8670" s="5" t="n">
        <v>145.34</v>
      </c>
      <c r="G8670">
        <f>IF(LEFT(B8670,1)="C","Credit","Factuur")</f>
        <v/>
      </c>
      <c r="H8670">
        <f>IF(AND(B8670=B8669,D8670=D8669,A8670=A8669,F8670=F8669),1,0)</f>
        <v/>
      </c>
      <c r="I8670">
        <f>IF(C8670="C99999",1,0)</f>
        <v/>
      </c>
      <c r="J8670" s="5">
        <f>IF(OR(H8670=1,I8670=1),0,IF(G8670="Credit",-F8670,F8670))</f>
        <v/>
      </c>
    </row>
    <row r="8671">
      <c r="A8671" t="inlineStr">
        <is>
          <t>2026-09-17</t>
        </is>
      </c>
      <c r="B8671" t="inlineStr">
        <is>
          <t>F283096</t>
        </is>
      </c>
      <c r="C8671" t="inlineStr">
        <is>
          <t>C11215</t>
        </is>
      </c>
      <c r="D8671" t="inlineStr">
        <is>
          <t>SKU-10356</t>
        </is>
      </c>
      <c r="E8671" t="inlineStr">
        <is>
          <t>AM03</t>
        </is>
      </c>
      <c r="F8671" s="5" t="n">
        <v>107.55</v>
      </c>
      <c r="G8671">
        <f>IF(LEFT(B8671,1)="C","Credit","Factuur")</f>
        <v/>
      </c>
      <c r="H8671">
        <f>IF(AND(B8671=B8670,D8671=D8670,A8671=A8670,F8671=F8670),1,0)</f>
        <v/>
      </c>
      <c r="I8671">
        <f>IF(C8671="C99999",1,0)</f>
        <v/>
      </c>
      <c r="J8671" s="5">
        <f>IF(OR(H8671=1,I8671=1),0,IF(G8671="Credit",-F8671,F8671))</f>
        <v/>
      </c>
    </row>
    <row r="8672">
      <c r="A8672" t="inlineStr">
        <is>
          <t>2026-09-17</t>
        </is>
      </c>
      <c r="B8672" t="inlineStr">
        <is>
          <t>F283096</t>
        </is>
      </c>
      <c r="C8672" t="inlineStr">
        <is>
          <t>C11215</t>
        </is>
      </c>
      <c r="D8672" t="inlineStr">
        <is>
          <t>SKU-10360</t>
        </is>
      </c>
      <c r="E8672" t="inlineStr">
        <is>
          <t>AM03</t>
        </is>
      </c>
      <c r="F8672" s="5" t="n">
        <v>196.64</v>
      </c>
      <c r="G8672">
        <f>IF(LEFT(B8672,1)="C","Credit","Factuur")</f>
        <v/>
      </c>
      <c r="H8672">
        <f>IF(AND(B8672=B8671,D8672=D8671,A8672=A8671,F8672=F8671),1,0)</f>
        <v/>
      </c>
      <c r="I8672">
        <f>IF(C8672="C99999",1,0)</f>
        <v/>
      </c>
      <c r="J8672" s="5">
        <f>IF(OR(H8672=1,I8672=1),0,IF(G8672="Credit",-F8672,F8672))</f>
        <v/>
      </c>
    </row>
    <row r="8673">
      <c r="A8673" t="inlineStr">
        <is>
          <t>2026-09-17</t>
        </is>
      </c>
      <c r="B8673" t="inlineStr">
        <is>
          <t>F284017</t>
        </is>
      </c>
      <c r="C8673" t="inlineStr">
        <is>
          <t>C11256</t>
        </is>
      </c>
      <c r="D8673" t="inlineStr">
        <is>
          <t>SKU-10020</t>
        </is>
      </c>
      <c r="E8673" t="inlineStr">
        <is>
          <t>AM08</t>
        </is>
      </c>
      <c r="F8673" s="5" t="n">
        <v>583.4400000000001</v>
      </c>
      <c r="G8673">
        <f>IF(LEFT(B8673,1)="C","Credit","Factuur")</f>
        <v/>
      </c>
      <c r="H8673">
        <f>IF(AND(B8673=B8672,D8673=D8672,A8673=A8672,F8673=F8672),1,0)</f>
        <v/>
      </c>
      <c r="I8673">
        <f>IF(C8673="C99999",1,0)</f>
        <v/>
      </c>
      <c r="J8673" s="5">
        <f>IF(OR(H8673=1,I8673=1),0,IF(G8673="Credit",-F8673,F8673))</f>
        <v/>
      </c>
    </row>
    <row r="8674">
      <c r="A8674" t="inlineStr">
        <is>
          <t>2026-09-17</t>
        </is>
      </c>
      <c r="B8674" t="inlineStr">
        <is>
          <t>F284017</t>
        </is>
      </c>
      <c r="C8674" t="inlineStr">
        <is>
          <t>C11256</t>
        </is>
      </c>
      <c r="D8674" t="inlineStr">
        <is>
          <t>SKU-10034</t>
        </is>
      </c>
      <c r="E8674" t="inlineStr">
        <is>
          <t>AM08</t>
        </is>
      </c>
      <c r="F8674" s="5" t="n">
        <v>617.52</v>
      </c>
      <c r="G8674">
        <f>IF(LEFT(B8674,1)="C","Credit","Factuur")</f>
        <v/>
      </c>
      <c r="H8674">
        <f>IF(AND(B8674=B8673,D8674=D8673,A8674=A8673,F8674=F8673),1,0)</f>
        <v/>
      </c>
      <c r="I8674">
        <f>IF(C8674="C99999",1,0)</f>
        <v/>
      </c>
      <c r="J8674" s="5">
        <f>IF(OR(H8674=1,I8674=1),0,IF(G8674="Credit",-F8674,F8674))</f>
        <v/>
      </c>
    </row>
    <row r="8675">
      <c r="A8675" t="inlineStr">
        <is>
          <t>2026-09-17</t>
        </is>
      </c>
      <c r="B8675" t="inlineStr">
        <is>
          <t>F284017</t>
        </is>
      </c>
      <c r="C8675" t="inlineStr">
        <is>
          <t>C11256</t>
        </is>
      </c>
      <c r="D8675" t="inlineStr">
        <is>
          <t>SKU-10095</t>
        </is>
      </c>
      <c r="E8675" t="inlineStr">
        <is>
          <t>AM08</t>
        </is>
      </c>
      <c r="F8675" s="5" t="n">
        <v>599.1900000000001</v>
      </c>
      <c r="G8675">
        <f>IF(LEFT(B8675,1)="C","Credit","Factuur")</f>
        <v/>
      </c>
      <c r="H8675">
        <f>IF(AND(B8675=B8674,D8675=D8674,A8675=A8674,F8675=F8674),1,0)</f>
        <v/>
      </c>
      <c r="I8675">
        <f>IF(C8675="C99999",1,0)</f>
        <v/>
      </c>
      <c r="J8675" s="5">
        <f>IF(OR(H8675=1,I8675=1),0,IF(G8675="Credit",-F8675,F8675))</f>
        <v/>
      </c>
    </row>
    <row r="8676">
      <c r="A8676" t="inlineStr">
        <is>
          <t>2026-09-17</t>
        </is>
      </c>
      <c r="B8676" t="inlineStr">
        <is>
          <t>F284017</t>
        </is>
      </c>
      <c r="C8676" t="inlineStr">
        <is>
          <t>C11256</t>
        </is>
      </c>
      <c r="D8676" t="inlineStr">
        <is>
          <t>SKU-10215</t>
        </is>
      </c>
      <c r="E8676" t="inlineStr">
        <is>
          <t>AM08</t>
        </is>
      </c>
      <c r="F8676" s="5" t="n">
        <v>596.45</v>
      </c>
      <c r="G8676">
        <f>IF(LEFT(B8676,1)="C","Credit","Factuur")</f>
        <v/>
      </c>
      <c r="H8676">
        <f>IF(AND(B8676=B8675,D8676=D8675,A8676=A8675,F8676=F8675),1,0)</f>
        <v/>
      </c>
      <c r="I8676">
        <f>IF(C8676="C99999",1,0)</f>
        <v/>
      </c>
      <c r="J8676" s="5">
        <f>IF(OR(H8676=1,I8676=1),0,IF(G8676="Credit",-F8676,F8676))</f>
        <v/>
      </c>
    </row>
    <row r="8677">
      <c r="A8677" t="inlineStr">
        <is>
          <t>2026-09-17</t>
        </is>
      </c>
      <c r="B8677" t="inlineStr">
        <is>
          <t>F284553</t>
        </is>
      </c>
      <c r="C8677" t="inlineStr">
        <is>
          <t>C11288</t>
        </is>
      </c>
      <c r="D8677" t="inlineStr">
        <is>
          <t>SKU-10032</t>
        </is>
      </c>
      <c r="E8677" t="inlineStr">
        <is>
          <t>AM12</t>
        </is>
      </c>
      <c r="F8677" s="5" t="n">
        <v>207.66</v>
      </c>
      <c r="G8677">
        <f>IF(LEFT(B8677,1)="C","Credit","Factuur")</f>
        <v/>
      </c>
      <c r="H8677">
        <f>IF(AND(B8677=B8676,D8677=D8676,A8677=A8676,F8677=F8676),1,0)</f>
        <v/>
      </c>
      <c r="I8677">
        <f>IF(C8677="C99999",1,0)</f>
        <v/>
      </c>
      <c r="J8677" s="5">
        <f>IF(OR(H8677=1,I8677=1),0,IF(G8677="Credit",-F8677,F8677))</f>
        <v/>
      </c>
    </row>
    <row r="8678">
      <c r="A8678" t="inlineStr">
        <is>
          <t>2026-09-17</t>
        </is>
      </c>
      <c r="B8678" t="inlineStr">
        <is>
          <t>F284553</t>
        </is>
      </c>
      <c r="C8678" t="inlineStr">
        <is>
          <t>C11288</t>
        </is>
      </c>
      <c r="D8678" t="inlineStr">
        <is>
          <t>SKU-10279</t>
        </is>
      </c>
      <c r="E8678" t="inlineStr">
        <is>
          <t>AM12</t>
        </is>
      </c>
      <c r="F8678" s="5" t="n">
        <v>198.96</v>
      </c>
      <c r="G8678">
        <f>IF(LEFT(B8678,1)="C","Credit","Factuur")</f>
        <v/>
      </c>
      <c r="H8678">
        <f>IF(AND(B8678=B8677,D8678=D8677,A8678=A8677,F8678=F8677),1,0)</f>
        <v/>
      </c>
      <c r="I8678">
        <f>IF(C8678="C99999",1,0)</f>
        <v/>
      </c>
      <c r="J8678" s="5">
        <f>IF(OR(H8678=1,I8678=1),0,IF(G8678="Credit",-F8678,F8678))</f>
        <v/>
      </c>
    </row>
    <row r="8679">
      <c r="A8679" t="inlineStr">
        <is>
          <t>2026-09-17</t>
        </is>
      </c>
      <c r="B8679" t="inlineStr">
        <is>
          <t>F284553</t>
        </is>
      </c>
      <c r="C8679" t="inlineStr">
        <is>
          <t>C11288</t>
        </is>
      </c>
      <c r="D8679" t="inlineStr">
        <is>
          <t>SKU-10304</t>
        </is>
      </c>
      <c r="E8679" t="inlineStr">
        <is>
          <t>AM12</t>
        </is>
      </c>
      <c r="F8679" s="5" t="n">
        <v>198.64</v>
      </c>
      <c r="G8679">
        <f>IF(LEFT(B8679,1)="C","Credit","Factuur")</f>
        <v/>
      </c>
      <c r="H8679">
        <f>IF(AND(B8679=B8678,D8679=D8678,A8679=A8678,F8679=F8678),1,0)</f>
        <v/>
      </c>
      <c r="I8679">
        <f>IF(C8679="C99999",1,0)</f>
        <v/>
      </c>
      <c r="J8679" s="5">
        <f>IF(OR(H8679=1,I8679=1),0,IF(G8679="Credit",-F8679,F8679))</f>
        <v/>
      </c>
    </row>
    <row r="8680">
      <c r="A8680" t="inlineStr">
        <is>
          <t>2026-09-17</t>
        </is>
      </c>
      <c r="B8680" t="inlineStr">
        <is>
          <t>F284741</t>
        </is>
      </c>
      <c r="C8680" t="inlineStr">
        <is>
          <t>C11296</t>
        </is>
      </c>
      <c r="D8680" t="inlineStr">
        <is>
          <t>SKU-10086</t>
        </is>
      </c>
      <c r="E8680" t="inlineStr">
        <is>
          <t>AM11</t>
        </is>
      </c>
      <c r="F8680" s="5" t="n">
        <v>2636.55</v>
      </c>
      <c r="G8680">
        <f>IF(LEFT(B8680,1)="C","Credit","Factuur")</f>
        <v/>
      </c>
      <c r="H8680">
        <f>IF(AND(B8680=B8679,D8680=D8679,A8680=A8679,F8680=F8679),1,0)</f>
        <v/>
      </c>
      <c r="I8680">
        <f>IF(C8680="C99999",1,0)</f>
        <v/>
      </c>
      <c r="J8680" s="5">
        <f>IF(OR(H8680=1,I8680=1),0,IF(G8680="Credit",-F8680,F8680))</f>
        <v/>
      </c>
    </row>
    <row r="8681">
      <c r="A8681" t="inlineStr">
        <is>
          <t>2026-09-17</t>
        </is>
      </c>
      <c r="B8681" t="inlineStr">
        <is>
          <t>F284741</t>
        </is>
      </c>
      <c r="C8681" t="inlineStr">
        <is>
          <t>C11296</t>
        </is>
      </c>
      <c r="D8681" t="inlineStr">
        <is>
          <t>SKU-10145</t>
        </is>
      </c>
      <c r="E8681" t="inlineStr">
        <is>
          <t>AM11</t>
        </is>
      </c>
      <c r="F8681" s="5" t="n">
        <v>2532.57</v>
      </c>
      <c r="G8681">
        <f>IF(LEFT(B8681,1)="C","Credit","Factuur")</f>
        <v/>
      </c>
      <c r="H8681">
        <f>IF(AND(B8681=B8680,D8681=D8680,A8681=A8680,F8681=F8680),1,0)</f>
        <v/>
      </c>
      <c r="I8681">
        <f>IF(C8681="C99999",1,0)</f>
        <v/>
      </c>
      <c r="J8681" s="5">
        <f>IF(OR(H8681=1,I8681=1),0,IF(G8681="Credit",-F8681,F8681))</f>
        <v/>
      </c>
    </row>
    <row r="8682">
      <c r="A8682" t="inlineStr">
        <is>
          <t>2026-09-18</t>
        </is>
      </c>
      <c r="B8682" t="inlineStr">
        <is>
          <t>C900993</t>
        </is>
      </c>
      <c r="C8682" t="inlineStr">
        <is>
          <t>C10130</t>
        </is>
      </c>
      <c r="D8682" t="inlineStr">
        <is>
          <t>SKU-10268</t>
        </is>
      </c>
      <c r="E8682" t="inlineStr">
        <is>
          <t>AM01</t>
        </is>
      </c>
      <c r="F8682" s="5" t="n">
        <v>164.48</v>
      </c>
      <c r="G8682">
        <f>IF(LEFT(B8682,1)="C","Credit","Factuur")</f>
        <v/>
      </c>
      <c r="H8682">
        <f>IF(AND(B8682=B8681,D8682=D8681,A8682=A8681,F8682=F8681),1,0)</f>
        <v/>
      </c>
      <c r="I8682">
        <f>IF(C8682="C99999",1,0)</f>
        <v/>
      </c>
      <c r="J8682" s="5">
        <f>IF(OR(H8682=1,I8682=1),0,IF(G8682="Credit",-F8682,F8682))</f>
        <v/>
      </c>
    </row>
    <row r="8683">
      <c r="A8683" t="inlineStr">
        <is>
          <t>2026-09-18</t>
        </is>
      </c>
      <c r="B8683" t="inlineStr">
        <is>
          <t>C901085</t>
        </is>
      </c>
      <c r="C8683" t="inlineStr">
        <is>
          <t>C10442</t>
        </is>
      </c>
      <c r="D8683" t="inlineStr">
        <is>
          <t>SKU-10191</t>
        </is>
      </c>
      <c r="E8683" t="inlineStr">
        <is>
          <t>AM06</t>
        </is>
      </c>
      <c r="F8683" s="5" t="n">
        <v>49.74</v>
      </c>
      <c r="G8683">
        <f>IF(LEFT(B8683,1)="C","Credit","Factuur")</f>
        <v/>
      </c>
      <c r="H8683">
        <f>IF(AND(B8683=B8682,D8683=D8682,A8683=A8682,F8683=F8682),1,0)</f>
        <v/>
      </c>
      <c r="I8683">
        <f>IF(C8683="C99999",1,0)</f>
        <v/>
      </c>
      <c r="J8683" s="5">
        <f>IF(OR(H8683=1,I8683=1),0,IF(G8683="Credit",-F8683,F8683))</f>
        <v/>
      </c>
    </row>
    <row r="8684">
      <c r="A8684" t="inlineStr">
        <is>
          <t>2026-09-18</t>
        </is>
      </c>
      <c r="B8684" t="inlineStr">
        <is>
          <t>C901183</t>
        </is>
      </c>
      <c r="C8684" t="inlineStr">
        <is>
          <t>C10818</t>
        </is>
      </c>
      <c r="D8684" t="inlineStr">
        <is>
          <t>SKU-10109</t>
        </is>
      </c>
      <c r="E8684" t="inlineStr">
        <is>
          <t>AM07</t>
        </is>
      </c>
      <c r="F8684" s="5" t="n">
        <v>47.95</v>
      </c>
      <c r="G8684">
        <f>IF(LEFT(B8684,1)="C","Credit","Factuur")</f>
        <v/>
      </c>
      <c r="H8684">
        <f>IF(AND(B8684=B8683,D8684=D8683,A8684=A8683,F8684=F8683),1,0)</f>
        <v/>
      </c>
      <c r="I8684">
        <f>IF(C8684="C99999",1,0)</f>
        <v/>
      </c>
      <c r="J8684" s="5">
        <f>IF(OR(H8684=1,I8684=1),0,IF(G8684="Credit",-F8684,F8684))</f>
        <v/>
      </c>
    </row>
    <row r="8685">
      <c r="A8685" t="inlineStr">
        <is>
          <t>2026-09-18</t>
        </is>
      </c>
      <c r="B8685" t="inlineStr">
        <is>
          <t>C901199</t>
        </is>
      </c>
      <c r="C8685" t="inlineStr">
        <is>
          <t>C10629</t>
        </is>
      </c>
      <c r="D8685" t="inlineStr">
        <is>
          <t>SKU-10024</t>
        </is>
      </c>
      <c r="E8685" t="inlineStr">
        <is>
          <t>AM12</t>
        </is>
      </c>
      <c r="F8685" s="5" t="n">
        <v>555.6799999999999</v>
      </c>
      <c r="G8685">
        <f>IF(LEFT(B8685,1)="C","Credit","Factuur")</f>
        <v/>
      </c>
      <c r="H8685">
        <f>IF(AND(B8685=B8684,D8685=D8684,A8685=A8684,F8685=F8684),1,0)</f>
        <v/>
      </c>
      <c r="I8685">
        <f>IF(C8685="C99999",1,0)</f>
        <v/>
      </c>
      <c r="J8685" s="5">
        <f>IF(OR(H8685=1,I8685=1),0,IF(G8685="Credit",-F8685,F8685))</f>
        <v/>
      </c>
    </row>
    <row r="8686">
      <c r="A8686" t="inlineStr">
        <is>
          <t>2026-09-18</t>
        </is>
      </c>
      <c r="B8686" t="inlineStr">
        <is>
          <t>C901403</t>
        </is>
      </c>
      <c r="C8686" t="inlineStr">
        <is>
          <t>C10596</t>
        </is>
      </c>
      <c r="D8686" t="inlineStr">
        <is>
          <t>SKU-10004</t>
        </is>
      </c>
      <c r="E8686" t="inlineStr">
        <is>
          <t>AM01</t>
        </is>
      </c>
      <c r="F8686" s="5" t="n">
        <v>178.64</v>
      </c>
      <c r="G8686">
        <f>IF(LEFT(B8686,1)="C","Credit","Factuur")</f>
        <v/>
      </c>
      <c r="H8686">
        <f>IF(AND(B8686=B8685,D8686=D8685,A8686=A8685,F8686=F8685),1,0)</f>
        <v/>
      </c>
      <c r="I8686">
        <f>IF(C8686="C99999",1,0)</f>
        <v/>
      </c>
      <c r="J8686" s="5">
        <f>IF(OR(H8686=1,I8686=1),0,IF(G8686="Credit",-F8686,F8686))</f>
        <v/>
      </c>
    </row>
    <row r="8687">
      <c r="A8687" t="inlineStr">
        <is>
          <t>2026-09-18</t>
        </is>
      </c>
      <c r="B8687" t="inlineStr">
        <is>
          <t>C901740</t>
        </is>
      </c>
      <c r="C8687" t="inlineStr">
        <is>
          <t>C10051</t>
        </is>
      </c>
      <c r="D8687" t="inlineStr">
        <is>
          <t>SKU-10203</t>
        </is>
      </c>
      <c r="E8687" t="inlineStr">
        <is>
          <t>AM02</t>
        </is>
      </c>
      <c r="F8687" s="5" t="n">
        <v>89.16</v>
      </c>
      <c r="G8687">
        <f>IF(LEFT(B8687,1)="C","Credit","Factuur")</f>
        <v/>
      </c>
      <c r="H8687">
        <f>IF(AND(B8687=B8686,D8687=D8686,A8687=A8686,F8687=F8686),1,0)</f>
        <v/>
      </c>
      <c r="I8687">
        <f>IF(C8687="C99999",1,0)</f>
        <v/>
      </c>
      <c r="J8687" s="5">
        <f>IF(OR(H8687=1,I8687=1),0,IF(G8687="Credit",-F8687,F8687))</f>
        <v/>
      </c>
    </row>
    <row r="8688">
      <c r="A8688" t="inlineStr">
        <is>
          <t>2026-09-18</t>
        </is>
      </c>
      <c r="B8688" t="inlineStr">
        <is>
          <t>F260058</t>
        </is>
      </c>
      <c r="C8688" t="inlineStr">
        <is>
          <t>C10004</t>
        </is>
      </c>
      <c r="D8688" t="inlineStr">
        <is>
          <t>SKU-10230</t>
        </is>
      </c>
      <c r="E8688" t="inlineStr">
        <is>
          <t>AM08</t>
        </is>
      </c>
      <c r="F8688" s="5" t="n">
        <v>391.16</v>
      </c>
      <c r="G8688">
        <f>IF(LEFT(B8688,1)="C","Credit","Factuur")</f>
        <v/>
      </c>
      <c r="H8688">
        <f>IF(AND(B8688=B8687,D8688=D8687,A8688=A8687,F8688=F8687),1,0)</f>
        <v/>
      </c>
      <c r="I8688">
        <f>IF(C8688="C99999",1,0)</f>
        <v/>
      </c>
      <c r="J8688" s="5">
        <f>IF(OR(H8688=1,I8688=1),0,IF(G8688="Credit",-F8688,F8688))</f>
        <v/>
      </c>
    </row>
    <row r="8689">
      <c r="A8689" t="inlineStr">
        <is>
          <t>2026-09-18</t>
        </is>
      </c>
      <c r="B8689" t="inlineStr">
        <is>
          <t>F260058</t>
        </is>
      </c>
      <c r="C8689" t="inlineStr">
        <is>
          <t>C10004</t>
        </is>
      </c>
      <c r="D8689" t="inlineStr">
        <is>
          <t>SKU-10271</t>
        </is>
      </c>
      <c r="E8689" t="inlineStr">
        <is>
          <t>AM08</t>
        </is>
      </c>
      <c r="F8689" s="5" t="n">
        <v>359.1</v>
      </c>
      <c r="G8689">
        <f>IF(LEFT(B8689,1)="C","Credit","Factuur")</f>
        <v/>
      </c>
      <c r="H8689">
        <f>IF(AND(B8689=B8688,D8689=D8688,A8689=A8688,F8689=F8688),1,0)</f>
        <v/>
      </c>
      <c r="I8689">
        <f>IF(C8689="C99999",1,0)</f>
        <v/>
      </c>
      <c r="J8689" s="5">
        <f>IF(OR(H8689=1,I8689=1),0,IF(G8689="Credit",-F8689,F8689))</f>
        <v/>
      </c>
    </row>
    <row r="8690">
      <c r="A8690" t="inlineStr">
        <is>
          <t>2026-09-18</t>
        </is>
      </c>
      <c r="B8690" t="inlineStr">
        <is>
          <t>F260291</t>
        </is>
      </c>
      <c r="C8690" t="inlineStr">
        <is>
          <t>C10019</t>
        </is>
      </c>
      <c r="D8690" t="inlineStr">
        <is>
          <t>SKU-10016</t>
        </is>
      </c>
      <c r="E8690" t="inlineStr">
        <is>
          <t>AM02</t>
        </is>
      </c>
      <c r="F8690" s="5" t="n">
        <v>215.68</v>
      </c>
      <c r="G8690">
        <f>IF(LEFT(B8690,1)="C","Credit","Factuur")</f>
        <v/>
      </c>
      <c r="H8690">
        <f>IF(AND(B8690=B8689,D8690=D8689,A8690=A8689,F8690=F8689),1,0)</f>
        <v/>
      </c>
      <c r="I8690">
        <f>IF(C8690="C99999",1,0)</f>
        <v/>
      </c>
      <c r="J8690" s="5">
        <f>IF(OR(H8690=1,I8690=1),0,IF(G8690="Credit",-F8690,F8690))</f>
        <v/>
      </c>
    </row>
    <row r="8691">
      <c r="A8691" t="inlineStr">
        <is>
          <t>2026-09-18</t>
        </is>
      </c>
      <c r="B8691" t="inlineStr">
        <is>
          <t>F260291</t>
        </is>
      </c>
      <c r="C8691" t="inlineStr">
        <is>
          <t>C10019</t>
        </is>
      </c>
      <c r="D8691" t="inlineStr">
        <is>
          <t>SKU-10178</t>
        </is>
      </c>
      <c r="E8691" t="inlineStr">
        <is>
          <t>AM02</t>
        </is>
      </c>
      <c r="F8691" s="5" t="n">
        <v>214.35</v>
      </c>
      <c r="G8691">
        <f>IF(LEFT(B8691,1)="C","Credit","Factuur")</f>
        <v/>
      </c>
      <c r="H8691">
        <f>IF(AND(B8691=B8690,D8691=D8690,A8691=A8690,F8691=F8690),1,0)</f>
        <v/>
      </c>
      <c r="I8691">
        <f>IF(C8691="C99999",1,0)</f>
        <v/>
      </c>
      <c r="J8691" s="5">
        <f>IF(OR(H8691=1,I8691=1),0,IF(G8691="Credit",-F8691,F8691))</f>
        <v/>
      </c>
    </row>
    <row r="8692">
      <c r="A8692" t="inlineStr">
        <is>
          <t>2026-09-18</t>
        </is>
      </c>
      <c r="B8692" t="inlineStr">
        <is>
          <t>F260368</t>
        </is>
      </c>
      <c r="C8692" t="inlineStr">
        <is>
          <t>C10021</t>
        </is>
      </c>
      <c r="D8692" t="inlineStr">
        <is>
          <t>SKU-10003</t>
        </is>
      </c>
      <c r="E8692" t="inlineStr">
        <is>
          <t>AM07</t>
        </is>
      </c>
      <c r="F8692" s="5" t="n">
        <v>619.88</v>
      </c>
      <c r="G8692">
        <f>IF(LEFT(B8692,1)="C","Credit","Factuur")</f>
        <v/>
      </c>
      <c r="H8692">
        <f>IF(AND(B8692=B8691,D8692=D8691,A8692=A8691,F8692=F8691),1,0)</f>
        <v/>
      </c>
      <c r="I8692">
        <f>IF(C8692="C99999",1,0)</f>
        <v/>
      </c>
      <c r="J8692" s="5">
        <f>IF(OR(H8692=1,I8692=1),0,IF(G8692="Credit",-F8692,F8692))</f>
        <v/>
      </c>
    </row>
    <row r="8693">
      <c r="A8693" t="inlineStr">
        <is>
          <t>2026-09-18</t>
        </is>
      </c>
      <c r="B8693" t="inlineStr">
        <is>
          <t>F260368</t>
        </is>
      </c>
      <c r="C8693" t="inlineStr">
        <is>
          <t>C10021</t>
        </is>
      </c>
      <c r="D8693" t="inlineStr">
        <is>
          <t>SKU-10233</t>
        </is>
      </c>
      <c r="E8693" t="inlineStr">
        <is>
          <t>AM07</t>
        </is>
      </c>
      <c r="F8693" s="5" t="n">
        <v>588.4</v>
      </c>
      <c r="G8693">
        <f>IF(LEFT(B8693,1)="C","Credit","Factuur")</f>
        <v/>
      </c>
      <c r="H8693">
        <f>IF(AND(B8693=B8692,D8693=D8692,A8693=A8692,F8693=F8692),1,0)</f>
        <v/>
      </c>
      <c r="I8693">
        <f>IF(C8693="C99999",1,0)</f>
        <v/>
      </c>
      <c r="J8693" s="5">
        <f>IF(OR(H8693=1,I8693=1),0,IF(G8693="Credit",-F8693,F8693))</f>
        <v/>
      </c>
    </row>
    <row r="8694">
      <c r="A8694" t="inlineStr">
        <is>
          <t>2026-09-18</t>
        </is>
      </c>
      <c r="B8694" t="inlineStr">
        <is>
          <t>F260368</t>
        </is>
      </c>
      <c r="C8694" t="inlineStr">
        <is>
          <t>C10021</t>
        </is>
      </c>
      <c r="D8694" t="inlineStr">
        <is>
          <t>SKU-10343</t>
        </is>
      </c>
      <c r="E8694" t="inlineStr">
        <is>
          <t>AM07</t>
        </is>
      </c>
      <c r="F8694" s="5" t="n">
        <v>689.12</v>
      </c>
      <c r="G8694">
        <f>IF(LEFT(B8694,1)="C","Credit","Factuur")</f>
        <v/>
      </c>
      <c r="H8694">
        <f>IF(AND(B8694=B8693,D8694=D8693,A8694=A8693,F8694=F8693),1,0)</f>
        <v/>
      </c>
      <c r="I8694">
        <f>IF(C8694="C99999",1,0)</f>
        <v/>
      </c>
      <c r="J8694" s="5">
        <f>IF(OR(H8694=1,I8694=1),0,IF(G8694="Credit",-F8694,F8694))</f>
        <v/>
      </c>
    </row>
    <row r="8695">
      <c r="A8695" t="inlineStr">
        <is>
          <t>2026-09-18</t>
        </is>
      </c>
      <c r="B8695" t="inlineStr">
        <is>
          <t>F260444</t>
        </is>
      </c>
      <c r="C8695" t="inlineStr">
        <is>
          <t>C10024</t>
        </is>
      </c>
      <c r="D8695" t="inlineStr">
        <is>
          <t>SKU-10052</t>
        </is>
      </c>
      <c r="E8695" t="inlineStr">
        <is>
          <t>AM03</t>
        </is>
      </c>
      <c r="F8695" s="5" t="n">
        <v>52.61</v>
      </c>
      <c r="G8695">
        <f>IF(LEFT(B8695,1)="C","Credit","Factuur")</f>
        <v/>
      </c>
      <c r="H8695">
        <f>IF(AND(B8695=B8694,D8695=D8694,A8695=A8694,F8695=F8694),1,0)</f>
        <v/>
      </c>
      <c r="I8695">
        <f>IF(C8695="C99999",1,0)</f>
        <v/>
      </c>
      <c r="J8695" s="5">
        <f>IF(OR(H8695=1,I8695=1),0,IF(G8695="Credit",-F8695,F8695))</f>
        <v/>
      </c>
    </row>
    <row r="8696">
      <c r="A8696" t="inlineStr">
        <is>
          <t>2026-09-18</t>
        </is>
      </c>
      <c r="B8696" t="inlineStr">
        <is>
          <t>F260444</t>
        </is>
      </c>
      <c r="C8696" t="inlineStr">
        <is>
          <t>C10024</t>
        </is>
      </c>
      <c r="D8696" t="inlineStr">
        <is>
          <t>SKU-10168</t>
        </is>
      </c>
      <c r="E8696" t="inlineStr">
        <is>
          <t>AM03</t>
        </is>
      </c>
      <c r="F8696" s="5" t="n">
        <v>62.6</v>
      </c>
      <c r="G8696">
        <f>IF(LEFT(B8696,1)="C","Credit","Factuur")</f>
        <v/>
      </c>
      <c r="H8696">
        <f>IF(AND(B8696=B8695,D8696=D8695,A8696=A8695,F8696=F8695),1,0)</f>
        <v/>
      </c>
      <c r="I8696">
        <f>IF(C8696="C99999",1,0)</f>
        <v/>
      </c>
      <c r="J8696" s="5">
        <f>IF(OR(H8696=1,I8696=1),0,IF(G8696="Credit",-F8696,F8696))</f>
        <v/>
      </c>
    </row>
    <row r="8697">
      <c r="A8697" t="inlineStr">
        <is>
          <t>2026-09-18</t>
        </is>
      </c>
      <c r="B8697" t="inlineStr">
        <is>
          <t>F260444</t>
        </is>
      </c>
      <c r="C8697" t="inlineStr">
        <is>
          <t>C10024</t>
        </is>
      </c>
      <c r="D8697" t="inlineStr">
        <is>
          <t>SKU-10214</t>
        </is>
      </c>
      <c r="E8697" t="inlineStr">
        <is>
          <t>AM03</t>
        </is>
      </c>
      <c r="F8697" s="5" t="n">
        <v>68.09999999999999</v>
      </c>
      <c r="G8697">
        <f>IF(LEFT(B8697,1)="C","Credit","Factuur")</f>
        <v/>
      </c>
      <c r="H8697">
        <f>IF(AND(B8697=B8696,D8697=D8696,A8697=A8696,F8697=F8696),1,0)</f>
        <v/>
      </c>
      <c r="I8697">
        <f>IF(C8697="C99999",1,0)</f>
        <v/>
      </c>
      <c r="J8697" s="5">
        <f>IF(OR(H8697=1,I8697=1),0,IF(G8697="Credit",-F8697,F8697))</f>
        <v/>
      </c>
    </row>
    <row r="8698">
      <c r="A8698" t="inlineStr">
        <is>
          <t>2026-09-18</t>
        </is>
      </c>
      <c r="B8698" t="inlineStr">
        <is>
          <t>F260444</t>
        </is>
      </c>
      <c r="C8698" t="inlineStr">
        <is>
          <t>C10024</t>
        </is>
      </c>
      <c r="D8698" t="inlineStr">
        <is>
          <t>SKU-10249</t>
        </is>
      </c>
      <c r="E8698" t="inlineStr">
        <is>
          <t>AM03</t>
        </is>
      </c>
      <c r="F8698" s="5" t="n">
        <v>62.2</v>
      </c>
      <c r="G8698">
        <f>IF(LEFT(B8698,1)="C","Credit","Factuur")</f>
        <v/>
      </c>
      <c r="H8698">
        <f>IF(AND(B8698=B8697,D8698=D8697,A8698=A8697,F8698=F8697),1,0)</f>
        <v/>
      </c>
      <c r="I8698">
        <f>IF(C8698="C99999",1,0)</f>
        <v/>
      </c>
      <c r="J8698" s="5">
        <f>IF(OR(H8698=1,I8698=1),0,IF(G8698="Credit",-F8698,F8698))</f>
        <v/>
      </c>
    </row>
    <row r="8699">
      <c r="A8699" t="inlineStr">
        <is>
          <t>2026-09-18</t>
        </is>
      </c>
      <c r="B8699" t="inlineStr">
        <is>
          <t>F260444</t>
        </is>
      </c>
      <c r="C8699" t="inlineStr">
        <is>
          <t>C10024</t>
        </is>
      </c>
      <c r="D8699" t="inlineStr">
        <is>
          <t>SKU-10361</t>
        </is>
      </c>
      <c r="E8699" t="inlineStr">
        <is>
          <t>AM03</t>
        </is>
      </c>
      <c r="F8699" s="5" t="n">
        <v>90.14</v>
      </c>
      <c r="G8699">
        <f>IF(LEFT(B8699,1)="C","Credit","Factuur")</f>
        <v/>
      </c>
      <c r="H8699">
        <f>IF(AND(B8699=B8698,D8699=D8698,A8699=A8698,F8699=F8698),1,0)</f>
        <v/>
      </c>
      <c r="I8699">
        <f>IF(C8699="C99999",1,0)</f>
        <v/>
      </c>
      <c r="J8699" s="5">
        <f>IF(OR(H8699=1,I8699=1),0,IF(G8699="Credit",-F8699,F8699))</f>
        <v/>
      </c>
    </row>
    <row r="8700">
      <c r="A8700" t="inlineStr">
        <is>
          <t>2026-09-18</t>
        </is>
      </c>
      <c r="B8700" t="inlineStr">
        <is>
          <t>F260494</t>
        </is>
      </c>
      <c r="C8700" t="inlineStr">
        <is>
          <t>C10026</t>
        </is>
      </c>
      <c r="D8700" t="inlineStr">
        <is>
          <t>SKU-10143</t>
        </is>
      </c>
      <c r="E8700" t="inlineStr">
        <is>
          <t>AM11</t>
        </is>
      </c>
      <c r="F8700" s="5" t="n">
        <v>255.83</v>
      </c>
      <c r="G8700">
        <f>IF(LEFT(B8700,1)="C","Credit","Factuur")</f>
        <v/>
      </c>
      <c r="H8700">
        <f>IF(AND(B8700=B8699,D8700=D8699,A8700=A8699,F8700=F8699),1,0)</f>
        <v/>
      </c>
      <c r="I8700">
        <f>IF(C8700="C99999",1,0)</f>
        <v/>
      </c>
      <c r="J8700" s="5">
        <f>IF(OR(H8700=1,I8700=1),0,IF(G8700="Credit",-F8700,F8700))</f>
        <v/>
      </c>
    </row>
    <row r="8701">
      <c r="A8701" t="inlineStr">
        <is>
          <t>2026-09-18</t>
        </is>
      </c>
      <c r="B8701" t="inlineStr">
        <is>
          <t>F260494</t>
        </is>
      </c>
      <c r="C8701" t="inlineStr">
        <is>
          <t>C10026</t>
        </is>
      </c>
      <c r="D8701" t="inlineStr">
        <is>
          <t>SKU-10239</t>
        </is>
      </c>
      <c r="E8701" t="inlineStr">
        <is>
          <t>AM11</t>
        </is>
      </c>
      <c r="F8701" s="5" t="n">
        <v>236.91</v>
      </c>
      <c r="G8701">
        <f>IF(LEFT(B8701,1)="C","Credit","Factuur")</f>
        <v/>
      </c>
      <c r="H8701">
        <f>IF(AND(B8701=B8700,D8701=D8700,A8701=A8700,F8701=F8700),1,0)</f>
        <v/>
      </c>
      <c r="I8701">
        <f>IF(C8701="C99999",1,0)</f>
        <v/>
      </c>
      <c r="J8701" s="5">
        <f>IF(OR(H8701=1,I8701=1),0,IF(G8701="Credit",-F8701,F8701))</f>
        <v/>
      </c>
    </row>
    <row r="8702">
      <c r="A8702" t="inlineStr">
        <is>
          <t>2026-09-18</t>
        </is>
      </c>
      <c r="B8702" t="inlineStr">
        <is>
          <t>F260494</t>
        </is>
      </c>
      <c r="C8702" t="inlineStr">
        <is>
          <t>C10026</t>
        </is>
      </c>
      <c r="D8702" t="inlineStr">
        <is>
          <t>SKU-10340</t>
        </is>
      </c>
      <c r="E8702" t="inlineStr">
        <is>
          <t>AM11</t>
        </is>
      </c>
      <c r="F8702" s="5" t="n">
        <v>267.92</v>
      </c>
      <c r="G8702">
        <f>IF(LEFT(B8702,1)="C","Credit","Factuur")</f>
        <v/>
      </c>
      <c r="H8702">
        <f>IF(AND(B8702=B8701,D8702=D8701,A8702=A8701,F8702=F8701),1,0)</f>
        <v/>
      </c>
      <c r="I8702">
        <f>IF(C8702="C99999",1,0)</f>
        <v/>
      </c>
      <c r="J8702" s="5">
        <f>IF(OR(H8702=1,I8702=1),0,IF(G8702="Credit",-F8702,F8702))</f>
        <v/>
      </c>
    </row>
    <row r="8703">
      <c r="A8703" t="inlineStr">
        <is>
          <t>2026-09-18</t>
        </is>
      </c>
      <c r="B8703" t="inlineStr">
        <is>
          <t>F260542</t>
        </is>
      </c>
      <c r="C8703" t="inlineStr">
        <is>
          <t>C10031</t>
        </is>
      </c>
      <c r="D8703" t="inlineStr">
        <is>
          <t>SKU-10263</t>
        </is>
      </c>
      <c r="E8703" t="inlineStr">
        <is>
          <t>AM07</t>
        </is>
      </c>
      <c r="F8703" s="5" t="n">
        <v>1230.55</v>
      </c>
      <c r="G8703">
        <f>IF(LEFT(B8703,1)="C","Credit","Factuur")</f>
        <v/>
      </c>
      <c r="H8703">
        <f>IF(AND(B8703=B8702,D8703=D8702,A8703=A8702,F8703=F8702),1,0)</f>
        <v/>
      </c>
      <c r="I8703">
        <f>IF(C8703="C99999",1,0)</f>
        <v/>
      </c>
      <c r="J8703" s="5">
        <f>IF(OR(H8703=1,I8703=1),0,IF(G8703="Credit",-F8703,F8703))</f>
        <v/>
      </c>
    </row>
    <row r="8704">
      <c r="A8704" t="inlineStr">
        <is>
          <t>2026-09-18</t>
        </is>
      </c>
      <c r="B8704" t="inlineStr">
        <is>
          <t>F260542</t>
        </is>
      </c>
      <c r="C8704" t="inlineStr">
        <is>
          <t>C10031</t>
        </is>
      </c>
      <c r="D8704" t="inlineStr">
        <is>
          <t>SKU-10278</t>
        </is>
      </c>
      <c r="E8704" t="inlineStr">
        <is>
          <t>AM07</t>
        </is>
      </c>
      <c r="F8704" s="5" t="n">
        <v>1238.08</v>
      </c>
      <c r="G8704">
        <f>IF(LEFT(B8704,1)="C","Credit","Factuur")</f>
        <v/>
      </c>
      <c r="H8704">
        <f>IF(AND(B8704=B8703,D8704=D8703,A8704=A8703,F8704=F8703),1,0)</f>
        <v/>
      </c>
      <c r="I8704">
        <f>IF(C8704="C99999",1,0)</f>
        <v/>
      </c>
      <c r="J8704" s="5">
        <f>IF(OR(H8704=1,I8704=1),0,IF(G8704="Credit",-F8704,F8704))</f>
        <v/>
      </c>
    </row>
    <row r="8705">
      <c r="A8705" t="inlineStr">
        <is>
          <t>2026-09-18</t>
        </is>
      </c>
      <c r="B8705" t="inlineStr">
        <is>
          <t>F260805</t>
        </is>
      </c>
      <c r="C8705" t="inlineStr">
        <is>
          <t>C10048</t>
        </is>
      </c>
      <c r="D8705" t="inlineStr">
        <is>
          <t>SKU-10025</t>
        </is>
      </c>
      <c r="E8705" t="inlineStr">
        <is>
          <t>AM07</t>
        </is>
      </c>
      <c r="F8705" s="5" t="n">
        <v>130.52</v>
      </c>
      <c r="G8705">
        <f>IF(LEFT(B8705,1)="C","Credit","Factuur")</f>
        <v/>
      </c>
      <c r="H8705">
        <f>IF(AND(B8705=B8704,D8705=D8704,A8705=A8704,F8705=F8704),1,0)</f>
        <v/>
      </c>
      <c r="I8705">
        <f>IF(C8705="C99999",1,0)</f>
        <v/>
      </c>
      <c r="J8705" s="5">
        <f>IF(OR(H8705=1,I8705=1),0,IF(G8705="Credit",-F8705,F8705))</f>
        <v/>
      </c>
    </row>
    <row r="8706">
      <c r="A8706" t="inlineStr">
        <is>
          <t>2026-09-18</t>
        </is>
      </c>
      <c r="B8706" t="inlineStr">
        <is>
          <t>F260805</t>
        </is>
      </c>
      <c r="C8706" t="inlineStr">
        <is>
          <t>C10048</t>
        </is>
      </c>
      <c r="D8706" t="inlineStr">
        <is>
          <t>SKU-10080</t>
        </is>
      </c>
      <c r="E8706" t="inlineStr">
        <is>
          <t>AM07</t>
        </is>
      </c>
      <c r="F8706" s="5" t="n">
        <v>143.91</v>
      </c>
      <c r="G8706">
        <f>IF(LEFT(B8706,1)="C","Credit","Factuur")</f>
        <v/>
      </c>
      <c r="H8706">
        <f>IF(AND(B8706=B8705,D8706=D8705,A8706=A8705,F8706=F8705),1,0)</f>
        <v/>
      </c>
      <c r="I8706">
        <f>IF(C8706="C99999",1,0)</f>
        <v/>
      </c>
      <c r="J8706" s="5">
        <f>IF(OR(H8706=1,I8706=1),0,IF(G8706="Credit",-F8706,F8706))</f>
        <v/>
      </c>
    </row>
    <row r="8707">
      <c r="A8707" t="inlineStr">
        <is>
          <t>2026-09-18</t>
        </is>
      </c>
      <c r="B8707" t="inlineStr">
        <is>
          <t>F260805</t>
        </is>
      </c>
      <c r="C8707" t="inlineStr">
        <is>
          <t>C10048</t>
        </is>
      </c>
      <c r="D8707" t="inlineStr">
        <is>
          <t>SKU-10092</t>
        </is>
      </c>
      <c r="E8707" t="inlineStr">
        <is>
          <t>AM07</t>
        </is>
      </c>
      <c r="F8707" s="5" t="n">
        <v>130.38</v>
      </c>
      <c r="G8707">
        <f>IF(LEFT(B8707,1)="C","Credit","Factuur")</f>
        <v/>
      </c>
      <c r="H8707">
        <f>IF(AND(B8707=B8706,D8707=D8706,A8707=A8706,F8707=F8706),1,0)</f>
        <v/>
      </c>
      <c r="I8707">
        <f>IF(C8707="C99999",1,0)</f>
        <v/>
      </c>
      <c r="J8707" s="5">
        <f>IF(OR(H8707=1,I8707=1),0,IF(G8707="Credit",-F8707,F8707))</f>
        <v/>
      </c>
    </row>
    <row r="8708">
      <c r="A8708" t="inlineStr">
        <is>
          <t>2026-09-18</t>
        </is>
      </c>
      <c r="B8708" t="inlineStr">
        <is>
          <t>F260805</t>
        </is>
      </c>
      <c r="C8708" t="inlineStr">
        <is>
          <t>C10048</t>
        </is>
      </c>
      <c r="D8708" t="inlineStr">
        <is>
          <t>SKU-10162</t>
        </is>
      </c>
      <c r="E8708" t="inlineStr">
        <is>
          <t>AM07</t>
        </is>
      </c>
      <c r="F8708" s="5" t="n">
        <v>147</v>
      </c>
      <c r="G8708">
        <f>IF(LEFT(B8708,1)="C","Credit","Factuur")</f>
        <v/>
      </c>
      <c r="H8708">
        <f>IF(AND(B8708=B8707,D8708=D8707,A8708=A8707,F8708=F8707),1,0)</f>
        <v/>
      </c>
      <c r="I8708">
        <f>IF(C8708="C99999",1,0)</f>
        <v/>
      </c>
      <c r="J8708" s="5">
        <f>IF(OR(H8708=1,I8708=1),0,IF(G8708="Credit",-F8708,F8708))</f>
        <v/>
      </c>
    </row>
    <row r="8709">
      <c r="A8709" t="inlineStr">
        <is>
          <t>2026-09-18</t>
        </is>
      </c>
      <c r="B8709" t="inlineStr">
        <is>
          <t>F260943</t>
        </is>
      </c>
      <c r="C8709" t="inlineStr">
        <is>
          <t>C10054</t>
        </is>
      </c>
      <c r="D8709" t="inlineStr">
        <is>
          <t>SKU-10023</t>
        </is>
      </c>
      <c r="E8709" t="inlineStr">
        <is>
          <t>AM01</t>
        </is>
      </c>
      <c r="F8709" s="5" t="n">
        <v>106.78</v>
      </c>
      <c r="G8709">
        <f>IF(LEFT(B8709,1)="C","Credit","Factuur")</f>
        <v/>
      </c>
      <c r="H8709">
        <f>IF(AND(B8709=B8708,D8709=D8708,A8709=A8708,F8709=F8708),1,0)</f>
        <v/>
      </c>
      <c r="I8709">
        <f>IF(C8709="C99999",1,0)</f>
        <v/>
      </c>
      <c r="J8709" s="5">
        <f>IF(OR(H8709=1,I8709=1),0,IF(G8709="Credit",-F8709,F8709))</f>
        <v/>
      </c>
    </row>
    <row r="8710">
      <c r="A8710" t="inlineStr">
        <is>
          <t>2026-09-18</t>
        </is>
      </c>
      <c r="B8710" t="inlineStr">
        <is>
          <t>F260943</t>
        </is>
      </c>
      <c r="C8710" t="inlineStr">
        <is>
          <t>C10054</t>
        </is>
      </c>
      <c r="D8710" t="inlineStr">
        <is>
          <t>SKU-10071</t>
        </is>
      </c>
      <c r="E8710" t="inlineStr">
        <is>
          <t>AM01</t>
        </is>
      </c>
      <c r="F8710" s="5" t="n">
        <v>89.73</v>
      </c>
      <c r="G8710">
        <f>IF(LEFT(B8710,1)="C","Credit","Factuur")</f>
        <v/>
      </c>
      <c r="H8710">
        <f>IF(AND(B8710=B8709,D8710=D8709,A8710=A8709,F8710=F8709),1,0)</f>
        <v/>
      </c>
      <c r="I8710">
        <f>IF(C8710="C99999",1,0)</f>
        <v/>
      </c>
      <c r="J8710" s="5">
        <f>IF(OR(H8710=1,I8710=1),0,IF(G8710="Credit",-F8710,F8710))</f>
        <v/>
      </c>
    </row>
    <row r="8711">
      <c r="A8711" t="inlineStr">
        <is>
          <t>2026-09-18</t>
        </is>
      </c>
      <c r="B8711" t="inlineStr">
        <is>
          <t>F260943</t>
        </is>
      </c>
      <c r="C8711" t="inlineStr">
        <is>
          <t>C10054</t>
        </is>
      </c>
      <c r="D8711" t="inlineStr">
        <is>
          <t>SKU-10090</t>
        </is>
      </c>
      <c r="E8711" t="inlineStr">
        <is>
          <t>AM01</t>
        </is>
      </c>
      <c r="F8711" s="5" t="n">
        <v>121.22</v>
      </c>
      <c r="G8711">
        <f>IF(LEFT(B8711,1)="C","Credit","Factuur")</f>
        <v/>
      </c>
      <c r="H8711">
        <f>IF(AND(B8711=B8710,D8711=D8710,A8711=A8710,F8711=F8710),1,0)</f>
        <v/>
      </c>
      <c r="I8711">
        <f>IF(C8711="C99999",1,0)</f>
        <v/>
      </c>
      <c r="J8711" s="5">
        <f>IF(OR(H8711=1,I8711=1),0,IF(G8711="Credit",-F8711,F8711))</f>
        <v/>
      </c>
    </row>
    <row r="8712">
      <c r="A8712" t="inlineStr">
        <is>
          <t>2026-09-18</t>
        </is>
      </c>
      <c r="B8712" t="inlineStr">
        <is>
          <t>F260943</t>
        </is>
      </c>
      <c r="C8712" t="inlineStr">
        <is>
          <t>C10054</t>
        </is>
      </c>
      <c r="D8712" t="inlineStr">
        <is>
          <t>SKU-10115</t>
        </is>
      </c>
      <c r="E8712" t="inlineStr">
        <is>
          <t>AM01</t>
        </is>
      </c>
      <c r="F8712" s="5" t="n">
        <v>86.56999999999999</v>
      </c>
      <c r="G8712">
        <f>IF(LEFT(B8712,1)="C","Credit","Factuur")</f>
        <v/>
      </c>
      <c r="H8712">
        <f>IF(AND(B8712=B8711,D8712=D8711,A8712=A8711,F8712=F8711),1,0)</f>
        <v/>
      </c>
      <c r="I8712">
        <f>IF(C8712="C99999",1,0)</f>
        <v/>
      </c>
      <c r="J8712" s="5">
        <f>IF(OR(H8712=1,I8712=1),0,IF(G8712="Credit",-F8712,F8712))</f>
        <v/>
      </c>
    </row>
    <row r="8713">
      <c r="A8713" t="inlineStr">
        <is>
          <t>2026-09-18</t>
        </is>
      </c>
      <c r="B8713" t="inlineStr">
        <is>
          <t>F261859</t>
        </is>
      </c>
      <c r="C8713" t="inlineStr">
        <is>
          <t>C10099</t>
        </is>
      </c>
      <c r="D8713" t="inlineStr">
        <is>
          <t>SKU-10325</t>
        </is>
      </c>
      <c r="E8713" t="inlineStr">
        <is>
          <t>AM02</t>
        </is>
      </c>
      <c r="F8713" s="5" t="n">
        <v>989.1</v>
      </c>
      <c r="G8713">
        <f>IF(LEFT(B8713,1)="C","Credit","Factuur")</f>
        <v/>
      </c>
      <c r="H8713">
        <f>IF(AND(B8713=B8712,D8713=D8712,A8713=A8712,F8713=F8712),1,0)</f>
        <v/>
      </c>
      <c r="I8713">
        <f>IF(C8713="C99999",1,0)</f>
        <v/>
      </c>
      <c r="J8713" s="5">
        <f>IF(OR(H8713=1,I8713=1),0,IF(G8713="Credit",-F8713,F8713))</f>
        <v/>
      </c>
    </row>
    <row r="8714">
      <c r="A8714" t="inlineStr">
        <is>
          <t>2026-09-18</t>
        </is>
      </c>
      <c r="B8714" t="inlineStr">
        <is>
          <t>F262011</t>
        </is>
      </c>
      <c r="C8714" t="inlineStr">
        <is>
          <t>C10107</t>
        </is>
      </c>
      <c r="D8714" t="inlineStr">
        <is>
          <t>SKU-10273</t>
        </is>
      </c>
      <c r="E8714" t="inlineStr">
        <is>
          <t>AM11</t>
        </is>
      </c>
      <c r="F8714" s="5" t="n">
        <v>706.64</v>
      </c>
      <c r="G8714">
        <f>IF(LEFT(B8714,1)="C","Credit","Factuur")</f>
        <v/>
      </c>
      <c r="H8714">
        <f>IF(AND(B8714=B8713,D8714=D8713,A8714=A8713,F8714=F8713),1,0)</f>
        <v/>
      </c>
      <c r="I8714">
        <f>IF(C8714="C99999",1,0)</f>
        <v/>
      </c>
      <c r="J8714" s="5">
        <f>IF(OR(H8714=1,I8714=1),0,IF(G8714="Credit",-F8714,F8714))</f>
        <v/>
      </c>
    </row>
    <row r="8715">
      <c r="A8715" t="inlineStr">
        <is>
          <t>2026-09-18</t>
        </is>
      </c>
      <c r="B8715" t="inlineStr">
        <is>
          <t>F262011</t>
        </is>
      </c>
      <c r="C8715" t="inlineStr">
        <is>
          <t>C10107</t>
        </is>
      </c>
      <c r="D8715" t="inlineStr">
        <is>
          <t>SKU-10274</t>
        </is>
      </c>
      <c r="E8715" t="inlineStr">
        <is>
          <t>AM11</t>
        </is>
      </c>
      <c r="F8715" s="5" t="n">
        <v>693.09</v>
      </c>
      <c r="G8715">
        <f>IF(LEFT(B8715,1)="C","Credit","Factuur")</f>
        <v/>
      </c>
      <c r="H8715">
        <f>IF(AND(B8715=B8714,D8715=D8714,A8715=A8714,F8715=F8714),1,0)</f>
        <v/>
      </c>
      <c r="I8715">
        <f>IF(C8715="C99999",1,0)</f>
        <v/>
      </c>
      <c r="J8715" s="5">
        <f>IF(OR(H8715=1,I8715=1),0,IF(G8715="Credit",-F8715,F8715))</f>
        <v/>
      </c>
    </row>
    <row r="8716">
      <c r="A8716" t="inlineStr">
        <is>
          <t>2026-09-18</t>
        </is>
      </c>
      <c r="B8716" t="inlineStr">
        <is>
          <t>F262197</t>
        </is>
      </c>
      <c r="C8716" t="inlineStr">
        <is>
          <t>C10117</t>
        </is>
      </c>
      <c r="D8716" t="inlineStr">
        <is>
          <t>SKU-10305</t>
        </is>
      </c>
      <c r="E8716" t="inlineStr">
        <is>
          <t>AM02</t>
        </is>
      </c>
      <c r="F8716" s="5" t="n">
        <v>560.02</v>
      </c>
      <c r="G8716">
        <f>IF(LEFT(B8716,1)="C","Credit","Factuur")</f>
        <v/>
      </c>
      <c r="H8716">
        <f>IF(AND(B8716=B8715,D8716=D8715,A8716=A8715,F8716=F8715),1,0)</f>
        <v/>
      </c>
      <c r="I8716">
        <f>IF(C8716="C99999",1,0)</f>
        <v/>
      </c>
      <c r="J8716" s="5">
        <f>IF(OR(H8716=1,I8716=1),0,IF(G8716="Credit",-F8716,F8716))</f>
        <v/>
      </c>
    </row>
    <row r="8717">
      <c r="A8717" t="inlineStr">
        <is>
          <t>2026-09-18</t>
        </is>
      </c>
      <c r="B8717" t="inlineStr">
        <is>
          <t>F262197</t>
        </is>
      </c>
      <c r="C8717" t="inlineStr">
        <is>
          <t>C10117</t>
        </is>
      </c>
      <c r="D8717" t="inlineStr">
        <is>
          <t>SKU-10332</t>
        </is>
      </c>
      <c r="E8717" t="inlineStr">
        <is>
          <t>AM02</t>
        </is>
      </c>
      <c r="F8717" s="5" t="n">
        <v>541.1799999999999</v>
      </c>
      <c r="G8717">
        <f>IF(LEFT(B8717,1)="C","Credit","Factuur")</f>
        <v/>
      </c>
      <c r="H8717">
        <f>IF(AND(B8717=B8716,D8717=D8716,A8717=A8716,F8717=F8716),1,0)</f>
        <v/>
      </c>
      <c r="I8717">
        <f>IF(C8717="C99999",1,0)</f>
        <v/>
      </c>
      <c r="J8717" s="5">
        <f>IF(OR(H8717=1,I8717=1),0,IF(G8717="Credit",-F8717,F8717))</f>
        <v/>
      </c>
    </row>
    <row r="8718">
      <c r="A8718" t="inlineStr">
        <is>
          <t>2026-09-18</t>
        </is>
      </c>
      <c r="B8718" t="inlineStr">
        <is>
          <t>F262299</t>
        </is>
      </c>
      <c r="C8718" t="inlineStr">
        <is>
          <t>C10122</t>
        </is>
      </c>
      <c r="D8718" t="inlineStr">
        <is>
          <t>SKU-10057</t>
        </is>
      </c>
      <c r="E8718" t="inlineStr">
        <is>
          <t>AM12</t>
        </is>
      </c>
      <c r="F8718" s="5" t="n">
        <v>235.12</v>
      </c>
      <c r="G8718">
        <f>IF(LEFT(B8718,1)="C","Credit","Factuur")</f>
        <v/>
      </c>
      <c r="H8718">
        <f>IF(AND(B8718=B8717,D8718=D8717,A8718=A8717,F8718=F8717),1,0)</f>
        <v/>
      </c>
      <c r="I8718">
        <f>IF(C8718="C99999",1,0)</f>
        <v/>
      </c>
      <c r="J8718" s="5">
        <f>IF(OR(H8718=1,I8718=1),0,IF(G8718="Credit",-F8718,F8718))</f>
        <v/>
      </c>
    </row>
    <row r="8719">
      <c r="A8719" t="inlineStr">
        <is>
          <t>2026-09-18</t>
        </is>
      </c>
      <c r="B8719" t="inlineStr">
        <is>
          <t>F262299</t>
        </is>
      </c>
      <c r="C8719" t="inlineStr">
        <is>
          <t>C10122</t>
        </is>
      </c>
      <c r="D8719" t="inlineStr">
        <is>
          <t>SKU-10128</t>
        </is>
      </c>
      <c r="E8719" t="inlineStr">
        <is>
          <t>AM12</t>
        </is>
      </c>
      <c r="F8719" s="5" t="n">
        <v>249.97</v>
      </c>
      <c r="G8719">
        <f>IF(LEFT(B8719,1)="C","Credit","Factuur")</f>
        <v/>
      </c>
      <c r="H8719">
        <f>IF(AND(B8719=B8718,D8719=D8718,A8719=A8718,F8719=F8718),1,0)</f>
        <v/>
      </c>
      <c r="I8719">
        <f>IF(C8719="C99999",1,0)</f>
        <v/>
      </c>
      <c r="J8719" s="5">
        <f>IF(OR(H8719=1,I8719=1),0,IF(G8719="Credit",-F8719,F8719))</f>
        <v/>
      </c>
    </row>
    <row r="8720">
      <c r="A8720" t="inlineStr">
        <is>
          <t>2026-09-18</t>
        </is>
      </c>
      <c r="B8720" t="inlineStr">
        <is>
          <t>F262341</t>
        </is>
      </c>
      <c r="C8720" t="inlineStr">
        <is>
          <t>C10124</t>
        </is>
      </c>
      <c r="D8720" t="inlineStr">
        <is>
          <t>SKU-10271</t>
        </is>
      </c>
      <c r="E8720" t="inlineStr">
        <is>
          <t>AM05</t>
        </is>
      </c>
      <c r="F8720" s="5" t="n">
        <v>631.75</v>
      </c>
      <c r="G8720">
        <f>IF(LEFT(B8720,1)="C","Credit","Factuur")</f>
        <v/>
      </c>
      <c r="H8720">
        <f>IF(AND(B8720=B8719,D8720=D8719,A8720=A8719,F8720=F8719),1,0)</f>
        <v/>
      </c>
      <c r="I8720">
        <f>IF(C8720="C99999",1,0)</f>
        <v/>
      </c>
      <c r="J8720" s="5">
        <f>IF(OR(H8720=1,I8720=1),0,IF(G8720="Credit",-F8720,F8720))</f>
        <v/>
      </c>
    </row>
    <row r="8721">
      <c r="A8721" t="inlineStr">
        <is>
          <t>2026-09-18</t>
        </is>
      </c>
      <c r="B8721" t="inlineStr">
        <is>
          <t>F262341</t>
        </is>
      </c>
      <c r="C8721" t="inlineStr">
        <is>
          <t>C10124</t>
        </is>
      </c>
      <c r="D8721" t="inlineStr">
        <is>
          <t>SKU-10313</t>
        </is>
      </c>
      <c r="E8721" t="inlineStr">
        <is>
          <t>AM05</t>
        </is>
      </c>
      <c r="F8721" s="5" t="n">
        <v>639.4</v>
      </c>
      <c r="G8721">
        <f>IF(LEFT(B8721,1)="C","Credit","Factuur")</f>
        <v/>
      </c>
      <c r="H8721">
        <f>IF(AND(B8721=B8720,D8721=D8720,A8721=A8720,F8721=F8720),1,0)</f>
        <v/>
      </c>
      <c r="I8721">
        <f>IF(C8721="C99999",1,0)</f>
        <v/>
      </c>
      <c r="J8721" s="5">
        <f>IF(OR(H8721=1,I8721=1),0,IF(G8721="Credit",-F8721,F8721))</f>
        <v/>
      </c>
    </row>
    <row r="8722">
      <c r="A8722" t="inlineStr">
        <is>
          <t>2026-09-18</t>
        </is>
      </c>
      <c r="B8722" t="inlineStr">
        <is>
          <t>F262341</t>
        </is>
      </c>
      <c r="C8722" t="inlineStr">
        <is>
          <t>C10124</t>
        </is>
      </c>
      <c r="D8722" t="inlineStr">
        <is>
          <t>SKU-10339</t>
        </is>
      </c>
      <c r="E8722" t="inlineStr">
        <is>
          <t>AM05</t>
        </is>
      </c>
      <c r="F8722" s="5" t="n">
        <v>600.5</v>
      </c>
      <c r="G8722">
        <f>IF(LEFT(B8722,1)="C","Credit","Factuur")</f>
        <v/>
      </c>
      <c r="H8722">
        <f>IF(AND(B8722=B8721,D8722=D8721,A8722=A8721,F8722=F8721),1,0)</f>
        <v/>
      </c>
      <c r="I8722">
        <f>IF(C8722="C99999",1,0)</f>
        <v/>
      </c>
      <c r="J8722" s="5">
        <f>IF(OR(H8722=1,I8722=1),0,IF(G8722="Credit",-F8722,F8722))</f>
        <v/>
      </c>
    </row>
    <row r="8723">
      <c r="A8723" t="inlineStr">
        <is>
          <t>2026-09-18</t>
        </is>
      </c>
      <c r="B8723" t="inlineStr">
        <is>
          <t>F262530</t>
        </is>
      </c>
      <c r="C8723" t="inlineStr">
        <is>
          <t>C10133</t>
        </is>
      </c>
      <c r="D8723" t="inlineStr">
        <is>
          <t>SKU-10064</t>
        </is>
      </c>
      <c r="E8723" t="inlineStr">
        <is>
          <t>AM02</t>
        </is>
      </c>
      <c r="F8723" s="5" t="n">
        <v>318.17</v>
      </c>
      <c r="G8723">
        <f>IF(LEFT(B8723,1)="C","Credit","Factuur")</f>
        <v/>
      </c>
      <c r="H8723">
        <f>IF(AND(B8723=B8722,D8723=D8722,A8723=A8722,F8723=F8722),1,0)</f>
        <v/>
      </c>
      <c r="I8723">
        <f>IF(C8723="C99999",1,0)</f>
        <v/>
      </c>
      <c r="J8723" s="5">
        <f>IF(OR(H8723=1,I8723=1),0,IF(G8723="Credit",-F8723,F8723))</f>
        <v/>
      </c>
    </row>
    <row r="8724">
      <c r="A8724" t="inlineStr">
        <is>
          <t>2026-09-18</t>
        </is>
      </c>
      <c r="B8724" t="inlineStr">
        <is>
          <t>F262530</t>
        </is>
      </c>
      <c r="C8724" t="inlineStr">
        <is>
          <t>C10133</t>
        </is>
      </c>
      <c r="D8724" t="inlineStr">
        <is>
          <t>SKU-10137</t>
        </is>
      </c>
      <c r="E8724" t="inlineStr">
        <is>
          <t>AM02</t>
        </is>
      </c>
      <c r="F8724" s="5" t="n">
        <v>368.03</v>
      </c>
      <c r="G8724">
        <f>IF(LEFT(B8724,1)="C","Credit","Factuur")</f>
        <v/>
      </c>
      <c r="H8724">
        <f>IF(AND(B8724=B8723,D8724=D8723,A8724=A8723,F8724=F8723),1,0)</f>
        <v/>
      </c>
      <c r="I8724">
        <f>IF(C8724="C99999",1,0)</f>
        <v/>
      </c>
      <c r="J8724" s="5">
        <f>IF(OR(H8724=1,I8724=1),0,IF(G8724="Credit",-F8724,F8724))</f>
        <v/>
      </c>
    </row>
    <row r="8725">
      <c r="A8725" t="inlineStr">
        <is>
          <t>2026-09-18</t>
        </is>
      </c>
      <c r="B8725" t="inlineStr">
        <is>
          <t>F262586</t>
        </is>
      </c>
      <c r="C8725" t="inlineStr">
        <is>
          <t>C10138</t>
        </is>
      </c>
      <c r="D8725" t="inlineStr">
        <is>
          <t>SKU-10255</t>
        </is>
      </c>
      <c r="E8725" t="inlineStr">
        <is>
          <t>AM07</t>
        </is>
      </c>
      <c r="F8725" s="5" t="n">
        <v>154.87</v>
      </c>
      <c r="G8725">
        <f>IF(LEFT(B8725,1)="C","Credit","Factuur")</f>
        <v/>
      </c>
      <c r="H8725">
        <f>IF(AND(B8725=B8724,D8725=D8724,A8725=A8724,F8725=F8724),1,0)</f>
        <v/>
      </c>
      <c r="I8725">
        <f>IF(C8725="C99999",1,0)</f>
        <v/>
      </c>
      <c r="J8725" s="5">
        <f>IF(OR(H8725=1,I8725=1),0,IF(G8725="Credit",-F8725,F8725))</f>
        <v/>
      </c>
    </row>
    <row r="8726">
      <c r="A8726" t="inlineStr">
        <is>
          <t>2026-09-18</t>
        </is>
      </c>
      <c r="B8726" t="inlineStr">
        <is>
          <t>F262586</t>
        </is>
      </c>
      <c r="C8726" t="inlineStr">
        <is>
          <t>C10138</t>
        </is>
      </c>
      <c r="D8726" t="inlineStr">
        <is>
          <t>SKU-10304</t>
        </is>
      </c>
      <c r="E8726" t="inlineStr">
        <is>
          <t>AM07</t>
        </is>
      </c>
      <c r="F8726" s="5" t="n">
        <v>145.16</v>
      </c>
      <c r="G8726">
        <f>IF(LEFT(B8726,1)="C","Credit","Factuur")</f>
        <v/>
      </c>
      <c r="H8726">
        <f>IF(AND(B8726=B8725,D8726=D8725,A8726=A8725,F8726=F8725),1,0)</f>
        <v/>
      </c>
      <c r="I8726">
        <f>IF(C8726="C99999",1,0)</f>
        <v/>
      </c>
      <c r="J8726" s="5">
        <f>IF(OR(H8726=1,I8726=1),0,IF(G8726="Credit",-F8726,F8726))</f>
        <v/>
      </c>
    </row>
    <row r="8727">
      <c r="A8727" t="inlineStr">
        <is>
          <t>2026-09-18</t>
        </is>
      </c>
      <c r="B8727" t="inlineStr">
        <is>
          <t>F263679</t>
        </is>
      </c>
      <c r="C8727" t="inlineStr">
        <is>
          <t>C10197</t>
        </is>
      </c>
      <c r="D8727" t="inlineStr">
        <is>
          <t>SKU-10101</t>
        </is>
      </c>
      <c r="E8727" t="inlineStr">
        <is>
          <t>AM07</t>
        </is>
      </c>
      <c r="F8727" s="5" t="n">
        <v>415.66</v>
      </c>
      <c r="G8727">
        <f>IF(LEFT(B8727,1)="C","Credit","Factuur")</f>
        <v/>
      </c>
      <c r="H8727">
        <f>IF(AND(B8727=B8726,D8727=D8726,A8727=A8726,F8727=F8726),1,0)</f>
        <v/>
      </c>
      <c r="I8727">
        <f>IF(C8727="C99999",1,0)</f>
        <v/>
      </c>
      <c r="J8727" s="5">
        <f>IF(OR(H8727=1,I8727=1),0,IF(G8727="Credit",-F8727,F8727))</f>
        <v/>
      </c>
    </row>
    <row r="8728">
      <c r="A8728" t="inlineStr">
        <is>
          <t>2026-09-18</t>
        </is>
      </c>
      <c r="B8728" t="inlineStr">
        <is>
          <t>F263679</t>
        </is>
      </c>
      <c r="C8728" t="inlineStr">
        <is>
          <t>C10197</t>
        </is>
      </c>
      <c r="D8728" t="inlineStr">
        <is>
          <t>SKU-10141</t>
        </is>
      </c>
      <c r="E8728" t="inlineStr">
        <is>
          <t>AM07</t>
        </is>
      </c>
      <c r="F8728" s="5" t="n">
        <v>424.4</v>
      </c>
      <c r="G8728">
        <f>IF(LEFT(B8728,1)="C","Credit","Factuur")</f>
        <v/>
      </c>
      <c r="H8728">
        <f>IF(AND(B8728=B8727,D8728=D8727,A8728=A8727,F8728=F8727),1,0)</f>
        <v/>
      </c>
      <c r="I8728">
        <f>IF(C8728="C99999",1,0)</f>
        <v/>
      </c>
      <c r="J8728" s="5">
        <f>IF(OR(H8728=1,I8728=1),0,IF(G8728="Credit",-F8728,F8728))</f>
        <v/>
      </c>
    </row>
    <row r="8729">
      <c r="A8729" t="inlineStr">
        <is>
          <t>2026-09-18</t>
        </is>
      </c>
      <c r="B8729" t="inlineStr">
        <is>
          <t>F263679</t>
        </is>
      </c>
      <c r="C8729" t="inlineStr">
        <is>
          <t>C10197</t>
        </is>
      </c>
      <c r="D8729" t="inlineStr">
        <is>
          <t>SKU-10200</t>
        </is>
      </c>
      <c r="E8729" t="inlineStr">
        <is>
          <t>AM07</t>
        </is>
      </c>
      <c r="F8729" s="5" t="n">
        <v>428.4</v>
      </c>
      <c r="G8729">
        <f>IF(LEFT(B8729,1)="C","Credit","Factuur")</f>
        <v/>
      </c>
      <c r="H8729">
        <f>IF(AND(B8729=B8728,D8729=D8728,A8729=A8728,F8729=F8728),1,0)</f>
        <v/>
      </c>
      <c r="I8729">
        <f>IF(C8729="C99999",1,0)</f>
        <v/>
      </c>
      <c r="J8729" s="5">
        <f>IF(OR(H8729=1,I8729=1),0,IF(G8729="Credit",-F8729,F8729))</f>
        <v/>
      </c>
    </row>
    <row r="8730">
      <c r="A8730" t="inlineStr">
        <is>
          <t>2026-09-18</t>
        </is>
      </c>
      <c r="B8730" t="inlineStr">
        <is>
          <t>F263679</t>
        </is>
      </c>
      <c r="C8730" t="inlineStr">
        <is>
          <t>C10197</t>
        </is>
      </c>
      <c r="D8730" t="inlineStr">
        <is>
          <t>SKU-10306</t>
        </is>
      </c>
      <c r="E8730" t="inlineStr">
        <is>
          <t>AM07</t>
        </is>
      </c>
      <c r="F8730" s="5" t="n">
        <v>414.61</v>
      </c>
      <c r="G8730">
        <f>IF(LEFT(B8730,1)="C","Credit","Factuur")</f>
        <v/>
      </c>
      <c r="H8730">
        <f>IF(AND(B8730=B8729,D8730=D8729,A8730=A8729,F8730=F8729),1,0)</f>
        <v/>
      </c>
      <c r="I8730">
        <f>IF(C8730="C99999",1,0)</f>
        <v/>
      </c>
      <c r="J8730" s="5">
        <f>IF(OR(H8730=1,I8730=1),0,IF(G8730="Credit",-F8730,F8730))</f>
        <v/>
      </c>
    </row>
    <row r="8731">
      <c r="A8731" t="inlineStr">
        <is>
          <t>2026-09-18</t>
        </is>
      </c>
      <c r="B8731" t="inlineStr">
        <is>
          <t>F263679</t>
        </is>
      </c>
      <c r="C8731" t="inlineStr">
        <is>
          <t>C10197</t>
        </is>
      </c>
      <c r="D8731" t="inlineStr">
        <is>
          <t>SKU-10331</t>
        </is>
      </c>
      <c r="E8731" t="inlineStr">
        <is>
          <t>AM07</t>
        </is>
      </c>
      <c r="F8731" s="5" t="n">
        <v>407.83</v>
      </c>
      <c r="G8731">
        <f>IF(LEFT(B8731,1)="C","Credit","Factuur")</f>
        <v/>
      </c>
      <c r="H8731">
        <f>IF(AND(B8731=B8730,D8731=D8730,A8731=A8730,F8731=F8730),1,0)</f>
        <v/>
      </c>
      <c r="I8731">
        <f>IF(C8731="C99999",1,0)</f>
        <v/>
      </c>
      <c r="J8731" s="5">
        <f>IF(OR(H8731=1,I8731=1),0,IF(G8731="Credit",-F8731,F8731))</f>
        <v/>
      </c>
    </row>
    <row r="8732">
      <c r="A8732" t="inlineStr">
        <is>
          <t>2026-09-18</t>
        </is>
      </c>
      <c r="B8732" t="inlineStr">
        <is>
          <t>F263767</t>
        </is>
      </c>
      <c r="C8732" t="inlineStr">
        <is>
          <t>C10200</t>
        </is>
      </c>
      <c r="D8732" t="inlineStr">
        <is>
          <t>SKU-10173</t>
        </is>
      </c>
      <c r="E8732" t="inlineStr">
        <is>
          <t>AM01</t>
        </is>
      </c>
      <c r="F8732" s="5" t="n">
        <v>172</v>
      </c>
      <c r="G8732">
        <f>IF(LEFT(B8732,1)="C","Credit","Factuur")</f>
        <v/>
      </c>
      <c r="H8732">
        <f>IF(AND(B8732=B8731,D8732=D8731,A8732=A8731,F8732=F8731),1,0)</f>
        <v/>
      </c>
      <c r="I8732">
        <f>IF(C8732="C99999",1,0)</f>
        <v/>
      </c>
      <c r="J8732" s="5">
        <f>IF(OR(H8732=1,I8732=1),0,IF(G8732="Credit",-F8732,F8732))</f>
        <v/>
      </c>
    </row>
    <row r="8733">
      <c r="A8733" t="inlineStr">
        <is>
          <t>2026-09-18</t>
        </is>
      </c>
      <c r="B8733" t="inlineStr">
        <is>
          <t>F263767</t>
        </is>
      </c>
      <c r="C8733" t="inlineStr">
        <is>
          <t>C10200</t>
        </is>
      </c>
      <c r="D8733" t="inlineStr">
        <is>
          <t>SKU-10190</t>
        </is>
      </c>
      <c r="E8733" t="inlineStr">
        <is>
          <t>AM01</t>
        </is>
      </c>
      <c r="F8733" s="5" t="n">
        <v>175.28</v>
      </c>
      <c r="G8733">
        <f>IF(LEFT(B8733,1)="C","Credit","Factuur")</f>
        <v/>
      </c>
      <c r="H8733">
        <f>IF(AND(B8733=B8732,D8733=D8732,A8733=A8732,F8733=F8732),1,0)</f>
        <v/>
      </c>
      <c r="I8733">
        <f>IF(C8733="C99999",1,0)</f>
        <v/>
      </c>
      <c r="J8733" s="5">
        <f>IF(OR(H8733=1,I8733=1),0,IF(G8733="Credit",-F8733,F8733))</f>
        <v/>
      </c>
    </row>
    <row r="8734">
      <c r="A8734" t="inlineStr">
        <is>
          <t>2026-09-18</t>
        </is>
      </c>
      <c r="B8734" t="inlineStr">
        <is>
          <t>F263767</t>
        </is>
      </c>
      <c r="C8734" t="inlineStr">
        <is>
          <t>C10200</t>
        </is>
      </c>
      <c r="D8734" t="inlineStr">
        <is>
          <t>SKU-10345</t>
        </is>
      </c>
      <c r="E8734" t="inlineStr">
        <is>
          <t>AM01</t>
        </is>
      </c>
      <c r="F8734" s="5" t="n">
        <v>180.55</v>
      </c>
      <c r="G8734">
        <f>IF(LEFT(B8734,1)="C","Credit","Factuur")</f>
        <v/>
      </c>
      <c r="H8734">
        <f>IF(AND(B8734=B8733,D8734=D8733,A8734=A8733,F8734=F8733),1,0)</f>
        <v/>
      </c>
      <c r="I8734">
        <f>IF(C8734="C99999",1,0)</f>
        <v/>
      </c>
      <c r="J8734" s="5">
        <f>IF(OR(H8734=1,I8734=1),0,IF(G8734="Credit",-F8734,F8734))</f>
        <v/>
      </c>
    </row>
    <row r="8735">
      <c r="A8735" t="inlineStr">
        <is>
          <t>2026-09-18</t>
        </is>
      </c>
      <c r="B8735" t="inlineStr">
        <is>
          <t>F264120</t>
        </is>
      </c>
      <c r="C8735" t="inlineStr">
        <is>
          <t>C10218</t>
        </is>
      </c>
      <c r="D8735" t="inlineStr">
        <is>
          <t>SKU-10154</t>
        </is>
      </c>
      <c r="E8735" t="inlineStr">
        <is>
          <t>AM05</t>
        </is>
      </c>
      <c r="F8735" s="5" t="n">
        <v>909.09</v>
      </c>
      <c r="G8735">
        <f>IF(LEFT(B8735,1)="C","Credit","Factuur")</f>
        <v/>
      </c>
      <c r="H8735">
        <f>IF(AND(B8735=B8734,D8735=D8734,A8735=A8734,F8735=F8734),1,0)</f>
        <v/>
      </c>
      <c r="I8735">
        <f>IF(C8735="C99999",1,0)</f>
        <v/>
      </c>
      <c r="J8735" s="5">
        <f>IF(OR(H8735=1,I8735=1),0,IF(G8735="Credit",-F8735,F8735))</f>
        <v/>
      </c>
    </row>
    <row r="8736">
      <c r="A8736" t="inlineStr">
        <is>
          <t>2026-09-18</t>
        </is>
      </c>
      <c r="B8736" t="inlineStr">
        <is>
          <t>F264126</t>
        </is>
      </c>
      <c r="C8736" t="inlineStr">
        <is>
          <t>C10218</t>
        </is>
      </c>
      <c r="D8736" t="inlineStr">
        <is>
          <t>SKU-10026</t>
        </is>
      </c>
      <c r="E8736" t="inlineStr">
        <is>
          <t>AM05</t>
        </is>
      </c>
      <c r="F8736" s="5" t="n">
        <v>625.9400000000001</v>
      </c>
      <c r="G8736">
        <f>IF(LEFT(B8736,1)="C","Credit","Factuur")</f>
        <v/>
      </c>
      <c r="H8736">
        <f>IF(AND(B8736=B8735,D8736=D8735,A8736=A8735,F8736=F8735),1,0)</f>
        <v/>
      </c>
      <c r="I8736">
        <f>IF(C8736="C99999",1,0)</f>
        <v/>
      </c>
      <c r="J8736" s="5">
        <f>IF(OR(H8736=1,I8736=1),0,IF(G8736="Credit",-F8736,F8736))</f>
        <v/>
      </c>
    </row>
    <row r="8737">
      <c r="A8737" t="inlineStr">
        <is>
          <t>2026-09-18</t>
        </is>
      </c>
      <c r="B8737" t="inlineStr">
        <is>
          <t>F264126</t>
        </is>
      </c>
      <c r="C8737" t="inlineStr">
        <is>
          <t>C10218</t>
        </is>
      </c>
      <c r="D8737" t="inlineStr">
        <is>
          <t>SKU-10114</t>
        </is>
      </c>
      <c r="E8737" t="inlineStr">
        <is>
          <t>AM05</t>
        </is>
      </c>
      <c r="F8737" s="5" t="n">
        <v>696.28</v>
      </c>
      <c r="G8737">
        <f>IF(LEFT(B8737,1)="C","Credit","Factuur")</f>
        <v/>
      </c>
      <c r="H8737">
        <f>IF(AND(B8737=B8736,D8737=D8736,A8737=A8736,F8737=F8736),1,0)</f>
        <v/>
      </c>
      <c r="I8737">
        <f>IF(C8737="C99999",1,0)</f>
        <v/>
      </c>
      <c r="J8737" s="5">
        <f>IF(OR(H8737=1,I8737=1),0,IF(G8737="Credit",-F8737,F8737))</f>
        <v/>
      </c>
    </row>
    <row r="8738">
      <c r="A8738" t="inlineStr">
        <is>
          <t>2026-09-18</t>
        </is>
      </c>
      <c r="B8738" t="inlineStr">
        <is>
          <t>F264126</t>
        </is>
      </c>
      <c r="C8738" t="inlineStr">
        <is>
          <t>C10218</t>
        </is>
      </c>
      <c r="D8738" t="inlineStr">
        <is>
          <t>SKU-10341</t>
        </is>
      </c>
      <c r="E8738" t="inlineStr">
        <is>
          <t>AM05</t>
        </is>
      </c>
      <c r="F8738" s="5" t="n">
        <v>684.08</v>
      </c>
      <c r="G8738">
        <f>IF(LEFT(B8738,1)="C","Credit","Factuur")</f>
        <v/>
      </c>
      <c r="H8738">
        <f>IF(AND(B8738=B8737,D8738=D8737,A8738=A8737,F8738=F8737),1,0)</f>
        <v/>
      </c>
      <c r="I8738">
        <f>IF(C8738="C99999",1,0)</f>
        <v/>
      </c>
      <c r="J8738" s="5">
        <f>IF(OR(H8738=1,I8738=1),0,IF(G8738="Credit",-F8738,F8738))</f>
        <v/>
      </c>
    </row>
    <row r="8739">
      <c r="A8739" t="inlineStr">
        <is>
          <t>2026-09-18</t>
        </is>
      </c>
      <c r="B8739" t="inlineStr">
        <is>
          <t>F264152</t>
        </is>
      </c>
      <c r="C8739" t="inlineStr">
        <is>
          <t>C10220</t>
        </is>
      </c>
      <c r="D8739" t="inlineStr">
        <is>
          <t>SKU-10207</t>
        </is>
      </c>
      <c r="E8739" t="inlineStr">
        <is>
          <t>AM07</t>
        </is>
      </c>
      <c r="F8739" s="5" t="n">
        <v>538.5599999999999</v>
      </c>
      <c r="G8739">
        <f>IF(LEFT(B8739,1)="C","Credit","Factuur")</f>
        <v/>
      </c>
      <c r="H8739">
        <f>IF(AND(B8739=B8738,D8739=D8738,A8739=A8738,F8739=F8738),1,0)</f>
        <v/>
      </c>
      <c r="I8739">
        <f>IF(C8739="C99999",1,0)</f>
        <v/>
      </c>
      <c r="J8739" s="5">
        <f>IF(OR(H8739=1,I8739=1),0,IF(G8739="Credit",-F8739,F8739))</f>
        <v/>
      </c>
    </row>
    <row r="8740">
      <c r="A8740" t="inlineStr">
        <is>
          <t>2026-09-18</t>
        </is>
      </c>
      <c r="B8740" t="inlineStr">
        <is>
          <t>F264152</t>
        </is>
      </c>
      <c r="C8740" t="inlineStr">
        <is>
          <t>C10220</t>
        </is>
      </c>
      <c r="D8740" t="inlineStr">
        <is>
          <t>SKU-10240</t>
        </is>
      </c>
      <c r="E8740" t="inlineStr">
        <is>
          <t>AM07</t>
        </is>
      </c>
      <c r="F8740" s="5" t="n">
        <v>620.01</v>
      </c>
      <c r="G8740">
        <f>IF(LEFT(B8740,1)="C","Credit","Factuur")</f>
        <v/>
      </c>
      <c r="H8740">
        <f>IF(AND(B8740=B8739,D8740=D8739,A8740=A8739,F8740=F8739),1,0)</f>
        <v/>
      </c>
      <c r="I8740">
        <f>IF(C8740="C99999",1,0)</f>
        <v/>
      </c>
      <c r="J8740" s="5">
        <f>IF(OR(H8740=1,I8740=1),0,IF(G8740="Credit",-F8740,F8740))</f>
        <v/>
      </c>
    </row>
    <row r="8741">
      <c r="A8741" t="inlineStr">
        <is>
          <t>2026-09-18</t>
        </is>
      </c>
      <c r="B8741" t="inlineStr">
        <is>
          <t>F264544</t>
        </is>
      </c>
      <c r="C8741" t="inlineStr">
        <is>
          <t>C10236</t>
        </is>
      </c>
      <c r="D8741" t="inlineStr">
        <is>
          <t>SKU-10060</t>
        </is>
      </c>
      <c r="E8741" t="inlineStr">
        <is>
          <t>AM11</t>
        </is>
      </c>
      <c r="F8741" s="5" t="n">
        <v>176.4</v>
      </c>
      <c r="G8741">
        <f>IF(LEFT(B8741,1)="C","Credit","Factuur")</f>
        <v/>
      </c>
      <c r="H8741">
        <f>IF(AND(B8741=B8740,D8741=D8740,A8741=A8740,F8741=F8740),1,0)</f>
        <v/>
      </c>
      <c r="I8741">
        <f>IF(C8741="C99999",1,0)</f>
        <v/>
      </c>
      <c r="J8741" s="5">
        <f>IF(OR(H8741=1,I8741=1),0,IF(G8741="Credit",-F8741,F8741))</f>
        <v/>
      </c>
    </row>
    <row r="8742">
      <c r="A8742" t="inlineStr">
        <is>
          <t>2026-09-18</t>
        </is>
      </c>
      <c r="B8742" t="inlineStr">
        <is>
          <t>F264544</t>
        </is>
      </c>
      <c r="C8742" t="inlineStr">
        <is>
          <t>C10236</t>
        </is>
      </c>
      <c r="D8742" t="inlineStr">
        <is>
          <t>SKU-10061</t>
        </is>
      </c>
      <c r="E8742" t="inlineStr">
        <is>
          <t>AM11</t>
        </is>
      </c>
      <c r="F8742" s="5" t="n">
        <v>179.55</v>
      </c>
      <c r="G8742">
        <f>IF(LEFT(B8742,1)="C","Credit","Factuur")</f>
        <v/>
      </c>
      <c r="H8742">
        <f>IF(AND(B8742=B8741,D8742=D8741,A8742=A8741,F8742=F8741),1,0)</f>
        <v/>
      </c>
      <c r="I8742">
        <f>IF(C8742="C99999",1,0)</f>
        <v/>
      </c>
      <c r="J8742" s="5">
        <f>IF(OR(H8742=1,I8742=1),0,IF(G8742="Credit",-F8742,F8742))</f>
        <v/>
      </c>
    </row>
    <row r="8743">
      <c r="A8743" t="inlineStr">
        <is>
          <t>2026-09-18</t>
        </is>
      </c>
      <c r="B8743" t="inlineStr">
        <is>
          <t>F264544</t>
        </is>
      </c>
      <c r="C8743" t="inlineStr">
        <is>
          <t>C10236</t>
        </is>
      </c>
      <c r="D8743" t="inlineStr">
        <is>
          <t>SKU-10125</t>
        </is>
      </c>
      <c r="E8743" t="inlineStr">
        <is>
          <t>AM11</t>
        </is>
      </c>
      <c r="F8743" s="5" t="n">
        <v>173.08</v>
      </c>
      <c r="G8743">
        <f>IF(LEFT(B8743,1)="C","Credit","Factuur")</f>
        <v/>
      </c>
      <c r="H8743">
        <f>IF(AND(B8743=B8742,D8743=D8742,A8743=A8742,F8743=F8742),1,0)</f>
        <v/>
      </c>
      <c r="I8743">
        <f>IF(C8743="C99999",1,0)</f>
        <v/>
      </c>
      <c r="J8743" s="5">
        <f>IF(OR(H8743=1,I8743=1),0,IF(G8743="Credit",-F8743,F8743))</f>
        <v/>
      </c>
    </row>
    <row r="8744">
      <c r="A8744" t="inlineStr">
        <is>
          <t>2026-09-18</t>
        </is>
      </c>
      <c r="B8744" t="inlineStr">
        <is>
          <t>F264544</t>
        </is>
      </c>
      <c r="C8744" t="inlineStr">
        <is>
          <t>C10236</t>
        </is>
      </c>
      <c r="D8744" t="inlineStr">
        <is>
          <t>SKU-10195</t>
        </is>
      </c>
      <c r="E8744" t="inlineStr">
        <is>
          <t>AM11</t>
        </is>
      </c>
      <c r="F8744" s="5" t="n">
        <v>168.12</v>
      </c>
      <c r="G8744">
        <f>IF(LEFT(B8744,1)="C","Credit","Factuur")</f>
        <v/>
      </c>
      <c r="H8744">
        <f>IF(AND(B8744=B8743,D8744=D8743,A8744=A8743,F8744=F8743),1,0)</f>
        <v/>
      </c>
      <c r="I8744">
        <f>IF(C8744="C99999",1,0)</f>
        <v/>
      </c>
      <c r="J8744" s="5">
        <f>IF(OR(H8744=1,I8744=1),0,IF(G8744="Credit",-F8744,F8744))</f>
        <v/>
      </c>
    </row>
    <row r="8745">
      <c r="A8745" t="inlineStr">
        <is>
          <t>2026-09-18</t>
        </is>
      </c>
      <c r="B8745" t="inlineStr">
        <is>
          <t>F264544</t>
        </is>
      </c>
      <c r="C8745" t="inlineStr">
        <is>
          <t>C10236</t>
        </is>
      </c>
      <c r="D8745" t="inlineStr">
        <is>
          <t>SKU-10216</t>
        </is>
      </c>
      <c r="E8745" t="inlineStr"/>
      <c r="F8745" s="5" t="n">
        <v>194.16</v>
      </c>
      <c r="G8745">
        <f>IF(LEFT(B8745,1)="C","Credit","Factuur")</f>
        <v/>
      </c>
      <c r="H8745">
        <f>IF(AND(B8745=B8744,D8745=D8744,A8745=A8744,F8745=F8744),1,0)</f>
        <v/>
      </c>
      <c r="I8745">
        <f>IF(C8745="C99999",1,0)</f>
        <v/>
      </c>
      <c r="J8745" s="5">
        <f>IF(OR(H8745=1,I8745=1),0,IF(G8745="Credit",-F8745,F8745))</f>
        <v/>
      </c>
    </row>
    <row r="8746">
      <c r="A8746" t="inlineStr">
        <is>
          <t>2026-09-18</t>
        </is>
      </c>
      <c r="B8746" t="inlineStr">
        <is>
          <t>F264565</t>
        </is>
      </c>
      <c r="C8746" t="inlineStr">
        <is>
          <t>C10237</t>
        </is>
      </c>
      <c r="D8746" t="inlineStr">
        <is>
          <t>SKU-10182</t>
        </is>
      </c>
      <c r="E8746" t="inlineStr">
        <is>
          <t>AM07</t>
        </is>
      </c>
      <c r="F8746" s="5" t="n">
        <v>291.74</v>
      </c>
      <c r="G8746">
        <f>IF(LEFT(B8746,1)="C","Credit","Factuur")</f>
        <v/>
      </c>
      <c r="H8746">
        <f>IF(AND(B8746=B8745,D8746=D8745,A8746=A8745,F8746=F8745),1,0)</f>
        <v/>
      </c>
      <c r="I8746">
        <f>IF(C8746="C99999",1,0)</f>
        <v/>
      </c>
      <c r="J8746" s="5">
        <f>IF(OR(H8746=1,I8746=1),0,IF(G8746="Credit",-F8746,F8746))</f>
        <v/>
      </c>
    </row>
    <row r="8747">
      <c r="A8747" t="inlineStr">
        <is>
          <t>2026-09-18</t>
        </is>
      </c>
      <c r="B8747" t="inlineStr">
        <is>
          <t>F264590</t>
        </is>
      </c>
      <c r="C8747" t="inlineStr">
        <is>
          <t>C10239</t>
        </is>
      </c>
      <c r="D8747" t="inlineStr">
        <is>
          <t>SKU-10160</t>
        </is>
      </c>
      <c r="E8747" t="inlineStr">
        <is>
          <t>AM02</t>
        </is>
      </c>
      <c r="F8747" s="5" t="n">
        <v>186.84</v>
      </c>
      <c r="G8747">
        <f>IF(LEFT(B8747,1)="C","Credit","Factuur")</f>
        <v/>
      </c>
      <c r="H8747">
        <f>IF(AND(B8747=B8746,D8747=D8746,A8747=A8746,F8747=F8746),1,0)</f>
        <v/>
      </c>
      <c r="I8747">
        <f>IF(C8747="C99999",1,0)</f>
        <v/>
      </c>
      <c r="J8747" s="5">
        <f>IF(OR(H8747=1,I8747=1),0,IF(G8747="Credit",-F8747,F8747))</f>
        <v/>
      </c>
    </row>
    <row r="8748">
      <c r="A8748" t="inlineStr">
        <is>
          <t>2026-09-18</t>
        </is>
      </c>
      <c r="B8748" t="inlineStr">
        <is>
          <t>F264590</t>
        </is>
      </c>
      <c r="C8748" t="inlineStr">
        <is>
          <t>C10239</t>
        </is>
      </c>
      <c r="D8748" t="inlineStr">
        <is>
          <t>SKU-10327</t>
        </is>
      </c>
      <c r="E8748" t="inlineStr">
        <is>
          <t>AM02</t>
        </is>
      </c>
      <c r="F8748" s="5" t="n">
        <v>175.94</v>
      </c>
      <c r="G8748">
        <f>IF(LEFT(B8748,1)="C","Credit","Factuur")</f>
        <v/>
      </c>
      <c r="H8748">
        <f>IF(AND(B8748=B8747,D8748=D8747,A8748=A8747,F8748=F8747),1,0)</f>
        <v/>
      </c>
      <c r="I8748">
        <f>IF(C8748="C99999",1,0)</f>
        <v/>
      </c>
      <c r="J8748" s="5">
        <f>IF(OR(H8748=1,I8748=1),0,IF(G8748="Credit",-F8748,F8748))</f>
        <v/>
      </c>
    </row>
    <row r="8749">
      <c r="A8749" t="inlineStr">
        <is>
          <t>2026-09-18</t>
        </is>
      </c>
      <c r="B8749" t="inlineStr">
        <is>
          <t>F264594</t>
        </is>
      </c>
      <c r="C8749" t="inlineStr">
        <is>
          <t>C10239</t>
        </is>
      </c>
      <c r="D8749" t="inlineStr">
        <is>
          <t>SKU-10068</t>
        </is>
      </c>
      <c r="E8749" t="inlineStr">
        <is>
          <t>AM02</t>
        </is>
      </c>
      <c r="F8749" s="5" t="n">
        <v>272.25</v>
      </c>
      <c r="G8749">
        <f>IF(LEFT(B8749,1)="C","Credit","Factuur")</f>
        <v/>
      </c>
      <c r="H8749">
        <f>IF(AND(B8749=B8748,D8749=D8748,A8749=A8748,F8749=F8748),1,0)</f>
        <v/>
      </c>
      <c r="I8749">
        <f>IF(C8749="C99999",1,0)</f>
        <v/>
      </c>
      <c r="J8749" s="5">
        <f>IF(OR(H8749=1,I8749=1),0,IF(G8749="Credit",-F8749,F8749))</f>
        <v/>
      </c>
    </row>
    <row r="8750">
      <c r="A8750" t="inlineStr">
        <is>
          <t>2026-09-18</t>
        </is>
      </c>
      <c r="B8750" t="inlineStr">
        <is>
          <t>F264673</t>
        </is>
      </c>
      <c r="C8750" t="inlineStr">
        <is>
          <t>C10243</t>
        </is>
      </c>
      <c r="D8750" t="inlineStr">
        <is>
          <t>SKU-10063</t>
        </is>
      </c>
      <c r="E8750" t="inlineStr">
        <is>
          <t>AM02</t>
        </is>
      </c>
      <c r="F8750" s="5" t="n">
        <v>321.71</v>
      </c>
      <c r="G8750">
        <f>IF(LEFT(B8750,1)="C","Credit","Factuur")</f>
        <v/>
      </c>
      <c r="H8750">
        <f>IF(AND(B8750=B8749,D8750=D8749,A8750=A8749,F8750=F8749),1,0)</f>
        <v/>
      </c>
      <c r="I8750">
        <f>IF(C8750="C99999",1,0)</f>
        <v/>
      </c>
      <c r="J8750" s="5">
        <f>IF(OR(H8750=1,I8750=1),0,IF(G8750="Credit",-F8750,F8750))</f>
        <v/>
      </c>
    </row>
    <row r="8751">
      <c r="A8751" t="inlineStr">
        <is>
          <t>2026-09-18</t>
        </is>
      </c>
      <c r="B8751" t="inlineStr">
        <is>
          <t>F264673</t>
        </is>
      </c>
      <c r="C8751" t="inlineStr">
        <is>
          <t>C10243</t>
        </is>
      </c>
      <c r="D8751" t="inlineStr">
        <is>
          <t>SKU-10250</t>
        </is>
      </c>
      <c r="E8751" t="inlineStr">
        <is>
          <t>AM02</t>
        </is>
      </c>
      <c r="F8751" s="5" t="n">
        <v>284.89</v>
      </c>
      <c r="G8751">
        <f>IF(LEFT(B8751,1)="C","Credit","Factuur")</f>
        <v/>
      </c>
      <c r="H8751">
        <f>IF(AND(B8751=B8750,D8751=D8750,A8751=A8750,F8751=F8750),1,0)</f>
        <v/>
      </c>
      <c r="I8751">
        <f>IF(C8751="C99999",1,0)</f>
        <v/>
      </c>
      <c r="J8751" s="5">
        <f>IF(OR(H8751=1,I8751=1),0,IF(G8751="Credit",-F8751,F8751))</f>
        <v/>
      </c>
    </row>
    <row r="8752">
      <c r="A8752" t="inlineStr">
        <is>
          <t>2026-09-18</t>
        </is>
      </c>
      <c r="B8752" t="inlineStr">
        <is>
          <t>F264715</t>
        </is>
      </c>
      <c r="C8752" t="inlineStr">
        <is>
          <t>C10246</t>
        </is>
      </c>
      <c r="D8752" t="inlineStr">
        <is>
          <t>SKU-10004</t>
        </is>
      </c>
      <c r="E8752" t="inlineStr">
        <is>
          <t>AM06</t>
        </is>
      </c>
      <c r="F8752" s="5" t="n">
        <v>376.08</v>
      </c>
      <c r="G8752">
        <f>IF(LEFT(B8752,1)="C","Credit","Factuur")</f>
        <v/>
      </c>
      <c r="H8752">
        <f>IF(AND(B8752=B8751,D8752=D8751,A8752=A8751,F8752=F8751),1,0)</f>
        <v/>
      </c>
      <c r="I8752">
        <f>IF(C8752="C99999",1,0)</f>
        <v/>
      </c>
      <c r="J8752" s="5">
        <f>IF(OR(H8752=1,I8752=1),0,IF(G8752="Credit",-F8752,F8752))</f>
        <v/>
      </c>
    </row>
    <row r="8753">
      <c r="A8753" t="inlineStr">
        <is>
          <t>2026-09-18</t>
        </is>
      </c>
      <c r="B8753" t="inlineStr">
        <is>
          <t>F264715</t>
        </is>
      </c>
      <c r="C8753" t="inlineStr">
        <is>
          <t>C10246</t>
        </is>
      </c>
      <c r="D8753" t="inlineStr">
        <is>
          <t>SKU-10110</t>
        </is>
      </c>
      <c r="E8753" t="inlineStr">
        <is>
          <t>AM06</t>
        </is>
      </c>
      <c r="F8753" s="5" t="n">
        <v>375.44</v>
      </c>
      <c r="G8753">
        <f>IF(LEFT(B8753,1)="C","Credit","Factuur")</f>
        <v/>
      </c>
      <c r="H8753">
        <f>IF(AND(B8753=B8752,D8753=D8752,A8753=A8752,F8753=F8752),1,0)</f>
        <v/>
      </c>
      <c r="I8753">
        <f>IF(C8753="C99999",1,0)</f>
        <v/>
      </c>
      <c r="J8753" s="5">
        <f>IF(OR(H8753=1,I8753=1),0,IF(G8753="Credit",-F8753,F8753))</f>
        <v/>
      </c>
    </row>
    <row r="8754">
      <c r="A8754" t="inlineStr">
        <is>
          <t>2026-09-18</t>
        </is>
      </c>
      <c r="B8754" t="inlineStr">
        <is>
          <t>F264715</t>
        </is>
      </c>
      <c r="C8754" t="inlineStr">
        <is>
          <t>C10246</t>
        </is>
      </c>
      <c r="D8754" t="inlineStr">
        <is>
          <t>SKU-10115</t>
        </is>
      </c>
      <c r="E8754" t="inlineStr">
        <is>
          <t>AM06</t>
        </is>
      </c>
      <c r="F8754" s="5" t="n">
        <v>393.52</v>
      </c>
      <c r="G8754">
        <f>IF(LEFT(B8754,1)="C","Credit","Factuur")</f>
        <v/>
      </c>
      <c r="H8754">
        <f>IF(AND(B8754=B8753,D8754=D8753,A8754=A8753,F8754=F8753),1,0)</f>
        <v/>
      </c>
      <c r="I8754">
        <f>IF(C8754="C99999",1,0)</f>
        <v/>
      </c>
      <c r="J8754" s="5">
        <f>IF(OR(H8754=1,I8754=1),0,IF(G8754="Credit",-F8754,F8754))</f>
        <v/>
      </c>
    </row>
    <row r="8755">
      <c r="A8755" t="inlineStr">
        <is>
          <t>2026-09-18</t>
        </is>
      </c>
      <c r="B8755" t="inlineStr">
        <is>
          <t>F264715</t>
        </is>
      </c>
      <c r="C8755" t="inlineStr">
        <is>
          <t>C10246</t>
        </is>
      </c>
      <c r="D8755" t="inlineStr">
        <is>
          <t>SKU-10128</t>
        </is>
      </c>
      <c r="E8755" t="inlineStr">
        <is>
          <t>AM06</t>
        </is>
      </c>
      <c r="F8755" s="5" t="n">
        <v>392.81</v>
      </c>
      <c r="G8755">
        <f>IF(LEFT(B8755,1)="C","Credit","Factuur")</f>
        <v/>
      </c>
      <c r="H8755">
        <f>IF(AND(B8755=B8754,D8755=D8754,A8755=A8754,F8755=F8754),1,0)</f>
        <v/>
      </c>
      <c r="I8755">
        <f>IF(C8755="C99999",1,0)</f>
        <v/>
      </c>
      <c r="J8755" s="5">
        <f>IF(OR(H8755=1,I8755=1),0,IF(G8755="Credit",-F8755,F8755))</f>
        <v/>
      </c>
    </row>
    <row r="8756">
      <c r="A8756" t="inlineStr">
        <is>
          <t>2026-09-18</t>
        </is>
      </c>
      <c r="B8756" t="inlineStr">
        <is>
          <t>F264737</t>
        </is>
      </c>
      <c r="C8756" t="inlineStr">
        <is>
          <t>C10247</t>
        </is>
      </c>
      <c r="D8756" t="inlineStr">
        <is>
          <t>SKU-10027</t>
        </is>
      </c>
      <c r="E8756" t="inlineStr">
        <is>
          <t>IS01</t>
        </is>
      </c>
      <c r="F8756" s="5" t="n">
        <v>110.68</v>
      </c>
      <c r="G8756">
        <f>IF(LEFT(B8756,1)="C","Credit","Factuur")</f>
        <v/>
      </c>
      <c r="H8756">
        <f>IF(AND(B8756=B8755,D8756=D8755,A8756=A8755,F8756=F8755),1,0)</f>
        <v/>
      </c>
      <c r="I8756">
        <f>IF(C8756="C99999",1,0)</f>
        <v/>
      </c>
      <c r="J8756" s="5">
        <f>IF(OR(H8756=1,I8756=1),0,IF(G8756="Credit",-F8756,F8756))</f>
        <v/>
      </c>
    </row>
    <row r="8757">
      <c r="A8757" t="inlineStr">
        <is>
          <t>2026-09-18</t>
        </is>
      </c>
      <c r="B8757" t="inlineStr">
        <is>
          <t>F264737</t>
        </is>
      </c>
      <c r="C8757" t="inlineStr">
        <is>
          <t>C10247</t>
        </is>
      </c>
      <c r="D8757" t="inlineStr">
        <is>
          <t>SKU-10075</t>
        </is>
      </c>
      <c r="E8757" t="inlineStr">
        <is>
          <t>IS01</t>
        </is>
      </c>
      <c r="F8757" s="5" t="n">
        <v>115.32</v>
      </c>
      <c r="G8757">
        <f>IF(LEFT(B8757,1)="C","Credit","Factuur")</f>
        <v/>
      </c>
      <c r="H8757">
        <f>IF(AND(B8757=B8756,D8757=D8756,A8757=A8756,F8757=F8756),1,0)</f>
        <v/>
      </c>
      <c r="I8757">
        <f>IF(C8757="C99999",1,0)</f>
        <v/>
      </c>
      <c r="J8757" s="5">
        <f>IF(OR(H8757=1,I8757=1),0,IF(G8757="Credit",-F8757,F8757))</f>
        <v/>
      </c>
    </row>
    <row r="8758">
      <c r="A8758" t="inlineStr">
        <is>
          <t>2026-09-18</t>
        </is>
      </c>
      <c r="B8758" t="inlineStr">
        <is>
          <t>F264738</t>
        </is>
      </c>
      <c r="C8758" t="inlineStr">
        <is>
          <t>C10248</t>
        </is>
      </c>
      <c r="D8758" t="inlineStr">
        <is>
          <t>SKU-10053</t>
        </is>
      </c>
      <c r="E8758" t="inlineStr">
        <is>
          <t>AM08</t>
        </is>
      </c>
      <c r="F8758" s="5" t="n">
        <v>2351.25</v>
      </c>
      <c r="G8758">
        <f>IF(LEFT(B8758,1)="C","Credit","Factuur")</f>
        <v/>
      </c>
      <c r="H8758">
        <f>IF(AND(B8758=B8757,D8758=D8757,A8758=A8757,F8758=F8757),1,0)</f>
        <v/>
      </c>
      <c r="I8758">
        <f>IF(C8758="C99999",1,0)</f>
        <v/>
      </c>
      <c r="J8758" s="5">
        <f>IF(OR(H8758=1,I8758=1),0,IF(G8758="Credit",-F8758,F8758))</f>
        <v/>
      </c>
    </row>
    <row r="8759">
      <c r="A8759" t="inlineStr">
        <is>
          <t>2026-09-18</t>
        </is>
      </c>
      <c r="B8759" t="inlineStr">
        <is>
          <t>F264775</t>
        </is>
      </c>
      <c r="C8759" t="inlineStr">
        <is>
          <t>C10249</t>
        </is>
      </c>
      <c r="D8759" t="inlineStr">
        <is>
          <t>SKU-10001</t>
        </is>
      </c>
      <c r="E8759" t="inlineStr">
        <is>
          <t>AM05</t>
        </is>
      </c>
      <c r="F8759" s="5" t="n">
        <v>149.38</v>
      </c>
      <c r="G8759">
        <f>IF(LEFT(B8759,1)="C","Credit","Factuur")</f>
        <v/>
      </c>
      <c r="H8759">
        <f>IF(AND(B8759=B8758,D8759=D8758,A8759=A8758,F8759=F8758),1,0)</f>
        <v/>
      </c>
      <c r="I8759">
        <f>IF(C8759="C99999",1,0)</f>
        <v/>
      </c>
      <c r="J8759" s="5">
        <f>IF(OR(H8759=1,I8759=1),0,IF(G8759="Credit",-F8759,F8759))</f>
        <v/>
      </c>
    </row>
    <row r="8760">
      <c r="A8760" t="inlineStr">
        <is>
          <t>2026-09-18</t>
        </is>
      </c>
      <c r="B8760" t="inlineStr">
        <is>
          <t>F264775</t>
        </is>
      </c>
      <c r="C8760" t="inlineStr">
        <is>
          <t>C10249</t>
        </is>
      </c>
      <c r="D8760" t="inlineStr">
        <is>
          <t>SKU-10008</t>
        </is>
      </c>
      <c r="E8760" t="inlineStr">
        <is>
          <t>AM05</t>
        </is>
      </c>
      <c r="F8760" s="5" t="n">
        <v>163.8</v>
      </c>
      <c r="G8760">
        <f>IF(LEFT(B8760,1)="C","Credit","Factuur")</f>
        <v/>
      </c>
      <c r="H8760">
        <f>IF(AND(B8760=B8759,D8760=D8759,A8760=A8759,F8760=F8759),1,0)</f>
        <v/>
      </c>
      <c r="I8760">
        <f>IF(C8760="C99999",1,0)</f>
        <v/>
      </c>
      <c r="J8760" s="5">
        <f>IF(OR(H8760=1,I8760=1),0,IF(G8760="Credit",-F8760,F8760))</f>
        <v/>
      </c>
    </row>
    <row r="8761">
      <c r="A8761" t="inlineStr">
        <is>
          <t>2026-09-18</t>
        </is>
      </c>
      <c r="B8761" t="inlineStr">
        <is>
          <t>F264775</t>
        </is>
      </c>
      <c r="C8761" t="inlineStr">
        <is>
          <t>C10249</t>
        </is>
      </c>
      <c r="D8761" t="inlineStr">
        <is>
          <t>SKU-10162</t>
        </is>
      </c>
      <c r="E8761" t="inlineStr">
        <is>
          <t>AM05</t>
        </is>
      </c>
      <c r="F8761" s="5" t="n">
        <v>152.25</v>
      </c>
      <c r="G8761">
        <f>IF(LEFT(B8761,1)="C","Credit","Factuur")</f>
        <v/>
      </c>
      <c r="H8761">
        <f>IF(AND(B8761=B8760,D8761=D8760,A8761=A8760,F8761=F8760),1,0)</f>
        <v/>
      </c>
      <c r="I8761">
        <f>IF(C8761="C99999",1,0)</f>
        <v/>
      </c>
      <c r="J8761" s="5">
        <f>IF(OR(H8761=1,I8761=1),0,IF(G8761="Credit",-F8761,F8761))</f>
        <v/>
      </c>
    </row>
    <row r="8762">
      <c r="A8762" t="inlineStr">
        <is>
          <t>2026-09-18</t>
        </is>
      </c>
      <c r="B8762" t="inlineStr">
        <is>
          <t>F264775</t>
        </is>
      </c>
      <c r="C8762" t="inlineStr">
        <is>
          <t>C10249</t>
        </is>
      </c>
      <c r="D8762" t="inlineStr">
        <is>
          <t>SKU-10301</t>
        </is>
      </c>
      <c r="E8762" t="inlineStr">
        <is>
          <t>AM05</t>
        </is>
      </c>
      <c r="F8762" s="5" t="n">
        <v>144.5</v>
      </c>
      <c r="G8762">
        <f>IF(LEFT(B8762,1)="C","Credit","Factuur")</f>
        <v/>
      </c>
      <c r="H8762">
        <f>IF(AND(B8762=B8761,D8762=D8761,A8762=A8761,F8762=F8761),1,0)</f>
        <v/>
      </c>
      <c r="I8762">
        <f>IF(C8762="C99999",1,0)</f>
        <v/>
      </c>
      <c r="J8762" s="5">
        <f>IF(OR(H8762=1,I8762=1),0,IF(G8762="Credit",-F8762,F8762))</f>
        <v/>
      </c>
    </row>
    <row r="8763">
      <c r="A8763" t="inlineStr">
        <is>
          <t>2026-09-18</t>
        </is>
      </c>
      <c r="B8763" t="inlineStr">
        <is>
          <t>F264775</t>
        </is>
      </c>
      <c r="C8763" t="inlineStr">
        <is>
          <t>C10249</t>
        </is>
      </c>
      <c r="D8763" t="inlineStr">
        <is>
          <t>SKU-10306</t>
        </is>
      </c>
      <c r="E8763" t="inlineStr">
        <is>
          <t>AM05</t>
        </is>
      </c>
      <c r="F8763" s="5" t="n">
        <v>160.79</v>
      </c>
      <c r="G8763">
        <f>IF(LEFT(B8763,1)="C","Credit","Factuur")</f>
        <v/>
      </c>
      <c r="H8763">
        <f>IF(AND(B8763=B8762,D8763=D8762,A8763=A8762,F8763=F8762),1,0)</f>
        <v/>
      </c>
      <c r="I8763">
        <f>IF(C8763="C99999",1,0)</f>
        <v/>
      </c>
      <c r="J8763" s="5">
        <f>IF(OR(H8763=1,I8763=1),0,IF(G8763="Credit",-F8763,F8763))</f>
        <v/>
      </c>
    </row>
    <row r="8764">
      <c r="A8764" t="inlineStr">
        <is>
          <t>2026-09-18</t>
        </is>
      </c>
      <c r="B8764" t="inlineStr">
        <is>
          <t>F264775</t>
        </is>
      </c>
      <c r="C8764" t="inlineStr">
        <is>
          <t>C10249</t>
        </is>
      </c>
      <c r="D8764" t="inlineStr">
        <is>
          <t>SKU-10329</t>
        </is>
      </c>
      <c r="E8764" t="inlineStr">
        <is>
          <t>AM05</t>
        </is>
      </c>
      <c r="F8764" s="5" t="n">
        <v>147.28</v>
      </c>
      <c r="G8764">
        <f>IF(LEFT(B8764,1)="C","Credit","Factuur")</f>
        <v/>
      </c>
      <c r="H8764">
        <f>IF(AND(B8764=B8763,D8764=D8763,A8764=A8763,F8764=F8763),1,0)</f>
        <v/>
      </c>
      <c r="I8764">
        <f>IF(C8764="C99999",1,0)</f>
        <v/>
      </c>
      <c r="J8764" s="5">
        <f>IF(OR(H8764=1,I8764=1),0,IF(G8764="Credit",-F8764,F8764))</f>
        <v/>
      </c>
    </row>
    <row r="8765">
      <c r="A8765" t="inlineStr">
        <is>
          <t>2026-09-18</t>
        </is>
      </c>
      <c r="B8765" t="inlineStr">
        <is>
          <t>F264893</t>
        </is>
      </c>
      <c r="C8765" t="inlineStr">
        <is>
          <t>C10254</t>
        </is>
      </c>
      <c r="D8765" t="inlineStr">
        <is>
          <t>SKU-10031</t>
        </is>
      </c>
      <c r="E8765" t="inlineStr">
        <is>
          <t>AM01</t>
        </is>
      </c>
      <c r="F8765" s="5" t="n">
        <v>52.51</v>
      </c>
      <c r="G8765">
        <f>IF(LEFT(B8765,1)="C","Credit","Factuur")</f>
        <v/>
      </c>
      <c r="H8765">
        <f>IF(AND(B8765=B8764,D8765=D8764,A8765=A8764,F8765=F8764),1,0)</f>
        <v/>
      </c>
      <c r="I8765">
        <f>IF(C8765="C99999",1,0)</f>
        <v/>
      </c>
      <c r="J8765" s="5">
        <f>IF(OR(H8765=1,I8765=1),0,IF(G8765="Credit",-F8765,F8765))</f>
        <v/>
      </c>
    </row>
    <row r="8766">
      <c r="A8766" t="inlineStr">
        <is>
          <t>2026-09-18</t>
        </is>
      </c>
      <c r="B8766" t="inlineStr">
        <is>
          <t>F264893</t>
        </is>
      </c>
      <c r="C8766" t="inlineStr">
        <is>
          <t>C10254</t>
        </is>
      </c>
      <c r="D8766" t="inlineStr">
        <is>
          <t>SKU-10048</t>
        </is>
      </c>
      <c r="E8766" t="inlineStr">
        <is>
          <t>AM01</t>
        </is>
      </c>
      <c r="F8766" s="5" t="n">
        <v>46.3</v>
      </c>
      <c r="G8766">
        <f>IF(LEFT(B8766,1)="C","Credit","Factuur")</f>
        <v/>
      </c>
      <c r="H8766">
        <f>IF(AND(B8766=B8765,D8766=D8765,A8766=A8765,F8766=F8765),1,0)</f>
        <v/>
      </c>
      <c r="I8766">
        <f>IF(C8766="C99999",1,0)</f>
        <v/>
      </c>
      <c r="J8766" s="5">
        <f>IF(OR(H8766=1,I8766=1),0,IF(G8766="Credit",-F8766,F8766))</f>
        <v/>
      </c>
    </row>
    <row r="8767">
      <c r="A8767" t="inlineStr">
        <is>
          <t>2026-09-18</t>
        </is>
      </c>
      <c r="B8767" t="inlineStr">
        <is>
          <t>F264893</t>
        </is>
      </c>
      <c r="C8767" t="inlineStr">
        <is>
          <t>C10254</t>
        </is>
      </c>
      <c r="D8767" t="inlineStr">
        <is>
          <t>SKU-10072</t>
        </is>
      </c>
      <c r="E8767" t="inlineStr">
        <is>
          <t>AM01</t>
        </is>
      </c>
      <c r="F8767" s="5" t="n">
        <v>52.23</v>
      </c>
      <c r="G8767">
        <f>IF(LEFT(B8767,1)="C","Credit","Factuur")</f>
        <v/>
      </c>
      <c r="H8767">
        <f>IF(AND(B8767=B8766,D8767=D8766,A8767=A8766,F8767=F8766),1,0)</f>
        <v/>
      </c>
      <c r="I8767">
        <f>IF(C8767="C99999",1,0)</f>
        <v/>
      </c>
      <c r="J8767" s="5">
        <f>IF(OR(H8767=1,I8767=1),0,IF(G8767="Credit",-F8767,F8767))</f>
        <v/>
      </c>
    </row>
    <row r="8768">
      <c r="A8768" t="inlineStr">
        <is>
          <t>2026-09-18</t>
        </is>
      </c>
      <c r="B8768" t="inlineStr">
        <is>
          <t>F264893</t>
        </is>
      </c>
      <c r="C8768" t="inlineStr">
        <is>
          <t>C10254</t>
        </is>
      </c>
      <c r="D8768" t="inlineStr">
        <is>
          <t>SKU-10103</t>
        </is>
      </c>
      <c r="E8768" t="inlineStr">
        <is>
          <t>AM01</t>
        </is>
      </c>
      <c r="F8768" s="5" t="n">
        <v>67.52</v>
      </c>
      <c r="G8768">
        <f>IF(LEFT(B8768,1)="C","Credit","Factuur")</f>
        <v/>
      </c>
      <c r="H8768">
        <f>IF(AND(B8768=B8767,D8768=D8767,A8768=A8767,F8768=F8767),1,0)</f>
        <v/>
      </c>
      <c r="I8768">
        <f>IF(C8768="C99999",1,0)</f>
        <v/>
      </c>
      <c r="J8768" s="5">
        <f>IF(OR(H8768=1,I8768=1),0,IF(G8768="Credit",-F8768,F8768))</f>
        <v/>
      </c>
    </row>
    <row r="8769">
      <c r="A8769" t="inlineStr">
        <is>
          <t>2026-09-18</t>
        </is>
      </c>
      <c r="B8769" t="inlineStr">
        <is>
          <t>F264893</t>
        </is>
      </c>
      <c r="C8769" t="inlineStr">
        <is>
          <t>C10254</t>
        </is>
      </c>
      <c r="D8769" t="inlineStr">
        <is>
          <t>SKU-10383</t>
        </is>
      </c>
      <c r="E8769" t="inlineStr">
        <is>
          <t>AM01</t>
        </is>
      </c>
      <c r="F8769" s="5" t="n">
        <v>58.31</v>
      </c>
      <c r="G8769">
        <f>IF(LEFT(B8769,1)="C","Credit","Factuur")</f>
        <v/>
      </c>
      <c r="H8769">
        <f>IF(AND(B8769=B8768,D8769=D8768,A8769=A8768,F8769=F8768),1,0)</f>
        <v/>
      </c>
      <c r="I8769">
        <f>IF(C8769="C99999",1,0)</f>
        <v/>
      </c>
      <c r="J8769" s="5">
        <f>IF(OR(H8769=1,I8769=1),0,IF(G8769="Credit",-F8769,F8769))</f>
        <v/>
      </c>
    </row>
    <row r="8770">
      <c r="A8770" t="inlineStr">
        <is>
          <t>2026-09-18</t>
        </is>
      </c>
      <c r="B8770" t="inlineStr">
        <is>
          <t>F264900</t>
        </is>
      </c>
      <c r="C8770" t="inlineStr">
        <is>
          <t>C10255</t>
        </is>
      </c>
      <c r="D8770" t="inlineStr">
        <is>
          <t>SKU-10086</t>
        </is>
      </c>
      <c r="E8770" t="inlineStr">
        <is>
          <t>AM08</t>
        </is>
      </c>
      <c r="F8770" s="5" t="n">
        <v>286.44</v>
      </c>
      <c r="G8770">
        <f>IF(LEFT(B8770,1)="C","Credit","Factuur")</f>
        <v/>
      </c>
      <c r="H8770">
        <f>IF(AND(B8770=B8769,D8770=D8769,A8770=A8769,F8770=F8769),1,0)</f>
        <v/>
      </c>
      <c r="I8770">
        <f>IF(C8770="C99999",1,0)</f>
        <v/>
      </c>
      <c r="J8770" s="5">
        <f>IF(OR(H8770=1,I8770=1),0,IF(G8770="Credit",-F8770,F8770))</f>
        <v/>
      </c>
    </row>
    <row r="8771">
      <c r="A8771" t="inlineStr">
        <is>
          <t>2026-09-18</t>
        </is>
      </c>
      <c r="B8771" t="inlineStr">
        <is>
          <t>F264900</t>
        </is>
      </c>
      <c r="C8771" t="inlineStr">
        <is>
          <t>C10255</t>
        </is>
      </c>
      <c r="D8771" t="inlineStr">
        <is>
          <t>SKU-10128</t>
        </is>
      </c>
      <c r="E8771" t="inlineStr">
        <is>
          <t>AM08</t>
        </is>
      </c>
      <c r="F8771" s="5" t="n">
        <v>271.4</v>
      </c>
      <c r="G8771">
        <f>IF(LEFT(B8771,1)="C","Credit","Factuur")</f>
        <v/>
      </c>
      <c r="H8771">
        <f>IF(AND(B8771=B8770,D8771=D8770,A8771=A8770,F8771=F8770),1,0)</f>
        <v/>
      </c>
      <c r="I8771">
        <f>IF(C8771="C99999",1,0)</f>
        <v/>
      </c>
      <c r="J8771" s="5">
        <f>IF(OR(H8771=1,I8771=1),0,IF(G8771="Credit",-F8771,F8771))</f>
        <v/>
      </c>
    </row>
    <row r="8772">
      <c r="A8772" t="inlineStr">
        <is>
          <t>2026-09-18</t>
        </is>
      </c>
      <c r="B8772" t="inlineStr">
        <is>
          <t>F264900</t>
        </is>
      </c>
      <c r="C8772" t="inlineStr">
        <is>
          <t>C10255</t>
        </is>
      </c>
      <c r="D8772" t="inlineStr">
        <is>
          <t>SKU-10215</t>
        </is>
      </c>
      <c r="E8772" t="inlineStr">
        <is>
          <t>AM08</t>
        </is>
      </c>
      <c r="F8772" s="5" t="n">
        <v>291.84</v>
      </c>
      <c r="G8772">
        <f>IF(LEFT(B8772,1)="C","Credit","Factuur")</f>
        <v/>
      </c>
      <c r="H8772">
        <f>IF(AND(B8772=B8771,D8772=D8771,A8772=A8771,F8772=F8771),1,0)</f>
        <v/>
      </c>
      <c r="I8772">
        <f>IF(C8772="C99999",1,0)</f>
        <v/>
      </c>
      <c r="J8772" s="5">
        <f>IF(OR(H8772=1,I8772=1),0,IF(G8772="Credit",-F8772,F8772))</f>
        <v/>
      </c>
    </row>
    <row r="8773">
      <c r="A8773" t="inlineStr">
        <is>
          <t>2026-09-18</t>
        </is>
      </c>
      <c r="B8773" t="inlineStr">
        <is>
          <t>F264900</t>
        </is>
      </c>
      <c r="C8773" t="inlineStr">
        <is>
          <t>C10255</t>
        </is>
      </c>
      <c r="D8773" t="inlineStr">
        <is>
          <t>SKU-10313</t>
        </is>
      </c>
      <c r="E8773" t="inlineStr">
        <is>
          <t>AM08</t>
        </is>
      </c>
      <c r="F8773" s="5" t="n">
        <v>277.31</v>
      </c>
      <c r="G8773">
        <f>IF(LEFT(B8773,1)="C","Credit","Factuur")</f>
        <v/>
      </c>
      <c r="H8773">
        <f>IF(AND(B8773=B8772,D8773=D8772,A8773=A8772,F8773=F8772),1,0)</f>
        <v/>
      </c>
      <c r="I8773">
        <f>IF(C8773="C99999",1,0)</f>
        <v/>
      </c>
      <c r="J8773" s="5">
        <f>IF(OR(H8773=1,I8773=1),0,IF(G8773="Credit",-F8773,F8773))</f>
        <v/>
      </c>
    </row>
    <row r="8774">
      <c r="A8774" t="inlineStr">
        <is>
          <t>2026-09-18</t>
        </is>
      </c>
      <c r="B8774" t="inlineStr">
        <is>
          <t>F264900</t>
        </is>
      </c>
      <c r="C8774" t="inlineStr">
        <is>
          <t>C10255</t>
        </is>
      </c>
      <c r="D8774" t="inlineStr">
        <is>
          <t>SKU-10331</t>
        </is>
      </c>
      <c r="E8774" t="inlineStr">
        <is>
          <t>AM08</t>
        </is>
      </c>
      <c r="F8774" s="5" t="n">
        <v>271.89</v>
      </c>
      <c r="G8774">
        <f>IF(LEFT(B8774,1)="C","Credit","Factuur")</f>
        <v/>
      </c>
      <c r="H8774">
        <f>IF(AND(B8774=B8773,D8774=D8773,A8774=A8773,F8774=F8773),1,0)</f>
        <v/>
      </c>
      <c r="I8774">
        <f>IF(C8774="C99999",1,0)</f>
        <v/>
      </c>
      <c r="J8774" s="5">
        <f>IF(OR(H8774=1,I8774=1),0,IF(G8774="Credit",-F8774,F8774))</f>
        <v/>
      </c>
    </row>
    <row r="8775">
      <c r="A8775" t="inlineStr">
        <is>
          <t>2026-09-18</t>
        </is>
      </c>
      <c r="B8775" t="inlineStr">
        <is>
          <t>F264900</t>
        </is>
      </c>
      <c r="C8775" t="inlineStr">
        <is>
          <t>C10255</t>
        </is>
      </c>
      <c r="D8775" t="inlineStr">
        <is>
          <t>SKU-10333</t>
        </is>
      </c>
      <c r="E8775" t="inlineStr">
        <is>
          <t>AM08</t>
        </is>
      </c>
      <c r="F8775" s="5" t="n">
        <v>294.03</v>
      </c>
      <c r="G8775">
        <f>IF(LEFT(B8775,1)="C","Credit","Factuur")</f>
        <v/>
      </c>
      <c r="H8775">
        <f>IF(AND(B8775=B8774,D8775=D8774,A8775=A8774,F8775=F8774),1,0)</f>
        <v/>
      </c>
      <c r="I8775">
        <f>IF(C8775="C99999",1,0)</f>
        <v/>
      </c>
      <c r="J8775" s="5">
        <f>IF(OR(H8775=1,I8775=1),0,IF(G8775="Credit",-F8775,F8775))</f>
        <v/>
      </c>
    </row>
    <row r="8776">
      <c r="A8776" t="inlineStr">
        <is>
          <t>2026-09-18</t>
        </is>
      </c>
      <c r="B8776" t="inlineStr">
        <is>
          <t>F265015</t>
        </is>
      </c>
      <c r="C8776" t="inlineStr">
        <is>
          <t>C10262</t>
        </is>
      </c>
      <c r="D8776" t="inlineStr">
        <is>
          <t>SKU-10007</t>
        </is>
      </c>
      <c r="E8776" t="inlineStr">
        <is>
          <t>AM06</t>
        </is>
      </c>
      <c r="F8776" s="5" t="n">
        <v>1182.75</v>
      </c>
      <c r="G8776">
        <f>IF(LEFT(B8776,1)="C","Credit","Factuur")</f>
        <v/>
      </c>
      <c r="H8776">
        <f>IF(AND(B8776=B8775,D8776=D8775,A8776=A8775,F8776=F8775),1,0)</f>
        <v/>
      </c>
      <c r="I8776">
        <f>IF(C8776="C99999",1,0)</f>
        <v/>
      </c>
      <c r="J8776" s="5">
        <f>IF(OR(H8776=1,I8776=1),0,IF(G8776="Credit",-F8776,F8776))</f>
        <v/>
      </c>
    </row>
    <row r="8777">
      <c r="A8777" t="inlineStr">
        <is>
          <t>2026-09-18</t>
        </is>
      </c>
      <c r="B8777" t="inlineStr">
        <is>
          <t>F265015</t>
        </is>
      </c>
      <c r="C8777" t="inlineStr">
        <is>
          <t>C10262</t>
        </is>
      </c>
      <c r="D8777" t="inlineStr">
        <is>
          <t>SKU-10306</t>
        </is>
      </c>
      <c r="E8777" t="inlineStr">
        <is>
          <t>AM06</t>
        </is>
      </c>
      <c r="F8777" s="5" t="n">
        <v>1051.11</v>
      </c>
      <c r="G8777">
        <f>IF(LEFT(B8777,1)="C","Credit","Factuur")</f>
        <v/>
      </c>
      <c r="H8777">
        <f>IF(AND(B8777=B8776,D8777=D8776,A8777=A8776,F8777=F8776),1,0)</f>
        <v/>
      </c>
      <c r="I8777">
        <f>IF(C8777="C99999",1,0)</f>
        <v/>
      </c>
      <c r="J8777" s="5">
        <f>IF(OR(H8777=1,I8777=1),0,IF(G8777="Credit",-F8777,F8777))</f>
        <v/>
      </c>
    </row>
    <row r="8778">
      <c r="A8778" t="inlineStr">
        <is>
          <t>2026-09-18</t>
        </is>
      </c>
      <c r="B8778" t="inlineStr">
        <is>
          <t>F265197</t>
        </is>
      </c>
      <c r="C8778" t="inlineStr">
        <is>
          <t>C10275</t>
        </is>
      </c>
      <c r="D8778" t="inlineStr">
        <is>
          <t>SKU-10178</t>
        </is>
      </c>
      <c r="E8778" t="inlineStr">
        <is>
          <t>AM05</t>
        </is>
      </c>
      <c r="F8778" s="5" t="n">
        <v>2486.46</v>
      </c>
      <c r="G8778">
        <f>IF(LEFT(B8778,1)="C","Credit","Factuur")</f>
        <v/>
      </c>
      <c r="H8778">
        <f>IF(AND(B8778=B8777,D8778=D8777,A8778=A8777,F8778=F8777),1,0)</f>
        <v/>
      </c>
      <c r="I8778">
        <f>IF(C8778="C99999",1,0)</f>
        <v/>
      </c>
      <c r="J8778" s="5">
        <f>IF(OR(H8778=1,I8778=1),0,IF(G8778="Credit",-F8778,F8778))</f>
        <v/>
      </c>
    </row>
    <row r="8779">
      <c r="A8779" t="inlineStr">
        <is>
          <t>2026-09-18</t>
        </is>
      </c>
      <c r="B8779" t="inlineStr">
        <is>
          <t>F265215</t>
        </is>
      </c>
      <c r="C8779" t="inlineStr">
        <is>
          <t>C10275</t>
        </is>
      </c>
      <c r="D8779" t="inlineStr">
        <is>
          <t>SKU-10125</t>
        </is>
      </c>
      <c r="E8779" t="inlineStr">
        <is>
          <t>AM05</t>
        </is>
      </c>
      <c r="F8779" s="5" t="n">
        <v>971.6799999999999</v>
      </c>
      <c r="G8779">
        <f>IF(LEFT(B8779,1)="C","Credit","Factuur")</f>
        <v/>
      </c>
      <c r="H8779">
        <f>IF(AND(B8779=B8778,D8779=D8778,A8779=A8778,F8779=F8778),1,0)</f>
        <v/>
      </c>
      <c r="I8779">
        <f>IF(C8779="C99999",1,0)</f>
        <v/>
      </c>
      <c r="J8779" s="5">
        <f>IF(OR(H8779=1,I8779=1),0,IF(G8779="Credit",-F8779,F8779))</f>
        <v/>
      </c>
    </row>
    <row r="8780">
      <c r="A8780" t="inlineStr">
        <is>
          <t>2026-09-18</t>
        </is>
      </c>
      <c r="B8780" t="inlineStr">
        <is>
          <t>F265215</t>
        </is>
      </c>
      <c r="C8780" t="inlineStr">
        <is>
          <t>C10275</t>
        </is>
      </c>
      <c r="D8780" t="inlineStr">
        <is>
          <t>SKU-10305</t>
        </is>
      </c>
      <c r="E8780" t="inlineStr">
        <is>
          <t>AM05</t>
        </is>
      </c>
      <c r="F8780" s="5" t="n">
        <v>982.5</v>
      </c>
      <c r="G8780">
        <f>IF(LEFT(B8780,1)="C","Credit","Factuur")</f>
        <v/>
      </c>
      <c r="H8780">
        <f>IF(AND(B8780=B8779,D8780=D8779,A8780=A8779,F8780=F8779),1,0)</f>
        <v/>
      </c>
      <c r="I8780">
        <f>IF(C8780="C99999",1,0)</f>
        <v/>
      </c>
      <c r="J8780" s="5">
        <f>IF(OR(H8780=1,I8780=1),0,IF(G8780="Credit",-F8780,F8780))</f>
        <v/>
      </c>
    </row>
    <row r="8781">
      <c r="A8781" t="inlineStr">
        <is>
          <t>2026-09-18</t>
        </is>
      </c>
      <c r="B8781" t="inlineStr">
        <is>
          <t>F265530</t>
        </is>
      </c>
      <c r="C8781" t="inlineStr">
        <is>
          <t>C10291</t>
        </is>
      </c>
      <c r="D8781" t="inlineStr">
        <is>
          <t>SKU-10158</t>
        </is>
      </c>
      <c r="E8781" t="inlineStr">
        <is>
          <t>AM02</t>
        </is>
      </c>
      <c r="F8781" s="5" t="n">
        <v>85.97</v>
      </c>
      <c r="G8781">
        <f>IF(LEFT(B8781,1)="C","Credit","Factuur")</f>
        <v/>
      </c>
      <c r="H8781">
        <f>IF(AND(B8781=B8780,D8781=D8780,A8781=A8780,F8781=F8780),1,0)</f>
        <v/>
      </c>
      <c r="I8781">
        <f>IF(C8781="C99999",1,0)</f>
        <v/>
      </c>
      <c r="J8781" s="5">
        <f>IF(OR(H8781=1,I8781=1),0,IF(G8781="Credit",-F8781,F8781))</f>
        <v/>
      </c>
    </row>
    <row r="8782">
      <c r="A8782" t="inlineStr">
        <is>
          <t>2026-09-18</t>
        </is>
      </c>
      <c r="B8782" t="inlineStr">
        <is>
          <t>F265530</t>
        </is>
      </c>
      <c r="C8782" t="inlineStr">
        <is>
          <t>C10291</t>
        </is>
      </c>
      <c r="D8782" t="inlineStr">
        <is>
          <t>SKU-10269</t>
        </is>
      </c>
      <c r="E8782" t="inlineStr">
        <is>
          <t>AM02</t>
        </is>
      </c>
      <c r="F8782" s="5" t="n">
        <v>86.58</v>
      </c>
      <c r="G8782">
        <f>IF(LEFT(B8782,1)="C","Credit","Factuur")</f>
        <v/>
      </c>
      <c r="H8782">
        <f>IF(AND(B8782=B8781,D8782=D8781,A8782=A8781,F8782=F8781),1,0)</f>
        <v/>
      </c>
      <c r="I8782">
        <f>IF(C8782="C99999",1,0)</f>
        <v/>
      </c>
      <c r="J8782" s="5">
        <f>IF(OR(H8782=1,I8782=1),0,IF(G8782="Credit",-F8782,F8782))</f>
        <v/>
      </c>
    </row>
    <row r="8783">
      <c r="A8783" t="inlineStr">
        <is>
          <t>2026-09-18</t>
        </is>
      </c>
      <c r="B8783" t="inlineStr">
        <is>
          <t>F265530</t>
        </is>
      </c>
      <c r="C8783" t="inlineStr">
        <is>
          <t>C10291</t>
        </is>
      </c>
      <c r="D8783" t="inlineStr">
        <is>
          <t>SKU-10282</t>
        </is>
      </c>
      <c r="E8783" t="inlineStr">
        <is>
          <t>AM02</t>
        </is>
      </c>
      <c r="F8783" s="5" t="n">
        <v>82.45999999999999</v>
      </c>
      <c r="G8783">
        <f>IF(LEFT(B8783,1)="C","Credit","Factuur")</f>
        <v/>
      </c>
      <c r="H8783">
        <f>IF(AND(B8783=B8782,D8783=D8782,A8783=A8782,F8783=F8782),1,0)</f>
        <v/>
      </c>
      <c r="I8783">
        <f>IF(C8783="C99999",1,0)</f>
        <v/>
      </c>
      <c r="J8783" s="5">
        <f>IF(OR(H8783=1,I8783=1),0,IF(G8783="Credit",-F8783,F8783))</f>
        <v/>
      </c>
    </row>
    <row r="8784">
      <c r="A8784" t="inlineStr">
        <is>
          <t>2026-09-18</t>
        </is>
      </c>
      <c r="B8784" t="inlineStr">
        <is>
          <t>F265551</t>
        </is>
      </c>
      <c r="C8784" t="inlineStr">
        <is>
          <t>C10292</t>
        </is>
      </c>
      <c r="D8784" t="inlineStr">
        <is>
          <t>SKU-10169</t>
        </is>
      </c>
      <c r="E8784" t="inlineStr">
        <is>
          <t>AM05</t>
        </is>
      </c>
      <c r="F8784" s="5" t="n">
        <v>732.92</v>
      </c>
      <c r="G8784">
        <f>IF(LEFT(B8784,1)="C","Credit","Factuur")</f>
        <v/>
      </c>
      <c r="H8784">
        <f>IF(AND(B8784=B8783,D8784=D8783,A8784=A8783,F8784=F8783),1,0)</f>
        <v/>
      </c>
      <c r="I8784">
        <f>IF(C8784="C99999",1,0)</f>
        <v/>
      </c>
      <c r="J8784" s="5">
        <f>IF(OR(H8784=1,I8784=1),0,IF(G8784="Credit",-F8784,F8784))</f>
        <v/>
      </c>
    </row>
    <row r="8785">
      <c r="A8785" t="inlineStr">
        <is>
          <t>2026-09-18</t>
        </is>
      </c>
      <c r="B8785" t="inlineStr">
        <is>
          <t>F265766</t>
        </is>
      </c>
      <c r="C8785" t="inlineStr">
        <is>
          <t>C10301</t>
        </is>
      </c>
      <c r="D8785" t="inlineStr">
        <is>
          <t>SKU-10039</t>
        </is>
      </c>
      <c r="E8785" t="inlineStr">
        <is>
          <t>AM08</t>
        </is>
      </c>
      <c r="F8785" s="5" t="n">
        <v>713.46</v>
      </c>
      <c r="G8785">
        <f>IF(LEFT(B8785,1)="C","Credit","Factuur")</f>
        <v/>
      </c>
      <c r="H8785">
        <f>IF(AND(B8785=B8784,D8785=D8784,A8785=A8784,F8785=F8784),1,0)</f>
        <v/>
      </c>
      <c r="I8785">
        <f>IF(C8785="C99999",1,0)</f>
        <v/>
      </c>
      <c r="J8785" s="5">
        <f>IF(OR(H8785=1,I8785=1),0,IF(G8785="Credit",-F8785,F8785))</f>
        <v/>
      </c>
    </row>
    <row r="8786">
      <c r="A8786" t="inlineStr">
        <is>
          <t>2026-09-18</t>
        </is>
      </c>
      <c r="B8786" t="inlineStr">
        <is>
          <t>F265895</t>
        </is>
      </c>
      <c r="C8786" t="inlineStr">
        <is>
          <t>C10310</t>
        </is>
      </c>
      <c r="D8786" t="inlineStr">
        <is>
          <t>SKU-10338</t>
        </is>
      </c>
      <c r="E8786" t="inlineStr">
        <is>
          <t>AM02</t>
        </is>
      </c>
      <c r="F8786" s="5" t="n">
        <v>875.8200000000001</v>
      </c>
      <c r="G8786">
        <f>IF(LEFT(B8786,1)="C","Credit","Factuur")</f>
        <v/>
      </c>
      <c r="H8786">
        <f>IF(AND(B8786=B8785,D8786=D8785,A8786=A8785,F8786=F8785),1,0)</f>
        <v/>
      </c>
      <c r="I8786">
        <f>IF(C8786="C99999",1,0)</f>
        <v/>
      </c>
      <c r="J8786" s="5">
        <f>IF(OR(H8786=1,I8786=1),0,IF(G8786="Credit",-F8786,F8786))</f>
        <v/>
      </c>
    </row>
    <row r="8787">
      <c r="A8787" t="inlineStr">
        <is>
          <t>2026-09-18</t>
        </is>
      </c>
      <c r="B8787" t="inlineStr">
        <is>
          <t>F265895</t>
        </is>
      </c>
      <c r="C8787" t="inlineStr">
        <is>
          <t>C10310</t>
        </is>
      </c>
      <c r="D8787" t="inlineStr">
        <is>
          <t>SKU-10349</t>
        </is>
      </c>
      <c r="E8787" t="inlineStr">
        <is>
          <t>AM02</t>
        </is>
      </c>
      <c r="F8787" s="5" t="n">
        <v>831.48</v>
      </c>
      <c r="G8787">
        <f>IF(LEFT(B8787,1)="C","Credit","Factuur")</f>
        <v/>
      </c>
      <c r="H8787">
        <f>IF(AND(B8787=B8786,D8787=D8786,A8787=A8786,F8787=F8786),1,0)</f>
        <v/>
      </c>
      <c r="I8787">
        <f>IF(C8787="C99999",1,0)</f>
        <v/>
      </c>
      <c r="J8787" s="5">
        <f>IF(OR(H8787=1,I8787=1),0,IF(G8787="Credit",-F8787,F8787))</f>
        <v/>
      </c>
    </row>
    <row r="8788">
      <c r="A8788" t="inlineStr">
        <is>
          <t>2026-09-18</t>
        </is>
      </c>
      <c r="B8788" t="inlineStr">
        <is>
          <t>F266233</t>
        </is>
      </c>
      <c r="C8788" t="inlineStr">
        <is>
          <t>C10326</t>
        </is>
      </c>
      <c r="D8788" t="inlineStr">
        <is>
          <t>SKU-10024</t>
        </is>
      </c>
      <c r="E8788" t="inlineStr">
        <is>
          <t>AM05</t>
        </is>
      </c>
      <c r="F8788" s="5" t="n">
        <v>217.44</v>
      </c>
      <c r="G8788">
        <f>IF(LEFT(B8788,1)="C","Credit","Factuur")</f>
        <v/>
      </c>
      <c r="H8788">
        <f>IF(AND(B8788=B8787,D8788=D8787,A8788=A8787,F8788=F8787),1,0)</f>
        <v/>
      </c>
      <c r="I8788">
        <f>IF(C8788="C99999",1,0)</f>
        <v/>
      </c>
      <c r="J8788" s="5">
        <f>IF(OR(H8788=1,I8788=1),0,IF(G8788="Credit",-F8788,F8788))</f>
        <v/>
      </c>
    </row>
    <row r="8789">
      <c r="A8789" t="inlineStr">
        <is>
          <t>2026-09-18</t>
        </is>
      </c>
      <c r="B8789" t="inlineStr">
        <is>
          <t>F266233</t>
        </is>
      </c>
      <c r="C8789" t="inlineStr">
        <is>
          <t>C10326</t>
        </is>
      </c>
      <c r="D8789" t="inlineStr">
        <is>
          <t>SKU-10235</t>
        </is>
      </c>
      <c r="E8789" t="inlineStr">
        <is>
          <t>AM05</t>
        </is>
      </c>
      <c r="F8789" s="5" t="n">
        <v>214.24</v>
      </c>
      <c r="G8789">
        <f>IF(LEFT(B8789,1)="C","Credit","Factuur")</f>
        <v/>
      </c>
      <c r="H8789">
        <f>IF(AND(B8789=B8788,D8789=D8788,A8789=A8788,F8789=F8788),1,0)</f>
        <v/>
      </c>
      <c r="I8789">
        <f>IF(C8789="C99999",1,0)</f>
        <v/>
      </c>
      <c r="J8789" s="5">
        <f>IF(OR(H8789=1,I8789=1),0,IF(G8789="Credit",-F8789,F8789))</f>
        <v/>
      </c>
    </row>
    <row r="8790">
      <c r="A8790" t="inlineStr">
        <is>
          <t>2026-09-18</t>
        </is>
      </c>
      <c r="B8790" t="inlineStr">
        <is>
          <t>F266233</t>
        </is>
      </c>
      <c r="C8790" t="inlineStr">
        <is>
          <t>C10326</t>
        </is>
      </c>
      <c r="D8790" t="inlineStr">
        <is>
          <t>SKU-10285</t>
        </is>
      </c>
      <c r="E8790" t="inlineStr">
        <is>
          <t>AM05</t>
        </is>
      </c>
      <c r="F8790" s="5" t="n">
        <v>210.54</v>
      </c>
      <c r="G8790">
        <f>IF(LEFT(B8790,1)="C","Credit","Factuur")</f>
        <v/>
      </c>
      <c r="H8790">
        <f>IF(AND(B8790=B8789,D8790=D8789,A8790=A8789,F8790=F8789),1,0)</f>
        <v/>
      </c>
      <c r="I8790">
        <f>IF(C8790="C99999",1,0)</f>
        <v/>
      </c>
      <c r="J8790" s="5">
        <f>IF(OR(H8790=1,I8790=1),0,IF(G8790="Credit",-F8790,F8790))</f>
        <v/>
      </c>
    </row>
    <row r="8791">
      <c r="A8791" t="inlineStr">
        <is>
          <t>2026-09-18</t>
        </is>
      </c>
      <c r="B8791" t="inlineStr">
        <is>
          <t>F266233</t>
        </is>
      </c>
      <c r="C8791" t="inlineStr">
        <is>
          <t>C10326</t>
        </is>
      </c>
      <c r="D8791" t="inlineStr">
        <is>
          <t>SKU-10303</t>
        </is>
      </c>
      <c r="E8791" t="inlineStr">
        <is>
          <t>AM05</t>
        </is>
      </c>
      <c r="F8791" s="5" t="n">
        <v>193.22</v>
      </c>
      <c r="G8791">
        <f>IF(LEFT(B8791,1)="C","Credit","Factuur")</f>
        <v/>
      </c>
      <c r="H8791">
        <f>IF(AND(B8791=B8790,D8791=D8790,A8791=A8790,F8791=F8790),1,0)</f>
        <v/>
      </c>
      <c r="I8791">
        <f>IF(C8791="C99999",1,0)</f>
        <v/>
      </c>
      <c r="J8791" s="5">
        <f>IF(OR(H8791=1,I8791=1),0,IF(G8791="Credit",-F8791,F8791))</f>
        <v/>
      </c>
    </row>
    <row r="8792">
      <c r="A8792" t="inlineStr">
        <is>
          <t>2026-09-18</t>
        </is>
      </c>
      <c r="B8792" t="inlineStr">
        <is>
          <t>F266233</t>
        </is>
      </c>
      <c r="C8792" t="inlineStr">
        <is>
          <t>C10326</t>
        </is>
      </c>
      <c r="D8792" t="inlineStr">
        <is>
          <t>SKU-10339</t>
        </is>
      </c>
      <c r="E8792" t="inlineStr">
        <is>
          <t>AM05</t>
        </is>
      </c>
      <c r="F8792" s="5" t="n">
        <v>210.7</v>
      </c>
      <c r="G8792">
        <f>IF(LEFT(B8792,1)="C","Credit","Factuur")</f>
        <v/>
      </c>
      <c r="H8792">
        <f>IF(AND(B8792=B8791,D8792=D8791,A8792=A8791,F8792=F8791),1,0)</f>
        <v/>
      </c>
      <c r="I8792">
        <f>IF(C8792="C99999",1,0)</f>
        <v/>
      </c>
      <c r="J8792" s="5">
        <f>IF(OR(H8792=1,I8792=1),0,IF(G8792="Credit",-F8792,F8792))</f>
        <v/>
      </c>
    </row>
    <row r="8793">
      <c r="A8793" t="inlineStr">
        <is>
          <t>2026-09-18</t>
        </is>
      </c>
      <c r="B8793" t="inlineStr">
        <is>
          <t>F266271</t>
        </is>
      </c>
      <c r="C8793" t="inlineStr">
        <is>
          <t>C10329</t>
        </is>
      </c>
      <c r="D8793" t="inlineStr">
        <is>
          <t>SKU-10142</t>
        </is>
      </c>
      <c r="E8793" t="inlineStr">
        <is>
          <t>AM08</t>
        </is>
      </c>
      <c r="F8793" s="5" t="n">
        <v>869.52</v>
      </c>
      <c r="G8793">
        <f>IF(LEFT(B8793,1)="C","Credit","Factuur")</f>
        <v/>
      </c>
      <c r="H8793">
        <f>IF(AND(B8793=B8792,D8793=D8792,A8793=A8792,F8793=F8792),1,0)</f>
        <v/>
      </c>
      <c r="I8793">
        <f>IF(C8793="C99999",1,0)</f>
        <v/>
      </c>
      <c r="J8793" s="5">
        <f>IF(OR(H8793=1,I8793=1),0,IF(G8793="Credit",-F8793,F8793))</f>
        <v/>
      </c>
    </row>
    <row r="8794">
      <c r="A8794" t="inlineStr">
        <is>
          <t>2026-09-18</t>
        </is>
      </c>
      <c r="B8794" t="inlineStr">
        <is>
          <t>F266271</t>
        </is>
      </c>
      <c r="C8794" t="inlineStr">
        <is>
          <t>C10329</t>
        </is>
      </c>
      <c r="D8794" t="inlineStr">
        <is>
          <t>SKU-10192</t>
        </is>
      </c>
      <c r="E8794" t="inlineStr">
        <is>
          <t>AM08</t>
        </is>
      </c>
      <c r="F8794" s="5" t="n">
        <v>849.6</v>
      </c>
      <c r="G8794">
        <f>IF(LEFT(B8794,1)="C","Credit","Factuur")</f>
        <v/>
      </c>
      <c r="H8794">
        <f>IF(AND(B8794=B8793,D8794=D8793,A8794=A8793,F8794=F8793),1,0)</f>
        <v/>
      </c>
      <c r="I8794">
        <f>IF(C8794="C99999",1,0)</f>
        <v/>
      </c>
      <c r="J8794" s="5">
        <f>IF(OR(H8794=1,I8794=1),0,IF(G8794="Credit",-F8794,F8794))</f>
        <v/>
      </c>
    </row>
    <row r="8795">
      <c r="A8795" t="inlineStr">
        <is>
          <t>2026-09-18</t>
        </is>
      </c>
      <c r="B8795" t="inlineStr">
        <is>
          <t>F266474</t>
        </is>
      </c>
      <c r="C8795" t="inlineStr">
        <is>
          <t>C10341</t>
        </is>
      </c>
      <c r="D8795" t="inlineStr">
        <is>
          <t>SKU-10296</t>
        </is>
      </c>
      <c r="E8795" t="inlineStr">
        <is>
          <t>AM12</t>
        </is>
      </c>
      <c r="F8795" s="5" t="n">
        <v>175.7</v>
      </c>
      <c r="G8795">
        <f>IF(LEFT(B8795,1)="C","Credit","Factuur")</f>
        <v/>
      </c>
      <c r="H8795">
        <f>IF(AND(B8795=B8794,D8795=D8794,A8795=A8794,F8795=F8794),1,0)</f>
        <v/>
      </c>
      <c r="I8795">
        <f>IF(C8795="C99999",1,0)</f>
        <v/>
      </c>
      <c r="J8795" s="5">
        <f>IF(OR(H8795=1,I8795=1),0,IF(G8795="Credit",-F8795,F8795))</f>
        <v/>
      </c>
    </row>
    <row r="8796">
      <c r="A8796" t="inlineStr">
        <is>
          <t>2026-09-18</t>
        </is>
      </c>
      <c r="B8796" t="inlineStr">
        <is>
          <t>F266474</t>
        </is>
      </c>
      <c r="C8796" t="inlineStr">
        <is>
          <t>C10341</t>
        </is>
      </c>
      <c r="D8796" t="inlineStr">
        <is>
          <t>SKU-10321</t>
        </is>
      </c>
      <c r="E8796" t="inlineStr">
        <is>
          <t>AM12</t>
        </is>
      </c>
      <c r="F8796" s="5" t="n">
        <v>195.24</v>
      </c>
      <c r="G8796">
        <f>IF(LEFT(B8796,1)="C","Credit","Factuur")</f>
        <v/>
      </c>
      <c r="H8796">
        <f>IF(AND(B8796=B8795,D8796=D8795,A8796=A8795,F8796=F8795),1,0)</f>
        <v/>
      </c>
      <c r="I8796">
        <f>IF(C8796="C99999",1,0)</f>
        <v/>
      </c>
      <c r="J8796" s="5">
        <f>IF(OR(H8796=1,I8796=1),0,IF(G8796="Credit",-F8796,F8796))</f>
        <v/>
      </c>
    </row>
    <row r="8797">
      <c r="A8797" t="inlineStr">
        <is>
          <t>2026-09-18</t>
        </is>
      </c>
      <c r="B8797" t="inlineStr">
        <is>
          <t>F266474</t>
        </is>
      </c>
      <c r="C8797" t="inlineStr">
        <is>
          <t>C10341</t>
        </is>
      </c>
      <c r="D8797" t="inlineStr">
        <is>
          <t>SKU-10342</t>
        </is>
      </c>
      <c r="E8797" t="inlineStr">
        <is>
          <t>AM12</t>
        </is>
      </c>
      <c r="F8797" s="5" t="n">
        <v>186.34</v>
      </c>
      <c r="G8797">
        <f>IF(LEFT(B8797,1)="C","Credit","Factuur")</f>
        <v/>
      </c>
      <c r="H8797">
        <f>IF(AND(B8797=B8796,D8797=D8796,A8797=A8796,F8797=F8796),1,0)</f>
        <v/>
      </c>
      <c r="I8797">
        <f>IF(C8797="C99999",1,0)</f>
        <v/>
      </c>
      <c r="J8797" s="5">
        <f>IF(OR(H8797=1,I8797=1),0,IF(G8797="Credit",-F8797,F8797))</f>
        <v/>
      </c>
    </row>
    <row r="8798">
      <c r="A8798" t="inlineStr">
        <is>
          <t>2026-09-18</t>
        </is>
      </c>
      <c r="B8798" t="inlineStr">
        <is>
          <t>F266548</t>
        </is>
      </c>
      <c r="C8798" t="inlineStr">
        <is>
          <t>C10345</t>
        </is>
      </c>
      <c r="D8798" t="inlineStr">
        <is>
          <t>SKU-10069</t>
        </is>
      </c>
      <c r="E8798" t="inlineStr">
        <is>
          <t>AM11</t>
        </is>
      </c>
      <c r="F8798" s="5" t="n">
        <v>2391.13</v>
      </c>
      <c r="G8798">
        <f>IF(LEFT(B8798,1)="C","Credit","Factuur")</f>
        <v/>
      </c>
      <c r="H8798">
        <f>IF(AND(B8798=B8797,D8798=D8797,A8798=A8797,F8798=F8797),1,0)</f>
        <v/>
      </c>
      <c r="I8798">
        <f>IF(C8798="C99999",1,0)</f>
        <v/>
      </c>
      <c r="J8798" s="5">
        <f>IF(OR(H8798=1,I8798=1),0,IF(G8798="Credit",-F8798,F8798))</f>
        <v/>
      </c>
    </row>
    <row r="8799">
      <c r="A8799" t="inlineStr">
        <is>
          <t>2026-09-18</t>
        </is>
      </c>
      <c r="B8799" t="inlineStr">
        <is>
          <t>F266571</t>
        </is>
      </c>
      <c r="C8799" t="inlineStr">
        <is>
          <t>C10345</t>
        </is>
      </c>
      <c r="D8799" t="inlineStr">
        <is>
          <t>SKU-10001</t>
        </is>
      </c>
      <c r="E8799" t="inlineStr">
        <is>
          <t>AM11</t>
        </is>
      </c>
      <c r="F8799" s="5" t="n">
        <v>5483.53</v>
      </c>
      <c r="G8799">
        <f>IF(LEFT(B8799,1)="C","Credit","Factuur")</f>
        <v/>
      </c>
      <c r="H8799">
        <f>IF(AND(B8799=B8798,D8799=D8798,A8799=A8798,F8799=F8798),1,0)</f>
        <v/>
      </c>
      <c r="I8799">
        <f>IF(C8799="C99999",1,0)</f>
        <v/>
      </c>
      <c r="J8799" s="5">
        <f>IF(OR(H8799=1,I8799=1),0,IF(G8799="Credit",-F8799,F8799))</f>
        <v/>
      </c>
    </row>
    <row r="8800">
      <c r="A8800" t="inlineStr">
        <is>
          <t>2026-09-18</t>
        </is>
      </c>
      <c r="B8800" t="inlineStr">
        <is>
          <t>F266586</t>
        </is>
      </c>
      <c r="C8800" t="inlineStr">
        <is>
          <t>C10346</t>
        </is>
      </c>
      <c r="D8800" t="inlineStr">
        <is>
          <t>SKU-10299</t>
        </is>
      </c>
      <c r="E8800" t="inlineStr">
        <is>
          <t>AM12</t>
        </is>
      </c>
      <c r="F8800" s="5" t="n">
        <v>1129.2</v>
      </c>
      <c r="G8800">
        <f>IF(LEFT(B8800,1)="C","Credit","Factuur")</f>
        <v/>
      </c>
      <c r="H8800">
        <f>IF(AND(B8800=B8799,D8800=D8799,A8800=A8799,F8800=F8799),1,0)</f>
        <v/>
      </c>
      <c r="I8800">
        <f>IF(C8800="C99999",1,0)</f>
        <v/>
      </c>
      <c r="J8800" s="5">
        <f>IF(OR(H8800=1,I8800=1),0,IF(G8800="Credit",-F8800,F8800))</f>
        <v/>
      </c>
    </row>
    <row r="8801">
      <c r="A8801" t="inlineStr">
        <is>
          <t>2026-09-18</t>
        </is>
      </c>
      <c r="B8801" t="inlineStr">
        <is>
          <t>F266655</t>
        </is>
      </c>
      <c r="C8801" t="inlineStr">
        <is>
          <t>C10351</t>
        </is>
      </c>
      <c r="D8801" t="inlineStr">
        <is>
          <t>SKU-10121</t>
        </is>
      </c>
      <c r="E8801" t="inlineStr">
        <is>
          <t>AM07</t>
        </is>
      </c>
      <c r="F8801" s="5" t="n">
        <v>308.42</v>
      </c>
      <c r="G8801">
        <f>IF(LEFT(B8801,1)="C","Credit","Factuur")</f>
        <v/>
      </c>
      <c r="H8801">
        <f>IF(AND(B8801=B8800,D8801=D8800,A8801=A8800,F8801=F8800),1,0)</f>
        <v/>
      </c>
      <c r="I8801">
        <f>IF(C8801="C99999",1,0)</f>
        <v/>
      </c>
      <c r="J8801" s="5">
        <f>IF(OR(H8801=1,I8801=1),0,IF(G8801="Credit",-F8801,F8801))</f>
        <v/>
      </c>
    </row>
    <row r="8802">
      <c r="A8802" t="inlineStr">
        <is>
          <t>2026-09-18</t>
        </is>
      </c>
      <c r="B8802" t="inlineStr">
        <is>
          <t>F266655</t>
        </is>
      </c>
      <c r="C8802" t="inlineStr">
        <is>
          <t>C10351</t>
        </is>
      </c>
      <c r="D8802" t="inlineStr">
        <is>
          <t>SKU-10270</t>
        </is>
      </c>
      <c r="E8802" t="inlineStr">
        <is>
          <t>AM07</t>
        </is>
      </c>
      <c r="F8802" s="5" t="n">
        <v>335.42</v>
      </c>
      <c r="G8802">
        <f>IF(LEFT(B8802,1)="C","Credit","Factuur")</f>
        <v/>
      </c>
      <c r="H8802">
        <f>IF(AND(B8802=B8801,D8802=D8801,A8802=A8801,F8802=F8801),1,0)</f>
        <v/>
      </c>
      <c r="I8802">
        <f>IF(C8802="C99999",1,0)</f>
        <v/>
      </c>
      <c r="J8802" s="5">
        <f>IF(OR(H8802=1,I8802=1),0,IF(G8802="Credit",-F8802,F8802))</f>
        <v/>
      </c>
    </row>
    <row r="8803">
      <c r="A8803" t="inlineStr">
        <is>
          <t>2026-09-18</t>
        </is>
      </c>
      <c r="B8803" t="inlineStr">
        <is>
          <t>F266842</t>
        </is>
      </c>
      <c r="C8803" t="inlineStr">
        <is>
          <t>C10360</t>
        </is>
      </c>
      <c r="D8803" t="inlineStr">
        <is>
          <t>SKU-10306</t>
        </is>
      </c>
      <c r="E8803" t="inlineStr">
        <is>
          <t>AM05</t>
        </is>
      </c>
      <c r="F8803" s="5" t="n">
        <v>1200.18</v>
      </c>
      <c r="G8803">
        <f>IF(LEFT(B8803,1)="C","Credit","Factuur")</f>
        <v/>
      </c>
      <c r="H8803">
        <f>IF(AND(B8803=B8802,D8803=D8802,A8803=A8802,F8803=F8802),1,0)</f>
        <v/>
      </c>
      <c r="I8803">
        <f>IF(C8803="C99999",1,0)</f>
        <v/>
      </c>
      <c r="J8803" s="5">
        <f>IF(OR(H8803=1,I8803=1),0,IF(G8803="Credit",-F8803,F8803))</f>
        <v/>
      </c>
    </row>
    <row r="8804">
      <c r="A8804" t="inlineStr">
        <is>
          <t>2026-09-18</t>
        </is>
      </c>
      <c r="B8804" t="inlineStr">
        <is>
          <t>F267420</t>
        </is>
      </c>
      <c r="C8804" t="inlineStr">
        <is>
          <t>C10392</t>
        </is>
      </c>
      <c r="D8804" t="inlineStr">
        <is>
          <t>SKU-10012</t>
        </is>
      </c>
      <c r="E8804" t="inlineStr">
        <is>
          <t>AM02</t>
        </is>
      </c>
      <c r="F8804" s="5" t="n">
        <v>308.89</v>
      </c>
      <c r="G8804">
        <f>IF(LEFT(B8804,1)="C","Credit","Factuur")</f>
        <v/>
      </c>
      <c r="H8804">
        <f>IF(AND(B8804=B8803,D8804=D8803,A8804=A8803,F8804=F8803),1,0)</f>
        <v/>
      </c>
      <c r="I8804">
        <f>IF(C8804="C99999",1,0)</f>
        <v/>
      </c>
      <c r="J8804" s="5">
        <f>IF(OR(H8804=1,I8804=1),0,IF(G8804="Credit",-F8804,F8804))</f>
        <v/>
      </c>
    </row>
    <row r="8805">
      <c r="A8805" t="inlineStr">
        <is>
          <t>2026-09-18</t>
        </is>
      </c>
      <c r="B8805" t="inlineStr">
        <is>
          <t>F267420</t>
        </is>
      </c>
      <c r="C8805" t="inlineStr">
        <is>
          <t>C10392</t>
        </is>
      </c>
      <c r="D8805" t="inlineStr">
        <is>
          <t>SKU-10244</t>
        </is>
      </c>
      <c r="E8805" t="inlineStr">
        <is>
          <t>AM02</t>
        </is>
      </c>
      <c r="F8805" s="5" t="n">
        <v>335.16</v>
      </c>
      <c r="G8805">
        <f>IF(LEFT(B8805,1)="C","Credit","Factuur")</f>
        <v/>
      </c>
      <c r="H8805">
        <f>IF(AND(B8805=B8804,D8805=D8804,A8805=A8804,F8805=F8804),1,0)</f>
        <v/>
      </c>
      <c r="I8805">
        <f>IF(C8805="C99999",1,0)</f>
        <v/>
      </c>
      <c r="J8805" s="5">
        <f>IF(OR(H8805=1,I8805=1),0,IF(G8805="Credit",-F8805,F8805))</f>
        <v/>
      </c>
    </row>
    <row r="8806">
      <c r="A8806" t="inlineStr">
        <is>
          <t>2026-09-18</t>
        </is>
      </c>
      <c r="B8806" t="inlineStr">
        <is>
          <t>F267420</t>
        </is>
      </c>
      <c r="C8806" t="inlineStr">
        <is>
          <t>C10392</t>
        </is>
      </c>
      <c r="D8806" t="inlineStr">
        <is>
          <t>SKU-10254</t>
        </is>
      </c>
      <c r="E8806" t="inlineStr">
        <is>
          <t>AM02</t>
        </is>
      </c>
      <c r="F8806" s="5" t="n">
        <v>285.18</v>
      </c>
      <c r="G8806">
        <f>IF(LEFT(B8806,1)="C","Credit","Factuur")</f>
        <v/>
      </c>
      <c r="H8806">
        <f>IF(AND(B8806=B8805,D8806=D8805,A8806=A8805,F8806=F8805),1,0)</f>
        <v/>
      </c>
      <c r="I8806">
        <f>IF(C8806="C99999",1,0)</f>
        <v/>
      </c>
      <c r="J8806" s="5">
        <f>IF(OR(H8806=1,I8806=1),0,IF(G8806="Credit",-F8806,F8806))</f>
        <v/>
      </c>
    </row>
    <row r="8807">
      <c r="A8807" t="inlineStr">
        <is>
          <t>2026-09-18</t>
        </is>
      </c>
      <c r="B8807" t="inlineStr">
        <is>
          <t>F267420</t>
        </is>
      </c>
      <c r="C8807" t="inlineStr">
        <is>
          <t>C10392</t>
        </is>
      </c>
      <c r="D8807" t="inlineStr">
        <is>
          <t>SKU-10314</t>
        </is>
      </c>
      <c r="E8807" t="inlineStr">
        <is>
          <t>AM02</t>
        </is>
      </c>
      <c r="F8807" s="5" t="n">
        <v>289.88</v>
      </c>
      <c r="G8807">
        <f>IF(LEFT(B8807,1)="C","Credit","Factuur")</f>
        <v/>
      </c>
      <c r="H8807">
        <f>IF(AND(B8807=B8806,D8807=D8806,A8807=A8806,F8807=F8806),1,0)</f>
        <v/>
      </c>
      <c r="I8807">
        <f>IF(C8807="C99999",1,0)</f>
        <v/>
      </c>
      <c r="J8807" s="5">
        <f>IF(OR(H8807=1,I8807=1),0,IF(G8807="Credit",-F8807,F8807))</f>
        <v/>
      </c>
    </row>
    <row r="8808">
      <c r="A8808" t="inlineStr">
        <is>
          <t>2026-09-18</t>
        </is>
      </c>
      <c r="B8808" t="inlineStr">
        <is>
          <t>F267437</t>
        </is>
      </c>
      <c r="C8808" t="inlineStr">
        <is>
          <t>C10393</t>
        </is>
      </c>
      <c r="D8808" t="inlineStr">
        <is>
          <t>SKU-10273</t>
        </is>
      </c>
      <c r="E8808" t="inlineStr">
        <is>
          <t>AM02</t>
        </is>
      </c>
      <c r="F8808" s="5" t="n">
        <v>578.16</v>
      </c>
      <c r="G8808">
        <f>IF(LEFT(B8808,1)="C","Credit","Factuur")</f>
        <v/>
      </c>
      <c r="H8808">
        <f>IF(AND(B8808=B8807,D8808=D8807,A8808=A8807,F8808=F8807),1,0)</f>
        <v/>
      </c>
      <c r="I8808">
        <f>IF(C8808="C99999",1,0)</f>
        <v/>
      </c>
      <c r="J8808" s="5">
        <f>IF(OR(H8808=1,I8808=1),0,IF(G8808="Credit",-F8808,F8808))</f>
        <v/>
      </c>
    </row>
    <row r="8809">
      <c r="A8809" t="inlineStr">
        <is>
          <t>2026-09-18</t>
        </is>
      </c>
      <c r="B8809" t="inlineStr">
        <is>
          <t>F267437</t>
        </is>
      </c>
      <c r="C8809" t="inlineStr">
        <is>
          <t>C10393</t>
        </is>
      </c>
      <c r="D8809" t="inlineStr">
        <is>
          <t>SKU-10303</t>
        </is>
      </c>
      <c r="E8809" t="inlineStr">
        <is>
          <t>AM02</t>
        </is>
      </c>
      <c r="F8809" s="5" t="n">
        <v>573.1900000000001</v>
      </c>
      <c r="G8809">
        <f>IF(LEFT(B8809,1)="C","Credit","Factuur")</f>
        <v/>
      </c>
      <c r="H8809">
        <f>IF(AND(B8809=B8808,D8809=D8808,A8809=A8808,F8809=F8808),1,0)</f>
        <v/>
      </c>
      <c r="I8809">
        <f>IF(C8809="C99999",1,0)</f>
        <v/>
      </c>
      <c r="J8809" s="5">
        <f>IF(OR(H8809=1,I8809=1),0,IF(G8809="Credit",-F8809,F8809))</f>
        <v/>
      </c>
    </row>
    <row r="8810">
      <c r="A8810" t="inlineStr">
        <is>
          <t>2026-09-18</t>
        </is>
      </c>
      <c r="B8810" t="inlineStr">
        <is>
          <t>F268029</t>
        </is>
      </c>
      <c r="C8810" t="inlineStr">
        <is>
          <t>C10422</t>
        </is>
      </c>
      <c r="D8810" t="inlineStr">
        <is>
          <t>SKU-10080</t>
        </is>
      </c>
      <c r="E8810" t="inlineStr">
        <is>
          <t>AM12</t>
        </is>
      </c>
      <c r="F8810" s="5" t="n">
        <v>470.47</v>
      </c>
      <c r="G8810">
        <f>IF(LEFT(B8810,1)="C","Credit","Factuur")</f>
        <v/>
      </c>
      <c r="H8810">
        <f>IF(AND(B8810=B8809,D8810=D8809,A8810=A8809,F8810=F8809),1,0)</f>
        <v/>
      </c>
      <c r="I8810">
        <f>IF(C8810="C99999",1,0)</f>
        <v/>
      </c>
      <c r="J8810" s="5">
        <f>IF(OR(H8810=1,I8810=1),0,IF(G8810="Credit",-F8810,F8810))</f>
        <v/>
      </c>
    </row>
    <row r="8811">
      <c r="A8811" t="inlineStr">
        <is>
          <t>2026-09-18</t>
        </is>
      </c>
      <c r="B8811" t="inlineStr">
        <is>
          <t>F268029</t>
        </is>
      </c>
      <c r="C8811" t="inlineStr">
        <is>
          <t>C10422</t>
        </is>
      </c>
      <c r="D8811" t="inlineStr">
        <is>
          <t>SKU-10342</t>
        </is>
      </c>
      <c r="E8811" t="inlineStr">
        <is>
          <t>AM12</t>
        </is>
      </c>
      <c r="F8811" s="5" t="n">
        <v>559.02</v>
      </c>
      <c r="G8811">
        <f>IF(LEFT(B8811,1)="C","Credit","Factuur")</f>
        <v/>
      </c>
      <c r="H8811">
        <f>IF(AND(B8811=B8810,D8811=D8810,A8811=A8810,F8811=F8810),1,0)</f>
        <v/>
      </c>
      <c r="I8811">
        <f>IF(C8811="C99999",1,0)</f>
        <v/>
      </c>
      <c r="J8811" s="5">
        <f>IF(OR(H8811=1,I8811=1),0,IF(G8811="Credit",-F8811,F8811))</f>
        <v/>
      </c>
    </row>
    <row r="8812">
      <c r="A8812" t="inlineStr">
        <is>
          <t>2026-09-18</t>
        </is>
      </c>
      <c r="B8812" t="inlineStr">
        <is>
          <t>F268091</t>
        </is>
      </c>
      <c r="C8812" t="inlineStr">
        <is>
          <t>C10425</t>
        </is>
      </c>
      <c r="D8812" t="inlineStr">
        <is>
          <t>SKU-10082</t>
        </is>
      </c>
      <c r="E8812" t="inlineStr">
        <is>
          <t>AM12</t>
        </is>
      </c>
      <c r="F8812" s="5" t="n">
        <v>258.5</v>
      </c>
      <c r="G8812">
        <f>IF(LEFT(B8812,1)="C","Credit","Factuur")</f>
        <v/>
      </c>
      <c r="H8812">
        <f>IF(AND(B8812=B8811,D8812=D8811,A8812=A8811,F8812=F8811),1,0)</f>
        <v/>
      </c>
      <c r="I8812">
        <f>IF(C8812="C99999",1,0)</f>
        <v/>
      </c>
      <c r="J8812" s="5">
        <f>IF(OR(H8812=1,I8812=1),0,IF(G8812="Credit",-F8812,F8812))</f>
        <v/>
      </c>
    </row>
    <row r="8813">
      <c r="A8813" t="inlineStr">
        <is>
          <t>2026-09-18</t>
        </is>
      </c>
      <c r="B8813" t="inlineStr">
        <is>
          <t>F268091</t>
        </is>
      </c>
      <c r="C8813" t="inlineStr">
        <is>
          <t>C10425</t>
        </is>
      </c>
      <c r="D8813" t="inlineStr">
        <is>
          <t>SKU-10246</t>
        </is>
      </c>
      <c r="E8813" t="inlineStr">
        <is>
          <t>AM12</t>
        </is>
      </c>
      <c r="F8813" s="5" t="n">
        <v>241.92</v>
      </c>
      <c r="G8813">
        <f>IF(LEFT(B8813,1)="C","Credit","Factuur")</f>
        <v/>
      </c>
      <c r="H8813">
        <f>IF(AND(B8813=B8812,D8813=D8812,A8813=A8812,F8813=F8812),1,0)</f>
        <v/>
      </c>
      <c r="I8813">
        <f>IF(C8813="C99999",1,0)</f>
        <v/>
      </c>
      <c r="J8813" s="5">
        <f>IF(OR(H8813=1,I8813=1),0,IF(G8813="Credit",-F8813,F8813))</f>
        <v/>
      </c>
    </row>
    <row r="8814">
      <c r="A8814" t="inlineStr">
        <is>
          <t>2026-09-18</t>
        </is>
      </c>
      <c r="B8814" t="inlineStr">
        <is>
          <t>F268091</t>
        </is>
      </c>
      <c r="C8814" t="inlineStr">
        <is>
          <t>C10425</t>
        </is>
      </c>
      <c r="D8814" t="inlineStr">
        <is>
          <t>SKU-10252</t>
        </is>
      </c>
      <c r="E8814" t="inlineStr">
        <is>
          <t>AM12</t>
        </is>
      </c>
      <c r="F8814" s="5" t="n">
        <v>254.4</v>
      </c>
      <c r="G8814">
        <f>IF(LEFT(B8814,1)="C","Credit","Factuur")</f>
        <v/>
      </c>
      <c r="H8814">
        <f>IF(AND(B8814=B8813,D8814=D8813,A8814=A8813,F8814=F8813),1,0)</f>
        <v/>
      </c>
      <c r="I8814">
        <f>IF(C8814="C99999",1,0)</f>
        <v/>
      </c>
      <c r="J8814" s="5">
        <f>IF(OR(H8814=1,I8814=1),0,IF(G8814="Credit",-F8814,F8814))</f>
        <v/>
      </c>
    </row>
    <row r="8815">
      <c r="A8815" t="inlineStr">
        <is>
          <t>2026-09-18</t>
        </is>
      </c>
      <c r="B8815" t="inlineStr">
        <is>
          <t>F268091</t>
        </is>
      </c>
      <c r="C8815" t="inlineStr">
        <is>
          <t>C10425</t>
        </is>
      </c>
      <c r="D8815" t="inlineStr">
        <is>
          <t>SKU-10306</t>
        </is>
      </c>
      <c r="E8815" t="inlineStr">
        <is>
          <t>AM12</t>
        </is>
      </c>
      <c r="F8815" s="5" t="n">
        <v>252.67</v>
      </c>
      <c r="G8815">
        <f>IF(LEFT(B8815,1)="C","Credit","Factuur")</f>
        <v/>
      </c>
      <c r="H8815">
        <f>IF(AND(B8815=B8814,D8815=D8814,A8815=A8814,F8815=F8814),1,0)</f>
        <v/>
      </c>
      <c r="I8815">
        <f>IF(C8815="C99999",1,0)</f>
        <v/>
      </c>
      <c r="J8815" s="5">
        <f>IF(OR(H8815=1,I8815=1),0,IF(G8815="Credit",-F8815,F8815))</f>
        <v/>
      </c>
    </row>
    <row r="8816">
      <c r="A8816" t="inlineStr">
        <is>
          <t>2026-09-18</t>
        </is>
      </c>
      <c r="B8816" t="inlineStr">
        <is>
          <t>F268156</t>
        </is>
      </c>
      <c r="C8816" t="inlineStr">
        <is>
          <t>C10428</t>
        </is>
      </c>
      <c r="D8816" t="inlineStr">
        <is>
          <t>SKU-10039</t>
        </is>
      </c>
      <c r="E8816" t="inlineStr">
        <is>
          <t>AM05</t>
        </is>
      </c>
      <c r="F8816" s="5" t="n">
        <v>194.58</v>
      </c>
      <c r="G8816">
        <f>IF(LEFT(B8816,1)="C","Credit","Factuur")</f>
        <v/>
      </c>
      <c r="H8816">
        <f>IF(AND(B8816=B8815,D8816=D8815,A8816=A8815,F8816=F8815),1,0)</f>
        <v/>
      </c>
      <c r="I8816">
        <f>IF(C8816="C99999",1,0)</f>
        <v/>
      </c>
      <c r="J8816" s="5">
        <f>IF(OR(H8816=1,I8816=1),0,IF(G8816="Credit",-F8816,F8816))</f>
        <v/>
      </c>
    </row>
    <row r="8817">
      <c r="A8817" t="inlineStr">
        <is>
          <t>2026-09-18</t>
        </is>
      </c>
      <c r="B8817" t="inlineStr">
        <is>
          <t>F268156</t>
        </is>
      </c>
      <c r="C8817" t="inlineStr">
        <is>
          <t>C10428</t>
        </is>
      </c>
      <c r="D8817" t="inlineStr">
        <is>
          <t>SKU-10148</t>
        </is>
      </c>
      <c r="E8817" t="inlineStr">
        <is>
          <t>AM05</t>
        </is>
      </c>
      <c r="F8817" s="5" t="n">
        <v>178.74</v>
      </c>
      <c r="G8817">
        <f>IF(LEFT(B8817,1)="C","Credit","Factuur")</f>
        <v/>
      </c>
      <c r="H8817">
        <f>IF(AND(B8817=B8816,D8817=D8816,A8817=A8816,F8817=F8816),1,0)</f>
        <v/>
      </c>
      <c r="I8817">
        <f>IF(C8817="C99999",1,0)</f>
        <v/>
      </c>
      <c r="J8817" s="5">
        <f>IF(OR(H8817=1,I8817=1),0,IF(G8817="Credit",-F8817,F8817))</f>
        <v/>
      </c>
    </row>
    <row r="8818">
      <c r="A8818" t="inlineStr">
        <is>
          <t>2026-09-18</t>
        </is>
      </c>
      <c r="B8818" t="inlineStr">
        <is>
          <t>F269254</t>
        </is>
      </c>
      <c r="C8818" t="inlineStr">
        <is>
          <t>C10487</t>
        </is>
      </c>
      <c r="D8818" t="inlineStr">
        <is>
          <t>SKU-10058</t>
        </is>
      </c>
      <c r="E8818" t="inlineStr"/>
      <c r="F8818" s="5" t="n">
        <v>274.69</v>
      </c>
      <c r="G8818">
        <f>IF(LEFT(B8818,1)="C","Credit","Factuur")</f>
        <v/>
      </c>
      <c r="H8818">
        <f>IF(AND(B8818=B8817,D8818=D8817,A8818=A8817,F8818=F8817),1,0)</f>
        <v/>
      </c>
      <c r="I8818">
        <f>IF(C8818="C99999",1,0)</f>
        <v/>
      </c>
      <c r="J8818" s="5">
        <f>IF(OR(H8818=1,I8818=1),0,IF(G8818="Credit",-F8818,F8818))</f>
        <v/>
      </c>
    </row>
    <row r="8819">
      <c r="A8819" t="inlineStr">
        <is>
          <t>2026-09-18</t>
        </is>
      </c>
      <c r="B8819" t="inlineStr">
        <is>
          <t>F269254</t>
        </is>
      </c>
      <c r="C8819" t="inlineStr">
        <is>
          <t>C10487</t>
        </is>
      </c>
      <c r="D8819" t="inlineStr">
        <is>
          <t>SKU-10161</t>
        </is>
      </c>
      <c r="E8819" t="inlineStr">
        <is>
          <t>AM01</t>
        </is>
      </c>
      <c r="F8819" s="5" t="n">
        <v>274.46</v>
      </c>
      <c r="G8819">
        <f>IF(LEFT(B8819,1)="C","Credit","Factuur")</f>
        <v/>
      </c>
      <c r="H8819">
        <f>IF(AND(B8819=B8818,D8819=D8818,A8819=A8818,F8819=F8818),1,0)</f>
        <v/>
      </c>
      <c r="I8819">
        <f>IF(C8819="C99999",1,0)</f>
        <v/>
      </c>
      <c r="J8819" s="5">
        <f>IF(OR(H8819=1,I8819=1),0,IF(G8819="Credit",-F8819,F8819))</f>
        <v/>
      </c>
    </row>
    <row r="8820">
      <c r="A8820" t="inlineStr">
        <is>
          <t>2026-09-18</t>
        </is>
      </c>
      <c r="B8820" t="inlineStr">
        <is>
          <t>F269254</t>
        </is>
      </c>
      <c r="C8820" t="inlineStr">
        <is>
          <t>C10487</t>
        </is>
      </c>
      <c r="D8820" t="inlineStr">
        <is>
          <t>SKU-10351</t>
        </is>
      </c>
      <c r="E8820" t="inlineStr">
        <is>
          <t>AM01</t>
        </is>
      </c>
      <c r="F8820" s="5" t="n">
        <v>636.89</v>
      </c>
      <c r="G8820">
        <f>IF(LEFT(B8820,1)="C","Credit","Factuur")</f>
        <v/>
      </c>
      <c r="H8820">
        <f>IF(AND(B8820=B8819,D8820=D8819,A8820=A8819,F8820=F8819),1,0)</f>
        <v/>
      </c>
      <c r="I8820">
        <f>IF(C8820="C99999",1,0)</f>
        <v/>
      </c>
      <c r="J8820" s="5">
        <f>IF(OR(H8820=1,I8820=1),0,IF(G8820="Credit",-F8820,F8820))</f>
        <v/>
      </c>
    </row>
    <row r="8821">
      <c r="A8821" t="inlineStr">
        <is>
          <t>2026-09-18</t>
        </is>
      </c>
      <c r="B8821" t="inlineStr">
        <is>
          <t>F269408</t>
        </is>
      </c>
      <c r="C8821" t="inlineStr">
        <is>
          <t>C10493</t>
        </is>
      </c>
      <c r="D8821" t="inlineStr">
        <is>
          <t>SKU-10035</t>
        </is>
      </c>
      <c r="E8821" t="inlineStr">
        <is>
          <t>AM08</t>
        </is>
      </c>
      <c r="F8821" s="5" t="n">
        <v>296.86</v>
      </c>
      <c r="G8821">
        <f>IF(LEFT(B8821,1)="C","Credit","Factuur")</f>
        <v/>
      </c>
      <c r="H8821">
        <f>IF(AND(B8821=B8820,D8821=D8820,A8821=A8820,F8821=F8820),1,0)</f>
        <v/>
      </c>
      <c r="I8821">
        <f>IF(C8821="C99999",1,0)</f>
        <v/>
      </c>
      <c r="J8821" s="5">
        <f>IF(OR(H8821=1,I8821=1),0,IF(G8821="Credit",-F8821,F8821))</f>
        <v/>
      </c>
    </row>
    <row r="8822">
      <c r="A8822" t="inlineStr">
        <is>
          <t>2026-09-18</t>
        </is>
      </c>
      <c r="B8822" t="inlineStr">
        <is>
          <t>F269408</t>
        </is>
      </c>
      <c r="C8822" t="inlineStr">
        <is>
          <t>C10493</t>
        </is>
      </c>
      <c r="D8822" t="inlineStr">
        <is>
          <t>SKU-10042</t>
        </is>
      </c>
      <c r="E8822" t="inlineStr">
        <is>
          <t>AM08</t>
        </is>
      </c>
      <c r="F8822" s="5" t="n">
        <v>336.66</v>
      </c>
      <c r="G8822">
        <f>IF(LEFT(B8822,1)="C","Credit","Factuur")</f>
        <v/>
      </c>
      <c r="H8822">
        <f>IF(AND(B8822=B8821,D8822=D8821,A8822=A8821,F8822=F8821),1,0)</f>
        <v/>
      </c>
      <c r="I8822">
        <f>IF(C8822="C99999",1,0)</f>
        <v/>
      </c>
      <c r="J8822" s="5">
        <f>IF(OR(H8822=1,I8822=1),0,IF(G8822="Credit",-F8822,F8822))</f>
        <v/>
      </c>
    </row>
    <row r="8823">
      <c r="A8823" t="inlineStr">
        <is>
          <t>2026-09-18</t>
        </is>
      </c>
      <c r="B8823" t="inlineStr">
        <is>
          <t>F269408</t>
        </is>
      </c>
      <c r="C8823" t="inlineStr">
        <is>
          <t>C10493</t>
        </is>
      </c>
      <c r="D8823" t="inlineStr">
        <is>
          <t>SKU-10234</t>
        </is>
      </c>
      <c r="E8823" t="inlineStr">
        <is>
          <t>AM08</t>
        </is>
      </c>
      <c r="F8823" s="5" t="n">
        <v>281.11</v>
      </c>
      <c r="G8823">
        <f>IF(LEFT(B8823,1)="C","Credit","Factuur")</f>
        <v/>
      </c>
      <c r="H8823">
        <f>IF(AND(B8823=B8822,D8823=D8822,A8823=A8822,F8823=F8822),1,0)</f>
        <v/>
      </c>
      <c r="I8823">
        <f>IF(C8823="C99999",1,0)</f>
        <v/>
      </c>
      <c r="J8823" s="5">
        <f>IF(OR(H8823=1,I8823=1),0,IF(G8823="Credit",-F8823,F8823))</f>
        <v/>
      </c>
    </row>
    <row r="8824">
      <c r="A8824" t="inlineStr">
        <is>
          <t>2026-09-18</t>
        </is>
      </c>
      <c r="B8824" t="inlineStr">
        <is>
          <t>F269426</t>
        </is>
      </c>
      <c r="C8824" t="inlineStr">
        <is>
          <t>C10494</t>
        </is>
      </c>
      <c r="D8824" t="inlineStr">
        <is>
          <t>SKU-10287</t>
        </is>
      </c>
      <c r="E8824" t="inlineStr">
        <is>
          <t>AM12</t>
        </is>
      </c>
      <c r="F8824" s="5" t="n">
        <v>240.88</v>
      </c>
      <c r="G8824">
        <f>IF(LEFT(B8824,1)="C","Credit","Factuur")</f>
        <v/>
      </c>
      <c r="H8824">
        <f>IF(AND(B8824=B8823,D8824=D8823,A8824=A8823,F8824=F8823),1,0)</f>
        <v/>
      </c>
      <c r="I8824">
        <f>IF(C8824="C99999",1,0)</f>
        <v/>
      </c>
      <c r="J8824" s="5">
        <f>IF(OR(H8824=1,I8824=1),0,IF(G8824="Credit",-F8824,F8824))</f>
        <v/>
      </c>
    </row>
    <row r="8825">
      <c r="A8825" t="inlineStr">
        <is>
          <t>2026-09-18</t>
        </is>
      </c>
      <c r="B8825" t="inlineStr">
        <is>
          <t>F269426</t>
        </is>
      </c>
      <c r="C8825" t="inlineStr">
        <is>
          <t>C10494</t>
        </is>
      </c>
      <c r="D8825" t="inlineStr">
        <is>
          <t>SKU-10301</t>
        </is>
      </c>
      <c r="E8825" t="inlineStr"/>
      <c r="F8825" s="5" t="n">
        <v>260.1</v>
      </c>
      <c r="G8825">
        <f>IF(LEFT(B8825,1)="C","Credit","Factuur")</f>
        <v/>
      </c>
      <c r="H8825">
        <f>IF(AND(B8825=B8824,D8825=D8824,A8825=A8824,F8825=F8824),1,0)</f>
        <v/>
      </c>
      <c r="I8825">
        <f>IF(C8825="C99999",1,0)</f>
        <v/>
      </c>
      <c r="J8825" s="5">
        <f>IF(OR(H8825=1,I8825=1),0,IF(G8825="Credit",-F8825,F8825))</f>
        <v/>
      </c>
    </row>
    <row r="8826">
      <c r="A8826" t="inlineStr">
        <is>
          <t>2026-09-18</t>
        </is>
      </c>
      <c r="B8826" t="inlineStr">
        <is>
          <t>F269426</t>
        </is>
      </c>
      <c r="C8826" t="inlineStr">
        <is>
          <t>C10494</t>
        </is>
      </c>
      <c r="D8826" t="inlineStr">
        <is>
          <t>SKU-10328</t>
        </is>
      </c>
      <c r="E8826" t="inlineStr">
        <is>
          <t>AM12</t>
        </is>
      </c>
      <c r="F8826" s="5" t="n">
        <v>237.42</v>
      </c>
      <c r="G8826">
        <f>IF(LEFT(B8826,1)="C","Credit","Factuur")</f>
        <v/>
      </c>
      <c r="H8826">
        <f>IF(AND(B8826=B8825,D8826=D8825,A8826=A8825,F8826=F8825),1,0)</f>
        <v/>
      </c>
      <c r="I8826">
        <f>IF(C8826="C99999",1,0)</f>
        <v/>
      </c>
      <c r="J8826" s="5">
        <f>IF(OR(H8826=1,I8826=1),0,IF(G8826="Credit",-F8826,F8826))</f>
        <v/>
      </c>
    </row>
    <row r="8827">
      <c r="A8827" t="inlineStr">
        <is>
          <t>2026-09-18</t>
        </is>
      </c>
      <c r="B8827" t="inlineStr">
        <is>
          <t>F269622</t>
        </is>
      </c>
      <c r="C8827" t="inlineStr">
        <is>
          <t>C10506</t>
        </is>
      </c>
      <c r="D8827" t="inlineStr">
        <is>
          <t>SKU-10287</t>
        </is>
      </c>
      <c r="E8827" t="inlineStr">
        <is>
          <t>AM06</t>
        </is>
      </c>
      <c r="F8827" s="5" t="n">
        <v>1174.29</v>
      </c>
      <c r="G8827">
        <f>IF(LEFT(B8827,1)="C","Credit","Factuur")</f>
        <v/>
      </c>
      <c r="H8827">
        <f>IF(AND(B8827=B8826,D8827=D8826,A8827=A8826,F8827=F8826),1,0)</f>
        <v/>
      </c>
      <c r="I8827">
        <f>IF(C8827="C99999",1,0)</f>
        <v/>
      </c>
      <c r="J8827" s="5">
        <f>IF(OR(H8827=1,I8827=1),0,IF(G8827="Credit",-F8827,F8827))</f>
        <v/>
      </c>
    </row>
    <row r="8828">
      <c r="A8828" t="inlineStr">
        <is>
          <t>2026-09-18</t>
        </is>
      </c>
      <c r="B8828" t="inlineStr">
        <is>
          <t>F269642</t>
        </is>
      </c>
      <c r="C8828" t="inlineStr">
        <is>
          <t>C10507</t>
        </is>
      </c>
      <c r="D8828" t="inlineStr">
        <is>
          <t>SKU-10095</t>
        </is>
      </c>
      <c r="E8828" t="inlineStr">
        <is>
          <t>AM03</t>
        </is>
      </c>
      <c r="F8828" s="5" t="n">
        <v>882.0700000000001</v>
      </c>
      <c r="G8828">
        <f>IF(LEFT(B8828,1)="C","Credit","Factuur")</f>
        <v/>
      </c>
      <c r="H8828">
        <f>IF(AND(B8828=B8827,D8828=D8827,A8828=A8827,F8828=F8827),1,0)</f>
        <v/>
      </c>
      <c r="I8828">
        <f>IF(C8828="C99999",1,0)</f>
        <v/>
      </c>
      <c r="J8828" s="5">
        <f>IF(OR(H8828=1,I8828=1),0,IF(G8828="Credit",-F8828,F8828))</f>
        <v/>
      </c>
    </row>
    <row r="8829">
      <c r="A8829" t="inlineStr">
        <is>
          <t>2026-09-18</t>
        </is>
      </c>
      <c r="B8829" t="inlineStr">
        <is>
          <t>F269642</t>
        </is>
      </c>
      <c r="C8829" t="inlineStr">
        <is>
          <t>C10507</t>
        </is>
      </c>
      <c r="D8829" t="inlineStr">
        <is>
          <t>SKU-10205</t>
        </is>
      </c>
      <c r="E8829" t="inlineStr">
        <is>
          <t>AM03</t>
        </is>
      </c>
      <c r="F8829" s="5" t="n">
        <v>908.8200000000001</v>
      </c>
      <c r="G8829">
        <f>IF(LEFT(B8829,1)="C","Credit","Factuur")</f>
        <v/>
      </c>
      <c r="H8829">
        <f>IF(AND(B8829=B8828,D8829=D8828,A8829=A8828,F8829=F8828),1,0)</f>
        <v/>
      </c>
      <c r="I8829">
        <f>IF(C8829="C99999",1,0)</f>
        <v/>
      </c>
      <c r="J8829" s="5">
        <f>IF(OR(H8829=1,I8829=1),0,IF(G8829="Credit",-F8829,F8829))</f>
        <v/>
      </c>
    </row>
    <row r="8830">
      <c r="A8830" t="inlineStr">
        <is>
          <t>2026-09-18</t>
        </is>
      </c>
      <c r="B8830" t="inlineStr">
        <is>
          <t>F269642</t>
        </is>
      </c>
      <c r="C8830" t="inlineStr">
        <is>
          <t>C10507</t>
        </is>
      </c>
      <c r="D8830" t="inlineStr">
        <is>
          <t>SKU-10318</t>
        </is>
      </c>
      <c r="E8830" t="inlineStr">
        <is>
          <t>AM03</t>
        </is>
      </c>
      <c r="F8830" s="5" t="n">
        <v>895.4</v>
      </c>
      <c r="G8830">
        <f>IF(LEFT(B8830,1)="C","Credit","Factuur")</f>
        <v/>
      </c>
      <c r="H8830">
        <f>IF(AND(B8830=B8829,D8830=D8829,A8830=A8829,F8830=F8829),1,0)</f>
        <v/>
      </c>
      <c r="I8830">
        <f>IF(C8830="C99999",1,0)</f>
        <v/>
      </c>
      <c r="J8830" s="5">
        <f>IF(OR(H8830=1,I8830=1),0,IF(G8830="Credit",-F8830,F8830))</f>
        <v/>
      </c>
    </row>
    <row r="8831">
      <c r="A8831" t="inlineStr">
        <is>
          <t>2026-09-18</t>
        </is>
      </c>
      <c r="B8831" t="inlineStr">
        <is>
          <t>F269925</t>
        </is>
      </c>
      <c r="C8831" t="inlineStr">
        <is>
          <t>C10523</t>
        </is>
      </c>
      <c r="D8831" t="inlineStr">
        <is>
          <t>SKU-10008</t>
        </is>
      </c>
      <c r="E8831" t="inlineStr">
        <is>
          <t>AM02</t>
        </is>
      </c>
      <c r="F8831" s="5" t="n">
        <v>360.36</v>
      </c>
      <c r="G8831">
        <f>IF(LEFT(B8831,1)="C","Credit","Factuur")</f>
        <v/>
      </c>
      <c r="H8831">
        <f>IF(AND(B8831=B8830,D8831=D8830,A8831=A8830,F8831=F8830),1,0)</f>
        <v/>
      </c>
      <c r="I8831">
        <f>IF(C8831="C99999",1,0)</f>
        <v/>
      </c>
      <c r="J8831" s="5">
        <f>IF(OR(H8831=1,I8831=1),0,IF(G8831="Credit",-F8831,F8831))</f>
        <v/>
      </c>
    </row>
    <row r="8832">
      <c r="A8832" t="inlineStr">
        <is>
          <t>2026-09-18</t>
        </is>
      </c>
      <c r="B8832" t="inlineStr">
        <is>
          <t>F269925</t>
        </is>
      </c>
      <c r="C8832" t="inlineStr">
        <is>
          <t>C10523</t>
        </is>
      </c>
      <c r="D8832" t="inlineStr">
        <is>
          <t>SKU-10032</t>
        </is>
      </c>
      <c r="E8832" t="inlineStr">
        <is>
          <t>AM02</t>
        </is>
      </c>
      <c r="F8832" s="5" t="n">
        <v>361.67</v>
      </c>
      <c r="G8832">
        <f>IF(LEFT(B8832,1)="C","Credit","Factuur")</f>
        <v/>
      </c>
      <c r="H8832">
        <f>IF(AND(B8832=B8831,D8832=D8831,A8832=A8831,F8832=F8831),1,0)</f>
        <v/>
      </c>
      <c r="I8832">
        <f>IF(C8832="C99999",1,0)</f>
        <v/>
      </c>
      <c r="J8832" s="5">
        <f>IF(OR(H8832=1,I8832=1),0,IF(G8832="Credit",-F8832,F8832))</f>
        <v/>
      </c>
    </row>
    <row r="8833">
      <c r="A8833" t="inlineStr">
        <is>
          <t>2026-09-18</t>
        </is>
      </c>
      <c r="B8833" t="inlineStr">
        <is>
          <t>F269925</t>
        </is>
      </c>
      <c r="C8833" t="inlineStr">
        <is>
          <t>C10523</t>
        </is>
      </c>
      <c r="D8833" t="inlineStr">
        <is>
          <t>SKU-10039</t>
        </is>
      </c>
      <c r="E8833" t="inlineStr">
        <is>
          <t>AM02</t>
        </is>
      </c>
      <c r="F8833" s="5" t="n">
        <v>303.22</v>
      </c>
      <c r="G8833">
        <f>IF(LEFT(B8833,1)="C","Credit","Factuur")</f>
        <v/>
      </c>
      <c r="H8833">
        <f>IF(AND(B8833=B8832,D8833=D8832,A8833=A8832,F8833=F8832),1,0)</f>
        <v/>
      </c>
      <c r="I8833">
        <f>IF(C8833="C99999",1,0)</f>
        <v/>
      </c>
      <c r="J8833" s="5">
        <f>IF(OR(H8833=1,I8833=1),0,IF(G8833="Credit",-F8833,F8833))</f>
        <v/>
      </c>
    </row>
    <row r="8834">
      <c r="A8834" t="inlineStr">
        <is>
          <t>2026-09-18</t>
        </is>
      </c>
      <c r="B8834" t="inlineStr">
        <is>
          <t>F269952</t>
        </is>
      </c>
      <c r="C8834" t="inlineStr">
        <is>
          <t>C10523</t>
        </is>
      </c>
      <c r="D8834" t="inlineStr">
        <is>
          <t>SKU-10214</t>
        </is>
      </c>
      <c r="E8834" t="inlineStr">
        <is>
          <t>AM02</t>
        </is>
      </c>
      <c r="F8834" s="5" t="n">
        <v>544.8</v>
      </c>
      <c r="G8834">
        <f>IF(LEFT(B8834,1)="C","Credit","Factuur")</f>
        <v/>
      </c>
      <c r="H8834">
        <f>IF(AND(B8834=B8833,D8834=D8833,A8834=A8833,F8834=F8833),1,0)</f>
        <v/>
      </c>
      <c r="I8834">
        <f>IF(C8834="C99999",1,0)</f>
        <v/>
      </c>
      <c r="J8834" s="5">
        <f>IF(OR(H8834=1,I8834=1),0,IF(G8834="Credit",-F8834,F8834))</f>
        <v/>
      </c>
    </row>
    <row r="8835">
      <c r="A8835" t="inlineStr">
        <is>
          <t>2026-09-18</t>
        </is>
      </c>
      <c r="B8835" t="inlineStr">
        <is>
          <t>F269952</t>
        </is>
      </c>
      <c r="C8835" t="inlineStr">
        <is>
          <t>C10523</t>
        </is>
      </c>
      <c r="D8835" t="inlineStr">
        <is>
          <t>SKU-10237</t>
        </is>
      </c>
      <c r="E8835" t="inlineStr">
        <is>
          <t>AM02</t>
        </is>
      </c>
      <c r="F8835" s="5" t="n">
        <v>461.14</v>
      </c>
      <c r="G8835">
        <f>IF(LEFT(B8835,1)="C","Credit","Factuur")</f>
        <v/>
      </c>
      <c r="H8835">
        <f>IF(AND(B8835=B8834,D8835=D8834,A8835=A8834,F8835=F8834),1,0)</f>
        <v/>
      </c>
      <c r="I8835">
        <f>IF(C8835="C99999",1,0)</f>
        <v/>
      </c>
      <c r="J8835" s="5">
        <f>IF(OR(H8835=1,I8835=1),0,IF(G8835="Credit",-F8835,F8835))</f>
        <v/>
      </c>
    </row>
    <row r="8836">
      <c r="A8836" t="inlineStr">
        <is>
          <t>2026-09-18</t>
        </is>
      </c>
      <c r="B8836" t="inlineStr">
        <is>
          <t>F269952</t>
        </is>
      </c>
      <c r="C8836" t="inlineStr">
        <is>
          <t>C10523</t>
        </is>
      </c>
      <c r="D8836" t="inlineStr">
        <is>
          <t>SKU-10288</t>
        </is>
      </c>
      <c r="E8836" t="inlineStr">
        <is>
          <t>AM02</t>
        </is>
      </c>
      <c r="F8836" s="5" t="n">
        <v>546.89</v>
      </c>
      <c r="G8836">
        <f>IF(LEFT(B8836,1)="C","Credit","Factuur")</f>
        <v/>
      </c>
      <c r="H8836">
        <f>IF(AND(B8836=B8835,D8836=D8835,A8836=A8835,F8836=F8835),1,0)</f>
        <v/>
      </c>
      <c r="I8836">
        <f>IF(C8836="C99999",1,0)</f>
        <v/>
      </c>
      <c r="J8836" s="5">
        <f>IF(OR(H8836=1,I8836=1),0,IF(G8836="Credit",-F8836,F8836))</f>
        <v/>
      </c>
    </row>
    <row r="8837">
      <c r="A8837" t="inlineStr">
        <is>
          <t>2026-09-18</t>
        </is>
      </c>
      <c r="B8837" t="inlineStr">
        <is>
          <t>F270038</t>
        </is>
      </c>
      <c r="C8837" t="inlineStr">
        <is>
          <t>C10528</t>
        </is>
      </c>
      <c r="D8837" t="inlineStr">
        <is>
          <t>SKU-10181</t>
        </is>
      </c>
      <c r="E8837" t="inlineStr">
        <is>
          <t>AM09</t>
        </is>
      </c>
      <c r="F8837" s="5" t="n">
        <v>5276.02</v>
      </c>
      <c r="G8837">
        <f>IF(LEFT(B8837,1)="C","Credit","Factuur")</f>
        <v/>
      </c>
      <c r="H8837">
        <f>IF(AND(B8837=B8836,D8837=D8836,A8837=A8836,F8837=F8836),1,0)</f>
        <v/>
      </c>
      <c r="I8837">
        <f>IF(C8837="C99999",1,0)</f>
        <v/>
      </c>
      <c r="J8837" s="5">
        <f>IF(OR(H8837=1,I8837=1),0,IF(G8837="Credit",-F8837,F8837))</f>
        <v/>
      </c>
    </row>
    <row r="8838">
      <c r="A8838" t="inlineStr">
        <is>
          <t>2026-09-18</t>
        </is>
      </c>
      <c r="B8838" t="inlineStr">
        <is>
          <t>F270038</t>
        </is>
      </c>
      <c r="C8838" t="inlineStr">
        <is>
          <t>C10528</t>
        </is>
      </c>
      <c r="D8838" t="inlineStr">
        <is>
          <t>SKU-10217</t>
        </is>
      </c>
      <c r="E8838" t="inlineStr">
        <is>
          <t>AM09</t>
        </is>
      </c>
      <c r="F8838" s="5" t="n">
        <v>5265.55</v>
      </c>
      <c r="G8838">
        <f>IF(LEFT(B8838,1)="C","Credit","Factuur")</f>
        <v/>
      </c>
      <c r="H8838">
        <f>IF(AND(B8838=B8837,D8838=D8837,A8838=A8837,F8838=F8837),1,0)</f>
        <v/>
      </c>
      <c r="I8838">
        <f>IF(C8838="C99999",1,0)</f>
        <v/>
      </c>
      <c r="J8838" s="5">
        <f>IF(OR(H8838=1,I8838=1),0,IF(G8838="Credit",-F8838,F8838))</f>
        <v/>
      </c>
    </row>
    <row r="8839">
      <c r="A8839" t="inlineStr">
        <is>
          <t>2026-09-18</t>
        </is>
      </c>
      <c r="B8839" t="inlineStr">
        <is>
          <t>F270449</t>
        </is>
      </c>
      <c r="C8839" t="inlineStr">
        <is>
          <t>C10550</t>
        </is>
      </c>
      <c r="D8839" t="inlineStr">
        <is>
          <t>SKU-10011</t>
        </is>
      </c>
      <c r="E8839" t="inlineStr">
        <is>
          <t>AM03</t>
        </is>
      </c>
      <c r="F8839" s="5" t="n">
        <v>1144.92</v>
      </c>
      <c r="G8839">
        <f>IF(LEFT(B8839,1)="C","Credit","Factuur")</f>
        <v/>
      </c>
      <c r="H8839">
        <f>IF(AND(B8839=B8838,D8839=D8838,A8839=A8838,F8839=F8838),1,0)</f>
        <v/>
      </c>
      <c r="I8839">
        <f>IF(C8839="C99999",1,0)</f>
        <v/>
      </c>
      <c r="J8839" s="5">
        <f>IF(OR(H8839=1,I8839=1),0,IF(G8839="Credit",-F8839,F8839))</f>
        <v/>
      </c>
    </row>
    <row r="8840">
      <c r="A8840" t="inlineStr">
        <is>
          <t>2026-09-18</t>
        </is>
      </c>
      <c r="B8840" t="inlineStr">
        <is>
          <t>F270449</t>
        </is>
      </c>
      <c r="C8840" t="inlineStr">
        <is>
          <t>C10550</t>
        </is>
      </c>
      <c r="D8840" t="inlineStr">
        <is>
          <t>SKU-10300</t>
        </is>
      </c>
      <c r="E8840" t="inlineStr">
        <is>
          <t>AM03</t>
        </is>
      </c>
      <c r="F8840" s="5" t="n">
        <v>1149</v>
      </c>
      <c r="G8840">
        <f>IF(LEFT(B8840,1)="C","Credit","Factuur")</f>
        <v/>
      </c>
      <c r="H8840">
        <f>IF(AND(B8840=B8839,D8840=D8839,A8840=A8839,F8840=F8839),1,0)</f>
        <v/>
      </c>
      <c r="I8840">
        <f>IF(C8840="C99999",1,0)</f>
        <v/>
      </c>
      <c r="J8840" s="5">
        <f>IF(OR(H8840=1,I8840=1),0,IF(G8840="Credit",-F8840,F8840))</f>
        <v/>
      </c>
    </row>
    <row r="8841">
      <c r="A8841" t="inlineStr">
        <is>
          <t>2026-09-18</t>
        </is>
      </c>
      <c r="B8841" t="inlineStr">
        <is>
          <t>F270449</t>
        </is>
      </c>
      <c r="C8841" t="inlineStr">
        <is>
          <t>C10550</t>
        </is>
      </c>
      <c r="D8841" t="inlineStr">
        <is>
          <t>SKU-10307</t>
        </is>
      </c>
      <c r="E8841" t="inlineStr">
        <is>
          <t>AM03</t>
        </is>
      </c>
      <c r="F8841" s="5" t="n">
        <v>1093.36</v>
      </c>
      <c r="G8841">
        <f>IF(LEFT(B8841,1)="C","Credit","Factuur")</f>
        <v/>
      </c>
      <c r="H8841">
        <f>IF(AND(B8841=B8840,D8841=D8840,A8841=A8840,F8841=F8840),1,0)</f>
        <v/>
      </c>
      <c r="I8841">
        <f>IF(C8841="C99999",1,0)</f>
        <v/>
      </c>
      <c r="J8841" s="5">
        <f>IF(OR(H8841=1,I8841=1),0,IF(G8841="Credit",-F8841,F8841))</f>
        <v/>
      </c>
    </row>
    <row r="8842">
      <c r="A8842" t="inlineStr">
        <is>
          <t>2026-09-18</t>
        </is>
      </c>
      <c r="B8842" t="inlineStr">
        <is>
          <t>F270496</t>
        </is>
      </c>
      <c r="C8842" t="inlineStr">
        <is>
          <t>C10552</t>
        </is>
      </c>
      <c r="D8842" t="inlineStr">
        <is>
          <t>SKU-10033</t>
        </is>
      </c>
      <c r="E8842" t="inlineStr">
        <is>
          <t>AM03</t>
        </is>
      </c>
      <c r="F8842" s="5" t="n">
        <v>203.55</v>
      </c>
      <c r="G8842">
        <f>IF(LEFT(B8842,1)="C","Credit","Factuur")</f>
        <v/>
      </c>
      <c r="H8842">
        <f>IF(AND(B8842=B8841,D8842=D8841,A8842=A8841,F8842=F8841),1,0)</f>
        <v/>
      </c>
      <c r="I8842">
        <f>IF(C8842="C99999",1,0)</f>
        <v/>
      </c>
      <c r="J8842" s="5">
        <f>IF(OR(H8842=1,I8842=1),0,IF(G8842="Credit",-F8842,F8842))</f>
        <v/>
      </c>
    </row>
    <row r="8843">
      <c r="A8843" t="inlineStr">
        <is>
          <t>2026-09-18</t>
        </is>
      </c>
      <c r="B8843" t="inlineStr">
        <is>
          <t>F270496</t>
        </is>
      </c>
      <c r="C8843" t="inlineStr">
        <is>
          <t>C10552</t>
        </is>
      </c>
      <c r="D8843" t="inlineStr">
        <is>
          <t>SKU-10207</t>
        </is>
      </c>
      <c r="E8843" t="inlineStr">
        <is>
          <t>AM03</t>
        </is>
      </c>
      <c r="F8843" s="5" t="n">
        <v>221.76</v>
      </c>
      <c r="G8843">
        <f>IF(LEFT(B8843,1)="C","Credit","Factuur")</f>
        <v/>
      </c>
      <c r="H8843">
        <f>IF(AND(B8843=B8842,D8843=D8842,A8843=A8842,F8843=F8842),1,0)</f>
        <v/>
      </c>
      <c r="I8843">
        <f>IF(C8843="C99999",1,0)</f>
        <v/>
      </c>
      <c r="J8843" s="5">
        <f>IF(OR(H8843=1,I8843=1),0,IF(G8843="Credit",-F8843,F8843))</f>
        <v/>
      </c>
    </row>
    <row r="8844">
      <c r="A8844" t="inlineStr">
        <is>
          <t>2026-09-18</t>
        </is>
      </c>
      <c r="B8844" t="inlineStr">
        <is>
          <t>F270496</t>
        </is>
      </c>
      <c r="C8844" t="inlineStr">
        <is>
          <t>C10552</t>
        </is>
      </c>
      <c r="D8844" t="inlineStr">
        <is>
          <t>SKU-10245</t>
        </is>
      </c>
      <c r="E8844" t="inlineStr">
        <is>
          <t>AM03</t>
        </is>
      </c>
      <c r="F8844" s="5" t="n">
        <v>216.6</v>
      </c>
      <c r="G8844">
        <f>IF(LEFT(B8844,1)="C","Credit","Factuur")</f>
        <v/>
      </c>
      <c r="H8844">
        <f>IF(AND(B8844=B8843,D8844=D8843,A8844=A8843,F8844=F8843),1,0)</f>
        <v/>
      </c>
      <c r="I8844">
        <f>IF(C8844="C99999",1,0)</f>
        <v/>
      </c>
      <c r="J8844" s="5">
        <f>IF(OR(H8844=1,I8844=1),0,IF(G8844="Credit",-F8844,F8844))</f>
        <v/>
      </c>
    </row>
    <row r="8845">
      <c r="A8845" t="inlineStr">
        <is>
          <t>2026-09-18</t>
        </is>
      </c>
      <c r="B8845" t="inlineStr">
        <is>
          <t>F270496</t>
        </is>
      </c>
      <c r="C8845" t="inlineStr">
        <is>
          <t>C10552</t>
        </is>
      </c>
      <c r="D8845" t="inlineStr">
        <is>
          <t>SKU-10304</t>
        </is>
      </c>
      <c r="E8845" t="inlineStr">
        <is>
          <t>AM03</t>
        </is>
      </c>
      <c r="F8845" s="5" t="n">
        <v>217.74</v>
      </c>
      <c r="G8845">
        <f>IF(LEFT(B8845,1)="C","Credit","Factuur")</f>
        <v/>
      </c>
      <c r="H8845">
        <f>IF(AND(B8845=B8844,D8845=D8844,A8845=A8844,F8845=F8844),1,0)</f>
        <v/>
      </c>
      <c r="I8845">
        <f>IF(C8845="C99999",1,0)</f>
        <v/>
      </c>
      <c r="J8845" s="5">
        <f>IF(OR(H8845=1,I8845=1),0,IF(G8845="Credit",-F8845,F8845))</f>
        <v/>
      </c>
    </row>
    <row r="8846">
      <c r="A8846" t="inlineStr">
        <is>
          <t>2026-09-18</t>
        </is>
      </c>
      <c r="B8846" t="inlineStr">
        <is>
          <t>F270496</t>
        </is>
      </c>
      <c r="C8846" t="inlineStr">
        <is>
          <t>C10552</t>
        </is>
      </c>
      <c r="D8846" t="inlineStr">
        <is>
          <t>SKU-10314</t>
        </is>
      </c>
      <c r="E8846" t="inlineStr">
        <is>
          <t>AM03</t>
        </is>
      </c>
      <c r="F8846" s="5" t="n">
        <v>235.2</v>
      </c>
      <c r="G8846">
        <f>IF(LEFT(B8846,1)="C","Credit","Factuur")</f>
        <v/>
      </c>
      <c r="H8846">
        <f>IF(AND(B8846=B8845,D8846=D8845,A8846=A8845,F8846=F8845),1,0)</f>
        <v/>
      </c>
      <c r="I8846">
        <f>IF(C8846="C99999",1,0)</f>
        <v/>
      </c>
      <c r="J8846" s="5">
        <f>IF(OR(H8846=1,I8846=1),0,IF(G8846="Credit",-F8846,F8846))</f>
        <v/>
      </c>
    </row>
    <row r="8847">
      <c r="A8847" t="inlineStr">
        <is>
          <t>2026-09-18</t>
        </is>
      </c>
      <c r="B8847" t="inlineStr">
        <is>
          <t>F270846</t>
        </is>
      </c>
      <c r="C8847" t="inlineStr">
        <is>
          <t>C10567</t>
        </is>
      </c>
      <c r="D8847" t="inlineStr">
        <is>
          <t>SKU-10293</t>
        </is>
      </c>
      <c r="E8847" t="inlineStr">
        <is>
          <t>AM08</t>
        </is>
      </c>
      <c r="F8847" s="5" t="n">
        <v>358.64</v>
      </c>
      <c r="G8847">
        <f>IF(LEFT(B8847,1)="C","Credit","Factuur")</f>
        <v/>
      </c>
      <c r="H8847">
        <f>IF(AND(B8847=B8846,D8847=D8846,A8847=A8846,F8847=F8846),1,0)</f>
        <v/>
      </c>
      <c r="I8847">
        <f>IF(C8847="C99999",1,0)</f>
        <v/>
      </c>
      <c r="J8847" s="5">
        <f>IF(OR(H8847=1,I8847=1),0,IF(G8847="Credit",-F8847,F8847))</f>
        <v/>
      </c>
    </row>
    <row r="8848">
      <c r="A8848" t="inlineStr">
        <is>
          <t>2026-09-18</t>
        </is>
      </c>
      <c r="B8848" t="inlineStr">
        <is>
          <t>F270956</t>
        </is>
      </c>
      <c r="C8848" t="inlineStr">
        <is>
          <t>C10572</t>
        </is>
      </c>
      <c r="D8848" t="inlineStr">
        <is>
          <t>SKU-10068</t>
        </is>
      </c>
      <c r="E8848" t="inlineStr">
        <is>
          <t>AM05</t>
        </is>
      </c>
      <c r="F8848" s="5" t="n">
        <v>21.78</v>
      </c>
      <c r="G8848">
        <f>IF(LEFT(B8848,1)="C","Credit","Factuur")</f>
        <v/>
      </c>
      <c r="H8848">
        <f>IF(AND(B8848=B8847,D8848=D8847,A8848=A8847,F8848=F8847),1,0)</f>
        <v/>
      </c>
      <c r="I8848">
        <f>IF(C8848="C99999",1,0)</f>
        <v/>
      </c>
      <c r="J8848" s="5">
        <f>IF(OR(H8848=1,I8848=1),0,IF(G8848="Credit",-F8848,F8848))</f>
        <v/>
      </c>
    </row>
    <row r="8849">
      <c r="A8849" t="inlineStr">
        <is>
          <t>2026-09-18</t>
        </is>
      </c>
      <c r="B8849" t="inlineStr">
        <is>
          <t>F270956</t>
        </is>
      </c>
      <c r="C8849" t="inlineStr">
        <is>
          <t>C10572</t>
        </is>
      </c>
      <c r="D8849" t="inlineStr">
        <is>
          <t>SKU-10113</t>
        </is>
      </c>
      <c r="E8849" t="inlineStr">
        <is>
          <t>AM05</t>
        </is>
      </c>
      <c r="F8849" s="5" t="n">
        <v>65.02</v>
      </c>
      <c r="G8849">
        <f>IF(LEFT(B8849,1)="C","Credit","Factuur")</f>
        <v/>
      </c>
      <c r="H8849">
        <f>IF(AND(B8849=B8848,D8849=D8848,A8849=A8848,F8849=F8848),1,0)</f>
        <v/>
      </c>
      <c r="I8849">
        <f>IF(C8849="C99999",1,0)</f>
        <v/>
      </c>
      <c r="J8849" s="5">
        <f>IF(OR(H8849=1,I8849=1),0,IF(G8849="Credit",-F8849,F8849))</f>
        <v/>
      </c>
    </row>
    <row r="8850">
      <c r="A8850" t="inlineStr">
        <is>
          <t>2026-09-18</t>
        </is>
      </c>
      <c r="B8850" t="inlineStr">
        <is>
          <t>F270956</t>
        </is>
      </c>
      <c r="C8850" t="inlineStr">
        <is>
          <t>C10572</t>
        </is>
      </c>
      <c r="D8850" t="inlineStr">
        <is>
          <t>SKU-10309</t>
        </is>
      </c>
      <c r="E8850" t="inlineStr">
        <is>
          <t>AM05</t>
        </is>
      </c>
      <c r="F8850" s="5" t="n">
        <v>46.21</v>
      </c>
      <c r="G8850">
        <f>IF(LEFT(B8850,1)="C","Credit","Factuur")</f>
        <v/>
      </c>
      <c r="H8850">
        <f>IF(AND(B8850=B8849,D8850=D8849,A8850=A8849,F8850=F8849),1,0)</f>
        <v/>
      </c>
      <c r="I8850">
        <f>IF(C8850="C99999",1,0)</f>
        <v/>
      </c>
      <c r="J8850" s="5">
        <f>IF(OR(H8850=1,I8850=1),0,IF(G8850="Credit",-F8850,F8850))</f>
        <v/>
      </c>
    </row>
    <row r="8851">
      <c r="A8851" t="inlineStr">
        <is>
          <t>2026-09-18</t>
        </is>
      </c>
      <c r="B8851" t="inlineStr">
        <is>
          <t>F270956</t>
        </is>
      </c>
      <c r="C8851" t="inlineStr">
        <is>
          <t>C10572</t>
        </is>
      </c>
      <c r="D8851" t="inlineStr">
        <is>
          <t>SKU-10337</t>
        </is>
      </c>
      <c r="E8851" t="inlineStr">
        <is>
          <t>AM05</t>
        </is>
      </c>
      <c r="F8851" s="5" t="n">
        <v>26.91</v>
      </c>
      <c r="G8851">
        <f>IF(LEFT(B8851,1)="C","Credit","Factuur")</f>
        <v/>
      </c>
      <c r="H8851">
        <f>IF(AND(B8851=B8850,D8851=D8850,A8851=A8850,F8851=F8850),1,0)</f>
        <v/>
      </c>
      <c r="I8851">
        <f>IF(C8851="C99999",1,0)</f>
        <v/>
      </c>
      <c r="J8851" s="5">
        <f>IF(OR(H8851=1,I8851=1),0,IF(G8851="Credit",-F8851,F8851))</f>
        <v/>
      </c>
    </row>
    <row r="8852">
      <c r="A8852" t="inlineStr">
        <is>
          <t>2026-09-18</t>
        </is>
      </c>
      <c r="B8852" t="inlineStr">
        <is>
          <t>F271140</t>
        </is>
      </c>
      <c r="C8852" t="inlineStr">
        <is>
          <t>C10580</t>
        </is>
      </c>
      <c r="D8852" t="inlineStr">
        <is>
          <t>SKU-10147</t>
        </is>
      </c>
      <c r="E8852" t="inlineStr">
        <is>
          <t>AM01</t>
        </is>
      </c>
      <c r="F8852" s="5" t="n">
        <v>666.89</v>
      </c>
      <c r="G8852">
        <f>IF(LEFT(B8852,1)="C","Credit","Factuur")</f>
        <v/>
      </c>
      <c r="H8852">
        <f>IF(AND(B8852=B8851,D8852=D8851,A8852=A8851,F8852=F8851),1,0)</f>
        <v/>
      </c>
      <c r="I8852">
        <f>IF(C8852="C99999",1,0)</f>
        <v/>
      </c>
      <c r="J8852" s="5">
        <f>IF(OR(H8852=1,I8852=1),0,IF(G8852="Credit",-F8852,F8852))</f>
        <v/>
      </c>
    </row>
    <row r="8853">
      <c r="A8853" t="inlineStr">
        <is>
          <t>2026-09-18</t>
        </is>
      </c>
      <c r="B8853" t="inlineStr">
        <is>
          <t>F271169</t>
        </is>
      </c>
      <c r="C8853" t="inlineStr">
        <is>
          <t>C10582</t>
        </is>
      </c>
      <c r="D8853" t="inlineStr">
        <is>
          <t>SKU-10146</t>
        </is>
      </c>
      <c r="E8853" t="inlineStr">
        <is>
          <t>AM08</t>
        </is>
      </c>
      <c r="F8853" s="5" t="n">
        <v>312.04</v>
      </c>
      <c r="G8853">
        <f>IF(LEFT(B8853,1)="C","Credit","Factuur")</f>
        <v/>
      </c>
      <c r="H8853">
        <f>IF(AND(B8853=B8852,D8853=D8852,A8853=A8852,F8853=F8852),1,0)</f>
        <v/>
      </c>
      <c r="I8853">
        <f>IF(C8853="C99999",1,0)</f>
        <v/>
      </c>
      <c r="J8853" s="5">
        <f>IF(OR(H8853=1,I8853=1),0,IF(G8853="Credit",-F8853,F8853))</f>
        <v/>
      </c>
    </row>
    <row r="8854">
      <c r="A8854" t="inlineStr">
        <is>
          <t>2026-09-18</t>
        </is>
      </c>
      <c r="B8854" t="inlineStr">
        <is>
          <t>F271169</t>
        </is>
      </c>
      <c r="C8854" t="inlineStr">
        <is>
          <t>C10582</t>
        </is>
      </c>
      <c r="D8854" t="inlineStr">
        <is>
          <t>SKU-10309</t>
        </is>
      </c>
      <c r="E8854" t="inlineStr">
        <is>
          <t>AM08</t>
        </is>
      </c>
      <c r="F8854" s="5" t="n">
        <v>291.12</v>
      </c>
      <c r="G8854">
        <f>IF(LEFT(B8854,1)="C","Credit","Factuur")</f>
        <v/>
      </c>
      <c r="H8854">
        <f>IF(AND(B8854=B8853,D8854=D8853,A8854=A8853,F8854=F8853),1,0)</f>
        <v/>
      </c>
      <c r="I8854">
        <f>IF(C8854="C99999",1,0)</f>
        <v/>
      </c>
      <c r="J8854" s="5">
        <f>IF(OR(H8854=1,I8854=1),0,IF(G8854="Credit",-F8854,F8854))</f>
        <v/>
      </c>
    </row>
    <row r="8855">
      <c r="A8855" t="inlineStr">
        <is>
          <t>2026-09-18</t>
        </is>
      </c>
      <c r="B8855" t="inlineStr">
        <is>
          <t>F271206</t>
        </is>
      </c>
      <c r="C8855" t="inlineStr">
        <is>
          <t>C10583</t>
        </is>
      </c>
      <c r="D8855" t="inlineStr">
        <is>
          <t>SKU-10202</t>
        </is>
      </c>
      <c r="E8855" t="inlineStr">
        <is>
          <t>AM01</t>
        </is>
      </c>
      <c r="F8855" s="5" t="n">
        <v>202.8</v>
      </c>
      <c r="G8855">
        <f>IF(LEFT(B8855,1)="C","Credit","Factuur")</f>
        <v/>
      </c>
      <c r="H8855">
        <f>IF(AND(B8855=B8854,D8855=D8854,A8855=A8854,F8855=F8854),1,0)</f>
        <v/>
      </c>
      <c r="I8855">
        <f>IF(C8855="C99999",1,0)</f>
        <v/>
      </c>
      <c r="J8855" s="5">
        <f>IF(OR(H8855=1,I8855=1),0,IF(G8855="Credit",-F8855,F8855))</f>
        <v/>
      </c>
    </row>
    <row r="8856">
      <c r="A8856" t="inlineStr">
        <is>
          <t>2026-09-18</t>
        </is>
      </c>
      <c r="B8856" t="inlineStr">
        <is>
          <t>F271206</t>
        </is>
      </c>
      <c r="C8856" t="inlineStr">
        <is>
          <t>C10583</t>
        </is>
      </c>
      <c r="D8856" t="inlineStr">
        <is>
          <t>SKU-10279</t>
        </is>
      </c>
      <c r="E8856" t="inlineStr">
        <is>
          <t>AM01</t>
        </is>
      </c>
      <c r="F8856" s="5" t="n">
        <v>198.96</v>
      </c>
      <c r="G8856">
        <f>IF(LEFT(B8856,1)="C","Credit","Factuur")</f>
        <v/>
      </c>
      <c r="H8856">
        <f>IF(AND(B8856=B8855,D8856=D8855,A8856=A8855,F8856=F8855),1,0)</f>
        <v/>
      </c>
      <c r="I8856">
        <f>IF(C8856="C99999",1,0)</f>
        <v/>
      </c>
      <c r="J8856" s="5">
        <f>IF(OR(H8856=1,I8856=1),0,IF(G8856="Credit",-F8856,F8856))</f>
        <v/>
      </c>
    </row>
    <row r="8857">
      <c r="A8857" t="inlineStr">
        <is>
          <t>2026-09-18</t>
        </is>
      </c>
      <c r="B8857" t="inlineStr">
        <is>
          <t>F271206</t>
        </is>
      </c>
      <c r="C8857" t="inlineStr">
        <is>
          <t>C10583</t>
        </is>
      </c>
      <c r="D8857" t="inlineStr">
        <is>
          <t>SKU-10305</t>
        </is>
      </c>
      <c r="E8857" t="inlineStr">
        <is>
          <t>AM01</t>
        </is>
      </c>
      <c r="F8857" s="5" t="n">
        <v>203.05</v>
      </c>
      <c r="G8857">
        <f>IF(LEFT(B8857,1)="C","Credit","Factuur")</f>
        <v/>
      </c>
      <c r="H8857">
        <f>IF(AND(B8857=B8856,D8857=D8856,A8857=A8856,F8857=F8856),1,0)</f>
        <v/>
      </c>
      <c r="I8857">
        <f>IF(C8857="C99999",1,0)</f>
        <v/>
      </c>
      <c r="J8857" s="5">
        <f>IF(OR(H8857=1,I8857=1),0,IF(G8857="Credit",-F8857,F8857))</f>
        <v/>
      </c>
    </row>
    <row r="8858">
      <c r="A8858" t="inlineStr">
        <is>
          <t>2026-09-18</t>
        </is>
      </c>
      <c r="B8858" t="inlineStr">
        <is>
          <t>F271206</t>
        </is>
      </c>
      <c r="C8858" t="inlineStr">
        <is>
          <t>C10583</t>
        </is>
      </c>
      <c r="D8858" t="inlineStr">
        <is>
          <t>SKU-10327</t>
        </is>
      </c>
      <c r="E8858" t="inlineStr">
        <is>
          <t>AM01</t>
        </is>
      </c>
      <c r="F8858" s="5" t="n">
        <v>197.93</v>
      </c>
      <c r="G8858">
        <f>IF(LEFT(B8858,1)="C","Credit","Factuur")</f>
        <v/>
      </c>
      <c r="H8858">
        <f>IF(AND(B8858=B8857,D8858=D8857,A8858=A8857,F8858=F8857),1,0)</f>
        <v/>
      </c>
      <c r="I8858">
        <f>IF(C8858="C99999",1,0)</f>
        <v/>
      </c>
      <c r="J8858" s="5">
        <f>IF(OR(H8858=1,I8858=1),0,IF(G8858="Credit",-F8858,F8858))</f>
        <v/>
      </c>
    </row>
    <row r="8859">
      <c r="A8859" t="inlineStr">
        <is>
          <t>2026-09-18</t>
        </is>
      </c>
      <c r="B8859" t="inlineStr">
        <is>
          <t>F271243</t>
        </is>
      </c>
      <c r="C8859" t="inlineStr">
        <is>
          <t>C10584</t>
        </is>
      </c>
      <c r="D8859" t="inlineStr">
        <is>
          <t>SKU-10163</t>
        </is>
      </c>
      <c r="E8859" t="inlineStr">
        <is>
          <t>AM07</t>
        </is>
      </c>
      <c r="F8859" s="5" t="n">
        <v>971.03</v>
      </c>
      <c r="G8859">
        <f>IF(LEFT(B8859,1)="C","Credit","Factuur")</f>
        <v/>
      </c>
      <c r="H8859">
        <f>IF(AND(B8859=B8858,D8859=D8858,A8859=A8858,F8859=F8858),1,0)</f>
        <v/>
      </c>
      <c r="I8859">
        <f>IF(C8859="C99999",1,0)</f>
        <v/>
      </c>
      <c r="J8859" s="5">
        <f>IF(OR(H8859=1,I8859=1),0,IF(G8859="Credit",-F8859,F8859))</f>
        <v/>
      </c>
    </row>
    <row r="8860">
      <c r="A8860" t="inlineStr">
        <is>
          <t>2026-09-18</t>
        </is>
      </c>
      <c r="B8860" t="inlineStr">
        <is>
          <t>F271243</t>
        </is>
      </c>
      <c r="C8860" t="inlineStr">
        <is>
          <t>C10584</t>
        </is>
      </c>
      <c r="D8860" t="inlineStr">
        <is>
          <t>SKU-10237</t>
        </is>
      </c>
      <c r="E8860" t="inlineStr">
        <is>
          <t>AM07</t>
        </is>
      </c>
      <c r="F8860" s="5" t="n">
        <v>1030.79</v>
      </c>
      <c r="G8860">
        <f>IF(LEFT(B8860,1)="C","Credit","Factuur")</f>
        <v/>
      </c>
      <c r="H8860">
        <f>IF(AND(B8860=B8859,D8860=D8859,A8860=A8859,F8860=F8859),1,0)</f>
        <v/>
      </c>
      <c r="I8860">
        <f>IF(C8860="C99999",1,0)</f>
        <v/>
      </c>
      <c r="J8860" s="5">
        <f>IF(OR(H8860=1,I8860=1),0,IF(G8860="Credit",-F8860,F8860))</f>
        <v/>
      </c>
    </row>
    <row r="8861">
      <c r="A8861" t="inlineStr">
        <is>
          <t>2026-09-18</t>
        </is>
      </c>
      <c r="B8861" t="inlineStr">
        <is>
          <t>F271243</t>
        </is>
      </c>
      <c r="C8861" t="inlineStr">
        <is>
          <t>C10584</t>
        </is>
      </c>
      <c r="D8861" t="inlineStr">
        <is>
          <t>SKU-10248</t>
        </is>
      </c>
      <c r="E8861" t="inlineStr">
        <is>
          <t>AM07</t>
        </is>
      </c>
      <c r="F8861" s="5" t="n">
        <v>1088.62</v>
      </c>
      <c r="G8861">
        <f>IF(LEFT(B8861,1)="C","Credit","Factuur")</f>
        <v/>
      </c>
      <c r="H8861">
        <f>IF(AND(B8861=B8860,D8861=D8860,A8861=A8860,F8861=F8860),1,0)</f>
        <v/>
      </c>
      <c r="I8861">
        <f>IF(C8861="C99999",1,0)</f>
        <v/>
      </c>
      <c r="J8861" s="5">
        <f>IF(OR(H8861=1,I8861=1),0,IF(G8861="Credit",-F8861,F8861))</f>
        <v/>
      </c>
    </row>
    <row r="8862">
      <c r="A8862" t="inlineStr">
        <is>
          <t>2026-09-18</t>
        </is>
      </c>
      <c r="B8862" t="inlineStr">
        <is>
          <t>F271465</t>
        </is>
      </c>
      <c r="C8862" t="inlineStr">
        <is>
          <t>C10592</t>
        </is>
      </c>
      <c r="D8862" t="inlineStr">
        <is>
          <t>SKU-10080</t>
        </is>
      </c>
      <c r="E8862" t="inlineStr">
        <is>
          <t>AM07</t>
        </is>
      </c>
      <c r="F8862" s="5" t="n">
        <v>1051.65</v>
      </c>
      <c r="G8862">
        <f>IF(LEFT(B8862,1)="C","Credit","Factuur")</f>
        <v/>
      </c>
      <c r="H8862">
        <f>IF(AND(B8862=B8861,D8862=D8861,A8862=A8861,F8862=F8861),1,0)</f>
        <v/>
      </c>
      <c r="I8862">
        <f>IF(C8862="C99999",1,0)</f>
        <v/>
      </c>
      <c r="J8862" s="5">
        <f>IF(OR(H8862=1,I8862=1),0,IF(G8862="Credit",-F8862,F8862))</f>
        <v/>
      </c>
    </row>
    <row r="8863">
      <c r="A8863" t="inlineStr">
        <is>
          <t>2026-09-18</t>
        </is>
      </c>
      <c r="B8863" t="inlineStr">
        <is>
          <t>F271465</t>
        </is>
      </c>
      <c r="C8863" t="inlineStr">
        <is>
          <t>C10592</t>
        </is>
      </c>
      <c r="D8863" t="inlineStr">
        <is>
          <t>SKU-10165</t>
        </is>
      </c>
      <c r="E8863" t="inlineStr">
        <is>
          <t>AM07</t>
        </is>
      </c>
      <c r="F8863" s="5" t="n">
        <v>1012.49</v>
      </c>
      <c r="G8863">
        <f>IF(LEFT(B8863,1)="C","Credit","Factuur")</f>
        <v/>
      </c>
      <c r="H8863">
        <f>IF(AND(B8863=B8862,D8863=D8862,A8863=A8862,F8863=F8862),1,0)</f>
        <v/>
      </c>
      <c r="I8863">
        <f>IF(C8863="C99999",1,0)</f>
        <v/>
      </c>
      <c r="J8863" s="5">
        <f>IF(OR(H8863=1,I8863=1),0,IF(G8863="Credit",-F8863,F8863))</f>
        <v/>
      </c>
    </row>
    <row r="8864">
      <c r="A8864" t="inlineStr">
        <is>
          <t>2026-09-18</t>
        </is>
      </c>
      <c r="B8864" t="inlineStr">
        <is>
          <t>F271465</t>
        </is>
      </c>
      <c r="C8864" t="inlineStr">
        <is>
          <t>C10592</t>
        </is>
      </c>
      <c r="D8864" t="inlineStr">
        <is>
          <t>SKU-10196</t>
        </is>
      </c>
      <c r="E8864" t="inlineStr">
        <is>
          <t>AM07</t>
        </is>
      </c>
      <c r="F8864" s="5" t="n">
        <v>1058.46</v>
      </c>
      <c r="G8864">
        <f>IF(LEFT(B8864,1)="C","Credit","Factuur")</f>
        <v/>
      </c>
      <c r="H8864">
        <f>IF(AND(B8864=B8863,D8864=D8863,A8864=A8863,F8864=F8863),1,0)</f>
        <v/>
      </c>
      <c r="I8864">
        <f>IF(C8864="C99999",1,0)</f>
        <v/>
      </c>
      <c r="J8864" s="5">
        <f>IF(OR(H8864=1,I8864=1),0,IF(G8864="Credit",-F8864,F8864))</f>
        <v/>
      </c>
    </row>
    <row r="8865">
      <c r="A8865" t="inlineStr">
        <is>
          <t>2026-09-18</t>
        </is>
      </c>
      <c r="B8865" t="inlineStr">
        <is>
          <t>F271465</t>
        </is>
      </c>
      <c r="C8865" t="inlineStr">
        <is>
          <t>C10592</t>
        </is>
      </c>
      <c r="D8865" t="inlineStr">
        <is>
          <t>SKU-10203</t>
        </is>
      </c>
      <c r="E8865" t="inlineStr">
        <is>
          <t>AM07</t>
        </is>
      </c>
      <c r="F8865" s="5" t="n">
        <v>1069.92</v>
      </c>
      <c r="G8865">
        <f>IF(LEFT(B8865,1)="C","Credit","Factuur")</f>
        <v/>
      </c>
      <c r="H8865">
        <f>IF(AND(B8865=B8864,D8865=D8864,A8865=A8864,F8865=F8864),1,0)</f>
        <v/>
      </c>
      <c r="I8865">
        <f>IF(C8865="C99999",1,0)</f>
        <v/>
      </c>
      <c r="J8865" s="5">
        <f>IF(OR(H8865=1,I8865=1),0,IF(G8865="Credit",-F8865,F8865))</f>
        <v/>
      </c>
    </row>
    <row r="8866">
      <c r="A8866" t="inlineStr">
        <is>
          <t>2026-09-18</t>
        </is>
      </c>
      <c r="B8866" t="inlineStr">
        <is>
          <t>F271518</t>
        </is>
      </c>
      <c r="C8866" t="inlineStr">
        <is>
          <t>C10595</t>
        </is>
      </c>
      <c r="D8866" t="inlineStr">
        <is>
          <t>SKU-10051</t>
        </is>
      </c>
      <c r="E8866" t="inlineStr">
        <is>
          <t>AM01</t>
        </is>
      </c>
      <c r="F8866" s="5" t="n">
        <v>769.2</v>
      </c>
      <c r="G8866">
        <f>IF(LEFT(B8866,1)="C","Credit","Factuur")</f>
        <v/>
      </c>
      <c r="H8866">
        <f>IF(AND(B8866=B8865,D8866=D8865,A8866=A8865,F8866=F8865),1,0)</f>
        <v/>
      </c>
      <c r="I8866">
        <f>IF(C8866="C99999",1,0)</f>
        <v/>
      </c>
      <c r="J8866" s="5">
        <f>IF(OR(H8866=1,I8866=1),0,IF(G8866="Credit",-F8866,F8866))</f>
        <v/>
      </c>
    </row>
    <row r="8867">
      <c r="A8867" t="inlineStr">
        <is>
          <t>2026-09-18</t>
        </is>
      </c>
      <c r="B8867" t="inlineStr">
        <is>
          <t>F271580</t>
        </is>
      </c>
      <c r="C8867" t="inlineStr">
        <is>
          <t>C10596</t>
        </is>
      </c>
      <c r="D8867" t="inlineStr">
        <is>
          <t>SKU-10033</t>
        </is>
      </c>
      <c r="E8867" t="inlineStr">
        <is>
          <t>AM01</t>
        </is>
      </c>
      <c r="F8867" s="5" t="n">
        <v>137.32</v>
      </c>
      <c r="G8867">
        <f>IF(LEFT(B8867,1)="C","Credit","Factuur")</f>
        <v/>
      </c>
      <c r="H8867">
        <f>IF(AND(B8867=B8866,D8867=D8866,A8867=A8866,F8867=F8866),1,0)</f>
        <v/>
      </c>
      <c r="I8867">
        <f>IF(C8867="C99999",1,0)</f>
        <v/>
      </c>
      <c r="J8867" s="5">
        <f>IF(OR(H8867=1,I8867=1),0,IF(G8867="Credit",-F8867,F8867))</f>
        <v/>
      </c>
    </row>
    <row r="8868">
      <c r="A8868" t="inlineStr">
        <is>
          <t>2026-09-18</t>
        </is>
      </c>
      <c r="B8868" t="inlineStr">
        <is>
          <t>F271580</t>
        </is>
      </c>
      <c r="C8868" t="inlineStr">
        <is>
          <t>C10596</t>
        </is>
      </c>
      <c r="D8868" t="inlineStr">
        <is>
          <t>SKU-10268</t>
        </is>
      </c>
      <c r="E8868" t="inlineStr">
        <is>
          <t>AM01</t>
        </is>
      </c>
      <c r="F8868" s="5" t="n">
        <v>164.48</v>
      </c>
      <c r="G8868">
        <f>IF(LEFT(B8868,1)="C","Credit","Factuur")</f>
        <v/>
      </c>
      <c r="H8868">
        <f>IF(AND(B8868=B8867,D8868=D8867,A8868=A8867,F8868=F8867),1,0)</f>
        <v/>
      </c>
      <c r="I8868">
        <f>IF(C8868="C99999",1,0)</f>
        <v/>
      </c>
      <c r="J8868" s="5">
        <f>IF(OR(H8868=1,I8868=1),0,IF(G8868="Credit",-F8868,F8868))</f>
        <v/>
      </c>
    </row>
    <row r="8869">
      <c r="A8869" t="inlineStr">
        <is>
          <t>2026-09-18</t>
        </is>
      </c>
      <c r="B8869" t="inlineStr">
        <is>
          <t>F271580</t>
        </is>
      </c>
      <c r="C8869" t="inlineStr">
        <is>
          <t>C10596</t>
        </is>
      </c>
      <c r="D8869" t="inlineStr">
        <is>
          <t>SKU-10277</t>
        </is>
      </c>
      <c r="E8869" t="inlineStr">
        <is>
          <t>AM01</t>
        </is>
      </c>
      <c r="F8869" s="5" t="n">
        <v>151.09</v>
      </c>
      <c r="G8869">
        <f>IF(LEFT(B8869,1)="C","Credit","Factuur")</f>
        <v/>
      </c>
      <c r="H8869">
        <f>IF(AND(B8869=B8868,D8869=D8868,A8869=A8868,F8869=F8868),1,0)</f>
        <v/>
      </c>
      <c r="I8869">
        <f>IF(C8869="C99999",1,0)</f>
        <v/>
      </c>
      <c r="J8869" s="5">
        <f>IF(OR(H8869=1,I8869=1),0,IF(G8869="Credit",-F8869,F8869))</f>
        <v/>
      </c>
    </row>
    <row r="8870">
      <c r="A8870" t="inlineStr">
        <is>
          <t>2026-09-18</t>
        </is>
      </c>
      <c r="B8870" t="inlineStr">
        <is>
          <t>F271594</t>
        </is>
      </c>
      <c r="C8870" t="inlineStr">
        <is>
          <t>C10597</t>
        </is>
      </c>
      <c r="D8870" t="inlineStr">
        <is>
          <t>SKU-10080</t>
        </is>
      </c>
      <c r="E8870" t="inlineStr">
        <is>
          <t>AM07</t>
        </is>
      </c>
      <c r="F8870" s="5" t="n">
        <v>1383.75</v>
      </c>
      <c r="G8870">
        <f>IF(LEFT(B8870,1)="C","Credit","Factuur")</f>
        <v/>
      </c>
      <c r="H8870">
        <f>IF(AND(B8870=B8869,D8870=D8869,A8870=A8869,F8870=F8869),1,0)</f>
        <v/>
      </c>
      <c r="I8870">
        <f>IF(C8870="C99999",1,0)</f>
        <v/>
      </c>
      <c r="J8870" s="5">
        <f>IF(OR(H8870=1,I8870=1),0,IF(G8870="Credit",-F8870,F8870))</f>
        <v/>
      </c>
    </row>
    <row r="8871">
      <c r="A8871" t="inlineStr">
        <is>
          <t>2026-09-18</t>
        </is>
      </c>
      <c r="B8871" t="inlineStr">
        <is>
          <t>F272042</t>
        </is>
      </c>
      <c r="C8871" t="inlineStr">
        <is>
          <t>C10621</t>
        </is>
      </c>
      <c r="D8871" t="inlineStr">
        <is>
          <t>SKU-10376</t>
        </is>
      </c>
      <c r="E8871" t="inlineStr">
        <is>
          <t>AM09</t>
        </is>
      </c>
      <c r="F8871" s="5" t="n">
        <v>8677.200000000001</v>
      </c>
      <c r="G8871">
        <f>IF(LEFT(B8871,1)="C","Credit","Factuur")</f>
        <v/>
      </c>
      <c r="H8871">
        <f>IF(AND(B8871=B8870,D8871=D8870,A8871=A8870,F8871=F8870),1,0)</f>
        <v/>
      </c>
      <c r="I8871">
        <f>IF(C8871="C99999",1,0)</f>
        <v/>
      </c>
      <c r="J8871" s="5">
        <f>IF(OR(H8871=1,I8871=1),0,IF(G8871="Credit",-F8871,F8871))</f>
        <v/>
      </c>
    </row>
    <row r="8872">
      <c r="A8872" t="inlineStr">
        <is>
          <t>2026-09-18</t>
        </is>
      </c>
      <c r="B8872" t="inlineStr">
        <is>
          <t>F272237</t>
        </is>
      </c>
      <c r="C8872" t="inlineStr">
        <is>
          <t>C10633</t>
        </is>
      </c>
      <c r="D8872" t="inlineStr">
        <is>
          <t>SKU-10054</t>
        </is>
      </c>
      <c r="E8872" t="inlineStr">
        <is>
          <t>AM03</t>
        </is>
      </c>
      <c r="F8872" s="5" t="n">
        <v>1811.4</v>
      </c>
      <c r="G8872">
        <f>IF(LEFT(B8872,1)="C","Credit","Factuur")</f>
        <v/>
      </c>
      <c r="H8872">
        <f>IF(AND(B8872=B8871,D8872=D8871,A8872=A8871,F8872=F8871),1,0)</f>
        <v/>
      </c>
      <c r="I8872">
        <f>IF(C8872="C99999",1,0)</f>
        <v/>
      </c>
      <c r="J8872" s="5">
        <f>IF(OR(H8872=1,I8872=1),0,IF(G8872="Credit",-F8872,F8872))</f>
        <v/>
      </c>
    </row>
    <row r="8873">
      <c r="A8873" t="inlineStr">
        <is>
          <t>2026-09-18</t>
        </is>
      </c>
      <c r="B8873" t="inlineStr">
        <is>
          <t>F272310</t>
        </is>
      </c>
      <c r="C8873" t="inlineStr">
        <is>
          <t>C10637</t>
        </is>
      </c>
      <c r="D8873" t="inlineStr">
        <is>
          <t>SKU-10030</t>
        </is>
      </c>
      <c r="E8873" t="inlineStr">
        <is>
          <t>AM02</t>
        </is>
      </c>
      <c r="F8873" s="5" t="n">
        <v>123.65</v>
      </c>
      <c r="G8873">
        <f>IF(LEFT(B8873,1)="C","Credit","Factuur")</f>
        <v/>
      </c>
      <c r="H8873">
        <f>IF(AND(B8873=B8872,D8873=D8872,A8873=A8872,F8873=F8872),1,0)</f>
        <v/>
      </c>
      <c r="I8873">
        <f>IF(C8873="C99999",1,0)</f>
        <v/>
      </c>
      <c r="J8873" s="5">
        <f>IF(OR(H8873=1,I8873=1),0,IF(G8873="Credit",-F8873,F8873))</f>
        <v/>
      </c>
    </row>
    <row r="8874">
      <c r="A8874" t="inlineStr">
        <is>
          <t>2026-09-18</t>
        </is>
      </c>
      <c r="B8874" t="inlineStr">
        <is>
          <t>F272310</t>
        </is>
      </c>
      <c r="C8874" t="inlineStr">
        <is>
          <t>C10637</t>
        </is>
      </c>
      <c r="D8874" t="inlineStr">
        <is>
          <t>SKU-10151</t>
        </is>
      </c>
      <c r="E8874" t="inlineStr">
        <is>
          <t>AM02</t>
        </is>
      </c>
      <c r="F8874" s="5" t="n">
        <v>130.47</v>
      </c>
      <c r="G8874">
        <f>IF(LEFT(B8874,1)="C","Credit","Factuur")</f>
        <v/>
      </c>
      <c r="H8874">
        <f>IF(AND(B8874=B8873,D8874=D8873,A8874=A8873,F8874=F8873),1,0)</f>
        <v/>
      </c>
      <c r="I8874">
        <f>IF(C8874="C99999",1,0)</f>
        <v/>
      </c>
      <c r="J8874" s="5">
        <f>IF(OR(H8874=1,I8874=1),0,IF(G8874="Credit",-F8874,F8874))</f>
        <v/>
      </c>
    </row>
    <row r="8875">
      <c r="A8875" t="inlineStr">
        <is>
          <t>2026-09-18</t>
        </is>
      </c>
      <c r="B8875" t="inlineStr">
        <is>
          <t>F272310</t>
        </is>
      </c>
      <c r="C8875" t="inlineStr">
        <is>
          <t>C10637</t>
        </is>
      </c>
      <c r="D8875" t="inlineStr">
        <is>
          <t>SKU-10241</t>
        </is>
      </c>
      <c r="E8875" t="inlineStr">
        <is>
          <t>AM02</t>
        </is>
      </c>
      <c r="F8875" s="5" t="n">
        <v>130.6</v>
      </c>
      <c r="G8875">
        <f>IF(LEFT(B8875,1)="C","Credit","Factuur")</f>
        <v/>
      </c>
      <c r="H8875">
        <f>IF(AND(B8875=B8874,D8875=D8874,A8875=A8874,F8875=F8874),1,0)</f>
        <v/>
      </c>
      <c r="I8875">
        <f>IF(C8875="C99999",1,0)</f>
        <v/>
      </c>
      <c r="J8875" s="5">
        <f>IF(OR(H8875=1,I8875=1),0,IF(G8875="Credit",-F8875,F8875))</f>
        <v/>
      </c>
    </row>
    <row r="8876">
      <c r="A8876" t="inlineStr">
        <is>
          <t>2026-09-18</t>
        </is>
      </c>
      <c r="B8876" t="inlineStr">
        <is>
          <t>F272310</t>
        </is>
      </c>
      <c r="C8876" t="inlineStr">
        <is>
          <t>C10637</t>
        </is>
      </c>
      <c r="D8876" t="inlineStr">
        <is>
          <t>SKU-10322</t>
        </is>
      </c>
      <c r="E8876" t="inlineStr">
        <is>
          <t>AM02</t>
        </is>
      </c>
      <c r="F8876" s="5" t="n">
        <v>108.44</v>
      </c>
      <c r="G8876">
        <f>IF(LEFT(B8876,1)="C","Credit","Factuur")</f>
        <v/>
      </c>
      <c r="H8876">
        <f>IF(AND(B8876=B8875,D8876=D8875,A8876=A8875,F8876=F8875),1,0)</f>
        <v/>
      </c>
      <c r="I8876">
        <f>IF(C8876="C99999",1,0)</f>
        <v/>
      </c>
      <c r="J8876" s="5">
        <f>IF(OR(H8876=1,I8876=1),0,IF(G8876="Credit",-F8876,F8876))</f>
        <v/>
      </c>
    </row>
    <row r="8877">
      <c r="A8877" t="inlineStr">
        <is>
          <t>2026-09-18</t>
        </is>
      </c>
      <c r="B8877" t="inlineStr">
        <is>
          <t>F272871</t>
        </is>
      </c>
      <c r="C8877" t="inlineStr">
        <is>
          <t>C10670</t>
        </is>
      </c>
      <c r="D8877" t="inlineStr">
        <is>
          <t>SKU-10306</t>
        </is>
      </c>
      <c r="E8877" t="inlineStr">
        <is>
          <t>AM03</t>
        </is>
      </c>
      <c r="F8877" s="5" t="n">
        <v>895.83</v>
      </c>
      <c r="G8877">
        <f>IF(LEFT(B8877,1)="C","Credit","Factuur")</f>
        <v/>
      </c>
      <c r="H8877">
        <f>IF(AND(B8877=B8876,D8877=D8876,A8877=A8876,F8877=F8876),1,0)</f>
        <v/>
      </c>
      <c r="I8877">
        <f>IF(C8877="C99999",1,0)</f>
        <v/>
      </c>
      <c r="J8877" s="5">
        <f>IF(OR(H8877=1,I8877=1),0,IF(G8877="Credit",-F8877,F8877))</f>
        <v/>
      </c>
    </row>
    <row r="8878">
      <c r="A8878" t="inlineStr">
        <is>
          <t>2026-09-18</t>
        </is>
      </c>
      <c r="B8878" t="inlineStr">
        <is>
          <t>F272879</t>
        </is>
      </c>
      <c r="C8878" t="inlineStr">
        <is>
          <t>C10670</t>
        </is>
      </c>
      <c r="D8878" t="inlineStr">
        <is>
          <t>SKU-10255</t>
        </is>
      </c>
      <c r="E8878" t="inlineStr">
        <is>
          <t>AM03</t>
        </is>
      </c>
      <c r="F8878" s="5" t="n">
        <v>302</v>
      </c>
      <c r="G8878">
        <f>IF(LEFT(B8878,1)="C","Credit","Factuur")</f>
        <v/>
      </c>
      <c r="H8878">
        <f>IF(AND(B8878=B8877,D8878=D8877,A8878=A8877,F8878=F8877),1,0)</f>
        <v/>
      </c>
      <c r="I8878">
        <f>IF(C8878="C99999",1,0)</f>
        <v/>
      </c>
      <c r="J8878" s="5">
        <f>IF(OR(H8878=1,I8878=1),0,IF(G8878="Credit",-F8878,F8878))</f>
        <v/>
      </c>
    </row>
    <row r="8879">
      <c r="A8879" t="inlineStr">
        <is>
          <t>2026-09-18</t>
        </is>
      </c>
      <c r="B8879" t="inlineStr">
        <is>
          <t>F272879</t>
        </is>
      </c>
      <c r="C8879" t="inlineStr">
        <is>
          <t>C10670</t>
        </is>
      </c>
      <c r="D8879" t="inlineStr">
        <is>
          <t>SKU-10267</t>
        </is>
      </c>
      <c r="E8879" t="inlineStr">
        <is>
          <t>AM03</t>
        </is>
      </c>
      <c r="F8879" s="5" t="n">
        <v>336.98</v>
      </c>
      <c r="G8879">
        <f>IF(LEFT(B8879,1)="C","Credit","Factuur")</f>
        <v/>
      </c>
      <c r="H8879">
        <f>IF(AND(B8879=B8878,D8879=D8878,A8879=A8878,F8879=F8878),1,0)</f>
        <v/>
      </c>
      <c r="I8879">
        <f>IF(C8879="C99999",1,0)</f>
        <v/>
      </c>
      <c r="J8879" s="5">
        <f>IF(OR(H8879=1,I8879=1),0,IF(G8879="Credit",-F8879,F8879))</f>
        <v/>
      </c>
    </row>
    <row r="8880">
      <c r="A8880" t="inlineStr">
        <is>
          <t>2026-09-18</t>
        </is>
      </c>
      <c r="B8880" t="inlineStr">
        <is>
          <t>F272983</t>
        </is>
      </c>
      <c r="C8880" t="inlineStr">
        <is>
          <t>C10676</t>
        </is>
      </c>
      <c r="D8880" t="inlineStr">
        <is>
          <t>SKU-10091</t>
        </is>
      </c>
      <c r="E8880" t="inlineStr">
        <is>
          <t>AM05</t>
        </is>
      </c>
      <c r="F8880" s="5" t="n">
        <v>117.43</v>
      </c>
      <c r="G8880">
        <f>IF(LEFT(B8880,1)="C","Credit","Factuur")</f>
        <v/>
      </c>
      <c r="H8880">
        <f>IF(AND(B8880=B8879,D8880=D8879,A8880=A8879,F8880=F8879),1,0)</f>
        <v/>
      </c>
      <c r="I8880">
        <f>IF(C8880="C99999",1,0)</f>
        <v/>
      </c>
      <c r="J8880" s="5">
        <f>IF(OR(H8880=1,I8880=1),0,IF(G8880="Credit",-F8880,F8880))</f>
        <v/>
      </c>
    </row>
    <row r="8881">
      <c r="A8881" t="inlineStr">
        <is>
          <t>2026-09-18</t>
        </is>
      </c>
      <c r="B8881" t="inlineStr">
        <is>
          <t>F272983</t>
        </is>
      </c>
      <c r="C8881" t="inlineStr">
        <is>
          <t>C10676</t>
        </is>
      </c>
      <c r="D8881" t="inlineStr">
        <is>
          <t>SKU-10170</t>
        </is>
      </c>
      <c r="E8881" t="inlineStr"/>
      <c r="F8881" s="5" t="n">
        <v>49.76</v>
      </c>
      <c r="G8881">
        <f>IF(LEFT(B8881,1)="C","Credit","Factuur")</f>
        <v/>
      </c>
      <c r="H8881">
        <f>IF(AND(B8881=B8880,D8881=D8880,A8881=A8880,F8881=F8880),1,0)</f>
        <v/>
      </c>
      <c r="I8881">
        <f>IF(C8881="C99999",1,0)</f>
        <v/>
      </c>
      <c r="J8881" s="5">
        <f>IF(OR(H8881=1,I8881=1),0,IF(G8881="Credit",-F8881,F8881))</f>
        <v/>
      </c>
    </row>
    <row r="8882">
      <c r="A8882" t="inlineStr">
        <is>
          <t>2026-09-18</t>
        </is>
      </c>
      <c r="B8882" t="inlineStr">
        <is>
          <t>F272983</t>
        </is>
      </c>
      <c r="C8882" t="inlineStr">
        <is>
          <t>C10676</t>
        </is>
      </c>
      <c r="D8882" t="inlineStr">
        <is>
          <t>SKU-10268</t>
        </is>
      </c>
      <c r="E8882" t="inlineStr">
        <is>
          <t>AM05</t>
        </is>
      </c>
      <c r="F8882" s="5" t="n">
        <v>39.06</v>
      </c>
      <c r="G8882">
        <f>IF(LEFT(B8882,1)="C","Credit","Factuur")</f>
        <v/>
      </c>
      <c r="H8882">
        <f>IF(AND(B8882=B8881,D8882=D8881,A8882=A8881,F8882=F8881),1,0)</f>
        <v/>
      </c>
      <c r="I8882">
        <f>IF(C8882="C99999",1,0)</f>
        <v/>
      </c>
      <c r="J8882" s="5">
        <f>IF(OR(H8882=1,I8882=1),0,IF(G8882="Credit",-F8882,F8882))</f>
        <v/>
      </c>
    </row>
    <row r="8883">
      <c r="A8883" t="inlineStr">
        <is>
          <t>2026-09-18</t>
        </is>
      </c>
      <c r="B8883" t="inlineStr">
        <is>
          <t>F272983</t>
        </is>
      </c>
      <c r="C8883" t="inlineStr">
        <is>
          <t>C10676</t>
        </is>
      </c>
      <c r="D8883" t="inlineStr">
        <is>
          <t>SKU-10368</t>
        </is>
      </c>
      <c r="E8883" t="inlineStr">
        <is>
          <t>AM05</t>
        </is>
      </c>
      <c r="F8883" s="5" t="n">
        <v>576.3</v>
      </c>
      <c r="G8883">
        <f>IF(LEFT(B8883,1)="C","Credit","Factuur")</f>
        <v/>
      </c>
      <c r="H8883">
        <f>IF(AND(B8883=B8882,D8883=D8882,A8883=A8882,F8883=F8882),1,0)</f>
        <v/>
      </c>
      <c r="I8883">
        <f>IF(C8883="C99999",1,0)</f>
        <v/>
      </c>
      <c r="J8883" s="5">
        <f>IF(OR(H8883=1,I8883=1),0,IF(G8883="Credit",-F8883,F8883))</f>
        <v/>
      </c>
    </row>
    <row r="8884">
      <c r="A8884" t="inlineStr">
        <is>
          <t>2026-09-18</t>
        </is>
      </c>
      <c r="B8884" t="inlineStr">
        <is>
          <t>F273222</t>
        </is>
      </c>
      <c r="C8884" t="inlineStr">
        <is>
          <t>C10690</t>
        </is>
      </c>
      <c r="D8884" t="inlineStr">
        <is>
          <t>SKU-10025</t>
        </is>
      </c>
      <c r="E8884" t="inlineStr">
        <is>
          <t>IS02</t>
        </is>
      </c>
      <c r="F8884" s="5" t="n">
        <v>32.63</v>
      </c>
      <c r="G8884">
        <f>IF(LEFT(B8884,1)="C","Credit","Factuur")</f>
        <v/>
      </c>
      <c r="H8884">
        <f>IF(AND(B8884=B8883,D8884=D8883,A8884=A8883,F8884=F8883),1,0)</f>
        <v/>
      </c>
      <c r="I8884">
        <f>IF(C8884="C99999",1,0)</f>
        <v/>
      </c>
      <c r="J8884" s="5">
        <f>IF(OR(H8884=1,I8884=1),0,IF(G8884="Credit",-F8884,F8884))</f>
        <v/>
      </c>
    </row>
    <row r="8885">
      <c r="A8885" t="inlineStr">
        <is>
          <t>2026-09-18</t>
        </is>
      </c>
      <c r="B8885" t="inlineStr">
        <is>
          <t>F273222</t>
        </is>
      </c>
      <c r="C8885" t="inlineStr">
        <is>
          <t>C10690</t>
        </is>
      </c>
      <c r="D8885" t="inlineStr">
        <is>
          <t>SKU-10033</t>
        </is>
      </c>
      <c r="E8885" t="inlineStr">
        <is>
          <t>IS02</t>
        </is>
      </c>
      <c r="F8885" s="5" t="n">
        <v>43.08</v>
      </c>
      <c r="G8885">
        <f>IF(LEFT(B8885,1)="C","Credit","Factuur")</f>
        <v/>
      </c>
      <c r="H8885">
        <f>IF(AND(B8885=B8884,D8885=D8884,A8885=A8884,F8885=F8884),1,0)</f>
        <v/>
      </c>
      <c r="I8885">
        <f>IF(C8885="C99999",1,0)</f>
        <v/>
      </c>
      <c r="J8885" s="5">
        <f>IF(OR(H8885=1,I8885=1),0,IF(G8885="Credit",-F8885,F8885))</f>
        <v/>
      </c>
    </row>
    <row r="8886">
      <c r="A8886" t="inlineStr">
        <is>
          <t>2026-09-18</t>
        </is>
      </c>
      <c r="B8886" t="inlineStr">
        <is>
          <t>F273222</t>
        </is>
      </c>
      <c r="C8886" t="inlineStr">
        <is>
          <t>C10690</t>
        </is>
      </c>
      <c r="D8886" t="inlineStr">
        <is>
          <t>SKU-10043</t>
        </is>
      </c>
      <c r="E8886" t="inlineStr">
        <is>
          <t>IS02</t>
        </is>
      </c>
      <c r="F8886" s="5" t="n">
        <v>44.52</v>
      </c>
      <c r="G8886">
        <f>IF(LEFT(B8886,1)="C","Credit","Factuur")</f>
        <v/>
      </c>
      <c r="H8886">
        <f>IF(AND(B8886=B8885,D8886=D8885,A8886=A8885,F8886=F8885),1,0)</f>
        <v/>
      </c>
      <c r="I8886">
        <f>IF(C8886="C99999",1,0)</f>
        <v/>
      </c>
      <c r="J8886" s="5">
        <f>IF(OR(H8886=1,I8886=1),0,IF(G8886="Credit",-F8886,F8886))</f>
        <v/>
      </c>
    </row>
    <row r="8887">
      <c r="A8887" t="inlineStr">
        <is>
          <t>2026-09-18</t>
        </is>
      </c>
      <c r="B8887" t="inlineStr">
        <is>
          <t>F273222</t>
        </is>
      </c>
      <c r="C8887" t="inlineStr">
        <is>
          <t>C10690</t>
        </is>
      </c>
      <c r="D8887" t="inlineStr">
        <is>
          <t>SKU-10181</t>
        </is>
      </c>
      <c r="E8887" t="inlineStr">
        <is>
          <t>IS02</t>
        </is>
      </c>
      <c r="F8887" s="5" t="n">
        <v>43.73</v>
      </c>
      <c r="G8887">
        <f>IF(LEFT(B8887,1)="C","Credit","Factuur")</f>
        <v/>
      </c>
      <c r="H8887">
        <f>IF(AND(B8887=B8886,D8887=D8886,A8887=A8886,F8887=F8886),1,0)</f>
        <v/>
      </c>
      <c r="I8887">
        <f>IF(C8887="C99999",1,0)</f>
        <v/>
      </c>
      <c r="J8887" s="5">
        <f>IF(OR(H8887=1,I8887=1),0,IF(G8887="Credit",-F8887,F8887))</f>
        <v/>
      </c>
    </row>
    <row r="8888">
      <c r="A8888" t="inlineStr">
        <is>
          <t>2026-09-18</t>
        </is>
      </c>
      <c r="B8888" t="inlineStr">
        <is>
          <t>F273360</t>
        </is>
      </c>
      <c r="C8888" t="inlineStr">
        <is>
          <t>C10700</t>
        </is>
      </c>
      <c r="D8888" t="inlineStr">
        <is>
          <t>SKU-10008</t>
        </is>
      </c>
      <c r="E8888" t="inlineStr">
        <is>
          <t>AM11</t>
        </is>
      </c>
      <c r="F8888" s="5" t="n">
        <v>93.37</v>
      </c>
      <c r="G8888">
        <f>IF(LEFT(B8888,1)="C","Credit","Factuur")</f>
        <v/>
      </c>
      <c r="H8888">
        <f>IF(AND(B8888=B8887,D8888=D8887,A8888=A8887,F8888=F8887),1,0)</f>
        <v/>
      </c>
      <c r="I8888">
        <f>IF(C8888="C99999",1,0)</f>
        <v/>
      </c>
      <c r="J8888" s="5">
        <f>IF(OR(H8888=1,I8888=1),0,IF(G8888="Credit",-F8888,F8888))</f>
        <v/>
      </c>
    </row>
    <row r="8889">
      <c r="A8889" t="inlineStr">
        <is>
          <t>2026-09-18</t>
        </is>
      </c>
      <c r="B8889" t="inlineStr">
        <is>
          <t>F273360</t>
        </is>
      </c>
      <c r="C8889" t="inlineStr">
        <is>
          <t>C10700</t>
        </is>
      </c>
      <c r="D8889" t="inlineStr">
        <is>
          <t>SKU-10036</t>
        </is>
      </c>
      <c r="E8889" t="inlineStr">
        <is>
          <t>AM11</t>
        </is>
      </c>
      <c r="F8889" s="5" t="n">
        <v>88.7</v>
      </c>
      <c r="G8889">
        <f>IF(LEFT(B8889,1)="C","Credit","Factuur")</f>
        <v/>
      </c>
      <c r="H8889">
        <f>IF(AND(B8889=B8888,D8889=D8888,A8889=A8888,F8889=F8888),1,0)</f>
        <v/>
      </c>
      <c r="I8889">
        <f>IF(C8889="C99999",1,0)</f>
        <v/>
      </c>
      <c r="J8889" s="5">
        <f>IF(OR(H8889=1,I8889=1),0,IF(G8889="Credit",-F8889,F8889))</f>
        <v/>
      </c>
    </row>
    <row r="8890">
      <c r="A8890" t="inlineStr">
        <is>
          <t>2026-09-18</t>
        </is>
      </c>
      <c r="B8890" t="inlineStr">
        <is>
          <t>F273360</t>
        </is>
      </c>
      <c r="C8890" t="inlineStr">
        <is>
          <t>C10700</t>
        </is>
      </c>
      <c r="D8890" t="inlineStr">
        <is>
          <t>SKU-10121</t>
        </is>
      </c>
      <c r="E8890" t="inlineStr">
        <is>
          <t>AM11</t>
        </is>
      </c>
      <c r="F8890" s="5" t="n">
        <v>64.93000000000001</v>
      </c>
      <c r="G8890">
        <f>IF(LEFT(B8890,1)="C","Credit","Factuur")</f>
        <v/>
      </c>
      <c r="H8890">
        <f>IF(AND(B8890=B8889,D8890=D8889,A8890=A8889,F8890=F8889),1,0)</f>
        <v/>
      </c>
      <c r="I8890">
        <f>IF(C8890="C99999",1,0)</f>
        <v/>
      </c>
      <c r="J8890" s="5">
        <f>IF(OR(H8890=1,I8890=1),0,IF(G8890="Credit",-F8890,F8890))</f>
        <v/>
      </c>
    </row>
    <row r="8891">
      <c r="A8891" t="inlineStr">
        <is>
          <t>2026-09-18</t>
        </is>
      </c>
      <c r="B8891" t="inlineStr">
        <is>
          <t>F273360</t>
        </is>
      </c>
      <c r="C8891" t="inlineStr">
        <is>
          <t>C10700</t>
        </is>
      </c>
      <c r="D8891" t="inlineStr">
        <is>
          <t>SKU-10168</t>
        </is>
      </c>
      <c r="E8891" t="inlineStr">
        <is>
          <t>AM11</t>
        </is>
      </c>
      <c r="F8891" s="5" t="n">
        <v>69.56</v>
      </c>
      <c r="G8891">
        <f>IF(LEFT(B8891,1)="C","Credit","Factuur")</f>
        <v/>
      </c>
      <c r="H8891">
        <f>IF(AND(B8891=B8890,D8891=D8890,A8891=A8890,F8891=F8890),1,0)</f>
        <v/>
      </c>
      <c r="I8891">
        <f>IF(C8891="C99999",1,0)</f>
        <v/>
      </c>
      <c r="J8891" s="5">
        <f>IF(OR(H8891=1,I8891=1),0,IF(G8891="Credit",-F8891,F8891))</f>
        <v/>
      </c>
    </row>
    <row r="8892">
      <c r="A8892" t="inlineStr">
        <is>
          <t>2026-09-18</t>
        </is>
      </c>
      <c r="B8892" t="inlineStr">
        <is>
          <t>F273360</t>
        </is>
      </c>
      <c r="C8892" t="inlineStr">
        <is>
          <t>C10700</t>
        </is>
      </c>
      <c r="D8892" t="inlineStr">
        <is>
          <t>SKU-10199</t>
        </is>
      </c>
      <c r="E8892" t="inlineStr">
        <is>
          <t>AM11</t>
        </is>
      </c>
      <c r="F8892" s="5" t="n">
        <v>85.38</v>
      </c>
      <c r="G8892">
        <f>IF(LEFT(B8892,1)="C","Credit","Factuur")</f>
        <v/>
      </c>
      <c r="H8892">
        <f>IF(AND(B8892=B8891,D8892=D8891,A8892=A8891,F8892=F8891),1,0)</f>
        <v/>
      </c>
      <c r="I8892">
        <f>IF(C8892="C99999",1,0)</f>
        <v/>
      </c>
      <c r="J8892" s="5">
        <f>IF(OR(H8892=1,I8892=1),0,IF(G8892="Credit",-F8892,F8892))</f>
        <v/>
      </c>
    </row>
    <row r="8893">
      <c r="A8893" t="inlineStr">
        <is>
          <t>2026-09-18</t>
        </is>
      </c>
      <c r="B8893" t="inlineStr">
        <is>
          <t>F273402</t>
        </is>
      </c>
      <c r="C8893" t="inlineStr">
        <is>
          <t>C10701</t>
        </is>
      </c>
      <c r="D8893" t="inlineStr">
        <is>
          <t>SKU-10183</t>
        </is>
      </c>
      <c r="E8893" t="inlineStr">
        <is>
          <t>AM11</t>
        </is>
      </c>
      <c r="F8893" s="5" t="n">
        <v>561.7</v>
      </c>
      <c r="G8893">
        <f>IF(LEFT(B8893,1)="C","Credit","Factuur")</f>
        <v/>
      </c>
      <c r="H8893">
        <f>IF(AND(B8893=B8892,D8893=D8892,A8893=A8892,F8893=F8892),1,0)</f>
        <v/>
      </c>
      <c r="I8893">
        <f>IF(C8893="C99999",1,0)</f>
        <v/>
      </c>
      <c r="J8893" s="5">
        <f>IF(OR(H8893=1,I8893=1),0,IF(G8893="Credit",-F8893,F8893))</f>
        <v/>
      </c>
    </row>
    <row r="8894">
      <c r="A8894" t="inlineStr">
        <is>
          <t>2026-09-18</t>
        </is>
      </c>
      <c r="B8894" t="inlineStr">
        <is>
          <t>F273402</t>
        </is>
      </c>
      <c r="C8894" t="inlineStr">
        <is>
          <t>C10701</t>
        </is>
      </c>
      <c r="D8894" t="inlineStr">
        <is>
          <t>SKU-10329</t>
        </is>
      </c>
      <c r="E8894" t="inlineStr">
        <is>
          <t>AM11</t>
        </is>
      </c>
      <c r="F8894" s="5" t="n">
        <v>469.45</v>
      </c>
      <c r="G8894">
        <f>IF(LEFT(B8894,1)="C","Credit","Factuur")</f>
        <v/>
      </c>
      <c r="H8894">
        <f>IF(AND(B8894=B8893,D8894=D8893,A8894=A8893,F8894=F8893),1,0)</f>
        <v/>
      </c>
      <c r="I8894">
        <f>IF(C8894="C99999",1,0)</f>
        <v/>
      </c>
      <c r="J8894" s="5">
        <f>IF(OR(H8894=1,I8894=1),0,IF(G8894="Credit",-F8894,F8894))</f>
        <v/>
      </c>
    </row>
    <row r="8895">
      <c r="A8895" t="inlineStr">
        <is>
          <t>2026-09-18</t>
        </is>
      </c>
      <c r="B8895" t="inlineStr">
        <is>
          <t>F273469</t>
        </is>
      </c>
      <c r="C8895" t="inlineStr">
        <is>
          <t>C10704</t>
        </is>
      </c>
      <c r="D8895" t="inlineStr">
        <is>
          <t>SKU-10011</t>
        </is>
      </c>
      <c r="E8895" t="inlineStr">
        <is>
          <t>AM03</t>
        </is>
      </c>
      <c r="F8895" s="5" t="n">
        <v>243.6</v>
      </c>
      <c r="G8895">
        <f>IF(LEFT(B8895,1)="C","Credit","Factuur")</f>
        <v/>
      </c>
      <c r="H8895">
        <f>IF(AND(B8895=B8894,D8895=D8894,A8895=A8894,F8895=F8894),1,0)</f>
        <v/>
      </c>
      <c r="I8895">
        <f>IF(C8895="C99999",1,0)</f>
        <v/>
      </c>
      <c r="J8895" s="5">
        <f>IF(OR(H8895=1,I8895=1),0,IF(G8895="Credit",-F8895,F8895))</f>
        <v/>
      </c>
    </row>
    <row r="8896">
      <c r="A8896" t="inlineStr">
        <is>
          <t>2026-09-18</t>
        </is>
      </c>
      <c r="B8896" t="inlineStr">
        <is>
          <t>F273469</t>
        </is>
      </c>
      <c r="C8896" t="inlineStr">
        <is>
          <t>C10704</t>
        </is>
      </c>
      <c r="D8896" t="inlineStr">
        <is>
          <t>SKU-10029</t>
        </is>
      </c>
      <c r="E8896" t="inlineStr">
        <is>
          <t>AM03</t>
        </is>
      </c>
      <c r="F8896" s="5" t="n">
        <v>223.85</v>
      </c>
      <c r="G8896">
        <f>IF(LEFT(B8896,1)="C","Credit","Factuur")</f>
        <v/>
      </c>
      <c r="H8896">
        <f>IF(AND(B8896=B8895,D8896=D8895,A8896=A8895,F8896=F8895),1,0)</f>
        <v/>
      </c>
      <c r="I8896">
        <f>IF(C8896="C99999",1,0)</f>
        <v/>
      </c>
      <c r="J8896" s="5">
        <f>IF(OR(H8896=1,I8896=1),0,IF(G8896="Credit",-F8896,F8896))</f>
        <v/>
      </c>
    </row>
    <row r="8897">
      <c r="A8897" t="inlineStr">
        <is>
          <t>2026-09-18</t>
        </is>
      </c>
      <c r="B8897" t="inlineStr">
        <is>
          <t>F273469</t>
        </is>
      </c>
      <c r="C8897" t="inlineStr">
        <is>
          <t>C10704</t>
        </is>
      </c>
      <c r="D8897" t="inlineStr">
        <is>
          <t>SKU-10032</t>
        </is>
      </c>
      <c r="E8897" t="inlineStr">
        <is>
          <t>AM03</t>
        </is>
      </c>
      <c r="F8897" s="5" t="n">
        <v>242.27</v>
      </c>
      <c r="G8897">
        <f>IF(LEFT(B8897,1)="C","Credit","Factuur")</f>
        <v/>
      </c>
      <c r="H8897">
        <f>IF(AND(B8897=B8896,D8897=D8896,A8897=A8896,F8897=F8896),1,0)</f>
        <v/>
      </c>
      <c r="I8897">
        <f>IF(C8897="C99999",1,0)</f>
        <v/>
      </c>
      <c r="J8897" s="5">
        <f>IF(OR(H8897=1,I8897=1),0,IF(G8897="Credit",-F8897,F8897))</f>
        <v/>
      </c>
    </row>
    <row r="8898">
      <c r="A8898" t="inlineStr">
        <is>
          <t>2026-09-18</t>
        </is>
      </c>
      <c r="B8898" t="inlineStr">
        <is>
          <t>F273469</t>
        </is>
      </c>
      <c r="C8898" t="inlineStr">
        <is>
          <t>C10704</t>
        </is>
      </c>
      <c r="D8898" t="inlineStr">
        <is>
          <t>SKU-10134</t>
        </is>
      </c>
      <c r="E8898" t="inlineStr">
        <is>
          <t>AM03</t>
        </is>
      </c>
      <c r="F8898" s="5" t="n">
        <v>273.36</v>
      </c>
      <c r="G8898">
        <f>IF(LEFT(B8898,1)="C","Credit","Factuur")</f>
        <v/>
      </c>
      <c r="H8898">
        <f>IF(AND(B8898=B8897,D8898=D8897,A8898=A8897,F8898=F8897),1,0)</f>
        <v/>
      </c>
      <c r="I8898">
        <f>IF(C8898="C99999",1,0)</f>
        <v/>
      </c>
      <c r="J8898" s="5">
        <f>IF(OR(H8898=1,I8898=1),0,IF(G8898="Credit",-F8898,F8898))</f>
        <v/>
      </c>
    </row>
    <row r="8899">
      <c r="A8899" t="inlineStr">
        <is>
          <t>2026-09-18</t>
        </is>
      </c>
      <c r="B8899" t="inlineStr">
        <is>
          <t>F273469</t>
        </is>
      </c>
      <c r="C8899" t="inlineStr">
        <is>
          <t>C10704</t>
        </is>
      </c>
      <c r="D8899" t="inlineStr">
        <is>
          <t>SKU-10136</t>
        </is>
      </c>
      <c r="E8899" t="inlineStr">
        <is>
          <t>AM03</t>
        </is>
      </c>
      <c r="F8899" s="5" t="n">
        <v>244.27</v>
      </c>
      <c r="G8899">
        <f>IF(LEFT(B8899,1)="C","Credit","Factuur")</f>
        <v/>
      </c>
      <c r="H8899">
        <f>IF(AND(B8899=B8898,D8899=D8898,A8899=A8898,F8899=F8898),1,0)</f>
        <v/>
      </c>
      <c r="I8899">
        <f>IF(C8899="C99999",1,0)</f>
        <v/>
      </c>
      <c r="J8899" s="5">
        <f>IF(OR(H8899=1,I8899=1),0,IF(G8899="Credit",-F8899,F8899))</f>
        <v/>
      </c>
    </row>
    <row r="8900">
      <c r="A8900" t="inlineStr">
        <is>
          <t>2026-09-18</t>
        </is>
      </c>
      <c r="B8900" t="inlineStr">
        <is>
          <t>F273469</t>
        </is>
      </c>
      <c r="C8900" t="inlineStr">
        <is>
          <t>C10704</t>
        </is>
      </c>
      <c r="D8900" t="inlineStr">
        <is>
          <t>SKU-10268</t>
        </is>
      </c>
      <c r="E8900" t="inlineStr">
        <is>
          <t>AM03</t>
        </is>
      </c>
      <c r="F8900" s="5" t="n">
        <v>246.72</v>
      </c>
      <c r="G8900">
        <f>IF(LEFT(B8900,1)="C","Credit","Factuur")</f>
        <v/>
      </c>
      <c r="H8900">
        <f>IF(AND(B8900=B8899,D8900=D8899,A8900=A8899,F8900=F8899),1,0)</f>
        <v/>
      </c>
      <c r="I8900">
        <f>IF(C8900="C99999",1,0)</f>
        <v/>
      </c>
      <c r="J8900" s="5">
        <f>IF(OR(H8900=1,I8900=1),0,IF(G8900="Credit",-F8900,F8900))</f>
        <v/>
      </c>
    </row>
    <row r="8901">
      <c r="A8901" t="inlineStr">
        <is>
          <t>2026-09-18</t>
        </is>
      </c>
      <c r="B8901" t="inlineStr">
        <is>
          <t>F273469</t>
        </is>
      </c>
      <c r="C8901" t="inlineStr">
        <is>
          <t>C10704</t>
        </is>
      </c>
      <c r="D8901" t="inlineStr">
        <is>
          <t>SKU-10292</t>
        </is>
      </c>
      <c r="E8901" t="inlineStr">
        <is>
          <t>AM03</t>
        </is>
      </c>
      <c r="F8901" s="5" t="n">
        <v>242.4</v>
      </c>
      <c r="G8901">
        <f>IF(LEFT(B8901,1)="C","Credit","Factuur")</f>
        <v/>
      </c>
      <c r="H8901">
        <f>IF(AND(B8901=B8900,D8901=D8900,A8901=A8900,F8901=F8900),1,0)</f>
        <v/>
      </c>
      <c r="I8901">
        <f>IF(C8901="C99999",1,0)</f>
        <v/>
      </c>
      <c r="J8901" s="5">
        <f>IF(OR(H8901=1,I8901=1),0,IF(G8901="Credit",-F8901,F8901))</f>
        <v/>
      </c>
    </row>
    <row r="8902">
      <c r="A8902" t="inlineStr">
        <is>
          <t>2026-09-18</t>
        </is>
      </c>
      <c r="B8902" t="inlineStr">
        <is>
          <t>F273525</t>
        </is>
      </c>
      <c r="C8902" t="inlineStr">
        <is>
          <t>C10708</t>
        </is>
      </c>
      <c r="D8902" t="inlineStr">
        <is>
          <t>SKU-10081</t>
        </is>
      </c>
      <c r="E8902" t="inlineStr">
        <is>
          <t>AM11</t>
        </is>
      </c>
      <c r="F8902" s="5" t="n">
        <v>181.17</v>
      </c>
      <c r="G8902">
        <f>IF(LEFT(B8902,1)="C","Credit","Factuur")</f>
        <v/>
      </c>
      <c r="H8902">
        <f>IF(AND(B8902=B8901,D8902=D8901,A8902=A8901,F8902=F8901),1,0)</f>
        <v/>
      </c>
      <c r="I8902">
        <f>IF(C8902="C99999",1,0)</f>
        <v/>
      </c>
      <c r="J8902" s="5">
        <f>IF(OR(H8902=1,I8902=1),0,IF(G8902="Credit",-F8902,F8902))</f>
        <v/>
      </c>
    </row>
    <row r="8903">
      <c r="A8903" t="inlineStr">
        <is>
          <t>2026-09-18</t>
        </is>
      </c>
      <c r="B8903" t="inlineStr">
        <is>
          <t>F273525</t>
        </is>
      </c>
      <c r="C8903" t="inlineStr">
        <is>
          <t>C10708</t>
        </is>
      </c>
      <c r="D8903" t="inlineStr">
        <is>
          <t>SKU-10149</t>
        </is>
      </c>
      <c r="E8903" t="inlineStr">
        <is>
          <t>AM11</t>
        </is>
      </c>
      <c r="F8903" s="5" t="n">
        <v>206.85</v>
      </c>
      <c r="G8903">
        <f>IF(LEFT(B8903,1)="C","Credit","Factuur")</f>
        <v/>
      </c>
      <c r="H8903">
        <f>IF(AND(B8903=B8902,D8903=D8902,A8903=A8902,F8903=F8902),1,0)</f>
        <v/>
      </c>
      <c r="I8903">
        <f>IF(C8903="C99999",1,0)</f>
        <v/>
      </c>
      <c r="J8903" s="5">
        <f>IF(OR(H8903=1,I8903=1),0,IF(G8903="Credit",-F8903,F8903))</f>
        <v/>
      </c>
    </row>
    <row r="8904">
      <c r="A8904" t="inlineStr">
        <is>
          <t>2026-09-18</t>
        </is>
      </c>
      <c r="B8904" t="inlineStr">
        <is>
          <t>F273525</t>
        </is>
      </c>
      <c r="C8904" t="inlineStr">
        <is>
          <t>C10708</t>
        </is>
      </c>
      <c r="D8904" t="inlineStr">
        <is>
          <t>SKU-10161</t>
        </is>
      </c>
      <c r="E8904" t="inlineStr">
        <is>
          <t>AM11</t>
        </is>
      </c>
      <c r="F8904" s="5" t="n">
        <v>192.6</v>
      </c>
      <c r="G8904">
        <f>IF(LEFT(B8904,1)="C","Credit","Factuur")</f>
        <v/>
      </c>
      <c r="H8904">
        <f>IF(AND(B8904=B8903,D8904=D8903,A8904=A8903,F8904=F8903),1,0)</f>
        <v/>
      </c>
      <c r="I8904">
        <f>IF(C8904="C99999",1,0)</f>
        <v/>
      </c>
      <c r="J8904" s="5">
        <f>IF(OR(H8904=1,I8904=1),0,IF(G8904="Credit",-F8904,F8904))</f>
        <v/>
      </c>
    </row>
    <row r="8905">
      <c r="A8905" t="inlineStr">
        <is>
          <t>2026-09-18</t>
        </is>
      </c>
      <c r="B8905" t="inlineStr">
        <is>
          <t>F273525</t>
        </is>
      </c>
      <c r="C8905" t="inlineStr">
        <is>
          <t>C10708</t>
        </is>
      </c>
      <c r="D8905" t="inlineStr">
        <is>
          <t>SKU-10268</t>
        </is>
      </c>
      <c r="E8905" t="inlineStr">
        <is>
          <t>AM11</t>
        </is>
      </c>
      <c r="F8905" s="5" t="n">
        <v>175.79</v>
      </c>
      <c r="G8905">
        <f>IF(LEFT(B8905,1)="C","Credit","Factuur")</f>
        <v/>
      </c>
      <c r="H8905">
        <f>IF(AND(B8905=B8904,D8905=D8904,A8905=A8904,F8905=F8904),1,0)</f>
        <v/>
      </c>
      <c r="I8905">
        <f>IF(C8905="C99999",1,0)</f>
        <v/>
      </c>
      <c r="J8905" s="5">
        <f>IF(OR(H8905=1,I8905=1),0,IF(G8905="Credit",-F8905,F8905))</f>
        <v/>
      </c>
    </row>
    <row r="8906">
      <c r="A8906" t="inlineStr">
        <is>
          <t>2026-09-18</t>
        </is>
      </c>
      <c r="B8906" t="inlineStr">
        <is>
          <t>F273525</t>
        </is>
      </c>
      <c r="C8906" t="inlineStr">
        <is>
          <t>C10708</t>
        </is>
      </c>
      <c r="D8906" t="inlineStr">
        <is>
          <t>SKU-10318</t>
        </is>
      </c>
      <c r="E8906" t="inlineStr">
        <is>
          <t>AM11</t>
        </is>
      </c>
      <c r="F8906" s="5" t="n">
        <v>173.99</v>
      </c>
      <c r="G8906">
        <f>IF(LEFT(B8906,1)="C","Credit","Factuur")</f>
        <v/>
      </c>
      <c r="H8906">
        <f>IF(AND(B8906=B8905,D8906=D8905,A8906=A8905,F8906=F8905),1,0)</f>
        <v/>
      </c>
      <c r="I8906">
        <f>IF(C8906="C99999",1,0)</f>
        <v/>
      </c>
      <c r="J8906" s="5">
        <f>IF(OR(H8906=1,I8906=1),0,IF(G8906="Credit",-F8906,F8906))</f>
        <v/>
      </c>
    </row>
    <row r="8907">
      <c r="A8907" t="inlineStr">
        <is>
          <t>2026-09-18</t>
        </is>
      </c>
      <c r="B8907" t="inlineStr">
        <is>
          <t>F273525</t>
        </is>
      </c>
      <c r="C8907" t="inlineStr">
        <is>
          <t>C10708</t>
        </is>
      </c>
      <c r="D8907" t="inlineStr">
        <is>
          <t>SKU-10330</t>
        </is>
      </c>
      <c r="E8907" t="inlineStr">
        <is>
          <t>AM11</t>
        </is>
      </c>
      <c r="F8907" s="5" t="n">
        <v>161.25</v>
      </c>
      <c r="G8907">
        <f>IF(LEFT(B8907,1)="C","Credit","Factuur")</f>
        <v/>
      </c>
      <c r="H8907">
        <f>IF(AND(B8907=B8906,D8907=D8906,A8907=A8906,F8907=F8906),1,0)</f>
        <v/>
      </c>
      <c r="I8907">
        <f>IF(C8907="C99999",1,0)</f>
        <v/>
      </c>
      <c r="J8907" s="5">
        <f>IF(OR(H8907=1,I8907=1),0,IF(G8907="Credit",-F8907,F8907))</f>
        <v/>
      </c>
    </row>
    <row r="8908">
      <c r="A8908" t="inlineStr">
        <is>
          <t>2026-09-18</t>
        </is>
      </c>
      <c r="B8908" t="inlineStr">
        <is>
          <t>F273676</t>
        </is>
      </c>
      <c r="C8908" t="inlineStr">
        <is>
          <t>C10717</t>
        </is>
      </c>
      <c r="D8908" t="inlineStr">
        <is>
          <t>SKU-10330</t>
        </is>
      </c>
      <c r="E8908" t="inlineStr">
        <is>
          <t>AM11</t>
        </is>
      </c>
      <c r="F8908" s="5" t="n">
        <v>480.93</v>
      </c>
      <c r="G8908">
        <f>IF(LEFT(B8908,1)="C","Credit","Factuur")</f>
        <v/>
      </c>
      <c r="H8908">
        <f>IF(AND(B8908=B8907,D8908=D8907,A8908=A8907,F8908=F8907),1,0)</f>
        <v/>
      </c>
      <c r="I8908">
        <f>IF(C8908="C99999",1,0)</f>
        <v/>
      </c>
      <c r="J8908" s="5">
        <f>IF(OR(H8908=1,I8908=1),0,IF(G8908="Credit",-F8908,F8908))</f>
        <v/>
      </c>
    </row>
    <row r="8909">
      <c r="A8909" t="inlineStr">
        <is>
          <t>2026-09-18</t>
        </is>
      </c>
      <c r="B8909" t="inlineStr">
        <is>
          <t>F273946</t>
        </is>
      </c>
      <c r="C8909" t="inlineStr">
        <is>
          <t>C10736</t>
        </is>
      </c>
      <c r="D8909" t="inlineStr">
        <is>
          <t>SKU-10014</t>
        </is>
      </c>
      <c r="E8909" t="inlineStr">
        <is>
          <t>AM02</t>
        </is>
      </c>
      <c r="F8909" s="5" t="n">
        <v>385.28</v>
      </c>
      <c r="G8909">
        <f>IF(LEFT(B8909,1)="C","Credit","Factuur")</f>
        <v/>
      </c>
      <c r="H8909">
        <f>IF(AND(B8909=B8908,D8909=D8908,A8909=A8908,F8909=F8908),1,0)</f>
        <v/>
      </c>
      <c r="I8909">
        <f>IF(C8909="C99999",1,0)</f>
        <v/>
      </c>
      <c r="J8909" s="5">
        <f>IF(OR(H8909=1,I8909=1),0,IF(G8909="Credit",-F8909,F8909))</f>
        <v/>
      </c>
    </row>
    <row r="8910">
      <c r="A8910" t="inlineStr">
        <is>
          <t>2026-09-18</t>
        </is>
      </c>
      <c r="B8910" t="inlineStr">
        <is>
          <t>F273946</t>
        </is>
      </c>
      <c r="C8910" t="inlineStr">
        <is>
          <t>C10736</t>
        </is>
      </c>
      <c r="D8910" t="inlineStr">
        <is>
          <t>SKU-10146</t>
        </is>
      </c>
      <c r="E8910" t="inlineStr">
        <is>
          <t>AM02</t>
        </is>
      </c>
      <c r="F8910" s="5" t="n">
        <v>346.71</v>
      </c>
      <c r="G8910">
        <f>IF(LEFT(B8910,1)="C","Credit","Factuur")</f>
        <v/>
      </c>
      <c r="H8910">
        <f>IF(AND(B8910=B8909,D8910=D8909,A8910=A8909,F8910=F8909),1,0)</f>
        <v/>
      </c>
      <c r="I8910">
        <f>IF(C8910="C99999",1,0)</f>
        <v/>
      </c>
      <c r="J8910" s="5">
        <f>IF(OR(H8910=1,I8910=1),0,IF(G8910="Credit",-F8910,F8910))</f>
        <v/>
      </c>
    </row>
    <row r="8911">
      <c r="A8911" t="inlineStr">
        <is>
          <t>2026-09-18</t>
        </is>
      </c>
      <c r="B8911" t="inlineStr">
        <is>
          <t>F273946</t>
        </is>
      </c>
      <c r="C8911" t="inlineStr">
        <is>
          <t>C10736</t>
        </is>
      </c>
      <c r="D8911" t="inlineStr">
        <is>
          <t>SKU-10153</t>
        </is>
      </c>
      <c r="E8911" t="inlineStr">
        <is>
          <t>AM02</t>
        </is>
      </c>
      <c r="F8911" s="5" t="n">
        <v>404.64</v>
      </c>
      <c r="G8911">
        <f>IF(LEFT(B8911,1)="C","Credit","Factuur")</f>
        <v/>
      </c>
      <c r="H8911">
        <f>IF(AND(B8911=B8910,D8911=D8910,A8911=A8910,F8911=F8910),1,0)</f>
        <v/>
      </c>
      <c r="I8911">
        <f>IF(C8911="C99999",1,0)</f>
        <v/>
      </c>
      <c r="J8911" s="5">
        <f>IF(OR(H8911=1,I8911=1),0,IF(G8911="Credit",-F8911,F8911))</f>
        <v/>
      </c>
    </row>
    <row r="8912">
      <c r="A8912" t="inlineStr">
        <is>
          <t>2026-09-18</t>
        </is>
      </c>
      <c r="B8912" t="inlineStr">
        <is>
          <t>F274238</t>
        </is>
      </c>
      <c r="C8912" t="inlineStr">
        <is>
          <t>C10753</t>
        </is>
      </c>
      <c r="D8912" t="inlineStr">
        <is>
          <t>SKU-10005</t>
        </is>
      </c>
      <c r="E8912" t="inlineStr">
        <is>
          <t>AM05</t>
        </is>
      </c>
      <c r="F8912" s="5" t="n">
        <v>463.68</v>
      </c>
      <c r="G8912">
        <f>IF(LEFT(B8912,1)="C","Credit","Factuur")</f>
        <v/>
      </c>
      <c r="H8912">
        <f>IF(AND(B8912=B8911,D8912=D8911,A8912=A8911,F8912=F8911),1,0)</f>
        <v/>
      </c>
      <c r="I8912">
        <f>IF(C8912="C99999",1,0)</f>
        <v/>
      </c>
      <c r="J8912" s="5">
        <f>IF(OR(H8912=1,I8912=1),0,IF(G8912="Credit",-F8912,F8912))</f>
        <v/>
      </c>
    </row>
    <row r="8913">
      <c r="A8913" t="inlineStr">
        <is>
          <t>2026-09-18</t>
        </is>
      </c>
      <c r="B8913" t="inlineStr">
        <is>
          <t>F274274</t>
        </is>
      </c>
      <c r="C8913" t="inlineStr">
        <is>
          <t>C10755</t>
        </is>
      </c>
      <c r="D8913" t="inlineStr">
        <is>
          <t>SKU-10108</t>
        </is>
      </c>
      <c r="E8913" t="inlineStr">
        <is>
          <t>IS01</t>
        </is>
      </c>
      <c r="F8913" s="5" t="n">
        <v>185.86</v>
      </c>
      <c r="G8913">
        <f>IF(LEFT(B8913,1)="C","Credit","Factuur")</f>
        <v/>
      </c>
      <c r="H8913">
        <f>IF(AND(B8913=B8912,D8913=D8912,A8913=A8912,F8913=F8912),1,0)</f>
        <v/>
      </c>
      <c r="I8913">
        <f>IF(C8913="C99999",1,0)</f>
        <v/>
      </c>
      <c r="J8913" s="5">
        <f>IF(OR(H8913=1,I8913=1),0,IF(G8913="Credit",-F8913,F8913))</f>
        <v/>
      </c>
    </row>
    <row r="8914">
      <c r="A8914" t="inlineStr">
        <is>
          <t>2026-09-18</t>
        </is>
      </c>
      <c r="B8914" t="inlineStr">
        <is>
          <t>F274625</t>
        </is>
      </c>
      <c r="C8914" t="inlineStr">
        <is>
          <t>C10774</t>
        </is>
      </c>
      <c r="D8914" t="inlineStr">
        <is>
          <t>SKU-10127</t>
        </is>
      </c>
      <c r="E8914" t="inlineStr">
        <is>
          <t>AM06</t>
        </is>
      </c>
      <c r="F8914" s="5" t="n">
        <v>366.2</v>
      </c>
      <c r="G8914">
        <f>IF(LEFT(B8914,1)="C","Credit","Factuur")</f>
        <v/>
      </c>
      <c r="H8914">
        <f>IF(AND(B8914=B8913,D8914=D8913,A8914=A8913,F8914=F8913),1,0)</f>
        <v/>
      </c>
      <c r="I8914">
        <f>IF(C8914="C99999",1,0)</f>
        <v/>
      </c>
      <c r="J8914" s="5">
        <f>IF(OR(H8914=1,I8914=1),0,IF(G8914="Credit",-F8914,F8914))</f>
        <v/>
      </c>
    </row>
    <row r="8915">
      <c r="A8915" t="inlineStr">
        <is>
          <t>2026-09-18</t>
        </is>
      </c>
      <c r="B8915" t="inlineStr">
        <is>
          <t>F274625</t>
        </is>
      </c>
      <c r="C8915" t="inlineStr">
        <is>
          <t>C10774</t>
        </is>
      </c>
      <c r="D8915" t="inlineStr">
        <is>
          <t>SKU-10138</t>
        </is>
      </c>
      <c r="E8915" t="inlineStr">
        <is>
          <t>AM06</t>
        </is>
      </c>
      <c r="F8915" s="5" t="n">
        <v>407.84</v>
      </c>
      <c r="G8915">
        <f>IF(LEFT(B8915,1)="C","Credit","Factuur")</f>
        <v/>
      </c>
      <c r="H8915">
        <f>IF(AND(B8915=B8914,D8915=D8914,A8915=A8914,F8915=F8914),1,0)</f>
        <v/>
      </c>
      <c r="I8915">
        <f>IF(C8915="C99999",1,0)</f>
        <v/>
      </c>
      <c r="J8915" s="5">
        <f>IF(OR(H8915=1,I8915=1),0,IF(G8915="Credit",-F8915,F8915))</f>
        <v/>
      </c>
    </row>
    <row r="8916">
      <c r="A8916" t="inlineStr">
        <is>
          <t>2026-09-18</t>
        </is>
      </c>
      <c r="B8916" t="inlineStr">
        <is>
          <t>F274625</t>
        </is>
      </c>
      <c r="C8916" t="inlineStr">
        <is>
          <t>C10774</t>
        </is>
      </c>
      <c r="D8916" t="inlineStr">
        <is>
          <t>SKU-10190</t>
        </is>
      </c>
      <c r="E8916" t="inlineStr">
        <is>
          <t>AM06</t>
        </is>
      </c>
      <c r="F8916" s="5" t="n">
        <v>350.56</v>
      </c>
      <c r="G8916">
        <f>IF(LEFT(B8916,1)="C","Credit","Factuur")</f>
        <v/>
      </c>
      <c r="H8916">
        <f>IF(AND(B8916=B8915,D8916=D8915,A8916=A8915,F8916=F8915),1,0)</f>
        <v/>
      </c>
      <c r="I8916">
        <f>IF(C8916="C99999",1,0)</f>
        <v/>
      </c>
      <c r="J8916" s="5">
        <f>IF(OR(H8916=1,I8916=1),0,IF(G8916="Credit",-F8916,F8916))</f>
        <v/>
      </c>
    </row>
    <row r="8917">
      <c r="A8917" t="inlineStr">
        <is>
          <t>2026-09-18</t>
        </is>
      </c>
      <c r="B8917" t="inlineStr">
        <is>
          <t>F274699</t>
        </is>
      </c>
      <c r="C8917" t="inlineStr">
        <is>
          <t>C10778</t>
        </is>
      </c>
      <c r="D8917" t="inlineStr">
        <is>
          <t>SKU-10138</t>
        </is>
      </c>
      <c r="E8917" t="inlineStr">
        <is>
          <t>AM05</t>
        </is>
      </c>
      <c r="F8917" s="5" t="n">
        <v>203.92</v>
      </c>
      <c r="G8917">
        <f>IF(LEFT(B8917,1)="C","Credit","Factuur")</f>
        <v/>
      </c>
      <c r="H8917">
        <f>IF(AND(B8917=B8916,D8917=D8916,A8917=A8916,F8917=F8916),1,0)</f>
        <v/>
      </c>
      <c r="I8917">
        <f>IF(C8917="C99999",1,0)</f>
        <v/>
      </c>
      <c r="J8917" s="5">
        <f>IF(OR(H8917=1,I8917=1),0,IF(G8917="Credit",-F8917,F8917))</f>
        <v/>
      </c>
    </row>
    <row r="8918">
      <c r="A8918" t="inlineStr">
        <is>
          <t>2026-09-18</t>
        </is>
      </c>
      <c r="B8918" t="inlineStr">
        <is>
          <t>F274699</t>
        </is>
      </c>
      <c r="C8918" t="inlineStr">
        <is>
          <t>C10778</t>
        </is>
      </c>
      <c r="D8918" t="inlineStr">
        <is>
          <t>SKU-10192</t>
        </is>
      </c>
      <c r="E8918" t="inlineStr">
        <is>
          <t>AM05</t>
        </is>
      </c>
      <c r="F8918" s="5" t="n">
        <v>207.68</v>
      </c>
      <c r="G8918">
        <f>IF(LEFT(B8918,1)="C","Credit","Factuur")</f>
        <v/>
      </c>
      <c r="H8918">
        <f>IF(AND(B8918=B8917,D8918=D8917,A8918=A8917,F8918=F8917),1,0)</f>
        <v/>
      </c>
      <c r="I8918">
        <f>IF(C8918="C99999",1,0)</f>
        <v/>
      </c>
      <c r="J8918" s="5">
        <f>IF(OR(H8918=1,I8918=1),0,IF(G8918="Credit",-F8918,F8918))</f>
        <v/>
      </c>
    </row>
    <row r="8919">
      <c r="A8919" t="inlineStr">
        <is>
          <t>2026-09-18</t>
        </is>
      </c>
      <c r="B8919" t="inlineStr">
        <is>
          <t>F274699</t>
        </is>
      </c>
      <c r="C8919" t="inlineStr">
        <is>
          <t>C10778</t>
        </is>
      </c>
      <c r="D8919" t="inlineStr">
        <is>
          <t>SKU-10274</t>
        </is>
      </c>
      <c r="E8919" t="inlineStr">
        <is>
          <t>AM05</t>
        </is>
      </c>
      <c r="F8919" s="5" t="n">
        <v>195.09</v>
      </c>
      <c r="G8919">
        <f>IF(LEFT(B8919,1)="C","Credit","Factuur")</f>
        <v/>
      </c>
      <c r="H8919">
        <f>IF(AND(B8919=B8918,D8919=D8918,A8919=A8918,F8919=F8918),1,0)</f>
        <v/>
      </c>
      <c r="I8919">
        <f>IF(C8919="C99999",1,0)</f>
        <v/>
      </c>
      <c r="J8919" s="5">
        <f>IF(OR(H8919=1,I8919=1),0,IF(G8919="Credit",-F8919,F8919))</f>
        <v/>
      </c>
    </row>
    <row r="8920">
      <c r="A8920" t="inlineStr">
        <is>
          <t>2026-09-18</t>
        </is>
      </c>
      <c r="B8920" t="inlineStr">
        <is>
          <t>F274699</t>
        </is>
      </c>
      <c r="C8920" t="inlineStr">
        <is>
          <t>C10778</t>
        </is>
      </c>
      <c r="D8920" t="inlineStr">
        <is>
          <t>SKU-10363</t>
        </is>
      </c>
      <c r="E8920" t="inlineStr">
        <is>
          <t>AM05</t>
        </is>
      </c>
      <c r="F8920" s="5" t="n">
        <v>248.08</v>
      </c>
      <c r="G8920">
        <f>IF(LEFT(B8920,1)="C","Credit","Factuur")</f>
        <v/>
      </c>
      <c r="H8920">
        <f>IF(AND(B8920=B8919,D8920=D8919,A8920=A8919,F8920=F8919),1,0)</f>
        <v/>
      </c>
      <c r="I8920">
        <f>IF(C8920="C99999",1,0)</f>
        <v/>
      </c>
      <c r="J8920" s="5">
        <f>IF(OR(H8920=1,I8920=1),0,IF(G8920="Credit",-F8920,F8920))</f>
        <v/>
      </c>
    </row>
    <row r="8921">
      <c r="A8921" t="inlineStr">
        <is>
          <t>2026-09-18</t>
        </is>
      </c>
      <c r="B8921" t="inlineStr">
        <is>
          <t>F274814</t>
        </is>
      </c>
      <c r="C8921" t="inlineStr">
        <is>
          <t>C10784</t>
        </is>
      </c>
      <c r="D8921" t="inlineStr">
        <is>
          <t>SKU-10074</t>
        </is>
      </c>
      <c r="E8921" t="inlineStr">
        <is>
          <t>AM02</t>
        </is>
      </c>
      <c r="F8921" s="5" t="n">
        <v>212.76</v>
      </c>
      <c r="G8921">
        <f>IF(LEFT(B8921,1)="C","Credit","Factuur")</f>
        <v/>
      </c>
      <c r="H8921">
        <f>IF(AND(B8921=B8920,D8921=D8920,A8921=A8920,F8921=F8920),1,0)</f>
        <v/>
      </c>
      <c r="I8921">
        <f>IF(C8921="C99999",1,0)</f>
        <v/>
      </c>
      <c r="J8921" s="5">
        <f>IF(OR(H8921=1,I8921=1),0,IF(G8921="Credit",-F8921,F8921))</f>
        <v/>
      </c>
    </row>
    <row r="8922">
      <c r="A8922" t="inlineStr">
        <is>
          <t>2026-09-18</t>
        </is>
      </c>
      <c r="B8922" t="inlineStr">
        <is>
          <t>F274814</t>
        </is>
      </c>
      <c r="C8922" t="inlineStr">
        <is>
          <t>C10784</t>
        </is>
      </c>
      <c r="D8922" t="inlineStr">
        <is>
          <t>SKU-10134</t>
        </is>
      </c>
      <c r="E8922" t="inlineStr">
        <is>
          <t>AM02</t>
        </is>
      </c>
      <c r="F8922" s="5" t="n">
        <v>205.02</v>
      </c>
      <c r="G8922">
        <f>IF(LEFT(B8922,1)="C","Credit","Factuur")</f>
        <v/>
      </c>
      <c r="H8922">
        <f>IF(AND(B8922=B8921,D8922=D8921,A8922=A8921,F8922=F8921),1,0)</f>
        <v/>
      </c>
      <c r="I8922">
        <f>IF(C8922="C99999",1,0)</f>
        <v/>
      </c>
      <c r="J8922" s="5">
        <f>IF(OR(H8922=1,I8922=1),0,IF(G8922="Credit",-F8922,F8922))</f>
        <v/>
      </c>
    </row>
    <row r="8923">
      <c r="A8923" t="inlineStr">
        <is>
          <t>2026-09-18</t>
        </is>
      </c>
      <c r="B8923" t="inlineStr">
        <is>
          <t>F275099</t>
        </is>
      </c>
      <c r="C8923" t="inlineStr">
        <is>
          <t>C10796</t>
        </is>
      </c>
      <c r="D8923" t="inlineStr">
        <is>
          <t>SKU-10291</t>
        </is>
      </c>
      <c r="E8923" t="inlineStr">
        <is>
          <t>AM09</t>
        </is>
      </c>
      <c r="F8923" s="5" t="n">
        <v>3093.6</v>
      </c>
      <c r="G8923">
        <f>IF(LEFT(B8923,1)="C","Credit","Factuur")</f>
        <v/>
      </c>
      <c r="H8923">
        <f>IF(AND(B8923=B8922,D8923=D8922,A8923=A8922,F8923=F8922),1,0)</f>
        <v/>
      </c>
      <c r="I8923">
        <f>IF(C8923="C99999",1,0)</f>
        <v/>
      </c>
      <c r="J8923" s="5">
        <f>IF(OR(H8923=1,I8923=1),0,IF(G8923="Credit",-F8923,F8923))</f>
        <v/>
      </c>
    </row>
    <row r="8924">
      <c r="A8924" t="inlineStr">
        <is>
          <t>2026-09-18</t>
        </is>
      </c>
      <c r="B8924" t="inlineStr">
        <is>
          <t>F275099</t>
        </is>
      </c>
      <c r="C8924" t="inlineStr">
        <is>
          <t>C10796</t>
        </is>
      </c>
      <c r="D8924" t="inlineStr">
        <is>
          <t>SKU-10294</t>
        </is>
      </c>
      <c r="E8924" t="inlineStr">
        <is>
          <t>AM09</t>
        </is>
      </c>
      <c r="F8924" s="5" t="n">
        <v>3097.08</v>
      </c>
      <c r="G8924">
        <f>IF(LEFT(B8924,1)="C","Credit","Factuur")</f>
        <v/>
      </c>
      <c r="H8924">
        <f>IF(AND(B8924=B8923,D8924=D8923,A8924=A8923,F8924=F8923),1,0)</f>
        <v/>
      </c>
      <c r="I8924">
        <f>IF(C8924="C99999",1,0)</f>
        <v/>
      </c>
      <c r="J8924" s="5">
        <f>IF(OR(H8924=1,I8924=1),0,IF(G8924="Credit",-F8924,F8924))</f>
        <v/>
      </c>
    </row>
    <row r="8925">
      <c r="A8925" t="inlineStr">
        <is>
          <t>2026-09-18</t>
        </is>
      </c>
      <c r="B8925" t="inlineStr">
        <is>
          <t>F275099</t>
        </is>
      </c>
      <c r="C8925" t="inlineStr">
        <is>
          <t>C10796</t>
        </is>
      </c>
      <c r="D8925" t="inlineStr">
        <is>
          <t>SKU-10316</t>
        </is>
      </c>
      <c r="E8925" t="inlineStr">
        <is>
          <t>AM09</t>
        </is>
      </c>
      <c r="F8925" s="5" t="n">
        <v>2916.34</v>
      </c>
      <c r="G8925">
        <f>IF(LEFT(B8925,1)="C","Credit","Factuur")</f>
        <v/>
      </c>
      <c r="H8925">
        <f>IF(AND(B8925=B8924,D8925=D8924,A8925=A8924,F8925=F8924),1,0)</f>
        <v/>
      </c>
      <c r="I8925">
        <f>IF(C8925="C99999",1,0)</f>
        <v/>
      </c>
      <c r="J8925" s="5">
        <f>IF(OR(H8925=1,I8925=1),0,IF(G8925="Credit",-F8925,F8925))</f>
        <v/>
      </c>
    </row>
    <row r="8926">
      <c r="A8926" t="inlineStr">
        <is>
          <t>2026-09-18</t>
        </is>
      </c>
      <c r="B8926" t="inlineStr">
        <is>
          <t>F275427</t>
        </is>
      </c>
      <c r="C8926" t="inlineStr">
        <is>
          <t>C10815</t>
        </is>
      </c>
      <c r="D8926" t="inlineStr">
        <is>
          <t>SKU-10108</t>
        </is>
      </c>
      <c r="E8926" t="inlineStr">
        <is>
          <t>AM02</t>
        </is>
      </c>
      <c r="F8926" s="5" t="n">
        <v>371.72</v>
      </c>
      <c r="G8926">
        <f>IF(LEFT(B8926,1)="C","Credit","Factuur")</f>
        <v/>
      </c>
      <c r="H8926">
        <f>IF(AND(B8926=B8925,D8926=D8925,A8926=A8925,F8926=F8925),1,0)</f>
        <v/>
      </c>
      <c r="I8926">
        <f>IF(C8926="C99999",1,0)</f>
        <v/>
      </c>
      <c r="J8926" s="5">
        <f>IF(OR(H8926=1,I8926=1),0,IF(G8926="Credit",-F8926,F8926))</f>
        <v/>
      </c>
    </row>
    <row r="8927">
      <c r="A8927" t="inlineStr">
        <is>
          <t>2026-09-18</t>
        </is>
      </c>
      <c r="B8927" t="inlineStr">
        <is>
          <t>F275427</t>
        </is>
      </c>
      <c r="C8927" t="inlineStr">
        <is>
          <t>C10815</t>
        </is>
      </c>
      <c r="D8927" t="inlineStr">
        <is>
          <t>SKU-10173</t>
        </is>
      </c>
      <c r="E8927" t="inlineStr">
        <is>
          <t>AM02</t>
        </is>
      </c>
      <c r="F8927" s="5" t="n">
        <v>367.65</v>
      </c>
      <c r="G8927">
        <f>IF(LEFT(B8927,1)="C","Credit","Factuur")</f>
        <v/>
      </c>
      <c r="H8927">
        <f>IF(AND(B8927=B8926,D8927=D8926,A8927=A8926,F8927=F8926),1,0)</f>
        <v/>
      </c>
      <c r="I8927">
        <f>IF(C8927="C99999",1,0)</f>
        <v/>
      </c>
      <c r="J8927" s="5">
        <f>IF(OR(H8927=1,I8927=1),0,IF(G8927="Credit",-F8927,F8927))</f>
        <v/>
      </c>
    </row>
    <row r="8928">
      <c r="A8928" t="inlineStr">
        <is>
          <t>2026-09-18</t>
        </is>
      </c>
      <c r="B8928" t="inlineStr">
        <is>
          <t>F275465</t>
        </is>
      </c>
      <c r="C8928" t="inlineStr">
        <is>
          <t>C10818</t>
        </is>
      </c>
      <c r="D8928" t="inlineStr">
        <is>
          <t>SKU-10316</t>
        </is>
      </c>
      <c r="E8928" t="inlineStr">
        <is>
          <t>AM07</t>
        </is>
      </c>
      <c r="F8928" s="5" t="n">
        <v>195.09</v>
      </c>
      <c r="G8928">
        <f>IF(LEFT(B8928,1)="C","Credit","Factuur")</f>
        <v/>
      </c>
      <c r="H8928">
        <f>IF(AND(B8928=B8927,D8928=D8927,A8928=A8927,F8928=F8927),1,0)</f>
        <v/>
      </c>
      <c r="I8928">
        <f>IF(C8928="C99999",1,0)</f>
        <v/>
      </c>
      <c r="J8928" s="5">
        <f>IF(OR(H8928=1,I8928=1),0,IF(G8928="Credit",-F8928,F8928))</f>
        <v/>
      </c>
    </row>
    <row r="8929">
      <c r="A8929" t="inlineStr">
        <is>
          <t>2026-09-18</t>
        </is>
      </c>
      <c r="B8929" t="inlineStr">
        <is>
          <t>F275465</t>
        </is>
      </c>
      <c r="C8929" t="inlineStr">
        <is>
          <t>C10818</t>
        </is>
      </c>
      <c r="D8929" t="inlineStr">
        <is>
          <t>SKU-10359</t>
        </is>
      </c>
      <c r="E8929" t="inlineStr">
        <is>
          <t>AM07</t>
        </is>
      </c>
      <c r="F8929" s="5" t="n">
        <v>238.78</v>
      </c>
      <c r="G8929">
        <f>IF(LEFT(B8929,1)="C","Credit","Factuur")</f>
        <v/>
      </c>
      <c r="H8929">
        <f>IF(AND(B8929=B8928,D8929=D8928,A8929=A8928,F8929=F8928),1,0)</f>
        <v/>
      </c>
      <c r="I8929">
        <f>IF(C8929="C99999",1,0)</f>
        <v/>
      </c>
      <c r="J8929" s="5">
        <f>IF(OR(H8929=1,I8929=1),0,IF(G8929="Credit",-F8929,F8929))</f>
        <v/>
      </c>
    </row>
    <row r="8930">
      <c r="A8930" t="inlineStr">
        <is>
          <t>2026-09-18</t>
        </is>
      </c>
      <c r="B8930" t="inlineStr">
        <is>
          <t>F275548</t>
        </is>
      </c>
      <c r="C8930" t="inlineStr">
        <is>
          <t>C10821</t>
        </is>
      </c>
      <c r="D8930" t="inlineStr">
        <is>
          <t>SKU-10117</t>
        </is>
      </c>
      <c r="E8930" t="inlineStr">
        <is>
          <t>AM02</t>
        </is>
      </c>
      <c r="F8930" s="5" t="n">
        <v>308.96</v>
      </c>
      <c r="G8930">
        <f>IF(LEFT(B8930,1)="C","Credit","Factuur")</f>
        <v/>
      </c>
      <c r="H8930">
        <f>IF(AND(B8930=B8929,D8930=D8929,A8930=A8929,F8930=F8929),1,0)</f>
        <v/>
      </c>
      <c r="I8930">
        <f>IF(C8930="C99999",1,0)</f>
        <v/>
      </c>
      <c r="J8930" s="5">
        <f>IF(OR(H8930=1,I8930=1),0,IF(G8930="Credit",-F8930,F8930))</f>
        <v/>
      </c>
    </row>
    <row r="8931">
      <c r="A8931" t="inlineStr">
        <is>
          <t>2026-09-18</t>
        </is>
      </c>
      <c r="B8931" t="inlineStr">
        <is>
          <t>F275548</t>
        </is>
      </c>
      <c r="C8931" t="inlineStr">
        <is>
          <t>C10821</t>
        </is>
      </c>
      <c r="D8931" t="inlineStr">
        <is>
          <t>SKU-10155</t>
        </is>
      </c>
      <c r="E8931" t="inlineStr">
        <is>
          <t>AM02</t>
        </is>
      </c>
      <c r="F8931" s="5" t="n">
        <v>330.72</v>
      </c>
      <c r="G8931">
        <f>IF(LEFT(B8931,1)="C","Credit","Factuur")</f>
        <v/>
      </c>
      <c r="H8931">
        <f>IF(AND(B8931=B8930,D8931=D8930,A8931=A8930,F8931=F8930),1,0)</f>
        <v/>
      </c>
      <c r="I8931">
        <f>IF(C8931="C99999",1,0)</f>
        <v/>
      </c>
      <c r="J8931" s="5">
        <f>IF(OR(H8931=1,I8931=1),0,IF(G8931="Credit",-F8931,F8931))</f>
        <v/>
      </c>
    </row>
    <row r="8932">
      <c r="A8932" t="inlineStr">
        <is>
          <t>2026-09-18</t>
        </is>
      </c>
      <c r="B8932" t="inlineStr">
        <is>
          <t>F275548</t>
        </is>
      </c>
      <c r="C8932" t="inlineStr">
        <is>
          <t>C10821</t>
        </is>
      </c>
      <c r="D8932" t="inlineStr">
        <is>
          <t>SKU-10232</t>
        </is>
      </c>
      <c r="E8932" t="inlineStr">
        <is>
          <t>AM02</t>
        </is>
      </c>
      <c r="F8932" s="5" t="n">
        <v>375.36</v>
      </c>
      <c r="G8932">
        <f>IF(LEFT(B8932,1)="C","Credit","Factuur")</f>
        <v/>
      </c>
      <c r="H8932">
        <f>IF(AND(B8932=B8931,D8932=D8931,A8932=A8931,F8932=F8931),1,0)</f>
        <v/>
      </c>
      <c r="I8932">
        <f>IF(C8932="C99999",1,0)</f>
        <v/>
      </c>
      <c r="J8932" s="5">
        <f>IF(OR(H8932=1,I8932=1),0,IF(G8932="Credit",-F8932,F8932))</f>
        <v/>
      </c>
    </row>
    <row r="8933">
      <c r="A8933" t="inlineStr">
        <is>
          <t>2026-09-18</t>
        </is>
      </c>
      <c r="B8933" t="inlineStr">
        <is>
          <t>F276186</t>
        </is>
      </c>
      <c r="C8933" t="inlineStr">
        <is>
          <t>C10859</t>
        </is>
      </c>
      <c r="D8933" t="inlineStr">
        <is>
          <t>SKU-10160</t>
        </is>
      </c>
      <c r="E8933" t="inlineStr">
        <is>
          <t>AM02</t>
        </is>
      </c>
      <c r="F8933" s="5" t="n">
        <v>155.7</v>
      </c>
      <c r="G8933">
        <f>IF(LEFT(B8933,1)="C","Credit","Factuur")</f>
        <v/>
      </c>
      <c r="H8933">
        <f>IF(AND(B8933=B8932,D8933=D8932,A8933=A8932,F8933=F8932),1,0)</f>
        <v/>
      </c>
      <c r="I8933">
        <f>IF(C8933="C99999",1,0)</f>
        <v/>
      </c>
      <c r="J8933" s="5">
        <f>IF(OR(H8933=1,I8933=1),0,IF(G8933="Credit",-F8933,F8933))</f>
        <v/>
      </c>
    </row>
    <row r="8934">
      <c r="A8934" t="inlineStr">
        <is>
          <t>2026-09-18</t>
        </is>
      </c>
      <c r="B8934" t="inlineStr">
        <is>
          <t>F276186</t>
        </is>
      </c>
      <c r="C8934" t="inlineStr">
        <is>
          <t>C10859</t>
        </is>
      </c>
      <c r="D8934" t="inlineStr">
        <is>
          <t>SKU-10235</t>
        </is>
      </c>
      <c r="E8934" t="inlineStr">
        <is>
          <t>AM02</t>
        </is>
      </c>
      <c r="F8934" s="5" t="n">
        <v>145.02</v>
      </c>
      <c r="G8934">
        <f>IF(LEFT(B8934,1)="C","Credit","Factuur")</f>
        <v/>
      </c>
      <c r="H8934">
        <f>IF(AND(B8934=B8933,D8934=D8933,A8934=A8933,F8934=F8933),1,0)</f>
        <v/>
      </c>
      <c r="I8934">
        <f>IF(C8934="C99999",1,0)</f>
        <v/>
      </c>
      <c r="J8934" s="5">
        <f>IF(OR(H8934=1,I8934=1),0,IF(G8934="Credit",-F8934,F8934))</f>
        <v/>
      </c>
    </row>
    <row r="8935">
      <c r="A8935" t="inlineStr">
        <is>
          <t>2026-09-18</t>
        </is>
      </c>
      <c r="B8935" t="inlineStr">
        <is>
          <t>F276186</t>
        </is>
      </c>
      <c r="C8935" t="inlineStr">
        <is>
          <t>C10859</t>
        </is>
      </c>
      <c r="D8935" t="inlineStr">
        <is>
          <t>SKU-10265</t>
        </is>
      </c>
      <c r="E8935" t="inlineStr">
        <is>
          <t>AM02</t>
        </is>
      </c>
      <c r="F8935" s="5" t="n">
        <v>157.98</v>
      </c>
      <c r="G8935">
        <f>IF(LEFT(B8935,1)="C","Credit","Factuur")</f>
        <v/>
      </c>
      <c r="H8935">
        <f>IF(AND(B8935=B8934,D8935=D8934,A8935=A8934,F8935=F8934),1,0)</f>
        <v/>
      </c>
      <c r="I8935">
        <f>IF(C8935="C99999",1,0)</f>
        <v/>
      </c>
      <c r="J8935" s="5">
        <f>IF(OR(H8935=1,I8935=1),0,IF(G8935="Credit",-F8935,F8935))</f>
        <v/>
      </c>
    </row>
    <row r="8936">
      <c r="A8936" t="inlineStr">
        <is>
          <t>2026-09-18</t>
        </is>
      </c>
      <c r="B8936" t="inlineStr">
        <is>
          <t>F276186</t>
        </is>
      </c>
      <c r="C8936" t="inlineStr">
        <is>
          <t>C10859</t>
        </is>
      </c>
      <c r="D8936" t="inlineStr">
        <is>
          <t>SKU-10275</t>
        </is>
      </c>
      <c r="E8936" t="inlineStr">
        <is>
          <t>AM02</t>
        </is>
      </c>
      <c r="F8936" s="5" t="n">
        <v>158.08</v>
      </c>
      <c r="G8936">
        <f>IF(LEFT(B8936,1)="C","Credit","Factuur")</f>
        <v/>
      </c>
      <c r="H8936">
        <f>IF(AND(B8936=B8935,D8936=D8935,A8936=A8935,F8936=F8935),1,0)</f>
        <v/>
      </c>
      <c r="I8936">
        <f>IF(C8936="C99999",1,0)</f>
        <v/>
      </c>
      <c r="J8936" s="5">
        <f>IF(OR(H8936=1,I8936=1),0,IF(G8936="Credit",-F8936,F8936))</f>
        <v/>
      </c>
    </row>
    <row r="8937">
      <c r="A8937" t="inlineStr">
        <is>
          <t>2026-09-18</t>
        </is>
      </c>
      <c r="B8937" t="inlineStr">
        <is>
          <t>F276186</t>
        </is>
      </c>
      <c r="C8937" t="inlineStr">
        <is>
          <t>C10859</t>
        </is>
      </c>
      <c r="D8937" t="inlineStr">
        <is>
          <t>SKU-10379</t>
        </is>
      </c>
      <c r="E8937" t="inlineStr">
        <is>
          <t>AM02</t>
        </is>
      </c>
      <c r="F8937" s="5" t="n">
        <v>138.19</v>
      </c>
      <c r="G8937">
        <f>IF(LEFT(B8937,1)="C","Credit","Factuur")</f>
        <v/>
      </c>
      <c r="H8937">
        <f>IF(AND(B8937=B8936,D8937=D8936,A8937=A8936,F8937=F8936),1,0)</f>
        <v/>
      </c>
      <c r="I8937">
        <f>IF(C8937="C99999",1,0)</f>
        <v/>
      </c>
      <c r="J8937" s="5">
        <f>IF(OR(H8937=1,I8937=1),0,IF(G8937="Credit",-F8937,F8937))</f>
        <v/>
      </c>
    </row>
    <row r="8938">
      <c r="A8938" t="inlineStr">
        <is>
          <t>2026-09-18</t>
        </is>
      </c>
      <c r="B8938" t="inlineStr">
        <is>
          <t>F276195</t>
        </is>
      </c>
      <c r="C8938" t="inlineStr">
        <is>
          <t>C10859</t>
        </is>
      </c>
      <c r="D8938" t="inlineStr">
        <is>
          <t>SKU-10038</t>
        </is>
      </c>
      <c r="E8938" t="inlineStr">
        <is>
          <t>AM02</t>
        </is>
      </c>
      <c r="F8938" s="5" t="n">
        <v>215.19</v>
      </c>
      <c r="G8938">
        <f>IF(LEFT(B8938,1)="C","Credit","Factuur")</f>
        <v/>
      </c>
      <c r="H8938">
        <f>IF(AND(B8938=B8937,D8938=D8937,A8938=A8937,F8938=F8937),1,0)</f>
        <v/>
      </c>
      <c r="I8938">
        <f>IF(C8938="C99999",1,0)</f>
        <v/>
      </c>
      <c r="J8938" s="5">
        <f>IF(OR(H8938=1,I8938=1),0,IF(G8938="Credit",-F8938,F8938))</f>
        <v/>
      </c>
    </row>
    <row r="8939">
      <c r="A8939" t="inlineStr">
        <is>
          <t>2026-09-18</t>
        </is>
      </c>
      <c r="B8939" t="inlineStr">
        <is>
          <t>F276195</t>
        </is>
      </c>
      <c r="C8939" t="inlineStr">
        <is>
          <t>C10859</t>
        </is>
      </c>
      <c r="D8939" t="inlineStr">
        <is>
          <t>SKU-10051</t>
        </is>
      </c>
      <c r="E8939" t="inlineStr">
        <is>
          <t>AM02</t>
        </is>
      </c>
      <c r="F8939" s="5" t="n">
        <v>243.58</v>
      </c>
      <c r="G8939">
        <f>IF(LEFT(B8939,1)="C","Credit","Factuur")</f>
        <v/>
      </c>
      <c r="H8939">
        <f>IF(AND(B8939=B8938,D8939=D8938,A8939=A8938,F8939=F8938),1,0)</f>
        <v/>
      </c>
      <c r="I8939">
        <f>IF(C8939="C99999",1,0)</f>
        <v/>
      </c>
      <c r="J8939" s="5">
        <f>IF(OR(H8939=1,I8939=1),0,IF(G8939="Credit",-F8939,F8939))</f>
        <v/>
      </c>
    </row>
    <row r="8940">
      <c r="A8940" t="inlineStr">
        <is>
          <t>2026-09-18</t>
        </is>
      </c>
      <c r="B8940" t="inlineStr">
        <is>
          <t>F276195</t>
        </is>
      </c>
      <c r="C8940" t="inlineStr">
        <is>
          <t>C10859</t>
        </is>
      </c>
      <c r="D8940" t="inlineStr">
        <is>
          <t>SKU-10145</t>
        </is>
      </c>
      <c r="E8940" t="inlineStr">
        <is>
          <t>AM02</t>
        </is>
      </c>
      <c r="F8940" s="5" t="n">
        <v>209.76</v>
      </c>
      <c r="G8940">
        <f>IF(LEFT(B8940,1)="C","Credit","Factuur")</f>
        <v/>
      </c>
      <c r="H8940">
        <f>IF(AND(B8940=B8939,D8940=D8939,A8940=A8939,F8940=F8939),1,0)</f>
        <v/>
      </c>
      <c r="I8940">
        <f>IF(C8940="C99999",1,0)</f>
        <v/>
      </c>
      <c r="J8940" s="5">
        <f>IF(OR(H8940=1,I8940=1),0,IF(G8940="Credit",-F8940,F8940))</f>
        <v/>
      </c>
    </row>
    <row r="8941">
      <c r="A8941" t="inlineStr">
        <is>
          <t>2026-09-18</t>
        </is>
      </c>
      <c r="B8941" t="inlineStr">
        <is>
          <t>F276195</t>
        </is>
      </c>
      <c r="C8941" t="inlineStr">
        <is>
          <t>C10859</t>
        </is>
      </c>
      <c r="D8941" t="inlineStr">
        <is>
          <t>SKU-10225</t>
        </is>
      </c>
      <c r="E8941" t="inlineStr">
        <is>
          <t>AM02</t>
        </is>
      </c>
      <c r="F8941" s="5" t="n">
        <v>225.37</v>
      </c>
      <c r="G8941">
        <f>IF(LEFT(B8941,1)="C","Credit","Factuur")</f>
        <v/>
      </c>
      <c r="H8941">
        <f>IF(AND(B8941=B8940,D8941=D8940,A8941=A8940,F8941=F8940),1,0)</f>
        <v/>
      </c>
      <c r="I8941">
        <f>IF(C8941="C99999",1,0)</f>
        <v/>
      </c>
      <c r="J8941" s="5">
        <f>IF(OR(H8941=1,I8941=1),0,IF(G8941="Credit",-F8941,F8941))</f>
        <v/>
      </c>
    </row>
    <row r="8942">
      <c r="A8942" t="inlineStr">
        <is>
          <t>2026-09-18</t>
        </is>
      </c>
      <c r="B8942" t="inlineStr">
        <is>
          <t>F276195</t>
        </is>
      </c>
      <c r="C8942" t="inlineStr">
        <is>
          <t>C10859</t>
        </is>
      </c>
      <c r="D8942" t="inlineStr">
        <is>
          <t>SKU-10318</t>
        </is>
      </c>
      <c r="E8942" t="inlineStr">
        <is>
          <t>AM02</t>
        </is>
      </c>
      <c r="F8942" s="5" t="n">
        <v>214.9</v>
      </c>
      <c r="G8942">
        <f>IF(LEFT(B8942,1)="C","Credit","Factuur")</f>
        <v/>
      </c>
      <c r="H8942">
        <f>IF(AND(B8942=B8941,D8942=D8941,A8942=A8941,F8942=F8941),1,0)</f>
        <v/>
      </c>
      <c r="I8942">
        <f>IF(C8942="C99999",1,0)</f>
        <v/>
      </c>
      <c r="J8942" s="5">
        <f>IF(OR(H8942=1,I8942=1),0,IF(G8942="Credit",-F8942,F8942))</f>
        <v/>
      </c>
    </row>
    <row r="8943">
      <c r="A8943" t="inlineStr">
        <is>
          <t>2026-09-18</t>
        </is>
      </c>
      <c r="B8943" t="inlineStr">
        <is>
          <t>F276210</t>
        </is>
      </c>
      <c r="C8943" t="inlineStr">
        <is>
          <t>C10860</t>
        </is>
      </c>
      <c r="D8943" t="inlineStr">
        <is>
          <t>SKU-10195</t>
        </is>
      </c>
      <c r="E8943" t="inlineStr">
        <is>
          <t>AM07</t>
        </is>
      </c>
      <c r="F8943" s="5" t="n">
        <v>588.42</v>
      </c>
      <c r="G8943">
        <f>IF(LEFT(B8943,1)="C","Credit","Factuur")</f>
        <v/>
      </c>
      <c r="H8943">
        <f>IF(AND(B8943=B8942,D8943=D8942,A8943=A8942,F8943=F8942),1,0)</f>
        <v/>
      </c>
      <c r="I8943">
        <f>IF(C8943="C99999",1,0)</f>
        <v/>
      </c>
      <c r="J8943" s="5">
        <f>IF(OR(H8943=1,I8943=1),0,IF(G8943="Credit",-F8943,F8943))</f>
        <v/>
      </c>
    </row>
    <row r="8944">
      <c r="A8944" t="inlineStr">
        <is>
          <t>2026-09-18</t>
        </is>
      </c>
      <c r="B8944" t="inlineStr">
        <is>
          <t>F276210</t>
        </is>
      </c>
      <c r="C8944" t="inlineStr">
        <is>
          <t>C10860</t>
        </is>
      </c>
      <c r="D8944" t="inlineStr">
        <is>
          <t>SKU-10310</t>
        </is>
      </c>
      <c r="E8944" t="inlineStr">
        <is>
          <t>AM07</t>
        </is>
      </c>
      <c r="F8944" s="5" t="n">
        <v>574.3</v>
      </c>
      <c r="G8944">
        <f>IF(LEFT(B8944,1)="C","Credit","Factuur")</f>
        <v/>
      </c>
      <c r="H8944">
        <f>IF(AND(B8944=B8943,D8944=D8943,A8944=A8943,F8944=F8943),1,0)</f>
        <v/>
      </c>
      <c r="I8944">
        <f>IF(C8944="C99999",1,0)</f>
        <v/>
      </c>
      <c r="J8944" s="5">
        <f>IF(OR(H8944=1,I8944=1),0,IF(G8944="Credit",-F8944,F8944))</f>
        <v/>
      </c>
    </row>
    <row r="8945">
      <c r="A8945" t="inlineStr">
        <is>
          <t>2026-09-18</t>
        </is>
      </c>
      <c r="B8945" t="inlineStr">
        <is>
          <t>F276260</t>
        </is>
      </c>
      <c r="C8945" t="inlineStr">
        <is>
          <t>C10862</t>
        </is>
      </c>
      <c r="D8945" t="inlineStr">
        <is>
          <t>SKU-10006</t>
        </is>
      </c>
      <c r="E8945" t="inlineStr">
        <is>
          <t>AM02</t>
        </is>
      </c>
      <c r="F8945" s="5" t="n">
        <v>2148.32</v>
      </c>
      <c r="G8945">
        <f>IF(LEFT(B8945,1)="C","Credit","Factuur")</f>
        <v/>
      </c>
      <c r="H8945">
        <f>IF(AND(B8945=B8944,D8945=D8944,A8945=A8944,F8945=F8944),1,0)</f>
        <v/>
      </c>
      <c r="I8945">
        <f>IF(C8945="C99999",1,0)</f>
        <v/>
      </c>
      <c r="J8945" s="5">
        <f>IF(OR(H8945=1,I8945=1),0,IF(G8945="Credit",-F8945,F8945))</f>
        <v/>
      </c>
    </row>
    <row r="8946">
      <c r="A8946" t="inlineStr">
        <is>
          <t>2026-09-18</t>
        </is>
      </c>
      <c r="B8946" t="inlineStr">
        <is>
          <t>F276260</t>
        </is>
      </c>
      <c r="C8946" t="inlineStr">
        <is>
          <t>C10862</t>
        </is>
      </c>
      <c r="D8946" t="inlineStr">
        <is>
          <t>SKU-10272</t>
        </is>
      </c>
      <c r="E8946" t="inlineStr">
        <is>
          <t>AM02</t>
        </is>
      </c>
      <c r="F8946" s="5" t="n">
        <v>2042</v>
      </c>
      <c r="G8946">
        <f>IF(LEFT(B8946,1)="C","Credit","Factuur")</f>
        <v/>
      </c>
      <c r="H8946">
        <f>IF(AND(B8946=B8945,D8946=D8945,A8946=A8945,F8946=F8945),1,0)</f>
        <v/>
      </c>
      <c r="I8946">
        <f>IF(C8946="C99999",1,0)</f>
        <v/>
      </c>
      <c r="J8946" s="5">
        <f>IF(OR(H8946=1,I8946=1),0,IF(G8946="Credit",-F8946,F8946))</f>
        <v/>
      </c>
    </row>
    <row r="8947">
      <c r="A8947" t="inlineStr">
        <is>
          <t>2026-09-18</t>
        </is>
      </c>
      <c r="B8947" t="inlineStr">
        <is>
          <t>F276924</t>
        </is>
      </c>
      <c r="C8947" t="inlineStr">
        <is>
          <t>C10897</t>
        </is>
      </c>
      <c r="D8947" t="inlineStr">
        <is>
          <t>SKU-10062</t>
        </is>
      </c>
      <c r="E8947" t="inlineStr">
        <is>
          <t>AM06</t>
        </is>
      </c>
      <c r="F8947" s="5" t="n">
        <v>358.64</v>
      </c>
      <c r="G8947">
        <f>IF(LEFT(B8947,1)="C","Credit","Factuur")</f>
        <v/>
      </c>
      <c r="H8947">
        <f>IF(AND(B8947=B8946,D8947=D8946,A8947=A8946,F8947=F8946),1,0)</f>
        <v/>
      </c>
      <c r="I8947">
        <f>IF(C8947="C99999",1,0)</f>
        <v/>
      </c>
      <c r="J8947" s="5">
        <f>IF(OR(H8947=1,I8947=1),0,IF(G8947="Credit",-F8947,F8947))</f>
        <v/>
      </c>
    </row>
    <row r="8948">
      <c r="A8948" t="inlineStr">
        <is>
          <t>2026-09-18</t>
        </is>
      </c>
      <c r="B8948" t="inlineStr">
        <is>
          <t>F276924</t>
        </is>
      </c>
      <c r="C8948" t="inlineStr">
        <is>
          <t>C10897</t>
        </is>
      </c>
      <c r="D8948" t="inlineStr">
        <is>
          <t>SKU-10077</t>
        </is>
      </c>
      <c r="E8948" t="inlineStr">
        <is>
          <t>AM06</t>
        </is>
      </c>
      <c r="F8948" s="5" t="n">
        <v>357.68</v>
      </c>
      <c r="G8948">
        <f>IF(LEFT(B8948,1)="C","Credit","Factuur")</f>
        <v/>
      </c>
      <c r="H8948">
        <f>IF(AND(B8948=B8947,D8948=D8947,A8948=A8947,F8948=F8947),1,0)</f>
        <v/>
      </c>
      <c r="I8948">
        <f>IF(C8948="C99999",1,0)</f>
        <v/>
      </c>
      <c r="J8948" s="5">
        <f>IF(OR(H8948=1,I8948=1),0,IF(G8948="Credit",-F8948,F8948))</f>
        <v/>
      </c>
    </row>
    <row r="8949">
      <c r="A8949" t="inlineStr">
        <is>
          <t>2026-09-18</t>
        </is>
      </c>
      <c r="B8949" t="inlineStr">
        <is>
          <t>F276924</t>
        </is>
      </c>
      <c r="C8949" t="inlineStr">
        <is>
          <t>C10897</t>
        </is>
      </c>
      <c r="D8949" t="inlineStr">
        <is>
          <t>SKU-10092</t>
        </is>
      </c>
      <c r="E8949" t="inlineStr">
        <is>
          <t>AM06</t>
        </is>
      </c>
      <c r="F8949" s="5" t="n">
        <v>343.1</v>
      </c>
      <c r="G8949">
        <f>IF(LEFT(B8949,1)="C","Credit","Factuur")</f>
        <v/>
      </c>
      <c r="H8949">
        <f>IF(AND(B8949=B8948,D8949=D8948,A8949=A8948,F8949=F8948),1,0)</f>
        <v/>
      </c>
      <c r="I8949">
        <f>IF(C8949="C99999",1,0)</f>
        <v/>
      </c>
      <c r="J8949" s="5">
        <f>IF(OR(H8949=1,I8949=1),0,IF(G8949="Credit",-F8949,F8949))</f>
        <v/>
      </c>
    </row>
    <row r="8950">
      <c r="A8950" t="inlineStr">
        <is>
          <t>2026-09-18</t>
        </is>
      </c>
      <c r="B8950" t="inlineStr">
        <is>
          <t>F277258</t>
        </is>
      </c>
      <c r="C8950" t="inlineStr">
        <is>
          <t>C10916</t>
        </is>
      </c>
      <c r="D8950" t="inlineStr">
        <is>
          <t>SKU-10108</t>
        </is>
      </c>
      <c r="E8950" t="inlineStr">
        <is>
          <t>AM02</t>
        </is>
      </c>
      <c r="F8950" s="5" t="n">
        <v>1059.4</v>
      </c>
      <c r="G8950">
        <f>IF(LEFT(B8950,1)="C","Credit","Factuur")</f>
        <v/>
      </c>
      <c r="H8950">
        <f>IF(AND(B8950=B8949,D8950=D8949,A8950=A8949,F8950=F8949),1,0)</f>
        <v/>
      </c>
      <c r="I8950">
        <f>IF(C8950="C99999",1,0)</f>
        <v/>
      </c>
      <c r="J8950" s="5">
        <f>IF(OR(H8950=1,I8950=1),0,IF(G8950="Credit",-F8950,F8950))</f>
        <v/>
      </c>
    </row>
    <row r="8951">
      <c r="A8951" t="inlineStr">
        <is>
          <t>2026-09-18</t>
        </is>
      </c>
      <c r="B8951" t="inlineStr">
        <is>
          <t>F277258</t>
        </is>
      </c>
      <c r="C8951" t="inlineStr">
        <is>
          <t>C10916</t>
        </is>
      </c>
      <c r="D8951" t="inlineStr">
        <is>
          <t>SKU-10305</t>
        </is>
      </c>
      <c r="E8951" t="inlineStr">
        <is>
          <t>AM02</t>
        </is>
      </c>
      <c r="F8951" s="5" t="n">
        <v>1093.85</v>
      </c>
      <c r="G8951">
        <f>IF(LEFT(B8951,1)="C","Credit","Factuur")</f>
        <v/>
      </c>
      <c r="H8951">
        <f>IF(AND(B8951=B8950,D8951=D8950,A8951=A8950,F8951=F8950),1,0)</f>
        <v/>
      </c>
      <c r="I8951">
        <f>IF(C8951="C99999",1,0)</f>
        <v/>
      </c>
      <c r="J8951" s="5">
        <f>IF(OR(H8951=1,I8951=1),0,IF(G8951="Credit",-F8951,F8951))</f>
        <v/>
      </c>
    </row>
    <row r="8952">
      <c r="A8952" t="inlineStr">
        <is>
          <t>2026-09-18</t>
        </is>
      </c>
      <c r="B8952" t="inlineStr">
        <is>
          <t>F277258</t>
        </is>
      </c>
      <c r="C8952" t="inlineStr">
        <is>
          <t>C10916</t>
        </is>
      </c>
      <c r="D8952" t="inlineStr">
        <is>
          <t>SKU-10322</t>
        </is>
      </c>
      <c r="E8952" t="inlineStr">
        <is>
          <t>AM02</t>
        </is>
      </c>
      <c r="F8952" s="5" t="n">
        <v>1030.18</v>
      </c>
      <c r="G8952">
        <f>IF(LEFT(B8952,1)="C","Credit","Factuur")</f>
        <v/>
      </c>
      <c r="H8952">
        <f>IF(AND(B8952=B8951,D8952=D8951,A8952=A8951,F8952=F8951),1,0)</f>
        <v/>
      </c>
      <c r="I8952">
        <f>IF(C8952="C99999",1,0)</f>
        <v/>
      </c>
      <c r="J8952" s="5">
        <f>IF(OR(H8952=1,I8952=1),0,IF(G8952="Credit",-F8952,F8952))</f>
        <v/>
      </c>
    </row>
    <row r="8953">
      <c r="A8953" t="inlineStr">
        <is>
          <t>2026-09-18</t>
        </is>
      </c>
      <c r="B8953" t="inlineStr">
        <is>
          <t>F277258</t>
        </is>
      </c>
      <c r="C8953" t="inlineStr">
        <is>
          <t>C10916</t>
        </is>
      </c>
      <c r="D8953" t="inlineStr">
        <is>
          <t>SKU-10329</t>
        </is>
      </c>
      <c r="E8953" t="inlineStr">
        <is>
          <t>AM02</t>
        </is>
      </c>
      <c r="F8953" s="5" t="n">
        <v>1049.37</v>
      </c>
      <c r="G8953">
        <f>IF(LEFT(B8953,1)="C","Credit","Factuur")</f>
        <v/>
      </c>
      <c r="H8953">
        <f>IF(AND(B8953=B8952,D8953=D8952,A8953=A8952,F8953=F8952),1,0)</f>
        <v/>
      </c>
      <c r="I8953">
        <f>IF(C8953="C99999",1,0)</f>
        <v/>
      </c>
      <c r="J8953" s="5">
        <f>IF(OR(H8953=1,I8953=1),0,IF(G8953="Credit",-F8953,F8953))</f>
        <v/>
      </c>
    </row>
    <row r="8954">
      <c r="A8954" t="inlineStr">
        <is>
          <t>2026-09-18</t>
        </is>
      </c>
      <c r="B8954" t="inlineStr">
        <is>
          <t>F277290</t>
        </is>
      </c>
      <c r="C8954" t="inlineStr">
        <is>
          <t>C10919</t>
        </is>
      </c>
      <c r="D8954" t="inlineStr">
        <is>
          <t>SKU-10012</t>
        </is>
      </c>
      <c r="E8954" t="inlineStr">
        <is>
          <t>AM01</t>
        </is>
      </c>
      <c r="F8954" s="5" t="n">
        <v>287.19</v>
      </c>
      <c r="G8954">
        <f>IF(LEFT(B8954,1)="C","Credit","Factuur")</f>
        <v/>
      </c>
      <c r="H8954">
        <f>IF(AND(B8954=B8953,D8954=D8953,A8954=A8953,F8954=F8953),1,0)</f>
        <v/>
      </c>
      <c r="I8954">
        <f>IF(C8954="C99999",1,0)</f>
        <v/>
      </c>
      <c r="J8954" s="5">
        <f>IF(OR(H8954=1,I8954=1),0,IF(G8954="Credit",-F8954,F8954))</f>
        <v/>
      </c>
    </row>
    <row r="8955">
      <c r="A8955" t="inlineStr">
        <is>
          <t>2026-09-18</t>
        </is>
      </c>
      <c r="B8955" t="inlineStr">
        <is>
          <t>F277290</t>
        </is>
      </c>
      <c r="C8955" t="inlineStr">
        <is>
          <t>C10919</t>
        </is>
      </c>
      <c r="D8955" t="inlineStr">
        <is>
          <t>SKU-10031</t>
        </is>
      </c>
      <c r="E8955" t="inlineStr">
        <is>
          <t>AM01</t>
        </is>
      </c>
      <c r="F8955" s="5" t="n">
        <v>291.7</v>
      </c>
      <c r="G8955">
        <f>IF(LEFT(B8955,1)="C","Credit","Factuur")</f>
        <v/>
      </c>
      <c r="H8955">
        <f>IF(AND(B8955=B8954,D8955=D8954,A8955=A8954,F8955=F8954),1,0)</f>
        <v/>
      </c>
      <c r="I8955">
        <f>IF(C8955="C99999",1,0)</f>
        <v/>
      </c>
      <c r="J8955" s="5">
        <f>IF(OR(H8955=1,I8955=1),0,IF(G8955="Credit",-F8955,F8955))</f>
        <v/>
      </c>
    </row>
    <row r="8956">
      <c r="A8956" t="inlineStr">
        <is>
          <t>2026-09-18</t>
        </is>
      </c>
      <c r="B8956" t="inlineStr">
        <is>
          <t>F277290</t>
        </is>
      </c>
      <c r="C8956" t="inlineStr">
        <is>
          <t>C10919</t>
        </is>
      </c>
      <c r="D8956" t="inlineStr">
        <is>
          <t>SKU-10116</t>
        </is>
      </c>
      <c r="E8956" t="inlineStr">
        <is>
          <t>AM01</t>
        </is>
      </c>
      <c r="F8956" s="5" t="n">
        <v>260.4</v>
      </c>
      <c r="G8956">
        <f>IF(LEFT(B8956,1)="C","Credit","Factuur")</f>
        <v/>
      </c>
      <c r="H8956">
        <f>IF(AND(B8956=B8955,D8956=D8955,A8956=A8955,F8956=F8955),1,0)</f>
        <v/>
      </c>
      <c r="I8956">
        <f>IF(C8956="C99999",1,0)</f>
        <v/>
      </c>
      <c r="J8956" s="5">
        <f>IF(OR(H8956=1,I8956=1),0,IF(G8956="Credit",-F8956,F8956))</f>
        <v/>
      </c>
    </row>
    <row r="8957">
      <c r="A8957" t="inlineStr">
        <is>
          <t>2026-09-18</t>
        </is>
      </c>
      <c r="B8957" t="inlineStr">
        <is>
          <t>F277290</t>
        </is>
      </c>
      <c r="C8957" t="inlineStr">
        <is>
          <t>C10919</t>
        </is>
      </c>
      <c r="D8957" t="inlineStr">
        <is>
          <t>SKU-10182</t>
        </is>
      </c>
      <c r="E8957" t="inlineStr">
        <is>
          <t>AM01</t>
        </is>
      </c>
      <c r="F8957" s="5" t="n">
        <v>281.68</v>
      </c>
      <c r="G8957">
        <f>IF(LEFT(B8957,1)="C","Credit","Factuur")</f>
        <v/>
      </c>
      <c r="H8957">
        <f>IF(AND(B8957=B8956,D8957=D8956,A8957=A8956,F8957=F8956),1,0)</f>
        <v/>
      </c>
      <c r="I8957">
        <f>IF(C8957="C99999",1,0)</f>
        <v/>
      </c>
      <c r="J8957" s="5">
        <f>IF(OR(H8957=1,I8957=1),0,IF(G8957="Credit",-F8957,F8957))</f>
        <v/>
      </c>
    </row>
    <row r="8958">
      <c r="A8958" t="inlineStr">
        <is>
          <t>2026-09-18</t>
        </is>
      </c>
      <c r="B8958" t="inlineStr">
        <is>
          <t>F277420</t>
        </is>
      </c>
      <c r="C8958" t="inlineStr">
        <is>
          <t>C10926</t>
        </is>
      </c>
      <c r="D8958" t="inlineStr">
        <is>
          <t>SKU-10088</t>
        </is>
      </c>
      <c r="E8958" t="inlineStr">
        <is>
          <t>AM02</t>
        </is>
      </c>
      <c r="F8958" s="5" t="n">
        <v>791.5599999999999</v>
      </c>
      <c r="G8958">
        <f>IF(LEFT(B8958,1)="C","Credit","Factuur")</f>
        <v/>
      </c>
      <c r="H8958">
        <f>IF(AND(B8958=B8957,D8958=D8957,A8958=A8957,F8958=F8957),1,0)</f>
        <v/>
      </c>
      <c r="I8958">
        <f>IF(C8958="C99999",1,0)</f>
        <v/>
      </c>
      <c r="J8958" s="5">
        <f>IF(OR(H8958=1,I8958=1),0,IF(G8958="Credit",-F8958,F8958))</f>
        <v/>
      </c>
    </row>
    <row r="8959">
      <c r="A8959" t="inlineStr">
        <is>
          <t>2026-09-18</t>
        </is>
      </c>
      <c r="B8959" t="inlineStr">
        <is>
          <t>F277420</t>
        </is>
      </c>
      <c r="C8959" t="inlineStr">
        <is>
          <t>C10926</t>
        </is>
      </c>
      <c r="D8959" t="inlineStr">
        <is>
          <t>SKU-10295</t>
        </is>
      </c>
      <c r="E8959" t="inlineStr">
        <is>
          <t>AM02</t>
        </is>
      </c>
      <c r="F8959" s="5" t="n">
        <v>753.0599999999999</v>
      </c>
      <c r="G8959">
        <f>IF(LEFT(B8959,1)="C","Credit","Factuur")</f>
        <v/>
      </c>
      <c r="H8959">
        <f>IF(AND(B8959=B8958,D8959=D8958,A8959=A8958,F8959=F8958),1,0)</f>
        <v/>
      </c>
      <c r="I8959">
        <f>IF(C8959="C99999",1,0)</f>
        <v/>
      </c>
      <c r="J8959" s="5">
        <f>IF(OR(H8959=1,I8959=1),0,IF(G8959="Credit",-F8959,F8959))</f>
        <v/>
      </c>
    </row>
    <row r="8960">
      <c r="A8960" t="inlineStr">
        <is>
          <t>2026-09-18</t>
        </is>
      </c>
      <c r="B8960" t="inlineStr">
        <is>
          <t>F278054</t>
        </is>
      </c>
      <c r="C8960" t="inlineStr">
        <is>
          <t>C10958</t>
        </is>
      </c>
      <c r="D8960" t="inlineStr">
        <is>
          <t>SKU-10293</t>
        </is>
      </c>
      <c r="E8960" t="inlineStr">
        <is>
          <t>AM12</t>
        </is>
      </c>
      <c r="F8960" s="5" t="n">
        <v>726</v>
      </c>
      <c r="G8960">
        <f>IF(LEFT(B8960,1)="C","Credit","Factuur")</f>
        <v/>
      </c>
      <c r="H8960">
        <f>IF(AND(B8960=B8959,D8960=D8959,A8960=A8959,F8960=F8959),1,0)</f>
        <v/>
      </c>
      <c r="I8960">
        <f>IF(C8960="C99999",1,0)</f>
        <v/>
      </c>
      <c r="J8960" s="5">
        <f>IF(OR(H8960=1,I8960=1),0,IF(G8960="Credit",-F8960,F8960))</f>
        <v/>
      </c>
    </row>
    <row r="8961">
      <c r="A8961" t="inlineStr">
        <is>
          <t>2026-09-18</t>
        </is>
      </c>
      <c r="B8961" t="inlineStr">
        <is>
          <t>F278054</t>
        </is>
      </c>
      <c r="C8961" t="inlineStr">
        <is>
          <t>C10958</t>
        </is>
      </c>
      <c r="D8961" t="inlineStr">
        <is>
          <t>SKU-10328</t>
        </is>
      </c>
      <c r="E8961" t="inlineStr">
        <is>
          <t>AM12</t>
        </is>
      </c>
      <c r="F8961" s="5" t="n">
        <v>718.52</v>
      </c>
      <c r="G8961">
        <f>IF(LEFT(B8961,1)="C","Credit","Factuur")</f>
        <v/>
      </c>
      <c r="H8961">
        <f>IF(AND(B8961=B8960,D8961=D8960,A8961=A8960,F8961=F8960),1,0)</f>
        <v/>
      </c>
      <c r="I8961">
        <f>IF(C8961="C99999",1,0)</f>
        <v/>
      </c>
      <c r="J8961" s="5">
        <f>IF(OR(H8961=1,I8961=1),0,IF(G8961="Credit",-F8961,F8961))</f>
        <v/>
      </c>
    </row>
    <row r="8962">
      <c r="A8962" t="inlineStr">
        <is>
          <t>2026-09-18</t>
        </is>
      </c>
      <c r="B8962" t="inlineStr">
        <is>
          <t>F278565</t>
        </is>
      </c>
      <c r="C8962" t="inlineStr">
        <is>
          <t>C10985</t>
        </is>
      </c>
      <c r="D8962" t="inlineStr">
        <is>
          <t>SKU-10047</t>
        </is>
      </c>
      <c r="E8962" t="inlineStr">
        <is>
          <t>AM12</t>
        </is>
      </c>
      <c r="F8962" s="5" t="n">
        <v>150.19</v>
      </c>
      <c r="G8962">
        <f>IF(LEFT(B8962,1)="C","Credit","Factuur")</f>
        <v/>
      </c>
      <c r="H8962">
        <f>IF(AND(B8962=B8961,D8962=D8961,A8962=A8961,F8962=F8961),1,0)</f>
        <v/>
      </c>
      <c r="I8962">
        <f>IF(C8962="C99999",1,0)</f>
        <v/>
      </c>
      <c r="J8962" s="5">
        <f>IF(OR(H8962=1,I8962=1),0,IF(G8962="Credit",-F8962,F8962))</f>
        <v/>
      </c>
    </row>
    <row r="8963">
      <c r="A8963" t="inlineStr">
        <is>
          <t>2026-09-18</t>
        </is>
      </c>
      <c r="B8963" t="inlineStr">
        <is>
          <t>F278565</t>
        </is>
      </c>
      <c r="C8963" t="inlineStr">
        <is>
          <t>C10985</t>
        </is>
      </c>
      <c r="D8963" t="inlineStr">
        <is>
          <t>SKU-10162</t>
        </is>
      </c>
      <c r="E8963" t="inlineStr">
        <is>
          <t>AM12</t>
        </is>
      </c>
      <c r="F8963" s="5" t="n">
        <v>147</v>
      </c>
      <c r="G8963">
        <f>IF(LEFT(B8963,1)="C","Credit","Factuur")</f>
        <v/>
      </c>
      <c r="H8963">
        <f>IF(AND(B8963=B8962,D8963=D8962,A8963=A8962,F8963=F8962),1,0)</f>
        <v/>
      </c>
      <c r="I8963">
        <f>IF(C8963="C99999",1,0)</f>
        <v/>
      </c>
      <c r="J8963" s="5">
        <f>IF(OR(H8963=1,I8963=1),0,IF(G8963="Credit",-F8963,F8963))</f>
        <v/>
      </c>
    </row>
    <row r="8964">
      <c r="A8964" t="inlineStr">
        <is>
          <t>2026-09-18</t>
        </is>
      </c>
      <c r="B8964" t="inlineStr">
        <is>
          <t>F278565</t>
        </is>
      </c>
      <c r="C8964" t="inlineStr">
        <is>
          <t>C10985</t>
        </is>
      </c>
      <c r="D8964" t="inlineStr">
        <is>
          <t>SKU-10165</t>
        </is>
      </c>
      <c r="E8964" t="inlineStr">
        <is>
          <t>AM12</t>
        </is>
      </c>
      <c r="F8964" s="5" t="n">
        <v>137.52</v>
      </c>
      <c r="G8964">
        <f>IF(LEFT(B8964,1)="C","Credit","Factuur")</f>
        <v/>
      </c>
      <c r="H8964">
        <f>IF(AND(B8964=B8963,D8964=D8963,A8964=A8963,F8964=F8963),1,0)</f>
        <v/>
      </c>
      <c r="I8964">
        <f>IF(C8964="C99999",1,0)</f>
        <v/>
      </c>
      <c r="J8964" s="5">
        <f>IF(OR(H8964=1,I8964=1),0,IF(G8964="Credit",-F8964,F8964))</f>
        <v/>
      </c>
    </row>
    <row r="8965">
      <c r="A8965" t="inlineStr">
        <is>
          <t>2026-09-18</t>
        </is>
      </c>
      <c r="B8965" t="inlineStr">
        <is>
          <t>F278565</t>
        </is>
      </c>
      <c r="C8965" t="inlineStr">
        <is>
          <t>C10985</t>
        </is>
      </c>
      <c r="D8965" t="inlineStr">
        <is>
          <t>SKU-10191</t>
        </is>
      </c>
      <c r="E8965" t="inlineStr">
        <is>
          <t>AM12</t>
        </is>
      </c>
      <c r="F8965" s="5" t="n">
        <v>149.22</v>
      </c>
      <c r="G8965">
        <f>IF(LEFT(B8965,1)="C","Credit","Factuur")</f>
        <v/>
      </c>
      <c r="H8965">
        <f>IF(AND(B8965=B8964,D8965=D8964,A8965=A8964,F8965=F8964),1,0)</f>
        <v/>
      </c>
      <c r="I8965">
        <f>IF(C8965="C99999",1,0)</f>
        <v/>
      </c>
      <c r="J8965" s="5">
        <f>IF(OR(H8965=1,I8965=1),0,IF(G8965="Credit",-F8965,F8965))</f>
        <v/>
      </c>
    </row>
    <row r="8966">
      <c r="A8966" t="inlineStr">
        <is>
          <t>2026-09-18</t>
        </is>
      </c>
      <c r="B8966" t="inlineStr">
        <is>
          <t>F278565</t>
        </is>
      </c>
      <c r="C8966" t="inlineStr">
        <is>
          <t>C10985</t>
        </is>
      </c>
      <c r="D8966" t="inlineStr">
        <is>
          <t>SKU-10325</t>
        </is>
      </c>
      <c r="E8966" t="inlineStr">
        <is>
          <t>AM12</t>
        </is>
      </c>
      <c r="F8966" s="5" t="n">
        <v>134.24</v>
      </c>
      <c r="G8966">
        <f>IF(LEFT(B8966,1)="C","Credit","Factuur")</f>
        <v/>
      </c>
      <c r="H8966">
        <f>IF(AND(B8966=B8965,D8966=D8965,A8966=A8965,F8966=F8965),1,0)</f>
        <v/>
      </c>
      <c r="I8966">
        <f>IF(C8966="C99999",1,0)</f>
        <v/>
      </c>
      <c r="J8966" s="5">
        <f>IF(OR(H8966=1,I8966=1),0,IF(G8966="Credit",-F8966,F8966))</f>
        <v/>
      </c>
    </row>
    <row r="8967">
      <c r="A8967" t="inlineStr">
        <is>
          <t>2026-09-18</t>
        </is>
      </c>
      <c r="B8967" t="inlineStr">
        <is>
          <t>F279010</t>
        </is>
      </c>
      <c r="C8967" t="inlineStr">
        <is>
          <t>C11007</t>
        </is>
      </c>
      <c r="D8967" t="inlineStr">
        <is>
          <t>SKU-10126</t>
        </is>
      </c>
      <c r="E8967" t="inlineStr">
        <is>
          <t>AM11</t>
        </is>
      </c>
      <c r="F8967" s="5" t="n">
        <v>1836.1</v>
      </c>
      <c r="G8967">
        <f>IF(LEFT(B8967,1)="C","Credit","Factuur")</f>
        <v/>
      </c>
      <c r="H8967">
        <f>IF(AND(B8967=B8966,D8967=D8966,A8967=A8966,F8967=F8966),1,0)</f>
        <v/>
      </c>
      <c r="I8967">
        <f>IF(C8967="C99999",1,0)</f>
        <v/>
      </c>
      <c r="J8967" s="5">
        <f>IF(OR(H8967=1,I8967=1),0,IF(G8967="Credit",-F8967,F8967))</f>
        <v/>
      </c>
    </row>
    <row r="8968">
      <c r="A8968" t="inlineStr">
        <is>
          <t>2026-09-18</t>
        </is>
      </c>
      <c r="B8968" t="inlineStr">
        <is>
          <t>F279102</t>
        </is>
      </c>
      <c r="C8968" t="inlineStr">
        <is>
          <t>C11011</t>
        </is>
      </c>
      <c r="D8968" t="inlineStr">
        <is>
          <t>SKU-10304</t>
        </is>
      </c>
      <c r="E8968" t="inlineStr">
        <is>
          <t>AM05</t>
        </is>
      </c>
      <c r="F8968" s="5" t="n">
        <v>420.96</v>
      </c>
      <c r="G8968">
        <f>IF(LEFT(B8968,1)="C","Credit","Factuur")</f>
        <v/>
      </c>
      <c r="H8968">
        <f>IF(AND(B8968=B8967,D8968=D8967,A8968=A8967,F8968=F8967),1,0)</f>
        <v/>
      </c>
      <c r="I8968">
        <f>IF(C8968="C99999",1,0)</f>
        <v/>
      </c>
      <c r="J8968" s="5">
        <f>IF(OR(H8968=1,I8968=1),0,IF(G8968="Credit",-F8968,F8968))</f>
        <v/>
      </c>
    </row>
    <row r="8969">
      <c r="A8969" t="inlineStr">
        <is>
          <t>2026-09-18</t>
        </is>
      </c>
      <c r="B8969" t="inlineStr">
        <is>
          <t>F279102</t>
        </is>
      </c>
      <c r="C8969" t="inlineStr">
        <is>
          <t>C11011</t>
        </is>
      </c>
      <c r="D8969" t="inlineStr">
        <is>
          <t>SKU-10344</t>
        </is>
      </c>
      <c r="E8969" t="inlineStr">
        <is>
          <t>AM05</t>
        </is>
      </c>
      <c r="F8969" s="5" t="n">
        <v>380.8</v>
      </c>
      <c r="G8969">
        <f>IF(LEFT(B8969,1)="C","Credit","Factuur")</f>
        <v/>
      </c>
      <c r="H8969">
        <f>IF(AND(B8969=B8968,D8969=D8968,A8969=A8968,F8969=F8968),1,0)</f>
        <v/>
      </c>
      <c r="I8969">
        <f>IF(C8969="C99999",1,0)</f>
        <v/>
      </c>
      <c r="J8969" s="5">
        <f>IF(OR(H8969=1,I8969=1),0,IF(G8969="Credit",-F8969,F8969))</f>
        <v/>
      </c>
    </row>
    <row r="8970">
      <c r="A8970" t="inlineStr">
        <is>
          <t>2026-09-18</t>
        </is>
      </c>
      <c r="B8970" t="inlineStr">
        <is>
          <t>F279676</t>
        </is>
      </c>
      <c r="C8970" t="inlineStr">
        <is>
          <t>C11043</t>
        </is>
      </c>
      <c r="D8970" t="inlineStr">
        <is>
          <t>SKU-10078</t>
        </is>
      </c>
      <c r="E8970" t="inlineStr">
        <is>
          <t>AM02</t>
        </is>
      </c>
      <c r="F8970" s="5" t="n">
        <v>72.29000000000001</v>
      </c>
      <c r="G8970">
        <f>IF(LEFT(B8970,1)="C","Credit","Factuur")</f>
        <v/>
      </c>
      <c r="H8970">
        <f>IF(AND(B8970=B8969,D8970=D8969,A8970=A8969,F8970=F8969),1,0)</f>
        <v/>
      </c>
      <c r="I8970">
        <f>IF(C8970="C99999",1,0)</f>
        <v/>
      </c>
      <c r="J8970" s="5">
        <f>IF(OR(H8970=1,I8970=1),0,IF(G8970="Credit",-F8970,F8970))</f>
        <v/>
      </c>
    </row>
    <row r="8971">
      <c r="A8971" t="inlineStr">
        <is>
          <t>2026-09-18</t>
        </is>
      </c>
      <c r="B8971" t="inlineStr">
        <is>
          <t>F279676</t>
        </is>
      </c>
      <c r="C8971" t="inlineStr">
        <is>
          <t>C11043</t>
        </is>
      </c>
      <c r="D8971" t="inlineStr">
        <is>
          <t>SKU-10312</t>
        </is>
      </c>
      <c r="E8971" t="inlineStr">
        <is>
          <t>AM02</t>
        </is>
      </c>
      <c r="F8971" s="5" t="n">
        <v>68.8</v>
      </c>
      <c r="G8971">
        <f>IF(LEFT(B8971,1)="C","Credit","Factuur")</f>
        <v/>
      </c>
      <c r="H8971">
        <f>IF(AND(B8971=B8970,D8971=D8970,A8971=A8970,F8971=F8970),1,0)</f>
        <v/>
      </c>
      <c r="I8971">
        <f>IF(C8971="C99999",1,0)</f>
        <v/>
      </c>
      <c r="J8971" s="5">
        <f>IF(OR(H8971=1,I8971=1),0,IF(G8971="Credit",-F8971,F8971))</f>
        <v/>
      </c>
    </row>
    <row r="8972">
      <c r="A8972" t="inlineStr">
        <is>
          <t>2026-09-18</t>
        </is>
      </c>
      <c r="B8972" t="inlineStr">
        <is>
          <t>F279676</t>
        </is>
      </c>
      <c r="C8972" t="inlineStr">
        <is>
          <t>C11043</t>
        </is>
      </c>
      <c r="D8972" t="inlineStr">
        <is>
          <t>SKU-10316</t>
        </is>
      </c>
      <c r="E8972" t="inlineStr">
        <is>
          <t>AM02</t>
        </is>
      </c>
      <c r="F8972" s="5" t="n">
        <v>81.77</v>
      </c>
      <c r="G8972">
        <f>IF(LEFT(B8972,1)="C","Credit","Factuur")</f>
        <v/>
      </c>
      <c r="H8972">
        <f>IF(AND(B8972=B8971,D8972=D8971,A8972=A8971,F8972=F8971),1,0)</f>
        <v/>
      </c>
      <c r="I8972">
        <f>IF(C8972="C99999",1,0)</f>
        <v/>
      </c>
      <c r="J8972" s="5">
        <f>IF(OR(H8972=1,I8972=1),0,IF(G8972="Credit",-F8972,F8972))</f>
        <v/>
      </c>
    </row>
    <row r="8973">
      <c r="A8973" t="inlineStr">
        <is>
          <t>2026-09-18</t>
        </is>
      </c>
      <c r="B8973" t="inlineStr">
        <is>
          <t>F279914</t>
        </is>
      </c>
      <c r="C8973" t="inlineStr">
        <is>
          <t>C11053</t>
        </is>
      </c>
      <c r="D8973" t="inlineStr">
        <is>
          <t>SKU-10176</t>
        </is>
      </c>
      <c r="E8973" t="inlineStr">
        <is>
          <t>AM09</t>
        </is>
      </c>
      <c r="F8973" s="5" t="n">
        <v>4952.92</v>
      </c>
      <c r="G8973">
        <f>IF(LEFT(B8973,1)="C","Credit","Factuur")</f>
        <v/>
      </c>
      <c r="H8973">
        <f>IF(AND(B8973=B8972,D8973=D8972,A8973=A8972,F8973=F8972),1,0)</f>
        <v/>
      </c>
      <c r="I8973">
        <f>IF(C8973="C99999",1,0)</f>
        <v/>
      </c>
      <c r="J8973" s="5">
        <f>IF(OR(H8973=1,I8973=1),0,IF(G8973="Credit",-F8973,F8973))</f>
        <v/>
      </c>
    </row>
    <row r="8974">
      <c r="A8974" t="inlineStr">
        <is>
          <t>2026-09-18</t>
        </is>
      </c>
      <c r="B8974" t="inlineStr">
        <is>
          <t>F279914</t>
        </is>
      </c>
      <c r="C8974" t="inlineStr">
        <is>
          <t>C11053</t>
        </is>
      </c>
      <c r="D8974" t="inlineStr">
        <is>
          <t>SKU-10336</t>
        </is>
      </c>
      <c r="E8974" t="inlineStr">
        <is>
          <t>AM09</t>
        </is>
      </c>
      <c r="F8974" s="5" t="n">
        <v>4949.11</v>
      </c>
      <c r="G8974">
        <f>IF(LEFT(B8974,1)="C","Credit","Factuur")</f>
        <v/>
      </c>
      <c r="H8974">
        <f>IF(AND(B8974=B8973,D8974=D8973,A8974=A8973,F8974=F8973),1,0)</f>
        <v/>
      </c>
      <c r="I8974">
        <f>IF(C8974="C99999",1,0)</f>
        <v/>
      </c>
      <c r="J8974" s="5">
        <f>IF(OR(H8974=1,I8974=1),0,IF(G8974="Credit",-F8974,F8974))</f>
        <v/>
      </c>
    </row>
    <row r="8975">
      <c r="A8975" t="inlineStr">
        <is>
          <t>2026-09-18</t>
        </is>
      </c>
      <c r="B8975" t="inlineStr">
        <is>
          <t>F279919</t>
        </is>
      </c>
      <c r="C8975" t="inlineStr">
        <is>
          <t>C11053</t>
        </is>
      </c>
      <c r="D8975" t="inlineStr">
        <is>
          <t>SKU-10141</t>
        </is>
      </c>
      <c r="E8975" t="inlineStr">
        <is>
          <t>AM09</t>
        </is>
      </c>
      <c r="F8975" s="5" t="n">
        <v>11742.62</v>
      </c>
      <c r="G8975">
        <f>IF(LEFT(B8975,1)="C","Credit","Factuur")</f>
        <v/>
      </c>
      <c r="H8975">
        <f>IF(AND(B8975=B8974,D8975=D8974,A8975=A8974,F8975=F8974),1,0)</f>
        <v/>
      </c>
      <c r="I8975">
        <f>IF(C8975="C99999",1,0)</f>
        <v/>
      </c>
      <c r="J8975" s="5">
        <f>IF(OR(H8975=1,I8975=1),0,IF(G8975="Credit",-F8975,F8975))</f>
        <v/>
      </c>
    </row>
    <row r="8976">
      <c r="A8976" t="inlineStr">
        <is>
          <t>2026-09-18</t>
        </is>
      </c>
      <c r="B8976" t="inlineStr">
        <is>
          <t>F280101</t>
        </is>
      </c>
      <c r="C8976" t="inlineStr">
        <is>
          <t>C11063</t>
        </is>
      </c>
      <c r="D8976" t="inlineStr">
        <is>
          <t>SKU-10141</t>
        </is>
      </c>
      <c r="E8976" t="inlineStr">
        <is>
          <t>AM11</t>
        </is>
      </c>
      <c r="F8976" s="5" t="n">
        <v>106.1</v>
      </c>
      <c r="G8976">
        <f>IF(LEFT(B8976,1)="C","Credit","Factuur")</f>
        <v/>
      </c>
      <c r="H8976">
        <f>IF(AND(B8976=B8975,D8976=D8975,A8976=A8975,F8976=F8975),1,0)</f>
        <v/>
      </c>
      <c r="I8976">
        <f>IF(C8976="C99999",1,0)</f>
        <v/>
      </c>
      <c r="J8976" s="5">
        <f>IF(OR(H8976=1,I8976=1),0,IF(G8976="Credit",-F8976,F8976))</f>
        <v/>
      </c>
    </row>
    <row r="8977">
      <c r="A8977" t="inlineStr">
        <is>
          <t>2026-09-18</t>
        </is>
      </c>
      <c r="B8977" t="inlineStr">
        <is>
          <t>F280101</t>
        </is>
      </c>
      <c r="C8977" t="inlineStr">
        <is>
          <t>C11063</t>
        </is>
      </c>
      <c r="D8977" t="inlineStr">
        <is>
          <t>SKU-10175</t>
        </is>
      </c>
      <c r="E8977" t="inlineStr">
        <is>
          <t>AM11</t>
        </is>
      </c>
      <c r="F8977" s="5" t="n">
        <v>107.27</v>
      </c>
      <c r="G8977">
        <f>IF(LEFT(B8977,1)="C","Credit","Factuur")</f>
        <v/>
      </c>
      <c r="H8977">
        <f>IF(AND(B8977=B8976,D8977=D8976,A8977=A8976,F8977=F8976),1,0)</f>
        <v/>
      </c>
      <c r="I8977">
        <f>IF(C8977="C99999",1,0)</f>
        <v/>
      </c>
      <c r="J8977" s="5">
        <f>IF(OR(H8977=1,I8977=1),0,IF(G8977="Credit",-F8977,F8977))</f>
        <v/>
      </c>
    </row>
    <row r="8978">
      <c r="A8978" t="inlineStr">
        <is>
          <t>2026-09-18</t>
        </is>
      </c>
      <c r="B8978" t="inlineStr">
        <is>
          <t>F280375</t>
        </is>
      </c>
      <c r="C8978" t="inlineStr">
        <is>
          <t>C11075</t>
        </is>
      </c>
      <c r="D8978" t="inlineStr">
        <is>
          <t>SKU-10163</t>
        </is>
      </c>
      <c r="E8978" t="inlineStr">
        <is>
          <t>AM05</t>
        </is>
      </c>
      <c r="F8978" s="5" t="n">
        <v>58.32</v>
      </c>
      <c r="G8978">
        <f>IF(LEFT(B8978,1)="C","Credit","Factuur")</f>
        <v/>
      </c>
      <c r="H8978">
        <f>IF(AND(B8978=B8977,D8978=D8977,A8978=A8977,F8978=F8977),1,0)</f>
        <v/>
      </c>
      <c r="I8978">
        <f>IF(C8978="C99999",1,0)</f>
        <v/>
      </c>
      <c r="J8978" s="5">
        <f>IF(OR(H8978=1,I8978=1),0,IF(G8978="Credit",-F8978,F8978))</f>
        <v/>
      </c>
    </row>
    <row r="8979">
      <c r="A8979" t="inlineStr">
        <is>
          <t>2026-09-18</t>
        </is>
      </c>
      <c r="B8979" t="inlineStr">
        <is>
          <t>F280375</t>
        </is>
      </c>
      <c r="C8979" t="inlineStr">
        <is>
          <t>C11075</t>
        </is>
      </c>
      <c r="D8979" t="inlineStr">
        <is>
          <t>SKU-10184</t>
        </is>
      </c>
      <c r="E8979" t="inlineStr">
        <is>
          <t>AM05</t>
        </is>
      </c>
      <c r="F8979" s="5" t="n">
        <v>51.88</v>
      </c>
      <c r="G8979">
        <f>IF(LEFT(B8979,1)="C","Credit","Factuur")</f>
        <v/>
      </c>
      <c r="H8979">
        <f>IF(AND(B8979=B8978,D8979=D8978,A8979=A8978,F8979=F8978),1,0)</f>
        <v/>
      </c>
      <c r="I8979">
        <f>IF(C8979="C99999",1,0)</f>
        <v/>
      </c>
      <c r="J8979" s="5">
        <f>IF(OR(H8979=1,I8979=1),0,IF(G8979="Credit",-F8979,F8979))</f>
        <v/>
      </c>
    </row>
    <row r="8980">
      <c r="A8980" t="inlineStr">
        <is>
          <t>2026-09-18</t>
        </is>
      </c>
      <c r="B8980" t="inlineStr">
        <is>
          <t>F280375</t>
        </is>
      </c>
      <c r="C8980" t="inlineStr">
        <is>
          <t>C11075</t>
        </is>
      </c>
      <c r="D8980" t="inlineStr">
        <is>
          <t>SKU-10235</t>
        </is>
      </c>
      <c r="E8980" t="inlineStr">
        <is>
          <t>AM05</t>
        </is>
      </c>
      <c r="F8980" s="5" t="n">
        <v>49.44</v>
      </c>
      <c r="G8980">
        <f>IF(LEFT(B8980,1)="C","Credit","Factuur")</f>
        <v/>
      </c>
      <c r="H8980">
        <f>IF(AND(B8980=B8979,D8980=D8979,A8980=A8979,F8980=F8979),1,0)</f>
        <v/>
      </c>
      <c r="I8980">
        <f>IF(C8980="C99999",1,0)</f>
        <v/>
      </c>
      <c r="J8980" s="5">
        <f>IF(OR(H8980=1,I8980=1),0,IF(G8980="Credit",-F8980,F8980))</f>
        <v/>
      </c>
    </row>
    <row r="8981">
      <c r="A8981" t="inlineStr">
        <is>
          <t>2026-09-18</t>
        </is>
      </c>
      <c r="B8981" t="inlineStr">
        <is>
          <t>F280375</t>
        </is>
      </c>
      <c r="C8981" t="inlineStr">
        <is>
          <t>C11075</t>
        </is>
      </c>
      <c r="D8981" t="inlineStr">
        <is>
          <t>SKU-10266</t>
        </is>
      </c>
      <c r="E8981" t="inlineStr">
        <is>
          <t>AM05</t>
        </is>
      </c>
      <c r="F8981" s="5" t="n">
        <v>35.8</v>
      </c>
      <c r="G8981">
        <f>IF(LEFT(B8981,1)="C","Credit","Factuur")</f>
        <v/>
      </c>
      <c r="H8981">
        <f>IF(AND(B8981=B8980,D8981=D8980,A8981=A8980,F8981=F8980),1,0)</f>
        <v/>
      </c>
      <c r="I8981">
        <f>IF(C8981="C99999",1,0)</f>
        <v/>
      </c>
      <c r="J8981" s="5">
        <f>IF(OR(H8981=1,I8981=1),0,IF(G8981="Credit",-F8981,F8981))</f>
        <v/>
      </c>
    </row>
    <row r="8982">
      <c r="A8982" t="inlineStr">
        <is>
          <t>2026-09-18</t>
        </is>
      </c>
      <c r="B8982" t="inlineStr">
        <is>
          <t>F280375</t>
        </is>
      </c>
      <c r="C8982" t="inlineStr">
        <is>
          <t>C11075</t>
        </is>
      </c>
      <c r="D8982" t="inlineStr">
        <is>
          <t>SKU-10280</t>
        </is>
      </c>
      <c r="E8982" t="inlineStr">
        <is>
          <t>AM05</t>
        </is>
      </c>
      <c r="F8982" s="5" t="n">
        <v>52.86</v>
      </c>
      <c r="G8982">
        <f>IF(LEFT(B8982,1)="C","Credit","Factuur")</f>
        <v/>
      </c>
      <c r="H8982">
        <f>IF(AND(B8982=B8981,D8982=D8981,A8982=A8981,F8982=F8981),1,0)</f>
        <v/>
      </c>
      <c r="I8982">
        <f>IF(C8982="C99999",1,0)</f>
        <v/>
      </c>
      <c r="J8982" s="5">
        <f>IF(OR(H8982=1,I8982=1),0,IF(G8982="Credit",-F8982,F8982))</f>
        <v/>
      </c>
    </row>
    <row r="8983">
      <c r="A8983" t="inlineStr">
        <is>
          <t>2026-09-18</t>
        </is>
      </c>
      <c r="B8983" t="inlineStr">
        <is>
          <t>F280375</t>
        </is>
      </c>
      <c r="C8983" t="inlineStr">
        <is>
          <t>C11075</t>
        </is>
      </c>
      <c r="D8983" t="inlineStr">
        <is>
          <t>SKU-10303</t>
        </is>
      </c>
      <c r="E8983" t="inlineStr">
        <is>
          <t>AM05</t>
        </is>
      </c>
      <c r="F8983" s="5" t="n">
        <v>55.47</v>
      </c>
      <c r="G8983">
        <f>IF(LEFT(B8983,1)="C","Credit","Factuur")</f>
        <v/>
      </c>
      <c r="H8983">
        <f>IF(AND(B8983=B8982,D8983=D8982,A8983=A8982,F8983=F8982),1,0)</f>
        <v/>
      </c>
      <c r="I8983">
        <f>IF(C8983="C99999",1,0)</f>
        <v/>
      </c>
      <c r="J8983" s="5">
        <f>IF(OR(H8983=1,I8983=1),0,IF(G8983="Credit",-F8983,F8983))</f>
        <v/>
      </c>
    </row>
    <row r="8984">
      <c r="A8984" t="inlineStr">
        <is>
          <t>2026-09-18</t>
        </is>
      </c>
      <c r="B8984" t="inlineStr">
        <is>
          <t>F280428</t>
        </is>
      </c>
      <c r="C8984" t="inlineStr">
        <is>
          <t>C11078</t>
        </is>
      </c>
      <c r="D8984" t="inlineStr">
        <is>
          <t>SKU-10096</t>
        </is>
      </c>
      <c r="E8984" t="inlineStr">
        <is>
          <t>AM08</t>
        </is>
      </c>
      <c r="F8984" s="5" t="n">
        <v>572.1</v>
      </c>
      <c r="G8984">
        <f>IF(LEFT(B8984,1)="C","Credit","Factuur")</f>
        <v/>
      </c>
      <c r="H8984">
        <f>IF(AND(B8984=B8983,D8984=D8983,A8984=A8983,F8984=F8983),1,0)</f>
        <v/>
      </c>
      <c r="I8984">
        <f>IF(C8984="C99999",1,0)</f>
        <v/>
      </c>
      <c r="J8984" s="5">
        <f>IF(OR(H8984=1,I8984=1),0,IF(G8984="Credit",-F8984,F8984))</f>
        <v/>
      </c>
    </row>
    <row r="8985">
      <c r="A8985" t="inlineStr">
        <is>
          <t>2026-09-18</t>
        </is>
      </c>
      <c r="B8985" t="inlineStr">
        <is>
          <t>F280906</t>
        </is>
      </c>
      <c r="C8985" t="inlineStr">
        <is>
          <t>C11101</t>
        </is>
      </c>
      <c r="D8985" t="inlineStr">
        <is>
          <t>SKU-10012</t>
        </is>
      </c>
      <c r="E8985" t="inlineStr">
        <is>
          <t>AM08</t>
        </is>
      </c>
      <c r="F8985" s="5" t="n">
        <v>867.95</v>
      </c>
      <c r="G8985">
        <f>IF(LEFT(B8985,1)="C","Credit","Factuur")</f>
        <v/>
      </c>
      <c r="H8985">
        <f>IF(AND(B8985=B8984,D8985=D8984,A8985=A8984,F8985=F8984),1,0)</f>
        <v/>
      </c>
      <c r="I8985">
        <f>IF(C8985="C99999",1,0)</f>
        <v/>
      </c>
      <c r="J8985" s="5">
        <f>IF(OR(H8985=1,I8985=1),0,IF(G8985="Credit",-F8985,F8985))</f>
        <v/>
      </c>
    </row>
    <row r="8986">
      <c r="A8986" t="inlineStr">
        <is>
          <t>2026-09-18</t>
        </is>
      </c>
      <c r="B8986" t="inlineStr">
        <is>
          <t>F280906</t>
        </is>
      </c>
      <c r="C8986" t="inlineStr">
        <is>
          <t>C11101</t>
        </is>
      </c>
      <c r="D8986" t="inlineStr">
        <is>
          <t>SKU-10130</t>
        </is>
      </c>
      <c r="E8986" t="inlineStr">
        <is>
          <t>AM08</t>
        </is>
      </c>
      <c r="F8986" s="5" t="n">
        <v>1034.84</v>
      </c>
      <c r="G8986">
        <f>IF(LEFT(B8986,1)="C","Credit","Factuur")</f>
        <v/>
      </c>
      <c r="H8986">
        <f>IF(AND(B8986=B8985,D8986=D8985,A8986=A8985,F8986=F8985),1,0)</f>
        <v/>
      </c>
      <c r="I8986">
        <f>IF(C8986="C99999",1,0)</f>
        <v/>
      </c>
      <c r="J8986" s="5">
        <f>IF(OR(H8986=1,I8986=1),0,IF(G8986="Credit",-F8986,F8986))</f>
        <v/>
      </c>
    </row>
    <row r="8987">
      <c r="A8987" t="inlineStr">
        <is>
          <t>2026-09-18</t>
        </is>
      </c>
      <c r="B8987" t="inlineStr">
        <is>
          <t>F280906</t>
        </is>
      </c>
      <c r="C8987" t="inlineStr">
        <is>
          <t>C11101</t>
        </is>
      </c>
      <c r="D8987" t="inlineStr">
        <is>
          <t>SKU-10263</t>
        </is>
      </c>
      <c r="E8987" t="inlineStr">
        <is>
          <t>AM08</t>
        </is>
      </c>
      <c r="F8987" s="5" t="n">
        <v>903.3</v>
      </c>
      <c r="G8987">
        <f>IF(LEFT(B8987,1)="C","Credit","Factuur")</f>
        <v/>
      </c>
      <c r="H8987">
        <f>IF(AND(B8987=B8986,D8987=D8986,A8987=A8986,F8987=F8986),1,0)</f>
        <v/>
      </c>
      <c r="I8987">
        <f>IF(C8987="C99999",1,0)</f>
        <v/>
      </c>
      <c r="J8987" s="5">
        <f>IF(OR(H8987=1,I8987=1),0,IF(G8987="Credit",-F8987,F8987))</f>
        <v/>
      </c>
    </row>
    <row r="8988">
      <c r="A8988" t="inlineStr">
        <is>
          <t>2026-09-18</t>
        </is>
      </c>
      <c r="B8988" t="inlineStr">
        <is>
          <t>F280925</t>
        </is>
      </c>
      <c r="C8988" t="inlineStr">
        <is>
          <t>C11103</t>
        </is>
      </c>
      <c r="D8988" t="inlineStr">
        <is>
          <t>SKU-10158</t>
        </is>
      </c>
      <c r="E8988" t="inlineStr">
        <is>
          <t>AM02</t>
        </is>
      </c>
      <c r="F8988" s="5" t="n">
        <v>334.85</v>
      </c>
      <c r="G8988">
        <f>IF(LEFT(B8988,1)="C","Credit","Factuur")</f>
        <v/>
      </c>
      <c r="H8988">
        <f>IF(AND(B8988=B8987,D8988=D8987,A8988=A8987,F8988=F8987),1,0)</f>
        <v/>
      </c>
      <c r="I8988">
        <f>IF(C8988="C99999",1,0)</f>
        <v/>
      </c>
      <c r="J8988" s="5">
        <f>IF(OR(H8988=1,I8988=1),0,IF(G8988="Credit",-F8988,F8988))</f>
        <v/>
      </c>
    </row>
    <row r="8989">
      <c r="A8989" t="inlineStr">
        <is>
          <t>2026-09-18</t>
        </is>
      </c>
      <c r="B8989" t="inlineStr">
        <is>
          <t>F280925</t>
        </is>
      </c>
      <c r="C8989" t="inlineStr">
        <is>
          <t>C11103</t>
        </is>
      </c>
      <c r="D8989" t="inlineStr">
        <is>
          <t>SKU-10288</t>
        </is>
      </c>
      <c r="E8989" t="inlineStr">
        <is>
          <t>AM02</t>
        </is>
      </c>
      <c r="F8989" s="5" t="n">
        <v>305.62</v>
      </c>
      <c r="G8989">
        <f>IF(LEFT(B8989,1)="C","Credit","Factuur")</f>
        <v/>
      </c>
      <c r="H8989">
        <f>IF(AND(B8989=B8988,D8989=D8988,A8989=A8988,F8989=F8988),1,0)</f>
        <v/>
      </c>
      <c r="I8989">
        <f>IF(C8989="C99999",1,0)</f>
        <v/>
      </c>
      <c r="J8989" s="5">
        <f>IF(OR(H8989=1,I8989=1),0,IF(G8989="Credit",-F8989,F8989))</f>
        <v/>
      </c>
    </row>
    <row r="8990">
      <c r="A8990" t="inlineStr">
        <is>
          <t>2026-09-18</t>
        </is>
      </c>
      <c r="B8990" t="inlineStr">
        <is>
          <t>F280925</t>
        </is>
      </c>
      <c r="C8990" t="inlineStr">
        <is>
          <t>C11103</t>
        </is>
      </c>
      <c r="D8990" t="inlineStr">
        <is>
          <t>SKU-10309</t>
        </is>
      </c>
      <c r="E8990" t="inlineStr">
        <is>
          <t>AM02</t>
        </is>
      </c>
      <c r="F8990" s="5" t="n">
        <v>323.47</v>
      </c>
      <c r="G8990">
        <f>IF(LEFT(B8990,1)="C","Credit","Factuur")</f>
        <v/>
      </c>
      <c r="H8990">
        <f>IF(AND(B8990=B8989,D8990=D8989,A8990=A8989,F8990=F8989),1,0)</f>
        <v/>
      </c>
      <c r="I8990">
        <f>IF(C8990="C99999",1,0)</f>
        <v/>
      </c>
      <c r="J8990" s="5">
        <f>IF(OR(H8990=1,I8990=1),0,IF(G8990="Credit",-F8990,F8990))</f>
        <v/>
      </c>
    </row>
    <row r="8991">
      <c r="A8991" t="inlineStr">
        <is>
          <t>2026-09-18</t>
        </is>
      </c>
      <c r="B8991" t="inlineStr">
        <is>
          <t>F280979</t>
        </is>
      </c>
      <c r="C8991" t="inlineStr">
        <is>
          <t>C11105</t>
        </is>
      </c>
      <c r="D8991" t="inlineStr">
        <is>
          <t>SKU-10023</t>
        </is>
      </c>
      <c r="E8991" t="inlineStr">
        <is>
          <t>AM12</t>
        </is>
      </c>
      <c r="F8991" s="5" t="n">
        <v>53.39</v>
      </c>
      <c r="G8991">
        <f>IF(LEFT(B8991,1)="C","Credit","Factuur")</f>
        <v/>
      </c>
      <c r="H8991">
        <f>IF(AND(B8991=B8990,D8991=D8990,A8991=A8990,F8991=F8990),1,0)</f>
        <v/>
      </c>
      <c r="I8991">
        <f>IF(C8991="C99999",1,0)</f>
        <v/>
      </c>
      <c r="J8991" s="5">
        <f>IF(OR(H8991=1,I8991=1),0,IF(G8991="Credit",-F8991,F8991))</f>
        <v/>
      </c>
    </row>
    <row r="8992">
      <c r="A8992" t="inlineStr">
        <is>
          <t>2026-09-18</t>
        </is>
      </c>
      <c r="B8992" t="inlineStr">
        <is>
          <t>F280979</t>
        </is>
      </c>
      <c r="C8992" t="inlineStr">
        <is>
          <t>C11105</t>
        </is>
      </c>
      <c r="D8992" t="inlineStr">
        <is>
          <t>SKU-10028</t>
        </is>
      </c>
      <c r="E8992" t="inlineStr">
        <is>
          <t>AM12</t>
        </is>
      </c>
      <c r="F8992" s="5" t="n">
        <v>52.09</v>
      </c>
      <c r="G8992">
        <f>IF(LEFT(B8992,1)="C","Credit","Factuur")</f>
        <v/>
      </c>
      <c r="H8992">
        <f>IF(AND(B8992=B8991,D8992=D8991,A8992=A8991,F8992=F8991),1,0)</f>
        <v/>
      </c>
      <c r="I8992">
        <f>IF(C8992="C99999",1,0)</f>
        <v/>
      </c>
      <c r="J8992" s="5">
        <f>IF(OR(H8992=1,I8992=1),0,IF(G8992="Credit",-F8992,F8992))</f>
        <v/>
      </c>
    </row>
    <row r="8993">
      <c r="A8993" t="inlineStr">
        <is>
          <t>2026-09-18</t>
        </is>
      </c>
      <c r="B8993" t="inlineStr">
        <is>
          <t>F280979</t>
        </is>
      </c>
      <c r="C8993" t="inlineStr">
        <is>
          <t>C11105</t>
        </is>
      </c>
      <c r="D8993" t="inlineStr">
        <is>
          <t>SKU-10046</t>
        </is>
      </c>
      <c r="E8993" t="inlineStr">
        <is>
          <t>AM12</t>
        </is>
      </c>
      <c r="F8993" s="5" t="n">
        <v>71.01000000000001</v>
      </c>
      <c r="G8993">
        <f>IF(LEFT(B8993,1)="C","Credit","Factuur")</f>
        <v/>
      </c>
      <c r="H8993">
        <f>IF(AND(B8993=B8992,D8993=D8992,A8993=A8992,F8993=F8992),1,0)</f>
        <v/>
      </c>
      <c r="I8993">
        <f>IF(C8993="C99999",1,0)</f>
        <v/>
      </c>
      <c r="J8993" s="5">
        <f>IF(OR(H8993=1,I8993=1),0,IF(G8993="Credit",-F8993,F8993))</f>
        <v/>
      </c>
    </row>
    <row r="8994">
      <c r="A8994" t="inlineStr">
        <is>
          <t>2026-09-18</t>
        </is>
      </c>
      <c r="B8994" t="inlineStr">
        <is>
          <t>F280979</t>
        </is>
      </c>
      <c r="C8994" t="inlineStr">
        <is>
          <t>C11105</t>
        </is>
      </c>
      <c r="D8994" t="inlineStr">
        <is>
          <t>SKU-10256</t>
        </is>
      </c>
      <c r="E8994" t="inlineStr">
        <is>
          <t>AM12</t>
        </is>
      </c>
      <c r="F8994" s="5" t="n">
        <v>63.27</v>
      </c>
      <c r="G8994">
        <f>IF(LEFT(B8994,1)="C","Credit","Factuur")</f>
        <v/>
      </c>
      <c r="H8994">
        <f>IF(AND(B8994=B8993,D8994=D8993,A8994=A8993,F8994=F8993),1,0)</f>
        <v/>
      </c>
      <c r="I8994">
        <f>IF(C8994="C99999",1,0)</f>
        <v/>
      </c>
      <c r="J8994" s="5">
        <f>IF(OR(H8994=1,I8994=1),0,IF(G8994="Credit",-F8994,F8994))</f>
        <v/>
      </c>
    </row>
    <row r="8995">
      <c r="A8995" t="inlineStr">
        <is>
          <t>2026-09-18</t>
        </is>
      </c>
      <c r="B8995" t="inlineStr">
        <is>
          <t>F281419</t>
        </is>
      </c>
      <c r="C8995" t="inlineStr">
        <is>
          <t>C11129</t>
        </is>
      </c>
      <c r="D8995" t="inlineStr">
        <is>
          <t>SKU-10122</t>
        </is>
      </c>
      <c r="E8995" t="inlineStr">
        <is>
          <t>AM01</t>
        </is>
      </c>
      <c r="F8995" s="5" t="n">
        <v>2618.88</v>
      </c>
      <c r="G8995">
        <f>IF(LEFT(B8995,1)="C","Credit","Factuur")</f>
        <v/>
      </c>
      <c r="H8995">
        <f>IF(AND(B8995=B8994,D8995=D8994,A8995=A8994,F8995=F8994),1,0)</f>
        <v/>
      </c>
      <c r="I8995">
        <f>IF(C8995="C99999",1,0)</f>
        <v/>
      </c>
      <c r="J8995" s="5">
        <f>IF(OR(H8995=1,I8995=1),0,IF(G8995="Credit",-F8995,F8995))</f>
        <v/>
      </c>
    </row>
    <row r="8996">
      <c r="A8996" t="inlineStr">
        <is>
          <t>2026-09-18</t>
        </is>
      </c>
      <c r="B8996" t="inlineStr">
        <is>
          <t>F281419</t>
        </is>
      </c>
      <c r="C8996" t="inlineStr">
        <is>
          <t>C11129</t>
        </is>
      </c>
      <c r="D8996" t="inlineStr">
        <is>
          <t>SKU-10167</t>
        </is>
      </c>
      <c r="E8996" t="inlineStr">
        <is>
          <t>AM01</t>
        </is>
      </c>
      <c r="F8996" s="5" t="n">
        <v>2622.95</v>
      </c>
      <c r="G8996">
        <f>IF(LEFT(B8996,1)="C","Credit","Factuur")</f>
        <v/>
      </c>
      <c r="H8996">
        <f>IF(AND(B8996=B8995,D8996=D8995,A8996=A8995,F8996=F8995),1,0)</f>
        <v/>
      </c>
      <c r="I8996">
        <f>IF(C8996="C99999",1,0)</f>
        <v/>
      </c>
      <c r="J8996" s="5">
        <f>IF(OR(H8996=1,I8996=1),0,IF(G8996="Credit",-F8996,F8996))</f>
        <v/>
      </c>
    </row>
    <row r="8997">
      <c r="A8997" t="inlineStr">
        <is>
          <t>2026-09-18</t>
        </is>
      </c>
      <c r="B8997" t="inlineStr">
        <is>
          <t>F281419</t>
        </is>
      </c>
      <c r="C8997" t="inlineStr">
        <is>
          <t>C11129</t>
        </is>
      </c>
      <c r="D8997" t="inlineStr">
        <is>
          <t>SKU-10256</t>
        </is>
      </c>
      <c r="E8997" t="inlineStr">
        <is>
          <t>AM01</t>
        </is>
      </c>
      <c r="F8997" s="5" t="n">
        <v>2617.16</v>
      </c>
      <c r="G8997">
        <f>IF(LEFT(B8997,1)="C","Credit","Factuur")</f>
        <v/>
      </c>
      <c r="H8997">
        <f>IF(AND(B8997=B8996,D8997=D8996,A8997=A8996,F8997=F8996),1,0)</f>
        <v/>
      </c>
      <c r="I8997">
        <f>IF(C8997="C99999",1,0)</f>
        <v/>
      </c>
      <c r="J8997" s="5">
        <f>IF(OR(H8997=1,I8997=1),0,IF(G8997="Credit",-F8997,F8997))</f>
        <v/>
      </c>
    </row>
    <row r="8998">
      <c r="A8998" t="inlineStr">
        <is>
          <t>2026-09-18</t>
        </is>
      </c>
      <c r="B8998" t="inlineStr">
        <is>
          <t>F281479</t>
        </is>
      </c>
      <c r="C8998" t="inlineStr">
        <is>
          <t>C11133</t>
        </is>
      </c>
      <c r="D8998" t="inlineStr">
        <is>
          <t>SKU-10220</t>
        </is>
      </c>
      <c r="E8998" t="inlineStr">
        <is>
          <t>AM07</t>
        </is>
      </c>
      <c r="F8998" s="5" t="n">
        <v>1286.35</v>
      </c>
      <c r="G8998">
        <f>IF(LEFT(B8998,1)="C","Credit","Factuur")</f>
        <v/>
      </c>
      <c r="H8998">
        <f>IF(AND(B8998=B8997,D8998=D8997,A8998=A8997,F8998=F8997),1,0)</f>
        <v/>
      </c>
      <c r="I8998">
        <f>IF(C8998="C99999",1,0)</f>
        <v/>
      </c>
      <c r="J8998" s="5">
        <f>IF(OR(H8998=1,I8998=1),0,IF(G8998="Credit",-F8998,F8998))</f>
        <v/>
      </c>
    </row>
    <row r="8999">
      <c r="A8999" t="inlineStr">
        <is>
          <t>2026-09-18</t>
        </is>
      </c>
      <c r="B8999" t="inlineStr">
        <is>
          <t>F281908</t>
        </is>
      </c>
      <c r="C8999" t="inlineStr">
        <is>
          <t>C11152</t>
        </is>
      </c>
      <c r="D8999" t="inlineStr">
        <is>
          <t>SKU-10070</t>
        </is>
      </c>
      <c r="E8999" t="inlineStr">
        <is>
          <t>AM06</t>
        </is>
      </c>
      <c r="F8999" s="5" t="n">
        <v>128.12</v>
      </c>
      <c r="G8999">
        <f>IF(LEFT(B8999,1)="C","Credit","Factuur")</f>
        <v/>
      </c>
      <c r="H8999">
        <f>IF(AND(B8999=B8998,D8999=D8998,A8999=A8998,F8999=F8998),1,0)</f>
        <v/>
      </c>
      <c r="I8999">
        <f>IF(C8999="C99999",1,0)</f>
        <v/>
      </c>
      <c r="J8999" s="5">
        <f>IF(OR(H8999=1,I8999=1),0,IF(G8999="Credit",-F8999,F8999))</f>
        <v/>
      </c>
    </row>
    <row r="9000">
      <c r="A9000" t="inlineStr">
        <is>
          <t>2026-09-18</t>
        </is>
      </c>
      <c r="B9000" t="inlineStr">
        <is>
          <t>F281908</t>
        </is>
      </c>
      <c r="C9000" t="inlineStr">
        <is>
          <t>C11152</t>
        </is>
      </c>
      <c r="D9000" t="inlineStr">
        <is>
          <t>SKU-10230</t>
        </is>
      </c>
      <c r="E9000" t="inlineStr">
        <is>
          <t>AM06</t>
        </is>
      </c>
      <c r="F9000" s="5" t="n">
        <v>105.79</v>
      </c>
      <c r="G9000">
        <f>IF(LEFT(B9000,1)="C","Credit","Factuur")</f>
        <v/>
      </c>
      <c r="H9000">
        <f>IF(AND(B9000=B8999,D9000=D8999,A9000=A8999,F9000=F8999),1,0)</f>
        <v/>
      </c>
      <c r="I9000">
        <f>IF(C9000="C99999",1,0)</f>
        <v/>
      </c>
      <c r="J9000" s="5">
        <f>IF(OR(H9000=1,I9000=1),0,IF(G9000="Credit",-F9000,F9000))</f>
        <v/>
      </c>
    </row>
    <row r="9001">
      <c r="A9001" t="inlineStr">
        <is>
          <t>2026-09-18</t>
        </is>
      </c>
      <c r="B9001" t="inlineStr">
        <is>
          <t>F281908</t>
        </is>
      </c>
      <c r="C9001" t="inlineStr">
        <is>
          <t>C11152</t>
        </is>
      </c>
      <c r="D9001" t="inlineStr">
        <is>
          <t>SKU-10287</t>
        </is>
      </c>
      <c r="E9001" t="inlineStr">
        <is>
          <t>AM06</t>
        </is>
      </c>
      <c r="F9001" s="5" t="n">
        <v>120.44</v>
      </c>
      <c r="G9001">
        <f>IF(LEFT(B9001,1)="C","Credit","Factuur")</f>
        <v/>
      </c>
      <c r="H9001">
        <f>IF(AND(B9001=B9000,D9001=D9000,A9001=A9000,F9001=F9000),1,0)</f>
        <v/>
      </c>
      <c r="I9001">
        <f>IF(C9001="C99999",1,0)</f>
        <v/>
      </c>
      <c r="J9001" s="5">
        <f>IF(OR(H9001=1,I9001=1),0,IF(G9001="Credit",-F9001,F9001))</f>
        <v/>
      </c>
    </row>
    <row r="9002">
      <c r="A9002" t="inlineStr">
        <is>
          <t>2026-09-18</t>
        </is>
      </c>
      <c r="B9002" t="inlineStr">
        <is>
          <t>F281908</t>
        </is>
      </c>
      <c r="C9002" t="inlineStr">
        <is>
          <t>C11152</t>
        </is>
      </c>
      <c r="D9002" t="inlineStr">
        <is>
          <t>SKU-10297</t>
        </is>
      </c>
      <c r="E9002" t="inlineStr">
        <is>
          <t>AM06</t>
        </is>
      </c>
      <c r="F9002" s="5" t="n">
        <v>149.44</v>
      </c>
      <c r="G9002">
        <f>IF(LEFT(B9002,1)="C","Credit","Factuur")</f>
        <v/>
      </c>
      <c r="H9002">
        <f>IF(AND(B9002=B9001,D9002=D9001,A9002=A9001,F9002=F9001),1,0)</f>
        <v/>
      </c>
      <c r="I9002">
        <f>IF(C9002="C99999",1,0)</f>
        <v/>
      </c>
      <c r="J9002" s="5">
        <f>IF(OR(H9002=1,I9002=1),0,IF(G9002="Credit",-F9002,F9002))</f>
        <v/>
      </c>
    </row>
    <row r="9003">
      <c r="A9003" t="inlineStr">
        <is>
          <t>2026-09-18</t>
        </is>
      </c>
      <c r="B9003" t="inlineStr">
        <is>
          <t>F281908</t>
        </is>
      </c>
      <c r="C9003" t="inlineStr">
        <is>
          <t>C11152</t>
        </is>
      </c>
      <c r="D9003" t="inlineStr">
        <is>
          <t>SKU-10353</t>
        </is>
      </c>
      <c r="E9003" t="inlineStr">
        <is>
          <t>AM06</t>
        </is>
      </c>
      <c r="F9003" s="5" t="n">
        <v>105.41</v>
      </c>
      <c r="G9003">
        <f>IF(LEFT(B9003,1)="C","Credit","Factuur")</f>
        <v/>
      </c>
      <c r="H9003">
        <f>IF(AND(B9003=B9002,D9003=D9002,A9003=A9002,F9003=F9002),1,0)</f>
        <v/>
      </c>
      <c r="I9003">
        <f>IF(C9003="C99999",1,0)</f>
        <v/>
      </c>
      <c r="J9003" s="5">
        <f>IF(OR(H9003=1,I9003=1),0,IF(G9003="Credit",-F9003,F9003))</f>
        <v/>
      </c>
    </row>
    <row r="9004">
      <c r="A9004" t="inlineStr">
        <is>
          <t>2026-09-18</t>
        </is>
      </c>
      <c r="B9004" t="inlineStr">
        <is>
          <t>F282139</t>
        </is>
      </c>
      <c r="C9004" t="inlineStr">
        <is>
          <t>C11163</t>
        </is>
      </c>
      <c r="D9004" t="inlineStr">
        <is>
          <t>SKU-10010</t>
        </is>
      </c>
      <c r="E9004" t="inlineStr">
        <is>
          <t>AM01</t>
        </is>
      </c>
      <c r="F9004" s="5" t="n">
        <v>41.91</v>
      </c>
      <c r="G9004">
        <f>IF(LEFT(B9004,1)="C","Credit","Factuur")</f>
        <v/>
      </c>
      <c r="H9004">
        <f>IF(AND(B9004=B9003,D9004=D9003,A9004=A9003,F9004=F9003),1,0)</f>
        <v/>
      </c>
      <c r="I9004">
        <f>IF(C9004="C99999",1,0)</f>
        <v/>
      </c>
      <c r="J9004" s="5">
        <f>IF(OR(H9004=1,I9004=1),0,IF(G9004="Credit",-F9004,F9004))</f>
        <v/>
      </c>
    </row>
    <row r="9005">
      <c r="A9005" t="inlineStr">
        <is>
          <t>2026-09-18</t>
        </is>
      </c>
      <c r="B9005" t="inlineStr">
        <is>
          <t>F282139</t>
        </is>
      </c>
      <c r="C9005" t="inlineStr">
        <is>
          <t>C11163</t>
        </is>
      </c>
      <c r="D9005" t="inlineStr">
        <is>
          <t>SKU-10116</t>
        </is>
      </c>
      <c r="E9005" t="inlineStr">
        <is>
          <t>AM01</t>
        </is>
      </c>
      <c r="F9005" s="5" t="n">
        <v>65.09999999999999</v>
      </c>
      <c r="G9005">
        <f>IF(LEFT(B9005,1)="C","Credit","Factuur")</f>
        <v/>
      </c>
      <c r="H9005">
        <f>IF(AND(B9005=B9004,D9005=D9004,A9005=A9004,F9005=F9004),1,0)</f>
        <v/>
      </c>
      <c r="I9005">
        <f>IF(C9005="C99999",1,0)</f>
        <v/>
      </c>
      <c r="J9005" s="5">
        <f>IF(OR(H9005=1,I9005=1),0,IF(G9005="Credit",-F9005,F9005))</f>
        <v/>
      </c>
    </row>
    <row r="9006">
      <c r="A9006" t="inlineStr">
        <is>
          <t>2026-09-18</t>
        </is>
      </c>
      <c r="B9006" t="inlineStr">
        <is>
          <t>F282139</t>
        </is>
      </c>
      <c r="C9006" t="inlineStr">
        <is>
          <t>C11163</t>
        </is>
      </c>
      <c r="D9006" t="inlineStr">
        <is>
          <t>SKU-10158</t>
        </is>
      </c>
      <c r="E9006" t="inlineStr">
        <is>
          <t>AM01</t>
        </is>
      </c>
      <c r="F9006" s="5" t="n">
        <v>34.39</v>
      </c>
      <c r="G9006">
        <f>IF(LEFT(B9006,1)="C","Credit","Factuur")</f>
        <v/>
      </c>
      <c r="H9006">
        <f>IF(AND(B9006=B9005,D9006=D9005,A9006=A9005,F9006=F9005),1,0)</f>
        <v/>
      </c>
      <c r="I9006">
        <f>IF(C9006="C99999",1,0)</f>
        <v/>
      </c>
      <c r="J9006" s="5">
        <f>IF(OR(H9006=1,I9006=1),0,IF(G9006="Credit",-F9006,F9006))</f>
        <v/>
      </c>
    </row>
    <row r="9007">
      <c r="A9007" t="inlineStr">
        <is>
          <t>2026-09-18</t>
        </is>
      </c>
      <c r="B9007" t="inlineStr">
        <is>
          <t>F282139</t>
        </is>
      </c>
      <c r="C9007" t="inlineStr">
        <is>
          <t>C11163</t>
        </is>
      </c>
      <c r="D9007" t="inlineStr">
        <is>
          <t>SKU-10166</t>
        </is>
      </c>
      <c r="E9007" t="inlineStr">
        <is>
          <t>AM01</t>
        </is>
      </c>
      <c r="F9007" s="5" t="n">
        <v>24.35</v>
      </c>
      <c r="G9007">
        <f>IF(LEFT(B9007,1)="C","Credit","Factuur")</f>
        <v/>
      </c>
      <c r="H9007">
        <f>IF(AND(B9007=B9006,D9007=D9006,A9007=A9006,F9007=F9006),1,0)</f>
        <v/>
      </c>
      <c r="I9007">
        <f>IF(C9007="C99999",1,0)</f>
        <v/>
      </c>
      <c r="J9007" s="5">
        <f>IF(OR(H9007=1,I9007=1),0,IF(G9007="Credit",-F9007,F9007))</f>
        <v/>
      </c>
    </row>
    <row r="9008">
      <c r="A9008" t="inlineStr">
        <is>
          <t>2026-09-18</t>
        </is>
      </c>
      <c r="B9008" t="inlineStr">
        <is>
          <t>F282139</t>
        </is>
      </c>
      <c r="C9008" t="inlineStr">
        <is>
          <t>C11163</t>
        </is>
      </c>
      <c r="D9008" t="inlineStr">
        <is>
          <t>SKU-10214</t>
        </is>
      </c>
      <c r="E9008" t="inlineStr">
        <is>
          <t>AM01</t>
        </is>
      </c>
      <c r="F9008" s="5" t="n">
        <v>40.86</v>
      </c>
      <c r="G9008">
        <f>IF(LEFT(B9008,1)="C","Credit","Factuur")</f>
        <v/>
      </c>
      <c r="H9008">
        <f>IF(AND(B9008=B9007,D9008=D9007,A9008=A9007,F9008=F9007),1,0)</f>
        <v/>
      </c>
      <c r="I9008">
        <f>IF(C9008="C99999",1,0)</f>
        <v/>
      </c>
      <c r="J9008" s="5">
        <f>IF(OR(H9008=1,I9008=1),0,IF(G9008="Credit",-F9008,F9008))</f>
        <v/>
      </c>
    </row>
    <row r="9009">
      <c r="A9009" t="inlineStr">
        <is>
          <t>2026-09-18</t>
        </is>
      </c>
      <c r="B9009" t="inlineStr">
        <is>
          <t>F282223</t>
        </is>
      </c>
      <c r="C9009" t="inlineStr">
        <is>
          <t>C11166</t>
        </is>
      </c>
      <c r="D9009" t="inlineStr">
        <is>
          <t>SKU-10054</t>
        </is>
      </c>
      <c r="E9009" t="inlineStr">
        <is>
          <t>AM06</t>
        </is>
      </c>
      <c r="F9009" s="5" t="n">
        <v>241.52</v>
      </c>
      <c r="G9009">
        <f>IF(LEFT(B9009,1)="C","Credit","Factuur")</f>
        <v/>
      </c>
      <c r="H9009">
        <f>IF(AND(B9009=B9008,D9009=D9008,A9009=A9008,F9009=F9008),1,0)</f>
        <v/>
      </c>
      <c r="I9009">
        <f>IF(C9009="C99999",1,0)</f>
        <v/>
      </c>
      <c r="J9009" s="5">
        <f>IF(OR(H9009=1,I9009=1),0,IF(G9009="Credit",-F9009,F9009))</f>
        <v/>
      </c>
    </row>
    <row r="9010">
      <c r="A9010" t="inlineStr">
        <is>
          <t>2026-09-18</t>
        </is>
      </c>
      <c r="B9010" t="inlineStr">
        <is>
          <t>F282223</t>
        </is>
      </c>
      <c r="C9010" t="inlineStr">
        <is>
          <t>C11166</t>
        </is>
      </c>
      <c r="D9010" t="inlineStr">
        <is>
          <t>SKU-10069</t>
        </is>
      </c>
      <c r="E9010" t="inlineStr">
        <is>
          <t>AM06</t>
        </is>
      </c>
      <c r="F9010" s="5" t="n">
        <v>238.35</v>
      </c>
      <c r="G9010">
        <f>IF(LEFT(B9010,1)="C","Credit","Factuur")</f>
        <v/>
      </c>
      <c r="H9010">
        <f>IF(AND(B9010=B9009,D9010=D9009,A9010=A9009,F9010=F9009),1,0)</f>
        <v/>
      </c>
      <c r="I9010">
        <f>IF(C9010="C99999",1,0)</f>
        <v/>
      </c>
      <c r="J9010" s="5">
        <f>IF(OR(H9010=1,I9010=1),0,IF(G9010="Credit",-F9010,F9010))</f>
        <v/>
      </c>
    </row>
    <row r="9011">
      <c r="A9011" t="inlineStr">
        <is>
          <t>2026-09-18</t>
        </is>
      </c>
      <c r="B9011" t="inlineStr">
        <is>
          <t>F282223</t>
        </is>
      </c>
      <c r="C9011" t="inlineStr">
        <is>
          <t>C11166</t>
        </is>
      </c>
      <c r="D9011" t="inlineStr">
        <is>
          <t>SKU-10131</t>
        </is>
      </c>
      <c r="E9011" t="inlineStr">
        <is>
          <t>AM06</t>
        </is>
      </c>
      <c r="F9011" s="5" t="n">
        <v>221.44</v>
      </c>
      <c r="G9011">
        <f>IF(LEFT(B9011,1)="C","Credit","Factuur")</f>
        <v/>
      </c>
      <c r="H9011">
        <f>IF(AND(B9011=B9010,D9011=D9010,A9011=A9010,F9011=F9010),1,0)</f>
        <v/>
      </c>
      <c r="I9011">
        <f>IF(C9011="C99999",1,0)</f>
        <v/>
      </c>
      <c r="J9011" s="5">
        <f>IF(OR(H9011=1,I9011=1),0,IF(G9011="Credit",-F9011,F9011))</f>
        <v/>
      </c>
    </row>
    <row r="9012">
      <c r="A9012" t="inlineStr">
        <is>
          <t>2026-09-18</t>
        </is>
      </c>
      <c r="B9012" t="inlineStr">
        <is>
          <t>F282223</t>
        </is>
      </c>
      <c r="C9012" t="inlineStr">
        <is>
          <t>C11166</t>
        </is>
      </c>
      <c r="D9012" t="inlineStr">
        <is>
          <t>SKU-10321</t>
        </is>
      </c>
      <c r="E9012" t="inlineStr">
        <is>
          <t>AM06</t>
        </is>
      </c>
      <c r="F9012" s="5" t="n">
        <v>244.05</v>
      </c>
      <c r="G9012">
        <f>IF(LEFT(B9012,1)="C","Credit","Factuur")</f>
        <v/>
      </c>
      <c r="H9012">
        <f>IF(AND(B9012=B9011,D9012=D9011,A9012=A9011,F9012=F9011),1,0)</f>
        <v/>
      </c>
      <c r="I9012">
        <f>IF(C9012="C99999",1,0)</f>
        <v/>
      </c>
      <c r="J9012" s="5">
        <f>IF(OR(H9012=1,I9012=1),0,IF(G9012="Credit",-F9012,F9012))</f>
        <v/>
      </c>
    </row>
    <row r="9013">
      <c r="A9013" t="inlineStr">
        <is>
          <t>2026-09-18</t>
        </is>
      </c>
      <c r="B9013" t="inlineStr">
        <is>
          <t>F282620</t>
        </is>
      </c>
      <c r="C9013" t="inlineStr">
        <is>
          <t>C11187</t>
        </is>
      </c>
      <c r="D9013" t="inlineStr">
        <is>
          <t>SKU-10033</t>
        </is>
      </c>
      <c r="E9013" t="inlineStr">
        <is>
          <t>AM02</t>
        </is>
      </c>
      <c r="F9013" s="5" t="n">
        <v>581.58</v>
      </c>
      <c r="G9013">
        <f>IF(LEFT(B9013,1)="C","Credit","Factuur")</f>
        <v/>
      </c>
      <c r="H9013">
        <f>IF(AND(B9013=B9012,D9013=D9012,A9013=A9012,F9013=F9012),1,0)</f>
        <v/>
      </c>
      <c r="I9013">
        <f>IF(C9013="C99999",1,0)</f>
        <v/>
      </c>
      <c r="J9013" s="5">
        <f>IF(OR(H9013=1,I9013=1),0,IF(G9013="Credit",-F9013,F9013))</f>
        <v/>
      </c>
    </row>
    <row r="9014">
      <c r="A9014" t="inlineStr">
        <is>
          <t>2026-09-18</t>
        </is>
      </c>
      <c r="B9014" t="inlineStr">
        <is>
          <t>F282620</t>
        </is>
      </c>
      <c r="C9014" t="inlineStr">
        <is>
          <t>C11187</t>
        </is>
      </c>
      <c r="D9014" t="inlineStr">
        <is>
          <t>SKU-10155</t>
        </is>
      </c>
      <c r="E9014" t="inlineStr">
        <is>
          <t>AM02</t>
        </is>
      </c>
      <c r="F9014" s="5" t="n">
        <v>576.84</v>
      </c>
      <c r="G9014">
        <f>IF(LEFT(B9014,1)="C","Credit","Factuur")</f>
        <v/>
      </c>
      <c r="H9014">
        <f>IF(AND(B9014=B9013,D9014=D9013,A9014=A9013,F9014=F9013),1,0)</f>
        <v/>
      </c>
      <c r="I9014">
        <f>IF(C9014="C99999",1,0)</f>
        <v/>
      </c>
      <c r="J9014" s="5">
        <f>IF(OR(H9014=1,I9014=1),0,IF(G9014="Credit",-F9014,F9014))</f>
        <v/>
      </c>
    </row>
    <row r="9015">
      <c r="A9015" t="inlineStr">
        <is>
          <t>2026-09-18</t>
        </is>
      </c>
      <c r="B9015" t="inlineStr">
        <is>
          <t>F282620</t>
        </is>
      </c>
      <c r="C9015" t="inlineStr">
        <is>
          <t>C11187</t>
        </is>
      </c>
      <c r="D9015" t="inlineStr">
        <is>
          <t>SKU-10193</t>
        </is>
      </c>
      <c r="E9015" t="inlineStr">
        <is>
          <t>AM02</t>
        </is>
      </c>
      <c r="F9015" s="5" t="n">
        <v>569.24</v>
      </c>
      <c r="G9015">
        <f>IF(LEFT(B9015,1)="C","Credit","Factuur")</f>
        <v/>
      </c>
      <c r="H9015">
        <f>IF(AND(B9015=B9014,D9015=D9014,A9015=A9014,F9015=F9014),1,0)</f>
        <v/>
      </c>
      <c r="I9015">
        <f>IF(C9015="C99999",1,0)</f>
        <v/>
      </c>
      <c r="J9015" s="5">
        <f>IF(OR(H9015=1,I9015=1),0,IF(G9015="Credit",-F9015,F9015))</f>
        <v/>
      </c>
    </row>
    <row r="9016">
      <c r="A9016" t="inlineStr">
        <is>
          <t>2026-09-18</t>
        </is>
      </c>
      <c r="B9016" t="inlineStr">
        <is>
          <t>F282711</t>
        </is>
      </c>
      <c r="C9016" t="inlineStr">
        <is>
          <t>C11192</t>
        </is>
      </c>
      <c r="D9016" t="inlineStr">
        <is>
          <t>SKU-10037</t>
        </is>
      </c>
      <c r="E9016" t="inlineStr">
        <is>
          <t>AM05</t>
        </is>
      </c>
      <c r="F9016" s="5" t="n">
        <v>399.52</v>
      </c>
      <c r="G9016">
        <f>IF(LEFT(B9016,1)="C","Credit","Factuur")</f>
        <v/>
      </c>
      <c r="H9016">
        <f>IF(AND(B9016=B9015,D9016=D9015,A9016=A9015,F9016=F9015),1,0)</f>
        <v/>
      </c>
      <c r="I9016">
        <f>IF(C9016="C99999",1,0)</f>
        <v/>
      </c>
      <c r="J9016" s="5">
        <f>IF(OR(H9016=1,I9016=1),0,IF(G9016="Credit",-F9016,F9016))</f>
        <v/>
      </c>
    </row>
    <row r="9017">
      <c r="A9017" t="inlineStr">
        <is>
          <t>2026-09-18</t>
        </is>
      </c>
      <c r="B9017" t="inlineStr">
        <is>
          <t>F282792</t>
        </is>
      </c>
      <c r="C9017" t="inlineStr">
        <is>
          <t>C11197</t>
        </is>
      </c>
      <c r="D9017" t="inlineStr">
        <is>
          <t>SKU-10321</t>
        </is>
      </c>
      <c r="E9017" t="inlineStr">
        <is>
          <t>AM12</t>
        </is>
      </c>
      <c r="F9017" s="5" t="n">
        <v>1415.49</v>
      </c>
      <c r="G9017">
        <f>IF(LEFT(B9017,1)="C","Credit","Factuur")</f>
        <v/>
      </c>
      <c r="H9017">
        <f>IF(AND(B9017=B9016,D9017=D9016,A9017=A9016,F9017=F9016),1,0)</f>
        <v/>
      </c>
      <c r="I9017">
        <f>IF(C9017="C99999",1,0)</f>
        <v/>
      </c>
      <c r="J9017" s="5">
        <f>IF(OR(H9017=1,I9017=1),0,IF(G9017="Credit",-F9017,F9017))</f>
        <v/>
      </c>
    </row>
    <row r="9018">
      <c r="A9018" t="inlineStr">
        <is>
          <t>2026-09-18</t>
        </is>
      </c>
      <c r="B9018" t="inlineStr">
        <is>
          <t>F282792</t>
        </is>
      </c>
      <c r="C9018" t="inlineStr">
        <is>
          <t>C11197</t>
        </is>
      </c>
      <c r="D9018" t="inlineStr">
        <is>
          <t>SKU-10340</t>
        </is>
      </c>
      <c r="E9018" t="inlineStr">
        <is>
          <t>AM12</t>
        </is>
      </c>
      <c r="F9018" s="5" t="n">
        <v>1418.4</v>
      </c>
      <c r="G9018">
        <f>IF(LEFT(B9018,1)="C","Credit","Factuur")</f>
        <v/>
      </c>
      <c r="H9018">
        <f>IF(AND(B9018=B9017,D9018=D9017,A9018=A9017,F9018=F9017),1,0)</f>
        <v/>
      </c>
      <c r="I9018">
        <f>IF(C9018="C99999",1,0)</f>
        <v/>
      </c>
      <c r="J9018" s="5">
        <f>IF(OR(H9018=1,I9018=1),0,IF(G9018="Credit",-F9018,F9018))</f>
        <v/>
      </c>
    </row>
    <row r="9019">
      <c r="A9019" t="inlineStr">
        <is>
          <t>2026-09-18</t>
        </is>
      </c>
      <c r="B9019" t="inlineStr">
        <is>
          <t>F282829</t>
        </is>
      </c>
      <c r="C9019" t="inlineStr">
        <is>
          <t>C11199</t>
        </is>
      </c>
      <c r="D9019" t="inlineStr">
        <is>
          <t>SKU-10088</t>
        </is>
      </c>
      <c r="E9019" t="inlineStr">
        <is>
          <t>AM11</t>
        </is>
      </c>
      <c r="F9019" s="5" t="n">
        <v>925.8</v>
      </c>
      <c r="G9019">
        <f>IF(LEFT(B9019,1)="C","Credit","Factuur")</f>
        <v/>
      </c>
      <c r="H9019">
        <f>IF(AND(B9019=B9018,D9019=D9018,A9019=A9018,F9019=F9018),1,0)</f>
        <v/>
      </c>
      <c r="I9019">
        <f>IF(C9019="C99999",1,0)</f>
        <v/>
      </c>
      <c r="J9019" s="5">
        <f>IF(OR(H9019=1,I9019=1),0,IF(G9019="Credit",-F9019,F9019))</f>
        <v/>
      </c>
    </row>
    <row r="9020">
      <c r="A9020" t="inlineStr">
        <is>
          <t>2026-09-18</t>
        </is>
      </c>
      <c r="B9020" t="inlineStr">
        <is>
          <t>F282829</t>
        </is>
      </c>
      <c r="C9020" t="inlineStr">
        <is>
          <t>C11199</t>
        </is>
      </c>
      <c r="D9020" t="inlineStr">
        <is>
          <t>SKU-10371</t>
        </is>
      </c>
      <c r="E9020" t="inlineStr">
        <is>
          <t>AM11</t>
        </is>
      </c>
      <c r="F9020" s="5" t="n">
        <v>926.64</v>
      </c>
      <c r="G9020">
        <f>IF(LEFT(B9020,1)="C","Credit","Factuur")</f>
        <v/>
      </c>
      <c r="H9020">
        <f>IF(AND(B9020=B9019,D9020=D9019,A9020=A9019,F9020=F9019),1,0)</f>
        <v/>
      </c>
      <c r="I9020">
        <f>IF(C9020="C99999",1,0)</f>
        <v/>
      </c>
      <c r="J9020" s="5">
        <f>IF(OR(H9020=1,I9020=1),0,IF(G9020="Credit",-F9020,F9020))</f>
        <v/>
      </c>
    </row>
    <row r="9021">
      <c r="A9021" t="inlineStr">
        <is>
          <t>2026-09-18</t>
        </is>
      </c>
      <c r="B9021" t="inlineStr">
        <is>
          <t>F282896</t>
        </is>
      </c>
      <c r="C9021" t="inlineStr">
        <is>
          <t>C11203</t>
        </is>
      </c>
      <c r="D9021" t="inlineStr">
        <is>
          <t>SKU-10044</t>
        </is>
      </c>
      <c r="E9021" t="inlineStr">
        <is>
          <t>AM07</t>
        </is>
      </c>
      <c r="F9021" s="5" t="n">
        <v>132.52</v>
      </c>
      <c r="G9021">
        <f>IF(LEFT(B9021,1)="C","Credit","Factuur")</f>
        <v/>
      </c>
      <c r="H9021">
        <f>IF(AND(B9021=B9020,D9021=D9020,A9021=A9020,F9021=F9020),1,0)</f>
        <v/>
      </c>
      <c r="I9021">
        <f>IF(C9021="C99999",1,0)</f>
        <v/>
      </c>
      <c r="J9021" s="5">
        <f>IF(OR(H9021=1,I9021=1),0,IF(G9021="Credit",-F9021,F9021))</f>
        <v/>
      </c>
    </row>
    <row r="9022">
      <c r="A9022" t="inlineStr">
        <is>
          <t>2026-09-18</t>
        </is>
      </c>
      <c r="B9022" t="inlineStr">
        <is>
          <t>F282896</t>
        </is>
      </c>
      <c r="C9022" t="inlineStr">
        <is>
          <t>C11203</t>
        </is>
      </c>
      <c r="D9022" t="inlineStr">
        <is>
          <t>SKU-10193</t>
        </is>
      </c>
      <c r="E9022" t="inlineStr">
        <is>
          <t>AM07</t>
        </is>
      </c>
      <c r="F9022" s="5" t="n">
        <v>143.12</v>
      </c>
      <c r="G9022">
        <f>IF(LEFT(B9022,1)="C","Credit","Factuur")</f>
        <v/>
      </c>
      <c r="H9022">
        <f>IF(AND(B9022=B9021,D9022=D9021,A9022=A9021,F9022=F9021),1,0)</f>
        <v/>
      </c>
      <c r="I9022">
        <f>IF(C9022="C99999",1,0)</f>
        <v/>
      </c>
      <c r="J9022" s="5">
        <f>IF(OR(H9022=1,I9022=1),0,IF(G9022="Credit",-F9022,F9022))</f>
        <v/>
      </c>
    </row>
    <row r="9023">
      <c r="A9023" t="inlineStr">
        <is>
          <t>2026-09-18</t>
        </is>
      </c>
      <c r="B9023" t="inlineStr">
        <is>
          <t>F282896</t>
        </is>
      </c>
      <c r="C9023" t="inlineStr">
        <is>
          <t>C11203</t>
        </is>
      </c>
      <c r="D9023" t="inlineStr">
        <is>
          <t>SKU-10298</t>
        </is>
      </c>
      <c r="E9023" t="inlineStr">
        <is>
          <t>AM07</t>
        </is>
      </c>
      <c r="F9023" s="5" t="n">
        <v>150.6</v>
      </c>
      <c r="G9023">
        <f>IF(LEFT(B9023,1)="C","Credit","Factuur")</f>
        <v/>
      </c>
      <c r="H9023">
        <f>IF(AND(B9023=B9022,D9023=D9022,A9023=A9022,F9023=F9022),1,0)</f>
        <v/>
      </c>
      <c r="I9023">
        <f>IF(C9023="C99999",1,0)</f>
        <v/>
      </c>
      <c r="J9023" s="5">
        <f>IF(OR(H9023=1,I9023=1),0,IF(G9023="Credit",-F9023,F9023))</f>
        <v/>
      </c>
    </row>
    <row r="9024">
      <c r="A9024" t="inlineStr">
        <is>
          <t>2026-09-18</t>
        </is>
      </c>
      <c r="B9024" t="inlineStr">
        <is>
          <t>F283071</t>
        </is>
      </c>
      <c r="C9024" t="inlineStr">
        <is>
          <t>C11212</t>
        </is>
      </c>
      <c r="D9024" t="inlineStr">
        <is>
          <t>SKU-10133</t>
        </is>
      </c>
      <c r="E9024" t="inlineStr">
        <is>
          <t>AM12</t>
        </is>
      </c>
      <c r="F9024" s="5" t="n">
        <v>529.36</v>
      </c>
      <c r="G9024">
        <f>IF(LEFT(B9024,1)="C","Credit","Factuur")</f>
        <v/>
      </c>
      <c r="H9024">
        <f>IF(AND(B9024=B9023,D9024=D9023,A9024=A9023,F9024=F9023),1,0)</f>
        <v/>
      </c>
      <c r="I9024">
        <f>IF(C9024="C99999",1,0)</f>
        <v/>
      </c>
      <c r="J9024" s="5">
        <f>IF(OR(H9024=1,I9024=1),0,IF(G9024="Credit",-F9024,F9024))</f>
        <v/>
      </c>
    </row>
    <row r="9025">
      <c r="A9025" t="inlineStr">
        <is>
          <t>2026-09-18</t>
        </is>
      </c>
      <c r="B9025" t="inlineStr">
        <is>
          <t>F283196</t>
        </is>
      </c>
      <c r="C9025" t="inlineStr">
        <is>
          <t>C11220</t>
        </is>
      </c>
      <c r="D9025" t="inlineStr">
        <is>
          <t>SKU-10323</t>
        </is>
      </c>
      <c r="E9025" t="inlineStr">
        <is>
          <t>AM01</t>
        </is>
      </c>
      <c r="F9025" s="5" t="n">
        <v>3812.4</v>
      </c>
      <c r="G9025">
        <f>IF(LEFT(B9025,1)="C","Credit","Factuur")</f>
        <v/>
      </c>
      <c r="H9025">
        <f>IF(AND(B9025=B9024,D9025=D9024,A9025=A9024,F9025=F9024),1,0)</f>
        <v/>
      </c>
      <c r="I9025">
        <f>IF(C9025="C99999",1,0)</f>
        <v/>
      </c>
      <c r="J9025" s="5">
        <f>IF(OR(H9025=1,I9025=1),0,IF(G9025="Credit",-F9025,F9025))</f>
        <v/>
      </c>
    </row>
    <row r="9026">
      <c r="A9026" t="inlineStr">
        <is>
          <t>2026-09-18</t>
        </is>
      </c>
      <c r="B9026" t="inlineStr">
        <is>
          <t>F283348</t>
        </is>
      </c>
      <c r="C9026" t="inlineStr">
        <is>
          <t>C11226</t>
        </is>
      </c>
      <c r="D9026" t="inlineStr">
        <is>
          <t>SKU-10257</t>
        </is>
      </c>
      <c r="E9026" t="inlineStr">
        <is>
          <t>AM07</t>
        </is>
      </c>
      <c r="F9026" s="5" t="n">
        <v>1447.06</v>
      </c>
      <c r="G9026">
        <f>IF(LEFT(B9026,1)="C","Credit","Factuur")</f>
        <v/>
      </c>
      <c r="H9026">
        <f>IF(AND(B9026=B9025,D9026=D9025,A9026=A9025,F9026=F9025),1,0)</f>
        <v/>
      </c>
      <c r="I9026">
        <f>IF(C9026="C99999",1,0)</f>
        <v/>
      </c>
      <c r="J9026" s="5">
        <f>IF(OR(H9026=1,I9026=1),0,IF(G9026="Credit",-F9026,F9026))</f>
        <v/>
      </c>
    </row>
    <row r="9027">
      <c r="A9027" t="inlineStr">
        <is>
          <t>2026-09-18</t>
        </is>
      </c>
      <c r="B9027" t="inlineStr">
        <is>
          <t>F283383</t>
        </is>
      </c>
      <c r="C9027" t="inlineStr">
        <is>
          <t>C11228</t>
        </is>
      </c>
      <c r="D9027" t="inlineStr">
        <is>
          <t>SKU-10301</t>
        </is>
      </c>
      <c r="E9027" t="inlineStr">
        <is>
          <t>AM02</t>
        </is>
      </c>
      <c r="F9027" s="5" t="n">
        <v>1690.65</v>
      </c>
      <c r="G9027">
        <f>IF(LEFT(B9027,1)="C","Credit","Factuur")</f>
        <v/>
      </c>
      <c r="H9027">
        <f>IF(AND(B9027=B9026,D9027=D9026,A9027=A9026,F9027=F9026),1,0)</f>
        <v/>
      </c>
      <c r="I9027">
        <f>IF(C9027="C99999",1,0)</f>
        <v/>
      </c>
      <c r="J9027" s="5">
        <f>IF(OR(H9027=1,I9027=1),0,IF(G9027="Credit",-F9027,F9027))</f>
        <v/>
      </c>
    </row>
    <row r="9028">
      <c r="A9028" t="inlineStr">
        <is>
          <t>2026-09-18</t>
        </is>
      </c>
      <c r="B9028" t="inlineStr">
        <is>
          <t>F283525</t>
        </is>
      </c>
      <c r="C9028" t="inlineStr">
        <is>
          <t>C11235</t>
        </is>
      </c>
      <c r="D9028" t="inlineStr">
        <is>
          <t>SKU-10267</t>
        </is>
      </c>
      <c r="E9028" t="inlineStr">
        <is>
          <t>AM12</t>
        </is>
      </c>
      <c r="F9028" s="5" t="n">
        <v>463.35</v>
      </c>
      <c r="G9028">
        <f>IF(LEFT(B9028,1)="C","Credit","Factuur")</f>
        <v/>
      </c>
      <c r="H9028">
        <f>IF(AND(B9028=B9027,D9028=D9027,A9028=A9027,F9028=F9027),1,0)</f>
        <v/>
      </c>
      <c r="I9028">
        <f>IF(C9028="C99999",1,0)</f>
        <v/>
      </c>
      <c r="J9028" s="5">
        <f>IF(OR(H9028=1,I9028=1),0,IF(G9028="Credit",-F9028,F9028))</f>
        <v/>
      </c>
    </row>
    <row r="9029">
      <c r="A9029" t="inlineStr">
        <is>
          <t>2026-09-18</t>
        </is>
      </c>
      <c r="B9029" t="inlineStr">
        <is>
          <t>F283525</t>
        </is>
      </c>
      <c r="C9029" t="inlineStr">
        <is>
          <t>C11235</t>
        </is>
      </c>
      <c r="D9029" t="inlineStr">
        <is>
          <t>SKU-10274</t>
        </is>
      </c>
      <c r="E9029" t="inlineStr">
        <is>
          <t>AM12</t>
        </is>
      </c>
      <c r="F9029" s="5" t="n">
        <v>487.73</v>
      </c>
      <c r="G9029">
        <f>IF(LEFT(B9029,1)="C","Credit","Factuur")</f>
        <v/>
      </c>
      <c r="H9029">
        <f>IF(AND(B9029=B9028,D9029=D9028,A9029=A9028,F9029=F9028),1,0)</f>
        <v/>
      </c>
      <c r="I9029">
        <f>IF(C9029="C99999",1,0)</f>
        <v/>
      </c>
      <c r="J9029" s="5">
        <f>IF(OR(H9029=1,I9029=1),0,IF(G9029="Credit",-F9029,F9029))</f>
        <v/>
      </c>
    </row>
    <row r="9030">
      <c r="A9030" t="inlineStr">
        <is>
          <t>2026-09-18</t>
        </is>
      </c>
      <c r="B9030" t="inlineStr">
        <is>
          <t>F283525</t>
        </is>
      </c>
      <c r="C9030" t="inlineStr">
        <is>
          <t>C11235</t>
        </is>
      </c>
      <c r="D9030" t="inlineStr">
        <is>
          <t>SKU-10321</t>
        </is>
      </c>
      <c r="E9030" t="inlineStr">
        <is>
          <t>AM12</t>
        </is>
      </c>
      <c r="F9030" s="5" t="n">
        <v>488.1</v>
      </c>
      <c r="G9030">
        <f>IF(LEFT(B9030,1)="C","Credit","Factuur")</f>
        <v/>
      </c>
      <c r="H9030">
        <f>IF(AND(B9030=B9029,D9030=D9029,A9030=A9029,F9030=F9029),1,0)</f>
        <v/>
      </c>
      <c r="I9030">
        <f>IF(C9030="C99999",1,0)</f>
        <v/>
      </c>
      <c r="J9030" s="5">
        <f>IF(OR(H9030=1,I9030=1),0,IF(G9030="Credit",-F9030,F9030))</f>
        <v/>
      </c>
    </row>
    <row r="9031">
      <c r="A9031" t="inlineStr">
        <is>
          <t>2026-09-18</t>
        </is>
      </c>
      <c r="B9031" t="inlineStr">
        <is>
          <t>F283525</t>
        </is>
      </c>
      <c r="C9031" t="inlineStr">
        <is>
          <t>C11235</t>
        </is>
      </c>
      <c r="D9031" t="inlineStr">
        <is>
          <t>SKU-10342</t>
        </is>
      </c>
      <c r="E9031" t="inlineStr">
        <is>
          <t>AM12</t>
        </is>
      </c>
      <c r="F9031" s="5" t="n">
        <v>491.26</v>
      </c>
      <c r="G9031">
        <f>IF(LEFT(B9031,1)="C","Credit","Factuur")</f>
        <v/>
      </c>
      <c r="H9031">
        <f>IF(AND(B9031=B9030,D9031=D9030,A9031=A9030,F9031=F9030),1,0)</f>
        <v/>
      </c>
      <c r="I9031">
        <f>IF(C9031="C99999",1,0)</f>
        <v/>
      </c>
      <c r="J9031" s="5">
        <f>IF(OR(H9031=1,I9031=1),0,IF(G9031="Credit",-F9031,F9031))</f>
        <v/>
      </c>
    </row>
    <row r="9032">
      <c r="A9032" t="inlineStr">
        <is>
          <t>2026-09-18</t>
        </is>
      </c>
      <c r="B9032" t="inlineStr">
        <is>
          <t>F283525</t>
        </is>
      </c>
      <c r="C9032" t="inlineStr">
        <is>
          <t>C11235</t>
        </is>
      </c>
      <c r="D9032" t="inlineStr">
        <is>
          <t>SKU-10372</t>
        </is>
      </c>
      <c r="E9032" t="inlineStr">
        <is>
          <t>AM12</t>
        </is>
      </c>
      <c r="F9032" s="5" t="n">
        <v>543.12</v>
      </c>
      <c r="G9032">
        <f>IF(LEFT(B9032,1)="C","Credit","Factuur")</f>
        <v/>
      </c>
      <c r="H9032">
        <f>IF(AND(B9032=B9031,D9032=D9031,A9032=A9031,F9032=F9031),1,0)</f>
        <v/>
      </c>
      <c r="I9032">
        <f>IF(C9032="C99999",1,0)</f>
        <v/>
      </c>
      <c r="J9032" s="5">
        <f>IF(OR(H9032=1,I9032=1),0,IF(G9032="Credit",-F9032,F9032))</f>
        <v/>
      </c>
    </row>
    <row r="9033">
      <c r="A9033" t="inlineStr">
        <is>
          <t>2026-09-18</t>
        </is>
      </c>
      <c r="B9033" t="inlineStr">
        <is>
          <t>F283711</t>
        </is>
      </c>
      <c r="C9033" t="inlineStr">
        <is>
          <t>C11242</t>
        </is>
      </c>
      <c r="D9033" t="inlineStr">
        <is>
          <t>SKU-10002</t>
        </is>
      </c>
      <c r="E9033" t="inlineStr">
        <is>
          <t>AM02</t>
        </is>
      </c>
      <c r="F9033" s="5" t="n">
        <v>803.1799999999999</v>
      </c>
      <c r="G9033">
        <f>IF(LEFT(B9033,1)="C","Credit","Factuur")</f>
        <v/>
      </c>
      <c r="H9033">
        <f>IF(AND(B9033=B9032,D9033=D9032,A9033=A9032,F9033=F9032),1,0)</f>
        <v/>
      </c>
      <c r="I9033">
        <f>IF(C9033="C99999",1,0)</f>
        <v/>
      </c>
      <c r="J9033" s="5">
        <f>IF(OR(H9033=1,I9033=1),0,IF(G9033="Credit",-F9033,F9033))</f>
        <v/>
      </c>
    </row>
    <row r="9034">
      <c r="A9034" t="inlineStr">
        <is>
          <t>2026-09-18</t>
        </is>
      </c>
      <c r="B9034" t="inlineStr">
        <is>
          <t>F283711</t>
        </is>
      </c>
      <c r="C9034" t="inlineStr">
        <is>
          <t>C11242</t>
        </is>
      </c>
      <c r="D9034" t="inlineStr">
        <is>
          <t>SKU-10024</t>
        </is>
      </c>
      <c r="E9034" t="inlineStr">
        <is>
          <t>AM02</t>
        </is>
      </c>
      <c r="F9034" s="5" t="n">
        <v>821.4400000000001</v>
      </c>
      <c r="G9034">
        <f>IF(LEFT(B9034,1)="C","Credit","Factuur")</f>
        <v/>
      </c>
      <c r="H9034">
        <f>IF(AND(B9034=B9033,D9034=D9033,A9034=A9033,F9034=F9033),1,0)</f>
        <v/>
      </c>
      <c r="I9034">
        <f>IF(C9034="C99999",1,0)</f>
        <v/>
      </c>
      <c r="J9034" s="5">
        <f>IF(OR(H9034=1,I9034=1),0,IF(G9034="Credit",-F9034,F9034))</f>
        <v/>
      </c>
    </row>
    <row r="9035">
      <c r="A9035" t="inlineStr">
        <is>
          <t>2026-09-18</t>
        </is>
      </c>
      <c r="B9035" t="inlineStr">
        <is>
          <t>F283711</t>
        </is>
      </c>
      <c r="C9035" t="inlineStr">
        <is>
          <t>C11242</t>
        </is>
      </c>
      <c r="D9035" t="inlineStr">
        <is>
          <t>SKU-10147</t>
        </is>
      </c>
      <c r="E9035" t="inlineStr">
        <is>
          <t>AM02</t>
        </is>
      </c>
      <c r="F9035" s="5" t="n">
        <v>814.5599999999999</v>
      </c>
      <c r="G9035">
        <f>IF(LEFT(B9035,1)="C","Credit","Factuur")</f>
        <v/>
      </c>
      <c r="H9035">
        <f>IF(AND(B9035=B9034,D9035=D9034,A9035=A9034,F9035=F9034),1,0)</f>
        <v/>
      </c>
      <c r="I9035">
        <f>IF(C9035="C99999",1,0)</f>
        <v/>
      </c>
      <c r="J9035" s="5">
        <f>IF(OR(H9035=1,I9035=1),0,IF(G9035="Credit",-F9035,F9035))</f>
        <v/>
      </c>
    </row>
    <row r="9036">
      <c r="A9036" t="inlineStr">
        <is>
          <t>2026-09-18</t>
        </is>
      </c>
      <c r="B9036" t="inlineStr">
        <is>
          <t>F283711</t>
        </is>
      </c>
      <c r="C9036" t="inlineStr">
        <is>
          <t>C11242</t>
        </is>
      </c>
      <c r="D9036" t="inlineStr">
        <is>
          <t>SKU-10194</t>
        </is>
      </c>
      <c r="E9036" t="inlineStr">
        <is>
          <t>AM02</t>
        </is>
      </c>
      <c r="F9036" s="5" t="n">
        <v>781.4400000000001</v>
      </c>
      <c r="G9036">
        <f>IF(LEFT(B9036,1)="C","Credit","Factuur")</f>
        <v/>
      </c>
      <c r="H9036">
        <f>IF(AND(B9036=B9035,D9036=D9035,A9036=A9035,F9036=F9035),1,0)</f>
        <v/>
      </c>
      <c r="I9036">
        <f>IF(C9036="C99999",1,0)</f>
        <v/>
      </c>
      <c r="J9036" s="5">
        <f>IF(OR(H9036=1,I9036=1),0,IF(G9036="Credit",-F9036,F9036))</f>
        <v/>
      </c>
    </row>
    <row r="9037">
      <c r="A9037" t="inlineStr">
        <is>
          <t>2026-09-18</t>
        </is>
      </c>
      <c r="B9037" t="inlineStr">
        <is>
          <t>F283711</t>
        </is>
      </c>
      <c r="C9037" t="inlineStr">
        <is>
          <t>C11242</t>
        </is>
      </c>
      <c r="D9037" t="inlineStr">
        <is>
          <t>SKU-10198</t>
        </is>
      </c>
      <c r="E9037" t="inlineStr">
        <is>
          <t>AM02</t>
        </is>
      </c>
      <c r="F9037" s="5" t="n">
        <v>826.85</v>
      </c>
      <c r="G9037">
        <f>IF(LEFT(B9037,1)="C","Credit","Factuur")</f>
        <v/>
      </c>
      <c r="H9037">
        <f>IF(AND(B9037=B9036,D9037=D9036,A9037=A9036,F9037=F9036),1,0)</f>
        <v/>
      </c>
      <c r="I9037">
        <f>IF(C9037="C99999",1,0)</f>
        <v/>
      </c>
      <c r="J9037" s="5">
        <f>IF(OR(H9037=1,I9037=1),0,IF(G9037="Credit",-F9037,F9037))</f>
        <v/>
      </c>
    </row>
    <row r="9038">
      <c r="A9038" t="inlineStr">
        <is>
          <t>2026-09-18</t>
        </is>
      </c>
      <c r="B9038" t="inlineStr">
        <is>
          <t>F283954</t>
        </is>
      </c>
      <c r="C9038" t="inlineStr">
        <is>
          <t>C11254</t>
        </is>
      </c>
      <c r="D9038" t="inlineStr">
        <is>
          <t>SKU-10042</t>
        </is>
      </c>
      <c r="E9038" t="inlineStr">
        <is>
          <t>AM11</t>
        </is>
      </c>
      <c r="F9038" s="5" t="n">
        <v>459.11</v>
      </c>
      <c r="G9038">
        <f>IF(LEFT(B9038,1)="C","Credit","Factuur")</f>
        <v/>
      </c>
      <c r="H9038">
        <f>IF(AND(B9038=B9037,D9038=D9037,A9038=A9037,F9038=F9037),1,0)</f>
        <v/>
      </c>
      <c r="I9038">
        <f>IF(C9038="C99999",1,0)</f>
        <v/>
      </c>
      <c r="J9038" s="5">
        <f>IF(OR(H9038=1,I9038=1),0,IF(G9038="Credit",-F9038,F9038))</f>
        <v/>
      </c>
    </row>
    <row r="9039">
      <c r="A9039" t="inlineStr">
        <is>
          <t>2026-09-18</t>
        </is>
      </c>
      <c r="B9039" t="inlineStr">
        <is>
          <t>F283954</t>
        </is>
      </c>
      <c r="C9039" t="inlineStr">
        <is>
          <t>C11254</t>
        </is>
      </c>
      <c r="D9039" t="inlineStr">
        <is>
          <t>SKU-10062</t>
        </is>
      </c>
      <c r="E9039" t="inlineStr">
        <is>
          <t>AM11</t>
        </is>
      </c>
      <c r="F9039" s="5" t="n">
        <v>484</v>
      </c>
      <c r="G9039">
        <f>IF(LEFT(B9039,1)="C","Credit","Factuur")</f>
        <v/>
      </c>
      <c r="H9039">
        <f>IF(AND(B9039=B9038,D9039=D9038,A9039=A9038,F9039=F9038),1,0)</f>
        <v/>
      </c>
      <c r="I9039">
        <f>IF(C9039="C99999",1,0)</f>
        <v/>
      </c>
      <c r="J9039" s="5">
        <f>IF(OR(H9039=1,I9039=1),0,IF(G9039="Credit",-F9039,F9039))</f>
        <v/>
      </c>
    </row>
    <row r="9040">
      <c r="A9040" t="inlineStr">
        <is>
          <t>2026-09-18</t>
        </is>
      </c>
      <c r="B9040" t="inlineStr">
        <is>
          <t>F283954</t>
        </is>
      </c>
      <c r="C9040" t="inlineStr">
        <is>
          <t>C11254</t>
        </is>
      </c>
      <c r="D9040" t="inlineStr">
        <is>
          <t>SKU-10171</t>
        </is>
      </c>
      <c r="E9040" t="inlineStr">
        <is>
          <t>AM11</t>
        </is>
      </c>
      <c r="F9040" s="5" t="n">
        <v>411.99</v>
      </c>
      <c r="G9040">
        <f>IF(LEFT(B9040,1)="C","Credit","Factuur")</f>
        <v/>
      </c>
      <c r="H9040">
        <f>IF(AND(B9040=B9039,D9040=D9039,A9040=A9039,F9040=F9039),1,0)</f>
        <v/>
      </c>
      <c r="I9040">
        <f>IF(C9040="C99999",1,0)</f>
        <v/>
      </c>
      <c r="J9040" s="5">
        <f>IF(OR(H9040=1,I9040=1),0,IF(G9040="Credit",-F9040,F9040))</f>
        <v/>
      </c>
    </row>
    <row r="9041">
      <c r="A9041" t="inlineStr">
        <is>
          <t>2026-09-18</t>
        </is>
      </c>
      <c r="B9041" t="inlineStr">
        <is>
          <t>F283954</t>
        </is>
      </c>
      <c r="C9041" t="inlineStr">
        <is>
          <t>C11254</t>
        </is>
      </c>
      <c r="D9041" t="inlineStr">
        <is>
          <t>SKU-10216</t>
        </is>
      </c>
      <c r="E9041" t="inlineStr">
        <is>
          <t>AM11</t>
        </is>
      </c>
      <c r="F9041" s="5" t="n">
        <v>485.4</v>
      </c>
      <c r="G9041">
        <f>IF(LEFT(B9041,1)="C","Credit","Factuur")</f>
        <v/>
      </c>
      <c r="H9041">
        <f>IF(AND(B9041=B9040,D9041=D9040,A9041=A9040,F9041=F9040),1,0)</f>
        <v/>
      </c>
      <c r="I9041">
        <f>IF(C9041="C99999",1,0)</f>
        <v/>
      </c>
      <c r="J9041" s="5">
        <f>IF(OR(H9041=1,I9041=1),0,IF(G9041="Credit",-F9041,F9041))</f>
        <v/>
      </c>
    </row>
    <row r="9042">
      <c r="A9042" t="inlineStr">
        <is>
          <t>2026-09-18</t>
        </is>
      </c>
      <c r="B9042" t="inlineStr">
        <is>
          <t>F284110</t>
        </is>
      </c>
      <c r="C9042" t="inlineStr">
        <is>
          <t>C11258</t>
        </is>
      </c>
      <c r="D9042" t="inlineStr">
        <is>
          <t>SKU-10008</t>
        </is>
      </c>
      <c r="E9042" t="inlineStr">
        <is>
          <t>AM12</t>
        </is>
      </c>
      <c r="F9042" s="5" t="n">
        <v>230.63</v>
      </c>
      <c r="G9042">
        <f>IF(LEFT(B9042,1)="C","Credit","Factuur")</f>
        <v/>
      </c>
      <c r="H9042">
        <f>IF(AND(B9042=B9041,D9042=D9041,A9042=A9041,F9042=F9041),1,0)</f>
        <v/>
      </c>
      <c r="I9042">
        <f>IF(C9042="C99999",1,0)</f>
        <v/>
      </c>
      <c r="J9042" s="5">
        <f>IF(OR(H9042=1,I9042=1),0,IF(G9042="Credit",-F9042,F9042))</f>
        <v/>
      </c>
    </row>
    <row r="9043">
      <c r="A9043" t="inlineStr">
        <is>
          <t>2026-09-18</t>
        </is>
      </c>
      <c r="B9043" t="inlineStr">
        <is>
          <t>F284110</t>
        </is>
      </c>
      <c r="C9043" t="inlineStr">
        <is>
          <t>C11258</t>
        </is>
      </c>
      <c r="D9043" t="inlineStr">
        <is>
          <t>SKU-10027</t>
        </is>
      </c>
      <c r="E9043" t="inlineStr">
        <is>
          <t>AM12</t>
        </is>
      </c>
      <c r="F9043" s="5" t="n">
        <v>276.7</v>
      </c>
      <c r="G9043">
        <f>IF(LEFT(B9043,1)="C","Credit","Factuur")</f>
        <v/>
      </c>
      <c r="H9043">
        <f>IF(AND(B9043=B9042,D9043=D9042,A9043=A9042,F9043=F9042),1,0)</f>
        <v/>
      </c>
      <c r="I9043">
        <f>IF(C9043="C99999",1,0)</f>
        <v/>
      </c>
      <c r="J9043" s="5">
        <f>IF(OR(H9043=1,I9043=1),0,IF(G9043="Credit",-F9043,F9043))</f>
        <v/>
      </c>
    </row>
    <row r="9044">
      <c r="A9044" t="inlineStr">
        <is>
          <t>2026-09-18</t>
        </is>
      </c>
      <c r="B9044" t="inlineStr">
        <is>
          <t>F284110</t>
        </is>
      </c>
      <c r="C9044" t="inlineStr">
        <is>
          <t>C11258</t>
        </is>
      </c>
      <c r="D9044" t="inlineStr">
        <is>
          <t>SKU-10075</t>
        </is>
      </c>
      <c r="E9044" t="inlineStr">
        <is>
          <t>AM12</t>
        </is>
      </c>
      <c r="F9044" s="5" t="n">
        <v>273.88</v>
      </c>
      <c r="G9044">
        <f>IF(LEFT(B9044,1)="C","Credit","Factuur")</f>
        <v/>
      </c>
      <c r="H9044">
        <f>IF(AND(B9044=B9043,D9044=D9043,A9044=A9043,F9044=F9043),1,0)</f>
        <v/>
      </c>
      <c r="I9044">
        <f>IF(C9044="C99999",1,0)</f>
        <v/>
      </c>
      <c r="J9044" s="5">
        <f>IF(OR(H9044=1,I9044=1),0,IF(G9044="Credit",-F9044,F9044))</f>
        <v/>
      </c>
    </row>
    <row r="9045">
      <c r="A9045" t="inlineStr">
        <is>
          <t>2026-09-18</t>
        </is>
      </c>
      <c r="B9045" t="inlineStr">
        <is>
          <t>F284110</t>
        </is>
      </c>
      <c r="C9045" t="inlineStr">
        <is>
          <t>C11258</t>
        </is>
      </c>
      <c r="D9045" t="inlineStr">
        <is>
          <t>SKU-10096</t>
        </is>
      </c>
      <c r="E9045" t="inlineStr">
        <is>
          <t>AM12</t>
        </is>
      </c>
      <c r="F9045" s="5" t="n">
        <v>271.75</v>
      </c>
      <c r="G9045">
        <f>IF(LEFT(B9045,1)="C","Credit","Factuur")</f>
        <v/>
      </c>
      <c r="H9045">
        <f>IF(AND(B9045=B9044,D9045=D9044,A9045=A9044,F9045=F9044),1,0)</f>
        <v/>
      </c>
      <c r="I9045">
        <f>IF(C9045="C99999",1,0)</f>
        <v/>
      </c>
      <c r="J9045" s="5">
        <f>IF(OR(H9045=1,I9045=1),0,IF(G9045="Credit",-F9045,F9045))</f>
        <v/>
      </c>
    </row>
    <row r="9046">
      <c r="A9046" t="inlineStr">
        <is>
          <t>2026-09-18</t>
        </is>
      </c>
      <c r="B9046" t="inlineStr">
        <is>
          <t>F284110</t>
        </is>
      </c>
      <c r="C9046" t="inlineStr">
        <is>
          <t>C11258</t>
        </is>
      </c>
      <c r="D9046" t="inlineStr">
        <is>
          <t>SKU-10238</t>
        </is>
      </c>
      <c r="E9046" t="inlineStr">
        <is>
          <t>AM12</t>
        </is>
      </c>
      <c r="F9046" s="5" t="n">
        <v>271.25</v>
      </c>
      <c r="G9046">
        <f>IF(LEFT(B9046,1)="C","Credit","Factuur")</f>
        <v/>
      </c>
      <c r="H9046">
        <f>IF(AND(B9046=B9045,D9046=D9045,A9046=A9045,F9046=F9045),1,0)</f>
        <v/>
      </c>
      <c r="I9046">
        <f>IF(C9046="C99999",1,0)</f>
        <v/>
      </c>
      <c r="J9046" s="5">
        <f>IF(OR(H9046=1,I9046=1),0,IF(G9046="Credit",-F9046,F9046))</f>
        <v/>
      </c>
    </row>
    <row r="9047">
      <c r="A9047" t="inlineStr">
        <is>
          <t>2026-09-18</t>
        </is>
      </c>
      <c r="B9047" t="inlineStr">
        <is>
          <t>F284110</t>
        </is>
      </c>
      <c r="C9047" t="inlineStr">
        <is>
          <t>C11258</t>
        </is>
      </c>
      <c r="D9047" t="inlineStr">
        <is>
          <t>SKU-10254</t>
        </is>
      </c>
      <c r="E9047" t="inlineStr">
        <is>
          <t>AM12</t>
        </is>
      </c>
      <c r="F9047" s="5" t="n">
        <v>274.5</v>
      </c>
      <c r="G9047">
        <f>IF(LEFT(B9047,1)="C","Credit","Factuur")</f>
        <v/>
      </c>
      <c r="H9047">
        <f>IF(AND(B9047=B9046,D9047=D9046,A9047=A9046,F9047=F9046),1,0)</f>
        <v/>
      </c>
      <c r="I9047">
        <f>IF(C9047="C99999",1,0)</f>
        <v/>
      </c>
      <c r="J9047" s="5">
        <f>IF(OR(H9047=1,I9047=1),0,IF(G9047="Credit",-F9047,F9047))</f>
        <v/>
      </c>
    </row>
    <row r="9048">
      <c r="A9048" t="inlineStr">
        <is>
          <t>2026-09-18</t>
        </is>
      </c>
      <c r="B9048" t="inlineStr">
        <is>
          <t>F284110</t>
        </is>
      </c>
      <c r="C9048" t="inlineStr">
        <is>
          <t>C11258</t>
        </is>
      </c>
      <c r="D9048" t="inlineStr">
        <is>
          <t>SKU-10316</t>
        </is>
      </c>
      <c r="E9048" t="inlineStr">
        <is>
          <t>AM12</t>
        </is>
      </c>
      <c r="F9048" s="5" t="n">
        <v>286.9</v>
      </c>
      <c r="G9048">
        <f>IF(LEFT(B9048,1)="C","Credit","Factuur")</f>
        <v/>
      </c>
      <c r="H9048">
        <f>IF(AND(B9048=B9047,D9048=D9047,A9048=A9047,F9048=F9047),1,0)</f>
        <v/>
      </c>
      <c r="I9048">
        <f>IF(C9048="C99999",1,0)</f>
        <v/>
      </c>
      <c r="J9048" s="5">
        <f>IF(OR(H9048=1,I9048=1),0,IF(G9048="Credit",-F9048,F9048))</f>
        <v/>
      </c>
    </row>
    <row r="9049">
      <c r="A9049" t="inlineStr">
        <is>
          <t>2026-09-18</t>
        </is>
      </c>
      <c r="B9049" t="inlineStr">
        <is>
          <t>F284400</t>
        </is>
      </c>
      <c r="C9049" t="inlineStr">
        <is>
          <t>C11277</t>
        </is>
      </c>
      <c r="D9049" t="inlineStr">
        <is>
          <t>SKU-10002</t>
        </is>
      </c>
      <c r="E9049" t="inlineStr">
        <is>
          <t>AM11</t>
        </is>
      </c>
      <c r="F9049" s="5" t="n">
        <v>401.59</v>
      </c>
      <c r="G9049">
        <f>IF(LEFT(B9049,1)="C","Credit","Factuur")</f>
        <v/>
      </c>
      <c r="H9049">
        <f>IF(AND(B9049=B9048,D9049=D9048,A9049=A9048,F9049=F9048),1,0)</f>
        <v/>
      </c>
      <c r="I9049">
        <f>IF(C9049="C99999",1,0)</f>
        <v/>
      </c>
      <c r="J9049" s="5">
        <f>IF(OR(H9049=1,I9049=1),0,IF(G9049="Credit",-F9049,F9049))</f>
        <v/>
      </c>
    </row>
    <row r="9050">
      <c r="A9050" t="inlineStr">
        <is>
          <t>2026-09-18</t>
        </is>
      </c>
      <c r="B9050" t="inlineStr">
        <is>
          <t>F284400</t>
        </is>
      </c>
      <c r="C9050" t="inlineStr">
        <is>
          <t>C11277</t>
        </is>
      </c>
      <c r="D9050" t="inlineStr">
        <is>
          <t>SKU-10220</t>
        </is>
      </c>
      <c r="E9050" t="inlineStr">
        <is>
          <t>AM11</t>
        </is>
      </c>
      <c r="F9050" s="5" t="n">
        <v>401.2</v>
      </c>
      <c r="G9050">
        <f>IF(LEFT(B9050,1)="C","Credit","Factuur")</f>
        <v/>
      </c>
      <c r="H9050">
        <f>IF(AND(B9050=B9049,D9050=D9049,A9050=A9049,F9050=F9049),1,0)</f>
        <v/>
      </c>
      <c r="I9050">
        <f>IF(C9050="C99999",1,0)</f>
        <v/>
      </c>
      <c r="J9050" s="5">
        <f>IF(OR(H9050=1,I9050=1),0,IF(G9050="Credit",-F9050,F9050))</f>
        <v/>
      </c>
    </row>
    <row r="9051">
      <c r="A9051" t="inlineStr">
        <is>
          <t>2026-09-18</t>
        </is>
      </c>
      <c r="B9051" t="inlineStr">
        <is>
          <t>F284400</t>
        </is>
      </c>
      <c r="C9051" t="inlineStr">
        <is>
          <t>C11277</t>
        </is>
      </c>
      <c r="D9051" t="inlineStr">
        <is>
          <t>SKU-10319</t>
        </is>
      </c>
      <c r="E9051" t="inlineStr">
        <is>
          <t>AM11</t>
        </is>
      </c>
      <c r="F9051" s="5" t="n">
        <v>364.64</v>
      </c>
      <c r="G9051">
        <f>IF(LEFT(B9051,1)="C","Credit","Factuur")</f>
        <v/>
      </c>
      <c r="H9051">
        <f>IF(AND(B9051=B9050,D9051=D9050,A9051=A9050,F9051=F9050),1,0)</f>
        <v/>
      </c>
      <c r="I9051">
        <f>IF(C9051="C99999",1,0)</f>
        <v/>
      </c>
      <c r="J9051" s="5">
        <f>IF(OR(H9051=1,I9051=1),0,IF(G9051="Credit",-F9051,F9051))</f>
        <v/>
      </c>
    </row>
    <row r="9052">
      <c r="A9052" t="inlineStr">
        <is>
          <t>2026-09-18</t>
        </is>
      </c>
      <c r="B9052" t="inlineStr">
        <is>
          <t>F284400</t>
        </is>
      </c>
      <c r="C9052" t="inlineStr">
        <is>
          <t>C11277</t>
        </is>
      </c>
      <c r="D9052" t="inlineStr">
        <is>
          <t>SKU-10326</t>
        </is>
      </c>
      <c r="E9052" t="inlineStr">
        <is>
          <t>AM11</t>
        </is>
      </c>
      <c r="F9052" s="5" t="n">
        <v>375.25</v>
      </c>
      <c r="G9052">
        <f>IF(LEFT(B9052,1)="C","Credit","Factuur")</f>
        <v/>
      </c>
      <c r="H9052">
        <f>IF(AND(B9052=B9051,D9052=D9051,A9052=A9051,F9052=F9051),1,0)</f>
        <v/>
      </c>
      <c r="I9052">
        <f>IF(C9052="C99999",1,0)</f>
        <v/>
      </c>
      <c r="J9052" s="5">
        <f>IF(OR(H9052=1,I9052=1),0,IF(G9052="Credit",-F9052,F9052))</f>
        <v/>
      </c>
    </row>
    <row r="9053">
      <c r="A9053" t="inlineStr">
        <is>
          <t>2026-09-18</t>
        </is>
      </c>
      <c r="B9053" t="inlineStr">
        <is>
          <t>F284589</t>
        </is>
      </c>
      <c r="C9053" t="inlineStr">
        <is>
          <t>C11290</t>
        </is>
      </c>
      <c r="D9053" t="inlineStr">
        <is>
          <t>SKU-10021</t>
        </is>
      </c>
      <c r="E9053" t="inlineStr">
        <is>
          <t>AM05</t>
        </is>
      </c>
      <c r="F9053" s="5" t="n">
        <v>151.75</v>
      </c>
      <c r="G9053">
        <f>IF(LEFT(B9053,1)="C","Credit","Factuur")</f>
        <v/>
      </c>
      <c r="H9053">
        <f>IF(AND(B9053=B9052,D9053=D9052,A9053=A9052,F9053=F9052),1,0)</f>
        <v/>
      </c>
      <c r="I9053">
        <f>IF(C9053="C99999",1,0)</f>
        <v/>
      </c>
      <c r="J9053" s="5">
        <f>IF(OR(H9053=1,I9053=1),0,IF(G9053="Credit",-F9053,F9053))</f>
        <v/>
      </c>
    </row>
    <row r="9054">
      <c r="A9054" t="inlineStr">
        <is>
          <t>2026-09-18</t>
        </is>
      </c>
      <c r="B9054" t="inlineStr">
        <is>
          <t>F284589</t>
        </is>
      </c>
      <c r="C9054" t="inlineStr">
        <is>
          <t>C11290</t>
        </is>
      </c>
      <c r="D9054" t="inlineStr">
        <is>
          <t>SKU-10061</t>
        </is>
      </c>
      <c r="E9054" t="inlineStr">
        <is>
          <t>AM05</t>
        </is>
      </c>
      <c r="F9054" s="5" t="n">
        <v>170.57</v>
      </c>
      <c r="G9054">
        <f>IF(LEFT(B9054,1)="C","Credit","Factuur")</f>
        <v/>
      </c>
      <c r="H9054">
        <f>IF(AND(B9054=B9053,D9054=D9053,A9054=A9053,F9054=F9053),1,0)</f>
        <v/>
      </c>
      <c r="I9054">
        <f>IF(C9054="C99999",1,0)</f>
        <v/>
      </c>
      <c r="J9054" s="5">
        <f>IF(OR(H9054=1,I9054=1),0,IF(G9054="Credit",-F9054,F9054))</f>
        <v/>
      </c>
    </row>
    <row r="9055">
      <c r="A9055" t="inlineStr">
        <is>
          <t>2026-09-18</t>
        </is>
      </c>
      <c r="B9055" t="inlineStr">
        <is>
          <t>F284589</t>
        </is>
      </c>
      <c r="C9055" t="inlineStr">
        <is>
          <t>C11290</t>
        </is>
      </c>
      <c r="D9055" t="inlineStr">
        <is>
          <t>SKU-10124</t>
        </is>
      </c>
      <c r="E9055" t="inlineStr">
        <is>
          <t>AM05</t>
        </is>
      </c>
      <c r="F9055" s="5" t="n">
        <v>144.41</v>
      </c>
      <c r="G9055">
        <f>IF(LEFT(B9055,1)="C","Credit","Factuur")</f>
        <v/>
      </c>
      <c r="H9055">
        <f>IF(AND(B9055=B9054,D9055=D9054,A9055=A9054,F9055=F9054),1,0)</f>
        <v/>
      </c>
      <c r="I9055">
        <f>IF(C9055="C99999",1,0)</f>
        <v/>
      </c>
      <c r="J9055" s="5">
        <f>IF(OR(H9055=1,I9055=1),0,IF(G9055="Credit",-F9055,F9055))</f>
        <v/>
      </c>
    </row>
    <row r="9056">
      <c r="A9056" t="inlineStr">
        <is>
          <t>2026-09-18</t>
        </is>
      </c>
      <c r="B9056" t="inlineStr">
        <is>
          <t>F284589</t>
        </is>
      </c>
      <c r="C9056" t="inlineStr">
        <is>
          <t>C11290</t>
        </is>
      </c>
      <c r="D9056" t="inlineStr">
        <is>
          <t>SKU-10232</t>
        </is>
      </c>
      <c r="E9056" t="inlineStr">
        <is>
          <t>AM05</t>
        </is>
      </c>
      <c r="F9056" s="5" t="n">
        <v>167.81</v>
      </c>
      <c r="G9056">
        <f>IF(LEFT(B9056,1)="C","Credit","Factuur")</f>
        <v/>
      </c>
      <c r="H9056">
        <f>IF(AND(B9056=B9055,D9056=D9055,A9056=A9055,F9056=F9055),1,0)</f>
        <v/>
      </c>
      <c r="I9056">
        <f>IF(C9056="C99999",1,0)</f>
        <v/>
      </c>
      <c r="J9056" s="5">
        <f>IF(OR(H9056=1,I9056=1),0,IF(G9056="Credit",-F9056,F9056))</f>
        <v/>
      </c>
    </row>
    <row r="9057">
      <c r="A9057" t="inlineStr">
        <is>
          <t>2026-09-18</t>
        </is>
      </c>
      <c r="B9057" t="inlineStr">
        <is>
          <t>F284643</t>
        </is>
      </c>
      <c r="C9057" t="inlineStr">
        <is>
          <t>C11292</t>
        </is>
      </c>
      <c r="D9057" t="inlineStr">
        <is>
          <t>SKU-10066</t>
        </is>
      </c>
      <c r="E9057" t="inlineStr">
        <is>
          <t>AM07</t>
        </is>
      </c>
      <c r="F9057" s="5" t="n">
        <v>443.68</v>
      </c>
      <c r="G9057">
        <f>IF(LEFT(B9057,1)="C","Credit","Factuur")</f>
        <v/>
      </c>
      <c r="H9057">
        <f>IF(AND(B9057=B9056,D9057=D9056,A9057=A9056,F9057=F9056),1,0)</f>
        <v/>
      </c>
      <c r="I9057">
        <f>IF(C9057="C99999",1,0)</f>
        <v/>
      </c>
      <c r="J9057" s="5">
        <f>IF(OR(H9057=1,I9057=1),0,IF(G9057="Credit",-F9057,F9057))</f>
        <v/>
      </c>
    </row>
    <row r="9058">
      <c r="A9058" t="inlineStr">
        <is>
          <t>2026-09-18</t>
        </is>
      </c>
      <c r="B9058" t="inlineStr">
        <is>
          <t>F284643</t>
        </is>
      </c>
      <c r="C9058" t="inlineStr">
        <is>
          <t>C11292</t>
        </is>
      </c>
      <c r="D9058" t="inlineStr">
        <is>
          <t>SKU-10076</t>
        </is>
      </c>
      <c r="E9058" t="inlineStr">
        <is>
          <t>AM07</t>
        </is>
      </c>
      <c r="F9058" s="5" t="n">
        <v>437.28</v>
      </c>
      <c r="G9058">
        <f>IF(LEFT(B9058,1)="C","Credit","Factuur")</f>
        <v/>
      </c>
      <c r="H9058">
        <f>IF(AND(B9058=B9057,D9058=D9057,A9058=A9057,F9058=F9057),1,0)</f>
        <v/>
      </c>
      <c r="I9058">
        <f>IF(C9058="C99999",1,0)</f>
        <v/>
      </c>
      <c r="J9058" s="5">
        <f>IF(OR(H9058=1,I9058=1),0,IF(G9058="Credit",-F9058,F9058))</f>
        <v/>
      </c>
    </row>
    <row r="9059">
      <c r="A9059" t="inlineStr">
        <is>
          <t>2026-09-18</t>
        </is>
      </c>
      <c r="B9059" t="inlineStr">
        <is>
          <t>F284643</t>
        </is>
      </c>
      <c r="C9059" t="inlineStr">
        <is>
          <t>C11292</t>
        </is>
      </c>
      <c r="D9059" t="inlineStr">
        <is>
          <t>SKU-10140</t>
        </is>
      </c>
      <c r="E9059" t="inlineStr">
        <is>
          <t>AM07</t>
        </is>
      </c>
      <c r="F9059" s="5" t="n">
        <v>419.68</v>
      </c>
      <c r="G9059">
        <f>IF(LEFT(B9059,1)="C","Credit","Factuur")</f>
        <v/>
      </c>
      <c r="H9059">
        <f>IF(AND(B9059=B9058,D9059=D9058,A9059=A9058,F9059=F9058),1,0)</f>
        <v/>
      </c>
      <c r="I9059">
        <f>IF(C9059="C99999",1,0)</f>
        <v/>
      </c>
      <c r="J9059" s="5">
        <f>IF(OR(H9059=1,I9059=1),0,IF(G9059="Credit",-F9059,F9059))</f>
        <v/>
      </c>
    </row>
    <row r="9060">
      <c r="A9060" t="inlineStr">
        <is>
          <t>2026-09-18</t>
        </is>
      </c>
      <c r="B9060" t="inlineStr">
        <is>
          <t>F284643</t>
        </is>
      </c>
      <c r="C9060" t="inlineStr">
        <is>
          <t>C11292</t>
        </is>
      </c>
      <c r="D9060" t="inlineStr">
        <is>
          <t>SKU-10231</t>
        </is>
      </c>
      <c r="E9060" t="inlineStr">
        <is>
          <t>AM07</t>
        </is>
      </c>
      <c r="F9060" s="5" t="n">
        <v>441.72</v>
      </c>
      <c r="G9060">
        <f>IF(LEFT(B9060,1)="C","Credit","Factuur")</f>
        <v/>
      </c>
      <c r="H9060">
        <f>IF(AND(B9060=B9059,D9060=D9059,A9060=A9059,F9060=F9059),1,0)</f>
        <v/>
      </c>
      <c r="I9060">
        <f>IF(C9060="C99999",1,0)</f>
        <v/>
      </c>
      <c r="J9060" s="5">
        <f>IF(OR(H9060=1,I9060=1),0,IF(G9060="Credit",-F9060,F9060))</f>
        <v/>
      </c>
    </row>
    <row r="9061">
      <c r="A9061" t="inlineStr">
        <is>
          <t>2026-09-18</t>
        </is>
      </c>
      <c r="B9061" t="inlineStr">
        <is>
          <t>F284889</t>
        </is>
      </c>
      <c r="C9061" t="inlineStr">
        <is>
          <t>C11302</t>
        </is>
      </c>
      <c r="D9061" t="inlineStr">
        <is>
          <t>SKU-10005</t>
        </is>
      </c>
      <c r="E9061" t="inlineStr">
        <is>
          <t>AM01</t>
        </is>
      </c>
      <c r="F9061" s="5" t="n">
        <v>658.26</v>
      </c>
      <c r="G9061">
        <f>IF(LEFT(B9061,1)="C","Credit","Factuur")</f>
        <v/>
      </c>
      <c r="H9061">
        <f>IF(AND(B9061=B9060,D9061=D9060,A9061=A9060,F9061=F9060),1,0)</f>
        <v/>
      </c>
      <c r="I9061">
        <f>IF(C9061="C99999",1,0)</f>
        <v/>
      </c>
      <c r="J9061" s="5">
        <f>IF(OR(H9061=1,I9061=1),0,IF(G9061="Credit",-F9061,F9061))</f>
        <v/>
      </c>
    </row>
    <row r="9062">
      <c r="A9062" t="inlineStr">
        <is>
          <t>2026-09-18</t>
        </is>
      </c>
      <c r="B9062" t="inlineStr">
        <is>
          <t>F284889</t>
        </is>
      </c>
      <c r="C9062" t="inlineStr">
        <is>
          <t>C11302</t>
        </is>
      </c>
      <c r="D9062" t="inlineStr">
        <is>
          <t>SKU-10063</t>
        </is>
      </c>
      <c r="E9062" t="inlineStr">
        <is>
          <t>AM01</t>
        </is>
      </c>
      <c r="F9062" s="5" t="n">
        <v>677.28</v>
      </c>
      <c r="G9062">
        <f>IF(LEFT(B9062,1)="C","Credit","Factuur")</f>
        <v/>
      </c>
      <c r="H9062">
        <f>IF(AND(B9062=B9061,D9062=D9061,A9062=A9061,F9062=F9061),1,0)</f>
        <v/>
      </c>
      <c r="I9062">
        <f>IF(C9062="C99999",1,0)</f>
        <v/>
      </c>
      <c r="J9062" s="5">
        <f>IF(OR(H9062=1,I9062=1),0,IF(G9062="Credit",-F9062,F9062))</f>
        <v/>
      </c>
    </row>
    <row r="9063">
      <c r="A9063" t="inlineStr">
        <is>
          <t>2026-09-18</t>
        </is>
      </c>
      <c r="B9063" t="inlineStr">
        <is>
          <t>F284889</t>
        </is>
      </c>
      <c r="C9063" t="inlineStr">
        <is>
          <t>C11302</t>
        </is>
      </c>
      <c r="D9063" t="inlineStr">
        <is>
          <t>SKU-10193</t>
        </is>
      </c>
      <c r="E9063" t="inlineStr">
        <is>
          <t>AM01</t>
        </is>
      </c>
      <c r="F9063" s="5" t="n">
        <v>650.5599999999999</v>
      </c>
      <c r="G9063">
        <f>IF(LEFT(B9063,1)="C","Credit","Factuur")</f>
        <v/>
      </c>
      <c r="H9063">
        <f>IF(AND(B9063=B9062,D9063=D9062,A9063=A9062,F9063=F9062),1,0)</f>
        <v/>
      </c>
      <c r="I9063">
        <f>IF(C9063="C99999",1,0)</f>
        <v/>
      </c>
      <c r="J9063" s="5">
        <f>IF(OR(H9063=1,I9063=1),0,IF(G9063="Credit",-F9063,F9063))</f>
        <v/>
      </c>
    </row>
    <row r="9064">
      <c r="A9064" t="inlineStr">
        <is>
          <t>2026-09-18</t>
        </is>
      </c>
      <c r="B9064" t="inlineStr">
        <is>
          <t>F284928</t>
        </is>
      </c>
      <c r="C9064" t="inlineStr">
        <is>
          <t>C11303</t>
        </is>
      </c>
      <c r="D9064" t="inlineStr">
        <is>
          <t>SKU-10209</t>
        </is>
      </c>
      <c r="E9064" t="inlineStr">
        <is>
          <t>AM03</t>
        </is>
      </c>
      <c r="F9064" s="5" t="n">
        <v>268.65</v>
      </c>
      <c r="G9064">
        <f>IF(LEFT(B9064,1)="C","Credit","Factuur")</f>
        <v/>
      </c>
      <c r="H9064">
        <f>IF(AND(B9064=B9063,D9064=D9063,A9064=A9063,F9064=F9063),1,0)</f>
        <v/>
      </c>
      <c r="I9064">
        <f>IF(C9064="C99999",1,0)</f>
        <v/>
      </c>
      <c r="J9064" s="5">
        <f>IF(OR(H9064=1,I9064=1),0,IF(G9064="Credit",-F9064,F9064))</f>
        <v/>
      </c>
    </row>
    <row r="9065">
      <c r="A9065" t="inlineStr">
        <is>
          <t>2026-09-18</t>
        </is>
      </c>
      <c r="B9065" t="inlineStr">
        <is>
          <t>F284928</t>
        </is>
      </c>
      <c r="C9065" t="inlineStr">
        <is>
          <t>C11303</t>
        </is>
      </c>
      <c r="D9065" t="inlineStr">
        <is>
          <t>SKU-10218</t>
        </is>
      </c>
      <c r="E9065" t="inlineStr">
        <is>
          <t>AM03</t>
        </is>
      </c>
      <c r="F9065" s="5" t="n">
        <v>276.47</v>
      </c>
      <c r="G9065">
        <f>IF(LEFT(B9065,1)="C","Credit","Factuur")</f>
        <v/>
      </c>
      <c r="H9065">
        <f>IF(AND(B9065=B9064,D9065=D9064,A9065=A9064,F9065=F9064),1,0)</f>
        <v/>
      </c>
      <c r="I9065">
        <f>IF(C9065="C99999",1,0)</f>
        <v/>
      </c>
      <c r="J9065" s="5">
        <f>IF(OR(H9065=1,I9065=1),0,IF(G9065="Credit",-F9065,F9065))</f>
        <v/>
      </c>
    </row>
    <row r="9066">
      <c r="A9066" t="inlineStr">
        <is>
          <t>2026-09-18</t>
        </is>
      </c>
      <c r="B9066" t="inlineStr">
        <is>
          <t>F284928</t>
        </is>
      </c>
      <c r="C9066" t="inlineStr">
        <is>
          <t>C11303</t>
        </is>
      </c>
      <c r="D9066" t="inlineStr">
        <is>
          <t>SKU-10229</t>
        </is>
      </c>
      <c r="E9066" t="inlineStr">
        <is>
          <t>AM03</t>
        </is>
      </c>
      <c r="F9066" s="5" t="n">
        <v>253.74</v>
      </c>
      <c r="G9066">
        <f>IF(LEFT(B9066,1)="C","Credit","Factuur")</f>
        <v/>
      </c>
      <c r="H9066">
        <f>IF(AND(B9066=B9065,D9066=D9065,A9066=A9065,F9066=F9065),1,0)</f>
        <v/>
      </c>
      <c r="I9066">
        <f>IF(C9066="C99999",1,0)</f>
        <v/>
      </c>
      <c r="J9066" s="5">
        <f>IF(OR(H9066=1,I9066=1),0,IF(G9066="Credit",-F9066,F9066))</f>
        <v/>
      </c>
    </row>
    <row r="9067">
      <c r="A9067" t="inlineStr">
        <is>
          <t>2026-09-18</t>
        </is>
      </c>
      <c r="B9067" t="inlineStr">
        <is>
          <t>F284928</t>
        </is>
      </c>
      <c r="C9067" t="inlineStr">
        <is>
          <t>C11303</t>
        </is>
      </c>
      <c r="D9067" t="inlineStr">
        <is>
          <t>SKU-10271</t>
        </is>
      </c>
      <c r="E9067" t="inlineStr">
        <is>
          <t>AM03</t>
        </is>
      </c>
      <c r="F9067" s="5" t="n">
        <v>299.25</v>
      </c>
      <c r="G9067">
        <f>IF(LEFT(B9067,1)="C","Credit","Factuur")</f>
        <v/>
      </c>
      <c r="H9067">
        <f>IF(AND(B9067=B9066,D9067=D9066,A9067=A9066,F9067=F9066),1,0)</f>
        <v/>
      </c>
      <c r="I9067">
        <f>IF(C9067="C99999",1,0)</f>
        <v/>
      </c>
      <c r="J9067" s="5">
        <f>IF(OR(H9067=1,I9067=1),0,IF(G9067="Credit",-F9067,F9067))</f>
        <v/>
      </c>
    </row>
    <row r="9068">
      <c r="A9068" t="inlineStr">
        <is>
          <t>2026-09-18</t>
        </is>
      </c>
      <c r="B9068" t="inlineStr">
        <is>
          <t>F284928</t>
        </is>
      </c>
      <c r="C9068" t="inlineStr">
        <is>
          <t>C11303</t>
        </is>
      </c>
      <c r="D9068" t="inlineStr">
        <is>
          <t>SKU-10318</t>
        </is>
      </c>
      <c r="E9068" t="inlineStr">
        <is>
          <t>AM03</t>
        </is>
      </c>
      <c r="F9068" s="5" t="n">
        <v>305.25</v>
      </c>
      <c r="G9068">
        <f>IF(LEFT(B9068,1)="C","Credit","Factuur")</f>
        <v/>
      </c>
      <c r="H9068">
        <f>IF(AND(B9068=B9067,D9068=D9067,A9068=A9067,F9068=F9067),1,0)</f>
        <v/>
      </c>
      <c r="I9068">
        <f>IF(C9068="C99999",1,0)</f>
        <v/>
      </c>
      <c r="J9068" s="5">
        <f>IF(OR(H9068=1,I9068=1),0,IF(G9068="Credit",-F9068,F9068))</f>
        <v/>
      </c>
    </row>
    <row r="9069">
      <c r="A9069" t="inlineStr">
        <is>
          <t>2026-09-18</t>
        </is>
      </c>
      <c r="B9069" t="inlineStr">
        <is>
          <t>F285104</t>
        </is>
      </c>
      <c r="C9069" t="inlineStr">
        <is>
          <t>C11315</t>
        </is>
      </c>
      <c r="D9069" t="inlineStr">
        <is>
          <t>SKU-10112</t>
        </is>
      </c>
      <c r="E9069" t="inlineStr">
        <is>
          <t>AM07</t>
        </is>
      </c>
      <c r="F9069" s="5" t="n">
        <v>280.44</v>
      </c>
      <c r="G9069">
        <f>IF(LEFT(B9069,1)="C","Credit","Factuur")</f>
        <v/>
      </c>
      <c r="H9069">
        <f>IF(AND(B9069=B9068,D9069=D9068,A9069=A9068,F9069=F9068),1,0)</f>
        <v/>
      </c>
      <c r="I9069">
        <f>IF(C9069="C99999",1,0)</f>
        <v/>
      </c>
      <c r="J9069" s="5">
        <f>IF(OR(H9069=1,I9069=1),0,IF(G9069="Credit",-F9069,F9069))</f>
        <v/>
      </c>
    </row>
    <row r="9070">
      <c r="A9070" t="inlineStr">
        <is>
          <t>2026-09-18</t>
        </is>
      </c>
      <c r="B9070" t="inlineStr">
        <is>
          <t>F285104</t>
        </is>
      </c>
      <c r="C9070" t="inlineStr">
        <is>
          <t>C11315</t>
        </is>
      </c>
      <c r="D9070" t="inlineStr">
        <is>
          <t>SKU-10190</t>
        </is>
      </c>
      <c r="E9070" t="inlineStr">
        <is>
          <t>AM07</t>
        </is>
      </c>
      <c r="F9070" s="5" t="n">
        <v>262.92</v>
      </c>
      <c r="G9070">
        <f>IF(LEFT(B9070,1)="C","Credit","Factuur")</f>
        <v/>
      </c>
      <c r="H9070">
        <f>IF(AND(B9070=B9069,D9070=D9069,A9070=A9069,F9070=F9069),1,0)</f>
        <v/>
      </c>
      <c r="I9070">
        <f>IF(C9070="C99999",1,0)</f>
        <v/>
      </c>
      <c r="J9070" s="5">
        <f>IF(OR(H9070=1,I9070=1),0,IF(G9070="Credit",-F9070,F9070))</f>
        <v/>
      </c>
    </row>
    <row r="9071">
      <c r="A9071" t="inlineStr">
        <is>
          <t>2026-09-18</t>
        </is>
      </c>
      <c r="B9071" t="inlineStr">
        <is>
          <t>F285104</t>
        </is>
      </c>
      <c r="C9071" t="inlineStr">
        <is>
          <t>C11315</t>
        </is>
      </c>
      <c r="D9071" t="inlineStr">
        <is>
          <t>SKU-10195</t>
        </is>
      </c>
      <c r="E9071" t="inlineStr">
        <is>
          <t>AM07</t>
        </is>
      </c>
      <c r="F9071" s="5" t="n">
        <v>280.2</v>
      </c>
      <c r="G9071">
        <f>IF(LEFT(B9071,1)="C","Credit","Factuur")</f>
        <v/>
      </c>
      <c r="H9071">
        <f>IF(AND(B9071=B9070,D9071=D9070,A9071=A9070,F9071=F9070),1,0)</f>
        <v/>
      </c>
      <c r="I9071">
        <f>IF(C9071="C99999",1,0)</f>
        <v/>
      </c>
      <c r="J9071" s="5">
        <f>IF(OR(H9071=1,I9071=1),0,IF(G9071="Credit",-F9071,F9071))</f>
        <v/>
      </c>
    </row>
    <row r="9072">
      <c r="A9072" t="inlineStr">
        <is>
          <t>2026-09-18</t>
        </is>
      </c>
      <c r="B9072" t="inlineStr">
        <is>
          <t>F285104</t>
        </is>
      </c>
      <c r="C9072" t="inlineStr">
        <is>
          <t>C11315</t>
        </is>
      </c>
      <c r="D9072" t="inlineStr">
        <is>
          <t>SKU-10280</t>
        </is>
      </c>
      <c r="E9072" t="inlineStr">
        <is>
          <t>AM07</t>
        </is>
      </c>
      <c r="F9072" s="5" t="n">
        <v>276.19</v>
      </c>
      <c r="G9072">
        <f>IF(LEFT(B9072,1)="C","Credit","Factuur")</f>
        <v/>
      </c>
      <c r="H9072">
        <f>IF(AND(B9072=B9071,D9072=D9071,A9072=A9071,F9072=F9071),1,0)</f>
        <v/>
      </c>
      <c r="I9072">
        <f>IF(C9072="C99999",1,0)</f>
        <v/>
      </c>
      <c r="J9072" s="5">
        <f>IF(OR(H9072=1,I9072=1),0,IF(G9072="Credit",-F9072,F9072))</f>
        <v/>
      </c>
    </row>
    <row r="9073">
      <c r="A9073" t="inlineStr">
        <is>
          <t>2026-09-18</t>
        </is>
      </c>
      <c r="B9073" t="inlineStr">
        <is>
          <t>F285104</t>
        </is>
      </c>
      <c r="C9073" t="inlineStr">
        <is>
          <t>C11315</t>
        </is>
      </c>
      <c r="D9073" t="inlineStr">
        <is>
          <t>SKU-10307</t>
        </is>
      </c>
      <c r="E9073" t="inlineStr">
        <is>
          <t>AM07</t>
        </is>
      </c>
      <c r="F9073" s="5" t="n">
        <v>270.8</v>
      </c>
      <c r="G9073">
        <f>IF(LEFT(B9073,1)="C","Credit","Factuur")</f>
        <v/>
      </c>
      <c r="H9073">
        <f>IF(AND(B9073=B9072,D9073=D9072,A9073=A9072,F9073=F9072),1,0)</f>
        <v/>
      </c>
      <c r="I9073">
        <f>IF(C9073="C99999",1,0)</f>
        <v/>
      </c>
      <c r="J9073" s="5">
        <f>IF(OR(H9073=1,I9073=1),0,IF(G9073="Credit",-F9073,F9073))</f>
        <v/>
      </c>
    </row>
    <row r="9074">
      <c r="A9074" t="inlineStr">
        <is>
          <t>2026-09-18</t>
        </is>
      </c>
      <c r="B9074" t="inlineStr">
        <is>
          <t>F285104</t>
        </is>
      </c>
      <c r="C9074" t="inlineStr">
        <is>
          <t>C11315</t>
        </is>
      </c>
      <c r="D9074" t="inlineStr">
        <is>
          <t>SKU-10325</t>
        </is>
      </c>
      <c r="E9074" t="inlineStr">
        <is>
          <t>AM07</t>
        </is>
      </c>
      <c r="F9074" s="5" t="n">
        <v>282.6</v>
      </c>
      <c r="G9074">
        <f>IF(LEFT(B9074,1)="C","Credit","Factuur")</f>
        <v/>
      </c>
      <c r="H9074">
        <f>IF(AND(B9074=B9073,D9074=D9073,A9074=A9073,F9074=F9073),1,0)</f>
        <v/>
      </c>
      <c r="I9074">
        <f>IF(C9074="C99999",1,0)</f>
        <v/>
      </c>
      <c r="J9074" s="5">
        <f>IF(OR(H9074=1,I9074=1),0,IF(G9074="Credit",-F9074,F9074))</f>
        <v/>
      </c>
    </row>
    <row r="9075">
      <c r="A9075" t="inlineStr">
        <is>
          <t>2026-09-18</t>
        </is>
      </c>
      <c r="B9075" t="inlineStr">
        <is>
          <t>F285262</t>
        </is>
      </c>
      <c r="C9075" t="inlineStr">
        <is>
          <t>C11323</t>
        </is>
      </c>
      <c r="D9075" t="inlineStr">
        <is>
          <t>SKU-10099</t>
        </is>
      </c>
      <c r="E9075" t="inlineStr">
        <is>
          <t>AM08</t>
        </is>
      </c>
      <c r="F9075" s="5" t="n">
        <v>2157.79</v>
      </c>
      <c r="G9075">
        <f>IF(LEFT(B9075,1)="C","Credit","Factuur")</f>
        <v/>
      </c>
      <c r="H9075">
        <f>IF(AND(B9075=B9074,D9075=D9074,A9075=A9074,F9075=F9074),1,0)</f>
        <v/>
      </c>
      <c r="I9075">
        <f>IF(C9075="C99999",1,0)</f>
        <v/>
      </c>
      <c r="J9075" s="5">
        <f>IF(OR(H9075=1,I9075=1),0,IF(G9075="Credit",-F9075,F9075))</f>
        <v/>
      </c>
    </row>
    <row r="9076">
      <c r="A9076" t="inlineStr">
        <is>
          <t>2026-09-18</t>
        </is>
      </c>
      <c r="B9076" t="inlineStr">
        <is>
          <t>F285262</t>
        </is>
      </c>
      <c r="C9076" t="inlineStr">
        <is>
          <t>C11323</t>
        </is>
      </c>
      <c r="D9076" t="inlineStr">
        <is>
          <t>SKU-10247</t>
        </is>
      </c>
      <c r="E9076" t="inlineStr">
        <is>
          <t>AM08</t>
        </is>
      </c>
      <c r="F9076" s="5" t="n">
        <v>2294.46</v>
      </c>
      <c r="G9076">
        <f>IF(LEFT(B9076,1)="C","Credit","Factuur")</f>
        <v/>
      </c>
      <c r="H9076">
        <f>IF(AND(B9076=B9075,D9076=D9075,A9076=A9075,F9076=F9075),1,0)</f>
        <v/>
      </c>
      <c r="I9076">
        <f>IF(C9076="C99999",1,0)</f>
        <v/>
      </c>
      <c r="J9076" s="5">
        <f>IF(OR(H9076=1,I9076=1),0,IF(G9076="Credit",-F9076,F9076))</f>
        <v/>
      </c>
    </row>
    <row r="9077">
      <c r="A9077" t="inlineStr">
        <is>
          <t>2026-09-18</t>
        </is>
      </c>
      <c r="B9077" t="inlineStr">
        <is>
          <t>F285844</t>
        </is>
      </c>
      <c r="C9077" t="inlineStr">
        <is>
          <t>C11352</t>
        </is>
      </c>
      <c r="D9077" t="inlineStr">
        <is>
          <t>SKU-10085</t>
        </is>
      </c>
      <c r="E9077" t="inlineStr">
        <is>
          <t>AM08</t>
        </is>
      </c>
      <c r="F9077" s="5" t="n">
        <v>289.3</v>
      </c>
      <c r="G9077">
        <f>IF(LEFT(B9077,1)="C","Credit","Factuur")</f>
        <v/>
      </c>
      <c r="H9077">
        <f>IF(AND(B9077=B9076,D9077=D9076,A9077=A9076,F9077=F9076),1,0)</f>
        <v/>
      </c>
      <c r="I9077">
        <f>IF(C9077="C99999",1,0)</f>
        <v/>
      </c>
      <c r="J9077" s="5">
        <f>IF(OR(H9077=1,I9077=1),0,IF(G9077="Credit",-F9077,F9077))</f>
        <v/>
      </c>
    </row>
    <row r="9078">
      <c r="A9078" t="inlineStr">
        <is>
          <t>2026-09-18</t>
        </is>
      </c>
      <c r="B9078" t="inlineStr">
        <is>
          <t>F285844</t>
        </is>
      </c>
      <c r="C9078" t="inlineStr">
        <is>
          <t>C11352</t>
        </is>
      </c>
      <c r="D9078" t="inlineStr">
        <is>
          <t>SKU-10125</t>
        </is>
      </c>
      <c r="E9078" t="inlineStr">
        <is>
          <t>AM08</t>
        </is>
      </c>
      <c r="F9078" s="5" t="n">
        <v>303.65</v>
      </c>
      <c r="G9078">
        <f>IF(LEFT(B9078,1)="C","Credit","Factuur")</f>
        <v/>
      </c>
      <c r="H9078">
        <f>IF(AND(B9078=B9077,D9078=D9077,A9078=A9077,F9078=F9077),1,0)</f>
        <v/>
      </c>
      <c r="I9078">
        <f>IF(C9078="C99999",1,0)</f>
        <v/>
      </c>
      <c r="J9078" s="5">
        <f>IF(OR(H9078=1,I9078=1),0,IF(G9078="Credit",-F9078,F9078))</f>
        <v/>
      </c>
    </row>
    <row r="9079">
      <c r="A9079" t="inlineStr">
        <is>
          <t>2026-09-18</t>
        </is>
      </c>
      <c r="B9079" t="inlineStr">
        <is>
          <t>F285887</t>
        </is>
      </c>
      <c r="C9079" t="inlineStr">
        <is>
          <t>C11354</t>
        </is>
      </c>
      <c r="D9079" t="inlineStr">
        <is>
          <t>SKU-10099</t>
        </is>
      </c>
      <c r="E9079" t="inlineStr">
        <is>
          <t>AM08</t>
        </is>
      </c>
      <c r="F9079" s="5" t="n">
        <v>698.88</v>
      </c>
      <c r="G9079">
        <f>IF(LEFT(B9079,1)="C","Credit","Factuur")</f>
        <v/>
      </c>
      <c r="H9079">
        <f>IF(AND(B9079=B9078,D9079=D9078,A9079=A9078,F9079=F9078),1,0)</f>
        <v/>
      </c>
      <c r="I9079">
        <f>IF(C9079="C99999",1,0)</f>
        <v/>
      </c>
      <c r="J9079" s="5">
        <f>IF(OR(H9079=1,I9079=1),0,IF(G9079="Credit",-F9079,F9079))</f>
        <v/>
      </c>
    </row>
    <row r="9080">
      <c r="A9080" t="inlineStr">
        <is>
          <t>2026-09-18</t>
        </is>
      </c>
      <c r="B9080" t="inlineStr">
        <is>
          <t>F285887</t>
        </is>
      </c>
      <c r="C9080" t="inlineStr">
        <is>
          <t>C11354</t>
        </is>
      </c>
      <c r="D9080" t="inlineStr">
        <is>
          <t>SKU-10157</t>
        </is>
      </c>
      <c r="E9080" t="inlineStr">
        <is>
          <t>AM08</t>
        </is>
      </c>
      <c r="F9080" s="5" t="n">
        <v>689.22</v>
      </c>
      <c r="G9080">
        <f>IF(LEFT(B9080,1)="C","Credit","Factuur")</f>
        <v/>
      </c>
      <c r="H9080">
        <f>IF(AND(B9080=B9079,D9080=D9079,A9080=A9079,F9080=F9079),1,0)</f>
        <v/>
      </c>
      <c r="I9080">
        <f>IF(C9080="C99999",1,0)</f>
        <v/>
      </c>
      <c r="J9080" s="5">
        <f>IF(OR(H9080=1,I9080=1),0,IF(G9080="Credit",-F9080,F9080))</f>
        <v/>
      </c>
    </row>
    <row r="9081">
      <c r="A9081" t="inlineStr">
        <is>
          <t>2026-09-18</t>
        </is>
      </c>
      <c r="B9081" t="inlineStr">
        <is>
          <t>F285887</t>
        </is>
      </c>
      <c r="C9081" t="inlineStr">
        <is>
          <t>C11354</t>
        </is>
      </c>
      <c r="D9081" t="inlineStr">
        <is>
          <t>SKU-10173</t>
        </is>
      </c>
      <c r="E9081" t="inlineStr">
        <is>
          <t>AM08</t>
        </is>
      </c>
      <c r="F9081" s="5" t="n">
        <v>653.6</v>
      </c>
      <c r="G9081">
        <f>IF(LEFT(B9081,1)="C","Credit","Factuur")</f>
        <v/>
      </c>
      <c r="H9081">
        <f>IF(AND(B9081=B9080,D9081=D9080,A9081=A9080,F9081=F9080),1,0)</f>
        <v/>
      </c>
      <c r="I9081">
        <f>IF(C9081="C99999",1,0)</f>
        <v/>
      </c>
      <c r="J9081" s="5">
        <f>IF(OR(H9081=1,I9081=1),0,IF(G9081="Credit",-F9081,F9081))</f>
        <v/>
      </c>
    </row>
    <row r="9082">
      <c r="A9082" t="inlineStr">
        <is>
          <t>2026-09-18</t>
        </is>
      </c>
      <c r="B9082" t="inlineStr">
        <is>
          <t>F285887</t>
        </is>
      </c>
      <c r="C9082" t="inlineStr">
        <is>
          <t>C11354</t>
        </is>
      </c>
      <c r="D9082" t="inlineStr">
        <is>
          <t>SKU-10287</t>
        </is>
      </c>
      <c r="E9082" t="inlineStr">
        <is>
          <t>AM08</t>
        </is>
      </c>
      <c r="F9082" s="5" t="n">
        <v>692.53</v>
      </c>
      <c r="G9082">
        <f>IF(LEFT(B9082,1)="C","Credit","Factuur")</f>
        <v/>
      </c>
      <c r="H9082">
        <f>IF(AND(B9082=B9081,D9082=D9081,A9082=A9081,F9082=F9081),1,0)</f>
        <v/>
      </c>
      <c r="I9082">
        <f>IF(C9082="C99999",1,0)</f>
        <v/>
      </c>
      <c r="J9082" s="5">
        <f>IF(OR(H9082=1,I9082=1),0,IF(G9082="Credit",-F9082,F9082))</f>
        <v/>
      </c>
    </row>
    <row r="9083">
      <c r="A9083" t="inlineStr">
        <is>
          <t>2026-09-18</t>
        </is>
      </c>
      <c r="B9083" t="inlineStr">
        <is>
          <t>F286124</t>
        </is>
      </c>
      <c r="C9083" t="inlineStr">
        <is>
          <t>C11365</t>
        </is>
      </c>
      <c r="D9083" t="inlineStr">
        <is>
          <t>SKU-10171</t>
        </is>
      </c>
      <c r="E9083" t="inlineStr"/>
      <c r="F9083" s="5" t="n">
        <v>229.59</v>
      </c>
      <c r="G9083">
        <f>IF(LEFT(B9083,1)="C","Credit","Factuur")</f>
        <v/>
      </c>
      <c r="H9083">
        <f>IF(AND(B9083=B9082,D9083=D9082,A9083=A9082,F9083=F9082),1,0)</f>
        <v/>
      </c>
      <c r="I9083">
        <f>IF(C9083="C99999",1,0)</f>
        <v/>
      </c>
      <c r="J9083" s="5">
        <f>IF(OR(H9083=1,I9083=1),0,IF(G9083="Credit",-F9083,F9083))</f>
        <v/>
      </c>
    </row>
    <row r="9084">
      <c r="A9084" t="inlineStr">
        <is>
          <t>2026-09-18</t>
        </is>
      </c>
      <c r="B9084" t="inlineStr">
        <is>
          <t>F286124</t>
        </is>
      </c>
      <c r="C9084" t="inlineStr">
        <is>
          <t>C11365</t>
        </is>
      </c>
      <c r="D9084" t="inlineStr">
        <is>
          <t>SKU-10203</t>
        </is>
      </c>
      <c r="E9084" t="inlineStr">
        <is>
          <t>AM09</t>
        </is>
      </c>
      <c r="F9084" s="5" t="n">
        <v>200.61</v>
      </c>
      <c r="G9084">
        <f>IF(LEFT(B9084,1)="C","Credit","Factuur")</f>
        <v/>
      </c>
      <c r="H9084">
        <f>IF(AND(B9084=B9083,D9084=D9083,A9084=A9083,F9084=F9083),1,0)</f>
        <v/>
      </c>
      <c r="I9084">
        <f>IF(C9084="C99999",1,0)</f>
        <v/>
      </c>
      <c r="J9084" s="5">
        <f>IF(OR(H9084=1,I9084=1),0,IF(G9084="Credit",-F9084,F9084))</f>
        <v/>
      </c>
    </row>
    <row r="9085">
      <c r="A9085" t="inlineStr">
        <is>
          <t>2026-09-18</t>
        </is>
      </c>
      <c r="B9085" t="inlineStr">
        <is>
          <t>F286124</t>
        </is>
      </c>
      <c r="C9085" t="inlineStr">
        <is>
          <t>C11365</t>
        </is>
      </c>
      <c r="D9085" t="inlineStr">
        <is>
          <t>SKU-10335</t>
        </is>
      </c>
      <c r="E9085" t="inlineStr">
        <is>
          <t>AM09</t>
        </is>
      </c>
      <c r="F9085" s="5" t="n">
        <v>223.52</v>
      </c>
      <c r="G9085">
        <f>IF(LEFT(B9085,1)="C","Credit","Factuur")</f>
        <v/>
      </c>
      <c r="H9085">
        <f>IF(AND(B9085=B9084,D9085=D9084,A9085=A9084,F9085=F9084),1,0)</f>
        <v/>
      </c>
      <c r="I9085">
        <f>IF(C9085="C99999",1,0)</f>
        <v/>
      </c>
      <c r="J9085" s="5">
        <f>IF(OR(H9085=1,I9085=1),0,IF(G9085="Credit",-F9085,F9085))</f>
        <v/>
      </c>
    </row>
    <row r="9086">
      <c r="A9086" t="inlineStr">
        <is>
          <t>2026-09-18</t>
        </is>
      </c>
      <c r="B9086" t="inlineStr">
        <is>
          <t>F286124</t>
        </is>
      </c>
      <c r="C9086" t="inlineStr">
        <is>
          <t>C11365</t>
        </is>
      </c>
      <c r="D9086" t="inlineStr">
        <is>
          <t>SKU-10337</t>
        </is>
      </c>
      <c r="E9086" t="inlineStr">
        <is>
          <t>AM09</t>
        </is>
      </c>
      <c r="F9086" s="5" t="n">
        <v>239.2</v>
      </c>
      <c r="G9086">
        <f>IF(LEFT(B9086,1)="C","Credit","Factuur")</f>
        <v/>
      </c>
      <c r="H9086">
        <f>IF(AND(B9086=B9085,D9086=D9085,A9086=A9085,F9086=F9085),1,0)</f>
        <v/>
      </c>
      <c r="I9086">
        <f>IF(C9086="C99999",1,0)</f>
        <v/>
      </c>
      <c r="J9086" s="5">
        <f>IF(OR(H9086=1,I9086=1),0,IF(G9086="Credit",-F9086,F9086))</f>
        <v/>
      </c>
    </row>
    <row r="9087">
      <c r="A9087" t="inlineStr">
        <is>
          <t>2026-09-19</t>
        </is>
      </c>
      <c r="B9087" t="inlineStr">
        <is>
          <t>C900577</t>
        </is>
      </c>
      <c r="C9087" t="inlineStr">
        <is>
          <t>C11226</t>
        </is>
      </c>
      <c r="D9087" t="inlineStr">
        <is>
          <t>SKU-10238</t>
        </is>
      </c>
      <c r="E9087" t="inlineStr">
        <is>
          <t>AM07</t>
        </is>
      </c>
      <c r="F9087" s="5" t="n">
        <v>166.25</v>
      </c>
      <c r="G9087">
        <f>IF(LEFT(B9087,1)="C","Credit","Factuur")</f>
        <v/>
      </c>
      <c r="H9087">
        <f>IF(AND(B9087=B9086,D9087=D9086,A9087=A9086,F9087=F9086),1,0)</f>
        <v/>
      </c>
      <c r="I9087">
        <f>IF(C9087="C99999",1,0)</f>
        <v/>
      </c>
      <c r="J9087" s="5">
        <f>IF(OR(H9087=1,I9087=1),0,IF(G9087="Credit",-F9087,F9087))</f>
        <v/>
      </c>
    </row>
    <row r="9088">
      <c r="A9088" t="inlineStr">
        <is>
          <t>2026-09-19</t>
        </is>
      </c>
      <c r="B9088" t="inlineStr">
        <is>
          <t>C900705</t>
        </is>
      </c>
      <c r="C9088" t="inlineStr">
        <is>
          <t>C10131</t>
        </is>
      </c>
      <c r="D9088" t="inlineStr">
        <is>
          <t>SKU-10157</t>
        </is>
      </c>
      <c r="E9088" t="inlineStr">
        <is>
          <t>AM11</t>
        </is>
      </c>
      <c r="F9088" s="5" t="n">
        <v>27.9</v>
      </c>
      <c r="G9088">
        <f>IF(LEFT(B9088,1)="C","Credit","Factuur")</f>
        <v/>
      </c>
      <c r="H9088">
        <f>IF(AND(B9088=B9087,D9088=D9087,A9088=A9087,F9088=F9087),1,0)</f>
        <v/>
      </c>
      <c r="I9088">
        <f>IF(C9088="C99999",1,0)</f>
        <v/>
      </c>
      <c r="J9088" s="5">
        <f>IF(OR(H9088=1,I9088=1),0,IF(G9088="Credit",-F9088,F9088))</f>
        <v/>
      </c>
    </row>
    <row r="9089">
      <c r="A9089" t="inlineStr">
        <is>
          <t>2026-09-19</t>
        </is>
      </c>
      <c r="B9089" t="inlineStr">
        <is>
          <t>C900934</t>
        </is>
      </c>
      <c r="C9089" t="inlineStr">
        <is>
          <t>C10629</t>
        </is>
      </c>
      <c r="D9089" t="inlineStr">
        <is>
          <t>SKU-10342</t>
        </is>
      </c>
      <c r="E9089" t="inlineStr">
        <is>
          <t>AM12</t>
        </is>
      </c>
      <c r="F9089" s="5" t="n">
        <v>135.52</v>
      </c>
      <c r="G9089">
        <f>IF(LEFT(B9089,1)="C","Credit","Factuur")</f>
        <v/>
      </c>
      <c r="H9089">
        <f>IF(AND(B9089=B9088,D9089=D9088,A9089=A9088,F9089=F9088),1,0)</f>
        <v/>
      </c>
      <c r="I9089">
        <f>IF(C9089="C99999",1,0)</f>
        <v/>
      </c>
      <c r="J9089" s="5">
        <f>IF(OR(H9089=1,I9089=1),0,IF(G9089="Credit",-F9089,F9089))</f>
        <v/>
      </c>
    </row>
    <row r="9090">
      <c r="A9090" t="inlineStr">
        <is>
          <t>2026-09-19</t>
        </is>
      </c>
      <c r="B9090" t="inlineStr">
        <is>
          <t>C901207</t>
        </is>
      </c>
      <c r="C9090" t="inlineStr">
        <is>
          <t>C11129</t>
        </is>
      </c>
      <c r="D9090" t="inlineStr">
        <is>
          <t>SKU-10085</t>
        </is>
      </c>
      <c r="E9090" t="inlineStr">
        <is>
          <t>AM01</t>
        </is>
      </c>
      <c r="F9090" s="5" t="n">
        <v>1788.4</v>
      </c>
      <c r="G9090">
        <f>IF(LEFT(B9090,1)="C","Credit","Factuur")</f>
        <v/>
      </c>
      <c r="H9090">
        <f>IF(AND(B9090=B9089,D9090=D9089,A9090=A9089,F9090=F9089),1,0)</f>
        <v/>
      </c>
      <c r="I9090">
        <f>IF(C9090="C99999",1,0)</f>
        <v/>
      </c>
      <c r="J9090" s="5">
        <f>IF(OR(H9090=1,I9090=1),0,IF(G9090="Credit",-F9090,F9090))</f>
        <v/>
      </c>
    </row>
    <row r="9091">
      <c r="A9091" t="inlineStr">
        <is>
          <t>2026-09-20</t>
        </is>
      </c>
      <c r="B9091" t="inlineStr">
        <is>
          <t>C902041</t>
        </is>
      </c>
      <c r="C9091" t="inlineStr">
        <is>
          <t>C10942</t>
        </is>
      </c>
      <c r="D9091" t="inlineStr">
        <is>
          <t>SKU-10148</t>
        </is>
      </c>
      <c r="E9091" t="inlineStr">
        <is>
          <t>AM08</t>
        </is>
      </c>
      <c r="F9091" s="5" t="n">
        <v>89.37</v>
      </c>
      <c r="G9091">
        <f>IF(LEFT(B9091,1)="C","Credit","Factuur")</f>
        <v/>
      </c>
      <c r="H9091">
        <f>IF(AND(B9091=B9090,D9091=D9090,A9091=A9090,F9091=F9090),1,0)</f>
        <v/>
      </c>
      <c r="I9091">
        <f>IF(C9091="C99999",1,0)</f>
        <v/>
      </c>
      <c r="J9091" s="5">
        <f>IF(OR(H9091=1,I9091=1),0,IF(G9091="Credit",-F9091,F9091))</f>
        <v/>
      </c>
    </row>
    <row r="9092">
      <c r="A9092" t="inlineStr">
        <is>
          <t>2026-09-20</t>
        </is>
      </c>
      <c r="B9092" t="inlineStr">
        <is>
          <t>C902066</t>
        </is>
      </c>
      <c r="C9092" t="inlineStr">
        <is>
          <t>C10181</t>
        </is>
      </c>
      <c r="D9092" t="inlineStr">
        <is>
          <t>SKU-10273</t>
        </is>
      </c>
      <c r="E9092" t="inlineStr">
        <is>
          <t>AM02</t>
        </is>
      </c>
      <c r="F9092" s="5" t="n">
        <v>64.23999999999999</v>
      </c>
      <c r="G9092">
        <f>IF(LEFT(B9092,1)="C","Credit","Factuur")</f>
        <v/>
      </c>
      <c r="H9092">
        <f>IF(AND(B9092=B9091,D9092=D9091,A9092=A9091,F9092=F9091),1,0)</f>
        <v/>
      </c>
      <c r="I9092">
        <f>IF(C9092="C99999",1,0)</f>
        <v/>
      </c>
      <c r="J9092" s="5">
        <f>IF(OR(H9092=1,I9092=1),0,IF(G9092="Credit",-F9092,F9092))</f>
        <v/>
      </c>
    </row>
    <row r="9093">
      <c r="A9093" t="inlineStr">
        <is>
          <t>2026-09-21</t>
        </is>
      </c>
      <c r="B9093" t="inlineStr">
        <is>
          <t>C900519</t>
        </is>
      </c>
      <c r="C9093" t="inlineStr">
        <is>
          <t>C10549</t>
        </is>
      </c>
      <c r="D9093" t="inlineStr">
        <is>
          <t>SKU-10116</t>
        </is>
      </c>
      <c r="E9093" t="inlineStr">
        <is>
          <t>AM08</t>
        </is>
      </c>
      <c r="F9093" s="5" t="n">
        <v>846.3</v>
      </c>
      <c r="G9093">
        <f>IF(LEFT(B9093,1)="C","Credit","Factuur")</f>
        <v/>
      </c>
      <c r="H9093">
        <f>IF(AND(B9093=B9092,D9093=D9092,A9093=A9092,F9093=F9092),1,0)</f>
        <v/>
      </c>
      <c r="I9093">
        <f>IF(C9093="C99999",1,0)</f>
        <v/>
      </c>
      <c r="J9093" s="5">
        <f>IF(OR(H9093=1,I9093=1),0,IF(G9093="Credit",-F9093,F9093))</f>
        <v/>
      </c>
    </row>
    <row r="9094">
      <c r="A9094" t="inlineStr">
        <is>
          <t>2026-09-21</t>
        </is>
      </c>
      <c r="B9094" t="inlineStr">
        <is>
          <t>C900961</t>
        </is>
      </c>
      <c r="C9094" t="inlineStr">
        <is>
          <t>C10252</t>
        </is>
      </c>
      <c r="D9094" t="inlineStr">
        <is>
          <t>SKU-10083</t>
        </is>
      </c>
      <c r="E9094" t="inlineStr">
        <is>
          <t>AM09</t>
        </is>
      </c>
      <c r="F9094" s="5" t="n">
        <v>2125.73</v>
      </c>
      <c r="G9094">
        <f>IF(LEFT(B9094,1)="C","Credit","Factuur")</f>
        <v/>
      </c>
      <c r="H9094">
        <f>IF(AND(B9094=B9093,D9094=D9093,A9094=A9093,F9094=F9093),1,0)</f>
        <v/>
      </c>
      <c r="I9094">
        <f>IF(C9094="C99999",1,0)</f>
        <v/>
      </c>
      <c r="J9094" s="5">
        <f>IF(OR(H9094=1,I9094=1),0,IF(G9094="Credit",-F9094,F9094))</f>
        <v/>
      </c>
    </row>
    <row r="9095">
      <c r="A9095" t="inlineStr">
        <is>
          <t>2026-09-21</t>
        </is>
      </c>
      <c r="B9095" t="inlineStr">
        <is>
          <t>C901157</t>
        </is>
      </c>
      <c r="C9095" t="inlineStr">
        <is>
          <t>C10138</t>
        </is>
      </c>
      <c r="D9095" t="inlineStr">
        <is>
          <t>SKU-10043</t>
        </is>
      </c>
      <c r="E9095" t="inlineStr">
        <is>
          <t>AM07</t>
        </is>
      </c>
      <c r="F9095" s="5" t="n">
        <v>215.48</v>
      </c>
      <c r="G9095">
        <f>IF(LEFT(B9095,1)="C","Credit","Factuur")</f>
        <v/>
      </c>
      <c r="H9095">
        <f>IF(AND(B9095=B9094,D9095=D9094,A9095=A9094,F9095=F9094),1,0)</f>
        <v/>
      </c>
      <c r="I9095">
        <f>IF(C9095="C99999",1,0)</f>
        <v/>
      </c>
      <c r="J9095" s="5">
        <f>IF(OR(H9095=1,I9095=1),0,IF(G9095="Credit",-F9095,F9095))</f>
        <v/>
      </c>
    </row>
    <row r="9096">
      <c r="A9096" t="inlineStr">
        <is>
          <t>2026-09-21</t>
        </is>
      </c>
      <c r="B9096" t="inlineStr">
        <is>
          <t>C901200</t>
        </is>
      </c>
      <c r="C9096" t="inlineStr">
        <is>
          <t>C11081</t>
        </is>
      </c>
      <c r="D9096" t="inlineStr">
        <is>
          <t>SKU-10142</t>
        </is>
      </c>
      <c r="E9096" t="inlineStr">
        <is>
          <t>AM05</t>
        </is>
      </c>
      <c r="F9096" s="5" t="n">
        <v>579.6799999999999</v>
      </c>
      <c r="G9096">
        <f>IF(LEFT(B9096,1)="C","Credit","Factuur")</f>
        <v/>
      </c>
      <c r="H9096">
        <f>IF(AND(B9096=B9095,D9096=D9095,A9096=A9095,F9096=F9095),1,0)</f>
        <v/>
      </c>
      <c r="I9096">
        <f>IF(C9096="C99999",1,0)</f>
        <v/>
      </c>
      <c r="J9096" s="5">
        <f>IF(OR(H9096=1,I9096=1),0,IF(G9096="Credit",-F9096,F9096))</f>
        <v/>
      </c>
    </row>
    <row r="9097">
      <c r="A9097" t="inlineStr">
        <is>
          <t>2026-09-21</t>
        </is>
      </c>
      <c r="B9097" t="inlineStr">
        <is>
          <t>F260356</t>
        </is>
      </c>
      <c r="C9097" t="inlineStr">
        <is>
          <t>C10021</t>
        </is>
      </c>
      <c r="D9097" t="inlineStr">
        <is>
          <t>SKU-10133</t>
        </is>
      </c>
      <c r="E9097" t="inlineStr"/>
      <c r="F9097" s="5" t="n">
        <v>529.36</v>
      </c>
      <c r="G9097">
        <f>IF(LEFT(B9097,1)="C","Credit","Factuur")</f>
        <v/>
      </c>
      <c r="H9097">
        <f>IF(AND(B9097=B9096,D9097=D9096,A9097=A9096,F9097=F9096),1,0)</f>
        <v/>
      </c>
      <c r="I9097">
        <f>IF(C9097="C99999",1,0)</f>
        <v/>
      </c>
      <c r="J9097" s="5">
        <f>IF(OR(H9097=1,I9097=1),0,IF(G9097="Credit",-F9097,F9097))</f>
        <v/>
      </c>
    </row>
    <row r="9098">
      <c r="A9098" t="inlineStr">
        <is>
          <t>2026-09-21</t>
        </is>
      </c>
      <c r="B9098" t="inlineStr">
        <is>
          <t>F260356</t>
        </is>
      </c>
      <c r="C9098" t="inlineStr">
        <is>
          <t>C10021</t>
        </is>
      </c>
      <c r="D9098" t="inlineStr">
        <is>
          <t>SKU-10284</t>
        </is>
      </c>
      <c r="E9098" t="inlineStr">
        <is>
          <t>AM07</t>
        </is>
      </c>
      <c r="F9098" s="5" t="n">
        <v>561.99</v>
      </c>
      <c r="G9098">
        <f>IF(LEFT(B9098,1)="C","Credit","Factuur")</f>
        <v/>
      </c>
      <c r="H9098">
        <f>IF(AND(B9098=B9097,D9098=D9097,A9098=A9097,F9098=F9097),1,0)</f>
        <v/>
      </c>
      <c r="I9098">
        <f>IF(C9098="C99999",1,0)</f>
        <v/>
      </c>
      <c r="J9098" s="5">
        <f>IF(OR(H9098=1,I9098=1),0,IF(G9098="Credit",-F9098,F9098))</f>
        <v/>
      </c>
    </row>
    <row r="9099">
      <c r="A9099" t="inlineStr">
        <is>
          <t>2026-09-21</t>
        </is>
      </c>
      <c r="B9099" t="inlineStr">
        <is>
          <t>F260356</t>
        </is>
      </c>
      <c r="C9099" t="inlineStr">
        <is>
          <t>C10021</t>
        </is>
      </c>
      <c r="D9099" t="inlineStr">
        <is>
          <t>SKU-10373</t>
        </is>
      </c>
      <c r="E9099" t="inlineStr">
        <is>
          <t>AM07</t>
        </is>
      </c>
      <c r="F9099" s="5" t="n">
        <v>646.34</v>
      </c>
      <c r="G9099">
        <f>IF(LEFT(B9099,1)="C","Credit","Factuur")</f>
        <v/>
      </c>
      <c r="H9099">
        <f>IF(AND(B9099=B9098,D9099=D9098,A9099=A9098,F9099=F9098),1,0)</f>
        <v/>
      </c>
      <c r="I9099">
        <f>IF(C9099="C99999",1,0)</f>
        <v/>
      </c>
      <c r="J9099" s="5">
        <f>IF(OR(H9099=1,I9099=1),0,IF(G9099="Credit",-F9099,F9099))</f>
        <v/>
      </c>
    </row>
    <row r="9100">
      <c r="A9100" t="inlineStr">
        <is>
          <t>2026-09-21</t>
        </is>
      </c>
      <c r="B9100" t="inlineStr">
        <is>
          <t>F261135</t>
        </is>
      </c>
      <c r="C9100" t="inlineStr">
        <is>
          <t>C10064</t>
        </is>
      </c>
      <c r="D9100" t="inlineStr">
        <is>
          <t>SKU-10263</t>
        </is>
      </c>
      <c r="E9100" t="inlineStr">
        <is>
          <t>AM07</t>
        </is>
      </c>
      <c r="F9100" s="5" t="n">
        <v>653.77</v>
      </c>
      <c r="G9100">
        <f>IF(LEFT(B9100,1)="C","Credit","Factuur")</f>
        <v/>
      </c>
      <c r="H9100">
        <f>IF(AND(B9100=B9099,D9100=D9099,A9100=A9099,F9100=F9099),1,0)</f>
        <v/>
      </c>
      <c r="I9100">
        <f>IF(C9100="C99999",1,0)</f>
        <v/>
      </c>
      <c r="J9100" s="5">
        <f>IF(OR(H9100=1,I9100=1),0,IF(G9100="Credit",-F9100,F9100))</f>
        <v/>
      </c>
    </row>
    <row r="9101">
      <c r="A9101" t="inlineStr">
        <is>
          <t>2026-09-21</t>
        </is>
      </c>
      <c r="B9101" t="inlineStr">
        <is>
          <t>F261592</t>
        </is>
      </c>
      <c r="C9101" t="inlineStr">
        <is>
          <t>C10084</t>
        </is>
      </c>
      <c r="D9101" t="inlineStr">
        <is>
          <t>SKU-10003</t>
        </is>
      </c>
      <c r="E9101" t="inlineStr">
        <is>
          <t>AM02</t>
        </is>
      </c>
      <c r="F9101" s="5" t="n">
        <v>303.05</v>
      </c>
      <c r="G9101">
        <f>IF(LEFT(B9101,1)="C","Credit","Factuur")</f>
        <v/>
      </c>
      <c r="H9101">
        <f>IF(AND(B9101=B9100,D9101=D9100,A9101=A9100,F9101=F9100),1,0)</f>
        <v/>
      </c>
      <c r="I9101">
        <f>IF(C9101="C99999",1,0)</f>
        <v/>
      </c>
      <c r="J9101" s="5">
        <f>IF(OR(H9101=1,I9101=1),0,IF(G9101="Credit",-F9101,F9101))</f>
        <v/>
      </c>
    </row>
    <row r="9102">
      <c r="A9102" t="inlineStr">
        <is>
          <t>2026-09-21</t>
        </is>
      </c>
      <c r="B9102" t="inlineStr">
        <is>
          <t>F261592</t>
        </is>
      </c>
      <c r="C9102" t="inlineStr">
        <is>
          <t>C10084</t>
        </is>
      </c>
      <c r="D9102" t="inlineStr">
        <is>
          <t>SKU-10157</t>
        </is>
      </c>
      <c r="E9102" t="inlineStr">
        <is>
          <t>AM02</t>
        </is>
      </c>
      <c r="F9102" s="5" t="n">
        <v>291</v>
      </c>
      <c r="G9102">
        <f>IF(LEFT(B9102,1)="C","Credit","Factuur")</f>
        <v/>
      </c>
      <c r="H9102">
        <f>IF(AND(B9102=B9101,D9102=D9101,A9102=A9101,F9102=F9101),1,0)</f>
        <v/>
      </c>
      <c r="I9102">
        <f>IF(C9102="C99999",1,0)</f>
        <v/>
      </c>
      <c r="J9102" s="5">
        <f>IF(OR(H9102=1,I9102=1),0,IF(G9102="Credit",-F9102,F9102))</f>
        <v/>
      </c>
    </row>
    <row r="9103">
      <c r="A9103" t="inlineStr">
        <is>
          <t>2026-09-21</t>
        </is>
      </c>
      <c r="B9103" t="inlineStr">
        <is>
          <t>F263373</t>
        </is>
      </c>
      <c r="C9103" t="inlineStr">
        <is>
          <t>C10179</t>
        </is>
      </c>
      <c r="D9103" t="inlineStr">
        <is>
          <t>SKU-10153</t>
        </is>
      </c>
      <c r="E9103" t="inlineStr">
        <is>
          <t>AM02</t>
        </is>
      </c>
      <c r="F9103" s="5" t="n">
        <v>323.71</v>
      </c>
      <c r="G9103">
        <f>IF(LEFT(B9103,1)="C","Credit","Factuur")</f>
        <v/>
      </c>
      <c r="H9103">
        <f>IF(AND(B9103=B9102,D9103=D9102,A9103=A9102,F9103=F9102),1,0)</f>
        <v/>
      </c>
      <c r="I9103">
        <f>IF(C9103="C99999",1,0)</f>
        <v/>
      </c>
      <c r="J9103" s="5">
        <f>IF(OR(H9103=1,I9103=1),0,IF(G9103="Credit",-F9103,F9103))</f>
        <v/>
      </c>
    </row>
    <row r="9104">
      <c r="A9104" t="inlineStr">
        <is>
          <t>2026-09-21</t>
        </is>
      </c>
      <c r="B9104" t="inlineStr">
        <is>
          <t>F263373</t>
        </is>
      </c>
      <c r="C9104" t="inlineStr">
        <is>
          <t>C10179</t>
        </is>
      </c>
      <c r="D9104" t="inlineStr">
        <is>
          <t>SKU-10250</t>
        </is>
      </c>
      <c r="E9104" t="inlineStr">
        <is>
          <t>AM02</t>
        </is>
      </c>
      <c r="F9104" s="5" t="n">
        <v>316.01</v>
      </c>
      <c r="G9104">
        <f>IF(LEFT(B9104,1)="C","Credit","Factuur")</f>
        <v/>
      </c>
      <c r="H9104">
        <f>IF(AND(B9104=B9103,D9104=D9103,A9104=A9103,F9104=F9103),1,0)</f>
        <v/>
      </c>
      <c r="I9104">
        <f>IF(C9104="C99999",1,0)</f>
        <v/>
      </c>
      <c r="J9104" s="5">
        <f>IF(OR(H9104=1,I9104=1),0,IF(G9104="Credit",-F9104,F9104))</f>
        <v/>
      </c>
    </row>
    <row r="9105">
      <c r="A9105" t="inlineStr">
        <is>
          <t>2026-09-21</t>
        </is>
      </c>
      <c r="B9105" t="inlineStr">
        <is>
          <t>F263373</t>
        </is>
      </c>
      <c r="C9105" t="inlineStr">
        <is>
          <t>C10179</t>
        </is>
      </c>
      <c r="D9105" t="inlineStr">
        <is>
          <t>SKU-10259</t>
        </is>
      </c>
      <c r="E9105" t="inlineStr">
        <is>
          <t>AM02</t>
        </is>
      </c>
      <c r="F9105" s="5" t="n">
        <v>307.72</v>
      </c>
      <c r="G9105">
        <f>IF(LEFT(B9105,1)="C","Credit","Factuur")</f>
        <v/>
      </c>
      <c r="H9105">
        <f>IF(AND(B9105=B9104,D9105=D9104,A9105=A9104,F9105=F9104),1,0)</f>
        <v/>
      </c>
      <c r="I9105">
        <f>IF(C9105="C99999",1,0)</f>
        <v/>
      </c>
      <c r="J9105" s="5">
        <f>IF(OR(H9105=1,I9105=1),0,IF(G9105="Credit",-F9105,F9105))</f>
        <v/>
      </c>
    </row>
    <row r="9106">
      <c r="A9106" t="inlineStr">
        <is>
          <t>2026-09-21</t>
        </is>
      </c>
      <c r="B9106" t="inlineStr">
        <is>
          <t>F263373</t>
        </is>
      </c>
      <c r="C9106" t="inlineStr">
        <is>
          <t>C10179</t>
        </is>
      </c>
      <c r="D9106" t="inlineStr">
        <is>
          <t>SKU-10305</t>
        </is>
      </c>
      <c r="E9106" t="inlineStr"/>
      <c r="F9106" s="5" t="n">
        <v>324.23</v>
      </c>
      <c r="G9106">
        <f>IF(LEFT(B9106,1)="C","Credit","Factuur")</f>
        <v/>
      </c>
      <c r="H9106">
        <f>IF(AND(B9106=B9105,D9106=D9105,A9106=A9105,F9106=F9105),1,0)</f>
        <v/>
      </c>
      <c r="I9106">
        <f>IF(C9106="C99999",1,0)</f>
        <v/>
      </c>
      <c r="J9106" s="5">
        <f>IF(OR(H9106=1,I9106=1),0,IF(G9106="Credit",-F9106,F9106))</f>
        <v/>
      </c>
    </row>
    <row r="9107">
      <c r="A9107" t="inlineStr">
        <is>
          <t>2026-09-21</t>
        </is>
      </c>
      <c r="B9107" t="inlineStr">
        <is>
          <t>F263781</t>
        </is>
      </c>
      <c r="C9107" t="inlineStr">
        <is>
          <t>C10200</t>
        </is>
      </c>
      <c r="D9107" t="inlineStr">
        <is>
          <t>SKU-10093</t>
        </is>
      </c>
      <c r="E9107" t="inlineStr">
        <is>
          <t>AM01</t>
        </is>
      </c>
      <c r="F9107" s="5" t="n">
        <v>387.56</v>
      </c>
      <c r="G9107">
        <f>IF(LEFT(B9107,1)="C","Credit","Factuur")</f>
        <v/>
      </c>
      <c r="H9107">
        <f>IF(AND(B9107=B9106,D9107=D9106,A9107=A9106,F9107=F9106),1,0)</f>
        <v/>
      </c>
      <c r="I9107">
        <f>IF(C9107="C99999",1,0)</f>
        <v/>
      </c>
      <c r="J9107" s="5">
        <f>IF(OR(H9107=1,I9107=1),0,IF(G9107="Credit",-F9107,F9107))</f>
        <v/>
      </c>
    </row>
    <row r="9108">
      <c r="A9108" t="inlineStr">
        <is>
          <t>2026-09-21</t>
        </is>
      </c>
      <c r="B9108" t="inlineStr">
        <is>
          <t>F263781</t>
        </is>
      </c>
      <c r="C9108" t="inlineStr">
        <is>
          <t>C10200</t>
        </is>
      </c>
      <c r="D9108" t="inlineStr">
        <is>
          <t>SKU-10283</t>
        </is>
      </c>
      <c r="E9108" t="inlineStr">
        <is>
          <t>AM01</t>
        </is>
      </c>
      <c r="F9108" s="5" t="n">
        <v>374.11</v>
      </c>
      <c r="G9108">
        <f>IF(LEFT(B9108,1)="C","Credit","Factuur")</f>
        <v/>
      </c>
      <c r="H9108">
        <f>IF(AND(B9108=B9107,D9108=D9107,A9108=A9107,F9108=F9107),1,0)</f>
        <v/>
      </c>
      <c r="I9108">
        <f>IF(C9108="C99999",1,0)</f>
        <v/>
      </c>
      <c r="J9108" s="5">
        <f>IF(OR(H9108=1,I9108=1),0,IF(G9108="Credit",-F9108,F9108))</f>
        <v/>
      </c>
    </row>
    <row r="9109">
      <c r="A9109" t="inlineStr">
        <is>
          <t>2026-09-21</t>
        </is>
      </c>
      <c r="B9109" t="inlineStr">
        <is>
          <t>F263781</t>
        </is>
      </c>
      <c r="C9109" t="inlineStr">
        <is>
          <t>C10200</t>
        </is>
      </c>
      <c r="D9109" t="inlineStr">
        <is>
          <t>SKU-10337</t>
        </is>
      </c>
      <c r="E9109" t="inlineStr">
        <is>
          <t>AM01</t>
        </is>
      </c>
      <c r="F9109" s="5" t="n">
        <v>340.86</v>
      </c>
      <c r="G9109">
        <f>IF(LEFT(B9109,1)="C","Credit","Factuur")</f>
        <v/>
      </c>
      <c r="H9109">
        <f>IF(AND(B9109=B9108,D9109=D9108,A9109=A9108,F9109=F9108),1,0)</f>
        <v/>
      </c>
      <c r="I9109">
        <f>IF(C9109="C99999",1,0)</f>
        <v/>
      </c>
      <c r="J9109" s="5">
        <f>IF(OR(H9109=1,I9109=1),0,IF(G9109="Credit",-F9109,F9109))</f>
        <v/>
      </c>
    </row>
    <row r="9110">
      <c r="A9110" t="inlineStr">
        <is>
          <t>2026-09-21</t>
        </is>
      </c>
      <c r="B9110" t="inlineStr">
        <is>
          <t>F264888</t>
        </is>
      </c>
      <c r="C9110" t="inlineStr">
        <is>
          <t>C10254</t>
        </is>
      </c>
      <c r="D9110" t="inlineStr">
        <is>
          <t>SKU-10036</t>
        </is>
      </c>
      <c r="E9110" t="inlineStr">
        <is>
          <t>AM01</t>
        </is>
      </c>
      <c r="F9110" s="5" t="n">
        <v>126.4</v>
      </c>
      <c r="G9110">
        <f>IF(LEFT(B9110,1)="C","Credit","Factuur")</f>
        <v/>
      </c>
      <c r="H9110">
        <f>IF(AND(B9110=B9109,D9110=D9109,A9110=A9109,F9110=F9109),1,0)</f>
        <v/>
      </c>
      <c r="I9110">
        <f>IF(C9110="C99999",1,0)</f>
        <v/>
      </c>
      <c r="J9110" s="5">
        <f>IF(OR(H9110=1,I9110=1),0,IF(G9110="Credit",-F9110,F9110))</f>
        <v/>
      </c>
    </row>
    <row r="9111">
      <c r="A9111" t="inlineStr">
        <is>
          <t>2026-09-21</t>
        </is>
      </c>
      <c r="B9111" t="inlineStr">
        <is>
          <t>F264888</t>
        </is>
      </c>
      <c r="C9111" t="inlineStr">
        <is>
          <t>C10254</t>
        </is>
      </c>
      <c r="D9111" t="inlineStr">
        <is>
          <t>SKU-10323</t>
        </is>
      </c>
      <c r="E9111" t="inlineStr">
        <is>
          <t>AM01</t>
        </is>
      </c>
      <c r="F9111" s="5" t="n">
        <v>134.14</v>
      </c>
      <c r="G9111">
        <f>IF(LEFT(B9111,1)="C","Credit","Factuur")</f>
        <v/>
      </c>
      <c r="H9111">
        <f>IF(AND(B9111=B9110,D9111=D9110,A9111=A9110,F9111=F9110),1,0)</f>
        <v/>
      </c>
      <c r="I9111">
        <f>IF(C9111="C99999",1,0)</f>
        <v/>
      </c>
      <c r="J9111" s="5">
        <f>IF(OR(H9111=1,I9111=1),0,IF(G9111="Credit",-F9111,F9111))</f>
        <v/>
      </c>
    </row>
    <row r="9112">
      <c r="A9112" t="inlineStr">
        <is>
          <t>2026-09-21</t>
        </is>
      </c>
      <c r="B9112" t="inlineStr">
        <is>
          <t>F264888</t>
        </is>
      </c>
      <c r="C9112" t="inlineStr">
        <is>
          <t>C10254</t>
        </is>
      </c>
      <c r="D9112" t="inlineStr">
        <is>
          <t>SKU-10357</t>
        </is>
      </c>
      <c r="E9112" t="inlineStr">
        <is>
          <t>AM01</t>
        </is>
      </c>
      <c r="F9112" s="5" t="n">
        <v>121.48</v>
      </c>
      <c r="G9112">
        <f>IF(LEFT(B9112,1)="C","Credit","Factuur")</f>
        <v/>
      </c>
      <c r="H9112">
        <f>IF(AND(B9112=B9111,D9112=D9111,A9112=A9111,F9112=F9111),1,0)</f>
        <v/>
      </c>
      <c r="I9112">
        <f>IF(C9112="C99999",1,0)</f>
        <v/>
      </c>
      <c r="J9112" s="5">
        <f>IF(OR(H9112=1,I9112=1),0,IF(G9112="Credit",-F9112,F9112))</f>
        <v/>
      </c>
    </row>
    <row r="9113">
      <c r="A9113" t="inlineStr">
        <is>
          <t>2026-09-21</t>
        </is>
      </c>
      <c r="B9113" t="inlineStr">
        <is>
          <t>F265003</t>
        </is>
      </c>
      <c r="C9113" t="inlineStr">
        <is>
          <t>C10262</t>
        </is>
      </c>
      <c r="D9113" t="inlineStr">
        <is>
          <t>SKU-10065</t>
        </is>
      </c>
      <c r="E9113" t="inlineStr">
        <is>
          <t>AM06</t>
        </is>
      </c>
      <c r="F9113" s="5" t="n">
        <v>2354.73</v>
      </c>
      <c r="G9113">
        <f>IF(LEFT(B9113,1)="C","Credit","Factuur")</f>
        <v/>
      </c>
      <c r="H9113">
        <f>IF(AND(B9113=B9112,D9113=D9112,A9113=A9112,F9113=F9112),1,0)</f>
        <v/>
      </c>
      <c r="I9113">
        <f>IF(C9113="C99999",1,0)</f>
        <v/>
      </c>
      <c r="J9113" s="5">
        <f>IF(OR(H9113=1,I9113=1),0,IF(G9113="Credit",-F9113,F9113))</f>
        <v/>
      </c>
    </row>
    <row r="9114">
      <c r="A9114" t="inlineStr">
        <is>
          <t>2026-09-21</t>
        </is>
      </c>
      <c r="B9114" t="inlineStr">
        <is>
          <t>F266466</t>
        </is>
      </c>
      <c r="C9114" t="inlineStr">
        <is>
          <t>C10341</t>
        </is>
      </c>
      <c r="D9114" t="inlineStr">
        <is>
          <t>SKU-10201</t>
        </is>
      </c>
      <c r="E9114" t="inlineStr">
        <is>
          <t>AM12</t>
        </is>
      </c>
      <c r="F9114" s="5" t="n">
        <v>239.76</v>
      </c>
      <c r="G9114">
        <f>IF(LEFT(B9114,1)="C","Credit","Factuur")</f>
        <v/>
      </c>
      <c r="H9114">
        <f>IF(AND(B9114=B9113,D9114=D9113,A9114=A9113,F9114=F9113),1,0)</f>
        <v/>
      </c>
      <c r="I9114">
        <f>IF(C9114="C99999",1,0)</f>
        <v/>
      </c>
      <c r="J9114" s="5">
        <f>IF(OR(H9114=1,I9114=1),0,IF(G9114="Credit",-F9114,F9114))</f>
        <v/>
      </c>
    </row>
    <row r="9115">
      <c r="A9115" t="inlineStr">
        <is>
          <t>2026-09-21</t>
        </is>
      </c>
      <c r="B9115" t="inlineStr">
        <is>
          <t>F266466</t>
        </is>
      </c>
      <c r="C9115" t="inlineStr">
        <is>
          <t>C10341</t>
        </is>
      </c>
      <c r="D9115" t="inlineStr">
        <is>
          <t>SKU-10337</t>
        </is>
      </c>
      <c r="E9115" t="inlineStr">
        <is>
          <t>AM12</t>
        </is>
      </c>
      <c r="F9115" s="5" t="n">
        <v>254.15</v>
      </c>
      <c r="G9115">
        <f>IF(LEFT(B9115,1)="C","Credit","Factuur")</f>
        <v/>
      </c>
      <c r="H9115">
        <f>IF(AND(B9115=B9114,D9115=D9114,A9115=A9114,F9115=F9114),1,0)</f>
        <v/>
      </c>
      <c r="I9115">
        <f>IF(C9115="C99999",1,0)</f>
        <v/>
      </c>
      <c r="J9115" s="5">
        <f>IF(OR(H9115=1,I9115=1),0,IF(G9115="Credit",-F9115,F9115))</f>
        <v/>
      </c>
    </row>
    <row r="9116">
      <c r="A9116" t="inlineStr">
        <is>
          <t>2026-09-21</t>
        </is>
      </c>
      <c r="B9116" t="inlineStr">
        <is>
          <t>F266466</t>
        </is>
      </c>
      <c r="C9116" t="inlineStr">
        <is>
          <t>C10341</t>
        </is>
      </c>
      <c r="D9116" t="inlineStr">
        <is>
          <t>SKU-10339</t>
        </is>
      </c>
      <c r="E9116" t="inlineStr">
        <is>
          <t>AM12</t>
        </is>
      </c>
      <c r="F9116" s="5" t="n">
        <v>255.85</v>
      </c>
      <c r="G9116">
        <f>IF(LEFT(B9116,1)="C","Credit","Factuur")</f>
        <v/>
      </c>
      <c r="H9116">
        <f>IF(AND(B9116=B9115,D9116=D9115,A9116=A9115,F9116=F9115),1,0)</f>
        <v/>
      </c>
      <c r="I9116">
        <f>IF(C9116="C99999",1,0)</f>
        <v/>
      </c>
      <c r="J9116" s="5">
        <f>IF(OR(H9116=1,I9116=1),0,IF(G9116="Credit",-F9116,F9116))</f>
        <v/>
      </c>
    </row>
    <row r="9117">
      <c r="A9117" t="inlineStr">
        <is>
          <t>2026-09-21</t>
        </is>
      </c>
      <c r="B9117" t="inlineStr">
        <is>
          <t>F266576</t>
        </is>
      </c>
      <c r="C9117" t="inlineStr">
        <is>
          <t>C10345</t>
        </is>
      </c>
      <c r="D9117" t="inlineStr">
        <is>
          <t>SKU-10242</t>
        </is>
      </c>
      <c r="E9117" t="inlineStr">
        <is>
          <t>AM11</t>
        </is>
      </c>
      <c r="F9117" s="5" t="n">
        <v>4093.2</v>
      </c>
      <c r="G9117">
        <f>IF(LEFT(B9117,1)="C","Credit","Factuur")</f>
        <v/>
      </c>
      <c r="H9117">
        <f>IF(AND(B9117=B9116,D9117=D9116,A9117=A9116,F9117=F9116),1,0)</f>
        <v/>
      </c>
      <c r="I9117">
        <f>IF(C9117="C99999",1,0)</f>
        <v/>
      </c>
      <c r="J9117" s="5">
        <f>IF(OR(H9117=1,I9117=1),0,IF(G9117="Credit",-F9117,F9117))</f>
        <v/>
      </c>
    </row>
    <row r="9118">
      <c r="A9118" t="inlineStr">
        <is>
          <t>2026-09-21</t>
        </is>
      </c>
      <c r="B9118" t="inlineStr">
        <is>
          <t>F267068</t>
        </is>
      </c>
      <c r="C9118" t="inlineStr">
        <is>
          <t>C10373</t>
        </is>
      </c>
      <c r="D9118" t="inlineStr">
        <is>
          <t>SKU-10048</t>
        </is>
      </c>
      <c r="E9118" t="inlineStr">
        <is>
          <t>AM08</t>
        </is>
      </c>
      <c r="F9118" s="5" t="n">
        <v>249.9</v>
      </c>
      <c r="G9118">
        <f>IF(LEFT(B9118,1)="C","Credit","Factuur")</f>
        <v/>
      </c>
      <c r="H9118">
        <f>IF(AND(B9118=B9117,D9118=D9117,A9118=A9117,F9118=F9117),1,0)</f>
        <v/>
      </c>
      <c r="I9118">
        <f>IF(C9118="C99999",1,0)</f>
        <v/>
      </c>
      <c r="J9118" s="5">
        <f>IF(OR(H9118=1,I9118=1),0,IF(G9118="Credit",-F9118,F9118))</f>
        <v/>
      </c>
    </row>
    <row r="9119">
      <c r="A9119" t="inlineStr">
        <is>
          <t>2026-09-21</t>
        </is>
      </c>
      <c r="B9119" t="inlineStr">
        <is>
          <t>F267068</t>
        </is>
      </c>
      <c r="C9119" t="inlineStr">
        <is>
          <t>C10373</t>
        </is>
      </c>
      <c r="D9119" t="inlineStr">
        <is>
          <t>SKU-10119</t>
        </is>
      </c>
      <c r="E9119" t="inlineStr">
        <is>
          <t>AM08</t>
        </is>
      </c>
      <c r="F9119" s="5" t="n">
        <v>243.95</v>
      </c>
      <c r="G9119">
        <f>IF(LEFT(B9119,1)="C","Credit","Factuur")</f>
        <v/>
      </c>
      <c r="H9119">
        <f>IF(AND(B9119=B9118,D9119=D9118,A9119=A9118,F9119=F9118),1,0)</f>
        <v/>
      </c>
      <c r="I9119">
        <f>IF(C9119="C99999",1,0)</f>
        <v/>
      </c>
      <c r="J9119" s="5">
        <f>IF(OR(H9119=1,I9119=1),0,IF(G9119="Credit",-F9119,F9119))</f>
        <v/>
      </c>
    </row>
    <row r="9120">
      <c r="A9120" t="inlineStr">
        <is>
          <t>2026-09-21</t>
        </is>
      </c>
      <c r="B9120" t="inlineStr">
        <is>
          <t>F267068</t>
        </is>
      </c>
      <c r="C9120" t="inlineStr">
        <is>
          <t>C10373</t>
        </is>
      </c>
      <c r="D9120" t="inlineStr">
        <is>
          <t>SKU-10343</t>
        </is>
      </c>
      <c r="E9120" t="inlineStr">
        <is>
          <t>AM08</t>
        </is>
      </c>
      <c r="F9120" s="5" t="n">
        <v>264.32</v>
      </c>
      <c r="G9120">
        <f>IF(LEFT(B9120,1)="C","Credit","Factuur")</f>
        <v/>
      </c>
      <c r="H9120">
        <f>IF(AND(B9120=B9119,D9120=D9119,A9120=A9119,F9120=F9119),1,0)</f>
        <v/>
      </c>
      <c r="I9120">
        <f>IF(C9120="C99999",1,0)</f>
        <v/>
      </c>
      <c r="J9120" s="5">
        <f>IF(OR(H9120=1,I9120=1),0,IF(G9120="Credit",-F9120,F9120))</f>
        <v/>
      </c>
    </row>
    <row r="9121">
      <c r="A9121" t="inlineStr">
        <is>
          <t>2026-09-21</t>
        </is>
      </c>
      <c r="B9121" t="inlineStr">
        <is>
          <t>F268151</t>
        </is>
      </c>
      <c r="C9121" t="inlineStr">
        <is>
          <t>C10428</t>
        </is>
      </c>
      <c r="D9121" t="inlineStr">
        <is>
          <t>SKU-10010</t>
        </is>
      </c>
      <c r="E9121" t="inlineStr">
        <is>
          <t>AM05</t>
        </is>
      </c>
      <c r="F9121" s="5" t="n">
        <v>132.36</v>
      </c>
      <c r="G9121">
        <f>IF(LEFT(B9121,1)="C","Credit","Factuur")</f>
        <v/>
      </c>
      <c r="H9121">
        <f>IF(AND(B9121=B9120,D9121=D9120,A9121=A9120,F9121=F9120),1,0)</f>
        <v/>
      </c>
      <c r="I9121">
        <f>IF(C9121="C99999",1,0)</f>
        <v/>
      </c>
      <c r="J9121" s="5">
        <f>IF(OR(H9121=1,I9121=1),0,IF(G9121="Credit",-F9121,F9121))</f>
        <v/>
      </c>
    </row>
    <row r="9122">
      <c r="A9122" t="inlineStr">
        <is>
          <t>2026-09-21</t>
        </is>
      </c>
      <c r="B9122" t="inlineStr">
        <is>
          <t>F268151</t>
        </is>
      </c>
      <c r="C9122" t="inlineStr">
        <is>
          <t>C10428</t>
        </is>
      </c>
      <c r="D9122" t="inlineStr">
        <is>
          <t>SKU-10024</t>
        </is>
      </c>
      <c r="E9122" t="inlineStr">
        <is>
          <t>AM05</t>
        </is>
      </c>
      <c r="F9122" s="5" t="n">
        <v>144.96</v>
      </c>
      <c r="G9122">
        <f>IF(LEFT(B9122,1)="C","Credit","Factuur")</f>
        <v/>
      </c>
      <c r="H9122">
        <f>IF(AND(B9122=B9121,D9122=D9121,A9122=A9121,F9122=F9121),1,0)</f>
        <v/>
      </c>
      <c r="I9122">
        <f>IF(C9122="C99999",1,0)</f>
        <v/>
      </c>
      <c r="J9122" s="5">
        <f>IF(OR(H9122=1,I9122=1),0,IF(G9122="Credit",-F9122,F9122))</f>
        <v/>
      </c>
    </row>
    <row r="9123">
      <c r="A9123" t="inlineStr">
        <is>
          <t>2026-09-21</t>
        </is>
      </c>
      <c r="B9123" t="inlineStr">
        <is>
          <t>F268151</t>
        </is>
      </c>
      <c r="C9123" t="inlineStr">
        <is>
          <t>C10428</t>
        </is>
      </c>
      <c r="D9123" t="inlineStr">
        <is>
          <t>SKU-10054</t>
        </is>
      </c>
      <c r="E9123" t="inlineStr">
        <is>
          <t>AM05</t>
        </is>
      </c>
      <c r="F9123" s="5" t="n">
        <v>150.95</v>
      </c>
      <c r="G9123">
        <f>IF(LEFT(B9123,1)="C","Credit","Factuur")</f>
        <v/>
      </c>
      <c r="H9123">
        <f>IF(AND(B9123=B9122,D9123=D9122,A9123=A9122,F9123=F9122),1,0)</f>
        <v/>
      </c>
      <c r="I9123">
        <f>IF(C9123="C99999",1,0)</f>
        <v/>
      </c>
      <c r="J9123" s="5">
        <f>IF(OR(H9123=1,I9123=1),0,IF(G9123="Credit",-F9123,F9123))</f>
        <v/>
      </c>
    </row>
    <row r="9124">
      <c r="A9124" t="inlineStr">
        <is>
          <t>2026-09-21</t>
        </is>
      </c>
      <c r="B9124" t="inlineStr">
        <is>
          <t>F268151</t>
        </is>
      </c>
      <c r="C9124" t="inlineStr">
        <is>
          <t>C10428</t>
        </is>
      </c>
      <c r="D9124" t="inlineStr">
        <is>
          <t>SKU-10322</t>
        </is>
      </c>
      <c r="E9124" t="inlineStr">
        <is>
          <t>AM05</t>
        </is>
      </c>
      <c r="F9124" s="5" t="n">
        <v>162.66</v>
      </c>
      <c r="G9124">
        <f>IF(LEFT(B9124,1)="C","Credit","Factuur")</f>
        <v/>
      </c>
      <c r="H9124">
        <f>IF(AND(B9124=B9123,D9124=D9123,A9124=A9123,F9124=F9123),1,0)</f>
        <v/>
      </c>
      <c r="I9124">
        <f>IF(C9124="C99999",1,0)</f>
        <v/>
      </c>
      <c r="J9124" s="5">
        <f>IF(OR(H9124=1,I9124=1),0,IF(G9124="Credit",-F9124,F9124))</f>
        <v/>
      </c>
    </row>
    <row r="9125">
      <c r="A9125" t="inlineStr">
        <is>
          <t>2026-09-21</t>
        </is>
      </c>
      <c r="B9125" t="inlineStr">
        <is>
          <t>F268151</t>
        </is>
      </c>
      <c r="C9125" t="inlineStr">
        <is>
          <t>C10428</t>
        </is>
      </c>
      <c r="D9125" t="inlineStr">
        <is>
          <t>SKU-10359</t>
        </is>
      </c>
      <c r="E9125" t="inlineStr">
        <is>
          <t>AM05</t>
        </is>
      </c>
      <c r="F9125" s="5" t="n">
        <v>119.39</v>
      </c>
      <c r="G9125">
        <f>IF(LEFT(B9125,1)="C","Credit","Factuur")</f>
        <v/>
      </c>
      <c r="H9125">
        <f>IF(AND(B9125=B9124,D9125=D9124,A9125=A9124,F9125=F9124),1,0)</f>
        <v/>
      </c>
      <c r="I9125">
        <f>IF(C9125="C99999",1,0)</f>
        <v/>
      </c>
      <c r="J9125" s="5">
        <f>IF(OR(H9125=1,I9125=1),0,IF(G9125="Credit",-F9125,F9125))</f>
        <v/>
      </c>
    </row>
    <row r="9126">
      <c r="A9126" t="inlineStr">
        <is>
          <t>2026-09-21</t>
        </is>
      </c>
      <c r="B9126" t="inlineStr">
        <is>
          <t>F268760</t>
        </is>
      </c>
      <c r="C9126" t="inlineStr">
        <is>
          <t>C10457</t>
        </is>
      </c>
      <c r="D9126" t="inlineStr">
        <is>
          <t>SKU-10301</t>
        </is>
      </c>
      <c r="E9126" t="inlineStr">
        <is>
          <t>AM11</t>
        </is>
      </c>
      <c r="F9126" s="5" t="n">
        <v>483.21</v>
      </c>
      <c r="G9126">
        <f>IF(LEFT(B9126,1)="C","Credit","Factuur")</f>
        <v/>
      </c>
      <c r="H9126">
        <f>IF(AND(B9126=B9125,D9126=D9125,A9126=A9125,F9126=F9125),1,0)</f>
        <v/>
      </c>
      <c r="I9126">
        <f>IF(C9126="C99999",1,0)</f>
        <v/>
      </c>
      <c r="J9126" s="5">
        <f>IF(OR(H9126=1,I9126=1),0,IF(G9126="Credit",-F9126,F9126))</f>
        <v/>
      </c>
    </row>
    <row r="9127">
      <c r="A9127" t="inlineStr">
        <is>
          <t>2026-09-21</t>
        </is>
      </c>
      <c r="B9127" t="inlineStr">
        <is>
          <t>F268822</t>
        </is>
      </c>
      <c r="C9127" t="inlineStr">
        <is>
          <t>C10460</t>
        </is>
      </c>
      <c r="D9127" t="inlineStr">
        <is>
          <t>SKU-10148</t>
        </is>
      </c>
      <c r="E9127" t="inlineStr">
        <is>
          <t>AM08</t>
        </is>
      </c>
      <c r="F9127" s="5" t="n">
        <v>4021.65</v>
      </c>
      <c r="G9127">
        <f>IF(LEFT(B9127,1)="C","Credit","Factuur")</f>
        <v/>
      </c>
      <c r="H9127">
        <f>IF(AND(B9127=B9126,D9127=D9126,A9127=A9126,F9127=F9126),1,0)</f>
        <v/>
      </c>
      <c r="I9127">
        <f>IF(C9127="C99999",1,0)</f>
        <v/>
      </c>
      <c r="J9127" s="5">
        <f>IF(OR(H9127=1,I9127=1),0,IF(G9127="Credit",-F9127,F9127))</f>
        <v/>
      </c>
    </row>
    <row r="9128">
      <c r="A9128" t="inlineStr">
        <is>
          <t>2026-09-21</t>
        </is>
      </c>
      <c r="B9128" t="inlineStr">
        <is>
          <t>F269898</t>
        </is>
      </c>
      <c r="C9128" t="inlineStr">
        <is>
          <t>C10521</t>
        </is>
      </c>
      <c r="D9128" t="inlineStr">
        <is>
          <t>SKU-10123</t>
        </is>
      </c>
      <c r="E9128" t="inlineStr">
        <is>
          <t>AM12</t>
        </is>
      </c>
      <c r="F9128" s="5" t="n">
        <v>123.69</v>
      </c>
      <c r="G9128">
        <f>IF(LEFT(B9128,1)="C","Credit","Factuur")</f>
        <v/>
      </c>
      <c r="H9128">
        <f>IF(AND(B9128=B9127,D9128=D9127,A9128=A9127,F9128=F9127),1,0)</f>
        <v/>
      </c>
      <c r="I9128">
        <f>IF(C9128="C99999",1,0)</f>
        <v/>
      </c>
      <c r="J9128" s="5">
        <f>IF(OR(H9128=1,I9128=1),0,IF(G9128="Credit",-F9128,F9128))</f>
        <v/>
      </c>
    </row>
    <row r="9129">
      <c r="A9129" t="inlineStr">
        <is>
          <t>2026-09-21</t>
        </is>
      </c>
      <c r="B9129" t="inlineStr">
        <is>
          <t>F269898</t>
        </is>
      </c>
      <c r="C9129" t="inlineStr">
        <is>
          <t>C10521</t>
        </is>
      </c>
      <c r="D9129" t="inlineStr">
        <is>
          <t>SKU-10321</t>
        </is>
      </c>
      <c r="E9129" t="inlineStr">
        <is>
          <t>AM12</t>
        </is>
      </c>
      <c r="F9129" s="5" t="n">
        <v>97.62</v>
      </c>
      <c r="G9129">
        <f>IF(LEFT(B9129,1)="C","Credit","Factuur")</f>
        <v/>
      </c>
      <c r="H9129">
        <f>IF(AND(B9129=B9128,D9129=D9128,A9129=A9128,F9129=F9128),1,0)</f>
        <v/>
      </c>
      <c r="I9129">
        <f>IF(C9129="C99999",1,0)</f>
        <v/>
      </c>
      <c r="J9129" s="5">
        <f>IF(OR(H9129=1,I9129=1),0,IF(G9129="Credit",-F9129,F9129))</f>
        <v/>
      </c>
    </row>
    <row r="9130">
      <c r="A9130" t="inlineStr">
        <is>
          <t>2026-09-21</t>
        </is>
      </c>
      <c r="B9130" t="inlineStr">
        <is>
          <t>F269898</t>
        </is>
      </c>
      <c r="C9130" t="inlineStr">
        <is>
          <t>C10521</t>
        </is>
      </c>
      <c r="D9130" t="inlineStr">
        <is>
          <t>SKU-10323</t>
        </is>
      </c>
      <c r="E9130" t="inlineStr">
        <is>
          <t>AM12</t>
        </is>
      </c>
      <c r="F9130" s="5" t="n">
        <v>123.55</v>
      </c>
      <c r="G9130">
        <f>IF(LEFT(B9130,1)="C","Credit","Factuur")</f>
        <v/>
      </c>
      <c r="H9130">
        <f>IF(AND(B9130=B9129,D9130=D9129,A9130=A9129,F9130=F9129),1,0)</f>
        <v/>
      </c>
      <c r="I9130">
        <f>IF(C9130="C99999",1,0)</f>
        <v/>
      </c>
      <c r="J9130" s="5">
        <f>IF(OR(H9130=1,I9130=1),0,IF(G9130="Credit",-F9130,F9130))</f>
        <v/>
      </c>
    </row>
    <row r="9131">
      <c r="A9131" t="inlineStr">
        <is>
          <t>2026-09-21</t>
        </is>
      </c>
      <c r="B9131" t="inlineStr">
        <is>
          <t>F269898</t>
        </is>
      </c>
      <c r="C9131" t="inlineStr">
        <is>
          <t>C10521</t>
        </is>
      </c>
      <c r="D9131" t="inlineStr">
        <is>
          <t>SKU-10331</t>
        </is>
      </c>
      <c r="E9131" t="inlineStr">
        <is>
          <t>AM12</t>
        </is>
      </c>
      <c r="F9131" s="5" t="n">
        <v>114.48</v>
      </c>
      <c r="G9131">
        <f>IF(LEFT(B9131,1)="C","Credit","Factuur")</f>
        <v/>
      </c>
      <c r="H9131">
        <f>IF(AND(B9131=B9130,D9131=D9130,A9131=A9130,F9131=F9130),1,0)</f>
        <v/>
      </c>
      <c r="I9131">
        <f>IF(C9131="C99999",1,0)</f>
        <v/>
      </c>
      <c r="J9131" s="5">
        <f>IF(OR(H9131=1,I9131=1),0,IF(G9131="Credit",-F9131,F9131))</f>
        <v/>
      </c>
    </row>
    <row r="9132">
      <c r="A9132" t="inlineStr">
        <is>
          <t>2026-09-21</t>
        </is>
      </c>
      <c r="B9132" t="inlineStr">
        <is>
          <t>F270019</t>
        </is>
      </c>
      <c r="C9132" t="inlineStr">
        <is>
          <t>C10526</t>
        </is>
      </c>
      <c r="D9132" t="inlineStr">
        <is>
          <t>SKU-10022</t>
        </is>
      </c>
      <c r="E9132" t="inlineStr">
        <is>
          <t>IS01</t>
        </is>
      </c>
      <c r="F9132" s="5" t="n">
        <v>61.44</v>
      </c>
      <c r="G9132">
        <f>IF(LEFT(B9132,1)="C","Credit","Factuur")</f>
        <v/>
      </c>
      <c r="H9132">
        <f>IF(AND(B9132=B9131,D9132=D9131,A9132=A9131,F9132=F9131),1,0)</f>
        <v/>
      </c>
      <c r="I9132">
        <f>IF(C9132="C99999",1,0)</f>
        <v/>
      </c>
      <c r="J9132" s="5">
        <f>IF(OR(H9132=1,I9132=1),0,IF(G9132="Credit",-F9132,F9132))</f>
        <v/>
      </c>
    </row>
    <row r="9133">
      <c r="A9133" t="inlineStr">
        <is>
          <t>2026-09-21</t>
        </is>
      </c>
      <c r="B9133" t="inlineStr">
        <is>
          <t>F270219</t>
        </is>
      </c>
      <c r="C9133" t="inlineStr">
        <is>
          <t>C10540</t>
        </is>
      </c>
      <c r="D9133" t="inlineStr">
        <is>
          <t>SKU-10047</t>
        </is>
      </c>
      <c r="E9133" t="inlineStr">
        <is>
          <t>AM08</t>
        </is>
      </c>
      <c r="F9133" s="5" t="n">
        <v>385.27</v>
      </c>
      <c r="G9133">
        <f>IF(LEFT(B9133,1)="C","Credit","Factuur")</f>
        <v/>
      </c>
      <c r="H9133">
        <f>IF(AND(B9133=B9132,D9133=D9132,A9133=A9132,F9133=F9132),1,0)</f>
        <v/>
      </c>
      <c r="I9133">
        <f>IF(C9133="C99999",1,0)</f>
        <v/>
      </c>
      <c r="J9133" s="5">
        <f>IF(OR(H9133=1,I9133=1),0,IF(G9133="Credit",-F9133,F9133))</f>
        <v/>
      </c>
    </row>
    <row r="9134">
      <c r="A9134" t="inlineStr">
        <is>
          <t>2026-09-21</t>
        </is>
      </c>
      <c r="B9134" t="inlineStr">
        <is>
          <t>F270219</t>
        </is>
      </c>
      <c r="C9134" t="inlineStr">
        <is>
          <t>C10540</t>
        </is>
      </c>
      <c r="D9134" t="inlineStr">
        <is>
          <t>SKU-10163</t>
        </is>
      </c>
      <c r="E9134" t="inlineStr">
        <is>
          <t>AM08</t>
        </is>
      </c>
      <c r="F9134" s="5" t="n">
        <v>360.13</v>
      </c>
      <c r="G9134">
        <f>IF(LEFT(B9134,1)="C","Credit","Factuur")</f>
        <v/>
      </c>
      <c r="H9134">
        <f>IF(AND(B9134=B9133,D9134=D9133,A9134=A9133,F9134=F9133),1,0)</f>
        <v/>
      </c>
      <c r="I9134">
        <f>IF(C9134="C99999",1,0)</f>
        <v/>
      </c>
      <c r="J9134" s="5">
        <f>IF(OR(H9134=1,I9134=1),0,IF(G9134="Credit",-F9134,F9134))</f>
        <v/>
      </c>
    </row>
    <row r="9135">
      <c r="A9135" t="inlineStr">
        <is>
          <t>2026-09-21</t>
        </is>
      </c>
      <c r="B9135" t="inlineStr">
        <is>
          <t>F270252</t>
        </is>
      </c>
      <c r="C9135" t="inlineStr">
        <is>
          <t>C10541</t>
        </is>
      </c>
      <c r="D9135" t="inlineStr">
        <is>
          <t>SKU-10027</t>
        </is>
      </c>
      <c r="E9135" t="inlineStr">
        <is>
          <t>AM01</t>
        </is>
      </c>
      <c r="F9135" s="5" t="n">
        <v>276.7</v>
      </c>
      <c r="G9135">
        <f>IF(LEFT(B9135,1)="C","Credit","Factuur")</f>
        <v/>
      </c>
      <c r="H9135">
        <f>IF(AND(B9135=B9134,D9135=D9134,A9135=A9134,F9135=F9134),1,0)</f>
        <v/>
      </c>
      <c r="I9135">
        <f>IF(C9135="C99999",1,0)</f>
        <v/>
      </c>
      <c r="J9135" s="5">
        <f>IF(OR(H9135=1,I9135=1),0,IF(G9135="Credit",-F9135,F9135))</f>
        <v/>
      </c>
    </row>
    <row r="9136">
      <c r="A9136" t="inlineStr">
        <is>
          <t>2026-09-21</t>
        </is>
      </c>
      <c r="B9136" t="inlineStr">
        <is>
          <t>F270252</t>
        </is>
      </c>
      <c r="C9136" t="inlineStr">
        <is>
          <t>C10541</t>
        </is>
      </c>
      <c r="D9136" t="inlineStr">
        <is>
          <t>SKU-10262</t>
        </is>
      </c>
      <c r="E9136" t="inlineStr">
        <is>
          <t>AM01</t>
        </is>
      </c>
      <c r="F9136" s="5" t="n">
        <v>254.97</v>
      </c>
      <c r="G9136">
        <f>IF(LEFT(B9136,1)="C","Credit","Factuur")</f>
        <v/>
      </c>
      <c r="H9136">
        <f>IF(AND(B9136=B9135,D9136=D9135,A9136=A9135,F9136=F9135),1,0)</f>
        <v/>
      </c>
      <c r="I9136">
        <f>IF(C9136="C99999",1,0)</f>
        <v/>
      </c>
      <c r="J9136" s="5">
        <f>IF(OR(H9136=1,I9136=1),0,IF(G9136="Credit",-F9136,F9136))</f>
        <v/>
      </c>
    </row>
    <row r="9137">
      <c r="A9137" t="inlineStr">
        <is>
          <t>2026-09-21</t>
        </is>
      </c>
      <c r="B9137" t="inlineStr">
        <is>
          <t>F270553</t>
        </is>
      </c>
      <c r="C9137" t="inlineStr">
        <is>
          <t>C10554</t>
        </is>
      </c>
      <c r="D9137" t="inlineStr">
        <is>
          <t>SKU-10080</t>
        </is>
      </c>
      <c r="E9137" t="inlineStr">
        <is>
          <t>AM09</t>
        </is>
      </c>
      <c r="F9137" s="5" t="n">
        <v>2669.2</v>
      </c>
      <c r="G9137">
        <f>IF(LEFT(B9137,1)="C","Credit","Factuur")</f>
        <v/>
      </c>
      <c r="H9137">
        <f>IF(AND(B9137=B9136,D9137=D9136,A9137=A9136,F9137=F9136),1,0)</f>
        <v/>
      </c>
      <c r="I9137">
        <f>IF(C9137="C99999",1,0)</f>
        <v/>
      </c>
      <c r="J9137" s="5">
        <f>IF(OR(H9137=1,I9137=1),0,IF(G9137="Credit",-F9137,F9137))</f>
        <v/>
      </c>
    </row>
    <row r="9138">
      <c r="A9138" t="inlineStr">
        <is>
          <t>2026-09-21</t>
        </is>
      </c>
      <c r="B9138" t="inlineStr">
        <is>
          <t>F270553</t>
        </is>
      </c>
      <c r="C9138" t="inlineStr">
        <is>
          <t>C10554</t>
        </is>
      </c>
      <c r="D9138" t="inlineStr">
        <is>
          <t>SKU-10256</t>
        </is>
      </c>
      <c r="E9138" t="inlineStr">
        <is>
          <t>AM09</t>
        </is>
      </c>
      <c r="F9138" s="5" t="n">
        <v>2585.16</v>
      </c>
      <c r="G9138">
        <f>IF(LEFT(B9138,1)="C","Credit","Factuur")</f>
        <v/>
      </c>
      <c r="H9138">
        <f>IF(AND(B9138=B9137,D9138=D9137,A9138=A9137,F9138=F9137),1,0)</f>
        <v/>
      </c>
      <c r="I9138">
        <f>IF(C9138="C99999",1,0)</f>
        <v/>
      </c>
      <c r="J9138" s="5">
        <f>IF(OR(H9138=1,I9138=1),0,IF(G9138="Credit",-F9138,F9138))</f>
        <v/>
      </c>
    </row>
    <row r="9139">
      <c r="A9139" t="inlineStr">
        <is>
          <t>2026-09-21</t>
        </is>
      </c>
      <c r="B9139" t="inlineStr">
        <is>
          <t>F270553</t>
        </is>
      </c>
      <c r="C9139" t="inlineStr">
        <is>
          <t>C10554</t>
        </is>
      </c>
      <c r="D9139" t="inlineStr">
        <is>
          <t>SKU-10330</t>
        </is>
      </c>
      <c r="E9139" t="inlineStr">
        <is>
          <t>AM09</t>
        </is>
      </c>
      <c r="F9139" s="5" t="n">
        <v>2572.98</v>
      </c>
      <c r="G9139">
        <f>IF(LEFT(B9139,1)="C","Credit","Factuur")</f>
        <v/>
      </c>
      <c r="H9139">
        <f>IF(AND(B9139=B9138,D9139=D9138,A9139=A9138,F9139=F9138),1,0)</f>
        <v/>
      </c>
      <c r="I9139">
        <f>IF(C9139="C99999",1,0)</f>
        <v/>
      </c>
      <c r="J9139" s="5">
        <f>IF(OR(H9139=1,I9139=1),0,IF(G9139="Credit",-F9139,F9139))</f>
        <v/>
      </c>
    </row>
    <row r="9140">
      <c r="A9140" t="inlineStr">
        <is>
          <t>2026-09-21</t>
        </is>
      </c>
      <c r="B9140" t="inlineStr">
        <is>
          <t>F270930</t>
        </is>
      </c>
      <c r="C9140" t="inlineStr">
        <is>
          <t>C10572</t>
        </is>
      </c>
      <c r="D9140" t="inlineStr">
        <is>
          <t>SKU-10197</t>
        </is>
      </c>
      <c r="E9140" t="inlineStr">
        <is>
          <t>AM05</t>
        </is>
      </c>
      <c r="F9140" s="5" t="n">
        <v>36.3</v>
      </c>
      <c r="G9140">
        <f>IF(LEFT(B9140,1)="C","Credit","Factuur")</f>
        <v/>
      </c>
      <c r="H9140">
        <f>IF(AND(B9140=B9139,D9140=D9139,A9140=A9139,F9140=F9139),1,0)</f>
        <v/>
      </c>
      <c r="I9140">
        <f>IF(C9140="C99999",1,0)</f>
        <v/>
      </c>
      <c r="J9140" s="5">
        <f>IF(OR(H9140=1,I9140=1),0,IF(G9140="Credit",-F9140,F9140))</f>
        <v/>
      </c>
    </row>
    <row r="9141">
      <c r="A9141" t="inlineStr">
        <is>
          <t>2026-09-21</t>
        </is>
      </c>
      <c r="B9141" t="inlineStr">
        <is>
          <t>F270930</t>
        </is>
      </c>
      <c r="C9141" t="inlineStr">
        <is>
          <t>C10572</t>
        </is>
      </c>
      <c r="D9141" t="inlineStr">
        <is>
          <t>SKU-10296</t>
        </is>
      </c>
      <c r="E9141" t="inlineStr">
        <is>
          <t>AM05</t>
        </is>
      </c>
      <c r="F9141" s="5" t="n">
        <v>42.67</v>
      </c>
      <c r="G9141">
        <f>IF(LEFT(B9141,1)="C","Credit","Factuur")</f>
        <v/>
      </c>
      <c r="H9141">
        <f>IF(AND(B9141=B9140,D9141=D9140,A9141=A9140,F9141=F9140),1,0)</f>
        <v/>
      </c>
      <c r="I9141">
        <f>IF(C9141="C99999",1,0)</f>
        <v/>
      </c>
      <c r="J9141" s="5">
        <f>IF(OR(H9141=1,I9141=1),0,IF(G9141="Credit",-F9141,F9141))</f>
        <v/>
      </c>
    </row>
    <row r="9142">
      <c r="A9142" t="inlineStr">
        <is>
          <t>2026-09-21</t>
        </is>
      </c>
      <c r="B9142" t="inlineStr">
        <is>
          <t>F271095</t>
        </is>
      </c>
      <c r="C9142" t="inlineStr">
        <is>
          <t>C10579</t>
        </is>
      </c>
      <c r="D9142" t="inlineStr">
        <is>
          <t>SKU-10186</t>
        </is>
      </c>
      <c r="E9142" t="inlineStr">
        <is>
          <t>AM06</t>
        </is>
      </c>
      <c r="F9142" s="5" t="n">
        <v>892.5</v>
      </c>
      <c r="G9142">
        <f>IF(LEFT(B9142,1)="C","Credit","Factuur")</f>
        <v/>
      </c>
      <c r="H9142">
        <f>IF(AND(B9142=B9141,D9142=D9141,A9142=A9141,F9142=F9141),1,0)</f>
        <v/>
      </c>
      <c r="I9142">
        <f>IF(C9142="C99999",1,0)</f>
        <v/>
      </c>
      <c r="J9142" s="5">
        <f>IF(OR(H9142=1,I9142=1),0,IF(G9142="Credit",-F9142,F9142))</f>
        <v/>
      </c>
    </row>
    <row r="9143">
      <c r="A9143" t="inlineStr">
        <is>
          <t>2026-09-21</t>
        </is>
      </c>
      <c r="B9143" t="inlineStr">
        <is>
          <t>F271759</t>
        </is>
      </c>
      <c r="C9143" t="inlineStr">
        <is>
          <t>C10603</t>
        </is>
      </c>
      <c r="D9143" t="inlineStr">
        <is>
          <t>SKU-10098</t>
        </is>
      </c>
      <c r="E9143" t="inlineStr">
        <is>
          <t>AM08</t>
        </is>
      </c>
      <c r="F9143" s="5" t="n">
        <v>342.09</v>
      </c>
      <c r="G9143">
        <f>IF(LEFT(B9143,1)="C","Credit","Factuur")</f>
        <v/>
      </c>
      <c r="H9143">
        <f>IF(AND(B9143=B9142,D9143=D9142,A9143=A9142,F9143=F9142),1,0)</f>
        <v/>
      </c>
      <c r="I9143">
        <f>IF(C9143="C99999",1,0)</f>
        <v/>
      </c>
      <c r="J9143" s="5">
        <f>IF(OR(H9143=1,I9143=1),0,IF(G9143="Credit",-F9143,F9143))</f>
        <v/>
      </c>
    </row>
    <row r="9144">
      <c r="A9144" t="inlineStr">
        <is>
          <t>2026-09-21</t>
        </is>
      </c>
      <c r="B9144" t="inlineStr">
        <is>
          <t>F271759</t>
        </is>
      </c>
      <c r="C9144" t="inlineStr">
        <is>
          <t>C10603</t>
        </is>
      </c>
      <c r="D9144" t="inlineStr">
        <is>
          <t>SKU-10109</t>
        </is>
      </c>
      <c r="E9144" t="inlineStr"/>
      <c r="F9144" s="5" t="n">
        <v>383.6</v>
      </c>
      <c r="G9144">
        <f>IF(LEFT(B9144,1)="C","Credit","Factuur")</f>
        <v/>
      </c>
      <c r="H9144">
        <f>IF(AND(B9144=B9143,D9144=D9143,A9144=A9143,F9144=F9143),1,0)</f>
        <v/>
      </c>
      <c r="I9144">
        <f>IF(C9144="C99999",1,0)</f>
        <v/>
      </c>
      <c r="J9144" s="5">
        <f>IF(OR(H9144=1,I9144=1),0,IF(G9144="Credit",-F9144,F9144))</f>
        <v/>
      </c>
    </row>
    <row r="9145">
      <c r="A9145" t="inlineStr">
        <is>
          <t>2026-09-21</t>
        </is>
      </c>
      <c r="B9145" t="inlineStr">
        <is>
          <t>F271759</t>
        </is>
      </c>
      <c r="C9145" t="inlineStr">
        <is>
          <t>C10603</t>
        </is>
      </c>
      <c r="D9145" t="inlineStr">
        <is>
          <t>SKU-10362</t>
        </is>
      </c>
      <c r="E9145" t="inlineStr">
        <is>
          <t>AM08</t>
        </is>
      </c>
      <c r="F9145" s="5" t="n">
        <v>384.75</v>
      </c>
      <c r="G9145">
        <f>IF(LEFT(B9145,1)="C","Credit","Factuur")</f>
        <v/>
      </c>
      <c r="H9145">
        <f>IF(AND(B9145=B9144,D9145=D9144,A9145=A9144,F9145=F9144),1,0)</f>
        <v/>
      </c>
      <c r="I9145">
        <f>IF(C9145="C99999",1,0)</f>
        <v/>
      </c>
      <c r="J9145" s="5">
        <f>IF(OR(H9145=1,I9145=1),0,IF(G9145="Credit",-F9145,F9145))</f>
        <v/>
      </c>
    </row>
    <row r="9146">
      <c r="A9146" t="inlineStr">
        <is>
          <t>2026-09-21</t>
        </is>
      </c>
      <c r="B9146" t="inlineStr">
        <is>
          <t>F271926</t>
        </is>
      </c>
      <c r="C9146" t="inlineStr">
        <is>
          <t>C10615</t>
        </is>
      </c>
      <c r="D9146" t="inlineStr">
        <is>
          <t>SKU-10091</t>
        </is>
      </c>
      <c r="E9146" t="inlineStr">
        <is>
          <t>AM03</t>
        </is>
      </c>
      <c r="F9146" s="5" t="n">
        <v>422.75</v>
      </c>
      <c r="G9146">
        <f>IF(LEFT(B9146,1)="C","Credit","Factuur")</f>
        <v/>
      </c>
      <c r="H9146">
        <f>IF(AND(B9146=B9145,D9146=D9145,A9146=A9145,F9146=F9145),1,0)</f>
        <v/>
      </c>
      <c r="I9146">
        <f>IF(C9146="C99999",1,0)</f>
        <v/>
      </c>
      <c r="J9146" s="5">
        <f>IF(OR(H9146=1,I9146=1),0,IF(G9146="Credit",-F9146,F9146))</f>
        <v/>
      </c>
    </row>
    <row r="9147">
      <c r="A9147" t="inlineStr">
        <is>
          <t>2026-09-21</t>
        </is>
      </c>
      <c r="B9147" t="inlineStr">
        <is>
          <t>F271926</t>
        </is>
      </c>
      <c r="C9147" t="inlineStr">
        <is>
          <t>C10615</t>
        </is>
      </c>
      <c r="D9147" t="inlineStr">
        <is>
          <t>SKU-10326</t>
        </is>
      </c>
      <c r="E9147" t="inlineStr">
        <is>
          <t>AM03</t>
        </is>
      </c>
      <c r="F9147" s="5" t="n">
        <v>450.3</v>
      </c>
      <c r="G9147">
        <f>IF(LEFT(B9147,1)="C","Credit","Factuur")</f>
        <v/>
      </c>
      <c r="H9147">
        <f>IF(AND(B9147=B9146,D9147=D9146,A9147=A9146,F9147=F9146),1,0)</f>
        <v/>
      </c>
      <c r="I9147">
        <f>IF(C9147="C99999",1,0)</f>
        <v/>
      </c>
      <c r="J9147" s="5">
        <f>IF(OR(H9147=1,I9147=1),0,IF(G9147="Credit",-F9147,F9147))</f>
        <v/>
      </c>
    </row>
    <row r="9148">
      <c r="A9148" t="inlineStr">
        <is>
          <t>2026-09-21</t>
        </is>
      </c>
      <c r="B9148" t="inlineStr">
        <is>
          <t>F272275</t>
        </is>
      </c>
      <c r="C9148" t="inlineStr">
        <is>
          <t>C10636</t>
        </is>
      </c>
      <c r="D9148" t="inlineStr">
        <is>
          <t>SKU-10044</t>
        </is>
      </c>
      <c r="E9148" t="inlineStr">
        <is>
          <t>AM02</t>
        </is>
      </c>
      <c r="F9148" s="5" t="n">
        <v>932.52</v>
      </c>
      <c r="G9148">
        <f>IF(LEFT(B9148,1)="C","Credit","Factuur")</f>
        <v/>
      </c>
      <c r="H9148">
        <f>IF(AND(B9148=B9147,D9148=D9147,A9148=A9147,F9148=F9147),1,0)</f>
        <v/>
      </c>
      <c r="I9148">
        <f>IF(C9148="C99999",1,0)</f>
        <v/>
      </c>
      <c r="J9148" s="5">
        <f>IF(OR(H9148=1,I9148=1),0,IF(G9148="Credit",-F9148,F9148))</f>
        <v/>
      </c>
    </row>
    <row r="9149">
      <c r="A9149" t="inlineStr">
        <is>
          <t>2026-09-21</t>
        </is>
      </c>
      <c r="B9149" t="inlineStr">
        <is>
          <t>F272275</t>
        </is>
      </c>
      <c r="C9149" t="inlineStr">
        <is>
          <t>C10636</t>
        </is>
      </c>
      <c r="D9149" t="inlineStr">
        <is>
          <t>SKU-10216</t>
        </is>
      </c>
      <c r="E9149" t="inlineStr">
        <is>
          <t>AM02</t>
        </is>
      </c>
      <c r="F9149" s="5" t="n">
        <v>876.15</v>
      </c>
      <c r="G9149">
        <f>IF(LEFT(B9149,1)="C","Credit","Factuur")</f>
        <v/>
      </c>
      <c r="H9149">
        <f>IF(AND(B9149=B9148,D9149=D9148,A9149=A9148,F9149=F9148),1,0)</f>
        <v/>
      </c>
      <c r="I9149">
        <f>IF(C9149="C99999",1,0)</f>
        <v/>
      </c>
      <c r="J9149" s="5">
        <f>IF(OR(H9149=1,I9149=1),0,IF(G9149="Credit",-F9149,F9149))</f>
        <v/>
      </c>
    </row>
    <row r="9150">
      <c r="A9150" t="inlineStr">
        <is>
          <t>2026-09-21</t>
        </is>
      </c>
      <c r="B9150" t="inlineStr">
        <is>
          <t>F272275</t>
        </is>
      </c>
      <c r="C9150" t="inlineStr">
        <is>
          <t>C10636</t>
        </is>
      </c>
      <c r="D9150" t="inlineStr">
        <is>
          <t>SKU-10231</t>
        </is>
      </c>
      <c r="E9150" t="inlineStr">
        <is>
          <t>AM02</t>
        </is>
      </c>
      <c r="F9150" s="5" t="n">
        <v>874.24</v>
      </c>
      <c r="G9150">
        <f>IF(LEFT(B9150,1)="C","Credit","Factuur")</f>
        <v/>
      </c>
      <c r="H9150">
        <f>IF(AND(B9150=B9149,D9150=D9149,A9150=A9149,F9150=F9149),1,0)</f>
        <v/>
      </c>
      <c r="I9150">
        <f>IF(C9150="C99999",1,0)</f>
        <v/>
      </c>
      <c r="J9150" s="5">
        <f>IF(OR(H9150=1,I9150=1),0,IF(G9150="Credit",-F9150,F9150))</f>
        <v/>
      </c>
    </row>
    <row r="9151">
      <c r="A9151" t="inlineStr">
        <is>
          <t>2026-09-21</t>
        </is>
      </c>
      <c r="B9151" t="inlineStr">
        <is>
          <t>F272321</t>
        </is>
      </c>
      <c r="C9151" t="inlineStr">
        <is>
          <t>C10638</t>
        </is>
      </c>
      <c r="D9151" t="inlineStr">
        <is>
          <t>SKU-10247</t>
        </is>
      </c>
      <c r="E9151" t="inlineStr">
        <is>
          <t>AM02</t>
        </is>
      </c>
      <c r="F9151" s="5" t="n">
        <v>1702.63</v>
      </c>
      <c r="G9151">
        <f>IF(LEFT(B9151,1)="C","Credit","Factuur")</f>
        <v/>
      </c>
      <c r="H9151">
        <f>IF(AND(B9151=B9150,D9151=D9150,A9151=A9150,F9151=F9150),1,0)</f>
        <v/>
      </c>
      <c r="I9151">
        <f>IF(C9151="C99999",1,0)</f>
        <v/>
      </c>
      <c r="J9151" s="5">
        <f>IF(OR(H9151=1,I9151=1),0,IF(G9151="Credit",-F9151,F9151))</f>
        <v/>
      </c>
    </row>
    <row r="9152">
      <c r="A9152" t="inlineStr">
        <is>
          <t>2026-09-21</t>
        </is>
      </c>
      <c r="B9152" t="inlineStr">
        <is>
          <t>F272651</t>
        </is>
      </c>
      <c r="C9152" t="inlineStr">
        <is>
          <t>C10658</t>
        </is>
      </c>
      <c r="D9152" t="inlineStr">
        <is>
          <t>SKU-10132</t>
        </is>
      </c>
      <c r="E9152" t="inlineStr">
        <is>
          <t>AM11</t>
        </is>
      </c>
      <c r="F9152" s="5" t="n">
        <v>401.45</v>
      </c>
      <c r="G9152">
        <f>IF(LEFT(B9152,1)="C","Credit","Factuur")</f>
        <v/>
      </c>
      <c r="H9152">
        <f>IF(AND(B9152=B9151,D9152=D9151,A9152=A9151,F9152=F9151),1,0)</f>
        <v/>
      </c>
      <c r="I9152">
        <f>IF(C9152="C99999",1,0)</f>
        <v/>
      </c>
      <c r="J9152" s="5">
        <f>IF(OR(H9152=1,I9152=1),0,IF(G9152="Credit",-F9152,F9152))</f>
        <v/>
      </c>
    </row>
    <row r="9153">
      <c r="A9153" t="inlineStr">
        <is>
          <t>2026-09-21</t>
        </is>
      </c>
      <c r="B9153" t="inlineStr">
        <is>
          <t>F272651</t>
        </is>
      </c>
      <c r="C9153" t="inlineStr">
        <is>
          <t>C10658</t>
        </is>
      </c>
      <c r="D9153" t="inlineStr">
        <is>
          <t>SKU-10185</t>
        </is>
      </c>
      <c r="E9153" t="inlineStr">
        <is>
          <t>AM11</t>
        </is>
      </c>
      <c r="F9153" s="5" t="n">
        <v>408.87</v>
      </c>
      <c r="G9153">
        <f>IF(LEFT(B9153,1)="C","Credit","Factuur")</f>
        <v/>
      </c>
      <c r="H9153">
        <f>IF(AND(B9153=B9152,D9153=D9152,A9153=A9152,F9153=F9152),1,0)</f>
        <v/>
      </c>
      <c r="I9153">
        <f>IF(C9153="C99999",1,0)</f>
        <v/>
      </c>
      <c r="J9153" s="5">
        <f>IF(OR(H9153=1,I9153=1),0,IF(G9153="Credit",-F9153,F9153))</f>
        <v/>
      </c>
    </row>
    <row r="9154">
      <c r="A9154" t="inlineStr">
        <is>
          <t>2026-09-21</t>
        </is>
      </c>
      <c r="B9154" t="inlineStr">
        <is>
          <t>F273760</t>
        </is>
      </c>
      <c r="C9154" t="inlineStr">
        <is>
          <t>C10724</t>
        </is>
      </c>
      <c r="D9154" t="inlineStr">
        <is>
          <t>SKU-10343</t>
        </is>
      </c>
      <c r="E9154" t="inlineStr">
        <is>
          <t>AM06</t>
        </is>
      </c>
      <c r="F9154" s="5" t="n">
        <v>651.36</v>
      </c>
      <c r="G9154">
        <f>IF(LEFT(B9154,1)="C","Credit","Factuur")</f>
        <v/>
      </c>
      <c r="H9154">
        <f>IF(AND(B9154=B9153,D9154=D9153,A9154=A9153,F9154=F9153),1,0)</f>
        <v/>
      </c>
      <c r="I9154">
        <f>IF(C9154="C99999",1,0)</f>
        <v/>
      </c>
      <c r="J9154" s="5">
        <f>IF(OR(H9154=1,I9154=1),0,IF(G9154="Credit",-F9154,F9154))</f>
        <v/>
      </c>
    </row>
    <row r="9155">
      <c r="A9155" t="inlineStr">
        <is>
          <t>2026-09-21</t>
        </is>
      </c>
      <c r="B9155" t="inlineStr">
        <is>
          <t>F274158</t>
        </is>
      </c>
      <c r="C9155" t="inlineStr">
        <is>
          <t>C10748</t>
        </is>
      </c>
      <c r="D9155" t="inlineStr">
        <is>
          <t>SKU-10070</t>
        </is>
      </c>
      <c r="E9155" t="inlineStr">
        <is>
          <t>AM02</t>
        </is>
      </c>
      <c r="F9155" s="5" t="n">
        <v>453.62</v>
      </c>
      <c r="G9155">
        <f>IF(LEFT(B9155,1)="C","Credit","Factuur")</f>
        <v/>
      </c>
      <c r="H9155">
        <f>IF(AND(B9155=B9154,D9155=D9154,A9155=A9154,F9155=F9154),1,0)</f>
        <v/>
      </c>
      <c r="I9155">
        <f>IF(C9155="C99999",1,0)</f>
        <v/>
      </c>
      <c r="J9155" s="5">
        <f>IF(OR(H9155=1,I9155=1),0,IF(G9155="Credit",-F9155,F9155))</f>
        <v/>
      </c>
    </row>
    <row r="9156">
      <c r="A9156" t="inlineStr">
        <is>
          <t>2026-09-21</t>
        </is>
      </c>
      <c r="B9156" t="inlineStr">
        <is>
          <t>F274158</t>
        </is>
      </c>
      <c r="C9156" t="inlineStr">
        <is>
          <t>C10748</t>
        </is>
      </c>
      <c r="D9156" t="inlineStr">
        <is>
          <t>SKU-10089</t>
        </is>
      </c>
      <c r="E9156" t="inlineStr">
        <is>
          <t>AM02</t>
        </is>
      </c>
      <c r="F9156" s="5" t="n">
        <v>455.3</v>
      </c>
      <c r="G9156">
        <f>IF(LEFT(B9156,1)="C","Credit","Factuur")</f>
        <v/>
      </c>
      <c r="H9156">
        <f>IF(AND(B9156=B9155,D9156=D9155,A9156=A9155,F9156=F9155),1,0)</f>
        <v/>
      </c>
      <c r="I9156">
        <f>IF(C9156="C99999",1,0)</f>
        <v/>
      </c>
      <c r="J9156" s="5">
        <f>IF(OR(H9156=1,I9156=1),0,IF(G9156="Credit",-F9156,F9156))</f>
        <v/>
      </c>
    </row>
    <row r="9157">
      <c r="A9157" t="inlineStr">
        <is>
          <t>2026-09-21</t>
        </is>
      </c>
      <c r="B9157" t="inlineStr">
        <is>
          <t>F274717</t>
        </is>
      </c>
      <c r="C9157" t="inlineStr">
        <is>
          <t>C10779</t>
        </is>
      </c>
      <c r="D9157" t="inlineStr">
        <is>
          <t>SKU-10230</t>
        </is>
      </c>
      <c r="E9157" t="inlineStr">
        <is>
          <t>AM09</t>
        </is>
      </c>
      <c r="F9157" s="5" t="n">
        <v>6080.76</v>
      </c>
      <c r="G9157">
        <f>IF(LEFT(B9157,1)="C","Credit","Factuur")</f>
        <v/>
      </c>
      <c r="H9157">
        <f>IF(AND(B9157=B9156,D9157=D9156,A9157=A9156,F9157=F9156),1,0)</f>
        <v/>
      </c>
      <c r="I9157">
        <f>IF(C9157="C99999",1,0)</f>
        <v/>
      </c>
      <c r="J9157" s="5">
        <f>IF(OR(H9157=1,I9157=1),0,IF(G9157="Credit",-F9157,F9157))</f>
        <v/>
      </c>
    </row>
    <row r="9158">
      <c r="A9158" t="inlineStr">
        <is>
          <t>2026-09-21</t>
        </is>
      </c>
      <c r="B9158" t="inlineStr">
        <is>
          <t>F274717</t>
        </is>
      </c>
      <c r="C9158" t="inlineStr">
        <is>
          <t>C10779</t>
        </is>
      </c>
      <c r="D9158" t="inlineStr">
        <is>
          <t>SKU-10266</t>
        </is>
      </c>
      <c r="E9158" t="inlineStr">
        <is>
          <t>AM09</t>
        </is>
      </c>
      <c r="F9158" s="5" t="n">
        <v>6086</v>
      </c>
      <c r="G9158">
        <f>IF(LEFT(B9158,1)="C","Credit","Factuur")</f>
        <v/>
      </c>
      <c r="H9158">
        <f>IF(AND(B9158=B9157,D9158=D9157,A9158=A9157,F9158=F9157),1,0)</f>
        <v/>
      </c>
      <c r="I9158">
        <f>IF(C9158="C99999",1,0)</f>
        <v/>
      </c>
      <c r="J9158" s="5">
        <f>IF(OR(H9158=1,I9158=1),0,IF(G9158="Credit",-F9158,F9158))</f>
        <v/>
      </c>
    </row>
    <row r="9159">
      <c r="A9159" t="inlineStr">
        <is>
          <t>2026-09-21</t>
        </is>
      </c>
      <c r="B9159" t="inlineStr">
        <is>
          <t>F274783</t>
        </is>
      </c>
      <c r="C9159" t="inlineStr">
        <is>
          <t>C10782</t>
        </is>
      </c>
      <c r="D9159" t="inlineStr">
        <is>
          <t>SKU-10027</t>
        </is>
      </c>
      <c r="E9159" t="inlineStr">
        <is>
          <t>AM03</t>
        </is>
      </c>
      <c r="F9159" s="5" t="n">
        <v>730.49</v>
      </c>
      <c r="G9159">
        <f>IF(LEFT(B9159,1)="C","Credit","Factuur")</f>
        <v/>
      </c>
      <c r="H9159">
        <f>IF(AND(B9159=B9158,D9159=D9158,A9159=A9158,F9159=F9158),1,0)</f>
        <v/>
      </c>
      <c r="I9159">
        <f>IF(C9159="C99999",1,0)</f>
        <v/>
      </c>
      <c r="J9159" s="5">
        <f>IF(OR(H9159=1,I9159=1),0,IF(G9159="Credit",-F9159,F9159))</f>
        <v/>
      </c>
    </row>
    <row r="9160">
      <c r="A9160" t="inlineStr">
        <is>
          <t>2026-09-21</t>
        </is>
      </c>
      <c r="B9160" t="inlineStr">
        <is>
          <t>F274783</t>
        </is>
      </c>
      <c r="C9160" t="inlineStr">
        <is>
          <t>C10782</t>
        </is>
      </c>
      <c r="D9160" t="inlineStr">
        <is>
          <t>SKU-10123</t>
        </is>
      </c>
      <c r="E9160" t="inlineStr">
        <is>
          <t>AM03</t>
        </is>
      </c>
      <c r="F9160" s="5" t="n">
        <v>783.37</v>
      </c>
      <c r="G9160">
        <f>IF(LEFT(B9160,1)="C","Credit","Factuur")</f>
        <v/>
      </c>
      <c r="H9160">
        <f>IF(AND(B9160=B9159,D9160=D9159,A9160=A9159,F9160=F9159),1,0)</f>
        <v/>
      </c>
      <c r="I9160">
        <f>IF(C9160="C99999",1,0)</f>
        <v/>
      </c>
      <c r="J9160" s="5">
        <f>IF(OR(H9160=1,I9160=1),0,IF(G9160="Credit",-F9160,F9160))</f>
        <v/>
      </c>
    </row>
    <row r="9161">
      <c r="A9161" t="inlineStr">
        <is>
          <t>2026-09-21</t>
        </is>
      </c>
      <c r="B9161" t="inlineStr">
        <is>
          <t>F274783</t>
        </is>
      </c>
      <c r="C9161" t="inlineStr">
        <is>
          <t>C10782</t>
        </is>
      </c>
      <c r="D9161" t="inlineStr">
        <is>
          <t>SKU-10260</t>
        </is>
      </c>
      <c r="E9161" t="inlineStr">
        <is>
          <t>AM03</t>
        </is>
      </c>
      <c r="F9161" s="5" t="n">
        <v>773.49</v>
      </c>
      <c r="G9161">
        <f>IF(LEFT(B9161,1)="C","Credit","Factuur")</f>
        <v/>
      </c>
      <c r="H9161">
        <f>IF(AND(B9161=B9160,D9161=D9160,A9161=A9160,F9161=F9160),1,0)</f>
        <v/>
      </c>
      <c r="I9161">
        <f>IF(C9161="C99999",1,0)</f>
        <v/>
      </c>
      <c r="J9161" s="5">
        <f>IF(OR(H9161=1,I9161=1),0,IF(G9161="Credit",-F9161,F9161))</f>
        <v/>
      </c>
    </row>
    <row r="9162">
      <c r="A9162" t="inlineStr">
        <is>
          <t>2026-09-21</t>
        </is>
      </c>
      <c r="B9162" t="inlineStr">
        <is>
          <t>F274847</t>
        </is>
      </c>
      <c r="C9162" t="inlineStr">
        <is>
          <t>C10785</t>
        </is>
      </c>
      <c r="D9162" t="inlineStr">
        <is>
          <t>SKU-10029</t>
        </is>
      </c>
      <c r="E9162" t="inlineStr">
        <is>
          <t>AM11</t>
        </is>
      </c>
      <c r="F9162" s="5" t="n">
        <v>39.4</v>
      </c>
      <c r="G9162">
        <f>IF(LEFT(B9162,1)="C","Credit","Factuur")</f>
        <v/>
      </c>
      <c r="H9162">
        <f>IF(AND(B9162=B9161,D9162=D9161,A9162=A9161,F9162=F9161),1,0)</f>
        <v/>
      </c>
      <c r="I9162">
        <f>IF(C9162="C99999",1,0)</f>
        <v/>
      </c>
      <c r="J9162" s="5">
        <f>IF(OR(H9162=1,I9162=1),0,IF(G9162="Credit",-F9162,F9162))</f>
        <v/>
      </c>
    </row>
    <row r="9163">
      <c r="A9163" t="inlineStr">
        <is>
          <t>2026-09-21</t>
        </is>
      </c>
      <c r="B9163" t="inlineStr">
        <is>
          <t>F274847</t>
        </is>
      </c>
      <c r="C9163" t="inlineStr">
        <is>
          <t>C10785</t>
        </is>
      </c>
      <c r="D9163" t="inlineStr">
        <is>
          <t>SKU-10040</t>
        </is>
      </c>
      <c r="E9163" t="inlineStr">
        <is>
          <t>AM11</t>
        </is>
      </c>
      <c r="F9163" s="5" t="n">
        <v>45.06</v>
      </c>
      <c r="G9163">
        <f>IF(LEFT(B9163,1)="C","Credit","Factuur")</f>
        <v/>
      </c>
      <c r="H9163">
        <f>IF(AND(B9163=B9162,D9163=D9162,A9163=A9162,F9163=F9162),1,0)</f>
        <v/>
      </c>
      <c r="I9163">
        <f>IF(C9163="C99999",1,0)</f>
        <v/>
      </c>
      <c r="J9163" s="5">
        <f>IF(OR(H9163=1,I9163=1),0,IF(G9163="Credit",-F9163,F9163))</f>
        <v/>
      </c>
    </row>
    <row r="9164">
      <c r="A9164" t="inlineStr">
        <is>
          <t>2026-09-21</t>
        </is>
      </c>
      <c r="B9164" t="inlineStr">
        <is>
          <t>F274847</t>
        </is>
      </c>
      <c r="C9164" t="inlineStr">
        <is>
          <t>C10785</t>
        </is>
      </c>
      <c r="D9164" t="inlineStr">
        <is>
          <t>SKU-10090</t>
        </is>
      </c>
      <c r="E9164" t="inlineStr">
        <is>
          <t>AM11</t>
        </is>
      </c>
      <c r="F9164" s="5" t="n">
        <v>121.22</v>
      </c>
      <c r="G9164">
        <f>IF(LEFT(B9164,1)="C","Credit","Factuur")</f>
        <v/>
      </c>
      <c r="H9164">
        <f>IF(AND(B9164=B9163,D9164=D9163,A9164=A9163,F9164=F9163),1,0)</f>
        <v/>
      </c>
      <c r="I9164">
        <f>IF(C9164="C99999",1,0)</f>
        <v/>
      </c>
      <c r="J9164" s="5">
        <f>IF(OR(H9164=1,I9164=1),0,IF(G9164="Credit",-F9164,F9164))</f>
        <v/>
      </c>
    </row>
    <row r="9165">
      <c r="A9165" t="inlineStr">
        <is>
          <t>2026-09-21</t>
        </is>
      </c>
      <c r="B9165" t="inlineStr">
        <is>
          <t>F274847</t>
        </is>
      </c>
      <c r="C9165" t="inlineStr">
        <is>
          <t>C10785</t>
        </is>
      </c>
      <c r="D9165" t="inlineStr">
        <is>
          <t>SKU-10166</t>
        </is>
      </c>
      <c r="E9165" t="inlineStr">
        <is>
          <t>AM11</t>
        </is>
      </c>
      <c r="F9165" s="5" t="n">
        <v>43.83</v>
      </c>
      <c r="G9165">
        <f>IF(LEFT(B9165,1)="C","Credit","Factuur")</f>
        <v/>
      </c>
      <c r="H9165">
        <f>IF(AND(B9165=B9164,D9165=D9164,A9165=A9164,F9165=F9164),1,0)</f>
        <v/>
      </c>
      <c r="I9165">
        <f>IF(C9165="C99999",1,0)</f>
        <v/>
      </c>
      <c r="J9165" s="5">
        <f>IF(OR(H9165=1,I9165=1),0,IF(G9165="Credit",-F9165,F9165))</f>
        <v/>
      </c>
    </row>
    <row r="9166">
      <c r="A9166" t="inlineStr">
        <is>
          <t>2026-09-21</t>
        </is>
      </c>
      <c r="B9166" t="inlineStr">
        <is>
          <t>F274847</t>
        </is>
      </c>
      <c r="C9166" t="inlineStr">
        <is>
          <t>C10785</t>
        </is>
      </c>
      <c r="D9166" t="inlineStr">
        <is>
          <t>SKU-10245</t>
        </is>
      </c>
      <c r="E9166" t="inlineStr">
        <is>
          <t>AM11</t>
        </is>
      </c>
      <c r="F9166" s="5" t="n">
        <v>50.54</v>
      </c>
      <c r="G9166">
        <f>IF(LEFT(B9166,1)="C","Credit","Factuur")</f>
        <v/>
      </c>
      <c r="H9166">
        <f>IF(AND(B9166=B9165,D9166=D9165,A9166=A9165,F9166=F9165),1,0)</f>
        <v/>
      </c>
      <c r="I9166">
        <f>IF(C9166="C99999",1,0)</f>
        <v/>
      </c>
      <c r="J9166" s="5">
        <f>IF(OR(H9166=1,I9166=1),0,IF(G9166="Credit",-F9166,F9166))</f>
        <v/>
      </c>
    </row>
    <row r="9167">
      <c r="A9167" t="inlineStr">
        <is>
          <t>2026-09-21</t>
        </is>
      </c>
      <c r="B9167" t="inlineStr">
        <is>
          <t>F274976</t>
        </is>
      </c>
      <c r="C9167" t="inlineStr">
        <is>
          <t>C10790</t>
        </is>
      </c>
      <c r="D9167" t="inlineStr">
        <is>
          <t>SKU-10011</t>
        </is>
      </c>
      <c r="E9167" t="inlineStr">
        <is>
          <t>AM03</t>
        </is>
      </c>
      <c r="F9167" s="5" t="n">
        <v>97.44</v>
      </c>
      <c r="G9167">
        <f>IF(LEFT(B9167,1)="C","Credit","Factuur")</f>
        <v/>
      </c>
      <c r="H9167">
        <f>IF(AND(B9167=B9166,D9167=D9166,A9167=A9166,F9167=F9166),1,0)</f>
        <v/>
      </c>
      <c r="I9167">
        <f>IF(C9167="C99999",1,0)</f>
        <v/>
      </c>
      <c r="J9167" s="5">
        <f>IF(OR(H9167=1,I9167=1),0,IF(G9167="Credit",-F9167,F9167))</f>
        <v/>
      </c>
    </row>
    <row r="9168">
      <c r="A9168" t="inlineStr">
        <is>
          <t>2026-09-21</t>
        </is>
      </c>
      <c r="B9168" t="inlineStr">
        <is>
          <t>F274976</t>
        </is>
      </c>
      <c r="C9168" t="inlineStr">
        <is>
          <t>C10790</t>
        </is>
      </c>
      <c r="D9168" t="inlineStr">
        <is>
          <t>SKU-10048</t>
        </is>
      </c>
      <c r="E9168" t="inlineStr">
        <is>
          <t>AM03</t>
        </is>
      </c>
      <c r="F9168" s="5" t="n">
        <v>105.22</v>
      </c>
      <c r="G9168">
        <f>IF(LEFT(B9168,1)="C","Credit","Factuur")</f>
        <v/>
      </c>
      <c r="H9168">
        <f>IF(AND(B9168=B9167,D9168=D9167,A9168=A9167,F9168=F9167),1,0)</f>
        <v/>
      </c>
      <c r="I9168">
        <f>IF(C9168="C99999",1,0)</f>
        <v/>
      </c>
      <c r="J9168" s="5">
        <f>IF(OR(H9168=1,I9168=1),0,IF(G9168="Credit",-F9168,F9168))</f>
        <v/>
      </c>
    </row>
    <row r="9169">
      <c r="A9169" t="inlineStr">
        <is>
          <t>2026-09-21</t>
        </is>
      </c>
      <c r="B9169" t="inlineStr">
        <is>
          <t>F274976</t>
        </is>
      </c>
      <c r="C9169" t="inlineStr">
        <is>
          <t>C10790</t>
        </is>
      </c>
      <c r="D9169" t="inlineStr">
        <is>
          <t>SKU-10068</t>
        </is>
      </c>
      <c r="E9169" t="inlineStr">
        <is>
          <t>AM03</t>
        </is>
      </c>
      <c r="F9169" s="5" t="n">
        <v>98.01000000000001</v>
      </c>
      <c r="G9169">
        <f>IF(LEFT(B9169,1)="C","Credit","Factuur")</f>
        <v/>
      </c>
      <c r="H9169">
        <f>IF(AND(B9169=B9168,D9169=D9168,A9169=A9168,F9169=F9168),1,0)</f>
        <v/>
      </c>
      <c r="I9169">
        <f>IF(C9169="C99999",1,0)</f>
        <v/>
      </c>
      <c r="J9169" s="5">
        <f>IF(OR(H9169=1,I9169=1),0,IF(G9169="Credit",-F9169,F9169))</f>
        <v/>
      </c>
    </row>
    <row r="9170">
      <c r="A9170" t="inlineStr">
        <is>
          <t>2026-09-21</t>
        </is>
      </c>
      <c r="B9170" t="inlineStr">
        <is>
          <t>F274976</t>
        </is>
      </c>
      <c r="C9170" t="inlineStr">
        <is>
          <t>C10790</t>
        </is>
      </c>
      <c r="D9170" t="inlineStr">
        <is>
          <t>SKU-10100</t>
        </is>
      </c>
      <c r="E9170" t="inlineStr">
        <is>
          <t>AM03</t>
        </is>
      </c>
      <c r="F9170" s="5" t="n">
        <v>86.58</v>
      </c>
      <c r="G9170">
        <f>IF(LEFT(B9170,1)="C","Credit","Factuur")</f>
        <v/>
      </c>
      <c r="H9170">
        <f>IF(AND(B9170=B9169,D9170=D9169,A9170=A9169,F9170=F9169),1,0)</f>
        <v/>
      </c>
      <c r="I9170">
        <f>IF(C9170="C99999",1,0)</f>
        <v/>
      </c>
      <c r="J9170" s="5">
        <f>IF(OR(H9170=1,I9170=1),0,IF(G9170="Credit",-F9170,F9170))</f>
        <v/>
      </c>
    </row>
    <row r="9171">
      <c r="A9171" t="inlineStr">
        <is>
          <t>2026-09-21</t>
        </is>
      </c>
      <c r="B9171" t="inlineStr">
        <is>
          <t>F276352</t>
        </is>
      </c>
      <c r="C9171" t="inlineStr">
        <is>
          <t>C10866</t>
        </is>
      </c>
      <c r="D9171" t="inlineStr">
        <is>
          <t>SKU-10219</t>
        </is>
      </c>
      <c r="E9171" t="inlineStr">
        <is>
          <t>AM11</t>
        </is>
      </c>
      <c r="F9171" s="5" t="n">
        <v>533.6</v>
      </c>
      <c r="G9171">
        <f>IF(LEFT(B9171,1)="C","Credit","Factuur")</f>
        <v/>
      </c>
      <c r="H9171">
        <f>IF(AND(B9171=B9170,D9171=D9170,A9171=A9170,F9171=F9170),1,0)</f>
        <v/>
      </c>
      <c r="I9171">
        <f>IF(C9171="C99999",1,0)</f>
        <v/>
      </c>
      <c r="J9171" s="5">
        <f>IF(OR(H9171=1,I9171=1),0,IF(G9171="Credit",-F9171,F9171))</f>
        <v/>
      </c>
    </row>
    <row r="9172">
      <c r="A9172" t="inlineStr">
        <is>
          <t>2026-09-21</t>
        </is>
      </c>
      <c r="B9172" t="inlineStr">
        <is>
          <t>F276352</t>
        </is>
      </c>
      <c r="C9172" t="inlineStr">
        <is>
          <t>C10866</t>
        </is>
      </c>
      <c r="D9172" t="inlineStr">
        <is>
          <t>SKU-10246</t>
        </is>
      </c>
      <c r="E9172" t="inlineStr">
        <is>
          <t>AM11</t>
        </is>
      </c>
      <c r="F9172" s="5" t="n">
        <v>525.3099999999999</v>
      </c>
      <c r="G9172">
        <f>IF(LEFT(B9172,1)="C","Credit","Factuur")</f>
        <v/>
      </c>
      <c r="H9172">
        <f>IF(AND(B9172=B9171,D9172=D9171,A9172=A9171,F9172=F9171),1,0)</f>
        <v/>
      </c>
      <c r="I9172">
        <f>IF(C9172="C99999",1,0)</f>
        <v/>
      </c>
      <c r="J9172" s="5">
        <f>IF(OR(H9172=1,I9172=1),0,IF(G9172="Credit",-F9172,F9172))</f>
        <v/>
      </c>
    </row>
    <row r="9173">
      <c r="A9173" t="inlineStr">
        <is>
          <t>2026-09-21</t>
        </is>
      </c>
      <c r="B9173" t="inlineStr">
        <is>
          <t>F276352</t>
        </is>
      </c>
      <c r="C9173" t="inlineStr">
        <is>
          <t>C10866</t>
        </is>
      </c>
      <c r="D9173" t="inlineStr">
        <is>
          <t>SKU-10269</t>
        </is>
      </c>
      <c r="E9173" t="inlineStr">
        <is>
          <t>AM11</t>
        </is>
      </c>
      <c r="F9173" s="5" t="n">
        <v>548.34</v>
      </c>
      <c r="G9173">
        <f>IF(LEFT(B9173,1)="C","Credit","Factuur")</f>
        <v/>
      </c>
      <c r="H9173">
        <f>IF(AND(B9173=B9172,D9173=D9172,A9173=A9172,F9173=F9172),1,0)</f>
        <v/>
      </c>
      <c r="I9173">
        <f>IF(C9173="C99999",1,0)</f>
        <v/>
      </c>
      <c r="J9173" s="5">
        <f>IF(OR(H9173=1,I9173=1),0,IF(G9173="Credit",-F9173,F9173))</f>
        <v/>
      </c>
    </row>
    <row r="9174">
      <c r="A9174" t="inlineStr">
        <is>
          <t>2026-09-21</t>
        </is>
      </c>
      <c r="B9174" t="inlineStr">
        <is>
          <t>F276352</t>
        </is>
      </c>
      <c r="C9174" t="inlineStr">
        <is>
          <t>C10866</t>
        </is>
      </c>
      <c r="D9174" t="inlineStr">
        <is>
          <t>SKU-10302</t>
        </is>
      </c>
      <c r="E9174" t="inlineStr">
        <is>
          <t>AM11</t>
        </is>
      </c>
      <c r="F9174" s="5" t="n">
        <v>447.88</v>
      </c>
      <c r="G9174">
        <f>IF(LEFT(B9174,1)="C","Credit","Factuur")</f>
        <v/>
      </c>
      <c r="H9174">
        <f>IF(AND(B9174=B9173,D9174=D9173,A9174=A9173,F9174=F9173),1,0)</f>
        <v/>
      </c>
      <c r="I9174">
        <f>IF(C9174="C99999",1,0)</f>
        <v/>
      </c>
      <c r="J9174" s="5">
        <f>IF(OR(H9174=1,I9174=1),0,IF(G9174="Credit",-F9174,F9174))</f>
        <v/>
      </c>
    </row>
    <row r="9175">
      <c r="A9175" t="inlineStr">
        <is>
          <t>2026-09-21</t>
        </is>
      </c>
      <c r="B9175" t="inlineStr">
        <is>
          <t>F276352</t>
        </is>
      </c>
      <c r="C9175" t="inlineStr">
        <is>
          <t>C10866</t>
        </is>
      </c>
      <c r="D9175" t="inlineStr">
        <is>
          <t>SKU-10311</t>
        </is>
      </c>
      <c r="E9175" t="inlineStr">
        <is>
          <t>AM11</t>
        </is>
      </c>
      <c r="F9175" s="5" t="n">
        <v>489.84</v>
      </c>
      <c r="G9175">
        <f>IF(LEFT(B9175,1)="C","Credit","Factuur")</f>
        <v/>
      </c>
      <c r="H9175">
        <f>IF(AND(B9175=B9174,D9175=D9174,A9175=A9174,F9175=F9174),1,0)</f>
        <v/>
      </c>
      <c r="I9175">
        <f>IF(C9175="C99999",1,0)</f>
        <v/>
      </c>
      <c r="J9175" s="5">
        <f>IF(OR(H9175=1,I9175=1),0,IF(G9175="Credit",-F9175,F9175))</f>
        <v/>
      </c>
    </row>
    <row r="9176">
      <c r="A9176" t="inlineStr">
        <is>
          <t>2026-09-21</t>
        </is>
      </c>
      <c r="B9176" t="inlineStr">
        <is>
          <t>F276832</t>
        </is>
      </c>
      <c r="C9176" t="inlineStr">
        <is>
          <t>C10892</t>
        </is>
      </c>
      <c r="D9176" t="inlineStr">
        <is>
          <t>SKU-10222</t>
        </is>
      </c>
      <c r="E9176" t="inlineStr">
        <is>
          <t>AM06</t>
        </is>
      </c>
      <c r="F9176" s="5" t="n">
        <v>210.56</v>
      </c>
      <c r="G9176">
        <f>IF(LEFT(B9176,1)="C","Credit","Factuur")</f>
        <v/>
      </c>
      <c r="H9176">
        <f>IF(AND(B9176=B9175,D9176=D9175,A9176=A9175,F9176=F9175),1,0)</f>
        <v/>
      </c>
      <c r="I9176">
        <f>IF(C9176="C99999",1,0)</f>
        <v/>
      </c>
      <c r="J9176" s="5">
        <f>IF(OR(H9176=1,I9176=1),0,IF(G9176="Credit",-F9176,F9176))</f>
        <v/>
      </c>
    </row>
    <row r="9177">
      <c r="A9177" t="inlineStr">
        <is>
          <t>2026-09-21</t>
        </is>
      </c>
      <c r="B9177" t="inlineStr">
        <is>
          <t>F276832</t>
        </is>
      </c>
      <c r="C9177" t="inlineStr">
        <is>
          <t>C10892</t>
        </is>
      </c>
      <c r="D9177" t="inlineStr">
        <is>
          <t>SKU-10256</t>
        </is>
      </c>
      <c r="E9177" t="inlineStr">
        <is>
          <t>AM06</t>
        </is>
      </c>
      <c r="F9177" s="5" t="n">
        <v>187.66</v>
      </c>
      <c r="G9177">
        <f>IF(LEFT(B9177,1)="C","Credit","Factuur")</f>
        <v/>
      </c>
      <c r="H9177">
        <f>IF(AND(B9177=B9176,D9177=D9176,A9177=A9176,F9177=F9176),1,0)</f>
        <v/>
      </c>
      <c r="I9177">
        <f>IF(C9177="C99999",1,0)</f>
        <v/>
      </c>
      <c r="J9177" s="5">
        <f>IF(OR(H9177=1,I9177=1),0,IF(G9177="Credit",-F9177,F9177))</f>
        <v/>
      </c>
    </row>
    <row r="9178">
      <c r="A9178" t="inlineStr">
        <is>
          <t>2026-09-21</t>
        </is>
      </c>
      <c r="B9178" t="inlineStr">
        <is>
          <t>F276832</t>
        </is>
      </c>
      <c r="C9178" t="inlineStr">
        <is>
          <t>C10892</t>
        </is>
      </c>
      <c r="D9178" t="inlineStr">
        <is>
          <t>SKU-10341</t>
        </is>
      </c>
      <c r="E9178" t="inlineStr">
        <is>
          <t>AM06</t>
        </is>
      </c>
      <c r="F9178" s="5" t="n">
        <v>177.06</v>
      </c>
      <c r="G9178">
        <f>IF(LEFT(B9178,1)="C","Credit","Factuur")</f>
        <v/>
      </c>
      <c r="H9178">
        <f>IF(AND(B9178=B9177,D9178=D9177,A9178=A9177,F9178=F9177),1,0)</f>
        <v/>
      </c>
      <c r="I9178">
        <f>IF(C9178="C99999",1,0)</f>
        <v/>
      </c>
      <c r="J9178" s="5">
        <f>IF(OR(H9178=1,I9178=1),0,IF(G9178="Credit",-F9178,F9178))</f>
        <v/>
      </c>
    </row>
    <row r="9179">
      <c r="A9179" t="inlineStr">
        <is>
          <t>2026-09-21</t>
        </is>
      </c>
      <c r="B9179" t="inlineStr">
        <is>
          <t>F277841</t>
        </is>
      </c>
      <c r="C9179" t="inlineStr">
        <is>
          <t>C10948</t>
        </is>
      </c>
      <c r="D9179" t="inlineStr">
        <is>
          <t>SKU-10041</t>
        </is>
      </c>
      <c r="E9179" t="inlineStr">
        <is>
          <t>AM06</t>
        </is>
      </c>
      <c r="F9179" s="5" t="n">
        <v>220.16</v>
      </c>
      <c r="G9179">
        <f>IF(LEFT(B9179,1)="C","Credit","Factuur")</f>
        <v/>
      </c>
      <c r="H9179">
        <f>IF(AND(B9179=B9178,D9179=D9178,A9179=A9178,F9179=F9178),1,0)</f>
        <v/>
      </c>
      <c r="I9179">
        <f>IF(C9179="C99999",1,0)</f>
        <v/>
      </c>
      <c r="J9179" s="5">
        <f>IF(OR(H9179=1,I9179=1),0,IF(G9179="Credit",-F9179,F9179))</f>
        <v/>
      </c>
    </row>
    <row r="9180">
      <c r="A9180" t="inlineStr">
        <is>
          <t>2026-09-21</t>
        </is>
      </c>
      <c r="B9180" t="inlineStr">
        <is>
          <t>F277841</t>
        </is>
      </c>
      <c r="C9180" t="inlineStr">
        <is>
          <t>C10948</t>
        </is>
      </c>
      <c r="D9180" t="inlineStr">
        <is>
          <t>SKU-10068</t>
        </is>
      </c>
      <c r="E9180" t="inlineStr">
        <is>
          <t>AM06</t>
        </is>
      </c>
      <c r="F9180" s="5" t="n">
        <v>217.8</v>
      </c>
      <c r="G9180">
        <f>IF(LEFT(B9180,1)="C","Credit","Factuur")</f>
        <v/>
      </c>
      <c r="H9180">
        <f>IF(AND(B9180=B9179,D9180=D9179,A9180=A9179,F9180=F9179),1,0)</f>
        <v/>
      </c>
      <c r="I9180">
        <f>IF(C9180="C99999",1,0)</f>
        <v/>
      </c>
      <c r="J9180" s="5">
        <f>IF(OR(H9180=1,I9180=1),0,IF(G9180="Credit",-F9180,F9180))</f>
        <v/>
      </c>
    </row>
    <row r="9181">
      <c r="A9181" t="inlineStr">
        <is>
          <t>2026-09-21</t>
        </is>
      </c>
      <c r="B9181" t="inlineStr">
        <is>
          <t>F277841</t>
        </is>
      </c>
      <c r="C9181" t="inlineStr">
        <is>
          <t>C10948</t>
        </is>
      </c>
      <c r="D9181" t="inlineStr">
        <is>
          <t>SKU-10086</t>
        </is>
      </c>
      <c r="E9181" t="inlineStr">
        <is>
          <t>AM06</t>
        </is>
      </c>
      <c r="F9181" s="5" t="n">
        <v>221.34</v>
      </c>
      <c r="G9181">
        <f>IF(LEFT(B9181,1)="C","Credit","Factuur")</f>
        <v/>
      </c>
      <c r="H9181">
        <f>IF(AND(B9181=B9180,D9181=D9180,A9181=A9180,F9181=F9180),1,0)</f>
        <v/>
      </c>
      <c r="I9181">
        <f>IF(C9181="C99999",1,0)</f>
        <v/>
      </c>
      <c r="J9181" s="5">
        <f>IF(OR(H9181=1,I9181=1),0,IF(G9181="Credit",-F9181,F9181))</f>
        <v/>
      </c>
    </row>
    <row r="9182">
      <c r="A9182" t="inlineStr">
        <is>
          <t>2026-09-21</t>
        </is>
      </c>
      <c r="B9182" t="inlineStr">
        <is>
          <t>F277841</t>
        </is>
      </c>
      <c r="C9182" t="inlineStr">
        <is>
          <t>C10948</t>
        </is>
      </c>
      <c r="D9182" t="inlineStr">
        <is>
          <t>SKU-10196</t>
        </is>
      </c>
      <c r="E9182" t="inlineStr">
        <is>
          <t>AM06</t>
        </is>
      </c>
      <c r="F9182" s="5" t="n">
        <v>207.09</v>
      </c>
      <c r="G9182">
        <f>IF(LEFT(B9182,1)="C","Credit","Factuur")</f>
        <v/>
      </c>
      <c r="H9182">
        <f>IF(AND(B9182=B9181,D9182=D9181,A9182=A9181,F9182=F9181),1,0)</f>
        <v/>
      </c>
      <c r="I9182">
        <f>IF(C9182="C99999",1,0)</f>
        <v/>
      </c>
      <c r="J9182" s="5">
        <f>IF(OR(H9182=1,I9182=1),0,IF(G9182="Credit",-F9182,F9182))</f>
        <v/>
      </c>
    </row>
    <row r="9183">
      <c r="A9183" t="inlineStr">
        <is>
          <t>2026-09-21</t>
        </is>
      </c>
      <c r="B9183" t="inlineStr">
        <is>
          <t>F278046</t>
        </is>
      </c>
      <c r="C9183" t="inlineStr">
        <is>
          <t>C10958</t>
        </is>
      </c>
      <c r="D9183" t="inlineStr">
        <is>
          <t>SKU-10282</t>
        </is>
      </c>
      <c r="E9183" t="inlineStr">
        <is>
          <t>AM12</t>
        </is>
      </c>
      <c r="F9183" s="5" t="n">
        <v>737.8</v>
      </c>
      <c r="G9183">
        <f>IF(LEFT(B9183,1)="C","Credit","Factuur")</f>
        <v/>
      </c>
      <c r="H9183">
        <f>IF(AND(B9183=B9182,D9183=D9182,A9183=A9182,F9183=F9182),1,0)</f>
        <v/>
      </c>
      <c r="I9183">
        <f>IF(C9183="C99999",1,0)</f>
        <v/>
      </c>
      <c r="J9183" s="5">
        <f>IF(OR(H9183=1,I9183=1),0,IF(G9183="Credit",-F9183,F9183))</f>
        <v/>
      </c>
    </row>
    <row r="9184">
      <c r="A9184" t="inlineStr">
        <is>
          <t>2026-09-21</t>
        </is>
      </c>
      <c r="B9184" t="inlineStr">
        <is>
          <t>F278746</t>
        </is>
      </c>
      <c r="C9184" t="inlineStr">
        <is>
          <t>C10994</t>
        </is>
      </c>
      <c r="D9184" t="inlineStr">
        <is>
          <t>SKU-10087</t>
        </is>
      </c>
      <c r="E9184" t="inlineStr">
        <is>
          <t>AM01</t>
        </is>
      </c>
      <c r="F9184" s="5" t="n">
        <v>387.09</v>
      </c>
      <c r="G9184">
        <f>IF(LEFT(B9184,1)="C","Credit","Factuur")</f>
        <v/>
      </c>
      <c r="H9184">
        <f>IF(AND(B9184=B9183,D9184=D9183,A9184=A9183,F9184=F9183),1,0)</f>
        <v/>
      </c>
      <c r="I9184">
        <f>IF(C9184="C99999",1,0)</f>
        <v/>
      </c>
      <c r="J9184" s="5">
        <f>IF(OR(H9184=1,I9184=1),0,IF(G9184="Credit",-F9184,F9184))</f>
        <v/>
      </c>
    </row>
    <row r="9185">
      <c r="A9185" t="inlineStr">
        <is>
          <t>2026-09-21</t>
        </is>
      </c>
      <c r="B9185" t="inlineStr">
        <is>
          <t>F279496</t>
        </is>
      </c>
      <c r="C9185" t="inlineStr">
        <is>
          <t>C11034</t>
        </is>
      </c>
      <c r="D9185" t="inlineStr">
        <is>
          <t>SKU-10044</t>
        </is>
      </c>
      <c r="E9185" t="inlineStr">
        <is>
          <t>AM03</t>
        </is>
      </c>
      <c r="F9185" s="5" t="n">
        <v>373.01</v>
      </c>
      <c r="G9185">
        <f>IF(LEFT(B9185,1)="C","Credit","Factuur")</f>
        <v/>
      </c>
      <c r="H9185">
        <f>IF(AND(B9185=B9184,D9185=D9184,A9185=A9184,F9185=F9184),1,0)</f>
        <v/>
      </c>
      <c r="I9185">
        <f>IF(C9185="C99999",1,0)</f>
        <v/>
      </c>
      <c r="J9185" s="5">
        <f>IF(OR(H9185=1,I9185=1),0,IF(G9185="Credit",-F9185,F9185))</f>
        <v/>
      </c>
    </row>
    <row r="9186">
      <c r="A9186" t="inlineStr">
        <is>
          <t>2026-09-21</t>
        </is>
      </c>
      <c r="B9186" t="inlineStr">
        <is>
          <t>F279496</t>
        </is>
      </c>
      <c r="C9186" t="inlineStr">
        <is>
          <t>C11034</t>
        </is>
      </c>
      <c r="D9186" t="inlineStr">
        <is>
          <t>SKU-10189</t>
        </is>
      </c>
      <c r="E9186" t="inlineStr">
        <is>
          <t>AM03</t>
        </is>
      </c>
      <c r="F9186" s="5" t="n">
        <v>352.45</v>
      </c>
      <c r="G9186">
        <f>IF(LEFT(B9186,1)="C","Credit","Factuur")</f>
        <v/>
      </c>
      <c r="H9186">
        <f>IF(AND(B9186=B9185,D9186=D9185,A9186=A9185,F9186=F9185),1,0)</f>
        <v/>
      </c>
      <c r="I9186">
        <f>IF(C9186="C99999",1,0)</f>
        <v/>
      </c>
      <c r="J9186" s="5">
        <f>IF(OR(H9186=1,I9186=1),0,IF(G9186="Credit",-F9186,F9186))</f>
        <v/>
      </c>
    </row>
    <row r="9187">
      <c r="A9187" t="inlineStr">
        <is>
          <t>2026-09-21</t>
        </is>
      </c>
      <c r="B9187" t="inlineStr">
        <is>
          <t>F279496</t>
        </is>
      </c>
      <c r="C9187" t="inlineStr">
        <is>
          <t>C11034</t>
        </is>
      </c>
      <c r="D9187" t="inlineStr">
        <is>
          <t>SKU-10326</t>
        </is>
      </c>
      <c r="E9187" t="inlineStr">
        <is>
          <t>AM03</t>
        </is>
      </c>
      <c r="F9187" s="5" t="n">
        <v>337.72</v>
      </c>
      <c r="G9187">
        <f>IF(LEFT(B9187,1)="C","Credit","Factuur")</f>
        <v/>
      </c>
      <c r="H9187">
        <f>IF(AND(B9187=B9186,D9187=D9186,A9187=A9186,F9187=F9186),1,0)</f>
        <v/>
      </c>
      <c r="I9187">
        <f>IF(C9187="C99999",1,0)</f>
        <v/>
      </c>
      <c r="J9187" s="5">
        <f>IF(OR(H9187=1,I9187=1),0,IF(G9187="Credit",-F9187,F9187))</f>
        <v/>
      </c>
    </row>
    <row r="9188">
      <c r="A9188" t="inlineStr">
        <is>
          <t>2026-09-21</t>
        </is>
      </c>
      <c r="B9188" t="inlineStr">
        <is>
          <t>F279724</t>
        </is>
      </c>
      <c r="C9188" t="inlineStr">
        <is>
          <t>C11046</t>
        </is>
      </c>
      <c r="D9188" t="inlineStr">
        <is>
          <t>SKU-10131</t>
        </is>
      </c>
      <c r="E9188" t="inlineStr">
        <is>
          <t>AM11</t>
        </is>
      </c>
      <c r="F9188" s="5" t="n">
        <v>1660.8</v>
      </c>
      <c r="G9188">
        <f>IF(LEFT(B9188,1)="C","Credit","Factuur")</f>
        <v/>
      </c>
      <c r="H9188">
        <f>IF(AND(B9188=B9187,D9188=D9187,A9188=A9187,F9188=F9187),1,0)</f>
        <v/>
      </c>
      <c r="I9188">
        <f>IF(C9188="C99999",1,0)</f>
        <v/>
      </c>
      <c r="J9188" s="5">
        <f>IF(OR(H9188=1,I9188=1),0,IF(G9188="Credit",-F9188,F9188))</f>
        <v/>
      </c>
    </row>
    <row r="9189">
      <c r="A9189" t="inlineStr">
        <is>
          <t>2026-09-21</t>
        </is>
      </c>
      <c r="B9189" t="inlineStr">
        <is>
          <t>F279724</t>
        </is>
      </c>
      <c r="C9189" t="inlineStr">
        <is>
          <t>C11046</t>
        </is>
      </c>
      <c r="D9189" t="inlineStr">
        <is>
          <t>SKU-10308</t>
        </is>
      </c>
      <c r="E9189" t="inlineStr">
        <is>
          <t>AM11</t>
        </is>
      </c>
      <c r="F9189" s="5" t="n">
        <v>1650.75</v>
      </c>
      <c r="G9189">
        <f>IF(LEFT(B9189,1)="C","Credit","Factuur")</f>
        <v/>
      </c>
      <c r="H9189">
        <f>IF(AND(B9189=B9188,D9189=D9188,A9189=A9188,F9189=F9188),1,0)</f>
        <v/>
      </c>
      <c r="I9189">
        <f>IF(C9189="C99999",1,0)</f>
        <v/>
      </c>
      <c r="J9189" s="5">
        <f>IF(OR(H9189=1,I9189=1),0,IF(G9189="Credit",-F9189,F9189))</f>
        <v/>
      </c>
    </row>
    <row r="9190">
      <c r="A9190" t="inlineStr">
        <is>
          <t>2026-09-21</t>
        </is>
      </c>
      <c r="B9190" t="inlineStr">
        <is>
          <t>F280193</t>
        </is>
      </c>
      <c r="C9190" t="inlineStr">
        <is>
          <t>C11066</t>
        </is>
      </c>
      <c r="D9190" t="inlineStr">
        <is>
          <t>SKU-10017</t>
        </is>
      </c>
      <c r="E9190" t="inlineStr">
        <is>
          <t>AM08</t>
        </is>
      </c>
      <c r="F9190" s="5" t="n">
        <v>1126.65</v>
      </c>
      <c r="G9190">
        <f>IF(LEFT(B9190,1)="C","Credit","Factuur")</f>
        <v/>
      </c>
      <c r="H9190">
        <f>IF(AND(B9190=B9189,D9190=D9189,A9190=A9189,F9190=F9189),1,0)</f>
        <v/>
      </c>
      <c r="I9190">
        <f>IF(C9190="C99999",1,0)</f>
        <v/>
      </c>
      <c r="J9190" s="5">
        <f>IF(OR(H9190=1,I9190=1),0,IF(G9190="Credit",-F9190,F9190))</f>
        <v/>
      </c>
    </row>
    <row r="9191">
      <c r="A9191" t="inlineStr">
        <is>
          <t>2026-09-21</t>
        </is>
      </c>
      <c r="B9191" t="inlineStr">
        <is>
          <t>F280193</t>
        </is>
      </c>
      <c r="C9191" t="inlineStr">
        <is>
          <t>C11066</t>
        </is>
      </c>
      <c r="D9191" t="inlineStr">
        <is>
          <t>SKU-10159</t>
        </is>
      </c>
      <c r="E9191" t="inlineStr">
        <is>
          <t>AM08</t>
        </is>
      </c>
      <c r="F9191" s="5" t="n">
        <v>1058.3</v>
      </c>
      <c r="G9191">
        <f>IF(LEFT(B9191,1)="C","Credit","Factuur")</f>
        <v/>
      </c>
      <c r="H9191">
        <f>IF(AND(B9191=B9190,D9191=D9190,A9191=A9190,F9191=F9190),1,0)</f>
        <v/>
      </c>
      <c r="I9191">
        <f>IF(C9191="C99999",1,0)</f>
        <v/>
      </c>
      <c r="J9191" s="5">
        <f>IF(OR(H9191=1,I9191=1),0,IF(G9191="Credit",-F9191,F9191))</f>
        <v/>
      </c>
    </row>
    <row r="9192">
      <c r="A9192" t="inlineStr">
        <is>
          <t>2026-09-21</t>
        </is>
      </c>
      <c r="B9192" t="inlineStr">
        <is>
          <t>F280504</t>
        </is>
      </c>
      <c r="C9192" t="inlineStr">
        <is>
          <t>C11081</t>
        </is>
      </c>
      <c r="D9192" t="inlineStr">
        <is>
          <t>SKU-10170</t>
        </is>
      </c>
      <c r="E9192" t="inlineStr">
        <is>
          <t>AM05</t>
        </is>
      </c>
      <c r="F9192" s="5" t="n">
        <v>286.12</v>
      </c>
      <c r="G9192">
        <f>IF(LEFT(B9192,1)="C","Credit","Factuur")</f>
        <v/>
      </c>
      <c r="H9192">
        <f>IF(AND(B9192=B9191,D9192=D9191,A9192=A9191,F9192=F9191),1,0)</f>
        <v/>
      </c>
      <c r="I9192">
        <f>IF(C9192="C99999",1,0)</f>
        <v/>
      </c>
      <c r="J9192" s="5">
        <f>IF(OR(H9192=1,I9192=1),0,IF(G9192="Credit",-F9192,F9192))</f>
        <v/>
      </c>
    </row>
    <row r="9193">
      <c r="A9193" t="inlineStr">
        <is>
          <t>2026-09-21</t>
        </is>
      </c>
      <c r="B9193" t="inlineStr">
        <is>
          <t>F280504</t>
        </is>
      </c>
      <c r="C9193" t="inlineStr">
        <is>
          <t>C11081</t>
        </is>
      </c>
      <c r="D9193" t="inlineStr">
        <is>
          <t>SKU-10187</t>
        </is>
      </c>
      <c r="E9193" t="inlineStr">
        <is>
          <t>AM05</t>
        </is>
      </c>
      <c r="F9193" s="5" t="n">
        <v>292.48</v>
      </c>
      <c r="G9193">
        <f>IF(LEFT(B9193,1)="C","Credit","Factuur")</f>
        <v/>
      </c>
      <c r="H9193">
        <f>IF(AND(B9193=B9192,D9193=D9192,A9193=A9192,F9193=F9192),1,0)</f>
        <v/>
      </c>
      <c r="I9193">
        <f>IF(C9193="C99999",1,0)</f>
        <v/>
      </c>
      <c r="J9193" s="5">
        <f>IF(OR(H9193=1,I9193=1),0,IF(G9193="Credit",-F9193,F9193))</f>
        <v/>
      </c>
    </row>
    <row r="9194">
      <c r="A9194" t="inlineStr">
        <is>
          <t>2026-09-21</t>
        </is>
      </c>
      <c r="B9194" t="inlineStr">
        <is>
          <t>F280504</t>
        </is>
      </c>
      <c r="C9194" t="inlineStr">
        <is>
          <t>C11081</t>
        </is>
      </c>
      <c r="D9194" t="inlineStr">
        <is>
          <t>SKU-10276</t>
        </is>
      </c>
      <c r="E9194" t="inlineStr">
        <is>
          <t>AM05</t>
        </is>
      </c>
      <c r="F9194" s="5" t="n">
        <v>276.64</v>
      </c>
      <c r="G9194">
        <f>IF(LEFT(B9194,1)="C","Credit","Factuur")</f>
        <v/>
      </c>
      <c r="H9194">
        <f>IF(AND(B9194=B9193,D9194=D9193,A9194=A9193,F9194=F9193),1,0)</f>
        <v/>
      </c>
      <c r="I9194">
        <f>IF(C9194="C99999",1,0)</f>
        <v/>
      </c>
      <c r="J9194" s="5">
        <f>IF(OR(H9194=1,I9194=1),0,IF(G9194="Credit",-F9194,F9194))</f>
        <v/>
      </c>
    </row>
    <row r="9195">
      <c r="A9195" t="inlineStr">
        <is>
          <t>2026-09-21</t>
        </is>
      </c>
      <c r="B9195" t="inlineStr">
        <is>
          <t>F280504</t>
        </is>
      </c>
      <c r="C9195" t="inlineStr">
        <is>
          <t>C11081</t>
        </is>
      </c>
      <c r="D9195" t="inlineStr">
        <is>
          <t>SKU-10302</t>
        </is>
      </c>
      <c r="E9195" t="inlineStr">
        <is>
          <t>AM05</t>
        </is>
      </c>
      <c r="F9195" s="5" t="n">
        <v>263.46</v>
      </c>
      <c r="G9195">
        <f>IF(LEFT(B9195,1)="C","Credit","Factuur")</f>
        <v/>
      </c>
      <c r="H9195">
        <f>IF(AND(B9195=B9194,D9195=D9194,A9195=A9194,F9195=F9194),1,0)</f>
        <v/>
      </c>
      <c r="I9195">
        <f>IF(C9195="C99999",1,0)</f>
        <v/>
      </c>
      <c r="J9195" s="5">
        <f>IF(OR(H9195=1,I9195=1),0,IF(G9195="Credit",-F9195,F9195))</f>
        <v/>
      </c>
    </row>
    <row r="9196">
      <c r="A9196" t="inlineStr">
        <is>
          <t>2026-09-21</t>
        </is>
      </c>
      <c r="B9196" t="inlineStr">
        <is>
          <t>F280504</t>
        </is>
      </c>
      <c r="C9196" t="inlineStr">
        <is>
          <t>C11081</t>
        </is>
      </c>
      <c r="D9196" t="inlineStr">
        <is>
          <t>SKU-10322</t>
        </is>
      </c>
      <c r="E9196" t="inlineStr">
        <is>
          <t>AM05</t>
        </is>
      </c>
      <c r="F9196" s="5" t="n">
        <v>257.55</v>
      </c>
      <c r="G9196">
        <f>IF(LEFT(B9196,1)="C","Credit","Factuur")</f>
        <v/>
      </c>
      <c r="H9196">
        <f>IF(AND(B9196=B9195,D9196=D9195,A9196=A9195,F9196=F9195),1,0)</f>
        <v/>
      </c>
      <c r="I9196">
        <f>IF(C9196="C99999",1,0)</f>
        <v/>
      </c>
      <c r="J9196" s="5">
        <f>IF(OR(H9196=1,I9196=1),0,IF(G9196="Credit",-F9196,F9196))</f>
        <v/>
      </c>
    </row>
    <row r="9197">
      <c r="A9197" t="inlineStr">
        <is>
          <t>2026-09-21</t>
        </is>
      </c>
      <c r="B9197" t="inlineStr">
        <is>
          <t>F280504</t>
        </is>
      </c>
      <c r="C9197" t="inlineStr">
        <is>
          <t>C11081</t>
        </is>
      </c>
      <c r="D9197" t="inlineStr">
        <is>
          <t>SKU-10332</t>
        </is>
      </c>
      <c r="E9197" t="inlineStr">
        <is>
          <t>AM05</t>
        </is>
      </c>
      <c r="F9197" s="5" t="n">
        <v>284.83</v>
      </c>
      <c r="G9197">
        <f>IF(LEFT(B9197,1)="C","Credit","Factuur")</f>
        <v/>
      </c>
      <c r="H9197">
        <f>IF(AND(B9197=B9196,D9197=D9196,A9197=A9196,F9197=F9196),1,0)</f>
        <v/>
      </c>
      <c r="I9197">
        <f>IF(C9197="C99999",1,0)</f>
        <v/>
      </c>
      <c r="J9197" s="5">
        <f>IF(OR(H9197=1,I9197=1),0,IF(G9197="Credit",-F9197,F9197))</f>
        <v/>
      </c>
    </row>
    <row r="9198">
      <c r="A9198" t="inlineStr">
        <is>
          <t>2026-09-21</t>
        </is>
      </c>
      <c r="B9198" t="inlineStr">
        <is>
          <t>F280504</t>
        </is>
      </c>
      <c r="C9198" t="inlineStr">
        <is>
          <t>C11081</t>
        </is>
      </c>
      <c r="D9198" t="inlineStr">
        <is>
          <t>SKU-10336</t>
        </is>
      </c>
      <c r="E9198" t="inlineStr">
        <is>
          <t>AM05</t>
        </is>
      </c>
      <c r="F9198" s="5" t="n">
        <v>271.59</v>
      </c>
      <c r="G9198">
        <f>IF(LEFT(B9198,1)="C","Credit","Factuur")</f>
        <v/>
      </c>
      <c r="H9198">
        <f>IF(AND(B9198=B9197,D9198=D9197,A9198=A9197,F9198=F9197),1,0)</f>
        <v/>
      </c>
      <c r="I9198">
        <f>IF(C9198="C99999",1,0)</f>
        <v/>
      </c>
      <c r="J9198" s="5">
        <f>IF(OR(H9198=1,I9198=1),0,IF(G9198="Credit",-F9198,F9198))</f>
        <v/>
      </c>
    </row>
    <row r="9199">
      <c r="A9199" t="inlineStr">
        <is>
          <t>2026-09-21</t>
        </is>
      </c>
      <c r="B9199" t="inlineStr">
        <is>
          <t>F281172</t>
        </is>
      </c>
      <c r="C9199" t="inlineStr">
        <is>
          <t>C11115</t>
        </is>
      </c>
      <c r="D9199" t="inlineStr">
        <is>
          <t>SKU-10118</t>
        </is>
      </c>
      <c r="E9199" t="inlineStr">
        <is>
          <t>IS02</t>
        </is>
      </c>
      <c r="F9199" s="5" t="n">
        <v>69.12</v>
      </c>
      <c r="G9199">
        <f>IF(LEFT(B9199,1)="C","Credit","Factuur")</f>
        <v/>
      </c>
      <c r="H9199">
        <f>IF(AND(B9199=B9198,D9199=D9198,A9199=A9198,F9199=F9198),1,0)</f>
        <v/>
      </c>
      <c r="I9199">
        <f>IF(C9199="C99999",1,0)</f>
        <v/>
      </c>
      <c r="J9199" s="5">
        <f>IF(OR(H9199=1,I9199=1),0,IF(G9199="Credit",-F9199,F9199))</f>
        <v/>
      </c>
    </row>
    <row r="9200">
      <c r="A9200" t="inlineStr">
        <is>
          <t>2026-09-21</t>
        </is>
      </c>
      <c r="B9200" t="inlineStr">
        <is>
          <t>F281172</t>
        </is>
      </c>
      <c r="C9200" t="inlineStr">
        <is>
          <t>C11115</t>
        </is>
      </c>
      <c r="D9200" t="inlineStr">
        <is>
          <t>SKU-10191</t>
        </is>
      </c>
      <c r="E9200" t="inlineStr">
        <is>
          <t>IS02</t>
        </is>
      </c>
      <c r="F9200" s="5" t="n">
        <v>74.61</v>
      </c>
      <c r="G9200">
        <f>IF(LEFT(B9200,1)="C","Credit","Factuur")</f>
        <v/>
      </c>
      <c r="H9200">
        <f>IF(AND(B9200=B9199,D9200=D9199,A9200=A9199,F9200=F9199),1,0)</f>
        <v/>
      </c>
      <c r="I9200">
        <f>IF(C9200="C99999",1,0)</f>
        <v/>
      </c>
      <c r="J9200" s="5">
        <f>IF(OR(H9200=1,I9200=1),0,IF(G9200="Credit",-F9200,F9200))</f>
        <v/>
      </c>
    </row>
    <row r="9201">
      <c r="A9201" t="inlineStr">
        <is>
          <t>2026-09-21</t>
        </is>
      </c>
      <c r="B9201" t="inlineStr">
        <is>
          <t>F281172</t>
        </is>
      </c>
      <c r="C9201" t="inlineStr">
        <is>
          <t>C11115</t>
        </is>
      </c>
      <c r="D9201" t="inlineStr">
        <is>
          <t>SKU-10280</t>
        </is>
      </c>
      <c r="E9201" t="inlineStr">
        <is>
          <t>IS02</t>
        </is>
      </c>
      <c r="F9201" s="5" t="n">
        <v>79.29000000000001</v>
      </c>
      <c r="G9201">
        <f>IF(LEFT(B9201,1)="C","Credit","Factuur")</f>
        <v/>
      </c>
      <c r="H9201">
        <f>IF(AND(B9201=B9200,D9201=D9200,A9201=A9200,F9201=F9200),1,0)</f>
        <v/>
      </c>
      <c r="I9201">
        <f>IF(C9201="C99999",1,0)</f>
        <v/>
      </c>
      <c r="J9201" s="5">
        <f>IF(OR(H9201=1,I9201=1),0,IF(G9201="Credit",-F9201,F9201))</f>
        <v/>
      </c>
    </row>
    <row r="9202">
      <c r="A9202" t="inlineStr">
        <is>
          <t>2026-09-21</t>
        </is>
      </c>
      <c r="B9202" t="inlineStr">
        <is>
          <t>F281172</t>
        </is>
      </c>
      <c r="C9202" t="inlineStr">
        <is>
          <t>C11115</t>
        </is>
      </c>
      <c r="D9202" t="inlineStr">
        <is>
          <t>SKU-10325</t>
        </is>
      </c>
      <c r="E9202" t="inlineStr">
        <is>
          <t>IS02</t>
        </is>
      </c>
      <c r="F9202" s="5" t="n">
        <v>89.48999999999999</v>
      </c>
      <c r="G9202">
        <f>IF(LEFT(B9202,1)="C","Credit","Factuur")</f>
        <v/>
      </c>
      <c r="H9202">
        <f>IF(AND(B9202=B9201,D9202=D9201,A9202=A9201,F9202=F9201),1,0)</f>
        <v/>
      </c>
      <c r="I9202">
        <f>IF(C9202="C99999",1,0)</f>
        <v/>
      </c>
      <c r="J9202" s="5">
        <f>IF(OR(H9202=1,I9202=1),0,IF(G9202="Credit",-F9202,F9202))</f>
        <v/>
      </c>
    </row>
    <row r="9203">
      <c r="A9203" t="inlineStr">
        <is>
          <t>2026-09-21</t>
        </is>
      </c>
      <c r="B9203" t="inlineStr">
        <is>
          <t>F281841</t>
        </is>
      </c>
      <c r="C9203" t="inlineStr">
        <is>
          <t>C11150</t>
        </is>
      </c>
      <c r="D9203" t="inlineStr">
        <is>
          <t>SKU-10197</t>
        </is>
      </c>
      <c r="E9203" t="inlineStr">
        <is>
          <t>AM02</t>
        </is>
      </c>
      <c r="F9203" s="5" t="n">
        <v>1494.85</v>
      </c>
      <c r="G9203">
        <f>IF(LEFT(B9203,1)="C","Credit","Factuur")</f>
        <v/>
      </c>
      <c r="H9203">
        <f>IF(AND(B9203=B9202,D9203=D9202,A9203=A9202,F9203=F9202),1,0)</f>
        <v/>
      </c>
      <c r="I9203">
        <f>IF(C9203="C99999",1,0)</f>
        <v/>
      </c>
      <c r="J9203" s="5">
        <f>IF(OR(H9203=1,I9203=1),0,IF(G9203="Credit",-F9203,F9203))</f>
        <v/>
      </c>
    </row>
    <row r="9204">
      <c r="A9204" t="inlineStr">
        <is>
          <t>2026-09-21</t>
        </is>
      </c>
      <c r="B9204" t="inlineStr">
        <is>
          <t>F282304</t>
        </is>
      </c>
      <c r="C9204" t="inlineStr">
        <is>
          <t>C11170</t>
        </is>
      </c>
      <c r="D9204" t="inlineStr">
        <is>
          <t>SKU-10097</t>
        </is>
      </c>
      <c r="E9204" t="inlineStr">
        <is>
          <t>AM07</t>
        </is>
      </c>
      <c r="F9204" s="5" t="n">
        <v>170.4</v>
      </c>
      <c r="G9204">
        <f>IF(LEFT(B9204,1)="C","Credit","Factuur")</f>
        <v/>
      </c>
      <c r="H9204">
        <f>IF(AND(B9204=B9203,D9204=D9203,A9204=A9203,F9204=F9203),1,0)</f>
        <v/>
      </c>
      <c r="I9204">
        <f>IF(C9204="C99999",1,0)</f>
        <v/>
      </c>
      <c r="J9204" s="5">
        <f>IF(OR(H9204=1,I9204=1),0,IF(G9204="Credit",-F9204,F9204))</f>
        <v/>
      </c>
    </row>
    <row r="9205">
      <c r="A9205" t="inlineStr">
        <is>
          <t>2026-09-21</t>
        </is>
      </c>
      <c r="B9205" t="inlineStr">
        <is>
          <t>F282304</t>
        </is>
      </c>
      <c r="C9205" t="inlineStr">
        <is>
          <t>C11170</t>
        </is>
      </c>
      <c r="D9205" t="inlineStr">
        <is>
          <t>SKU-10171</t>
        </is>
      </c>
      <c r="E9205" t="inlineStr">
        <is>
          <t>AM07</t>
        </is>
      </c>
      <c r="F9205" s="5" t="n">
        <v>178.57</v>
      </c>
      <c r="G9205">
        <f>IF(LEFT(B9205,1)="C","Credit","Factuur")</f>
        <v/>
      </c>
      <c r="H9205">
        <f>IF(AND(B9205=B9204,D9205=D9204,A9205=A9204,F9205=F9204),1,0)</f>
        <v/>
      </c>
      <c r="I9205">
        <f>IF(C9205="C99999",1,0)</f>
        <v/>
      </c>
      <c r="J9205" s="5">
        <f>IF(OR(H9205=1,I9205=1),0,IF(G9205="Credit",-F9205,F9205))</f>
        <v/>
      </c>
    </row>
    <row r="9206">
      <c r="A9206" t="inlineStr">
        <is>
          <t>2026-09-21</t>
        </is>
      </c>
      <c r="B9206" t="inlineStr">
        <is>
          <t>F282304</t>
        </is>
      </c>
      <c r="C9206" t="inlineStr">
        <is>
          <t>C11170</t>
        </is>
      </c>
      <c r="D9206" t="inlineStr">
        <is>
          <t>SKU-10293</t>
        </is>
      </c>
      <c r="E9206" t="inlineStr">
        <is>
          <t>AM07</t>
        </is>
      </c>
      <c r="F9206" s="5" t="n">
        <v>174.24</v>
      </c>
      <c r="G9206">
        <f>IF(LEFT(B9206,1)="C","Credit","Factuur")</f>
        <v/>
      </c>
      <c r="H9206">
        <f>IF(AND(B9206=B9205,D9206=D9205,A9206=A9205,F9206=F9205),1,0)</f>
        <v/>
      </c>
      <c r="I9206">
        <f>IF(C9206="C99999",1,0)</f>
        <v/>
      </c>
      <c r="J9206" s="5">
        <f>IF(OR(H9206=1,I9206=1),0,IF(G9206="Credit",-F9206,F9206))</f>
        <v/>
      </c>
    </row>
    <row r="9207">
      <c r="A9207" t="inlineStr">
        <is>
          <t>2026-09-21</t>
        </is>
      </c>
      <c r="B9207" t="inlineStr">
        <is>
          <t>F282304</t>
        </is>
      </c>
      <c r="C9207" t="inlineStr">
        <is>
          <t>C11170</t>
        </is>
      </c>
      <c r="D9207" t="inlineStr">
        <is>
          <t>SKU-10300</t>
        </is>
      </c>
      <c r="E9207" t="inlineStr">
        <is>
          <t>AM07</t>
        </is>
      </c>
      <c r="F9207" s="5" t="n">
        <v>168.52</v>
      </c>
      <c r="G9207">
        <f>IF(LEFT(B9207,1)="C","Credit","Factuur")</f>
        <v/>
      </c>
      <c r="H9207">
        <f>IF(AND(B9207=B9206,D9207=D9206,A9207=A9206,F9207=F9206),1,0)</f>
        <v/>
      </c>
      <c r="I9207">
        <f>IF(C9207="C99999",1,0)</f>
        <v/>
      </c>
      <c r="J9207" s="5">
        <f>IF(OR(H9207=1,I9207=1),0,IF(G9207="Credit",-F9207,F9207))</f>
        <v/>
      </c>
    </row>
    <row r="9208">
      <c r="A9208" t="inlineStr">
        <is>
          <t>2026-09-21</t>
        </is>
      </c>
      <c r="B9208" t="inlineStr">
        <is>
          <t>F283064</t>
        </is>
      </c>
      <c r="C9208" t="inlineStr">
        <is>
          <t>C11212</t>
        </is>
      </c>
      <c r="D9208" t="inlineStr">
        <is>
          <t>SKU-10092</t>
        </is>
      </c>
      <c r="E9208" t="inlineStr">
        <is>
          <t>AM12</t>
        </is>
      </c>
      <c r="F9208" s="5" t="n">
        <v>130.38</v>
      </c>
      <c r="G9208">
        <f>IF(LEFT(B9208,1)="C","Credit","Factuur")</f>
        <v/>
      </c>
      <c r="H9208">
        <f>IF(AND(B9208=B9207,D9208=D9207,A9208=A9207,F9208=F9207),1,0)</f>
        <v/>
      </c>
      <c r="I9208">
        <f>IF(C9208="C99999",1,0)</f>
        <v/>
      </c>
      <c r="J9208" s="5">
        <f>IF(OR(H9208=1,I9208=1),0,IF(G9208="Credit",-F9208,F9208))</f>
        <v/>
      </c>
    </row>
    <row r="9209">
      <c r="A9209" t="inlineStr">
        <is>
          <t>2026-09-21</t>
        </is>
      </c>
      <c r="B9209" t="inlineStr">
        <is>
          <t>F283064</t>
        </is>
      </c>
      <c r="C9209" t="inlineStr">
        <is>
          <t>C11212</t>
        </is>
      </c>
      <c r="D9209" t="inlineStr">
        <is>
          <t>SKU-10161</t>
        </is>
      </c>
      <c r="E9209" t="inlineStr">
        <is>
          <t>AM12</t>
        </is>
      </c>
      <c r="F9209" s="5" t="n">
        <v>96.3</v>
      </c>
      <c r="G9209">
        <f>IF(LEFT(B9209,1)="C","Credit","Factuur")</f>
        <v/>
      </c>
      <c r="H9209">
        <f>IF(AND(B9209=B9208,D9209=D9208,A9209=A9208,F9209=F9208),1,0)</f>
        <v/>
      </c>
      <c r="I9209">
        <f>IF(C9209="C99999",1,0)</f>
        <v/>
      </c>
      <c r="J9209" s="5">
        <f>IF(OR(H9209=1,I9209=1),0,IF(G9209="Credit",-F9209,F9209))</f>
        <v/>
      </c>
    </row>
    <row r="9210">
      <c r="A9210" t="inlineStr">
        <is>
          <t>2026-09-21</t>
        </is>
      </c>
      <c r="B9210" t="inlineStr">
        <is>
          <t>F283064</t>
        </is>
      </c>
      <c r="C9210" t="inlineStr">
        <is>
          <t>C11212</t>
        </is>
      </c>
      <c r="D9210" t="inlineStr">
        <is>
          <t>SKU-10167</t>
        </is>
      </c>
      <c r="E9210" t="inlineStr">
        <is>
          <t>AM12</t>
        </is>
      </c>
      <c r="F9210" s="5" t="n">
        <v>110.44</v>
      </c>
      <c r="G9210">
        <f>IF(LEFT(B9210,1)="C","Credit","Factuur")</f>
        <v/>
      </c>
      <c r="H9210">
        <f>IF(AND(B9210=B9209,D9210=D9209,A9210=A9209,F9210=F9209),1,0)</f>
        <v/>
      </c>
      <c r="I9210">
        <f>IF(C9210="C99999",1,0)</f>
        <v/>
      </c>
      <c r="J9210" s="5">
        <f>IF(OR(H9210=1,I9210=1),0,IF(G9210="Credit",-F9210,F9210))</f>
        <v/>
      </c>
    </row>
    <row r="9211">
      <c r="A9211" t="inlineStr">
        <is>
          <t>2026-09-21</t>
        </is>
      </c>
      <c r="B9211" t="inlineStr">
        <is>
          <t>F283064</t>
        </is>
      </c>
      <c r="C9211" t="inlineStr">
        <is>
          <t>C11212</t>
        </is>
      </c>
      <c r="D9211" t="inlineStr">
        <is>
          <t>SKU-10169</t>
        </is>
      </c>
      <c r="E9211" t="inlineStr">
        <is>
          <t>AM12</t>
        </is>
      </c>
      <c r="F9211" s="5" t="n">
        <v>123.44</v>
      </c>
      <c r="G9211">
        <f>IF(LEFT(B9211,1)="C","Credit","Factuur")</f>
        <v/>
      </c>
      <c r="H9211">
        <f>IF(AND(B9211=B9210,D9211=D9210,A9211=A9210,F9211=F9210),1,0)</f>
        <v/>
      </c>
      <c r="I9211">
        <f>IF(C9211="C99999",1,0)</f>
        <v/>
      </c>
      <c r="J9211" s="5">
        <f>IF(OR(H9211=1,I9211=1),0,IF(G9211="Credit",-F9211,F9211))</f>
        <v/>
      </c>
    </row>
    <row r="9212">
      <c r="A9212" t="inlineStr">
        <is>
          <t>2026-09-21</t>
        </is>
      </c>
      <c r="B9212" t="inlineStr">
        <is>
          <t>F283064</t>
        </is>
      </c>
      <c r="C9212" t="inlineStr">
        <is>
          <t>C11212</t>
        </is>
      </c>
      <c r="D9212" t="inlineStr">
        <is>
          <t>SKU-10188</t>
        </is>
      </c>
      <c r="E9212" t="inlineStr">
        <is>
          <t>AM12</t>
        </is>
      </c>
      <c r="F9212" s="5" t="n">
        <v>102.84</v>
      </c>
      <c r="G9212">
        <f>IF(LEFT(B9212,1)="C","Credit","Factuur")</f>
        <v/>
      </c>
      <c r="H9212">
        <f>IF(AND(B9212=B9211,D9212=D9211,A9212=A9211,F9212=F9211),1,0)</f>
        <v/>
      </c>
      <c r="I9212">
        <f>IF(C9212="C99999",1,0)</f>
        <v/>
      </c>
      <c r="J9212" s="5">
        <f>IF(OR(H9212=1,I9212=1),0,IF(G9212="Credit",-F9212,F9212))</f>
        <v/>
      </c>
    </row>
    <row r="9213">
      <c r="A9213" t="inlineStr">
        <is>
          <t>2026-09-21</t>
        </is>
      </c>
      <c r="B9213" t="inlineStr">
        <is>
          <t>F283064</t>
        </is>
      </c>
      <c r="C9213" t="inlineStr">
        <is>
          <t>C11212</t>
        </is>
      </c>
      <c r="D9213" t="inlineStr">
        <is>
          <t>SKU-10286</t>
        </is>
      </c>
      <c r="E9213" t="inlineStr">
        <is>
          <t>AM12</t>
        </is>
      </c>
      <c r="F9213" s="5" t="n">
        <v>109.5</v>
      </c>
      <c r="G9213">
        <f>IF(LEFT(B9213,1)="C","Credit","Factuur")</f>
        <v/>
      </c>
      <c r="H9213">
        <f>IF(AND(B9213=B9212,D9213=D9212,A9213=A9212,F9213=F9212),1,0)</f>
        <v/>
      </c>
      <c r="I9213">
        <f>IF(C9213="C99999",1,0)</f>
        <v/>
      </c>
      <c r="J9213" s="5">
        <f>IF(OR(H9213=1,I9213=1),0,IF(G9213="Credit",-F9213,F9213))</f>
        <v/>
      </c>
    </row>
    <row r="9214">
      <c r="A9214" t="inlineStr">
        <is>
          <t>2026-09-21</t>
        </is>
      </c>
      <c r="B9214" t="inlineStr">
        <is>
          <t>F283064</t>
        </is>
      </c>
      <c r="C9214" t="inlineStr">
        <is>
          <t>C11212</t>
        </is>
      </c>
      <c r="D9214" t="inlineStr">
        <is>
          <t>SKU-10344</t>
        </is>
      </c>
      <c r="E9214" t="inlineStr">
        <is>
          <t>AM12</t>
        </is>
      </c>
      <c r="F9214" s="5" t="n">
        <v>106.4</v>
      </c>
      <c r="G9214">
        <f>IF(LEFT(B9214,1)="C","Credit","Factuur")</f>
        <v/>
      </c>
      <c r="H9214">
        <f>IF(AND(B9214=B9213,D9214=D9213,A9214=A9213,F9214=F9213),1,0)</f>
        <v/>
      </c>
      <c r="I9214">
        <f>IF(C9214="C99999",1,0)</f>
        <v/>
      </c>
      <c r="J9214" s="5">
        <f>IF(OR(H9214=1,I9214=1),0,IF(G9214="Credit",-F9214,F9214))</f>
        <v/>
      </c>
    </row>
    <row r="9215">
      <c r="A9215" t="inlineStr">
        <is>
          <t>2026-09-21</t>
        </is>
      </c>
      <c r="B9215" t="inlineStr">
        <is>
          <t>F283258</t>
        </is>
      </c>
      <c r="C9215" t="inlineStr">
        <is>
          <t>C11223</t>
        </is>
      </c>
      <c r="D9215" t="inlineStr">
        <is>
          <t>SKU-10016</t>
        </is>
      </c>
      <c r="E9215" t="inlineStr">
        <is>
          <t>AM03</t>
        </is>
      </c>
      <c r="F9215" s="5" t="n">
        <v>128.06</v>
      </c>
      <c r="G9215">
        <f>IF(LEFT(B9215,1)="C","Credit","Factuur")</f>
        <v/>
      </c>
      <c r="H9215">
        <f>IF(AND(B9215=B9214,D9215=D9214,A9215=A9214,F9215=F9214),1,0)</f>
        <v/>
      </c>
      <c r="I9215">
        <f>IF(C9215="C99999",1,0)</f>
        <v/>
      </c>
      <c r="J9215" s="5">
        <f>IF(OR(H9215=1,I9215=1),0,IF(G9215="Credit",-F9215,F9215))</f>
        <v/>
      </c>
    </row>
    <row r="9216">
      <c r="A9216" t="inlineStr">
        <is>
          <t>2026-09-21</t>
        </is>
      </c>
      <c r="B9216" t="inlineStr">
        <is>
          <t>F283258</t>
        </is>
      </c>
      <c r="C9216" t="inlineStr">
        <is>
          <t>C11223</t>
        </is>
      </c>
      <c r="D9216" t="inlineStr">
        <is>
          <t>SKU-10178</t>
        </is>
      </c>
      <c r="E9216" t="inlineStr">
        <is>
          <t>AM03</t>
        </is>
      </c>
      <c r="F9216" s="5" t="n">
        <v>113.18</v>
      </c>
      <c r="G9216">
        <f>IF(LEFT(B9216,1)="C","Credit","Factuur")</f>
        <v/>
      </c>
      <c r="H9216">
        <f>IF(AND(B9216=B9215,D9216=D9215,A9216=A9215,F9216=F9215),1,0)</f>
        <v/>
      </c>
      <c r="I9216">
        <f>IF(C9216="C99999",1,0)</f>
        <v/>
      </c>
      <c r="J9216" s="5">
        <f>IF(OR(H9216=1,I9216=1),0,IF(G9216="Credit",-F9216,F9216))</f>
        <v/>
      </c>
    </row>
    <row r="9217">
      <c r="A9217" t="inlineStr">
        <is>
          <t>2026-09-21</t>
        </is>
      </c>
      <c r="B9217" t="inlineStr">
        <is>
          <t>F283258</t>
        </is>
      </c>
      <c r="C9217" t="inlineStr">
        <is>
          <t>C11223</t>
        </is>
      </c>
      <c r="D9217" t="inlineStr">
        <is>
          <t>SKU-10207</t>
        </is>
      </c>
      <c r="E9217" t="inlineStr">
        <is>
          <t>AM03</t>
        </is>
      </c>
      <c r="F9217" s="5" t="n">
        <v>126.72</v>
      </c>
      <c r="G9217">
        <f>IF(LEFT(B9217,1)="C","Credit","Factuur")</f>
        <v/>
      </c>
      <c r="H9217">
        <f>IF(AND(B9217=B9216,D9217=D9216,A9217=A9216,F9217=F9216),1,0)</f>
        <v/>
      </c>
      <c r="I9217">
        <f>IF(C9217="C99999",1,0)</f>
        <v/>
      </c>
      <c r="J9217" s="5">
        <f>IF(OR(H9217=1,I9217=1),0,IF(G9217="Credit",-F9217,F9217))</f>
        <v/>
      </c>
    </row>
    <row r="9218">
      <c r="A9218" t="inlineStr">
        <is>
          <t>2026-09-21</t>
        </is>
      </c>
      <c r="B9218" t="inlineStr">
        <is>
          <t>F283258</t>
        </is>
      </c>
      <c r="C9218" t="inlineStr">
        <is>
          <t>C11223</t>
        </is>
      </c>
      <c r="D9218" t="inlineStr">
        <is>
          <t>SKU-10322</t>
        </is>
      </c>
      <c r="E9218" t="inlineStr">
        <is>
          <t>AM03</t>
        </is>
      </c>
      <c r="F9218" s="5" t="n">
        <v>103.02</v>
      </c>
      <c r="G9218">
        <f>IF(LEFT(B9218,1)="C","Credit","Factuur")</f>
        <v/>
      </c>
      <c r="H9218">
        <f>IF(AND(B9218=B9217,D9218=D9217,A9218=A9217,F9218=F9217),1,0)</f>
        <v/>
      </c>
      <c r="I9218">
        <f>IF(C9218="C99999",1,0)</f>
        <v/>
      </c>
      <c r="J9218" s="5">
        <f>IF(OR(H9218=1,I9218=1),0,IF(G9218="Credit",-F9218,F9218))</f>
        <v/>
      </c>
    </row>
    <row r="9219">
      <c r="A9219" t="inlineStr">
        <is>
          <t>2026-09-21</t>
        </is>
      </c>
      <c r="B9219" t="inlineStr">
        <is>
          <t>F284312</t>
        </is>
      </c>
      <c r="C9219" t="inlineStr">
        <is>
          <t>C11272</t>
        </is>
      </c>
      <c r="D9219" t="inlineStr">
        <is>
          <t>SKU-10034</t>
        </is>
      </c>
      <c r="E9219" t="inlineStr"/>
      <c r="F9219" s="5" t="n">
        <v>78.93000000000001</v>
      </c>
      <c r="G9219">
        <f>IF(LEFT(B9219,1)="C","Credit","Factuur")</f>
        <v/>
      </c>
      <c r="H9219">
        <f>IF(AND(B9219=B9218,D9219=D9218,A9219=A9218,F9219=F9218),1,0)</f>
        <v/>
      </c>
      <c r="I9219">
        <f>IF(C9219="C99999",1,0)</f>
        <v/>
      </c>
      <c r="J9219" s="5">
        <f>IF(OR(H9219=1,I9219=1),0,IF(G9219="Credit",-F9219,F9219))</f>
        <v/>
      </c>
    </row>
    <row r="9220">
      <c r="A9220" t="inlineStr">
        <is>
          <t>2026-09-21</t>
        </is>
      </c>
      <c r="B9220" t="inlineStr">
        <is>
          <t>F284312</t>
        </is>
      </c>
      <c r="C9220" t="inlineStr">
        <is>
          <t>C11272</t>
        </is>
      </c>
      <c r="D9220" t="inlineStr">
        <is>
          <t>SKU-10076</t>
        </is>
      </c>
      <c r="E9220" t="inlineStr">
        <is>
          <t>AM07</t>
        </is>
      </c>
      <c r="F9220" s="5" t="n">
        <v>98.39</v>
      </c>
      <c r="G9220">
        <f>IF(LEFT(B9220,1)="C","Credit","Factuur")</f>
        <v/>
      </c>
      <c r="H9220">
        <f>IF(AND(B9220=B9219,D9220=D9219,A9220=A9219,F9220=F9219),1,0)</f>
        <v/>
      </c>
      <c r="I9220">
        <f>IF(C9220="C99999",1,0)</f>
        <v/>
      </c>
      <c r="J9220" s="5">
        <f>IF(OR(H9220=1,I9220=1),0,IF(G9220="Credit",-F9220,F9220))</f>
        <v/>
      </c>
    </row>
    <row r="9221">
      <c r="A9221" t="inlineStr">
        <is>
          <t>2026-09-21</t>
        </is>
      </c>
      <c r="B9221" t="inlineStr">
        <is>
          <t>F284312</t>
        </is>
      </c>
      <c r="C9221" t="inlineStr">
        <is>
          <t>C11272</t>
        </is>
      </c>
      <c r="D9221" t="inlineStr">
        <is>
          <t>SKU-10251</t>
        </is>
      </c>
      <c r="E9221" t="inlineStr"/>
      <c r="F9221" s="5" t="n">
        <v>104.01</v>
      </c>
      <c r="G9221">
        <f>IF(LEFT(B9221,1)="C","Credit","Factuur")</f>
        <v/>
      </c>
      <c r="H9221">
        <f>IF(AND(B9221=B9220,D9221=D9220,A9221=A9220,F9221=F9220),1,0)</f>
        <v/>
      </c>
      <c r="I9221">
        <f>IF(C9221="C99999",1,0)</f>
        <v/>
      </c>
      <c r="J9221" s="5">
        <f>IF(OR(H9221=1,I9221=1),0,IF(G9221="Credit",-F9221,F9221))</f>
        <v/>
      </c>
    </row>
    <row r="9222">
      <c r="A9222" t="inlineStr">
        <is>
          <t>2026-09-21</t>
        </is>
      </c>
      <c r="B9222" t="inlineStr">
        <is>
          <t>F284312</t>
        </is>
      </c>
      <c r="C9222" t="inlineStr">
        <is>
          <t>C11272</t>
        </is>
      </c>
      <c r="D9222" t="inlineStr">
        <is>
          <t>SKU-10258</t>
        </is>
      </c>
      <c r="E9222" t="inlineStr">
        <is>
          <t>AM07</t>
        </is>
      </c>
      <c r="F9222" s="5" t="n">
        <v>97.41</v>
      </c>
      <c r="G9222">
        <f>IF(LEFT(B9222,1)="C","Credit","Factuur")</f>
        <v/>
      </c>
      <c r="H9222">
        <f>IF(AND(B9222=B9221,D9222=D9221,A9222=A9221,F9222=F9221),1,0)</f>
        <v/>
      </c>
      <c r="I9222">
        <f>IF(C9222="C99999",1,0)</f>
        <v/>
      </c>
      <c r="J9222" s="5">
        <f>IF(OR(H9222=1,I9222=1),0,IF(G9222="Credit",-F9222,F9222))</f>
        <v/>
      </c>
    </row>
    <row r="9223">
      <c r="A9223" t="inlineStr">
        <is>
          <t>2026-09-21</t>
        </is>
      </c>
      <c r="B9223" t="inlineStr">
        <is>
          <t>F284312</t>
        </is>
      </c>
      <c r="C9223" t="inlineStr">
        <is>
          <t>C11272</t>
        </is>
      </c>
      <c r="D9223" t="inlineStr">
        <is>
          <t>SKU-10295</t>
        </is>
      </c>
      <c r="E9223" t="inlineStr"/>
      <c r="F9223" s="5" t="n">
        <v>79.02</v>
      </c>
      <c r="G9223">
        <f>IF(LEFT(B9223,1)="C","Credit","Factuur")</f>
        <v/>
      </c>
      <c r="H9223">
        <f>IF(AND(B9223=B9222,D9223=D9222,A9223=A9222,F9223=F9222),1,0)</f>
        <v/>
      </c>
      <c r="I9223">
        <f>IF(C9223="C99999",1,0)</f>
        <v/>
      </c>
      <c r="J9223" s="5">
        <f>IF(OR(H9223=1,I9223=1),0,IF(G9223="Credit",-F9223,F9223))</f>
        <v/>
      </c>
    </row>
    <row r="9224">
      <c r="A9224" t="inlineStr">
        <is>
          <t>2026-09-21</t>
        </is>
      </c>
      <c r="B9224" t="inlineStr">
        <is>
          <t>F284312</t>
        </is>
      </c>
      <c r="C9224" t="inlineStr">
        <is>
          <t>C11272</t>
        </is>
      </c>
      <c r="D9224" t="inlineStr">
        <is>
          <t>SKU-10329</t>
        </is>
      </c>
      <c r="E9224" t="inlineStr">
        <is>
          <t>AM07</t>
        </is>
      </c>
      <c r="F9224" s="5" t="n">
        <v>110.46</v>
      </c>
      <c r="G9224">
        <f>IF(LEFT(B9224,1)="C","Credit","Factuur")</f>
        <v/>
      </c>
      <c r="H9224">
        <f>IF(AND(B9224=B9223,D9224=D9223,A9224=A9223,F9224=F9223),1,0)</f>
        <v/>
      </c>
      <c r="I9224">
        <f>IF(C9224="C99999",1,0)</f>
        <v/>
      </c>
      <c r="J9224" s="5">
        <f>IF(OR(H9224=1,I9224=1),0,IF(G9224="Credit",-F9224,F9224))</f>
        <v/>
      </c>
    </row>
    <row r="9225">
      <c r="A9225" t="inlineStr">
        <is>
          <t>2026-09-21</t>
        </is>
      </c>
      <c r="B9225" t="inlineStr">
        <is>
          <t>F284388</t>
        </is>
      </c>
      <c r="C9225" t="inlineStr">
        <is>
          <t>C11277</t>
        </is>
      </c>
      <c r="D9225" t="inlineStr">
        <is>
          <t>SKU-10091</t>
        </is>
      </c>
      <c r="E9225" t="inlineStr">
        <is>
          <t>AM11</t>
        </is>
      </c>
      <c r="F9225" s="5" t="n">
        <v>1653.41</v>
      </c>
      <c r="G9225">
        <f>IF(LEFT(B9225,1)="C","Credit","Factuur")</f>
        <v/>
      </c>
      <c r="H9225">
        <f>IF(AND(B9225=B9224,D9225=D9224,A9225=A9224,F9225=F9224),1,0)</f>
        <v/>
      </c>
      <c r="I9225">
        <f>IF(C9225="C99999",1,0)</f>
        <v/>
      </c>
      <c r="J9225" s="5">
        <f>IF(OR(H9225=1,I9225=1),0,IF(G9225="Credit",-F9225,F9225))</f>
        <v/>
      </c>
    </row>
    <row r="9226">
      <c r="A9226" t="inlineStr">
        <is>
          <t>2026-09-21</t>
        </is>
      </c>
      <c r="B9226" t="inlineStr">
        <is>
          <t>F285635</t>
        </is>
      </c>
      <c r="C9226" t="inlineStr">
        <is>
          <t>C11339</t>
        </is>
      </c>
      <c r="D9226" t="inlineStr">
        <is>
          <t>SKU-10208</t>
        </is>
      </c>
      <c r="E9226" t="inlineStr">
        <is>
          <t>AM03</t>
        </is>
      </c>
      <c r="F9226" s="5" t="n">
        <v>628.5</v>
      </c>
      <c r="G9226">
        <f>IF(LEFT(B9226,1)="C","Credit","Factuur")</f>
        <v/>
      </c>
      <c r="H9226">
        <f>IF(AND(B9226=B9225,D9226=D9225,A9226=A9225,F9226=F9225),1,0)</f>
        <v/>
      </c>
      <c r="I9226">
        <f>IF(C9226="C99999",1,0)</f>
        <v/>
      </c>
      <c r="J9226" s="5">
        <f>IF(OR(H9226=1,I9226=1),0,IF(G9226="Credit",-F9226,F9226))</f>
        <v/>
      </c>
    </row>
    <row r="9227">
      <c r="A9227" t="inlineStr">
        <is>
          <t>2026-09-21</t>
        </is>
      </c>
      <c r="B9227" t="inlineStr">
        <is>
          <t>F285635</t>
        </is>
      </c>
      <c r="C9227" t="inlineStr">
        <is>
          <t>C11339</t>
        </is>
      </c>
      <c r="D9227" t="inlineStr">
        <is>
          <t>SKU-10333</t>
        </is>
      </c>
      <c r="E9227" t="inlineStr">
        <is>
          <t>AM03</t>
        </is>
      </c>
      <c r="F9227" s="5" t="n">
        <v>664.29</v>
      </c>
      <c r="G9227">
        <f>IF(LEFT(B9227,1)="C","Credit","Factuur")</f>
        <v/>
      </c>
      <c r="H9227">
        <f>IF(AND(B9227=B9226,D9227=D9226,A9227=A9226,F9227=F9226),1,0)</f>
        <v/>
      </c>
      <c r="I9227">
        <f>IF(C9227="C99999",1,0)</f>
        <v/>
      </c>
      <c r="J9227" s="5">
        <f>IF(OR(H9227=1,I9227=1),0,IF(G9227="Credit",-F9227,F9227))</f>
        <v/>
      </c>
    </row>
    <row r="9228">
      <c r="A9228" t="inlineStr">
        <is>
          <t>2026-09-21</t>
        </is>
      </c>
      <c r="B9228" t="inlineStr">
        <is>
          <t>F285841</t>
        </is>
      </c>
      <c r="C9228" t="inlineStr">
        <is>
          <t>C11351</t>
        </is>
      </c>
      <c r="D9228" t="inlineStr">
        <is>
          <t>SKU-10049</t>
        </is>
      </c>
      <c r="E9228" t="inlineStr">
        <is>
          <t>AM05</t>
        </is>
      </c>
      <c r="F9228" s="5" t="n">
        <v>265.8</v>
      </c>
      <c r="G9228">
        <f>IF(LEFT(B9228,1)="C","Credit","Factuur")</f>
        <v/>
      </c>
      <c r="H9228">
        <f>IF(AND(B9228=B9227,D9228=D9227,A9228=A9227,F9228=F9227),1,0)</f>
        <v/>
      </c>
      <c r="I9228">
        <f>IF(C9228="C99999",1,0)</f>
        <v/>
      </c>
      <c r="J9228" s="5">
        <f>IF(OR(H9228=1,I9228=1),0,IF(G9228="Credit",-F9228,F9228))</f>
        <v/>
      </c>
    </row>
    <row r="9229">
      <c r="A9229" t="inlineStr">
        <is>
          <t>2026-09-21</t>
        </is>
      </c>
      <c r="B9229" t="inlineStr">
        <is>
          <t>F285841</t>
        </is>
      </c>
      <c r="C9229" t="inlineStr">
        <is>
          <t>C11351</t>
        </is>
      </c>
      <c r="D9229" t="inlineStr">
        <is>
          <t>SKU-10162</t>
        </is>
      </c>
      <c r="E9229" t="inlineStr">
        <is>
          <t>AM05</t>
        </is>
      </c>
      <c r="F9229" s="5" t="n">
        <v>288.75</v>
      </c>
      <c r="G9229">
        <f>IF(LEFT(B9229,1)="C","Credit","Factuur")</f>
        <v/>
      </c>
      <c r="H9229">
        <f>IF(AND(B9229=B9228,D9229=D9228,A9229=A9228,F9229=F9228),1,0)</f>
        <v/>
      </c>
      <c r="I9229">
        <f>IF(C9229="C99999",1,0)</f>
        <v/>
      </c>
      <c r="J9229" s="5">
        <f>IF(OR(H9229=1,I9229=1),0,IF(G9229="Credit",-F9229,F9229))</f>
        <v/>
      </c>
    </row>
    <row r="9230">
      <c r="A9230" t="inlineStr">
        <is>
          <t>2026-09-21</t>
        </is>
      </c>
      <c r="B9230" t="inlineStr">
        <is>
          <t>F285841</t>
        </is>
      </c>
      <c r="C9230" t="inlineStr">
        <is>
          <t>C11351</t>
        </is>
      </c>
      <c r="D9230" t="inlineStr">
        <is>
          <t>SKU-10165</t>
        </is>
      </c>
      <c r="E9230" t="inlineStr">
        <is>
          <t>AM05</t>
        </is>
      </c>
      <c r="F9230" s="5" t="n">
        <v>275.04</v>
      </c>
      <c r="G9230">
        <f>IF(LEFT(B9230,1)="C","Credit","Factuur")</f>
        <v/>
      </c>
      <c r="H9230">
        <f>IF(AND(B9230=B9229,D9230=D9229,A9230=A9229,F9230=F9229),1,0)</f>
        <v/>
      </c>
      <c r="I9230">
        <f>IF(C9230="C99999",1,0)</f>
        <v/>
      </c>
      <c r="J9230" s="5">
        <f>IF(OR(H9230=1,I9230=1),0,IF(G9230="Credit",-F9230,F9230))</f>
        <v/>
      </c>
    </row>
    <row r="9231">
      <c r="A9231" t="inlineStr">
        <is>
          <t>2026-09-21</t>
        </is>
      </c>
      <c r="B9231" t="inlineStr">
        <is>
          <t>F285841</t>
        </is>
      </c>
      <c r="C9231" t="inlineStr">
        <is>
          <t>C11351</t>
        </is>
      </c>
      <c r="D9231" t="inlineStr">
        <is>
          <t>SKU-10188</t>
        </is>
      </c>
      <c r="E9231" t="inlineStr">
        <is>
          <t>AM05</t>
        </is>
      </c>
      <c r="F9231" s="5" t="n">
        <v>282.81</v>
      </c>
      <c r="G9231">
        <f>IF(LEFT(B9231,1)="C","Credit","Factuur")</f>
        <v/>
      </c>
      <c r="H9231">
        <f>IF(AND(B9231=B9230,D9231=D9230,A9231=A9230,F9231=F9230),1,0)</f>
        <v/>
      </c>
      <c r="I9231">
        <f>IF(C9231="C99999",1,0)</f>
        <v/>
      </c>
      <c r="J9231" s="5">
        <f>IF(OR(H9231=1,I9231=1),0,IF(G9231="Credit",-F9231,F9231))</f>
        <v/>
      </c>
    </row>
    <row r="9232">
      <c r="A9232" t="inlineStr">
        <is>
          <t>2026-09-21</t>
        </is>
      </c>
      <c r="B9232" t="inlineStr">
        <is>
          <t>F285879</t>
        </is>
      </c>
      <c r="C9232" t="inlineStr">
        <is>
          <t>C11354</t>
        </is>
      </c>
      <c r="D9232" t="inlineStr">
        <is>
          <t>SKU-10099</t>
        </is>
      </c>
      <c r="E9232" t="inlineStr">
        <is>
          <t>AM08</t>
        </is>
      </c>
      <c r="F9232" s="5" t="n">
        <v>1281.28</v>
      </c>
      <c r="G9232">
        <f>IF(LEFT(B9232,1)="C","Credit","Factuur")</f>
        <v/>
      </c>
      <c r="H9232">
        <f>IF(AND(B9232=B9231,D9232=D9231,A9232=A9231,F9232=F9231),1,0)</f>
        <v/>
      </c>
      <c r="I9232">
        <f>IF(C9232="C99999",1,0)</f>
        <v/>
      </c>
      <c r="J9232" s="5">
        <f>IF(OR(H9232=1,I9232=1),0,IF(G9232="Credit",-F9232,F9232))</f>
        <v/>
      </c>
    </row>
    <row r="9233">
      <c r="A9233" t="inlineStr">
        <is>
          <t>2026-09-21</t>
        </is>
      </c>
      <c r="B9233" t="inlineStr">
        <is>
          <t>F285879</t>
        </is>
      </c>
      <c r="C9233" t="inlineStr">
        <is>
          <t>C11354</t>
        </is>
      </c>
      <c r="D9233" t="inlineStr">
        <is>
          <t>SKU-10204</t>
        </is>
      </c>
      <c r="E9233" t="inlineStr">
        <is>
          <t>AM08</t>
        </is>
      </c>
      <c r="F9233" s="5" t="n">
        <v>1287.5</v>
      </c>
      <c r="G9233">
        <f>IF(LEFT(B9233,1)="C","Credit","Factuur")</f>
        <v/>
      </c>
      <c r="H9233">
        <f>IF(AND(B9233=B9232,D9233=D9232,A9233=A9232,F9233=F9232),1,0)</f>
        <v/>
      </c>
      <c r="I9233">
        <f>IF(C9233="C99999",1,0)</f>
        <v/>
      </c>
      <c r="J9233" s="5">
        <f>IF(OR(H9233=1,I9233=1),0,IF(G9233="Credit",-F9233,F9233))</f>
        <v/>
      </c>
    </row>
    <row r="9234">
      <c r="A9234" t="inlineStr">
        <is>
          <t>2026-09-21</t>
        </is>
      </c>
      <c r="B9234" t="inlineStr">
        <is>
          <t>F285879</t>
        </is>
      </c>
      <c r="C9234" t="inlineStr">
        <is>
          <t>C11354</t>
        </is>
      </c>
      <c r="D9234" t="inlineStr">
        <is>
          <t>SKU-10274</t>
        </is>
      </c>
      <c r="E9234" t="inlineStr">
        <is>
          <t>AM08</t>
        </is>
      </c>
      <c r="F9234" s="5" t="n">
        <v>1219.33</v>
      </c>
      <c r="G9234">
        <f>IF(LEFT(B9234,1)="C","Credit","Factuur")</f>
        <v/>
      </c>
      <c r="H9234">
        <f>IF(AND(B9234=B9233,D9234=D9233,A9234=A9233,F9234=F9233),1,0)</f>
        <v/>
      </c>
      <c r="I9234">
        <f>IF(C9234="C99999",1,0)</f>
        <v/>
      </c>
      <c r="J9234" s="5">
        <f>IF(OR(H9234=1,I9234=1),0,IF(G9234="Credit",-F9234,F9234))</f>
        <v/>
      </c>
    </row>
    <row r="9235">
      <c r="A9235" t="inlineStr">
        <is>
          <t>2026-09-22</t>
        </is>
      </c>
      <c r="B9235" t="inlineStr">
        <is>
          <t>C900124</t>
        </is>
      </c>
      <c r="C9235" t="inlineStr">
        <is>
          <t>C11189</t>
        </is>
      </c>
      <c r="D9235" t="inlineStr">
        <is>
          <t>SKU-10059</t>
        </is>
      </c>
      <c r="E9235" t="inlineStr">
        <is>
          <t>AM02</t>
        </is>
      </c>
      <c r="F9235" s="5" t="n">
        <v>127.44</v>
      </c>
      <c r="G9235">
        <f>IF(LEFT(B9235,1)="C","Credit","Factuur")</f>
        <v/>
      </c>
      <c r="H9235">
        <f>IF(AND(B9235=B9234,D9235=D9234,A9235=A9234,F9235=F9234),1,0)</f>
        <v/>
      </c>
      <c r="I9235">
        <f>IF(C9235="C99999",1,0)</f>
        <v/>
      </c>
      <c r="J9235" s="5">
        <f>IF(OR(H9235=1,I9235=1),0,IF(G9235="Credit",-F9235,F9235))</f>
        <v/>
      </c>
    </row>
    <row r="9236">
      <c r="A9236" t="inlineStr">
        <is>
          <t>2026-09-22</t>
        </is>
      </c>
      <c r="B9236" t="inlineStr">
        <is>
          <t>C900171</t>
        </is>
      </c>
      <c r="C9236" t="inlineStr">
        <is>
          <t>C10062</t>
        </is>
      </c>
      <c r="D9236" t="inlineStr">
        <is>
          <t>SKU-10304</t>
        </is>
      </c>
      <c r="E9236" t="inlineStr">
        <is>
          <t>AM05</t>
        </is>
      </c>
      <c r="F9236" s="5" t="n">
        <v>371.3</v>
      </c>
      <c r="G9236">
        <f>IF(LEFT(B9236,1)="C","Credit","Factuur")</f>
        <v/>
      </c>
      <c r="H9236">
        <f>IF(AND(B9236=B9235,D9236=D9235,A9236=A9235,F9236=F9235),1,0)</f>
        <v/>
      </c>
      <c r="I9236">
        <f>IF(C9236="C99999",1,0)</f>
        <v/>
      </c>
      <c r="J9236" s="5">
        <f>IF(OR(H9236=1,I9236=1),0,IF(G9236="Credit",-F9236,F9236))</f>
        <v/>
      </c>
    </row>
    <row r="9237">
      <c r="A9237" t="inlineStr">
        <is>
          <t>2026-09-22</t>
        </is>
      </c>
      <c r="B9237" t="inlineStr">
        <is>
          <t>C901327</t>
        </is>
      </c>
      <c r="C9237" t="inlineStr">
        <is>
          <t>C10054</t>
        </is>
      </c>
      <c r="D9237" t="inlineStr">
        <is>
          <t>SKU-10115</t>
        </is>
      </c>
      <c r="E9237" t="inlineStr">
        <is>
          <t>AM01</t>
        </is>
      </c>
      <c r="F9237" s="5" t="n">
        <v>43.29</v>
      </c>
      <c r="G9237">
        <f>IF(LEFT(B9237,1)="C","Credit","Factuur")</f>
        <v/>
      </c>
      <c r="H9237">
        <f>IF(AND(B9237=B9236,D9237=D9236,A9237=A9236,F9237=F9236),1,0)</f>
        <v/>
      </c>
      <c r="I9237">
        <f>IF(C9237="C99999",1,0)</f>
        <v/>
      </c>
      <c r="J9237" s="5">
        <f>IF(OR(H9237=1,I9237=1),0,IF(G9237="Credit",-F9237,F9237))</f>
        <v/>
      </c>
    </row>
    <row r="9238">
      <c r="A9238" t="inlineStr">
        <is>
          <t>2026-09-22</t>
        </is>
      </c>
      <c r="B9238" t="inlineStr">
        <is>
          <t>C901624</t>
        </is>
      </c>
      <c r="C9238" t="inlineStr">
        <is>
          <t>C10130</t>
        </is>
      </c>
      <c r="D9238" t="inlineStr">
        <is>
          <t>SKU-10277</t>
        </is>
      </c>
      <c r="E9238" t="inlineStr">
        <is>
          <t>AM01</t>
        </is>
      </c>
      <c r="F9238" s="5" t="n">
        <v>127.98</v>
      </c>
      <c r="G9238">
        <f>IF(LEFT(B9238,1)="C","Credit","Factuur")</f>
        <v/>
      </c>
      <c r="H9238">
        <f>IF(AND(B9238=B9237,D9238=D9237,A9238=A9237,F9238=F9237),1,0)</f>
        <v/>
      </c>
      <c r="I9238">
        <f>IF(C9238="C99999",1,0)</f>
        <v/>
      </c>
      <c r="J9238" s="5">
        <f>IF(OR(H9238=1,I9238=1),0,IF(G9238="Credit",-F9238,F9238))</f>
        <v/>
      </c>
    </row>
    <row r="9239">
      <c r="A9239" t="inlineStr">
        <is>
          <t>2026-09-22</t>
        </is>
      </c>
      <c r="B9239" t="inlineStr">
        <is>
          <t>C901795</t>
        </is>
      </c>
      <c r="C9239" t="inlineStr">
        <is>
          <t>C10601</t>
        </is>
      </c>
      <c r="D9239" t="inlineStr">
        <is>
          <t>SKU-10027</t>
        </is>
      </c>
      <c r="E9239" t="inlineStr"/>
      <c r="F9239" s="5" t="n">
        <v>1328.16</v>
      </c>
      <c r="G9239">
        <f>IF(LEFT(B9239,1)="C","Credit","Factuur")</f>
        <v/>
      </c>
      <c r="H9239">
        <f>IF(AND(B9239=B9238,D9239=D9238,A9239=A9238,F9239=F9238),1,0)</f>
        <v/>
      </c>
      <c r="I9239">
        <f>IF(C9239="C99999",1,0)</f>
        <v/>
      </c>
      <c r="J9239" s="5">
        <f>IF(OR(H9239=1,I9239=1),0,IF(G9239="Credit",-F9239,F9239))</f>
        <v/>
      </c>
    </row>
    <row r="9240">
      <c r="A9240" t="inlineStr">
        <is>
          <t>2026-09-22</t>
        </is>
      </c>
      <c r="B9240" t="inlineStr">
        <is>
          <t>F261879</t>
        </is>
      </c>
      <c r="C9240" t="inlineStr">
        <is>
          <t>C10099</t>
        </is>
      </c>
      <c r="D9240" t="inlineStr">
        <is>
          <t>SKU-10246</t>
        </is>
      </c>
      <c r="E9240" t="inlineStr">
        <is>
          <t>AM02</t>
        </is>
      </c>
      <c r="F9240" s="5" t="n">
        <v>1214.78</v>
      </c>
      <c r="G9240">
        <f>IF(LEFT(B9240,1)="C","Credit","Factuur")</f>
        <v/>
      </c>
      <c r="H9240">
        <f>IF(AND(B9240=B9239,D9240=D9239,A9240=A9239,F9240=F9239),1,0)</f>
        <v/>
      </c>
      <c r="I9240">
        <f>IF(C9240="C99999",1,0)</f>
        <v/>
      </c>
      <c r="J9240" s="5">
        <f>IF(OR(H9240=1,I9240=1),0,IF(G9240="Credit",-F9240,F9240))</f>
        <v/>
      </c>
    </row>
    <row r="9241">
      <c r="A9241" t="inlineStr">
        <is>
          <t>2026-09-22</t>
        </is>
      </c>
      <c r="B9241" t="inlineStr">
        <is>
          <t>F261929</t>
        </is>
      </c>
      <c r="C9241" t="inlineStr">
        <is>
          <t>C10103</t>
        </is>
      </c>
      <c r="D9241" t="inlineStr">
        <is>
          <t>SKU-10041</t>
        </is>
      </c>
      <c r="E9241" t="inlineStr">
        <is>
          <t>AM08</t>
        </is>
      </c>
      <c r="F9241" s="5" t="n">
        <v>165.12</v>
      </c>
      <c r="G9241">
        <f>IF(LEFT(B9241,1)="C","Credit","Factuur")</f>
        <v/>
      </c>
      <c r="H9241">
        <f>IF(AND(B9241=B9240,D9241=D9240,A9241=A9240,F9241=F9240),1,0)</f>
        <v/>
      </c>
      <c r="I9241">
        <f>IF(C9241="C99999",1,0)</f>
        <v/>
      </c>
      <c r="J9241" s="5">
        <f>IF(OR(H9241=1,I9241=1),0,IF(G9241="Credit",-F9241,F9241))</f>
        <v/>
      </c>
    </row>
    <row r="9242">
      <c r="A9242" t="inlineStr">
        <is>
          <t>2026-09-22</t>
        </is>
      </c>
      <c r="B9242" t="inlineStr">
        <is>
          <t>F261929</t>
        </is>
      </c>
      <c r="C9242" t="inlineStr">
        <is>
          <t>C10103</t>
        </is>
      </c>
      <c r="D9242" t="inlineStr">
        <is>
          <t>SKU-10186</t>
        </is>
      </c>
      <c r="E9242" t="inlineStr">
        <is>
          <t>AM08</t>
        </is>
      </c>
      <c r="F9242" s="5" t="n">
        <v>166.6</v>
      </c>
      <c r="G9242">
        <f>IF(LEFT(B9242,1)="C","Credit","Factuur")</f>
        <v/>
      </c>
      <c r="H9242">
        <f>IF(AND(B9242=B9241,D9242=D9241,A9242=A9241,F9242=F9241),1,0)</f>
        <v/>
      </c>
      <c r="I9242">
        <f>IF(C9242="C99999",1,0)</f>
        <v/>
      </c>
      <c r="J9242" s="5">
        <f>IF(OR(H9242=1,I9242=1),0,IF(G9242="Credit",-F9242,F9242))</f>
        <v/>
      </c>
    </row>
    <row r="9243">
      <c r="A9243" t="inlineStr">
        <is>
          <t>2026-09-22</t>
        </is>
      </c>
      <c r="B9243" t="inlineStr">
        <is>
          <t>F261929</t>
        </is>
      </c>
      <c r="C9243" t="inlineStr">
        <is>
          <t>C10103</t>
        </is>
      </c>
      <c r="D9243" t="inlineStr">
        <is>
          <t>SKU-10266</t>
        </is>
      </c>
      <c r="E9243" t="inlineStr">
        <is>
          <t>AM08</t>
        </is>
      </c>
      <c r="F9243" s="5" t="n">
        <v>179</v>
      </c>
      <c r="G9243">
        <f>IF(LEFT(B9243,1)="C","Credit","Factuur")</f>
        <v/>
      </c>
      <c r="H9243">
        <f>IF(AND(B9243=B9242,D9243=D9242,A9243=A9242,F9243=F9242),1,0)</f>
        <v/>
      </c>
      <c r="I9243">
        <f>IF(C9243="C99999",1,0)</f>
        <v/>
      </c>
      <c r="J9243" s="5">
        <f>IF(OR(H9243=1,I9243=1),0,IF(G9243="Credit",-F9243,F9243))</f>
        <v/>
      </c>
    </row>
    <row r="9244">
      <c r="A9244" t="inlineStr">
        <is>
          <t>2026-09-22</t>
        </is>
      </c>
      <c r="B9244" t="inlineStr">
        <is>
          <t>F261929</t>
        </is>
      </c>
      <c r="C9244" t="inlineStr">
        <is>
          <t>C10103</t>
        </is>
      </c>
      <c r="D9244" t="inlineStr">
        <is>
          <t>SKU-10267</t>
        </is>
      </c>
      <c r="E9244" t="inlineStr">
        <is>
          <t>AM08</t>
        </is>
      </c>
      <c r="F9244" s="5" t="n">
        <v>177.36</v>
      </c>
      <c r="G9244">
        <f>IF(LEFT(B9244,1)="C","Credit","Factuur")</f>
        <v/>
      </c>
      <c r="H9244">
        <f>IF(AND(B9244=B9243,D9244=D9243,A9244=A9243,F9244=F9243),1,0)</f>
        <v/>
      </c>
      <c r="I9244">
        <f>IF(C9244="C99999",1,0)</f>
        <v/>
      </c>
      <c r="J9244" s="5">
        <f>IF(OR(H9244=1,I9244=1),0,IF(G9244="Credit",-F9244,F9244))</f>
        <v/>
      </c>
    </row>
    <row r="9245">
      <c r="A9245" t="inlineStr">
        <is>
          <t>2026-09-22</t>
        </is>
      </c>
      <c r="B9245" t="inlineStr">
        <is>
          <t>F261929</t>
        </is>
      </c>
      <c r="C9245" t="inlineStr">
        <is>
          <t>C10103</t>
        </is>
      </c>
      <c r="D9245" t="inlineStr">
        <is>
          <t>SKU-10274</t>
        </is>
      </c>
      <c r="E9245" t="inlineStr">
        <is>
          <t>AM08</t>
        </is>
      </c>
      <c r="F9245" s="5" t="n">
        <v>179.69</v>
      </c>
      <c r="G9245">
        <f>IF(LEFT(B9245,1)="C","Credit","Factuur")</f>
        <v/>
      </c>
      <c r="H9245">
        <f>IF(AND(B9245=B9244,D9245=D9244,A9245=A9244,F9245=F9244),1,0)</f>
        <v/>
      </c>
      <c r="I9245">
        <f>IF(C9245="C99999",1,0)</f>
        <v/>
      </c>
      <c r="J9245" s="5">
        <f>IF(OR(H9245=1,I9245=1),0,IF(G9245="Credit",-F9245,F9245))</f>
        <v/>
      </c>
    </row>
    <row r="9246">
      <c r="A9246" t="inlineStr">
        <is>
          <t>2026-09-22</t>
        </is>
      </c>
      <c r="B9246" t="inlineStr">
        <is>
          <t>F262135</t>
        </is>
      </c>
      <c r="C9246" t="inlineStr">
        <is>
          <t>C10113</t>
        </is>
      </c>
      <c r="D9246" t="inlineStr">
        <is>
          <t>SKU-10034</t>
        </is>
      </c>
      <c r="E9246" t="inlineStr">
        <is>
          <t>AM12</t>
        </is>
      </c>
      <c r="F9246" s="5" t="n">
        <v>670.91</v>
      </c>
      <c r="G9246">
        <f>IF(LEFT(B9246,1)="C","Credit","Factuur")</f>
        <v/>
      </c>
      <c r="H9246">
        <f>IF(AND(B9246=B9245,D9246=D9245,A9246=A9245,F9246=F9245),1,0)</f>
        <v/>
      </c>
      <c r="I9246">
        <f>IF(C9246="C99999",1,0)</f>
        <v/>
      </c>
      <c r="J9246" s="5">
        <f>IF(OR(H9246=1,I9246=1),0,IF(G9246="Credit",-F9246,F9246))</f>
        <v/>
      </c>
    </row>
    <row r="9247">
      <c r="A9247" t="inlineStr">
        <is>
          <t>2026-09-22</t>
        </is>
      </c>
      <c r="B9247" t="inlineStr">
        <is>
          <t>F262135</t>
        </is>
      </c>
      <c r="C9247" t="inlineStr">
        <is>
          <t>C10113</t>
        </is>
      </c>
      <c r="D9247" t="inlineStr">
        <is>
          <t>SKU-10288</t>
        </is>
      </c>
      <c r="E9247" t="inlineStr">
        <is>
          <t>AM12</t>
        </is>
      </c>
      <c r="F9247" s="5" t="n">
        <v>733.48</v>
      </c>
      <c r="G9247">
        <f>IF(LEFT(B9247,1)="C","Credit","Factuur")</f>
        <v/>
      </c>
      <c r="H9247">
        <f>IF(AND(B9247=B9246,D9247=D9246,A9247=A9246,F9247=F9246),1,0)</f>
        <v/>
      </c>
      <c r="I9247">
        <f>IF(C9247="C99999",1,0)</f>
        <v/>
      </c>
      <c r="J9247" s="5">
        <f>IF(OR(H9247=1,I9247=1),0,IF(G9247="Credit",-F9247,F9247))</f>
        <v/>
      </c>
    </row>
    <row r="9248">
      <c r="A9248" t="inlineStr">
        <is>
          <t>2026-09-22</t>
        </is>
      </c>
      <c r="B9248" t="inlineStr">
        <is>
          <t>F262135</t>
        </is>
      </c>
      <c r="C9248" t="inlineStr">
        <is>
          <t>C10113</t>
        </is>
      </c>
      <c r="D9248" t="inlineStr">
        <is>
          <t>SKU-10331</t>
        </is>
      </c>
      <c r="E9248" t="inlineStr">
        <is>
          <t>AM12</t>
        </is>
      </c>
      <c r="F9248" s="5" t="n">
        <v>772.74</v>
      </c>
      <c r="G9248">
        <f>IF(LEFT(B9248,1)="C","Credit","Factuur")</f>
        <v/>
      </c>
      <c r="H9248">
        <f>IF(AND(B9248=B9247,D9248=D9247,A9248=A9247,F9248=F9247),1,0)</f>
        <v/>
      </c>
      <c r="I9248">
        <f>IF(C9248="C99999",1,0)</f>
        <v/>
      </c>
      <c r="J9248" s="5">
        <f>IF(OR(H9248=1,I9248=1),0,IF(G9248="Credit",-F9248,F9248))</f>
        <v/>
      </c>
    </row>
    <row r="9249">
      <c r="A9249" t="inlineStr">
        <is>
          <t>2026-09-22</t>
        </is>
      </c>
      <c r="B9249" t="inlineStr">
        <is>
          <t>F262560</t>
        </is>
      </c>
      <c r="C9249" t="inlineStr">
        <is>
          <t>C10136</t>
        </is>
      </c>
      <c r="D9249" t="inlineStr">
        <is>
          <t>SKU-10062</t>
        </is>
      </c>
      <c r="E9249" t="inlineStr">
        <is>
          <t>AM11</t>
        </is>
      </c>
      <c r="F9249" s="5" t="n">
        <v>406.56</v>
      </c>
      <c r="G9249">
        <f>IF(LEFT(B9249,1)="C","Credit","Factuur")</f>
        <v/>
      </c>
      <c r="H9249">
        <f>IF(AND(B9249=B9248,D9249=D9248,A9249=A9248,F9249=F9248),1,0)</f>
        <v/>
      </c>
      <c r="I9249">
        <f>IF(C9249="C99999",1,0)</f>
        <v/>
      </c>
      <c r="J9249" s="5">
        <f>IF(OR(H9249=1,I9249=1),0,IF(G9249="Credit",-F9249,F9249))</f>
        <v/>
      </c>
    </row>
    <row r="9250">
      <c r="A9250" t="inlineStr">
        <is>
          <t>2026-09-22</t>
        </is>
      </c>
      <c r="B9250" t="inlineStr">
        <is>
          <t>F262560</t>
        </is>
      </c>
      <c r="C9250" t="inlineStr">
        <is>
          <t>C10136</t>
        </is>
      </c>
      <c r="D9250" t="inlineStr">
        <is>
          <t>SKU-10166</t>
        </is>
      </c>
      <c r="E9250" t="inlineStr">
        <is>
          <t>AM11</t>
        </is>
      </c>
      <c r="F9250" s="5" t="n">
        <v>393.25</v>
      </c>
      <c r="G9250">
        <f>IF(LEFT(B9250,1)="C","Credit","Factuur")</f>
        <v/>
      </c>
      <c r="H9250">
        <f>IF(AND(B9250=B9249,D9250=D9249,A9250=A9249,F9250=F9249),1,0)</f>
        <v/>
      </c>
      <c r="I9250">
        <f>IF(C9250="C99999",1,0)</f>
        <v/>
      </c>
      <c r="J9250" s="5">
        <f>IF(OR(H9250=1,I9250=1),0,IF(G9250="Credit",-F9250,F9250))</f>
        <v/>
      </c>
    </row>
    <row r="9251">
      <c r="A9251" t="inlineStr">
        <is>
          <t>2026-09-22</t>
        </is>
      </c>
      <c r="B9251" t="inlineStr">
        <is>
          <t>F263099</t>
        </is>
      </c>
      <c r="C9251" t="inlineStr">
        <is>
          <t>C10165</t>
        </is>
      </c>
      <c r="D9251" t="inlineStr">
        <is>
          <t>SKU-10013</t>
        </is>
      </c>
      <c r="E9251" t="inlineStr">
        <is>
          <t>AM05</t>
        </is>
      </c>
      <c r="F9251" s="5" t="n">
        <v>112.83</v>
      </c>
      <c r="G9251">
        <f>IF(LEFT(B9251,1)="C","Credit","Factuur")</f>
        <v/>
      </c>
      <c r="H9251">
        <f>IF(AND(B9251=B9250,D9251=D9250,A9251=A9250,F9251=F9250),1,0)</f>
        <v/>
      </c>
      <c r="I9251">
        <f>IF(C9251="C99999",1,0)</f>
        <v/>
      </c>
      <c r="J9251" s="5">
        <f>IF(OR(H9251=1,I9251=1),0,IF(G9251="Credit",-F9251,F9251))</f>
        <v/>
      </c>
    </row>
    <row r="9252">
      <c r="A9252" t="inlineStr">
        <is>
          <t>2026-09-22</t>
        </is>
      </c>
      <c r="B9252" t="inlineStr">
        <is>
          <t>F263099</t>
        </is>
      </c>
      <c r="C9252" t="inlineStr">
        <is>
          <t>C10165</t>
        </is>
      </c>
      <c r="D9252" t="inlineStr">
        <is>
          <t>SKU-10278</t>
        </is>
      </c>
      <c r="E9252" t="inlineStr">
        <is>
          <t>AM05</t>
        </is>
      </c>
      <c r="F9252" s="5" t="n">
        <v>107.2</v>
      </c>
      <c r="G9252">
        <f>IF(LEFT(B9252,1)="C","Credit","Factuur")</f>
        <v/>
      </c>
      <c r="H9252">
        <f>IF(AND(B9252=B9251,D9252=D9251,A9252=A9251,F9252=F9251),1,0)</f>
        <v/>
      </c>
      <c r="I9252">
        <f>IF(C9252="C99999",1,0)</f>
        <v/>
      </c>
      <c r="J9252" s="5">
        <f>IF(OR(H9252=1,I9252=1),0,IF(G9252="Credit",-F9252,F9252))</f>
        <v/>
      </c>
    </row>
    <row r="9253">
      <c r="A9253" t="inlineStr">
        <is>
          <t>2026-09-22</t>
        </is>
      </c>
      <c r="B9253" t="inlineStr">
        <is>
          <t>F263099</t>
        </is>
      </c>
      <c r="C9253" t="inlineStr">
        <is>
          <t>C10165</t>
        </is>
      </c>
      <c r="D9253" t="inlineStr">
        <is>
          <t>SKU-10305</t>
        </is>
      </c>
      <c r="E9253" t="inlineStr">
        <is>
          <t>AM05</t>
        </is>
      </c>
      <c r="F9253" s="5" t="n">
        <v>112.01</v>
      </c>
      <c r="G9253">
        <f>IF(LEFT(B9253,1)="C","Credit","Factuur")</f>
        <v/>
      </c>
      <c r="H9253">
        <f>IF(AND(B9253=B9252,D9253=D9252,A9253=A9252,F9253=F9252),1,0)</f>
        <v/>
      </c>
      <c r="I9253">
        <f>IF(C9253="C99999",1,0)</f>
        <v/>
      </c>
      <c r="J9253" s="5">
        <f>IF(OR(H9253=1,I9253=1),0,IF(G9253="Credit",-F9253,F9253))</f>
        <v/>
      </c>
    </row>
    <row r="9254">
      <c r="A9254" t="inlineStr">
        <is>
          <t>2026-09-22</t>
        </is>
      </c>
      <c r="B9254" t="inlineStr">
        <is>
          <t>F263991</t>
        </is>
      </c>
      <c r="C9254" t="inlineStr">
        <is>
          <t>C10209</t>
        </is>
      </c>
      <c r="D9254" t="inlineStr">
        <is>
          <t>SKU-10009</t>
        </is>
      </c>
      <c r="E9254" t="inlineStr">
        <is>
          <t>AM05</t>
        </is>
      </c>
      <c r="F9254" s="5" t="n">
        <v>319.12</v>
      </c>
      <c r="G9254">
        <f>IF(LEFT(B9254,1)="C","Credit","Factuur")</f>
        <v/>
      </c>
      <c r="H9254">
        <f>IF(AND(B9254=B9253,D9254=D9253,A9254=A9253,F9254=F9253),1,0)</f>
        <v/>
      </c>
      <c r="I9254">
        <f>IF(C9254="C99999",1,0)</f>
        <v/>
      </c>
      <c r="J9254" s="5">
        <f>IF(OR(H9254=1,I9254=1),0,IF(G9254="Credit",-F9254,F9254))</f>
        <v/>
      </c>
    </row>
    <row r="9255">
      <c r="A9255" t="inlineStr">
        <is>
          <t>2026-09-22</t>
        </is>
      </c>
      <c r="B9255" t="inlineStr">
        <is>
          <t>F263991</t>
        </is>
      </c>
      <c r="C9255" t="inlineStr">
        <is>
          <t>C10209</t>
        </is>
      </c>
      <c r="D9255" t="inlineStr">
        <is>
          <t>SKU-10018</t>
        </is>
      </c>
      <c r="E9255" t="inlineStr">
        <is>
          <t>AM05</t>
        </is>
      </c>
      <c r="F9255" s="5" t="n">
        <v>375.27</v>
      </c>
      <c r="G9255">
        <f>IF(LEFT(B9255,1)="C","Credit","Factuur")</f>
        <v/>
      </c>
      <c r="H9255">
        <f>IF(AND(B9255=B9254,D9255=D9254,A9255=A9254,F9255=F9254),1,0)</f>
        <v/>
      </c>
      <c r="I9255">
        <f>IF(C9255="C99999",1,0)</f>
        <v/>
      </c>
      <c r="J9255" s="5">
        <f>IF(OR(H9255=1,I9255=1),0,IF(G9255="Credit",-F9255,F9255))</f>
        <v/>
      </c>
    </row>
    <row r="9256">
      <c r="A9256" t="inlineStr">
        <is>
          <t>2026-09-22</t>
        </is>
      </c>
      <c r="B9256" t="inlineStr">
        <is>
          <t>F263991</t>
        </is>
      </c>
      <c r="C9256" t="inlineStr">
        <is>
          <t>C10209</t>
        </is>
      </c>
      <c r="D9256" t="inlineStr">
        <is>
          <t>SKU-10031</t>
        </is>
      </c>
      <c r="E9256" t="inlineStr">
        <is>
          <t>AM05</t>
        </is>
      </c>
      <c r="F9256" s="5" t="n">
        <v>322.33</v>
      </c>
      <c r="G9256">
        <f>IF(LEFT(B9256,1)="C","Credit","Factuur")</f>
        <v/>
      </c>
      <c r="H9256">
        <f>IF(AND(B9256=B9255,D9256=D9255,A9256=A9255,F9256=F9255),1,0)</f>
        <v/>
      </c>
      <c r="I9256">
        <f>IF(C9256="C99999",1,0)</f>
        <v/>
      </c>
      <c r="J9256" s="5">
        <f>IF(OR(H9256=1,I9256=1),0,IF(G9256="Credit",-F9256,F9256))</f>
        <v/>
      </c>
    </row>
    <row r="9257">
      <c r="A9257" t="inlineStr">
        <is>
          <t>2026-09-22</t>
        </is>
      </c>
      <c r="B9257" t="inlineStr">
        <is>
          <t>F263991</t>
        </is>
      </c>
      <c r="C9257" t="inlineStr">
        <is>
          <t>C10209</t>
        </is>
      </c>
      <c r="D9257" t="inlineStr">
        <is>
          <t>SKU-10055</t>
        </is>
      </c>
      <c r="E9257" t="inlineStr">
        <is>
          <t>AM05</t>
        </is>
      </c>
      <c r="F9257" s="5" t="n">
        <v>402.36</v>
      </c>
      <c r="G9257">
        <f>IF(LEFT(B9257,1)="C","Credit","Factuur")</f>
        <v/>
      </c>
      <c r="H9257">
        <f>IF(AND(B9257=B9256,D9257=D9256,A9257=A9256,F9257=F9256),1,0)</f>
        <v/>
      </c>
      <c r="I9257">
        <f>IF(C9257="C99999",1,0)</f>
        <v/>
      </c>
      <c r="J9257" s="5">
        <f>IF(OR(H9257=1,I9257=1),0,IF(G9257="Credit",-F9257,F9257))</f>
        <v/>
      </c>
    </row>
    <row r="9258">
      <c r="A9258" t="inlineStr">
        <is>
          <t>2026-09-22</t>
        </is>
      </c>
      <c r="B9258" t="inlineStr">
        <is>
          <t>F263991</t>
        </is>
      </c>
      <c r="C9258" t="inlineStr">
        <is>
          <t>C10209</t>
        </is>
      </c>
      <c r="D9258" t="inlineStr">
        <is>
          <t>SKU-10068</t>
        </is>
      </c>
      <c r="E9258" t="inlineStr">
        <is>
          <t>AM05</t>
        </is>
      </c>
      <c r="F9258" s="5" t="n">
        <v>362.09</v>
      </c>
      <c r="G9258">
        <f>IF(LEFT(B9258,1)="C","Credit","Factuur")</f>
        <v/>
      </c>
      <c r="H9258">
        <f>IF(AND(B9258=B9257,D9258=D9257,A9258=A9257,F9258=F9257),1,0)</f>
        <v/>
      </c>
      <c r="I9258">
        <f>IF(C9258="C99999",1,0)</f>
        <v/>
      </c>
      <c r="J9258" s="5">
        <f>IF(OR(H9258=1,I9258=1),0,IF(G9258="Credit",-F9258,F9258))</f>
        <v/>
      </c>
    </row>
    <row r="9259">
      <c r="A9259" t="inlineStr">
        <is>
          <t>2026-09-22</t>
        </is>
      </c>
      <c r="B9259" t="inlineStr">
        <is>
          <t>F263991</t>
        </is>
      </c>
      <c r="C9259" t="inlineStr">
        <is>
          <t>C10209</t>
        </is>
      </c>
      <c r="D9259" t="inlineStr">
        <is>
          <t>SKU-10074</t>
        </is>
      </c>
      <c r="E9259" t="inlineStr">
        <is>
          <t>AM05</t>
        </is>
      </c>
      <c r="F9259" s="5" t="n">
        <v>316.48</v>
      </c>
      <c r="G9259">
        <f>IF(LEFT(B9259,1)="C","Credit","Factuur")</f>
        <v/>
      </c>
      <c r="H9259">
        <f>IF(AND(B9259=B9258,D9259=D9258,A9259=A9258,F9259=F9258),1,0)</f>
        <v/>
      </c>
      <c r="I9259">
        <f>IF(C9259="C99999",1,0)</f>
        <v/>
      </c>
      <c r="J9259" s="5">
        <f>IF(OR(H9259=1,I9259=1),0,IF(G9259="Credit",-F9259,F9259))</f>
        <v/>
      </c>
    </row>
    <row r="9260">
      <c r="A9260" t="inlineStr">
        <is>
          <t>2026-09-22</t>
        </is>
      </c>
      <c r="B9260" t="inlineStr">
        <is>
          <t>F263991</t>
        </is>
      </c>
      <c r="C9260" t="inlineStr">
        <is>
          <t>C10209</t>
        </is>
      </c>
      <c r="D9260" t="inlineStr">
        <is>
          <t>SKU-10122</t>
        </is>
      </c>
      <c r="E9260" t="inlineStr">
        <is>
          <t>AM05</t>
        </is>
      </c>
      <c r="F9260" s="5" t="n">
        <v>314.27</v>
      </c>
      <c r="G9260">
        <f>IF(LEFT(B9260,1)="C","Credit","Factuur")</f>
        <v/>
      </c>
      <c r="H9260">
        <f>IF(AND(B9260=B9259,D9260=D9259,A9260=A9259,F9260=F9259),1,0)</f>
        <v/>
      </c>
      <c r="I9260">
        <f>IF(C9260="C99999",1,0)</f>
        <v/>
      </c>
      <c r="J9260" s="5">
        <f>IF(OR(H9260=1,I9260=1),0,IF(G9260="Credit",-F9260,F9260))</f>
        <v/>
      </c>
    </row>
    <row r="9261">
      <c r="A9261" t="inlineStr">
        <is>
          <t>2026-09-22</t>
        </is>
      </c>
      <c r="B9261" t="inlineStr">
        <is>
          <t>F263991</t>
        </is>
      </c>
      <c r="C9261" t="inlineStr">
        <is>
          <t>C10209</t>
        </is>
      </c>
      <c r="D9261" t="inlineStr">
        <is>
          <t>SKU-10179</t>
        </is>
      </c>
      <c r="E9261" t="inlineStr">
        <is>
          <t>AM05</t>
        </is>
      </c>
      <c r="F9261" s="5" t="n">
        <v>398.08</v>
      </c>
      <c r="G9261">
        <f>IF(LEFT(B9261,1)="C","Credit","Factuur")</f>
        <v/>
      </c>
      <c r="H9261">
        <f>IF(AND(B9261=B9260,D9261=D9260,A9261=A9260,F9261=F9260),1,0)</f>
        <v/>
      </c>
      <c r="I9261">
        <f>IF(C9261="C99999",1,0)</f>
        <v/>
      </c>
      <c r="J9261" s="5">
        <f>IF(OR(H9261=1,I9261=1),0,IF(G9261="Credit",-F9261,F9261))</f>
        <v/>
      </c>
    </row>
    <row r="9262">
      <c r="A9262" t="inlineStr">
        <is>
          <t>2026-09-22</t>
        </is>
      </c>
      <c r="B9262" t="inlineStr">
        <is>
          <t>F263991</t>
        </is>
      </c>
      <c r="C9262" t="inlineStr">
        <is>
          <t>C10209</t>
        </is>
      </c>
      <c r="D9262" t="inlineStr">
        <is>
          <t>SKU-10225</t>
        </is>
      </c>
      <c r="E9262" t="inlineStr">
        <is>
          <t>AM05</t>
        </is>
      </c>
      <c r="F9262" s="5" t="n">
        <v>364.94</v>
      </c>
      <c r="G9262">
        <f>IF(LEFT(B9262,1)="C","Credit","Factuur")</f>
        <v/>
      </c>
      <c r="H9262">
        <f>IF(AND(B9262=B9261,D9262=D9261,A9262=A9261,F9262=F9261),1,0)</f>
        <v/>
      </c>
      <c r="I9262">
        <f>IF(C9262="C99999",1,0)</f>
        <v/>
      </c>
      <c r="J9262" s="5">
        <f>IF(OR(H9262=1,I9262=1),0,IF(G9262="Credit",-F9262,F9262))</f>
        <v/>
      </c>
    </row>
    <row r="9263">
      <c r="A9263" t="inlineStr">
        <is>
          <t>2026-09-22</t>
        </is>
      </c>
      <c r="B9263" t="inlineStr">
        <is>
          <t>F264122</t>
        </is>
      </c>
      <c r="C9263" t="inlineStr">
        <is>
          <t>C10218</t>
        </is>
      </c>
      <c r="D9263" t="inlineStr">
        <is>
          <t>SKU-10055</t>
        </is>
      </c>
      <c r="E9263" t="inlineStr">
        <is>
          <t>AM05</t>
        </is>
      </c>
      <c r="F9263" s="5" t="n">
        <v>234.71</v>
      </c>
      <c r="G9263">
        <f>IF(LEFT(B9263,1)="C","Credit","Factuur")</f>
        <v/>
      </c>
      <c r="H9263">
        <f>IF(AND(B9263=B9262,D9263=D9262,A9263=A9262,F9263=F9262),1,0)</f>
        <v/>
      </c>
      <c r="I9263">
        <f>IF(C9263="C99999",1,0)</f>
        <v/>
      </c>
      <c r="J9263" s="5">
        <f>IF(OR(H9263=1,I9263=1),0,IF(G9263="Credit",-F9263,F9263))</f>
        <v/>
      </c>
    </row>
    <row r="9264">
      <c r="A9264" t="inlineStr">
        <is>
          <t>2026-09-22</t>
        </is>
      </c>
      <c r="B9264" t="inlineStr">
        <is>
          <t>F264122</t>
        </is>
      </c>
      <c r="C9264" t="inlineStr">
        <is>
          <t>C10218</t>
        </is>
      </c>
      <c r="D9264" t="inlineStr">
        <is>
          <t>SKU-10117</t>
        </is>
      </c>
      <c r="E9264" t="inlineStr">
        <is>
          <t>AM05</t>
        </is>
      </c>
      <c r="F9264" s="5" t="n">
        <v>242.32</v>
      </c>
      <c r="G9264">
        <f>IF(LEFT(B9264,1)="C","Credit","Factuur")</f>
        <v/>
      </c>
      <c r="H9264">
        <f>IF(AND(B9264=B9263,D9264=D9263,A9264=A9263,F9264=F9263),1,0)</f>
        <v/>
      </c>
      <c r="I9264">
        <f>IF(C9264="C99999",1,0)</f>
        <v/>
      </c>
      <c r="J9264" s="5">
        <f>IF(OR(H9264=1,I9264=1),0,IF(G9264="Credit",-F9264,F9264))</f>
        <v/>
      </c>
    </row>
    <row r="9265">
      <c r="A9265" t="inlineStr">
        <is>
          <t>2026-09-22</t>
        </is>
      </c>
      <c r="B9265" t="inlineStr">
        <is>
          <t>F264122</t>
        </is>
      </c>
      <c r="C9265" t="inlineStr">
        <is>
          <t>C10218</t>
        </is>
      </c>
      <c r="D9265" t="inlineStr">
        <is>
          <t>SKU-10119</t>
        </is>
      </c>
      <c r="E9265" t="inlineStr">
        <is>
          <t>AM05</t>
        </is>
      </c>
      <c r="F9265" s="5" t="n">
        <v>216.84</v>
      </c>
      <c r="G9265">
        <f>IF(LEFT(B9265,1)="C","Credit","Factuur")</f>
        <v/>
      </c>
      <c r="H9265">
        <f>IF(AND(B9265=B9264,D9265=D9264,A9265=A9264,F9265=F9264),1,0)</f>
        <v/>
      </c>
      <c r="I9265">
        <f>IF(C9265="C99999",1,0)</f>
        <v/>
      </c>
      <c r="J9265" s="5">
        <f>IF(OR(H9265=1,I9265=1),0,IF(G9265="Credit",-F9265,F9265))</f>
        <v/>
      </c>
    </row>
    <row r="9266">
      <c r="A9266" t="inlineStr">
        <is>
          <t>2026-09-22</t>
        </is>
      </c>
      <c r="B9266" t="inlineStr">
        <is>
          <t>F264122</t>
        </is>
      </c>
      <c r="C9266" t="inlineStr">
        <is>
          <t>C10218</t>
        </is>
      </c>
      <c r="D9266" t="inlineStr">
        <is>
          <t>SKU-10281</t>
        </is>
      </c>
      <c r="E9266" t="inlineStr">
        <is>
          <t>AM05</t>
        </is>
      </c>
      <c r="F9266" s="5" t="n">
        <v>233.91</v>
      </c>
      <c r="G9266">
        <f>IF(LEFT(B9266,1)="C","Credit","Factuur")</f>
        <v/>
      </c>
      <c r="H9266">
        <f>IF(AND(B9266=B9265,D9266=D9265,A9266=A9265,F9266=F9265),1,0)</f>
        <v/>
      </c>
      <c r="I9266">
        <f>IF(C9266="C99999",1,0)</f>
        <v/>
      </c>
      <c r="J9266" s="5">
        <f>IF(OR(H9266=1,I9266=1),0,IF(G9266="Credit",-F9266,F9266))</f>
        <v/>
      </c>
    </row>
    <row r="9267">
      <c r="A9267" t="inlineStr">
        <is>
          <t>2026-09-22</t>
        </is>
      </c>
      <c r="B9267" t="inlineStr">
        <is>
          <t>F264244</t>
        </is>
      </c>
      <c r="C9267" t="inlineStr">
        <is>
          <t>C10223</t>
        </is>
      </c>
      <c r="D9267" t="inlineStr">
        <is>
          <t>SKU-10225</t>
        </is>
      </c>
      <c r="E9267" t="inlineStr">
        <is>
          <t>AM07</t>
        </is>
      </c>
      <c r="F9267" s="5" t="n">
        <v>1329.75</v>
      </c>
      <c r="G9267">
        <f>IF(LEFT(B9267,1)="C","Credit","Factuur")</f>
        <v/>
      </c>
      <c r="H9267">
        <f>IF(AND(B9267=B9266,D9267=D9266,A9267=A9266,F9267=F9266),1,0)</f>
        <v/>
      </c>
      <c r="I9267">
        <f>IF(C9267="C99999",1,0)</f>
        <v/>
      </c>
      <c r="J9267" s="5">
        <f>IF(OR(H9267=1,I9267=1),0,IF(G9267="Credit",-F9267,F9267))</f>
        <v/>
      </c>
    </row>
    <row r="9268">
      <c r="A9268" t="inlineStr">
        <is>
          <t>2026-09-22</t>
        </is>
      </c>
      <c r="B9268" t="inlineStr">
        <is>
          <t>F264626</t>
        </is>
      </c>
      <c r="C9268" t="inlineStr">
        <is>
          <t>C10240</t>
        </is>
      </c>
      <c r="D9268" t="inlineStr">
        <is>
          <t>SKU-10135</t>
        </is>
      </c>
      <c r="E9268" t="inlineStr">
        <is>
          <t>AM11</t>
        </is>
      </c>
      <c r="F9268" s="5" t="n">
        <v>231.88</v>
      </c>
      <c r="G9268">
        <f>IF(LEFT(B9268,1)="C","Credit","Factuur")</f>
        <v/>
      </c>
      <c r="H9268">
        <f>IF(AND(B9268=B9267,D9268=D9267,A9268=A9267,F9268=F9267),1,0)</f>
        <v/>
      </c>
      <c r="I9268">
        <f>IF(C9268="C99999",1,0)</f>
        <v/>
      </c>
      <c r="J9268" s="5">
        <f>IF(OR(H9268=1,I9268=1),0,IF(G9268="Credit",-F9268,F9268))</f>
        <v/>
      </c>
    </row>
    <row r="9269">
      <c r="A9269" t="inlineStr">
        <is>
          <t>2026-09-22</t>
        </is>
      </c>
      <c r="B9269" t="inlineStr">
        <is>
          <t>F264626</t>
        </is>
      </c>
      <c r="C9269" t="inlineStr">
        <is>
          <t>C10240</t>
        </is>
      </c>
      <c r="D9269" t="inlineStr">
        <is>
          <t>SKU-10290</t>
        </is>
      </c>
      <c r="E9269" t="inlineStr">
        <is>
          <t>AM11</t>
        </is>
      </c>
      <c r="F9269" s="5" t="n">
        <v>238.31</v>
      </c>
      <c r="G9269">
        <f>IF(LEFT(B9269,1)="C","Credit","Factuur")</f>
        <v/>
      </c>
      <c r="H9269">
        <f>IF(AND(B9269=B9268,D9269=D9268,A9269=A9268,F9269=F9268),1,0)</f>
        <v/>
      </c>
      <c r="I9269">
        <f>IF(C9269="C99999",1,0)</f>
        <v/>
      </c>
      <c r="J9269" s="5">
        <f>IF(OR(H9269=1,I9269=1),0,IF(G9269="Credit",-F9269,F9269))</f>
        <v/>
      </c>
    </row>
    <row r="9270">
      <c r="A9270" t="inlineStr">
        <is>
          <t>2026-09-22</t>
        </is>
      </c>
      <c r="B9270" t="inlineStr">
        <is>
          <t>F264626</t>
        </is>
      </c>
      <c r="C9270" t="inlineStr">
        <is>
          <t>C10240</t>
        </is>
      </c>
      <c r="D9270" t="inlineStr">
        <is>
          <t>SKU-10301</t>
        </is>
      </c>
      <c r="E9270" t="inlineStr">
        <is>
          <t>AM11</t>
        </is>
      </c>
      <c r="F9270" s="5" t="n">
        <v>260.1</v>
      </c>
      <c r="G9270">
        <f>IF(LEFT(B9270,1)="C","Credit","Factuur")</f>
        <v/>
      </c>
      <c r="H9270">
        <f>IF(AND(B9270=B9269,D9270=D9269,A9270=A9269,F9270=F9269),1,0)</f>
        <v/>
      </c>
      <c r="I9270">
        <f>IF(C9270="C99999",1,0)</f>
        <v/>
      </c>
      <c r="J9270" s="5">
        <f>IF(OR(H9270=1,I9270=1),0,IF(G9270="Credit",-F9270,F9270))</f>
        <v/>
      </c>
    </row>
    <row r="9271">
      <c r="A9271" t="inlineStr">
        <is>
          <t>2026-09-22</t>
        </is>
      </c>
      <c r="B9271" t="inlineStr">
        <is>
          <t>F264674</t>
        </is>
      </c>
      <c r="C9271" t="inlineStr">
        <is>
          <t>C10243</t>
        </is>
      </c>
      <c r="D9271" t="inlineStr">
        <is>
          <t>SKU-10012</t>
        </is>
      </c>
      <c r="E9271" t="inlineStr">
        <is>
          <t>AM02</t>
        </is>
      </c>
      <c r="F9271" s="5" t="n">
        <v>298.36</v>
      </c>
      <c r="G9271">
        <f>IF(LEFT(B9271,1)="C","Credit","Factuur")</f>
        <v/>
      </c>
      <c r="H9271">
        <f>IF(AND(B9271=B9270,D9271=D9270,A9271=A9270,F9271=F9270),1,0)</f>
        <v/>
      </c>
      <c r="I9271">
        <f>IF(C9271="C99999",1,0)</f>
        <v/>
      </c>
      <c r="J9271" s="5">
        <f>IF(OR(H9271=1,I9271=1),0,IF(G9271="Credit",-F9271,F9271))</f>
        <v/>
      </c>
    </row>
    <row r="9272">
      <c r="A9272" t="inlineStr">
        <is>
          <t>2026-09-22</t>
        </is>
      </c>
      <c r="B9272" t="inlineStr">
        <is>
          <t>F264674</t>
        </is>
      </c>
      <c r="C9272" t="inlineStr">
        <is>
          <t>C10243</t>
        </is>
      </c>
      <c r="D9272" t="inlineStr">
        <is>
          <t>SKU-10234</t>
        </is>
      </c>
      <c r="E9272" t="inlineStr">
        <is>
          <t>AM02</t>
        </is>
      </c>
      <c r="F9272" s="5" t="n">
        <v>313.42</v>
      </c>
      <c r="G9272">
        <f>IF(LEFT(B9272,1)="C","Credit","Factuur")</f>
        <v/>
      </c>
      <c r="H9272">
        <f>IF(AND(B9272=B9271,D9272=D9271,A9272=A9271,F9272=F9271),1,0)</f>
        <v/>
      </c>
      <c r="I9272">
        <f>IF(C9272="C99999",1,0)</f>
        <v/>
      </c>
      <c r="J9272" s="5">
        <f>IF(OR(H9272=1,I9272=1),0,IF(G9272="Credit",-F9272,F9272))</f>
        <v/>
      </c>
    </row>
    <row r="9273">
      <c r="A9273" t="inlineStr">
        <is>
          <t>2026-09-22</t>
        </is>
      </c>
      <c r="B9273" t="inlineStr">
        <is>
          <t>F265104</t>
        </is>
      </c>
      <c r="C9273" t="inlineStr">
        <is>
          <t>C10269</t>
        </is>
      </c>
      <c r="D9273" t="inlineStr">
        <is>
          <t>SKU-10041</t>
        </is>
      </c>
      <c r="E9273" t="inlineStr">
        <is>
          <t>AM05</t>
        </is>
      </c>
      <c r="F9273" s="5" t="n">
        <v>357.76</v>
      </c>
      <c r="G9273">
        <f>IF(LEFT(B9273,1)="C","Credit","Factuur")</f>
        <v/>
      </c>
      <c r="H9273">
        <f>IF(AND(B9273=B9272,D9273=D9272,A9273=A9272,F9273=F9272),1,0)</f>
        <v/>
      </c>
      <c r="I9273">
        <f>IF(C9273="C99999",1,0)</f>
        <v/>
      </c>
      <c r="J9273" s="5">
        <f>IF(OR(H9273=1,I9273=1),0,IF(G9273="Credit",-F9273,F9273))</f>
        <v/>
      </c>
    </row>
    <row r="9274">
      <c r="A9274" t="inlineStr">
        <is>
          <t>2026-09-22</t>
        </is>
      </c>
      <c r="B9274" t="inlineStr">
        <is>
          <t>F265104</t>
        </is>
      </c>
      <c r="C9274" t="inlineStr">
        <is>
          <t>C10269</t>
        </is>
      </c>
      <c r="D9274" t="inlineStr">
        <is>
          <t>SKU-10088</t>
        </is>
      </c>
      <c r="E9274" t="inlineStr">
        <is>
          <t>AM05</t>
        </is>
      </c>
      <c r="F9274" s="5" t="n">
        <v>354.89</v>
      </c>
      <c r="G9274">
        <f>IF(LEFT(B9274,1)="C","Credit","Factuur")</f>
        <v/>
      </c>
      <c r="H9274">
        <f>IF(AND(B9274=B9273,D9274=D9273,A9274=A9273,F9274=F9273),1,0)</f>
        <v/>
      </c>
      <c r="I9274">
        <f>IF(C9274="C99999",1,0)</f>
        <v/>
      </c>
      <c r="J9274" s="5">
        <f>IF(OR(H9274=1,I9274=1),0,IF(G9274="Credit",-F9274,F9274))</f>
        <v/>
      </c>
    </row>
    <row r="9275">
      <c r="A9275" t="inlineStr">
        <is>
          <t>2026-09-22</t>
        </is>
      </c>
      <c r="B9275" t="inlineStr">
        <is>
          <t>F265104</t>
        </is>
      </c>
      <c r="C9275" t="inlineStr">
        <is>
          <t>C10269</t>
        </is>
      </c>
      <c r="D9275" t="inlineStr">
        <is>
          <t>SKU-10129</t>
        </is>
      </c>
      <c r="E9275" t="inlineStr">
        <is>
          <t>AM05</t>
        </is>
      </c>
      <c r="F9275" s="5" t="n">
        <v>310.89</v>
      </c>
      <c r="G9275">
        <f>IF(LEFT(B9275,1)="C","Credit","Factuur")</f>
        <v/>
      </c>
      <c r="H9275">
        <f>IF(AND(B9275=B9274,D9275=D9274,A9275=A9274,F9275=F9274),1,0)</f>
        <v/>
      </c>
      <c r="I9275">
        <f>IF(C9275="C99999",1,0)</f>
        <v/>
      </c>
      <c r="J9275" s="5">
        <f>IF(OR(H9275=1,I9275=1),0,IF(G9275="Credit",-F9275,F9275))</f>
        <v/>
      </c>
    </row>
    <row r="9276">
      <c r="A9276" t="inlineStr">
        <is>
          <t>2026-09-22</t>
        </is>
      </c>
      <c r="B9276" t="inlineStr">
        <is>
          <t>F265104</t>
        </is>
      </c>
      <c r="C9276" t="inlineStr">
        <is>
          <t>C10269</t>
        </is>
      </c>
      <c r="D9276" t="inlineStr">
        <is>
          <t>SKU-10305</t>
        </is>
      </c>
      <c r="E9276" t="inlineStr">
        <is>
          <t>AM05</t>
        </is>
      </c>
      <c r="F9276" s="5" t="n">
        <v>360.25</v>
      </c>
      <c r="G9276">
        <f>IF(LEFT(B9276,1)="C","Credit","Factuur")</f>
        <v/>
      </c>
      <c r="H9276">
        <f>IF(AND(B9276=B9275,D9276=D9275,A9276=A9275,F9276=F9275),1,0)</f>
        <v/>
      </c>
      <c r="I9276">
        <f>IF(C9276="C99999",1,0)</f>
        <v/>
      </c>
      <c r="J9276" s="5">
        <f>IF(OR(H9276=1,I9276=1),0,IF(G9276="Credit",-F9276,F9276))</f>
        <v/>
      </c>
    </row>
    <row r="9277">
      <c r="A9277" t="inlineStr">
        <is>
          <t>2026-09-22</t>
        </is>
      </c>
      <c r="B9277" t="inlineStr">
        <is>
          <t>F265677</t>
        </is>
      </c>
      <c r="C9277" t="inlineStr">
        <is>
          <t>C10298</t>
        </is>
      </c>
      <c r="D9277" t="inlineStr">
        <is>
          <t>SKU-10291</t>
        </is>
      </c>
      <c r="E9277" t="inlineStr">
        <is>
          <t>AM02</t>
        </is>
      </c>
      <c r="F9277" s="5" t="n">
        <v>464.04</v>
      </c>
      <c r="G9277">
        <f>IF(LEFT(B9277,1)="C","Credit","Factuur")</f>
        <v/>
      </c>
      <c r="H9277">
        <f>IF(AND(B9277=B9276,D9277=D9276,A9277=A9276,F9277=F9276),1,0)</f>
        <v/>
      </c>
      <c r="I9277">
        <f>IF(C9277="C99999",1,0)</f>
        <v/>
      </c>
      <c r="J9277" s="5">
        <f>IF(OR(H9277=1,I9277=1),0,IF(G9277="Credit",-F9277,F9277))</f>
        <v/>
      </c>
    </row>
    <row r="9278">
      <c r="A9278" t="inlineStr">
        <is>
          <t>2026-09-22</t>
        </is>
      </c>
      <c r="B9278" t="inlineStr">
        <is>
          <t>F265677</t>
        </is>
      </c>
      <c r="C9278" t="inlineStr">
        <is>
          <t>C10298</t>
        </is>
      </c>
      <c r="D9278" t="inlineStr">
        <is>
          <t>SKU-10306</t>
        </is>
      </c>
      <c r="E9278" t="inlineStr">
        <is>
          <t>AM02</t>
        </is>
      </c>
      <c r="F9278" s="5" t="n">
        <v>459.4</v>
      </c>
      <c r="G9278">
        <f>IF(LEFT(B9278,1)="C","Credit","Factuur")</f>
        <v/>
      </c>
      <c r="H9278">
        <f>IF(AND(B9278=B9277,D9278=D9277,A9278=A9277,F9278=F9277),1,0)</f>
        <v/>
      </c>
      <c r="I9278">
        <f>IF(C9278="C99999",1,0)</f>
        <v/>
      </c>
      <c r="J9278" s="5">
        <f>IF(OR(H9278=1,I9278=1),0,IF(G9278="Credit",-F9278,F9278))</f>
        <v/>
      </c>
    </row>
    <row r="9279">
      <c r="A9279" t="inlineStr">
        <is>
          <t>2026-09-22</t>
        </is>
      </c>
      <c r="B9279" t="inlineStr">
        <is>
          <t>F265677</t>
        </is>
      </c>
      <c r="C9279" t="inlineStr">
        <is>
          <t>C10298</t>
        </is>
      </c>
      <c r="D9279" t="inlineStr">
        <is>
          <t>SKU-10330</t>
        </is>
      </c>
      <c r="E9279" t="inlineStr">
        <is>
          <t>AM02</t>
        </is>
      </c>
      <c r="F9279" s="5" t="n">
        <v>452.64</v>
      </c>
      <c r="G9279">
        <f>IF(LEFT(B9279,1)="C","Credit","Factuur")</f>
        <v/>
      </c>
      <c r="H9279">
        <f>IF(AND(B9279=B9278,D9279=D9278,A9279=A9278,F9279=F9278),1,0)</f>
        <v/>
      </c>
      <c r="I9279">
        <f>IF(C9279="C99999",1,0)</f>
        <v/>
      </c>
      <c r="J9279" s="5">
        <f>IF(OR(H9279=1,I9279=1),0,IF(G9279="Credit",-F9279,F9279))</f>
        <v/>
      </c>
    </row>
    <row r="9280">
      <c r="A9280" t="inlineStr">
        <is>
          <t>2026-09-22</t>
        </is>
      </c>
      <c r="B9280" t="inlineStr">
        <is>
          <t>F265677</t>
        </is>
      </c>
      <c r="C9280" t="inlineStr">
        <is>
          <t>C10298</t>
        </is>
      </c>
      <c r="D9280" t="inlineStr">
        <is>
          <t>SKU-10345</t>
        </is>
      </c>
      <c r="E9280" t="inlineStr">
        <is>
          <t>AM02</t>
        </is>
      </c>
      <c r="F9280" s="5" t="n">
        <v>469.43</v>
      </c>
      <c r="G9280">
        <f>IF(LEFT(B9280,1)="C","Credit","Factuur")</f>
        <v/>
      </c>
      <c r="H9280">
        <f>IF(AND(B9280=B9279,D9280=D9279,A9280=A9279,F9280=F9279),1,0)</f>
        <v/>
      </c>
      <c r="I9280">
        <f>IF(C9280="C99999",1,0)</f>
        <v/>
      </c>
      <c r="J9280" s="5">
        <f>IF(OR(H9280=1,I9280=1),0,IF(G9280="Credit",-F9280,F9280))</f>
        <v/>
      </c>
    </row>
    <row r="9281">
      <c r="A9281" t="inlineStr">
        <is>
          <t>2026-09-22</t>
        </is>
      </c>
      <c r="B9281" t="inlineStr">
        <is>
          <t>F265858</t>
        </is>
      </c>
      <c r="C9281" t="inlineStr">
        <is>
          <t>C10308</t>
        </is>
      </c>
      <c r="D9281" t="inlineStr">
        <is>
          <t>SKU-10057</t>
        </is>
      </c>
      <c r="E9281" t="inlineStr">
        <is>
          <t>AM02</t>
        </is>
      </c>
      <c r="F9281" s="5" t="n">
        <v>450</v>
      </c>
      <c r="G9281">
        <f>IF(LEFT(B9281,1)="C","Credit","Factuur")</f>
        <v/>
      </c>
      <c r="H9281">
        <f>IF(AND(B9281=B9280,D9281=D9280,A9281=A9280,F9281=F9280),1,0)</f>
        <v/>
      </c>
      <c r="I9281">
        <f>IF(C9281="C99999",1,0)</f>
        <v/>
      </c>
      <c r="J9281" s="5">
        <f>IF(OR(H9281=1,I9281=1),0,IF(G9281="Credit",-F9281,F9281))</f>
        <v/>
      </c>
    </row>
    <row r="9282">
      <c r="A9282" t="inlineStr">
        <is>
          <t>2026-09-22</t>
        </is>
      </c>
      <c r="B9282" t="inlineStr">
        <is>
          <t>F265858</t>
        </is>
      </c>
      <c r="C9282" t="inlineStr">
        <is>
          <t>C10308</t>
        </is>
      </c>
      <c r="D9282" t="inlineStr">
        <is>
          <t>SKU-10120</t>
        </is>
      </c>
      <c r="E9282" t="inlineStr">
        <is>
          <t>AM02</t>
        </is>
      </c>
      <c r="F9282" s="5" t="n">
        <v>431.38</v>
      </c>
      <c r="G9282">
        <f>IF(LEFT(B9282,1)="C","Credit","Factuur")</f>
        <v/>
      </c>
      <c r="H9282">
        <f>IF(AND(B9282=B9281,D9282=D9281,A9282=A9281,F9282=F9281),1,0)</f>
        <v/>
      </c>
      <c r="I9282">
        <f>IF(C9282="C99999",1,0)</f>
        <v/>
      </c>
      <c r="J9282" s="5">
        <f>IF(OR(H9282=1,I9282=1),0,IF(G9282="Credit",-F9282,F9282))</f>
        <v/>
      </c>
    </row>
    <row r="9283">
      <c r="A9283" t="inlineStr">
        <is>
          <t>2026-09-22</t>
        </is>
      </c>
      <c r="B9283" t="inlineStr">
        <is>
          <t>F265858</t>
        </is>
      </c>
      <c r="C9283" t="inlineStr">
        <is>
          <t>C10308</t>
        </is>
      </c>
      <c r="D9283" t="inlineStr">
        <is>
          <t>SKU-10181</t>
        </is>
      </c>
      <c r="E9283" t="inlineStr">
        <is>
          <t>AM02</t>
        </is>
      </c>
      <c r="F9283" s="5" t="n">
        <v>437.3</v>
      </c>
      <c r="G9283">
        <f>IF(LEFT(B9283,1)="C","Credit","Factuur")</f>
        <v/>
      </c>
      <c r="H9283">
        <f>IF(AND(B9283=B9282,D9283=D9282,A9283=A9282,F9283=F9282),1,0)</f>
        <v/>
      </c>
      <c r="I9283">
        <f>IF(C9283="C99999",1,0)</f>
        <v/>
      </c>
      <c r="J9283" s="5">
        <f>IF(OR(H9283=1,I9283=1),0,IF(G9283="Credit",-F9283,F9283))</f>
        <v/>
      </c>
    </row>
    <row r="9284">
      <c r="A9284" t="inlineStr">
        <is>
          <t>2026-09-22</t>
        </is>
      </c>
      <c r="B9284" t="inlineStr">
        <is>
          <t>F265894</t>
        </is>
      </c>
      <c r="C9284" t="inlineStr">
        <is>
          <t>C10310</t>
        </is>
      </c>
      <c r="D9284" t="inlineStr">
        <is>
          <t>SKU-10019</t>
        </is>
      </c>
      <c r="E9284" t="inlineStr">
        <is>
          <t>AM02</t>
        </is>
      </c>
      <c r="F9284" s="5" t="n">
        <v>484.11</v>
      </c>
      <c r="G9284">
        <f>IF(LEFT(B9284,1)="C","Credit","Factuur")</f>
        <v/>
      </c>
      <c r="H9284">
        <f>IF(AND(B9284=B9283,D9284=D9283,A9284=A9283,F9284=F9283),1,0)</f>
        <v/>
      </c>
      <c r="I9284">
        <f>IF(C9284="C99999",1,0)</f>
        <v/>
      </c>
      <c r="J9284" s="5">
        <f>IF(OR(H9284=1,I9284=1),0,IF(G9284="Credit",-F9284,F9284))</f>
        <v/>
      </c>
    </row>
    <row r="9285">
      <c r="A9285" t="inlineStr">
        <is>
          <t>2026-09-22</t>
        </is>
      </c>
      <c r="B9285" t="inlineStr">
        <is>
          <t>F265894</t>
        </is>
      </c>
      <c r="C9285" t="inlineStr">
        <is>
          <t>C10310</t>
        </is>
      </c>
      <c r="D9285" t="inlineStr">
        <is>
          <t>SKU-10089</t>
        </is>
      </c>
      <c r="E9285" t="inlineStr">
        <is>
          <t>AM02</t>
        </is>
      </c>
      <c r="F9285" s="5" t="n">
        <v>502.4</v>
      </c>
      <c r="G9285">
        <f>IF(LEFT(B9285,1)="C","Credit","Factuur")</f>
        <v/>
      </c>
      <c r="H9285">
        <f>IF(AND(B9285=B9284,D9285=D9284,A9285=A9284,F9285=F9284),1,0)</f>
        <v/>
      </c>
      <c r="I9285">
        <f>IF(C9285="C99999",1,0)</f>
        <v/>
      </c>
      <c r="J9285" s="5">
        <f>IF(OR(H9285=1,I9285=1),0,IF(G9285="Credit",-F9285,F9285))</f>
        <v/>
      </c>
    </row>
    <row r="9286">
      <c r="A9286" t="inlineStr">
        <is>
          <t>2026-09-22</t>
        </is>
      </c>
      <c r="B9286" t="inlineStr">
        <is>
          <t>F265894</t>
        </is>
      </c>
      <c r="C9286" t="inlineStr">
        <is>
          <t>C10310</t>
        </is>
      </c>
      <c r="D9286" t="inlineStr">
        <is>
          <t>SKU-10146</t>
        </is>
      </c>
      <c r="E9286" t="inlineStr">
        <is>
          <t>AM02</t>
        </is>
      </c>
      <c r="F9286" s="5" t="n">
        <v>462.28</v>
      </c>
      <c r="G9286">
        <f>IF(LEFT(B9286,1)="C","Credit","Factuur")</f>
        <v/>
      </c>
      <c r="H9286">
        <f>IF(AND(B9286=B9285,D9286=D9285,A9286=A9285,F9286=F9285),1,0)</f>
        <v/>
      </c>
      <c r="I9286">
        <f>IF(C9286="C99999",1,0)</f>
        <v/>
      </c>
      <c r="J9286" s="5">
        <f>IF(OR(H9286=1,I9286=1),0,IF(G9286="Credit",-F9286,F9286))</f>
        <v/>
      </c>
    </row>
    <row r="9287">
      <c r="A9287" t="inlineStr">
        <is>
          <t>2026-09-22</t>
        </is>
      </c>
      <c r="B9287" t="inlineStr">
        <is>
          <t>F265894</t>
        </is>
      </c>
      <c r="C9287" t="inlineStr">
        <is>
          <t>C10310</t>
        </is>
      </c>
      <c r="D9287" t="inlineStr">
        <is>
          <t>SKU-10343</t>
        </is>
      </c>
      <c r="E9287" t="inlineStr">
        <is>
          <t>AM02</t>
        </is>
      </c>
      <c r="F9287" s="5" t="n">
        <v>500.32</v>
      </c>
      <c r="G9287">
        <f>IF(LEFT(B9287,1)="C","Credit","Factuur")</f>
        <v/>
      </c>
      <c r="H9287">
        <f>IF(AND(B9287=B9286,D9287=D9286,A9287=A9286,F9287=F9286),1,0)</f>
        <v/>
      </c>
      <c r="I9287">
        <f>IF(C9287="C99999",1,0)</f>
        <v/>
      </c>
      <c r="J9287" s="5">
        <f>IF(OR(H9287=1,I9287=1),0,IF(G9287="Credit",-F9287,F9287))</f>
        <v/>
      </c>
    </row>
    <row r="9288">
      <c r="A9288" t="inlineStr">
        <is>
          <t>2026-09-22</t>
        </is>
      </c>
      <c r="B9288" t="inlineStr">
        <is>
          <t>F266132</t>
        </is>
      </c>
      <c r="C9288" t="inlineStr">
        <is>
          <t>C10320</t>
        </is>
      </c>
      <c r="D9288" t="inlineStr">
        <is>
          <t>SKU-10039</t>
        </is>
      </c>
      <c r="E9288" t="inlineStr">
        <is>
          <t>AM06</t>
        </is>
      </c>
      <c r="F9288" s="5" t="n">
        <v>831.83</v>
      </c>
      <c r="G9288">
        <f>IF(LEFT(B9288,1)="C","Credit","Factuur")</f>
        <v/>
      </c>
      <c r="H9288">
        <f>IF(AND(B9288=B9287,D9288=D9287,A9288=A9287,F9288=F9287),1,0)</f>
        <v/>
      </c>
      <c r="I9288">
        <f>IF(C9288="C99999",1,0)</f>
        <v/>
      </c>
      <c r="J9288" s="5">
        <f>IF(OR(H9288=1,I9288=1),0,IF(G9288="Credit",-F9288,F9288))</f>
        <v/>
      </c>
    </row>
    <row r="9289">
      <c r="A9289" t="inlineStr">
        <is>
          <t>2026-09-22</t>
        </is>
      </c>
      <c r="B9289" t="inlineStr">
        <is>
          <t>F266132</t>
        </is>
      </c>
      <c r="C9289" t="inlineStr">
        <is>
          <t>C10320</t>
        </is>
      </c>
      <c r="D9289" t="inlineStr">
        <is>
          <t>SKU-10154</t>
        </is>
      </c>
      <c r="E9289" t="inlineStr">
        <is>
          <t>AM06</t>
        </is>
      </c>
      <c r="F9289" s="5" t="n">
        <v>730.96</v>
      </c>
      <c r="G9289">
        <f>IF(LEFT(B9289,1)="C","Credit","Factuur")</f>
        <v/>
      </c>
      <c r="H9289">
        <f>IF(AND(B9289=B9288,D9289=D9288,A9289=A9288,F9289=F9288),1,0)</f>
        <v/>
      </c>
      <c r="I9289">
        <f>IF(C9289="C99999",1,0)</f>
        <v/>
      </c>
      <c r="J9289" s="5">
        <f>IF(OR(H9289=1,I9289=1),0,IF(G9289="Credit",-F9289,F9289))</f>
        <v/>
      </c>
    </row>
    <row r="9290">
      <c r="A9290" t="inlineStr">
        <is>
          <t>2026-09-22</t>
        </is>
      </c>
      <c r="B9290" t="inlineStr">
        <is>
          <t>F266132</t>
        </is>
      </c>
      <c r="C9290" t="inlineStr">
        <is>
          <t>C10320</t>
        </is>
      </c>
      <c r="D9290" t="inlineStr">
        <is>
          <t>SKU-10240</t>
        </is>
      </c>
      <c r="E9290" t="inlineStr">
        <is>
          <t>AM06</t>
        </is>
      </c>
      <c r="F9290" s="5" t="n">
        <v>762.54</v>
      </c>
      <c r="G9290">
        <f>IF(LEFT(B9290,1)="C","Credit","Factuur")</f>
        <v/>
      </c>
      <c r="H9290">
        <f>IF(AND(B9290=B9289,D9290=D9289,A9290=A9289,F9290=F9289),1,0)</f>
        <v/>
      </c>
      <c r="I9290">
        <f>IF(C9290="C99999",1,0)</f>
        <v/>
      </c>
      <c r="J9290" s="5">
        <f>IF(OR(H9290=1,I9290=1),0,IF(G9290="Credit",-F9290,F9290))</f>
        <v/>
      </c>
    </row>
    <row r="9291">
      <c r="A9291" t="inlineStr">
        <is>
          <t>2026-09-22</t>
        </is>
      </c>
      <c r="B9291" t="inlineStr">
        <is>
          <t>F266132</t>
        </is>
      </c>
      <c r="C9291" t="inlineStr">
        <is>
          <t>C10320</t>
        </is>
      </c>
      <c r="D9291" t="inlineStr">
        <is>
          <t>SKU-10330</t>
        </is>
      </c>
      <c r="E9291" t="inlineStr">
        <is>
          <t>AM06</t>
        </is>
      </c>
      <c r="F9291" s="5" t="n">
        <v>876.99</v>
      </c>
      <c r="G9291">
        <f>IF(LEFT(B9291,1)="C","Credit","Factuur")</f>
        <v/>
      </c>
      <c r="H9291">
        <f>IF(AND(B9291=B9290,D9291=D9290,A9291=A9290,F9291=F9290),1,0)</f>
        <v/>
      </c>
      <c r="I9291">
        <f>IF(C9291="C99999",1,0)</f>
        <v/>
      </c>
      <c r="J9291" s="5">
        <f>IF(OR(H9291=1,I9291=1),0,IF(G9291="Credit",-F9291,F9291))</f>
        <v/>
      </c>
    </row>
    <row r="9292">
      <c r="A9292" t="inlineStr">
        <is>
          <t>2026-09-22</t>
        </is>
      </c>
      <c r="B9292" t="inlineStr">
        <is>
          <t>F267152</t>
        </is>
      </c>
      <c r="C9292" t="inlineStr">
        <is>
          <t>C10378</t>
        </is>
      </c>
      <c r="D9292" t="inlineStr">
        <is>
          <t>SKU-10156</t>
        </is>
      </c>
      <c r="E9292" t="inlineStr">
        <is>
          <t>AM05</t>
        </is>
      </c>
      <c r="F9292" s="5" t="n">
        <v>179.52</v>
      </c>
      <c r="G9292">
        <f>IF(LEFT(B9292,1)="C","Credit","Factuur")</f>
        <v/>
      </c>
      <c r="H9292">
        <f>IF(AND(B9292=B9291,D9292=D9291,A9292=A9291,F9292=F9291),1,0)</f>
        <v/>
      </c>
      <c r="I9292">
        <f>IF(C9292="C99999",1,0)</f>
        <v/>
      </c>
      <c r="J9292" s="5">
        <f>IF(OR(H9292=1,I9292=1),0,IF(G9292="Credit",-F9292,F9292))</f>
        <v/>
      </c>
    </row>
    <row r="9293">
      <c r="A9293" t="inlineStr">
        <is>
          <t>2026-09-22</t>
        </is>
      </c>
      <c r="B9293" t="inlineStr">
        <is>
          <t>F267152</t>
        </is>
      </c>
      <c r="C9293" t="inlineStr">
        <is>
          <t>C10378</t>
        </is>
      </c>
      <c r="D9293" t="inlineStr">
        <is>
          <t>SKU-10203</t>
        </is>
      </c>
      <c r="E9293" t="inlineStr">
        <is>
          <t>AM05</t>
        </is>
      </c>
      <c r="F9293" s="5" t="n">
        <v>169.4</v>
      </c>
      <c r="G9293">
        <f>IF(LEFT(B9293,1)="C","Credit","Factuur")</f>
        <v/>
      </c>
      <c r="H9293">
        <f>IF(AND(B9293=B9292,D9293=D9292,A9293=A9292,F9293=F9292),1,0)</f>
        <v/>
      </c>
      <c r="I9293">
        <f>IF(C9293="C99999",1,0)</f>
        <v/>
      </c>
      <c r="J9293" s="5">
        <f>IF(OR(H9293=1,I9293=1),0,IF(G9293="Credit",-F9293,F9293))</f>
        <v/>
      </c>
    </row>
    <row r="9294">
      <c r="A9294" t="inlineStr">
        <is>
          <t>2026-09-22</t>
        </is>
      </c>
      <c r="B9294" t="inlineStr">
        <is>
          <t>F267152</t>
        </is>
      </c>
      <c r="C9294" t="inlineStr">
        <is>
          <t>C10378</t>
        </is>
      </c>
      <c r="D9294" t="inlineStr">
        <is>
          <t>SKU-10252</t>
        </is>
      </c>
      <c r="E9294" t="inlineStr">
        <is>
          <t>AM05</t>
        </is>
      </c>
      <c r="F9294" s="5" t="n">
        <v>174.9</v>
      </c>
      <c r="G9294">
        <f>IF(LEFT(B9294,1)="C","Credit","Factuur")</f>
        <v/>
      </c>
      <c r="H9294">
        <f>IF(AND(B9294=B9293,D9294=D9293,A9294=A9293,F9294=F9293),1,0)</f>
        <v/>
      </c>
      <c r="I9294">
        <f>IF(C9294="C99999",1,0)</f>
        <v/>
      </c>
      <c r="J9294" s="5">
        <f>IF(OR(H9294=1,I9294=1),0,IF(G9294="Credit",-F9294,F9294))</f>
        <v/>
      </c>
    </row>
    <row r="9295">
      <c r="A9295" t="inlineStr">
        <is>
          <t>2026-09-22</t>
        </is>
      </c>
      <c r="B9295" t="inlineStr">
        <is>
          <t>F267173</t>
        </is>
      </c>
      <c r="C9295" t="inlineStr">
        <is>
          <t>C10380</t>
        </is>
      </c>
      <c r="D9295" t="inlineStr">
        <is>
          <t>SKU-10102</t>
        </is>
      </c>
      <c r="E9295" t="inlineStr">
        <is>
          <t>AM05</t>
        </is>
      </c>
      <c r="F9295" s="5" t="n">
        <v>245.78</v>
      </c>
      <c r="G9295">
        <f>IF(LEFT(B9295,1)="C","Credit","Factuur")</f>
        <v/>
      </c>
      <c r="H9295">
        <f>IF(AND(B9295=B9294,D9295=D9294,A9295=A9294,F9295=F9294),1,0)</f>
        <v/>
      </c>
      <c r="I9295">
        <f>IF(C9295="C99999",1,0)</f>
        <v/>
      </c>
      <c r="J9295" s="5">
        <f>IF(OR(H9295=1,I9295=1),0,IF(G9295="Credit",-F9295,F9295))</f>
        <v/>
      </c>
    </row>
    <row r="9296">
      <c r="A9296" t="inlineStr">
        <is>
          <t>2026-09-22</t>
        </is>
      </c>
      <c r="B9296" t="inlineStr">
        <is>
          <t>F267173</t>
        </is>
      </c>
      <c r="C9296" t="inlineStr">
        <is>
          <t>C10380</t>
        </is>
      </c>
      <c r="D9296" t="inlineStr">
        <is>
          <t>SKU-10162</t>
        </is>
      </c>
      <c r="E9296" t="inlineStr">
        <is>
          <t>AM05</t>
        </is>
      </c>
      <c r="F9296" s="5" t="n">
        <v>278.25</v>
      </c>
      <c r="G9296">
        <f>IF(LEFT(B9296,1)="C","Credit","Factuur")</f>
        <v/>
      </c>
      <c r="H9296">
        <f>IF(AND(B9296=B9295,D9296=D9295,A9296=A9295,F9296=F9295),1,0)</f>
        <v/>
      </c>
      <c r="I9296">
        <f>IF(C9296="C99999",1,0)</f>
        <v/>
      </c>
      <c r="J9296" s="5">
        <f>IF(OR(H9296=1,I9296=1),0,IF(G9296="Credit",-F9296,F9296))</f>
        <v/>
      </c>
    </row>
    <row r="9297">
      <c r="A9297" t="inlineStr">
        <is>
          <t>2026-09-22</t>
        </is>
      </c>
      <c r="B9297" t="inlineStr">
        <is>
          <t>F267173</t>
        </is>
      </c>
      <c r="C9297" t="inlineStr">
        <is>
          <t>C10380</t>
        </is>
      </c>
      <c r="D9297" t="inlineStr">
        <is>
          <t>SKU-10200</t>
        </is>
      </c>
      <c r="E9297" t="inlineStr">
        <is>
          <t>AM05</t>
        </is>
      </c>
      <c r="F9297" s="5" t="n">
        <v>285.6</v>
      </c>
      <c r="G9297">
        <f>IF(LEFT(B9297,1)="C","Credit","Factuur")</f>
        <v/>
      </c>
      <c r="H9297">
        <f>IF(AND(B9297=B9296,D9297=D9296,A9297=A9296,F9297=F9296),1,0)</f>
        <v/>
      </c>
      <c r="I9297">
        <f>IF(C9297="C99999",1,0)</f>
        <v/>
      </c>
      <c r="J9297" s="5">
        <f>IF(OR(H9297=1,I9297=1),0,IF(G9297="Credit",-F9297,F9297))</f>
        <v/>
      </c>
    </row>
    <row r="9298">
      <c r="A9298" t="inlineStr">
        <is>
          <t>2026-09-22</t>
        </is>
      </c>
      <c r="B9298" t="inlineStr">
        <is>
          <t>F267173</t>
        </is>
      </c>
      <c r="C9298" t="inlineStr">
        <is>
          <t>C10380</t>
        </is>
      </c>
      <c r="D9298" t="inlineStr">
        <is>
          <t>SKU-10248</t>
        </is>
      </c>
      <c r="E9298" t="inlineStr">
        <is>
          <t>AM05</t>
        </is>
      </c>
      <c r="F9298" s="5" t="n">
        <v>287.56</v>
      </c>
      <c r="G9298">
        <f>IF(LEFT(B9298,1)="C","Credit","Factuur")</f>
        <v/>
      </c>
      <c r="H9298">
        <f>IF(AND(B9298=B9297,D9298=D9297,A9298=A9297,F9298=F9297),1,0)</f>
        <v/>
      </c>
      <c r="I9298">
        <f>IF(C9298="C99999",1,0)</f>
        <v/>
      </c>
      <c r="J9298" s="5">
        <f>IF(OR(H9298=1,I9298=1),0,IF(G9298="Credit",-F9298,F9298))</f>
        <v/>
      </c>
    </row>
    <row r="9299">
      <c r="A9299" t="inlineStr">
        <is>
          <t>2026-09-22</t>
        </is>
      </c>
      <c r="B9299" t="inlineStr">
        <is>
          <t>F267173</t>
        </is>
      </c>
      <c r="C9299" t="inlineStr">
        <is>
          <t>C10380</t>
        </is>
      </c>
      <c r="D9299" t="inlineStr">
        <is>
          <t>SKU-10310</t>
        </is>
      </c>
      <c r="E9299" t="inlineStr"/>
      <c r="F9299" s="5" t="n">
        <v>255.25</v>
      </c>
      <c r="G9299">
        <f>IF(LEFT(B9299,1)="C","Credit","Factuur")</f>
        <v/>
      </c>
      <c r="H9299">
        <f>IF(AND(B9299=B9298,D9299=D9298,A9299=A9298,F9299=F9298),1,0)</f>
        <v/>
      </c>
      <c r="I9299">
        <f>IF(C9299="C99999",1,0)</f>
        <v/>
      </c>
      <c r="J9299" s="5">
        <f>IF(OR(H9299=1,I9299=1),0,IF(G9299="Credit",-F9299,F9299))</f>
        <v/>
      </c>
    </row>
    <row r="9300">
      <c r="A9300" t="inlineStr">
        <is>
          <t>2026-09-22</t>
        </is>
      </c>
      <c r="B9300" t="inlineStr">
        <is>
          <t>F267846</t>
        </is>
      </c>
      <c r="C9300" t="inlineStr">
        <is>
          <t>C10411</t>
        </is>
      </c>
      <c r="D9300" t="inlineStr">
        <is>
          <t>SKU-10319</t>
        </is>
      </c>
      <c r="E9300" t="inlineStr">
        <is>
          <t>AM07</t>
        </is>
      </c>
      <c r="F9300" s="5" t="n">
        <v>636.6799999999999</v>
      </c>
      <c r="G9300">
        <f>IF(LEFT(B9300,1)="C","Credit","Factuur")</f>
        <v/>
      </c>
      <c r="H9300">
        <f>IF(AND(B9300=B9299,D9300=D9299,A9300=A9299,F9300=F9299),1,0)</f>
        <v/>
      </c>
      <c r="I9300">
        <f>IF(C9300="C99999",1,0)</f>
        <v/>
      </c>
      <c r="J9300" s="5">
        <f>IF(OR(H9300=1,I9300=1),0,IF(G9300="Credit",-F9300,F9300))</f>
        <v/>
      </c>
    </row>
    <row r="9301">
      <c r="A9301" t="inlineStr">
        <is>
          <t>2026-09-22</t>
        </is>
      </c>
      <c r="B9301" t="inlineStr">
        <is>
          <t>F269256</t>
        </is>
      </c>
      <c r="C9301" t="inlineStr">
        <is>
          <t>C10487</t>
        </is>
      </c>
      <c r="D9301" t="inlineStr">
        <is>
          <t>SKU-10162</t>
        </is>
      </c>
      <c r="E9301" t="inlineStr">
        <is>
          <t>AM01</t>
        </is>
      </c>
      <c r="F9301" s="5" t="n">
        <v>661.5</v>
      </c>
      <c r="G9301">
        <f>IF(LEFT(B9301,1)="C","Credit","Factuur")</f>
        <v/>
      </c>
      <c r="H9301">
        <f>IF(AND(B9301=B9300,D9301=D9300,A9301=A9300,F9301=F9300),1,0)</f>
        <v/>
      </c>
      <c r="I9301">
        <f>IF(C9301="C99999",1,0)</f>
        <v/>
      </c>
      <c r="J9301" s="5">
        <f>IF(OR(H9301=1,I9301=1),0,IF(G9301="Credit",-F9301,F9301))</f>
        <v/>
      </c>
    </row>
    <row r="9302">
      <c r="A9302" t="inlineStr">
        <is>
          <t>2026-09-22</t>
        </is>
      </c>
      <c r="B9302" t="inlineStr">
        <is>
          <t>F269636</t>
        </is>
      </c>
      <c r="C9302" t="inlineStr">
        <is>
          <t>C10507</t>
        </is>
      </c>
      <c r="D9302" t="inlineStr">
        <is>
          <t>SKU-10057</t>
        </is>
      </c>
      <c r="E9302" t="inlineStr">
        <is>
          <t>AM03</t>
        </is>
      </c>
      <c r="F9302" s="5" t="n">
        <v>1057.5</v>
      </c>
      <c r="G9302">
        <f>IF(LEFT(B9302,1)="C","Credit","Factuur")</f>
        <v/>
      </c>
      <c r="H9302">
        <f>IF(AND(B9302=B9301,D9302=D9301,A9302=A9301,F9302=F9301),1,0)</f>
        <v/>
      </c>
      <c r="I9302">
        <f>IF(C9302="C99999",1,0)</f>
        <v/>
      </c>
      <c r="J9302" s="5">
        <f>IF(OR(H9302=1,I9302=1),0,IF(G9302="Credit",-F9302,F9302))</f>
        <v/>
      </c>
    </row>
    <row r="9303">
      <c r="A9303" t="inlineStr">
        <is>
          <t>2026-09-22</t>
        </is>
      </c>
      <c r="B9303" t="inlineStr">
        <is>
          <t>F269636</t>
        </is>
      </c>
      <c r="C9303" t="inlineStr">
        <is>
          <t>C10507</t>
        </is>
      </c>
      <c r="D9303" t="inlineStr">
        <is>
          <t>SKU-10153</t>
        </is>
      </c>
      <c r="E9303" t="inlineStr">
        <is>
          <t>AM03</t>
        </is>
      </c>
      <c r="F9303" s="5" t="n">
        <v>1056.56</v>
      </c>
      <c r="G9303">
        <f>IF(LEFT(B9303,1)="C","Credit","Factuur")</f>
        <v/>
      </c>
      <c r="H9303">
        <f>IF(AND(B9303=B9302,D9303=D9302,A9303=A9302,F9303=F9302),1,0)</f>
        <v/>
      </c>
      <c r="I9303">
        <f>IF(C9303="C99999",1,0)</f>
        <v/>
      </c>
      <c r="J9303" s="5">
        <f>IF(OR(H9303=1,I9303=1),0,IF(G9303="Credit",-F9303,F9303))</f>
        <v/>
      </c>
    </row>
    <row r="9304">
      <c r="A9304" t="inlineStr">
        <is>
          <t>2026-09-22</t>
        </is>
      </c>
      <c r="B9304" t="inlineStr">
        <is>
          <t>F270304</t>
        </is>
      </c>
      <c r="C9304" t="inlineStr">
        <is>
          <t>C10542</t>
        </is>
      </c>
      <c r="D9304" t="inlineStr">
        <is>
          <t>SKU-10074</t>
        </is>
      </c>
      <c r="E9304" t="inlineStr">
        <is>
          <t>AM08</t>
        </is>
      </c>
      <c r="F9304" s="5" t="n">
        <v>531.9</v>
      </c>
      <c r="G9304">
        <f>IF(LEFT(B9304,1)="C","Credit","Factuur")</f>
        <v/>
      </c>
      <c r="H9304">
        <f>IF(AND(B9304=B9303,D9304=D9303,A9304=A9303,F9304=F9303),1,0)</f>
        <v/>
      </c>
      <c r="I9304">
        <f>IF(C9304="C99999",1,0)</f>
        <v/>
      </c>
      <c r="J9304" s="5">
        <f>IF(OR(H9304=1,I9304=1),0,IF(G9304="Credit",-F9304,F9304))</f>
        <v/>
      </c>
    </row>
    <row r="9305">
      <c r="A9305" t="inlineStr">
        <is>
          <t>2026-09-22</t>
        </is>
      </c>
      <c r="B9305" t="inlineStr">
        <is>
          <t>F270304</t>
        </is>
      </c>
      <c r="C9305" t="inlineStr">
        <is>
          <t>C10542</t>
        </is>
      </c>
      <c r="D9305" t="inlineStr">
        <is>
          <t>SKU-10238</t>
        </is>
      </c>
      <c r="E9305" t="inlineStr">
        <is>
          <t>AM08</t>
        </is>
      </c>
      <c r="F9305" s="5" t="n">
        <v>492.8</v>
      </c>
      <c r="G9305">
        <f>IF(LEFT(B9305,1)="C","Credit","Factuur")</f>
        <v/>
      </c>
      <c r="H9305">
        <f>IF(AND(B9305=B9304,D9305=D9304,A9305=A9304,F9305=F9304),1,0)</f>
        <v/>
      </c>
      <c r="I9305">
        <f>IF(C9305="C99999",1,0)</f>
        <v/>
      </c>
      <c r="J9305" s="5">
        <f>IF(OR(H9305=1,I9305=1),0,IF(G9305="Credit",-F9305,F9305))</f>
        <v/>
      </c>
    </row>
    <row r="9306">
      <c r="A9306" t="inlineStr">
        <is>
          <t>2026-09-22</t>
        </is>
      </c>
      <c r="B9306" t="inlineStr">
        <is>
          <t>F270304</t>
        </is>
      </c>
      <c r="C9306" t="inlineStr">
        <is>
          <t>C10542</t>
        </is>
      </c>
      <c r="D9306" t="inlineStr">
        <is>
          <t>SKU-10242</t>
        </is>
      </c>
      <c r="E9306" t="inlineStr">
        <is>
          <t>AM08</t>
        </is>
      </c>
      <c r="F9306" s="5" t="n">
        <v>524.4</v>
      </c>
      <c r="G9306">
        <f>IF(LEFT(B9306,1)="C","Credit","Factuur")</f>
        <v/>
      </c>
      <c r="H9306">
        <f>IF(AND(B9306=B9305,D9306=D9305,A9306=A9305,F9306=F9305),1,0)</f>
        <v/>
      </c>
      <c r="I9306">
        <f>IF(C9306="C99999",1,0)</f>
        <v/>
      </c>
      <c r="J9306" s="5">
        <f>IF(OR(H9306=1,I9306=1),0,IF(G9306="Credit",-F9306,F9306))</f>
        <v/>
      </c>
    </row>
    <row r="9307">
      <c r="A9307" t="inlineStr">
        <is>
          <t>2026-09-22</t>
        </is>
      </c>
      <c r="B9307" t="inlineStr">
        <is>
          <t>F270304</t>
        </is>
      </c>
      <c r="C9307" t="inlineStr">
        <is>
          <t>C10542</t>
        </is>
      </c>
      <c r="D9307" t="inlineStr">
        <is>
          <t>SKU-10368</t>
        </is>
      </c>
      <c r="E9307" t="inlineStr">
        <is>
          <t>AM08</t>
        </is>
      </c>
      <c r="F9307" s="5" t="n">
        <v>576.3</v>
      </c>
      <c r="G9307">
        <f>IF(LEFT(B9307,1)="C","Credit","Factuur")</f>
        <v/>
      </c>
      <c r="H9307">
        <f>IF(AND(B9307=B9306,D9307=D9306,A9307=A9306,F9307=F9306),1,0)</f>
        <v/>
      </c>
      <c r="I9307">
        <f>IF(C9307="C99999",1,0)</f>
        <v/>
      </c>
      <c r="J9307" s="5">
        <f>IF(OR(H9307=1,I9307=1),0,IF(G9307="Credit",-F9307,F9307))</f>
        <v/>
      </c>
    </row>
    <row r="9308">
      <c r="A9308" t="inlineStr">
        <is>
          <t>2026-09-22</t>
        </is>
      </c>
      <c r="B9308" t="inlineStr">
        <is>
          <t>F270965</t>
        </is>
      </c>
      <c r="C9308" t="inlineStr">
        <is>
          <t>C10572</t>
        </is>
      </c>
      <c r="D9308" t="inlineStr">
        <is>
          <t>SKU-10089</t>
        </is>
      </c>
      <c r="E9308" t="inlineStr">
        <is>
          <t>AM05</t>
        </is>
      </c>
      <c r="F9308" s="5" t="n">
        <v>109.9</v>
      </c>
      <c r="G9308">
        <f>IF(LEFT(B9308,1)="C","Credit","Factuur")</f>
        <v/>
      </c>
      <c r="H9308">
        <f>IF(AND(B9308=B9307,D9308=D9307,A9308=A9307,F9308=F9307),1,0)</f>
        <v/>
      </c>
      <c r="I9308">
        <f>IF(C9308="C99999",1,0)</f>
        <v/>
      </c>
      <c r="J9308" s="5">
        <f>IF(OR(H9308=1,I9308=1),0,IF(G9308="Credit",-F9308,F9308))</f>
        <v/>
      </c>
    </row>
    <row r="9309">
      <c r="A9309" t="inlineStr">
        <is>
          <t>2026-09-22</t>
        </is>
      </c>
      <c r="B9309" t="inlineStr">
        <is>
          <t>F271431</t>
        </is>
      </c>
      <c r="C9309" t="inlineStr">
        <is>
          <t>C10591</t>
        </is>
      </c>
      <c r="D9309" t="inlineStr">
        <is>
          <t>SKU-10055</t>
        </is>
      </c>
      <c r="E9309" t="inlineStr">
        <is>
          <t>AM08</t>
        </is>
      </c>
      <c r="F9309" s="5" t="n">
        <v>1173.55</v>
      </c>
      <c r="G9309">
        <f>IF(LEFT(B9309,1)="C","Credit","Factuur")</f>
        <v/>
      </c>
      <c r="H9309">
        <f>IF(AND(B9309=B9308,D9309=D9308,A9309=A9308,F9309=F9308),1,0)</f>
        <v/>
      </c>
      <c r="I9309">
        <f>IF(C9309="C99999",1,0)</f>
        <v/>
      </c>
      <c r="J9309" s="5">
        <f>IF(OR(H9309=1,I9309=1),0,IF(G9309="Credit",-F9309,F9309))</f>
        <v/>
      </c>
    </row>
    <row r="9310">
      <c r="A9310" t="inlineStr">
        <is>
          <t>2026-09-22</t>
        </is>
      </c>
      <c r="B9310" t="inlineStr">
        <is>
          <t>F271756</t>
        </is>
      </c>
      <c r="C9310" t="inlineStr">
        <is>
          <t>C10603</t>
        </is>
      </c>
      <c r="D9310" t="inlineStr">
        <is>
          <t>SKU-10112</t>
        </is>
      </c>
      <c r="E9310" t="inlineStr">
        <is>
          <t>AM08</t>
        </is>
      </c>
      <c r="F9310" s="5" t="n">
        <v>280.44</v>
      </c>
      <c r="G9310">
        <f>IF(LEFT(B9310,1)="C","Credit","Factuur")</f>
        <v/>
      </c>
      <c r="H9310">
        <f>IF(AND(B9310=B9309,D9310=D9309,A9310=A9309,F9310=F9309),1,0)</f>
        <v/>
      </c>
      <c r="I9310">
        <f>IF(C9310="C99999",1,0)</f>
        <v/>
      </c>
      <c r="J9310" s="5">
        <f>IF(OR(H9310=1,I9310=1),0,IF(G9310="Credit",-F9310,F9310))</f>
        <v/>
      </c>
    </row>
    <row r="9311">
      <c r="A9311" t="inlineStr">
        <is>
          <t>2026-09-22</t>
        </is>
      </c>
      <c r="B9311" t="inlineStr">
        <is>
          <t>F271756</t>
        </is>
      </c>
      <c r="C9311" t="inlineStr">
        <is>
          <t>C10603</t>
        </is>
      </c>
      <c r="D9311" t="inlineStr">
        <is>
          <t>SKU-10327</t>
        </is>
      </c>
      <c r="E9311" t="inlineStr">
        <is>
          <t>AM08</t>
        </is>
      </c>
      <c r="F9311" s="5" t="n">
        <v>277.8</v>
      </c>
      <c r="G9311">
        <f>IF(LEFT(B9311,1)="C","Credit","Factuur")</f>
        <v/>
      </c>
      <c r="H9311">
        <f>IF(AND(B9311=B9310,D9311=D9310,A9311=A9310,F9311=F9310),1,0)</f>
        <v/>
      </c>
      <c r="I9311">
        <f>IF(C9311="C99999",1,0)</f>
        <v/>
      </c>
      <c r="J9311" s="5">
        <f>IF(OR(H9311=1,I9311=1),0,IF(G9311="Credit",-F9311,F9311))</f>
        <v/>
      </c>
    </row>
    <row r="9312">
      <c r="A9312" t="inlineStr">
        <is>
          <t>2026-09-22</t>
        </is>
      </c>
      <c r="B9312" t="inlineStr">
        <is>
          <t>F271756</t>
        </is>
      </c>
      <c r="C9312" t="inlineStr">
        <is>
          <t>C10603</t>
        </is>
      </c>
      <c r="D9312" t="inlineStr">
        <is>
          <t>SKU-10333</t>
        </is>
      </c>
      <c r="E9312" t="inlineStr">
        <is>
          <t>AM08</t>
        </is>
      </c>
      <c r="F9312" s="5" t="n">
        <v>283.14</v>
      </c>
      <c r="G9312">
        <f>IF(LEFT(B9312,1)="C","Credit","Factuur")</f>
        <v/>
      </c>
      <c r="H9312">
        <f>IF(AND(B9312=B9311,D9312=D9311,A9312=A9311,F9312=F9311),1,0)</f>
        <v/>
      </c>
      <c r="I9312">
        <f>IF(C9312="C99999",1,0)</f>
        <v/>
      </c>
      <c r="J9312" s="5">
        <f>IF(OR(H9312=1,I9312=1),0,IF(G9312="Credit",-F9312,F9312))</f>
        <v/>
      </c>
    </row>
    <row r="9313">
      <c r="A9313" t="inlineStr">
        <is>
          <t>2026-09-22</t>
        </is>
      </c>
      <c r="B9313" t="inlineStr">
        <is>
          <t>F271884</t>
        </is>
      </c>
      <c r="C9313" t="inlineStr">
        <is>
          <t>C10612</t>
        </is>
      </c>
      <c r="D9313" t="inlineStr">
        <is>
          <t>SKU-10009</t>
        </is>
      </c>
      <c r="E9313" t="inlineStr">
        <is>
          <t>AM11</t>
        </is>
      </c>
      <c r="F9313" s="5" t="n">
        <v>648.47</v>
      </c>
      <c r="G9313">
        <f>IF(LEFT(B9313,1)="C","Credit","Factuur")</f>
        <v/>
      </c>
      <c r="H9313">
        <f>IF(AND(B9313=B9312,D9313=D9312,A9313=A9312,F9313=F9312),1,0)</f>
        <v/>
      </c>
      <c r="I9313">
        <f>IF(C9313="C99999",1,0)</f>
        <v/>
      </c>
      <c r="J9313" s="5">
        <f>IF(OR(H9313=1,I9313=1),0,IF(G9313="Credit",-F9313,F9313))</f>
        <v/>
      </c>
    </row>
    <row r="9314">
      <c r="A9314" t="inlineStr">
        <is>
          <t>2026-09-22</t>
        </is>
      </c>
      <c r="B9314" t="inlineStr">
        <is>
          <t>F271884</t>
        </is>
      </c>
      <c r="C9314" t="inlineStr">
        <is>
          <t>C10612</t>
        </is>
      </c>
      <c r="D9314" t="inlineStr">
        <is>
          <t>SKU-10160</t>
        </is>
      </c>
      <c r="E9314" t="inlineStr">
        <is>
          <t>AM11</t>
        </is>
      </c>
      <c r="F9314" s="5" t="n">
        <v>653.9400000000001</v>
      </c>
      <c r="G9314">
        <f>IF(LEFT(B9314,1)="C","Credit","Factuur")</f>
        <v/>
      </c>
      <c r="H9314">
        <f>IF(AND(B9314=B9313,D9314=D9313,A9314=A9313,F9314=F9313),1,0)</f>
        <v/>
      </c>
      <c r="I9314">
        <f>IF(C9314="C99999",1,0)</f>
        <v/>
      </c>
      <c r="J9314" s="5">
        <f>IF(OR(H9314=1,I9314=1),0,IF(G9314="Credit",-F9314,F9314))</f>
        <v/>
      </c>
    </row>
    <row r="9315">
      <c r="A9315" t="inlineStr">
        <is>
          <t>2026-09-22</t>
        </is>
      </c>
      <c r="B9315" t="inlineStr">
        <is>
          <t>F271884</t>
        </is>
      </c>
      <c r="C9315" t="inlineStr">
        <is>
          <t>C10612</t>
        </is>
      </c>
      <c r="D9315" t="inlineStr">
        <is>
          <t>SKU-10372</t>
        </is>
      </c>
      <c r="E9315" t="inlineStr">
        <is>
          <t>AM11</t>
        </is>
      </c>
      <c r="F9315" s="5" t="n">
        <v>678.9</v>
      </c>
      <c r="G9315">
        <f>IF(LEFT(B9315,1)="C","Credit","Factuur")</f>
        <v/>
      </c>
      <c r="H9315">
        <f>IF(AND(B9315=B9314,D9315=D9314,A9315=A9314,F9315=F9314),1,0)</f>
        <v/>
      </c>
      <c r="I9315">
        <f>IF(C9315="C99999",1,0)</f>
        <v/>
      </c>
      <c r="J9315" s="5">
        <f>IF(OR(H9315=1,I9315=1),0,IF(G9315="Credit",-F9315,F9315))</f>
        <v/>
      </c>
    </row>
    <row r="9316">
      <c r="A9316" t="inlineStr">
        <is>
          <t>2026-09-22</t>
        </is>
      </c>
      <c r="B9316" t="inlineStr">
        <is>
          <t>F272406</t>
        </is>
      </c>
      <c r="C9316" t="inlineStr">
        <is>
          <t>C10641</t>
        </is>
      </c>
      <c r="D9316" t="inlineStr">
        <is>
          <t>SKU-10045</t>
        </is>
      </c>
      <c r="E9316" t="inlineStr">
        <is>
          <t>AM02</t>
        </is>
      </c>
      <c r="F9316" s="5" t="n">
        <v>661.47</v>
      </c>
      <c r="G9316">
        <f>IF(LEFT(B9316,1)="C","Credit","Factuur")</f>
        <v/>
      </c>
      <c r="H9316">
        <f>IF(AND(B9316=B9315,D9316=D9315,A9316=A9315,F9316=F9315),1,0)</f>
        <v/>
      </c>
      <c r="I9316">
        <f>IF(C9316="C99999",1,0)</f>
        <v/>
      </c>
      <c r="J9316" s="5">
        <f>IF(OR(H9316=1,I9316=1),0,IF(G9316="Credit",-F9316,F9316))</f>
        <v/>
      </c>
    </row>
    <row r="9317">
      <c r="A9317" t="inlineStr">
        <is>
          <t>2026-09-22</t>
        </is>
      </c>
      <c r="B9317" t="inlineStr">
        <is>
          <t>F272406</t>
        </is>
      </c>
      <c r="C9317" t="inlineStr">
        <is>
          <t>C10641</t>
        </is>
      </c>
      <c r="D9317" t="inlineStr">
        <is>
          <t>SKU-10278</t>
        </is>
      </c>
      <c r="E9317" t="inlineStr">
        <is>
          <t>AM02</t>
        </is>
      </c>
      <c r="F9317" s="5" t="n">
        <v>651.62</v>
      </c>
      <c r="G9317">
        <f>IF(LEFT(B9317,1)="C","Credit","Factuur")</f>
        <v/>
      </c>
      <c r="H9317">
        <f>IF(AND(B9317=B9316,D9317=D9316,A9317=A9316,F9317=F9316),1,0)</f>
        <v/>
      </c>
      <c r="I9317">
        <f>IF(C9317="C99999",1,0)</f>
        <v/>
      </c>
      <c r="J9317" s="5">
        <f>IF(OR(H9317=1,I9317=1),0,IF(G9317="Credit",-F9317,F9317))</f>
        <v/>
      </c>
    </row>
    <row r="9318">
      <c r="A9318" t="inlineStr">
        <is>
          <t>2026-09-22</t>
        </is>
      </c>
      <c r="B9318" t="inlineStr">
        <is>
          <t>F273505</t>
        </is>
      </c>
      <c r="C9318" t="inlineStr">
        <is>
          <t>C10707</t>
        </is>
      </c>
      <c r="D9318" t="inlineStr">
        <is>
          <t>SKU-10076</t>
        </is>
      </c>
      <c r="E9318" t="inlineStr">
        <is>
          <t>AM12</t>
        </is>
      </c>
      <c r="F9318" s="5" t="n">
        <v>191.31</v>
      </c>
      <c r="G9318">
        <f>IF(LEFT(B9318,1)="C","Credit","Factuur")</f>
        <v/>
      </c>
      <c r="H9318">
        <f>IF(AND(B9318=B9317,D9318=D9317,A9318=A9317,F9318=F9317),1,0)</f>
        <v/>
      </c>
      <c r="I9318">
        <f>IF(C9318="C99999",1,0)</f>
        <v/>
      </c>
      <c r="J9318" s="5">
        <f>IF(OR(H9318=1,I9318=1),0,IF(G9318="Credit",-F9318,F9318))</f>
        <v/>
      </c>
    </row>
    <row r="9319">
      <c r="A9319" t="inlineStr">
        <is>
          <t>2026-09-22</t>
        </is>
      </c>
      <c r="B9319" t="inlineStr">
        <is>
          <t>F273505</t>
        </is>
      </c>
      <c r="C9319" t="inlineStr">
        <is>
          <t>C10707</t>
        </is>
      </c>
      <c r="D9319" t="inlineStr">
        <is>
          <t>SKU-10188</t>
        </is>
      </c>
      <c r="E9319" t="inlineStr">
        <is>
          <t>AM12</t>
        </is>
      </c>
      <c r="F9319" s="5" t="n">
        <v>179.97</v>
      </c>
      <c r="G9319">
        <f>IF(LEFT(B9319,1)="C","Credit","Factuur")</f>
        <v/>
      </c>
      <c r="H9319">
        <f>IF(AND(B9319=B9318,D9319=D9318,A9319=A9318,F9319=F9318),1,0)</f>
        <v/>
      </c>
      <c r="I9319">
        <f>IF(C9319="C99999",1,0)</f>
        <v/>
      </c>
      <c r="J9319" s="5">
        <f>IF(OR(H9319=1,I9319=1),0,IF(G9319="Credit",-F9319,F9319))</f>
        <v/>
      </c>
    </row>
    <row r="9320">
      <c r="A9320" t="inlineStr">
        <is>
          <t>2026-09-22</t>
        </is>
      </c>
      <c r="B9320" t="inlineStr">
        <is>
          <t>F273505</t>
        </is>
      </c>
      <c r="C9320" t="inlineStr">
        <is>
          <t>C10707</t>
        </is>
      </c>
      <c r="D9320" t="inlineStr">
        <is>
          <t>SKU-10191</t>
        </is>
      </c>
      <c r="E9320" t="inlineStr">
        <is>
          <t>AM12</t>
        </is>
      </c>
      <c r="F9320" s="5" t="n">
        <v>198.96</v>
      </c>
      <c r="G9320">
        <f>IF(LEFT(B9320,1)="C","Credit","Factuur")</f>
        <v/>
      </c>
      <c r="H9320">
        <f>IF(AND(B9320=B9319,D9320=D9319,A9320=A9319,F9320=F9319),1,0)</f>
        <v/>
      </c>
      <c r="I9320">
        <f>IF(C9320="C99999",1,0)</f>
        <v/>
      </c>
      <c r="J9320" s="5">
        <f>IF(OR(H9320=1,I9320=1),0,IF(G9320="Credit",-F9320,F9320))</f>
        <v/>
      </c>
    </row>
    <row r="9321">
      <c r="A9321" t="inlineStr">
        <is>
          <t>2026-09-22</t>
        </is>
      </c>
      <c r="B9321" t="inlineStr">
        <is>
          <t>F274219</t>
        </is>
      </c>
      <c r="C9321" t="inlineStr">
        <is>
          <t>C10752</t>
        </is>
      </c>
      <c r="D9321" t="inlineStr">
        <is>
          <t>SKU-10376</t>
        </is>
      </c>
      <c r="E9321" t="inlineStr">
        <is>
          <t>AM05</t>
        </is>
      </c>
      <c r="F9321" s="5" t="n">
        <v>1648.67</v>
      </c>
      <c r="G9321">
        <f>IF(LEFT(B9321,1)="C","Credit","Factuur")</f>
        <v/>
      </c>
      <c r="H9321">
        <f>IF(AND(B9321=B9320,D9321=D9320,A9321=A9320,F9321=F9320),1,0)</f>
        <v/>
      </c>
      <c r="I9321">
        <f>IF(C9321="C99999",1,0)</f>
        <v/>
      </c>
      <c r="J9321" s="5">
        <f>IF(OR(H9321=1,I9321=1),0,IF(G9321="Credit",-F9321,F9321))</f>
        <v/>
      </c>
    </row>
    <row r="9322">
      <c r="A9322" t="inlineStr">
        <is>
          <t>2026-09-22</t>
        </is>
      </c>
      <c r="B9322" t="inlineStr">
        <is>
          <t>F274469</t>
        </is>
      </c>
      <c r="C9322" t="inlineStr">
        <is>
          <t>C10762</t>
        </is>
      </c>
      <c r="D9322" t="inlineStr">
        <is>
          <t>SKU-10101</t>
        </is>
      </c>
      <c r="E9322" t="inlineStr">
        <is>
          <t>AM03</t>
        </is>
      </c>
      <c r="F9322" s="5" t="n">
        <v>356.28</v>
      </c>
      <c r="G9322">
        <f>IF(LEFT(B9322,1)="C","Credit","Factuur")</f>
        <v/>
      </c>
      <c r="H9322">
        <f>IF(AND(B9322=B9321,D9322=D9321,A9322=A9321,F9322=F9321),1,0)</f>
        <v/>
      </c>
      <c r="I9322">
        <f>IF(C9322="C99999",1,0)</f>
        <v/>
      </c>
      <c r="J9322" s="5">
        <f>IF(OR(H9322=1,I9322=1),0,IF(G9322="Credit",-F9322,F9322))</f>
        <v/>
      </c>
    </row>
    <row r="9323">
      <c r="A9323" t="inlineStr">
        <is>
          <t>2026-09-22</t>
        </is>
      </c>
      <c r="B9323" t="inlineStr">
        <is>
          <t>F275555</t>
        </is>
      </c>
      <c r="C9323" t="inlineStr">
        <is>
          <t>C10822</t>
        </is>
      </c>
      <c r="D9323" t="inlineStr">
        <is>
          <t>SKU-10095</t>
        </is>
      </c>
      <c r="E9323" t="inlineStr">
        <is>
          <t>AM11</t>
        </is>
      </c>
      <c r="F9323" s="5" t="n">
        <v>4704.4</v>
      </c>
      <c r="G9323">
        <f>IF(LEFT(B9323,1)="C","Credit","Factuur")</f>
        <v/>
      </c>
      <c r="H9323">
        <f>IF(AND(B9323=B9322,D9323=D9322,A9323=A9322,F9323=F9322),1,0)</f>
        <v/>
      </c>
      <c r="I9323">
        <f>IF(C9323="C99999",1,0)</f>
        <v/>
      </c>
      <c r="J9323" s="5">
        <f>IF(OR(H9323=1,I9323=1),0,IF(G9323="Credit",-F9323,F9323))</f>
        <v/>
      </c>
    </row>
    <row r="9324">
      <c r="A9324" t="inlineStr">
        <is>
          <t>2026-09-22</t>
        </is>
      </c>
      <c r="B9324" t="inlineStr">
        <is>
          <t>F275555</t>
        </is>
      </c>
      <c r="C9324" t="inlineStr">
        <is>
          <t>C10822</t>
        </is>
      </c>
      <c r="D9324" t="inlineStr">
        <is>
          <t>SKU-10113</t>
        </is>
      </c>
      <c r="E9324" t="inlineStr">
        <is>
          <t>AM11</t>
        </is>
      </c>
      <c r="F9324" s="5" t="n">
        <v>4666.5</v>
      </c>
      <c r="G9324">
        <f>IF(LEFT(B9324,1)="C","Credit","Factuur")</f>
        <v/>
      </c>
      <c r="H9324">
        <f>IF(AND(B9324=B9323,D9324=D9323,A9324=A9323,F9324=F9323),1,0)</f>
        <v/>
      </c>
      <c r="I9324">
        <f>IF(C9324="C99999",1,0)</f>
        <v/>
      </c>
      <c r="J9324" s="5">
        <f>IF(OR(H9324=1,I9324=1),0,IF(G9324="Credit",-F9324,F9324))</f>
        <v/>
      </c>
    </row>
    <row r="9325">
      <c r="A9325" t="inlineStr">
        <is>
          <t>2026-09-22</t>
        </is>
      </c>
      <c r="B9325" t="inlineStr">
        <is>
          <t>F275555</t>
        </is>
      </c>
      <c r="C9325" t="inlineStr">
        <is>
          <t>C10822</t>
        </is>
      </c>
      <c r="D9325" t="inlineStr">
        <is>
          <t>SKU-10193</t>
        </is>
      </c>
      <c r="E9325" t="inlineStr">
        <is>
          <t>AM11</t>
        </is>
      </c>
      <c r="F9325" s="5" t="n">
        <v>4442.1</v>
      </c>
      <c r="G9325">
        <f>IF(LEFT(B9325,1)="C","Credit","Factuur")</f>
        <v/>
      </c>
      <c r="H9325">
        <f>IF(AND(B9325=B9324,D9325=D9324,A9325=A9324,F9325=F9324),1,0)</f>
        <v/>
      </c>
      <c r="I9325">
        <f>IF(C9325="C99999",1,0)</f>
        <v/>
      </c>
      <c r="J9325" s="5">
        <f>IF(OR(H9325=1,I9325=1),0,IF(G9325="Credit",-F9325,F9325))</f>
        <v/>
      </c>
    </row>
    <row r="9326">
      <c r="A9326" t="inlineStr">
        <is>
          <t>2026-09-22</t>
        </is>
      </c>
      <c r="B9326" t="inlineStr">
        <is>
          <t>F275555</t>
        </is>
      </c>
      <c r="C9326" t="inlineStr">
        <is>
          <t>C10822</t>
        </is>
      </c>
      <c r="D9326" t="inlineStr">
        <is>
          <t>SKU-10284</t>
        </is>
      </c>
      <c r="E9326" t="inlineStr">
        <is>
          <t>AM11</t>
        </is>
      </c>
      <c r="F9326" s="5" t="n">
        <v>4683.25</v>
      </c>
      <c r="G9326">
        <f>IF(LEFT(B9326,1)="C","Credit","Factuur")</f>
        <v/>
      </c>
      <c r="H9326">
        <f>IF(AND(B9326=B9325,D9326=D9325,A9326=A9325,F9326=F9325),1,0)</f>
        <v/>
      </c>
      <c r="I9326">
        <f>IF(C9326="C99999",1,0)</f>
        <v/>
      </c>
      <c r="J9326" s="5">
        <f>IF(OR(H9326=1,I9326=1),0,IF(G9326="Credit",-F9326,F9326))</f>
        <v/>
      </c>
    </row>
    <row r="9327">
      <c r="A9327" t="inlineStr">
        <is>
          <t>2026-09-22</t>
        </is>
      </c>
      <c r="B9327" t="inlineStr">
        <is>
          <t>F276147</t>
        </is>
      </c>
      <c r="C9327" t="inlineStr">
        <is>
          <t>C10857</t>
        </is>
      </c>
      <c r="D9327" t="inlineStr">
        <is>
          <t>SKU-10041</t>
        </is>
      </c>
      <c r="E9327" t="inlineStr">
        <is>
          <t>AM05</t>
        </is>
      </c>
      <c r="F9327" s="5" t="n">
        <v>288.96</v>
      </c>
      <c r="G9327">
        <f>IF(LEFT(B9327,1)="C","Credit","Factuur")</f>
        <v/>
      </c>
      <c r="H9327">
        <f>IF(AND(B9327=B9326,D9327=D9326,A9327=A9326,F9327=F9326),1,0)</f>
        <v/>
      </c>
      <c r="I9327">
        <f>IF(C9327="C99999",1,0)</f>
        <v/>
      </c>
      <c r="J9327" s="5">
        <f>IF(OR(H9327=1,I9327=1),0,IF(G9327="Credit",-F9327,F9327))</f>
        <v/>
      </c>
    </row>
    <row r="9328">
      <c r="A9328" t="inlineStr">
        <is>
          <t>2026-09-22</t>
        </is>
      </c>
      <c r="B9328" t="inlineStr">
        <is>
          <t>F276147</t>
        </is>
      </c>
      <c r="C9328" t="inlineStr">
        <is>
          <t>C10857</t>
        </is>
      </c>
      <c r="D9328" t="inlineStr">
        <is>
          <t>SKU-10295</t>
        </is>
      </c>
      <c r="E9328" t="inlineStr">
        <is>
          <t>AM05</t>
        </is>
      </c>
      <c r="F9328" s="5" t="n">
        <v>278.91</v>
      </c>
      <c r="G9328">
        <f>IF(LEFT(B9328,1)="C","Credit","Factuur")</f>
        <v/>
      </c>
      <c r="H9328">
        <f>IF(AND(B9328=B9327,D9328=D9327,A9328=A9327,F9328=F9327),1,0)</f>
        <v/>
      </c>
      <c r="I9328">
        <f>IF(C9328="C99999",1,0)</f>
        <v/>
      </c>
      <c r="J9328" s="5">
        <f>IF(OR(H9328=1,I9328=1),0,IF(G9328="Credit",-F9328,F9328))</f>
        <v/>
      </c>
    </row>
    <row r="9329">
      <c r="A9329" t="inlineStr">
        <is>
          <t>2026-09-22</t>
        </is>
      </c>
      <c r="B9329" t="inlineStr">
        <is>
          <t>F276266</t>
        </is>
      </c>
      <c r="C9329" t="inlineStr">
        <is>
          <t>C10862</t>
        </is>
      </c>
      <c r="D9329" t="inlineStr">
        <is>
          <t>SKU-10043</t>
        </is>
      </c>
      <c r="E9329" t="inlineStr">
        <is>
          <t>AM02</t>
        </is>
      </c>
      <c r="F9329" s="5" t="n">
        <v>2760.24</v>
      </c>
      <c r="G9329">
        <f>IF(LEFT(B9329,1)="C","Credit","Factuur")</f>
        <v/>
      </c>
      <c r="H9329">
        <f>IF(AND(B9329=B9328,D9329=D9328,A9329=A9328,F9329=F9328),1,0)</f>
        <v/>
      </c>
      <c r="I9329">
        <f>IF(C9329="C99999",1,0)</f>
        <v/>
      </c>
      <c r="J9329" s="5">
        <f>IF(OR(H9329=1,I9329=1),0,IF(G9329="Credit",-F9329,F9329))</f>
        <v/>
      </c>
    </row>
    <row r="9330">
      <c r="A9330" t="inlineStr">
        <is>
          <t>2026-09-22</t>
        </is>
      </c>
      <c r="B9330" t="inlineStr">
        <is>
          <t>F276481</t>
        </is>
      </c>
      <c r="C9330" t="inlineStr">
        <is>
          <t>C10872</t>
        </is>
      </c>
      <c r="D9330" t="inlineStr">
        <is>
          <t>SKU-10018</t>
        </is>
      </c>
      <c r="E9330" t="inlineStr">
        <is>
          <t>AM08</t>
        </is>
      </c>
      <c r="F9330" s="5" t="n">
        <v>1206.23</v>
      </c>
      <c r="G9330">
        <f>IF(LEFT(B9330,1)="C","Credit","Factuur")</f>
        <v/>
      </c>
      <c r="H9330">
        <f>IF(AND(B9330=B9329,D9330=D9329,A9330=A9329,F9330=F9329),1,0)</f>
        <v/>
      </c>
      <c r="I9330">
        <f>IF(C9330="C99999",1,0)</f>
        <v/>
      </c>
      <c r="J9330" s="5">
        <f>IF(OR(H9330=1,I9330=1),0,IF(G9330="Credit",-F9330,F9330))</f>
        <v/>
      </c>
    </row>
    <row r="9331">
      <c r="A9331" t="inlineStr">
        <is>
          <t>2026-09-22</t>
        </is>
      </c>
      <c r="B9331" t="inlineStr">
        <is>
          <t>F277187</t>
        </is>
      </c>
      <c r="C9331" t="inlineStr">
        <is>
          <t>C10912</t>
        </is>
      </c>
      <c r="D9331" t="inlineStr">
        <is>
          <t>SKU-10080</t>
        </is>
      </c>
      <c r="E9331" t="inlineStr">
        <is>
          <t>AM08</t>
        </is>
      </c>
      <c r="F9331" s="5" t="n">
        <v>555.16</v>
      </c>
      <c r="G9331">
        <f>IF(LEFT(B9331,1)="C","Credit","Factuur")</f>
        <v/>
      </c>
      <c r="H9331">
        <f>IF(AND(B9331=B9330,D9331=D9330,A9331=A9330,F9331=F9330),1,0)</f>
        <v/>
      </c>
      <c r="I9331">
        <f>IF(C9331="C99999",1,0)</f>
        <v/>
      </c>
      <c r="J9331" s="5">
        <f>IF(OR(H9331=1,I9331=1),0,IF(G9331="Credit",-F9331,F9331))</f>
        <v/>
      </c>
    </row>
    <row r="9332">
      <c r="A9332" t="inlineStr">
        <is>
          <t>2026-09-22</t>
        </is>
      </c>
      <c r="B9332" t="inlineStr">
        <is>
          <t>F278552</t>
        </is>
      </c>
      <c r="C9332" t="inlineStr">
        <is>
          <t>C10984</t>
        </is>
      </c>
      <c r="D9332" t="inlineStr">
        <is>
          <t>SKU-10082</t>
        </is>
      </c>
      <c r="E9332" t="inlineStr">
        <is>
          <t>IS01</t>
        </is>
      </c>
      <c r="F9332" s="5" t="n">
        <v>111.62</v>
      </c>
      <c r="G9332">
        <f>IF(LEFT(B9332,1)="C","Credit","Factuur")</f>
        <v/>
      </c>
      <c r="H9332">
        <f>IF(AND(B9332=B9331,D9332=D9331,A9332=A9331,F9332=F9331),1,0)</f>
        <v/>
      </c>
      <c r="I9332">
        <f>IF(C9332="C99999",1,0)</f>
        <v/>
      </c>
      <c r="J9332" s="5">
        <f>IF(OR(H9332=1,I9332=1),0,IF(G9332="Credit",-F9332,F9332))</f>
        <v/>
      </c>
    </row>
    <row r="9333">
      <c r="A9333" t="inlineStr">
        <is>
          <t>2026-09-22</t>
        </is>
      </c>
      <c r="B9333" t="inlineStr">
        <is>
          <t>F278552</t>
        </is>
      </c>
      <c r="C9333" t="inlineStr">
        <is>
          <t>C10984</t>
        </is>
      </c>
      <c r="D9333" t="inlineStr">
        <is>
          <t>SKU-10108</t>
        </is>
      </c>
      <c r="E9333" t="inlineStr">
        <is>
          <t>IS01</t>
        </is>
      </c>
      <c r="F9333" s="5" t="n">
        <v>92.93000000000001</v>
      </c>
      <c r="G9333">
        <f>IF(LEFT(B9333,1)="C","Credit","Factuur")</f>
        <v/>
      </c>
      <c r="H9333">
        <f>IF(AND(B9333=B9332,D9333=D9332,A9333=A9332,F9333=F9332),1,0)</f>
        <v/>
      </c>
      <c r="I9333">
        <f>IF(C9333="C99999",1,0)</f>
        <v/>
      </c>
      <c r="J9333" s="5">
        <f>IF(OR(H9333=1,I9333=1),0,IF(G9333="Credit",-F9333,F9333))</f>
        <v/>
      </c>
    </row>
    <row r="9334">
      <c r="A9334" t="inlineStr">
        <is>
          <t>2026-09-22</t>
        </is>
      </c>
      <c r="B9334" t="inlineStr">
        <is>
          <t>F279366</t>
        </is>
      </c>
      <c r="C9334" t="inlineStr">
        <is>
          <t>C11027</t>
        </is>
      </c>
      <c r="D9334" t="inlineStr">
        <is>
          <t>SKU-10133</t>
        </is>
      </c>
      <c r="E9334" t="inlineStr">
        <is>
          <t>AM01</t>
        </is>
      </c>
      <c r="F9334" s="5" t="n">
        <v>1323.4</v>
      </c>
      <c r="G9334">
        <f>IF(LEFT(B9334,1)="C","Credit","Factuur")</f>
        <v/>
      </c>
      <c r="H9334">
        <f>IF(AND(B9334=B9333,D9334=D9333,A9334=A9333,F9334=F9333),1,0)</f>
        <v/>
      </c>
      <c r="I9334">
        <f>IF(C9334="C99999",1,0)</f>
        <v/>
      </c>
      <c r="J9334" s="5">
        <f>IF(OR(H9334=1,I9334=1),0,IF(G9334="Credit",-F9334,F9334))</f>
        <v/>
      </c>
    </row>
    <row r="9335">
      <c r="A9335" t="inlineStr">
        <is>
          <t>2026-09-22</t>
        </is>
      </c>
      <c r="B9335" t="inlineStr">
        <is>
          <t>F279939</t>
        </is>
      </c>
      <c r="C9335" t="inlineStr">
        <is>
          <t>C11054</t>
        </is>
      </c>
      <c r="D9335" t="inlineStr">
        <is>
          <t>SKU-10160</t>
        </is>
      </c>
      <c r="E9335" t="inlineStr">
        <is>
          <t>AM07</t>
        </is>
      </c>
      <c r="F9335" s="5" t="n">
        <v>1789.77</v>
      </c>
      <c r="G9335">
        <f>IF(LEFT(B9335,1)="C","Credit","Factuur")</f>
        <v/>
      </c>
      <c r="H9335">
        <f>IF(AND(B9335=B9334,D9335=D9334,A9335=A9334,F9335=F9334),1,0)</f>
        <v/>
      </c>
      <c r="I9335">
        <f>IF(C9335="C99999",1,0)</f>
        <v/>
      </c>
      <c r="J9335" s="5">
        <f>IF(OR(H9335=1,I9335=1),0,IF(G9335="Credit",-F9335,F9335))</f>
        <v/>
      </c>
    </row>
    <row r="9336">
      <c r="A9336" t="inlineStr">
        <is>
          <t>2026-09-22</t>
        </is>
      </c>
      <c r="B9336" t="inlineStr">
        <is>
          <t>F280464</t>
        </is>
      </c>
      <c r="C9336" t="inlineStr">
        <is>
          <t>C11079</t>
        </is>
      </c>
      <c r="D9336" t="inlineStr">
        <is>
          <t>SKU-10053</t>
        </is>
      </c>
      <c r="E9336" t="inlineStr">
        <is>
          <t>IS02</t>
        </is>
      </c>
      <c r="F9336" s="5" t="n">
        <v>75</v>
      </c>
      <c r="G9336">
        <f>IF(LEFT(B9336,1)="C","Credit","Factuur")</f>
        <v/>
      </c>
      <c r="H9336">
        <f>IF(AND(B9336=B9335,D9336=D9335,A9336=A9335,F9336=F9335),1,0)</f>
        <v/>
      </c>
      <c r="I9336">
        <f>IF(C9336="C99999",1,0)</f>
        <v/>
      </c>
      <c r="J9336" s="5">
        <f>IF(OR(H9336=1,I9336=1),0,IF(G9336="Credit",-F9336,F9336))</f>
        <v/>
      </c>
    </row>
    <row r="9337">
      <c r="A9337" t="inlineStr">
        <is>
          <t>2026-09-22</t>
        </is>
      </c>
      <c r="B9337" t="inlineStr">
        <is>
          <t>F280464</t>
        </is>
      </c>
      <c r="C9337" t="inlineStr">
        <is>
          <t>C11079</t>
        </is>
      </c>
      <c r="D9337" t="inlineStr">
        <is>
          <t>SKU-10155</t>
        </is>
      </c>
      <c r="E9337" t="inlineStr">
        <is>
          <t>IS02</t>
        </is>
      </c>
      <c r="F9337" s="5" t="n">
        <v>78.66</v>
      </c>
      <c r="G9337">
        <f>IF(LEFT(B9337,1)="C","Credit","Factuur")</f>
        <v/>
      </c>
      <c r="H9337">
        <f>IF(AND(B9337=B9336,D9337=D9336,A9337=A9336,F9337=F9336),1,0)</f>
        <v/>
      </c>
      <c r="I9337">
        <f>IF(C9337="C99999",1,0)</f>
        <v/>
      </c>
      <c r="J9337" s="5">
        <f>IF(OR(H9337=1,I9337=1),0,IF(G9337="Credit",-F9337,F9337))</f>
        <v/>
      </c>
    </row>
    <row r="9338">
      <c r="A9338" t="inlineStr">
        <is>
          <t>2026-09-22</t>
        </is>
      </c>
      <c r="B9338" t="inlineStr">
        <is>
          <t>F280464</t>
        </is>
      </c>
      <c r="C9338" t="inlineStr">
        <is>
          <t>C11079</t>
        </is>
      </c>
      <c r="D9338" t="inlineStr">
        <is>
          <t>SKU-10250</t>
        </is>
      </c>
      <c r="E9338" t="inlineStr">
        <is>
          <t>IS02</t>
        </is>
      </c>
      <c r="F9338" s="5" t="n">
        <v>68.23</v>
      </c>
      <c r="G9338">
        <f>IF(LEFT(B9338,1)="C","Credit","Factuur")</f>
        <v/>
      </c>
      <c r="H9338">
        <f>IF(AND(B9338=B9337,D9338=D9337,A9338=A9337,F9338=F9337),1,0)</f>
        <v/>
      </c>
      <c r="I9338">
        <f>IF(C9338="C99999",1,0)</f>
        <v/>
      </c>
      <c r="J9338" s="5">
        <f>IF(OR(H9338=1,I9338=1),0,IF(G9338="Credit",-F9338,F9338))</f>
        <v/>
      </c>
    </row>
    <row r="9339">
      <c r="A9339" t="inlineStr">
        <is>
          <t>2026-09-22</t>
        </is>
      </c>
      <c r="B9339" t="inlineStr">
        <is>
          <t>F280603</t>
        </is>
      </c>
      <c r="C9339" t="inlineStr">
        <is>
          <t>C11087</t>
        </is>
      </c>
      <c r="D9339" t="inlineStr">
        <is>
          <t>SKU-10135</t>
        </is>
      </c>
      <c r="E9339" t="inlineStr">
        <is>
          <t>AM01</t>
        </is>
      </c>
      <c r="F9339" s="5" t="n">
        <v>1627.2</v>
      </c>
      <c r="G9339">
        <f>IF(LEFT(B9339,1)="C","Credit","Factuur")</f>
        <v/>
      </c>
      <c r="H9339">
        <f>IF(AND(B9339=B9338,D9339=D9338,A9339=A9338,F9339=F9338),1,0)</f>
        <v/>
      </c>
      <c r="I9339">
        <f>IF(C9339="C99999",1,0)</f>
        <v/>
      </c>
      <c r="J9339" s="5">
        <f>IF(OR(H9339=1,I9339=1),0,IF(G9339="Credit",-F9339,F9339))</f>
        <v/>
      </c>
    </row>
    <row r="9340">
      <c r="A9340" t="inlineStr">
        <is>
          <t>2026-09-22</t>
        </is>
      </c>
      <c r="B9340" t="inlineStr">
        <is>
          <t>F280603</t>
        </is>
      </c>
      <c r="C9340" t="inlineStr">
        <is>
          <t>C11087</t>
        </is>
      </c>
      <c r="D9340" t="inlineStr">
        <is>
          <t>SKU-10196</t>
        </is>
      </c>
      <c r="E9340" t="inlineStr">
        <is>
          <t>AM01</t>
        </is>
      </c>
      <c r="F9340" s="5" t="n">
        <v>1656.72</v>
      </c>
      <c r="G9340">
        <f>IF(LEFT(B9340,1)="C","Credit","Factuur")</f>
        <v/>
      </c>
      <c r="H9340">
        <f>IF(AND(B9340=B9339,D9340=D9339,A9340=A9339,F9340=F9339),1,0)</f>
        <v/>
      </c>
      <c r="I9340">
        <f>IF(C9340="C99999",1,0)</f>
        <v/>
      </c>
      <c r="J9340" s="5">
        <f>IF(OR(H9340=1,I9340=1),0,IF(G9340="Credit",-F9340,F9340))</f>
        <v/>
      </c>
    </row>
    <row r="9341">
      <c r="A9341" t="inlineStr">
        <is>
          <t>2026-09-22</t>
        </is>
      </c>
      <c r="B9341" t="inlineStr">
        <is>
          <t>F280603</t>
        </is>
      </c>
      <c r="C9341" t="inlineStr">
        <is>
          <t>C11087</t>
        </is>
      </c>
      <c r="D9341" t="inlineStr">
        <is>
          <t>SKU-10336</t>
        </is>
      </c>
      <c r="E9341" t="inlineStr">
        <is>
          <t>AM01</t>
        </is>
      </c>
      <c r="F9341" s="5" t="n">
        <v>1654.23</v>
      </c>
      <c r="G9341">
        <f>IF(LEFT(B9341,1)="C","Credit","Factuur")</f>
        <v/>
      </c>
      <c r="H9341">
        <f>IF(AND(B9341=B9340,D9341=D9340,A9341=A9340,F9341=F9340),1,0)</f>
        <v/>
      </c>
      <c r="I9341">
        <f>IF(C9341="C99999",1,0)</f>
        <v/>
      </c>
      <c r="J9341" s="5">
        <f>IF(OR(H9341=1,I9341=1),0,IF(G9341="Credit",-F9341,F9341))</f>
        <v/>
      </c>
    </row>
    <row r="9342">
      <c r="A9342" t="inlineStr">
        <is>
          <t>2026-09-22</t>
        </is>
      </c>
      <c r="B9342" t="inlineStr">
        <is>
          <t>F280809</t>
        </is>
      </c>
      <c r="C9342" t="inlineStr">
        <is>
          <t>C11097</t>
        </is>
      </c>
      <c r="D9342" t="inlineStr">
        <is>
          <t>SKU-10110</t>
        </is>
      </c>
      <c r="E9342" t="inlineStr">
        <is>
          <t>AM05</t>
        </is>
      </c>
      <c r="F9342" s="5" t="n">
        <v>247</v>
      </c>
      <c r="G9342">
        <f>IF(LEFT(B9342,1)="C","Credit","Factuur")</f>
        <v/>
      </c>
      <c r="H9342">
        <f>IF(AND(B9342=B9341,D9342=D9341,A9342=A9341,F9342=F9341),1,0)</f>
        <v/>
      </c>
      <c r="I9342">
        <f>IF(C9342="C99999",1,0)</f>
        <v/>
      </c>
      <c r="J9342" s="5">
        <f>IF(OR(H9342=1,I9342=1),0,IF(G9342="Credit",-F9342,F9342))</f>
        <v/>
      </c>
    </row>
    <row r="9343">
      <c r="A9343" t="inlineStr">
        <is>
          <t>2026-09-22</t>
        </is>
      </c>
      <c r="B9343" t="inlineStr">
        <is>
          <t>F280809</t>
        </is>
      </c>
      <c r="C9343" t="inlineStr">
        <is>
          <t>C11097</t>
        </is>
      </c>
      <c r="D9343" t="inlineStr">
        <is>
          <t>SKU-10170</t>
        </is>
      </c>
      <c r="E9343" t="inlineStr">
        <is>
          <t>AM05</t>
        </is>
      </c>
      <c r="F9343" s="5" t="n">
        <v>261.24</v>
      </c>
      <c r="G9343">
        <f>IF(LEFT(B9343,1)="C","Credit","Factuur")</f>
        <v/>
      </c>
      <c r="H9343">
        <f>IF(AND(B9343=B9342,D9343=D9342,A9343=A9342,F9343=F9342),1,0)</f>
        <v/>
      </c>
      <c r="I9343">
        <f>IF(C9343="C99999",1,0)</f>
        <v/>
      </c>
      <c r="J9343" s="5">
        <f>IF(OR(H9343=1,I9343=1),0,IF(G9343="Credit",-F9343,F9343))</f>
        <v/>
      </c>
    </row>
    <row r="9344">
      <c r="A9344" t="inlineStr">
        <is>
          <t>2026-09-22</t>
        </is>
      </c>
      <c r="B9344" t="inlineStr">
        <is>
          <t>F280809</t>
        </is>
      </c>
      <c r="C9344" t="inlineStr">
        <is>
          <t>C11097</t>
        </is>
      </c>
      <c r="D9344" t="inlineStr">
        <is>
          <t>SKU-10177</t>
        </is>
      </c>
      <c r="E9344" t="inlineStr">
        <is>
          <t>AM05</t>
        </is>
      </c>
      <c r="F9344" s="5" t="n">
        <v>256.8</v>
      </c>
      <c r="G9344">
        <f>IF(LEFT(B9344,1)="C","Credit","Factuur")</f>
        <v/>
      </c>
      <c r="H9344">
        <f>IF(AND(B9344=B9343,D9344=D9343,A9344=A9343,F9344=F9343),1,0)</f>
        <v/>
      </c>
      <c r="I9344">
        <f>IF(C9344="C99999",1,0)</f>
        <v/>
      </c>
      <c r="J9344" s="5">
        <f>IF(OR(H9344=1,I9344=1),0,IF(G9344="Credit",-F9344,F9344))</f>
        <v/>
      </c>
    </row>
    <row r="9345">
      <c r="A9345" t="inlineStr">
        <is>
          <t>2026-09-22</t>
        </is>
      </c>
      <c r="B9345" t="inlineStr">
        <is>
          <t>F280908</t>
        </is>
      </c>
      <c r="C9345" t="inlineStr">
        <is>
          <t>C11102</t>
        </is>
      </c>
      <c r="D9345" t="inlineStr">
        <is>
          <t>SKU-10198</t>
        </is>
      </c>
      <c r="E9345" t="inlineStr">
        <is>
          <t>AM01</t>
        </is>
      </c>
      <c r="F9345" s="5" t="n">
        <v>179.75</v>
      </c>
      <c r="G9345">
        <f>IF(LEFT(B9345,1)="C","Credit","Factuur")</f>
        <v/>
      </c>
      <c r="H9345">
        <f>IF(AND(B9345=B9344,D9345=D9344,A9345=A9344,F9345=F9344),1,0)</f>
        <v/>
      </c>
      <c r="I9345">
        <f>IF(C9345="C99999",1,0)</f>
        <v/>
      </c>
      <c r="J9345" s="5">
        <f>IF(OR(H9345=1,I9345=1),0,IF(G9345="Credit",-F9345,F9345))</f>
        <v/>
      </c>
    </row>
    <row r="9346">
      <c r="A9346" t="inlineStr">
        <is>
          <t>2026-09-22</t>
        </is>
      </c>
      <c r="B9346" t="inlineStr">
        <is>
          <t>F281154</t>
        </is>
      </c>
      <c r="C9346" t="inlineStr">
        <is>
          <t>C11113</t>
        </is>
      </c>
      <c r="D9346" t="inlineStr">
        <is>
          <t>SKU-10025</t>
        </is>
      </c>
      <c r="E9346" t="inlineStr">
        <is>
          <t>AM01</t>
        </is>
      </c>
      <c r="F9346" s="5" t="n">
        <v>201</v>
      </c>
      <c r="G9346">
        <f>IF(LEFT(B9346,1)="C","Credit","Factuur")</f>
        <v/>
      </c>
      <c r="H9346">
        <f>IF(AND(B9346=B9345,D9346=D9345,A9346=A9345,F9346=F9345),1,0)</f>
        <v/>
      </c>
      <c r="I9346">
        <f>IF(C9346="C99999",1,0)</f>
        <v/>
      </c>
      <c r="J9346" s="5">
        <f>IF(OR(H9346=1,I9346=1),0,IF(G9346="Credit",-F9346,F9346))</f>
        <v/>
      </c>
    </row>
    <row r="9347">
      <c r="A9347" t="inlineStr">
        <is>
          <t>2026-09-22</t>
        </is>
      </c>
      <c r="B9347" t="inlineStr">
        <is>
          <t>F281154</t>
        </is>
      </c>
      <c r="C9347" t="inlineStr">
        <is>
          <t>C11113</t>
        </is>
      </c>
      <c r="D9347" t="inlineStr">
        <is>
          <t>SKU-10204</t>
        </is>
      </c>
      <c r="E9347" t="inlineStr">
        <is>
          <t>AM01</t>
        </is>
      </c>
      <c r="F9347" s="5" t="n">
        <v>236.9</v>
      </c>
      <c r="G9347">
        <f>IF(LEFT(B9347,1)="C","Credit","Factuur")</f>
        <v/>
      </c>
      <c r="H9347">
        <f>IF(AND(B9347=B9346,D9347=D9346,A9347=A9346,F9347=F9346),1,0)</f>
        <v/>
      </c>
      <c r="I9347">
        <f>IF(C9347="C99999",1,0)</f>
        <v/>
      </c>
      <c r="J9347" s="5">
        <f>IF(OR(H9347=1,I9347=1),0,IF(G9347="Credit",-F9347,F9347))</f>
        <v/>
      </c>
    </row>
    <row r="9348">
      <c r="A9348" t="inlineStr">
        <is>
          <t>2026-09-22</t>
        </is>
      </c>
      <c r="B9348" t="inlineStr">
        <is>
          <t>F281154</t>
        </is>
      </c>
      <c r="C9348" t="inlineStr">
        <is>
          <t>C11113</t>
        </is>
      </c>
      <c r="D9348" t="inlineStr">
        <is>
          <t>SKU-10269</t>
        </is>
      </c>
      <c r="E9348" t="inlineStr">
        <is>
          <t>AM01</t>
        </is>
      </c>
      <c r="F9348" s="5" t="n">
        <v>215.87</v>
      </c>
      <c r="G9348">
        <f>IF(LEFT(B9348,1)="C","Credit","Factuur")</f>
        <v/>
      </c>
      <c r="H9348">
        <f>IF(AND(B9348=B9347,D9348=D9347,A9348=A9347,F9348=F9347),1,0)</f>
        <v/>
      </c>
      <c r="I9348">
        <f>IF(C9348="C99999",1,0)</f>
        <v/>
      </c>
      <c r="J9348" s="5">
        <f>IF(OR(H9348=1,I9348=1),0,IF(G9348="Credit",-F9348,F9348))</f>
        <v/>
      </c>
    </row>
    <row r="9349">
      <c r="A9349" t="inlineStr">
        <is>
          <t>2026-09-22</t>
        </is>
      </c>
      <c r="B9349" t="inlineStr">
        <is>
          <t>F281348</t>
        </is>
      </c>
      <c r="C9349" t="inlineStr">
        <is>
          <t>C11124</t>
        </is>
      </c>
      <c r="D9349" t="inlineStr">
        <is>
          <t>SKU-10052</t>
        </is>
      </c>
      <c r="E9349" t="inlineStr">
        <is>
          <t>AM07</t>
        </is>
      </c>
      <c r="F9349" s="5" t="n">
        <v>210.44</v>
      </c>
      <c r="G9349">
        <f>IF(LEFT(B9349,1)="C","Credit","Factuur")</f>
        <v/>
      </c>
      <c r="H9349">
        <f>IF(AND(B9349=B9348,D9349=D9348,A9349=A9348,F9349=F9348),1,0)</f>
        <v/>
      </c>
      <c r="I9349">
        <f>IF(C9349="C99999",1,0)</f>
        <v/>
      </c>
      <c r="J9349" s="5">
        <f>IF(OR(H9349=1,I9349=1),0,IF(G9349="Credit",-F9349,F9349))</f>
        <v/>
      </c>
    </row>
    <row r="9350">
      <c r="A9350" t="inlineStr">
        <is>
          <t>2026-09-22</t>
        </is>
      </c>
      <c r="B9350" t="inlineStr">
        <is>
          <t>F281348</t>
        </is>
      </c>
      <c r="C9350" t="inlineStr">
        <is>
          <t>C11124</t>
        </is>
      </c>
      <c r="D9350" t="inlineStr">
        <is>
          <t>SKU-10293</t>
        </is>
      </c>
      <c r="E9350" t="inlineStr">
        <is>
          <t>AM07</t>
        </is>
      </c>
      <c r="F9350" s="5" t="n">
        <v>212.96</v>
      </c>
      <c r="G9350">
        <f>IF(LEFT(B9350,1)="C","Credit","Factuur")</f>
        <v/>
      </c>
      <c r="H9350">
        <f>IF(AND(B9350=B9349,D9350=D9349,A9350=A9349,F9350=F9349),1,0)</f>
        <v/>
      </c>
      <c r="I9350">
        <f>IF(C9350="C99999",1,0)</f>
        <v/>
      </c>
      <c r="J9350" s="5">
        <f>IF(OR(H9350=1,I9350=1),0,IF(G9350="Credit",-F9350,F9350))</f>
        <v/>
      </c>
    </row>
    <row r="9351">
      <c r="A9351" t="inlineStr">
        <is>
          <t>2026-09-22</t>
        </is>
      </c>
      <c r="B9351" t="inlineStr">
        <is>
          <t>F281348</t>
        </is>
      </c>
      <c r="C9351" t="inlineStr">
        <is>
          <t>C11124</t>
        </is>
      </c>
      <c r="D9351" t="inlineStr">
        <is>
          <t>SKU-10365</t>
        </is>
      </c>
      <c r="E9351" t="inlineStr">
        <is>
          <t>AM07</t>
        </is>
      </c>
      <c r="F9351" s="5" t="n">
        <v>270.32</v>
      </c>
      <c r="G9351">
        <f>IF(LEFT(B9351,1)="C","Credit","Factuur")</f>
        <v/>
      </c>
      <c r="H9351">
        <f>IF(AND(B9351=B9350,D9351=D9350,A9351=A9350,F9351=F9350),1,0)</f>
        <v/>
      </c>
      <c r="I9351">
        <f>IF(C9351="C99999",1,0)</f>
        <v/>
      </c>
      <c r="J9351" s="5">
        <f>IF(OR(H9351=1,I9351=1),0,IF(G9351="Credit",-F9351,F9351))</f>
        <v/>
      </c>
    </row>
    <row r="9352">
      <c r="A9352" t="inlineStr">
        <is>
          <t>2026-09-22</t>
        </is>
      </c>
      <c r="B9352" t="inlineStr">
        <is>
          <t>F281511</t>
        </is>
      </c>
      <c r="C9352" t="inlineStr">
        <is>
          <t>C11134</t>
        </is>
      </c>
      <c r="D9352" t="inlineStr">
        <is>
          <t>SKU-10158</t>
        </is>
      </c>
      <c r="E9352" t="inlineStr">
        <is>
          <t>AM02</t>
        </is>
      </c>
      <c r="F9352" s="5" t="n">
        <v>343.9</v>
      </c>
      <c r="G9352">
        <f>IF(LEFT(B9352,1)="C","Credit","Factuur")</f>
        <v/>
      </c>
      <c r="H9352">
        <f>IF(AND(B9352=B9351,D9352=D9351,A9352=A9351,F9352=F9351),1,0)</f>
        <v/>
      </c>
      <c r="I9352">
        <f>IF(C9352="C99999",1,0)</f>
        <v/>
      </c>
      <c r="J9352" s="5">
        <f>IF(OR(H9352=1,I9352=1),0,IF(G9352="Credit",-F9352,F9352))</f>
        <v/>
      </c>
    </row>
    <row r="9353">
      <c r="A9353" t="inlineStr">
        <is>
          <t>2026-09-22</t>
        </is>
      </c>
      <c r="B9353" t="inlineStr">
        <is>
          <t>F281511</t>
        </is>
      </c>
      <c r="C9353" t="inlineStr">
        <is>
          <t>C11134</t>
        </is>
      </c>
      <c r="D9353" t="inlineStr">
        <is>
          <t>SKU-10241</t>
        </is>
      </c>
      <c r="E9353" t="inlineStr">
        <is>
          <t>AM02</t>
        </is>
      </c>
      <c r="F9353" s="5" t="n">
        <v>339.56</v>
      </c>
      <c r="G9353">
        <f>IF(LEFT(B9353,1)="C","Credit","Factuur")</f>
        <v/>
      </c>
      <c r="H9353">
        <f>IF(AND(B9353=B9352,D9353=D9352,A9353=A9352,F9353=F9352),1,0)</f>
        <v/>
      </c>
      <c r="I9353">
        <f>IF(C9353="C99999",1,0)</f>
        <v/>
      </c>
      <c r="J9353" s="5">
        <f>IF(OR(H9353=1,I9353=1),0,IF(G9353="Credit",-F9353,F9353))</f>
        <v/>
      </c>
    </row>
    <row r="9354">
      <c r="A9354" t="inlineStr">
        <is>
          <t>2026-09-22</t>
        </is>
      </c>
      <c r="B9354" t="inlineStr">
        <is>
          <t>F282067</t>
        </is>
      </c>
      <c r="C9354" t="inlineStr">
        <is>
          <t>C11159</t>
        </is>
      </c>
      <c r="D9354" t="inlineStr">
        <is>
          <t>SKU-10097</t>
        </is>
      </c>
      <c r="E9354" t="inlineStr">
        <is>
          <t>AM05</t>
        </is>
      </c>
      <c r="F9354" s="5" t="n">
        <v>127.8</v>
      </c>
      <c r="G9354">
        <f>IF(LEFT(B9354,1)="C","Credit","Factuur")</f>
        <v/>
      </c>
      <c r="H9354">
        <f>IF(AND(B9354=B9353,D9354=D9353,A9354=A9353,F9354=F9353),1,0)</f>
        <v/>
      </c>
      <c r="I9354">
        <f>IF(C9354="C99999",1,0)</f>
        <v/>
      </c>
      <c r="J9354" s="5">
        <f>IF(OR(H9354=1,I9354=1),0,IF(G9354="Credit",-F9354,F9354))</f>
        <v/>
      </c>
    </row>
    <row r="9355">
      <c r="A9355" t="inlineStr">
        <is>
          <t>2026-09-22</t>
        </is>
      </c>
      <c r="B9355" t="inlineStr">
        <is>
          <t>F282067</t>
        </is>
      </c>
      <c r="C9355" t="inlineStr">
        <is>
          <t>C11159</t>
        </is>
      </c>
      <c r="D9355" t="inlineStr">
        <is>
          <t>SKU-10147</t>
        </is>
      </c>
      <c r="E9355" t="inlineStr">
        <is>
          <t>AM05</t>
        </is>
      </c>
      <c r="F9355" s="5" t="n">
        <v>95.27</v>
      </c>
      <c r="G9355">
        <f>IF(LEFT(B9355,1)="C","Credit","Factuur")</f>
        <v/>
      </c>
      <c r="H9355">
        <f>IF(AND(B9355=B9354,D9355=D9354,A9355=A9354,F9355=F9354),1,0)</f>
        <v/>
      </c>
      <c r="I9355">
        <f>IF(C9355="C99999",1,0)</f>
        <v/>
      </c>
      <c r="J9355" s="5">
        <f>IF(OR(H9355=1,I9355=1),0,IF(G9355="Credit",-F9355,F9355))</f>
        <v/>
      </c>
    </row>
    <row r="9356">
      <c r="A9356" t="inlineStr">
        <is>
          <t>2026-09-22</t>
        </is>
      </c>
      <c r="B9356" t="inlineStr">
        <is>
          <t>F282067</t>
        </is>
      </c>
      <c r="C9356" t="inlineStr">
        <is>
          <t>C11159</t>
        </is>
      </c>
      <c r="D9356" t="inlineStr">
        <is>
          <t>SKU-10365</t>
        </is>
      </c>
      <c r="E9356" t="inlineStr">
        <is>
          <t>AM05</t>
        </is>
      </c>
      <c r="F9356" s="5" t="n">
        <v>318.02</v>
      </c>
      <c r="G9356">
        <f>IF(LEFT(B9356,1)="C","Credit","Factuur")</f>
        <v/>
      </c>
      <c r="H9356">
        <f>IF(AND(B9356=B9355,D9356=D9355,A9356=A9355,F9356=F9355),1,0)</f>
        <v/>
      </c>
      <c r="I9356">
        <f>IF(C9356="C99999",1,0)</f>
        <v/>
      </c>
      <c r="J9356" s="5">
        <f>IF(OR(H9356=1,I9356=1),0,IF(G9356="Credit",-F9356,F9356))</f>
        <v/>
      </c>
    </row>
    <row r="9357">
      <c r="A9357" t="inlineStr">
        <is>
          <t>2026-09-22</t>
        </is>
      </c>
      <c r="B9357" t="inlineStr">
        <is>
          <t>F283801</t>
        </is>
      </c>
      <c r="C9357" t="inlineStr">
        <is>
          <t>C11247</t>
        </is>
      </c>
      <c r="D9357" t="inlineStr">
        <is>
          <t>SKU-10110</t>
        </is>
      </c>
      <c r="E9357" t="inlineStr">
        <is>
          <t>AM01</t>
        </is>
      </c>
      <c r="F9357" s="5" t="n">
        <v>494</v>
      </c>
      <c r="G9357">
        <f>IF(LEFT(B9357,1)="C","Credit","Factuur")</f>
        <v/>
      </c>
      <c r="H9357">
        <f>IF(AND(B9357=B9356,D9357=D9356,A9357=A9356,F9357=F9356),1,0)</f>
        <v/>
      </c>
      <c r="I9357">
        <f>IF(C9357="C99999",1,0)</f>
        <v/>
      </c>
      <c r="J9357" s="5">
        <f>IF(OR(H9357=1,I9357=1),0,IF(G9357="Credit",-F9357,F9357))</f>
        <v/>
      </c>
    </row>
    <row r="9358">
      <c r="A9358" t="inlineStr">
        <is>
          <t>2026-09-22</t>
        </is>
      </c>
      <c r="B9358" t="inlineStr">
        <is>
          <t>F283801</t>
        </is>
      </c>
      <c r="C9358" t="inlineStr">
        <is>
          <t>C11247</t>
        </is>
      </c>
      <c r="D9358" t="inlineStr">
        <is>
          <t>SKU-10114</t>
        </is>
      </c>
      <c r="E9358" t="inlineStr">
        <is>
          <t>AM01</t>
        </is>
      </c>
      <c r="F9358" s="5" t="n">
        <v>482.04</v>
      </c>
      <c r="G9358">
        <f>IF(LEFT(B9358,1)="C","Credit","Factuur")</f>
        <v/>
      </c>
      <c r="H9358">
        <f>IF(AND(B9358=B9357,D9358=D9357,A9358=A9357,F9358=F9357),1,0)</f>
        <v/>
      </c>
      <c r="I9358">
        <f>IF(C9358="C99999",1,0)</f>
        <v/>
      </c>
      <c r="J9358" s="5">
        <f>IF(OR(H9358=1,I9358=1),0,IF(G9358="Credit",-F9358,F9358))</f>
        <v/>
      </c>
    </row>
    <row r="9359">
      <c r="A9359" t="inlineStr">
        <is>
          <t>2026-09-22</t>
        </is>
      </c>
      <c r="B9359" t="inlineStr">
        <is>
          <t>F283801</t>
        </is>
      </c>
      <c r="C9359" t="inlineStr">
        <is>
          <t>C11247</t>
        </is>
      </c>
      <c r="D9359" t="inlineStr">
        <is>
          <t>SKU-10300</t>
        </is>
      </c>
      <c r="E9359" t="inlineStr">
        <is>
          <t>AM01</t>
        </is>
      </c>
      <c r="F9359" s="5" t="n">
        <v>497.9</v>
      </c>
      <c r="G9359">
        <f>IF(LEFT(B9359,1)="C","Credit","Factuur")</f>
        <v/>
      </c>
      <c r="H9359">
        <f>IF(AND(B9359=B9358,D9359=D9358,A9359=A9358,F9359=F9358),1,0)</f>
        <v/>
      </c>
      <c r="I9359">
        <f>IF(C9359="C99999",1,0)</f>
        <v/>
      </c>
      <c r="J9359" s="5">
        <f>IF(OR(H9359=1,I9359=1),0,IF(G9359="Credit",-F9359,F9359))</f>
        <v/>
      </c>
    </row>
    <row r="9360">
      <c r="A9360" t="inlineStr">
        <is>
          <t>2026-09-22</t>
        </is>
      </c>
      <c r="B9360" t="inlineStr">
        <is>
          <t>F285303</t>
        </is>
      </c>
      <c r="C9360" t="inlineStr">
        <is>
          <t>C11324</t>
        </is>
      </c>
      <c r="D9360" t="inlineStr">
        <is>
          <t>SKU-10201</t>
        </is>
      </c>
      <c r="E9360" t="inlineStr">
        <is>
          <t>AM03</t>
        </is>
      </c>
      <c r="F9360" s="5" t="n">
        <v>2450.88</v>
      </c>
      <c r="G9360">
        <f>IF(LEFT(B9360,1)="C","Credit","Factuur")</f>
        <v/>
      </c>
      <c r="H9360">
        <f>IF(AND(B9360=B9359,D9360=D9359,A9360=A9359,F9360=F9359),1,0)</f>
        <v/>
      </c>
      <c r="I9360">
        <f>IF(C9360="C99999",1,0)</f>
        <v/>
      </c>
      <c r="J9360" s="5">
        <f>IF(OR(H9360=1,I9360=1),0,IF(G9360="Credit",-F9360,F9360))</f>
        <v/>
      </c>
    </row>
    <row r="9361">
      <c r="A9361" t="inlineStr">
        <is>
          <t>2026-09-22</t>
        </is>
      </c>
      <c r="B9361" t="inlineStr">
        <is>
          <t>F285596</t>
        </is>
      </c>
      <c r="C9361" t="inlineStr">
        <is>
          <t>C11337</t>
        </is>
      </c>
      <c r="D9361" t="inlineStr">
        <is>
          <t>SKU-10198</t>
        </is>
      </c>
      <c r="E9361" t="inlineStr">
        <is>
          <t>AM08</t>
        </is>
      </c>
      <c r="F9361" s="5" t="n">
        <v>575.2</v>
      </c>
      <c r="G9361">
        <f>IF(LEFT(B9361,1)="C","Credit","Factuur")</f>
        <v/>
      </c>
      <c r="H9361">
        <f>IF(AND(B9361=B9360,D9361=D9360,A9361=A9360,F9361=F9360),1,0)</f>
        <v/>
      </c>
      <c r="I9361">
        <f>IF(C9361="C99999",1,0)</f>
        <v/>
      </c>
      <c r="J9361" s="5">
        <f>IF(OR(H9361=1,I9361=1),0,IF(G9361="Credit",-F9361,F9361))</f>
        <v/>
      </c>
    </row>
    <row r="9362">
      <c r="A9362" t="inlineStr">
        <is>
          <t>2026-09-22</t>
        </is>
      </c>
      <c r="B9362" t="inlineStr">
        <is>
          <t>F285596</t>
        </is>
      </c>
      <c r="C9362" t="inlineStr">
        <is>
          <t>C11337</t>
        </is>
      </c>
      <c r="D9362" t="inlineStr">
        <is>
          <t>SKU-10379</t>
        </is>
      </c>
      <c r="E9362" t="inlineStr">
        <is>
          <t>AM08</t>
        </is>
      </c>
      <c r="F9362" s="5" t="n">
        <v>650.3200000000001</v>
      </c>
      <c r="G9362">
        <f>IF(LEFT(B9362,1)="C","Credit","Factuur")</f>
        <v/>
      </c>
      <c r="H9362">
        <f>IF(AND(B9362=B9361,D9362=D9361,A9362=A9361,F9362=F9361),1,0)</f>
        <v/>
      </c>
      <c r="I9362">
        <f>IF(C9362="C99999",1,0)</f>
        <v/>
      </c>
      <c r="J9362" s="5">
        <f>IF(OR(H9362=1,I9362=1),0,IF(G9362="Credit",-F9362,F9362))</f>
        <v/>
      </c>
    </row>
    <row r="9363">
      <c r="A9363" t="inlineStr">
        <is>
          <t>2026-09-22</t>
        </is>
      </c>
      <c r="B9363" t="inlineStr">
        <is>
          <t>F285861</t>
        </is>
      </c>
      <c r="C9363" t="inlineStr">
        <is>
          <t>C11353</t>
        </is>
      </c>
      <c r="D9363" t="inlineStr">
        <is>
          <t>SKU-10004</t>
        </is>
      </c>
      <c r="E9363" t="inlineStr">
        <is>
          <t>AM11</t>
        </is>
      </c>
      <c r="F9363" s="5" t="n">
        <v>282.06</v>
      </c>
      <c r="G9363">
        <f>IF(LEFT(B9363,1)="C","Credit","Factuur")</f>
        <v/>
      </c>
      <c r="H9363">
        <f>IF(AND(B9363=B9362,D9363=D9362,A9363=A9362,F9363=F9362),1,0)</f>
        <v/>
      </c>
      <c r="I9363">
        <f>IF(C9363="C99999",1,0)</f>
        <v/>
      </c>
      <c r="J9363" s="5">
        <f>IF(OR(H9363=1,I9363=1),0,IF(G9363="Credit",-F9363,F9363))</f>
        <v/>
      </c>
    </row>
    <row r="9364">
      <c r="A9364" t="inlineStr">
        <is>
          <t>2026-09-22</t>
        </is>
      </c>
      <c r="B9364" t="inlineStr">
        <is>
          <t>F285861</t>
        </is>
      </c>
      <c r="C9364" t="inlineStr">
        <is>
          <t>C11353</t>
        </is>
      </c>
      <c r="D9364" t="inlineStr">
        <is>
          <t>SKU-10037</t>
        </is>
      </c>
      <c r="E9364" t="inlineStr">
        <is>
          <t>AM11</t>
        </is>
      </c>
      <c r="F9364" s="5" t="n">
        <v>255.38</v>
      </c>
      <c r="G9364">
        <f>IF(LEFT(B9364,1)="C","Credit","Factuur")</f>
        <v/>
      </c>
      <c r="H9364">
        <f>IF(AND(B9364=B9363,D9364=D9363,A9364=A9363,F9364=F9363),1,0)</f>
        <v/>
      </c>
      <c r="I9364">
        <f>IF(C9364="C99999",1,0)</f>
        <v/>
      </c>
      <c r="J9364" s="5">
        <f>IF(OR(H9364=1,I9364=1),0,IF(G9364="Credit",-F9364,F9364))</f>
        <v/>
      </c>
    </row>
    <row r="9365">
      <c r="A9365" t="inlineStr">
        <is>
          <t>2026-09-22</t>
        </is>
      </c>
      <c r="B9365" t="inlineStr">
        <is>
          <t>F285861</t>
        </is>
      </c>
      <c r="C9365" t="inlineStr">
        <is>
          <t>C11353</t>
        </is>
      </c>
      <c r="D9365" t="inlineStr">
        <is>
          <t>SKU-10112</t>
        </is>
      </c>
      <c r="E9365" t="inlineStr">
        <is>
          <t>AM11</t>
        </is>
      </c>
      <c r="F9365" s="5" t="n">
        <v>280.44</v>
      </c>
      <c r="G9365">
        <f>IF(LEFT(B9365,1)="C","Credit","Factuur")</f>
        <v/>
      </c>
      <c r="H9365">
        <f>IF(AND(B9365=B9364,D9365=D9364,A9365=A9364,F9365=F9364),1,0)</f>
        <v/>
      </c>
      <c r="I9365">
        <f>IF(C9365="C99999",1,0)</f>
        <v/>
      </c>
      <c r="J9365" s="5">
        <f>IF(OR(H9365=1,I9365=1),0,IF(G9365="Credit",-F9365,F9365))</f>
        <v/>
      </c>
    </row>
    <row r="9366">
      <c r="A9366" t="inlineStr">
        <is>
          <t>2026-09-22</t>
        </is>
      </c>
      <c r="B9366" t="inlineStr">
        <is>
          <t>F285861</t>
        </is>
      </c>
      <c r="C9366" t="inlineStr">
        <is>
          <t>C11353</t>
        </is>
      </c>
      <c r="D9366" t="inlineStr">
        <is>
          <t>SKU-10116</t>
        </is>
      </c>
      <c r="E9366" t="inlineStr">
        <is>
          <t>AM11</t>
        </is>
      </c>
      <c r="F9366" s="5" t="n">
        <v>260.4</v>
      </c>
      <c r="G9366">
        <f>IF(LEFT(B9366,1)="C","Credit","Factuur")</f>
        <v/>
      </c>
      <c r="H9366">
        <f>IF(AND(B9366=B9365,D9366=D9365,A9366=A9365,F9366=F9365),1,0)</f>
        <v/>
      </c>
      <c r="I9366">
        <f>IF(C9366="C99999",1,0)</f>
        <v/>
      </c>
      <c r="J9366" s="5">
        <f>IF(OR(H9366=1,I9366=1),0,IF(G9366="Credit",-F9366,F9366))</f>
        <v/>
      </c>
    </row>
    <row r="9367">
      <c r="A9367" t="inlineStr">
        <is>
          <t>2026-09-22</t>
        </is>
      </c>
      <c r="B9367" t="inlineStr">
        <is>
          <t>F285861</t>
        </is>
      </c>
      <c r="C9367" t="inlineStr">
        <is>
          <t>C11353</t>
        </is>
      </c>
      <c r="D9367" t="inlineStr">
        <is>
          <t>SKU-10330</t>
        </is>
      </c>
      <c r="E9367" t="inlineStr">
        <is>
          <t>AM11</t>
        </is>
      </c>
      <c r="F9367" s="5" t="n">
        <v>282.9</v>
      </c>
      <c r="G9367">
        <f>IF(LEFT(B9367,1)="C","Credit","Factuur")</f>
        <v/>
      </c>
      <c r="H9367">
        <f>IF(AND(B9367=B9366,D9367=D9366,A9367=A9366,F9367=F9366),1,0)</f>
        <v/>
      </c>
      <c r="I9367">
        <f>IF(C9367="C99999",1,0)</f>
        <v/>
      </c>
      <c r="J9367" s="5">
        <f>IF(OR(H9367=1,I9367=1),0,IF(G9367="Credit",-F9367,F9367))</f>
        <v/>
      </c>
    </row>
    <row r="9368">
      <c r="A9368" t="inlineStr">
        <is>
          <t>2026-09-22</t>
        </is>
      </c>
      <c r="B9368" t="inlineStr">
        <is>
          <t>F286443</t>
        </is>
      </c>
      <c r="C9368" t="inlineStr">
        <is>
          <t>C99999</t>
        </is>
      </c>
      <c r="D9368" t="inlineStr">
        <is>
          <t>SKU-10016</t>
        </is>
      </c>
      <c r="E9368" t="inlineStr">
        <is>
          <t>IS01</t>
        </is>
      </c>
      <c r="F9368" s="5" t="n">
        <v>102.45</v>
      </c>
      <c r="G9368">
        <f>IF(LEFT(B9368,1)="C","Credit","Factuur")</f>
        <v/>
      </c>
      <c r="H9368">
        <f>IF(AND(B9368=B9367,D9368=D9367,A9368=A9367,F9368=F9367),1,0)</f>
        <v/>
      </c>
      <c r="I9368">
        <f>IF(C9368="C99999",1,0)</f>
        <v/>
      </c>
      <c r="J9368" s="5">
        <f>IF(OR(H9368=1,I9368=1),0,IF(G9368="Credit",-F9368,F9368))</f>
        <v/>
      </c>
    </row>
    <row r="9369">
      <c r="A9369" t="inlineStr">
        <is>
          <t>2026-09-22</t>
        </is>
      </c>
      <c r="B9369" t="inlineStr">
        <is>
          <t>F286443</t>
        </is>
      </c>
      <c r="C9369" t="inlineStr">
        <is>
          <t>C99999</t>
        </is>
      </c>
      <c r="D9369" t="inlineStr">
        <is>
          <t>SKU-10080</t>
        </is>
      </c>
      <c r="E9369" t="inlineStr">
        <is>
          <t>IS01</t>
        </is>
      </c>
      <c r="F9369" s="5" t="n">
        <v>105.16</v>
      </c>
      <c r="G9369">
        <f>IF(LEFT(B9369,1)="C","Credit","Factuur")</f>
        <v/>
      </c>
      <c r="H9369">
        <f>IF(AND(B9369=B9368,D9369=D9368,A9369=A9368,F9369=F9368),1,0)</f>
        <v/>
      </c>
      <c r="I9369">
        <f>IF(C9369="C99999",1,0)</f>
        <v/>
      </c>
      <c r="J9369" s="5">
        <f>IF(OR(H9369=1,I9369=1),0,IF(G9369="Credit",-F9369,F9369))</f>
        <v/>
      </c>
    </row>
    <row r="9370">
      <c r="A9370" t="inlineStr">
        <is>
          <t>2026-09-23</t>
        </is>
      </c>
      <c r="B9370" t="inlineStr">
        <is>
          <t>C900086</t>
        </is>
      </c>
      <c r="C9370" t="inlineStr">
        <is>
          <t>C11080</t>
        </is>
      </c>
      <c r="D9370" t="inlineStr">
        <is>
          <t>SKU-10137</t>
        </is>
      </c>
      <c r="E9370" t="inlineStr">
        <is>
          <t>AM01</t>
        </is>
      </c>
      <c r="F9370" s="5" t="n">
        <v>1307.48</v>
      </c>
      <c r="G9370">
        <f>IF(LEFT(B9370,1)="C","Credit","Factuur")</f>
        <v/>
      </c>
      <c r="H9370">
        <f>IF(AND(B9370=B9369,D9370=D9369,A9370=A9369,F9370=F9369),1,0)</f>
        <v/>
      </c>
      <c r="I9370">
        <f>IF(C9370="C99999",1,0)</f>
        <v/>
      </c>
      <c r="J9370" s="5">
        <f>IF(OR(H9370=1,I9370=1),0,IF(G9370="Credit",-F9370,F9370))</f>
        <v/>
      </c>
    </row>
    <row r="9371">
      <c r="A9371" t="inlineStr">
        <is>
          <t>2026-09-23</t>
        </is>
      </c>
      <c r="B9371" t="inlineStr">
        <is>
          <t>C900870</t>
        </is>
      </c>
      <c r="C9371" t="inlineStr">
        <is>
          <t>C10275</t>
        </is>
      </c>
      <c r="D9371" t="inlineStr">
        <is>
          <t>SKU-10305</t>
        </is>
      </c>
      <c r="E9371" t="inlineStr">
        <is>
          <t>AM05</t>
        </is>
      </c>
      <c r="F9371" s="5" t="n">
        <v>248.9</v>
      </c>
      <c r="G9371">
        <f>IF(LEFT(B9371,1)="C","Credit","Factuur")</f>
        <v/>
      </c>
      <c r="H9371">
        <f>IF(AND(B9371=B9370,D9371=D9370,A9371=A9370,F9371=F9370),1,0)</f>
        <v/>
      </c>
      <c r="I9371">
        <f>IF(C9371="C99999",1,0)</f>
        <v/>
      </c>
      <c r="J9371" s="5">
        <f>IF(OR(H9371=1,I9371=1),0,IF(G9371="Credit",-F9371,F9371))</f>
        <v/>
      </c>
    </row>
    <row r="9372">
      <c r="A9372" t="inlineStr">
        <is>
          <t>2026-09-23</t>
        </is>
      </c>
      <c r="B9372" t="inlineStr">
        <is>
          <t>C901320</t>
        </is>
      </c>
      <c r="C9372" t="inlineStr">
        <is>
          <t>C11332</t>
        </is>
      </c>
      <c r="D9372" t="inlineStr">
        <is>
          <t>SKU-10140</t>
        </is>
      </c>
      <c r="E9372" t="inlineStr">
        <is>
          <t>AM05</t>
        </is>
      </c>
      <c r="F9372" s="5" t="n">
        <v>199.35</v>
      </c>
      <c r="G9372">
        <f>IF(LEFT(B9372,1)="C","Credit","Factuur")</f>
        <v/>
      </c>
      <c r="H9372">
        <f>IF(AND(B9372=B9371,D9372=D9371,A9372=A9371,F9372=F9371),1,0)</f>
        <v/>
      </c>
      <c r="I9372">
        <f>IF(C9372="C99999",1,0)</f>
        <v/>
      </c>
      <c r="J9372" s="5">
        <f>IF(OR(H9372=1,I9372=1),0,IF(G9372="Credit",-F9372,F9372))</f>
        <v/>
      </c>
    </row>
    <row r="9373">
      <c r="A9373" t="inlineStr">
        <is>
          <t>2026-09-23</t>
        </is>
      </c>
      <c r="B9373" t="inlineStr">
        <is>
          <t>C902073</t>
        </is>
      </c>
      <c r="C9373" t="inlineStr">
        <is>
          <t>C11238</t>
        </is>
      </c>
      <c r="D9373" t="inlineStr">
        <is>
          <t>SKU-10306</t>
        </is>
      </c>
      <c r="E9373" t="inlineStr"/>
      <c r="F9373" s="5" t="n">
        <v>349.14</v>
      </c>
      <c r="G9373">
        <f>IF(LEFT(B9373,1)="C","Credit","Factuur")</f>
        <v/>
      </c>
      <c r="H9373">
        <f>IF(AND(B9373=B9372,D9373=D9372,A9373=A9372,F9373=F9372),1,0)</f>
        <v/>
      </c>
      <c r="I9373">
        <f>IF(C9373="C99999",1,0)</f>
        <v/>
      </c>
      <c r="J9373" s="5">
        <f>IF(OR(H9373=1,I9373=1),0,IF(G9373="Credit",-F9373,F9373))</f>
        <v/>
      </c>
    </row>
    <row r="9374">
      <c r="A9374" t="inlineStr">
        <is>
          <t>2026-09-23</t>
        </is>
      </c>
      <c r="B9374" t="inlineStr">
        <is>
          <t>F260693</t>
        </is>
      </c>
      <c r="C9374" t="inlineStr">
        <is>
          <t>C10041</t>
        </is>
      </c>
      <c r="D9374" t="inlineStr">
        <is>
          <t>SKU-10144</t>
        </is>
      </c>
      <c r="E9374" t="inlineStr">
        <is>
          <t>AM06</t>
        </is>
      </c>
      <c r="F9374" s="5" t="n">
        <v>592.1</v>
      </c>
      <c r="G9374">
        <f>IF(LEFT(B9374,1)="C","Credit","Factuur")</f>
        <v/>
      </c>
      <c r="H9374">
        <f>IF(AND(B9374=B9373,D9374=D9373,A9374=A9373,F9374=F9373),1,0)</f>
        <v/>
      </c>
      <c r="I9374">
        <f>IF(C9374="C99999",1,0)</f>
        <v/>
      </c>
      <c r="J9374" s="5">
        <f>IF(OR(H9374=1,I9374=1),0,IF(G9374="Credit",-F9374,F9374))</f>
        <v/>
      </c>
    </row>
    <row r="9375">
      <c r="A9375" t="inlineStr">
        <is>
          <t>2026-09-23</t>
        </is>
      </c>
      <c r="B9375" t="inlineStr">
        <is>
          <t>F260693</t>
        </is>
      </c>
      <c r="C9375" t="inlineStr">
        <is>
          <t>C10041</t>
        </is>
      </c>
      <c r="D9375" t="inlineStr">
        <is>
          <t>SKU-10315</t>
        </is>
      </c>
      <c r="E9375" t="inlineStr">
        <is>
          <t>AM06</t>
        </is>
      </c>
      <c r="F9375" s="5" t="n">
        <v>569</v>
      </c>
      <c r="G9375">
        <f>IF(LEFT(B9375,1)="C","Credit","Factuur")</f>
        <v/>
      </c>
      <c r="H9375">
        <f>IF(AND(B9375=B9374,D9375=D9374,A9375=A9374,F9375=F9374),1,0)</f>
        <v/>
      </c>
      <c r="I9375">
        <f>IF(C9375="C99999",1,0)</f>
        <v/>
      </c>
      <c r="J9375" s="5">
        <f>IF(OR(H9375=1,I9375=1),0,IF(G9375="Credit",-F9375,F9375))</f>
        <v/>
      </c>
    </row>
    <row r="9376">
      <c r="A9376" t="inlineStr">
        <is>
          <t>2026-09-23</t>
        </is>
      </c>
      <c r="B9376" t="inlineStr">
        <is>
          <t>F260693</t>
        </is>
      </c>
      <c r="C9376" t="inlineStr">
        <is>
          <t>C10041</t>
        </is>
      </c>
      <c r="D9376" t="inlineStr">
        <is>
          <t>SKU-10323</t>
        </is>
      </c>
      <c r="E9376" t="inlineStr">
        <is>
          <t>AM06</t>
        </is>
      </c>
      <c r="F9376" s="5" t="n">
        <v>617.75</v>
      </c>
      <c r="G9376">
        <f>IF(LEFT(B9376,1)="C","Credit","Factuur")</f>
        <v/>
      </c>
      <c r="H9376">
        <f>IF(AND(B9376=B9375,D9376=D9375,A9376=A9375,F9376=F9375),1,0)</f>
        <v/>
      </c>
      <c r="I9376">
        <f>IF(C9376="C99999",1,0)</f>
        <v/>
      </c>
      <c r="J9376" s="5">
        <f>IF(OR(H9376=1,I9376=1),0,IF(G9376="Credit",-F9376,F9376))</f>
        <v/>
      </c>
    </row>
    <row r="9377">
      <c r="A9377" t="inlineStr">
        <is>
          <t>2026-09-23</t>
        </is>
      </c>
      <c r="B9377" t="inlineStr">
        <is>
          <t>F261402</t>
        </is>
      </c>
      <c r="C9377" t="inlineStr">
        <is>
          <t>C10076</t>
        </is>
      </c>
      <c r="D9377" t="inlineStr">
        <is>
          <t>SKU-10037</t>
        </is>
      </c>
      <c r="E9377" t="inlineStr">
        <is>
          <t>AM02</t>
        </is>
      </c>
      <c r="F9377" s="5" t="n">
        <v>567.5</v>
      </c>
      <c r="G9377">
        <f>IF(LEFT(B9377,1)="C","Credit","Factuur")</f>
        <v/>
      </c>
      <c r="H9377">
        <f>IF(AND(B9377=B9376,D9377=D9376,A9377=A9376,F9377=F9376),1,0)</f>
        <v/>
      </c>
      <c r="I9377">
        <f>IF(C9377="C99999",1,0)</f>
        <v/>
      </c>
      <c r="J9377" s="5">
        <f>IF(OR(H9377=1,I9377=1),0,IF(G9377="Credit",-F9377,F9377))</f>
        <v/>
      </c>
    </row>
    <row r="9378">
      <c r="A9378" t="inlineStr">
        <is>
          <t>2026-09-23</t>
        </is>
      </c>
      <c r="B9378" t="inlineStr">
        <is>
          <t>F261402</t>
        </is>
      </c>
      <c r="C9378" t="inlineStr">
        <is>
          <t>C10076</t>
        </is>
      </c>
      <c r="D9378" t="inlineStr">
        <is>
          <t>SKU-10047</t>
        </is>
      </c>
      <c r="E9378" t="inlineStr">
        <is>
          <t>AM02</t>
        </is>
      </c>
      <c r="F9378" s="5" t="n">
        <v>511.3</v>
      </c>
      <c r="G9378">
        <f>IF(LEFT(B9378,1)="C","Credit","Factuur")</f>
        <v/>
      </c>
      <c r="H9378">
        <f>IF(AND(B9378=B9377,D9378=D9377,A9378=A9377,F9378=F9377),1,0)</f>
        <v/>
      </c>
      <c r="I9378">
        <f>IF(C9378="C99999",1,0)</f>
        <v/>
      </c>
      <c r="J9378" s="5">
        <f>IF(OR(H9378=1,I9378=1),0,IF(G9378="Credit",-F9378,F9378))</f>
        <v/>
      </c>
    </row>
    <row r="9379">
      <c r="A9379" t="inlineStr">
        <is>
          <t>2026-09-23</t>
        </is>
      </c>
      <c r="B9379" t="inlineStr">
        <is>
          <t>F261402</t>
        </is>
      </c>
      <c r="C9379" t="inlineStr">
        <is>
          <t>C10076</t>
        </is>
      </c>
      <c r="D9379" t="inlineStr">
        <is>
          <t>SKU-10185</t>
        </is>
      </c>
      <c r="E9379" t="inlineStr">
        <is>
          <t>AM02</t>
        </is>
      </c>
      <c r="F9379" s="5" t="n">
        <v>473.92</v>
      </c>
      <c r="G9379">
        <f>IF(LEFT(B9379,1)="C","Credit","Factuur")</f>
        <v/>
      </c>
      <c r="H9379">
        <f>IF(AND(B9379=B9378,D9379=D9378,A9379=A9378,F9379=F9378),1,0)</f>
        <v/>
      </c>
      <c r="I9379">
        <f>IF(C9379="C99999",1,0)</f>
        <v/>
      </c>
      <c r="J9379" s="5">
        <f>IF(OR(H9379=1,I9379=1),0,IF(G9379="Credit",-F9379,F9379))</f>
        <v/>
      </c>
    </row>
    <row r="9380">
      <c r="A9380" t="inlineStr">
        <is>
          <t>2026-09-23</t>
        </is>
      </c>
      <c r="B9380" t="inlineStr">
        <is>
          <t>F261402</t>
        </is>
      </c>
      <c r="C9380" t="inlineStr">
        <is>
          <t>C10076</t>
        </is>
      </c>
      <c r="D9380" t="inlineStr">
        <is>
          <t>SKU-10224</t>
        </is>
      </c>
      <c r="E9380" t="inlineStr">
        <is>
          <t>AM02</t>
        </is>
      </c>
      <c r="F9380" s="5" t="n">
        <v>570</v>
      </c>
      <c r="G9380">
        <f>IF(LEFT(B9380,1)="C","Credit","Factuur")</f>
        <v/>
      </c>
      <c r="H9380">
        <f>IF(AND(B9380=B9379,D9380=D9379,A9380=A9379,F9380=F9379),1,0)</f>
        <v/>
      </c>
      <c r="I9380">
        <f>IF(C9380="C99999",1,0)</f>
        <v/>
      </c>
      <c r="J9380" s="5">
        <f>IF(OR(H9380=1,I9380=1),0,IF(G9380="Credit",-F9380,F9380))</f>
        <v/>
      </c>
    </row>
    <row r="9381">
      <c r="A9381" t="inlineStr">
        <is>
          <t>2026-09-23</t>
        </is>
      </c>
      <c r="B9381" t="inlineStr">
        <is>
          <t>F261943</t>
        </is>
      </c>
      <c r="C9381" t="inlineStr">
        <is>
          <t>C10103</t>
        </is>
      </c>
      <c r="D9381" t="inlineStr">
        <is>
          <t>SKU-10053</t>
        </is>
      </c>
      <c r="E9381" t="inlineStr">
        <is>
          <t>AM08</t>
        </is>
      </c>
      <c r="F9381" s="5" t="n">
        <v>525</v>
      </c>
      <c r="G9381">
        <f>IF(LEFT(B9381,1)="C","Credit","Factuur")</f>
        <v/>
      </c>
      <c r="H9381">
        <f>IF(AND(B9381=B9380,D9381=D9380,A9381=A9380,F9381=F9380),1,0)</f>
        <v/>
      </c>
      <c r="I9381">
        <f>IF(C9381="C99999",1,0)</f>
        <v/>
      </c>
      <c r="J9381" s="5">
        <f>IF(OR(H9381=1,I9381=1),0,IF(G9381="Credit",-F9381,F9381))</f>
        <v/>
      </c>
    </row>
    <row r="9382">
      <c r="A9382" t="inlineStr">
        <is>
          <t>2026-09-23</t>
        </is>
      </c>
      <c r="B9382" t="inlineStr">
        <is>
          <t>F261943</t>
        </is>
      </c>
      <c r="C9382" t="inlineStr">
        <is>
          <t>C10103</t>
        </is>
      </c>
      <c r="D9382" t="inlineStr">
        <is>
          <t>SKU-10302</t>
        </is>
      </c>
      <c r="E9382" t="inlineStr">
        <is>
          <t>AM08</t>
        </is>
      </c>
      <c r="F9382" s="5" t="n">
        <v>526.92</v>
      </c>
      <c r="G9382">
        <f>IF(LEFT(B9382,1)="C","Credit","Factuur")</f>
        <v/>
      </c>
      <c r="H9382">
        <f>IF(AND(B9382=B9381,D9382=D9381,A9382=A9381,F9382=F9381),1,0)</f>
        <v/>
      </c>
      <c r="I9382">
        <f>IF(C9382="C99999",1,0)</f>
        <v/>
      </c>
      <c r="J9382" s="5">
        <f>IF(OR(H9382=1,I9382=1),0,IF(G9382="Credit",-F9382,F9382))</f>
        <v/>
      </c>
    </row>
    <row r="9383">
      <c r="A9383" t="inlineStr">
        <is>
          <t>2026-09-23</t>
        </is>
      </c>
      <c r="B9383" t="inlineStr">
        <is>
          <t>F262190</t>
        </is>
      </c>
      <c r="C9383" t="inlineStr">
        <is>
          <t>C10115</t>
        </is>
      </c>
      <c r="D9383" t="inlineStr">
        <is>
          <t>SKU-10086</t>
        </is>
      </c>
      <c r="E9383" t="inlineStr">
        <is>
          <t>AM02</t>
        </is>
      </c>
      <c r="F9383" s="5" t="n">
        <v>130.2</v>
      </c>
      <c r="G9383">
        <f>IF(LEFT(B9383,1)="C","Credit","Factuur")</f>
        <v/>
      </c>
      <c r="H9383">
        <f>IF(AND(B9383=B9382,D9383=D9382,A9383=A9382,F9383=F9382),1,0)</f>
        <v/>
      </c>
      <c r="I9383">
        <f>IF(C9383="C99999",1,0)</f>
        <v/>
      </c>
      <c r="J9383" s="5">
        <f>IF(OR(H9383=1,I9383=1),0,IF(G9383="Credit",-F9383,F9383))</f>
        <v/>
      </c>
    </row>
    <row r="9384">
      <c r="A9384" t="inlineStr">
        <is>
          <t>2026-09-23</t>
        </is>
      </c>
      <c r="B9384" t="inlineStr">
        <is>
          <t>F262190</t>
        </is>
      </c>
      <c r="C9384" t="inlineStr">
        <is>
          <t>C10115</t>
        </is>
      </c>
      <c r="D9384" t="inlineStr">
        <is>
          <t>SKU-10161</t>
        </is>
      </c>
      <c r="E9384" t="inlineStr">
        <is>
          <t>AM02</t>
        </is>
      </c>
      <c r="F9384" s="5" t="n">
        <v>128.4</v>
      </c>
      <c r="G9384">
        <f>IF(LEFT(B9384,1)="C","Credit","Factuur")</f>
        <v/>
      </c>
      <c r="H9384">
        <f>IF(AND(B9384=B9383,D9384=D9383,A9384=A9383,F9384=F9383),1,0)</f>
        <v/>
      </c>
      <c r="I9384">
        <f>IF(C9384="C99999",1,0)</f>
        <v/>
      </c>
      <c r="J9384" s="5">
        <f>IF(OR(H9384=1,I9384=1),0,IF(G9384="Credit",-F9384,F9384))</f>
        <v/>
      </c>
    </row>
    <row r="9385">
      <c r="A9385" t="inlineStr">
        <is>
          <t>2026-09-23</t>
        </is>
      </c>
      <c r="B9385" t="inlineStr">
        <is>
          <t>F262190</t>
        </is>
      </c>
      <c r="C9385" t="inlineStr">
        <is>
          <t>C10115</t>
        </is>
      </c>
      <c r="D9385" t="inlineStr">
        <is>
          <t>SKU-10190</t>
        </is>
      </c>
      <c r="E9385" t="inlineStr">
        <is>
          <t>AM02</t>
        </is>
      </c>
      <c r="F9385" s="5" t="n">
        <v>131.46</v>
      </c>
      <c r="G9385">
        <f>IF(LEFT(B9385,1)="C","Credit","Factuur")</f>
        <v/>
      </c>
      <c r="H9385">
        <f>IF(AND(B9385=B9384,D9385=D9384,A9385=A9384,F9385=F9384),1,0)</f>
        <v/>
      </c>
      <c r="I9385">
        <f>IF(C9385="C99999",1,0)</f>
        <v/>
      </c>
      <c r="J9385" s="5">
        <f>IF(OR(H9385=1,I9385=1),0,IF(G9385="Credit",-F9385,F9385))</f>
        <v/>
      </c>
    </row>
    <row r="9386">
      <c r="A9386" t="inlineStr">
        <is>
          <t>2026-09-23</t>
        </is>
      </c>
      <c r="B9386" t="inlineStr">
        <is>
          <t>F262190</t>
        </is>
      </c>
      <c r="C9386" t="inlineStr">
        <is>
          <t>C10115</t>
        </is>
      </c>
      <c r="D9386" t="inlineStr">
        <is>
          <t>SKU-10282</t>
        </is>
      </c>
      <c r="E9386" t="inlineStr">
        <is>
          <t>AM02</t>
        </is>
      </c>
      <c r="F9386" s="5" t="n">
        <v>130.2</v>
      </c>
      <c r="G9386">
        <f>IF(LEFT(B9386,1)="C","Credit","Factuur")</f>
        <v/>
      </c>
      <c r="H9386">
        <f>IF(AND(B9386=B9385,D9386=D9385,A9386=A9385,F9386=F9385),1,0)</f>
        <v/>
      </c>
      <c r="I9386">
        <f>IF(C9386="C99999",1,0)</f>
        <v/>
      </c>
      <c r="J9386" s="5">
        <f>IF(OR(H9386=1,I9386=1),0,IF(G9386="Credit",-F9386,F9386))</f>
        <v/>
      </c>
    </row>
    <row r="9387">
      <c r="A9387" t="inlineStr">
        <is>
          <t>2026-09-23</t>
        </is>
      </c>
      <c r="B9387" t="inlineStr">
        <is>
          <t>F263293</t>
        </is>
      </c>
      <c r="C9387" t="inlineStr">
        <is>
          <t>C10174</t>
        </is>
      </c>
      <c r="D9387" t="inlineStr">
        <is>
          <t>SKU-10199</t>
        </is>
      </c>
      <c r="E9387" t="inlineStr">
        <is>
          <t>AM11</t>
        </is>
      </c>
      <c r="F9387" s="5" t="n">
        <v>882.26</v>
      </c>
      <c r="G9387">
        <f>IF(LEFT(B9387,1)="C","Credit","Factuur")</f>
        <v/>
      </c>
      <c r="H9387">
        <f>IF(AND(B9387=B9386,D9387=D9386,A9387=A9386,F9387=F9386),1,0)</f>
        <v/>
      </c>
      <c r="I9387">
        <f>IF(C9387="C99999",1,0)</f>
        <v/>
      </c>
      <c r="J9387" s="5">
        <f>IF(OR(H9387=1,I9387=1),0,IF(G9387="Credit",-F9387,F9387))</f>
        <v/>
      </c>
    </row>
    <row r="9388">
      <c r="A9388" t="inlineStr">
        <is>
          <t>2026-09-23</t>
        </is>
      </c>
      <c r="B9388" t="inlineStr">
        <is>
          <t>F264534</t>
        </is>
      </c>
      <c r="C9388" t="inlineStr">
        <is>
          <t>C10234</t>
        </is>
      </c>
      <c r="D9388" t="inlineStr">
        <is>
          <t>SKU-10376</t>
        </is>
      </c>
      <c r="E9388" t="inlineStr">
        <is>
          <t>AM08</t>
        </is>
      </c>
      <c r="F9388" s="5" t="n">
        <v>991.6799999999999</v>
      </c>
      <c r="G9388">
        <f>IF(LEFT(B9388,1)="C","Credit","Factuur")</f>
        <v/>
      </c>
      <c r="H9388">
        <f>IF(AND(B9388=B9387,D9388=D9387,A9388=A9387,F9388=F9387),1,0)</f>
        <v/>
      </c>
      <c r="I9388">
        <f>IF(C9388="C99999",1,0)</f>
        <v/>
      </c>
      <c r="J9388" s="5">
        <f>IF(OR(H9388=1,I9388=1),0,IF(G9388="Credit",-F9388,F9388))</f>
        <v/>
      </c>
    </row>
    <row r="9389">
      <c r="A9389" t="inlineStr">
        <is>
          <t>2026-09-23</t>
        </is>
      </c>
      <c r="B9389" t="inlineStr">
        <is>
          <t>F265428</t>
        </is>
      </c>
      <c r="C9389" t="inlineStr">
        <is>
          <t>C10286</t>
        </is>
      </c>
      <c r="D9389" t="inlineStr">
        <is>
          <t>SKU-10044</t>
        </is>
      </c>
      <c r="E9389" t="inlineStr">
        <is>
          <t>AM02</t>
        </is>
      </c>
      <c r="F9389" s="5" t="n">
        <v>785.28</v>
      </c>
      <c r="G9389">
        <f>IF(LEFT(B9389,1)="C","Credit","Factuur")</f>
        <v/>
      </c>
      <c r="H9389">
        <f>IF(AND(B9389=B9388,D9389=D9388,A9389=A9388,F9389=F9388),1,0)</f>
        <v/>
      </c>
      <c r="I9389">
        <f>IF(C9389="C99999",1,0)</f>
        <v/>
      </c>
      <c r="J9389" s="5">
        <f>IF(OR(H9389=1,I9389=1),0,IF(G9389="Credit",-F9389,F9389))</f>
        <v/>
      </c>
    </row>
    <row r="9390">
      <c r="A9390" t="inlineStr">
        <is>
          <t>2026-09-23</t>
        </is>
      </c>
      <c r="B9390" t="inlineStr">
        <is>
          <t>F265884</t>
        </is>
      </c>
      <c r="C9390" t="inlineStr">
        <is>
          <t>C10309</t>
        </is>
      </c>
      <c r="D9390" t="inlineStr">
        <is>
          <t>SKU-10018</t>
        </is>
      </c>
      <c r="E9390" t="inlineStr">
        <is>
          <t>AM08</t>
        </is>
      </c>
      <c r="F9390" s="5" t="n">
        <v>407.44</v>
      </c>
      <c r="G9390">
        <f>IF(LEFT(B9390,1)="C","Credit","Factuur")</f>
        <v/>
      </c>
      <c r="H9390">
        <f>IF(AND(B9390=B9389,D9390=D9389,A9390=A9389,F9390=F9389),1,0)</f>
        <v/>
      </c>
      <c r="I9390">
        <f>IF(C9390="C99999",1,0)</f>
        <v/>
      </c>
      <c r="J9390" s="5">
        <f>IF(OR(H9390=1,I9390=1),0,IF(G9390="Credit",-F9390,F9390))</f>
        <v/>
      </c>
    </row>
    <row r="9391">
      <c r="A9391" t="inlineStr">
        <is>
          <t>2026-09-23</t>
        </is>
      </c>
      <c r="B9391" t="inlineStr">
        <is>
          <t>F265884</t>
        </is>
      </c>
      <c r="C9391" t="inlineStr">
        <is>
          <t>C10309</t>
        </is>
      </c>
      <c r="D9391" t="inlineStr">
        <is>
          <t>SKU-10121</t>
        </is>
      </c>
      <c r="E9391" t="inlineStr">
        <is>
          <t>AM08</t>
        </is>
      </c>
      <c r="F9391" s="5" t="n">
        <v>454.51</v>
      </c>
      <c r="G9391">
        <f>IF(LEFT(B9391,1)="C","Credit","Factuur")</f>
        <v/>
      </c>
      <c r="H9391">
        <f>IF(AND(B9391=B9390,D9391=D9390,A9391=A9390,F9391=F9390),1,0)</f>
        <v/>
      </c>
      <c r="I9391">
        <f>IF(C9391="C99999",1,0)</f>
        <v/>
      </c>
      <c r="J9391" s="5">
        <f>IF(OR(H9391=1,I9391=1),0,IF(G9391="Credit",-F9391,F9391))</f>
        <v/>
      </c>
    </row>
    <row r="9392">
      <c r="A9392" t="inlineStr">
        <is>
          <t>2026-09-23</t>
        </is>
      </c>
      <c r="B9392" t="inlineStr">
        <is>
          <t>F265884</t>
        </is>
      </c>
      <c r="C9392" t="inlineStr">
        <is>
          <t>C10309</t>
        </is>
      </c>
      <c r="D9392" t="inlineStr">
        <is>
          <t>SKU-10142</t>
        </is>
      </c>
      <c r="E9392" t="inlineStr">
        <is>
          <t>AM08</t>
        </is>
      </c>
      <c r="F9392" s="5" t="n">
        <v>434.76</v>
      </c>
      <c r="G9392">
        <f>IF(LEFT(B9392,1)="C","Credit","Factuur")</f>
        <v/>
      </c>
      <c r="H9392">
        <f>IF(AND(B9392=B9391,D9392=D9391,A9392=A9391,F9392=F9391),1,0)</f>
        <v/>
      </c>
      <c r="I9392">
        <f>IF(C9392="C99999",1,0)</f>
        <v/>
      </c>
      <c r="J9392" s="5">
        <f>IF(OR(H9392=1,I9392=1),0,IF(G9392="Credit",-F9392,F9392))</f>
        <v/>
      </c>
    </row>
    <row r="9393">
      <c r="A9393" t="inlineStr">
        <is>
          <t>2026-09-23</t>
        </is>
      </c>
      <c r="B9393" t="inlineStr">
        <is>
          <t>F265884</t>
        </is>
      </c>
      <c r="C9393" t="inlineStr">
        <is>
          <t>C10309</t>
        </is>
      </c>
      <c r="D9393" t="inlineStr">
        <is>
          <t>SKU-10274</t>
        </is>
      </c>
      <c r="E9393" t="inlineStr">
        <is>
          <t>AM08</t>
        </is>
      </c>
      <c r="F9393" s="5" t="n">
        <v>436.39</v>
      </c>
      <c r="G9393">
        <f>IF(LEFT(B9393,1)="C","Credit","Factuur")</f>
        <v/>
      </c>
      <c r="H9393">
        <f>IF(AND(B9393=B9392,D9393=D9392,A9393=A9392,F9393=F9392),1,0)</f>
        <v/>
      </c>
      <c r="I9393">
        <f>IF(C9393="C99999",1,0)</f>
        <v/>
      </c>
      <c r="J9393" s="5">
        <f>IF(OR(H9393=1,I9393=1),0,IF(G9393="Credit",-F9393,F9393))</f>
        <v/>
      </c>
    </row>
    <row r="9394">
      <c r="A9394" t="inlineStr">
        <is>
          <t>2026-09-23</t>
        </is>
      </c>
      <c r="B9394" t="inlineStr">
        <is>
          <t>F265884</t>
        </is>
      </c>
      <c r="C9394" t="inlineStr">
        <is>
          <t>C10309</t>
        </is>
      </c>
      <c r="D9394" t="inlineStr">
        <is>
          <t>SKU-10332</t>
        </is>
      </c>
      <c r="E9394" t="inlineStr">
        <is>
          <t>AM08</t>
        </is>
      </c>
      <c r="F9394" s="5" t="n">
        <v>425.21</v>
      </c>
      <c r="G9394">
        <f>IF(LEFT(B9394,1)="C","Credit","Factuur")</f>
        <v/>
      </c>
      <c r="H9394">
        <f>IF(AND(B9394=B9393,D9394=D9393,A9394=A9393,F9394=F9393),1,0)</f>
        <v/>
      </c>
      <c r="I9394">
        <f>IF(C9394="C99999",1,0)</f>
        <v/>
      </c>
      <c r="J9394" s="5">
        <f>IF(OR(H9394=1,I9394=1),0,IF(G9394="Credit",-F9394,F9394))</f>
        <v/>
      </c>
    </row>
    <row r="9395">
      <c r="A9395" t="inlineStr">
        <is>
          <t>2026-09-23</t>
        </is>
      </c>
      <c r="B9395" t="inlineStr">
        <is>
          <t>F265884</t>
        </is>
      </c>
      <c r="C9395" t="inlineStr">
        <is>
          <t>C10309</t>
        </is>
      </c>
      <c r="D9395" t="inlineStr">
        <is>
          <t>SKU-10340</t>
        </is>
      </c>
      <c r="E9395" t="inlineStr">
        <is>
          <t>AM08</t>
        </is>
      </c>
      <c r="F9395" s="5" t="n">
        <v>425.52</v>
      </c>
      <c r="G9395">
        <f>IF(LEFT(B9395,1)="C","Credit","Factuur")</f>
        <v/>
      </c>
      <c r="H9395">
        <f>IF(AND(B9395=B9394,D9395=D9394,A9395=A9394,F9395=F9394),1,0)</f>
        <v/>
      </c>
      <c r="I9395">
        <f>IF(C9395="C99999",1,0)</f>
        <v/>
      </c>
      <c r="J9395" s="5">
        <f>IF(OR(H9395=1,I9395=1),0,IF(G9395="Credit",-F9395,F9395))</f>
        <v/>
      </c>
    </row>
    <row r="9396">
      <c r="A9396" t="inlineStr">
        <is>
          <t>2026-09-23</t>
        </is>
      </c>
      <c r="B9396" t="inlineStr">
        <is>
          <t>F266000</t>
        </is>
      </c>
      <c r="C9396" t="inlineStr">
        <is>
          <t>C10314</t>
        </is>
      </c>
      <c r="D9396" t="inlineStr">
        <is>
          <t>SKU-10170</t>
        </is>
      </c>
      <c r="E9396" t="inlineStr">
        <is>
          <t>AM11</t>
        </is>
      </c>
      <c r="F9396" s="5" t="n">
        <v>236.36</v>
      </c>
      <c r="G9396">
        <f>IF(LEFT(B9396,1)="C","Credit","Factuur")</f>
        <v/>
      </c>
      <c r="H9396">
        <f>IF(AND(B9396=B9395,D9396=D9395,A9396=A9395,F9396=F9395),1,0)</f>
        <v/>
      </c>
      <c r="I9396">
        <f>IF(C9396="C99999",1,0)</f>
        <v/>
      </c>
      <c r="J9396" s="5">
        <f>IF(OR(H9396=1,I9396=1),0,IF(G9396="Credit",-F9396,F9396))</f>
        <v/>
      </c>
    </row>
    <row r="9397">
      <c r="A9397" t="inlineStr">
        <is>
          <t>2026-09-23</t>
        </is>
      </c>
      <c r="B9397" t="inlineStr">
        <is>
          <t>F266000</t>
        </is>
      </c>
      <c r="C9397" t="inlineStr">
        <is>
          <t>C10314</t>
        </is>
      </c>
      <c r="D9397" t="inlineStr">
        <is>
          <t>SKU-10306</t>
        </is>
      </c>
      <c r="E9397" t="inlineStr">
        <is>
          <t>AM11</t>
        </is>
      </c>
      <c r="F9397" s="5" t="n">
        <v>229.7</v>
      </c>
      <c r="G9397">
        <f>IF(LEFT(B9397,1)="C","Credit","Factuur")</f>
        <v/>
      </c>
      <c r="H9397">
        <f>IF(AND(B9397=B9396,D9397=D9396,A9397=A9396,F9397=F9396),1,0)</f>
        <v/>
      </c>
      <c r="I9397">
        <f>IF(C9397="C99999",1,0)</f>
        <v/>
      </c>
      <c r="J9397" s="5">
        <f>IF(OR(H9397=1,I9397=1),0,IF(G9397="Credit",-F9397,F9397))</f>
        <v/>
      </c>
    </row>
    <row r="9398">
      <c r="A9398" t="inlineStr">
        <is>
          <t>2026-09-23</t>
        </is>
      </c>
      <c r="B9398" t="inlineStr">
        <is>
          <t>F266891</t>
        </is>
      </c>
      <c r="C9398" t="inlineStr">
        <is>
          <t>C10363</t>
        </is>
      </c>
      <c r="D9398" t="inlineStr">
        <is>
          <t>SKU-10332</t>
        </is>
      </c>
      <c r="E9398" t="inlineStr">
        <is>
          <t>AM08</t>
        </is>
      </c>
      <c r="F9398" s="5" t="n">
        <v>3133.13</v>
      </c>
      <c r="G9398">
        <f>IF(LEFT(B9398,1)="C","Credit","Factuur")</f>
        <v/>
      </c>
      <c r="H9398">
        <f>IF(AND(B9398=B9397,D9398=D9397,A9398=A9397,F9398=F9397),1,0)</f>
        <v/>
      </c>
      <c r="I9398">
        <f>IF(C9398="C99999",1,0)</f>
        <v/>
      </c>
      <c r="J9398" s="5">
        <f>IF(OR(H9398=1,I9398=1),0,IF(G9398="Credit",-F9398,F9398))</f>
        <v/>
      </c>
    </row>
    <row r="9399">
      <c r="A9399" t="inlineStr">
        <is>
          <t>2026-09-23</t>
        </is>
      </c>
      <c r="B9399" t="inlineStr">
        <is>
          <t>F267328</t>
        </is>
      </c>
      <c r="C9399" t="inlineStr">
        <is>
          <t>C10387</t>
        </is>
      </c>
      <c r="D9399" t="inlineStr">
        <is>
          <t>SKU-10088</t>
        </is>
      </c>
      <c r="E9399" t="inlineStr">
        <is>
          <t>AM06</t>
        </is>
      </c>
      <c r="F9399" s="5" t="n">
        <v>263.85</v>
      </c>
      <c r="G9399">
        <f>IF(LEFT(B9399,1)="C","Credit","Factuur")</f>
        <v/>
      </c>
      <c r="H9399">
        <f>IF(AND(B9399=B9398,D9399=D9398,A9399=A9398,F9399=F9398),1,0)</f>
        <v/>
      </c>
      <c r="I9399">
        <f>IF(C9399="C99999",1,0)</f>
        <v/>
      </c>
      <c r="J9399" s="5">
        <f>IF(OR(H9399=1,I9399=1),0,IF(G9399="Credit",-F9399,F9399))</f>
        <v/>
      </c>
    </row>
    <row r="9400">
      <c r="A9400" t="inlineStr">
        <is>
          <t>2026-09-23</t>
        </is>
      </c>
      <c r="B9400" t="inlineStr">
        <is>
          <t>F267328</t>
        </is>
      </c>
      <c r="C9400" t="inlineStr">
        <is>
          <t>C10387</t>
        </is>
      </c>
      <c r="D9400" t="inlineStr">
        <is>
          <t>SKU-10110</t>
        </is>
      </c>
      <c r="E9400" t="inlineStr">
        <is>
          <t>AM06</t>
        </is>
      </c>
      <c r="F9400" s="5" t="n">
        <v>230.94</v>
      </c>
      <c r="G9400">
        <f>IF(LEFT(B9400,1)="C","Credit","Factuur")</f>
        <v/>
      </c>
      <c r="H9400">
        <f>IF(AND(B9400=B9399,D9400=D9399,A9400=A9399,F9400=F9399),1,0)</f>
        <v/>
      </c>
      <c r="I9400">
        <f>IF(C9400="C99999",1,0)</f>
        <v/>
      </c>
      <c r="J9400" s="5">
        <f>IF(OR(H9400=1,I9400=1),0,IF(G9400="Credit",-F9400,F9400))</f>
        <v/>
      </c>
    </row>
    <row r="9401">
      <c r="A9401" t="inlineStr">
        <is>
          <t>2026-09-23</t>
        </is>
      </c>
      <c r="B9401" t="inlineStr">
        <is>
          <t>F267328</t>
        </is>
      </c>
      <c r="C9401" t="inlineStr">
        <is>
          <t>C10387</t>
        </is>
      </c>
      <c r="D9401" t="inlineStr">
        <is>
          <t>SKU-10147</t>
        </is>
      </c>
      <c r="E9401" t="inlineStr">
        <is>
          <t>AM06</t>
        </is>
      </c>
      <c r="F9401" s="5" t="n">
        <v>271.52</v>
      </c>
      <c r="G9401">
        <f>IF(LEFT(B9401,1)="C","Credit","Factuur")</f>
        <v/>
      </c>
      <c r="H9401">
        <f>IF(AND(B9401=B9400,D9401=D9400,A9401=A9400,F9401=F9400),1,0)</f>
        <v/>
      </c>
      <c r="I9401">
        <f>IF(C9401="C99999",1,0)</f>
        <v/>
      </c>
      <c r="J9401" s="5">
        <f>IF(OR(H9401=1,I9401=1),0,IF(G9401="Credit",-F9401,F9401))</f>
        <v/>
      </c>
    </row>
    <row r="9402">
      <c r="A9402" t="inlineStr">
        <is>
          <t>2026-09-23</t>
        </is>
      </c>
      <c r="B9402" t="inlineStr">
        <is>
          <t>F267328</t>
        </is>
      </c>
      <c r="C9402" t="inlineStr">
        <is>
          <t>C10387</t>
        </is>
      </c>
      <c r="D9402" t="inlineStr">
        <is>
          <t>SKU-10284</t>
        </is>
      </c>
      <c r="E9402" t="inlineStr">
        <is>
          <t>AM06</t>
        </is>
      </c>
      <c r="F9402" s="5" t="n">
        <v>245.23</v>
      </c>
      <c r="G9402">
        <f>IF(LEFT(B9402,1)="C","Credit","Factuur")</f>
        <v/>
      </c>
      <c r="H9402">
        <f>IF(AND(B9402=B9401,D9402=D9401,A9402=A9401,F9402=F9401),1,0)</f>
        <v/>
      </c>
      <c r="I9402">
        <f>IF(C9402="C99999",1,0)</f>
        <v/>
      </c>
      <c r="J9402" s="5">
        <f>IF(OR(H9402=1,I9402=1),0,IF(G9402="Credit",-F9402,F9402))</f>
        <v/>
      </c>
    </row>
    <row r="9403">
      <c r="A9403" t="inlineStr">
        <is>
          <t>2026-09-23</t>
        </is>
      </c>
      <c r="B9403" t="inlineStr">
        <is>
          <t>F267358</t>
        </is>
      </c>
      <c r="C9403" t="inlineStr">
        <is>
          <t>C10388</t>
        </is>
      </c>
      <c r="D9403" t="inlineStr">
        <is>
          <t>SKU-10010</t>
        </is>
      </c>
      <c r="E9403" t="inlineStr">
        <is>
          <t>AM02</t>
        </is>
      </c>
      <c r="F9403" s="5" t="n">
        <v>529.4400000000001</v>
      </c>
      <c r="G9403">
        <f>IF(LEFT(B9403,1)="C","Credit","Factuur")</f>
        <v/>
      </c>
      <c r="H9403">
        <f>IF(AND(B9403=B9402,D9403=D9402,A9403=A9402,F9403=F9402),1,0)</f>
        <v/>
      </c>
      <c r="I9403">
        <f>IF(C9403="C99999",1,0)</f>
        <v/>
      </c>
      <c r="J9403" s="5">
        <f>IF(OR(H9403=1,I9403=1),0,IF(G9403="Credit",-F9403,F9403))</f>
        <v/>
      </c>
    </row>
    <row r="9404">
      <c r="A9404" t="inlineStr">
        <is>
          <t>2026-09-23</t>
        </is>
      </c>
      <c r="B9404" t="inlineStr">
        <is>
          <t>F267358</t>
        </is>
      </c>
      <c r="C9404" t="inlineStr">
        <is>
          <t>C10388</t>
        </is>
      </c>
      <c r="D9404" t="inlineStr">
        <is>
          <t>SKU-10033</t>
        </is>
      </c>
      <c r="E9404" t="inlineStr">
        <is>
          <t>AM02</t>
        </is>
      </c>
      <c r="F9404" s="5" t="n">
        <v>527.73</v>
      </c>
      <c r="G9404">
        <f>IF(LEFT(B9404,1)="C","Credit","Factuur")</f>
        <v/>
      </c>
      <c r="H9404">
        <f>IF(AND(B9404=B9403,D9404=D9403,A9404=A9403,F9404=F9403),1,0)</f>
        <v/>
      </c>
      <c r="I9404">
        <f>IF(C9404="C99999",1,0)</f>
        <v/>
      </c>
      <c r="J9404" s="5">
        <f>IF(OR(H9404=1,I9404=1),0,IF(G9404="Credit",-F9404,F9404))</f>
        <v/>
      </c>
    </row>
    <row r="9405">
      <c r="A9405" t="inlineStr">
        <is>
          <t>2026-09-23</t>
        </is>
      </c>
      <c r="B9405" t="inlineStr">
        <is>
          <t>F267358</t>
        </is>
      </c>
      <c r="C9405" t="inlineStr">
        <is>
          <t>C10388</t>
        </is>
      </c>
      <c r="D9405" t="inlineStr">
        <is>
          <t>SKU-10314</t>
        </is>
      </c>
      <c r="E9405" t="inlineStr">
        <is>
          <t>AM02</t>
        </is>
      </c>
      <c r="F9405" s="5" t="n">
        <v>529.2</v>
      </c>
      <c r="G9405">
        <f>IF(LEFT(B9405,1)="C","Credit","Factuur")</f>
        <v/>
      </c>
      <c r="H9405">
        <f>IF(AND(B9405=B9404,D9405=D9404,A9405=A9404,F9405=F9404),1,0)</f>
        <v/>
      </c>
      <c r="I9405">
        <f>IF(C9405="C99999",1,0)</f>
        <v/>
      </c>
      <c r="J9405" s="5">
        <f>IF(OR(H9405=1,I9405=1),0,IF(G9405="Credit",-F9405,F9405))</f>
        <v/>
      </c>
    </row>
    <row r="9406">
      <c r="A9406" t="inlineStr">
        <is>
          <t>2026-09-23</t>
        </is>
      </c>
      <c r="B9406" t="inlineStr">
        <is>
          <t>F267879</t>
        </is>
      </c>
      <c r="C9406" t="inlineStr">
        <is>
          <t>C10414</t>
        </is>
      </c>
      <c r="D9406" t="inlineStr">
        <is>
          <t>SKU-10327</t>
        </is>
      </c>
      <c r="E9406" t="inlineStr">
        <is>
          <t>AM07</t>
        </is>
      </c>
      <c r="F9406" s="5" t="n">
        <v>2222.4</v>
      </c>
      <c r="G9406">
        <f>IF(LEFT(B9406,1)="C","Credit","Factuur")</f>
        <v/>
      </c>
      <c r="H9406">
        <f>IF(AND(B9406=B9405,D9406=D9405,A9406=A9405,F9406=F9405),1,0)</f>
        <v/>
      </c>
      <c r="I9406">
        <f>IF(C9406="C99999",1,0)</f>
        <v/>
      </c>
      <c r="J9406" s="5">
        <f>IF(OR(H9406=1,I9406=1),0,IF(G9406="Credit",-F9406,F9406))</f>
        <v/>
      </c>
    </row>
    <row r="9407">
      <c r="A9407" t="inlineStr">
        <is>
          <t>2026-09-23</t>
        </is>
      </c>
      <c r="B9407" t="inlineStr">
        <is>
          <t>F268632</t>
        </is>
      </c>
      <c r="C9407" t="inlineStr">
        <is>
          <t>C10452</t>
        </is>
      </c>
      <c r="D9407" t="inlineStr">
        <is>
          <t>SKU-10303</t>
        </is>
      </c>
      <c r="E9407" t="inlineStr">
        <is>
          <t>AM08</t>
        </is>
      </c>
      <c r="F9407" s="5" t="n">
        <v>878.27</v>
      </c>
      <c r="G9407">
        <f>IF(LEFT(B9407,1)="C","Credit","Factuur")</f>
        <v/>
      </c>
      <c r="H9407">
        <f>IF(AND(B9407=B9406,D9407=D9406,A9407=A9406,F9407=F9406),1,0)</f>
        <v/>
      </c>
      <c r="I9407">
        <f>IF(C9407="C99999",1,0)</f>
        <v/>
      </c>
      <c r="J9407" s="5">
        <f>IF(OR(H9407=1,I9407=1),0,IF(G9407="Credit",-F9407,F9407))</f>
        <v/>
      </c>
    </row>
    <row r="9408">
      <c r="A9408" t="inlineStr">
        <is>
          <t>2026-09-23</t>
        </is>
      </c>
      <c r="B9408" t="inlineStr">
        <is>
          <t>F268632</t>
        </is>
      </c>
      <c r="C9408" t="inlineStr">
        <is>
          <t>C10452</t>
        </is>
      </c>
      <c r="D9408" t="inlineStr">
        <is>
          <t>SKU-10305</t>
        </is>
      </c>
      <c r="E9408" t="inlineStr">
        <is>
          <t>AM08</t>
        </is>
      </c>
      <c r="F9408" s="5" t="n">
        <v>923.55</v>
      </c>
      <c r="G9408">
        <f>IF(LEFT(B9408,1)="C","Credit","Factuur")</f>
        <v/>
      </c>
      <c r="H9408">
        <f>IF(AND(B9408=B9407,D9408=D9407,A9408=A9407,F9408=F9407),1,0)</f>
        <v/>
      </c>
      <c r="I9408">
        <f>IF(C9408="C99999",1,0)</f>
        <v/>
      </c>
      <c r="J9408" s="5">
        <f>IF(OR(H9408=1,I9408=1),0,IF(G9408="Credit",-F9408,F9408))</f>
        <v/>
      </c>
    </row>
    <row r="9409">
      <c r="A9409" t="inlineStr">
        <is>
          <t>2026-09-23</t>
        </is>
      </c>
      <c r="B9409" t="inlineStr">
        <is>
          <t>F268956</t>
        </is>
      </c>
      <c r="C9409" t="inlineStr">
        <is>
          <t>C10466</t>
        </is>
      </c>
      <c r="D9409" t="inlineStr">
        <is>
          <t>SKU-10035</t>
        </is>
      </c>
      <c r="E9409" t="inlineStr"/>
      <c r="F9409" s="5" t="n">
        <v>623.05</v>
      </c>
      <c r="G9409">
        <f>IF(LEFT(B9409,1)="C","Credit","Factuur")</f>
        <v/>
      </c>
      <c r="H9409">
        <f>IF(AND(B9409=B9408,D9409=D9408,A9409=A9408,F9409=F9408),1,0)</f>
        <v/>
      </c>
      <c r="I9409">
        <f>IF(C9409="C99999",1,0)</f>
        <v/>
      </c>
      <c r="J9409" s="5">
        <f>IF(OR(H9409=1,I9409=1),0,IF(G9409="Credit",-F9409,F9409))</f>
        <v/>
      </c>
    </row>
    <row r="9410">
      <c r="A9410" t="inlineStr">
        <is>
          <t>2026-09-23</t>
        </is>
      </c>
      <c r="B9410" t="inlineStr">
        <is>
          <t>F269376</t>
        </is>
      </c>
      <c r="C9410" t="inlineStr">
        <is>
          <t>C10492</t>
        </is>
      </c>
      <c r="D9410" t="inlineStr">
        <is>
          <t>SKU-10011</t>
        </is>
      </c>
      <c r="E9410" t="inlineStr">
        <is>
          <t>AM08</t>
        </is>
      </c>
      <c r="F9410" s="5" t="n">
        <v>393.41</v>
      </c>
      <c r="G9410">
        <f>IF(LEFT(B9410,1)="C","Credit","Factuur")</f>
        <v/>
      </c>
      <c r="H9410">
        <f>IF(AND(B9410=B9409,D9410=D9409,A9410=A9409,F9410=F9409),1,0)</f>
        <v/>
      </c>
      <c r="I9410">
        <f>IF(C9410="C99999",1,0)</f>
        <v/>
      </c>
      <c r="J9410" s="5">
        <f>IF(OR(H9410=1,I9410=1),0,IF(G9410="Credit",-F9410,F9410))</f>
        <v/>
      </c>
    </row>
    <row r="9411">
      <c r="A9411" t="inlineStr">
        <is>
          <t>2026-09-23</t>
        </is>
      </c>
      <c r="B9411" t="inlineStr">
        <is>
          <t>F269376</t>
        </is>
      </c>
      <c r="C9411" t="inlineStr">
        <is>
          <t>C10492</t>
        </is>
      </c>
      <c r="D9411" t="inlineStr">
        <is>
          <t>SKU-10143</t>
        </is>
      </c>
      <c r="E9411" t="inlineStr">
        <is>
          <t>AM08</t>
        </is>
      </c>
      <c r="F9411" s="5" t="n">
        <v>370.67</v>
      </c>
      <c r="G9411">
        <f>IF(LEFT(B9411,1)="C","Credit","Factuur")</f>
        <v/>
      </c>
      <c r="H9411">
        <f>IF(AND(B9411=B9410,D9411=D9410,A9411=A9410,F9411=F9410),1,0)</f>
        <v/>
      </c>
      <c r="I9411">
        <f>IF(C9411="C99999",1,0)</f>
        <v/>
      </c>
      <c r="J9411" s="5">
        <f>IF(OR(H9411=1,I9411=1),0,IF(G9411="Credit",-F9411,F9411))</f>
        <v/>
      </c>
    </row>
    <row r="9412">
      <c r="A9412" t="inlineStr">
        <is>
          <t>2026-09-23</t>
        </is>
      </c>
      <c r="B9412" t="inlineStr">
        <is>
          <t>F269376</t>
        </is>
      </c>
      <c r="C9412" t="inlineStr">
        <is>
          <t>C10492</t>
        </is>
      </c>
      <c r="D9412" t="inlineStr">
        <is>
          <t>SKU-10225</t>
        </is>
      </c>
      <c r="E9412" t="inlineStr">
        <is>
          <t>AM08</t>
        </is>
      </c>
      <c r="F9412" s="5" t="n">
        <v>363.46</v>
      </c>
      <c r="G9412">
        <f>IF(LEFT(B9412,1)="C","Credit","Factuur")</f>
        <v/>
      </c>
      <c r="H9412">
        <f>IF(AND(B9412=B9411,D9412=D9411,A9412=A9411,F9412=F9411),1,0)</f>
        <v/>
      </c>
      <c r="I9412">
        <f>IF(C9412="C99999",1,0)</f>
        <v/>
      </c>
      <c r="J9412" s="5">
        <f>IF(OR(H9412=1,I9412=1),0,IF(G9412="Credit",-F9412,F9412))</f>
        <v/>
      </c>
    </row>
    <row r="9413">
      <c r="A9413" t="inlineStr">
        <is>
          <t>2026-09-23</t>
        </is>
      </c>
      <c r="B9413" t="inlineStr">
        <is>
          <t>F269376</t>
        </is>
      </c>
      <c r="C9413" t="inlineStr">
        <is>
          <t>C10492</t>
        </is>
      </c>
      <c r="D9413" t="inlineStr">
        <is>
          <t>SKU-10322</t>
        </is>
      </c>
      <c r="E9413" t="inlineStr">
        <is>
          <t>AM08</t>
        </is>
      </c>
      <c r="F9413" s="5" t="n">
        <v>360.56</v>
      </c>
      <c r="G9413">
        <f>IF(LEFT(B9413,1)="C","Credit","Factuur")</f>
        <v/>
      </c>
      <c r="H9413">
        <f>IF(AND(B9413=B9412,D9413=D9412,A9413=A9412,F9413=F9412),1,0)</f>
        <v/>
      </c>
      <c r="I9413">
        <f>IF(C9413="C99999",1,0)</f>
        <v/>
      </c>
      <c r="J9413" s="5">
        <f>IF(OR(H9413=1,I9413=1),0,IF(G9413="Credit",-F9413,F9413))</f>
        <v/>
      </c>
    </row>
    <row r="9414">
      <c r="A9414" t="inlineStr">
        <is>
          <t>2026-09-23</t>
        </is>
      </c>
      <c r="B9414" t="inlineStr">
        <is>
          <t>F270459</t>
        </is>
      </c>
      <c r="C9414" t="inlineStr">
        <is>
          <t>C10550</t>
        </is>
      </c>
      <c r="D9414" t="inlineStr">
        <is>
          <t>SKU-10118</t>
        </is>
      </c>
      <c r="E9414" t="inlineStr">
        <is>
          <t>AM03</t>
        </is>
      </c>
      <c r="F9414" s="5" t="n">
        <v>4216.32</v>
      </c>
      <c r="G9414">
        <f>IF(LEFT(B9414,1)="C","Credit","Factuur")</f>
        <v/>
      </c>
      <c r="H9414">
        <f>IF(AND(B9414=B9413,D9414=D9413,A9414=A9413,F9414=F9413),1,0)</f>
        <v/>
      </c>
      <c r="I9414">
        <f>IF(C9414="C99999",1,0)</f>
        <v/>
      </c>
      <c r="J9414" s="5">
        <f>IF(OR(H9414=1,I9414=1),0,IF(G9414="Credit",-F9414,F9414))</f>
        <v/>
      </c>
    </row>
    <row r="9415">
      <c r="A9415" t="inlineStr">
        <is>
          <t>2026-09-23</t>
        </is>
      </c>
      <c r="B9415" t="inlineStr">
        <is>
          <t>F270845</t>
        </is>
      </c>
      <c r="C9415" t="inlineStr">
        <is>
          <t>C10567</t>
        </is>
      </c>
      <c r="D9415" t="inlineStr">
        <is>
          <t>SKU-10021</t>
        </is>
      </c>
      <c r="E9415" t="inlineStr">
        <is>
          <t>AM08</t>
        </is>
      </c>
      <c r="F9415" s="5" t="n">
        <v>77.59999999999999</v>
      </c>
      <c r="G9415">
        <f>IF(LEFT(B9415,1)="C","Credit","Factuur")</f>
        <v/>
      </c>
      <c r="H9415">
        <f>IF(AND(B9415=B9414,D9415=D9414,A9415=A9414,F9415=F9414),1,0)</f>
        <v/>
      </c>
      <c r="I9415">
        <f>IF(C9415="C99999",1,0)</f>
        <v/>
      </c>
      <c r="J9415" s="5">
        <f>IF(OR(H9415=1,I9415=1),0,IF(G9415="Credit",-F9415,F9415))</f>
        <v/>
      </c>
    </row>
    <row r="9416">
      <c r="A9416" t="inlineStr">
        <is>
          <t>2026-09-23</t>
        </is>
      </c>
      <c r="B9416" t="inlineStr">
        <is>
          <t>F270845</t>
        </is>
      </c>
      <c r="C9416" t="inlineStr">
        <is>
          <t>C10567</t>
        </is>
      </c>
      <c r="D9416" t="inlineStr">
        <is>
          <t>SKU-10064</t>
        </is>
      </c>
      <c r="E9416" t="inlineStr">
        <is>
          <t>AM08</t>
        </is>
      </c>
      <c r="F9416" s="5" t="n">
        <v>74.63</v>
      </c>
      <c r="G9416">
        <f>IF(LEFT(B9416,1)="C","Credit","Factuur")</f>
        <v/>
      </c>
      <c r="H9416">
        <f>IF(AND(B9416=B9415,D9416=D9415,A9416=A9415,F9416=F9415),1,0)</f>
        <v/>
      </c>
      <c r="I9416">
        <f>IF(C9416="C99999",1,0)</f>
        <v/>
      </c>
      <c r="J9416" s="5">
        <f>IF(OR(H9416=1,I9416=1),0,IF(G9416="Credit",-F9416,F9416))</f>
        <v/>
      </c>
    </row>
    <row r="9417">
      <c r="A9417" t="inlineStr">
        <is>
          <t>2026-09-23</t>
        </is>
      </c>
      <c r="B9417" t="inlineStr">
        <is>
          <t>F270845</t>
        </is>
      </c>
      <c r="C9417" t="inlineStr">
        <is>
          <t>C10567</t>
        </is>
      </c>
      <c r="D9417" t="inlineStr">
        <is>
          <t>SKU-10383</t>
        </is>
      </c>
      <c r="E9417" t="inlineStr">
        <is>
          <t>AM08</t>
        </is>
      </c>
      <c r="F9417" s="5" t="n">
        <v>61.38</v>
      </c>
      <c r="G9417">
        <f>IF(LEFT(B9417,1)="C","Credit","Factuur")</f>
        <v/>
      </c>
      <c r="H9417">
        <f>IF(AND(B9417=B9416,D9417=D9416,A9417=A9416,F9417=F9416),1,0)</f>
        <v/>
      </c>
      <c r="I9417">
        <f>IF(C9417="C99999",1,0)</f>
        <v/>
      </c>
      <c r="J9417" s="5">
        <f>IF(OR(H9417=1,I9417=1),0,IF(G9417="Credit",-F9417,F9417))</f>
        <v/>
      </c>
    </row>
    <row r="9418">
      <c r="A9418" t="inlineStr">
        <is>
          <t>2026-09-23</t>
        </is>
      </c>
      <c r="B9418" t="inlineStr">
        <is>
          <t>F271113</t>
        </is>
      </c>
      <c r="C9418" t="inlineStr">
        <is>
          <t>C10579</t>
        </is>
      </c>
      <c r="D9418" t="inlineStr">
        <is>
          <t>SKU-10280</t>
        </is>
      </c>
      <c r="E9418" t="inlineStr">
        <is>
          <t>AM06</t>
        </is>
      </c>
      <c r="F9418" s="5" t="n">
        <v>290.73</v>
      </c>
      <c r="G9418">
        <f>IF(LEFT(B9418,1)="C","Credit","Factuur")</f>
        <v/>
      </c>
      <c r="H9418">
        <f>IF(AND(B9418=B9417,D9418=D9417,A9418=A9417,F9418=F9417),1,0)</f>
        <v/>
      </c>
      <c r="I9418">
        <f>IF(C9418="C99999",1,0)</f>
        <v/>
      </c>
      <c r="J9418" s="5">
        <f>IF(OR(H9418=1,I9418=1),0,IF(G9418="Credit",-F9418,F9418))</f>
        <v/>
      </c>
    </row>
    <row r="9419">
      <c r="A9419" t="inlineStr">
        <is>
          <t>2026-09-23</t>
        </is>
      </c>
      <c r="B9419" t="inlineStr">
        <is>
          <t>F271113</t>
        </is>
      </c>
      <c r="C9419" t="inlineStr">
        <is>
          <t>C10579</t>
        </is>
      </c>
      <c r="D9419" t="inlineStr">
        <is>
          <t>SKU-10304</t>
        </is>
      </c>
      <c r="E9419" t="inlineStr">
        <is>
          <t>AM06</t>
        </is>
      </c>
      <c r="F9419" s="5" t="n">
        <v>290.32</v>
      </c>
      <c r="G9419">
        <f>IF(LEFT(B9419,1)="C","Credit","Factuur")</f>
        <v/>
      </c>
      <c r="H9419">
        <f>IF(AND(B9419=B9418,D9419=D9418,A9419=A9418,F9419=F9418),1,0)</f>
        <v/>
      </c>
      <c r="I9419">
        <f>IF(C9419="C99999",1,0)</f>
        <v/>
      </c>
      <c r="J9419" s="5">
        <f>IF(OR(H9419=1,I9419=1),0,IF(G9419="Credit",-F9419,F9419))</f>
        <v/>
      </c>
    </row>
    <row r="9420">
      <c r="A9420" t="inlineStr">
        <is>
          <t>2026-09-23</t>
        </is>
      </c>
      <c r="B9420" t="inlineStr">
        <is>
          <t>F271113</t>
        </is>
      </c>
      <c r="C9420" t="inlineStr">
        <is>
          <t>C10579</t>
        </is>
      </c>
      <c r="D9420" t="inlineStr">
        <is>
          <t>SKU-10312</t>
        </is>
      </c>
      <c r="E9420" t="inlineStr">
        <is>
          <t>AM06</t>
        </is>
      </c>
      <c r="F9420" s="5" t="n">
        <v>261.44</v>
      </c>
      <c r="G9420">
        <f>IF(LEFT(B9420,1)="C","Credit","Factuur")</f>
        <v/>
      </c>
      <c r="H9420">
        <f>IF(AND(B9420=B9419,D9420=D9419,A9420=A9419,F9420=F9419),1,0)</f>
        <v/>
      </c>
      <c r="I9420">
        <f>IF(C9420="C99999",1,0)</f>
        <v/>
      </c>
      <c r="J9420" s="5">
        <f>IF(OR(H9420=1,I9420=1),0,IF(G9420="Credit",-F9420,F9420))</f>
        <v/>
      </c>
    </row>
    <row r="9421">
      <c r="A9421" t="inlineStr">
        <is>
          <t>2026-09-23</t>
        </is>
      </c>
      <c r="B9421" t="inlineStr">
        <is>
          <t>F271392</t>
        </is>
      </c>
      <c r="C9421" t="inlineStr">
        <is>
          <t>C10591</t>
        </is>
      </c>
      <c r="D9421" t="inlineStr">
        <is>
          <t>SKU-10013</t>
        </is>
      </c>
      <c r="E9421" t="inlineStr">
        <is>
          <t>AM08</t>
        </is>
      </c>
      <c r="F9421" s="5" t="n">
        <v>364.06</v>
      </c>
      <c r="G9421">
        <f>IF(LEFT(B9421,1)="C","Credit","Factuur")</f>
        <v/>
      </c>
      <c r="H9421">
        <f>IF(AND(B9421=B9420,D9421=D9420,A9421=A9420,F9421=F9420),1,0)</f>
        <v/>
      </c>
      <c r="I9421">
        <f>IF(C9421="C99999",1,0)</f>
        <v/>
      </c>
      <c r="J9421" s="5">
        <f>IF(OR(H9421=1,I9421=1),0,IF(G9421="Credit",-F9421,F9421))</f>
        <v/>
      </c>
    </row>
    <row r="9422">
      <c r="A9422" t="inlineStr">
        <is>
          <t>2026-09-23</t>
        </is>
      </c>
      <c r="B9422" t="inlineStr">
        <is>
          <t>F271392</t>
        </is>
      </c>
      <c r="C9422" t="inlineStr">
        <is>
          <t>C10591</t>
        </is>
      </c>
      <c r="D9422" t="inlineStr">
        <is>
          <t>SKU-10311</t>
        </is>
      </c>
      <c r="E9422" t="inlineStr">
        <is>
          <t>AM08</t>
        </is>
      </c>
      <c r="F9422" s="5" t="n">
        <v>397.17</v>
      </c>
      <c r="G9422">
        <f>IF(LEFT(B9422,1)="C","Credit","Factuur")</f>
        <v/>
      </c>
      <c r="H9422">
        <f>IF(AND(B9422=B9421,D9422=D9421,A9422=A9421,F9422=F9421),1,0)</f>
        <v/>
      </c>
      <c r="I9422">
        <f>IF(C9422="C99999",1,0)</f>
        <v/>
      </c>
      <c r="J9422" s="5">
        <f>IF(OR(H9422=1,I9422=1),0,IF(G9422="Credit",-F9422,F9422))</f>
        <v/>
      </c>
    </row>
    <row r="9423">
      <c r="A9423" t="inlineStr">
        <is>
          <t>2026-09-23</t>
        </is>
      </c>
      <c r="B9423" t="inlineStr">
        <is>
          <t>F272093</t>
        </is>
      </c>
      <c r="C9423" t="inlineStr">
        <is>
          <t>C10626</t>
        </is>
      </c>
      <c r="D9423" t="inlineStr">
        <is>
          <t>SKU-10178</t>
        </is>
      </c>
      <c r="E9423" t="inlineStr">
        <is>
          <t>AM05</t>
        </is>
      </c>
      <c r="F9423" s="5" t="n">
        <v>342.96</v>
      </c>
      <c r="G9423">
        <f>IF(LEFT(B9423,1)="C","Credit","Factuur")</f>
        <v/>
      </c>
      <c r="H9423">
        <f>IF(AND(B9423=B9422,D9423=D9422,A9423=A9422,F9423=F9422),1,0)</f>
        <v/>
      </c>
      <c r="I9423">
        <f>IF(C9423="C99999",1,0)</f>
        <v/>
      </c>
      <c r="J9423" s="5">
        <f>IF(OR(H9423=1,I9423=1),0,IF(G9423="Credit",-F9423,F9423))</f>
        <v/>
      </c>
    </row>
    <row r="9424">
      <c r="A9424" t="inlineStr">
        <is>
          <t>2026-09-23</t>
        </is>
      </c>
      <c r="B9424" t="inlineStr">
        <is>
          <t>F272093</t>
        </is>
      </c>
      <c r="C9424" t="inlineStr">
        <is>
          <t>C10626</t>
        </is>
      </c>
      <c r="D9424" t="inlineStr">
        <is>
          <t>SKU-10252</t>
        </is>
      </c>
      <c r="E9424" t="inlineStr">
        <is>
          <t>AM05</t>
        </is>
      </c>
      <c r="F9424" s="5" t="n">
        <v>349.8</v>
      </c>
      <c r="G9424">
        <f>IF(LEFT(B9424,1)="C","Credit","Factuur")</f>
        <v/>
      </c>
      <c r="H9424">
        <f>IF(AND(B9424=B9423,D9424=D9423,A9424=A9423,F9424=F9423),1,0)</f>
        <v/>
      </c>
      <c r="I9424">
        <f>IF(C9424="C99999",1,0)</f>
        <v/>
      </c>
      <c r="J9424" s="5">
        <f>IF(OR(H9424=1,I9424=1),0,IF(G9424="Credit",-F9424,F9424))</f>
        <v/>
      </c>
    </row>
    <row r="9425">
      <c r="A9425" t="inlineStr">
        <is>
          <t>2026-09-23</t>
        </is>
      </c>
      <c r="B9425" t="inlineStr">
        <is>
          <t>F272093</t>
        </is>
      </c>
      <c r="C9425" t="inlineStr">
        <is>
          <t>C10626</t>
        </is>
      </c>
      <c r="D9425" t="inlineStr">
        <is>
          <t>SKU-10278</t>
        </is>
      </c>
      <c r="E9425" t="inlineStr">
        <is>
          <t>AM05</t>
        </is>
      </c>
      <c r="F9425" s="5" t="n">
        <v>336.32</v>
      </c>
      <c r="G9425">
        <f>IF(LEFT(B9425,1)="C","Credit","Factuur")</f>
        <v/>
      </c>
      <c r="H9425">
        <f>IF(AND(B9425=B9424,D9425=D9424,A9425=A9424,F9425=F9424),1,0)</f>
        <v/>
      </c>
      <c r="I9425">
        <f>IF(C9425="C99999",1,0)</f>
        <v/>
      </c>
      <c r="J9425" s="5">
        <f>IF(OR(H9425=1,I9425=1),0,IF(G9425="Credit",-F9425,F9425))</f>
        <v/>
      </c>
    </row>
    <row r="9426">
      <c r="A9426" t="inlineStr">
        <is>
          <t>2026-09-23</t>
        </is>
      </c>
      <c r="B9426" t="inlineStr">
        <is>
          <t>F272361</t>
        </is>
      </c>
      <c r="C9426" t="inlineStr">
        <is>
          <t>C10639</t>
        </is>
      </c>
      <c r="D9426" t="inlineStr">
        <is>
          <t>SKU-10130</t>
        </is>
      </c>
      <c r="E9426" t="inlineStr">
        <is>
          <t>AM01</t>
        </is>
      </c>
      <c r="F9426" s="5" t="n">
        <v>42.91</v>
      </c>
      <c r="G9426">
        <f>IF(LEFT(B9426,1)="C","Credit","Factuur")</f>
        <v/>
      </c>
      <c r="H9426">
        <f>IF(AND(B9426=B9425,D9426=D9425,A9426=A9425,F9426=F9425),1,0)</f>
        <v/>
      </c>
      <c r="I9426">
        <f>IF(C9426="C99999",1,0)</f>
        <v/>
      </c>
      <c r="J9426" s="5">
        <f>IF(OR(H9426=1,I9426=1),0,IF(G9426="Credit",-F9426,F9426))</f>
        <v/>
      </c>
    </row>
    <row r="9427">
      <c r="A9427" t="inlineStr">
        <is>
          <t>2026-09-23</t>
        </is>
      </c>
      <c r="B9427" t="inlineStr">
        <is>
          <t>F272361</t>
        </is>
      </c>
      <c r="C9427" t="inlineStr">
        <is>
          <t>C10639</t>
        </is>
      </c>
      <c r="D9427" t="inlineStr">
        <is>
          <t>SKU-10148</t>
        </is>
      </c>
      <c r="E9427" t="inlineStr">
        <is>
          <t>AM01</t>
        </is>
      </c>
      <c r="F9427" s="5" t="n">
        <v>80.43000000000001</v>
      </c>
      <c r="G9427">
        <f>IF(LEFT(B9427,1)="C","Credit","Factuur")</f>
        <v/>
      </c>
      <c r="H9427">
        <f>IF(AND(B9427=B9426,D9427=D9426,A9427=A9426,F9427=F9426),1,0)</f>
        <v/>
      </c>
      <c r="I9427">
        <f>IF(C9427="C99999",1,0)</f>
        <v/>
      </c>
      <c r="J9427" s="5">
        <f>IF(OR(H9427=1,I9427=1),0,IF(G9427="Credit",-F9427,F9427))</f>
        <v/>
      </c>
    </row>
    <row r="9428">
      <c r="A9428" t="inlineStr">
        <is>
          <t>2026-09-23</t>
        </is>
      </c>
      <c r="B9428" t="inlineStr">
        <is>
          <t>F272361</t>
        </is>
      </c>
      <c r="C9428" t="inlineStr">
        <is>
          <t>C10639</t>
        </is>
      </c>
      <c r="D9428" t="inlineStr">
        <is>
          <t>SKU-10214</t>
        </is>
      </c>
      <c r="E9428" t="inlineStr">
        <is>
          <t>AM01</t>
        </is>
      </c>
      <c r="F9428" s="5" t="n">
        <v>40.86</v>
      </c>
      <c r="G9428">
        <f>IF(LEFT(B9428,1)="C","Credit","Factuur")</f>
        <v/>
      </c>
      <c r="H9428">
        <f>IF(AND(B9428=B9427,D9428=D9427,A9428=A9427,F9428=F9427),1,0)</f>
        <v/>
      </c>
      <c r="I9428">
        <f>IF(C9428="C99999",1,0)</f>
        <v/>
      </c>
      <c r="J9428" s="5">
        <f>IF(OR(H9428=1,I9428=1),0,IF(G9428="Credit",-F9428,F9428))</f>
        <v/>
      </c>
    </row>
    <row r="9429">
      <c r="A9429" t="inlineStr">
        <is>
          <t>2026-09-23</t>
        </is>
      </c>
      <c r="B9429" t="inlineStr">
        <is>
          <t>F272361</t>
        </is>
      </c>
      <c r="C9429" t="inlineStr">
        <is>
          <t>C10639</t>
        </is>
      </c>
      <c r="D9429" t="inlineStr">
        <is>
          <t>SKU-10312</t>
        </is>
      </c>
      <c r="E9429" t="inlineStr">
        <is>
          <t>AM01</t>
        </is>
      </c>
      <c r="F9429" s="5" t="n">
        <v>34.4</v>
      </c>
      <c r="G9429">
        <f>IF(LEFT(B9429,1)="C","Credit","Factuur")</f>
        <v/>
      </c>
      <c r="H9429">
        <f>IF(AND(B9429=B9428,D9429=D9428,A9429=A9428,F9429=F9428),1,0)</f>
        <v/>
      </c>
      <c r="I9429">
        <f>IF(C9429="C99999",1,0)</f>
        <v/>
      </c>
      <c r="J9429" s="5">
        <f>IF(OR(H9429=1,I9429=1),0,IF(G9429="Credit",-F9429,F9429))</f>
        <v/>
      </c>
    </row>
    <row r="9430">
      <c r="A9430" t="inlineStr">
        <is>
          <t>2026-09-23</t>
        </is>
      </c>
      <c r="B9430" t="inlineStr">
        <is>
          <t>F272361</t>
        </is>
      </c>
      <c r="C9430" t="inlineStr">
        <is>
          <t>C10639</t>
        </is>
      </c>
      <c r="D9430" t="inlineStr">
        <is>
          <t>SKU-10331</t>
        </is>
      </c>
      <c r="E9430" t="inlineStr">
        <is>
          <t>AM01</t>
        </is>
      </c>
      <c r="F9430" s="5" t="n">
        <v>24.33</v>
      </c>
      <c r="G9430">
        <f>IF(LEFT(B9430,1)="C","Credit","Factuur")</f>
        <v/>
      </c>
      <c r="H9430">
        <f>IF(AND(B9430=B9429,D9430=D9429,A9430=A9429,F9430=F9429),1,0)</f>
        <v/>
      </c>
      <c r="I9430">
        <f>IF(C9430="C99999",1,0)</f>
        <v/>
      </c>
      <c r="J9430" s="5">
        <f>IF(OR(H9430=1,I9430=1),0,IF(G9430="Credit",-F9430,F9430))</f>
        <v/>
      </c>
    </row>
    <row r="9431">
      <c r="A9431" t="inlineStr">
        <is>
          <t>2026-09-23</t>
        </is>
      </c>
      <c r="B9431" t="inlineStr">
        <is>
          <t>F273345</t>
        </is>
      </c>
      <c r="C9431" t="inlineStr">
        <is>
          <t>C10699</t>
        </is>
      </c>
      <c r="D9431" t="inlineStr">
        <is>
          <t>SKU-10069</t>
        </is>
      </c>
      <c r="E9431" t="inlineStr">
        <is>
          <t>AM12</t>
        </is>
      </c>
      <c r="F9431" s="5" t="n">
        <v>333.69</v>
      </c>
      <c r="G9431">
        <f>IF(LEFT(B9431,1)="C","Credit","Factuur")</f>
        <v/>
      </c>
      <c r="H9431">
        <f>IF(AND(B9431=B9430,D9431=D9430,A9431=A9430,F9431=F9430),1,0)</f>
        <v/>
      </c>
      <c r="I9431">
        <f>IF(C9431="C99999",1,0)</f>
        <v/>
      </c>
      <c r="J9431" s="5">
        <f>IF(OR(H9431=1,I9431=1),0,IF(G9431="Credit",-F9431,F9431))</f>
        <v/>
      </c>
    </row>
    <row r="9432">
      <c r="A9432" t="inlineStr">
        <is>
          <t>2026-09-23</t>
        </is>
      </c>
      <c r="B9432" t="inlineStr">
        <is>
          <t>F273345</t>
        </is>
      </c>
      <c r="C9432" t="inlineStr">
        <is>
          <t>C10699</t>
        </is>
      </c>
      <c r="D9432" t="inlineStr">
        <is>
          <t>SKU-10089</t>
        </is>
      </c>
      <c r="E9432" t="inlineStr">
        <is>
          <t>AM12</t>
        </is>
      </c>
      <c r="F9432" s="5" t="n">
        <v>298.3</v>
      </c>
      <c r="G9432">
        <f>IF(LEFT(B9432,1)="C","Credit","Factuur")</f>
        <v/>
      </c>
      <c r="H9432">
        <f>IF(AND(B9432=B9431,D9432=D9431,A9432=A9431,F9432=F9431),1,0)</f>
        <v/>
      </c>
      <c r="I9432">
        <f>IF(C9432="C99999",1,0)</f>
        <v/>
      </c>
      <c r="J9432" s="5">
        <f>IF(OR(H9432=1,I9432=1),0,IF(G9432="Credit",-F9432,F9432))</f>
        <v/>
      </c>
    </row>
    <row r="9433">
      <c r="A9433" t="inlineStr">
        <is>
          <t>2026-09-23</t>
        </is>
      </c>
      <c r="B9433" t="inlineStr">
        <is>
          <t>F273345</t>
        </is>
      </c>
      <c r="C9433" t="inlineStr">
        <is>
          <t>C10699</t>
        </is>
      </c>
      <c r="D9433" t="inlineStr">
        <is>
          <t>SKU-10240</t>
        </is>
      </c>
      <c r="E9433" t="inlineStr">
        <is>
          <t>AM12</t>
        </is>
      </c>
      <c r="F9433" s="5" t="n">
        <v>313.74</v>
      </c>
      <c r="G9433">
        <f>IF(LEFT(B9433,1)="C","Credit","Factuur")</f>
        <v/>
      </c>
      <c r="H9433">
        <f>IF(AND(B9433=B9432,D9433=D9432,A9433=A9432,F9433=F9432),1,0)</f>
        <v/>
      </c>
      <c r="I9433">
        <f>IF(C9433="C99999",1,0)</f>
        <v/>
      </c>
      <c r="J9433" s="5">
        <f>IF(OR(H9433=1,I9433=1),0,IF(G9433="Credit",-F9433,F9433))</f>
        <v/>
      </c>
    </row>
    <row r="9434">
      <c r="A9434" t="inlineStr">
        <is>
          <t>2026-09-23</t>
        </is>
      </c>
      <c r="B9434" t="inlineStr">
        <is>
          <t>F273655</t>
        </is>
      </c>
      <c r="C9434" t="inlineStr">
        <is>
          <t>C10716</t>
        </is>
      </c>
      <c r="D9434" t="inlineStr">
        <is>
          <t>SKU-10076</t>
        </is>
      </c>
      <c r="E9434" t="inlineStr">
        <is>
          <t>AM02</t>
        </is>
      </c>
      <c r="F9434" s="5" t="n">
        <v>655.92</v>
      </c>
      <c r="G9434">
        <f>IF(LEFT(B9434,1)="C","Credit","Factuur")</f>
        <v/>
      </c>
      <c r="H9434">
        <f>IF(AND(B9434=B9433,D9434=D9433,A9434=A9433,F9434=F9433),1,0)</f>
        <v/>
      </c>
      <c r="I9434">
        <f>IF(C9434="C99999",1,0)</f>
        <v/>
      </c>
      <c r="J9434" s="5">
        <f>IF(OR(H9434=1,I9434=1),0,IF(G9434="Credit",-F9434,F9434))</f>
        <v/>
      </c>
    </row>
    <row r="9435">
      <c r="A9435" t="inlineStr">
        <is>
          <t>2026-09-23</t>
        </is>
      </c>
      <c r="B9435" t="inlineStr">
        <is>
          <t>F273655</t>
        </is>
      </c>
      <c r="C9435" t="inlineStr">
        <is>
          <t>C10716</t>
        </is>
      </c>
      <c r="D9435" t="inlineStr">
        <is>
          <t>SKU-10287</t>
        </is>
      </c>
      <c r="E9435" t="inlineStr">
        <is>
          <t>AM02</t>
        </is>
      </c>
      <c r="F9435" s="5" t="n">
        <v>662.42</v>
      </c>
      <c r="G9435">
        <f>IF(LEFT(B9435,1)="C","Credit","Factuur")</f>
        <v/>
      </c>
      <c r="H9435">
        <f>IF(AND(B9435=B9434,D9435=D9434,A9435=A9434,F9435=F9434),1,0)</f>
        <v/>
      </c>
      <c r="I9435">
        <f>IF(C9435="C99999",1,0)</f>
        <v/>
      </c>
      <c r="J9435" s="5">
        <f>IF(OR(H9435=1,I9435=1),0,IF(G9435="Credit",-F9435,F9435))</f>
        <v/>
      </c>
    </row>
    <row r="9436">
      <c r="A9436" t="inlineStr">
        <is>
          <t>2026-09-23</t>
        </is>
      </c>
      <c r="B9436" t="inlineStr">
        <is>
          <t>F273655</t>
        </is>
      </c>
      <c r="C9436" t="inlineStr">
        <is>
          <t>C10716</t>
        </is>
      </c>
      <c r="D9436" t="inlineStr">
        <is>
          <t>SKU-10315</t>
        </is>
      </c>
      <c r="E9436" t="inlineStr">
        <is>
          <t>AM02</t>
        </is>
      </c>
      <c r="F9436" s="5" t="n">
        <v>653.4</v>
      </c>
      <c r="G9436">
        <f>IF(LEFT(B9436,1)="C","Credit","Factuur")</f>
        <v/>
      </c>
      <c r="H9436">
        <f>IF(AND(B9436=B9435,D9436=D9435,A9436=A9435,F9436=F9435),1,0)</f>
        <v/>
      </c>
      <c r="I9436">
        <f>IF(C9436="C99999",1,0)</f>
        <v/>
      </c>
      <c r="J9436" s="5">
        <f>IF(OR(H9436=1,I9436=1),0,IF(G9436="Credit",-F9436,F9436))</f>
        <v/>
      </c>
    </row>
    <row r="9437">
      <c r="A9437" t="inlineStr">
        <is>
          <t>2026-09-23</t>
        </is>
      </c>
      <c r="B9437" t="inlineStr">
        <is>
          <t>F273692</t>
        </is>
      </c>
      <c r="C9437" t="inlineStr">
        <is>
          <t>C10718</t>
        </is>
      </c>
      <c r="D9437" t="inlineStr">
        <is>
          <t>SKU-10026</t>
        </is>
      </c>
      <c r="E9437" t="inlineStr">
        <is>
          <t>AM01</t>
        </is>
      </c>
      <c r="F9437" s="5" t="n">
        <v>164.72</v>
      </c>
      <c r="G9437">
        <f>IF(LEFT(B9437,1)="C","Credit","Factuur")</f>
        <v/>
      </c>
      <c r="H9437">
        <f>IF(AND(B9437=B9436,D9437=D9436,A9437=A9436,F9437=F9436),1,0)</f>
        <v/>
      </c>
      <c r="I9437">
        <f>IF(C9437="C99999",1,0)</f>
        <v/>
      </c>
      <c r="J9437" s="5">
        <f>IF(OR(H9437=1,I9437=1),0,IF(G9437="Credit",-F9437,F9437))</f>
        <v/>
      </c>
    </row>
    <row r="9438">
      <c r="A9438" t="inlineStr">
        <is>
          <t>2026-09-23</t>
        </is>
      </c>
      <c r="B9438" t="inlineStr">
        <is>
          <t>F273692</t>
        </is>
      </c>
      <c r="C9438" t="inlineStr">
        <is>
          <t>C10718</t>
        </is>
      </c>
      <c r="D9438" t="inlineStr">
        <is>
          <t>SKU-10073</t>
        </is>
      </c>
      <c r="E9438" t="inlineStr">
        <is>
          <t>AM01</t>
        </is>
      </c>
      <c r="F9438" s="5" t="n">
        <v>171.12</v>
      </c>
      <c r="G9438">
        <f>IF(LEFT(B9438,1)="C","Credit","Factuur")</f>
        <v/>
      </c>
      <c r="H9438">
        <f>IF(AND(B9438=B9437,D9438=D9437,A9438=A9437,F9438=F9437),1,0)</f>
        <v/>
      </c>
      <c r="I9438">
        <f>IF(C9438="C99999",1,0)</f>
        <v/>
      </c>
      <c r="J9438" s="5">
        <f>IF(OR(H9438=1,I9438=1),0,IF(G9438="Credit",-F9438,F9438))</f>
        <v/>
      </c>
    </row>
    <row r="9439">
      <c r="A9439" t="inlineStr">
        <is>
          <t>2026-09-23</t>
        </is>
      </c>
      <c r="B9439" t="inlineStr">
        <is>
          <t>F273692</t>
        </is>
      </c>
      <c r="C9439" t="inlineStr">
        <is>
          <t>C10718</t>
        </is>
      </c>
      <c r="D9439" t="inlineStr">
        <is>
          <t>SKU-10091</t>
        </is>
      </c>
      <c r="E9439" t="inlineStr">
        <is>
          <t>AM01</t>
        </is>
      </c>
      <c r="F9439" s="5" t="n">
        <v>223.12</v>
      </c>
      <c r="G9439">
        <f>IF(LEFT(B9439,1)="C","Credit","Factuur")</f>
        <v/>
      </c>
      <c r="H9439">
        <f>IF(AND(B9439=B9438,D9439=D9438,A9439=A9438,F9439=F9438),1,0)</f>
        <v/>
      </c>
      <c r="I9439">
        <f>IF(C9439="C99999",1,0)</f>
        <v/>
      </c>
      <c r="J9439" s="5">
        <f>IF(OR(H9439=1,I9439=1),0,IF(G9439="Credit",-F9439,F9439))</f>
        <v/>
      </c>
    </row>
    <row r="9440">
      <c r="A9440" t="inlineStr">
        <is>
          <t>2026-09-23</t>
        </is>
      </c>
      <c r="B9440" t="inlineStr">
        <is>
          <t>F273692</t>
        </is>
      </c>
      <c r="C9440" t="inlineStr">
        <is>
          <t>C10718</t>
        </is>
      </c>
      <c r="D9440" t="inlineStr">
        <is>
          <t>SKU-10145</t>
        </is>
      </c>
      <c r="E9440" t="inlineStr">
        <is>
          <t>AM01</t>
        </is>
      </c>
      <c r="F9440" s="5" t="n">
        <v>113.22</v>
      </c>
      <c r="G9440">
        <f>IF(LEFT(B9440,1)="C","Credit","Factuur")</f>
        <v/>
      </c>
      <c r="H9440">
        <f>IF(AND(B9440=B9439,D9440=D9439,A9440=A9439,F9440=F9439),1,0)</f>
        <v/>
      </c>
      <c r="I9440">
        <f>IF(C9440="C99999",1,0)</f>
        <v/>
      </c>
      <c r="J9440" s="5">
        <f>IF(OR(H9440=1,I9440=1),0,IF(G9440="Credit",-F9440,F9440))</f>
        <v/>
      </c>
    </row>
    <row r="9441">
      <c r="A9441" t="inlineStr">
        <is>
          <t>2026-09-23</t>
        </is>
      </c>
      <c r="B9441" t="inlineStr">
        <is>
          <t>F273781</t>
        </is>
      </c>
      <c r="C9441" t="inlineStr">
        <is>
          <t>C10725</t>
        </is>
      </c>
      <c r="D9441" t="inlineStr">
        <is>
          <t>SKU-10193</t>
        </is>
      </c>
      <c r="E9441" t="inlineStr">
        <is>
          <t>AM03</t>
        </is>
      </c>
      <c r="F9441" s="5" t="n">
        <v>203.3</v>
      </c>
      <c r="G9441">
        <f>IF(LEFT(B9441,1)="C","Credit","Factuur")</f>
        <v/>
      </c>
      <c r="H9441">
        <f>IF(AND(B9441=B9440,D9441=D9440,A9441=A9440,F9441=F9440),1,0)</f>
        <v/>
      </c>
      <c r="I9441">
        <f>IF(C9441="C99999",1,0)</f>
        <v/>
      </c>
      <c r="J9441" s="5">
        <f>IF(OR(H9441=1,I9441=1),0,IF(G9441="Credit",-F9441,F9441))</f>
        <v/>
      </c>
    </row>
    <row r="9442">
      <c r="A9442" t="inlineStr">
        <is>
          <t>2026-09-23</t>
        </is>
      </c>
      <c r="B9442" t="inlineStr">
        <is>
          <t>F273781</t>
        </is>
      </c>
      <c r="C9442" t="inlineStr">
        <is>
          <t>C10725</t>
        </is>
      </c>
      <c r="D9442" t="inlineStr">
        <is>
          <t>SKU-10327</t>
        </is>
      </c>
      <c r="E9442" t="inlineStr">
        <is>
          <t>AM03</t>
        </is>
      </c>
      <c r="F9442" s="5" t="n">
        <v>197.93</v>
      </c>
      <c r="G9442">
        <f>IF(LEFT(B9442,1)="C","Credit","Factuur")</f>
        <v/>
      </c>
      <c r="H9442">
        <f>IF(AND(B9442=B9441,D9442=D9441,A9442=A9441,F9442=F9441),1,0)</f>
        <v/>
      </c>
      <c r="I9442">
        <f>IF(C9442="C99999",1,0)</f>
        <v/>
      </c>
      <c r="J9442" s="5">
        <f>IF(OR(H9442=1,I9442=1),0,IF(G9442="Credit",-F9442,F9442))</f>
        <v/>
      </c>
    </row>
    <row r="9443">
      <c r="A9443" t="inlineStr">
        <is>
          <t>2026-09-23</t>
        </is>
      </c>
      <c r="B9443" t="inlineStr">
        <is>
          <t>F274606</t>
        </is>
      </c>
      <c r="C9443" t="inlineStr">
        <is>
          <t>C10773</t>
        </is>
      </c>
      <c r="D9443" t="inlineStr">
        <is>
          <t>SKU-10051</t>
        </is>
      </c>
      <c r="E9443" t="inlineStr">
        <is>
          <t>AM06</t>
        </is>
      </c>
      <c r="F9443" s="5" t="n">
        <v>461.52</v>
      </c>
      <c r="G9443">
        <f>IF(LEFT(B9443,1)="C","Credit","Factuur")</f>
        <v/>
      </c>
      <c r="H9443">
        <f>IF(AND(B9443=B9442,D9443=D9442,A9443=A9442,F9443=F9442),1,0)</f>
        <v/>
      </c>
      <c r="I9443">
        <f>IF(C9443="C99999",1,0)</f>
        <v/>
      </c>
      <c r="J9443" s="5">
        <f>IF(OR(H9443=1,I9443=1),0,IF(G9443="Credit",-F9443,F9443))</f>
        <v/>
      </c>
    </row>
    <row r="9444">
      <c r="A9444" t="inlineStr">
        <is>
          <t>2026-09-23</t>
        </is>
      </c>
      <c r="B9444" t="inlineStr">
        <is>
          <t>F274606</t>
        </is>
      </c>
      <c r="C9444" t="inlineStr">
        <is>
          <t>C10773</t>
        </is>
      </c>
      <c r="D9444" t="inlineStr">
        <is>
          <t>SKU-10094</t>
        </is>
      </c>
      <c r="E9444" t="inlineStr">
        <is>
          <t>AM06</t>
        </is>
      </c>
      <c r="F9444" s="5" t="n">
        <v>452.8</v>
      </c>
      <c r="G9444">
        <f>IF(LEFT(B9444,1)="C","Credit","Factuur")</f>
        <v/>
      </c>
      <c r="H9444">
        <f>IF(AND(B9444=B9443,D9444=D9443,A9444=A9443,F9444=F9443),1,0)</f>
        <v/>
      </c>
      <c r="I9444">
        <f>IF(C9444="C99999",1,0)</f>
        <v/>
      </c>
      <c r="J9444" s="5">
        <f>IF(OR(H9444=1,I9444=1),0,IF(G9444="Credit",-F9444,F9444))</f>
        <v/>
      </c>
    </row>
    <row r="9445">
      <c r="A9445" t="inlineStr">
        <is>
          <t>2026-09-23</t>
        </is>
      </c>
      <c r="B9445" t="inlineStr">
        <is>
          <t>F274606</t>
        </is>
      </c>
      <c r="C9445" t="inlineStr">
        <is>
          <t>C10773</t>
        </is>
      </c>
      <c r="D9445" t="inlineStr">
        <is>
          <t>SKU-10266</t>
        </is>
      </c>
      <c r="E9445" t="inlineStr"/>
      <c r="F9445" s="5" t="n">
        <v>429.6</v>
      </c>
      <c r="G9445">
        <f>IF(LEFT(B9445,1)="C","Credit","Factuur")</f>
        <v/>
      </c>
      <c r="H9445">
        <f>IF(AND(B9445=B9444,D9445=D9444,A9445=A9444,F9445=F9444),1,0)</f>
        <v/>
      </c>
      <c r="I9445">
        <f>IF(C9445="C99999",1,0)</f>
        <v/>
      </c>
      <c r="J9445" s="5">
        <f>IF(OR(H9445=1,I9445=1),0,IF(G9445="Credit",-F9445,F9445))</f>
        <v/>
      </c>
    </row>
    <row r="9446">
      <c r="A9446" t="inlineStr">
        <is>
          <t>2026-09-23</t>
        </is>
      </c>
      <c r="B9446" t="inlineStr">
        <is>
          <t>F274606</t>
        </is>
      </c>
      <c r="C9446" t="inlineStr">
        <is>
          <t>C10773</t>
        </is>
      </c>
      <c r="D9446" t="inlineStr">
        <is>
          <t>SKU-10324</t>
        </is>
      </c>
      <c r="E9446" t="inlineStr">
        <is>
          <t>AM06</t>
        </is>
      </c>
      <c r="F9446" s="5" t="n">
        <v>434.4</v>
      </c>
      <c r="G9446">
        <f>IF(LEFT(B9446,1)="C","Credit","Factuur")</f>
        <v/>
      </c>
      <c r="H9446">
        <f>IF(AND(B9446=B9445,D9446=D9445,A9446=A9445,F9446=F9445),1,0)</f>
        <v/>
      </c>
      <c r="I9446">
        <f>IF(C9446="C99999",1,0)</f>
        <v/>
      </c>
      <c r="J9446" s="5">
        <f>IF(OR(H9446=1,I9446=1),0,IF(G9446="Credit",-F9446,F9446))</f>
        <v/>
      </c>
    </row>
    <row r="9447">
      <c r="A9447" t="inlineStr">
        <is>
          <t>2026-09-23</t>
        </is>
      </c>
      <c r="B9447" t="inlineStr">
        <is>
          <t>F275951</t>
        </is>
      </c>
      <c r="C9447" t="inlineStr">
        <is>
          <t>C10847</t>
        </is>
      </c>
      <c r="D9447" t="inlineStr">
        <is>
          <t>SKU-10021</t>
        </is>
      </c>
      <c r="E9447" t="inlineStr">
        <is>
          <t>AM12</t>
        </is>
      </c>
      <c r="F9447" s="5" t="n">
        <v>271.59</v>
      </c>
      <c r="G9447">
        <f>IF(LEFT(B9447,1)="C","Credit","Factuur")</f>
        <v/>
      </c>
      <c r="H9447">
        <f>IF(AND(B9447=B9446,D9447=D9446,A9447=A9446,F9447=F9446),1,0)</f>
        <v/>
      </c>
      <c r="I9447">
        <f>IF(C9447="C99999",1,0)</f>
        <v/>
      </c>
      <c r="J9447" s="5">
        <f>IF(OR(H9447=1,I9447=1),0,IF(G9447="Credit",-F9447,F9447))</f>
        <v/>
      </c>
    </row>
    <row r="9448">
      <c r="A9448" t="inlineStr">
        <is>
          <t>2026-09-23</t>
        </is>
      </c>
      <c r="B9448" t="inlineStr">
        <is>
          <t>F275951</t>
        </is>
      </c>
      <c r="C9448" t="inlineStr">
        <is>
          <t>C10847</t>
        </is>
      </c>
      <c r="D9448" t="inlineStr">
        <is>
          <t>SKU-10224</t>
        </is>
      </c>
      <c r="E9448" t="inlineStr">
        <is>
          <t>AM12</t>
        </is>
      </c>
      <c r="F9448" s="5" t="n">
        <v>299.25</v>
      </c>
      <c r="G9448">
        <f>IF(LEFT(B9448,1)="C","Credit","Factuur")</f>
        <v/>
      </c>
      <c r="H9448">
        <f>IF(AND(B9448=B9447,D9448=D9447,A9448=A9447,F9448=F9447),1,0)</f>
        <v/>
      </c>
      <c r="I9448">
        <f>IF(C9448="C99999",1,0)</f>
        <v/>
      </c>
      <c r="J9448" s="5">
        <f>IF(OR(H9448=1,I9448=1),0,IF(G9448="Credit",-F9448,F9448))</f>
        <v/>
      </c>
    </row>
    <row r="9449">
      <c r="A9449" t="inlineStr">
        <is>
          <t>2026-09-23</t>
        </is>
      </c>
      <c r="B9449" t="inlineStr">
        <is>
          <t>F275951</t>
        </is>
      </c>
      <c r="C9449" t="inlineStr">
        <is>
          <t>C10847</t>
        </is>
      </c>
      <c r="D9449" t="inlineStr">
        <is>
          <t>SKU-10284</t>
        </is>
      </c>
      <c r="E9449" t="inlineStr">
        <is>
          <t>AM12</t>
        </is>
      </c>
      <c r="F9449" s="5" t="n">
        <v>275.89</v>
      </c>
      <c r="G9449">
        <f>IF(LEFT(B9449,1)="C","Credit","Factuur")</f>
        <v/>
      </c>
      <c r="H9449">
        <f>IF(AND(B9449=B9448,D9449=D9448,A9449=A9448,F9449=F9448),1,0)</f>
        <v/>
      </c>
      <c r="I9449">
        <f>IF(C9449="C99999",1,0)</f>
        <v/>
      </c>
      <c r="J9449" s="5">
        <f>IF(OR(H9449=1,I9449=1),0,IF(G9449="Credit",-F9449,F9449))</f>
        <v/>
      </c>
    </row>
    <row r="9450">
      <c r="A9450" t="inlineStr">
        <is>
          <t>2026-09-23</t>
        </is>
      </c>
      <c r="B9450" t="inlineStr">
        <is>
          <t>F275951</t>
        </is>
      </c>
      <c r="C9450" t="inlineStr">
        <is>
          <t>C10847</t>
        </is>
      </c>
      <c r="D9450" t="inlineStr">
        <is>
          <t>SKU-10359</t>
        </is>
      </c>
      <c r="E9450" t="inlineStr">
        <is>
          <t>AM12</t>
        </is>
      </c>
      <c r="F9450" s="5" t="n">
        <v>322.35</v>
      </c>
      <c r="G9450">
        <f>IF(LEFT(B9450,1)="C","Credit","Factuur")</f>
        <v/>
      </c>
      <c r="H9450">
        <f>IF(AND(B9450=B9449,D9450=D9449,A9450=A9449,F9450=F9449),1,0)</f>
        <v/>
      </c>
      <c r="I9450">
        <f>IF(C9450="C99999",1,0)</f>
        <v/>
      </c>
      <c r="J9450" s="5">
        <f>IF(OR(H9450=1,I9450=1),0,IF(G9450="Credit",-F9450,F9450))</f>
        <v/>
      </c>
    </row>
    <row r="9451">
      <c r="A9451" t="inlineStr">
        <is>
          <t>2026-09-23</t>
        </is>
      </c>
      <c r="B9451" t="inlineStr">
        <is>
          <t>F275967</t>
        </is>
      </c>
      <c r="C9451" t="inlineStr">
        <is>
          <t>C10848</t>
        </is>
      </c>
      <c r="D9451" t="inlineStr">
        <is>
          <t>SKU-10044</t>
        </is>
      </c>
      <c r="E9451" t="inlineStr">
        <is>
          <t>AM02</t>
        </is>
      </c>
      <c r="F9451" s="5" t="n">
        <v>147.24</v>
      </c>
      <c r="G9451">
        <f>IF(LEFT(B9451,1)="C","Credit","Factuur")</f>
        <v/>
      </c>
      <c r="H9451">
        <f>IF(AND(B9451=B9450,D9451=D9450,A9451=A9450,F9451=F9450),1,0)</f>
        <v/>
      </c>
      <c r="I9451">
        <f>IF(C9451="C99999",1,0)</f>
        <v/>
      </c>
      <c r="J9451" s="5">
        <f>IF(OR(H9451=1,I9451=1),0,IF(G9451="Credit",-F9451,F9451))</f>
        <v/>
      </c>
    </row>
    <row r="9452">
      <c r="A9452" t="inlineStr">
        <is>
          <t>2026-09-23</t>
        </is>
      </c>
      <c r="B9452" t="inlineStr">
        <is>
          <t>F275967</t>
        </is>
      </c>
      <c r="C9452" t="inlineStr">
        <is>
          <t>C10848</t>
        </is>
      </c>
      <c r="D9452" t="inlineStr">
        <is>
          <t>SKU-10081</t>
        </is>
      </c>
      <c r="E9452" t="inlineStr">
        <is>
          <t>AM02</t>
        </is>
      </c>
      <c r="F9452" s="5" t="n">
        <v>120.78</v>
      </c>
      <c r="G9452">
        <f>IF(LEFT(B9452,1)="C","Credit","Factuur")</f>
        <v/>
      </c>
      <c r="H9452">
        <f>IF(AND(B9452=B9451,D9452=D9451,A9452=A9451,F9452=F9451),1,0)</f>
        <v/>
      </c>
      <c r="I9452">
        <f>IF(C9452="C99999",1,0)</f>
        <v/>
      </c>
      <c r="J9452" s="5">
        <f>IF(OR(H9452=1,I9452=1),0,IF(G9452="Credit",-F9452,F9452))</f>
        <v/>
      </c>
    </row>
    <row r="9453">
      <c r="A9453" t="inlineStr">
        <is>
          <t>2026-09-23</t>
        </is>
      </c>
      <c r="B9453" t="inlineStr">
        <is>
          <t>F275967</t>
        </is>
      </c>
      <c r="C9453" t="inlineStr">
        <is>
          <t>C10848</t>
        </is>
      </c>
      <c r="D9453" t="inlineStr">
        <is>
          <t>SKU-10178</t>
        </is>
      </c>
      <c r="E9453" t="inlineStr">
        <is>
          <t>AM02</t>
        </is>
      </c>
      <c r="F9453" s="5" t="n">
        <v>142.9</v>
      </c>
      <c r="G9453">
        <f>IF(LEFT(B9453,1)="C","Credit","Factuur")</f>
        <v/>
      </c>
      <c r="H9453">
        <f>IF(AND(B9453=B9452,D9453=D9452,A9453=A9452,F9453=F9452),1,0)</f>
        <v/>
      </c>
      <c r="I9453">
        <f>IF(C9453="C99999",1,0)</f>
        <v/>
      </c>
      <c r="J9453" s="5">
        <f>IF(OR(H9453=1,I9453=1),0,IF(G9453="Credit",-F9453,F9453))</f>
        <v/>
      </c>
    </row>
    <row r="9454">
      <c r="A9454" t="inlineStr">
        <is>
          <t>2026-09-23</t>
        </is>
      </c>
      <c r="B9454" t="inlineStr">
        <is>
          <t>F275967</t>
        </is>
      </c>
      <c r="C9454" t="inlineStr">
        <is>
          <t>C10848</t>
        </is>
      </c>
      <c r="D9454" t="inlineStr">
        <is>
          <t>SKU-10285</t>
        </is>
      </c>
      <c r="E9454" t="inlineStr">
        <is>
          <t>AM02</t>
        </is>
      </c>
      <c r="F9454" s="5" t="n">
        <v>145.46</v>
      </c>
      <c r="G9454">
        <f>IF(LEFT(B9454,1)="C","Credit","Factuur")</f>
        <v/>
      </c>
      <c r="H9454">
        <f>IF(AND(B9454=B9453,D9454=D9453,A9454=A9453,F9454=F9453),1,0)</f>
        <v/>
      </c>
      <c r="I9454">
        <f>IF(C9454="C99999",1,0)</f>
        <v/>
      </c>
      <c r="J9454" s="5">
        <f>IF(OR(H9454=1,I9454=1),0,IF(G9454="Credit",-F9454,F9454))</f>
        <v/>
      </c>
    </row>
    <row r="9455">
      <c r="A9455" t="inlineStr">
        <is>
          <t>2026-09-23</t>
        </is>
      </c>
      <c r="B9455" t="inlineStr">
        <is>
          <t>F276243</t>
        </is>
      </c>
      <c r="C9455" t="inlineStr">
        <is>
          <t>C10861</t>
        </is>
      </c>
      <c r="D9455" t="inlineStr">
        <is>
          <t>SKU-10014</t>
        </is>
      </c>
      <c r="E9455" t="inlineStr">
        <is>
          <t>AM03</t>
        </is>
      </c>
      <c r="F9455" s="5" t="n">
        <v>280.7</v>
      </c>
      <c r="G9455">
        <f>IF(LEFT(B9455,1)="C","Credit","Factuur")</f>
        <v/>
      </c>
      <c r="H9455">
        <f>IF(AND(B9455=B9454,D9455=D9454,A9455=A9454,F9455=F9454),1,0)</f>
        <v/>
      </c>
      <c r="I9455">
        <f>IF(C9455="C99999",1,0)</f>
        <v/>
      </c>
      <c r="J9455" s="5">
        <f>IF(OR(H9455=1,I9455=1),0,IF(G9455="Credit",-F9455,F9455))</f>
        <v/>
      </c>
    </row>
    <row r="9456">
      <c r="A9456" t="inlineStr">
        <is>
          <t>2026-09-23</t>
        </is>
      </c>
      <c r="B9456" t="inlineStr">
        <is>
          <t>F276243</t>
        </is>
      </c>
      <c r="C9456" t="inlineStr">
        <is>
          <t>C10861</t>
        </is>
      </c>
      <c r="D9456" t="inlineStr">
        <is>
          <t>SKU-10244</t>
        </is>
      </c>
      <c r="E9456" t="inlineStr">
        <is>
          <t>AM03</t>
        </is>
      </c>
      <c r="F9456" s="5" t="n">
        <v>284.89</v>
      </c>
      <c r="G9456">
        <f>IF(LEFT(B9456,1)="C","Credit","Factuur")</f>
        <v/>
      </c>
      <c r="H9456">
        <f>IF(AND(B9456=B9455,D9456=D9455,A9456=A9455,F9456=F9455),1,0)</f>
        <v/>
      </c>
      <c r="I9456">
        <f>IF(C9456="C99999",1,0)</f>
        <v/>
      </c>
      <c r="J9456" s="5">
        <f>IF(OR(H9456=1,I9456=1),0,IF(G9456="Credit",-F9456,F9456))</f>
        <v/>
      </c>
    </row>
    <row r="9457">
      <c r="A9457" t="inlineStr">
        <is>
          <t>2026-09-23</t>
        </is>
      </c>
      <c r="B9457" t="inlineStr">
        <is>
          <t>F276243</t>
        </is>
      </c>
      <c r="C9457" t="inlineStr">
        <is>
          <t>C10861</t>
        </is>
      </c>
      <c r="D9457" t="inlineStr">
        <is>
          <t>SKU-10307</t>
        </is>
      </c>
      <c r="E9457" t="inlineStr">
        <is>
          <t>AM03</t>
        </is>
      </c>
      <c r="F9457" s="5" t="n">
        <v>338.5</v>
      </c>
      <c r="G9457">
        <f>IF(LEFT(B9457,1)="C","Credit","Factuur")</f>
        <v/>
      </c>
      <c r="H9457">
        <f>IF(AND(B9457=B9456,D9457=D9456,A9457=A9456,F9457=F9456),1,0)</f>
        <v/>
      </c>
      <c r="I9457">
        <f>IF(C9457="C99999",1,0)</f>
        <v/>
      </c>
      <c r="J9457" s="5">
        <f>IF(OR(H9457=1,I9457=1),0,IF(G9457="Credit",-F9457,F9457))</f>
        <v/>
      </c>
    </row>
    <row r="9458">
      <c r="A9458" t="inlineStr">
        <is>
          <t>2026-09-23</t>
        </is>
      </c>
      <c r="B9458" t="inlineStr">
        <is>
          <t>F276486</t>
        </is>
      </c>
      <c r="C9458" t="inlineStr">
        <is>
          <t>C10872</t>
        </is>
      </c>
      <c r="D9458" t="inlineStr">
        <is>
          <t>SKU-10351</t>
        </is>
      </c>
      <c r="E9458" t="inlineStr">
        <is>
          <t>AM08</t>
        </is>
      </c>
      <c r="F9458" s="5" t="n">
        <v>1120.93</v>
      </c>
      <c r="G9458">
        <f>IF(LEFT(B9458,1)="C","Credit","Factuur")</f>
        <v/>
      </c>
      <c r="H9458">
        <f>IF(AND(B9458=B9457,D9458=D9457,A9458=A9457,F9458=F9457),1,0)</f>
        <v/>
      </c>
      <c r="I9458">
        <f>IF(C9458="C99999",1,0)</f>
        <v/>
      </c>
      <c r="J9458" s="5">
        <f>IF(OR(H9458=1,I9458=1),0,IF(G9458="Credit",-F9458,F9458))</f>
        <v/>
      </c>
    </row>
    <row r="9459">
      <c r="A9459" t="inlineStr">
        <is>
          <t>2026-09-23</t>
        </is>
      </c>
      <c r="B9459" t="inlineStr">
        <is>
          <t>F276513</t>
        </is>
      </c>
      <c r="C9459" t="inlineStr">
        <is>
          <t>C10874</t>
        </is>
      </c>
      <c r="D9459" t="inlineStr">
        <is>
          <t>SKU-10036</t>
        </is>
      </c>
      <c r="E9459" t="inlineStr">
        <is>
          <t>AM03</t>
        </is>
      </c>
      <c r="F9459" s="5" t="n">
        <v>1643.17</v>
      </c>
      <c r="G9459">
        <f>IF(LEFT(B9459,1)="C","Credit","Factuur")</f>
        <v/>
      </c>
      <c r="H9459">
        <f>IF(AND(B9459=B9458,D9459=D9458,A9459=A9458,F9459=F9458),1,0)</f>
        <v/>
      </c>
      <c r="I9459">
        <f>IF(C9459="C99999",1,0)</f>
        <v/>
      </c>
      <c r="J9459" s="5">
        <f>IF(OR(H9459=1,I9459=1),0,IF(G9459="Credit",-F9459,F9459))</f>
        <v/>
      </c>
    </row>
    <row r="9460">
      <c r="A9460" t="inlineStr">
        <is>
          <t>2026-09-23</t>
        </is>
      </c>
      <c r="B9460" t="inlineStr">
        <is>
          <t>F276513</t>
        </is>
      </c>
      <c r="C9460" t="inlineStr">
        <is>
          <t>C10874</t>
        </is>
      </c>
      <c r="D9460" t="inlineStr">
        <is>
          <t>SKU-10092</t>
        </is>
      </c>
      <c r="E9460" t="inlineStr">
        <is>
          <t>AM03</t>
        </is>
      </c>
      <c r="F9460" s="5" t="n">
        <v>1715.5</v>
      </c>
      <c r="G9460">
        <f>IF(LEFT(B9460,1)="C","Credit","Factuur")</f>
        <v/>
      </c>
      <c r="H9460">
        <f>IF(AND(B9460=B9459,D9460=D9459,A9460=A9459,F9460=F9459),1,0)</f>
        <v/>
      </c>
      <c r="I9460">
        <f>IF(C9460="C99999",1,0)</f>
        <v/>
      </c>
      <c r="J9460" s="5">
        <f>IF(OR(H9460=1,I9460=1),0,IF(G9460="Credit",-F9460,F9460))</f>
        <v/>
      </c>
    </row>
    <row r="9461">
      <c r="A9461" t="inlineStr">
        <is>
          <t>2026-09-23</t>
        </is>
      </c>
      <c r="B9461" t="inlineStr">
        <is>
          <t>F276513</t>
        </is>
      </c>
      <c r="C9461" t="inlineStr">
        <is>
          <t>C10874</t>
        </is>
      </c>
      <c r="D9461" t="inlineStr">
        <is>
          <t>SKU-10173</t>
        </is>
      </c>
      <c r="E9461" t="inlineStr">
        <is>
          <t>AM03</t>
        </is>
      </c>
      <c r="F9461" s="5" t="n">
        <v>1720</v>
      </c>
      <c r="G9461">
        <f>IF(LEFT(B9461,1)="C","Credit","Factuur")</f>
        <v/>
      </c>
      <c r="H9461">
        <f>IF(AND(B9461=B9460,D9461=D9460,A9461=A9460,F9461=F9460),1,0)</f>
        <v/>
      </c>
      <c r="I9461">
        <f>IF(C9461="C99999",1,0)</f>
        <v/>
      </c>
      <c r="J9461" s="5">
        <f>IF(OR(H9461=1,I9461=1),0,IF(G9461="Credit",-F9461,F9461))</f>
        <v/>
      </c>
    </row>
    <row r="9462">
      <c r="A9462" t="inlineStr">
        <is>
          <t>2026-09-23</t>
        </is>
      </c>
      <c r="B9462" t="inlineStr">
        <is>
          <t>F276675</t>
        </is>
      </c>
      <c r="C9462" t="inlineStr">
        <is>
          <t>C10884</t>
        </is>
      </c>
      <c r="D9462" t="inlineStr">
        <is>
          <t>SKU-10025</t>
        </is>
      </c>
      <c r="E9462" t="inlineStr">
        <is>
          <t>AM12</t>
        </is>
      </c>
      <c r="F9462" s="5" t="n">
        <v>1053.95</v>
      </c>
      <c r="G9462">
        <f>IF(LEFT(B9462,1)="C","Credit","Factuur")</f>
        <v/>
      </c>
      <c r="H9462">
        <f>IF(AND(B9462=B9461,D9462=D9461,A9462=A9461,F9462=F9461),1,0)</f>
        <v/>
      </c>
      <c r="I9462">
        <f>IF(C9462="C99999",1,0)</f>
        <v/>
      </c>
      <c r="J9462" s="5">
        <f>IF(OR(H9462=1,I9462=1),0,IF(G9462="Credit",-F9462,F9462))</f>
        <v/>
      </c>
    </row>
    <row r="9463">
      <c r="A9463" t="inlineStr">
        <is>
          <t>2026-09-23</t>
        </is>
      </c>
      <c r="B9463" t="inlineStr">
        <is>
          <t>F276699</t>
        </is>
      </c>
      <c r="C9463" t="inlineStr">
        <is>
          <t>C10885</t>
        </is>
      </c>
      <c r="D9463" t="inlineStr">
        <is>
          <t>SKU-10311</t>
        </is>
      </c>
      <c r="E9463" t="inlineStr">
        <is>
          <t>AM02</t>
        </is>
      </c>
      <c r="F9463" s="5" t="n">
        <v>720.79</v>
      </c>
      <c r="G9463">
        <f>IF(LEFT(B9463,1)="C","Credit","Factuur")</f>
        <v/>
      </c>
      <c r="H9463">
        <f>IF(AND(B9463=B9462,D9463=D9462,A9463=A9462,F9463=F9462),1,0)</f>
        <v/>
      </c>
      <c r="I9463">
        <f>IF(C9463="C99999",1,0)</f>
        <v/>
      </c>
      <c r="J9463" s="5">
        <f>IF(OR(H9463=1,I9463=1),0,IF(G9463="Credit",-F9463,F9463))</f>
        <v/>
      </c>
    </row>
    <row r="9464">
      <c r="A9464" t="inlineStr">
        <is>
          <t>2026-09-23</t>
        </is>
      </c>
      <c r="B9464" t="inlineStr">
        <is>
          <t>F276699</t>
        </is>
      </c>
      <c r="C9464" t="inlineStr">
        <is>
          <t>C10885</t>
        </is>
      </c>
      <c r="D9464" t="inlineStr">
        <is>
          <t>SKU-10320</t>
        </is>
      </c>
      <c r="E9464" t="inlineStr">
        <is>
          <t>AM02</t>
        </is>
      </c>
      <c r="F9464" s="5" t="n">
        <v>714.89</v>
      </c>
      <c r="G9464">
        <f>IF(LEFT(B9464,1)="C","Credit","Factuur")</f>
        <v/>
      </c>
      <c r="H9464">
        <f>IF(AND(B9464=B9463,D9464=D9463,A9464=A9463,F9464=F9463),1,0)</f>
        <v/>
      </c>
      <c r="I9464">
        <f>IF(C9464="C99999",1,0)</f>
        <v/>
      </c>
      <c r="J9464" s="5">
        <f>IF(OR(H9464=1,I9464=1),0,IF(G9464="Credit",-F9464,F9464))</f>
        <v/>
      </c>
    </row>
    <row r="9465">
      <c r="A9465" t="inlineStr">
        <is>
          <t>2026-09-23</t>
        </is>
      </c>
      <c r="B9465" t="inlineStr">
        <is>
          <t>F276699</t>
        </is>
      </c>
      <c r="C9465" t="inlineStr">
        <is>
          <t>C10885</t>
        </is>
      </c>
      <c r="D9465" t="inlineStr">
        <is>
          <t>SKU-10341</t>
        </is>
      </c>
      <c r="E9465" t="inlineStr">
        <is>
          <t>AM02</t>
        </is>
      </c>
      <c r="F9465" s="5" t="n">
        <v>724.3200000000001</v>
      </c>
      <c r="G9465">
        <f>IF(LEFT(B9465,1)="C","Credit","Factuur")</f>
        <v/>
      </c>
      <c r="H9465">
        <f>IF(AND(B9465=B9464,D9465=D9464,A9465=A9464,F9465=F9464),1,0)</f>
        <v/>
      </c>
      <c r="I9465">
        <f>IF(C9465="C99999",1,0)</f>
        <v/>
      </c>
      <c r="J9465" s="5">
        <f>IF(OR(H9465=1,I9465=1),0,IF(G9465="Credit",-F9465,F9465))</f>
        <v/>
      </c>
    </row>
    <row r="9466">
      <c r="A9466" t="inlineStr">
        <is>
          <t>2026-09-23</t>
        </is>
      </c>
      <c r="B9466" t="inlineStr">
        <is>
          <t>F277213</t>
        </is>
      </c>
      <c r="C9466" t="inlineStr">
        <is>
          <t>C10914</t>
        </is>
      </c>
      <c r="D9466" t="inlineStr">
        <is>
          <t>SKU-10060</t>
        </is>
      </c>
      <c r="E9466" t="inlineStr">
        <is>
          <t>AM01</t>
        </is>
      </c>
      <c r="F9466" s="5" t="n">
        <v>220.5</v>
      </c>
      <c r="G9466">
        <f>IF(LEFT(B9466,1)="C","Credit","Factuur")</f>
        <v/>
      </c>
      <c r="H9466">
        <f>IF(AND(B9466=B9465,D9466=D9465,A9466=A9465,F9466=F9465),1,0)</f>
        <v/>
      </c>
      <c r="I9466">
        <f>IF(C9466="C99999",1,0)</f>
        <v/>
      </c>
      <c r="J9466" s="5">
        <f>IF(OR(H9466=1,I9466=1),0,IF(G9466="Credit",-F9466,F9466))</f>
        <v/>
      </c>
    </row>
    <row r="9467">
      <c r="A9467" t="inlineStr">
        <is>
          <t>2026-09-23</t>
        </is>
      </c>
      <c r="B9467" t="inlineStr">
        <is>
          <t>F277213</t>
        </is>
      </c>
      <c r="C9467" t="inlineStr">
        <is>
          <t>C10914</t>
        </is>
      </c>
      <c r="D9467" t="inlineStr">
        <is>
          <t>SKU-10069</t>
        </is>
      </c>
      <c r="E9467" t="inlineStr">
        <is>
          <t>AM01</t>
        </is>
      </c>
      <c r="F9467" s="5" t="n">
        <v>238.35</v>
      </c>
      <c r="G9467">
        <f>IF(LEFT(B9467,1)="C","Credit","Factuur")</f>
        <v/>
      </c>
      <c r="H9467">
        <f>IF(AND(B9467=B9466,D9467=D9466,A9467=A9466,F9467=F9466),1,0)</f>
        <v/>
      </c>
      <c r="I9467">
        <f>IF(C9467="C99999",1,0)</f>
        <v/>
      </c>
      <c r="J9467" s="5">
        <f>IF(OR(H9467=1,I9467=1),0,IF(G9467="Credit",-F9467,F9467))</f>
        <v/>
      </c>
    </row>
    <row r="9468">
      <c r="A9468" t="inlineStr">
        <is>
          <t>2026-09-23</t>
        </is>
      </c>
      <c r="B9468" t="inlineStr">
        <is>
          <t>F277514</t>
        </is>
      </c>
      <c r="C9468" t="inlineStr">
        <is>
          <t>C10930</t>
        </is>
      </c>
      <c r="D9468" t="inlineStr">
        <is>
          <t>SKU-10090</t>
        </is>
      </c>
      <c r="E9468" t="inlineStr">
        <is>
          <t>AM02</t>
        </is>
      </c>
      <c r="F9468" s="5" t="n">
        <v>1575.86</v>
      </c>
      <c r="G9468">
        <f>IF(LEFT(B9468,1)="C","Credit","Factuur")</f>
        <v/>
      </c>
      <c r="H9468">
        <f>IF(AND(B9468=B9467,D9468=D9467,A9468=A9467,F9468=F9467),1,0)</f>
        <v/>
      </c>
      <c r="I9468">
        <f>IF(C9468="C99999",1,0)</f>
        <v/>
      </c>
      <c r="J9468" s="5">
        <f>IF(OR(H9468=1,I9468=1),0,IF(G9468="Credit",-F9468,F9468))</f>
        <v/>
      </c>
    </row>
    <row r="9469">
      <c r="A9469" t="inlineStr">
        <is>
          <t>2026-09-23</t>
        </is>
      </c>
      <c r="B9469" t="inlineStr">
        <is>
          <t>F277514</t>
        </is>
      </c>
      <c r="C9469" t="inlineStr">
        <is>
          <t>C10930</t>
        </is>
      </c>
      <c r="D9469" t="inlineStr">
        <is>
          <t>SKU-10151</t>
        </is>
      </c>
      <c r="E9469" t="inlineStr">
        <is>
          <t>AM02</t>
        </is>
      </c>
      <c r="F9469" s="5" t="n">
        <v>1652.62</v>
      </c>
      <c r="G9469">
        <f>IF(LEFT(B9469,1)="C","Credit","Factuur")</f>
        <v/>
      </c>
      <c r="H9469">
        <f>IF(AND(B9469=B9468,D9469=D9468,A9469=A9468,F9469=F9468),1,0)</f>
        <v/>
      </c>
      <c r="I9469">
        <f>IF(C9469="C99999",1,0)</f>
        <v/>
      </c>
      <c r="J9469" s="5">
        <f>IF(OR(H9469=1,I9469=1),0,IF(G9469="Credit",-F9469,F9469))</f>
        <v/>
      </c>
    </row>
    <row r="9470">
      <c r="A9470" t="inlineStr">
        <is>
          <t>2026-09-23</t>
        </is>
      </c>
      <c r="B9470" t="inlineStr">
        <is>
          <t>F277514</t>
        </is>
      </c>
      <c r="C9470" t="inlineStr">
        <is>
          <t>C10930</t>
        </is>
      </c>
      <c r="D9470" t="inlineStr">
        <is>
          <t>SKU-10345</t>
        </is>
      </c>
      <c r="E9470" t="inlineStr">
        <is>
          <t>AM02</t>
        </is>
      </c>
      <c r="F9470" s="5" t="n">
        <v>1661.06</v>
      </c>
      <c r="G9470">
        <f>IF(LEFT(B9470,1)="C","Credit","Factuur")</f>
        <v/>
      </c>
      <c r="H9470">
        <f>IF(AND(B9470=B9469,D9470=D9469,A9470=A9469,F9470=F9469),1,0)</f>
        <v/>
      </c>
      <c r="I9470">
        <f>IF(C9470="C99999",1,0)</f>
        <v/>
      </c>
      <c r="J9470" s="5">
        <f>IF(OR(H9470=1,I9470=1),0,IF(G9470="Credit",-F9470,F9470))</f>
        <v/>
      </c>
    </row>
    <row r="9471">
      <c r="A9471" t="inlineStr">
        <is>
          <t>2026-09-23</t>
        </is>
      </c>
      <c r="B9471" t="inlineStr">
        <is>
          <t>F279052</t>
        </is>
      </c>
      <c r="C9471" t="inlineStr">
        <is>
          <t>C11008</t>
        </is>
      </c>
      <c r="D9471" t="inlineStr">
        <is>
          <t>SKU-10341</t>
        </is>
      </c>
      <c r="E9471" t="inlineStr">
        <is>
          <t>AM02</t>
        </is>
      </c>
      <c r="F9471" s="5" t="n">
        <v>764.5599999999999</v>
      </c>
      <c r="G9471">
        <f>IF(LEFT(B9471,1)="C","Credit","Factuur")</f>
        <v/>
      </c>
      <c r="H9471">
        <f>IF(AND(B9471=B9470,D9471=D9470,A9471=A9470,F9471=F9470),1,0)</f>
        <v/>
      </c>
      <c r="I9471">
        <f>IF(C9471="C99999",1,0)</f>
        <v/>
      </c>
      <c r="J9471" s="5">
        <f>IF(OR(H9471=1,I9471=1),0,IF(G9471="Credit",-F9471,F9471))</f>
        <v/>
      </c>
    </row>
    <row r="9472">
      <c r="A9472" t="inlineStr">
        <is>
          <t>2026-09-23</t>
        </is>
      </c>
      <c r="B9472" t="inlineStr">
        <is>
          <t>F279722</t>
        </is>
      </c>
      <c r="C9472" t="inlineStr">
        <is>
          <t>C11046</t>
        </is>
      </c>
      <c r="D9472" t="inlineStr">
        <is>
          <t>SKU-10112</t>
        </is>
      </c>
      <c r="E9472" t="inlineStr">
        <is>
          <t>AM11</t>
        </is>
      </c>
      <c r="F9472" s="5" t="n">
        <v>1402.2</v>
      </c>
      <c r="G9472">
        <f>IF(LEFT(B9472,1)="C","Credit","Factuur")</f>
        <v/>
      </c>
      <c r="H9472">
        <f>IF(AND(B9472=B9471,D9472=D9471,A9472=A9471,F9472=F9471),1,0)</f>
        <v/>
      </c>
      <c r="I9472">
        <f>IF(C9472="C99999",1,0)</f>
        <v/>
      </c>
      <c r="J9472" s="5">
        <f>IF(OR(H9472=1,I9472=1),0,IF(G9472="Credit",-F9472,F9472))</f>
        <v/>
      </c>
    </row>
    <row r="9473">
      <c r="A9473" t="inlineStr">
        <is>
          <t>2026-09-23</t>
        </is>
      </c>
      <c r="B9473" t="inlineStr">
        <is>
          <t>F279722</t>
        </is>
      </c>
      <c r="C9473" t="inlineStr">
        <is>
          <t>C11046</t>
        </is>
      </c>
      <c r="D9473" t="inlineStr">
        <is>
          <t>SKU-10195</t>
        </is>
      </c>
      <c r="E9473" t="inlineStr">
        <is>
          <t>AM11</t>
        </is>
      </c>
      <c r="F9473" s="5" t="n">
        <v>1401</v>
      </c>
      <c r="G9473">
        <f>IF(LEFT(B9473,1)="C","Credit","Factuur")</f>
        <v/>
      </c>
      <c r="H9473">
        <f>IF(AND(B9473=B9472,D9473=D9472,A9473=A9472,F9473=F9472),1,0)</f>
        <v/>
      </c>
      <c r="I9473">
        <f>IF(C9473="C99999",1,0)</f>
        <v/>
      </c>
      <c r="J9473" s="5">
        <f>IF(OR(H9473=1,I9473=1),0,IF(G9473="Credit",-F9473,F9473))</f>
        <v/>
      </c>
    </row>
    <row r="9474">
      <c r="A9474" t="inlineStr">
        <is>
          <t>2026-09-23</t>
        </is>
      </c>
      <c r="B9474" t="inlineStr">
        <is>
          <t>F280787</t>
        </is>
      </c>
      <c r="C9474" t="inlineStr">
        <is>
          <t>C11096</t>
        </is>
      </c>
      <c r="D9474" t="inlineStr">
        <is>
          <t>SKU-10322</t>
        </is>
      </c>
      <c r="E9474" t="inlineStr">
        <is>
          <t>AM11</t>
        </is>
      </c>
      <c r="F9474" s="5" t="n">
        <v>759.08</v>
      </c>
      <c r="G9474">
        <f>IF(LEFT(B9474,1)="C","Credit","Factuur")</f>
        <v/>
      </c>
      <c r="H9474">
        <f>IF(AND(B9474=B9473,D9474=D9473,A9474=A9473,F9474=F9473),1,0)</f>
        <v/>
      </c>
      <c r="I9474">
        <f>IF(C9474="C99999",1,0)</f>
        <v/>
      </c>
      <c r="J9474" s="5">
        <f>IF(OR(H9474=1,I9474=1),0,IF(G9474="Credit",-F9474,F9474))</f>
        <v/>
      </c>
    </row>
    <row r="9475">
      <c r="A9475" t="inlineStr">
        <is>
          <t>2026-09-23</t>
        </is>
      </c>
      <c r="B9475" t="inlineStr">
        <is>
          <t>F280787</t>
        </is>
      </c>
      <c r="C9475" t="inlineStr">
        <is>
          <t>C11096</t>
        </is>
      </c>
      <c r="D9475" t="inlineStr">
        <is>
          <t>SKU-10327</t>
        </is>
      </c>
      <c r="E9475" t="inlineStr">
        <is>
          <t>AM11</t>
        </is>
      </c>
      <c r="F9475" s="5" t="n">
        <v>763.95</v>
      </c>
      <c r="G9475">
        <f>IF(LEFT(B9475,1)="C","Credit","Factuur")</f>
        <v/>
      </c>
      <c r="H9475">
        <f>IF(AND(B9475=B9474,D9475=D9474,A9475=A9474,F9475=F9474),1,0)</f>
        <v/>
      </c>
      <c r="I9475">
        <f>IF(C9475="C99999",1,0)</f>
        <v/>
      </c>
      <c r="J9475" s="5">
        <f>IF(OR(H9475=1,I9475=1),0,IF(G9475="Credit",-F9475,F9475))</f>
        <v/>
      </c>
    </row>
    <row r="9476">
      <c r="A9476" t="inlineStr">
        <is>
          <t>2026-09-23</t>
        </is>
      </c>
      <c r="B9476" t="inlineStr">
        <is>
          <t>F280923</t>
        </is>
      </c>
      <c r="C9476" t="inlineStr">
        <is>
          <t>C11103</t>
        </is>
      </c>
      <c r="D9476" t="inlineStr">
        <is>
          <t>SKU-10340</t>
        </is>
      </c>
      <c r="E9476" t="inlineStr">
        <is>
          <t>AM02</t>
        </is>
      </c>
      <c r="F9476" s="5" t="n">
        <v>614.64</v>
      </c>
      <c r="G9476">
        <f>IF(LEFT(B9476,1)="C","Credit","Factuur")</f>
        <v/>
      </c>
      <c r="H9476">
        <f>IF(AND(B9476=B9475,D9476=D9475,A9476=A9475,F9476=F9475),1,0)</f>
        <v/>
      </c>
      <c r="I9476">
        <f>IF(C9476="C99999",1,0)</f>
        <v/>
      </c>
      <c r="J9476" s="5">
        <f>IF(OR(H9476=1,I9476=1),0,IF(G9476="Credit",-F9476,F9476))</f>
        <v/>
      </c>
    </row>
    <row r="9477">
      <c r="A9477" t="inlineStr">
        <is>
          <t>2026-09-23</t>
        </is>
      </c>
      <c r="B9477" t="inlineStr">
        <is>
          <t>F281799</t>
        </is>
      </c>
      <c r="C9477" t="inlineStr">
        <is>
          <t>C11147</t>
        </is>
      </c>
      <c r="D9477" t="inlineStr">
        <is>
          <t>SKU-10006</t>
        </is>
      </c>
      <c r="E9477" t="inlineStr">
        <is>
          <t>AM08</t>
        </is>
      </c>
      <c r="F9477" s="5" t="n">
        <v>139.2</v>
      </c>
      <c r="G9477">
        <f>IF(LEFT(B9477,1)="C","Credit","Factuur")</f>
        <v/>
      </c>
      <c r="H9477">
        <f>IF(AND(B9477=B9476,D9477=D9476,A9477=A9476,F9477=F9476),1,0)</f>
        <v/>
      </c>
      <c r="I9477">
        <f>IF(C9477="C99999",1,0)</f>
        <v/>
      </c>
      <c r="J9477" s="5">
        <f>IF(OR(H9477=1,I9477=1),0,IF(G9477="Credit",-F9477,F9477))</f>
        <v/>
      </c>
    </row>
    <row r="9478">
      <c r="A9478" t="inlineStr">
        <is>
          <t>2026-09-23</t>
        </is>
      </c>
      <c r="B9478" t="inlineStr">
        <is>
          <t>F281799</t>
        </is>
      </c>
      <c r="C9478" t="inlineStr">
        <is>
          <t>C11147</t>
        </is>
      </c>
      <c r="D9478" t="inlineStr">
        <is>
          <t>SKU-10031</t>
        </is>
      </c>
      <c r="E9478" t="inlineStr">
        <is>
          <t>AM08</t>
        </is>
      </c>
      <c r="F9478" s="5" t="n">
        <v>131.27</v>
      </c>
      <c r="G9478">
        <f>IF(LEFT(B9478,1)="C","Credit","Factuur")</f>
        <v/>
      </c>
      <c r="H9478">
        <f>IF(AND(B9478=B9477,D9478=D9477,A9478=A9477,F9478=F9477),1,0)</f>
        <v/>
      </c>
      <c r="I9478">
        <f>IF(C9478="C99999",1,0)</f>
        <v/>
      </c>
      <c r="J9478" s="5">
        <f>IF(OR(H9478=1,I9478=1),0,IF(G9478="Credit",-F9478,F9478))</f>
        <v/>
      </c>
    </row>
    <row r="9479">
      <c r="A9479" t="inlineStr">
        <is>
          <t>2026-09-23</t>
        </is>
      </c>
      <c r="B9479" t="inlineStr">
        <is>
          <t>F281799</t>
        </is>
      </c>
      <c r="C9479" t="inlineStr">
        <is>
          <t>C11147</t>
        </is>
      </c>
      <c r="D9479" t="inlineStr">
        <is>
          <t>SKU-10040</t>
        </is>
      </c>
      <c r="E9479" t="inlineStr">
        <is>
          <t>AM08</t>
        </is>
      </c>
      <c r="F9479" s="5" t="n">
        <v>118.96</v>
      </c>
      <c r="G9479">
        <f>IF(LEFT(B9479,1)="C","Credit","Factuur")</f>
        <v/>
      </c>
      <c r="H9479">
        <f>IF(AND(B9479=B9478,D9479=D9478,A9479=A9478,F9479=F9478),1,0)</f>
        <v/>
      </c>
      <c r="I9479">
        <f>IF(C9479="C99999",1,0)</f>
        <v/>
      </c>
      <c r="J9479" s="5">
        <f>IF(OR(H9479=1,I9479=1),0,IF(G9479="Credit",-F9479,F9479))</f>
        <v/>
      </c>
    </row>
    <row r="9480">
      <c r="A9480" t="inlineStr">
        <is>
          <t>2026-09-23</t>
        </is>
      </c>
      <c r="B9480" t="inlineStr">
        <is>
          <t>F281799</t>
        </is>
      </c>
      <c r="C9480" t="inlineStr">
        <is>
          <t>C11147</t>
        </is>
      </c>
      <c r="D9480" t="inlineStr">
        <is>
          <t>SKU-10341</t>
        </is>
      </c>
      <c r="E9480" t="inlineStr">
        <is>
          <t>AM08</t>
        </is>
      </c>
      <c r="F9480" s="5" t="n">
        <v>120.72</v>
      </c>
      <c r="G9480">
        <f>IF(LEFT(B9480,1)="C","Credit","Factuur")</f>
        <v/>
      </c>
      <c r="H9480">
        <f>IF(AND(B9480=B9479,D9480=D9479,A9480=A9479,F9480=F9479),1,0)</f>
        <v/>
      </c>
      <c r="I9480">
        <f>IF(C9480="C99999",1,0)</f>
        <v/>
      </c>
      <c r="J9480" s="5">
        <f>IF(OR(H9480=1,I9480=1),0,IF(G9480="Credit",-F9480,F9480))</f>
        <v/>
      </c>
    </row>
    <row r="9481">
      <c r="A9481" t="inlineStr">
        <is>
          <t>2026-09-23</t>
        </is>
      </c>
      <c r="B9481" t="inlineStr">
        <is>
          <t>F281866</t>
        </is>
      </c>
      <c r="C9481" t="inlineStr">
        <is>
          <t>C11152</t>
        </is>
      </c>
      <c r="D9481" t="inlineStr">
        <is>
          <t>SKU-10080</t>
        </is>
      </c>
      <c r="E9481" t="inlineStr">
        <is>
          <t>AM06</t>
        </is>
      </c>
      <c r="F9481" s="5" t="n">
        <v>291.69</v>
      </c>
      <c r="G9481">
        <f>IF(LEFT(B9481,1)="C","Credit","Factuur")</f>
        <v/>
      </c>
      <c r="H9481">
        <f>IF(AND(B9481=B9480,D9481=D9480,A9481=A9480,F9481=F9480),1,0)</f>
        <v/>
      </c>
      <c r="I9481">
        <f>IF(C9481="C99999",1,0)</f>
        <v/>
      </c>
      <c r="J9481" s="5">
        <f>IF(OR(H9481=1,I9481=1),0,IF(G9481="Credit",-F9481,F9481))</f>
        <v/>
      </c>
    </row>
    <row r="9482">
      <c r="A9482" t="inlineStr">
        <is>
          <t>2026-09-23</t>
        </is>
      </c>
      <c r="B9482" t="inlineStr">
        <is>
          <t>F282141</t>
        </is>
      </c>
      <c r="C9482" t="inlineStr">
        <is>
          <t>C11163</t>
        </is>
      </c>
      <c r="D9482" t="inlineStr">
        <is>
          <t>SKU-10057</t>
        </is>
      </c>
      <c r="E9482" t="inlineStr">
        <is>
          <t>AM01</t>
        </is>
      </c>
      <c r="F9482" s="5" t="n">
        <v>42.75</v>
      </c>
      <c r="G9482">
        <f>IF(LEFT(B9482,1)="C","Credit","Factuur")</f>
        <v/>
      </c>
      <c r="H9482">
        <f>IF(AND(B9482=B9481,D9482=D9481,A9482=A9481,F9482=F9481),1,0)</f>
        <v/>
      </c>
      <c r="I9482">
        <f>IF(C9482="C99999",1,0)</f>
        <v/>
      </c>
      <c r="J9482" s="5">
        <f>IF(OR(H9482=1,I9482=1),0,IF(G9482="Credit",-F9482,F9482))</f>
        <v/>
      </c>
    </row>
    <row r="9483">
      <c r="A9483" t="inlineStr">
        <is>
          <t>2026-09-23</t>
        </is>
      </c>
      <c r="B9483" t="inlineStr">
        <is>
          <t>F282141</t>
        </is>
      </c>
      <c r="C9483" t="inlineStr">
        <is>
          <t>C11163</t>
        </is>
      </c>
      <c r="D9483" t="inlineStr">
        <is>
          <t>SKU-10077</t>
        </is>
      </c>
      <c r="E9483" t="inlineStr">
        <is>
          <t>AM01</t>
        </is>
      </c>
      <c r="F9483" s="5" t="n">
        <v>45.18</v>
      </c>
      <c r="G9483">
        <f>IF(LEFT(B9483,1)="C","Credit","Factuur")</f>
        <v/>
      </c>
      <c r="H9483">
        <f>IF(AND(B9483=B9482,D9483=D9482,A9483=A9482,F9483=F9482),1,0)</f>
        <v/>
      </c>
      <c r="I9483">
        <f>IF(C9483="C99999",1,0)</f>
        <v/>
      </c>
      <c r="J9483" s="5">
        <f>IF(OR(H9483=1,I9483=1),0,IF(G9483="Credit",-F9483,F9483))</f>
        <v/>
      </c>
    </row>
    <row r="9484">
      <c r="A9484" t="inlineStr">
        <is>
          <t>2026-09-23</t>
        </is>
      </c>
      <c r="B9484" t="inlineStr">
        <is>
          <t>F282141</t>
        </is>
      </c>
      <c r="C9484" t="inlineStr">
        <is>
          <t>C11163</t>
        </is>
      </c>
      <c r="D9484" t="inlineStr">
        <is>
          <t>SKU-10161</t>
        </is>
      </c>
      <c r="E9484" t="inlineStr">
        <is>
          <t>AM01</t>
        </is>
      </c>
      <c r="F9484" s="5" t="n">
        <v>32.1</v>
      </c>
      <c r="G9484">
        <f>IF(LEFT(B9484,1)="C","Credit","Factuur")</f>
        <v/>
      </c>
      <c r="H9484">
        <f>IF(AND(B9484=B9483,D9484=D9483,A9484=A9483,F9484=F9483),1,0)</f>
        <v/>
      </c>
      <c r="I9484">
        <f>IF(C9484="C99999",1,0)</f>
        <v/>
      </c>
      <c r="J9484" s="5">
        <f>IF(OR(H9484=1,I9484=1),0,IF(G9484="Credit",-F9484,F9484))</f>
        <v/>
      </c>
    </row>
    <row r="9485">
      <c r="A9485" t="inlineStr">
        <is>
          <t>2026-09-23</t>
        </is>
      </c>
      <c r="B9485" t="inlineStr">
        <is>
          <t>F282141</t>
        </is>
      </c>
      <c r="C9485" t="inlineStr">
        <is>
          <t>C11163</t>
        </is>
      </c>
      <c r="D9485" t="inlineStr">
        <is>
          <t>SKU-10209</t>
        </is>
      </c>
      <c r="E9485" t="inlineStr">
        <is>
          <t>AM01</t>
        </is>
      </c>
      <c r="F9485" s="5" t="n">
        <v>33.92</v>
      </c>
      <c r="G9485">
        <f>IF(LEFT(B9485,1)="C","Credit","Factuur")</f>
        <v/>
      </c>
      <c r="H9485">
        <f>IF(AND(B9485=B9484,D9485=D9484,A9485=A9484,F9485=F9484),1,0)</f>
        <v/>
      </c>
      <c r="I9485">
        <f>IF(C9485="C99999",1,0)</f>
        <v/>
      </c>
      <c r="J9485" s="5">
        <f>IF(OR(H9485=1,I9485=1),0,IF(G9485="Credit",-F9485,F9485))</f>
        <v/>
      </c>
    </row>
    <row r="9486">
      <c r="A9486" t="inlineStr">
        <is>
          <t>2026-09-23</t>
        </is>
      </c>
      <c r="B9486" t="inlineStr">
        <is>
          <t>F282776</t>
        </is>
      </c>
      <c r="C9486" t="inlineStr">
        <is>
          <t>C11196</t>
        </is>
      </c>
      <c r="D9486" t="inlineStr">
        <is>
          <t>SKU-10046</t>
        </is>
      </c>
      <c r="E9486" t="inlineStr">
        <is>
          <t>AM08</t>
        </is>
      </c>
      <c r="F9486" s="5" t="n">
        <v>126.24</v>
      </c>
      <c r="G9486">
        <f>IF(LEFT(B9486,1)="C","Credit","Factuur")</f>
        <v/>
      </c>
      <c r="H9486">
        <f>IF(AND(B9486=B9485,D9486=D9485,A9486=A9485,F9486=F9485),1,0)</f>
        <v/>
      </c>
      <c r="I9486">
        <f>IF(C9486="C99999",1,0)</f>
        <v/>
      </c>
      <c r="J9486" s="5">
        <f>IF(OR(H9486=1,I9486=1),0,IF(G9486="Credit",-F9486,F9486))</f>
        <v/>
      </c>
    </row>
    <row r="9487">
      <c r="A9487" t="inlineStr">
        <is>
          <t>2026-09-23</t>
        </is>
      </c>
      <c r="B9487" t="inlineStr">
        <is>
          <t>F282776</t>
        </is>
      </c>
      <c r="C9487" t="inlineStr">
        <is>
          <t>C11196</t>
        </is>
      </c>
      <c r="D9487" t="inlineStr">
        <is>
          <t>SKU-10125</t>
        </is>
      </c>
      <c r="E9487" t="inlineStr">
        <is>
          <t>AM08</t>
        </is>
      </c>
      <c r="F9487" s="5" t="n">
        <v>121.46</v>
      </c>
      <c r="G9487">
        <f>IF(LEFT(B9487,1)="C","Credit","Factuur")</f>
        <v/>
      </c>
      <c r="H9487">
        <f>IF(AND(B9487=B9486,D9487=D9486,A9487=A9486,F9487=F9486),1,0)</f>
        <v/>
      </c>
      <c r="I9487">
        <f>IF(C9487="C99999",1,0)</f>
        <v/>
      </c>
      <c r="J9487" s="5">
        <f>IF(OR(H9487=1,I9487=1),0,IF(G9487="Credit",-F9487,F9487))</f>
        <v/>
      </c>
    </row>
    <row r="9488">
      <c r="A9488" t="inlineStr">
        <is>
          <t>2026-09-23</t>
        </is>
      </c>
      <c r="B9488" t="inlineStr">
        <is>
          <t>F282776</t>
        </is>
      </c>
      <c r="C9488" t="inlineStr">
        <is>
          <t>C11196</t>
        </is>
      </c>
      <c r="D9488" t="inlineStr">
        <is>
          <t>SKU-10167</t>
        </is>
      </c>
      <c r="E9488" t="inlineStr"/>
      <c r="F9488" s="5" t="n">
        <v>131.15</v>
      </c>
      <c r="G9488">
        <f>IF(LEFT(B9488,1)="C","Credit","Factuur")</f>
        <v/>
      </c>
      <c r="H9488">
        <f>IF(AND(B9488=B9487,D9488=D9487,A9488=A9487,F9488=F9487),1,0)</f>
        <v/>
      </c>
      <c r="I9488">
        <f>IF(C9488="C99999",1,0)</f>
        <v/>
      </c>
      <c r="J9488" s="5">
        <f>IF(OR(H9488=1,I9488=1),0,IF(G9488="Credit",-F9488,F9488))</f>
        <v/>
      </c>
    </row>
    <row r="9489">
      <c r="A9489" t="inlineStr">
        <is>
          <t>2026-09-23</t>
        </is>
      </c>
      <c r="B9489" t="inlineStr">
        <is>
          <t>F282776</t>
        </is>
      </c>
      <c r="C9489" t="inlineStr">
        <is>
          <t>C11196</t>
        </is>
      </c>
      <c r="D9489" t="inlineStr">
        <is>
          <t>SKU-10294</t>
        </is>
      </c>
      <c r="E9489" t="inlineStr">
        <is>
          <t>AM08</t>
        </is>
      </c>
      <c r="F9489" s="5" t="n">
        <v>105.08</v>
      </c>
      <c r="G9489">
        <f>IF(LEFT(B9489,1)="C","Credit","Factuur")</f>
        <v/>
      </c>
      <c r="H9489">
        <f>IF(AND(B9489=B9488,D9489=D9488,A9489=A9488,F9489=F9488),1,0)</f>
        <v/>
      </c>
      <c r="I9489">
        <f>IF(C9489="C99999",1,0)</f>
        <v/>
      </c>
      <c r="J9489" s="5">
        <f>IF(OR(H9489=1,I9489=1),0,IF(G9489="Credit",-F9489,F9489))</f>
        <v/>
      </c>
    </row>
    <row r="9490">
      <c r="A9490" t="inlineStr">
        <is>
          <t>2026-09-23</t>
        </is>
      </c>
      <c r="B9490" t="inlineStr">
        <is>
          <t>F282835</t>
        </is>
      </c>
      <c r="C9490" t="inlineStr">
        <is>
          <t>C11200</t>
        </is>
      </c>
      <c r="D9490" t="inlineStr">
        <is>
          <t>SKU-10043</t>
        </is>
      </c>
      <c r="E9490" t="inlineStr">
        <is>
          <t>AM11</t>
        </is>
      </c>
      <c r="F9490" s="5" t="n">
        <v>151.37</v>
      </c>
      <c r="G9490">
        <f>IF(LEFT(B9490,1)="C","Credit","Factuur")</f>
        <v/>
      </c>
      <c r="H9490">
        <f>IF(AND(B9490=B9489,D9490=D9489,A9490=A9489,F9490=F9489),1,0)</f>
        <v/>
      </c>
      <c r="I9490">
        <f>IF(C9490="C99999",1,0)</f>
        <v/>
      </c>
      <c r="J9490" s="5">
        <f>IF(OR(H9490=1,I9490=1),0,IF(G9490="Credit",-F9490,F9490))</f>
        <v/>
      </c>
    </row>
    <row r="9491">
      <c r="A9491" t="inlineStr">
        <is>
          <t>2026-09-23</t>
        </is>
      </c>
      <c r="B9491" t="inlineStr">
        <is>
          <t>F282835</t>
        </is>
      </c>
      <c r="C9491" t="inlineStr">
        <is>
          <t>C11200</t>
        </is>
      </c>
      <c r="D9491" t="inlineStr">
        <is>
          <t>SKU-10045</t>
        </is>
      </c>
      <c r="E9491" t="inlineStr">
        <is>
          <t>AM11</t>
        </is>
      </c>
      <c r="F9491" s="5" t="n">
        <v>165.37</v>
      </c>
      <c r="G9491">
        <f>IF(LEFT(B9491,1)="C","Credit","Factuur")</f>
        <v/>
      </c>
      <c r="H9491">
        <f>IF(AND(B9491=B9490,D9491=D9490,A9491=A9490,F9491=F9490),1,0)</f>
        <v/>
      </c>
      <c r="I9491">
        <f>IF(C9491="C99999",1,0)</f>
        <v/>
      </c>
      <c r="J9491" s="5">
        <f>IF(OR(H9491=1,I9491=1),0,IF(G9491="Credit",-F9491,F9491))</f>
        <v/>
      </c>
    </row>
    <row r="9492">
      <c r="A9492" t="inlineStr">
        <is>
          <t>2026-09-23</t>
        </is>
      </c>
      <c r="B9492" t="inlineStr">
        <is>
          <t>F282835</t>
        </is>
      </c>
      <c r="C9492" t="inlineStr">
        <is>
          <t>C11200</t>
        </is>
      </c>
      <c r="D9492" t="inlineStr">
        <is>
          <t>SKU-10056</t>
        </is>
      </c>
      <c r="E9492" t="inlineStr">
        <is>
          <t>AM11</t>
        </is>
      </c>
      <c r="F9492" s="5" t="n">
        <v>192</v>
      </c>
      <c r="G9492">
        <f>IF(LEFT(B9492,1)="C","Credit","Factuur")</f>
        <v/>
      </c>
      <c r="H9492">
        <f>IF(AND(B9492=B9491,D9492=D9491,A9492=A9491,F9492=F9491),1,0)</f>
        <v/>
      </c>
      <c r="I9492">
        <f>IF(C9492="C99999",1,0)</f>
        <v/>
      </c>
      <c r="J9492" s="5">
        <f>IF(OR(H9492=1,I9492=1),0,IF(G9492="Credit",-F9492,F9492))</f>
        <v/>
      </c>
    </row>
    <row r="9493">
      <c r="A9493" t="inlineStr">
        <is>
          <t>2026-09-23</t>
        </is>
      </c>
      <c r="B9493" t="inlineStr">
        <is>
          <t>F282835</t>
        </is>
      </c>
      <c r="C9493" t="inlineStr">
        <is>
          <t>C11200</t>
        </is>
      </c>
      <c r="D9493" t="inlineStr">
        <is>
          <t>SKU-10292</t>
        </is>
      </c>
      <c r="E9493" t="inlineStr">
        <is>
          <t>AM11</t>
        </is>
      </c>
      <c r="F9493" s="5" t="n">
        <v>184.22</v>
      </c>
      <c r="G9493">
        <f>IF(LEFT(B9493,1)="C","Credit","Factuur")</f>
        <v/>
      </c>
      <c r="H9493">
        <f>IF(AND(B9493=B9492,D9493=D9492,A9493=A9492,F9493=F9492),1,0)</f>
        <v/>
      </c>
      <c r="I9493">
        <f>IF(C9493="C99999",1,0)</f>
        <v/>
      </c>
      <c r="J9493" s="5">
        <f>IF(OR(H9493=1,I9493=1),0,IF(G9493="Credit",-F9493,F9493))</f>
        <v/>
      </c>
    </row>
    <row r="9494">
      <c r="A9494" t="inlineStr">
        <is>
          <t>2026-09-23</t>
        </is>
      </c>
      <c r="B9494" t="inlineStr">
        <is>
          <t>F282835</t>
        </is>
      </c>
      <c r="C9494" t="inlineStr">
        <is>
          <t>C11200</t>
        </is>
      </c>
      <c r="D9494" t="inlineStr">
        <is>
          <t>SKU-10376</t>
        </is>
      </c>
      <c r="E9494" t="inlineStr">
        <is>
          <t>AM11</t>
        </is>
      </c>
      <c r="F9494" s="5" t="n">
        <v>157.02</v>
      </c>
      <c r="G9494">
        <f>IF(LEFT(B9494,1)="C","Credit","Factuur")</f>
        <v/>
      </c>
      <c r="H9494">
        <f>IF(AND(B9494=B9493,D9494=D9493,A9494=A9493,F9494=F9493),1,0)</f>
        <v/>
      </c>
      <c r="I9494">
        <f>IF(C9494="C99999",1,0)</f>
        <v/>
      </c>
      <c r="J9494" s="5">
        <f>IF(OR(H9494=1,I9494=1),0,IF(G9494="Credit",-F9494,F9494))</f>
        <v/>
      </c>
    </row>
    <row r="9495">
      <c r="A9495" t="inlineStr">
        <is>
          <t>2026-09-23</t>
        </is>
      </c>
      <c r="B9495" t="inlineStr">
        <is>
          <t>F283166</t>
        </is>
      </c>
      <c r="C9495" t="inlineStr">
        <is>
          <t>C11219</t>
        </is>
      </c>
      <c r="D9495" t="inlineStr">
        <is>
          <t>SKU-10141</t>
        </is>
      </c>
      <c r="E9495" t="inlineStr">
        <is>
          <t>AM03</t>
        </is>
      </c>
      <c r="F9495" s="5" t="n">
        <v>159.15</v>
      </c>
      <c r="G9495">
        <f>IF(LEFT(B9495,1)="C","Credit","Factuur")</f>
        <v/>
      </c>
      <c r="H9495">
        <f>IF(AND(B9495=B9494,D9495=D9494,A9495=A9494,F9495=F9494),1,0)</f>
        <v/>
      </c>
      <c r="I9495">
        <f>IF(C9495="C99999",1,0)</f>
        <v/>
      </c>
      <c r="J9495" s="5">
        <f>IF(OR(H9495=1,I9495=1),0,IF(G9495="Credit",-F9495,F9495))</f>
        <v/>
      </c>
    </row>
    <row r="9496">
      <c r="A9496" t="inlineStr">
        <is>
          <t>2026-09-23</t>
        </is>
      </c>
      <c r="B9496" t="inlineStr">
        <is>
          <t>F283166</t>
        </is>
      </c>
      <c r="C9496" t="inlineStr">
        <is>
          <t>C11219</t>
        </is>
      </c>
      <c r="D9496" t="inlineStr">
        <is>
          <t>SKU-10235</t>
        </is>
      </c>
      <c r="E9496" t="inlineStr">
        <is>
          <t>AM03</t>
        </is>
      </c>
      <c r="F9496" s="5" t="n">
        <v>140.9</v>
      </c>
      <c r="G9496">
        <f>IF(LEFT(B9496,1)="C","Credit","Factuur")</f>
        <v/>
      </c>
      <c r="H9496">
        <f>IF(AND(B9496=B9495,D9496=D9495,A9496=A9495,F9496=F9495),1,0)</f>
        <v/>
      </c>
      <c r="I9496">
        <f>IF(C9496="C99999",1,0)</f>
        <v/>
      </c>
      <c r="J9496" s="5">
        <f>IF(OR(H9496=1,I9496=1),0,IF(G9496="Credit",-F9496,F9496))</f>
        <v/>
      </c>
    </row>
    <row r="9497">
      <c r="A9497" t="inlineStr">
        <is>
          <t>2026-09-23</t>
        </is>
      </c>
      <c r="B9497" t="inlineStr">
        <is>
          <t>F283166</t>
        </is>
      </c>
      <c r="C9497" t="inlineStr">
        <is>
          <t>C11219</t>
        </is>
      </c>
      <c r="D9497" t="inlineStr">
        <is>
          <t>SKU-10298</t>
        </is>
      </c>
      <c r="E9497" t="inlineStr">
        <is>
          <t>AM03</t>
        </is>
      </c>
      <c r="F9497" s="5" t="n">
        <v>150.6</v>
      </c>
      <c r="G9497">
        <f>IF(LEFT(B9497,1)="C","Credit","Factuur")</f>
        <v/>
      </c>
      <c r="H9497">
        <f>IF(AND(B9497=B9496,D9497=D9496,A9497=A9496,F9497=F9496),1,0)</f>
        <v/>
      </c>
      <c r="I9497">
        <f>IF(C9497="C99999",1,0)</f>
        <v/>
      </c>
      <c r="J9497" s="5">
        <f>IF(OR(H9497=1,I9497=1),0,IF(G9497="Credit",-F9497,F9497))</f>
        <v/>
      </c>
    </row>
    <row r="9498">
      <c r="A9498" t="inlineStr">
        <is>
          <t>2026-09-23</t>
        </is>
      </c>
      <c r="B9498" t="inlineStr">
        <is>
          <t>F283897</t>
        </is>
      </c>
      <c r="C9498" t="inlineStr">
        <is>
          <t>C11250</t>
        </is>
      </c>
      <c r="D9498" t="inlineStr">
        <is>
          <t>SKU-10326</t>
        </is>
      </c>
      <c r="E9498" t="inlineStr">
        <is>
          <t>AM05</t>
        </is>
      </c>
      <c r="F9498" s="5" t="n">
        <v>355.5</v>
      </c>
      <c r="G9498">
        <f>IF(LEFT(B9498,1)="C","Credit","Factuur")</f>
        <v/>
      </c>
      <c r="H9498">
        <f>IF(AND(B9498=B9497,D9498=D9497,A9498=A9497,F9498=F9497),1,0)</f>
        <v/>
      </c>
      <c r="I9498">
        <f>IF(C9498="C99999",1,0)</f>
        <v/>
      </c>
      <c r="J9498" s="5">
        <f>IF(OR(H9498=1,I9498=1),0,IF(G9498="Credit",-F9498,F9498))</f>
        <v/>
      </c>
    </row>
    <row r="9499">
      <c r="A9499" t="inlineStr">
        <is>
          <t>2026-09-23</t>
        </is>
      </c>
      <c r="B9499" t="inlineStr">
        <is>
          <t>F284118</t>
        </is>
      </c>
      <c r="C9499" t="inlineStr">
        <is>
          <t>C11259</t>
        </is>
      </c>
      <c r="D9499" t="inlineStr">
        <is>
          <t>SKU-10098</t>
        </is>
      </c>
      <c r="E9499" t="inlineStr">
        <is>
          <t>AM08</t>
        </is>
      </c>
      <c r="F9499" s="5" t="n">
        <v>480.12</v>
      </c>
      <c r="G9499">
        <f>IF(LEFT(B9499,1)="C","Credit","Factuur")</f>
        <v/>
      </c>
      <c r="H9499">
        <f>IF(AND(B9499=B9498,D9499=D9498,A9499=A9498,F9499=F9498),1,0)</f>
        <v/>
      </c>
      <c r="I9499">
        <f>IF(C9499="C99999",1,0)</f>
        <v/>
      </c>
      <c r="J9499" s="5">
        <f>IF(OR(H9499=1,I9499=1),0,IF(G9499="Credit",-F9499,F9499))</f>
        <v/>
      </c>
    </row>
    <row r="9500">
      <c r="A9500" t="inlineStr">
        <is>
          <t>2026-09-23</t>
        </is>
      </c>
      <c r="B9500" t="inlineStr">
        <is>
          <t>F284118</t>
        </is>
      </c>
      <c r="C9500" t="inlineStr">
        <is>
          <t>C11259</t>
        </is>
      </c>
      <c r="D9500" t="inlineStr">
        <is>
          <t>SKU-10119</t>
        </is>
      </c>
      <c r="E9500" t="inlineStr">
        <is>
          <t>AM08</t>
        </is>
      </c>
      <c r="F9500" s="5" t="n">
        <v>433.68</v>
      </c>
      <c r="G9500">
        <f>IF(LEFT(B9500,1)="C","Credit","Factuur")</f>
        <v/>
      </c>
      <c r="H9500">
        <f>IF(AND(B9500=B9499,D9500=D9499,A9500=A9499,F9500=F9499),1,0)</f>
        <v/>
      </c>
      <c r="I9500">
        <f>IF(C9500="C99999",1,0)</f>
        <v/>
      </c>
      <c r="J9500" s="5">
        <f>IF(OR(H9500=1,I9500=1),0,IF(G9500="Credit",-F9500,F9500))</f>
        <v/>
      </c>
    </row>
    <row r="9501">
      <c r="A9501" t="inlineStr">
        <is>
          <t>2026-09-23</t>
        </is>
      </c>
      <c r="B9501" t="inlineStr">
        <is>
          <t>F284118</t>
        </is>
      </c>
      <c r="C9501" t="inlineStr">
        <is>
          <t>C11259</t>
        </is>
      </c>
      <c r="D9501" t="inlineStr">
        <is>
          <t>SKU-10184</t>
        </is>
      </c>
      <c r="E9501" t="inlineStr">
        <is>
          <t>AM08</t>
        </is>
      </c>
      <c r="F9501" s="5" t="n">
        <v>440.98</v>
      </c>
      <c r="G9501">
        <f>IF(LEFT(B9501,1)="C","Credit","Factuur")</f>
        <v/>
      </c>
      <c r="H9501">
        <f>IF(AND(B9501=B9500,D9501=D9500,A9501=A9500,F9501=F9500),1,0)</f>
        <v/>
      </c>
      <c r="I9501">
        <f>IF(C9501="C99999",1,0)</f>
        <v/>
      </c>
      <c r="J9501" s="5">
        <f>IF(OR(H9501=1,I9501=1),0,IF(G9501="Credit",-F9501,F9501))</f>
        <v/>
      </c>
    </row>
    <row r="9502">
      <c r="A9502" t="inlineStr">
        <is>
          <t>2026-09-23</t>
        </is>
      </c>
      <c r="B9502" t="inlineStr">
        <is>
          <t>F284118</t>
        </is>
      </c>
      <c r="C9502" t="inlineStr">
        <is>
          <t>C11259</t>
        </is>
      </c>
      <c r="D9502" t="inlineStr">
        <is>
          <t>SKU-10363</t>
        </is>
      </c>
      <c r="E9502" t="inlineStr">
        <is>
          <t>AM08</t>
        </is>
      </c>
      <c r="F9502" s="5" t="n">
        <v>496.16</v>
      </c>
      <c r="G9502">
        <f>IF(LEFT(B9502,1)="C","Credit","Factuur")</f>
        <v/>
      </c>
      <c r="H9502">
        <f>IF(AND(B9502=B9501,D9502=D9501,A9502=A9501,F9502=F9501),1,0)</f>
        <v/>
      </c>
      <c r="I9502">
        <f>IF(C9502="C99999",1,0)</f>
        <v/>
      </c>
      <c r="J9502" s="5">
        <f>IF(OR(H9502=1,I9502=1),0,IF(G9502="Credit",-F9502,F9502))</f>
        <v/>
      </c>
    </row>
    <row r="9503">
      <c r="A9503" t="inlineStr">
        <is>
          <t>2026-09-23</t>
        </is>
      </c>
      <c r="B9503" t="inlineStr">
        <is>
          <t>F285058</t>
        </is>
      </c>
      <c r="C9503" t="inlineStr">
        <is>
          <t>C11310</t>
        </is>
      </c>
      <c r="D9503" t="inlineStr">
        <is>
          <t>SKU-10169</t>
        </is>
      </c>
      <c r="E9503" t="inlineStr">
        <is>
          <t>AM02</t>
        </is>
      </c>
      <c r="F9503" s="5" t="n">
        <v>370.32</v>
      </c>
      <c r="G9503">
        <f>IF(LEFT(B9503,1)="C","Credit","Factuur")</f>
        <v/>
      </c>
      <c r="H9503">
        <f>IF(AND(B9503=B9502,D9503=D9502,A9503=A9502,F9503=F9502),1,0)</f>
        <v/>
      </c>
      <c r="I9503">
        <f>IF(C9503="C99999",1,0)</f>
        <v/>
      </c>
      <c r="J9503" s="5">
        <f>IF(OR(H9503=1,I9503=1),0,IF(G9503="Credit",-F9503,F9503))</f>
        <v/>
      </c>
    </row>
    <row r="9504">
      <c r="A9504" t="inlineStr">
        <is>
          <t>2026-09-23</t>
        </is>
      </c>
      <c r="B9504" t="inlineStr">
        <is>
          <t>F285058</t>
        </is>
      </c>
      <c r="C9504" t="inlineStr">
        <is>
          <t>C11310</t>
        </is>
      </c>
      <c r="D9504" t="inlineStr">
        <is>
          <t>SKU-10298</t>
        </is>
      </c>
      <c r="E9504" t="inlineStr">
        <is>
          <t>AM02</t>
        </is>
      </c>
      <c r="F9504" s="5" t="n">
        <v>376.5</v>
      </c>
      <c r="G9504">
        <f>IF(LEFT(B9504,1)="C","Credit","Factuur")</f>
        <v/>
      </c>
      <c r="H9504">
        <f>IF(AND(B9504=B9503,D9504=D9503,A9504=A9503,F9504=F9503),1,0)</f>
        <v/>
      </c>
      <c r="I9504">
        <f>IF(C9504="C99999",1,0)</f>
        <v/>
      </c>
      <c r="J9504" s="5">
        <f>IF(OR(H9504=1,I9504=1),0,IF(G9504="Credit",-F9504,F9504))</f>
        <v/>
      </c>
    </row>
    <row r="9505">
      <c r="A9505" t="inlineStr">
        <is>
          <t>2026-09-23</t>
        </is>
      </c>
      <c r="B9505" t="inlineStr">
        <is>
          <t>F285142</t>
        </is>
      </c>
      <c r="C9505" t="inlineStr">
        <is>
          <t>C11318</t>
        </is>
      </c>
      <c r="D9505" t="inlineStr">
        <is>
          <t>SKU-10093</t>
        </is>
      </c>
      <c r="E9505" t="inlineStr">
        <is>
          <t>AM01</t>
        </is>
      </c>
      <c r="F9505" s="5" t="n">
        <v>581.34</v>
      </c>
      <c r="G9505">
        <f>IF(LEFT(B9505,1)="C","Credit","Factuur")</f>
        <v/>
      </c>
      <c r="H9505">
        <f>IF(AND(B9505=B9504,D9505=D9504,A9505=A9504,F9505=F9504),1,0)</f>
        <v/>
      </c>
      <c r="I9505">
        <f>IF(C9505="C99999",1,0)</f>
        <v/>
      </c>
      <c r="J9505" s="5">
        <f>IF(OR(H9505=1,I9505=1),0,IF(G9505="Credit",-F9505,F9505))</f>
        <v/>
      </c>
    </row>
    <row r="9506">
      <c r="A9506" t="inlineStr">
        <is>
          <t>2026-09-23</t>
        </is>
      </c>
      <c r="B9506" t="inlineStr">
        <is>
          <t>F285142</t>
        </is>
      </c>
      <c r="C9506" t="inlineStr">
        <is>
          <t>C11318</t>
        </is>
      </c>
      <c r="D9506" t="inlineStr">
        <is>
          <t>SKU-10111</t>
        </is>
      </c>
      <c r="E9506" t="inlineStr">
        <is>
          <t>AM01</t>
        </is>
      </c>
      <c r="F9506" s="5" t="n">
        <v>562.92</v>
      </c>
      <c r="G9506">
        <f>IF(LEFT(B9506,1)="C","Credit","Factuur")</f>
        <v/>
      </c>
      <c r="H9506">
        <f>IF(AND(B9506=B9505,D9506=D9505,A9506=A9505,F9506=F9505),1,0)</f>
        <v/>
      </c>
      <c r="I9506">
        <f>IF(C9506="C99999",1,0)</f>
        <v/>
      </c>
      <c r="J9506" s="5">
        <f>IF(OR(H9506=1,I9506=1),0,IF(G9506="Credit",-F9506,F9506))</f>
        <v/>
      </c>
    </row>
    <row r="9507">
      <c r="A9507" t="inlineStr">
        <is>
          <t>2026-09-23</t>
        </is>
      </c>
      <c r="B9507" t="inlineStr">
        <is>
          <t>F285142</t>
        </is>
      </c>
      <c r="C9507" t="inlineStr">
        <is>
          <t>C11318</t>
        </is>
      </c>
      <c r="D9507" t="inlineStr">
        <is>
          <t>SKU-10162</t>
        </is>
      </c>
      <c r="E9507" t="inlineStr">
        <is>
          <t>AM01</t>
        </is>
      </c>
      <c r="F9507" s="5" t="n">
        <v>614.25</v>
      </c>
      <c r="G9507">
        <f>IF(LEFT(B9507,1)="C","Credit","Factuur")</f>
        <v/>
      </c>
      <c r="H9507">
        <f>IF(AND(B9507=B9506,D9507=D9506,A9507=A9506,F9507=F9506),1,0)</f>
        <v/>
      </c>
      <c r="I9507">
        <f>IF(C9507="C99999",1,0)</f>
        <v/>
      </c>
      <c r="J9507" s="5">
        <f>IF(OR(H9507=1,I9507=1),0,IF(G9507="Credit",-F9507,F9507))</f>
        <v/>
      </c>
    </row>
    <row r="9508">
      <c r="A9508" t="inlineStr">
        <is>
          <t>2026-09-23</t>
        </is>
      </c>
      <c r="B9508" t="inlineStr">
        <is>
          <t>F285142</t>
        </is>
      </c>
      <c r="C9508" t="inlineStr">
        <is>
          <t>C11318</t>
        </is>
      </c>
      <c r="D9508" t="inlineStr">
        <is>
          <t>SKU-10289</t>
        </is>
      </c>
      <c r="E9508" t="inlineStr">
        <is>
          <t>AM01</t>
        </is>
      </c>
      <c r="F9508" s="5" t="n">
        <v>583.53</v>
      </c>
      <c r="G9508">
        <f>IF(LEFT(B9508,1)="C","Credit","Factuur")</f>
        <v/>
      </c>
      <c r="H9508">
        <f>IF(AND(B9508=B9507,D9508=D9507,A9508=A9507,F9508=F9507),1,0)</f>
        <v/>
      </c>
      <c r="I9508">
        <f>IF(C9508="C99999",1,0)</f>
        <v/>
      </c>
      <c r="J9508" s="5">
        <f>IF(OR(H9508=1,I9508=1),0,IF(G9508="Credit",-F9508,F9508))</f>
        <v/>
      </c>
    </row>
    <row r="9509">
      <c r="A9509" t="inlineStr">
        <is>
          <t>2026-09-24</t>
        </is>
      </c>
      <c r="B9509" t="inlineStr">
        <is>
          <t>C900227</t>
        </is>
      </c>
      <c r="C9509" t="inlineStr">
        <is>
          <t>C10039</t>
        </is>
      </c>
      <c r="D9509" t="inlineStr">
        <is>
          <t>SKU-10315</t>
        </is>
      </c>
      <c r="E9509" t="inlineStr">
        <is>
          <t>AM12</t>
        </is>
      </c>
      <c r="F9509" s="5" t="n">
        <v>653.4</v>
      </c>
      <c r="G9509">
        <f>IF(LEFT(B9509,1)="C","Credit","Factuur")</f>
        <v/>
      </c>
      <c r="H9509">
        <f>IF(AND(B9509=B9508,D9509=D9508,A9509=A9508,F9509=F9508),1,0)</f>
        <v/>
      </c>
      <c r="I9509">
        <f>IF(C9509="C99999",1,0)</f>
        <v/>
      </c>
      <c r="J9509" s="5">
        <f>IF(OR(H9509=1,I9509=1),0,IF(G9509="Credit",-F9509,F9509))</f>
        <v/>
      </c>
    </row>
    <row r="9510">
      <c r="A9510" t="inlineStr">
        <is>
          <t>2026-09-24</t>
        </is>
      </c>
      <c r="B9510" t="inlineStr">
        <is>
          <t>C900547</t>
        </is>
      </c>
      <c r="C9510" t="inlineStr">
        <is>
          <t>C11064</t>
        </is>
      </c>
      <c r="D9510" t="inlineStr">
        <is>
          <t>SKU-10196</t>
        </is>
      </c>
      <c r="E9510" t="inlineStr">
        <is>
          <t>AM08</t>
        </is>
      </c>
      <c r="F9510" s="5" t="n">
        <v>92.04000000000001</v>
      </c>
      <c r="G9510">
        <f>IF(LEFT(B9510,1)="C","Credit","Factuur")</f>
        <v/>
      </c>
      <c r="H9510">
        <f>IF(AND(B9510=B9509,D9510=D9509,A9510=A9509,F9510=F9509),1,0)</f>
        <v/>
      </c>
      <c r="I9510">
        <f>IF(C9510="C99999",1,0)</f>
        <v/>
      </c>
      <c r="J9510" s="5">
        <f>IF(OR(H9510=1,I9510=1),0,IF(G9510="Credit",-F9510,F9510))</f>
        <v/>
      </c>
    </row>
    <row r="9511">
      <c r="A9511" t="inlineStr">
        <is>
          <t>2026-09-24</t>
        </is>
      </c>
      <c r="B9511" t="inlineStr">
        <is>
          <t>F260624</t>
        </is>
      </c>
      <c r="C9511" t="inlineStr">
        <is>
          <t>C10035</t>
        </is>
      </c>
      <c r="D9511" t="inlineStr">
        <is>
          <t>SKU-10123</t>
        </is>
      </c>
      <c r="E9511" t="inlineStr">
        <is>
          <t>AM07</t>
        </is>
      </c>
      <c r="F9511" s="5" t="n">
        <v>405.79</v>
      </c>
      <c r="G9511">
        <f>IF(LEFT(B9511,1)="C","Credit","Factuur")</f>
        <v/>
      </c>
      <c r="H9511">
        <f>IF(AND(B9511=B9510,D9511=D9510,A9511=A9510,F9511=F9510),1,0)</f>
        <v/>
      </c>
      <c r="I9511">
        <f>IF(C9511="C99999",1,0)</f>
        <v/>
      </c>
      <c r="J9511" s="5">
        <f>IF(OR(H9511=1,I9511=1),0,IF(G9511="Credit",-F9511,F9511))</f>
        <v/>
      </c>
    </row>
    <row r="9512">
      <c r="A9512" t="inlineStr">
        <is>
          <t>2026-09-24</t>
        </is>
      </c>
      <c r="B9512" t="inlineStr">
        <is>
          <t>F260624</t>
        </is>
      </c>
      <c r="C9512" t="inlineStr">
        <is>
          <t>C10035</t>
        </is>
      </c>
      <c r="D9512" t="inlineStr">
        <is>
          <t>SKU-10217</t>
        </is>
      </c>
      <c r="E9512" t="inlineStr">
        <is>
          <t>AM07</t>
        </is>
      </c>
      <c r="F9512" s="5" t="n">
        <v>471.9</v>
      </c>
      <c r="G9512">
        <f>IF(LEFT(B9512,1)="C","Credit","Factuur")</f>
        <v/>
      </c>
      <c r="H9512">
        <f>IF(AND(B9512=B9511,D9512=D9511,A9512=A9511,F9512=F9511),1,0)</f>
        <v/>
      </c>
      <c r="I9512">
        <f>IF(C9512="C99999",1,0)</f>
        <v/>
      </c>
      <c r="J9512" s="5">
        <f>IF(OR(H9512=1,I9512=1),0,IF(G9512="Credit",-F9512,F9512))</f>
        <v/>
      </c>
    </row>
    <row r="9513">
      <c r="A9513" t="inlineStr">
        <is>
          <t>2026-09-24</t>
        </is>
      </c>
      <c r="B9513" t="inlineStr">
        <is>
          <t>F260624</t>
        </is>
      </c>
      <c r="C9513" t="inlineStr">
        <is>
          <t>C10035</t>
        </is>
      </c>
      <c r="D9513" t="inlineStr">
        <is>
          <t>SKU-10322</t>
        </is>
      </c>
      <c r="E9513" t="inlineStr">
        <is>
          <t>AM07</t>
        </is>
      </c>
      <c r="F9513" s="5" t="n">
        <v>487.98</v>
      </c>
      <c r="G9513">
        <f>IF(LEFT(B9513,1)="C","Credit","Factuur")</f>
        <v/>
      </c>
      <c r="H9513">
        <f>IF(AND(B9513=B9512,D9513=D9512,A9513=A9512,F9513=F9512),1,0)</f>
        <v/>
      </c>
      <c r="I9513">
        <f>IF(C9513="C99999",1,0)</f>
        <v/>
      </c>
      <c r="J9513" s="5">
        <f>IF(OR(H9513=1,I9513=1),0,IF(G9513="Credit",-F9513,F9513))</f>
        <v/>
      </c>
    </row>
    <row r="9514">
      <c r="A9514" t="inlineStr">
        <is>
          <t>2026-09-24</t>
        </is>
      </c>
      <c r="B9514" t="inlineStr">
        <is>
          <t>F260847</t>
        </is>
      </c>
      <c r="C9514" t="inlineStr">
        <is>
          <t>C10049</t>
        </is>
      </c>
      <c r="D9514" t="inlineStr">
        <is>
          <t>SKU-10011</t>
        </is>
      </c>
      <c r="E9514" t="inlineStr">
        <is>
          <t>AM09</t>
        </is>
      </c>
      <c r="F9514" s="5" t="n">
        <v>4744.11</v>
      </c>
      <c r="G9514">
        <f>IF(LEFT(B9514,1)="C","Credit","Factuur")</f>
        <v/>
      </c>
      <c r="H9514">
        <f>IF(AND(B9514=B9513,D9514=D9513,A9514=A9513,F9514=F9513),1,0)</f>
        <v/>
      </c>
      <c r="I9514">
        <f>IF(C9514="C99999",1,0)</f>
        <v/>
      </c>
      <c r="J9514" s="5">
        <f>IF(OR(H9514=1,I9514=1),0,IF(G9514="Credit",-F9514,F9514))</f>
        <v/>
      </c>
    </row>
    <row r="9515">
      <c r="A9515" t="inlineStr">
        <is>
          <t>2026-09-24</t>
        </is>
      </c>
      <c r="B9515" t="inlineStr">
        <is>
          <t>F260847</t>
        </is>
      </c>
      <c r="C9515" t="inlineStr">
        <is>
          <t>C10049</t>
        </is>
      </c>
      <c r="D9515" t="inlineStr">
        <is>
          <t>SKU-10233</t>
        </is>
      </c>
      <c r="E9515" t="inlineStr">
        <is>
          <t>AM09</t>
        </is>
      </c>
      <c r="F9515" s="5" t="n">
        <v>4986.66</v>
      </c>
      <c r="G9515">
        <f>IF(LEFT(B9515,1)="C","Credit","Factuur")</f>
        <v/>
      </c>
      <c r="H9515">
        <f>IF(AND(B9515=B9514,D9515=D9514,A9515=A9514,F9515=F9514),1,0)</f>
        <v/>
      </c>
      <c r="I9515">
        <f>IF(C9515="C99999",1,0)</f>
        <v/>
      </c>
      <c r="J9515" s="5">
        <f>IF(OR(H9515=1,I9515=1),0,IF(G9515="Credit",-F9515,F9515))</f>
        <v/>
      </c>
    </row>
    <row r="9516">
      <c r="A9516" t="inlineStr">
        <is>
          <t>2026-09-24</t>
        </is>
      </c>
      <c r="B9516" t="inlineStr">
        <is>
          <t>F260847</t>
        </is>
      </c>
      <c r="C9516" t="inlineStr">
        <is>
          <t>C10049</t>
        </is>
      </c>
      <c r="D9516" t="inlineStr">
        <is>
          <t>SKU-10266</t>
        </is>
      </c>
      <c r="E9516" t="inlineStr">
        <is>
          <t>AM09</t>
        </is>
      </c>
      <c r="F9516" s="5" t="n">
        <v>4478.58</v>
      </c>
      <c r="G9516">
        <f>IF(LEFT(B9516,1)="C","Credit","Factuur")</f>
        <v/>
      </c>
      <c r="H9516">
        <f>IF(AND(B9516=B9515,D9516=D9515,A9516=A9515,F9516=F9515),1,0)</f>
        <v/>
      </c>
      <c r="I9516">
        <f>IF(C9516="C99999",1,0)</f>
        <v/>
      </c>
      <c r="J9516" s="5">
        <f>IF(OR(H9516=1,I9516=1),0,IF(G9516="Credit",-F9516,F9516))</f>
        <v/>
      </c>
    </row>
    <row r="9517">
      <c r="A9517" t="inlineStr">
        <is>
          <t>2026-09-24</t>
        </is>
      </c>
      <c r="B9517" t="inlineStr">
        <is>
          <t>F261025</t>
        </is>
      </c>
      <c r="C9517" t="inlineStr">
        <is>
          <t>C10060</t>
        </is>
      </c>
      <c r="D9517" t="inlineStr">
        <is>
          <t>SKU-10028</t>
        </is>
      </c>
      <c r="E9517" t="inlineStr">
        <is>
          <t>AM05</t>
        </is>
      </c>
      <c r="F9517" s="5" t="n">
        <v>604.85</v>
      </c>
      <c r="G9517">
        <f>IF(LEFT(B9517,1)="C","Credit","Factuur")</f>
        <v/>
      </c>
      <c r="H9517">
        <f>IF(AND(B9517=B9516,D9517=D9516,A9517=A9516,F9517=F9516),1,0)</f>
        <v/>
      </c>
      <c r="I9517">
        <f>IF(C9517="C99999",1,0)</f>
        <v/>
      </c>
      <c r="J9517" s="5">
        <f>IF(OR(H9517=1,I9517=1),0,IF(G9517="Credit",-F9517,F9517))</f>
        <v/>
      </c>
    </row>
    <row r="9518">
      <c r="A9518" t="inlineStr">
        <is>
          <t>2026-09-24</t>
        </is>
      </c>
      <c r="B9518" t="inlineStr">
        <is>
          <t>F261025</t>
        </is>
      </c>
      <c r="C9518" t="inlineStr">
        <is>
          <t>C10060</t>
        </is>
      </c>
      <c r="D9518" t="inlineStr">
        <is>
          <t>SKU-10124</t>
        </is>
      </c>
      <c r="E9518" t="inlineStr">
        <is>
          <t>AM05</t>
        </is>
      </c>
      <c r="F9518" s="5" t="n">
        <v>622.53</v>
      </c>
      <c r="G9518">
        <f>IF(LEFT(B9518,1)="C","Credit","Factuur")</f>
        <v/>
      </c>
      <c r="H9518">
        <f>IF(AND(B9518=B9517,D9518=D9517,A9518=A9517,F9518=F9517),1,0)</f>
        <v/>
      </c>
      <c r="I9518">
        <f>IF(C9518="C99999",1,0)</f>
        <v/>
      </c>
      <c r="J9518" s="5">
        <f>IF(OR(H9518=1,I9518=1),0,IF(G9518="Credit",-F9518,F9518))</f>
        <v/>
      </c>
    </row>
    <row r="9519">
      <c r="A9519" t="inlineStr">
        <is>
          <t>2026-09-24</t>
        </is>
      </c>
      <c r="B9519" t="inlineStr">
        <is>
          <t>F261025</t>
        </is>
      </c>
      <c r="C9519" t="inlineStr">
        <is>
          <t>C10060</t>
        </is>
      </c>
      <c r="D9519" t="inlineStr">
        <is>
          <t>SKU-10272</t>
        </is>
      </c>
      <c r="E9519" t="inlineStr">
        <is>
          <t>AM05</t>
        </is>
      </c>
      <c r="F9519" s="5" t="n">
        <v>576.96</v>
      </c>
      <c r="G9519">
        <f>IF(LEFT(B9519,1)="C","Credit","Factuur")</f>
        <v/>
      </c>
      <c r="H9519">
        <f>IF(AND(B9519=B9518,D9519=D9518,A9519=A9518,F9519=F9518),1,0)</f>
        <v/>
      </c>
      <c r="I9519">
        <f>IF(C9519="C99999",1,0)</f>
        <v/>
      </c>
      <c r="J9519" s="5">
        <f>IF(OR(H9519=1,I9519=1),0,IF(G9519="Credit",-F9519,F9519))</f>
        <v/>
      </c>
    </row>
    <row r="9520">
      <c r="A9520" t="inlineStr">
        <is>
          <t>2026-09-24</t>
        </is>
      </c>
      <c r="B9520" t="inlineStr">
        <is>
          <t>F261025</t>
        </is>
      </c>
      <c r="C9520" t="inlineStr">
        <is>
          <t>C10060</t>
        </is>
      </c>
      <c r="D9520" t="inlineStr">
        <is>
          <t>SKU-10333</t>
        </is>
      </c>
      <c r="E9520" t="inlineStr">
        <is>
          <t>AM05</t>
        </is>
      </c>
      <c r="F9520" s="5" t="n">
        <v>574.99</v>
      </c>
      <c r="G9520">
        <f>IF(LEFT(B9520,1)="C","Credit","Factuur")</f>
        <v/>
      </c>
      <c r="H9520">
        <f>IF(AND(B9520=B9519,D9520=D9519,A9520=A9519,F9520=F9519),1,0)</f>
        <v/>
      </c>
      <c r="I9520">
        <f>IF(C9520="C99999",1,0)</f>
        <v/>
      </c>
      <c r="J9520" s="5">
        <f>IF(OR(H9520=1,I9520=1),0,IF(G9520="Credit",-F9520,F9520))</f>
        <v/>
      </c>
    </row>
    <row r="9521">
      <c r="A9521" t="inlineStr">
        <is>
          <t>2026-09-24</t>
        </is>
      </c>
      <c r="B9521" t="inlineStr">
        <is>
          <t>F261025</t>
        </is>
      </c>
      <c r="C9521" t="inlineStr">
        <is>
          <t>C10060</t>
        </is>
      </c>
      <c r="D9521" t="inlineStr">
        <is>
          <t>SKU-10344</t>
        </is>
      </c>
      <c r="E9521" t="inlineStr">
        <is>
          <t>AM05</t>
        </is>
      </c>
      <c r="F9521" s="5" t="n">
        <v>579.6</v>
      </c>
      <c r="G9521">
        <f>IF(LEFT(B9521,1)="C","Credit","Factuur")</f>
        <v/>
      </c>
      <c r="H9521">
        <f>IF(AND(B9521=B9520,D9521=D9520,A9521=A9520,F9521=F9520),1,0)</f>
        <v/>
      </c>
      <c r="I9521">
        <f>IF(C9521="C99999",1,0)</f>
        <v/>
      </c>
      <c r="J9521" s="5">
        <f>IF(OR(H9521=1,I9521=1),0,IF(G9521="Credit",-F9521,F9521))</f>
        <v/>
      </c>
    </row>
    <row r="9522">
      <c r="A9522" t="inlineStr">
        <is>
          <t>2026-09-24</t>
        </is>
      </c>
      <c r="B9522" t="inlineStr">
        <is>
          <t>F261078</t>
        </is>
      </c>
      <c r="C9522" t="inlineStr">
        <is>
          <t>C10062</t>
        </is>
      </c>
      <c r="D9522" t="inlineStr">
        <is>
          <t>SKU-10036</t>
        </is>
      </c>
      <c r="E9522" t="inlineStr">
        <is>
          <t>AM05</t>
        </is>
      </c>
      <c r="F9522" s="5" t="n">
        <v>399.15</v>
      </c>
      <c r="G9522">
        <f>IF(LEFT(B9522,1)="C","Credit","Factuur")</f>
        <v/>
      </c>
      <c r="H9522">
        <f>IF(AND(B9522=B9521,D9522=D9521,A9522=A9521,F9522=F9521),1,0)</f>
        <v/>
      </c>
      <c r="I9522">
        <f>IF(C9522="C99999",1,0)</f>
        <v/>
      </c>
      <c r="J9522" s="5">
        <f>IF(OR(H9522=1,I9522=1),0,IF(G9522="Credit",-F9522,F9522))</f>
        <v/>
      </c>
    </row>
    <row r="9523">
      <c r="A9523" t="inlineStr">
        <is>
          <t>2026-09-24</t>
        </is>
      </c>
      <c r="B9523" t="inlineStr">
        <is>
          <t>F261078</t>
        </is>
      </c>
      <c r="C9523" t="inlineStr">
        <is>
          <t>C10062</t>
        </is>
      </c>
      <c r="D9523" t="inlineStr">
        <is>
          <t>SKU-10079</t>
        </is>
      </c>
      <c r="E9523" t="inlineStr">
        <is>
          <t>AM05</t>
        </is>
      </c>
      <c r="F9523" s="5" t="n">
        <v>420.93</v>
      </c>
      <c r="G9523">
        <f>IF(LEFT(B9523,1)="C","Credit","Factuur")</f>
        <v/>
      </c>
      <c r="H9523">
        <f>IF(AND(B9523=B9522,D9523=D9522,A9523=A9522,F9523=F9522),1,0)</f>
        <v/>
      </c>
      <c r="I9523">
        <f>IF(C9523="C99999",1,0)</f>
        <v/>
      </c>
      <c r="J9523" s="5">
        <f>IF(OR(H9523=1,I9523=1),0,IF(G9523="Credit",-F9523,F9523))</f>
        <v/>
      </c>
    </row>
    <row r="9524">
      <c r="A9524" t="inlineStr">
        <is>
          <t>2026-09-24</t>
        </is>
      </c>
      <c r="B9524" t="inlineStr">
        <is>
          <t>F261078</t>
        </is>
      </c>
      <c r="C9524" t="inlineStr">
        <is>
          <t>C10062</t>
        </is>
      </c>
      <c r="D9524" t="inlineStr">
        <is>
          <t>SKU-10204</t>
        </is>
      </c>
      <c r="E9524" t="inlineStr">
        <is>
          <t>AM05</t>
        </is>
      </c>
      <c r="F9524" s="5" t="n">
        <v>389.34</v>
      </c>
      <c r="G9524">
        <f>IF(LEFT(B9524,1)="C","Credit","Factuur")</f>
        <v/>
      </c>
      <c r="H9524">
        <f>IF(AND(B9524=B9523,D9524=D9523,A9524=A9523,F9524=F9523),1,0)</f>
        <v/>
      </c>
      <c r="I9524">
        <f>IF(C9524="C99999",1,0)</f>
        <v/>
      </c>
      <c r="J9524" s="5">
        <f>IF(OR(H9524=1,I9524=1),0,IF(G9524="Credit",-F9524,F9524))</f>
        <v/>
      </c>
    </row>
    <row r="9525">
      <c r="A9525" t="inlineStr">
        <is>
          <t>2026-09-24</t>
        </is>
      </c>
      <c r="B9525" t="inlineStr">
        <is>
          <t>F261378</t>
        </is>
      </c>
      <c r="C9525" t="inlineStr">
        <is>
          <t>C10075</t>
        </is>
      </c>
      <c r="D9525" t="inlineStr">
        <is>
          <t>SKU-10005</t>
        </is>
      </c>
      <c r="E9525" t="inlineStr">
        <is>
          <t>AM09</t>
        </is>
      </c>
      <c r="F9525" s="5" t="n">
        <v>8943.639999999999</v>
      </c>
      <c r="G9525">
        <f>IF(LEFT(B9525,1)="C","Credit","Factuur")</f>
        <v/>
      </c>
      <c r="H9525">
        <f>IF(AND(B9525=B9524,D9525=D9524,A9525=A9524,F9525=F9524),1,0)</f>
        <v/>
      </c>
      <c r="I9525">
        <f>IF(C9525="C99999",1,0)</f>
        <v/>
      </c>
      <c r="J9525" s="5">
        <f>IF(OR(H9525=1,I9525=1),0,IF(G9525="Credit",-F9525,F9525))</f>
        <v/>
      </c>
    </row>
    <row r="9526">
      <c r="A9526" t="inlineStr">
        <is>
          <t>2026-09-24</t>
        </is>
      </c>
      <c r="B9526" t="inlineStr">
        <is>
          <t>F261378</t>
        </is>
      </c>
      <c r="C9526" t="inlineStr">
        <is>
          <t>C10075</t>
        </is>
      </c>
      <c r="D9526" t="inlineStr">
        <is>
          <t>SKU-10029</t>
        </is>
      </c>
      <c r="E9526" t="inlineStr"/>
      <c r="F9526" s="5" t="n">
        <v>8273.5</v>
      </c>
      <c r="G9526">
        <f>IF(LEFT(B9526,1)="C","Credit","Factuur")</f>
        <v/>
      </c>
      <c r="H9526">
        <f>IF(AND(B9526=B9525,D9526=D9525,A9526=A9525,F9526=F9525),1,0)</f>
        <v/>
      </c>
      <c r="I9526">
        <f>IF(C9526="C99999",1,0)</f>
        <v/>
      </c>
      <c r="J9526" s="5">
        <f>IF(OR(H9526=1,I9526=1),0,IF(G9526="Credit",-F9526,F9526))</f>
        <v/>
      </c>
    </row>
    <row r="9527">
      <c r="A9527" t="inlineStr">
        <is>
          <t>2026-09-24</t>
        </is>
      </c>
      <c r="B9527" t="inlineStr">
        <is>
          <t>F261378</t>
        </is>
      </c>
      <c r="C9527" t="inlineStr">
        <is>
          <t>C10075</t>
        </is>
      </c>
      <c r="D9527" t="inlineStr">
        <is>
          <t>SKU-10251</t>
        </is>
      </c>
      <c r="E9527" t="inlineStr">
        <is>
          <t>AM09</t>
        </is>
      </c>
      <c r="F9527" s="5" t="n">
        <v>9430.24</v>
      </c>
      <c r="G9527">
        <f>IF(LEFT(B9527,1)="C","Credit","Factuur")</f>
        <v/>
      </c>
      <c r="H9527">
        <f>IF(AND(B9527=B9526,D9527=D9526,A9527=A9526,F9527=F9526),1,0)</f>
        <v/>
      </c>
      <c r="I9527">
        <f>IF(C9527="C99999",1,0)</f>
        <v/>
      </c>
      <c r="J9527" s="5">
        <f>IF(OR(H9527=1,I9527=1),0,IF(G9527="Credit",-F9527,F9527))</f>
        <v/>
      </c>
    </row>
    <row r="9528">
      <c r="A9528" t="inlineStr">
        <is>
          <t>2026-09-24</t>
        </is>
      </c>
      <c r="B9528" t="inlineStr">
        <is>
          <t>F262637</t>
        </is>
      </c>
      <c r="C9528" t="inlineStr">
        <is>
          <t>C10139</t>
        </is>
      </c>
      <c r="D9528" t="inlineStr">
        <is>
          <t>SKU-10037</t>
        </is>
      </c>
      <c r="E9528" t="inlineStr">
        <is>
          <t>AM03</t>
        </is>
      </c>
      <c r="F9528" s="5" t="n">
        <v>442.65</v>
      </c>
      <c r="G9528">
        <f>IF(LEFT(B9528,1)="C","Credit","Factuur")</f>
        <v/>
      </c>
      <c r="H9528">
        <f>IF(AND(B9528=B9527,D9528=D9527,A9528=A9527,F9528=F9527),1,0)</f>
        <v/>
      </c>
      <c r="I9528">
        <f>IF(C9528="C99999",1,0)</f>
        <v/>
      </c>
      <c r="J9528" s="5">
        <f>IF(OR(H9528=1,I9528=1),0,IF(G9528="Credit",-F9528,F9528))</f>
        <v/>
      </c>
    </row>
    <row r="9529">
      <c r="A9529" t="inlineStr">
        <is>
          <t>2026-09-24</t>
        </is>
      </c>
      <c r="B9529" t="inlineStr">
        <is>
          <t>F263433</t>
        </is>
      </c>
      <c r="C9529" t="inlineStr">
        <is>
          <t>C10184</t>
        </is>
      </c>
      <c r="D9529" t="inlineStr">
        <is>
          <t>SKU-10084</t>
        </is>
      </c>
      <c r="E9529" t="inlineStr">
        <is>
          <t>AM03</t>
        </is>
      </c>
      <c r="F9529" s="5" t="n">
        <v>269.02</v>
      </c>
      <c r="G9529">
        <f>IF(LEFT(B9529,1)="C","Credit","Factuur")</f>
        <v/>
      </c>
      <c r="H9529">
        <f>IF(AND(B9529=B9528,D9529=D9528,A9529=A9528,F9529=F9528),1,0)</f>
        <v/>
      </c>
      <c r="I9529">
        <f>IF(C9529="C99999",1,0)</f>
        <v/>
      </c>
      <c r="J9529" s="5">
        <f>IF(OR(H9529=1,I9529=1),0,IF(G9529="Credit",-F9529,F9529))</f>
        <v/>
      </c>
    </row>
    <row r="9530">
      <c r="A9530" t="inlineStr">
        <is>
          <t>2026-09-24</t>
        </is>
      </c>
      <c r="B9530" t="inlineStr">
        <is>
          <t>F263433</t>
        </is>
      </c>
      <c r="C9530" t="inlineStr">
        <is>
          <t>C10184</t>
        </is>
      </c>
      <c r="D9530" t="inlineStr">
        <is>
          <t>SKU-10086</t>
        </is>
      </c>
      <c r="E9530" t="inlineStr">
        <is>
          <t>AM03</t>
        </is>
      </c>
      <c r="F9530" s="5" t="n">
        <v>312.48</v>
      </c>
      <c r="G9530">
        <f>IF(LEFT(B9530,1)="C","Credit","Factuur")</f>
        <v/>
      </c>
      <c r="H9530">
        <f>IF(AND(B9530=B9529,D9530=D9529,A9530=A9529,F9530=F9529),1,0)</f>
        <v/>
      </c>
      <c r="I9530">
        <f>IF(C9530="C99999",1,0)</f>
        <v/>
      </c>
      <c r="J9530" s="5">
        <f>IF(OR(H9530=1,I9530=1),0,IF(G9530="Credit",-F9530,F9530))</f>
        <v/>
      </c>
    </row>
    <row r="9531">
      <c r="A9531" t="inlineStr">
        <is>
          <t>2026-09-24</t>
        </is>
      </c>
      <c r="B9531" t="inlineStr">
        <is>
          <t>F263433</t>
        </is>
      </c>
      <c r="C9531" t="inlineStr">
        <is>
          <t>C10184</t>
        </is>
      </c>
      <c r="D9531" t="inlineStr">
        <is>
          <t>SKU-10091</t>
        </is>
      </c>
      <c r="E9531" t="inlineStr">
        <is>
          <t>AM03</t>
        </is>
      </c>
      <c r="F9531" s="5" t="n">
        <v>352.29</v>
      </c>
      <c r="G9531">
        <f>IF(LEFT(B9531,1)="C","Credit","Factuur")</f>
        <v/>
      </c>
      <c r="H9531">
        <f>IF(AND(B9531=B9530,D9531=D9530,A9531=A9530,F9531=F9530),1,0)</f>
        <v/>
      </c>
      <c r="I9531">
        <f>IF(C9531="C99999",1,0)</f>
        <v/>
      </c>
      <c r="J9531" s="5">
        <f>IF(OR(H9531=1,I9531=1),0,IF(G9531="Credit",-F9531,F9531))</f>
        <v/>
      </c>
    </row>
    <row r="9532">
      <c r="A9532" t="inlineStr">
        <is>
          <t>2026-09-24</t>
        </is>
      </c>
      <c r="B9532" t="inlineStr">
        <is>
          <t>F263433</t>
        </is>
      </c>
      <c r="C9532" t="inlineStr">
        <is>
          <t>C10184</t>
        </is>
      </c>
      <c r="D9532" t="inlineStr">
        <is>
          <t>SKU-10220</t>
        </is>
      </c>
      <c r="E9532" t="inlineStr">
        <is>
          <t>AM03</t>
        </is>
      </c>
      <c r="F9532" s="5" t="n">
        <v>295.38</v>
      </c>
      <c r="G9532">
        <f>IF(LEFT(B9532,1)="C","Credit","Factuur")</f>
        <v/>
      </c>
      <c r="H9532">
        <f>IF(AND(B9532=B9531,D9532=D9531,A9532=A9531,F9532=F9531),1,0)</f>
        <v/>
      </c>
      <c r="I9532">
        <f>IF(C9532="C99999",1,0)</f>
        <v/>
      </c>
      <c r="J9532" s="5">
        <f>IF(OR(H9532=1,I9532=1),0,IF(G9532="Credit",-F9532,F9532))</f>
        <v/>
      </c>
    </row>
    <row r="9533">
      <c r="A9533" t="inlineStr">
        <is>
          <t>2026-09-24</t>
        </is>
      </c>
      <c r="B9533" t="inlineStr">
        <is>
          <t>F263433</t>
        </is>
      </c>
      <c r="C9533" t="inlineStr">
        <is>
          <t>C10184</t>
        </is>
      </c>
      <c r="D9533" t="inlineStr">
        <is>
          <t>SKU-10244</t>
        </is>
      </c>
      <c r="E9533" t="inlineStr">
        <is>
          <t>AM03</t>
        </is>
      </c>
      <c r="F9533" s="5" t="n">
        <v>311.22</v>
      </c>
      <c r="G9533">
        <f>IF(LEFT(B9533,1)="C","Credit","Factuur")</f>
        <v/>
      </c>
      <c r="H9533">
        <f>IF(AND(B9533=B9532,D9533=D9532,A9533=A9532,F9533=F9532),1,0)</f>
        <v/>
      </c>
      <c r="I9533">
        <f>IF(C9533="C99999",1,0)</f>
        <v/>
      </c>
      <c r="J9533" s="5">
        <f>IF(OR(H9533=1,I9533=1),0,IF(G9533="Credit",-F9533,F9533))</f>
        <v/>
      </c>
    </row>
    <row r="9534">
      <c r="A9534" t="inlineStr">
        <is>
          <t>2026-09-24</t>
        </is>
      </c>
      <c r="B9534" t="inlineStr">
        <is>
          <t>F265255</t>
        </is>
      </c>
      <c r="C9534" t="inlineStr">
        <is>
          <t>C10278</t>
        </is>
      </c>
      <c r="D9534" t="inlineStr">
        <is>
          <t>SKU-10067</t>
        </is>
      </c>
      <c r="E9534" t="inlineStr">
        <is>
          <t>AM07</t>
        </is>
      </c>
      <c r="F9534" s="5" t="n">
        <v>58.06</v>
      </c>
      <c r="G9534">
        <f>IF(LEFT(B9534,1)="C","Credit","Factuur")</f>
        <v/>
      </c>
      <c r="H9534">
        <f>IF(AND(B9534=B9533,D9534=D9533,A9534=A9533,F9534=F9533),1,0)</f>
        <v/>
      </c>
      <c r="I9534">
        <f>IF(C9534="C99999",1,0)</f>
        <v/>
      </c>
      <c r="J9534" s="5">
        <f>IF(OR(H9534=1,I9534=1),0,IF(G9534="Credit",-F9534,F9534))</f>
        <v/>
      </c>
    </row>
    <row r="9535">
      <c r="A9535" t="inlineStr">
        <is>
          <t>2026-09-24</t>
        </is>
      </c>
      <c r="B9535" t="inlineStr">
        <is>
          <t>F265255</t>
        </is>
      </c>
      <c r="C9535" t="inlineStr">
        <is>
          <t>C10278</t>
        </is>
      </c>
      <c r="D9535" t="inlineStr">
        <is>
          <t>SKU-10107</t>
        </is>
      </c>
      <c r="E9535" t="inlineStr">
        <is>
          <t>AM07</t>
        </is>
      </c>
      <c r="F9535" s="5" t="n">
        <v>88.92</v>
      </c>
      <c r="G9535">
        <f>IF(LEFT(B9535,1)="C","Credit","Factuur")</f>
        <v/>
      </c>
      <c r="H9535">
        <f>IF(AND(B9535=B9534,D9535=D9534,A9535=A9534,F9535=F9534),1,0)</f>
        <v/>
      </c>
      <c r="I9535">
        <f>IF(C9535="C99999",1,0)</f>
        <v/>
      </c>
      <c r="J9535" s="5">
        <f>IF(OR(H9535=1,I9535=1),0,IF(G9535="Credit",-F9535,F9535))</f>
        <v/>
      </c>
    </row>
    <row r="9536">
      <c r="A9536" t="inlineStr">
        <is>
          <t>2026-09-24</t>
        </is>
      </c>
      <c r="B9536" t="inlineStr">
        <is>
          <t>F265255</t>
        </is>
      </c>
      <c r="C9536" t="inlineStr">
        <is>
          <t>C10278</t>
        </is>
      </c>
      <c r="D9536" t="inlineStr">
        <is>
          <t>SKU-10122</t>
        </is>
      </c>
      <c r="E9536" t="inlineStr">
        <is>
          <t>AM07</t>
        </is>
      </c>
      <c r="F9536" s="5" t="n">
        <v>119.04</v>
      </c>
      <c r="G9536">
        <f>IF(LEFT(B9536,1)="C","Credit","Factuur")</f>
        <v/>
      </c>
      <c r="H9536">
        <f>IF(AND(B9536=B9535,D9536=D9535,A9536=A9535,F9536=F9535),1,0)</f>
        <v/>
      </c>
      <c r="I9536">
        <f>IF(C9536="C99999",1,0)</f>
        <v/>
      </c>
      <c r="J9536" s="5">
        <f>IF(OR(H9536=1,I9536=1),0,IF(G9536="Credit",-F9536,F9536))</f>
        <v/>
      </c>
    </row>
    <row r="9537">
      <c r="A9537" t="inlineStr">
        <is>
          <t>2026-09-24</t>
        </is>
      </c>
      <c r="B9537" t="inlineStr">
        <is>
          <t>F265255</t>
        </is>
      </c>
      <c r="C9537" t="inlineStr">
        <is>
          <t>C10278</t>
        </is>
      </c>
      <c r="D9537" t="inlineStr">
        <is>
          <t>SKU-10127</t>
        </is>
      </c>
      <c r="E9537" t="inlineStr">
        <is>
          <t>AM07</t>
        </is>
      </c>
      <c r="F9537" s="5" t="n">
        <v>91.55</v>
      </c>
      <c r="G9537">
        <f>IF(LEFT(B9537,1)="C","Credit","Factuur")</f>
        <v/>
      </c>
      <c r="H9537">
        <f>IF(AND(B9537=B9536,D9537=D9536,A9537=A9536,F9537=F9536),1,0)</f>
        <v/>
      </c>
      <c r="I9537">
        <f>IF(C9537="C99999",1,0)</f>
        <v/>
      </c>
      <c r="J9537" s="5">
        <f>IF(OR(H9537=1,I9537=1),0,IF(G9537="Credit",-F9537,F9537))</f>
        <v/>
      </c>
    </row>
    <row r="9538">
      <c r="A9538" t="inlineStr">
        <is>
          <t>2026-09-24</t>
        </is>
      </c>
      <c r="B9538" t="inlineStr">
        <is>
          <t>F265255</t>
        </is>
      </c>
      <c r="C9538" t="inlineStr">
        <is>
          <t>C10278</t>
        </is>
      </c>
      <c r="D9538" t="inlineStr">
        <is>
          <t>SKU-10138</t>
        </is>
      </c>
      <c r="E9538" t="inlineStr">
        <is>
          <t>AM07</t>
        </is>
      </c>
      <c r="F9538" s="5" t="n">
        <v>96.86</v>
      </c>
      <c r="G9538">
        <f>IF(LEFT(B9538,1)="C","Credit","Factuur")</f>
        <v/>
      </c>
      <c r="H9538">
        <f>IF(AND(B9538=B9537,D9538=D9537,A9538=A9537,F9538=F9537),1,0)</f>
        <v/>
      </c>
      <c r="I9538">
        <f>IF(C9538="C99999",1,0)</f>
        <v/>
      </c>
      <c r="J9538" s="5">
        <f>IF(OR(H9538=1,I9538=1),0,IF(G9538="Credit",-F9538,F9538))</f>
        <v/>
      </c>
    </row>
    <row r="9539">
      <c r="A9539" t="inlineStr">
        <is>
          <t>2026-09-24</t>
        </is>
      </c>
      <c r="B9539" t="inlineStr">
        <is>
          <t>F265255</t>
        </is>
      </c>
      <c r="C9539" t="inlineStr">
        <is>
          <t>C10278</t>
        </is>
      </c>
      <c r="D9539" t="inlineStr">
        <is>
          <t>SKU-10324</t>
        </is>
      </c>
      <c r="E9539" t="inlineStr">
        <is>
          <t>AM07</t>
        </is>
      </c>
      <c r="F9539" s="5" t="n">
        <v>86.88</v>
      </c>
      <c r="G9539">
        <f>IF(LEFT(B9539,1)="C","Credit","Factuur")</f>
        <v/>
      </c>
      <c r="H9539">
        <f>IF(AND(B9539=B9538,D9539=D9538,A9539=A9538,F9539=F9538),1,0)</f>
        <v/>
      </c>
      <c r="I9539">
        <f>IF(C9539="C99999",1,0)</f>
        <v/>
      </c>
      <c r="J9539" s="5">
        <f>IF(OR(H9539=1,I9539=1),0,IF(G9539="Credit",-F9539,F9539))</f>
        <v/>
      </c>
    </row>
    <row r="9540">
      <c r="A9540" t="inlineStr">
        <is>
          <t>2026-09-24</t>
        </is>
      </c>
      <c r="B9540" t="inlineStr">
        <is>
          <t>F265476</t>
        </is>
      </c>
      <c r="C9540" t="inlineStr">
        <is>
          <t>C10288</t>
        </is>
      </c>
      <c r="D9540" t="inlineStr">
        <is>
          <t>SKU-10096</t>
        </is>
      </c>
      <c r="E9540" t="inlineStr">
        <is>
          <t>AM03</t>
        </is>
      </c>
      <c r="F9540" s="5" t="n">
        <v>171.63</v>
      </c>
      <c r="G9540">
        <f>IF(LEFT(B9540,1)="C","Credit","Factuur")</f>
        <v/>
      </c>
      <c r="H9540">
        <f>IF(AND(B9540=B9539,D9540=D9539,A9540=A9539,F9540=F9539),1,0)</f>
        <v/>
      </c>
      <c r="I9540">
        <f>IF(C9540="C99999",1,0)</f>
        <v/>
      </c>
      <c r="J9540" s="5">
        <f>IF(OR(H9540=1,I9540=1),0,IF(G9540="Credit",-F9540,F9540))</f>
        <v/>
      </c>
    </row>
    <row r="9541">
      <c r="A9541" t="inlineStr">
        <is>
          <t>2026-09-24</t>
        </is>
      </c>
      <c r="B9541" t="inlineStr">
        <is>
          <t>F265476</t>
        </is>
      </c>
      <c r="C9541" t="inlineStr">
        <is>
          <t>C10288</t>
        </is>
      </c>
      <c r="D9541" t="inlineStr">
        <is>
          <t>SKU-10204</t>
        </is>
      </c>
      <c r="E9541" t="inlineStr">
        <is>
          <t>AM03</t>
        </is>
      </c>
      <c r="F9541" s="5" t="n">
        <v>195.7</v>
      </c>
      <c r="G9541">
        <f>IF(LEFT(B9541,1)="C","Credit","Factuur")</f>
        <v/>
      </c>
      <c r="H9541">
        <f>IF(AND(B9541=B9540,D9541=D9540,A9541=A9540,F9541=F9540),1,0)</f>
        <v/>
      </c>
      <c r="I9541">
        <f>IF(C9541="C99999",1,0)</f>
        <v/>
      </c>
      <c r="J9541" s="5">
        <f>IF(OR(H9541=1,I9541=1),0,IF(G9541="Credit",-F9541,F9541))</f>
        <v/>
      </c>
    </row>
    <row r="9542">
      <c r="A9542" t="inlineStr">
        <is>
          <t>2026-09-24</t>
        </is>
      </c>
      <c r="B9542" t="inlineStr">
        <is>
          <t>F265476</t>
        </is>
      </c>
      <c r="C9542" t="inlineStr">
        <is>
          <t>C10288</t>
        </is>
      </c>
      <c r="D9542" t="inlineStr">
        <is>
          <t>SKU-10273</t>
        </is>
      </c>
      <c r="E9542" t="inlineStr">
        <is>
          <t>AM03</t>
        </is>
      </c>
      <c r="F9542" s="5" t="n">
        <v>192.72</v>
      </c>
      <c r="G9542">
        <f>IF(LEFT(B9542,1)="C","Credit","Factuur")</f>
        <v/>
      </c>
      <c r="H9542">
        <f>IF(AND(B9542=B9541,D9542=D9541,A9542=A9541,F9542=F9541),1,0)</f>
        <v/>
      </c>
      <c r="I9542">
        <f>IF(C9542="C99999",1,0)</f>
        <v/>
      </c>
      <c r="J9542" s="5">
        <f>IF(OR(H9542=1,I9542=1),0,IF(G9542="Credit",-F9542,F9542))</f>
        <v/>
      </c>
    </row>
    <row r="9543">
      <c r="A9543" t="inlineStr">
        <is>
          <t>2026-09-24</t>
        </is>
      </c>
      <c r="B9543" t="inlineStr">
        <is>
          <t>F265839</t>
        </is>
      </c>
      <c r="C9543" t="inlineStr">
        <is>
          <t>C10306</t>
        </is>
      </c>
      <c r="D9543" t="inlineStr">
        <is>
          <t>SKU-10005</t>
        </is>
      </c>
      <c r="E9543" t="inlineStr">
        <is>
          <t>AM12</t>
        </is>
      </c>
      <c r="F9543" s="5" t="n">
        <v>890.1</v>
      </c>
      <c r="G9543">
        <f>IF(LEFT(B9543,1)="C","Credit","Factuur")</f>
        <v/>
      </c>
      <c r="H9543">
        <f>IF(AND(B9543=B9542,D9543=D9542,A9543=A9542,F9543=F9542),1,0)</f>
        <v/>
      </c>
      <c r="I9543">
        <f>IF(C9543="C99999",1,0)</f>
        <v/>
      </c>
      <c r="J9543" s="5">
        <f>IF(OR(H9543=1,I9543=1),0,IF(G9543="Credit",-F9543,F9543))</f>
        <v/>
      </c>
    </row>
    <row r="9544">
      <c r="A9544" t="inlineStr">
        <is>
          <t>2026-09-24</t>
        </is>
      </c>
      <c r="B9544" t="inlineStr">
        <is>
          <t>F265839</t>
        </is>
      </c>
      <c r="C9544" t="inlineStr">
        <is>
          <t>C10306</t>
        </is>
      </c>
      <c r="D9544" t="inlineStr">
        <is>
          <t>SKU-10043</t>
        </is>
      </c>
      <c r="E9544" t="inlineStr">
        <is>
          <t>AM12</t>
        </is>
      </c>
      <c r="F9544" s="5" t="n">
        <v>845.88</v>
      </c>
      <c r="G9544">
        <f>IF(LEFT(B9544,1)="C","Credit","Factuur")</f>
        <v/>
      </c>
      <c r="H9544">
        <f>IF(AND(B9544=B9543,D9544=D9543,A9544=A9543,F9544=F9543),1,0)</f>
        <v/>
      </c>
      <c r="I9544">
        <f>IF(C9544="C99999",1,0)</f>
        <v/>
      </c>
      <c r="J9544" s="5">
        <f>IF(OR(H9544=1,I9544=1),0,IF(G9544="Credit",-F9544,F9544))</f>
        <v/>
      </c>
    </row>
    <row r="9545">
      <c r="A9545" t="inlineStr">
        <is>
          <t>2026-09-24</t>
        </is>
      </c>
      <c r="B9545" t="inlineStr">
        <is>
          <t>F266262</t>
        </is>
      </c>
      <c r="C9545" t="inlineStr">
        <is>
          <t>C10328</t>
        </is>
      </c>
      <c r="D9545" t="inlineStr">
        <is>
          <t>SKU-10095</t>
        </is>
      </c>
      <c r="E9545" t="inlineStr">
        <is>
          <t>AM03</t>
        </is>
      </c>
      <c r="F9545" s="5" t="n">
        <v>123.8</v>
      </c>
      <c r="G9545">
        <f>IF(LEFT(B9545,1)="C","Credit","Factuur")</f>
        <v/>
      </c>
      <c r="H9545">
        <f>IF(AND(B9545=B9544,D9545=D9544,A9545=A9544,F9545=F9544),1,0)</f>
        <v/>
      </c>
      <c r="I9545">
        <f>IF(C9545="C99999",1,0)</f>
        <v/>
      </c>
      <c r="J9545" s="5">
        <f>IF(OR(H9545=1,I9545=1),0,IF(G9545="Credit",-F9545,F9545))</f>
        <v/>
      </c>
    </row>
    <row r="9546">
      <c r="A9546" t="inlineStr">
        <is>
          <t>2026-09-24</t>
        </is>
      </c>
      <c r="B9546" t="inlineStr">
        <is>
          <t>F266262</t>
        </is>
      </c>
      <c r="C9546" t="inlineStr">
        <is>
          <t>C10328</t>
        </is>
      </c>
      <c r="D9546" t="inlineStr">
        <is>
          <t>SKU-10137</t>
        </is>
      </c>
      <c r="E9546" t="inlineStr">
        <is>
          <t>AM03</t>
        </is>
      </c>
      <c r="F9546" s="5" t="n">
        <v>92.01000000000001</v>
      </c>
      <c r="G9546">
        <f>IF(LEFT(B9546,1)="C","Credit","Factuur")</f>
        <v/>
      </c>
      <c r="H9546">
        <f>IF(AND(B9546=B9545,D9546=D9545,A9546=A9545,F9546=F9545),1,0)</f>
        <v/>
      </c>
      <c r="I9546">
        <f>IF(C9546="C99999",1,0)</f>
        <v/>
      </c>
      <c r="J9546" s="5">
        <f>IF(OR(H9546=1,I9546=1),0,IF(G9546="Credit",-F9546,F9546))</f>
        <v/>
      </c>
    </row>
    <row r="9547">
      <c r="A9547" t="inlineStr">
        <is>
          <t>2026-09-24</t>
        </is>
      </c>
      <c r="B9547" t="inlineStr">
        <is>
          <t>F266262</t>
        </is>
      </c>
      <c r="C9547" t="inlineStr">
        <is>
          <t>C10328</t>
        </is>
      </c>
      <c r="D9547" t="inlineStr">
        <is>
          <t>SKU-10189</t>
        </is>
      </c>
      <c r="E9547" t="inlineStr">
        <is>
          <t>AM03</t>
        </is>
      </c>
      <c r="F9547" s="5" t="n">
        <v>91.64</v>
      </c>
      <c r="G9547">
        <f>IF(LEFT(B9547,1)="C","Credit","Factuur")</f>
        <v/>
      </c>
      <c r="H9547">
        <f>IF(AND(B9547=B9546,D9547=D9546,A9547=A9546,F9547=F9546),1,0)</f>
        <v/>
      </c>
      <c r="I9547">
        <f>IF(C9547="C99999",1,0)</f>
        <v/>
      </c>
      <c r="J9547" s="5">
        <f>IF(OR(H9547=1,I9547=1),0,IF(G9547="Credit",-F9547,F9547))</f>
        <v/>
      </c>
    </row>
    <row r="9548">
      <c r="A9548" t="inlineStr">
        <is>
          <t>2026-09-24</t>
        </is>
      </c>
      <c r="B9548" t="inlineStr">
        <is>
          <t>F266279</t>
        </is>
      </c>
      <c r="C9548" t="inlineStr">
        <is>
          <t>C10330</t>
        </is>
      </c>
      <c r="D9548" t="inlineStr">
        <is>
          <t>SKU-10314</t>
        </is>
      </c>
      <c r="E9548" t="inlineStr">
        <is>
          <t>IS02</t>
        </is>
      </c>
      <c r="F9548" s="5" t="n">
        <v>199.92</v>
      </c>
      <c r="G9548">
        <f>IF(LEFT(B9548,1)="C","Credit","Factuur")</f>
        <v/>
      </c>
      <c r="H9548">
        <f>IF(AND(B9548=B9547,D9548=D9547,A9548=A9547,F9548=F9547),1,0)</f>
        <v/>
      </c>
      <c r="I9548">
        <f>IF(C9548="C99999",1,0)</f>
        <v/>
      </c>
      <c r="J9548" s="5">
        <f>IF(OR(H9548=1,I9548=1),0,IF(G9548="Credit",-F9548,F9548))</f>
        <v/>
      </c>
    </row>
    <row r="9549">
      <c r="A9549" t="inlineStr">
        <is>
          <t>2026-09-24</t>
        </is>
      </c>
      <c r="B9549" t="inlineStr">
        <is>
          <t>F268368</t>
        </is>
      </c>
      <c r="C9549" t="inlineStr">
        <is>
          <t>C10437</t>
        </is>
      </c>
      <c r="D9549" t="inlineStr">
        <is>
          <t>SKU-10058</t>
        </is>
      </c>
      <c r="E9549" t="inlineStr">
        <is>
          <t>AM11</t>
        </is>
      </c>
      <c r="F9549" s="5" t="n">
        <v>693.96</v>
      </c>
      <c r="G9549">
        <f>IF(LEFT(B9549,1)="C","Credit","Factuur")</f>
        <v/>
      </c>
      <c r="H9549">
        <f>IF(AND(B9549=B9548,D9549=D9548,A9549=A9548,F9549=F9548),1,0)</f>
        <v/>
      </c>
      <c r="I9549">
        <f>IF(C9549="C99999",1,0)</f>
        <v/>
      </c>
      <c r="J9549" s="5">
        <f>IF(OR(H9549=1,I9549=1),0,IF(G9549="Credit",-F9549,F9549))</f>
        <v/>
      </c>
    </row>
    <row r="9550">
      <c r="A9550" t="inlineStr">
        <is>
          <t>2026-09-24</t>
        </is>
      </c>
      <c r="B9550" t="inlineStr">
        <is>
          <t>F268631</t>
        </is>
      </c>
      <c r="C9550" t="inlineStr">
        <is>
          <t>C10452</t>
        </is>
      </c>
      <c r="D9550" t="inlineStr">
        <is>
          <t>SKU-10289</t>
        </is>
      </c>
      <c r="E9550" t="inlineStr">
        <is>
          <t>AM08</t>
        </is>
      </c>
      <c r="F9550" s="5" t="n">
        <v>2188.23</v>
      </c>
      <c r="G9550">
        <f>IF(LEFT(B9550,1)="C","Credit","Factuur")</f>
        <v/>
      </c>
      <c r="H9550">
        <f>IF(AND(B9550=B9549,D9550=D9549,A9550=A9549,F9550=F9549),1,0)</f>
        <v/>
      </c>
      <c r="I9550">
        <f>IF(C9550="C99999",1,0)</f>
        <v/>
      </c>
      <c r="J9550" s="5">
        <f>IF(OR(H9550=1,I9550=1),0,IF(G9550="Credit",-F9550,F9550))</f>
        <v/>
      </c>
    </row>
    <row r="9551">
      <c r="A9551" t="inlineStr">
        <is>
          <t>2026-09-24</t>
        </is>
      </c>
      <c r="B9551" t="inlineStr">
        <is>
          <t>F268656</t>
        </is>
      </c>
      <c r="C9551" t="inlineStr">
        <is>
          <t>C10454</t>
        </is>
      </c>
      <c r="D9551" t="inlineStr">
        <is>
          <t>SKU-10056</t>
        </is>
      </c>
      <c r="E9551" t="inlineStr">
        <is>
          <t>AM12</t>
        </is>
      </c>
      <c r="F9551" s="5" t="n">
        <v>503.2</v>
      </c>
      <c r="G9551">
        <f>IF(LEFT(B9551,1)="C","Credit","Factuur")</f>
        <v/>
      </c>
      <c r="H9551">
        <f>IF(AND(B9551=B9550,D9551=D9550,A9551=A9550,F9551=F9550),1,0)</f>
        <v/>
      </c>
      <c r="I9551">
        <f>IF(C9551="C99999",1,0)</f>
        <v/>
      </c>
      <c r="J9551" s="5">
        <f>IF(OR(H9551=1,I9551=1),0,IF(G9551="Credit",-F9551,F9551))</f>
        <v/>
      </c>
    </row>
    <row r="9552">
      <c r="A9552" t="inlineStr">
        <is>
          <t>2026-09-24</t>
        </is>
      </c>
      <c r="B9552" t="inlineStr">
        <is>
          <t>F269079</t>
        </is>
      </c>
      <c r="C9552" t="inlineStr">
        <is>
          <t>C10475</t>
        </is>
      </c>
      <c r="D9552" t="inlineStr">
        <is>
          <t>SKU-10108</t>
        </is>
      </c>
      <c r="E9552" t="inlineStr">
        <is>
          <t>IS02</t>
        </is>
      </c>
      <c r="F9552" s="5" t="n">
        <v>92.93000000000001</v>
      </c>
      <c r="G9552">
        <f>IF(LEFT(B9552,1)="C","Credit","Factuur")</f>
        <v/>
      </c>
      <c r="H9552">
        <f>IF(AND(B9552=B9551,D9552=D9551,A9552=A9551,F9552=F9551),1,0)</f>
        <v/>
      </c>
      <c r="I9552">
        <f>IF(C9552="C99999",1,0)</f>
        <v/>
      </c>
      <c r="J9552" s="5">
        <f>IF(OR(H9552=1,I9552=1),0,IF(G9552="Credit",-F9552,F9552))</f>
        <v/>
      </c>
    </row>
    <row r="9553">
      <c r="A9553" t="inlineStr">
        <is>
          <t>2026-09-24</t>
        </is>
      </c>
      <c r="B9553" t="inlineStr">
        <is>
          <t>F269079</t>
        </is>
      </c>
      <c r="C9553" t="inlineStr">
        <is>
          <t>C10475</t>
        </is>
      </c>
      <c r="D9553" t="inlineStr">
        <is>
          <t>SKU-10176</t>
        </is>
      </c>
      <c r="E9553" t="inlineStr">
        <is>
          <t>IS02</t>
        </is>
      </c>
      <c r="F9553" s="5" t="n">
        <v>47.04</v>
      </c>
      <c r="G9553">
        <f>IF(LEFT(B9553,1)="C","Credit","Factuur")</f>
        <v/>
      </c>
      <c r="H9553">
        <f>IF(AND(B9553=B9552,D9553=D9552,A9553=A9552,F9553=F9552),1,0)</f>
        <v/>
      </c>
      <c r="I9553">
        <f>IF(C9553="C99999",1,0)</f>
        <v/>
      </c>
      <c r="J9553" s="5">
        <f>IF(OR(H9553=1,I9553=1),0,IF(G9553="Credit",-F9553,F9553))</f>
        <v/>
      </c>
    </row>
    <row r="9554">
      <c r="A9554" t="inlineStr">
        <is>
          <t>2026-09-24</t>
        </is>
      </c>
      <c r="B9554" t="inlineStr">
        <is>
          <t>F269079</t>
        </is>
      </c>
      <c r="C9554" t="inlineStr">
        <is>
          <t>C10475</t>
        </is>
      </c>
      <c r="D9554" t="inlineStr">
        <is>
          <t>SKU-10269</t>
        </is>
      </c>
      <c r="E9554" t="inlineStr">
        <is>
          <t>IS02</t>
        </is>
      </c>
      <c r="F9554" s="5" t="n">
        <v>41.13</v>
      </c>
      <c r="G9554">
        <f>IF(LEFT(B9554,1)="C","Credit","Factuur")</f>
        <v/>
      </c>
      <c r="H9554">
        <f>IF(AND(B9554=B9553,D9554=D9553,A9554=A9553,F9554=F9553),1,0)</f>
        <v/>
      </c>
      <c r="I9554">
        <f>IF(C9554="C99999",1,0)</f>
        <v/>
      </c>
      <c r="J9554" s="5">
        <f>IF(OR(H9554=1,I9554=1),0,IF(G9554="Credit",-F9554,F9554))</f>
        <v/>
      </c>
    </row>
    <row r="9555">
      <c r="A9555" t="inlineStr">
        <is>
          <t>2026-09-24</t>
        </is>
      </c>
      <c r="B9555" t="inlineStr">
        <is>
          <t>F269079</t>
        </is>
      </c>
      <c r="C9555" t="inlineStr">
        <is>
          <t>C10475</t>
        </is>
      </c>
      <c r="D9555" t="inlineStr">
        <is>
          <t>SKU-10290</t>
        </is>
      </c>
      <c r="E9555" t="inlineStr">
        <is>
          <t>IS02</t>
        </is>
      </c>
      <c r="F9555" s="5" t="n">
        <v>43.25</v>
      </c>
      <c r="G9555">
        <f>IF(LEFT(B9555,1)="C","Credit","Factuur")</f>
        <v/>
      </c>
      <c r="H9555">
        <f>IF(AND(B9555=B9554,D9555=D9554,A9555=A9554,F9555=F9554),1,0)</f>
        <v/>
      </c>
      <c r="I9555">
        <f>IF(C9555="C99999",1,0)</f>
        <v/>
      </c>
      <c r="J9555" s="5">
        <f>IF(OR(H9555=1,I9555=1),0,IF(G9555="Credit",-F9555,F9555))</f>
        <v/>
      </c>
    </row>
    <row r="9556">
      <c r="A9556" t="inlineStr">
        <is>
          <t>2026-09-24</t>
        </is>
      </c>
      <c r="B9556" t="inlineStr">
        <is>
          <t>F269369</t>
        </is>
      </c>
      <c r="C9556" t="inlineStr">
        <is>
          <t>C10491</t>
        </is>
      </c>
      <c r="D9556" t="inlineStr">
        <is>
          <t>SKU-10065</t>
        </is>
      </c>
      <c r="E9556" t="inlineStr">
        <is>
          <t>AM05</t>
        </is>
      </c>
      <c r="F9556" s="5" t="n">
        <v>1354.09</v>
      </c>
      <c r="G9556">
        <f>IF(LEFT(B9556,1)="C","Credit","Factuur")</f>
        <v/>
      </c>
      <c r="H9556">
        <f>IF(AND(B9556=B9555,D9556=D9555,A9556=A9555,F9556=F9555),1,0)</f>
        <v/>
      </c>
      <c r="I9556">
        <f>IF(C9556="C99999",1,0)</f>
        <v/>
      </c>
      <c r="J9556" s="5">
        <f>IF(OR(H9556=1,I9556=1),0,IF(G9556="Credit",-F9556,F9556))</f>
        <v/>
      </c>
    </row>
    <row r="9557">
      <c r="A9557" t="inlineStr">
        <is>
          <t>2026-09-24</t>
        </is>
      </c>
      <c r="B9557" t="inlineStr">
        <is>
          <t>F269369</t>
        </is>
      </c>
      <c r="C9557" t="inlineStr">
        <is>
          <t>C10491</t>
        </is>
      </c>
      <c r="D9557" t="inlineStr">
        <is>
          <t>SKU-10226</t>
        </is>
      </c>
      <c r="E9557" t="inlineStr">
        <is>
          <t>AM05</t>
        </is>
      </c>
      <c r="F9557" s="5" t="n">
        <v>1346.64</v>
      </c>
      <c r="G9557">
        <f>IF(LEFT(B9557,1)="C","Credit","Factuur")</f>
        <v/>
      </c>
      <c r="H9557">
        <f>IF(AND(B9557=B9556,D9557=D9556,A9557=A9556,F9557=F9556),1,0)</f>
        <v/>
      </c>
      <c r="I9557">
        <f>IF(C9557="C99999",1,0)</f>
        <v/>
      </c>
      <c r="J9557" s="5">
        <f>IF(OR(H9557=1,I9557=1),0,IF(G9557="Credit",-F9557,F9557))</f>
        <v/>
      </c>
    </row>
    <row r="9558">
      <c r="A9558" t="inlineStr">
        <is>
          <t>2026-09-24</t>
        </is>
      </c>
      <c r="B9558" t="inlineStr">
        <is>
          <t>F271240</t>
        </is>
      </c>
      <c r="C9558" t="inlineStr">
        <is>
          <t>C10584</t>
        </is>
      </c>
      <c r="D9558" t="inlineStr">
        <is>
          <t>SKU-10270</t>
        </is>
      </c>
      <c r="E9558" t="inlineStr">
        <is>
          <t>AM07</t>
        </is>
      </c>
      <c r="F9558" s="5" t="n">
        <v>2950.07</v>
      </c>
      <c r="G9558">
        <f>IF(LEFT(B9558,1)="C","Credit","Factuur")</f>
        <v/>
      </c>
      <c r="H9558">
        <f>IF(AND(B9558=B9557,D9558=D9557,A9558=A9557,F9558=F9557),1,0)</f>
        <v/>
      </c>
      <c r="I9558">
        <f>IF(C9558="C99999",1,0)</f>
        <v/>
      </c>
      <c r="J9558" s="5">
        <f>IF(OR(H9558=1,I9558=1),0,IF(G9558="Credit",-F9558,F9558))</f>
        <v/>
      </c>
    </row>
    <row r="9559">
      <c r="A9559" t="inlineStr">
        <is>
          <t>2026-09-24</t>
        </is>
      </c>
      <c r="B9559" t="inlineStr">
        <is>
          <t>F271552</t>
        </is>
      </c>
      <c r="C9559" t="inlineStr">
        <is>
          <t>C10596</t>
        </is>
      </c>
      <c r="D9559" t="inlineStr">
        <is>
          <t>SKU-10237</t>
        </is>
      </c>
      <c r="E9559" t="inlineStr">
        <is>
          <t>AM01</t>
        </is>
      </c>
      <c r="F9559" s="5" t="n">
        <v>147.96</v>
      </c>
      <c r="G9559">
        <f>IF(LEFT(B9559,1)="C","Credit","Factuur")</f>
        <v/>
      </c>
      <c r="H9559">
        <f>IF(AND(B9559=B9558,D9559=D9558,A9559=A9558,F9559=F9558),1,0)</f>
        <v/>
      </c>
      <c r="I9559">
        <f>IF(C9559="C99999",1,0)</f>
        <v/>
      </c>
      <c r="J9559" s="5">
        <f>IF(OR(H9559=1,I9559=1),0,IF(G9559="Credit",-F9559,F9559))</f>
        <v/>
      </c>
    </row>
    <row r="9560">
      <c r="A9560" t="inlineStr">
        <is>
          <t>2026-09-24</t>
        </is>
      </c>
      <c r="B9560" t="inlineStr">
        <is>
          <t>F271552</t>
        </is>
      </c>
      <c r="C9560" t="inlineStr">
        <is>
          <t>C10596</t>
        </is>
      </c>
      <c r="D9560" t="inlineStr">
        <is>
          <t>SKU-10261</t>
        </is>
      </c>
      <c r="E9560" t="inlineStr">
        <is>
          <t>AM01</t>
        </is>
      </c>
      <c r="F9560" s="5" t="n">
        <v>137.81</v>
      </c>
      <c r="G9560">
        <f>IF(LEFT(B9560,1)="C","Credit","Factuur")</f>
        <v/>
      </c>
      <c r="H9560">
        <f>IF(AND(B9560=B9559,D9560=D9559,A9560=A9559,F9560=F9559),1,0)</f>
        <v/>
      </c>
      <c r="I9560">
        <f>IF(C9560="C99999",1,0)</f>
        <v/>
      </c>
      <c r="J9560" s="5">
        <f>IF(OR(H9560=1,I9560=1),0,IF(G9560="Credit",-F9560,F9560))</f>
        <v/>
      </c>
    </row>
    <row r="9561">
      <c r="A9561" t="inlineStr">
        <is>
          <t>2026-09-24</t>
        </is>
      </c>
      <c r="B9561" t="inlineStr">
        <is>
          <t>F271552</t>
        </is>
      </c>
      <c r="C9561" t="inlineStr">
        <is>
          <t>C10596</t>
        </is>
      </c>
      <c r="D9561" t="inlineStr">
        <is>
          <t>SKU-10307</t>
        </is>
      </c>
      <c r="E9561" t="inlineStr">
        <is>
          <t>AM01</t>
        </is>
      </c>
      <c r="F9561" s="5" t="n">
        <v>135.4</v>
      </c>
      <c r="G9561">
        <f>IF(LEFT(B9561,1)="C","Credit","Factuur")</f>
        <v/>
      </c>
      <c r="H9561">
        <f>IF(AND(B9561=B9560,D9561=D9560,A9561=A9560,F9561=F9560),1,0)</f>
        <v/>
      </c>
      <c r="I9561">
        <f>IF(C9561="C99999",1,0)</f>
        <v/>
      </c>
      <c r="J9561" s="5">
        <f>IF(OR(H9561=1,I9561=1),0,IF(G9561="Credit",-F9561,F9561))</f>
        <v/>
      </c>
    </row>
    <row r="9562">
      <c r="A9562" t="inlineStr">
        <is>
          <t>2026-09-24</t>
        </is>
      </c>
      <c r="B9562" t="inlineStr">
        <is>
          <t>F272052</t>
        </is>
      </c>
      <c r="C9562" t="inlineStr">
        <is>
          <t>C10623</t>
        </is>
      </c>
      <c r="D9562" t="inlineStr">
        <is>
          <t>SKU-10179</t>
        </is>
      </c>
      <c r="E9562" t="inlineStr">
        <is>
          <t>AM05</t>
        </is>
      </c>
      <c r="F9562" s="5" t="n">
        <v>165.45</v>
      </c>
      <c r="G9562">
        <f>IF(LEFT(B9562,1)="C","Credit","Factuur")</f>
        <v/>
      </c>
      <c r="H9562">
        <f>IF(AND(B9562=B9561,D9562=D9561,A9562=A9561,F9562=F9561),1,0)</f>
        <v/>
      </c>
      <c r="I9562">
        <f>IF(C9562="C99999",1,0)</f>
        <v/>
      </c>
      <c r="J9562" s="5">
        <f>IF(OR(H9562=1,I9562=1),0,IF(G9562="Credit",-F9562,F9562))</f>
        <v/>
      </c>
    </row>
    <row r="9563">
      <c r="A9563" t="inlineStr">
        <is>
          <t>2026-09-24</t>
        </is>
      </c>
      <c r="B9563" t="inlineStr">
        <is>
          <t>F272052</t>
        </is>
      </c>
      <c r="C9563" t="inlineStr">
        <is>
          <t>C10623</t>
        </is>
      </c>
      <c r="D9563" t="inlineStr">
        <is>
          <t>SKU-10309</t>
        </is>
      </c>
      <c r="E9563" t="inlineStr">
        <is>
          <t>AM05</t>
        </is>
      </c>
      <c r="F9563" s="5" t="n">
        <v>175.6</v>
      </c>
      <c r="G9563">
        <f>IF(LEFT(B9563,1)="C","Credit","Factuur")</f>
        <v/>
      </c>
      <c r="H9563">
        <f>IF(AND(B9563=B9562,D9563=D9562,A9563=A9562,F9563=F9562),1,0)</f>
        <v/>
      </c>
      <c r="I9563">
        <f>IF(C9563="C99999",1,0)</f>
        <v/>
      </c>
      <c r="J9563" s="5">
        <f>IF(OR(H9563=1,I9563=1),0,IF(G9563="Credit",-F9563,F9563))</f>
        <v/>
      </c>
    </row>
    <row r="9564">
      <c r="A9564" t="inlineStr">
        <is>
          <t>2026-09-24</t>
        </is>
      </c>
      <c r="B9564" t="inlineStr">
        <is>
          <t>F272052</t>
        </is>
      </c>
      <c r="C9564" t="inlineStr">
        <is>
          <t>C10623</t>
        </is>
      </c>
      <c r="D9564" t="inlineStr">
        <is>
          <t>SKU-10323</t>
        </is>
      </c>
      <c r="E9564" t="inlineStr">
        <is>
          <t>AM05</t>
        </is>
      </c>
      <c r="F9564" s="5" t="n">
        <v>176.5</v>
      </c>
      <c r="G9564">
        <f>IF(LEFT(B9564,1)="C","Credit","Factuur")</f>
        <v/>
      </c>
      <c r="H9564">
        <f>IF(AND(B9564=B9563,D9564=D9563,A9564=A9563,F9564=F9563),1,0)</f>
        <v/>
      </c>
      <c r="I9564">
        <f>IF(C9564="C99999",1,0)</f>
        <v/>
      </c>
      <c r="J9564" s="5">
        <f>IF(OR(H9564=1,I9564=1),0,IF(G9564="Credit",-F9564,F9564))</f>
        <v/>
      </c>
    </row>
    <row r="9565">
      <c r="A9565" t="inlineStr">
        <is>
          <t>2026-09-24</t>
        </is>
      </c>
      <c r="B9565" t="inlineStr">
        <is>
          <t>F272052</t>
        </is>
      </c>
      <c r="C9565" t="inlineStr">
        <is>
          <t>C10623</t>
        </is>
      </c>
      <c r="D9565" t="inlineStr">
        <is>
          <t>SKU-10341</t>
        </is>
      </c>
      <c r="E9565" t="inlineStr">
        <is>
          <t>AM05</t>
        </is>
      </c>
      <c r="F9565" s="5" t="n">
        <v>160.96</v>
      </c>
      <c r="G9565">
        <f>IF(LEFT(B9565,1)="C","Credit","Factuur")</f>
        <v/>
      </c>
      <c r="H9565">
        <f>IF(AND(B9565=B9564,D9565=D9564,A9565=A9564,F9565=F9564),1,0)</f>
        <v/>
      </c>
      <c r="I9565">
        <f>IF(C9565="C99999",1,0)</f>
        <v/>
      </c>
      <c r="J9565" s="5">
        <f>IF(OR(H9565=1,I9565=1),0,IF(G9565="Credit",-F9565,F9565))</f>
        <v/>
      </c>
    </row>
    <row r="9566">
      <c r="A9566" t="inlineStr">
        <is>
          <t>2026-09-24</t>
        </is>
      </c>
      <c r="B9566" t="inlineStr">
        <is>
          <t>F272253</t>
        </is>
      </c>
      <c r="C9566" t="inlineStr">
        <is>
          <t>C10634</t>
        </is>
      </c>
      <c r="D9566" t="inlineStr">
        <is>
          <t>SKU-10102</t>
        </is>
      </c>
      <c r="E9566" t="inlineStr"/>
      <c r="F9566" s="5" t="n">
        <v>1207.36</v>
      </c>
      <c r="G9566">
        <f>IF(LEFT(B9566,1)="C","Credit","Factuur")</f>
        <v/>
      </c>
      <c r="H9566">
        <f>IF(AND(B9566=B9565,D9566=D9565,A9566=A9565,F9566=F9565),1,0)</f>
        <v/>
      </c>
      <c r="I9566">
        <f>IF(C9566="C99999",1,0)</f>
        <v/>
      </c>
      <c r="J9566" s="5">
        <f>IF(OR(H9566=1,I9566=1),0,IF(G9566="Credit",-F9566,F9566))</f>
        <v/>
      </c>
    </row>
    <row r="9567">
      <c r="A9567" t="inlineStr">
        <is>
          <t>2026-09-24</t>
        </is>
      </c>
      <c r="B9567" t="inlineStr">
        <is>
          <t>F272253</t>
        </is>
      </c>
      <c r="C9567" t="inlineStr">
        <is>
          <t>C10634</t>
        </is>
      </c>
      <c r="D9567" t="inlineStr">
        <is>
          <t>SKU-10164</t>
        </is>
      </c>
      <c r="E9567" t="inlineStr">
        <is>
          <t>AM11</t>
        </is>
      </c>
      <c r="F9567" s="5" t="n">
        <v>1145.6</v>
      </c>
      <c r="G9567">
        <f>IF(LEFT(B9567,1)="C","Credit","Factuur")</f>
        <v/>
      </c>
      <c r="H9567">
        <f>IF(AND(B9567=B9566,D9567=D9566,A9567=A9566,F9567=F9566),1,0)</f>
        <v/>
      </c>
      <c r="I9567">
        <f>IF(C9567="C99999",1,0)</f>
        <v/>
      </c>
      <c r="J9567" s="5">
        <f>IF(OR(H9567=1,I9567=1),0,IF(G9567="Credit",-F9567,F9567))</f>
        <v/>
      </c>
    </row>
    <row r="9568">
      <c r="A9568" t="inlineStr">
        <is>
          <t>2026-09-24</t>
        </is>
      </c>
      <c r="B9568" t="inlineStr">
        <is>
          <t>F272253</t>
        </is>
      </c>
      <c r="C9568" t="inlineStr">
        <is>
          <t>C10634</t>
        </is>
      </c>
      <c r="D9568" t="inlineStr">
        <is>
          <t>SKU-10310</t>
        </is>
      </c>
      <c r="E9568" t="inlineStr">
        <is>
          <t>AM11</t>
        </is>
      </c>
      <c r="F9568" s="5" t="n">
        <v>1209.06</v>
      </c>
      <c r="G9568">
        <f>IF(LEFT(B9568,1)="C","Credit","Factuur")</f>
        <v/>
      </c>
      <c r="H9568">
        <f>IF(AND(B9568=B9567,D9568=D9567,A9568=A9567,F9568=F9567),1,0)</f>
        <v/>
      </c>
      <c r="I9568">
        <f>IF(C9568="C99999",1,0)</f>
        <v/>
      </c>
      <c r="J9568" s="5">
        <f>IF(OR(H9568=1,I9568=1),0,IF(G9568="Credit",-F9568,F9568))</f>
        <v/>
      </c>
    </row>
    <row r="9569">
      <c r="A9569" t="inlineStr">
        <is>
          <t>2026-09-24</t>
        </is>
      </c>
      <c r="B9569" t="inlineStr">
        <is>
          <t>F275049</t>
        </is>
      </c>
      <c r="C9569" t="inlineStr">
        <is>
          <t>C10793</t>
        </is>
      </c>
      <c r="D9569" t="inlineStr">
        <is>
          <t>SKU-10010</t>
        </is>
      </c>
      <c r="E9569" t="inlineStr">
        <is>
          <t>AM01</t>
        </is>
      </c>
      <c r="F9569" s="5" t="n">
        <v>308.84</v>
      </c>
      <c r="G9569">
        <f>IF(LEFT(B9569,1)="C","Credit","Factuur")</f>
        <v/>
      </c>
      <c r="H9569">
        <f>IF(AND(B9569=B9568,D9569=D9568,A9569=A9568,F9569=F9568),1,0)</f>
        <v/>
      </c>
      <c r="I9569">
        <f>IF(C9569="C99999",1,0)</f>
        <v/>
      </c>
      <c r="J9569" s="5">
        <f>IF(OR(H9569=1,I9569=1),0,IF(G9569="Credit",-F9569,F9569))</f>
        <v/>
      </c>
    </row>
    <row r="9570">
      <c r="A9570" t="inlineStr">
        <is>
          <t>2026-09-24</t>
        </is>
      </c>
      <c r="B9570" t="inlineStr">
        <is>
          <t>F275049</t>
        </is>
      </c>
      <c r="C9570" t="inlineStr">
        <is>
          <t>C10793</t>
        </is>
      </c>
      <c r="D9570" t="inlineStr">
        <is>
          <t>SKU-10093</t>
        </is>
      </c>
      <c r="E9570" t="inlineStr">
        <is>
          <t>AM01</t>
        </is>
      </c>
      <c r="F9570" s="5" t="n">
        <v>290.67</v>
      </c>
      <c r="G9570">
        <f>IF(LEFT(B9570,1)="C","Credit","Factuur")</f>
        <v/>
      </c>
      <c r="H9570">
        <f>IF(AND(B9570=B9569,D9570=D9569,A9570=A9569,F9570=F9569),1,0)</f>
        <v/>
      </c>
      <c r="I9570">
        <f>IF(C9570="C99999",1,0)</f>
        <v/>
      </c>
      <c r="J9570" s="5">
        <f>IF(OR(H9570=1,I9570=1),0,IF(G9570="Credit",-F9570,F9570))</f>
        <v/>
      </c>
    </row>
    <row r="9571">
      <c r="A9571" t="inlineStr">
        <is>
          <t>2026-09-24</t>
        </is>
      </c>
      <c r="B9571" t="inlineStr">
        <is>
          <t>F275049</t>
        </is>
      </c>
      <c r="C9571" t="inlineStr">
        <is>
          <t>C10793</t>
        </is>
      </c>
      <c r="D9571" t="inlineStr">
        <is>
          <t>SKU-10134</t>
        </is>
      </c>
      <c r="E9571" t="inlineStr"/>
      <c r="F9571" s="5" t="n">
        <v>259.69</v>
      </c>
      <c r="G9571">
        <f>IF(LEFT(B9571,1)="C","Credit","Factuur")</f>
        <v/>
      </c>
      <c r="H9571">
        <f>IF(AND(B9571=B9570,D9571=D9570,A9571=A9570,F9571=F9570),1,0)</f>
        <v/>
      </c>
      <c r="I9571">
        <f>IF(C9571="C99999",1,0)</f>
        <v/>
      </c>
      <c r="J9571" s="5">
        <f>IF(OR(H9571=1,I9571=1),0,IF(G9571="Credit",-F9571,F9571))</f>
        <v/>
      </c>
    </row>
    <row r="9572">
      <c r="A9572" t="inlineStr">
        <is>
          <t>2026-09-24</t>
        </is>
      </c>
      <c r="B9572" t="inlineStr">
        <is>
          <t>F275049</t>
        </is>
      </c>
      <c r="C9572" t="inlineStr">
        <is>
          <t>C10793</t>
        </is>
      </c>
      <c r="D9572" t="inlineStr">
        <is>
          <t>SKU-10273</t>
        </is>
      </c>
      <c r="E9572" t="inlineStr">
        <is>
          <t>AM01</t>
        </is>
      </c>
      <c r="F9572" s="5" t="n">
        <v>289.08</v>
      </c>
      <c r="G9572">
        <f>IF(LEFT(B9572,1)="C","Credit","Factuur")</f>
        <v/>
      </c>
      <c r="H9572">
        <f>IF(AND(B9572=B9571,D9572=D9571,A9572=A9571,F9572=F9571),1,0)</f>
        <v/>
      </c>
      <c r="I9572">
        <f>IF(C9572="C99999",1,0)</f>
        <v/>
      </c>
      <c r="J9572" s="5">
        <f>IF(OR(H9572=1,I9572=1),0,IF(G9572="Credit",-F9572,F9572))</f>
        <v/>
      </c>
    </row>
    <row r="9573">
      <c r="A9573" t="inlineStr">
        <is>
          <t>2026-09-24</t>
        </is>
      </c>
      <c r="B9573" t="inlineStr">
        <is>
          <t>F275388</t>
        </is>
      </c>
      <c r="C9573" t="inlineStr">
        <is>
          <t>C10812</t>
        </is>
      </c>
      <c r="D9573" t="inlineStr">
        <is>
          <t>SKU-10008</t>
        </is>
      </c>
      <c r="E9573" t="inlineStr">
        <is>
          <t>AM03</t>
        </is>
      </c>
      <c r="F9573" s="5" t="n">
        <v>393.12</v>
      </c>
      <c r="G9573">
        <f>IF(LEFT(B9573,1)="C","Credit","Factuur")</f>
        <v/>
      </c>
      <c r="H9573">
        <f>IF(AND(B9573=B9572,D9573=D9572,A9573=A9572,F9573=F9572),1,0)</f>
        <v/>
      </c>
      <c r="I9573">
        <f>IF(C9573="C99999",1,0)</f>
        <v/>
      </c>
      <c r="J9573" s="5">
        <f>IF(OR(H9573=1,I9573=1),0,IF(G9573="Credit",-F9573,F9573))</f>
        <v/>
      </c>
    </row>
    <row r="9574">
      <c r="A9574" t="inlineStr">
        <is>
          <t>2026-09-24</t>
        </is>
      </c>
      <c r="B9574" t="inlineStr">
        <is>
          <t>F275388</t>
        </is>
      </c>
      <c r="C9574" t="inlineStr">
        <is>
          <t>C10812</t>
        </is>
      </c>
      <c r="D9574" t="inlineStr">
        <is>
          <t>SKU-10222</t>
        </is>
      </c>
      <c r="E9574" t="inlineStr">
        <is>
          <t>AM03</t>
        </is>
      </c>
      <c r="F9574" s="5" t="n">
        <v>375.06</v>
      </c>
      <c r="G9574">
        <f>IF(LEFT(B9574,1)="C","Credit","Factuur")</f>
        <v/>
      </c>
      <c r="H9574">
        <f>IF(AND(B9574=B9573,D9574=D9573,A9574=A9573,F9574=F9573),1,0)</f>
        <v/>
      </c>
      <c r="I9574">
        <f>IF(C9574="C99999",1,0)</f>
        <v/>
      </c>
      <c r="J9574" s="5">
        <f>IF(OR(H9574=1,I9574=1),0,IF(G9574="Credit",-F9574,F9574))</f>
        <v/>
      </c>
    </row>
    <row r="9575">
      <c r="A9575" t="inlineStr">
        <is>
          <t>2026-09-24</t>
        </is>
      </c>
      <c r="B9575" t="inlineStr">
        <is>
          <t>F275939</t>
        </is>
      </c>
      <c r="C9575" t="inlineStr">
        <is>
          <t>C10847</t>
        </is>
      </c>
      <c r="D9575" t="inlineStr">
        <is>
          <t>SKU-10007</t>
        </is>
      </c>
      <c r="E9575" t="inlineStr">
        <is>
          <t>AM12</t>
        </is>
      </c>
      <c r="F9575" s="5" t="n">
        <v>375.33</v>
      </c>
      <c r="G9575">
        <f>IF(LEFT(B9575,1)="C","Credit","Factuur")</f>
        <v/>
      </c>
      <c r="H9575">
        <f>IF(AND(B9575=B9574,D9575=D9574,A9575=A9574,F9575=F9574),1,0)</f>
        <v/>
      </c>
      <c r="I9575">
        <f>IF(C9575="C99999",1,0)</f>
        <v/>
      </c>
      <c r="J9575" s="5">
        <f>IF(OR(H9575=1,I9575=1),0,IF(G9575="Credit",-F9575,F9575))</f>
        <v/>
      </c>
    </row>
    <row r="9576">
      <c r="A9576" t="inlineStr">
        <is>
          <t>2026-09-24</t>
        </is>
      </c>
      <c r="B9576" t="inlineStr">
        <is>
          <t>F275939</t>
        </is>
      </c>
      <c r="C9576" t="inlineStr">
        <is>
          <t>C10847</t>
        </is>
      </c>
      <c r="D9576" t="inlineStr">
        <is>
          <t>SKU-10265</t>
        </is>
      </c>
      <c r="E9576" t="inlineStr">
        <is>
          <t>AM12</t>
        </is>
      </c>
      <c r="F9576" s="5" t="n">
        <v>432.38</v>
      </c>
      <c r="G9576">
        <f>IF(LEFT(B9576,1)="C","Credit","Factuur")</f>
        <v/>
      </c>
      <c r="H9576">
        <f>IF(AND(B9576=B9575,D9576=D9575,A9576=A9575,F9576=F9575),1,0)</f>
        <v/>
      </c>
      <c r="I9576">
        <f>IF(C9576="C99999",1,0)</f>
        <v/>
      </c>
      <c r="J9576" s="5">
        <f>IF(OR(H9576=1,I9576=1),0,IF(G9576="Credit",-F9576,F9576))</f>
        <v/>
      </c>
    </row>
    <row r="9577">
      <c r="A9577" t="inlineStr">
        <is>
          <t>2026-09-24</t>
        </is>
      </c>
      <c r="B9577" t="inlineStr">
        <is>
          <t>F275939</t>
        </is>
      </c>
      <c r="C9577" t="inlineStr">
        <is>
          <t>C10847</t>
        </is>
      </c>
      <c r="D9577" t="inlineStr">
        <is>
          <t>SKU-10327</t>
        </is>
      </c>
      <c r="E9577" t="inlineStr">
        <is>
          <t>AM12</t>
        </is>
      </c>
      <c r="F9577" s="5" t="n">
        <v>439.85</v>
      </c>
      <c r="G9577">
        <f>IF(LEFT(B9577,1)="C","Credit","Factuur")</f>
        <v/>
      </c>
      <c r="H9577">
        <f>IF(AND(B9577=B9576,D9577=D9576,A9577=A9576,F9577=F9576),1,0)</f>
        <v/>
      </c>
      <c r="I9577">
        <f>IF(C9577="C99999",1,0)</f>
        <v/>
      </c>
      <c r="J9577" s="5">
        <f>IF(OR(H9577=1,I9577=1),0,IF(G9577="Credit",-F9577,F9577))</f>
        <v/>
      </c>
    </row>
    <row r="9578">
      <c r="A9578" t="inlineStr">
        <is>
          <t>2026-09-24</t>
        </is>
      </c>
      <c r="B9578" t="inlineStr">
        <is>
          <t>F276700</t>
        </is>
      </c>
      <c r="C9578" t="inlineStr">
        <is>
          <t>C10885</t>
        </is>
      </c>
      <c r="D9578" t="inlineStr">
        <is>
          <t>SKU-10087</t>
        </is>
      </c>
      <c r="E9578" t="inlineStr">
        <is>
          <t>AM02</t>
        </is>
      </c>
      <c r="F9578" s="5" t="n">
        <v>1505.35</v>
      </c>
      <c r="G9578">
        <f>IF(LEFT(B9578,1)="C","Credit","Factuur")</f>
        <v/>
      </c>
      <c r="H9578">
        <f>IF(AND(B9578=B9577,D9578=D9577,A9578=A9577,F9578=F9577),1,0)</f>
        <v/>
      </c>
      <c r="I9578">
        <f>IF(C9578="C99999",1,0)</f>
        <v/>
      </c>
      <c r="J9578" s="5">
        <f>IF(OR(H9578=1,I9578=1),0,IF(G9578="Credit",-F9578,F9578))</f>
        <v/>
      </c>
    </row>
    <row r="9579">
      <c r="A9579" t="inlineStr">
        <is>
          <t>2026-09-24</t>
        </is>
      </c>
      <c r="B9579" t="inlineStr">
        <is>
          <t>F276700</t>
        </is>
      </c>
      <c r="C9579" t="inlineStr">
        <is>
          <t>C10885</t>
        </is>
      </c>
      <c r="D9579" t="inlineStr">
        <is>
          <t>SKU-10322</t>
        </is>
      </c>
      <c r="E9579" t="inlineStr">
        <is>
          <t>AM02</t>
        </is>
      </c>
      <c r="F9579" s="5" t="n">
        <v>1518.16</v>
      </c>
      <c r="G9579">
        <f>IF(LEFT(B9579,1)="C","Credit","Factuur")</f>
        <v/>
      </c>
      <c r="H9579">
        <f>IF(AND(B9579=B9578,D9579=D9578,A9579=A9578,F9579=F9578),1,0)</f>
        <v/>
      </c>
      <c r="I9579">
        <f>IF(C9579="C99999",1,0)</f>
        <v/>
      </c>
      <c r="J9579" s="5">
        <f>IF(OR(H9579=1,I9579=1),0,IF(G9579="Credit",-F9579,F9579))</f>
        <v/>
      </c>
    </row>
    <row r="9580">
      <c r="A9580" t="inlineStr">
        <is>
          <t>2026-09-24</t>
        </is>
      </c>
      <c r="B9580" t="inlineStr">
        <is>
          <t>F276959</t>
        </is>
      </c>
      <c r="C9580" t="inlineStr">
        <is>
          <t>C10900</t>
        </is>
      </c>
      <c r="D9580" t="inlineStr">
        <is>
          <t>SKU-10014</t>
        </is>
      </c>
      <c r="E9580" t="inlineStr">
        <is>
          <t>AM03</t>
        </is>
      </c>
      <c r="F9580" s="5" t="n">
        <v>165.12</v>
      </c>
      <c r="G9580">
        <f>IF(LEFT(B9580,1)="C","Credit","Factuur")</f>
        <v/>
      </c>
      <c r="H9580">
        <f>IF(AND(B9580=B9579,D9580=D9579,A9580=A9579,F9580=F9579),1,0)</f>
        <v/>
      </c>
      <c r="I9580">
        <f>IF(C9580="C99999",1,0)</f>
        <v/>
      </c>
      <c r="J9580" s="5">
        <f>IF(OR(H9580=1,I9580=1),0,IF(G9580="Credit",-F9580,F9580))</f>
        <v/>
      </c>
    </row>
    <row r="9581">
      <c r="A9581" t="inlineStr">
        <is>
          <t>2026-09-24</t>
        </is>
      </c>
      <c r="B9581" t="inlineStr">
        <is>
          <t>F276959</t>
        </is>
      </c>
      <c r="C9581" t="inlineStr">
        <is>
          <t>C10900</t>
        </is>
      </c>
      <c r="D9581" t="inlineStr">
        <is>
          <t>SKU-10044</t>
        </is>
      </c>
      <c r="E9581" t="inlineStr">
        <is>
          <t>AM03</t>
        </is>
      </c>
      <c r="F9581" s="5" t="n">
        <v>139.88</v>
      </c>
      <c r="G9581">
        <f>IF(LEFT(B9581,1)="C","Credit","Factuur")</f>
        <v/>
      </c>
      <c r="H9581">
        <f>IF(AND(B9581=B9580,D9581=D9580,A9581=A9580,F9581=F9580),1,0)</f>
        <v/>
      </c>
      <c r="I9581">
        <f>IF(C9581="C99999",1,0)</f>
        <v/>
      </c>
      <c r="J9581" s="5">
        <f>IF(OR(H9581=1,I9581=1),0,IF(G9581="Credit",-F9581,F9581))</f>
        <v/>
      </c>
    </row>
    <row r="9582">
      <c r="A9582" t="inlineStr">
        <is>
          <t>2026-09-24</t>
        </is>
      </c>
      <c r="B9582" t="inlineStr">
        <is>
          <t>F276959</t>
        </is>
      </c>
      <c r="C9582" t="inlineStr">
        <is>
          <t>C10900</t>
        </is>
      </c>
      <c r="D9582" t="inlineStr">
        <is>
          <t>SKU-10052</t>
        </is>
      </c>
      <c r="E9582" t="inlineStr">
        <is>
          <t>AM03</t>
        </is>
      </c>
      <c r="F9582" s="5" t="n">
        <v>157.83</v>
      </c>
      <c r="G9582">
        <f>IF(LEFT(B9582,1)="C","Credit","Factuur")</f>
        <v/>
      </c>
      <c r="H9582">
        <f>IF(AND(B9582=B9581,D9582=D9581,A9582=A9581,F9582=F9581),1,0)</f>
        <v/>
      </c>
      <c r="I9582">
        <f>IF(C9582="C99999",1,0)</f>
        <v/>
      </c>
      <c r="J9582" s="5">
        <f>IF(OR(H9582=1,I9582=1),0,IF(G9582="Credit",-F9582,F9582))</f>
        <v/>
      </c>
    </row>
    <row r="9583">
      <c r="A9583" t="inlineStr">
        <is>
          <t>2026-09-24</t>
        </is>
      </c>
      <c r="B9583" t="inlineStr">
        <is>
          <t>F276959</t>
        </is>
      </c>
      <c r="C9583" t="inlineStr">
        <is>
          <t>C10900</t>
        </is>
      </c>
      <c r="D9583" t="inlineStr">
        <is>
          <t>SKU-10094</t>
        </is>
      </c>
      <c r="E9583" t="inlineStr">
        <is>
          <t>AM03</t>
        </is>
      </c>
      <c r="F9583" s="5" t="n">
        <v>161.31</v>
      </c>
      <c r="G9583">
        <f>IF(LEFT(B9583,1)="C","Credit","Factuur")</f>
        <v/>
      </c>
      <c r="H9583">
        <f>IF(AND(B9583=B9582,D9583=D9582,A9583=A9582,F9583=F9582),1,0)</f>
        <v/>
      </c>
      <c r="I9583">
        <f>IF(C9583="C99999",1,0)</f>
        <v/>
      </c>
      <c r="J9583" s="5">
        <f>IF(OR(H9583=1,I9583=1),0,IF(G9583="Credit",-F9583,F9583))</f>
        <v/>
      </c>
    </row>
    <row r="9584">
      <c r="A9584" t="inlineStr">
        <is>
          <t>2026-09-24</t>
        </is>
      </c>
      <c r="B9584" t="inlineStr">
        <is>
          <t>F276959</t>
        </is>
      </c>
      <c r="C9584" t="inlineStr">
        <is>
          <t>C10900</t>
        </is>
      </c>
      <c r="D9584" t="inlineStr">
        <is>
          <t>SKU-10286</t>
        </is>
      </c>
      <c r="E9584" t="inlineStr">
        <is>
          <t>AM03</t>
        </is>
      </c>
      <c r="F9584" s="5" t="n">
        <v>164.25</v>
      </c>
      <c r="G9584">
        <f>IF(LEFT(B9584,1)="C","Credit","Factuur")</f>
        <v/>
      </c>
      <c r="H9584">
        <f>IF(AND(B9584=B9583,D9584=D9583,A9584=A9583,F9584=F9583),1,0)</f>
        <v/>
      </c>
      <c r="I9584">
        <f>IF(C9584="C99999",1,0)</f>
        <v/>
      </c>
      <c r="J9584" s="5">
        <f>IF(OR(H9584=1,I9584=1),0,IF(G9584="Credit",-F9584,F9584))</f>
        <v/>
      </c>
    </row>
    <row r="9585">
      <c r="A9585" t="inlineStr">
        <is>
          <t>2026-09-24</t>
        </is>
      </c>
      <c r="B9585" t="inlineStr">
        <is>
          <t>F276974</t>
        </is>
      </c>
      <c r="C9585" t="inlineStr">
        <is>
          <t>C10901</t>
        </is>
      </c>
      <c r="D9585" t="inlineStr">
        <is>
          <t>SKU-10246</t>
        </is>
      </c>
      <c r="E9585" t="inlineStr">
        <is>
          <t>AM02</t>
        </is>
      </c>
      <c r="F9585" s="5" t="n">
        <v>131.33</v>
      </c>
      <c r="G9585">
        <f>IF(LEFT(B9585,1)="C","Credit","Factuur")</f>
        <v/>
      </c>
      <c r="H9585">
        <f>IF(AND(B9585=B9584,D9585=D9584,A9585=A9584,F9585=F9584),1,0)</f>
        <v/>
      </c>
      <c r="I9585">
        <f>IF(C9585="C99999",1,0)</f>
        <v/>
      </c>
      <c r="J9585" s="5">
        <f>IF(OR(H9585=1,I9585=1),0,IF(G9585="Credit",-F9585,F9585))</f>
        <v/>
      </c>
    </row>
    <row r="9586">
      <c r="A9586" t="inlineStr">
        <is>
          <t>2026-09-24</t>
        </is>
      </c>
      <c r="B9586" t="inlineStr">
        <is>
          <t>F276974</t>
        </is>
      </c>
      <c r="C9586" t="inlineStr">
        <is>
          <t>C10901</t>
        </is>
      </c>
      <c r="D9586" t="inlineStr">
        <is>
          <t>SKU-10345</t>
        </is>
      </c>
      <c r="E9586" t="inlineStr">
        <is>
          <t>AM02</t>
        </is>
      </c>
      <c r="F9586" s="5" t="n">
        <v>144.44</v>
      </c>
      <c r="G9586">
        <f>IF(LEFT(B9586,1)="C","Credit","Factuur")</f>
        <v/>
      </c>
      <c r="H9586">
        <f>IF(AND(B9586=B9585,D9586=D9585,A9586=A9585,F9586=F9585),1,0)</f>
        <v/>
      </c>
      <c r="I9586">
        <f>IF(C9586="C99999",1,0)</f>
        <v/>
      </c>
      <c r="J9586" s="5">
        <f>IF(OR(H9586=1,I9586=1),0,IF(G9586="Credit",-F9586,F9586))</f>
        <v/>
      </c>
    </row>
    <row r="9587">
      <c r="A9587" t="inlineStr">
        <is>
          <t>2026-09-24</t>
        </is>
      </c>
      <c r="B9587" t="inlineStr">
        <is>
          <t>F277127</t>
        </is>
      </c>
      <c r="C9587" t="inlineStr">
        <is>
          <t>C10907</t>
        </is>
      </c>
      <c r="D9587" t="inlineStr">
        <is>
          <t>SKU-10209</t>
        </is>
      </c>
      <c r="E9587" t="inlineStr">
        <is>
          <t>AM12</t>
        </is>
      </c>
      <c r="F9587" s="5" t="n">
        <v>983.6799999999999</v>
      </c>
      <c r="G9587">
        <f>IF(LEFT(B9587,1)="C","Credit","Factuur")</f>
        <v/>
      </c>
      <c r="H9587">
        <f>IF(AND(B9587=B9586,D9587=D9586,A9587=A9586,F9587=F9586),1,0)</f>
        <v/>
      </c>
      <c r="I9587">
        <f>IF(C9587="C99999",1,0)</f>
        <v/>
      </c>
      <c r="J9587" s="5">
        <f>IF(OR(H9587=1,I9587=1),0,IF(G9587="Credit",-F9587,F9587))</f>
        <v/>
      </c>
    </row>
    <row r="9588">
      <c r="A9588" t="inlineStr">
        <is>
          <t>2026-09-24</t>
        </is>
      </c>
      <c r="B9588" t="inlineStr">
        <is>
          <t>F277127</t>
        </is>
      </c>
      <c r="C9588" t="inlineStr">
        <is>
          <t>C10907</t>
        </is>
      </c>
      <c r="D9588" t="inlineStr">
        <is>
          <t>SKU-10283</t>
        </is>
      </c>
      <c r="E9588" t="inlineStr">
        <is>
          <t>AM12</t>
        </is>
      </c>
      <c r="F9588" s="5" t="n">
        <v>936.98</v>
      </c>
      <c r="G9588">
        <f>IF(LEFT(B9588,1)="C","Credit","Factuur")</f>
        <v/>
      </c>
      <c r="H9588">
        <f>IF(AND(B9588=B9587,D9588=D9587,A9588=A9587,F9588=F9587),1,0)</f>
        <v/>
      </c>
      <c r="I9588">
        <f>IF(C9588="C99999",1,0)</f>
        <v/>
      </c>
      <c r="J9588" s="5">
        <f>IF(OR(H9588=1,I9588=1),0,IF(G9588="Credit",-F9588,F9588))</f>
        <v/>
      </c>
    </row>
    <row r="9589">
      <c r="A9589" t="inlineStr">
        <is>
          <t>2026-09-24</t>
        </is>
      </c>
      <c r="B9589" t="inlineStr">
        <is>
          <t>F277127</t>
        </is>
      </c>
      <c r="C9589" t="inlineStr">
        <is>
          <t>C10907</t>
        </is>
      </c>
      <c r="D9589" t="inlineStr">
        <is>
          <t>SKU-10290</t>
        </is>
      </c>
      <c r="E9589" t="inlineStr">
        <is>
          <t>AM12</t>
        </is>
      </c>
      <c r="F9589" s="5" t="n">
        <v>986.1</v>
      </c>
      <c r="G9589">
        <f>IF(LEFT(B9589,1)="C","Credit","Factuur")</f>
        <v/>
      </c>
      <c r="H9589">
        <f>IF(AND(B9589=B9588,D9589=D9588,A9589=A9588,F9589=F9588),1,0)</f>
        <v/>
      </c>
      <c r="I9589">
        <f>IF(C9589="C99999",1,0)</f>
        <v/>
      </c>
      <c r="J9589" s="5">
        <f>IF(OR(H9589=1,I9589=1),0,IF(G9589="Credit",-F9589,F9589))</f>
        <v/>
      </c>
    </row>
    <row r="9590">
      <c r="A9590" t="inlineStr">
        <is>
          <t>2026-09-24</t>
        </is>
      </c>
      <c r="B9590" t="inlineStr">
        <is>
          <t>F277127</t>
        </is>
      </c>
      <c r="C9590" t="inlineStr">
        <is>
          <t>C10907</t>
        </is>
      </c>
      <c r="D9590" t="inlineStr">
        <is>
          <t>SKU-10338</t>
        </is>
      </c>
      <c r="E9590" t="inlineStr">
        <is>
          <t>AM12</t>
        </is>
      </c>
      <c r="F9590" s="5" t="n">
        <v>981.98</v>
      </c>
      <c r="G9590">
        <f>IF(LEFT(B9590,1)="C","Credit","Factuur")</f>
        <v/>
      </c>
      <c r="H9590">
        <f>IF(AND(B9590=B9589,D9590=D9589,A9590=A9589,F9590=F9589),1,0)</f>
        <v/>
      </c>
      <c r="I9590">
        <f>IF(C9590="C99999",1,0)</f>
        <v/>
      </c>
      <c r="J9590" s="5">
        <f>IF(OR(H9590=1,I9590=1),0,IF(G9590="Credit",-F9590,F9590))</f>
        <v/>
      </c>
    </row>
    <row r="9591">
      <c r="A9591" t="inlineStr">
        <is>
          <t>2026-09-24</t>
        </is>
      </c>
      <c r="B9591" t="inlineStr">
        <is>
          <t>F277127</t>
        </is>
      </c>
      <c r="C9591" t="inlineStr">
        <is>
          <t>C10907</t>
        </is>
      </c>
      <c r="D9591" t="inlineStr">
        <is>
          <t>SKU-10384</t>
        </is>
      </c>
      <c r="E9591" t="inlineStr">
        <is>
          <t>AM12</t>
        </is>
      </c>
      <c r="F9591" s="5" t="n">
        <v>1071.18</v>
      </c>
      <c r="G9591">
        <f>IF(LEFT(B9591,1)="C","Credit","Factuur")</f>
        <v/>
      </c>
      <c r="H9591">
        <f>IF(AND(B9591=B9590,D9591=D9590,A9591=A9590,F9591=F9590),1,0)</f>
        <v/>
      </c>
      <c r="I9591">
        <f>IF(C9591="C99999",1,0)</f>
        <v/>
      </c>
      <c r="J9591" s="5">
        <f>IF(OR(H9591=1,I9591=1),0,IF(G9591="Credit",-F9591,F9591))</f>
        <v/>
      </c>
    </row>
    <row r="9592">
      <c r="A9592" t="inlineStr">
        <is>
          <t>2026-09-24</t>
        </is>
      </c>
      <c r="B9592" t="inlineStr">
        <is>
          <t>F277877</t>
        </is>
      </c>
      <c r="C9592" t="inlineStr">
        <is>
          <t>C10949</t>
        </is>
      </c>
      <c r="D9592" t="inlineStr">
        <is>
          <t>SKU-10007</t>
        </is>
      </c>
      <c r="E9592" t="inlineStr">
        <is>
          <t>AM01</t>
        </is>
      </c>
      <c r="F9592" s="5" t="n">
        <v>70.97</v>
      </c>
      <c r="G9592">
        <f>IF(LEFT(B9592,1)="C","Credit","Factuur")</f>
        <v/>
      </c>
      <c r="H9592">
        <f>IF(AND(B9592=B9591,D9592=D9591,A9592=A9591,F9592=F9591),1,0)</f>
        <v/>
      </c>
      <c r="I9592">
        <f>IF(C9592="C99999",1,0)</f>
        <v/>
      </c>
      <c r="J9592" s="5">
        <f>IF(OR(H9592=1,I9592=1),0,IF(G9592="Credit",-F9592,F9592))</f>
        <v/>
      </c>
    </row>
    <row r="9593">
      <c r="A9593" t="inlineStr">
        <is>
          <t>2026-09-24</t>
        </is>
      </c>
      <c r="B9593" t="inlineStr">
        <is>
          <t>F277877</t>
        </is>
      </c>
      <c r="C9593" t="inlineStr">
        <is>
          <t>C10949</t>
        </is>
      </c>
      <c r="D9593" t="inlineStr">
        <is>
          <t>SKU-10062</t>
        </is>
      </c>
      <c r="E9593" t="inlineStr">
        <is>
          <t>AM01</t>
        </is>
      </c>
      <c r="F9593" s="5" t="n">
        <v>77.44</v>
      </c>
      <c r="G9593">
        <f>IF(LEFT(B9593,1)="C","Credit","Factuur")</f>
        <v/>
      </c>
      <c r="H9593">
        <f>IF(AND(B9593=B9592,D9593=D9592,A9593=A9592,F9593=F9592),1,0)</f>
        <v/>
      </c>
      <c r="I9593">
        <f>IF(C9593="C99999",1,0)</f>
        <v/>
      </c>
      <c r="J9593" s="5">
        <f>IF(OR(H9593=1,I9593=1),0,IF(G9593="Credit",-F9593,F9593))</f>
        <v/>
      </c>
    </row>
    <row r="9594">
      <c r="A9594" t="inlineStr">
        <is>
          <t>2026-09-24</t>
        </is>
      </c>
      <c r="B9594" t="inlineStr">
        <is>
          <t>F277877</t>
        </is>
      </c>
      <c r="C9594" t="inlineStr">
        <is>
          <t>C10949</t>
        </is>
      </c>
      <c r="D9594" t="inlineStr">
        <is>
          <t>SKU-10207</t>
        </is>
      </c>
      <c r="E9594" t="inlineStr">
        <is>
          <t>AM01</t>
        </is>
      </c>
      <c r="F9594" s="5" t="n">
        <v>63.36</v>
      </c>
      <c r="G9594">
        <f>IF(LEFT(B9594,1)="C","Credit","Factuur")</f>
        <v/>
      </c>
      <c r="H9594">
        <f>IF(AND(B9594=B9593,D9594=D9593,A9594=A9593,F9594=F9593),1,0)</f>
        <v/>
      </c>
      <c r="I9594">
        <f>IF(C9594="C99999",1,0)</f>
        <v/>
      </c>
      <c r="J9594" s="5">
        <f>IF(OR(H9594=1,I9594=1),0,IF(G9594="Credit",-F9594,F9594))</f>
        <v/>
      </c>
    </row>
    <row r="9595">
      <c r="A9595" t="inlineStr">
        <is>
          <t>2026-09-24</t>
        </is>
      </c>
      <c r="B9595" t="inlineStr">
        <is>
          <t>F277877</t>
        </is>
      </c>
      <c r="C9595" t="inlineStr">
        <is>
          <t>C10949</t>
        </is>
      </c>
      <c r="D9595" t="inlineStr">
        <is>
          <t>SKU-10227</t>
        </is>
      </c>
      <c r="E9595" t="inlineStr">
        <is>
          <t>AM01</t>
        </is>
      </c>
      <c r="F9595" s="5" t="n">
        <v>67.93000000000001</v>
      </c>
      <c r="G9595">
        <f>IF(LEFT(B9595,1)="C","Credit","Factuur")</f>
        <v/>
      </c>
      <c r="H9595">
        <f>IF(AND(B9595=B9594,D9595=D9594,A9595=A9594,F9595=F9594),1,0)</f>
        <v/>
      </c>
      <c r="I9595">
        <f>IF(C9595="C99999",1,0)</f>
        <v/>
      </c>
      <c r="J9595" s="5">
        <f>IF(OR(H9595=1,I9595=1),0,IF(G9595="Credit",-F9595,F9595))</f>
        <v/>
      </c>
    </row>
    <row r="9596">
      <c r="A9596" t="inlineStr">
        <is>
          <t>2026-09-24</t>
        </is>
      </c>
      <c r="B9596" t="inlineStr">
        <is>
          <t>F280175</t>
        </is>
      </c>
      <c r="C9596" t="inlineStr">
        <is>
          <t>C11066</t>
        </is>
      </c>
      <c r="D9596" t="inlineStr">
        <is>
          <t>SKU-10103</t>
        </is>
      </c>
      <c r="E9596" t="inlineStr">
        <is>
          <t>AM08</t>
        </is>
      </c>
      <c r="F9596" s="5" t="n">
        <v>1191.45</v>
      </c>
      <c r="G9596">
        <f>IF(LEFT(B9596,1)="C","Credit","Factuur")</f>
        <v/>
      </c>
      <c r="H9596">
        <f>IF(AND(B9596=B9595,D9596=D9595,A9596=A9595,F9596=F9595),1,0)</f>
        <v/>
      </c>
      <c r="I9596">
        <f>IF(C9596="C99999",1,0)</f>
        <v/>
      </c>
      <c r="J9596" s="5">
        <f>IF(OR(H9596=1,I9596=1),0,IF(G9596="Credit",-F9596,F9596))</f>
        <v/>
      </c>
    </row>
    <row r="9597">
      <c r="A9597" t="inlineStr">
        <is>
          <t>2026-09-24</t>
        </is>
      </c>
      <c r="B9597" t="inlineStr">
        <is>
          <t>F280175</t>
        </is>
      </c>
      <c r="C9597" t="inlineStr">
        <is>
          <t>C11066</t>
        </is>
      </c>
      <c r="D9597" t="inlineStr">
        <is>
          <t>SKU-10112</t>
        </is>
      </c>
      <c r="E9597" t="inlineStr">
        <is>
          <t>AM08</t>
        </is>
      </c>
      <c r="F9597" s="5" t="n">
        <v>1215.24</v>
      </c>
      <c r="G9597">
        <f>IF(LEFT(B9597,1)="C","Credit","Factuur")</f>
        <v/>
      </c>
      <c r="H9597">
        <f>IF(AND(B9597=B9596,D9597=D9596,A9597=A9596,F9597=F9596),1,0)</f>
        <v/>
      </c>
      <c r="I9597">
        <f>IF(C9597="C99999",1,0)</f>
        <v/>
      </c>
      <c r="J9597" s="5">
        <f>IF(OR(H9597=1,I9597=1),0,IF(G9597="Credit",-F9597,F9597))</f>
        <v/>
      </c>
    </row>
    <row r="9598">
      <c r="A9598" t="inlineStr">
        <is>
          <t>2026-09-24</t>
        </is>
      </c>
      <c r="B9598" t="inlineStr">
        <is>
          <t>F280251</t>
        </is>
      </c>
      <c r="C9598" t="inlineStr">
        <is>
          <t>C11070</t>
        </is>
      </c>
      <c r="D9598" t="inlineStr">
        <is>
          <t>SKU-10120</t>
        </is>
      </c>
      <c r="E9598" t="inlineStr">
        <is>
          <t>AM03</t>
        </is>
      </c>
      <c r="F9598" s="5" t="n">
        <v>425.7</v>
      </c>
      <c r="G9598">
        <f>IF(LEFT(B9598,1)="C","Credit","Factuur")</f>
        <v/>
      </c>
      <c r="H9598">
        <f>IF(AND(B9598=B9597,D9598=D9597,A9598=A9597,F9598=F9597),1,0)</f>
        <v/>
      </c>
      <c r="I9598">
        <f>IF(C9598="C99999",1,0)</f>
        <v/>
      </c>
      <c r="J9598" s="5">
        <f>IF(OR(H9598=1,I9598=1),0,IF(G9598="Credit",-F9598,F9598))</f>
        <v/>
      </c>
    </row>
    <row r="9599">
      <c r="A9599" t="inlineStr">
        <is>
          <t>2026-09-24</t>
        </is>
      </c>
      <c r="B9599" t="inlineStr">
        <is>
          <t>F280285</t>
        </is>
      </c>
      <c r="C9599" t="inlineStr">
        <is>
          <t>C11072</t>
        </is>
      </c>
      <c r="D9599" t="inlineStr">
        <is>
          <t>SKU-10034</t>
        </is>
      </c>
      <c r="E9599" t="inlineStr">
        <is>
          <t>AM03</t>
        </is>
      </c>
      <c r="F9599" s="5" t="n">
        <v>417.87</v>
      </c>
      <c r="G9599">
        <f>IF(LEFT(B9599,1)="C","Credit","Factuur")</f>
        <v/>
      </c>
      <c r="H9599">
        <f>IF(AND(B9599=B9598,D9599=D9598,A9599=A9598,F9599=F9598),1,0)</f>
        <v/>
      </c>
      <c r="I9599">
        <f>IF(C9599="C99999",1,0)</f>
        <v/>
      </c>
      <c r="J9599" s="5">
        <f>IF(OR(H9599=1,I9599=1),0,IF(G9599="Credit",-F9599,F9599))</f>
        <v/>
      </c>
    </row>
    <row r="9600">
      <c r="A9600" t="inlineStr">
        <is>
          <t>2026-09-24</t>
        </is>
      </c>
      <c r="B9600" t="inlineStr">
        <is>
          <t>F280285</t>
        </is>
      </c>
      <c r="C9600" t="inlineStr">
        <is>
          <t>C11072</t>
        </is>
      </c>
      <c r="D9600" t="inlineStr">
        <is>
          <t>SKU-10293</t>
        </is>
      </c>
      <c r="E9600" t="inlineStr">
        <is>
          <t>AM03</t>
        </is>
      </c>
      <c r="F9600" s="5" t="n">
        <v>395.43</v>
      </c>
      <c r="G9600">
        <f>IF(LEFT(B9600,1)="C","Credit","Factuur")</f>
        <v/>
      </c>
      <c r="H9600">
        <f>IF(AND(B9600=B9599,D9600=D9599,A9600=A9599,F9600=F9599),1,0)</f>
        <v/>
      </c>
      <c r="I9600">
        <f>IF(C9600="C99999",1,0)</f>
        <v/>
      </c>
      <c r="J9600" s="5">
        <f>IF(OR(H9600=1,I9600=1),0,IF(G9600="Credit",-F9600,F9600))</f>
        <v/>
      </c>
    </row>
    <row r="9601">
      <c r="A9601" t="inlineStr">
        <is>
          <t>2026-09-24</t>
        </is>
      </c>
      <c r="B9601" t="inlineStr">
        <is>
          <t>F283400</t>
        </is>
      </c>
      <c r="C9601" t="inlineStr">
        <is>
          <t>C11228</t>
        </is>
      </c>
      <c r="D9601" t="inlineStr">
        <is>
          <t>SKU-10053</t>
        </is>
      </c>
      <c r="E9601" t="inlineStr">
        <is>
          <t>AM02</t>
        </is>
      </c>
      <c r="F9601" s="5" t="n">
        <v>1371.56</v>
      </c>
      <c r="G9601">
        <f>IF(LEFT(B9601,1)="C","Credit","Factuur")</f>
        <v/>
      </c>
      <c r="H9601">
        <f>IF(AND(B9601=B9600,D9601=D9600,A9601=A9600,F9601=F9600),1,0)</f>
        <v/>
      </c>
      <c r="I9601">
        <f>IF(C9601="C99999",1,0)</f>
        <v/>
      </c>
      <c r="J9601" s="5">
        <f>IF(OR(H9601=1,I9601=1),0,IF(G9601="Credit",-F9601,F9601))</f>
        <v/>
      </c>
    </row>
    <row r="9602">
      <c r="A9602" t="inlineStr">
        <is>
          <t>2026-09-24</t>
        </is>
      </c>
      <c r="B9602" t="inlineStr">
        <is>
          <t>F283519</t>
        </is>
      </c>
      <c r="C9602" t="inlineStr">
        <is>
          <t>C11234</t>
        </is>
      </c>
      <c r="D9602" t="inlineStr">
        <is>
          <t>SKU-10044</t>
        </is>
      </c>
      <c r="E9602" t="inlineStr">
        <is>
          <t>AM01</t>
        </is>
      </c>
      <c r="F9602" s="5" t="n">
        <v>588.96</v>
      </c>
      <c r="G9602">
        <f>IF(LEFT(B9602,1)="C","Credit","Factuur")</f>
        <v/>
      </c>
      <c r="H9602">
        <f>IF(AND(B9602=B9601,D9602=D9601,A9602=A9601,F9602=F9601),1,0)</f>
        <v/>
      </c>
      <c r="I9602">
        <f>IF(C9602="C99999",1,0)</f>
        <v/>
      </c>
      <c r="J9602" s="5">
        <f>IF(OR(H9602=1,I9602=1),0,IF(G9602="Credit",-F9602,F9602))</f>
        <v/>
      </c>
    </row>
    <row r="9603">
      <c r="A9603" t="inlineStr">
        <is>
          <t>2026-09-24</t>
        </is>
      </c>
      <c r="B9603" t="inlineStr">
        <is>
          <t>F283519</t>
        </is>
      </c>
      <c r="C9603" t="inlineStr">
        <is>
          <t>C11234</t>
        </is>
      </c>
      <c r="D9603" t="inlineStr">
        <is>
          <t>SKU-10070</t>
        </is>
      </c>
      <c r="E9603" t="inlineStr">
        <is>
          <t>AM01</t>
        </is>
      </c>
      <c r="F9603" s="5" t="n">
        <v>570.09</v>
      </c>
      <c r="G9603">
        <f>IF(LEFT(B9603,1)="C","Credit","Factuur")</f>
        <v/>
      </c>
      <c r="H9603">
        <f>IF(AND(B9603=B9602,D9603=D9602,A9603=A9602,F9603=F9602),1,0)</f>
        <v/>
      </c>
      <c r="I9603">
        <f>IF(C9603="C99999",1,0)</f>
        <v/>
      </c>
      <c r="J9603" s="5">
        <f>IF(OR(H9603=1,I9603=1),0,IF(G9603="Credit",-F9603,F9603))</f>
        <v/>
      </c>
    </row>
    <row r="9604">
      <c r="A9604" t="inlineStr">
        <is>
          <t>2026-09-24</t>
        </is>
      </c>
      <c r="B9604" t="inlineStr">
        <is>
          <t>F283519</t>
        </is>
      </c>
      <c r="C9604" t="inlineStr">
        <is>
          <t>C11234</t>
        </is>
      </c>
      <c r="D9604" t="inlineStr">
        <is>
          <t>SKU-10382</t>
        </is>
      </c>
      <c r="E9604" t="inlineStr">
        <is>
          <t>AM01</t>
        </is>
      </c>
      <c r="F9604" s="5" t="n">
        <v>476.52</v>
      </c>
      <c r="G9604">
        <f>IF(LEFT(B9604,1)="C","Credit","Factuur")</f>
        <v/>
      </c>
      <c r="H9604">
        <f>IF(AND(B9604=B9603,D9604=D9603,A9604=A9603,F9604=F9603),1,0)</f>
        <v/>
      </c>
      <c r="I9604">
        <f>IF(C9604="C99999",1,0)</f>
        <v/>
      </c>
      <c r="J9604" s="5">
        <f>IF(OR(H9604=1,I9604=1),0,IF(G9604="Credit",-F9604,F9604))</f>
        <v/>
      </c>
    </row>
    <row r="9605">
      <c r="A9605" t="inlineStr">
        <is>
          <t>2026-09-24</t>
        </is>
      </c>
      <c r="B9605" t="inlineStr">
        <is>
          <t>F284088</t>
        </is>
      </c>
      <c r="C9605" t="inlineStr">
        <is>
          <t>C11258</t>
        </is>
      </c>
      <c r="D9605" t="inlineStr">
        <is>
          <t>SKU-10043</t>
        </is>
      </c>
      <c r="E9605" t="inlineStr">
        <is>
          <t>AM12</t>
        </is>
      </c>
      <c r="F9605" s="5" t="n">
        <v>676.7</v>
      </c>
      <c r="G9605">
        <f>IF(LEFT(B9605,1)="C","Credit","Factuur")</f>
        <v/>
      </c>
      <c r="H9605">
        <f>IF(AND(B9605=B9604,D9605=D9604,A9605=A9604,F9605=F9604),1,0)</f>
        <v/>
      </c>
      <c r="I9605">
        <f>IF(C9605="C99999",1,0)</f>
        <v/>
      </c>
      <c r="J9605" s="5">
        <f>IF(OR(H9605=1,I9605=1),0,IF(G9605="Credit",-F9605,F9605))</f>
        <v/>
      </c>
    </row>
    <row r="9606">
      <c r="A9606" t="inlineStr">
        <is>
          <t>2026-09-24</t>
        </is>
      </c>
      <c r="B9606" t="inlineStr">
        <is>
          <t>F284088</t>
        </is>
      </c>
      <c r="C9606" t="inlineStr">
        <is>
          <t>C11258</t>
        </is>
      </c>
      <c r="D9606" t="inlineStr">
        <is>
          <t>SKU-10126</t>
        </is>
      </c>
      <c r="E9606" t="inlineStr">
        <is>
          <t>AM12</t>
        </is>
      </c>
      <c r="F9606" s="5" t="n">
        <v>661</v>
      </c>
      <c r="G9606">
        <f>IF(LEFT(B9606,1)="C","Credit","Factuur")</f>
        <v/>
      </c>
      <c r="H9606">
        <f>IF(AND(B9606=B9605,D9606=D9605,A9606=A9605,F9606=F9605),1,0)</f>
        <v/>
      </c>
      <c r="I9606">
        <f>IF(C9606="C99999",1,0)</f>
        <v/>
      </c>
      <c r="J9606" s="5">
        <f>IF(OR(H9606=1,I9606=1),0,IF(G9606="Credit",-F9606,F9606))</f>
        <v/>
      </c>
    </row>
    <row r="9607">
      <c r="A9607" t="inlineStr">
        <is>
          <t>2026-09-24</t>
        </is>
      </c>
      <c r="B9607" t="inlineStr">
        <is>
          <t>F284088</t>
        </is>
      </c>
      <c r="C9607" t="inlineStr">
        <is>
          <t>C11258</t>
        </is>
      </c>
      <c r="D9607" t="inlineStr">
        <is>
          <t>SKU-10339</t>
        </is>
      </c>
      <c r="E9607" t="inlineStr">
        <is>
          <t>AM12</t>
        </is>
      </c>
      <c r="F9607" s="5" t="n">
        <v>722.4</v>
      </c>
      <c r="G9607">
        <f>IF(LEFT(B9607,1)="C","Credit","Factuur")</f>
        <v/>
      </c>
      <c r="H9607">
        <f>IF(AND(B9607=B9606,D9607=D9606,A9607=A9606,F9607=F9606),1,0)</f>
        <v/>
      </c>
      <c r="I9607">
        <f>IF(C9607="C99999",1,0)</f>
        <v/>
      </c>
      <c r="J9607" s="5">
        <f>IF(OR(H9607=1,I9607=1),0,IF(G9607="Credit",-F9607,F9607))</f>
        <v/>
      </c>
    </row>
    <row r="9608">
      <c r="A9608" t="inlineStr">
        <is>
          <t>2026-09-24</t>
        </is>
      </c>
      <c r="B9608" t="inlineStr">
        <is>
          <t>F285809</t>
        </is>
      </c>
      <c r="C9608" t="inlineStr">
        <is>
          <t>C11350</t>
        </is>
      </c>
      <c r="D9608" t="inlineStr">
        <is>
          <t>SKU-10017</t>
        </is>
      </c>
      <c r="E9608" t="inlineStr">
        <is>
          <t>AM08</t>
        </is>
      </c>
      <c r="F9608" s="5" t="n">
        <v>1592.85</v>
      </c>
      <c r="G9608">
        <f>IF(LEFT(B9608,1)="C","Credit","Factuur")</f>
        <v/>
      </c>
      <c r="H9608">
        <f>IF(AND(B9608=B9607,D9608=D9607,A9608=A9607,F9608=F9607),1,0)</f>
        <v/>
      </c>
      <c r="I9608">
        <f>IF(C9608="C99999",1,0)</f>
        <v/>
      </c>
      <c r="J9608" s="5">
        <f>IF(OR(H9608=1,I9608=1),0,IF(G9608="Credit",-F9608,F9608))</f>
        <v/>
      </c>
    </row>
    <row r="9609">
      <c r="A9609" t="inlineStr">
        <is>
          <t>2026-09-24</t>
        </is>
      </c>
      <c r="B9609" t="inlineStr">
        <is>
          <t>F285809</t>
        </is>
      </c>
      <c r="C9609" t="inlineStr">
        <is>
          <t>C11350</t>
        </is>
      </c>
      <c r="D9609" t="inlineStr">
        <is>
          <t>SKU-10053</t>
        </is>
      </c>
      <c r="E9609" t="inlineStr">
        <is>
          <t>AM08</t>
        </is>
      </c>
      <c r="F9609" s="5" t="n">
        <v>1593.75</v>
      </c>
      <c r="G9609">
        <f>IF(LEFT(B9609,1)="C","Credit","Factuur")</f>
        <v/>
      </c>
      <c r="H9609">
        <f>IF(AND(B9609=B9608,D9609=D9608,A9609=A9608,F9609=F9608),1,0)</f>
        <v/>
      </c>
      <c r="I9609">
        <f>IF(C9609="C99999",1,0)</f>
        <v/>
      </c>
      <c r="J9609" s="5">
        <f>IF(OR(H9609=1,I9609=1),0,IF(G9609="Credit",-F9609,F9609))</f>
        <v/>
      </c>
    </row>
    <row r="9610">
      <c r="A9610" t="inlineStr">
        <is>
          <t>2026-09-24</t>
        </is>
      </c>
      <c r="B9610" t="inlineStr">
        <is>
          <t>F285809</t>
        </is>
      </c>
      <c r="C9610" t="inlineStr">
        <is>
          <t>C11350</t>
        </is>
      </c>
      <c r="D9610" t="inlineStr">
        <is>
          <t>SKU-10289</t>
        </is>
      </c>
      <c r="E9610" t="inlineStr">
        <is>
          <t>AM08</t>
        </is>
      </c>
      <c r="F9610" s="5" t="n">
        <v>1612.38</v>
      </c>
      <c r="G9610">
        <f>IF(LEFT(B9610,1)="C","Credit","Factuur")</f>
        <v/>
      </c>
      <c r="H9610">
        <f>IF(AND(B9610=B9609,D9610=D9609,A9610=A9609,F9610=F9609),1,0)</f>
        <v/>
      </c>
      <c r="I9610">
        <f>IF(C9610="C99999",1,0)</f>
        <v/>
      </c>
      <c r="J9610" s="5">
        <f>IF(OR(H9610=1,I9610=1),0,IF(G9610="Credit",-F9610,F9610))</f>
        <v/>
      </c>
    </row>
    <row r="9611">
      <c r="A9611" t="inlineStr">
        <is>
          <t>2026-09-24</t>
        </is>
      </c>
      <c r="B9611" t="inlineStr">
        <is>
          <t>F286007</t>
        </is>
      </c>
      <c r="C9611" t="inlineStr">
        <is>
          <t>C11362</t>
        </is>
      </c>
      <c r="D9611" t="inlineStr">
        <is>
          <t>SKU-10303</t>
        </is>
      </c>
      <c r="E9611" t="inlineStr">
        <is>
          <t>AM09</t>
        </is>
      </c>
      <c r="F9611" s="5" t="n">
        <v>443.76</v>
      </c>
      <c r="G9611">
        <f>IF(LEFT(B9611,1)="C","Credit","Factuur")</f>
        <v/>
      </c>
      <c r="H9611">
        <f>IF(AND(B9611=B9610,D9611=D9610,A9611=A9610,F9611=F9610),1,0)</f>
        <v/>
      </c>
      <c r="I9611">
        <f>IF(C9611="C99999",1,0)</f>
        <v/>
      </c>
      <c r="J9611" s="5">
        <f>IF(OR(H9611=1,I9611=1),0,IF(G9611="Credit",-F9611,F9611))</f>
        <v/>
      </c>
    </row>
    <row r="9612">
      <c r="A9612" t="inlineStr">
        <is>
          <t>2026-09-24</t>
        </is>
      </c>
      <c r="B9612" t="inlineStr">
        <is>
          <t>F286007</t>
        </is>
      </c>
      <c r="C9612" t="inlineStr">
        <is>
          <t>C11362</t>
        </is>
      </c>
      <c r="D9612" t="inlineStr">
        <is>
          <t>SKU-10340</t>
        </is>
      </c>
      <c r="E9612" t="inlineStr">
        <is>
          <t>AM09</t>
        </is>
      </c>
      <c r="F9612" s="5" t="n">
        <v>457.04</v>
      </c>
      <c r="G9612">
        <f>IF(LEFT(B9612,1)="C","Credit","Factuur")</f>
        <v/>
      </c>
      <c r="H9612">
        <f>IF(AND(B9612=B9611,D9612=D9611,A9612=A9611,F9612=F9611),1,0)</f>
        <v/>
      </c>
      <c r="I9612">
        <f>IF(C9612="C99999",1,0)</f>
        <v/>
      </c>
      <c r="J9612" s="5">
        <f>IF(OR(H9612=1,I9612=1),0,IF(G9612="Credit",-F9612,F9612))</f>
        <v/>
      </c>
    </row>
    <row r="9613">
      <c r="A9613" t="inlineStr">
        <is>
          <t>2026-09-24</t>
        </is>
      </c>
      <c r="B9613" t="inlineStr">
        <is>
          <t>F286339</t>
        </is>
      </c>
      <c r="C9613" t="inlineStr">
        <is>
          <t>C11377</t>
        </is>
      </c>
      <c r="D9613" t="inlineStr">
        <is>
          <t>SKU-10123</t>
        </is>
      </c>
      <c r="E9613" t="inlineStr">
        <is>
          <t>AM09</t>
        </is>
      </c>
      <c r="F9613" s="5" t="n">
        <v>1128.4</v>
      </c>
      <c r="G9613">
        <f>IF(LEFT(B9613,1)="C","Credit","Factuur")</f>
        <v/>
      </c>
      <c r="H9613">
        <f>IF(AND(B9613=B9612,D9613=D9612,A9613=A9612,F9613=F9612),1,0)</f>
        <v/>
      </c>
      <c r="I9613">
        <f>IF(C9613="C99999",1,0)</f>
        <v/>
      </c>
      <c r="J9613" s="5">
        <f>IF(OR(H9613=1,I9613=1),0,IF(G9613="Credit",-F9613,F9613))</f>
        <v/>
      </c>
    </row>
    <row r="9614">
      <c r="A9614" t="inlineStr">
        <is>
          <t>2026-09-24</t>
        </is>
      </c>
      <c r="B9614" t="inlineStr">
        <is>
          <t>F286339</t>
        </is>
      </c>
      <c r="C9614" t="inlineStr">
        <is>
          <t>C11377</t>
        </is>
      </c>
      <c r="D9614" t="inlineStr">
        <is>
          <t>SKU-10148</t>
        </is>
      </c>
      <c r="E9614" t="inlineStr">
        <is>
          <t>AM09</t>
        </is>
      </c>
      <c r="F9614" s="5" t="n">
        <v>1103.72</v>
      </c>
      <c r="G9614">
        <f>IF(LEFT(B9614,1)="C","Credit","Factuur")</f>
        <v/>
      </c>
      <c r="H9614">
        <f>IF(AND(B9614=B9613,D9614=D9613,A9614=A9613,F9614=F9613),1,0)</f>
        <v/>
      </c>
      <c r="I9614">
        <f>IF(C9614="C99999",1,0)</f>
        <v/>
      </c>
      <c r="J9614" s="5">
        <f>IF(OR(H9614=1,I9614=1),0,IF(G9614="Credit",-F9614,F9614))</f>
        <v/>
      </c>
    </row>
    <row r="9615">
      <c r="A9615" t="inlineStr">
        <is>
          <t>2026-09-24</t>
        </is>
      </c>
      <c r="B9615" t="inlineStr">
        <is>
          <t>F286339</t>
        </is>
      </c>
      <c r="C9615" t="inlineStr">
        <is>
          <t>C11377</t>
        </is>
      </c>
      <c r="D9615" t="inlineStr">
        <is>
          <t>SKU-10268</t>
        </is>
      </c>
      <c r="E9615" t="inlineStr">
        <is>
          <t>AM09</t>
        </is>
      </c>
      <c r="F9615" s="5" t="n">
        <v>1017.72</v>
      </c>
      <c r="G9615">
        <f>IF(LEFT(B9615,1)="C","Credit","Factuur")</f>
        <v/>
      </c>
      <c r="H9615">
        <f>IF(AND(B9615=B9614,D9615=D9614,A9615=A9614,F9615=F9614),1,0)</f>
        <v/>
      </c>
      <c r="I9615">
        <f>IF(C9615="C99999",1,0)</f>
        <v/>
      </c>
      <c r="J9615" s="5">
        <f>IF(OR(H9615=1,I9615=1),0,IF(G9615="Credit",-F9615,F9615))</f>
        <v/>
      </c>
    </row>
    <row r="9616">
      <c r="A9616" t="inlineStr">
        <is>
          <t>2026-09-24</t>
        </is>
      </c>
      <c r="B9616" t="inlineStr">
        <is>
          <t>F286339</t>
        </is>
      </c>
      <c r="C9616" t="inlineStr">
        <is>
          <t>C11377</t>
        </is>
      </c>
      <c r="D9616" t="inlineStr">
        <is>
          <t>SKU-10333</t>
        </is>
      </c>
      <c r="E9616" t="inlineStr">
        <is>
          <t>AM09</t>
        </is>
      </c>
      <c r="F9616" s="5" t="n">
        <v>1132.56</v>
      </c>
      <c r="G9616">
        <f>IF(LEFT(B9616,1)="C","Credit","Factuur")</f>
        <v/>
      </c>
      <c r="H9616">
        <f>IF(AND(B9616=B9615,D9616=D9615,A9616=A9615,F9616=F9615),1,0)</f>
        <v/>
      </c>
      <c r="I9616">
        <f>IF(C9616="C99999",1,0)</f>
        <v/>
      </c>
      <c r="J9616" s="5">
        <f>IF(OR(H9616=1,I9616=1),0,IF(G9616="Credit",-F9616,F9616))</f>
        <v/>
      </c>
    </row>
    <row r="9617">
      <c r="A9617" t="inlineStr">
        <is>
          <t>2026-09-25</t>
        </is>
      </c>
      <c r="B9617" t="inlineStr">
        <is>
          <t>F260156</t>
        </is>
      </c>
      <c r="C9617" t="inlineStr">
        <is>
          <t>C10010</t>
        </is>
      </c>
      <c r="D9617" t="inlineStr">
        <is>
          <t>SKU-10063</t>
        </is>
      </c>
      <c r="E9617" t="inlineStr">
        <is>
          <t>IS02</t>
        </is>
      </c>
      <c r="F9617" s="5" t="n">
        <v>201.07</v>
      </c>
      <c r="G9617">
        <f>IF(LEFT(B9617,1)="C","Credit","Factuur")</f>
        <v/>
      </c>
      <c r="H9617">
        <f>IF(AND(B9617=B9616,D9617=D9616,A9617=A9616,F9617=F9616),1,0)</f>
        <v/>
      </c>
      <c r="I9617">
        <f>IF(C9617="C99999",1,0)</f>
        <v/>
      </c>
      <c r="J9617" s="5">
        <f>IF(OR(H9617=1,I9617=1),0,IF(G9617="Credit",-F9617,F9617))</f>
        <v/>
      </c>
    </row>
    <row r="9618">
      <c r="A9618" t="inlineStr">
        <is>
          <t>2026-09-25</t>
        </is>
      </c>
      <c r="B9618" t="inlineStr">
        <is>
          <t>F260197</t>
        </is>
      </c>
      <c r="C9618" t="inlineStr">
        <is>
          <t>C10012</t>
        </is>
      </c>
      <c r="D9618" t="inlineStr">
        <is>
          <t>SKU-10005</t>
        </is>
      </c>
      <c r="E9618" t="inlineStr">
        <is>
          <t>AM05</t>
        </is>
      </c>
      <c r="F9618" s="5" t="n">
        <v>542.34</v>
      </c>
      <c r="G9618">
        <f>IF(LEFT(B9618,1)="C","Credit","Factuur")</f>
        <v/>
      </c>
      <c r="H9618">
        <f>IF(AND(B9618=B9617,D9618=D9617,A9618=A9617,F9618=F9617),1,0)</f>
        <v/>
      </c>
      <c r="I9618">
        <f>IF(C9618="C99999",1,0)</f>
        <v/>
      </c>
      <c r="J9618" s="5">
        <f>IF(OR(H9618=1,I9618=1),0,IF(G9618="Credit",-F9618,F9618))</f>
        <v/>
      </c>
    </row>
    <row r="9619">
      <c r="A9619" t="inlineStr">
        <is>
          <t>2026-09-25</t>
        </is>
      </c>
      <c r="B9619" t="inlineStr">
        <is>
          <t>F260197</t>
        </is>
      </c>
      <c r="C9619" t="inlineStr">
        <is>
          <t>C10012</t>
        </is>
      </c>
      <c r="D9619" t="inlineStr">
        <is>
          <t>SKU-10085</t>
        </is>
      </c>
      <c r="E9619" t="inlineStr">
        <is>
          <t>AM05</t>
        </is>
      </c>
      <c r="F9619" s="5" t="n">
        <v>524.6900000000001</v>
      </c>
      <c r="G9619">
        <f>IF(LEFT(B9619,1)="C","Credit","Factuur")</f>
        <v/>
      </c>
      <c r="H9619">
        <f>IF(AND(B9619=B9618,D9619=D9618,A9619=A9618,F9619=F9618),1,0)</f>
        <v/>
      </c>
      <c r="I9619">
        <f>IF(C9619="C99999",1,0)</f>
        <v/>
      </c>
      <c r="J9619" s="5">
        <f>IF(OR(H9619=1,I9619=1),0,IF(G9619="Credit",-F9619,F9619))</f>
        <v/>
      </c>
    </row>
    <row r="9620">
      <c r="A9620" t="inlineStr">
        <is>
          <t>2026-09-25</t>
        </is>
      </c>
      <c r="B9620" t="inlineStr">
        <is>
          <t>F260197</t>
        </is>
      </c>
      <c r="C9620" t="inlineStr">
        <is>
          <t>C10012</t>
        </is>
      </c>
      <c r="D9620" t="inlineStr">
        <is>
          <t>SKU-10097</t>
        </is>
      </c>
      <c r="E9620" t="inlineStr">
        <is>
          <t>AM05</t>
        </is>
      </c>
      <c r="F9620" s="5" t="n">
        <v>532.5</v>
      </c>
      <c r="G9620">
        <f>IF(LEFT(B9620,1)="C","Credit","Factuur")</f>
        <v/>
      </c>
      <c r="H9620">
        <f>IF(AND(B9620=B9619,D9620=D9619,A9620=A9619,F9620=F9619),1,0)</f>
        <v/>
      </c>
      <c r="I9620">
        <f>IF(C9620="C99999",1,0)</f>
        <v/>
      </c>
      <c r="J9620" s="5">
        <f>IF(OR(H9620=1,I9620=1),0,IF(G9620="Credit",-F9620,F9620))</f>
        <v/>
      </c>
    </row>
    <row r="9621">
      <c r="A9621" t="inlineStr">
        <is>
          <t>2026-09-25</t>
        </is>
      </c>
      <c r="B9621" t="inlineStr">
        <is>
          <t>F260197</t>
        </is>
      </c>
      <c r="C9621" t="inlineStr">
        <is>
          <t>C10012</t>
        </is>
      </c>
      <c r="D9621" t="inlineStr">
        <is>
          <t>SKU-10203</t>
        </is>
      </c>
      <c r="E9621" t="inlineStr">
        <is>
          <t>AM05</t>
        </is>
      </c>
      <c r="F9621" s="5" t="n">
        <v>534.96</v>
      </c>
      <c r="G9621">
        <f>IF(LEFT(B9621,1)="C","Credit","Factuur")</f>
        <v/>
      </c>
      <c r="H9621">
        <f>IF(AND(B9621=B9620,D9621=D9620,A9621=A9620,F9621=F9620),1,0)</f>
        <v/>
      </c>
      <c r="I9621">
        <f>IF(C9621="C99999",1,0)</f>
        <v/>
      </c>
      <c r="J9621" s="5">
        <f>IF(OR(H9621=1,I9621=1),0,IF(G9621="Credit",-F9621,F9621))</f>
        <v/>
      </c>
    </row>
    <row r="9622">
      <c r="A9622" t="inlineStr">
        <is>
          <t>2026-09-25</t>
        </is>
      </c>
      <c r="B9622" t="inlineStr">
        <is>
          <t>F260197</t>
        </is>
      </c>
      <c r="C9622" t="inlineStr">
        <is>
          <t>C10012</t>
        </is>
      </c>
      <c r="D9622" t="inlineStr">
        <is>
          <t>SKU-10280</t>
        </is>
      </c>
      <c r="E9622" t="inlineStr">
        <is>
          <t>AM05</t>
        </is>
      </c>
      <c r="F9622" s="5" t="n">
        <v>527.28</v>
      </c>
      <c r="G9622">
        <f>IF(LEFT(B9622,1)="C","Credit","Factuur")</f>
        <v/>
      </c>
      <c r="H9622">
        <f>IF(AND(B9622=B9621,D9622=D9621,A9622=A9621,F9622=F9621),1,0)</f>
        <v/>
      </c>
      <c r="I9622">
        <f>IF(C9622="C99999",1,0)</f>
        <v/>
      </c>
      <c r="J9622" s="5">
        <f>IF(OR(H9622=1,I9622=1),0,IF(G9622="Credit",-F9622,F9622))</f>
        <v/>
      </c>
    </row>
    <row r="9623">
      <c r="A9623" t="inlineStr">
        <is>
          <t>2026-09-25</t>
        </is>
      </c>
      <c r="B9623" t="inlineStr">
        <is>
          <t>F260380</t>
        </is>
      </c>
      <c r="C9623" t="inlineStr">
        <is>
          <t>C10021</t>
        </is>
      </c>
      <c r="D9623" t="inlineStr">
        <is>
          <t>SKU-10017</t>
        </is>
      </c>
      <c r="E9623" t="inlineStr">
        <is>
          <t>AM07</t>
        </is>
      </c>
      <c r="F9623" s="5" t="n">
        <v>2991.45</v>
      </c>
      <c r="G9623">
        <f>IF(LEFT(B9623,1)="C","Credit","Factuur")</f>
        <v/>
      </c>
      <c r="H9623">
        <f>IF(AND(B9623=B9622,D9623=D9622,A9623=A9622,F9623=F9622),1,0)</f>
        <v/>
      </c>
      <c r="I9623">
        <f>IF(C9623="C99999",1,0)</f>
        <v/>
      </c>
      <c r="J9623" s="5">
        <f>IF(OR(H9623=1,I9623=1),0,IF(G9623="Credit",-F9623,F9623))</f>
        <v/>
      </c>
    </row>
    <row r="9624">
      <c r="A9624" t="inlineStr">
        <is>
          <t>2026-09-25</t>
        </is>
      </c>
      <c r="B9624" t="inlineStr">
        <is>
          <t>F260382</t>
        </is>
      </c>
      <c r="C9624" t="inlineStr">
        <is>
          <t>C10021</t>
        </is>
      </c>
      <c r="D9624" t="inlineStr">
        <is>
          <t>SKU-10002</t>
        </is>
      </c>
      <c r="E9624" t="inlineStr">
        <is>
          <t>AM07</t>
        </is>
      </c>
      <c r="F9624" s="5" t="n">
        <v>1526.04</v>
      </c>
      <c r="G9624">
        <f>IF(LEFT(B9624,1)="C","Credit","Factuur")</f>
        <v/>
      </c>
      <c r="H9624">
        <f>IF(AND(B9624=B9623,D9624=D9623,A9624=A9623,F9624=F9623),1,0)</f>
        <v/>
      </c>
      <c r="I9624">
        <f>IF(C9624="C99999",1,0)</f>
        <v/>
      </c>
      <c r="J9624" s="5">
        <f>IF(OR(H9624=1,I9624=1),0,IF(G9624="Credit",-F9624,F9624))</f>
        <v/>
      </c>
    </row>
    <row r="9625">
      <c r="A9625" t="inlineStr">
        <is>
          <t>2026-09-25</t>
        </is>
      </c>
      <c r="B9625" t="inlineStr">
        <is>
          <t>F260382</t>
        </is>
      </c>
      <c r="C9625" t="inlineStr">
        <is>
          <t>C10021</t>
        </is>
      </c>
      <c r="D9625" t="inlineStr">
        <is>
          <t>SKU-10115</t>
        </is>
      </c>
      <c r="E9625" t="inlineStr">
        <is>
          <t>AM07</t>
        </is>
      </c>
      <c r="F9625" s="5" t="n">
        <v>1574.08</v>
      </c>
      <c r="G9625">
        <f>IF(LEFT(B9625,1)="C","Credit","Factuur")</f>
        <v/>
      </c>
      <c r="H9625">
        <f>IF(AND(B9625=B9624,D9625=D9624,A9625=A9624,F9625=F9624),1,0)</f>
        <v/>
      </c>
      <c r="I9625">
        <f>IF(C9625="C99999",1,0)</f>
        <v/>
      </c>
      <c r="J9625" s="5">
        <f>IF(OR(H9625=1,I9625=1),0,IF(G9625="Credit",-F9625,F9625))</f>
        <v/>
      </c>
    </row>
    <row r="9626">
      <c r="A9626" t="inlineStr">
        <is>
          <t>2026-09-25</t>
        </is>
      </c>
      <c r="B9626" t="inlineStr">
        <is>
          <t>F260419</t>
        </is>
      </c>
      <c r="C9626" t="inlineStr">
        <is>
          <t>C10022</t>
        </is>
      </c>
      <c r="D9626" t="inlineStr">
        <is>
          <t>SKU-10190</t>
        </is>
      </c>
      <c r="E9626" t="inlineStr">
        <is>
          <t>AM08</t>
        </is>
      </c>
      <c r="F9626" s="5" t="n">
        <v>1226.96</v>
      </c>
      <c r="G9626">
        <f>IF(LEFT(B9626,1)="C","Credit","Factuur")</f>
        <v/>
      </c>
      <c r="H9626">
        <f>IF(AND(B9626=B9625,D9626=D9625,A9626=A9625,F9626=F9625),1,0)</f>
        <v/>
      </c>
      <c r="I9626">
        <f>IF(C9626="C99999",1,0)</f>
        <v/>
      </c>
      <c r="J9626" s="5">
        <f>IF(OR(H9626=1,I9626=1),0,IF(G9626="Credit",-F9626,F9626))</f>
        <v/>
      </c>
    </row>
    <row r="9627">
      <c r="A9627" t="inlineStr">
        <is>
          <t>2026-09-25</t>
        </is>
      </c>
      <c r="B9627" t="inlineStr">
        <is>
          <t>F260419</t>
        </is>
      </c>
      <c r="C9627" t="inlineStr">
        <is>
          <t>C10022</t>
        </is>
      </c>
      <c r="D9627" t="inlineStr">
        <is>
          <t>SKU-10265</t>
        </is>
      </c>
      <c r="E9627" t="inlineStr">
        <is>
          <t>AM08</t>
        </is>
      </c>
      <c r="F9627" s="5" t="n">
        <v>1077.62</v>
      </c>
      <c r="G9627">
        <f>IF(LEFT(B9627,1)="C","Credit","Factuur")</f>
        <v/>
      </c>
      <c r="H9627">
        <f>IF(AND(B9627=B9626,D9627=D9626,A9627=A9626,F9627=F9626),1,0)</f>
        <v/>
      </c>
      <c r="I9627">
        <f>IF(C9627="C99999",1,0)</f>
        <v/>
      </c>
      <c r="J9627" s="5">
        <f>IF(OR(H9627=1,I9627=1),0,IF(G9627="Credit",-F9627,F9627))</f>
        <v/>
      </c>
    </row>
    <row r="9628">
      <c r="A9628" t="inlineStr">
        <is>
          <t>2026-09-25</t>
        </is>
      </c>
      <c r="B9628" t="inlineStr">
        <is>
          <t>F260553</t>
        </is>
      </c>
      <c r="C9628" t="inlineStr">
        <is>
          <t>C10031</t>
        </is>
      </c>
      <c r="D9628" t="inlineStr">
        <is>
          <t>SKU-10055</t>
        </is>
      </c>
      <c r="E9628" t="inlineStr">
        <is>
          <t>AM07</t>
        </is>
      </c>
      <c r="F9628" s="5" t="n">
        <v>452.66</v>
      </c>
      <c r="G9628">
        <f>IF(LEFT(B9628,1)="C","Credit","Factuur")</f>
        <v/>
      </c>
      <c r="H9628">
        <f>IF(AND(B9628=B9627,D9628=D9627,A9628=A9627,F9628=F9627),1,0)</f>
        <v/>
      </c>
      <c r="I9628">
        <f>IF(C9628="C99999",1,0)</f>
        <v/>
      </c>
      <c r="J9628" s="5">
        <f>IF(OR(H9628=1,I9628=1),0,IF(G9628="Credit",-F9628,F9628))</f>
        <v/>
      </c>
    </row>
    <row r="9629">
      <c r="A9629" t="inlineStr">
        <is>
          <t>2026-09-25</t>
        </is>
      </c>
      <c r="B9629" t="inlineStr">
        <is>
          <t>F260553</t>
        </is>
      </c>
      <c r="C9629" t="inlineStr">
        <is>
          <t>C10031</t>
        </is>
      </c>
      <c r="D9629" t="inlineStr">
        <is>
          <t>SKU-10145</t>
        </is>
      </c>
      <c r="E9629" t="inlineStr">
        <is>
          <t>AM07</t>
        </is>
      </c>
      <c r="F9629" s="5" t="n">
        <v>476.72</v>
      </c>
      <c r="G9629">
        <f>IF(LEFT(B9629,1)="C","Credit","Factuur")</f>
        <v/>
      </c>
      <c r="H9629">
        <f>IF(AND(B9629=B9628,D9629=D9628,A9629=A9628,F9629=F9628),1,0)</f>
        <v/>
      </c>
      <c r="I9629">
        <f>IF(C9629="C99999",1,0)</f>
        <v/>
      </c>
      <c r="J9629" s="5">
        <f>IF(OR(H9629=1,I9629=1),0,IF(G9629="Credit",-F9629,F9629))</f>
        <v/>
      </c>
    </row>
    <row r="9630">
      <c r="A9630" t="inlineStr">
        <is>
          <t>2026-09-25</t>
        </is>
      </c>
      <c r="B9630" t="inlineStr">
        <is>
          <t>F260553</t>
        </is>
      </c>
      <c r="C9630" t="inlineStr">
        <is>
          <t>C10031</t>
        </is>
      </c>
      <c r="D9630" t="inlineStr">
        <is>
          <t>SKU-10163</t>
        </is>
      </c>
      <c r="E9630" t="inlineStr">
        <is>
          <t>AM07</t>
        </is>
      </c>
      <c r="F9630" s="5" t="n">
        <v>470.93</v>
      </c>
      <c r="G9630">
        <f>IF(LEFT(B9630,1)="C","Credit","Factuur")</f>
        <v/>
      </c>
      <c r="H9630">
        <f>IF(AND(B9630=B9629,D9630=D9629,A9630=A9629,F9630=F9629),1,0)</f>
        <v/>
      </c>
      <c r="I9630">
        <f>IF(C9630="C99999",1,0)</f>
        <v/>
      </c>
      <c r="J9630" s="5">
        <f>IF(OR(H9630=1,I9630=1),0,IF(G9630="Credit",-F9630,F9630))</f>
        <v/>
      </c>
    </row>
    <row r="9631">
      <c r="A9631" t="inlineStr">
        <is>
          <t>2026-09-25</t>
        </is>
      </c>
      <c r="B9631" t="inlineStr">
        <is>
          <t>F260553</t>
        </is>
      </c>
      <c r="C9631" t="inlineStr">
        <is>
          <t>C10031</t>
        </is>
      </c>
      <c r="D9631" t="inlineStr">
        <is>
          <t>SKU-10244</t>
        </is>
      </c>
      <c r="E9631" t="inlineStr">
        <is>
          <t>AM07</t>
        </is>
      </c>
      <c r="F9631" s="5" t="n">
        <v>502.74</v>
      </c>
      <c r="G9631">
        <f>IF(LEFT(B9631,1)="C","Credit","Factuur")</f>
        <v/>
      </c>
      <c r="H9631">
        <f>IF(AND(B9631=B9630,D9631=D9630,A9631=A9630,F9631=F9630),1,0)</f>
        <v/>
      </c>
      <c r="I9631">
        <f>IF(C9631="C99999",1,0)</f>
        <v/>
      </c>
      <c r="J9631" s="5">
        <f>IF(OR(H9631=1,I9631=1),0,IF(G9631="Credit",-F9631,F9631))</f>
        <v/>
      </c>
    </row>
    <row r="9632">
      <c r="A9632" t="inlineStr">
        <is>
          <t>2026-09-25</t>
        </is>
      </c>
      <c r="B9632" t="inlineStr">
        <is>
          <t>F260661</t>
        </is>
      </c>
      <c r="C9632" t="inlineStr">
        <is>
          <t>C10037</t>
        </is>
      </c>
      <c r="D9632" t="inlineStr">
        <is>
          <t>SKU-10141</t>
        </is>
      </c>
      <c r="E9632" t="inlineStr">
        <is>
          <t>AM03</t>
        </is>
      </c>
      <c r="F9632" s="5" t="n">
        <v>424.4</v>
      </c>
      <c r="G9632">
        <f>IF(LEFT(B9632,1)="C","Credit","Factuur")</f>
        <v/>
      </c>
      <c r="H9632">
        <f>IF(AND(B9632=B9631,D9632=D9631,A9632=A9631,F9632=F9631),1,0)</f>
        <v/>
      </c>
      <c r="I9632">
        <f>IF(C9632="C99999",1,0)</f>
        <v/>
      </c>
      <c r="J9632" s="5">
        <f>IF(OR(H9632=1,I9632=1),0,IF(G9632="Credit",-F9632,F9632))</f>
        <v/>
      </c>
    </row>
    <row r="9633">
      <c r="A9633" t="inlineStr">
        <is>
          <t>2026-09-25</t>
        </is>
      </c>
      <c r="B9633" t="inlineStr">
        <is>
          <t>F260873</t>
        </is>
      </c>
      <c r="C9633" t="inlineStr">
        <is>
          <t>C10050</t>
        </is>
      </c>
      <c r="D9633" t="inlineStr">
        <is>
          <t>SKU-10003</t>
        </is>
      </c>
      <c r="E9633" t="inlineStr">
        <is>
          <t>AM03</t>
        </is>
      </c>
      <c r="F9633" s="5" t="n">
        <v>936.7</v>
      </c>
      <c r="G9633">
        <f>IF(LEFT(B9633,1)="C","Credit","Factuur")</f>
        <v/>
      </c>
      <c r="H9633">
        <f>IF(AND(B9633=B9632,D9633=D9632,A9633=A9632,F9633=F9632),1,0)</f>
        <v/>
      </c>
      <c r="I9633">
        <f>IF(C9633="C99999",1,0)</f>
        <v/>
      </c>
      <c r="J9633" s="5">
        <f>IF(OR(H9633=1,I9633=1),0,IF(G9633="Credit",-F9633,F9633))</f>
        <v/>
      </c>
    </row>
    <row r="9634">
      <c r="A9634" t="inlineStr">
        <is>
          <t>2026-09-25</t>
        </is>
      </c>
      <c r="B9634" t="inlineStr">
        <is>
          <t>F261310</t>
        </is>
      </c>
      <c r="C9634" t="inlineStr">
        <is>
          <t>C10073</t>
        </is>
      </c>
      <c r="D9634" t="inlineStr">
        <is>
          <t>SKU-10178</t>
        </is>
      </c>
      <c r="E9634" t="inlineStr">
        <is>
          <t>AM08</t>
        </is>
      </c>
      <c r="F9634" s="5" t="n">
        <v>1271.81</v>
      </c>
      <c r="G9634">
        <f>IF(LEFT(B9634,1)="C","Credit","Factuur")</f>
        <v/>
      </c>
      <c r="H9634">
        <f>IF(AND(B9634=B9633,D9634=D9633,A9634=A9633,F9634=F9633),1,0)</f>
        <v/>
      </c>
      <c r="I9634">
        <f>IF(C9634="C99999",1,0)</f>
        <v/>
      </c>
      <c r="J9634" s="5">
        <f>IF(OR(H9634=1,I9634=1),0,IF(G9634="Credit",-F9634,F9634))</f>
        <v/>
      </c>
    </row>
    <row r="9635">
      <c r="A9635" t="inlineStr">
        <is>
          <t>2026-09-25</t>
        </is>
      </c>
      <c r="B9635" t="inlineStr">
        <is>
          <t>F261423</t>
        </is>
      </c>
      <c r="C9635" t="inlineStr">
        <is>
          <t>C10076</t>
        </is>
      </c>
      <c r="D9635" t="inlineStr">
        <is>
          <t>SKU-10327</t>
        </is>
      </c>
      <c r="E9635" t="inlineStr">
        <is>
          <t>AM02</t>
        </is>
      </c>
      <c r="F9635" s="5" t="n">
        <v>2477.05</v>
      </c>
      <c r="G9635">
        <f>IF(LEFT(B9635,1)="C","Credit","Factuur")</f>
        <v/>
      </c>
      <c r="H9635">
        <f>IF(AND(B9635=B9634,D9635=D9634,A9635=A9634,F9635=F9634),1,0)</f>
        <v/>
      </c>
      <c r="I9635">
        <f>IF(C9635="C99999",1,0)</f>
        <v/>
      </c>
      <c r="J9635" s="5">
        <f>IF(OR(H9635=1,I9635=1),0,IF(G9635="Credit",-F9635,F9635))</f>
        <v/>
      </c>
    </row>
    <row r="9636">
      <c r="A9636" t="inlineStr">
        <is>
          <t>2026-09-25</t>
        </is>
      </c>
      <c r="B9636" t="inlineStr">
        <is>
          <t>F261452</t>
        </is>
      </c>
      <c r="C9636" t="inlineStr">
        <is>
          <t>C10077</t>
        </is>
      </c>
      <c r="D9636" t="inlineStr">
        <is>
          <t>SKU-10015</t>
        </is>
      </c>
      <c r="E9636" t="inlineStr">
        <is>
          <t>AM11</t>
        </is>
      </c>
      <c r="F9636" s="5" t="n">
        <v>1165.89</v>
      </c>
      <c r="G9636">
        <f>IF(LEFT(B9636,1)="C","Credit","Factuur")</f>
        <v/>
      </c>
      <c r="H9636">
        <f>IF(AND(B9636=B9635,D9636=D9635,A9636=A9635,F9636=F9635),1,0)</f>
        <v/>
      </c>
      <c r="I9636">
        <f>IF(C9636="C99999",1,0)</f>
        <v/>
      </c>
      <c r="J9636" s="5">
        <f>IF(OR(H9636=1,I9636=1),0,IF(G9636="Credit",-F9636,F9636))</f>
        <v/>
      </c>
    </row>
    <row r="9637">
      <c r="A9637" t="inlineStr">
        <is>
          <t>2026-09-25</t>
        </is>
      </c>
      <c r="B9637" t="inlineStr">
        <is>
          <t>F261452</t>
        </is>
      </c>
      <c r="C9637" t="inlineStr">
        <is>
          <t>C10077</t>
        </is>
      </c>
      <c r="D9637" t="inlineStr">
        <is>
          <t>SKU-10182</t>
        </is>
      </c>
      <c r="E9637" t="inlineStr">
        <is>
          <t>AM11</t>
        </is>
      </c>
      <c r="F9637" s="5" t="n">
        <v>1185.07</v>
      </c>
      <c r="G9637">
        <f>IF(LEFT(B9637,1)="C","Credit","Factuur")</f>
        <v/>
      </c>
      <c r="H9637">
        <f>IF(AND(B9637=B9636,D9637=D9636,A9637=A9636,F9637=F9636),1,0)</f>
        <v/>
      </c>
      <c r="I9637">
        <f>IF(C9637="C99999",1,0)</f>
        <v/>
      </c>
      <c r="J9637" s="5">
        <f>IF(OR(H9637=1,I9637=1),0,IF(G9637="Credit",-F9637,F9637))</f>
        <v/>
      </c>
    </row>
    <row r="9638">
      <c r="A9638" t="inlineStr">
        <is>
          <t>2026-09-25</t>
        </is>
      </c>
      <c r="B9638" t="inlineStr">
        <is>
          <t>F262041</t>
        </is>
      </c>
      <c r="C9638" t="inlineStr">
        <is>
          <t>C10109</t>
        </is>
      </c>
      <c r="D9638" t="inlineStr">
        <is>
          <t>SKU-10072</t>
        </is>
      </c>
      <c r="E9638" t="inlineStr">
        <is>
          <t>AM01</t>
        </is>
      </c>
      <c r="F9638" s="5" t="n">
        <v>347.33</v>
      </c>
      <c r="G9638">
        <f>IF(LEFT(B9638,1)="C","Credit","Factuur")</f>
        <v/>
      </c>
      <c r="H9638">
        <f>IF(AND(B9638=B9637,D9638=D9637,A9638=A9637,F9638=F9637),1,0)</f>
        <v/>
      </c>
      <c r="I9638">
        <f>IF(C9638="C99999",1,0)</f>
        <v/>
      </c>
      <c r="J9638" s="5">
        <f>IF(OR(H9638=1,I9638=1),0,IF(G9638="Credit",-F9638,F9638))</f>
        <v/>
      </c>
    </row>
    <row r="9639">
      <c r="A9639" t="inlineStr">
        <is>
          <t>2026-09-25</t>
        </is>
      </c>
      <c r="B9639" t="inlineStr">
        <is>
          <t>F262041</t>
        </is>
      </c>
      <c r="C9639" t="inlineStr">
        <is>
          <t>C10109</t>
        </is>
      </c>
      <c r="D9639" t="inlineStr">
        <is>
          <t>SKU-10074</t>
        </is>
      </c>
      <c r="E9639" t="inlineStr">
        <is>
          <t>AM01</t>
        </is>
      </c>
      <c r="F9639" s="5" t="n">
        <v>353.71</v>
      </c>
      <c r="G9639">
        <f>IF(LEFT(B9639,1)="C","Credit","Factuur")</f>
        <v/>
      </c>
      <c r="H9639">
        <f>IF(AND(B9639=B9638,D9639=D9638,A9639=A9638,F9639=F9638),1,0)</f>
        <v/>
      </c>
      <c r="I9639">
        <f>IF(C9639="C99999",1,0)</f>
        <v/>
      </c>
      <c r="J9639" s="5">
        <f>IF(OR(H9639=1,I9639=1),0,IF(G9639="Credit",-F9639,F9639))</f>
        <v/>
      </c>
    </row>
    <row r="9640">
      <c r="A9640" t="inlineStr">
        <is>
          <t>2026-09-25</t>
        </is>
      </c>
      <c r="B9640" t="inlineStr">
        <is>
          <t>F262041</t>
        </is>
      </c>
      <c r="C9640" t="inlineStr">
        <is>
          <t>C10109</t>
        </is>
      </c>
      <c r="D9640" t="inlineStr">
        <is>
          <t>SKU-10147</t>
        </is>
      </c>
      <c r="E9640" t="inlineStr">
        <is>
          <t>AM01</t>
        </is>
      </c>
      <c r="F9640" s="5" t="n">
        <v>362.03</v>
      </c>
      <c r="G9640">
        <f>IF(LEFT(B9640,1)="C","Credit","Factuur")</f>
        <v/>
      </c>
      <c r="H9640">
        <f>IF(AND(B9640=B9639,D9640=D9639,A9640=A9639,F9640=F9639),1,0)</f>
        <v/>
      </c>
      <c r="I9640">
        <f>IF(C9640="C99999",1,0)</f>
        <v/>
      </c>
      <c r="J9640" s="5">
        <f>IF(OR(H9640=1,I9640=1),0,IF(G9640="Credit",-F9640,F9640))</f>
        <v/>
      </c>
    </row>
    <row r="9641">
      <c r="A9641" t="inlineStr">
        <is>
          <t>2026-09-25</t>
        </is>
      </c>
      <c r="B9641" t="inlineStr">
        <is>
          <t>F262041</t>
        </is>
      </c>
      <c r="C9641" t="inlineStr">
        <is>
          <t>C10109</t>
        </is>
      </c>
      <c r="D9641" t="inlineStr">
        <is>
          <t>SKU-10215</t>
        </is>
      </c>
      <c r="E9641" t="inlineStr">
        <is>
          <t>AM01</t>
        </is>
      </c>
      <c r="F9641" s="5" t="n">
        <v>361</v>
      </c>
      <c r="G9641">
        <f>IF(LEFT(B9641,1)="C","Credit","Factuur")</f>
        <v/>
      </c>
      <c r="H9641">
        <f>IF(AND(B9641=B9640,D9641=D9640,A9641=A9640,F9641=F9640),1,0)</f>
        <v/>
      </c>
      <c r="I9641">
        <f>IF(C9641="C99999",1,0)</f>
        <v/>
      </c>
      <c r="J9641" s="5">
        <f>IF(OR(H9641=1,I9641=1),0,IF(G9641="Credit",-F9641,F9641))</f>
        <v/>
      </c>
    </row>
    <row r="9642">
      <c r="A9642" t="inlineStr">
        <is>
          <t>2026-09-25</t>
        </is>
      </c>
      <c r="B9642" t="inlineStr">
        <is>
          <t>F262041</t>
        </is>
      </c>
      <c r="C9642" t="inlineStr">
        <is>
          <t>C10109</t>
        </is>
      </c>
      <c r="D9642" t="inlineStr">
        <is>
          <t>SKU-10228</t>
        </is>
      </c>
      <c r="E9642" t="inlineStr">
        <is>
          <t>AM01</t>
        </is>
      </c>
      <c r="F9642" s="5" t="n">
        <v>335.9</v>
      </c>
      <c r="G9642">
        <f>IF(LEFT(B9642,1)="C","Credit","Factuur")</f>
        <v/>
      </c>
      <c r="H9642">
        <f>IF(AND(B9642=B9641,D9642=D9641,A9642=A9641,F9642=F9641),1,0)</f>
        <v/>
      </c>
      <c r="I9642">
        <f>IF(C9642="C99999",1,0)</f>
        <v/>
      </c>
      <c r="J9642" s="5">
        <f>IF(OR(H9642=1,I9642=1),0,IF(G9642="Credit",-F9642,F9642))</f>
        <v/>
      </c>
    </row>
    <row r="9643">
      <c r="A9643" t="inlineStr">
        <is>
          <t>2026-09-25</t>
        </is>
      </c>
      <c r="B9643" t="inlineStr">
        <is>
          <t>F262253</t>
        </is>
      </c>
      <c r="C9643" t="inlineStr">
        <is>
          <t>C10120</t>
        </is>
      </c>
      <c r="D9643" t="inlineStr">
        <is>
          <t>SKU-10005</t>
        </is>
      </c>
      <c r="E9643" t="inlineStr">
        <is>
          <t>AM02</t>
        </is>
      </c>
      <c r="F9643" s="5" t="n">
        <v>120.06</v>
      </c>
      <c r="G9643">
        <f>IF(LEFT(B9643,1)="C","Credit","Factuur")</f>
        <v/>
      </c>
      <c r="H9643">
        <f>IF(AND(B9643=B9642,D9643=D9642,A9643=A9642,F9643=F9642),1,0)</f>
        <v/>
      </c>
      <c r="I9643">
        <f>IF(C9643="C99999",1,0)</f>
        <v/>
      </c>
      <c r="J9643" s="5">
        <f>IF(OR(H9643=1,I9643=1),0,IF(G9643="Credit",-F9643,F9643))</f>
        <v/>
      </c>
    </row>
    <row r="9644">
      <c r="A9644" t="inlineStr">
        <is>
          <t>2026-09-25</t>
        </is>
      </c>
      <c r="B9644" t="inlineStr">
        <is>
          <t>F262253</t>
        </is>
      </c>
      <c r="C9644" t="inlineStr">
        <is>
          <t>C10120</t>
        </is>
      </c>
      <c r="D9644" t="inlineStr">
        <is>
          <t>SKU-10067</t>
        </is>
      </c>
      <c r="E9644" t="inlineStr">
        <is>
          <t>AM02</t>
        </is>
      </c>
      <c r="F9644" s="5" t="n">
        <v>116.12</v>
      </c>
      <c r="G9644">
        <f>IF(LEFT(B9644,1)="C","Credit","Factuur")</f>
        <v/>
      </c>
      <c r="H9644">
        <f>IF(AND(B9644=B9643,D9644=D9643,A9644=A9643,F9644=F9643),1,0)</f>
        <v/>
      </c>
      <c r="I9644">
        <f>IF(C9644="C99999",1,0)</f>
        <v/>
      </c>
      <c r="J9644" s="5">
        <f>IF(OR(H9644=1,I9644=1),0,IF(G9644="Credit",-F9644,F9644))</f>
        <v/>
      </c>
    </row>
    <row r="9645">
      <c r="A9645" t="inlineStr">
        <is>
          <t>2026-09-25</t>
        </is>
      </c>
      <c r="B9645" t="inlineStr">
        <is>
          <t>F262253</t>
        </is>
      </c>
      <c r="C9645" t="inlineStr">
        <is>
          <t>C10120</t>
        </is>
      </c>
      <c r="D9645" t="inlineStr">
        <is>
          <t>SKU-10134</t>
        </is>
      </c>
      <c r="E9645" t="inlineStr">
        <is>
          <t>AM02</t>
        </is>
      </c>
      <c r="F9645" s="5" t="n">
        <v>120.28</v>
      </c>
      <c r="G9645">
        <f>IF(LEFT(B9645,1)="C","Credit","Factuur")</f>
        <v/>
      </c>
      <c r="H9645">
        <f>IF(AND(B9645=B9644,D9645=D9644,A9645=A9644,F9645=F9644),1,0)</f>
        <v/>
      </c>
      <c r="I9645">
        <f>IF(C9645="C99999",1,0)</f>
        <v/>
      </c>
      <c r="J9645" s="5">
        <f>IF(OR(H9645=1,I9645=1),0,IF(G9645="Credit",-F9645,F9645))</f>
        <v/>
      </c>
    </row>
    <row r="9646">
      <c r="A9646" t="inlineStr">
        <is>
          <t>2026-09-25</t>
        </is>
      </c>
      <c r="B9646" t="inlineStr">
        <is>
          <t>F262253</t>
        </is>
      </c>
      <c r="C9646" t="inlineStr">
        <is>
          <t>C10120</t>
        </is>
      </c>
      <c r="D9646" t="inlineStr">
        <is>
          <t>SKU-10225</t>
        </is>
      </c>
      <c r="E9646" t="inlineStr">
        <is>
          <t>AM02</t>
        </is>
      </c>
      <c r="F9646" s="5" t="n">
        <v>118.2</v>
      </c>
      <c r="G9646">
        <f>IF(LEFT(B9646,1)="C","Credit","Factuur")</f>
        <v/>
      </c>
      <c r="H9646">
        <f>IF(AND(B9646=B9645,D9646=D9645,A9646=A9645,F9646=F9645),1,0)</f>
        <v/>
      </c>
      <c r="I9646">
        <f>IF(C9646="C99999",1,0)</f>
        <v/>
      </c>
      <c r="J9646" s="5">
        <f>IF(OR(H9646=1,I9646=1),0,IF(G9646="Credit",-F9646,F9646))</f>
        <v/>
      </c>
    </row>
    <row r="9647">
      <c r="A9647" t="inlineStr">
        <is>
          <t>2026-09-25</t>
        </is>
      </c>
      <c r="B9647" t="inlineStr">
        <is>
          <t>F262253</t>
        </is>
      </c>
      <c r="C9647" t="inlineStr">
        <is>
          <t>C10120</t>
        </is>
      </c>
      <c r="D9647" t="inlineStr">
        <is>
          <t>SKU-10265</t>
        </is>
      </c>
      <c r="E9647" t="inlineStr">
        <is>
          <t>AM02</t>
        </is>
      </c>
      <c r="F9647" s="5" t="n">
        <v>117.08</v>
      </c>
      <c r="G9647">
        <f>IF(LEFT(B9647,1)="C","Credit","Factuur")</f>
        <v/>
      </c>
      <c r="H9647">
        <f>IF(AND(B9647=B9646,D9647=D9646,A9647=A9646,F9647=F9646),1,0)</f>
        <v/>
      </c>
      <c r="I9647">
        <f>IF(C9647="C99999",1,0)</f>
        <v/>
      </c>
      <c r="J9647" s="5">
        <f>IF(OR(H9647=1,I9647=1),0,IF(G9647="Credit",-F9647,F9647))</f>
        <v/>
      </c>
    </row>
    <row r="9648">
      <c r="A9648" t="inlineStr">
        <is>
          <t>2026-09-25</t>
        </is>
      </c>
      <c r="B9648" t="inlineStr">
        <is>
          <t>F262616</t>
        </is>
      </c>
      <c r="C9648" t="inlineStr">
        <is>
          <t>C10138</t>
        </is>
      </c>
      <c r="D9648" t="inlineStr">
        <is>
          <t>SKU-10005</t>
        </is>
      </c>
      <c r="E9648" t="inlineStr">
        <is>
          <t>AM07</t>
        </is>
      </c>
      <c r="F9648" s="5" t="n">
        <v>132.48</v>
      </c>
      <c r="G9648">
        <f>IF(LEFT(B9648,1)="C","Credit","Factuur")</f>
        <v/>
      </c>
      <c r="H9648">
        <f>IF(AND(B9648=B9647,D9648=D9647,A9648=A9647,F9648=F9647),1,0)</f>
        <v/>
      </c>
      <c r="I9648">
        <f>IF(C9648="C99999",1,0)</f>
        <v/>
      </c>
      <c r="J9648" s="5">
        <f>IF(OR(H9648=1,I9648=1),0,IF(G9648="Credit",-F9648,F9648))</f>
        <v/>
      </c>
    </row>
    <row r="9649">
      <c r="A9649" t="inlineStr">
        <is>
          <t>2026-09-25</t>
        </is>
      </c>
      <c r="B9649" t="inlineStr">
        <is>
          <t>F262616</t>
        </is>
      </c>
      <c r="C9649" t="inlineStr">
        <is>
          <t>C10138</t>
        </is>
      </c>
      <c r="D9649" t="inlineStr">
        <is>
          <t>SKU-10192</t>
        </is>
      </c>
      <c r="E9649" t="inlineStr">
        <is>
          <t>AM07</t>
        </is>
      </c>
      <c r="F9649" s="5" t="n">
        <v>132.16</v>
      </c>
      <c r="G9649">
        <f>IF(LEFT(B9649,1)="C","Credit","Factuur")</f>
        <v/>
      </c>
      <c r="H9649">
        <f>IF(AND(B9649=B9648,D9649=D9648,A9649=A9648,F9649=F9648),1,0)</f>
        <v/>
      </c>
      <c r="I9649">
        <f>IF(C9649="C99999",1,0)</f>
        <v/>
      </c>
      <c r="J9649" s="5">
        <f>IF(OR(H9649=1,I9649=1),0,IF(G9649="Credit",-F9649,F9649))</f>
        <v/>
      </c>
    </row>
    <row r="9650">
      <c r="A9650" t="inlineStr">
        <is>
          <t>2026-09-25</t>
        </is>
      </c>
      <c r="B9650" t="inlineStr">
        <is>
          <t>F262616</t>
        </is>
      </c>
      <c r="C9650" t="inlineStr">
        <is>
          <t>C10138</t>
        </is>
      </c>
      <c r="D9650" t="inlineStr">
        <is>
          <t>SKU-10273</t>
        </is>
      </c>
      <c r="E9650" t="inlineStr">
        <is>
          <t>AM07</t>
        </is>
      </c>
      <c r="F9650" s="5" t="n">
        <v>128.48</v>
      </c>
      <c r="G9650">
        <f>IF(LEFT(B9650,1)="C","Credit","Factuur")</f>
        <v/>
      </c>
      <c r="H9650">
        <f>IF(AND(B9650=B9649,D9650=D9649,A9650=A9649,F9650=F9649),1,0)</f>
        <v/>
      </c>
      <c r="I9650">
        <f>IF(C9650="C99999",1,0)</f>
        <v/>
      </c>
      <c r="J9650" s="5">
        <f>IF(OR(H9650=1,I9650=1),0,IF(G9650="Credit",-F9650,F9650))</f>
        <v/>
      </c>
    </row>
    <row r="9651">
      <c r="A9651" t="inlineStr">
        <is>
          <t>2026-09-25</t>
        </is>
      </c>
      <c r="B9651" t="inlineStr">
        <is>
          <t>F262739</t>
        </is>
      </c>
      <c r="C9651" t="inlineStr">
        <is>
          <t>C10148</t>
        </is>
      </c>
      <c r="D9651" t="inlineStr">
        <is>
          <t>SKU-10314</t>
        </is>
      </c>
      <c r="E9651" t="inlineStr">
        <is>
          <t>AM09</t>
        </is>
      </c>
      <c r="F9651" s="5" t="n">
        <v>6526.8</v>
      </c>
      <c r="G9651">
        <f>IF(LEFT(B9651,1)="C","Credit","Factuur")</f>
        <v/>
      </c>
      <c r="H9651">
        <f>IF(AND(B9651=B9650,D9651=D9650,A9651=A9650,F9651=F9650),1,0)</f>
        <v/>
      </c>
      <c r="I9651">
        <f>IF(C9651="C99999",1,0)</f>
        <v/>
      </c>
      <c r="J9651" s="5">
        <f>IF(OR(H9651=1,I9651=1),0,IF(G9651="Credit",-F9651,F9651))</f>
        <v/>
      </c>
    </row>
    <row r="9652">
      <c r="A9652" t="inlineStr">
        <is>
          <t>2026-09-25</t>
        </is>
      </c>
      <c r="B9652" t="inlineStr">
        <is>
          <t>F262915</t>
        </is>
      </c>
      <c r="C9652" t="inlineStr">
        <is>
          <t>C10157</t>
        </is>
      </c>
      <c r="D9652" t="inlineStr">
        <is>
          <t>SKU-10074</t>
        </is>
      </c>
      <c r="E9652" t="inlineStr">
        <is>
          <t>AM07</t>
        </is>
      </c>
      <c r="F9652" s="5" t="n">
        <v>106.38</v>
      </c>
      <c r="G9652">
        <f>IF(LEFT(B9652,1)="C","Credit","Factuur")</f>
        <v/>
      </c>
      <c r="H9652">
        <f>IF(AND(B9652=B9651,D9652=D9651,A9652=A9651,F9652=F9651),1,0)</f>
        <v/>
      </c>
      <c r="I9652">
        <f>IF(C9652="C99999",1,0)</f>
        <v/>
      </c>
      <c r="J9652" s="5">
        <f>IF(OR(H9652=1,I9652=1),0,IF(G9652="Credit",-F9652,F9652))</f>
        <v/>
      </c>
    </row>
    <row r="9653">
      <c r="A9653" t="inlineStr">
        <is>
          <t>2026-09-25</t>
        </is>
      </c>
      <c r="B9653" t="inlineStr">
        <is>
          <t>F262915</t>
        </is>
      </c>
      <c r="C9653" t="inlineStr">
        <is>
          <t>C10157</t>
        </is>
      </c>
      <c r="D9653" t="inlineStr">
        <is>
          <t>SKU-10106</t>
        </is>
      </c>
      <c r="E9653" t="inlineStr">
        <is>
          <t>AM07</t>
        </is>
      </c>
      <c r="F9653" s="5" t="n">
        <v>103.3</v>
      </c>
      <c r="G9653">
        <f>IF(LEFT(B9653,1)="C","Credit","Factuur")</f>
        <v/>
      </c>
      <c r="H9653">
        <f>IF(AND(B9653=B9652,D9653=D9652,A9653=A9652,F9653=F9652),1,0)</f>
        <v/>
      </c>
      <c r="I9653">
        <f>IF(C9653="C99999",1,0)</f>
        <v/>
      </c>
      <c r="J9653" s="5">
        <f>IF(OR(H9653=1,I9653=1),0,IF(G9653="Credit",-F9653,F9653))</f>
        <v/>
      </c>
    </row>
    <row r="9654">
      <c r="A9654" t="inlineStr">
        <is>
          <t>2026-09-25</t>
        </is>
      </c>
      <c r="B9654" t="inlineStr">
        <is>
          <t>F262915</t>
        </is>
      </c>
      <c r="C9654" t="inlineStr">
        <is>
          <t>C10157</t>
        </is>
      </c>
      <c r="D9654" t="inlineStr">
        <is>
          <t>SKU-10178</t>
        </is>
      </c>
      <c r="E9654" t="inlineStr">
        <is>
          <t>AM07</t>
        </is>
      </c>
      <c r="F9654" s="5" t="n">
        <v>81.45</v>
      </c>
      <c r="G9654">
        <f>IF(LEFT(B9654,1)="C","Credit","Factuur")</f>
        <v/>
      </c>
      <c r="H9654">
        <f>IF(AND(B9654=B9653,D9654=D9653,A9654=A9653,F9654=F9653),1,0)</f>
        <v/>
      </c>
      <c r="I9654">
        <f>IF(C9654="C99999",1,0)</f>
        <v/>
      </c>
      <c r="J9654" s="5">
        <f>IF(OR(H9654=1,I9654=1),0,IF(G9654="Credit",-F9654,F9654))</f>
        <v/>
      </c>
    </row>
    <row r="9655">
      <c r="A9655" t="inlineStr">
        <is>
          <t>2026-09-25</t>
        </is>
      </c>
      <c r="B9655" t="inlineStr">
        <is>
          <t>F262915</t>
        </is>
      </c>
      <c r="C9655" t="inlineStr">
        <is>
          <t>C10157</t>
        </is>
      </c>
      <c r="D9655" t="inlineStr">
        <is>
          <t>SKU-10285</t>
        </is>
      </c>
      <c r="E9655" t="inlineStr">
        <is>
          <t>AM07</t>
        </is>
      </c>
      <c r="F9655" s="5" t="n">
        <v>95.7</v>
      </c>
      <c r="G9655">
        <f>IF(LEFT(B9655,1)="C","Credit","Factuur")</f>
        <v/>
      </c>
      <c r="H9655">
        <f>IF(AND(B9655=B9654,D9655=D9654,A9655=A9654,F9655=F9654),1,0)</f>
        <v/>
      </c>
      <c r="I9655">
        <f>IF(C9655="C99999",1,0)</f>
        <v/>
      </c>
      <c r="J9655" s="5">
        <f>IF(OR(H9655=1,I9655=1),0,IF(G9655="Credit",-F9655,F9655))</f>
        <v/>
      </c>
    </row>
    <row r="9656">
      <c r="A9656" t="inlineStr">
        <is>
          <t>2026-09-25</t>
        </is>
      </c>
      <c r="B9656" t="inlineStr">
        <is>
          <t>F262915</t>
        </is>
      </c>
      <c r="C9656" t="inlineStr">
        <is>
          <t>C10157</t>
        </is>
      </c>
      <c r="D9656" t="inlineStr">
        <is>
          <t>SKU-10314</t>
        </is>
      </c>
      <c r="E9656" t="inlineStr">
        <is>
          <t>AM07</t>
        </is>
      </c>
      <c r="F9656" s="5" t="n">
        <v>94.08</v>
      </c>
      <c r="G9656">
        <f>IF(LEFT(B9656,1)="C","Credit","Factuur")</f>
        <v/>
      </c>
      <c r="H9656">
        <f>IF(AND(B9656=B9655,D9656=D9655,A9656=A9655,F9656=F9655),1,0)</f>
        <v/>
      </c>
      <c r="I9656">
        <f>IF(C9656="C99999",1,0)</f>
        <v/>
      </c>
      <c r="J9656" s="5">
        <f>IF(OR(H9656=1,I9656=1),0,IF(G9656="Credit",-F9656,F9656))</f>
        <v/>
      </c>
    </row>
    <row r="9657">
      <c r="A9657" t="inlineStr">
        <is>
          <t>2026-09-25</t>
        </is>
      </c>
      <c r="B9657" t="inlineStr">
        <is>
          <t>F263047</t>
        </is>
      </c>
      <c r="C9657" t="inlineStr">
        <is>
          <t>C10164</t>
        </is>
      </c>
      <c r="D9657" t="inlineStr">
        <is>
          <t>SKU-10092</t>
        </is>
      </c>
      <c r="E9657" t="inlineStr">
        <is>
          <t>IS01</t>
        </is>
      </c>
      <c r="F9657" s="5" t="n">
        <v>274.48</v>
      </c>
      <c r="G9657">
        <f>IF(LEFT(B9657,1)="C","Credit","Factuur")</f>
        <v/>
      </c>
      <c r="H9657">
        <f>IF(AND(B9657=B9656,D9657=D9656,A9657=A9656,F9657=F9656),1,0)</f>
        <v/>
      </c>
      <c r="I9657">
        <f>IF(C9657="C99999",1,0)</f>
        <v/>
      </c>
      <c r="J9657" s="5">
        <f>IF(OR(H9657=1,I9657=1),0,IF(G9657="Credit",-F9657,F9657))</f>
        <v/>
      </c>
    </row>
    <row r="9658">
      <c r="A9658" t="inlineStr">
        <is>
          <t>2026-09-25</t>
        </is>
      </c>
      <c r="B9658" t="inlineStr">
        <is>
          <t>F263562</t>
        </is>
      </c>
      <c r="C9658" t="inlineStr">
        <is>
          <t>C10192</t>
        </is>
      </c>
      <c r="D9658" t="inlineStr">
        <is>
          <t>SKU-10037</t>
        </is>
      </c>
      <c r="E9658" t="inlineStr">
        <is>
          <t>AM12</t>
        </is>
      </c>
      <c r="F9658" s="5" t="n">
        <v>533.45</v>
      </c>
      <c r="G9658">
        <f>IF(LEFT(B9658,1)="C","Credit","Factuur")</f>
        <v/>
      </c>
      <c r="H9658">
        <f>IF(AND(B9658=B9657,D9658=D9657,A9658=A9657,F9658=F9657),1,0)</f>
        <v/>
      </c>
      <c r="I9658">
        <f>IF(C9658="C99999",1,0)</f>
        <v/>
      </c>
      <c r="J9658" s="5">
        <f>IF(OR(H9658=1,I9658=1),0,IF(G9658="Credit",-F9658,F9658))</f>
        <v/>
      </c>
    </row>
    <row r="9659">
      <c r="A9659" t="inlineStr">
        <is>
          <t>2026-09-25</t>
        </is>
      </c>
      <c r="B9659" t="inlineStr">
        <is>
          <t>F263562</t>
        </is>
      </c>
      <c r="C9659" t="inlineStr">
        <is>
          <t>C10192</t>
        </is>
      </c>
      <c r="D9659" t="inlineStr">
        <is>
          <t>SKU-10137</t>
        </is>
      </c>
      <c r="E9659" t="inlineStr">
        <is>
          <t>AM12</t>
        </is>
      </c>
      <c r="F9659" s="5" t="n">
        <v>581.1</v>
      </c>
      <c r="G9659">
        <f>IF(LEFT(B9659,1)="C","Credit","Factuur")</f>
        <v/>
      </c>
      <c r="H9659">
        <f>IF(AND(B9659=B9658,D9659=D9658,A9659=A9658,F9659=F9658),1,0)</f>
        <v/>
      </c>
      <c r="I9659">
        <f>IF(C9659="C99999",1,0)</f>
        <v/>
      </c>
      <c r="J9659" s="5">
        <f>IF(OR(H9659=1,I9659=1),0,IF(G9659="Credit",-F9659,F9659))</f>
        <v/>
      </c>
    </row>
    <row r="9660">
      <c r="A9660" t="inlineStr">
        <is>
          <t>2026-09-25</t>
        </is>
      </c>
      <c r="B9660" t="inlineStr">
        <is>
          <t>F263562</t>
        </is>
      </c>
      <c r="C9660" t="inlineStr">
        <is>
          <t>C10192</t>
        </is>
      </c>
      <c r="D9660" t="inlineStr">
        <is>
          <t>SKU-10190</t>
        </is>
      </c>
      <c r="E9660" t="inlineStr">
        <is>
          <t>AM12</t>
        </is>
      </c>
      <c r="F9660" s="5" t="n">
        <v>525.84</v>
      </c>
      <c r="G9660">
        <f>IF(LEFT(B9660,1)="C","Credit","Factuur")</f>
        <v/>
      </c>
      <c r="H9660">
        <f>IF(AND(B9660=B9659,D9660=D9659,A9660=A9659,F9660=F9659),1,0)</f>
        <v/>
      </c>
      <c r="I9660">
        <f>IF(C9660="C99999",1,0)</f>
        <v/>
      </c>
      <c r="J9660" s="5">
        <f>IF(OR(H9660=1,I9660=1),0,IF(G9660="Credit",-F9660,F9660))</f>
        <v/>
      </c>
    </row>
    <row r="9661">
      <c r="A9661" t="inlineStr">
        <is>
          <t>2026-09-25</t>
        </is>
      </c>
      <c r="B9661" t="inlineStr">
        <is>
          <t>F263760</t>
        </is>
      </c>
      <c r="C9661" t="inlineStr">
        <is>
          <t>C10200</t>
        </is>
      </c>
      <c r="D9661" t="inlineStr">
        <is>
          <t>SKU-10170</t>
        </is>
      </c>
      <c r="E9661" t="inlineStr">
        <is>
          <t>AM01</t>
        </is>
      </c>
      <c r="F9661" s="5" t="n">
        <v>721.52</v>
      </c>
      <c r="G9661">
        <f>IF(LEFT(B9661,1)="C","Credit","Factuur")</f>
        <v/>
      </c>
      <c r="H9661">
        <f>IF(AND(B9661=B9660,D9661=D9660,A9661=A9660,F9661=F9660),1,0)</f>
        <v/>
      </c>
      <c r="I9661">
        <f>IF(C9661="C99999",1,0)</f>
        <v/>
      </c>
      <c r="J9661" s="5">
        <f>IF(OR(H9661=1,I9661=1),0,IF(G9661="Credit",-F9661,F9661))</f>
        <v/>
      </c>
    </row>
    <row r="9662">
      <c r="A9662" t="inlineStr">
        <is>
          <t>2026-09-25</t>
        </is>
      </c>
      <c r="B9662" t="inlineStr">
        <is>
          <t>F263943</t>
        </is>
      </c>
      <c r="C9662" t="inlineStr">
        <is>
          <t>C10207</t>
        </is>
      </c>
      <c r="D9662" t="inlineStr">
        <is>
          <t>SKU-10193</t>
        </is>
      </c>
      <c r="E9662" t="inlineStr">
        <is>
          <t>AM02</t>
        </is>
      </c>
      <c r="F9662" s="5" t="n">
        <v>951.4400000000001</v>
      </c>
      <c r="G9662">
        <f>IF(LEFT(B9662,1)="C","Credit","Factuur")</f>
        <v/>
      </c>
      <c r="H9662">
        <f>IF(AND(B9662=B9661,D9662=D9661,A9662=A9661,F9662=F9661),1,0)</f>
        <v/>
      </c>
      <c r="I9662">
        <f>IF(C9662="C99999",1,0)</f>
        <v/>
      </c>
      <c r="J9662" s="5">
        <f>IF(OR(H9662=1,I9662=1),0,IF(G9662="Credit",-F9662,F9662))</f>
        <v/>
      </c>
    </row>
    <row r="9663">
      <c r="A9663" t="inlineStr">
        <is>
          <t>2026-09-25</t>
        </is>
      </c>
      <c r="B9663" t="inlineStr">
        <is>
          <t>F263943</t>
        </is>
      </c>
      <c r="C9663" t="inlineStr">
        <is>
          <t>C10207</t>
        </is>
      </c>
      <c r="D9663" t="inlineStr">
        <is>
          <t>SKU-10217</t>
        </is>
      </c>
      <c r="E9663" t="inlineStr">
        <is>
          <t>AM02</t>
        </is>
      </c>
      <c r="F9663" s="5" t="n">
        <v>1002.57</v>
      </c>
      <c r="G9663">
        <f>IF(LEFT(B9663,1)="C","Credit","Factuur")</f>
        <v/>
      </c>
      <c r="H9663">
        <f>IF(AND(B9663=B9662,D9663=D9662,A9663=A9662,F9663=F9662),1,0)</f>
        <v/>
      </c>
      <c r="I9663">
        <f>IF(C9663="C99999",1,0)</f>
        <v/>
      </c>
      <c r="J9663" s="5">
        <f>IF(OR(H9663=1,I9663=1),0,IF(G9663="Credit",-F9663,F9663))</f>
        <v/>
      </c>
    </row>
    <row r="9664">
      <c r="A9664" t="inlineStr">
        <is>
          <t>2026-09-25</t>
        </is>
      </c>
      <c r="B9664" t="inlineStr">
        <is>
          <t>F263943</t>
        </is>
      </c>
      <c r="C9664" t="inlineStr">
        <is>
          <t>C10207</t>
        </is>
      </c>
      <c r="D9664" t="inlineStr">
        <is>
          <t>SKU-10230</t>
        </is>
      </c>
      <c r="E9664" t="inlineStr">
        <is>
          <t>AM02</t>
        </is>
      </c>
      <c r="F9664" s="5" t="n">
        <v>996.5700000000001</v>
      </c>
      <c r="G9664">
        <f>IF(LEFT(B9664,1)="C","Credit","Factuur")</f>
        <v/>
      </c>
      <c r="H9664">
        <f>IF(AND(B9664=B9663,D9664=D9663,A9664=A9663,F9664=F9663),1,0)</f>
        <v/>
      </c>
      <c r="I9664">
        <f>IF(C9664="C99999",1,0)</f>
        <v/>
      </c>
      <c r="J9664" s="5">
        <f>IF(OR(H9664=1,I9664=1),0,IF(G9664="Credit",-F9664,F9664))</f>
        <v/>
      </c>
    </row>
    <row r="9665">
      <c r="A9665" t="inlineStr">
        <is>
          <t>2026-09-25</t>
        </is>
      </c>
      <c r="B9665" t="inlineStr">
        <is>
          <t>F264359</t>
        </is>
      </c>
      <c r="C9665" t="inlineStr">
        <is>
          <t>C10228</t>
        </is>
      </c>
      <c r="D9665" t="inlineStr">
        <is>
          <t>SKU-10014</t>
        </is>
      </c>
      <c r="E9665" t="inlineStr">
        <is>
          <t>AM02</t>
        </is>
      </c>
      <c r="F9665" s="5" t="n">
        <v>718.27</v>
      </c>
      <c r="G9665">
        <f>IF(LEFT(B9665,1)="C","Credit","Factuur")</f>
        <v/>
      </c>
      <c r="H9665">
        <f>IF(AND(B9665=B9664,D9665=D9664,A9665=A9664,F9665=F9664),1,0)</f>
        <v/>
      </c>
      <c r="I9665">
        <f>IF(C9665="C99999",1,0)</f>
        <v/>
      </c>
      <c r="J9665" s="5">
        <f>IF(OR(H9665=1,I9665=1),0,IF(G9665="Credit",-F9665,F9665))</f>
        <v/>
      </c>
    </row>
    <row r="9666">
      <c r="A9666" t="inlineStr">
        <is>
          <t>2026-09-25</t>
        </is>
      </c>
      <c r="B9666" t="inlineStr">
        <is>
          <t>F264903</t>
        </is>
      </c>
      <c r="C9666" t="inlineStr">
        <is>
          <t>C10255</t>
        </is>
      </c>
      <c r="D9666" t="inlineStr">
        <is>
          <t>SKU-10194</t>
        </is>
      </c>
      <c r="E9666" t="inlineStr">
        <is>
          <t>AM08</t>
        </is>
      </c>
      <c r="F9666" s="5" t="n">
        <v>1331.78</v>
      </c>
      <c r="G9666">
        <f>IF(LEFT(B9666,1)="C","Credit","Factuur")</f>
        <v/>
      </c>
      <c r="H9666">
        <f>IF(AND(B9666=B9665,D9666=D9665,A9666=A9665,F9666=F9665),1,0)</f>
        <v/>
      </c>
      <c r="I9666">
        <f>IF(C9666="C99999",1,0)</f>
        <v/>
      </c>
      <c r="J9666" s="5">
        <f>IF(OR(H9666=1,I9666=1),0,IF(G9666="Credit",-F9666,F9666))</f>
        <v/>
      </c>
    </row>
    <row r="9667">
      <c r="A9667" t="inlineStr">
        <is>
          <t>2026-09-25</t>
        </is>
      </c>
      <c r="B9667" t="inlineStr">
        <is>
          <t>F265113</t>
        </is>
      </c>
      <c r="C9667" t="inlineStr">
        <is>
          <t>C10269</t>
        </is>
      </c>
      <c r="D9667" t="inlineStr">
        <is>
          <t>SKU-10152</t>
        </is>
      </c>
      <c r="E9667" t="inlineStr">
        <is>
          <t>AM05</t>
        </is>
      </c>
      <c r="F9667" s="5" t="n">
        <v>992.16</v>
      </c>
      <c r="G9667">
        <f>IF(LEFT(B9667,1)="C","Credit","Factuur")</f>
        <v/>
      </c>
      <c r="H9667">
        <f>IF(AND(B9667=B9666,D9667=D9666,A9667=A9666,F9667=F9666),1,0)</f>
        <v/>
      </c>
      <c r="I9667">
        <f>IF(C9667="C99999",1,0)</f>
        <v/>
      </c>
      <c r="J9667" s="5">
        <f>IF(OR(H9667=1,I9667=1),0,IF(G9667="Credit",-F9667,F9667))</f>
        <v/>
      </c>
    </row>
    <row r="9668">
      <c r="A9668" t="inlineStr">
        <is>
          <t>2026-09-25</t>
        </is>
      </c>
      <c r="B9668" t="inlineStr">
        <is>
          <t>F265113</t>
        </is>
      </c>
      <c r="C9668" t="inlineStr">
        <is>
          <t>C10269</t>
        </is>
      </c>
      <c r="D9668" t="inlineStr">
        <is>
          <t>SKU-10178</t>
        </is>
      </c>
      <c r="E9668" t="inlineStr">
        <is>
          <t>AM05</t>
        </is>
      </c>
      <c r="F9668" s="5" t="n">
        <v>1000.3</v>
      </c>
      <c r="G9668">
        <f>IF(LEFT(B9668,1)="C","Credit","Factuur")</f>
        <v/>
      </c>
      <c r="H9668">
        <f>IF(AND(B9668=B9667,D9668=D9667,A9668=A9667,F9668=F9667),1,0)</f>
        <v/>
      </c>
      <c r="I9668">
        <f>IF(C9668="C99999",1,0)</f>
        <v/>
      </c>
      <c r="J9668" s="5">
        <f>IF(OR(H9668=1,I9668=1),0,IF(G9668="Credit",-F9668,F9668))</f>
        <v/>
      </c>
    </row>
    <row r="9669">
      <c r="A9669" t="inlineStr">
        <is>
          <t>2026-09-25</t>
        </is>
      </c>
      <c r="B9669" t="inlineStr">
        <is>
          <t>F265113</t>
        </is>
      </c>
      <c r="C9669" t="inlineStr">
        <is>
          <t>C10269</t>
        </is>
      </c>
      <c r="D9669" t="inlineStr">
        <is>
          <t>SKU-10344</t>
        </is>
      </c>
      <c r="E9669" t="inlineStr">
        <is>
          <t>AM05</t>
        </is>
      </c>
      <c r="F9669" s="5" t="n">
        <v>1008</v>
      </c>
      <c r="G9669">
        <f>IF(LEFT(B9669,1)="C","Credit","Factuur")</f>
        <v/>
      </c>
      <c r="H9669">
        <f>IF(AND(B9669=B9668,D9669=D9668,A9669=A9668,F9669=F9668),1,0)</f>
        <v/>
      </c>
      <c r="I9669">
        <f>IF(C9669="C99999",1,0)</f>
        <v/>
      </c>
      <c r="J9669" s="5">
        <f>IF(OR(H9669=1,I9669=1),0,IF(G9669="Credit",-F9669,F9669))</f>
        <v/>
      </c>
    </row>
    <row r="9670">
      <c r="A9670" t="inlineStr">
        <is>
          <t>2026-09-25</t>
        </is>
      </c>
      <c r="B9670" t="inlineStr">
        <is>
          <t>F265147</t>
        </is>
      </c>
      <c r="C9670" t="inlineStr">
        <is>
          <t>C10271</t>
        </is>
      </c>
      <c r="D9670" t="inlineStr">
        <is>
          <t>SKU-10302</t>
        </is>
      </c>
      <c r="E9670" t="inlineStr">
        <is>
          <t>AM02</t>
        </is>
      </c>
      <c r="F9670" s="5" t="n">
        <v>869.42</v>
      </c>
      <c r="G9670">
        <f>IF(LEFT(B9670,1)="C","Credit","Factuur")</f>
        <v/>
      </c>
      <c r="H9670">
        <f>IF(AND(B9670=B9669,D9670=D9669,A9670=A9669,F9670=F9669),1,0)</f>
        <v/>
      </c>
      <c r="I9670">
        <f>IF(C9670="C99999",1,0)</f>
        <v/>
      </c>
      <c r="J9670" s="5">
        <f>IF(OR(H9670=1,I9670=1),0,IF(G9670="Credit",-F9670,F9670))</f>
        <v/>
      </c>
    </row>
    <row r="9671">
      <c r="A9671" t="inlineStr">
        <is>
          <t>2026-09-25</t>
        </is>
      </c>
      <c r="B9671" t="inlineStr">
        <is>
          <t>F265242</t>
        </is>
      </c>
      <c r="C9671" t="inlineStr">
        <is>
          <t>C10277</t>
        </is>
      </c>
      <c r="D9671" t="inlineStr">
        <is>
          <t>SKU-10174</t>
        </is>
      </c>
      <c r="E9671" t="inlineStr">
        <is>
          <t>AM05</t>
        </is>
      </c>
      <c r="F9671" s="5" t="n">
        <v>518.83</v>
      </c>
      <c r="G9671">
        <f>IF(LEFT(B9671,1)="C","Credit","Factuur")</f>
        <v/>
      </c>
      <c r="H9671">
        <f>IF(AND(B9671=B9670,D9671=D9670,A9671=A9670,F9671=F9670),1,0)</f>
        <v/>
      </c>
      <c r="I9671">
        <f>IF(C9671="C99999",1,0)</f>
        <v/>
      </c>
      <c r="J9671" s="5">
        <f>IF(OR(H9671=1,I9671=1),0,IF(G9671="Credit",-F9671,F9671))</f>
        <v/>
      </c>
    </row>
    <row r="9672">
      <c r="A9672" t="inlineStr">
        <is>
          <t>2026-09-25</t>
        </is>
      </c>
      <c r="B9672" t="inlineStr">
        <is>
          <t>F265242</t>
        </is>
      </c>
      <c r="C9672" t="inlineStr">
        <is>
          <t>C10277</t>
        </is>
      </c>
      <c r="D9672" t="inlineStr">
        <is>
          <t>SKU-10310</t>
        </is>
      </c>
      <c r="E9672" t="inlineStr">
        <is>
          <t>AM05</t>
        </is>
      </c>
      <c r="F9672" s="5" t="n">
        <v>489.22</v>
      </c>
      <c r="G9672">
        <f>IF(LEFT(B9672,1)="C","Credit","Factuur")</f>
        <v/>
      </c>
      <c r="H9672">
        <f>IF(AND(B9672=B9671,D9672=D9671,A9672=A9671,F9672=F9671),1,0)</f>
        <v/>
      </c>
      <c r="I9672">
        <f>IF(C9672="C99999",1,0)</f>
        <v/>
      </c>
      <c r="J9672" s="5">
        <f>IF(OR(H9672=1,I9672=1),0,IF(G9672="Credit",-F9672,F9672))</f>
        <v/>
      </c>
    </row>
    <row r="9673">
      <c r="A9673" t="inlineStr">
        <is>
          <t>2026-09-25</t>
        </is>
      </c>
      <c r="B9673" t="inlineStr">
        <is>
          <t>F265264</t>
        </is>
      </c>
      <c r="C9673" t="inlineStr">
        <is>
          <t>C10279</t>
        </is>
      </c>
      <c r="D9673" t="inlineStr">
        <is>
          <t>SKU-10019</t>
        </is>
      </c>
      <c r="E9673" t="inlineStr">
        <is>
          <t>AM05</t>
        </is>
      </c>
      <c r="F9673" s="5" t="n">
        <v>1012.23</v>
      </c>
      <c r="G9673">
        <f>IF(LEFT(B9673,1)="C","Credit","Factuur")</f>
        <v/>
      </c>
      <c r="H9673">
        <f>IF(AND(B9673=B9672,D9673=D9672,A9673=A9672,F9673=F9672),1,0)</f>
        <v/>
      </c>
      <c r="I9673">
        <f>IF(C9673="C99999",1,0)</f>
        <v/>
      </c>
      <c r="J9673" s="5">
        <f>IF(OR(H9673=1,I9673=1),0,IF(G9673="Credit",-F9673,F9673))</f>
        <v/>
      </c>
    </row>
    <row r="9674">
      <c r="A9674" t="inlineStr">
        <is>
          <t>2026-09-25</t>
        </is>
      </c>
      <c r="B9674" t="inlineStr">
        <is>
          <t>F265264</t>
        </is>
      </c>
      <c r="C9674" t="inlineStr">
        <is>
          <t>C10279</t>
        </is>
      </c>
      <c r="D9674" t="inlineStr">
        <is>
          <t>SKU-10087</t>
        </is>
      </c>
      <c r="E9674" t="inlineStr">
        <is>
          <t>AM05</t>
        </is>
      </c>
      <c r="F9674" s="5" t="n">
        <v>989.23</v>
      </c>
      <c r="G9674">
        <f>IF(LEFT(B9674,1)="C","Credit","Factuur")</f>
        <v/>
      </c>
      <c r="H9674">
        <f>IF(AND(B9674=B9673,D9674=D9673,A9674=A9673,F9674=F9673),1,0)</f>
        <v/>
      </c>
      <c r="I9674">
        <f>IF(C9674="C99999",1,0)</f>
        <v/>
      </c>
      <c r="J9674" s="5">
        <f>IF(OR(H9674=1,I9674=1),0,IF(G9674="Credit",-F9674,F9674))</f>
        <v/>
      </c>
    </row>
    <row r="9675">
      <c r="A9675" t="inlineStr">
        <is>
          <t>2026-09-25</t>
        </is>
      </c>
      <c r="B9675" t="inlineStr">
        <is>
          <t>F265264</t>
        </is>
      </c>
      <c r="C9675" t="inlineStr">
        <is>
          <t>C10279</t>
        </is>
      </c>
      <c r="D9675" t="inlineStr">
        <is>
          <t>SKU-10123</t>
        </is>
      </c>
      <c r="E9675" t="inlineStr">
        <is>
          <t>AM05</t>
        </is>
      </c>
      <c r="F9675" s="5" t="n">
        <v>948.29</v>
      </c>
      <c r="G9675">
        <f>IF(LEFT(B9675,1)="C","Credit","Factuur")</f>
        <v/>
      </c>
      <c r="H9675">
        <f>IF(AND(B9675=B9674,D9675=D9674,A9675=A9674,F9675=F9674),1,0)</f>
        <v/>
      </c>
      <c r="I9675">
        <f>IF(C9675="C99999",1,0)</f>
        <v/>
      </c>
      <c r="J9675" s="5">
        <f>IF(OR(H9675=1,I9675=1),0,IF(G9675="Credit",-F9675,F9675))</f>
        <v/>
      </c>
    </row>
    <row r="9676">
      <c r="A9676" t="inlineStr">
        <is>
          <t>2026-09-25</t>
        </is>
      </c>
      <c r="B9676" t="inlineStr">
        <is>
          <t>F265264</t>
        </is>
      </c>
      <c r="C9676" t="inlineStr">
        <is>
          <t>C10279</t>
        </is>
      </c>
      <c r="D9676" t="inlineStr">
        <is>
          <t>SKU-10269</t>
        </is>
      </c>
      <c r="E9676" t="inlineStr">
        <is>
          <t>AM05</t>
        </is>
      </c>
      <c r="F9676" s="5" t="n">
        <v>995.67</v>
      </c>
      <c r="G9676">
        <f>IF(LEFT(B9676,1)="C","Credit","Factuur")</f>
        <v/>
      </c>
      <c r="H9676">
        <f>IF(AND(B9676=B9675,D9676=D9675,A9676=A9675,F9676=F9675),1,0)</f>
        <v/>
      </c>
      <c r="I9676">
        <f>IF(C9676="C99999",1,0)</f>
        <v/>
      </c>
      <c r="J9676" s="5">
        <f>IF(OR(H9676=1,I9676=1),0,IF(G9676="Credit",-F9676,F9676))</f>
        <v/>
      </c>
    </row>
    <row r="9677">
      <c r="A9677" t="inlineStr">
        <is>
          <t>2026-09-25</t>
        </is>
      </c>
      <c r="B9677" t="inlineStr">
        <is>
          <t>F265264</t>
        </is>
      </c>
      <c r="C9677" t="inlineStr">
        <is>
          <t>C10279</t>
        </is>
      </c>
      <c r="D9677" t="inlineStr">
        <is>
          <t>SKU-10307</t>
        </is>
      </c>
      <c r="E9677" t="inlineStr">
        <is>
          <t>AM05</t>
        </is>
      </c>
      <c r="F9677" s="5" t="n">
        <v>1015.5</v>
      </c>
      <c r="G9677">
        <f>IF(LEFT(B9677,1)="C","Credit","Factuur")</f>
        <v/>
      </c>
      <c r="H9677">
        <f>IF(AND(B9677=B9676,D9677=D9676,A9677=A9676,F9677=F9676),1,0)</f>
        <v/>
      </c>
      <c r="I9677">
        <f>IF(C9677="C99999",1,0)</f>
        <v/>
      </c>
      <c r="J9677" s="5">
        <f>IF(OR(H9677=1,I9677=1),0,IF(G9677="Credit",-F9677,F9677))</f>
        <v/>
      </c>
    </row>
    <row r="9678">
      <c r="A9678" t="inlineStr">
        <is>
          <t>2026-09-25</t>
        </is>
      </c>
      <c r="B9678" t="inlineStr">
        <is>
          <t>F265264</t>
        </is>
      </c>
      <c r="C9678" t="inlineStr">
        <is>
          <t>C10279</t>
        </is>
      </c>
      <c r="D9678" t="inlineStr">
        <is>
          <t>SKU-10317</t>
        </is>
      </c>
      <c r="E9678" t="inlineStr">
        <is>
          <t>AM05</t>
        </is>
      </c>
      <c r="F9678" s="5" t="n">
        <v>997.5599999999999</v>
      </c>
      <c r="G9678">
        <f>IF(LEFT(B9678,1)="C","Credit","Factuur")</f>
        <v/>
      </c>
      <c r="H9678">
        <f>IF(AND(B9678=B9677,D9678=D9677,A9678=A9677,F9678=F9677),1,0)</f>
        <v/>
      </c>
      <c r="I9678">
        <f>IF(C9678="C99999",1,0)</f>
        <v/>
      </c>
      <c r="J9678" s="5">
        <f>IF(OR(H9678=1,I9678=1),0,IF(G9678="Credit",-F9678,F9678))</f>
        <v/>
      </c>
    </row>
    <row r="9679">
      <c r="A9679" t="inlineStr">
        <is>
          <t>2026-09-25</t>
        </is>
      </c>
      <c r="B9679" t="inlineStr">
        <is>
          <t>F265399</t>
        </is>
      </c>
      <c r="C9679" t="inlineStr">
        <is>
          <t>C10286</t>
        </is>
      </c>
      <c r="D9679" t="inlineStr">
        <is>
          <t>SKU-10009</t>
        </is>
      </c>
      <c r="E9679" t="inlineStr">
        <is>
          <t>AM02</t>
        </is>
      </c>
      <c r="F9679" s="5" t="n">
        <v>546.08</v>
      </c>
      <c r="G9679">
        <f>IF(LEFT(B9679,1)="C","Credit","Factuur")</f>
        <v/>
      </c>
      <c r="H9679">
        <f>IF(AND(B9679=B9678,D9679=D9678,A9679=A9678,F9679=F9678),1,0)</f>
        <v/>
      </c>
      <c r="I9679">
        <f>IF(C9679="C99999",1,0)</f>
        <v/>
      </c>
      <c r="J9679" s="5">
        <f>IF(OR(H9679=1,I9679=1),0,IF(G9679="Credit",-F9679,F9679))</f>
        <v/>
      </c>
    </row>
    <row r="9680">
      <c r="A9680" t="inlineStr">
        <is>
          <t>2026-09-25</t>
        </is>
      </c>
      <c r="B9680" t="inlineStr">
        <is>
          <t>F265426</t>
        </is>
      </c>
      <c r="C9680" t="inlineStr">
        <is>
          <t>C10286</t>
        </is>
      </c>
      <c r="D9680" t="inlineStr">
        <is>
          <t>SKU-10176</t>
        </is>
      </c>
      <c r="E9680" t="inlineStr">
        <is>
          <t>AM02</t>
        </is>
      </c>
      <c r="F9680" s="5" t="n">
        <v>719.71</v>
      </c>
      <c r="G9680">
        <f>IF(LEFT(B9680,1)="C","Credit","Factuur")</f>
        <v/>
      </c>
      <c r="H9680">
        <f>IF(AND(B9680=B9679,D9680=D9679,A9680=A9679,F9680=F9679),1,0)</f>
        <v/>
      </c>
      <c r="I9680">
        <f>IF(C9680="C99999",1,0)</f>
        <v/>
      </c>
      <c r="J9680" s="5">
        <f>IF(OR(H9680=1,I9680=1),0,IF(G9680="Credit",-F9680,F9680))</f>
        <v/>
      </c>
    </row>
    <row r="9681">
      <c r="A9681" t="inlineStr">
        <is>
          <t>2026-09-25</t>
        </is>
      </c>
      <c r="B9681" t="inlineStr">
        <is>
          <t>F265498</t>
        </is>
      </c>
      <c r="C9681" t="inlineStr">
        <is>
          <t>C10289</t>
        </is>
      </c>
      <c r="D9681" t="inlineStr">
        <is>
          <t>SKU-10057</t>
        </is>
      </c>
      <c r="E9681" t="inlineStr">
        <is>
          <t>AM07</t>
        </is>
      </c>
      <c r="F9681" s="5" t="n">
        <v>1175.62</v>
      </c>
      <c r="G9681">
        <f>IF(LEFT(B9681,1)="C","Credit","Factuur")</f>
        <v/>
      </c>
      <c r="H9681">
        <f>IF(AND(B9681=B9680,D9681=D9680,A9681=A9680,F9681=F9680),1,0)</f>
        <v/>
      </c>
      <c r="I9681">
        <f>IF(C9681="C99999",1,0)</f>
        <v/>
      </c>
      <c r="J9681" s="5">
        <f>IF(OR(H9681=1,I9681=1),0,IF(G9681="Credit",-F9681,F9681))</f>
        <v/>
      </c>
    </row>
    <row r="9682">
      <c r="A9682" t="inlineStr">
        <is>
          <t>2026-09-25</t>
        </is>
      </c>
      <c r="B9682" t="inlineStr">
        <is>
          <t>F265498</t>
        </is>
      </c>
      <c r="C9682" t="inlineStr">
        <is>
          <t>C10289</t>
        </is>
      </c>
      <c r="D9682" t="inlineStr">
        <is>
          <t>SKU-10165</t>
        </is>
      </c>
      <c r="E9682" t="inlineStr">
        <is>
          <t>AM07</t>
        </is>
      </c>
      <c r="F9682" s="5" t="n">
        <v>1089.16</v>
      </c>
      <c r="G9682">
        <f>IF(LEFT(B9682,1)="C","Credit","Factuur")</f>
        <v/>
      </c>
      <c r="H9682">
        <f>IF(AND(B9682=B9681,D9682=D9681,A9682=A9681,F9682=F9681),1,0)</f>
        <v/>
      </c>
      <c r="I9682">
        <f>IF(C9682="C99999",1,0)</f>
        <v/>
      </c>
      <c r="J9682" s="5">
        <f>IF(OR(H9682=1,I9682=1),0,IF(G9682="Credit",-F9682,F9682))</f>
        <v/>
      </c>
    </row>
    <row r="9683">
      <c r="A9683" t="inlineStr">
        <is>
          <t>2026-09-25</t>
        </is>
      </c>
      <c r="B9683" t="inlineStr">
        <is>
          <t>F265498</t>
        </is>
      </c>
      <c r="C9683" t="inlineStr">
        <is>
          <t>C10289</t>
        </is>
      </c>
      <c r="D9683" t="inlineStr">
        <is>
          <t>SKU-10301</t>
        </is>
      </c>
      <c r="E9683" t="inlineStr">
        <is>
          <t>AM07</t>
        </is>
      </c>
      <c r="F9683" s="5" t="n">
        <v>1180.57</v>
      </c>
      <c r="G9683">
        <f>IF(LEFT(B9683,1)="C","Credit","Factuur")</f>
        <v/>
      </c>
      <c r="H9683">
        <f>IF(AND(B9683=B9682,D9683=D9682,A9683=A9682,F9683=F9682),1,0)</f>
        <v/>
      </c>
      <c r="I9683">
        <f>IF(C9683="C99999",1,0)</f>
        <v/>
      </c>
      <c r="J9683" s="5">
        <f>IF(OR(H9683=1,I9683=1),0,IF(G9683="Credit",-F9683,F9683))</f>
        <v/>
      </c>
    </row>
    <row r="9684">
      <c r="A9684" t="inlineStr">
        <is>
          <t>2026-09-25</t>
        </is>
      </c>
      <c r="B9684" t="inlineStr">
        <is>
          <t>F265952</t>
        </is>
      </c>
      <c r="C9684" t="inlineStr">
        <is>
          <t>C10312</t>
        </is>
      </c>
      <c r="D9684" t="inlineStr">
        <is>
          <t>SKU-10302</t>
        </is>
      </c>
      <c r="E9684" t="inlineStr">
        <is>
          <t>AM08</t>
        </is>
      </c>
      <c r="F9684" s="5" t="n">
        <v>570.83</v>
      </c>
      <c r="G9684">
        <f>IF(LEFT(B9684,1)="C","Credit","Factuur")</f>
        <v/>
      </c>
      <c r="H9684">
        <f>IF(AND(B9684=B9683,D9684=D9683,A9684=A9683,F9684=F9683),1,0)</f>
        <v/>
      </c>
      <c r="I9684">
        <f>IF(C9684="C99999",1,0)</f>
        <v/>
      </c>
      <c r="J9684" s="5">
        <f>IF(OR(H9684=1,I9684=1),0,IF(G9684="Credit",-F9684,F9684))</f>
        <v/>
      </c>
    </row>
    <row r="9685">
      <c r="A9685" t="inlineStr">
        <is>
          <t>2026-09-25</t>
        </is>
      </c>
      <c r="B9685" t="inlineStr">
        <is>
          <t>F265962</t>
        </is>
      </c>
      <c r="C9685" t="inlineStr">
        <is>
          <t>C10313</t>
        </is>
      </c>
      <c r="D9685" t="inlineStr">
        <is>
          <t>SKU-10021</t>
        </is>
      </c>
      <c r="E9685" t="inlineStr">
        <is>
          <t>AM08</t>
        </is>
      </c>
      <c r="F9685" s="5" t="n">
        <v>215.55</v>
      </c>
      <c r="G9685">
        <f>IF(LEFT(B9685,1)="C","Credit","Factuur")</f>
        <v/>
      </c>
      <c r="H9685">
        <f>IF(AND(B9685=B9684,D9685=D9684,A9685=A9684,F9685=F9684),1,0)</f>
        <v/>
      </c>
      <c r="I9685">
        <f>IF(C9685="C99999",1,0)</f>
        <v/>
      </c>
      <c r="J9685" s="5">
        <f>IF(OR(H9685=1,I9685=1),0,IF(G9685="Credit",-F9685,F9685))</f>
        <v/>
      </c>
    </row>
    <row r="9686">
      <c r="A9686" t="inlineStr">
        <is>
          <t>2026-09-25</t>
        </is>
      </c>
      <c r="B9686" t="inlineStr">
        <is>
          <t>F265962</t>
        </is>
      </c>
      <c r="C9686" t="inlineStr">
        <is>
          <t>C10313</t>
        </is>
      </c>
      <c r="D9686" t="inlineStr">
        <is>
          <t>SKU-10023</t>
        </is>
      </c>
      <c r="E9686" t="inlineStr">
        <is>
          <t>AM08</t>
        </is>
      </c>
      <c r="F9686" s="5" t="n">
        <v>202.88</v>
      </c>
      <c r="G9686">
        <f>IF(LEFT(B9686,1)="C","Credit","Factuur")</f>
        <v/>
      </c>
      <c r="H9686">
        <f>IF(AND(B9686=B9685,D9686=D9685,A9686=A9685,F9686=F9685),1,0)</f>
        <v/>
      </c>
      <c r="I9686">
        <f>IF(C9686="C99999",1,0)</f>
        <v/>
      </c>
      <c r="J9686" s="5">
        <f>IF(OR(H9686=1,I9686=1),0,IF(G9686="Credit",-F9686,F9686))</f>
        <v/>
      </c>
    </row>
    <row r="9687">
      <c r="A9687" t="inlineStr">
        <is>
          <t>2026-09-25</t>
        </is>
      </c>
      <c r="B9687" t="inlineStr">
        <is>
          <t>F265962</t>
        </is>
      </c>
      <c r="C9687" t="inlineStr">
        <is>
          <t>C10313</t>
        </is>
      </c>
      <c r="D9687" t="inlineStr">
        <is>
          <t>SKU-10057</t>
        </is>
      </c>
      <c r="E9687" t="inlineStr">
        <is>
          <t>AM08</t>
        </is>
      </c>
      <c r="F9687" s="5" t="n">
        <v>213.75</v>
      </c>
      <c r="G9687">
        <f>IF(LEFT(B9687,1)="C","Credit","Factuur")</f>
        <v/>
      </c>
      <c r="H9687">
        <f>IF(AND(B9687=B9686,D9687=D9686,A9687=A9686,F9687=F9686),1,0)</f>
        <v/>
      </c>
      <c r="I9687">
        <f>IF(C9687="C99999",1,0)</f>
        <v/>
      </c>
      <c r="J9687" s="5">
        <f>IF(OR(H9687=1,I9687=1),0,IF(G9687="Credit",-F9687,F9687))</f>
        <v/>
      </c>
    </row>
    <row r="9688">
      <c r="A9688" t="inlineStr">
        <is>
          <t>2026-09-25</t>
        </is>
      </c>
      <c r="B9688" t="inlineStr">
        <is>
          <t>F265962</t>
        </is>
      </c>
      <c r="C9688" t="inlineStr">
        <is>
          <t>C10313</t>
        </is>
      </c>
      <c r="D9688" t="inlineStr">
        <is>
          <t>SKU-10126</t>
        </is>
      </c>
      <c r="E9688" t="inlineStr">
        <is>
          <t>AM08</t>
        </is>
      </c>
      <c r="F9688" s="5" t="n">
        <v>209.84</v>
      </c>
      <c r="G9688">
        <f>IF(LEFT(B9688,1)="C","Credit","Factuur")</f>
        <v/>
      </c>
      <c r="H9688">
        <f>IF(AND(B9688=B9687,D9688=D9687,A9688=A9687,F9688=F9687),1,0)</f>
        <v/>
      </c>
      <c r="I9688">
        <f>IF(C9688="C99999",1,0)</f>
        <v/>
      </c>
      <c r="J9688" s="5">
        <f>IF(OR(H9688=1,I9688=1),0,IF(G9688="Credit",-F9688,F9688))</f>
        <v/>
      </c>
    </row>
    <row r="9689">
      <c r="A9689" t="inlineStr">
        <is>
          <t>2026-09-25</t>
        </is>
      </c>
      <c r="B9689" t="inlineStr">
        <is>
          <t>F265962</t>
        </is>
      </c>
      <c r="C9689" t="inlineStr">
        <is>
          <t>C10313</t>
        </is>
      </c>
      <c r="D9689" t="inlineStr">
        <is>
          <t>SKU-10134</t>
        </is>
      </c>
      <c r="E9689" t="inlineStr">
        <is>
          <t>AM08</t>
        </is>
      </c>
      <c r="F9689" s="5" t="n">
        <v>205.02</v>
      </c>
      <c r="G9689">
        <f>IF(LEFT(B9689,1)="C","Credit","Factuur")</f>
        <v/>
      </c>
      <c r="H9689">
        <f>IF(AND(B9689=B9688,D9689=D9688,A9689=A9688,F9689=F9688),1,0)</f>
        <v/>
      </c>
      <c r="I9689">
        <f>IF(C9689="C99999",1,0)</f>
        <v/>
      </c>
      <c r="J9689" s="5">
        <f>IF(OR(H9689=1,I9689=1),0,IF(G9689="Credit",-F9689,F9689))</f>
        <v/>
      </c>
    </row>
    <row r="9690">
      <c r="A9690" t="inlineStr">
        <is>
          <t>2026-09-25</t>
        </is>
      </c>
      <c r="B9690" t="inlineStr">
        <is>
          <t>F266220</t>
        </is>
      </c>
      <c r="C9690" t="inlineStr">
        <is>
          <t>C10325</t>
        </is>
      </c>
      <c r="D9690" t="inlineStr">
        <is>
          <t>SKU-10177</t>
        </is>
      </c>
      <c r="E9690" t="inlineStr">
        <is>
          <t>AM01</t>
        </is>
      </c>
      <c r="F9690" s="5" t="n">
        <v>166.92</v>
      </c>
      <c r="G9690">
        <f>IF(LEFT(B9690,1)="C","Credit","Factuur")</f>
        <v/>
      </c>
      <c r="H9690">
        <f>IF(AND(B9690=B9689,D9690=D9689,A9690=A9689,F9690=F9689),1,0)</f>
        <v/>
      </c>
      <c r="I9690">
        <f>IF(C9690="C99999",1,0)</f>
        <v/>
      </c>
      <c r="J9690" s="5">
        <f>IF(OR(H9690=1,I9690=1),0,IF(G9690="Credit",-F9690,F9690))</f>
        <v/>
      </c>
    </row>
    <row r="9691">
      <c r="A9691" t="inlineStr">
        <is>
          <t>2026-09-25</t>
        </is>
      </c>
      <c r="B9691" t="inlineStr">
        <is>
          <t>F266220</t>
        </is>
      </c>
      <c r="C9691" t="inlineStr">
        <is>
          <t>C10325</t>
        </is>
      </c>
      <c r="D9691" t="inlineStr">
        <is>
          <t>SKU-10319</t>
        </is>
      </c>
      <c r="E9691" t="inlineStr">
        <is>
          <t>AM01</t>
        </is>
      </c>
      <c r="F9691" s="5" t="n">
        <v>164.96</v>
      </c>
      <c r="G9691">
        <f>IF(LEFT(B9691,1)="C","Credit","Factuur")</f>
        <v/>
      </c>
      <c r="H9691">
        <f>IF(AND(B9691=B9690,D9691=D9690,A9691=A9690,F9691=F9690),1,0)</f>
        <v/>
      </c>
      <c r="I9691">
        <f>IF(C9691="C99999",1,0)</f>
        <v/>
      </c>
      <c r="J9691" s="5">
        <f>IF(OR(H9691=1,I9691=1),0,IF(G9691="Credit",-F9691,F9691))</f>
        <v/>
      </c>
    </row>
    <row r="9692">
      <c r="A9692" t="inlineStr">
        <is>
          <t>2026-09-25</t>
        </is>
      </c>
      <c r="B9692" t="inlineStr">
        <is>
          <t>F266220</t>
        </is>
      </c>
      <c r="C9692" t="inlineStr">
        <is>
          <t>C10325</t>
        </is>
      </c>
      <c r="D9692" t="inlineStr">
        <is>
          <t>SKU-10332</t>
        </is>
      </c>
      <c r="E9692" t="inlineStr">
        <is>
          <t>AM01</t>
        </is>
      </c>
      <c r="F9692" s="5" t="n">
        <v>162.76</v>
      </c>
      <c r="G9692">
        <f>IF(LEFT(B9692,1)="C","Credit","Factuur")</f>
        <v/>
      </c>
      <c r="H9692">
        <f>IF(AND(B9692=B9691,D9692=D9691,A9692=A9691,F9692=F9691),1,0)</f>
        <v/>
      </c>
      <c r="I9692">
        <f>IF(C9692="C99999",1,0)</f>
        <v/>
      </c>
      <c r="J9692" s="5">
        <f>IF(OR(H9692=1,I9692=1),0,IF(G9692="Credit",-F9692,F9692))</f>
        <v/>
      </c>
    </row>
    <row r="9693">
      <c r="A9693" t="inlineStr">
        <is>
          <t>2026-09-25</t>
        </is>
      </c>
      <c r="B9693" t="inlineStr">
        <is>
          <t>F266322</t>
        </is>
      </c>
      <c r="C9693" t="inlineStr">
        <is>
          <t>C10333</t>
        </is>
      </c>
      <c r="D9693" t="inlineStr">
        <is>
          <t>SKU-10145</t>
        </is>
      </c>
      <c r="E9693" t="inlineStr">
        <is>
          <t>AM05</t>
        </is>
      </c>
      <c r="F9693" s="5" t="n">
        <v>953.4400000000001</v>
      </c>
      <c r="G9693">
        <f>IF(LEFT(B9693,1)="C","Credit","Factuur")</f>
        <v/>
      </c>
      <c r="H9693">
        <f>IF(AND(B9693=B9692,D9693=D9692,A9693=A9692,F9693=F9692),1,0)</f>
        <v/>
      </c>
      <c r="I9693">
        <f>IF(C9693="C99999",1,0)</f>
        <v/>
      </c>
      <c r="J9693" s="5">
        <f>IF(OR(H9693=1,I9693=1),0,IF(G9693="Credit",-F9693,F9693))</f>
        <v/>
      </c>
    </row>
    <row r="9694">
      <c r="A9694" t="inlineStr">
        <is>
          <t>2026-09-25</t>
        </is>
      </c>
      <c r="B9694" t="inlineStr">
        <is>
          <t>F266322</t>
        </is>
      </c>
      <c r="C9694" t="inlineStr">
        <is>
          <t>C10333</t>
        </is>
      </c>
      <c r="D9694" t="inlineStr">
        <is>
          <t>SKU-10180</t>
        </is>
      </c>
      <c r="E9694" t="inlineStr">
        <is>
          <t>AM05</t>
        </is>
      </c>
      <c r="F9694" s="5" t="n">
        <v>884.98</v>
      </c>
      <c r="G9694">
        <f>IF(LEFT(B9694,1)="C","Credit","Factuur")</f>
        <v/>
      </c>
      <c r="H9694">
        <f>IF(AND(B9694=B9693,D9694=D9693,A9694=A9693,F9694=F9693),1,0)</f>
        <v/>
      </c>
      <c r="I9694">
        <f>IF(C9694="C99999",1,0)</f>
        <v/>
      </c>
      <c r="J9694" s="5">
        <f>IF(OR(H9694=1,I9694=1),0,IF(G9694="Credit",-F9694,F9694))</f>
        <v/>
      </c>
    </row>
    <row r="9695">
      <c r="A9695" t="inlineStr">
        <is>
          <t>2026-09-25</t>
        </is>
      </c>
      <c r="B9695" t="inlineStr">
        <is>
          <t>F266572</t>
        </is>
      </c>
      <c r="C9695" t="inlineStr">
        <is>
          <t>C10345</t>
        </is>
      </c>
      <c r="D9695" t="inlineStr">
        <is>
          <t>SKU-10122</t>
        </is>
      </c>
      <c r="E9695" t="inlineStr">
        <is>
          <t>AM11</t>
        </is>
      </c>
      <c r="F9695" s="5" t="n">
        <v>4553.28</v>
      </c>
      <c r="G9695">
        <f>IF(LEFT(B9695,1)="C","Credit","Factuur")</f>
        <v/>
      </c>
      <c r="H9695">
        <f>IF(AND(B9695=B9694,D9695=D9694,A9695=A9694,F9695=F9694),1,0)</f>
        <v/>
      </c>
      <c r="I9695">
        <f>IF(C9695="C99999",1,0)</f>
        <v/>
      </c>
      <c r="J9695" s="5">
        <f>IF(OR(H9695=1,I9695=1),0,IF(G9695="Credit",-F9695,F9695))</f>
        <v/>
      </c>
    </row>
    <row r="9696">
      <c r="A9696" t="inlineStr">
        <is>
          <t>2026-09-25</t>
        </is>
      </c>
      <c r="B9696" t="inlineStr">
        <is>
          <t>F266654</t>
        </is>
      </c>
      <c r="C9696" t="inlineStr">
        <is>
          <t>C10351</t>
        </is>
      </c>
      <c r="D9696" t="inlineStr">
        <is>
          <t>SKU-10090</t>
        </is>
      </c>
      <c r="E9696" t="inlineStr">
        <is>
          <t>AM07</t>
        </is>
      </c>
      <c r="F9696" s="5" t="n">
        <v>510.4</v>
      </c>
      <c r="G9696">
        <f>IF(LEFT(B9696,1)="C","Credit","Factuur")</f>
        <v/>
      </c>
      <c r="H9696">
        <f>IF(AND(B9696=B9695,D9696=D9695,A9696=A9695,F9696=F9695),1,0)</f>
        <v/>
      </c>
      <c r="I9696">
        <f>IF(C9696="C99999",1,0)</f>
        <v/>
      </c>
      <c r="J9696" s="5">
        <f>IF(OR(H9696=1,I9696=1),0,IF(G9696="Credit",-F9696,F9696))</f>
        <v/>
      </c>
    </row>
    <row r="9697">
      <c r="A9697" t="inlineStr">
        <is>
          <t>2026-09-25</t>
        </is>
      </c>
      <c r="B9697" t="inlineStr">
        <is>
          <t>F266992</t>
        </is>
      </c>
      <c r="C9697" t="inlineStr">
        <is>
          <t>C10367</t>
        </is>
      </c>
      <c r="D9697" t="inlineStr">
        <is>
          <t>SKU-10008</t>
        </is>
      </c>
      <c r="E9697" t="inlineStr">
        <is>
          <t>AM07</t>
        </is>
      </c>
      <c r="F9697" s="5" t="n">
        <v>918.92</v>
      </c>
      <c r="G9697">
        <f>IF(LEFT(B9697,1)="C","Credit","Factuur")</f>
        <v/>
      </c>
      <c r="H9697">
        <f>IF(AND(B9697=B9696,D9697=D9696,A9697=A9696,F9697=F9696),1,0)</f>
        <v/>
      </c>
      <c r="I9697">
        <f>IF(C9697="C99999",1,0)</f>
        <v/>
      </c>
      <c r="J9697" s="5">
        <f>IF(OR(H9697=1,I9697=1),0,IF(G9697="Credit",-F9697,F9697))</f>
        <v/>
      </c>
    </row>
    <row r="9698">
      <c r="A9698" t="inlineStr">
        <is>
          <t>2026-09-25</t>
        </is>
      </c>
      <c r="B9698" t="inlineStr">
        <is>
          <t>F266992</t>
        </is>
      </c>
      <c r="C9698" t="inlineStr">
        <is>
          <t>C10367</t>
        </is>
      </c>
      <c r="D9698" t="inlineStr">
        <is>
          <t>SKU-10034</t>
        </is>
      </c>
      <c r="E9698" t="inlineStr">
        <is>
          <t>AM07</t>
        </is>
      </c>
      <c r="F9698" s="5" t="n">
        <v>1067.89</v>
      </c>
      <c r="G9698">
        <f>IF(LEFT(B9698,1)="C","Credit","Factuur")</f>
        <v/>
      </c>
      <c r="H9698">
        <f>IF(AND(B9698=B9697,D9698=D9697,A9698=A9697,F9698=F9697),1,0)</f>
        <v/>
      </c>
      <c r="I9698">
        <f>IF(C9698="C99999",1,0)</f>
        <v/>
      </c>
      <c r="J9698" s="5">
        <f>IF(OR(H9698=1,I9698=1),0,IF(G9698="Credit",-F9698,F9698))</f>
        <v/>
      </c>
    </row>
    <row r="9699">
      <c r="A9699" t="inlineStr">
        <is>
          <t>2026-09-25</t>
        </is>
      </c>
      <c r="B9699" t="inlineStr">
        <is>
          <t>F266992</t>
        </is>
      </c>
      <c r="C9699" t="inlineStr">
        <is>
          <t>C10367</t>
        </is>
      </c>
      <c r="D9699" t="inlineStr">
        <is>
          <t>SKU-10113</t>
        </is>
      </c>
      <c r="E9699" t="inlineStr">
        <is>
          <t>AM07</t>
        </is>
      </c>
      <c r="F9699" s="5" t="n">
        <v>1071</v>
      </c>
      <c r="G9699">
        <f>IF(LEFT(B9699,1)="C","Credit","Factuur")</f>
        <v/>
      </c>
      <c r="H9699">
        <f>IF(AND(B9699=B9698,D9699=D9698,A9699=A9698,F9699=F9698),1,0)</f>
        <v/>
      </c>
      <c r="I9699">
        <f>IF(C9699="C99999",1,0)</f>
        <v/>
      </c>
      <c r="J9699" s="5">
        <f>IF(OR(H9699=1,I9699=1),0,IF(G9699="Credit",-F9699,F9699))</f>
        <v/>
      </c>
    </row>
    <row r="9700">
      <c r="A9700" t="inlineStr">
        <is>
          <t>2026-09-25</t>
        </is>
      </c>
      <c r="B9700" t="inlineStr">
        <is>
          <t>F266992</t>
        </is>
      </c>
      <c r="C9700" t="inlineStr">
        <is>
          <t>C10367</t>
        </is>
      </c>
      <c r="D9700" t="inlineStr">
        <is>
          <t>SKU-10249</t>
        </is>
      </c>
      <c r="E9700" t="inlineStr">
        <is>
          <t>AM07</t>
        </is>
      </c>
      <c r="F9700" s="5" t="n">
        <v>1034.08</v>
      </c>
      <c r="G9700">
        <f>IF(LEFT(B9700,1)="C","Credit","Factuur")</f>
        <v/>
      </c>
      <c r="H9700">
        <f>IF(AND(B9700=B9699,D9700=D9699,A9700=A9699,F9700=F9699),1,0)</f>
        <v/>
      </c>
      <c r="I9700">
        <f>IF(C9700="C99999",1,0)</f>
        <v/>
      </c>
      <c r="J9700" s="5">
        <f>IF(OR(H9700=1,I9700=1),0,IF(G9700="Credit",-F9700,F9700))</f>
        <v/>
      </c>
    </row>
    <row r="9701">
      <c r="A9701" t="inlineStr">
        <is>
          <t>2026-09-25</t>
        </is>
      </c>
      <c r="B9701" t="inlineStr">
        <is>
          <t>F267622</t>
        </is>
      </c>
      <c r="C9701" t="inlineStr">
        <is>
          <t>C10400</t>
        </is>
      </c>
      <c r="D9701" t="inlineStr">
        <is>
          <t>SKU-10015</t>
        </is>
      </c>
      <c r="E9701" t="inlineStr">
        <is>
          <t>AM08</t>
        </is>
      </c>
      <c r="F9701" s="5" t="n">
        <v>1178.16</v>
      </c>
      <c r="G9701">
        <f>IF(LEFT(B9701,1)="C","Credit","Factuur")</f>
        <v/>
      </c>
      <c r="H9701">
        <f>IF(AND(B9701=B9700,D9701=D9700,A9701=A9700,F9701=F9700),1,0)</f>
        <v/>
      </c>
      <c r="I9701">
        <f>IF(C9701="C99999",1,0)</f>
        <v/>
      </c>
      <c r="J9701" s="5">
        <f>IF(OR(H9701=1,I9701=1),0,IF(G9701="Credit",-F9701,F9701))</f>
        <v/>
      </c>
    </row>
    <row r="9702">
      <c r="A9702" t="inlineStr">
        <is>
          <t>2026-09-25</t>
        </is>
      </c>
      <c r="B9702" t="inlineStr">
        <is>
          <t>F267622</t>
        </is>
      </c>
      <c r="C9702" t="inlineStr">
        <is>
          <t>C10400</t>
        </is>
      </c>
      <c r="D9702" t="inlineStr">
        <is>
          <t>SKU-10152</t>
        </is>
      </c>
      <c r="E9702" t="inlineStr">
        <is>
          <t>AM08</t>
        </is>
      </c>
      <c r="F9702" s="5" t="n">
        <v>1005.52</v>
      </c>
      <c r="G9702">
        <f>IF(LEFT(B9702,1)="C","Credit","Factuur")</f>
        <v/>
      </c>
      <c r="H9702">
        <f>IF(AND(B9702=B9701,D9702=D9701,A9702=A9701,F9702=F9701),1,0)</f>
        <v/>
      </c>
      <c r="I9702">
        <f>IF(C9702="C99999",1,0)</f>
        <v/>
      </c>
      <c r="J9702" s="5">
        <f>IF(OR(H9702=1,I9702=1),0,IF(G9702="Credit",-F9702,F9702))</f>
        <v/>
      </c>
    </row>
    <row r="9703">
      <c r="A9703" t="inlineStr">
        <is>
          <t>2026-09-25</t>
        </is>
      </c>
      <c r="B9703" t="inlineStr">
        <is>
          <t>F267668</t>
        </is>
      </c>
      <c r="C9703" t="inlineStr">
        <is>
          <t>C10402</t>
        </is>
      </c>
      <c r="D9703" t="inlineStr">
        <is>
          <t>SKU-10119</t>
        </is>
      </c>
      <c r="E9703" t="inlineStr">
        <is>
          <t>AM02</t>
        </is>
      </c>
      <c r="F9703" s="5" t="n">
        <v>650.52</v>
      </c>
      <c r="G9703">
        <f>IF(LEFT(B9703,1)="C","Credit","Factuur")</f>
        <v/>
      </c>
      <c r="H9703">
        <f>IF(AND(B9703=B9702,D9703=D9702,A9703=A9702,F9703=F9702),1,0)</f>
        <v/>
      </c>
      <c r="I9703">
        <f>IF(C9703="C99999",1,0)</f>
        <v/>
      </c>
      <c r="J9703" s="5">
        <f>IF(OR(H9703=1,I9703=1),0,IF(G9703="Credit",-F9703,F9703))</f>
        <v/>
      </c>
    </row>
    <row r="9704">
      <c r="A9704" t="inlineStr">
        <is>
          <t>2026-09-25</t>
        </is>
      </c>
      <c r="B9704" t="inlineStr">
        <is>
          <t>F267668</t>
        </is>
      </c>
      <c r="C9704" t="inlineStr">
        <is>
          <t>C10402</t>
        </is>
      </c>
      <c r="D9704" t="inlineStr">
        <is>
          <t>SKU-10175</t>
        </is>
      </c>
      <c r="E9704" t="inlineStr">
        <is>
          <t>AM02</t>
        </is>
      </c>
      <c r="F9704" s="5" t="n">
        <v>611.4400000000001</v>
      </c>
      <c r="G9704">
        <f>IF(LEFT(B9704,1)="C","Credit","Factuur")</f>
        <v/>
      </c>
      <c r="H9704">
        <f>IF(AND(B9704=B9703,D9704=D9703,A9704=A9703,F9704=F9703),1,0)</f>
        <v/>
      </c>
      <c r="I9704">
        <f>IF(C9704="C99999",1,0)</f>
        <v/>
      </c>
      <c r="J9704" s="5">
        <f>IF(OR(H9704=1,I9704=1),0,IF(G9704="Credit",-F9704,F9704))</f>
        <v/>
      </c>
    </row>
    <row r="9705">
      <c r="A9705" t="inlineStr">
        <is>
          <t>2026-09-25</t>
        </is>
      </c>
      <c r="B9705" t="inlineStr">
        <is>
          <t>F267668</t>
        </is>
      </c>
      <c r="C9705" t="inlineStr">
        <is>
          <t>C10402</t>
        </is>
      </c>
      <c r="D9705" t="inlineStr">
        <is>
          <t>SKU-10183</t>
        </is>
      </c>
      <c r="E9705" t="inlineStr">
        <is>
          <t>AM02</t>
        </is>
      </c>
      <c r="F9705" s="5" t="n">
        <v>643.9</v>
      </c>
      <c r="G9705">
        <f>IF(LEFT(B9705,1)="C","Credit","Factuur")</f>
        <v/>
      </c>
      <c r="H9705">
        <f>IF(AND(B9705=B9704,D9705=D9704,A9705=A9704,F9705=F9704),1,0)</f>
        <v/>
      </c>
      <c r="I9705">
        <f>IF(C9705="C99999",1,0)</f>
        <v/>
      </c>
      <c r="J9705" s="5">
        <f>IF(OR(H9705=1,I9705=1),0,IF(G9705="Credit",-F9705,F9705))</f>
        <v/>
      </c>
    </row>
    <row r="9706">
      <c r="A9706" t="inlineStr">
        <is>
          <t>2026-09-25</t>
        </is>
      </c>
      <c r="B9706" t="inlineStr">
        <is>
          <t>F267668</t>
        </is>
      </c>
      <c r="C9706" t="inlineStr">
        <is>
          <t>C10402</t>
        </is>
      </c>
      <c r="D9706" t="inlineStr">
        <is>
          <t>SKU-10193</t>
        </is>
      </c>
      <c r="E9706" t="inlineStr">
        <is>
          <t>AM02</t>
        </is>
      </c>
      <c r="F9706" s="5" t="n">
        <v>650.5599999999999</v>
      </c>
      <c r="G9706">
        <f>IF(LEFT(B9706,1)="C","Credit","Factuur")</f>
        <v/>
      </c>
      <c r="H9706">
        <f>IF(AND(B9706=B9705,D9706=D9705,A9706=A9705,F9706=F9705),1,0)</f>
        <v/>
      </c>
      <c r="I9706">
        <f>IF(C9706="C99999",1,0)</f>
        <v/>
      </c>
      <c r="J9706" s="5">
        <f>IF(OR(H9706=1,I9706=1),0,IF(G9706="Credit",-F9706,F9706))</f>
        <v/>
      </c>
    </row>
    <row r="9707">
      <c r="A9707" t="inlineStr">
        <is>
          <t>2026-09-25</t>
        </is>
      </c>
      <c r="B9707" t="inlineStr">
        <is>
          <t>F267668</t>
        </is>
      </c>
      <c r="C9707" t="inlineStr">
        <is>
          <t>C10402</t>
        </is>
      </c>
      <c r="D9707" t="inlineStr">
        <is>
          <t>SKU-10302</t>
        </is>
      </c>
      <c r="E9707" t="inlineStr">
        <is>
          <t>AM02</t>
        </is>
      </c>
      <c r="F9707" s="5" t="n">
        <v>658.65</v>
      </c>
      <c r="G9707">
        <f>IF(LEFT(B9707,1)="C","Credit","Factuur")</f>
        <v/>
      </c>
      <c r="H9707">
        <f>IF(AND(B9707=B9706,D9707=D9706,A9707=A9706,F9707=F9706),1,0)</f>
        <v/>
      </c>
      <c r="I9707">
        <f>IF(C9707="C99999",1,0)</f>
        <v/>
      </c>
      <c r="J9707" s="5">
        <f>IF(OR(H9707=1,I9707=1),0,IF(G9707="Credit",-F9707,F9707))</f>
        <v/>
      </c>
    </row>
    <row r="9708">
      <c r="A9708" t="inlineStr">
        <is>
          <t>2026-09-25</t>
        </is>
      </c>
      <c r="B9708" t="inlineStr">
        <is>
          <t>F267668</t>
        </is>
      </c>
      <c r="C9708" t="inlineStr">
        <is>
          <t>C10402</t>
        </is>
      </c>
      <c r="D9708" t="inlineStr">
        <is>
          <t>SKU-10320</t>
        </is>
      </c>
      <c r="E9708" t="inlineStr">
        <is>
          <t>AM02</t>
        </is>
      </c>
      <c r="F9708" s="5" t="n">
        <v>648.5599999999999</v>
      </c>
      <c r="G9708">
        <f>IF(LEFT(B9708,1)="C","Credit","Factuur")</f>
        <v/>
      </c>
      <c r="H9708">
        <f>IF(AND(B9708=B9707,D9708=D9707,A9708=A9707,F9708=F9707),1,0)</f>
        <v/>
      </c>
      <c r="I9708">
        <f>IF(C9708="C99999",1,0)</f>
        <v/>
      </c>
      <c r="J9708" s="5">
        <f>IF(OR(H9708=1,I9708=1),0,IF(G9708="Credit",-F9708,F9708))</f>
        <v/>
      </c>
    </row>
    <row r="9709">
      <c r="A9709" t="inlineStr">
        <is>
          <t>2026-09-25</t>
        </is>
      </c>
      <c r="B9709" t="inlineStr">
        <is>
          <t>F267876</t>
        </is>
      </c>
      <c r="C9709" t="inlineStr">
        <is>
          <t>C10414</t>
        </is>
      </c>
      <c r="D9709" t="inlineStr">
        <is>
          <t>SKU-10194</t>
        </is>
      </c>
      <c r="E9709" t="inlineStr">
        <is>
          <t>AM07</t>
        </is>
      </c>
      <c r="F9709" s="5" t="n">
        <v>1605.97</v>
      </c>
      <c r="G9709">
        <f>IF(LEFT(B9709,1)="C","Credit","Factuur")</f>
        <v/>
      </c>
      <c r="H9709">
        <f>IF(AND(B9709=B9708,D9709=D9708,A9709=A9708,F9709=F9708),1,0)</f>
        <v/>
      </c>
      <c r="I9709">
        <f>IF(C9709="C99999",1,0)</f>
        <v/>
      </c>
      <c r="J9709" s="5">
        <f>IF(OR(H9709=1,I9709=1),0,IF(G9709="Credit",-F9709,F9709))</f>
        <v/>
      </c>
    </row>
    <row r="9710">
      <c r="A9710" t="inlineStr">
        <is>
          <t>2026-09-25</t>
        </is>
      </c>
      <c r="B9710" t="inlineStr">
        <is>
          <t>F267877</t>
        </is>
      </c>
      <c r="C9710" t="inlineStr">
        <is>
          <t>C10414</t>
        </is>
      </c>
      <c r="D9710" t="inlineStr">
        <is>
          <t>SKU-10181</t>
        </is>
      </c>
      <c r="E9710" t="inlineStr">
        <is>
          <t>AM07</t>
        </is>
      </c>
      <c r="F9710" s="5" t="n">
        <v>623.15</v>
      </c>
      <c r="G9710">
        <f>IF(LEFT(B9710,1)="C","Credit","Factuur")</f>
        <v/>
      </c>
      <c r="H9710">
        <f>IF(AND(B9710=B9709,D9710=D9709,A9710=A9709,F9710=F9709),1,0)</f>
        <v/>
      </c>
      <c r="I9710">
        <f>IF(C9710="C99999",1,0)</f>
        <v/>
      </c>
      <c r="J9710" s="5">
        <f>IF(OR(H9710=1,I9710=1),0,IF(G9710="Credit",-F9710,F9710))</f>
        <v/>
      </c>
    </row>
    <row r="9711">
      <c r="A9711" t="inlineStr">
        <is>
          <t>2026-09-25</t>
        </is>
      </c>
      <c r="B9711" t="inlineStr">
        <is>
          <t>F267877</t>
        </is>
      </c>
      <c r="C9711" t="inlineStr">
        <is>
          <t>C10414</t>
        </is>
      </c>
      <c r="D9711" t="inlineStr">
        <is>
          <t>SKU-10196</t>
        </is>
      </c>
      <c r="E9711" t="inlineStr">
        <is>
          <t>AM07</t>
        </is>
      </c>
      <c r="F9711" s="5" t="n">
        <v>644.28</v>
      </c>
      <c r="G9711">
        <f>IF(LEFT(B9711,1)="C","Credit","Factuur")</f>
        <v/>
      </c>
      <c r="H9711">
        <f>IF(AND(B9711=B9710,D9711=D9710,A9711=A9710,F9711=F9710),1,0)</f>
        <v/>
      </c>
      <c r="I9711">
        <f>IF(C9711="C99999",1,0)</f>
        <v/>
      </c>
      <c r="J9711" s="5">
        <f>IF(OR(H9711=1,I9711=1),0,IF(G9711="Credit",-F9711,F9711))</f>
        <v/>
      </c>
    </row>
    <row r="9712">
      <c r="A9712" t="inlineStr">
        <is>
          <t>2026-09-25</t>
        </is>
      </c>
      <c r="B9712" t="inlineStr">
        <is>
          <t>F267877</t>
        </is>
      </c>
      <c r="C9712" t="inlineStr">
        <is>
          <t>C10414</t>
        </is>
      </c>
      <c r="D9712" t="inlineStr">
        <is>
          <t>SKU-10304</t>
        </is>
      </c>
      <c r="E9712" t="inlineStr">
        <is>
          <t>AM07</t>
        </is>
      </c>
      <c r="F9712" s="5" t="n">
        <v>657.04</v>
      </c>
      <c r="G9712">
        <f>IF(LEFT(B9712,1)="C","Credit","Factuur")</f>
        <v/>
      </c>
      <c r="H9712">
        <f>IF(AND(B9712=B9711,D9712=D9711,A9712=A9711,F9712=F9711),1,0)</f>
        <v/>
      </c>
      <c r="I9712">
        <f>IF(C9712="C99999",1,0)</f>
        <v/>
      </c>
      <c r="J9712" s="5">
        <f>IF(OR(H9712=1,I9712=1),0,IF(G9712="Credit",-F9712,F9712))</f>
        <v/>
      </c>
    </row>
    <row r="9713">
      <c r="A9713" t="inlineStr">
        <is>
          <t>2026-09-25</t>
        </is>
      </c>
      <c r="B9713" t="inlineStr">
        <is>
          <t>F268223</t>
        </is>
      </c>
      <c r="C9713" t="inlineStr">
        <is>
          <t>C10430</t>
        </is>
      </c>
      <c r="D9713" t="inlineStr">
        <is>
          <t>SKU-10052</t>
        </is>
      </c>
      <c r="E9713" t="inlineStr">
        <is>
          <t>AM05</t>
        </is>
      </c>
      <c r="F9713" s="5" t="n">
        <v>210.44</v>
      </c>
      <c r="G9713">
        <f>IF(LEFT(B9713,1)="C","Credit","Factuur")</f>
        <v/>
      </c>
      <c r="H9713">
        <f>IF(AND(B9713=B9712,D9713=D9712,A9713=A9712,F9713=F9712),1,0)</f>
        <v/>
      </c>
      <c r="I9713">
        <f>IF(C9713="C99999",1,0)</f>
        <v/>
      </c>
      <c r="J9713" s="5">
        <f>IF(OR(H9713=1,I9713=1),0,IF(G9713="Credit",-F9713,F9713))</f>
        <v/>
      </c>
    </row>
    <row r="9714">
      <c r="A9714" t="inlineStr">
        <is>
          <t>2026-09-25</t>
        </is>
      </c>
      <c r="B9714" t="inlineStr">
        <is>
          <t>F268223</t>
        </is>
      </c>
      <c r="C9714" t="inlineStr">
        <is>
          <t>C10430</t>
        </is>
      </c>
      <c r="D9714" t="inlineStr">
        <is>
          <t>SKU-10167</t>
        </is>
      </c>
      <c r="E9714" t="inlineStr">
        <is>
          <t>AM05</t>
        </is>
      </c>
      <c r="F9714" s="5" t="n">
        <v>220.88</v>
      </c>
      <c r="G9714">
        <f>IF(LEFT(B9714,1)="C","Credit","Factuur")</f>
        <v/>
      </c>
      <c r="H9714">
        <f>IF(AND(B9714=B9713,D9714=D9713,A9714=A9713,F9714=F9713),1,0)</f>
        <v/>
      </c>
      <c r="I9714">
        <f>IF(C9714="C99999",1,0)</f>
        <v/>
      </c>
      <c r="J9714" s="5">
        <f>IF(OR(H9714=1,I9714=1),0,IF(G9714="Credit",-F9714,F9714))</f>
        <v/>
      </c>
    </row>
    <row r="9715">
      <c r="A9715" t="inlineStr">
        <is>
          <t>2026-09-25</t>
        </is>
      </c>
      <c r="B9715" t="inlineStr">
        <is>
          <t>F268223</t>
        </is>
      </c>
      <c r="C9715" t="inlineStr">
        <is>
          <t>C10430</t>
        </is>
      </c>
      <c r="D9715" t="inlineStr">
        <is>
          <t>SKU-10343</t>
        </is>
      </c>
      <c r="E9715" t="inlineStr">
        <is>
          <t>AM05</t>
        </is>
      </c>
      <c r="F9715" s="5" t="n">
        <v>217.12</v>
      </c>
      <c r="G9715">
        <f>IF(LEFT(B9715,1)="C","Credit","Factuur")</f>
        <v/>
      </c>
      <c r="H9715">
        <f>IF(AND(B9715=B9714,D9715=D9714,A9715=A9714,F9715=F9714),1,0)</f>
        <v/>
      </c>
      <c r="I9715">
        <f>IF(C9715="C99999",1,0)</f>
        <v/>
      </c>
      <c r="J9715" s="5">
        <f>IF(OR(H9715=1,I9715=1),0,IF(G9715="Credit",-F9715,F9715))</f>
        <v/>
      </c>
    </row>
    <row r="9716">
      <c r="A9716" t="inlineStr">
        <is>
          <t>2026-09-25</t>
        </is>
      </c>
      <c r="B9716" t="inlineStr">
        <is>
          <t>F268477</t>
        </is>
      </c>
      <c r="C9716" t="inlineStr">
        <is>
          <t>C10443</t>
        </is>
      </c>
      <c r="D9716" t="inlineStr">
        <is>
          <t>SKU-10021</t>
        </is>
      </c>
      <c r="E9716" t="inlineStr">
        <is>
          <t>AM02</t>
        </is>
      </c>
      <c r="F9716" s="5" t="n">
        <v>37.94</v>
      </c>
      <c r="G9716">
        <f>IF(LEFT(B9716,1)="C","Credit","Factuur")</f>
        <v/>
      </c>
      <c r="H9716">
        <f>IF(AND(B9716=B9715,D9716=D9715,A9716=A9715,F9716=F9715),1,0)</f>
        <v/>
      </c>
      <c r="I9716">
        <f>IF(C9716="C99999",1,0)</f>
        <v/>
      </c>
      <c r="J9716" s="5">
        <f>IF(OR(H9716=1,I9716=1),0,IF(G9716="Credit",-F9716,F9716))</f>
        <v/>
      </c>
    </row>
    <row r="9717">
      <c r="A9717" t="inlineStr">
        <is>
          <t>2026-09-25</t>
        </is>
      </c>
      <c r="B9717" t="inlineStr">
        <is>
          <t>F268477</t>
        </is>
      </c>
      <c r="C9717" t="inlineStr">
        <is>
          <t>C10443</t>
        </is>
      </c>
      <c r="D9717" t="inlineStr">
        <is>
          <t>SKU-10156</t>
        </is>
      </c>
      <c r="E9717" t="inlineStr">
        <is>
          <t>AM02</t>
        </is>
      </c>
      <c r="F9717" s="5" t="n">
        <v>44.88</v>
      </c>
      <c r="G9717">
        <f>IF(LEFT(B9717,1)="C","Credit","Factuur")</f>
        <v/>
      </c>
      <c r="H9717">
        <f>IF(AND(B9717=B9716,D9717=D9716,A9717=A9716,F9717=F9716),1,0)</f>
        <v/>
      </c>
      <c r="I9717">
        <f>IF(C9717="C99999",1,0)</f>
        <v/>
      </c>
      <c r="J9717" s="5">
        <f>IF(OR(H9717=1,I9717=1),0,IF(G9717="Credit",-F9717,F9717))</f>
        <v/>
      </c>
    </row>
    <row r="9718">
      <c r="A9718" t="inlineStr">
        <is>
          <t>2026-09-25</t>
        </is>
      </c>
      <c r="B9718" t="inlineStr">
        <is>
          <t>F268477</t>
        </is>
      </c>
      <c r="C9718" t="inlineStr">
        <is>
          <t>C10443</t>
        </is>
      </c>
      <c r="D9718" t="inlineStr">
        <is>
          <t>SKU-10216</t>
        </is>
      </c>
      <c r="E9718" t="inlineStr">
        <is>
          <t>AM02</t>
        </is>
      </c>
      <c r="F9718" s="5" t="n">
        <v>48.54</v>
      </c>
      <c r="G9718">
        <f>IF(LEFT(B9718,1)="C","Credit","Factuur")</f>
        <v/>
      </c>
      <c r="H9718">
        <f>IF(AND(B9718=B9717,D9718=D9717,A9718=A9717,F9718=F9717),1,0)</f>
        <v/>
      </c>
      <c r="I9718">
        <f>IF(C9718="C99999",1,0)</f>
        <v/>
      </c>
      <c r="J9718" s="5">
        <f>IF(OR(H9718=1,I9718=1),0,IF(G9718="Credit",-F9718,F9718))</f>
        <v/>
      </c>
    </row>
    <row r="9719">
      <c r="A9719" t="inlineStr">
        <is>
          <t>2026-09-25</t>
        </is>
      </c>
      <c r="B9719" t="inlineStr">
        <is>
          <t>F268477</t>
        </is>
      </c>
      <c r="C9719" t="inlineStr">
        <is>
          <t>C10443</t>
        </is>
      </c>
      <c r="D9719" t="inlineStr">
        <is>
          <t>SKU-10229</t>
        </is>
      </c>
      <c r="E9719" t="inlineStr">
        <is>
          <t>AM02</t>
        </is>
      </c>
      <c r="F9719" s="5" t="n">
        <v>30.91</v>
      </c>
      <c r="G9719">
        <f>IF(LEFT(B9719,1)="C","Credit","Factuur")</f>
        <v/>
      </c>
      <c r="H9719">
        <f>IF(AND(B9719=B9718,D9719=D9718,A9719=A9718,F9719=F9718),1,0)</f>
        <v/>
      </c>
      <c r="I9719">
        <f>IF(C9719="C99999",1,0)</f>
        <v/>
      </c>
      <c r="J9719" s="5">
        <f>IF(OR(H9719=1,I9719=1),0,IF(G9719="Credit",-F9719,F9719))</f>
        <v/>
      </c>
    </row>
    <row r="9720">
      <c r="A9720" t="inlineStr">
        <is>
          <t>2026-09-25</t>
        </is>
      </c>
      <c r="B9720" t="inlineStr">
        <is>
          <t>F268477</t>
        </is>
      </c>
      <c r="C9720" t="inlineStr">
        <is>
          <t>C10443</t>
        </is>
      </c>
      <c r="D9720" t="inlineStr">
        <is>
          <t>SKU-10240</t>
        </is>
      </c>
      <c r="E9720" t="inlineStr">
        <is>
          <t>AM02</t>
        </is>
      </c>
      <c r="F9720" s="5" t="n">
        <v>31.75</v>
      </c>
      <c r="G9720">
        <f>IF(LEFT(B9720,1)="C","Credit","Factuur")</f>
        <v/>
      </c>
      <c r="H9720">
        <f>IF(AND(B9720=B9719,D9720=D9719,A9720=A9719,F9720=F9719),1,0)</f>
        <v/>
      </c>
      <c r="I9720">
        <f>IF(C9720="C99999",1,0)</f>
        <v/>
      </c>
      <c r="J9720" s="5">
        <f>IF(OR(H9720=1,I9720=1),0,IF(G9720="Credit",-F9720,F9720))</f>
        <v/>
      </c>
    </row>
    <row r="9721">
      <c r="A9721" t="inlineStr">
        <is>
          <t>2026-09-25</t>
        </is>
      </c>
      <c r="B9721" t="inlineStr">
        <is>
          <t>F268662</t>
        </is>
      </c>
      <c r="C9721" t="inlineStr">
        <is>
          <t>C10454</t>
        </is>
      </c>
      <c r="D9721" t="inlineStr">
        <is>
          <t>SKU-10011</t>
        </is>
      </c>
      <c r="E9721" t="inlineStr">
        <is>
          <t>AM12</t>
        </is>
      </c>
      <c r="F9721" s="5" t="n">
        <v>121.8</v>
      </c>
      <c r="G9721">
        <f>IF(LEFT(B9721,1)="C","Credit","Factuur")</f>
        <v/>
      </c>
      <c r="H9721">
        <f>IF(AND(B9721=B9720,D9721=D9720,A9721=A9720,F9721=F9720),1,0)</f>
        <v/>
      </c>
      <c r="I9721">
        <f>IF(C9721="C99999",1,0)</f>
        <v/>
      </c>
      <c r="J9721" s="5">
        <f>IF(OR(H9721=1,I9721=1),0,IF(G9721="Credit",-F9721,F9721))</f>
        <v/>
      </c>
    </row>
    <row r="9722">
      <c r="A9722" t="inlineStr">
        <is>
          <t>2026-09-25</t>
        </is>
      </c>
      <c r="B9722" t="inlineStr">
        <is>
          <t>F268662</t>
        </is>
      </c>
      <c r="C9722" t="inlineStr">
        <is>
          <t>C10454</t>
        </is>
      </c>
      <c r="D9722" t="inlineStr">
        <is>
          <t>SKU-10015</t>
        </is>
      </c>
      <c r="E9722" t="inlineStr">
        <is>
          <t>AM12</t>
        </is>
      </c>
      <c r="F9722" s="5" t="n">
        <v>98.18000000000001</v>
      </c>
      <c r="G9722">
        <f>IF(LEFT(B9722,1)="C","Credit","Factuur")</f>
        <v/>
      </c>
      <c r="H9722">
        <f>IF(AND(B9722=B9721,D9722=D9721,A9722=A9721,F9722=F9721),1,0)</f>
        <v/>
      </c>
      <c r="I9722">
        <f>IF(C9722="C99999",1,0)</f>
        <v/>
      </c>
      <c r="J9722" s="5">
        <f>IF(OR(H9722=1,I9722=1),0,IF(G9722="Credit",-F9722,F9722))</f>
        <v/>
      </c>
    </row>
    <row r="9723">
      <c r="A9723" t="inlineStr">
        <is>
          <t>2026-09-25</t>
        </is>
      </c>
      <c r="B9723" t="inlineStr">
        <is>
          <t>F268662</t>
        </is>
      </c>
      <c r="C9723" t="inlineStr">
        <is>
          <t>C10454</t>
        </is>
      </c>
      <c r="D9723" t="inlineStr">
        <is>
          <t>SKU-10135</t>
        </is>
      </c>
      <c r="E9723" t="inlineStr"/>
      <c r="F9723" s="5" t="n">
        <v>71.59999999999999</v>
      </c>
      <c r="G9723">
        <f>IF(LEFT(B9723,1)="C","Credit","Factuur")</f>
        <v/>
      </c>
      <c r="H9723">
        <f>IF(AND(B9723=B9722,D9723=D9722,A9723=A9722,F9723=F9722),1,0)</f>
        <v/>
      </c>
      <c r="I9723">
        <f>IF(C9723="C99999",1,0)</f>
        <v/>
      </c>
      <c r="J9723" s="5">
        <f>IF(OR(H9723=1,I9723=1),0,IF(G9723="Credit",-F9723,F9723))</f>
        <v/>
      </c>
    </row>
    <row r="9724">
      <c r="A9724" t="inlineStr">
        <is>
          <t>2026-09-25</t>
        </is>
      </c>
      <c r="B9724" t="inlineStr">
        <is>
          <t>F268662</t>
        </is>
      </c>
      <c r="C9724" t="inlineStr">
        <is>
          <t>C10454</t>
        </is>
      </c>
      <c r="D9724" t="inlineStr">
        <is>
          <t>SKU-10226</t>
        </is>
      </c>
      <c r="E9724" t="inlineStr">
        <is>
          <t>AM12</t>
        </is>
      </c>
      <c r="F9724" s="5" t="n">
        <v>121.45</v>
      </c>
      <c r="G9724">
        <f>IF(LEFT(B9724,1)="C","Credit","Factuur")</f>
        <v/>
      </c>
      <c r="H9724">
        <f>IF(AND(B9724=B9723,D9724=D9723,A9724=A9723,F9724=F9723),1,0)</f>
        <v/>
      </c>
      <c r="I9724">
        <f>IF(C9724="C99999",1,0)</f>
        <v/>
      </c>
      <c r="J9724" s="5">
        <f>IF(OR(H9724=1,I9724=1),0,IF(G9724="Credit",-F9724,F9724))</f>
        <v/>
      </c>
    </row>
    <row r="9725">
      <c r="A9725" t="inlineStr">
        <is>
          <t>2026-09-25</t>
        </is>
      </c>
      <c r="B9725" t="inlineStr">
        <is>
          <t>F268662</t>
        </is>
      </c>
      <c r="C9725" t="inlineStr">
        <is>
          <t>C10454</t>
        </is>
      </c>
      <c r="D9725" t="inlineStr">
        <is>
          <t>SKU-10268</t>
        </is>
      </c>
      <c r="E9725" t="inlineStr">
        <is>
          <t>AM12</t>
        </is>
      </c>
      <c r="F9725" s="5" t="n">
        <v>108.56</v>
      </c>
      <c r="G9725">
        <f>IF(LEFT(B9725,1)="C","Credit","Factuur")</f>
        <v/>
      </c>
      <c r="H9725">
        <f>IF(AND(B9725=B9724,D9725=D9724,A9725=A9724,F9725=F9724),1,0)</f>
        <v/>
      </c>
      <c r="I9725">
        <f>IF(C9725="C99999",1,0)</f>
        <v/>
      </c>
      <c r="J9725" s="5">
        <f>IF(OR(H9725=1,I9725=1),0,IF(G9725="Credit",-F9725,F9725))</f>
        <v/>
      </c>
    </row>
    <row r="9726">
      <c r="A9726" t="inlineStr">
        <is>
          <t>2026-09-25</t>
        </is>
      </c>
      <c r="B9726" t="inlineStr">
        <is>
          <t>F268895</t>
        </is>
      </c>
      <c r="C9726" t="inlineStr">
        <is>
          <t>C10463</t>
        </is>
      </c>
      <c r="D9726" t="inlineStr">
        <is>
          <t>SKU-10221</t>
        </is>
      </c>
      <c r="E9726" t="inlineStr"/>
      <c r="F9726" s="5" t="n">
        <v>369.9</v>
      </c>
      <c r="G9726">
        <f>IF(LEFT(B9726,1)="C","Credit","Factuur")</f>
        <v/>
      </c>
      <c r="H9726">
        <f>IF(AND(B9726=B9725,D9726=D9725,A9726=A9725,F9726=F9725),1,0)</f>
        <v/>
      </c>
      <c r="I9726">
        <f>IF(C9726="C99999",1,0)</f>
        <v/>
      </c>
      <c r="J9726" s="5">
        <f>IF(OR(H9726=1,I9726=1),0,IF(G9726="Credit",-F9726,F9726))</f>
        <v/>
      </c>
    </row>
    <row r="9727">
      <c r="A9727" t="inlineStr">
        <is>
          <t>2026-09-25</t>
        </is>
      </c>
      <c r="B9727" t="inlineStr">
        <is>
          <t>F268895</t>
        </is>
      </c>
      <c r="C9727" t="inlineStr">
        <is>
          <t>C10463</t>
        </is>
      </c>
      <c r="D9727" t="inlineStr">
        <is>
          <t>SKU-10262</t>
        </is>
      </c>
      <c r="E9727" t="inlineStr">
        <is>
          <t>AM01</t>
        </is>
      </c>
      <c r="F9727" s="5" t="n">
        <v>331.46</v>
      </c>
      <c r="G9727">
        <f>IF(LEFT(B9727,1)="C","Credit","Factuur")</f>
        <v/>
      </c>
      <c r="H9727">
        <f>IF(AND(B9727=B9726,D9727=D9726,A9727=A9726,F9727=F9726),1,0)</f>
        <v/>
      </c>
      <c r="I9727">
        <f>IF(C9727="C99999",1,0)</f>
        <v/>
      </c>
      <c r="J9727" s="5">
        <f>IF(OR(H9727=1,I9727=1),0,IF(G9727="Credit",-F9727,F9727))</f>
        <v/>
      </c>
    </row>
    <row r="9728">
      <c r="A9728" t="inlineStr">
        <is>
          <t>2026-09-25</t>
        </is>
      </c>
      <c r="B9728" t="inlineStr">
        <is>
          <t>F268895</t>
        </is>
      </c>
      <c r="C9728" t="inlineStr">
        <is>
          <t>C10463</t>
        </is>
      </c>
      <c r="D9728" t="inlineStr">
        <is>
          <t>SKU-10342</t>
        </is>
      </c>
      <c r="E9728" t="inlineStr">
        <is>
          <t>AM01</t>
        </is>
      </c>
      <c r="F9728" s="5" t="n">
        <v>372.68</v>
      </c>
      <c r="G9728">
        <f>IF(LEFT(B9728,1)="C","Credit","Factuur")</f>
        <v/>
      </c>
      <c r="H9728">
        <f>IF(AND(B9728=B9727,D9728=D9727,A9728=A9727,F9728=F9727),1,0)</f>
        <v/>
      </c>
      <c r="I9728">
        <f>IF(C9728="C99999",1,0)</f>
        <v/>
      </c>
      <c r="J9728" s="5">
        <f>IF(OR(H9728=1,I9728=1),0,IF(G9728="Credit",-F9728,F9728))</f>
        <v/>
      </c>
    </row>
    <row r="9729">
      <c r="A9729" t="inlineStr">
        <is>
          <t>2026-09-25</t>
        </is>
      </c>
      <c r="B9729" t="inlineStr">
        <is>
          <t>F269223</t>
        </is>
      </c>
      <c r="C9729" t="inlineStr">
        <is>
          <t>C10485</t>
        </is>
      </c>
      <c r="D9729" t="inlineStr">
        <is>
          <t>SKU-10343</t>
        </is>
      </c>
      <c r="E9729" t="inlineStr">
        <is>
          <t>AM01</t>
        </is>
      </c>
      <c r="F9729" s="5" t="n">
        <v>254.88</v>
      </c>
      <c r="G9729">
        <f>IF(LEFT(B9729,1)="C","Credit","Factuur")</f>
        <v/>
      </c>
      <c r="H9729">
        <f>IF(AND(B9729=B9728,D9729=D9728,A9729=A9728,F9729=F9728),1,0)</f>
        <v/>
      </c>
      <c r="I9729">
        <f>IF(C9729="C99999",1,0)</f>
        <v/>
      </c>
      <c r="J9729" s="5">
        <f>IF(OR(H9729=1,I9729=1),0,IF(G9729="Credit",-F9729,F9729))</f>
        <v/>
      </c>
    </row>
    <row r="9730">
      <c r="A9730" t="inlineStr">
        <is>
          <t>2026-09-25</t>
        </is>
      </c>
      <c r="B9730" t="inlineStr">
        <is>
          <t>F269223</t>
        </is>
      </c>
      <c r="C9730" t="inlineStr">
        <is>
          <t>C10485</t>
        </is>
      </c>
      <c r="D9730" t="inlineStr">
        <is>
          <t>SKU-10351</t>
        </is>
      </c>
      <c r="E9730" t="inlineStr">
        <is>
          <t>AM01</t>
        </is>
      </c>
      <c r="F9730" s="5" t="n">
        <v>636.89</v>
      </c>
      <c r="G9730">
        <f>IF(LEFT(B9730,1)="C","Credit","Factuur")</f>
        <v/>
      </c>
      <c r="H9730">
        <f>IF(AND(B9730=B9729,D9730=D9729,A9730=A9729,F9730=F9729),1,0)</f>
        <v/>
      </c>
      <c r="I9730">
        <f>IF(C9730="C99999",1,0)</f>
        <v/>
      </c>
      <c r="J9730" s="5">
        <f>IF(OR(H9730=1,I9730=1),0,IF(G9730="Credit",-F9730,F9730))</f>
        <v/>
      </c>
    </row>
    <row r="9731">
      <c r="A9731" t="inlineStr">
        <is>
          <t>2026-09-25</t>
        </is>
      </c>
      <c r="B9731" t="inlineStr">
        <is>
          <t>F269320</t>
        </is>
      </c>
      <c r="C9731" t="inlineStr">
        <is>
          <t>C10490</t>
        </is>
      </c>
      <c r="D9731" t="inlineStr">
        <is>
          <t>SKU-10184</t>
        </is>
      </c>
      <c r="E9731" t="inlineStr">
        <is>
          <t>AM02</t>
        </is>
      </c>
      <c r="F9731" s="5" t="n">
        <v>640.72</v>
      </c>
      <c r="G9731">
        <f>IF(LEFT(B9731,1)="C","Credit","Factuur")</f>
        <v/>
      </c>
      <c r="H9731">
        <f>IF(AND(B9731=B9730,D9731=D9730,A9731=A9730,F9731=F9730),1,0)</f>
        <v/>
      </c>
      <c r="I9731">
        <f>IF(C9731="C99999",1,0)</f>
        <v/>
      </c>
      <c r="J9731" s="5">
        <f>IF(OR(H9731=1,I9731=1),0,IF(G9731="Credit",-F9731,F9731))</f>
        <v/>
      </c>
    </row>
    <row r="9732">
      <c r="A9732" t="inlineStr">
        <is>
          <t>2026-09-25</t>
        </is>
      </c>
      <c r="B9732" t="inlineStr">
        <is>
          <t>F269320</t>
        </is>
      </c>
      <c r="C9732" t="inlineStr">
        <is>
          <t>C10490</t>
        </is>
      </c>
      <c r="D9732" t="inlineStr">
        <is>
          <t>SKU-10193</t>
        </is>
      </c>
      <c r="E9732" t="inlineStr">
        <is>
          <t>AM02</t>
        </is>
      </c>
      <c r="F9732" s="5" t="n">
        <v>650.5599999999999</v>
      </c>
      <c r="G9732">
        <f>IF(LEFT(B9732,1)="C","Credit","Factuur")</f>
        <v/>
      </c>
      <c r="H9732">
        <f>IF(AND(B9732=B9731,D9732=D9731,A9732=A9731,F9732=F9731),1,0)</f>
        <v/>
      </c>
      <c r="I9732">
        <f>IF(C9732="C99999",1,0)</f>
        <v/>
      </c>
      <c r="J9732" s="5">
        <f>IF(OR(H9732=1,I9732=1),0,IF(G9732="Credit",-F9732,F9732))</f>
        <v/>
      </c>
    </row>
    <row r="9733">
      <c r="A9733" t="inlineStr">
        <is>
          <t>2026-09-25</t>
        </is>
      </c>
      <c r="B9733" t="inlineStr">
        <is>
          <t>F269320</t>
        </is>
      </c>
      <c r="C9733" t="inlineStr">
        <is>
          <t>C10490</t>
        </is>
      </c>
      <c r="D9733" t="inlineStr">
        <is>
          <t>SKU-10349</t>
        </is>
      </c>
      <c r="E9733" t="inlineStr">
        <is>
          <t>AM02</t>
        </is>
      </c>
      <c r="F9733" s="5" t="n">
        <v>692.9</v>
      </c>
      <c r="G9733">
        <f>IF(LEFT(B9733,1)="C","Credit","Factuur")</f>
        <v/>
      </c>
      <c r="H9733">
        <f>IF(AND(B9733=B9732,D9733=D9732,A9733=A9732,F9733=F9732),1,0)</f>
        <v/>
      </c>
      <c r="I9733">
        <f>IF(C9733="C99999",1,0)</f>
        <v/>
      </c>
      <c r="J9733" s="5">
        <f>IF(OR(H9733=1,I9733=1),0,IF(G9733="Credit",-F9733,F9733))</f>
        <v/>
      </c>
    </row>
    <row r="9734">
      <c r="A9734" t="inlineStr">
        <is>
          <t>2026-09-25</t>
        </is>
      </c>
      <c r="B9734" t="inlineStr">
        <is>
          <t>F269410</t>
        </is>
      </c>
      <c r="C9734" t="inlineStr">
        <is>
          <t>C10493</t>
        </is>
      </c>
      <c r="D9734" t="inlineStr">
        <is>
          <t>SKU-10009</t>
        </is>
      </c>
      <c r="E9734" t="inlineStr">
        <is>
          <t>AM08</t>
        </is>
      </c>
      <c r="F9734" s="5" t="n">
        <v>273.04</v>
      </c>
      <c r="G9734">
        <f>IF(LEFT(B9734,1)="C","Credit","Factuur")</f>
        <v/>
      </c>
      <c r="H9734">
        <f>IF(AND(B9734=B9733,D9734=D9733,A9734=A9733,F9734=F9733),1,0)</f>
        <v/>
      </c>
      <c r="I9734">
        <f>IF(C9734="C99999",1,0)</f>
        <v/>
      </c>
      <c r="J9734" s="5">
        <f>IF(OR(H9734=1,I9734=1),0,IF(G9734="Credit",-F9734,F9734))</f>
        <v/>
      </c>
    </row>
    <row r="9735">
      <c r="A9735" t="inlineStr">
        <is>
          <t>2026-09-25</t>
        </is>
      </c>
      <c r="B9735" t="inlineStr">
        <is>
          <t>F269410</t>
        </is>
      </c>
      <c r="C9735" t="inlineStr">
        <is>
          <t>C10493</t>
        </is>
      </c>
      <c r="D9735" t="inlineStr">
        <is>
          <t>SKU-10011</t>
        </is>
      </c>
      <c r="E9735" t="inlineStr">
        <is>
          <t>AM08</t>
        </is>
      </c>
      <c r="F9735" s="5" t="n">
        <v>257.24</v>
      </c>
      <c r="G9735">
        <f>IF(LEFT(B9735,1)="C","Credit","Factuur")</f>
        <v/>
      </c>
      <c r="H9735">
        <f>IF(AND(B9735=B9734,D9735=D9734,A9735=A9734,F9735=F9734),1,0)</f>
        <v/>
      </c>
      <c r="I9735">
        <f>IF(C9735="C99999",1,0)</f>
        <v/>
      </c>
      <c r="J9735" s="5">
        <f>IF(OR(H9735=1,I9735=1),0,IF(G9735="Credit",-F9735,F9735))</f>
        <v/>
      </c>
    </row>
    <row r="9736">
      <c r="A9736" t="inlineStr">
        <is>
          <t>2026-09-25</t>
        </is>
      </c>
      <c r="B9736" t="inlineStr">
        <is>
          <t>F269410</t>
        </is>
      </c>
      <c r="C9736" t="inlineStr">
        <is>
          <t>C10493</t>
        </is>
      </c>
      <c r="D9736" t="inlineStr">
        <is>
          <t>SKU-10128</t>
        </is>
      </c>
      <c r="E9736" t="inlineStr">
        <is>
          <t>AM08</t>
        </is>
      </c>
      <c r="F9736" s="5" t="n">
        <v>285.68</v>
      </c>
      <c r="G9736">
        <f>IF(LEFT(B9736,1)="C","Credit","Factuur")</f>
        <v/>
      </c>
      <c r="H9736">
        <f>IF(AND(B9736=B9735,D9736=D9735,A9736=A9735,F9736=F9735),1,0)</f>
        <v/>
      </c>
      <c r="I9736">
        <f>IF(C9736="C99999",1,0)</f>
        <v/>
      </c>
      <c r="J9736" s="5">
        <f>IF(OR(H9736=1,I9736=1),0,IF(G9736="Credit",-F9736,F9736))</f>
        <v/>
      </c>
    </row>
    <row r="9737">
      <c r="A9737" t="inlineStr">
        <is>
          <t>2026-09-25</t>
        </is>
      </c>
      <c r="B9737" t="inlineStr">
        <is>
          <t>F269410</t>
        </is>
      </c>
      <c r="C9737" t="inlineStr">
        <is>
          <t>C10493</t>
        </is>
      </c>
      <c r="D9737" t="inlineStr">
        <is>
          <t>SKU-10151</t>
        </is>
      </c>
      <c r="E9737" t="inlineStr">
        <is>
          <t>AM08</t>
        </is>
      </c>
      <c r="F9737" s="5" t="n">
        <v>267.9</v>
      </c>
      <c r="G9737">
        <f>IF(LEFT(B9737,1)="C","Credit","Factuur")</f>
        <v/>
      </c>
      <c r="H9737">
        <f>IF(AND(B9737=B9736,D9737=D9736,A9737=A9736,F9737=F9736),1,0)</f>
        <v/>
      </c>
      <c r="I9737">
        <f>IF(C9737="C99999",1,0)</f>
        <v/>
      </c>
      <c r="J9737" s="5">
        <f>IF(OR(H9737=1,I9737=1),0,IF(G9737="Credit",-F9737,F9737))</f>
        <v/>
      </c>
    </row>
    <row r="9738">
      <c r="A9738" t="inlineStr">
        <is>
          <t>2026-09-25</t>
        </is>
      </c>
      <c r="B9738" t="inlineStr">
        <is>
          <t>F269410</t>
        </is>
      </c>
      <c r="C9738" t="inlineStr">
        <is>
          <t>C10493</t>
        </is>
      </c>
      <c r="D9738" t="inlineStr">
        <is>
          <t>SKU-10374</t>
        </is>
      </c>
      <c r="E9738" t="inlineStr">
        <is>
          <t>AM08</t>
        </is>
      </c>
      <c r="F9738" s="5" t="n">
        <v>218.01</v>
      </c>
      <c r="G9738">
        <f>IF(LEFT(B9738,1)="C","Credit","Factuur")</f>
        <v/>
      </c>
      <c r="H9738">
        <f>IF(AND(B9738=B9737,D9738=D9737,A9738=A9737,F9738=F9737),1,0)</f>
        <v/>
      </c>
      <c r="I9738">
        <f>IF(C9738="C99999",1,0)</f>
        <v/>
      </c>
      <c r="J9738" s="5">
        <f>IF(OR(H9738=1,I9738=1),0,IF(G9738="Credit",-F9738,F9738))</f>
        <v/>
      </c>
    </row>
    <row r="9739">
      <c r="A9739" t="inlineStr">
        <is>
          <t>2026-09-25</t>
        </is>
      </c>
      <c r="B9739" t="inlineStr">
        <is>
          <t>F269590</t>
        </is>
      </c>
      <c r="C9739" t="inlineStr">
        <is>
          <t>C10504</t>
        </is>
      </c>
      <c r="D9739" t="inlineStr">
        <is>
          <t>SKU-10005</t>
        </is>
      </c>
      <c r="E9739" t="inlineStr">
        <is>
          <t>AM03</t>
        </is>
      </c>
      <c r="F9739" s="5" t="n">
        <v>124.2</v>
      </c>
      <c r="G9739">
        <f>IF(LEFT(B9739,1)="C","Credit","Factuur")</f>
        <v/>
      </c>
      <c r="H9739">
        <f>IF(AND(B9739=B9738,D9739=D9738,A9739=A9738,F9739=F9738),1,0)</f>
        <v/>
      </c>
      <c r="I9739">
        <f>IF(C9739="C99999",1,0)</f>
        <v/>
      </c>
      <c r="J9739" s="5">
        <f>IF(OR(H9739=1,I9739=1),0,IF(G9739="Credit",-F9739,F9739))</f>
        <v/>
      </c>
    </row>
    <row r="9740">
      <c r="A9740" t="inlineStr">
        <is>
          <t>2026-09-25</t>
        </is>
      </c>
      <c r="B9740" t="inlineStr">
        <is>
          <t>F269590</t>
        </is>
      </c>
      <c r="C9740" t="inlineStr">
        <is>
          <t>C10504</t>
        </is>
      </c>
      <c r="D9740" t="inlineStr">
        <is>
          <t>SKU-10085</t>
        </is>
      </c>
      <c r="E9740" t="inlineStr">
        <is>
          <t>AM03</t>
        </is>
      </c>
      <c r="F9740" s="5" t="n">
        <v>131.5</v>
      </c>
      <c r="G9740">
        <f>IF(LEFT(B9740,1)="C","Credit","Factuur")</f>
        <v/>
      </c>
      <c r="H9740">
        <f>IF(AND(B9740=B9739,D9740=D9739,A9740=A9739,F9740=F9739),1,0)</f>
        <v/>
      </c>
      <c r="I9740">
        <f>IF(C9740="C99999",1,0)</f>
        <v/>
      </c>
      <c r="J9740" s="5">
        <f>IF(OR(H9740=1,I9740=1),0,IF(G9740="Credit",-F9740,F9740))</f>
        <v/>
      </c>
    </row>
    <row r="9741">
      <c r="A9741" t="inlineStr">
        <is>
          <t>2026-09-25</t>
        </is>
      </c>
      <c r="B9741" t="inlineStr">
        <is>
          <t>F269590</t>
        </is>
      </c>
      <c r="C9741" t="inlineStr">
        <is>
          <t>C10504</t>
        </is>
      </c>
      <c r="D9741" t="inlineStr">
        <is>
          <t>SKU-10141</t>
        </is>
      </c>
      <c r="E9741" t="inlineStr">
        <is>
          <t>AM03</t>
        </is>
      </c>
      <c r="F9741" s="5" t="n">
        <v>106.1</v>
      </c>
      <c r="G9741">
        <f>IF(LEFT(B9741,1)="C","Credit","Factuur")</f>
        <v/>
      </c>
      <c r="H9741">
        <f>IF(AND(B9741=B9740,D9741=D9740,A9741=A9740,F9741=F9740),1,0)</f>
        <v/>
      </c>
      <c r="I9741">
        <f>IF(C9741="C99999",1,0)</f>
        <v/>
      </c>
      <c r="J9741" s="5">
        <f>IF(OR(H9741=1,I9741=1),0,IF(G9741="Credit",-F9741,F9741))</f>
        <v/>
      </c>
    </row>
    <row r="9742">
      <c r="A9742" t="inlineStr">
        <is>
          <t>2026-09-25</t>
        </is>
      </c>
      <c r="B9742" t="inlineStr">
        <is>
          <t>F269735</t>
        </is>
      </c>
      <c r="C9742" t="inlineStr">
        <is>
          <t>C10512</t>
        </is>
      </c>
      <c r="D9742" t="inlineStr">
        <is>
          <t>SKU-10351</t>
        </is>
      </c>
      <c r="E9742" t="inlineStr">
        <is>
          <t>AM12</t>
        </is>
      </c>
      <c r="F9742" s="5" t="n">
        <v>1815.14</v>
      </c>
      <c r="G9742">
        <f>IF(LEFT(B9742,1)="C","Credit","Factuur")</f>
        <v/>
      </c>
      <c r="H9742">
        <f>IF(AND(B9742=B9741,D9742=D9741,A9742=A9741,F9742=F9741),1,0)</f>
        <v/>
      </c>
      <c r="I9742">
        <f>IF(C9742="C99999",1,0)</f>
        <v/>
      </c>
      <c r="J9742" s="5">
        <f>IF(OR(H9742=1,I9742=1),0,IF(G9742="Credit",-F9742,F9742))</f>
        <v/>
      </c>
    </row>
    <row r="9743">
      <c r="A9743" t="inlineStr">
        <is>
          <t>2026-09-25</t>
        </is>
      </c>
      <c r="B9743" t="inlineStr">
        <is>
          <t>F269902</t>
        </is>
      </c>
      <c r="C9743" t="inlineStr">
        <is>
          <t>C10522</t>
        </is>
      </c>
      <c r="D9743" t="inlineStr">
        <is>
          <t>SKU-10191</t>
        </is>
      </c>
      <c r="E9743" t="inlineStr">
        <is>
          <t>AM11</t>
        </is>
      </c>
      <c r="F9743" s="5" t="n">
        <v>124.35</v>
      </c>
      <c r="G9743">
        <f>IF(LEFT(B9743,1)="C","Credit","Factuur")</f>
        <v/>
      </c>
      <c r="H9743">
        <f>IF(AND(B9743=B9742,D9743=D9742,A9743=A9742,F9743=F9742),1,0)</f>
        <v/>
      </c>
      <c r="I9743">
        <f>IF(C9743="C99999",1,0)</f>
        <v/>
      </c>
      <c r="J9743" s="5">
        <f>IF(OR(H9743=1,I9743=1),0,IF(G9743="Credit",-F9743,F9743))</f>
        <v/>
      </c>
    </row>
    <row r="9744">
      <c r="A9744" t="inlineStr">
        <is>
          <t>2026-09-25</t>
        </is>
      </c>
      <c r="B9744" t="inlineStr">
        <is>
          <t>F269902</t>
        </is>
      </c>
      <c r="C9744" t="inlineStr">
        <is>
          <t>C10522</t>
        </is>
      </c>
      <c r="D9744" t="inlineStr">
        <is>
          <t>SKU-10286</t>
        </is>
      </c>
      <c r="E9744" t="inlineStr">
        <is>
          <t>AM11</t>
        </is>
      </c>
      <c r="F9744" s="5" t="n">
        <v>127.75</v>
      </c>
      <c r="G9744">
        <f>IF(LEFT(B9744,1)="C","Credit","Factuur")</f>
        <v/>
      </c>
      <c r="H9744">
        <f>IF(AND(B9744=B9743,D9744=D9743,A9744=A9743,F9744=F9743),1,0)</f>
        <v/>
      </c>
      <c r="I9744">
        <f>IF(C9744="C99999",1,0)</f>
        <v/>
      </c>
      <c r="J9744" s="5">
        <f>IF(OR(H9744=1,I9744=1),0,IF(G9744="Credit",-F9744,F9744))</f>
        <v/>
      </c>
    </row>
    <row r="9745">
      <c r="A9745" t="inlineStr">
        <is>
          <t>2026-09-25</t>
        </is>
      </c>
      <c r="B9745" t="inlineStr">
        <is>
          <t>F269921</t>
        </is>
      </c>
      <c r="C9745" t="inlineStr">
        <is>
          <t>C10522</t>
        </is>
      </c>
      <c r="D9745" t="inlineStr">
        <is>
          <t>SKU-10138</t>
        </is>
      </c>
      <c r="E9745" t="inlineStr">
        <is>
          <t>AM11</t>
        </is>
      </c>
      <c r="F9745" s="5" t="n">
        <v>101.96</v>
      </c>
      <c r="G9745">
        <f>IF(LEFT(B9745,1)="C","Credit","Factuur")</f>
        <v/>
      </c>
      <c r="H9745">
        <f>IF(AND(B9745=B9744,D9745=D9744,A9745=A9744,F9745=F9744),1,0)</f>
        <v/>
      </c>
      <c r="I9745">
        <f>IF(C9745="C99999",1,0)</f>
        <v/>
      </c>
      <c r="J9745" s="5">
        <f>IF(OR(H9745=1,I9745=1),0,IF(G9745="Credit",-F9745,F9745))</f>
        <v/>
      </c>
    </row>
    <row r="9746">
      <c r="A9746" t="inlineStr">
        <is>
          <t>2026-09-25</t>
        </is>
      </c>
      <c r="B9746" t="inlineStr">
        <is>
          <t>F269921</t>
        </is>
      </c>
      <c r="C9746" t="inlineStr">
        <is>
          <t>C10522</t>
        </is>
      </c>
      <c r="D9746" t="inlineStr">
        <is>
          <t>SKU-10149</t>
        </is>
      </c>
      <c r="E9746" t="inlineStr">
        <is>
          <t>AM11</t>
        </is>
      </c>
      <c r="F9746" s="5" t="n">
        <v>72.58</v>
      </c>
      <c r="G9746">
        <f>IF(LEFT(B9746,1)="C","Credit","Factuur")</f>
        <v/>
      </c>
      <c r="H9746">
        <f>IF(AND(B9746=B9745,D9746=D9745,A9746=A9745,F9746=F9745),1,0)</f>
        <v/>
      </c>
      <c r="I9746">
        <f>IF(C9746="C99999",1,0)</f>
        <v/>
      </c>
      <c r="J9746" s="5">
        <f>IF(OR(H9746=1,I9746=1),0,IF(G9746="Credit",-F9746,F9746))</f>
        <v/>
      </c>
    </row>
    <row r="9747">
      <c r="A9747" t="inlineStr">
        <is>
          <t>2026-09-25</t>
        </is>
      </c>
      <c r="B9747" t="inlineStr">
        <is>
          <t>F269921</t>
        </is>
      </c>
      <c r="C9747" t="inlineStr">
        <is>
          <t>C10522</t>
        </is>
      </c>
      <c r="D9747" t="inlineStr">
        <is>
          <t>SKU-10183</t>
        </is>
      </c>
      <c r="E9747" t="inlineStr">
        <is>
          <t>AM11</t>
        </is>
      </c>
      <c r="F9747" s="5" t="n">
        <v>68.5</v>
      </c>
      <c r="G9747">
        <f>IF(LEFT(B9747,1)="C","Credit","Factuur")</f>
        <v/>
      </c>
      <c r="H9747">
        <f>IF(AND(B9747=B9746,D9747=D9746,A9747=A9746,F9747=F9746),1,0)</f>
        <v/>
      </c>
      <c r="I9747">
        <f>IF(C9747="C99999",1,0)</f>
        <v/>
      </c>
      <c r="J9747" s="5">
        <f>IF(OR(H9747=1,I9747=1),0,IF(G9747="Credit",-F9747,F9747))</f>
        <v/>
      </c>
    </row>
    <row r="9748">
      <c r="A9748" t="inlineStr">
        <is>
          <t>2026-09-25</t>
        </is>
      </c>
      <c r="B9748" t="inlineStr">
        <is>
          <t>F269921</t>
        </is>
      </c>
      <c r="C9748" t="inlineStr">
        <is>
          <t>C10522</t>
        </is>
      </c>
      <c r="D9748" t="inlineStr">
        <is>
          <t>SKU-10184</t>
        </is>
      </c>
      <c r="E9748" t="inlineStr">
        <is>
          <t>AM11</t>
        </is>
      </c>
      <c r="F9748" s="5" t="n">
        <v>77.81999999999999</v>
      </c>
      <c r="G9748">
        <f>IF(LEFT(B9748,1)="C","Credit","Factuur")</f>
        <v/>
      </c>
      <c r="H9748">
        <f>IF(AND(B9748=B9747,D9748=D9747,A9748=A9747,F9748=F9747),1,0)</f>
        <v/>
      </c>
      <c r="I9748">
        <f>IF(C9748="C99999",1,0)</f>
        <v/>
      </c>
      <c r="J9748" s="5">
        <f>IF(OR(H9748=1,I9748=1),0,IF(G9748="Credit",-F9748,F9748))</f>
        <v/>
      </c>
    </row>
    <row r="9749">
      <c r="A9749" t="inlineStr">
        <is>
          <t>2026-09-25</t>
        </is>
      </c>
      <c r="B9749" t="inlineStr">
        <is>
          <t>F269921</t>
        </is>
      </c>
      <c r="C9749" t="inlineStr">
        <is>
          <t>C10522</t>
        </is>
      </c>
      <c r="D9749" t="inlineStr">
        <is>
          <t>SKU-10249</t>
        </is>
      </c>
      <c r="E9749" t="inlineStr">
        <is>
          <t>AM11</t>
        </is>
      </c>
      <c r="F9749" s="5" t="n">
        <v>62.2</v>
      </c>
      <c r="G9749">
        <f>IF(LEFT(B9749,1)="C","Credit","Factuur")</f>
        <v/>
      </c>
      <c r="H9749">
        <f>IF(AND(B9749=B9748,D9749=D9748,A9749=A9748,F9749=F9748),1,0)</f>
        <v/>
      </c>
      <c r="I9749">
        <f>IF(C9749="C99999",1,0)</f>
        <v/>
      </c>
      <c r="J9749" s="5">
        <f>IF(OR(H9749=1,I9749=1),0,IF(G9749="Credit",-F9749,F9749))</f>
        <v/>
      </c>
    </row>
    <row r="9750">
      <c r="A9750" t="inlineStr">
        <is>
          <t>2026-09-25</t>
        </is>
      </c>
      <c r="B9750" t="inlineStr">
        <is>
          <t>F269921</t>
        </is>
      </c>
      <c r="C9750" t="inlineStr">
        <is>
          <t>C10522</t>
        </is>
      </c>
      <c r="D9750" t="inlineStr">
        <is>
          <t>SKU-10305</t>
        </is>
      </c>
      <c r="E9750" t="inlineStr">
        <is>
          <t>AM11</t>
        </is>
      </c>
      <c r="F9750" s="5" t="n">
        <v>72.05</v>
      </c>
      <c r="G9750">
        <f>IF(LEFT(B9750,1)="C","Credit","Factuur")</f>
        <v/>
      </c>
      <c r="H9750">
        <f>IF(AND(B9750=B9749,D9750=D9749,A9750=A9749,F9750=F9749),1,0)</f>
        <v/>
      </c>
      <c r="I9750">
        <f>IF(C9750="C99999",1,0)</f>
        <v/>
      </c>
      <c r="J9750" s="5">
        <f>IF(OR(H9750=1,I9750=1),0,IF(G9750="Credit",-F9750,F9750))</f>
        <v/>
      </c>
    </row>
    <row r="9751">
      <c r="A9751" t="inlineStr">
        <is>
          <t>2026-09-25</t>
        </is>
      </c>
      <c r="B9751" t="inlineStr">
        <is>
          <t>F269987</t>
        </is>
      </c>
      <c r="C9751" t="inlineStr">
        <is>
          <t>C10525</t>
        </is>
      </c>
      <c r="D9751" t="inlineStr">
        <is>
          <t>SKU-10049</t>
        </is>
      </c>
      <c r="E9751" t="inlineStr">
        <is>
          <t>AM02</t>
        </is>
      </c>
      <c r="F9751" s="5" t="n">
        <v>584.76</v>
      </c>
      <c r="G9751">
        <f>IF(LEFT(B9751,1)="C","Credit","Factuur")</f>
        <v/>
      </c>
      <c r="H9751">
        <f>IF(AND(B9751=B9750,D9751=D9750,A9751=A9750,F9751=F9750),1,0)</f>
        <v/>
      </c>
      <c r="I9751">
        <f>IF(C9751="C99999",1,0)</f>
        <v/>
      </c>
      <c r="J9751" s="5">
        <f>IF(OR(H9751=1,I9751=1),0,IF(G9751="Credit",-F9751,F9751))</f>
        <v/>
      </c>
    </row>
    <row r="9752">
      <c r="A9752" t="inlineStr">
        <is>
          <t>2026-09-25</t>
        </is>
      </c>
      <c r="B9752" t="inlineStr">
        <is>
          <t>F269987</t>
        </is>
      </c>
      <c r="C9752" t="inlineStr">
        <is>
          <t>C10525</t>
        </is>
      </c>
      <c r="D9752" t="inlineStr">
        <is>
          <t>SKU-10095</t>
        </is>
      </c>
      <c r="E9752" t="inlineStr">
        <is>
          <t>AM02</t>
        </is>
      </c>
      <c r="F9752" s="5" t="n">
        <v>588.05</v>
      </c>
      <c r="G9752">
        <f>IF(LEFT(B9752,1)="C","Credit","Factuur")</f>
        <v/>
      </c>
      <c r="H9752">
        <f>IF(AND(B9752=B9751,D9752=D9751,A9752=A9751,F9752=F9751),1,0)</f>
        <v/>
      </c>
      <c r="I9752">
        <f>IF(C9752="C99999",1,0)</f>
        <v/>
      </c>
      <c r="J9752" s="5">
        <f>IF(OR(H9752=1,I9752=1),0,IF(G9752="Credit",-F9752,F9752))</f>
        <v/>
      </c>
    </row>
    <row r="9753">
      <c r="A9753" t="inlineStr">
        <is>
          <t>2026-09-25</t>
        </is>
      </c>
      <c r="B9753" t="inlineStr">
        <is>
          <t>F269987</t>
        </is>
      </c>
      <c r="C9753" t="inlineStr">
        <is>
          <t>C10525</t>
        </is>
      </c>
      <c r="D9753" t="inlineStr">
        <is>
          <t>SKU-10239</t>
        </is>
      </c>
      <c r="E9753" t="inlineStr">
        <is>
          <t>AM02</t>
        </is>
      </c>
      <c r="F9753" s="5" t="n">
        <v>592.28</v>
      </c>
      <c r="G9753">
        <f>IF(LEFT(B9753,1)="C","Credit","Factuur")</f>
        <v/>
      </c>
      <c r="H9753">
        <f>IF(AND(B9753=B9752,D9753=D9752,A9753=A9752,F9753=F9752),1,0)</f>
        <v/>
      </c>
      <c r="I9753">
        <f>IF(C9753="C99999",1,0)</f>
        <v/>
      </c>
      <c r="J9753" s="5">
        <f>IF(OR(H9753=1,I9753=1),0,IF(G9753="Credit",-F9753,F9753))</f>
        <v/>
      </c>
    </row>
    <row r="9754">
      <c r="A9754" t="inlineStr">
        <is>
          <t>2026-09-25</t>
        </is>
      </c>
      <c r="B9754" t="inlineStr">
        <is>
          <t>F269987</t>
        </is>
      </c>
      <c r="C9754" t="inlineStr">
        <is>
          <t>C10525</t>
        </is>
      </c>
      <c r="D9754" t="inlineStr">
        <is>
          <t>SKU-10309</t>
        </is>
      </c>
      <c r="E9754" t="inlineStr">
        <is>
          <t>AM02</t>
        </is>
      </c>
      <c r="F9754" s="5" t="n">
        <v>510.62</v>
      </c>
      <c r="G9754">
        <f>IF(LEFT(B9754,1)="C","Credit","Factuur")</f>
        <v/>
      </c>
      <c r="H9754">
        <f>IF(AND(B9754=B9753,D9754=D9753,A9754=A9753,F9754=F9753),1,0)</f>
        <v/>
      </c>
      <c r="I9754">
        <f>IF(C9754="C99999",1,0)</f>
        <v/>
      </c>
      <c r="J9754" s="5">
        <f>IF(OR(H9754=1,I9754=1),0,IF(G9754="Credit",-F9754,F9754))</f>
        <v/>
      </c>
    </row>
    <row r="9755">
      <c r="A9755" t="inlineStr">
        <is>
          <t>2026-09-25</t>
        </is>
      </c>
      <c r="B9755" t="inlineStr">
        <is>
          <t>F269987</t>
        </is>
      </c>
      <c r="C9755" t="inlineStr">
        <is>
          <t>C10525</t>
        </is>
      </c>
      <c r="D9755" t="inlineStr">
        <is>
          <t>SKU-10330</t>
        </is>
      </c>
      <c r="E9755" t="inlineStr">
        <is>
          <t>AM02</t>
        </is>
      </c>
      <c r="F9755" s="5" t="n">
        <v>594.09</v>
      </c>
      <c r="G9755">
        <f>IF(LEFT(B9755,1)="C","Credit","Factuur")</f>
        <v/>
      </c>
      <c r="H9755">
        <f>IF(AND(B9755=B9754,D9755=D9754,A9755=A9754,F9755=F9754),1,0)</f>
        <v/>
      </c>
      <c r="I9755">
        <f>IF(C9755="C99999",1,0)</f>
        <v/>
      </c>
      <c r="J9755" s="5">
        <f>IF(OR(H9755=1,I9755=1),0,IF(G9755="Credit",-F9755,F9755))</f>
        <v/>
      </c>
    </row>
    <row r="9756">
      <c r="A9756" t="inlineStr">
        <is>
          <t>2026-09-25</t>
        </is>
      </c>
      <c r="B9756" t="inlineStr">
        <is>
          <t>F269987</t>
        </is>
      </c>
      <c r="C9756" t="inlineStr">
        <is>
          <t>C10525</t>
        </is>
      </c>
      <c r="D9756" t="inlineStr">
        <is>
          <t>SKU-10342</t>
        </is>
      </c>
      <c r="E9756" t="inlineStr">
        <is>
          <t>AM02</t>
        </is>
      </c>
      <c r="F9756" s="5" t="n">
        <v>536.66</v>
      </c>
      <c r="G9756">
        <f>IF(LEFT(B9756,1)="C","Credit","Factuur")</f>
        <v/>
      </c>
      <c r="H9756">
        <f>IF(AND(B9756=B9755,D9756=D9755,A9756=A9755,F9756=F9755),1,0)</f>
        <v/>
      </c>
      <c r="I9756">
        <f>IF(C9756="C99999",1,0)</f>
        <v/>
      </c>
      <c r="J9756" s="5">
        <f>IF(OR(H9756=1,I9756=1),0,IF(G9756="Credit",-F9756,F9756))</f>
        <v/>
      </c>
    </row>
    <row r="9757">
      <c r="A9757" t="inlineStr">
        <is>
          <t>2026-09-25</t>
        </is>
      </c>
      <c r="B9757" t="inlineStr">
        <is>
          <t>F270137</t>
        </is>
      </c>
      <c r="C9757" t="inlineStr">
        <is>
          <t>C10535</t>
        </is>
      </c>
      <c r="D9757" t="inlineStr">
        <is>
          <t>SKU-10036</t>
        </is>
      </c>
      <c r="E9757" t="inlineStr">
        <is>
          <t>IS01</t>
        </is>
      </c>
      <c r="F9757" s="5" t="n">
        <v>44.35</v>
      </c>
      <c r="G9757">
        <f>IF(LEFT(B9757,1)="C","Credit","Factuur")</f>
        <v/>
      </c>
      <c r="H9757">
        <f>IF(AND(B9757=B9756,D9757=D9756,A9757=A9756,F9757=F9756),1,0)</f>
        <v/>
      </c>
      <c r="I9757">
        <f>IF(C9757="C99999",1,0)</f>
        <v/>
      </c>
      <c r="J9757" s="5">
        <f>IF(OR(H9757=1,I9757=1),0,IF(G9757="Credit",-F9757,F9757))</f>
        <v/>
      </c>
    </row>
    <row r="9758">
      <c r="A9758" t="inlineStr">
        <is>
          <t>2026-09-25</t>
        </is>
      </c>
      <c r="B9758" t="inlineStr">
        <is>
          <t>F270137</t>
        </is>
      </c>
      <c r="C9758" t="inlineStr">
        <is>
          <t>C10535</t>
        </is>
      </c>
      <c r="D9758" t="inlineStr">
        <is>
          <t>SKU-10125</t>
        </is>
      </c>
      <c r="E9758" t="inlineStr">
        <is>
          <t>IS01</t>
        </is>
      </c>
      <c r="F9758" s="5" t="n">
        <v>60.73</v>
      </c>
      <c r="G9758">
        <f>IF(LEFT(B9758,1)="C","Credit","Factuur")</f>
        <v/>
      </c>
      <c r="H9758">
        <f>IF(AND(B9758=B9757,D9758=D9757,A9758=A9757,F9758=F9757),1,0)</f>
        <v/>
      </c>
      <c r="I9758">
        <f>IF(C9758="C99999",1,0)</f>
        <v/>
      </c>
      <c r="J9758" s="5">
        <f>IF(OR(H9758=1,I9758=1),0,IF(G9758="Credit",-F9758,F9758))</f>
        <v/>
      </c>
    </row>
    <row r="9759">
      <c r="A9759" t="inlineStr">
        <is>
          <t>2026-09-25</t>
        </is>
      </c>
      <c r="B9759" t="inlineStr">
        <is>
          <t>F270137</t>
        </is>
      </c>
      <c r="C9759" t="inlineStr">
        <is>
          <t>C10535</t>
        </is>
      </c>
      <c r="D9759" t="inlineStr">
        <is>
          <t>SKU-10281</t>
        </is>
      </c>
      <c r="E9759" t="inlineStr">
        <is>
          <t>IS01</t>
        </is>
      </c>
      <c r="F9759" s="5" t="n">
        <v>61.02</v>
      </c>
      <c r="G9759">
        <f>IF(LEFT(B9759,1)="C","Credit","Factuur")</f>
        <v/>
      </c>
      <c r="H9759">
        <f>IF(AND(B9759=B9758,D9759=D9758,A9759=A9758,F9759=F9758),1,0)</f>
        <v/>
      </c>
      <c r="I9759">
        <f>IF(C9759="C99999",1,0)</f>
        <v/>
      </c>
      <c r="J9759" s="5">
        <f>IF(OR(H9759=1,I9759=1),0,IF(G9759="Credit",-F9759,F9759))</f>
        <v/>
      </c>
    </row>
    <row r="9760">
      <c r="A9760" t="inlineStr">
        <is>
          <t>2026-09-25</t>
        </is>
      </c>
      <c r="B9760" t="inlineStr">
        <is>
          <t>F270233</t>
        </is>
      </c>
      <c r="C9760" t="inlineStr">
        <is>
          <t>C10541</t>
        </is>
      </c>
      <c r="D9760" t="inlineStr">
        <is>
          <t>SKU-10297</t>
        </is>
      </c>
      <c r="E9760" t="inlineStr">
        <is>
          <t>AM01</t>
        </is>
      </c>
      <c r="F9760" s="5" t="n">
        <v>283.94</v>
      </c>
      <c r="G9760">
        <f>IF(LEFT(B9760,1)="C","Credit","Factuur")</f>
        <v/>
      </c>
      <c r="H9760">
        <f>IF(AND(B9760=B9759,D9760=D9759,A9760=A9759,F9760=F9759),1,0)</f>
        <v/>
      </c>
      <c r="I9760">
        <f>IF(C9760="C99999",1,0)</f>
        <v/>
      </c>
      <c r="J9760" s="5">
        <f>IF(OR(H9760=1,I9760=1),0,IF(G9760="Credit",-F9760,F9760))</f>
        <v/>
      </c>
    </row>
    <row r="9761">
      <c r="A9761" t="inlineStr">
        <is>
          <t>2026-09-25</t>
        </is>
      </c>
      <c r="B9761" t="inlineStr">
        <is>
          <t>F270703</t>
        </is>
      </c>
      <c r="C9761" t="inlineStr">
        <is>
          <t>C10563</t>
        </is>
      </c>
      <c r="D9761" t="inlineStr">
        <is>
          <t>SKU-10137</t>
        </is>
      </c>
      <c r="E9761" t="inlineStr"/>
      <c r="F9761" s="5" t="n">
        <v>426.14</v>
      </c>
      <c r="G9761">
        <f>IF(LEFT(B9761,1)="C","Credit","Factuur")</f>
        <v/>
      </c>
      <c r="H9761">
        <f>IF(AND(B9761=B9760,D9761=D9760,A9761=A9760,F9761=F9760),1,0)</f>
        <v/>
      </c>
      <c r="I9761">
        <f>IF(C9761="C99999",1,0)</f>
        <v/>
      </c>
      <c r="J9761" s="5">
        <f>IF(OR(H9761=1,I9761=1),0,IF(G9761="Credit",-F9761,F9761))</f>
        <v/>
      </c>
    </row>
    <row r="9762">
      <c r="A9762" t="inlineStr">
        <is>
          <t>2026-09-25</t>
        </is>
      </c>
      <c r="B9762" t="inlineStr">
        <is>
          <t>F270703</t>
        </is>
      </c>
      <c r="C9762" t="inlineStr">
        <is>
          <t>C10563</t>
        </is>
      </c>
      <c r="D9762" t="inlineStr">
        <is>
          <t>SKU-10335</t>
        </is>
      </c>
      <c r="E9762" t="inlineStr">
        <is>
          <t>AM06</t>
        </is>
      </c>
      <c r="F9762" s="5" t="n">
        <v>479.9</v>
      </c>
      <c r="G9762">
        <f>IF(LEFT(B9762,1)="C","Credit","Factuur")</f>
        <v/>
      </c>
      <c r="H9762">
        <f>IF(AND(B9762=B9761,D9762=D9761,A9762=A9761,F9762=F9761),1,0)</f>
        <v/>
      </c>
      <c r="I9762">
        <f>IF(C9762="C99999",1,0)</f>
        <v/>
      </c>
      <c r="J9762" s="5">
        <f>IF(OR(H9762=1,I9762=1),0,IF(G9762="Credit",-F9762,F9762))</f>
        <v/>
      </c>
    </row>
    <row r="9763">
      <c r="A9763" t="inlineStr">
        <is>
          <t>2026-09-25</t>
        </is>
      </c>
      <c r="B9763" t="inlineStr">
        <is>
          <t>F270703</t>
        </is>
      </c>
      <c r="C9763" t="inlineStr">
        <is>
          <t>C10563</t>
        </is>
      </c>
      <c r="D9763" t="inlineStr">
        <is>
          <t>SKU-10367</t>
        </is>
      </c>
      <c r="E9763" t="inlineStr">
        <is>
          <t>AM06</t>
        </is>
      </c>
      <c r="F9763" s="5" t="n">
        <v>574.35</v>
      </c>
      <c r="G9763">
        <f>IF(LEFT(B9763,1)="C","Credit","Factuur")</f>
        <v/>
      </c>
      <c r="H9763">
        <f>IF(AND(B9763=B9762,D9763=D9762,A9763=A9762,F9763=F9762),1,0)</f>
        <v/>
      </c>
      <c r="I9763">
        <f>IF(C9763="C99999",1,0)</f>
        <v/>
      </c>
      <c r="J9763" s="5">
        <f>IF(OR(H9763=1,I9763=1),0,IF(G9763="Credit",-F9763,F9763))</f>
        <v/>
      </c>
    </row>
    <row r="9764">
      <c r="A9764" t="inlineStr">
        <is>
          <t>2026-09-25</t>
        </is>
      </c>
      <c r="B9764" t="inlineStr">
        <is>
          <t>F270916</t>
        </is>
      </c>
      <c r="C9764" t="inlineStr">
        <is>
          <t>C10571</t>
        </is>
      </c>
      <c r="D9764" t="inlineStr">
        <is>
          <t>SKU-10038</t>
        </is>
      </c>
      <c r="E9764" t="inlineStr"/>
      <c r="F9764" s="5" t="n">
        <v>427.77</v>
      </c>
      <c r="G9764">
        <f>IF(LEFT(B9764,1)="C","Credit","Factuur")</f>
        <v/>
      </c>
      <c r="H9764">
        <f>IF(AND(B9764=B9763,D9764=D9763,A9764=A9763,F9764=F9763),1,0)</f>
        <v/>
      </c>
      <c r="I9764">
        <f>IF(C9764="C99999",1,0)</f>
        <v/>
      </c>
      <c r="J9764" s="5">
        <f>IF(OR(H9764=1,I9764=1),0,IF(G9764="Credit",-F9764,F9764))</f>
        <v/>
      </c>
    </row>
    <row r="9765">
      <c r="A9765" t="inlineStr">
        <is>
          <t>2026-09-25</t>
        </is>
      </c>
      <c r="B9765" t="inlineStr">
        <is>
          <t>F270916</t>
        </is>
      </c>
      <c r="C9765" t="inlineStr">
        <is>
          <t>C10571</t>
        </is>
      </c>
      <c r="D9765" t="inlineStr">
        <is>
          <t>SKU-10114</t>
        </is>
      </c>
      <c r="E9765" t="inlineStr">
        <is>
          <t>AM11</t>
        </is>
      </c>
      <c r="F9765" s="5" t="n">
        <v>428.48</v>
      </c>
      <c r="G9765">
        <f>IF(LEFT(B9765,1)="C","Credit","Factuur")</f>
        <v/>
      </c>
      <c r="H9765">
        <f>IF(AND(B9765=B9764,D9765=D9764,A9765=A9764,F9765=F9764),1,0)</f>
        <v/>
      </c>
      <c r="I9765">
        <f>IF(C9765="C99999",1,0)</f>
        <v/>
      </c>
      <c r="J9765" s="5">
        <f>IF(OR(H9765=1,I9765=1),0,IF(G9765="Credit",-F9765,F9765))</f>
        <v/>
      </c>
    </row>
    <row r="9766">
      <c r="A9766" t="inlineStr">
        <is>
          <t>2026-09-25</t>
        </is>
      </c>
      <c r="B9766" t="inlineStr">
        <is>
          <t>F270916</t>
        </is>
      </c>
      <c r="C9766" t="inlineStr">
        <is>
          <t>C10571</t>
        </is>
      </c>
      <c r="D9766" t="inlineStr">
        <is>
          <t>SKU-10184</t>
        </is>
      </c>
      <c r="E9766" t="inlineStr">
        <is>
          <t>AM11</t>
        </is>
      </c>
      <c r="F9766" s="5" t="n">
        <v>440.98</v>
      </c>
      <c r="G9766">
        <f>IF(LEFT(B9766,1)="C","Credit","Factuur")</f>
        <v/>
      </c>
      <c r="H9766">
        <f>IF(AND(B9766=B9765,D9766=D9765,A9766=A9765,F9766=F9765),1,0)</f>
        <v/>
      </c>
      <c r="I9766">
        <f>IF(C9766="C99999",1,0)</f>
        <v/>
      </c>
      <c r="J9766" s="5">
        <f>IF(OR(H9766=1,I9766=1),0,IF(G9766="Credit",-F9766,F9766))</f>
        <v/>
      </c>
    </row>
    <row r="9767">
      <c r="A9767" t="inlineStr">
        <is>
          <t>2026-09-25</t>
        </is>
      </c>
      <c r="B9767" t="inlineStr">
        <is>
          <t>F271064</t>
        </is>
      </c>
      <c r="C9767" t="inlineStr">
        <is>
          <t>C10576</t>
        </is>
      </c>
      <c r="D9767" t="inlineStr">
        <is>
          <t>SKU-10124</t>
        </is>
      </c>
      <c r="E9767" t="inlineStr">
        <is>
          <t>AM08</t>
        </is>
      </c>
      <c r="F9767" s="5" t="n">
        <v>887.0700000000001</v>
      </c>
      <c r="G9767">
        <f>IF(LEFT(B9767,1)="C","Credit","Factuur")</f>
        <v/>
      </c>
      <c r="H9767">
        <f>IF(AND(B9767=B9766,D9767=D9766,A9767=A9766,F9767=F9766),1,0)</f>
        <v/>
      </c>
      <c r="I9767">
        <f>IF(C9767="C99999",1,0)</f>
        <v/>
      </c>
      <c r="J9767" s="5">
        <f>IF(OR(H9767=1,I9767=1),0,IF(G9767="Credit",-F9767,F9767))</f>
        <v/>
      </c>
    </row>
    <row r="9768">
      <c r="A9768" t="inlineStr">
        <is>
          <t>2026-09-25</t>
        </is>
      </c>
      <c r="B9768" t="inlineStr">
        <is>
          <t>F271514</t>
        </is>
      </c>
      <c r="C9768" t="inlineStr">
        <is>
          <t>C10595</t>
        </is>
      </c>
      <c r="D9768" t="inlineStr">
        <is>
          <t>SKU-10287</t>
        </is>
      </c>
      <c r="E9768" t="inlineStr">
        <is>
          <t>AM01</t>
        </is>
      </c>
      <c r="F9768" s="5" t="n">
        <v>314.65</v>
      </c>
      <c r="G9768">
        <f>IF(LEFT(B9768,1)="C","Credit","Factuur")</f>
        <v/>
      </c>
      <c r="H9768">
        <f>IF(AND(B9768=B9767,D9768=D9767,A9768=A9767,F9768=F9767),1,0)</f>
        <v/>
      </c>
      <c r="I9768">
        <f>IF(C9768="C99999",1,0)</f>
        <v/>
      </c>
      <c r="J9768" s="5">
        <f>IF(OR(H9768=1,I9768=1),0,IF(G9768="Credit",-F9768,F9768))</f>
        <v/>
      </c>
    </row>
    <row r="9769">
      <c r="A9769" t="inlineStr">
        <is>
          <t>2026-09-25</t>
        </is>
      </c>
      <c r="B9769" t="inlineStr">
        <is>
          <t>F271514</t>
        </is>
      </c>
      <c r="C9769" t="inlineStr">
        <is>
          <t>C10595</t>
        </is>
      </c>
      <c r="D9769" t="inlineStr">
        <is>
          <t>SKU-10325</t>
        </is>
      </c>
      <c r="E9769" t="inlineStr">
        <is>
          <t>AM01</t>
        </is>
      </c>
      <c r="F9769" s="5" t="n">
        <v>329.7</v>
      </c>
      <c r="G9769">
        <f>IF(LEFT(B9769,1)="C","Credit","Factuur")</f>
        <v/>
      </c>
      <c r="H9769">
        <f>IF(AND(B9769=B9768,D9769=D9768,A9769=A9768,F9769=F9768),1,0)</f>
        <v/>
      </c>
      <c r="I9769">
        <f>IF(C9769="C99999",1,0)</f>
        <v/>
      </c>
      <c r="J9769" s="5">
        <f>IF(OR(H9769=1,I9769=1),0,IF(G9769="Credit",-F9769,F9769))</f>
        <v/>
      </c>
    </row>
    <row r="9770">
      <c r="A9770" t="inlineStr">
        <is>
          <t>2026-09-25</t>
        </is>
      </c>
      <c r="B9770" t="inlineStr">
        <is>
          <t>F271514</t>
        </is>
      </c>
      <c r="C9770" t="inlineStr">
        <is>
          <t>C10595</t>
        </is>
      </c>
      <c r="D9770" t="inlineStr">
        <is>
          <t>SKU-10333</t>
        </is>
      </c>
      <c r="E9770" t="inlineStr">
        <is>
          <t>AM01</t>
        </is>
      </c>
      <c r="F9770" s="5" t="n">
        <v>348.48</v>
      </c>
      <c r="G9770">
        <f>IF(LEFT(B9770,1)="C","Credit","Factuur")</f>
        <v/>
      </c>
      <c r="H9770">
        <f>IF(AND(B9770=B9769,D9770=D9769,A9770=A9769,F9770=F9769),1,0)</f>
        <v/>
      </c>
      <c r="I9770">
        <f>IF(C9770="C99999",1,0)</f>
        <v/>
      </c>
      <c r="J9770" s="5">
        <f>IF(OR(H9770=1,I9770=1),0,IF(G9770="Credit",-F9770,F9770))</f>
        <v/>
      </c>
    </row>
    <row r="9771">
      <c r="A9771" t="inlineStr">
        <is>
          <t>2026-09-25</t>
        </is>
      </c>
      <c r="B9771" t="inlineStr">
        <is>
          <t>F271514</t>
        </is>
      </c>
      <c r="C9771" t="inlineStr">
        <is>
          <t>C10595</t>
        </is>
      </c>
      <c r="D9771" t="inlineStr">
        <is>
          <t>SKU-10334</t>
        </is>
      </c>
      <c r="E9771" t="inlineStr">
        <is>
          <t>AM01</t>
        </is>
      </c>
      <c r="F9771" s="5" t="n">
        <v>325.86</v>
      </c>
      <c r="G9771">
        <f>IF(LEFT(B9771,1)="C","Credit","Factuur")</f>
        <v/>
      </c>
      <c r="H9771">
        <f>IF(AND(B9771=B9770,D9771=D9770,A9771=A9770,F9771=F9770),1,0)</f>
        <v/>
      </c>
      <c r="I9771">
        <f>IF(C9771="C99999",1,0)</f>
        <v/>
      </c>
      <c r="J9771" s="5">
        <f>IF(OR(H9771=1,I9771=1),0,IF(G9771="Credit",-F9771,F9771))</f>
        <v/>
      </c>
    </row>
    <row r="9772">
      <c r="A9772" t="inlineStr">
        <is>
          <t>2026-09-25</t>
        </is>
      </c>
      <c r="B9772" t="inlineStr">
        <is>
          <t>F271635</t>
        </is>
      </c>
      <c r="C9772" t="inlineStr">
        <is>
          <t>C10598</t>
        </is>
      </c>
      <c r="D9772" t="inlineStr">
        <is>
          <t>SKU-10112</t>
        </is>
      </c>
      <c r="E9772" t="inlineStr">
        <is>
          <t>AM03</t>
        </is>
      </c>
      <c r="F9772" s="5" t="n">
        <v>93.48</v>
      </c>
      <c r="G9772">
        <f>IF(LEFT(B9772,1)="C","Credit","Factuur")</f>
        <v/>
      </c>
      <c r="H9772">
        <f>IF(AND(B9772=B9771,D9772=D9771,A9772=A9771,F9772=F9771),1,0)</f>
        <v/>
      </c>
      <c r="I9772">
        <f>IF(C9772="C99999",1,0)</f>
        <v/>
      </c>
      <c r="J9772" s="5">
        <f>IF(OR(H9772=1,I9772=1),0,IF(G9772="Credit",-F9772,F9772))</f>
        <v/>
      </c>
    </row>
    <row r="9773">
      <c r="A9773" t="inlineStr">
        <is>
          <t>2026-09-25</t>
        </is>
      </c>
      <c r="B9773" t="inlineStr">
        <is>
          <t>F271635</t>
        </is>
      </c>
      <c r="C9773" t="inlineStr">
        <is>
          <t>C10598</t>
        </is>
      </c>
      <c r="D9773" t="inlineStr">
        <is>
          <t>SKU-10124</t>
        </is>
      </c>
      <c r="E9773" t="inlineStr">
        <is>
          <t>AM03</t>
        </is>
      </c>
      <c r="F9773" s="5" t="n">
        <v>21.84</v>
      </c>
      <c r="G9773">
        <f>IF(LEFT(B9773,1)="C","Credit","Factuur")</f>
        <v/>
      </c>
      <c r="H9773">
        <f>IF(AND(B9773=B9772,D9773=D9772,A9773=A9772,F9773=F9772),1,0)</f>
        <v/>
      </c>
      <c r="I9773">
        <f>IF(C9773="C99999",1,0)</f>
        <v/>
      </c>
      <c r="J9773" s="5">
        <f>IF(OR(H9773=1,I9773=1),0,IF(G9773="Credit",-F9773,F9773))</f>
        <v/>
      </c>
    </row>
    <row r="9774">
      <c r="A9774" t="inlineStr">
        <is>
          <t>2026-09-25</t>
        </is>
      </c>
      <c r="B9774" t="inlineStr">
        <is>
          <t>F271635</t>
        </is>
      </c>
      <c r="C9774" t="inlineStr">
        <is>
          <t>C10598</t>
        </is>
      </c>
      <c r="D9774" t="inlineStr">
        <is>
          <t>SKU-10188</t>
        </is>
      </c>
      <c r="E9774" t="inlineStr">
        <is>
          <t>AM03</t>
        </is>
      </c>
      <c r="F9774" s="5" t="n">
        <v>24.42</v>
      </c>
      <c r="G9774">
        <f>IF(LEFT(B9774,1)="C","Credit","Factuur")</f>
        <v/>
      </c>
      <c r="H9774">
        <f>IF(AND(B9774=B9773,D9774=D9773,A9774=A9773,F9774=F9773),1,0)</f>
        <v/>
      </c>
      <c r="I9774">
        <f>IF(C9774="C99999",1,0)</f>
        <v/>
      </c>
      <c r="J9774" s="5">
        <f>IF(OR(H9774=1,I9774=1),0,IF(G9774="Credit",-F9774,F9774))</f>
        <v/>
      </c>
    </row>
    <row r="9775">
      <c r="A9775" t="inlineStr">
        <is>
          <t>2026-09-25</t>
        </is>
      </c>
      <c r="B9775" t="inlineStr">
        <is>
          <t>F271635</t>
        </is>
      </c>
      <c r="C9775" t="inlineStr">
        <is>
          <t>C10598</t>
        </is>
      </c>
      <c r="D9775" t="inlineStr">
        <is>
          <t>SKU-10275</t>
        </is>
      </c>
      <c r="E9775" t="inlineStr">
        <is>
          <t>AM03</t>
        </is>
      </c>
      <c r="F9775" s="5" t="n">
        <v>34.66</v>
      </c>
      <c r="G9775">
        <f>IF(LEFT(B9775,1)="C","Credit","Factuur")</f>
        <v/>
      </c>
      <c r="H9775">
        <f>IF(AND(B9775=B9774,D9775=D9774,A9775=A9774,F9775=F9774),1,0)</f>
        <v/>
      </c>
      <c r="I9775">
        <f>IF(C9775="C99999",1,0)</f>
        <v/>
      </c>
      <c r="J9775" s="5">
        <f>IF(OR(H9775=1,I9775=1),0,IF(G9775="Credit",-F9775,F9775))</f>
        <v/>
      </c>
    </row>
    <row r="9776">
      <c r="A9776" t="inlineStr">
        <is>
          <t>2026-09-25</t>
        </is>
      </c>
      <c r="B9776" t="inlineStr">
        <is>
          <t>F271635</t>
        </is>
      </c>
      <c r="C9776" t="inlineStr">
        <is>
          <t>C10598</t>
        </is>
      </c>
      <c r="D9776" t="inlineStr">
        <is>
          <t>SKU-10292</t>
        </is>
      </c>
      <c r="E9776" t="inlineStr">
        <is>
          <t>AM03</t>
        </is>
      </c>
      <c r="F9776" s="5" t="n">
        <v>24.24</v>
      </c>
      <c r="G9776">
        <f>IF(LEFT(B9776,1)="C","Credit","Factuur")</f>
        <v/>
      </c>
      <c r="H9776">
        <f>IF(AND(B9776=B9775,D9776=D9775,A9776=A9775,F9776=F9775),1,0)</f>
        <v/>
      </c>
      <c r="I9776">
        <f>IF(C9776="C99999",1,0)</f>
        <v/>
      </c>
      <c r="J9776" s="5">
        <f>IF(OR(H9776=1,I9776=1),0,IF(G9776="Credit",-F9776,F9776))</f>
        <v/>
      </c>
    </row>
    <row r="9777">
      <c r="A9777" t="inlineStr">
        <is>
          <t>2026-09-25</t>
        </is>
      </c>
      <c r="B9777" t="inlineStr">
        <is>
          <t>F271635</t>
        </is>
      </c>
      <c r="C9777" t="inlineStr">
        <is>
          <t>C10598</t>
        </is>
      </c>
      <c r="D9777" t="inlineStr">
        <is>
          <t>SKU-10305</t>
        </is>
      </c>
      <c r="E9777" t="inlineStr">
        <is>
          <t>AM03</t>
        </is>
      </c>
      <c r="F9777" s="5" t="n">
        <v>32.75</v>
      </c>
      <c r="G9777">
        <f>IF(LEFT(B9777,1)="C","Credit","Factuur")</f>
        <v/>
      </c>
      <c r="H9777">
        <f>IF(AND(B9777=B9776,D9777=D9776,A9777=A9776,F9777=F9776),1,0)</f>
        <v/>
      </c>
      <c r="I9777">
        <f>IF(C9777="C99999",1,0)</f>
        <v/>
      </c>
      <c r="J9777" s="5">
        <f>IF(OR(H9777=1,I9777=1),0,IF(G9777="Credit",-F9777,F9777))</f>
        <v/>
      </c>
    </row>
    <row r="9778">
      <c r="A9778" t="inlineStr">
        <is>
          <t>2026-09-25</t>
        </is>
      </c>
      <c r="B9778" t="inlineStr">
        <is>
          <t>F271677</t>
        </is>
      </c>
      <c r="C9778" t="inlineStr">
        <is>
          <t>C10601</t>
        </is>
      </c>
      <c r="D9778" t="inlineStr">
        <is>
          <t>SKU-10130</t>
        </is>
      </c>
      <c r="E9778" t="inlineStr">
        <is>
          <t>AM09</t>
        </is>
      </c>
      <c r="F9778" s="5" t="n">
        <v>10255.01</v>
      </c>
      <c r="G9778">
        <f>IF(LEFT(B9778,1)="C","Credit","Factuur")</f>
        <v/>
      </c>
      <c r="H9778">
        <f>IF(AND(B9778=B9777,D9778=D9777,A9778=A9777,F9778=F9777),1,0)</f>
        <v/>
      </c>
      <c r="I9778">
        <f>IF(C9778="C99999",1,0)</f>
        <v/>
      </c>
      <c r="J9778" s="5">
        <f>IF(OR(H9778=1,I9778=1),0,IF(G9778="Credit",-F9778,F9778))</f>
        <v/>
      </c>
    </row>
    <row r="9779">
      <c r="A9779" t="inlineStr">
        <is>
          <t>2026-09-25</t>
        </is>
      </c>
      <c r="B9779" t="inlineStr">
        <is>
          <t>F271893</t>
        </is>
      </c>
      <c r="C9779" t="inlineStr">
        <is>
          <t>C10613</t>
        </is>
      </c>
      <c r="D9779" t="inlineStr">
        <is>
          <t>SKU-10124</t>
        </is>
      </c>
      <c r="E9779" t="inlineStr">
        <is>
          <t>AM11</t>
        </is>
      </c>
      <c r="F9779" s="5" t="n">
        <v>438.07</v>
      </c>
      <c r="G9779">
        <f>IF(LEFT(B9779,1)="C","Credit","Factuur")</f>
        <v/>
      </c>
      <c r="H9779">
        <f>IF(AND(B9779=B9778,D9779=D9778,A9779=A9778,F9779=F9778),1,0)</f>
        <v/>
      </c>
      <c r="I9779">
        <f>IF(C9779="C99999",1,0)</f>
        <v/>
      </c>
      <c r="J9779" s="5">
        <f>IF(OR(H9779=1,I9779=1),0,IF(G9779="Credit",-F9779,F9779))</f>
        <v/>
      </c>
    </row>
    <row r="9780">
      <c r="A9780" t="inlineStr">
        <is>
          <t>2026-09-25</t>
        </is>
      </c>
      <c r="B9780" t="inlineStr">
        <is>
          <t>F271893</t>
        </is>
      </c>
      <c r="C9780" t="inlineStr">
        <is>
          <t>C10613</t>
        </is>
      </c>
      <c r="D9780" t="inlineStr">
        <is>
          <t>SKU-10137</t>
        </is>
      </c>
      <c r="E9780" t="inlineStr">
        <is>
          <t>AM11</t>
        </is>
      </c>
      <c r="F9780" s="5" t="n">
        <v>460.04</v>
      </c>
      <c r="G9780">
        <f>IF(LEFT(B9780,1)="C","Credit","Factuur")</f>
        <v/>
      </c>
      <c r="H9780">
        <f>IF(AND(B9780=B9779,D9780=D9779,A9780=A9779,F9780=F9779),1,0)</f>
        <v/>
      </c>
      <c r="I9780">
        <f>IF(C9780="C99999",1,0)</f>
        <v/>
      </c>
      <c r="J9780" s="5">
        <f>IF(OR(H9780=1,I9780=1),0,IF(G9780="Credit",-F9780,F9780))</f>
        <v/>
      </c>
    </row>
    <row r="9781">
      <c r="A9781" t="inlineStr">
        <is>
          <t>2026-09-25</t>
        </is>
      </c>
      <c r="B9781" t="inlineStr">
        <is>
          <t>F271893</t>
        </is>
      </c>
      <c r="C9781" t="inlineStr">
        <is>
          <t>C10613</t>
        </is>
      </c>
      <c r="D9781" t="inlineStr">
        <is>
          <t>SKU-10318</t>
        </is>
      </c>
      <c r="E9781" t="inlineStr">
        <is>
          <t>AM11</t>
        </is>
      </c>
      <c r="F9781" s="5" t="n">
        <v>468.05</v>
      </c>
      <c r="G9781">
        <f>IF(LEFT(B9781,1)="C","Credit","Factuur")</f>
        <v/>
      </c>
      <c r="H9781">
        <f>IF(AND(B9781=B9780,D9781=D9780,A9781=A9780,F9781=F9780),1,0)</f>
        <v/>
      </c>
      <c r="I9781">
        <f>IF(C9781="C99999",1,0)</f>
        <v/>
      </c>
      <c r="J9781" s="5">
        <f>IF(OR(H9781=1,I9781=1),0,IF(G9781="Credit",-F9781,F9781))</f>
        <v/>
      </c>
    </row>
    <row r="9782">
      <c r="A9782" t="inlineStr">
        <is>
          <t>2026-09-25</t>
        </is>
      </c>
      <c r="B9782" t="inlineStr">
        <is>
          <t>F271893</t>
        </is>
      </c>
      <c r="C9782" t="inlineStr">
        <is>
          <t>C10613</t>
        </is>
      </c>
      <c r="D9782" t="inlineStr">
        <is>
          <t>SKU-10349</t>
        </is>
      </c>
      <c r="E9782" t="inlineStr">
        <is>
          <t>AM11</t>
        </is>
      </c>
      <c r="F9782" s="5" t="n">
        <v>485.03</v>
      </c>
      <c r="G9782">
        <f>IF(LEFT(B9782,1)="C","Credit","Factuur")</f>
        <v/>
      </c>
      <c r="H9782">
        <f>IF(AND(B9782=B9781,D9782=D9781,A9782=A9781,F9782=F9781),1,0)</f>
        <v/>
      </c>
      <c r="I9782">
        <f>IF(C9782="C99999",1,0)</f>
        <v/>
      </c>
      <c r="J9782" s="5">
        <f>IF(OR(H9782=1,I9782=1),0,IF(G9782="Credit",-F9782,F9782))</f>
        <v/>
      </c>
    </row>
    <row r="9783">
      <c r="A9783" t="inlineStr">
        <is>
          <t>2026-09-25</t>
        </is>
      </c>
      <c r="B9783" t="inlineStr">
        <is>
          <t>F271914</t>
        </is>
      </c>
      <c r="C9783" t="inlineStr">
        <is>
          <t>C10614</t>
        </is>
      </c>
      <c r="D9783" t="inlineStr">
        <is>
          <t>SKU-10026</t>
        </is>
      </c>
      <c r="E9783" t="inlineStr">
        <is>
          <t>AM01</t>
        </is>
      </c>
      <c r="F9783" s="5" t="n">
        <v>617.7</v>
      </c>
      <c r="G9783">
        <f>IF(LEFT(B9783,1)="C","Credit","Factuur")</f>
        <v/>
      </c>
      <c r="H9783">
        <f>IF(AND(B9783=B9782,D9783=D9782,A9783=A9782,F9783=F9782),1,0)</f>
        <v/>
      </c>
      <c r="I9783">
        <f>IF(C9783="C99999",1,0)</f>
        <v/>
      </c>
      <c r="J9783" s="5">
        <f>IF(OR(H9783=1,I9783=1),0,IF(G9783="Credit",-F9783,F9783))</f>
        <v/>
      </c>
    </row>
    <row r="9784">
      <c r="A9784" t="inlineStr">
        <is>
          <t>2026-09-25</t>
        </is>
      </c>
      <c r="B9784" t="inlineStr">
        <is>
          <t>F271914</t>
        </is>
      </c>
      <c r="C9784" t="inlineStr">
        <is>
          <t>C10614</t>
        </is>
      </c>
      <c r="D9784" t="inlineStr">
        <is>
          <t>SKU-10046</t>
        </is>
      </c>
      <c r="E9784" t="inlineStr">
        <is>
          <t>AM01</t>
        </is>
      </c>
      <c r="F9784" s="5" t="n">
        <v>615.42</v>
      </c>
      <c r="G9784">
        <f>IF(LEFT(B9784,1)="C","Credit","Factuur")</f>
        <v/>
      </c>
      <c r="H9784">
        <f>IF(AND(B9784=B9783,D9784=D9783,A9784=A9783,F9784=F9783),1,0)</f>
        <v/>
      </c>
      <c r="I9784">
        <f>IF(C9784="C99999",1,0)</f>
        <v/>
      </c>
      <c r="J9784" s="5">
        <f>IF(OR(H9784=1,I9784=1),0,IF(G9784="Credit",-F9784,F9784))</f>
        <v/>
      </c>
    </row>
    <row r="9785">
      <c r="A9785" t="inlineStr">
        <is>
          <t>2026-09-25</t>
        </is>
      </c>
      <c r="B9785" t="inlineStr">
        <is>
          <t>F271914</t>
        </is>
      </c>
      <c r="C9785" t="inlineStr">
        <is>
          <t>C10614</t>
        </is>
      </c>
      <c r="D9785" t="inlineStr">
        <is>
          <t>SKU-10317</t>
        </is>
      </c>
      <c r="E9785" t="inlineStr">
        <is>
          <t>AM01</t>
        </is>
      </c>
      <c r="F9785" s="5" t="n">
        <v>609.62</v>
      </c>
      <c r="G9785">
        <f>IF(LEFT(B9785,1)="C","Credit","Factuur")</f>
        <v/>
      </c>
      <c r="H9785">
        <f>IF(AND(B9785=B9784,D9785=D9784,A9785=A9784,F9785=F9784),1,0)</f>
        <v/>
      </c>
      <c r="I9785">
        <f>IF(C9785="C99999",1,0)</f>
        <v/>
      </c>
      <c r="J9785" s="5">
        <f>IF(OR(H9785=1,I9785=1),0,IF(G9785="Credit",-F9785,F9785))</f>
        <v/>
      </c>
    </row>
    <row r="9786">
      <c r="A9786" t="inlineStr">
        <is>
          <t>2026-09-25</t>
        </is>
      </c>
      <c r="B9786" t="inlineStr">
        <is>
          <t>F272033</t>
        </is>
      </c>
      <c r="C9786" t="inlineStr">
        <is>
          <t>C10620</t>
        </is>
      </c>
      <c r="D9786" t="inlineStr">
        <is>
          <t>SKU-10040</t>
        </is>
      </c>
      <c r="E9786" t="inlineStr">
        <is>
          <t>AM03</t>
        </is>
      </c>
      <c r="F9786" s="5" t="n">
        <v>120.16</v>
      </c>
      <c r="G9786">
        <f>IF(LEFT(B9786,1)="C","Credit","Factuur")</f>
        <v/>
      </c>
      <c r="H9786">
        <f>IF(AND(B9786=B9785,D9786=D9785,A9786=A9785,F9786=F9785),1,0)</f>
        <v/>
      </c>
      <c r="I9786">
        <f>IF(C9786="C99999",1,0)</f>
        <v/>
      </c>
      <c r="J9786" s="5">
        <f>IF(OR(H9786=1,I9786=1),0,IF(G9786="Credit",-F9786,F9786))</f>
        <v/>
      </c>
    </row>
    <row r="9787">
      <c r="A9787" t="inlineStr">
        <is>
          <t>2026-09-25</t>
        </is>
      </c>
      <c r="B9787" t="inlineStr">
        <is>
          <t>F272033</t>
        </is>
      </c>
      <c r="C9787" t="inlineStr">
        <is>
          <t>C10620</t>
        </is>
      </c>
      <c r="D9787" t="inlineStr">
        <is>
          <t>SKU-10093</t>
        </is>
      </c>
      <c r="E9787" t="inlineStr">
        <is>
          <t>AM03</t>
        </is>
      </c>
      <c r="F9787" s="5" t="n">
        <v>96.89</v>
      </c>
      <c r="G9787">
        <f>IF(LEFT(B9787,1)="C","Credit","Factuur")</f>
        <v/>
      </c>
      <c r="H9787">
        <f>IF(AND(B9787=B9786,D9787=D9786,A9787=A9786,F9787=F9786),1,0)</f>
        <v/>
      </c>
      <c r="I9787">
        <f>IF(C9787="C99999",1,0)</f>
        <v/>
      </c>
      <c r="J9787" s="5">
        <f>IF(OR(H9787=1,I9787=1),0,IF(G9787="Credit",-F9787,F9787))</f>
        <v/>
      </c>
    </row>
    <row r="9788">
      <c r="A9788" t="inlineStr">
        <is>
          <t>2026-09-25</t>
        </is>
      </c>
      <c r="B9788" t="inlineStr">
        <is>
          <t>F272033</t>
        </is>
      </c>
      <c r="C9788" t="inlineStr">
        <is>
          <t>C10620</t>
        </is>
      </c>
      <c r="D9788" t="inlineStr">
        <is>
          <t>SKU-10150</t>
        </is>
      </c>
      <c r="E9788" t="inlineStr">
        <is>
          <t>AM03</t>
        </is>
      </c>
      <c r="F9788" s="5" t="n">
        <v>138.53</v>
      </c>
      <c r="G9788">
        <f>IF(LEFT(B9788,1)="C","Credit","Factuur")</f>
        <v/>
      </c>
      <c r="H9788">
        <f>IF(AND(B9788=B9787,D9788=D9787,A9788=A9787,F9788=F9787),1,0)</f>
        <v/>
      </c>
      <c r="I9788">
        <f>IF(C9788="C99999",1,0)</f>
        <v/>
      </c>
      <c r="J9788" s="5">
        <f>IF(OR(H9788=1,I9788=1),0,IF(G9788="Credit",-F9788,F9788))</f>
        <v/>
      </c>
    </row>
    <row r="9789">
      <c r="A9789" t="inlineStr">
        <is>
          <t>2026-09-25</t>
        </is>
      </c>
      <c r="B9789" t="inlineStr">
        <is>
          <t>F272033</t>
        </is>
      </c>
      <c r="C9789" t="inlineStr">
        <is>
          <t>C10620</t>
        </is>
      </c>
      <c r="D9789" t="inlineStr">
        <is>
          <t>SKU-10219</t>
        </is>
      </c>
      <c r="E9789" t="inlineStr">
        <is>
          <t>AM03</t>
        </is>
      </c>
      <c r="F9789" s="5" t="n">
        <v>133.4</v>
      </c>
      <c r="G9789">
        <f>IF(LEFT(B9789,1)="C","Credit","Factuur")</f>
        <v/>
      </c>
      <c r="H9789">
        <f>IF(AND(B9789=B9788,D9789=D9788,A9789=A9788,F9789=F9788),1,0)</f>
        <v/>
      </c>
      <c r="I9789">
        <f>IF(C9789="C99999",1,0)</f>
        <v/>
      </c>
      <c r="J9789" s="5">
        <f>IF(OR(H9789=1,I9789=1),0,IF(G9789="Credit",-F9789,F9789))</f>
        <v/>
      </c>
    </row>
    <row r="9790">
      <c r="A9790" t="inlineStr">
        <is>
          <t>2026-09-25</t>
        </is>
      </c>
      <c r="B9790" t="inlineStr">
        <is>
          <t>F272092</t>
        </is>
      </c>
      <c r="C9790" t="inlineStr">
        <is>
          <t>C10626</t>
        </is>
      </c>
      <c r="D9790" t="inlineStr">
        <is>
          <t>SKU-10189</t>
        </is>
      </c>
      <c r="E9790" t="inlineStr">
        <is>
          <t>AM05</t>
        </is>
      </c>
      <c r="F9790" s="5" t="n">
        <v>1335.6</v>
      </c>
      <c r="G9790">
        <f>IF(LEFT(B9790,1)="C","Credit","Factuur")</f>
        <v/>
      </c>
      <c r="H9790">
        <f>IF(AND(B9790=B9789,D9790=D9789,A9790=A9789,F9790=F9789),1,0)</f>
        <v/>
      </c>
      <c r="I9790">
        <f>IF(C9790="C99999",1,0)</f>
        <v/>
      </c>
      <c r="J9790" s="5">
        <f>IF(OR(H9790=1,I9790=1),0,IF(G9790="Credit",-F9790,F9790))</f>
        <v/>
      </c>
    </row>
    <row r="9791">
      <c r="A9791" t="inlineStr">
        <is>
          <t>2026-09-25</t>
        </is>
      </c>
      <c r="B9791" t="inlineStr">
        <is>
          <t>F272097</t>
        </is>
      </c>
      <c r="C9791" t="inlineStr">
        <is>
          <t>C10626</t>
        </is>
      </c>
      <c r="D9791" t="inlineStr">
        <is>
          <t>SKU-10149</t>
        </is>
      </c>
      <c r="E9791" t="inlineStr">
        <is>
          <t>AM05</t>
        </is>
      </c>
      <c r="F9791" s="5" t="n">
        <v>1233.86</v>
      </c>
      <c r="G9791">
        <f>IF(LEFT(B9791,1)="C","Credit","Factuur")</f>
        <v/>
      </c>
      <c r="H9791">
        <f>IF(AND(B9791=B9790,D9791=D9790,A9791=A9790,F9791=F9790),1,0)</f>
        <v/>
      </c>
      <c r="I9791">
        <f>IF(C9791="C99999",1,0)</f>
        <v/>
      </c>
      <c r="J9791" s="5">
        <f>IF(OR(H9791=1,I9791=1),0,IF(G9791="Credit",-F9791,F9791))</f>
        <v/>
      </c>
    </row>
    <row r="9792">
      <c r="A9792" t="inlineStr">
        <is>
          <t>2026-09-25</t>
        </is>
      </c>
      <c r="B9792" t="inlineStr">
        <is>
          <t>F272252</t>
        </is>
      </c>
      <c r="C9792" t="inlineStr">
        <is>
          <t>C10634</t>
        </is>
      </c>
      <c r="D9792" t="inlineStr">
        <is>
          <t>SKU-10160</t>
        </is>
      </c>
      <c r="E9792" t="inlineStr">
        <is>
          <t>AM11</t>
        </is>
      </c>
      <c r="F9792" s="5" t="n">
        <v>980.91</v>
      </c>
      <c r="G9792">
        <f>IF(LEFT(B9792,1)="C","Credit","Factuur")</f>
        <v/>
      </c>
      <c r="H9792">
        <f>IF(AND(B9792=B9791,D9792=D9791,A9792=A9791,F9792=F9791),1,0)</f>
        <v/>
      </c>
      <c r="I9792">
        <f>IF(C9792="C99999",1,0)</f>
        <v/>
      </c>
      <c r="J9792" s="5">
        <f>IF(OR(H9792=1,I9792=1),0,IF(G9792="Credit",-F9792,F9792))</f>
        <v/>
      </c>
    </row>
    <row r="9793">
      <c r="A9793" t="inlineStr">
        <is>
          <t>2026-09-25</t>
        </is>
      </c>
      <c r="B9793" t="inlineStr">
        <is>
          <t>F272252</t>
        </is>
      </c>
      <c r="C9793" t="inlineStr">
        <is>
          <t>C10634</t>
        </is>
      </c>
      <c r="D9793" t="inlineStr">
        <is>
          <t>SKU-10311</t>
        </is>
      </c>
      <c r="E9793" t="inlineStr">
        <is>
          <t>AM11</t>
        </is>
      </c>
      <c r="F9793" s="5" t="n">
        <v>985.5700000000001</v>
      </c>
      <c r="G9793">
        <f>IF(LEFT(B9793,1)="C","Credit","Factuur")</f>
        <v/>
      </c>
      <c r="H9793">
        <f>IF(AND(B9793=B9792,D9793=D9792,A9793=A9792,F9793=F9792),1,0)</f>
        <v/>
      </c>
      <c r="I9793">
        <f>IF(C9793="C99999",1,0)</f>
        <v/>
      </c>
      <c r="J9793" s="5">
        <f>IF(OR(H9793=1,I9793=1),0,IF(G9793="Credit",-F9793,F9793))</f>
        <v/>
      </c>
    </row>
    <row r="9794">
      <c r="A9794" t="inlineStr">
        <is>
          <t>2026-09-25</t>
        </is>
      </c>
      <c r="B9794" t="inlineStr">
        <is>
          <t>F272252</t>
        </is>
      </c>
      <c r="C9794" t="inlineStr">
        <is>
          <t>C10634</t>
        </is>
      </c>
      <c r="D9794" t="inlineStr">
        <is>
          <t>SKU-10324</t>
        </is>
      </c>
      <c r="E9794" t="inlineStr">
        <is>
          <t>AM11</t>
        </is>
      </c>
      <c r="F9794" s="5" t="n">
        <v>977.4</v>
      </c>
      <c r="G9794">
        <f>IF(LEFT(B9794,1)="C","Credit","Factuur")</f>
        <v/>
      </c>
      <c r="H9794">
        <f>IF(AND(B9794=B9793,D9794=D9793,A9794=A9793,F9794=F9793),1,0)</f>
        <v/>
      </c>
      <c r="I9794">
        <f>IF(C9794="C99999",1,0)</f>
        <v/>
      </c>
      <c r="J9794" s="5">
        <f>IF(OR(H9794=1,I9794=1),0,IF(G9794="Credit",-F9794,F9794))</f>
        <v/>
      </c>
    </row>
    <row r="9795">
      <c r="A9795" t="inlineStr">
        <is>
          <t>2026-09-25</t>
        </is>
      </c>
      <c r="B9795" t="inlineStr">
        <is>
          <t>F272545</t>
        </is>
      </c>
      <c r="C9795" t="inlineStr">
        <is>
          <t>C10650</t>
        </is>
      </c>
      <c r="D9795" t="inlineStr">
        <is>
          <t>SKU-10032</t>
        </is>
      </c>
      <c r="E9795" t="inlineStr">
        <is>
          <t>AM02</t>
        </is>
      </c>
      <c r="F9795" s="5" t="n">
        <v>519.15</v>
      </c>
      <c r="G9795">
        <f>IF(LEFT(B9795,1)="C","Credit","Factuur")</f>
        <v/>
      </c>
      <c r="H9795">
        <f>IF(AND(B9795=B9794,D9795=D9794,A9795=A9794,F9795=F9794),1,0)</f>
        <v/>
      </c>
      <c r="I9795">
        <f>IF(C9795="C99999",1,0)</f>
        <v/>
      </c>
      <c r="J9795" s="5">
        <f>IF(OR(H9795=1,I9795=1),0,IF(G9795="Credit",-F9795,F9795))</f>
        <v/>
      </c>
    </row>
    <row r="9796">
      <c r="A9796" t="inlineStr">
        <is>
          <t>2026-09-25</t>
        </is>
      </c>
      <c r="B9796" t="inlineStr">
        <is>
          <t>F272545</t>
        </is>
      </c>
      <c r="C9796" t="inlineStr">
        <is>
          <t>C10650</t>
        </is>
      </c>
      <c r="D9796" t="inlineStr">
        <is>
          <t>SKU-10053</t>
        </is>
      </c>
      <c r="E9796" t="inlineStr">
        <is>
          <t>AM02</t>
        </is>
      </c>
      <c r="F9796" s="5" t="n">
        <v>525</v>
      </c>
      <c r="G9796">
        <f>IF(LEFT(B9796,1)="C","Credit","Factuur")</f>
        <v/>
      </c>
      <c r="H9796">
        <f>IF(AND(B9796=B9795,D9796=D9795,A9796=A9795,F9796=F9795),1,0)</f>
        <v/>
      </c>
      <c r="I9796">
        <f>IF(C9796="C99999",1,0)</f>
        <v/>
      </c>
      <c r="J9796" s="5">
        <f>IF(OR(H9796=1,I9796=1),0,IF(G9796="Credit",-F9796,F9796))</f>
        <v/>
      </c>
    </row>
    <row r="9797">
      <c r="A9797" t="inlineStr">
        <is>
          <t>2026-09-25</t>
        </is>
      </c>
      <c r="B9797" t="inlineStr">
        <is>
          <t>F272545</t>
        </is>
      </c>
      <c r="C9797" t="inlineStr">
        <is>
          <t>C10650</t>
        </is>
      </c>
      <c r="D9797" t="inlineStr">
        <is>
          <t>SKU-10077</t>
        </is>
      </c>
      <c r="E9797" t="inlineStr">
        <is>
          <t>AM02</t>
        </is>
      </c>
      <c r="F9797" s="5" t="n">
        <v>500.75</v>
      </c>
      <c r="G9797">
        <f>IF(LEFT(B9797,1)="C","Credit","Factuur")</f>
        <v/>
      </c>
      <c r="H9797">
        <f>IF(AND(B9797=B9796,D9797=D9796,A9797=A9796,F9797=F9796),1,0)</f>
        <v/>
      </c>
      <c r="I9797">
        <f>IF(C9797="C99999",1,0)</f>
        <v/>
      </c>
      <c r="J9797" s="5">
        <f>IF(OR(H9797=1,I9797=1),0,IF(G9797="Credit",-F9797,F9797))</f>
        <v/>
      </c>
    </row>
    <row r="9798">
      <c r="A9798" t="inlineStr">
        <is>
          <t>2026-09-25</t>
        </is>
      </c>
      <c r="B9798" t="inlineStr">
        <is>
          <t>F273052</t>
        </is>
      </c>
      <c r="C9798" t="inlineStr">
        <is>
          <t>C10683</t>
        </is>
      </c>
      <c r="D9798" t="inlineStr">
        <is>
          <t>SKU-10074</t>
        </is>
      </c>
      <c r="E9798" t="inlineStr">
        <is>
          <t>AM05</t>
        </is>
      </c>
      <c r="F9798" s="5" t="n">
        <v>505.3</v>
      </c>
      <c r="G9798">
        <f>IF(LEFT(B9798,1)="C","Credit","Factuur")</f>
        <v/>
      </c>
      <c r="H9798">
        <f>IF(AND(B9798=B9797,D9798=D9797,A9798=A9797,F9798=F9797),1,0)</f>
        <v/>
      </c>
      <c r="I9798">
        <f>IF(C9798="C99999",1,0)</f>
        <v/>
      </c>
      <c r="J9798" s="5">
        <f>IF(OR(H9798=1,I9798=1),0,IF(G9798="Credit",-F9798,F9798))</f>
        <v/>
      </c>
    </row>
    <row r="9799">
      <c r="A9799" t="inlineStr">
        <is>
          <t>2026-09-25</t>
        </is>
      </c>
      <c r="B9799" t="inlineStr">
        <is>
          <t>F273052</t>
        </is>
      </c>
      <c r="C9799" t="inlineStr">
        <is>
          <t>C10683</t>
        </is>
      </c>
      <c r="D9799" t="inlineStr">
        <is>
          <t>SKU-10137</t>
        </is>
      </c>
      <c r="E9799" t="inlineStr">
        <is>
          <t>AM05</t>
        </is>
      </c>
      <c r="F9799" s="5" t="n">
        <v>581.1</v>
      </c>
      <c r="G9799">
        <f>IF(LEFT(B9799,1)="C","Credit","Factuur")</f>
        <v/>
      </c>
      <c r="H9799">
        <f>IF(AND(B9799=B9798,D9799=D9798,A9799=A9798,F9799=F9798),1,0)</f>
        <v/>
      </c>
      <c r="I9799">
        <f>IF(C9799="C99999",1,0)</f>
        <v/>
      </c>
      <c r="J9799" s="5">
        <f>IF(OR(H9799=1,I9799=1),0,IF(G9799="Credit",-F9799,F9799))</f>
        <v/>
      </c>
    </row>
    <row r="9800">
      <c r="A9800" t="inlineStr">
        <is>
          <t>2026-09-25</t>
        </is>
      </c>
      <c r="B9800" t="inlineStr">
        <is>
          <t>F273052</t>
        </is>
      </c>
      <c r="C9800" t="inlineStr">
        <is>
          <t>C10683</t>
        </is>
      </c>
      <c r="D9800" t="inlineStr">
        <is>
          <t>SKU-10289</t>
        </is>
      </c>
      <c r="E9800" t="inlineStr">
        <is>
          <t>AM05</t>
        </is>
      </c>
      <c r="F9800" s="5" t="n">
        <v>537.46</v>
      </c>
      <c r="G9800">
        <f>IF(LEFT(B9800,1)="C","Credit","Factuur")</f>
        <v/>
      </c>
      <c r="H9800">
        <f>IF(AND(B9800=B9799,D9800=D9799,A9800=A9799,F9800=F9799),1,0)</f>
        <v/>
      </c>
      <c r="I9800">
        <f>IF(C9800="C99999",1,0)</f>
        <v/>
      </c>
      <c r="J9800" s="5">
        <f>IF(OR(H9800=1,I9800=1),0,IF(G9800="Credit",-F9800,F9800))</f>
        <v/>
      </c>
    </row>
    <row r="9801">
      <c r="A9801" t="inlineStr">
        <is>
          <t>2026-09-25</t>
        </is>
      </c>
      <c r="B9801" t="inlineStr">
        <is>
          <t>F273393</t>
        </is>
      </c>
      <c r="C9801" t="inlineStr">
        <is>
          <t>C10701</t>
        </is>
      </c>
      <c r="D9801" t="inlineStr">
        <is>
          <t>SKU-10018</t>
        </is>
      </c>
      <c r="E9801" t="inlineStr">
        <is>
          <t>AM11</t>
        </is>
      </c>
      <c r="F9801" s="5" t="n">
        <v>356.51</v>
      </c>
      <c r="G9801">
        <f>IF(LEFT(B9801,1)="C","Credit","Factuur")</f>
        <v/>
      </c>
      <c r="H9801">
        <f>IF(AND(B9801=B9800,D9801=D9800,A9801=A9800,F9801=F9800),1,0)</f>
        <v/>
      </c>
      <c r="I9801">
        <f>IF(C9801="C99999",1,0)</f>
        <v/>
      </c>
      <c r="J9801" s="5">
        <f>IF(OR(H9801=1,I9801=1),0,IF(G9801="Credit",-F9801,F9801))</f>
        <v/>
      </c>
    </row>
    <row r="9802">
      <c r="A9802" t="inlineStr">
        <is>
          <t>2026-09-25</t>
        </is>
      </c>
      <c r="B9802" t="inlineStr">
        <is>
          <t>F273393</t>
        </is>
      </c>
      <c r="C9802" t="inlineStr">
        <is>
          <t>C10701</t>
        </is>
      </c>
      <c r="D9802" t="inlineStr">
        <is>
          <t>SKU-10063</t>
        </is>
      </c>
      <c r="E9802" t="inlineStr">
        <is>
          <t>AM11</t>
        </is>
      </c>
      <c r="F9802" s="5" t="n">
        <v>361.92</v>
      </c>
      <c r="G9802">
        <f>IF(LEFT(B9802,1)="C","Credit","Factuur")</f>
        <v/>
      </c>
      <c r="H9802">
        <f>IF(AND(B9802=B9801,D9802=D9801,A9802=A9801,F9802=F9801),1,0)</f>
        <v/>
      </c>
      <c r="I9802">
        <f>IF(C9802="C99999",1,0)</f>
        <v/>
      </c>
      <c r="J9802" s="5">
        <f>IF(OR(H9802=1,I9802=1),0,IF(G9802="Credit",-F9802,F9802))</f>
        <v/>
      </c>
    </row>
    <row r="9803">
      <c r="A9803" t="inlineStr">
        <is>
          <t>2026-09-25</t>
        </is>
      </c>
      <c r="B9803" t="inlineStr">
        <is>
          <t>F273393</t>
        </is>
      </c>
      <c r="C9803" t="inlineStr">
        <is>
          <t>C10701</t>
        </is>
      </c>
      <c r="D9803" t="inlineStr">
        <is>
          <t>SKU-10256</t>
        </is>
      </c>
      <c r="E9803" t="inlineStr">
        <is>
          <t>AM11</t>
        </is>
      </c>
      <c r="F9803" s="5" t="n">
        <v>366.69</v>
      </c>
      <c r="G9803">
        <f>IF(LEFT(B9803,1)="C","Credit","Factuur")</f>
        <v/>
      </c>
      <c r="H9803">
        <f>IF(AND(B9803=B9802,D9803=D9802,A9803=A9802,F9803=F9802),1,0)</f>
        <v/>
      </c>
      <c r="I9803">
        <f>IF(C9803="C99999",1,0)</f>
        <v/>
      </c>
      <c r="J9803" s="5">
        <f>IF(OR(H9803=1,I9803=1),0,IF(G9803="Credit",-F9803,F9803))</f>
        <v/>
      </c>
    </row>
    <row r="9804">
      <c r="A9804" t="inlineStr">
        <is>
          <t>2026-09-25</t>
        </is>
      </c>
      <c r="B9804" t="inlineStr">
        <is>
          <t>F273393</t>
        </is>
      </c>
      <c r="C9804" t="inlineStr">
        <is>
          <t>C10701</t>
        </is>
      </c>
      <c r="D9804" t="inlineStr">
        <is>
          <t>SKU-10275</t>
        </is>
      </c>
      <c r="E9804" t="inlineStr">
        <is>
          <t>AM11</t>
        </is>
      </c>
      <c r="F9804" s="5" t="n">
        <v>364.8</v>
      </c>
      <c r="G9804">
        <f>IF(LEFT(B9804,1)="C","Credit","Factuur")</f>
        <v/>
      </c>
      <c r="H9804">
        <f>IF(AND(B9804=B9803,D9804=D9803,A9804=A9803,F9804=F9803),1,0)</f>
        <v/>
      </c>
      <c r="I9804">
        <f>IF(C9804="C99999",1,0)</f>
        <v/>
      </c>
      <c r="J9804" s="5">
        <f>IF(OR(H9804=1,I9804=1),0,IF(G9804="Credit",-F9804,F9804))</f>
        <v/>
      </c>
    </row>
    <row r="9805">
      <c r="A9805" t="inlineStr">
        <is>
          <t>2026-09-25</t>
        </is>
      </c>
      <c r="B9805" t="inlineStr">
        <is>
          <t>F273449</t>
        </is>
      </c>
      <c r="C9805" t="inlineStr">
        <is>
          <t>C10703</t>
        </is>
      </c>
      <c r="D9805" t="inlineStr">
        <is>
          <t>SKU-10013</t>
        </is>
      </c>
      <c r="E9805" t="inlineStr">
        <is>
          <t>AM05</t>
        </is>
      </c>
      <c r="F9805" s="5" t="n">
        <v>107.19</v>
      </c>
      <c r="G9805">
        <f>IF(LEFT(B9805,1)="C","Credit","Factuur")</f>
        <v/>
      </c>
      <c r="H9805">
        <f>IF(AND(B9805=B9804,D9805=D9804,A9805=A9804,F9805=F9804),1,0)</f>
        <v/>
      </c>
      <c r="I9805">
        <f>IF(C9805="C99999",1,0)</f>
        <v/>
      </c>
      <c r="J9805" s="5">
        <f>IF(OR(H9805=1,I9805=1),0,IF(G9805="Credit",-F9805,F9805))</f>
        <v/>
      </c>
    </row>
    <row r="9806">
      <c r="A9806" t="inlineStr">
        <is>
          <t>2026-09-25</t>
        </is>
      </c>
      <c r="B9806" t="inlineStr">
        <is>
          <t>F273449</t>
        </is>
      </c>
      <c r="C9806" t="inlineStr">
        <is>
          <t>C10703</t>
        </is>
      </c>
      <c r="D9806" t="inlineStr">
        <is>
          <t>SKU-10019</t>
        </is>
      </c>
      <c r="E9806" t="inlineStr">
        <is>
          <t>AM05</t>
        </is>
      </c>
      <c r="F9806" s="5" t="n">
        <v>125.43</v>
      </c>
      <c r="G9806">
        <f>IF(LEFT(B9806,1)="C","Credit","Factuur")</f>
        <v/>
      </c>
      <c r="H9806">
        <f>IF(AND(B9806=B9805,D9806=D9805,A9806=A9805,F9806=F9805),1,0)</f>
        <v/>
      </c>
      <c r="I9806">
        <f>IF(C9806="C99999",1,0)</f>
        <v/>
      </c>
      <c r="J9806" s="5">
        <f>IF(OR(H9806=1,I9806=1),0,IF(G9806="Credit",-F9806,F9806))</f>
        <v/>
      </c>
    </row>
    <row r="9807">
      <c r="A9807" t="inlineStr">
        <is>
          <t>2026-09-25</t>
        </is>
      </c>
      <c r="B9807" t="inlineStr">
        <is>
          <t>F273449</t>
        </is>
      </c>
      <c r="C9807" t="inlineStr">
        <is>
          <t>C10703</t>
        </is>
      </c>
      <c r="D9807" t="inlineStr">
        <is>
          <t>SKU-10196</t>
        </is>
      </c>
      <c r="E9807" t="inlineStr">
        <is>
          <t>AM05</t>
        </is>
      </c>
      <c r="F9807" s="5" t="n">
        <v>115.05</v>
      </c>
      <c r="G9807">
        <f>IF(LEFT(B9807,1)="C","Credit","Factuur")</f>
        <v/>
      </c>
      <c r="H9807">
        <f>IF(AND(B9807=B9806,D9807=D9806,A9807=A9806,F9807=F9806),1,0)</f>
        <v/>
      </c>
      <c r="I9807">
        <f>IF(C9807="C99999",1,0)</f>
        <v/>
      </c>
      <c r="J9807" s="5">
        <f>IF(OR(H9807=1,I9807=1),0,IF(G9807="Credit",-F9807,F9807))</f>
        <v/>
      </c>
    </row>
    <row r="9808">
      <c r="A9808" t="inlineStr">
        <is>
          <t>2026-09-25</t>
        </is>
      </c>
      <c r="B9808" t="inlineStr">
        <is>
          <t>F273449</t>
        </is>
      </c>
      <c r="C9808" t="inlineStr">
        <is>
          <t>C10703</t>
        </is>
      </c>
      <c r="D9808" t="inlineStr">
        <is>
          <t>SKU-10283</t>
        </is>
      </c>
      <c r="E9808" t="inlineStr">
        <is>
          <t>AM05</t>
        </is>
      </c>
      <c r="F9808" s="5" t="n">
        <v>136.04</v>
      </c>
      <c r="G9808">
        <f>IF(LEFT(B9808,1)="C","Credit","Factuur")</f>
        <v/>
      </c>
      <c r="H9808">
        <f>IF(AND(B9808=B9807,D9808=D9807,A9808=A9807,F9808=F9807),1,0)</f>
        <v/>
      </c>
      <c r="I9808">
        <f>IF(C9808="C99999",1,0)</f>
        <v/>
      </c>
      <c r="J9808" s="5">
        <f>IF(OR(H9808=1,I9808=1),0,IF(G9808="Credit",-F9808,F9808))</f>
        <v/>
      </c>
    </row>
    <row r="9809">
      <c r="A9809" t="inlineStr">
        <is>
          <t>2026-09-25</t>
        </is>
      </c>
      <c r="B9809" t="inlineStr">
        <is>
          <t>F273449</t>
        </is>
      </c>
      <c r="C9809" t="inlineStr">
        <is>
          <t>C10703</t>
        </is>
      </c>
      <c r="D9809" t="inlineStr">
        <is>
          <t>SKU-10339</t>
        </is>
      </c>
      <c r="E9809" t="inlineStr">
        <is>
          <t>AM05</t>
        </is>
      </c>
      <c r="F9809" s="5" t="n">
        <v>120.4</v>
      </c>
      <c r="G9809">
        <f>IF(LEFT(B9809,1)="C","Credit","Factuur")</f>
        <v/>
      </c>
      <c r="H9809">
        <f>IF(AND(B9809=B9808,D9809=D9808,A9809=A9808,F9809=F9808),1,0)</f>
        <v/>
      </c>
      <c r="I9809">
        <f>IF(C9809="C99999",1,0)</f>
        <v/>
      </c>
      <c r="J9809" s="5">
        <f>IF(OR(H9809=1,I9809=1),0,IF(G9809="Credit",-F9809,F9809))</f>
        <v/>
      </c>
    </row>
    <row r="9810">
      <c r="A9810" t="inlineStr">
        <is>
          <t>2026-09-25</t>
        </is>
      </c>
      <c r="B9810" t="inlineStr">
        <is>
          <t>F273474</t>
        </is>
      </c>
      <c r="C9810" t="inlineStr">
        <is>
          <t>C10705</t>
        </is>
      </c>
      <c r="D9810" t="inlineStr">
        <is>
          <t>SKU-10229</t>
        </is>
      </c>
      <c r="E9810" t="inlineStr">
        <is>
          <t>AM02</t>
        </is>
      </c>
      <c r="F9810" s="5" t="n">
        <v>930.6799999999999</v>
      </c>
      <c r="G9810">
        <f>IF(LEFT(B9810,1)="C","Credit","Factuur")</f>
        <v/>
      </c>
      <c r="H9810">
        <f>IF(AND(B9810=B9809,D9810=D9809,A9810=A9809,F9810=F9809),1,0)</f>
        <v/>
      </c>
      <c r="I9810">
        <f>IF(C9810="C99999",1,0)</f>
        <v/>
      </c>
      <c r="J9810" s="5">
        <f>IF(OR(H9810=1,I9810=1),0,IF(G9810="Credit",-F9810,F9810))</f>
        <v/>
      </c>
    </row>
    <row r="9811">
      <c r="A9811" t="inlineStr">
        <is>
          <t>2026-09-25</t>
        </is>
      </c>
      <c r="B9811" t="inlineStr">
        <is>
          <t>F273732</t>
        </is>
      </c>
      <c r="C9811" t="inlineStr">
        <is>
          <t>C10723</t>
        </is>
      </c>
      <c r="D9811" t="inlineStr">
        <is>
          <t>SKU-10038</t>
        </is>
      </c>
      <c r="E9811" t="inlineStr">
        <is>
          <t>AM09</t>
        </is>
      </c>
      <c r="F9811" s="5" t="n">
        <v>4888.8</v>
      </c>
      <c r="G9811">
        <f>IF(LEFT(B9811,1)="C","Credit","Factuur")</f>
        <v/>
      </c>
      <c r="H9811">
        <f>IF(AND(B9811=B9810,D9811=D9810,A9811=A9810,F9811=F9810),1,0)</f>
        <v/>
      </c>
      <c r="I9811">
        <f>IF(C9811="C99999",1,0)</f>
        <v/>
      </c>
      <c r="J9811" s="5">
        <f>IF(OR(H9811=1,I9811=1),0,IF(G9811="Credit",-F9811,F9811))</f>
        <v/>
      </c>
    </row>
    <row r="9812">
      <c r="A9812" t="inlineStr">
        <is>
          <t>2026-09-25</t>
        </is>
      </c>
      <c r="B9812" t="inlineStr">
        <is>
          <t>F273732</t>
        </is>
      </c>
      <c r="C9812" t="inlineStr">
        <is>
          <t>C10723</t>
        </is>
      </c>
      <c r="D9812" t="inlineStr">
        <is>
          <t>SKU-10184</t>
        </is>
      </c>
      <c r="E9812" t="inlineStr">
        <is>
          <t>AM09</t>
        </is>
      </c>
      <c r="F9812" s="5" t="n">
        <v>4876.72</v>
      </c>
      <c r="G9812">
        <f>IF(LEFT(B9812,1)="C","Credit","Factuur")</f>
        <v/>
      </c>
      <c r="H9812">
        <f>IF(AND(B9812=B9811,D9812=D9811,A9812=A9811,F9812=F9811),1,0)</f>
        <v/>
      </c>
      <c r="I9812">
        <f>IF(C9812="C99999",1,0)</f>
        <v/>
      </c>
      <c r="J9812" s="5">
        <f>IF(OR(H9812=1,I9812=1),0,IF(G9812="Credit",-F9812,F9812))</f>
        <v/>
      </c>
    </row>
    <row r="9813">
      <c r="A9813" t="inlineStr">
        <is>
          <t>2026-09-25</t>
        </is>
      </c>
      <c r="B9813" t="inlineStr">
        <is>
          <t>F273732</t>
        </is>
      </c>
      <c r="C9813" t="inlineStr">
        <is>
          <t>C10723</t>
        </is>
      </c>
      <c r="D9813" t="inlineStr">
        <is>
          <t>SKU-10278</t>
        </is>
      </c>
      <c r="E9813" t="inlineStr">
        <is>
          <t>AM09</t>
        </is>
      </c>
      <c r="F9813" s="5" t="n">
        <v>4897.66</v>
      </c>
      <c r="G9813">
        <f>IF(LEFT(B9813,1)="C","Credit","Factuur")</f>
        <v/>
      </c>
      <c r="H9813">
        <f>IF(AND(B9813=B9812,D9813=D9812,A9813=A9812,F9813=F9812),1,0)</f>
        <v/>
      </c>
      <c r="I9813">
        <f>IF(C9813="C99999",1,0)</f>
        <v/>
      </c>
      <c r="J9813" s="5">
        <f>IF(OR(H9813=1,I9813=1),0,IF(G9813="Credit",-F9813,F9813))</f>
        <v/>
      </c>
    </row>
    <row r="9814">
      <c r="A9814" t="inlineStr">
        <is>
          <t>2026-09-25</t>
        </is>
      </c>
      <c r="B9814" t="inlineStr">
        <is>
          <t>F273732</t>
        </is>
      </c>
      <c r="C9814" t="inlineStr">
        <is>
          <t>C10723</t>
        </is>
      </c>
      <c r="D9814" t="inlineStr">
        <is>
          <t>SKU-10324</t>
        </is>
      </c>
      <c r="E9814" t="inlineStr">
        <is>
          <t>AM09</t>
        </is>
      </c>
      <c r="F9814" s="5" t="n">
        <v>4153.95</v>
      </c>
      <c r="G9814">
        <f>IF(LEFT(B9814,1)="C","Credit","Factuur")</f>
        <v/>
      </c>
      <c r="H9814">
        <f>IF(AND(B9814=B9813,D9814=D9813,A9814=A9813,F9814=F9813),1,0)</f>
        <v/>
      </c>
      <c r="I9814">
        <f>IF(C9814="C99999",1,0)</f>
        <v/>
      </c>
      <c r="J9814" s="5">
        <f>IF(OR(H9814=1,I9814=1),0,IF(G9814="Credit",-F9814,F9814))</f>
        <v/>
      </c>
    </row>
    <row r="9815">
      <c r="A9815" t="inlineStr">
        <is>
          <t>2026-09-25</t>
        </is>
      </c>
      <c r="B9815" t="inlineStr">
        <is>
          <t>F273834</t>
        </is>
      </c>
      <c r="C9815" t="inlineStr">
        <is>
          <t>C10727</t>
        </is>
      </c>
      <c r="D9815" t="inlineStr">
        <is>
          <t>SKU-10313</t>
        </is>
      </c>
      <c r="E9815" t="inlineStr">
        <is>
          <t>AM11</t>
        </is>
      </c>
      <c r="F9815" s="5" t="n">
        <v>3085.8</v>
      </c>
      <c r="G9815">
        <f>IF(LEFT(B9815,1)="C","Credit","Factuur")</f>
        <v/>
      </c>
      <c r="H9815">
        <f>IF(AND(B9815=B9814,D9815=D9814,A9815=A9814,F9815=F9814),1,0)</f>
        <v/>
      </c>
      <c r="I9815">
        <f>IF(C9815="C99999",1,0)</f>
        <v/>
      </c>
      <c r="J9815" s="5">
        <f>IF(OR(H9815=1,I9815=1),0,IF(G9815="Credit",-F9815,F9815))</f>
        <v/>
      </c>
    </row>
    <row r="9816">
      <c r="A9816" t="inlineStr">
        <is>
          <t>2026-09-25</t>
        </is>
      </c>
      <c r="B9816" t="inlineStr">
        <is>
          <t>F274147</t>
        </is>
      </c>
      <c r="C9816" t="inlineStr">
        <is>
          <t>C10748</t>
        </is>
      </c>
      <c r="D9816" t="inlineStr">
        <is>
          <t>SKU-10016</t>
        </is>
      </c>
      <c r="E9816" t="inlineStr">
        <is>
          <t>AM02</t>
        </is>
      </c>
      <c r="F9816" s="5" t="n">
        <v>94.36</v>
      </c>
      <c r="G9816">
        <f>IF(LEFT(B9816,1)="C","Credit","Factuur")</f>
        <v/>
      </c>
      <c r="H9816">
        <f>IF(AND(B9816=B9815,D9816=D9815,A9816=A9815,F9816=F9815),1,0)</f>
        <v/>
      </c>
      <c r="I9816">
        <f>IF(C9816="C99999",1,0)</f>
        <v/>
      </c>
      <c r="J9816" s="5">
        <f>IF(OR(H9816=1,I9816=1),0,IF(G9816="Credit",-F9816,F9816))</f>
        <v/>
      </c>
    </row>
    <row r="9817">
      <c r="A9817" t="inlineStr">
        <is>
          <t>2026-09-25</t>
        </is>
      </c>
      <c r="B9817" t="inlineStr">
        <is>
          <t>F274147</t>
        </is>
      </c>
      <c r="C9817" t="inlineStr">
        <is>
          <t>C10748</t>
        </is>
      </c>
      <c r="D9817" t="inlineStr">
        <is>
          <t>SKU-10146</t>
        </is>
      </c>
      <c r="E9817" t="inlineStr">
        <is>
          <t>AM02</t>
        </is>
      </c>
      <c r="F9817" s="5" t="n">
        <v>115.57</v>
      </c>
      <c r="G9817">
        <f>IF(LEFT(B9817,1)="C","Credit","Factuur")</f>
        <v/>
      </c>
      <c r="H9817">
        <f>IF(AND(B9817=B9816,D9817=D9816,A9817=A9816,F9817=F9816),1,0)</f>
        <v/>
      </c>
      <c r="I9817">
        <f>IF(C9817="C99999",1,0)</f>
        <v/>
      </c>
      <c r="J9817" s="5">
        <f>IF(OR(H9817=1,I9817=1),0,IF(G9817="Credit",-F9817,F9817))</f>
        <v/>
      </c>
    </row>
    <row r="9818">
      <c r="A9818" t="inlineStr">
        <is>
          <t>2026-09-25</t>
        </is>
      </c>
      <c r="B9818" t="inlineStr">
        <is>
          <t>F274147</t>
        </is>
      </c>
      <c r="C9818" t="inlineStr">
        <is>
          <t>C10748</t>
        </is>
      </c>
      <c r="D9818" t="inlineStr">
        <is>
          <t>SKU-10162</t>
        </is>
      </c>
      <c r="E9818" t="inlineStr">
        <is>
          <t>AM02</t>
        </is>
      </c>
      <c r="F9818" s="5" t="n">
        <v>94.5</v>
      </c>
      <c r="G9818">
        <f>IF(LEFT(B9818,1)="C","Credit","Factuur")</f>
        <v/>
      </c>
      <c r="H9818">
        <f>IF(AND(B9818=B9817,D9818=D9817,A9818=A9817,F9818=F9817),1,0)</f>
        <v/>
      </c>
      <c r="I9818">
        <f>IF(C9818="C99999",1,0)</f>
        <v/>
      </c>
      <c r="J9818" s="5">
        <f>IF(OR(H9818=1,I9818=1),0,IF(G9818="Credit",-F9818,F9818))</f>
        <v/>
      </c>
    </row>
    <row r="9819">
      <c r="A9819" t="inlineStr">
        <is>
          <t>2026-09-25</t>
        </is>
      </c>
      <c r="B9819" t="inlineStr">
        <is>
          <t>F274147</t>
        </is>
      </c>
      <c r="C9819" t="inlineStr">
        <is>
          <t>C10748</t>
        </is>
      </c>
      <c r="D9819" t="inlineStr">
        <is>
          <t>SKU-10179</t>
        </is>
      </c>
      <c r="E9819" t="inlineStr">
        <is>
          <t>AM02</t>
        </is>
      </c>
      <c r="F9819" s="5" t="n">
        <v>94.54000000000001</v>
      </c>
      <c r="G9819">
        <f>IF(LEFT(B9819,1)="C","Credit","Factuur")</f>
        <v/>
      </c>
      <c r="H9819">
        <f>IF(AND(B9819=B9818,D9819=D9818,A9819=A9818,F9819=F9818),1,0)</f>
        <v/>
      </c>
      <c r="I9819">
        <f>IF(C9819="C99999",1,0)</f>
        <v/>
      </c>
      <c r="J9819" s="5">
        <f>IF(OR(H9819=1,I9819=1),0,IF(G9819="Credit",-F9819,F9819))</f>
        <v/>
      </c>
    </row>
    <row r="9820">
      <c r="A9820" t="inlineStr">
        <is>
          <t>2026-09-25</t>
        </is>
      </c>
      <c r="B9820" t="inlineStr">
        <is>
          <t>F274147</t>
        </is>
      </c>
      <c r="C9820" t="inlineStr">
        <is>
          <t>C10748</t>
        </is>
      </c>
      <c r="D9820" t="inlineStr">
        <is>
          <t>SKU-10288</t>
        </is>
      </c>
      <c r="E9820" t="inlineStr">
        <is>
          <t>AM02</t>
        </is>
      </c>
      <c r="F9820" s="5" t="n">
        <v>96.51000000000001</v>
      </c>
      <c r="G9820">
        <f>IF(LEFT(B9820,1)="C","Credit","Factuur")</f>
        <v/>
      </c>
      <c r="H9820">
        <f>IF(AND(B9820=B9819,D9820=D9819,A9820=A9819,F9820=F9819),1,0)</f>
        <v/>
      </c>
      <c r="I9820">
        <f>IF(C9820="C99999",1,0)</f>
        <v/>
      </c>
      <c r="J9820" s="5">
        <f>IF(OR(H9820=1,I9820=1),0,IF(G9820="Credit",-F9820,F9820))</f>
        <v/>
      </c>
    </row>
    <row r="9821">
      <c r="A9821" t="inlineStr">
        <is>
          <t>2026-09-25</t>
        </is>
      </c>
      <c r="B9821" t="inlineStr">
        <is>
          <t>F274147</t>
        </is>
      </c>
      <c r="C9821" t="inlineStr">
        <is>
          <t>C10748</t>
        </is>
      </c>
      <c r="D9821" t="inlineStr">
        <is>
          <t>SKU-10362</t>
        </is>
      </c>
      <c r="E9821" t="inlineStr">
        <is>
          <t>AM02</t>
        </is>
      </c>
      <c r="F9821" s="5" t="n">
        <v>67.5</v>
      </c>
      <c r="G9821">
        <f>IF(LEFT(B9821,1)="C","Credit","Factuur")</f>
        <v/>
      </c>
      <c r="H9821">
        <f>IF(AND(B9821=B9820,D9821=D9820,A9821=A9820,F9821=F9820),1,0)</f>
        <v/>
      </c>
      <c r="I9821">
        <f>IF(C9821="C99999",1,0)</f>
        <v/>
      </c>
      <c r="J9821" s="5">
        <f>IF(OR(H9821=1,I9821=1),0,IF(G9821="Credit",-F9821,F9821))</f>
        <v/>
      </c>
    </row>
    <row r="9822">
      <c r="A9822" t="inlineStr">
        <is>
          <t>2026-09-25</t>
        </is>
      </c>
      <c r="B9822" t="inlineStr">
        <is>
          <t>F274437</t>
        </is>
      </c>
      <c r="C9822" t="inlineStr">
        <is>
          <t>C10762</t>
        </is>
      </c>
      <c r="D9822" t="inlineStr">
        <is>
          <t>SKU-10342</t>
        </is>
      </c>
      <c r="E9822" t="inlineStr">
        <is>
          <t>AM03</t>
        </is>
      </c>
      <c r="F9822" s="5" t="n">
        <v>474.32</v>
      </c>
      <c r="G9822">
        <f>IF(LEFT(B9822,1)="C","Credit","Factuur")</f>
        <v/>
      </c>
      <c r="H9822">
        <f>IF(AND(B9822=B9821,D9822=D9821,A9822=A9821,F9822=F9821),1,0)</f>
        <v/>
      </c>
      <c r="I9822">
        <f>IF(C9822="C99999",1,0)</f>
        <v/>
      </c>
      <c r="J9822" s="5">
        <f>IF(OR(H9822=1,I9822=1),0,IF(G9822="Credit",-F9822,F9822))</f>
        <v/>
      </c>
    </row>
    <row r="9823">
      <c r="A9823" t="inlineStr">
        <is>
          <t>2026-09-25</t>
        </is>
      </c>
      <c r="B9823" t="inlineStr">
        <is>
          <t>F274516</t>
        </is>
      </c>
      <c r="C9823" t="inlineStr">
        <is>
          <t>C10766</t>
        </is>
      </c>
      <c r="D9823" t="inlineStr">
        <is>
          <t>SKU-10131</t>
        </is>
      </c>
      <c r="E9823" t="inlineStr">
        <is>
          <t>AM05</t>
        </is>
      </c>
      <c r="F9823" s="5" t="n">
        <v>221.44</v>
      </c>
      <c r="G9823">
        <f>IF(LEFT(B9823,1)="C","Credit","Factuur")</f>
        <v/>
      </c>
      <c r="H9823">
        <f>IF(AND(B9823=B9822,D9823=D9822,A9823=A9822,F9823=F9822),1,0)</f>
        <v/>
      </c>
      <c r="I9823">
        <f>IF(C9823="C99999",1,0)</f>
        <v/>
      </c>
      <c r="J9823" s="5">
        <f>IF(OR(H9823=1,I9823=1),0,IF(G9823="Credit",-F9823,F9823))</f>
        <v/>
      </c>
    </row>
    <row r="9824">
      <c r="A9824" t="inlineStr">
        <is>
          <t>2026-09-25</t>
        </is>
      </c>
      <c r="B9824" t="inlineStr">
        <is>
          <t>F274516</t>
        </is>
      </c>
      <c r="C9824" t="inlineStr">
        <is>
          <t>C10766</t>
        </is>
      </c>
      <c r="D9824" t="inlineStr">
        <is>
          <t>SKU-10286</t>
        </is>
      </c>
      <c r="E9824" t="inlineStr">
        <is>
          <t>AM05</t>
        </is>
      </c>
      <c r="F9824" s="5" t="n">
        <v>173.38</v>
      </c>
      <c r="G9824">
        <f>IF(LEFT(B9824,1)="C","Credit","Factuur")</f>
        <v/>
      </c>
      <c r="H9824">
        <f>IF(AND(B9824=B9823,D9824=D9823,A9824=A9823,F9824=F9823),1,0)</f>
        <v/>
      </c>
      <c r="I9824">
        <f>IF(C9824="C99999",1,0)</f>
        <v/>
      </c>
      <c r="J9824" s="5">
        <f>IF(OR(H9824=1,I9824=1),0,IF(G9824="Credit",-F9824,F9824))</f>
        <v/>
      </c>
    </row>
    <row r="9825">
      <c r="A9825" t="inlineStr">
        <is>
          <t>2026-09-25</t>
        </is>
      </c>
      <c r="B9825" t="inlineStr">
        <is>
          <t>F274516</t>
        </is>
      </c>
      <c r="C9825" t="inlineStr">
        <is>
          <t>C10766</t>
        </is>
      </c>
      <c r="D9825" t="inlineStr">
        <is>
          <t>SKU-10294</t>
        </is>
      </c>
      <c r="E9825" t="inlineStr">
        <is>
          <t>AM05</t>
        </is>
      </c>
      <c r="F9825" s="5" t="n">
        <v>184.35</v>
      </c>
      <c r="G9825">
        <f>IF(LEFT(B9825,1)="C","Credit","Factuur")</f>
        <v/>
      </c>
      <c r="H9825">
        <f>IF(AND(B9825=B9824,D9825=D9824,A9825=A9824,F9825=F9824),1,0)</f>
        <v/>
      </c>
      <c r="I9825">
        <f>IF(C9825="C99999",1,0)</f>
        <v/>
      </c>
      <c r="J9825" s="5">
        <f>IF(OR(H9825=1,I9825=1),0,IF(G9825="Credit",-F9825,F9825))</f>
        <v/>
      </c>
    </row>
    <row r="9826">
      <c r="A9826" t="inlineStr">
        <is>
          <t>2026-09-25</t>
        </is>
      </c>
      <c r="B9826" t="inlineStr">
        <is>
          <t>F274680</t>
        </is>
      </c>
      <c r="C9826" t="inlineStr">
        <is>
          <t>C10777</t>
        </is>
      </c>
      <c r="D9826" t="inlineStr">
        <is>
          <t>SKU-10259</t>
        </is>
      </c>
      <c r="E9826" t="inlineStr">
        <is>
          <t>AM07</t>
        </is>
      </c>
      <c r="F9826" s="5" t="n">
        <v>443.24</v>
      </c>
      <c r="G9826">
        <f>IF(LEFT(B9826,1)="C","Credit","Factuur")</f>
        <v/>
      </c>
      <c r="H9826">
        <f>IF(AND(B9826=B9825,D9826=D9825,A9826=A9825,F9826=F9825),1,0)</f>
        <v/>
      </c>
      <c r="I9826">
        <f>IF(C9826="C99999",1,0)</f>
        <v/>
      </c>
      <c r="J9826" s="5">
        <f>IF(OR(H9826=1,I9826=1),0,IF(G9826="Credit",-F9826,F9826))</f>
        <v/>
      </c>
    </row>
    <row r="9827">
      <c r="A9827" t="inlineStr">
        <is>
          <t>2026-09-25</t>
        </is>
      </c>
      <c r="B9827" t="inlineStr">
        <is>
          <t>F274680</t>
        </is>
      </c>
      <c r="C9827" t="inlineStr">
        <is>
          <t>C10777</t>
        </is>
      </c>
      <c r="D9827" t="inlineStr">
        <is>
          <t>SKU-10277</t>
        </is>
      </c>
      <c r="E9827" t="inlineStr">
        <is>
          <t>AM07</t>
        </is>
      </c>
      <c r="F9827" s="5" t="n">
        <v>472.81</v>
      </c>
      <c r="G9827">
        <f>IF(LEFT(B9827,1)="C","Credit","Factuur")</f>
        <v/>
      </c>
      <c r="H9827">
        <f>IF(AND(B9827=B9826,D9827=D9826,A9827=A9826,F9827=F9826),1,0)</f>
        <v/>
      </c>
      <c r="I9827">
        <f>IF(C9827="C99999",1,0)</f>
        <v/>
      </c>
      <c r="J9827" s="5">
        <f>IF(OR(H9827=1,I9827=1),0,IF(G9827="Credit",-F9827,F9827))</f>
        <v/>
      </c>
    </row>
    <row r="9828">
      <c r="A9828" t="inlineStr">
        <is>
          <t>2026-09-25</t>
        </is>
      </c>
      <c r="B9828" t="inlineStr">
        <is>
          <t>F274687</t>
        </is>
      </c>
      <c r="C9828" t="inlineStr">
        <is>
          <t>C10778</t>
        </is>
      </c>
      <c r="D9828" t="inlineStr">
        <is>
          <t>SKU-10011</t>
        </is>
      </c>
      <c r="E9828" t="inlineStr">
        <is>
          <t>AM05</t>
        </is>
      </c>
      <c r="F9828" s="5" t="n">
        <v>671.12</v>
      </c>
      <c r="G9828">
        <f>IF(LEFT(B9828,1)="C","Credit","Factuur")</f>
        <v/>
      </c>
      <c r="H9828">
        <f>IF(AND(B9828=B9827,D9828=D9827,A9828=A9827,F9828=F9827),1,0)</f>
        <v/>
      </c>
      <c r="I9828">
        <f>IF(C9828="C99999",1,0)</f>
        <v/>
      </c>
      <c r="J9828" s="5">
        <f>IF(OR(H9828=1,I9828=1),0,IF(G9828="Credit",-F9828,F9828))</f>
        <v/>
      </c>
    </row>
    <row r="9829">
      <c r="A9829" t="inlineStr">
        <is>
          <t>2026-09-25</t>
        </is>
      </c>
      <c r="B9829" t="inlineStr">
        <is>
          <t>F274687</t>
        </is>
      </c>
      <c r="C9829" t="inlineStr">
        <is>
          <t>C10778</t>
        </is>
      </c>
      <c r="D9829" t="inlineStr">
        <is>
          <t>SKU-10027</t>
        </is>
      </c>
      <c r="E9829" t="inlineStr">
        <is>
          <t>AM05</t>
        </is>
      </c>
      <c r="F9829" s="5" t="n">
        <v>719.42</v>
      </c>
      <c r="G9829">
        <f>IF(LEFT(B9829,1)="C","Credit","Factuur")</f>
        <v/>
      </c>
      <c r="H9829">
        <f>IF(AND(B9829=B9828,D9829=D9828,A9829=A9828,F9829=F9828),1,0)</f>
        <v/>
      </c>
      <c r="I9829">
        <f>IF(C9829="C99999",1,0)</f>
        <v/>
      </c>
      <c r="J9829" s="5">
        <f>IF(OR(H9829=1,I9829=1),0,IF(G9829="Credit",-F9829,F9829))</f>
        <v/>
      </c>
    </row>
    <row r="9830">
      <c r="A9830" t="inlineStr">
        <is>
          <t>2026-09-25</t>
        </is>
      </c>
      <c r="B9830" t="inlineStr">
        <is>
          <t>F274703</t>
        </is>
      </c>
      <c r="C9830" t="inlineStr">
        <is>
          <t>C10778</t>
        </is>
      </c>
      <c r="D9830" t="inlineStr">
        <is>
          <t>SKU-10019</t>
        </is>
      </c>
      <c r="E9830" t="inlineStr">
        <is>
          <t>AM05</t>
        </is>
      </c>
      <c r="F9830" s="5" t="n">
        <v>792.1799999999999</v>
      </c>
      <c r="G9830">
        <f>IF(LEFT(B9830,1)="C","Credit","Factuur")</f>
        <v/>
      </c>
      <c r="H9830">
        <f>IF(AND(B9830=B9829,D9830=D9829,A9830=A9829,F9830=F9829),1,0)</f>
        <v/>
      </c>
      <c r="I9830">
        <f>IF(C9830="C99999",1,0)</f>
        <v/>
      </c>
      <c r="J9830" s="5">
        <f>IF(OR(H9830=1,I9830=1),0,IF(G9830="Credit",-F9830,F9830))</f>
        <v/>
      </c>
    </row>
    <row r="9831">
      <c r="A9831" t="inlineStr">
        <is>
          <t>2026-09-25</t>
        </is>
      </c>
      <c r="B9831" t="inlineStr">
        <is>
          <t>F274790</t>
        </is>
      </c>
      <c r="C9831" t="inlineStr">
        <is>
          <t>C10782</t>
        </is>
      </c>
      <c r="D9831" t="inlineStr">
        <is>
          <t>SKU-10004</t>
        </is>
      </c>
      <c r="E9831" t="inlineStr">
        <is>
          <t>AM03</t>
        </is>
      </c>
      <c r="F9831" s="5" t="n">
        <v>559.42</v>
      </c>
      <c r="G9831">
        <f>IF(LEFT(B9831,1)="C","Credit","Factuur")</f>
        <v/>
      </c>
      <c r="H9831">
        <f>IF(AND(B9831=B9830,D9831=D9830,A9831=A9830,F9831=F9830),1,0)</f>
        <v/>
      </c>
      <c r="I9831">
        <f>IF(C9831="C99999",1,0)</f>
        <v/>
      </c>
      <c r="J9831" s="5">
        <f>IF(OR(H9831=1,I9831=1),0,IF(G9831="Credit",-F9831,F9831))</f>
        <v/>
      </c>
    </row>
    <row r="9832">
      <c r="A9832" t="inlineStr">
        <is>
          <t>2026-09-25</t>
        </is>
      </c>
      <c r="B9832" t="inlineStr">
        <is>
          <t>F274790</t>
        </is>
      </c>
      <c r="C9832" t="inlineStr">
        <is>
          <t>C10782</t>
        </is>
      </c>
      <c r="D9832" t="inlineStr">
        <is>
          <t>SKU-10023</t>
        </is>
      </c>
      <c r="E9832" t="inlineStr">
        <is>
          <t>AM03</t>
        </is>
      </c>
      <c r="F9832" s="5" t="n">
        <v>694.0700000000001</v>
      </c>
      <c r="G9832">
        <f>IF(LEFT(B9832,1)="C","Credit","Factuur")</f>
        <v/>
      </c>
      <c r="H9832">
        <f>IF(AND(B9832=B9831,D9832=D9831,A9832=A9831,F9832=F9831),1,0)</f>
        <v/>
      </c>
      <c r="I9832">
        <f>IF(C9832="C99999",1,0)</f>
        <v/>
      </c>
      <c r="J9832" s="5">
        <f>IF(OR(H9832=1,I9832=1),0,IF(G9832="Credit",-F9832,F9832))</f>
        <v/>
      </c>
    </row>
    <row r="9833">
      <c r="A9833" t="inlineStr">
        <is>
          <t>2026-09-25</t>
        </is>
      </c>
      <c r="B9833" t="inlineStr">
        <is>
          <t>F274790</t>
        </is>
      </c>
      <c r="C9833" t="inlineStr">
        <is>
          <t>C10782</t>
        </is>
      </c>
      <c r="D9833" t="inlineStr">
        <is>
          <t>SKU-10266</t>
        </is>
      </c>
      <c r="E9833" t="inlineStr">
        <is>
          <t>AM03</t>
        </is>
      </c>
      <c r="F9833" s="5" t="n">
        <v>680.2</v>
      </c>
      <c r="G9833">
        <f>IF(LEFT(B9833,1)="C","Credit","Factuur")</f>
        <v/>
      </c>
      <c r="H9833">
        <f>IF(AND(B9833=B9832,D9833=D9832,A9833=A9832,F9833=F9832),1,0)</f>
        <v/>
      </c>
      <c r="I9833">
        <f>IF(C9833="C99999",1,0)</f>
        <v/>
      </c>
      <c r="J9833" s="5">
        <f>IF(OR(H9833=1,I9833=1),0,IF(G9833="Credit",-F9833,F9833))</f>
        <v/>
      </c>
    </row>
    <row r="9834">
      <c r="A9834" t="inlineStr">
        <is>
          <t>2026-09-25</t>
        </is>
      </c>
      <c r="B9834" t="inlineStr">
        <is>
          <t>F274790</t>
        </is>
      </c>
      <c r="C9834" t="inlineStr">
        <is>
          <t>C10782</t>
        </is>
      </c>
      <c r="D9834" t="inlineStr">
        <is>
          <t>SKU-10290</t>
        </is>
      </c>
      <c r="E9834" t="inlineStr">
        <is>
          <t>AM03</t>
        </is>
      </c>
      <c r="F9834" s="5" t="n">
        <v>607.23</v>
      </c>
      <c r="G9834">
        <f>IF(LEFT(B9834,1)="C","Credit","Factuur")</f>
        <v/>
      </c>
      <c r="H9834">
        <f>IF(AND(B9834=B9833,D9834=D9833,A9834=A9833,F9834=F9833),1,0)</f>
        <v/>
      </c>
      <c r="I9834">
        <f>IF(C9834="C99999",1,0)</f>
        <v/>
      </c>
      <c r="J9834" s="5">
        <f>IF(OR(H9834=1,I9834=1),0,IF(G9834="Credit",-F9834,F9834))</f>
        <v/>
      </c>
    </row>
    <row r="9835">
      <c r="A9835" t="inlineStr">
        <is>
          <t>2026-09-25</t>
        </is>
      </c>
      <c r="B9835" t="inlineStr">
        <is>
          <t>F275029</t>
        </is>
      </c>
      <c r="C9835" t="inlineStr">
        <is>
          <t>C10792</t>
        </is>
      </c>
      <c r="D9835" t="inlineStr">
        <is>
          <t>SKU-10140</t>
        </is>
      </c>
      <c r="E9835" t="inlineStr">
        <is>
          <t>AM12</t>
        </is>
      </c>
      <c r="F9835" s="5" t="n">
        <v>2492.9</v>
      </c>
      <c r="G9835">
        <f>IF(LEFT(B9835,1)="C","Credit","Factuur")</f>
        <v/>
      </c>
      <c r="H9835">
        <f>IF(AND(B9835=B9834,D9835=D9834,A9835=A9834,F9835=F9834),1,0)</f>
        <v/>
      </c>
      <c r="I9835">
        <f>IF(C9835="C99999",1,0)</f>
        <v/>
      </c>
      <c r="J9835" s="5">
        <f>IF(OR(H9835=1,I9835=1),0,IF(G9835="Credit",-F9835,F9835))</f>
        <v/>
      </c>
    </row>
    <row r="9836">
      <c r="A9836" t="inlineStr">
        <is>
          <t>2026-09-25</t>
        </is>
      </c>
      <c r="B9836" t="inlineStr">
        <is>
          <t>F275676</t>
        </is>
      </c>
      <c r="C9836" t="inlineStr">
        <is>
          <t>C10830</t>
        </is>
      </c>
      <c r="D9836" t="inlineStr">
        <is>
          <t>SKU-10007</t>
        </is>
      </c>
      <c r="E9836" t="inlineStr">
        <is>
          <t>AM07</t>
        </is>
      </c>
      <c r="F9836" s="5" t="n">
        <v>662.34</v>
      </c>
      <c r="G9836">
        <f>IF(LEFT(B9836,1)="C","Credit","Factuur")</f>
        <v/>
      </c>
      <c r="H9836">
        <f>IF(AND(B9836=B9835,D9836=D9835,A9836=A9835,F9836=F9835),1,0)</f>
        <v/>
      </c>
      <c r="I9836">
        <f>IF(C9836="C99999",1,0)</f>
        <v/>
      </c>
      <c r="J9836" s="5">
        <f>IF(OR(H9836=1,I9836=1),0,IF(G9836="Credit",-F9836,F9836))</f>
        <v/>
      </c>
    </row>
    <row r="9837">
      <c r="A9837" t="inlineStr">
        <is>
          <t>2026-09-25</t>
        </is>
      </c>
      <c r="B9837" t="inlineStr">
        <is>
          <t>F275676</t>
        </is>
      </c>
      <c r="C9837" t="inlineStr">
        <is>
          <t>C10830</t>
        </is>
      </c>
      <c r="D9837" t="inlineStr">
        <is>
          <t>SKU-10325</t>
        </is>
      </c>
      <c r="E9837" t="inlineStr">
        <is>
          <t>AM07</t>
        </is>
      </c>
      <c r="F9837" s="5" t="n">
        <v>659.4</v>
      </c>
      <c r="G9837">
        <f>IF(LEFT(B9837,1)="C","Credit","Factuur")</f>
        <v/>
      </c>
      <c r="H9837">
        <f>IF(AND(B9837=B9836,D9837=D9836,A9837=A9836,F9837=F9836),1,0)</f>
        <v/>
      </c>
      <c r="I9837">
        <f>IF(C9837="C99999",1,0)</f>
        <v/>
      </c>
      <c r="J9837" s="5">
        <f>IF(OR(H9837=1,I9837=1),0,IF(G9837="Credit",-F9837,F9837))</f>
        <v/>
      </c>
    </row>
    <row r="9838">
      <c r="A9838" t="inlineStr">
        <is>
          <t>2026-09-25</t>
        </is>
      </c>
      <c r="B9838" t="inlineStr">
        <is>
          <t>F275695</t>
        </is>
      </c>
      <c r="C9838" t="inlineStr">
        <is>
          <t>C10831</t>
        </is>
      </c>
      <c r="D9838" t="inlineStr">
        <is>
          <t>SKU-10020</t>
        </is>
      </c>
      <c r="E9838" t="inlineStr">
        <is>
          <t>AM07</t>
        </is>
      </c>
      <c r="F9838" s="5" t="n">
        <v>79.56</v>
      </c>
      <c r="G9838">
        <f>IF(LEFT(B9838,1)="C","Credit","Factuur")</f>
        <v/>
      </c>
      <c r="H9838">
        <f>IF(AND(B9838=B9837,D9838=D9837,A9838=A9837,F9838=F9837),1,0)</f>
        <v/>
      </c>
      <c r="I9838">
        <f>IF(C9838="C99999",1,0)</f>
        <v/>
      </c>
      <c r="J9838" s="5">
        <f>IF(OR(H9838=1,I9838=1),0,IF(G9838="Credit",-F9838,F9838))</f>
        <v/>
      </c>
    </row>
    <row r="9839">
      <c r="A9839" t="inlineStr">
        <is>
          <t>2026-09-25</t>
        </is>
      </c>
      <c r="B9839" t="inlineStr">
        <is>
          <t>F275695</t>
        </is>
      </c>
      <c r="C9839" t="inlineStr">
        <is>
          <t>C10831</t>
        </is>
      </c>
      <c r="D9839" t="inlineStr">
        <is>
          <t>SKU-10096</t>
        </is>
      </c>
      <c r="E9839" t="inlineStr">
        <is>
          <t>AM07</t>
        </is>
      </c>
      <c r="F9839" s="5" t="n">
        <v>57.21</v>
      </c>
      <c r="G9839">
        <f>IF(LEFT(B9839,1)="C","Credit","Factuur")</f>
        <v/>
      </c>
      <c r="H9839">
        <f>IF(AND(B9839=B9838,D9839=D9838,A9839=A9838,F9839=F9838),1,0)</f>
        <v/>
      </c>
      <c r="I9839">
        <f>IF(C9839="C99999",1,0)</f>
        <v/>
      </c>
      <c r="J9839" s="5">
        <f>IF(OR(H9839=1,I9839=1),0,IF(G9839="Credit",-F9839,F9839))</f>
        <v/>
      </c>
    </row>
    <row r="9840">
      <c r="A9840" t="inlineStr">
        <is>
          <t>2026-09-25</t>
        </is>
      </c>
      <c r="B9840" t="inlineStr">
        <is>
          <t>F276205</t>
        </is>
      </c>
      <c r="C9840" t="inlineStr">
        <is>
          <t>C10860</t>
        </is>
      </c>
      <c r="D9840" t="inlineStr">
        <is>
          <t>SKU-10325</t>
        </is>
      </c>
      <c r="E9840" t="inlineStr">
        <is>
          <t>AM07</t>
        </is>
      </c>
      <c r="F9840" s="5" t="n">
        <v>1460.1</v>
      </c>
      <c r="G9840">
        <f>IF(LEFT(B9840,1)="C","Credit","Factuur")</f>
        <v/>
      </c>
      <c r="H9840">
        <f>IF(AND(B9840=B9839,D9840=D9839,A9840=A9839,F9840=F9839),1,0)</f>
        <v/>
      </c>
      <c r="I9840">
        <f>IF(C9840="C99999",1,0)</f>
        <v/>
      </c>
      <c r="J9840" s="5">
        <f>IF(OR(H9840=1,I9840=1),0,IF(G9840="Credit",-F9840,F9840))</f>
        <v/>
      </c>
    </row>
    <row r="9841">
      <c r="A9841" t="inlineStr">
        <is>
          <t>2026-09-25</t>
        </is>
      </c>
      <c r="B9841" t="inlineStr">
        <is>
          <t>F276287</t>
        </is>
      </c>
      <c r="C9841" t="inlineStr">
        <is>
          <t>C10863</t>
        </is>
      </c>
      <c r="D9841" t="inlineStr">
        <is>
          <t>SKU-10123</t>
        </is>
      </c>
      <c r="E9841" t="inlineStr">
        <is>
          <t>AM02</t>
        </is>
      </c>
      <c r="F9841" s="5" t="n">
        <v>2515.03</v>
      </c>
      <c r="G9841">
        <f>IF(LEFT(B9841,1)="C","Credit","Factuur")</f>
        <v/>
      </c>
      <c r="H9841">
        <f>IF(AND(B9841=B9840,D9841=D9840,A9841=A9840,F9841=F9840),1,0)</f>
        <v/>
      </c>
      <c r="I9841">
        <f>IF(C9841="C99999",1,0)</f>
        <v/>
      </c>
      <c r="J9841" s="5">
        <f>IF(OR(H9841=1,I9841=1),0,IF(G9841="Credit",-F9841,F9841))</f>
        <v/>
      </c>
    </row>
    <row r="9842">
      <c r="A9842" t="inlineStr">
        <is>
          <t>2026-09-25</t>
        </is>
      </c>
      <c r="B9842" t="inlineStr">
        <is>
          <t>F276287</t>
        </is>
      </c>
      <c r="C9842" t="inlineStr">
        <is>
          <t>C10863</t>
        </is>
      </c>
      <c r="D9842" t="inlineStr">
        <is>
          <t>SKU-10335</t>
        </is>
      </c>
      <c r="E9842" t="inlineStr">
        <is>
          <t>AM02</t>
        </is>
      </c>
      <c r="F9842" s="5" t="n">
        <v>2504.69</v>
      </c>
      <c r="G9842">
        <f>IF(LEFT(B9842,1)="C","Credit","Factuur")</f>
        <v/>
      </c>
      <c r="H9842">
        <f>IF(AND(B9842=B9841,D9842=D9841,A9842=A9841,F9842=F9841),1,0)</f>
        <v/>
      </c>
      <c r="I9842">
        <f>IF(C9842="C99999",1,0)</f>
        <v/>
      </c>
      <c r="J9842" s="5">
        <f>IF(OR(H9842=1,I9842=1),0,IF(G9842="Credit",-F9842,F9842))</f>
        <v/>
      </c>
    </row>
    <row r="9843">
      <c r="A9843" t="inlineStr">
        <is>
          <t>2026-09-25</t>
        </is>
      </c>
      <c r="B9843" t="inlineStr">
        <is>
          <t>F276867</t>
        </is>
      </c>
      <c r="C9843" t="inlineStr">
        <is>
          <t>C10893</t>
        </is>
      </c>
      <c r="D9843" t="inlineStr">
        <is>
          <t>SKU-10131</t>
        </is>
      </c>
      <c r="E9843" t="inlineStr">
        <is>
          <t>AM01</t>
        </is>
      </c>
      <c r="F9843" s="5" t="n">
        <v>332.16</v>
      </c>
      <c r="G9843">
        <f>IF(LEFT(B9843,1)="C","Credit","Factuur")</f>
        <v/>
      </c>
      <c r="H9843">
        <f>IF(AND(B9843=B9842,D9843=D9842,A9843=A9842,F9843=F9842),1,0)</f>
        <v/>
      </c>
      <c r="I9843">
        <f>IF(C9843="C99999",1,0)</f>
        <v/>
      </c>
      <c r="J9843" s="5">
        <f>IF(OR(H9843=1,I9843=1),0,IF(G9843="Credit",-F9843,F9843))</f>
        <v/>
      </c>
    </row>
    <row r="9844">
      <c r="A9844" t="inlineStr">
        <is>
          <t>2026-09-25</t>
        </is>
      </c>
      <c r="B9844" t="inlineStr">
        <is>
          <t>F277013</t>
        </is>
      </c>
      <c r="C9844" t="inlineStr">
        <is>
          <t>C10901</t>
        </is>
      </c>
      <c r="D9844" t="inlineStr">
        <is>
          <t>SKU-10039</t>
        </is>
      </c>
      <c r="E9844" t="inlineStr">
        <is>
          <t>AM02</t>
        </is>
      </c>
      <c r="F9844" s="5" t="n">
        <v>204.31</v>
      </c>
      <c r="G9844">
        <f>IF(LEFT(B9844,1)="C","Credit","Factuur")</f>
        <v/>
      </c>
      <c r="H9844">
        <f>IF(AND(B9844=B9843,D9844=D9843,A9844=A9843,F9844=F9843),1,0)</f>
        <v/>
      </c>
      <c r="I9844">
        <f>IF(C9844="C99999",1,0)</f>
        <v/>
      </c>
      <c r="J9844" s="5">
        <f>IF(OR(H9844=1,I9844=1),0,IF(G9844="Credit",-F9844,F9844))</f>
        <v/>
      </c>
    </row>
    <row r="9845">
      <c r="A9845" t="inlineStr">
        <is>
          <t>2026-09-25</t>
        </is>
      </c>
      <c r="B9845" t="inlineStr">
        <is>
          <t>F277013</t>
        </is>
      </c>
      <c r="C9845" t="inlineStr">
        <is>
          <t>C10901</t>
        </is>
      </c>
      <c r="D9845" t="inlineStr">
        <is>
          <t>SKU-10225</t>
        </is>
      </c>
      <c r="E9845" t="inlineStr">
        <is>
          <t>AM02</t>
        </is>
      </c>
      <c r="F9845" s="5" t="n">
        <v>215.22</v>
      </c>
      <c r="G9845">
        <f>IF(LEFT(B9845,1)="C","Credit","Factuur")</f>
        <v/>
      </c>
      <c r="H9845">
        <f>IF(AND(B9845=B9844,D9845=D9844,A9845=A9844,F9845=F9844),1,0)</f>
        <v/>
      </c>
      <c r="I9845">
        <f>IF(C9845="C99999",1,0)</f>
        <v/>
      </c>
      <c r="J9845" s="5">
        <f>IF(OR(H9845=1,I9845=1),0,IF(G9845="Credit",-F9845,F9845))</f>
        <v/>
      </c>
    </row>
    <row r="9846">
      <c r="A9846" t="inlineStr">
        <is>
          <t>2026-09-25</t>
        </is>
      </c>
      <c r="B9846" t="inlineStr">
        <is>
          <t>F277013</t>
        </is>
      </c>
      <c r="C9846" t="inlineStr">
        <is>
          <t>C10901</t>
        </is>
      </c>
      <c r="D9846" t="inlineStr">
        <is>
          <t>SKU-10326</t>
        </is>
      </c>
      <c r="E9846" t="inlineStr">
        <is>
          <t>AM02</t>
        </is>
      </c>
      <c r="F9846" s="5" t="n">
        <v>208.56</v>
      </c>
      <c r="G9846">
        <f>IF(LEFT(B9846,1)="C","Credit","Factuur")</f>
        <v/>
      </c>
      <c r="H9846">
        <f>IF(AND(B9846=B9845,D9846=D9845,A9846=A9845,F9846=F9845),1,0)</f>
        <v/>
      </c>
      <c r="I9846">
        <f>IF(C9846="C99999",1,0)</f>
        <v/>
      </c>
      <c r="J9846" s="5">
        <f>IF(OR(H9846=1,I9846=1),0,IF(G9846="Credit",-F9846,F9846))</f>
        <v/>
      </c>
    </row>
    <row r="9847">
      <c r="A9847" t="inlineStr">
        <is>
          <t>2026-09-25</t>
        </is>
      </c>
      <c r="B9847" t="inlineStr">
        <is>
          <t>F277176</t>
        </is>
      </c>
      <c r="C9847" t="inlineStr">
        <is>
          <t>C10912</t>
        </is>
      </c>
      <c r="D9847" t="inlineStr">
        <is>
          <t>SKU-10085</t>
        </is>
      </c>
      <c r="E9847" t="inlineStr">
        <is>
          <t>AM08</t>
        </is>
      </c>
      <c r="F9847" s="5" t="n">
        <v>1149.31</v>
      </c>
      <c r="G9847">
        <f>IF(LEFT(B9847,1)="C","Credit","Factuur")</f>
        <v/>
      </c>
      <c r="H9847">
        <f>IF(AND(B9847=B9846,D9847=D9846,A9847=A9846,F9847=F9846),1,0)</f>
        <v/>
      </c>
      <c r="I9847">
        <f>IF(C9847="C99999",1,0)</f>
        <v/>
      </c>
      <c r="J9847" s="5">
        <f>IF(OR(H9847=1,I9847=1),0,IF(G9847="Credit",-F9847,F9847))</f>
        <v/>
      </c>
    </row>
    <row r="9848">
      <c r="A9848" t="inlineStr">
        <is>
          <t>2026-09-25</t>
        </is>
      </c>
      <c r="B9848" t="inlineStr">
        <is>
          <t>F277236</t>
        </is>
      </c>
      <c r="C9848" t="inlineStr">
        <is>
          <t>C10915</t>
        </is>
      </c>
      <c r="D9848" t="inlineStr">
        <is>
          <t>SKU-10249</t>
        </is>
      </c>
      <c r="E9848" t="inlineStr">
        <is>
          <t>AM01</t>
        </is>
      </c>
      <c r="F9848" s="5" t="n">
        <v>1617.2</v>
      </c>
      <c r="G9848">
        <f>IF(LEFT(B9848,1)="C","Credit","Factuur")</f>
        <v/>
      </c>
      <c r="H9848">
        <f>IF(AND(B9848=B9847,D9848=D9847,A9848=A9847,F9848=F9847),1,0)</f>
        <v/>
      </c>
      <c r="I9848">
        <f>IF(C9848="C99999",1,0)</f>
        <v/>
      </c>
      <c r="J9848" s="5">
        <f>IF(OR(H9848=1,I9848=1),0,IF(G9848="Credit",-F9848,F9848))</f>
        <v/>
      </c>
    </row>
    <row r="9849">
      <c r="A9849" t="inlineStr">
        <is>
          <t>2026-09-25</t>
        </is>
      </c>
      <c r="B9849" t="inlineStr">
        <is>
          <t>F277236</t>
        </is>
      </c>
      <c r="C9849" t="inlineStr">
        <is>
          <t>C10915</t>
        </is>
      </c>
      <c r="D9849" t="inlineStr">
        <is>
          <t>SKU-10348</t>
        </is>
      </c>
      <c r="E9849" t="inlineStr">
        <is>
          <t>AM01</t>
        </is>
      </c>
      <c r="F9849" s="5" t="n">
        <v>1514.6</v>
      </c>
      <c r="G9849">
        <f>IF(LEFT(B9849,1)="C","Credit","Factuur")</f>
        <v/>
      </c>
      <c r="H9849">
        <f>IF(AND(B9849=B9848,D9849=D9848,A9849=A9848,F9849=F9848),1,0)</f>
        <v/>
      </c>
      <c r="I9849">
        <f>IF(C9849="C99999",1,0)</f>
        <v/>
      </c>
      <c r="J9849" s="5">
        <f>IF(OR(H9849=1,I9849=1),0,IF(G9849="Credit",-F9849,F9849))</f>
        <v/>
      </c>
    </row>
    <row r="9850">
      <c r="A9850" t="inlineStr">
        <is>
          <t>2026-09-25</t>
        </is>
      </c>
      <c r="B9850" t="inlineStr">
        <is>
          <t>F277236</t>
        </is>
      </c>
      <c r="C9850" t="inlineStr">
        <is>
          <t>C10915</t>
        </is>
      </c>
      <c r="D9850" t="inlineStr">
        <is>
          <t>SKU-10359</t>
        </is>
      </c>
      <c r="E9850" t="inlineStr">
        <is>
          <t>AM01</t>
        </is>
      </c>
      <c r="F9850" s="5" t="n">
        <v>1671.46</v>
      </c>
      <c r="G9850">
        <f>IF(LEFT(B9850,1)="C","Credit","Factuur")</f>
        <v/>
      </c>
      <c r="H9850">
        <f>IF(AND(B9850=B9849,D9850=D9849,A9850=A9849,F9850=F9849),1,0)</f>
        <v/>
      </c>
      <c r="I9850">
        <f>IF(C9850="C99999",1,0)</f>
        <v/>
      </c>
      <c r="J9850" s="5">
        <f>IF(OR(H9850=1,I9850=1),0,IF(G9850="Credit",-F9850,F9850))</f>
        <v/>
      </c>
    </row>
    <row r="9851">
      <c r="A9851" t="inlineStr">
        <is>
          <t>2026-09-25</t>
        </is>
      </c>
      <c r="B9851" t="inlineStr">
        <is>
          <t>F277485</t>
        </is>
      </c>
      <c r="C9851" t="inlineStr">
        <is>
          <t>C10928</t>
        </is>
      </c>
      <c r="D9851" t="inlineStr">
        <is>
          <t>SKU-10216</t>
        </is>
      </c>
      <c r="E9851" t="inlineStr">
        <is>
          <t>AM12</t>
        </is>
      </c>
      <c r="F9851" s="5" t="n">
        <v>115.28</v>
      </c>
      <c r="G9851">
        <f>IF(LEFT(B9851,1)="C","Credit","Factuur")</f>
        <v/>
      </c>
      <c r="H9851">
        <f>IF(AND(B9851=B9850,D9851=D9850,A9851=A9850,F9851=F9850),1,0)</f>
        <v/>
      </c>
      <c r="I9851">
        <f>IF(C9851="C99999",1,0)</f>
        <v/>
      </c>
      <c r="J9851" s="5">
        <f>IF(OR(H9851=1,I9851=1),0,IF(G9851="Credit",-F9851,F9851))</f>
        <v/>
      </c>
    </row>
    <row r="9852">
      <c r="A9852" t="inlineStr">
        <is>
          <t>2026-09-25</t>
        </is>
      </c>
      <c r="B9852" t="inlineStr">
        <is>
          <t>F277485</t>
        </is>
      </c>
      <c r="C9852" t="inlineStr">
        <is>
          <t>C10928</t>
        </is>
      </c>
      <c r="D9852" t="inlineStr">
        <is>
          <t>SKU-10292</t>
        </is>
      </c>
      <c r="E9852" t="inlineStr">
        <is>
          <t>AM12</t>
        </is>
      </c>
      <c r="F9852" s="5" t="n">
        <v>103.02</v>
      </c>
      <c r="G9852">
        <f>IF(LEFT(B9852,1)="C","Credit","Factuur")</f>
        <v/>
      </c>
      <c r="H9852">
        <f>IF(AND(B9852=B9851,D9852=D9851,A9852=A9851,F9852=F9851),1,0)</f>
        <v/>
      </c>
      <c r="I9852">
        <f>IF(C9852="C99999",1,0)</f>
        <v/>
      </c>
      <c r="J9852" s="5">
        <f>IF(OR(H9852=1,I9852=1),0,IF(G9852="Credit",-F9852,F9852))</f>
        <v/>
      </c>
    </row>
    <row r="9853">
      <c r="A9853" t="inlineStr">
        <is>
          <t>2026-09-25</t>
        </is>
      </c>
      <c r="B9853" t="inlineStr">
        <is>
          <t>F278130</t>
        </is>
      </c>
      <c r="C9853" t="inlineStr">
        <is>
          <t>C10963</t>
        </is>
      </c>
      <c r="D9853" t="inlineStr">
        <is>
          <t>SKU-10030</t>
        </is>
      </c>
      <c r="E9853" t="inlineStr">
        <is>
          <t>AM07</t>
        </is>
      </c>
      <c r="F9853" s="5" t="n">
        <v>1904.21</v>
      </c>
      <c r="G9853">
        <f>IF(LEFT(B9853,1)="C","Credit","Factuur")</f>
        <v/>
      </c>
      <c r="H9853">
        <f>IF(AND(B9853=B9852,D9853=D9852,A9853=A9852,F9853=F9852),1,0)</f>
        <v/>
      </c>
      <c r="I9853">
        <f>IF(C9853="C99999",1,0)</f>
        <v/>
      </c>
      <c r="J9853" s="5">
        <f>IF(OR(H9853=1,I9853=1),0,IF(G9853="Credit",-F9853,F9853))</f>
        <v/>
      </c>
    </row>
    <row r="9854">
      <c r="A9854" t="inlineStr">
        <is>
          <t>2026-09-25</t>
        </is>
      </c>
      <c r="B9854" t="inlineStr">
        <is>
          <t>F278366</t>
        </is>
      </c>
      <c r="C9854" t="inlineStr">
        <is>
          <t>C10973</t>
        </is>
      </c>
      <c r="D9854" t="inlineStr">
        <is>
          <t>SKU-10137</t>
        </is>
      </c>
      <c r="E9854" t="inlineStr">
        <is>
          <t>AM08</t>
        </is>
      </c>
      <c r="F9854" s="5" t="n">
        <v>920.0700000000001</v>
      </c>
      <c r="G9854">
        <f>IF(LEFT(B9854,1)="C","Credit","Factuur")</f>
        <v/>
      </c>
      <c r="H9854">
        <f>IF(AND(B9854=B9853,D9854=D9853,A9854=A9853,F9854=F9853),1,0)</f>
        <v/>
      </c>
      <c r="I9854">
        <f>IF(C9854="C99999",1,0)</f>
        <v/>
      </c>
      <c r="J9854" s="5">
        <f>IF(OR(H9854=1,I9854=1),0,IF(G9854="Credit",-F9854,F9854))</f>
        <v/>
      </c>
    </row>
    <row r="9855">
      <c r="A9855" t="inlineStr">
        <is>
          <t>2026-09-25</t>
        </is>
      </c>
      <c r="B9855" t="inlineStr">
        <is>
          <t>F278366</t>
        </is>
      </c>
      <c r="C9855" t="inlineStr">
        <is>
          <t>C10973</t>
        </is>
      </c>
      <c r="D9855" t="inlineStr">
        <is>
          <t>SKU-10279</t>
        </is>
      </c>
      <c r="E9855" t="inlineStr">
        <is>
          <t>AM08</t>
        </is>
      </c>
      <c r="F9855" s="5" t="n">
        <v>895.3200000000001</v>
      </c>
      <c r="G9855">
        <f>IF(LEFT(B9855,1)="C","Credit","Factuur")</f>
        <v/>
      </c>
      <c r="H9855">
        <f>IF(AND(B9855=B9854,D9855=D9854,A9855=A9854,F9855=F9854),1,0)</f>
        <v/>
      </c>
      <c r="I9855">
        <f>IF(C9855="C99999",1,0)</f>
        <v/>
      </c>
      <c r="J9855" s="5">
        <f>IF(OR(H9855=1,I9855=1),0,IF(G9855="Credit",-F9855,F9855))</f>
        <v/>
      </c>
    </row>
    <row r="9856">
      <c r="A9856" t="inlineStr">
        <is>
          <t>2026-09-25</t>
        </is>
      </c>
      <c r="B9856" t="inlineStr">
        <is>
          <t>F278433</t>
        </is>
      </c>
      <c r="C9856" t="inlineStr">
        <is>
          <t>C10978</t>
        </is>
      </c>
      <c r="D9856" t="inlineStr">
        <is>
          <t>SKU-10084</t>
        </is>
      </c>
      <c r="E9856" t="inlineStr">
        <is>
          <t>AM06</t>
        </is>
      </c>
      <c r="F9856" s="5" t="n">
        <v>203.8</v>
      </c>
      <c r="G9856">
        <f>IF(LEFT(B9856,1)="C","Credit","Factuur")</f>
        <v/>
      </c>
      <c r="H9856">
        <f>IF(AND(B9856=B9855,D9856=D9855,A9856=A9855,F9856=F9855),1,0)</f>
        <v/>
      </c>
      <c r="I9856">
        <f>IF(C9856="C99999",1,0)</f>
        <v/>
      </c>
      <c r="J9856" s="5">
        <f>IF(OR(H9856=1,I9856=1),0,IF(G9856="Credit",-F9856,F9856))</f>
        <v/>
      </c>
    </row>
    <row r="9857">
      <c r="A9857" t="inlineStr">
        <is>
          <t>2026-09-25</t>
        </is>
      </c>
      <c r="B9857" t="inlineStr">
        <is>
          <t>F278433</t>
        </is>
      </c>
      <c r="C9857" t="inlineStr">
        <is>
          <t>C10978</t>
        </is>
      </c>
      <c r="D9857" t="inlineStr">
        <is>
          <t>SKU-10208</t>
        </is>
      </c>
      <c r="E9857" t="inlineStr">
        <is>
          <t>AM06</t>
        </is>
      </c>
      <c r="F9857" s="5" t="n">
        <v>198.47</v>
      </c>
      <c r="G9857">
        <f>IF(LEFT(B9857,1)="C","Credit","Factuur")</f>
        <v/>
      </c>
      <c r="H9857">
        <f>IF(AND(B9857=B9856,D9857=D9856,A9857=A9856,F9857=F9856),1,0)</f>
        <v/>
      </c>
      <c r="I9857">
        <f>IF(C9857="C99999",1,0)</f>
        <v/>
      </c>
      <c r="J9857" s="5">
        <f>IF(OR(H9857=1,I9857=1),0,IF(G9857="Credit",-F9857,F9857))</f>
        <v/>
      </c>
    </row>
    <row r="9858">
      <c r="A9858" t="inlineStr">
        <is>
          <t>2026-09-25</t>
        </is>
      </c>
      <c r="B9858" t="inlineStr">
        <is>
          <t>F278433</t>
        </is>
      </c>
      <c r="C9858" t="inlineStr">
        <is>
          <t>C10978</t>
        </is>
      </c>
      <c r="D9858" t="inlineStr">
        <is>
          <t>SKU-10333</t>
        </is>
      </c>
      <c r="E9858" t="inlineStr">
        <is>
          <t>AM06</t>
        </is>
      </c>
      <c r="F9858" s="5" t="n">
        <v>196.56</v>
      </c>
      <c r="G9858">
        <f>IF(LEFT(B9858,1)="C","Credit","Factuur")</f>
        <v/>
      </c>
      <c r="H9858">
        <f>IF(AND(B9858=B9857,D9858=D9857,A9858=A9857,F9858=F9857),1,0)</f>
        <v/>
      </c>
      <c r="I9858">
        <f>IF(C9858="C99999",1,0)</f>
        <v/>
      </c>
      <c r="J9858" s="5">
        <f>IF(OR(H9858=1,I9858=1),0,IF(G9858="Credit",-F9858,F9858))</f>
        <v/>
      </c>
    </row>
    <row r="9859">
      <c r="A9859" t="inlineStr">
        <is>
          <t>2026-09-25</t>
        </is>
      </c>
      <c r="B9859" t="inlineStr">
        <is>
          <t>F278433</t>
        </is>
      </c>
      <c r="C9859" t="inlineStr">
        <is>
          <t>C10978</t>
        </is>
      </c>
      <c r="D9859" t="inlineStr">
        <is>
          <t>SKU-10364</t>
        </is>
      </c>
      <c r="E9859" t="inlineStr">
        <is>
          <t>AM06</t>
        </is>
      </c>
      <c r="F9859" s="5" t="n">
        <v>350.39</v>
      </c>
      <c r="G9859">
        <f>IF(LEFT(B9859,1)="C","Credit","Factuur")</f>
        <v/>
      </c>
      <c r="H9859">
        <f>IF(AND(B9859=B9858,D9859=D9858,A9859=A9858,F9859=F9858),1,0)</f>
        <v/>
      </c>
      <c r="I9859">
        <f>IF(C9859="C99999",1,0)</f>
        <v/>
      </c>
      <c r="J9859" s="5">
        <f>IF(OR(H9859=1,I9859=1),0,IF(G9859="Credit",-F9859,F9859))</f>
        <v/>
      </c>
    </row>
    <row r="9860">
      <c r="A9860" t="inlineStr">
        <is>
          <t>2026-09-25</t>
        </is>
      </c>
      <c r="B9860" t="inlineStr">
        <is>
          <t>F278456</t>
        </is>
      </c>
      <c r="C9860" t="inlineStr">
        <is>
          <t>C10978</t>
        </is>
      </c>
      <c r="D9860" t="inlineStr">
        <is>
          <t>SKU-10029</t>
        </is>
      </c>
      <c r="E9860" t="inlineStr">
        <is>
          <t>AM06</t>
        </is>
      </c>
      <c r="F9860" s="5" t="n">
        <v>297.72</v>
      </c>
      <c r="G9860">
        <f>IF(LEFT(B9860,1)="C","Credit","Factuur")</f>
        <v/>
      </c>
      <c r="H9860">
        <f>IF(AND(B9860=B9859,D9860=D9859,A9860=A9859,F9860=F9859),1,0)</f>
        <v/>
      </c>
      <c r="I9860">
        <f>IF(C9860="C99999",1,0)</f>
        <v/>
      </c>
      <c r="J9860" s="5">
        <f>IF(OR(H9860=1,I9860=1),0,IF(G9860="Credit",-F9860,F9860))</f>
        <v/>
      </c>
    </row>
    <row r="9861">
      <c r="A9861" t="inlineStr">
        <is>
          <t>2026-09-25</t>
        </is>
      </c>
      <c r="B9861" t="inlineStr">
        <is>
          <t>F278456</t>
        </is>
      </c>
      <c r="C9861" t="inlineStr">
        <is>
          <t>C10978</t>
        </is>
      </c>
      <c r="D9861" t="inlineStr">
        <is>
          <t>SKU-10311</t>
        </is>
      </c>
      <c r="E9861" t="inlineStr">
        <is>
          <t>AM06</t>
        </is>
      </c>
      <c r="F9861" s="5" t="n">
        <v>262.57</v>
      </c>
      <c r="G9861">
        <f>IF(LEFT(B9861,1)="C","Credit","Factuur")</f>
        <v/>
      </c>
      <c r="H9861">
        <f>IF(AND(B9861=B9860,D9861=D9860,A9861=A9860,F9861=F9860),1,0)</f>
        <v/>
      </c>
      <c r="I9861">
        <f>IF(C9861="C99999",1,0)</f>
        <v/>
      </c>
      <c r="J9861" s="5">
        <f>IF(OR(H9861=1,I9861=1),0,IF(G9861="Credit",-F9861,F9861))</f>
        <v/>
      </c>
    </row>
    <row r="9862">
      <c r="A9862" t="inlineStr">
        <is>
          <t>2026-09-25</t>
        </is>
      </c>
      <c r="B9862" t="inlineStr">
        <is>
          <t>F278456</t>
        </is>
      </c>
      <c r="C9862" t="inlineStr">
        <is>
          <t>C10978</t>
        </is>
      </c>
      <c r="D9862" t="inlineStr">
        <is>
          <t>SKU-10323</t>
        </is>
      </c>
      <c r="E9862" t="inlineStr">
        <is>
          <t>AM06</t>
        </is>
      </c>
      <c r="F9862" s="5" t="n">
        <v>300.05</v>
      </c>
      <c r="G9862">
        <f>IF(LEFT(B9862,1)="C","Credit","Factuur")</f>
        <v/>
      </c>
      <c r="H9862">
        <f>IF(AND(B9862=B9861,D9862=D9861,A9862=A9861,F9862=F9861),1,0)</f>
        <v/>
      </c>
      <c r="I9862">
        <f>IF(C9862="C99999",1,0)</f>
        <v/>
      </c>
      <c r="J9862" s="5">
        <f>IF(OR(H9862=1,I9862=1),0,IF(G9862="Credit",-F9862,F9862))</f>
        <v/>
      </c>
    </row>
    <row r="9863">
      <c r="A9863" t="inlineStr">
        <is>
          <t>2026-09-25</t>
        </is>
      </c>
      <c r="B9863" t="inlineStr">
        <is>
          <t>F278468</t>
        </is>
      </c>
      <c r="C9863" t="inlineStr">
        <is>
          <t>C10978</t>
        </is>
      </c>
      <c r="D9863" t="inlineStr">
        <is>
          <t>SKU-10018</t>
        </is>
      </c>
      <c r="E9863" t="inlineStr">
        <is>
          <t>AM06</t>
        </is>
      </c>
      <c r="F9863" s="5" t="n">
        <v>214.44</v>
      </c>
      <c r="G9863">
        <f>IF(LEFT(B9863,1)="C","Credit","Factuur")</f>
        <v/>
      </c>
      <c r="H9863">
        <f>IF(AND(B9863=B9862,D9863=D9862,A9863=A9862,F9863=F9862),1,0)</f>
        <v/>
      </c>
      <c r="I9863">
        <f>IF(C9863="C99999",1,0)</f>
        <v/>
      </c>
      <c r="J9863" s="5">
        <f>IF(OR(H9863=1,I9863=1),0,IF(G9863="Credit",-F9863,F9863))</f>
        <v/>
      </c>
    </row>
    <row r="9864">
      <c r="A9864" t="inlineStr">
        <is>
          <t>2026-09-25</t>
        </is>
      </c>
      <c r="B9864" t="inlineStr">
        <is>
          <t>F278468</t>
        </is>
      </c>
      <c r="C9864" t="inlineStr">
        <is>
          <t>C10978</t>
        </is>
      </c>
      <c r="D9864" t="inlineStr">
        <is>
          <t>SKU-10036</t>
        </is>
      </c>
      <c r="E9864" t="inlineStr">
        <is>
          <t>AM06</t>
        </is>
      </c>
      <c r="F9864" s="5" t="n">
        <v>221.75</v>
      </c>
      <c r="G9864">
        <f>IF(LEFT(B9864,1)="C","Credit","Factuur")</f>
        <v/>
      </c>
      <c r="H9864">
        <f>IF(AND(B9864=B9863,D9864=D9863,A9864=A9863,F9864=F9863),1,0)</f>
        <v/>
      </c>
      <c r="I9864">
        <f>IF(C9864="C99999",1,0)</f>
        <v/>
      </c>
      <c r="J9864" s="5">
        <f>IF(OR(H9864=1,I9864=1),0,IF(G9864="Credit",-F9864,F9864))</f>
        <v/>
      </c>
    </row>
    <row r="9865">
      <c r="A9865" t="inlineStr">
        <is>
          <t>2026-09-25</t>
        </is>
      </c>
      <c r="B9865" t="inlineStr">
        <is>
          <t>F278468</t>
        </is>
      </c>
      <c r="C9865" t="inlineStr">
        <is>
          <t>C10978</t>
        </is>
      </c>
      <c r="D9865" t="inlineStr">
        <is>
          <t>SKU-10294</t>
        </is>
      </c>
      <c r="E9865" t="inlineStr">
        <is>
          <t>AM06</t>
        </is>
      </c>
      <c r="F9865" s="5" t="n">
        <v>188.04</v>
      </c>
      <c r="G9865">
        <f>IF(LEFT(B9865,1)="C","Credit","Factuur")</f>
        <v/>
      </c>
      <c r="H9865">
        <f>IF(AND(B9865=B9864,D9865=D9864,A9865=A9864,F9865=F9864),1,0)</f>
        <v/>
      </c>
      <c r="I9865">
        <f>IF(C9865="C99999",1,0)</f>
        <v/>
      </c>
      <c r="J9865" s="5">
        <f>IF(OR(H9865=1,I9865=1),0,IF(G9865="Credit",-F9865,F9865))</f>
        <v/>
      </c>
    </row>
    <row r="9866">
      <c r="A9866" t="inlineStr">
        <is>
          <t>2026-09-25</t>
        </is>
      </c>
      <c r="B9866" t="inlineStr">
        <is>
          <t>F278468</t>
        </is>
      </c>
      <c r="C9866" t="inlineStr">
        <is>
          <t>C10978</t>
        </is>
      </c>
      <c r="D9866" t="inlineStr">
        <is>
          <t>SKU-10362</t>
        </is>
      </c>
      <c r="E9866" t="inlineStr">
        <is>
          <t>AM06</t>
        </is>
      </c>
      <c r="F9866" s="5" t="n">
        <v>178.2</v>
      </c>
      <c r="G9866">
        <f>IF(LEFT(B9866,1)="C","Credit","Factuur")</f>
        <v/>
      </c>
      <c r="H9866">
        <f>IF(AND(B9866=B9865,D9866=D9865,A9866=A9865,F9866=F9865),1,0)</f>
        <v/>
      </c>
      <c r="I9866">
        <f>IF(C9866="C99999",1,0)</f>
        <v/>
      </c>
      <c r="J9866" s="5">
        <f>IF(OR(H9866=1,I9866=1),0,IF(G9866="Credit",-F9866,F9866))</f>
        <v/>
      </c>
    </row>
    <row r="9867">
      <c r="A9867" t="inlineStr">
        <is>
          <t>2026-09-25</t>
        </is>
      </c>
      <c r="B9867" t="inlineStr">
        <is>
          <t>F278594</t>
        </is>
      </c>
      <c r="C9867" t="inlineStr">
        <is>
          <t>C10986</t>
        </is>
      </c>
      <c r="D9867" t="inlineStr">
        <is>
          <t>SKU-10117</t>
        </is>
      </c>
      <c r="E9867" t="inlineStr">
        <is>
          <t>AM08</t>
        </is>
      </c>
      <c r="F9867" s="5" t="n">
        <v>230.2</v>
      </c>
      <c r="G9867">
        <f>IF(LEFT(B9867,1)="C","Credit","Factuur")</f>
        <v/>
      </c>
      <c r="H9867">
        <f>IF(AND(B9867=B9866,D9867=D9866,A9867=A9866,F9867=F9866),1,0)</f>
        <v/>
      </c>
      <c r="I9867">
        <f>IF(C9867="C99999",1,0)</f>
        <v/>
      </c>
      <c r="J9867" s="5">
        <f>IF(OR(H9867=1,I9867=1),0,IF(G9867="Credit",-F9867,F9867))</f>
        <v/>
      </c>
    </row>
    <row r="9868">
      <c r="A9868" t="inlineStr">
        <is>
          <t>2026-09-25</t>
        </is>
      </c>
      <c r="B9868" t="inlineStr">
        <is>
          <t>F278594</t>
        </is>
      </c>
      <c r="C9868" t="inlineStr">
        <is>
          <t>C10986</t>
        </is>
      </c>
      <c r="D9868" t="inlineStr">
        <is>
          <t>SKU-10226</t>
        </is>
      </c>
      <c r="E9868" t="inlineStr">
        <is>
          <t>AM08</t>
        </is>
      </c>
      <c r="F9868" s="5" t="n">
        <v>227.11</v>
      </c>
      <c r="G9868">
        <f>IF(LEFT(B9868,1)="C","Credit","Factuur")</f>
        <v/>
      </c>
      <c r="H9868">
        <f>IF(AND(B9868=B9867,D9868=D9867,A9868=A9867,F9868=F9867),1,0)</f>
        <v/>
      </c>
      <c r="I9868">
        <f>IF(C9868="C99999",1,0)</f>
        <v/>
      </c>
      <c r="J9868" s="5">
        <f>IF(OR(H9868=1,I9868=1),0,IF(G9868="Credit",-F9868,F9868))</f>
        <v/>
      </c>
    </row>
    <row r="9869">
      <c r="A9869" t="inlineStr">
        <is>
          <t>2026-09-25</t>
        </is>
      </c>
      <c r="B9869" t="inlineStr">
        <is>
          <t>F278594</t>
        </is>
      </c>
      <c r="C9869" t="inlineStr">
        <is>
          <t>C10986</t>
        </is>
      </c>
      <c r="D9869" t="inlineStr">
        <is>
          <t>SKU-10245</t>
        </is>
      </c>
      <c r="E9869" t="inlineStr">
        <is>
          <t>AM08</t>
        </is>
      </c>
      <c r="F9869" s="5" t="n">
        <v>266</v>
      </c>
      <c r="G9869">
        <f>IF(LEFT(B9869,1)="C","Credit","Factuur")</f>
        <v/>
      </c>
      <c r="H9869">
        <f>IF(AND(B9869=B9868,D9869=D9868,A9869=A9868,F9869=F9868),1,0)</f>
        <v/>
      </c>
      <c r="I9869">
        <f>IF(C9869="C99999",1,0)</f>
        <v/>
      </c>
      <c r="J9869" s="5">
        <f>IF(OR(H9869=1,I9869=1),0,IF(G9869="Credit",-F9869,F9869))</f>
        <v/>
      </c>
    </row>
    <row r="9870">
      <c r="A9870" t="inlineStr">
        <is>
          <t>2026-09-25</t>
        </is>
      </c>
      <c r="B9870" t="inlineStr">
        <is>
          <t>F278779</t>
        </is>
      </c>
      <c r="C9870" t="inlineStr">
        <is>
          <t>C10996</t>
        </is>
      </c>
      <c r="D9870" t="inlineStr">
        <is>
          <t>SKU-10128</t>
        </is>
      </c>
      <c r="E9870" t="inlineStr">
        <is>
          <t>AM02</t>
        </is>
      </c>
      <c r="F9870" s="5" t="n">
        <v>35.71</v>
      </c>
      <c r="G9870">
        <f>IF(LEFT(B9870,1)="C","Credit","Factuur")</f>
        <v/>
      </c>
      <c r="H9870">
        <f>IF(AND(B9870=B9869,D9870=D9869,A9870=A9869,F9870=F9869),1,0)</f>
        <v/>
      </c>
      <c r="I9870">
        <f>IF(C9870="C99999",1,0)</f>
        <v/>
      </c>
      <c r="J9870" s="5">
        <f>IF(OR(H9870=1,I9870=1),0,IF(G9870="Credit",-F9870,F9870))</f>
        <v/>
      </c>
    </row>
    <row r="9871">
      <c r="A9871" t="inlineStr">
        <is>
          <t>2026-09-25</t>
        </is>
      </c>
      <c r="B9871" t="inlineStr">
        <is>
          <t>F278779</t>
        </is>
      </c>
      <c r="C9871" t="inlineStr">
        <is>
          <t>C10996</t>
        </is>
      </c>
      <c r="D9871" t="inlineStr">
        <is>
          <t>SKU-10154</t>
        </is>
      </c>
      <c r="E9871" t="inlineStr">
        <is>
          <t>AM02</t>
        </is>
      </c>
      <c r="F9871" s="5" t="n">
        <v>49.14</v>
      </c>
      <c r="G9871">
        <f>IF(LEFT(B9871,1)="C","Credit","Factuur")</f>
        <v/>
      </c>
      <c r="H9871">
        <f>IF(AND(B9871=B9870,D9871=D9870,A9871=A9870,F9871=F9870),1,0)</f>
        <v/>
      </c>
      <c r="I9871">
        <f>IF(C9871="C99999",1,0)</f>
        <v/>
      </c>
      <c r="J9871" s="5">
        <f>IF(OR(H9871=1,I9871=1),0,IF(G9871="Credit",-F9871,F9871))</f>
        <v/>
      </c>
    </row>
    <row r="9872">
      <c r="A9872" t="inlineStr">
        <is>
          <t>2026-09-25</t>
        </is>
      </c>
      <c r="B9872" t="inlineStr">
        <is>
          <t>F278779</t>
        </is>
      </c>
      <c r="C9872" t="inlineStr">
        <is>
          <t>C10996</t>
        </is>
      </c>
      <c r="D9872" t="inlineStr">
        <is>
          <t>SKU-10181</t>
        </is>
      </c>
      <c r="E9872" t="inlineStr">
        <is>
          <t>AM02</t>
        </is>
      </c>
      <c r="F9872" s="5" t="n">
        <v>41.54</v>
      </c>
      <c r="G9872">
        <f>IF(LEFT(B9872,1)="C","Credit","Factuur")</f>
        <v/>
      </c>
      <c r="H9872">
        <f>IF(AND(B9872=B9871,D9872=D9871,A9872=A9871,F9872=F9871),1,0)</f>
        <v/>
      </c>
      <c r="I9872">
        <f>IF(C9872="C99999",1,0)</f>
        <v/>
      </c>
      <c r="J9872" s="5">
        <f>IF(OR(H9872=1,I9872=1),0,IF(G9872="Credit",-F9872,F9872))</f>
        <v/>
      </c>
    </row>
    <row r="9873">
      <c r="A9873" t="inlineStr">
        <is>
          <t>2026-09-25</t>
        </is>
      </c>
      <c r="B9873" t="inlineStr">
        <is>
          <t>F278779</t>
        </is>
      </c>
      <c r="C9873" t="inlineStr">
        <is>
          <t>C10996</t>
        </is>
      </c>
      <c r="D9873" t="inlineStr">
        <is>
          <t>SKU-10184</t>
        </is>
      </c>
      <c r="E9873" t="inlineStr">
        <is>
          <t>AM02</t>
        </is>
      </c>
      <c r="F9873" s="5" t="n">
        <v>51.88</v>
      </c>
      <c r="G9873">
        <f>IF(LEFT(B9873,1)="C","Credit","Factuur")</f>
        <v/>
      </c>
      <c r="H9873">
        <f>IF(AND(B9873=B9872,D9873=D9872,A9873=A9872,F9873=F9872),1,0)</f>
        <v/>
      </c>
      <c r="I9873">
        <f>IF(C9873="C99999",1,0)</f>
        <v/>
      </c>
      <c r="J9873" s="5">
        <f>IF(OR(H9873=1,I9873=1),0,IF(G9873="Credit",-F9873,F9873))</f>
        <v/>
      </c>
    </row>
    <row r="9874">
      <c r="A9874" t="inlineStr">
        <is>
          <t>2026-09-25</t>
        </is>
      </c>
      <c r="B9874" t="inlineStr">
        <is>
          <t>F278779</t>
        </is>
      </c>
      <c r="C9874" t="inlineStr">
        <is>
          <t>C10996</t>
        </is>
      </c>
      <c r="D9874" t="inlineStr">
        <is>
          <t>SKU-10330</t>
        </is>
      </c>
      <c r="E9874" t="inlineStr">
        <is>
          <t>AM02</t>
        </is>
      </c>
      <c r="F9874" s="5" t="n">
        <v>56.58</v>
      </c>
      <c r="G9874">
        <f>IF(LEFT(B9874,1)="C","Credit","Factuur")</f>
        <v/>
      </c>
      <c r="H9874">
        <f>IF(AND(B9874=B9873,D9874=D9873,A9874=A9873,F9874=F9873),1,0)</f>
        <v/>
      </c>
      <c r="I9874">
        <f>IF(C9874="C99999",1,0)</f>
        <v/>
      </c>
      <c r="J9874" s="5">
        <f>IF(OR(H9874=1,I9874=1),0,IF(G9874="Credit",-F9874,F9874))</f>
        <v/>
      </c>
    </row>
    <row r="9875">
      <c r="A9875" t="inlineStr">
        <is>
          <t>2026-09-25</t>
        </is>
      </c>
      <c r="B9875" t="inlineStr">
        <is>
          <t>F278869</t>
        </is>
      </c>
      <c r="C9875" t="inlineStr">
        <is>
          <t>C10999</t>
        </is>
      </c>
      <c r="D9875" t="inlineStr">
        <is>
          <t>SKU-10301</t>
        </is>
      </c>
      <c r="E9875" t="inlineStr">
        <is>
          <t>AM03</t>
        </is>
      </c>
      <c r="F9875" s="5" t="n">
        <v>1482.57</v>
      </c>
      <c r="G9875">
        <f>IF(LEFT(B9875,1)="C","Credit","Factuur")</f>
        <v/>
      </c>
      <c r="H9875">
        <f>IF(AND(B9875=B9874,D9875=D9874,A9875=A9874,F9875=F9874),1,0)</f>
        <v/>
      </c>
      <c r="I9875">
        <f>IF(C9875="C99999",1,0)</f>
        <v/>
      </c>
      <c r="J9875" s="5">
        <f>IF(OR(H9875=1,I9875=1),0,IF(G9875="Credit",-F9875,F9875))</f>
        <v/>
      </c>
    </row>
    <row r="9876">
      <c r="A9876" t="inlineStr">
        <is>
          <t>2026-09-25</t>
        </is>
      </c>
      <c r="B9876" t="inlineStr">
        <is>
          <t>F278981</t>
        </is>
      </c>
      <c r="C9876" t="inlineStr">
        <is>
          <t>C11006</t>
        </is>
      </c>
      <c r="D9876" t="inlineStr">
        <is>
          <t>SKU-10014</t>
        </is>
      </c>
      <c r="E9876" t="inlineStr">
        <is>
          <t>AM11</t>
        </is>
      </c>
      <c r="F9876" s="5" t="n">
        <v>275.2</v>
      </c>
      <c r="G9876">
        <f>IF(LEFT(B9876,1)="C","Credit","Factuur")</f>
        <v/>
      </c>
      <c r="H9876">
        <f>IF(AND(B9876=B9875,D9876=D9875,A9876=A9875,F9876=F9875),1,0)</f>
        <v/>
      </c>
      <c r="I9876">
        <f>IF(C9876="C99999",1,0)</f>
        <v/>
      </c>
      <c r="J9876" s="5">
        <f>IF(OR(H9876=1,I9876=1),0,IF(G9876="Credit",-F9876,F9876))</f>
        <v/>
      </c>
    </row>
    <row r="9877">
      <c r="A9877" t="inlineStr">
        <is>
          <t>2026-09-25</t>
        </is>
      </c>
      <c r="B9877" t="inlineStr">
        <is>
          <t>F278981</t>
        </is>
      </c>
      <c r="C9877" t="inlineStr">
        <is>
          <t>C11006</t>
        </is>
      </c>
      <c r="D9877" t="inlineStr">
        <is>
          <t>SKU-10079</t>
        </is>
      </c>
      <c r="E9877" t="inlineStr">
        <is>
          <t>AM11</t>
        </is>
      </c>
      <c r="F9877" s="5" t="n">
        <v>267.86</v>
      </c>
      <c r="G9877">
        <f>IF(LEFT(B9877,1)="C","Credit","Factuur")</f>
        <v/>
      </c>
      <c r="H9877">
        <f>IF(AND(B9877=B9876,D9877=D9876,A9877=A9876,F9877=F9876),1,0)</f>
        <v/>
      </c>
      <c r="I9877">
        <f>IF(C9877="C99999",1,0)</f>
        <v/>
      </c>
      <c r="J9877" s="5">
        <f>IF(OR(H9877=1,I9877=1),0,IF(G9877="Credit",-F9877,F9877))</f>
        <v/>
      </c>
    </row>
    <row r="9878">
      <c r="A9878" t="inlineStr">
        <is>
          <t>2026-09-25</t>
        </is>
      </c>
      <c r="B9878" t="inlineStr">
        <is>
          <t>F278981</t>
        </is>
      </c>
      <c r="C9878" t="inlineStr">
        <is>
          <t>C11006</t>
        </is>
      </c>
      <c r="D9878" t="inlineStr">
        <is>
          <t>SKU-10324</t>
        </is>
      </c>
      <c r="E9878" t="inlineStr">
        <is>
          <t>AM11</t>
        </is>
      </c>
      <c r="F9878" s="5" t="n">
        <v>282.36</v>
      </c>
      <c r="G9878">
        <f>IF(LEFT(B9878,1)="C","Credit","Factuur")</f>
        <v/>
      </c>
      <c r="H9878">
        <f>IF(AND(B9878=B9877,D9878=D9877,A9878=A9877,F9878=F9877),1,0)</f>
        <v/>
      </c>
      <c r="I9878">
        <f>IF(C9878="C99999",1,0)</f>
        <v/>
      </c>
      <c r="J9878" s="5">
        <f>IF(OR(H9878=1,I9878=1),0,IF(G9878="Credit",-F9878,F9878))</f>
        <v/>
      </c>
    </row>
    <row r="9879">
      <c r="A9879" t="inlineStr">
        <is>
          <t>2026-09-25</t>
        </is>
      </c>
      <c r="B9879" t="inlineStr">
        <is>
          <t>F278981</t>
        </is>
      </c>
      <c r="C9879" t="inlineStr">
        <is>
          <t>C11006</t>
        </is>
      </c>
      <c r="D9879" t="inlineStr">
        <is>
          <t>SKU-10336</t>
        </is>
      </c>
      <c r="E9879" t="inlineStr">
        <is>
          <t>AM11</t>
        </is>
      </c>
      <c r="F9879" s="5" t="n">
        <v>296.28</v>
      </c>
      <c r="G9879">
        <f>IF(LEFT(B9879,1)="C","Credit","Factuur")</f>
        <v/>
      </c>
      <c r="H9879">
        <f>IF(AND(B9879=B9878,D9879=D9878,A9879=A9878,F9879=F9878),1,0)</f>
        <v/>
      </c>
      <c r="I9879">
        <f>IF(C9879="C99999",1,0)</f>
        <v/>
      </c>
      <c r="J9879" s="5">
        <f>IF(OR(H9879=1,I9879=1),0,IF(G9879="Credit",-F9879,F9879))</f>
        <v/>
      </c>
    </row>
    <row r="9880">
      <c r="A9880" t="inlineStr">
        <is>
          <t>2026-09-25</t>
        </is>
      </c>
      <c r="B9880" t="inlineStr">
        <is>
          <t>F279037</t>
        </is>
      </c>
      <c r="C9880" t="inlineStr">
        <is>
          <t>C11008</t>
        </is>
      </c>
      <c r="D9880" t="inlineStr">
        <is>
          <t>SKU-10061</t>
        </is>
      </c>
      <c r="E9880" t="inlineStr">
        <is>
          <t>AM02</t>
        </is>
      </c>
      <c r="F9880" s="5" t="n">
        <v>754.11</v>
      </c>
      <c r="G9880">
        <f>IF(LEFT(B9880,1)="C","Credit","Factuur")</f>
        <v/>
      </c>
      <c r="H9880">
        <f>IF(AND(B9880=B9879,D9880=D9879,A9880=A9879,F9880=F9879),1,0)</f>
        <v/>
      </c>
      <c r="I9880">
        <f>IF(C9880="C99999",1,0)</f>
        <v/>
      </c>
      <c r="J9880" s="5">
        <f>IF(OR(H9880=1,I9880=1),0,IF(G9880="Credit",-F9880,F9880))</f>
        <v/>
      </c>
    </row>
    <row r="9881">
      <c r="A9881" t="inlineStr">
        <is>
          <t>2026-09-25</t>
        </is>
      </c>
      <c r="B9881" t="inlineStr">
        <is>
          <t>F279173</t>
        </is>
      </c>
      <c r="C9881" t="inlineStr">
        <is>
          <t>C11017</t>
        </is>
      </c>
      <c r="D9881" t="inlineStr">
        <is>
          <t>SKU-10146</t>
        </is>
      </c>
      <c r="E9881" t="inlineStr">
        <is>
          <t>AM02</t>
        </is>
      </c>
      <c r="F9881" s="5" t="n">
        <v>687.64</v>
      </c>
      <c r="G9881">
        <f>IF(LEFT(B9881,1)="C","Credit","Factuur")</f>
        <v/>
      </c>
      <c r="H9881">
        <f>IF(AND(B9881=B9880,D9881=D9880,A9881=A9880,F9881=F9880),1,0)</f>
        <v/>
      </c>
      <c r="I9881">
        <f>IF(C9881="C99999",1,0)</f>
        <v/>
      </c>
      <c r="J9881" s="5">
        <f>IF(OR(H9881=1,I9881=1),0,IF(G9881="Credit",-F9881,F9881))</f>
        <v/>
      </c>
    </row>
    <row r="9882">
      <c r="A9882" t="inlineStr">
        <is>
          <t>2026-09-25</t>
        </is>
      </c>
      <c r="B9882" t="inlineStr">
        <is>
          <t>F279173</t>
        </is>
      </c>
      <c r="C9882" t="inlineStr">
        <is>
          <t>C11017</t>
        </is>
      </c>
      <c r="D9882" t="inlineStr">
        <is>
          <t>SKU-10228</t>
        </is>
      </c>
      <c r="E9882" t="inlineStr">
        <is>
          <t>AM02</t>
        </is>
      </c>
      <c r="F9882" s="5" t="n">
        <v>821.46</v>
      </c>
      <c r="G9882">
        <f>IF(LEFT(B9882,1)="C","Credit","Factuur")</f>
        <v/>
      </c>
      <c r="H9882">
        <f>IF(AND(B9882=B9881,D9882=D9881,A9882=A9881,F9882=F9881),1,0)</f>
        <v/>
      </c>
      <c r="I9882">
        <f>IF(C9882="C99999",1,0)</f>
        <v/>
      </c>
      <c r="J9882" s="5">
        <f>IF(OR(H9882=1,I9882=1),0,IF(G9882="Credit",-F9882,F9882))</f>
        <v/>
      </c>
    </row>
    <row r="9883">
      <c r="A9883" t="inlineStr">
        <is>
          <t>2026-09-25</t>
        </is>
      </c>
      <c r="B9883" t="inlineStr">
        <is>
          <t>F279224</t>
        </is>
      </c>
      <c r="C9883" t="inlineStr">
        <is>
          <t>C11020</t>
        </is>
      </c>
      <c r="D9883" t="inlineStr">
        <is>
          <t>SKU-10004</t>
        </is>
      </c>
      <c r="E9883" t="inlineStr">
        <is>
          <t>AM08</t>
        </is>
      </c>
      <c r="F9883" s="5" t="n">
        <v>223.3</v>
      </c>
      <c r="G9883">
        <f>IF(LEFT(B9883,1)="C","Credit","Factuur")</f>
        <v/>
      </c>
      <c r="H9883">
        <f>IF(AND(B9883=B9882,D9883=D9882,A9883=A9882,F9883=F9882),1,0)</f>
        <v/>
      </c>
      <c r="I9883">
        <f>IF(C9883="C99999",1,0)</f>
        <v/>
      </c>
      <c r="J9883" s="5">
        <f>IF(OR(H9883=1,I9883=1),0,IF(G9883="Credit",-F9883,F9883))</f>
        <v/>
      </c>
    </row>
    <row r="9884">
      <c r="A9884" t="inlineStr">
        <is>
          <t>2026-09-25</t>
        </is>
      </c>
      <c r="B9884" t="inlineStr">
        <is>
          <t>F279224</t>
        </is>
      </c>
      <c r="C9884" t="inlineStr">
        <is>
          <t>C11020</t>
        </is>
      </c>
      <c r="D9884" t="inlineStr">
        <is>
          <t>SKU-10210</t>
        </is>
      </c>
      <c r="E9884" t="inlineStr">
        <is>
          <t>AM08</t>
        </is>
      </c>
      <c r="F9884" s="5" t="n">
        <v>218.94</v>
      </c>
      <c r="G9884">
        <f>IF(LEFT(B9884,1)="C","Credit","Factuur")</f>
        <v/>
      </c>
      <c r="H9884">
        <f>IF(AND(B9884=B9883,D9884=D9883,A9884=A9883,F9884=F9883),1,0)</f>
        <v/>
      </c>
      <c r="I9884">
        <f>IF(C9884="C99999",1,0)</f>
        <v/>
      </c>
      <c r="J9884" s="5">
        <f>IF(OR(H9884=1,I9884=1),0,IF(G9884="Credit",-F9884,F9884))</f>
        <v/>
      </c>
    </row>
    <row r="9885">
      <c r="A9885" t="inlineStr">
        <is>
          <t>2026-09-25</t>
        </is>
      </c>
      <c r="B9885" t="inlineStr">
        <is>
          <t>F279224</t>
        </is>
      </c>
      <c r="C9885" t="inlineStr">
        <is>
          <t>C11020</t>
        </is>
      </c>
      <c r="D9885" t="inlineStr">
        <is>
          <t>SKU-10305</t>
        </is>
      </c>
      <c r="E9885" t="inlineStr">
        <is>
          <t>AM08</t>
        </is>
      </c>
      <c r="F9885" s="5" t="n">
        <v>229.25</v>
      </c>
      <c r="G9885">
        <f>IF(LEFT(B9885,1)="C","Credit","Factuur")</f>
        <v/>
      </c>
      <c r="H9885">
        <f>IF(AND(B9885=B9884,D9885=D9884,A9885=A9884,F9885=F9884),1,0)</f>
        <v/>
      </c>
      <c r="I9885">
        <f>IF(C9885="C99999",1,0)</f>
        <v/>
      </c>
      <c r="J9885" s="5">
        <f>IF(OR(H9885=1,I9885=1),0,IF(G9885="Credit",-F9885,F9885))</f>
        <v/>
      </c>
    </row>
    <row r="9886">
      <c r="A9886" t="inlineStr">
        <is>
          <t>2026-09-25</t>
        </is>
      </c>
      <c r="B9886" t="inlineStr">
        <is>
          <t>F279294</t>
        </is>
      </c>
      <c r="C9886" t="inlineStr">
        <is>
          <t>C11024</t>
        </is>
      </c>
      <c r="D9886" t="inlineStr">
        <is>
          <t>SKU-10022</t>
        </is>
      </c>
      <c r="E9886" t="inlineStr">
        <is>
          <t>AM03</t>
        </is>
      </c>
      <c r="F9886" s="5" t="n">
        <v>409.6</v>
      </c>
      <c r="G9886">
        <f>IF(LEFT(B9886,1)="C","Credit","Factuur")</f>
        <v/>
      </c>
      <c r="H9886">
        <f>IF(AND(B9886=B9885,D9886=D9885,A9886=A9885,F9886=F9885),1,0)</f>
        <v/>
      </c>
      <c r="I9886">
        <f>IF(C9886="C99999",1,0)</f>
        <v/>
      </c>
      <c r="J9886" s="5">
        <f>IF(OR(H9886=1,I9886=1),0,IF(G9886="Credit",-F9886,F9886))</f>
        <v/>
      </c>
    </row>
    <row r="9887">
      <c r="A9887" t="inlineStr">
        <is>
          <t>2026-09-25</t>
        </is>
      </c>
      <c r="B9887" t="inlineStr">
        <is>
          <t>F279294</t>
        </is>
      </c>
      <c r="C9887" t="inlineStr">
        <is>
          <t>C11024</t>
        </is>
      </c>
      <c r="D9887" t="inlineStr">
        <is>
          <t>SKU-10170</t>
        </is>
      </c>
      <c r="E9887" t="inlineStr">
        <is>
          <t>AM03</t>
        </is>
      </c>
      <c r="F9887" s="5" t="n">
        <v>410.52</v>
      </c>
      <c r="G9887">
        <f>IF(LEFT(B9887,1)="C","Credit","Factuur")</f>
        <v/>
      </c>
      <c r="H9887">
        <f>IF(AND(B9887=B9886,D9887=D9886,A9887=A9886,F9887=F9886),1,0)</f>
        <v/>
      </c>
      <c r="I9887">
        <f>IF(C9887="C99999",1,0)</f>
        <v/>
      </c>
      <c r="J9887" s="5">
        <f>IF(OR(H9887=1,I9887=1),0,IF(G9887="Credit",-F9887,F9887))</f>
        <v/>
      </c>
    </row>
    <row r="9888">
      <c r="A9888" t="inlineStr">
        <is>
          <t>2026-09-25</t>
        </is>
      </c>
      <c r="B9888" t="inlineStr">
        <is>
          <t>F279294</t>
        </is>
      </c>
      <c r="C9888" t="inlineStr">
        <is>
          <t>C11024</t>
        </is>
      </c>
      <c r="D9888" t="inlineStr">
        <is>
          <t>SKU-10267</t>
        </is>
      </c>
      <c r="E9888" t="inlineStr">
        <is>
          <t>AM03</t>
        </is>
      </c>
      <c r="F9888" s="5" t="n">
        <v>421.23</v>
      </c>
      <c r="G9888">
        <f>IF(LEFT(B9888,1)="C","Credit","Factuur")</f>
        <v/>
      </c>
      <c r="H9888">
        <f>IF(AND(B9888=B9887,D9888=D9887,A9888=A9887,F9888=F9887),1,0)</f>
        <v/>
      </c>
      <c r="I9888">
        <f>IF(C9888="C99999",1,0)</f>
        <v/>
      </c>
      <c r="J9888" s="5">
        <f>IF(OR(H9888=1,I9888=1),0,IF(G9888="Credit",-F9888,F9888))</f>
        <v/>
      </c>
    </row>
    <row r="9889">
      <c r="A9889" t="inlineStr">
        <is>
          <t>2026-09-25</t>
        </is>
      </c>
      <c r="B9889" t="inlineStr">
        <is>
          <t>F279294</t>
        </is>
      </c>
      <c r="C9889" t="inlineStr">
        <is>
          <t>C11024</t>
        </is>
      </c>
      <c r="D9889" t="inlineStr">
        <is>
          <t>SKU-10286</t>
        </is>
      </c>
      <c r="E9889" t="inlineStr">
        <is>
          <t>AM03</t>
        </is>
      </c>
      <c r="F9889" s="5" t="n">
        <v>419.75</v>
      </c>
      <c r="G9889">
        <f>IF(LEFT(B9889,1)="C","Credit","Factuur")</f>
        <v/>
      </c>
      <c r="H9889">
        <f>IF(AND(B9889=B9888,D9889=D9888,A9889=A9888,F9889=F9888),1,0)</f>
        <v/>
      </c>
      <c r="I9889">
        <f>IF(C9889="C99999",1,0)</f>
        <v/>
      </c>
      <c r="J9889" s="5">
        <f>IF(OR(H9889=1,I9889=1),0,IF(G9889="Credit",-F9889,F9889))</f>
        <v/>
      </c>
    </row>
    <row r="9890">
      <c r="A9890" t="inlineStr">
        <is>
          <t>2026-09-25</t>
        </is>
      </c>
      <c r="B9890" t="inlineStr">
        <is>
          <t>F279497</t>
        </is>
      </c>
      <c r="C9890" t="inlineStr">
        <is>
          <t>C11034</t>
        </is>
      </c>
      <c r="D9890" t="inlineStr">
        <is>
          <t>SKU-10183</t>
        </is>
      </c>
      <c r="E9890" t="inlineStr">
        <is>
          <t>AM03</t>
        </is>
      </c>
      <c r="F9890" s="5" t="n">
        <v>369.9</v>
      </c>
      <c r="G9890">
        <f>IF(LEFT(B9890,1)="C","Credit","Factuur")</f>
        <v/>
      </c>
      <c r="H9890">
        <f>IF(AND(B9890=B9889,D9890=D9889,A9890=A9889,F9890=F9889),1,0)</f>
        <v/>
      </c>
      <c r="I9890">
        <f>IF(C9890="C99999",1,0)</f>
        <v/>
      </c>
      <c r="J9890" s="5">
        <f>IF(OR(H9890=1,I9890=1),0,IF(G9890="Credit",-F9890,F9890))</f>
        <v/>
      </c>
    </row>
    <row r="9891">
      <c r="A9891" t="inlineStr">
        <is>
          <t>2026-09-25</t>
        </is>
      </c>
      <c r="B9891" t="inlineStr">
        <is>
          <t>F279497</t>
        </is>
      </c>
      <c r="C9891" t="inlineStr">
        <is>
          <t>C11034</t>
        </is>
      </c>
      <c r="D9891" t="inlineStr">
        <is>
          <t>SKU-10243</t>
        </is>
      </c>
      <c r="E9891" t="inlineStr">
        <is>
          <t>AM03</t>
        </is>
      </c>
      <c r="F9891" s="5" t="n">
        <v>320.05</v>
      </c>
      <c r="G9891">
        <f>IF(LEFT(B9891,1)="C","Credit","Factuur")</f>
        <v/>
      </c>
      <c r="H9891">
        <f>IF(AND(B9891=B9890,D9891=D9890,A9891=A9890,F9891=F9890),1,0)</f>
        <v/>
      </c>
      <c r="I9891">
        <f>IF(C9891="C99999",1,0)</f>
        <v/>
      </c>
      <c r="J9891" s="5">
        <f>IF(OR(H9891=1,I9891=1),0,IF(G9891="Credit",-F9891,F9891))</f>
        <v/>
      </c>
    </row>
    <row r="9892">
      <c r="A9892" t="inlineStr">
        <is>
          <t>2026-09-25</t>
        </is>
      </c>
      <c r="B9892" t="inlineStr">
        <is>
          <t>F279497</t>
        </is>
      </c>
      <c r="C9892" t="inlineStr">
        <is>
          <t>C11034</t>
        </is>
      </c>
      <c r="D9892" t="inlineStr">
        <is>
          <t>SKU-10371</t>
        </is>
      </c>
      <c r="E9892" t="inlineStr">
        <is>
          <t>AM03</t>
        </is>
      </c>
      <c r="F9892" s="5" t="n">
        <v>347.49</v>
      </c>
      <c r="G9892">
        <f>IF(LEFT(B9892,1)="C","Credit","Factuur")</f>
        <v/>
      </c>
      <c r="H9892">
        <f>IF(AND(B9892=B9891,D9892=D9891,A9892=A9891,F9892=F9891),1,0)</f>
        <v/>
      </c>
      <c r="I9892">
        <f>IF(C9892="C99999",1,0)</f>
        <v/>
      </c>
      <c r="J9892" s="5">
        <f>IF(OR(H9892=1,I9892=1),0,IF(G9892="Credit",-F9892,F9892))</f>
        <v/>
      </c>
    </row>
    <row r="9893">
      <c r="A9893" t="inlineStr">
        <is>
          <t>2026-09-25</t>
        </is>
      </c>
      <c r="B9893" t="inlineStr">
        <is>
          <t>F279661</t>
        </is>
      </c>
      <c r="C9893" t="inlineStr">
        <is>
          <t>C11043</t>
        </is>
      </c>
      <c r="D9893" t="inlineStr">
        <is>
          <t>SKU-10018</t>
        </is>
      </c>
      <c r="E9893" t="inlineStr">
        <is>
          <t>AM02</t>
        </is>
      </c>
      <c r="F9893" s="5" t="n">
        <v>107.22</v>
      </c>
      <c r="G9893">
        <f>IF(LEFT(B9893,1)="C","Credit","Factuur")</f>
        <v/>
      </c>
      <c r="H9893">
        <f>IF(AND(B9893=B9892,D9893=D9892,A9893=A9892,F9893=F9892),1,0)</f>
        <v/>
      </c>
      <c r="I9893">
        <f>IF(C9893="C99999",1,0)</f>
        <v/>
      </c>
      <c r="J9893" s="5">
        <f>IF(OR(H9893=1,I9893=1),0,IF(G9893="Credit",-F9893,F9893))</f>
        <v/>
      </c>
    </row>
    <row r="9894">
      <c r="A9894" t="inlineStr">
        <is>
          <t>2026-09-25</t>
        </is>
      </c>
      <c r="B9894" t="inlineStr">
        <is>
          <t>F279661</t>
        </is>
      </c>
      <c r="C9894" t="inlineStr">
        <is>
          <t>C11043</t>
        </is>
      </c>
      <c r="D9894" t="inlineStr">
        <is>
          <t>SKU-10200</t>
        </is>
      </c>
      <c r="E9894" t="inlineStr">
        <is>
          <t>AM02</t>
        </is>
      </c>
      <c r="F9894" s="5" t="n">
        <v>101.75</v>
      </c>
      <c r="G9894">
        <f>IF(LEFT(B9894,1)="C","Credit","Factuur")</f>
        <v/>
      </c>
      <c r="H9894">
        <f>IF(AND(B9894=B9893,D9894=D9893,A9894=A9893,F9894=F9893),1,0)</f>
        <v/>
      </c>
      <c r="I9894">
        <f>IF(C9894="C99999",1,0)</f>
        <v/>
      </c>
      <c r="J9894" s="5">
        <f>IF(OR(H9894=1,I9894=1),0,IF(G9894="Credit",-F9894,F9894))</f>
        <v/>
      </c>
    </row>
    <row r="9895">
      <c r="A9895" t="inlineStr">
        <is>
          <t>2026-09-25</t>
        </is>
      </c>
      <c r="B9895" t="inlineStr">
        <is>
          <t>F279792</t>
        </is>
      </c>
      <c r="C9895" t="inlineStr">
        <is>
          <t>C11049</t>
        </is>
      </c>
      <c r="D9895" t="inlineStr">
        <is>
          <t>SKU-10280</t>
        </is>
      </c>
      <c r="E9895" t="inlineStr">
        <is>
          <t>AM05</t>
        </is>
      </c>
      <c r="F9895" s="5" t="n">
        <v>2044.36</v>
      </c>
      <c r="G9895">
        <f>IF(LEFT(B9895,1)="C","Credit","Factuur")</f>
        <v/>
      </c>
      <c r="H9895">
        <f>IF(AND(B9895=B9894,D9895=D9894,A9895=A9894,F9895=F9894),1,0)</f>
        <v/>
      </c>
      <c r="I9895">
        <f>IF(C9895="C99999",1,0)</f>
        <v/>
      </c>
      <c r="J9895" s="5">
        <f>IF(OR(H9895=1,I9895=1),0,IF(G9895="Credit",-F9895,F9895))</f>
        <v/>
      </c>
    </row>
    <row r="9896">
      <c r="A9896" t="inlineStr">
        <is>
          <t>2026-09-25</t>
        </is>
      </c>
      <c r="B9896" t="inlineStr">
        <is>
          <t>F279839</t>
        </is>
      </c>
      <c r="C9896" t="inlineStr">
        <is>
          <t>C11051</t>
        </is>
      </c>
      <c r="D9896" t="inlineStr">
        <is>
          <t>SKU-10020</t>
        </is>
      </c>
      <c r="E9896" t="inlineStr">
        <is>
          <t>AM03</t>
        </is>
      </c>
      <c r="F9896" s="5" t="n">
        <v>875.16</v>
      </c>
      <c r="G9896">
        <f>IF(LEFT(B9896,1)="C","Credit","Factuur")</f>
        <v/>
      </c>
      <c r="H9896">
        <f>IF(AND(B9896=B9895,D9896=D9895,A9896=A9895,F9896=F9895),1,0)</f>
        <v/>
      </c>
      <c r="I9896">
        <f>IF(C9896="C99999",1,0)</f>
        <v/>
      </c>
      <c r="J9896" s="5">
        <f>IF(OR(H9896=1,I9896=1),0,IF(G9896="Credit",-F9896,F9896))</f>
        <v/>
      </c>
    </row>
    <row r="9897">
      <c r="A9897" t="inlineStr">
        <is>
          <t>2026-09-25</t>
        </is>
      </c>
      <c r="B9897" t="inlineStr">
        <is>
          <t>F279839</t>
        </is>
      </c>
      <c r="C9897" t="inlineStr">
        <is>
          <t>C11051</t>
        </is>
      </c>
      <c r="D9897" t="inlineStr">
        <is>
          <t>SKU-10091</t>
        </is>
      </c>
      <c r="E9897" t="inlineStr">
        <is>
          <t>AM03</t>
        </is>
      </c>
      <c r="F9897" s="5" t="n">
        <v>780.91</v>
      </c>
      <c r="G9897">
        <f>IF(LEFT(B9897,1)="C","Credit","Factuur")</f>
        <v/>
      </c>
      <c r="H9897">
        <f>IF(AND(B9897=B9896,D9897=D9896,A9897=A9896,F9897=F9896),1,0)</f>
        <v/>
      </c>
      <c r="I9897">
        <f>IF(C9897="C99999",1,0)</f>
        <v/>
      </c>
      <c r="J9897" s="5">
        <f>IF(OR(H9897=1,I9897=1),0,IF(G9897="Credit",-F9897,F9897))</f>
        <v/>
      </c>
    </row>
    <row r="9898">
      <c r="A9898" t="inlineStr">
        <is>
          <t>2026-09-25</t>
        </is>
      </c>
      <c r="B9898" t="inlineStr">
        <is>
          <t>F279841</t>
        </is>
      </c>
      <c r="C9898" t="inlineStr">
        <is>
          <t>C11051</t>
        </is>
      </c>
      <c r="D9898" t="inlineStr">
        <is>
          <t>SKU-10025</t>
        </is>
      </c>
      <c r="E9898" t="inlineStr">
        <is>
          <t>AM03</t>
        </is>
      </c>
      <c r="F9898" s="5" t="n">
        <v>391.56</v>
      </c>
      <c r="G9898">
        <f>IF(LEFT(B9898,1)="C","Credit","Factuur")</f>
        <v/>
      </c>
      <c r="H9898">
        <f>IF(AND(B9898=B9897,D9898=D9897,A9898=A9897,F9898=F9897),1,0)</f>
        <v/>
      </c>
      <c r="I9898">
        <f>IF(C9898="C99999",1,0)</f>
        <v/>
      </c>
      <c r="J9898" s="5">
        <f>IF(OR(H9898=1,I9898=1),0,IF(G9898="Credit",-F9898,F9898))</f>
        <v/>
      </c>
    </row>
    <row r="9899">
      <c r="A9899" t="inlineStr">
        <is>
          <t>2026-09-25</t>
        </is>
      </c>
      <c r="B9899" t="inlineStr">
        <is>
          <t>F279841</t>
        </is>
      </c>
      <c r="C9899" t="inlineStr">
        <is>
          <t>C11051</t>
        </is>
      </c>
      <c r="D9899" t="inlineStr">
        <is>
          <t>SKU-10034</t>
        </is>
      </c>
      <c r="E9899" t="inlineStr">
        <is>
          <t>AM03</t>
        </is>
      </c>
      <c r="F9899" s="5" t="n">
        <v>352.87</v>
      </c>
      <c r="G9899">
        <f>IF(LEFT(B9899,1)="C","Credit","Factuur")</f>
        <v/>
      </c>
      <c r="H9899">
        <f>IF(AND(B9899=B9898,D9899=D9898,A9899=A9898,F9899=F9898),1,0)</f>
        <v/>
      </c>
      <c r="I9899">
        <f>IF(C9899="C99999",1,0)</f>
        <v/>
      </c>
      <c r="J9899" s="5">
        <f>IF(OR(H9899=1,I9899=1),0,IF(G9899="Credit",-F9899,F9899))</f>
        <v/>
      </c>
    </row>
    <row r="9900">
      <c r="A9900" t="inlineStr">
        <is>
          <t>2026-09-25</t>
        </is>
      </c>
      <c r="B9900" t="inlineStr">
        <is>
          <t>F279841</t>
        </is>
      </c>
      <c r="C9900" t="inlineStr">
        <is>
          <t>C11051</t>
        </is>
      </c>
      <c r="D9900" t="inlineStr">
        <is>
          <t>SKU-10249</t>
        </is>
      </c>
      <c r="E9900" t="inlineStr">
        <is>
          <t>AM03</t>
        </is>
      </c>
      <c r="F9900" s="5" t="n">
        <v>354.54</v>
      </c>
      <c r="G9900">
        <f>IF(LEFT(B9900,1)="C","Credit","Factuur")</f>
        <v/>
      </c>
      <c r="H9900">
        <f>IF(AND(B9900=B9899,D9900=D9899,A9900=A9899,F9900=F9899),1,0)</f>
        <v/>
      </c>
      <c r="I9900">
        <f>IF(C9900="C99999",1,0)</f>
        <v/>
      </c>
      <c r="J9900" s="5">
        <f>IF(OR(H9900=1,I9900=1),0,IF(G9900="Credit",-F9900,F9900))</f>
        <v/>
      </c>
    </row>
    <row r="9901">
      <c r="A9901" t="inlineStr">
        <is>
          <t>2026-09-25</t>
        </is>
      </c>
      <c r="B9901" t="inlineStr">
        <is>
          <t>F279841</t>
        </is>
      </c>
      <c r="C9901" t="inlineStr">
        <is>
          <t>C11051</t>
        </is>
      </c>
      <c r="D9901" t="inlineStr">
        <is>
          <t>SKU-10290</t>
        </is>
      </c>
      <c r="E9901" t="inlineStr">
        <is>
          <t>AM03</t>
        </is>
      </c>
      <c r="F9901" s="5" t="n">
        <v>334.93</v>
      </c>
      <c r="G9901">
        <f>IF(LEFT(B9901,1)="C","Credit","Factuur")</f>
        <v/>
      </c>
      <c r="H9901">
        <f>IF(AND(B9901=B9900,D9901=D9900,A9901=A9900,F9901=F9900),1,0)</f>
        <v/>
      </c>
      <c r="I9901">
        <f>IF(C9901="C99999",1,0)</f>
        <v/>
      </c>
      <c r="J9901" s="5">
        <f>IF(OR(H9901=1,I9901=1),0,IF(G9901="Credit",-F9901,F9901))</f>
        <v/>
      </c>
    </row>
    <row r="9902">
      <c r="A9902" t="inlineStr">
        <is>
          <t>2026-09-25</t>
        </is>
      </c>
      <c r="B9902" t="inlineStr">
        <is>
          <t>F279984</t>
        </is>
      </c>
      <c r="C9902" t="inlineStr">
        <is>
          <t>C11056</t>
        </is>
      </c>
      <c r="D9902" t="inlineStr">
        <is>
          <t>SKU-10009</t>
        </is>
      </c>
      <c r="E9902" t="inlineStr">
        <is>
          <t>IS01</t>
        </is>
      </c>
      <c r="F9902" s="5" t="n">
        <v>68.26000000000001</v>
      </c>
      <c r="G9902">
        <f>IF(LEFT(B9902,1)="C","Credit","Factuur")</f>
        <v/>
      </c>
      <c r="H9902">
        <f>IF(AND(B9902=B9901,D9902=D9901,A9902=A9901,F9902=F9901),1,0)</f>
        <v/>
      </c>
      <c r="I9902">
        <f>IF(C9902="C99999",1,0)</f>
        <v/>
      </c>
      <c r="J9902" s="5">
        <f>IF(OR(H9902=1,I9902=1),0,IF(G9902="Credit",-F9902,F9902))</f>
        <v/>
      </c>
    </row>
    <row r="9903">
      <c r="A9903" t="inlineStr">
        <is>
          <t>2026-09-25</t>
        </is>
      </c>
      <c r="B9903" t="inlineStr">
        <is>
          <t>F279984</t>
        </is>
      </c>
      <c r="C9903" t="inlineStr">
        <is>
          <t>C11056</t>
        </is>
      </c>
      <c r="D9903" t="inlineStr">
        <is>
          <t>SKU-10020</t>
        </is>
      </c>
      <c r="E9903" t="inlineStr">
        <is>
          <t>IS01</t>
        </is>
      </c>
      <c r="F9903" s="5" t="n">
        <v>50.39</v>
      </c>
      <c r="G9903">
        <f>IF(LEFT(B9903,1)="C","Credit","Factuur")</f>
        <v/>
      </c>
      <c r="H9903">
        <f>IF(AND(B9903=B9902,D9903=D9902,A9903=A9902,F9903=F9902),1,0)</f>
        <v/>
      </c>
      <c r="I9903">
        <f>IF(C9903="C99999",1,0)</f>
        <v/>
      </c>
      <c r="J9903" s="5">
        <f>IF(OR(H9903=1,I9903=1),0,IF(G9903="Credit",-F9903,F9903))</f>
        <v/>
      </c>
    </row>
    <row r="9904">
      <c r="A9904" t="inlineStr">
        <is>
          <t>2026-09-25</t>
        </is>
      </c>
      <c r="B9904" t="inlineStr">
        <is>
          <t>F279984</t>
        </is>
      </c>
      <c r="C9904" t="inlineStr">
        <is>
          <t>C11056</t>
        </is>
      </c>
      <c r="D9904" t="inlineStr">
        <is>
          <t>SKU-10064</t>
        </is>
      </c>
      <c r="E9904" t="inlineStr">
        <is>
          <t>IS01</t>
        </is>
      </c>
      <c r="F9904" s="5" t="n">
        <v>39.28</v>
      </c>
      <c r="G9904">
        <f>IF(LEFT(B9904,1)="C","Credit","Factuur")</f>
        <v/>
      </c>
      <c r="H9904">
        <f>IF(AND(B9904=B9903,D9904=D9903,A9904=A9903,F9904=F9903),1,0)</f>
        <v/>
      </c>
      <c r="I9904">
        <f>IF(C9904="C99999",1,0)</f>
        <v/>
      </c>
      <c r="J9904" s="5">
        <f>IF(OR(H9904=1,I9904=1),0,IF(G9904="Credit",-F9904,F9904))</f>
        <v/>
      </c>
    </row>
    <row r="9905">
      <c r="A9905" t="inlineStr">
        <is>
          <t>2026-09-25</t>
        </is>
      </c>
      <c r="B9905" t="inlineStr">
        <is>
          <t>F279984</t>
        </is>
      </c>
      <c r="C9905" t="inlineStr">
        <is>
          <t>C11056</t>
        </is>
      </c>
      <c r="D9905" t="inlineStr">
        <is>
          <t>SKU-10197</t>
        </is>
      </c>
      <c r="E9905" t="inlineStr">
        <is>
          <t>IS01</t>
        </is>
      </c>
      <c r="F9905" s="5" t="n">
        <v>40.57</v>
      </c>
      <c r="G9905">
        <f>IF(LEFT(B9905,1)="C","Credit","Factuur")</f>
        <v/>
      </c>
      <c r="H9905">
        <f>IF(AND(B9905=B9904,D9905=D9904,A9905=A9904,F9905=F9904),1,0)</f>
        <v/>
      </c>
      <c r="I9905">
        <f>IF(C9905="C99999",1,0)</f>
        <v/>
      </c>
      <c r="J9905" s="5">
        <f>IF(OR(H9905=1,I9905=1),0,IF(G9905="Credit",-F9905,F9905))</f>
        <v/>
      </c>
    </row>
    <row r="9906">
      <c r="A9906" t="inlineStr">
        <is>
          <t>2026-09-25</t>
        </is>
      </c>
      <c r="B9906" t="inlineStr">
        <is>
          <t>F279984</t>
        </is>
      </c>
      <c r="C9906" t="inlineStr">
        <is>
          <t>C11056</t>
        </is>
      </c>
      <c r="D9906" t="inlineStr">
        <is>
          <t>SKU-10290</t>
        </is>
      </c>
      <c r="E9906" t="inlineStr">
        <is>
          <t>IS01</t>
        </is>
      </c>
      <c r="F9906" s="5" t="n">
        <v>51.9</v>
      </c>
      <c r="G9906">
        <f>IF(LEFT(B9906,1)="C","Credit","Factuur")</f>
        <v/>
      </c>
      <c r="H9906">
        <f>IF(AND(B9906=B9905,D9906=D9905,A9906=A9905,F9906=F9905),1,0)</f>
        <v/>
      </c>
      <c r="I9906">
        <f>IF(C9906="C99999",1,0)</f>
        <v/>
      </c>
      <c r="J9906" s="5">
        <f>IF(OR(H9906=1,I9906=1),0,IF(G9906="Credit",-F9906,F9906))</f>
        <v/>
      </c>
    </row>
    <row r="9907">
      <c r="A9907" t="inlineStr">
        <is>
          <t>2026-09-25</t>
        </is>
      </c>
      <c r="B9907" t="inlineStr">
        <is>
          <t>F280009</t>
        </is>
      </c>
      <c r="C9907" t="inlineStr">
        <is>
          <t>C11057</t>
        </is>
      </c>
      <c r="D9907" t="inlineStr">
        <is>
          <t>SKU-10165</t>
        </is>
      </c>
      <c r="E9907" t="inlineStr">
        <is>
          <t>AM03</t>
        </is>
      </c>
      <c r="F9907" s="5" t="n">
        <v>206.28</v>
      </c>
      <c r="G9907">
        <f>IF(LEFT(B9907,1)="C","Credit","Factuur")</f>
        <v/>
      </c>
      <c r="H9907">
        <f>IF(AND(B9907=B9906,D9907=D9906,A9907=A9906,F9907=F9906),1,0)</f>
        <v/>
      </c>
      <c r="I9907">
        <f>IF(C9907="C99999",1,0)</f>
        <v/>
      </c>
      <c r="J9907" s="5">
        <f>IF(OR(H9907=1,I9907=1),0,IF(G9907="Credit",-F9907,F9907))</f>
        <v/>
      </c>
    </row>
    <row r="9908">
      <c r="A9908" t="inlineStr">
        <is>
          <t>2026-09-25</t>
        </is>
      </c>
      <c r="B9908" t="inlineStr">
        <is>
          <t>F280009</t>
        </is>
      </c>
      <c r="C9908" t="inlineStr">
        <is>
          <t>C11057</t>
        </is>
      </c>
      <c r="D9908" t="inlineStr">
        <is>
          <t>SKU-10239</t>
        </is>
      </c>
      <c r="E9908" t="inlineStr">
        <is>
          <t>AM03</t>
        </is>
      </c>
      <c r="F9908" s="5" t="n">
        <v>209.04</v>
      </c>
      <c r="G9908">
        <f>IF(LEFT(B9908,1)="C","Credit","Factuur")</f>
        <v/>
      </c>
      <c r="H9908">
        <f>IF(AND(B9908=B9907,D9908=D9907,A9908=A9907,F9908=F9907),1,0)</f>
        <v/>
      </c>
      <c r="I9908">
        <f>IF(C9908="C99999",1,0)</f>
        <v/>
      </c>
      <c r="J9908" s="5">
        <f>IF(OR(H9908=1,I9908=1),0,IF(G9908="Credit",-F9908,F9908))</f>
        <v/>
      </c>
    </row>
    <row r="9909">
      <c r="A9909" t="inlineStr">
        <is>
          <t>2026-09-25</t>
        </is>
      </c>
      <c r="B9909" t="inlineStr">
        <is>
          <t>F280009</t>
        </is>
      </c>
      <c r="C9909" t="inlineStr">
        <is>
          <t>C11057</t>
        </is>
      </c>
      <c r="D9909" t="inlineStr">
        <is>
          <t>SKU-10294</t>
        </is>
      </c>
      <c r="E9909" t="inlineStr">
        <is>
          <t>AM03</t>
        </is>
      </c>
      <c r="F9909" s="5" t="n">
        <v>162.23</v>
      </c>
      <c r="G9909">
        <f>IF(LEFT(B9909,1)="C","Credit","Factuur")</f>
        <v/>
      </c>
      <c r="H9909">
        <f>IF(AND(B9909=B9908,D9909=D9908,A9909=A9908,F9909=F9908),1,0)</f>
        <v/>
      </c>
      <c r="I9909">
        <f>IF(C9909="C99999",1,0)</f>
        <v/>
      </c>
      <c r="J9909" s="5">
        <f>IF(OR(H9909=1,I9909=1),0,IF(G9909="Credit",-F9909,F9909))</f>
        <v/>
      </c>
    </row>
    <row r="9910">
      <c r="A9910" t="inlineStr">
        <is>
          <t>2026-09-25</t>
        </is>
      </c>
      <c r="B9910" t="inlineStr">
        <is>
          <t>F280009</t>
        </is>
      </c>
      <c r="C9910" t="inlineStr">
        <is>
          <t>C11057</t>
        </is>
      </c>
      <c r="D9910" t="inlineStr">
        <is>
          <t>SKU-10299</t>
        </is>
      </c>
      <c r="E9910" t="inlineStr">
        <is>
          <t>AM03</t>
        </is>
      </c>
      <c r="F9910" s="5" t="n">
        <v>159.97</v>
      </c>
      <c r="G9910">
        <f>IF(LEFT(B9910,1)="C","Credit","Factuur")</f>
        <v/>
      </c>
      <c r="H9910">
        <f>IF(AND(B9910=B9909,D9910=D9909,A9910=A9909,F9910=F9909),1,0)</f>
        <v/>
      </c>
      <c r="I9910">
        <f>IF(C9910="C99999",1,0)</f>
        <v/>
      </c>
      <c r="J9910" s="5">
        <f>IF(OR(H9910=1,I9910=1),0,IF(G9910="Credit",-F9910,F9910))</f>
        <v/>
      </c>
    </row>
    <row r="9911">
      <c r="A9911" t="inlineStr">
        <is>
          <t>2026-09-25</t>
        </is>
      </c>
      <c r="B9911" t="inlineStr">
        <is>
          <t>F280009</t>
        </is>
      </c>
      <c r="C9911" t="inlineStr">
        <is>
          <t>C11057</t>
        </is>
      </c>
      <c r="D9911" t="inlineStr">
        <is>
          <t>SKU-10317</t>
        </is>
      </c>
      <c r="E9911" t="inlineStr">
        <is>
          <t>AM03</t>
        </is>
      </c>
      <c r="F9911" s="5" t="n">
        <v>184.27</v>
      </c>
      <c r="G9911">
        <f>IF(LEFT(B9911,1)="C","Credit","Factuur")</f>
        <v/>
      </c>
      <c r="H9911">
        <f>IF(AND(B9911=B9910,D9911=D9910,A9911=A9910,F9911=F9910),1,0)</f>
        <v/>
      </c>
      <c r="I9911">
        <f>IF(C9911="C99999",1,0)</f>
        <v/>
      </c>
      <c r="J9911" s="5">
        <f>IF(OR(H9911=1,I9911=1),0,IF(G9911="Credit",-F9911,F9911))</f>
        <v/>
      </c>
    </row>
    <row r="9912">
      <c r="A9912" t="inlineStr">
        <is>
          <t>2026-09-25</t>
        </is>
      </c>
      <c r="B9912" t="inlineStr">
        <is>
          <t>F280411</t>
        </is>
      </c>
      <c r="C9912" t="inlineStr">
        <is>
          <t>C11077</t>
        </is>
      </c>
      <c r="D9912" t="inlineStr">
        <is>
          <t>SKU-10197</t>
        </is>
      </c>
      <c r="E9912" t="inlineStr">
        <is>
          <t>AM12</t>
        </is>
      </c>
      <c r="F9912" s="5" t="n">
        <v>982.33</v>
      </c>
      <c r="G9912">
        <f>IF(LEFT(B9912,1)="C","Credit","Factuur")</f>
        <v/>
      </c>
      <c r="H9912">
        <f>IF(AND(B9912=B9911,D9912=D9911,A9912=A9911,F9912=F9911),1,0)</f>
        <v/>
      </c>
      <c r="I9912">
        <f>IF(C9912="C99999",1,0)</f>
        <v/>
      </c>
      <c r="J9912" s="5">
        <f>IF(OR(H9912=1,I9912=1),0,IF(G9912="Credit",-F9912,F9912))</f>
        <v/>
      </c>
    </row>
    <row r="9913">
      <c r="A9913" t="inlineStr">
        <is>
          <t>2026-09-25</t>
        </is>
      </c>
      <c r="B9913" t="inlineStr">
        <is>
          <t>F280668</t>
        </is>
      </c>
      <c r="C9913" t="inlineStr">
        <is>
          <t>C11091</t>
        </is>
      </c>
      <c r="D9913" t="inlineStr">
        <is>
          <t>SKU-10122</t>
        </is>
      </c>
      <c r="E9913" t="inlineStr">
        <is>
          <t>AM01</t>
        </is>
      </c>
      <c r="F9913" s="5" t="n">
        <v>1309.44</v>
      </c>
      <c r="G9913">
        <f>IF(LEFT(B9913,1)="C","Credit","Factuur")</f>
        <v/>
      </c>
      <c r="H9913">
        <f>IF(AND(B9913=B9912,D9913=D9912,A9913=A9912,F9913=F9912),1,0)</f>
        <v/>
      </c>
      <c r="I9913">
        <f>IF(C9913="C99999",1,0)</f>
        <v/>
      </c>
      <c r="J9913" s="5">
        <f>IF(OR(H9913=1,I9913=1),0,IF(G9913="Credit",-F9913,F9913))</f>
        <v/>
      </c>
    </row>
    <row r="9914">
      <c r="A9914" t="inlineStr">
        <is>
          <t>2026-09-25</t>
        </is>
      </c>
      <c r="B9914" t="inlineStr">
        <is>
          <t>F280827</t>
        </is>
      </c>
      <c r="C9914" t="inlineStr">
        <is>
          <t>C11098</t>
        </is>
      </c>
      <c r="D9914" t="inlineStr">
        <is>
          <t>SKU-10018</t>
        </is>
      </c>
      <c r="E9914" t="inlineStr">
        <is>
          <t>AM03</t>
        </is>
      </c>
      <c r="F9914" s="5" t="n">
        <v>321.66</v>
      </c>
      <c r="G9914">
        <f>IF(LEFT(B9914,1)="C","Credit","Factuur")</f>
        <v/>
      </c>
      <c r="H9914">
        <f>IF(AND(B9914=B9913,D9914=D9913,A9914=A9913,F9914=F9913),1,0)</f>
        <v/>
      </c>
      <c r="I9914">
        <f>IF(C9914="C99999",1,0)</f>
        <v/>
      </c>
      <c r="J9914" s="5">
        <f>IF(OR(H9914=1,I9914=1),0,IF(G9914="Credit",-F9914,F9914))</f>
        <v/>
      </c>
    </row>
    <row r="9915">
      <c r="A9915" t="inlineStr">
        <is>
          <t>2026-09-25</t>
        </is>
      </c>
      <c r="B9915" t="inlineStr">
        <is>
          <t>F280827</t>
        </is>
      </c>
      <c r="C9915" t="inlineStr">
        <is>
          <t>C11098</t>
        </is>
      </c>
      <c r="D9915" t="inlineStr">
        <is>
          <t>SKU-10037</t>
        </is>
      </c>
      <c r="E9915" t="inlineStr">
        <is>
          <t>AM03</t>
        </is>
      </c>
      <c r="F9915" s="5" t="n">
        <v>295.1</v>
      </c>
      <c r="G9915">
        <f>IF(LEFT(B9915,1)="C","Credit","Factuur")</f>
        <v/>
      </c>
      <c r="H9915">
        <f>IF(AND(B9915=B9914,D9915=D9914,A9915=A9914,F9915=F9914),1,0)</f>
        <v/>
      </c>
      <c r="I9915">
        <f>IF(C9915="C99999",1,0)</f>
        <v/>
      </c>
      <c r="J9915" s="5">
        <f>IF(OR(H9915=1,I9915=1),0,IF(G9915="Credit",-F9915,F9915))</f>
        <v/>
      </c>
    </row>
    <row r="9916">
      <c r="A9916" t="inlineStr">
        <is>
          <t>2026-09-25</t>
        </is>
      </c>
      <c r="B9916" t="inlineStr">
        <is>
          <t>F280827</t>
        </is>
      </c>
      <c r="C9916" t="inlineStr">
        <is>
          <t>C11098</t>
        </is>
      </c>
      <c r="D9916" t="inlineStr">
        <is>
          <t>SKU-10073</t>
        </is>
      </c>
      <c r="E9916" t="inlineStr">
        <is>
          <t>AM03</t>
        </is>
      </c>
      <c r="F9916" s="5" t="n">
        <v>285.2</v>
      </c>
      <c r="G9916">
        <f>IF(LEFT(B9916,1)="C","Credit","Factuur")</f>
        <v/>
      </c>
      <c r="H9916">
        <f>IF(AND(B9916=B9915,D9916=D9915,A9916=A9915,F9916=F9915),1,0)</f>
        <v/>
      </c>
      <c r="I9916">
        <f>IF(C9916="C99999",1,0)</f>
        <v/>
      </c>
      <c r="J9916" s="5">
        <f>IF(OR(H9916=1,I9916=1),0,IF(G9916="Credit",-F9916,F9916))</f>
        <v/>
      </c>
    </row>
    <row r="9917">
      <c r="A9917" t="inlineStr">
        <is>
          <t>2026-09-25</t>
        </is>
      </c>
      <c r="B9917" t="inlineStr">
        <is>
          <t>F280827</t>
        </is>
      </c>
      <c r="C9917" t="inlineStr">
        <is>
          <t>C11098</t>
        </is>
      </c>
      <c r="D9917" t="inlineStr">
        <is>
          <t>SKU-10150</t>
        </is>
      </c>
      <c r="E9917" t="inlineStr">
        <is>
          <t>AM03</t>
        </is>
      </c>
      <c r="F9917" s="5" t="n">
        <v>277.06</v>
      </c>
      <c r="G9917">
        <f>IF(LEFT(B9917,1)="C","Credit","Factuur")</f>
        <v/>
      </c>
      <c r="H9917">
        <f>IF(AND(B9917=B9916,D9917=D9916,A9917=A9916,F9917=F9916),1,0)</f>
        <v/>
      </c>
      <c r="I9917">
        <f>IF(C9917="C99999",1,0)</f>
        <v/>
      </c>
      <c r="J9917" s="5">
        <f>IF(OR(H9917=1,I9917=1),0,IF(G9917="Credit",-F9917,F9917))</f>
        <v/>
      </c>
    </row>
    <row r="9918">
      <c r="A9918" t="inlineStr">
        <is>
          <t>2026-09-25</t>
        </is>
      </c>
      <c r="B9918" t="inlineStr">
        <is>
          <t>F280827</t>
        </is>
      </c>
      <c r="C9918" t="inlineStr">
        <is>
          <t>C11098</t>
        </is>
      </c>
      <c r="D9918" t="inlineStr">
        <is>
          <t>SKU-10319</t>
        </is>
      </c>
      <c r="E9918" t="inlineStr">
        <is>
          <t>AM03</t>
        </is>
      </c>
      <c r="F9918" s="5" t="n">
        <v>289.4</v>
      </c>
      <c r="G9918">
        <f>IF(LEFT(B9918,1)="C","Credit","Factuur")</f>
        <v/>
      </c>
      <c r="H9918">
        <f>IF(AND(B9918=B9917,D9918=D9917,A9918=A9917,F9918=F9917),1,0)</f>
        <v/>
      </c>
      <c r="I9918">
        <f>IF(C9918="C99999",1,0)</f>
        <v/>
      </c>
      <c r="J9918" s="5">
        <f>IF(OR(H9918=1,I9918=1),0,IF(G9918="Credit",-F9918,F9918))</f>
        <v/>
      </c>
    </row>
    <row r="9919">
      <c r="A9919" t="inlineStr">
        <is>
          <t>2026-09-25</t>
        </is>
      </c>
      <c r="B9919" t="inlineStr">
        <is>
          <t>F281021</t>
        </is>
      </c>
      <c r="C9919" t="inlineStr">
        <is>
          <t>C11107</t>
        </is>
      </c>
      <c r="D9919" t="inlineStr">
        <is>
          <t>SKU-10029</t>
        </is>
      </c>
      <c r="E9919" t="inlineStr">
        <is>
          <t>AM07</t>
        </is>
      </c>
      <c r="F9919" s="5" t="n">
        <v>223.85</v>
      </c>
      <c r="G9919">
        <f>IF(LEFT(B9919,1)="C","Credit","Factuur")</f>
        <v/>
      </c>
      <c r="H9919">
        <f>IF(AND(B9919=B9918,D9919=D9918,A9919=A9918,F9919=F9918),1,0)</f>
        <v/>
      </c>
      <c r="I9919">
        <f>IF(C9919="C99999",1,0)</f>
        <v/>
      </c>
      <c r="J9919" s="5">
        <f>IF(OR(H9919=1,I9919=1),0,IF(G9919="Credit",-F9919,F9919))</f>
        <v/>
      </c>
    </row>
    <row r="9920">
      <c r="A9920" t="inlineStr">
        <is>
          <t>2026-09-25</t>
        </is>
      </c>
      <c r="B9920" t="inlineStr">
        <is>
          <t>F281021</t>
        </is>
      </c>
      <c r="C9920" t="inlineStr">
        <is>
          <t>C11107</t>
        </is>
      </c>
      <c r="D9920" t="inlineStr">
        <is>
          <t>SKU-10053</t>
        </is>
      </c>
      <c r="E9920" t="inlineStr">
        <is>
          <t>AM07</t>
        </is>
      </c>
      <c r="F9920" s="5" t="n">
        <v>225</v>
      </c>
      <c r="G9920">
        <f>IF(LEFT(B9920,1)="C","Credit","Factuur")</f>
        <v/>
      </c>
      <c r="H9920">
        <f>IF(AND(B9920=B9919,D9920=D9919,A9920=A9919,F9920=F9919),1,0)</f>
        <v/>
      </c>
      <c r="I9920">
        <f>IF(C9920="C99999",1,0)</f>
        <v/>
      </c>
      <c r="J9920" s="5">
        <f>IF(OR(H9920=1,I9920=1),0,IF(G9920="Credit",-F9920,F9920))</f>
        <v/>
      </c>
    </row>
    <row r="9921">
      <c r="A9921" t="inlineStr">
        <is>
          <t>2026-09-25</t>
        </is>
      </c>
      <c r="B9921" t="inlineStr">
        <is>
          <t>F281057</t>
        </is>
      </c>
      <c r="C9921" t="inlineStr">
        <is>
          <t>C11110</t>
        </is>
      </c>
      <c r="D9921" t="inlineStr">
        <is>
          <t>SKU-10080</t>
        </is>
      </c>
      <c r="E9921" t="inlineStr">
        <is>
          <t>AM08</t>
        </is>
      </c>
      <c r="F9921" s="5" t="n">
        <v>542.4299999999999</v>
      </c>
      <c r="G9921">
        <f>IF(LEFT(B9921,1)="C","Credit","Factuur")</f>
        <v/>
      </c>
      <c r="H9921">
        <f>IF(AND(B9921=B9920,D9921=D9920,A9921=A9920,F9921=F9920),1,0)</f>
        <v/>
      </c>
      <c r="I9921">
        <f>IF(C9921="C99999",1,0)</f>
        <v/>
      </c>
      <c r="J9921" s="5">
        <f>IF(OR(H9921=1,I9921=1),0,IF(G9921="Credit",-F9921,F9921))</f>
        <v/>
      </c>
    </row>
    <row r="9922">
      <c r="A9922" t="inlineStr">
        <is>
          <t>2026-09-25</t>
        </is>
      </c>
      <c r="B9922" t="inlineStr">
        <is>
          <t>F281136</t>
        </is>
      </c>
      <c r="C9922" t="inlineStr">
        <is>
          <t>C11113</t>
        </is>
      </c>
      <c r="D9922" t="inlineStr">
        <is>
          <t>SKU-10078</t>
        </is>
      </c>
      <c r="E9922" t="inlineStr">
        <is>
          <t>AM01</t>
        </is>
      </c>
      <c r="F9922" s="5" t="n">
        <v>260.88</v>
      </c>
      <c r="G9922">
        <f>IF(LEFT(B9922,1)="C","Credit","Factuur")</f>
        <v/>
      </c>
      <c r="H9922">
        <f>IF(AND(B9922=B9921,D9922=D9921,A9922=A9921,F9922=F9921),1,0)</f>
        <v/>
      </c>
      <c r="I9922">
        <f>IF(C9922="C99999",1,0)</f>
        <v/>
      </c>
      <c r="J9922" s="5">
        <f>IF(OR(H9922=1,I9922=1),0,IF(G9922="Credit",-F9922,F9922))</f>
        <v/>
      </c>
    </row>
    <row r="9923">
      <c r="A9923" t="inlineStr">
        <is>
          <t>2026-09-25</t>
        </is>
      </c>
      <c r="B9923" t="inlineStr">
        <is>
          <t>F281136</t>
        </is>
      </c>
      <c r="C9923" t="inlineStr">
        <is>
          <t>C11113</t>
        </is>
      </c>
      <c r="D9923" t="inlineStr">
        <is>
          <t>SKU-10286</t>
        </is>
      </c>
      <c r="E9923" t="inlineStr">
        <is>
          <t>AM01</t>
        </is>
      </c>
      <c r="F9923" s="5" t="n">
        <v>224.84</v>
      </c>
      <c r="G9923">
        <f>IF(LEFT(B9923,1)="C","Credit","Factuur")</f>
        <v/>
      </c>
      <c r="H9923">
        <f>IF(AND(B9923=B9922,D9923=D9922,A9923=A9922,F9923=F9922),1,0)</f>
        <v/>
      </c>
      <c r="I9923">
        <f>IF(C9923="C99999",1,0)</f>
        <v/>
      </c>
      <c r="J9923" s="5">
        <f>IF(OR(H9923=1,I9923=1),0,IF(G9923="Credit",-F9923,F9923))</f>
        <v/>
      </c>
    </row>
    <row r="9924">
      <c r="A9924" t="inlineStr">
        <is>
          <t>2026-09-25</t>
        </is>
      </c>
      <c r="B9924" t="inlineStr">
        <is>
          <t>F281328</t>
        </is>
      </c>
      <c r="C9924" t="inlineStr">
        <is>
          <t>C11124</t>
        </is>
      </c>
      <c r="D9924" t="inlineStr">
        <is>
          <t>SKU-10038</t>
        </is>
      </c>
      <c r="E9924" t="inlineStr">
        <is>
          <t>AM07</t>
        </is>
      </c>
      <c r="F9924" s="5" t="n">
        <v>240.51</v>
      </c>
      <c r="G9924">
        <f>IF(LEFT(B9924,1)="C","Credit","Factuur")</f>
        <v/>
      </c>
      <c r="H9924">
        <f>IF(AND(B9924=B9923,D9924=D9923,A9924=A9923,F9924=F9923),1,0)</f>
        <v/>
      </c>
      <c r="I9924">
        <f>IF(C9924="C99999",1,0)</f>
        <v/>
      </c>
      <c r="J9924" s="5">
        <f>IF(OR(H9924=1,I9924=1),0,IF(G9924="Credit",-F9924,F9924))</f>
        <v/>
      </c>
    </row>
    <row r="9925">
      <c r="A9925" t="inlineStr">
        <is>
          <t>2026-09-25</t>
        </is>
      </c>
      <c r="B9925" t="inlineStr">
        <is>
          <t>F281328</t>
        </is>
      </c>
      <c r="C9925" t="inlineStr">
        <is>
          <t>C11124</t>
        </is>
      </c>
      <c r="D9925" t="inlineStr">
        <is>
          <t>SKU-10223</t>
        </is>
      </c>
      <c r="E9925" t="inlineStr">
        <is>
          <t>AM07</t>
        </is>
      </c>
      <c r="F9925" s="5" t="n">
        <v>220.41</v>
      </c>
      <c r="G9925">
        <f>IF(LEFT(B9925,1)="C","Credit","Factuur")</f>
        <v/>
      </c>
      <c r="H9925">
        <f>IF(AND(B9925=B9924,D9925=D9924,A9925=A9924,F9925=F9924),1,0)</f>
        <v/>
      </c>
      <c r="I9925">
        <f>IF(C9925="C99999",1,0)</f>
        <v/>
      </c>
      <c r="J9925" s="5">
        <f>IF(OR(H9925=1,I9925=1),0,IF(G9925="Credit",-F9925,F9925))</f>
        <v/>
      </c>
    </row>
    <row r="9926">
      <c r="A9926" t="inlineStr">
        <is>
          <t>2026-09-25</t>
        </is>
      </c>
      <c r="B9926" t="inlineStr">
        <is>
          <t>F281328</t>
        </is>
      </c>
      <c r="C9926" t="inlineStr">
        <is>
          <t>C11124</t>
        </is>
      </c>
      <c r="D9926" t="inlineStr">
        <is>
          <t>SKU-10300</t>
        </is>
      </c>
      <c r="E9926" t="inlineStr">
        <is>
          <t>AM07</t>
        </is>
      </c>
      <c r="F9926" s="5" t="n">
        <v>260.44</v>
      </c>
      <c r="G9926">
        <f>IF(LEFT(B9926,1)="C","Credit","Factuur")</f>
        <v/>
      </c>
      <c r="H9926">
        <f>IF(AND(B9926=B9925,D9926=D9925,A9926=A9925,F9926=F9925),1,0)</f>
        <v/>
      </c>
      <c r="I9926">
        <f>IF(C9926="C99999",1,0)</f>
        <v/>
      </c>
      <c r="J9926" s="5">
        <f>IF(OR(H9926=1,I9926=1),0,IF(G9926="Credit",-F9926,F9926))</f>
        <v/>
      </c>
    </row>
    <row r="9927">
      <c r="A9927" t="inlineStr">
        <is>
          <t>2026-09-25</t>
        </is>
      </c>
      <c r="B9927" t="inlineStr">
        <is>
          <t>F281402</t>
        </is>
      </c>
      <c r="C9927" t="inlineStr">
        <is>
          <t>C11128</t>
        </is>
      </c>
      <c r="D9927" t="inlineStr">
        <is>
          <t>SKU-10382</t>
        </is>
      </c>
      <c r="E9927" t="inlineStr">
        <is>
          <t>AM08</t>
        </is>
      </c>
      <c r="F9927" s="5" t="n">
        <v>1588.41</v>
      </c>
      <c r="G9927">
        <f>IF(LEFT(B9927,1)="C","Credit","Factuur")</f>
        <v/>
      </c>
      <c r="H9927">
        <f>IF(AND(B9927=B9926,D9927=D9926,A9927=A9926,F9927=F9926),1,0)</f>
        <v/>
      </c>
      <c r="I9927">
        <f>IF(C9927="C99999",1,0)</f>
        <v/>
      </c>
      <c r="J9927" s="5">
        <f>IF(OR(H9927=1,I9927=1),0,IF(G9927="Credit",-F9927,F9927))</f>
        <v/>
      </c>
    </row>
    <row r="9928">
      <c r="A9928" t="inlineStr">
        <is>
          <t>2026-09-25</t>
        </is>
      </c>
      <c r="B9928" t="inlineStr">
        <is>
          <t>F281987</t>
        </is>
      </c>
      <c r="C9928" t="inlineStr">
        <is>
          <t>C11156</t>
        </is>
      </c>
      <c r="D9928" t="inlineStr">
        <is>
          <t>SKU-10283</t>
        </is>
      </c>
      <c r="E9928" t="inlineStr">
        <is>
          <t>AM01</t>
        </is>
      </c>
      <c r="F9928" s="5" t="n">
        <v>2428.31</v>
      </c>
      <c r="G9928">
        <f>IF(LEFT(B9928,1)="C","Credit","Factuur")</f>
        <v/>
      </c>
      <c r="H9928">
        <f>IF(AND(B9928=B9927,D9928=D9927,A9928=A9927,F9928=F9927),1,0)</f>
        <v/>
      </c>
      <c r="I9928">
        <f>IF(C9928="C99999",1,0)</f>
        <v/>
      </c>
      <c r="J9928" s="5">
        <f>IF(OR(H9928=1,I9928=1),0,IF(G9928="Credit",-F9928,F9928))</f>
        <v/>
      </c>
    </row>
    <row r="9929">
      <c r="A9929" t="inlineStr">
        <is>
          <t>2026-09-25</t>
        </is>
      </c>
      <c r="B9929" t="inlineStr">
        <is>
          <t>F282147</t>
        </is>
      </c>
      <c r="C9929" t="inlineStr">
        <is>
          <t>C11163</t>
        </is>
      </c>
      <c r="D9929" t="inlineStr">
        <is>
          <t>SKU-10227</t>
        </is>
      </c>
      <c r="E9929" t="inlineStr">
        <is>
          <t>AM01</t>
        </is>
      </c>
      <c r="F9929" s="5" t="n">
        <v>177.16</v>
      </c>
      <c r="G9929">
        <f>IF(LEFT(B9929,1)="C","Credit","Factuur")</f>
        <v/>
      </c>
      <c r="H9929">
        <f>IF(AND(B9929=B9928,D9929=D9928,A9929=A9928,F9929=F9928),1,0)</f>
        <v/>
      </c>
      <c r="I9929">
        <f>IF(C9929="C99999",1,0)</f>
        <v/>
      </c>
      <c r="J9929" s="5">
        <f>IF(OR(H9929=1,I9929=1),0,IF(G9929="Credit",-F9929,F9929))</f>
        <v/>
      </c>
    </row>
    <row r="9930">
      <c r="A9930" t="inlineStr">
        <is>
          <t>2026-09-25</t>
        </is>
      </c>
      <c r="B9930" t="inlineStr">
        <is>
          <t>F282286</t>
        </is>
      </c>
      <c r="C9930" t="inlineStr">
        <is>
          <t>C11169</t>
        </is>
      </c>
      <c r="D9930" t="inlineStr">
        <is>
          <t>SKU-10249</t>
        </is>
      </c>
      <c r="E9930" t="inlineStr">
        <is>
          <t>AM01</t>
        </is>
      </c>
      <c r="F9930" s="5" t="n">
        <v>528.7</v>
      </c>
      <c r="G9930">
        <f>IF(LEFT(B9930,1)="C","Credit","Factuur")</f>
        <v/>
      </c>
      <c r="H9930">
        <f>IF(AND(B9930=B9929,D9930=D9929,A9930=A9929,F9930=F9929),1,0)</f>
        <v/>
      </c>
      <c r="I9930">
        <f>IF(C9930="C99999",1,0)</f>
        <v/>
      </c>
      <c r="J9930" s="5">
        <f>IF(OR(H9930=1,I9930=1),0,IF(G9930="Credit",-F9930,F9930))</f>
        <v/>
      </c>
    </row>
    <row r="9931">
      <c r="A9931" t="inlineStr">
        <is>
          <t>2026-09-25</t>
        </is>
      </c>
      <c r="B9931" t="inlineStr">
        <is>
          <t>F282472</t>
        </is>
      </c>
      <c r="C9931" t="inlineStr">
        <is>
          <t>C11181</t>
        </is>
      </c>
      <c r="D9931" t="inlineStr">
        <is>
          <t>SKU-10328</t>
        </is>
      </c>
      <c r="E9931" t="inlineStr">
        <is>
          <t>AM08</t>
        </is>
      </c>
      <c r="F9931" s="5" t="n">
        <v>1343.32</v>
      </c>
      <c r="G9931">
        <f>IF(LEFT(B9931,1)="C","Credit","Factuur")</f>
        <v/>
      </c>
      <c r="H9931">
        <f>IF(AND(B9931=B9930,D9931=D9930,A9931=A9930,F9931=F9930),1,0)</f>
        <v/>
      </c>
      <c r="I9931">
        <f>IF(C9931="C99999",1,0)</f>
        <v/>
      </c>
      <c r="J9931" s="5">
        <f>IF(OR(H9931=1,I9931=1),0,IF(G9931="Credit",-F9931,F9931))</f>
        <v/>
      </c>
    </row>
    <row r="9932">
      <c r="A9932" t="inlineStr">
        <is>
          <t>2026-09-25</t>
        </is>
      </c>
      <c r="B9932" t="inlineStr">
        <is>
          <t>F282472</t>
        </is>
      </c>
      <c r="C9932" t="inlineStr">
        <is>
          <t>C11181</t>
        </is>
      </c>
      <c r="D9932" t="inlineStr">
        <is>
          <t>SKU-10352</t>
        </is>
      </c>
      <c r="E9932" t="inlineStr">
        <is>
          <t>AM08</t>
        </is>
      </c>
      <c r="F9932" s="5" t="n">
        <v>1350.81</v>
      </c>
      <c r="G9932">
        <f>IF(LEFT(B9932,1)="C","Credit","Factuur")</f>
        <v/>
      </c>
      <c r="H9932">
        <f>IF(AND(B9932=B9931,D9932=D9931,A9932=A9931,F9932=F9931),1,0)</f>
        <v/>
      </c>
      <c r="I9932">
        <f>IF(C9932="C99999",1,0)</f>
        <v/>
      </c>
      <c r="J9932" s="5">
        <f>IF(OR(H9932=1,I9932=1),0,IF(G9932="Credit",-F9932,F9932))</f>
        <v/>
      </c>
    </row>
    <row r="9933">
      <c r="A9933" t="inlineStr">
        <is>
          <t>2026-09-25</t>
        </is>
      </c>
      <c r="B9933" t="inlineStr">
        <is>
          <t>F282582</t>
        </is>
      </c>
      <c r="C9933" t="inlineStr">
        <is>
          <t>C11185</t>
        </is>
      </c>
      <c r="D9933" t="inlineStr">
        <is>
          <t>SKU-10053</t>
        </is>
      </c>
      <c r="E9933" t="inlineStr">
        <is>
          <t>AM08</t>
        </is>
      </c>
      <c r="F9933" s="5" t="n">
        <v>581.25</v>
      </c>
      <c r="G9933">
        <f>IF(LEFT(B9933,1)="C","Credit","Factuur")</f>
        <v/>
      </c>
      <c r="H9933">
        <f>IF(AND(B9933=B9932,D9933=D9932,A9933=A9932,F9933=F9932),1,0)</f>
        <v/>
      </c>
      <c r="I9933">
        <f>IF(C9933="C99999",1,0)</f>
        <v/>
      </c>
      <c r="J9933" s="5">
        <f>IF(OR(H9933=1,I9933=1),0,IF(G9933="Credit",-F9933,F9933))</f>
        <v/>
      </c>
    </row>
    <row r="9934">
      <c r="A9934" t="inlineStr">
        <is>
          <t>2026-09-25</t>
        </is>
      </c>
      <c r="B9934" t="inlineStr">
        <is>
          <t>F282582</t>
        </is>
      </c>
      <c r="C9934" t="inlineStr">
        <is>
          <t>C11185</t>
        </is>
      </c>
      <c r="D9934" t="inlineStr">
        <is>
          <t>SKU-10246</t>
        </is>
      </c>
      <c r="E9934" t="inlineStr">
        <is>
          <t>AM08</t>
        </is>
      </c>
      <c r="F9934" s="5" t="n">
        <v>528.77</v>
      </c>
      <c r="G9934">
        <f>IF(LEFT(B9934,1)="C","Credit","Factuur")</f>
        <v/>
      </c>
      <c r="H9934">
        <f>IF(AND(B9934=B9933,D9934=D9933,A9934=A9933,F9934=F9933),1,0)</f>
        <v/>
      </c>
      <c r="I9934">
        <f>IF(C9934="C99999",1,0)</f>
        <v/>
      </c>
      <c r="J9934" s="5">
        <f>IF(OR(H9934=1,I9934=1),0,IF(G9934="Credit",-F9934,F9934))</f>
        <v/>
      </c>
    </row>
    <row r="9935">
      <c r="A9935" t="inlineStr">
        <is>
          <t>2026-09-25</t>
        </is>
      </c>
      <c r="B9935" t="inlineStr">
        <is>
          <t>F282709</t>
        </is>
      </c>
      <c r="C9935" t="inlineStr">
        <is>
          <t>C11192</t>
        </is>
      </c>
      <c r="D9935" t="inlineStr">
        <is>
          <t>SKU-10315</t>
        </is>
      </c>
      <c r="E9935" t="inlineStr">
        <is>
          <t>AM05</t>
        </is>
      </c>
      <c r="F9935" s="5" t="n">
        <v>326.7</v>
      </c>
      <c r="G9935">
        <f>IF(LEFT(B9935,1)="C","Credit","Factuur")</f>
        <v/>
      </c>
      <c r="H9935">
        <f>IF(AND(B9935=B9934,D9935=D9934,A9935=A9934,F9935=F9934),1,0)</f>
        <v/>
      </c>
      <c r="I9935">
        <f>IF(C9935="C99999",1,0)</f>
        <v/>
      </c>
      <c r="J9935" s="5">
        <f>IF(OR(H9935=1,I9935=1),0,IF(G9935="Credit",-F9935,F9935))</f>
        <v/>
      </c>
    </row>
    <row r="9936">
      <c r="A9936" t="inlineStr">
        <is>
          <t>2026-09-25</t>
        </is>
      </c>
      <c r="B9936" t="inlineStr">
        <is>
          <t>F282709</t>
        </is>
      </c>
      <c r="C9936" t="inlineStr">
        <is>
          <t>C11192</t>
        </is>
      </c>
      <c r="D9936" t="inlineStr">
        <is>
          <t>SKU-10317</t>
        </is>
      </c>
      <c r="E9936" t="inlineStr">
        <is>
          <t>AM05</t>
        </is>
      </c>
      <c r="F9936" s="5" t="n">
        <v>282.64</v>
      </c>
      <c r="G9936">
        <f>IF(LEFT(B9936,1)="C","Credit","Factuur")</f>
        <v/>
      </c>
      <c r="H9936">
        <f>IF(AND(B9936=B9935,D9936=D9935,A9936=A9935,F9936=F9935),1,0)</f>
        <v/>
      </c>
      <c r="I9936">
        <f>IF(C9936="C99999",1,0)</f>
        <v/>
      </c>
      <c r="J9936" s="5">
        <f>IF(OR(H9936=1,I9936=1),0,IF(G9936="Credit",-F9936,F9936))</f>
        <v/>
      </c>
    </row>
    <row r="9937">
      <c r="A9937" t="inlineStr">
        <is>
          <t>2026-09-25</t>
        </is>
      </c>
      <c r="B9937" t="inlineStr">
        <is>
          <t>F283061</t>
        </is>
      </c>
      <c r="C9937" t="inlineStr">
        <is>
          <t>C11212</t>
        </is>
      </c>
      <c r="D9937" t="inlineStr">
        <is>
          <t>SKU-10044</t>
        </is>
      </c>
      <c r="E9937" t="inlineStr">
        <is>
          <t>AM12</t>
        </is>
      </c>
      <c r="F9937" s="5" t="n">
        <v>392.64</v>
      </c>
      <c r="G9937">
        <f>IF(LEFT(B9937,1)="C","Credit","Factuur")</f>
        <v/>
      </c>
      <c r="H9937">
        <f>IF(AND(B9937=B9936,D9937=D9936,A9937=A9936,F9937=F9936),1,0)</f>
        <v/>
      </c>
      <c r="I9937">
        <f>IF(C9937="C99999",1,0)</f>
        <v/>
      </c>
      <c r="J9937" s="5">
        <f>IF(OR(H9937=1,I9937=1),0,IF(G9937="Credit",-F9937,F9937))</f>
        <v/>
      </c>
    </row>
    <row r="9938">
      <c r="A9938" t="inlineStr">
        <is>
          <t>2026-09-25</t>
        </is>
      </c>
      <c r="B9938" t="inlineStr">
        <is>
          <t>F283061</t>
        </is>
      </c>
      <c r="C9938" t="inlineStr">
        <is>
          <t>C11212</t>
        </is>
      </c>
      <c r="D9938" t="inlineStr">
        <is>
          <t>SKU-10155</t>
        </is>
      </c>
      <c r="E9938" t="inlineStr">
        <is>
          <t>AM12</t>
        </is>
      </c>
      <c r="F9938" s="5" t="n">
        <v>375.82</v>
      </c>
      <c r="G9938">
        <f>IF(LEFT(B9938,1)="C","Credit","Factuur")</f>
        <v/>
      </c>
      <c r="H9938">
        <f>IF(AND(B9938=B9937,D9938=D9937,A9938=A9937,F9938=F9937),1,0)</f>
        <v/>
      </c>
      <c r="I9938">
        <f>IF(C9938="C99999",1,0)</f>
        <v/>
      </c>
      <c r="J9938" s="5">
        <f>IF(OR(H9938=1,I9938=1),0,IF(G9938="Credit",-F9938,F9938))</f>
        <v/>
      </c>
    </row>
    <row r="9939">
      <c r="A9939" t="inlineStr">
        <is>
          <t>2026-09-25</t>
        </is>
      </c>
      <c r="B9939" t="inlineStr">
        <is>
          <t>F283165</t>
        </is>
      </c>
      <c r="C9939" t="inlineStr">
        <is>
          <t>C11219</t>
        </is>
      </c>
      <c r="D9939" t="inlineStr">
        <is>
          <t>SKU-10012</t>
        </is>
      </c>
      <c r="E9939" t="inlineStr">
        <is>
          <t>AM03</t>
        </is>
      </c>
      <c r="F9939" s="5" t="n">
        <v>159.55</v>
      </c>
      <c r="G9939">
        <f>IF(LEFT(B9939,1)="C","Credit","Factuur")</f>
        <v/>
      </c>
      <c r="H9939">
        <f>IF(AND(B9939=B9938,D9939=D9938,A9939=A9938,F9939=F9938),1,0)</f>
        <v/>
      </c>
      <c r="I9939">
        <f>IF(C9939="C99999",1,0)</f>
        <v/>
      </c>
      <c r="J9939" s="5">
        <f>IF(OR(H9939=1,I9939=1),0,IF(G9939="Credit",-F9939,F9939))</f>
        <v/>
      </c>
    </row>
    <row r="9940">
      <c r="A9940" t="inlineStr">
        <is>
          <t>2026-09-25</t>
        </is>
      </c>
      <c r="B9940" t="inlineStr">
        <is>
          <t>F283165</t>
        </is>
      </c>
      <c r="C9940" t="inlineStr">
        <is>
          <t>C11219</t>
        </is>
      </c>
      <c r="D9940" t="inlineStr">
        <is>
          <t>SKU-10088</t>
        </is>
      </c>
      <c r="E9940" t="inlineStr"/>
      <c r="F9940" s="5" t="n">
        <v>146.59</v>
      </c>
      <c r="G9940">
        <f>IF(LEFT(B9940,1)="C","Credit","Factuur")</f>
        <v/>
      </c>
      <c r="H9940">
        <f>IF(AND(B9940=B9939,D9940=D9939,A9940=A9939,F9940=F9939),1,0)</f>
        <v/>
      </c>
      <c r="I9940">
        <f>IF(C9940="C99999",1,0)</f>
        <v/>
      </c>
      <c r="J9940" s="5">
        <f>IF(OR(H9940=1,I9940=1),0,IF(G9940="Credit",-F9940,F9940))</f>
        <v/>
      </c>
    </row>
    <row r="9941">
      <c r="A9941" t="inlineStr">
        <is>
          <t>2026-09-25</t>
        </is>
      </c>
      <c r="B9941" t="inlineStr">
        <is>
          <t>F283165</t>
        </is>
      </c>
      <c r="C9941" t="inlineStr">
        <is>
          <t>C11219</t>
        </is>
      </c>
      <c r="D9941" t="inlineStr">
        <is>
          <t>SKU-10177</t>
        </is>
      </c>
      <c r="E9941" t="inlineStr">
        <is>
          <t>AM03</t>
        </is>
      </c>
      <c r="F9941" s="5" t="n">
        <v>158.36</v>
      </c>
      <c r="G9941">
        <f>IF(LEFT(B9941,1)="C","Credit","Factuur")</f>
        <v/>
      </c>
      <c r="H9941">
        <f>IF(AND(B9941=B9940,D9941=D9940,A9941=A9940,F9941=F9940),1,0)</f>
        <v/>
      </c>
      <c r="I9941">
        <f>IF(C9941="C99999",1,0)</f>
        <v/>
      </c>
      <c r="J9941" s="5">
        <f>IF(OR(H9941=1,I9941=1),0,IF(G9941="Credit",-F9941,F9941))</f>
        <v/>
      </c>
    </row>
    <row r="9942">
      <c r="A9942" t="inlineStr">
        <is>
          <t>2026-09-25</t>
        </is>
      </c>
      <c r="B9942" t="inlineStr">
        <is>
          <t>F283165</t>
        </is>
      </c>
      <c r="C9942" t="inlineStr">
        <is>
          <t>C11219</t>
        </is>
      </c>
      <c r="D9942" t="inlineStr">
        <is>
          <t>SKU-10307</t>
        </is>
      </c>
      <c r="E9942" t="inlineStr">
        <is>
          <t>AM03</t>
        </is>
      </c>
      <c r="F9942" s="5" t="n">
        <v>169.25</v>
      </c>
      <c r="G9942">
        <f>IF(LEFT(B9942,1)="C","Credit","Factuur")</f>
        <v/>
      </c>
      <c r="H9942">
        <f>IF(AND(B9942=B9941,D9942=D9941,A9942=A9941,F9942=F9941),1,0)</f>
        <v/>
      </c>
      <c r="I9942">
        <f>IF(C9942="C99999",1,0)</f>
        <v/>
      </c>
      <c r="J9942" s="5">
        <f>IF(OR(H9942=1,I9942=1),0,IF(G9942="Credit",-F9942,F9942))</f>
        <v/>
      </c>
    </row>
    <row r="9943">
      <c r="A9943" t="inlineStr">
        <is>
          <t>2026-09-25</t>
        </is>
      </c>
      <c r="B9943" t="inlineStr">
        <is>
          <t>F283237</t>
        </is>
      </c>
      <c r="C9943" t="inlineStr">
        <is>
          <t>C11223</t>
        </is>
      </c>
      <c r="D9943" t="inlineStr">
        <is>
          <t>SKU-10383</t>
        </is>
      </c>
      <c r="E9943" t="inlineStr">
        <is>
          <t>AM03</t>
        </is>
      </c>
      <c r="F9943" s="5" t="n">
        <v>408.18</v>
      </c>
      <c r="G9943">
        <f>IF(LEFT(B9943,1)="C","Credit","Factuur")</f>
        <v/>
      </c>
      <c r="H9943">
        <f>IF(AND(B9943=B9942,D9943=D9942,A9943=A9942,F9943=F9942),1,0)</f>
        <v/>
      </c>
      <c r="I9943">
        <f>IF(C9943="C99999",1,0)</f>
        <v/>
      </c>
      <c r="J9943" s="5">
        <f>IF(OR(H9943=1,I9943=1),0,IF(G9943="Credit",-F9943,F9943))</f>
        <v/>
      </c>
    </row>
    <row r="9944">
      <c r="A9944" t="inlineStr">
        <is>
          <t>2026-09-25</t>
        </is>
      </c>
      <c r="B9944" t="inlineStr">
        <is>
          <t>F283302</t>
        </is>
      </c>
      <c r="C9944" t="inlineStr">
        <is>
          <t>C11226</t>
        </is>
      </c>
      <c r="D9944" t="inlineStr">
        <is>
          <t>SKU-10257</t>
        </is>
      </c>
      <c r="E9944" t="inlineStr">
        <is>
          <t>AM07</t>
        </is>
      </c>
      <c r="F9944" s="5" t="n">
        <v>232.08</v>
      </c>
      <c r="G9944">
        <f>IF(LEFT(B9944,1)="C","Credit","Factuur")</f>
        <v/>
      </c>
      <c r="H9944">
        <f>IF(AND(B9944=B9943,D9944=D9943,A9944=A9943,F9944=F9943),1,0)</f>
        <v/>
      </c>
      <c r="I9944">
        <f>IF(C9944="C99999",1,0)</f>
        <v/>
      </c>
      <c r="J9944" s="5">
        <f>IF(OR(H9944=1,I9944=1),0,IF(G9944="Credit",-F9944,F9944))</f>
        <v/>
      </c>
    </row>
    <row r="9945">
      <c r="A9945" t="inlineStr">
        <is>
          <t>2026-09-25</t>
        </is>
      </c>
      <c r="B9945" t="inlineStr">
        <is>
          <t>F283302</t>
        </is>
      </c>
      <c r="C9945" t="inlineStr">
        <is>
          <t>C11226</t>
        </is>
      </c>
      <c r="D9945" t="inlineStr">
        <is>
          <t>SKU-10314</t>
        </is>
      </c>
      <c r="E9945" t="inlineStr">
        <is>
          <t>AM07</t>
        </is>
      </c>
      <c r="F9945" s="5" t="n">
        <v>217.32</v>
      </c>
      <c r="G9945">
        <f>IF(LEFT(B9945,1)="C","Credit","Factuur")</f>
        <v/>
      </c>
      <c r="H9945">
        <f>IF(AND(B9945=B9944,D9945=D9944,A9945=A9944,F9945=F9944),1,0)</f>
        <v/>
      </c>
      <c r="I9945">
        <f>IF(C9945="C99999",1,0)</f>
        <v/>
      </c>
      <c r="J9945" s="5">
        <f>IF(OR(H9945=1,I9945=1),0,IF(G9945="Credit",-F9945,F9945))</f>
        <v/>
      </c>
    </row>
    <row r="9946">
      <c r="A9946" t="inlineStr">
        <is>
          <t>2026-09-25</t>
        </is>
      </c>
      <c r="B9946" t="inlineStr">
        <is>
          <t>F283302</t>
        </is>
      </c>
      <c r="C9946" t="inlineStr">
        <is>
          <t>C11226</t>
        </is>
      </c>
      <c r="D9946" t="inlineStr">
        <is>
          <t>SKU-10330</t>
        </is>
      </c>
      <c r="E9946" t="inlineStr">
        <is>
          <t>AM07</t>
        </is>
      </c>
      <c r="F9946" s="5" t="n">
        <v>224.06</v>
      </c>
      <c r="G9946">
        <f>IF(LEFT(B9946,1)="C","Credit","Factuur")</f>
        <v/>
      </c>
      <c r="H9946">
        <f>IF(AND(B9946=B9945,D9946=D9945,A9946=A9945,F9946=F9945),1,0)</f>
        <v/>
      </c>
      <c r="I9946">
        <f>IF(C9946="C99999",1,0)</f>
        <v/>
      </c>
      <c r="J9946" s="5">
        <f>IF(OR(H9946=1,I9946=1),0,IF(G9946="Credit",-F9946,F9946))</f>
        <v/>
      </c>
    </row>
    <row r="9947">
      <c r="A9947" t="inlineStr">
        <is>
          <t>2026-09-25</t>
        </is>
      </c>
      <c r="B9947" t="inlineStr">
        <is>
          <t>F283441</t>
        </is>
      </c>
      <c r="C9947" t="inlineStr">
        <is>
          <t>C11231</t>
        </is>
      </c>
      <c r="D9947" t="inlineStr">
        <is>
          <t>SKU-10075</t>
        </is>
      </c>
      <c r="E9947" t="inlineStr">
        <is>
          <t>AM03</t>
        </is>
      </c>
      <c r="F9947" s="5" t="n">
        <v>634.26</v>
      </c>
      <c r="G9947">
        <f>IF(LEFT(B9947,1)="C","Credit","Factuur")</f>
        <v/>
      </c>
      <c r="H9947">
        <f>IF(AND(B9947=B9946,D9947=D9946,A9947=A9946,F9947=F9946),1,0)</f>
        <v/>
      </c>
      <c r="I9947">
        <f>IF(C9947="C99999",1,0)</f>
        <v/>
      </c>
      <c r="J9947" s="5">
        <f>IF(OR(H9947=1,I9947=1),0,IF(G9947="Credit",-F9947,F9947))</f>
        <v/>
      </c>
    </row>
    <row r="9948">
      <c r="A9948" t="inlineStr">
        <is>
          <t>2026-09-25</t>
        </is>
      </c>
      <c r="B9948" t="inlineStr">
        <is>
          <t>F283447</t>
        </is>
      </c>
      <c r="C9948" t="inlineStr">
        <is>
          <t>C11231</t>
        </is>
      </c>
      <c r="D9948" t="inlineStr">
        <is>
          <t>SKU-10153</t>
        </is>
      </c>
      <c r="E9948" t="inlineStr">
        <is>
          <t>AM03</t>
        </is>
      </c>
      <c r="F9948" s="5" t="n">
        <v>469.83</v>
      </c>
      <c r="G9948">
        <f>IF(LEFT(B9948,1)="C","Credit","Factuur")</f>
        <v/>
      </c>
      <c r="H9948">
        <f>IF(AND(B9948=B9947,D9948=D9947,A9948=A9947,F9948=F9947),1,0)</f>
        <v/>
      </c>
      <c r="I9948">
        <f>IF(C9948="C99999",1,0)</f>
        <v/>
      </c>
      <c r="J9948" s="5">
        <f>IF(OR(H9948=1,I9948=1),0,IF(G9948="Credit",-F9948,F9948))</f>
        <v/>
      </c>
    </row>
    <row r="9949">
      <c r="A9949" t="inlineStr">
        <is>
          <t>2026-09-25</t>
        </is>
      </c>
      <c r="B9949" t="inlineStr">
        <is>
          <t>F283660</t>
        </is>
      </c>
      <c r="C9949" t="inlineStr">
        <is>
          <t>C11240</t>
        </is>
      </c>
      <c r="D9949" t="inlineStr">
        <is>
          <t>SKU-10067</t>
        </is>
      </c>
      <c r="E9949" t="inlineStr">
        <is>
          <t>AM02</t>
        </is>
      </c>
      <c r="F9949" s="5" t="n">
        <v>348.36</v>
      </c>
      <c r="G9949">
        <f>IF(LEFT(B9949,1)="C","Credit","Factuur")</f>
        <v/>
      </c>
      <c r="H9949">
        <f>IF(AND(B9949=B9948,D9949=D9948,A9949=A9948,F9949=F9948),1,0)</f>
        <v/>
      </c>
      <c r="I9949">
        <f>IF(C9949="C99999",1,0)</f>
        <v/>
      </c>
      <c r="J9949" s="5">
        <f>IF(OR(H9949=1,I9949=1),0,IF(G9949="Credit",-F9949,F9949))</f>
        <v/>
      </c>
    </row>
    <row r="9950">
      <c r="A9950" t="inlineStr">
        <is>
          <t>2026-09-25</t>
        </is>
      </c>
      <c r="B9950" t="inlineStr">
        <is>
          <t>F283660</t>
        </is>
      </c>
      <c r="C9950" t="inlineStr">
        <is>
          <t>C11240</t>
        </is>
      </c>
      <c r="D9950" t="inlineStr">
        <is>
          <t>SKU-10347</t>
        </is>
      </c>
      <c r="E9950" t="inlineStr">
        <is>
          <t>AM02</t>
        </is>
      </c>
      <c r="F9950" s="5" t="n">
        <v>224.54</v>
      </c>
      <c r="G9950">
        <f>IF(LEFT(B9950,1)="C","Credit","Factuur")</f>
        <v/>
      </c>
      <c r="H9950">
        <f>IF(AND(B9950=B9949,D9950=D9949,A9950=A9949,F9950=F9949),1,0)</f>
        <v/>
      </c>
      <c r="I9950">
        <f>IF(C9950="C99999",1,0)</f>
        <v/>
      </c>
      <c r="J9950" s="5">
        <f>IF(OR(H9950=1,I9950=1),0,IF(G9950="Credit",-F9950,F9950))</f>
        <v/>
      </c>
    </row>
    <row r="9951">
      <c r="A9951" t="inlineStr">
        <is>
          <t>2026-09-25</t>
        </is>
      </c>
      <c r="B9951" t="inlineStr">
        <is>
          <t>F284109</t>
        </is>
      </c>
      <c r="C9951" t="inlineStr">
        <is>
          <t>C11258</t>
        </is>
      </c>
      <c r="D9951" t="inlineStr">
        <is>
          <t>SKU-10141</t>
        </is>
      </c>
      <c r="E9951" t="inlineStr">
        <is>
          <t>AM12</t>
        </is>
      </c>
      <c r="F9951" s="5" t="n">
        <v>1007.95</v>
      </c>
      <c r="G9951">
        <f>IF(LEFT(B9951,1)="C","Credit","Factuur")</f>
        <v/>
      </c>
      <c r="H9951">
        <f>IF(AND(B9951=B9950,D9951=D9950,A9951=A9950,F9951=F9950),1,0)</f>
        <v/>
      </c>
      <c r="I9951">
        <f>IF(C9951="C99999",1,0)</f>
        <v/>
      </c>
      <c r="J9951" s="5">
        <f>IF(OR(H9951=1,I9951=1),0,IF(G9951="Credit",-F9951,F9951))</f>
        <v/>
      </c>
    </row>
    <row r="9952">
      <c r="A9952" t="inlineStr">
        <is>
          <t>2026-09-25</t>
        </is>
      </c>
      <c r="B9952" t="inlineStr">
        <is>
          <t>F284109</t>
        </is>
      </c>
      <c r="C9952" t="inlineStr">
        <is>
          <t>C11258</t>
        </is>
      </c>
      <c r="D9952" t="inlineStr">
        <is>
          <t>SKU-10158</t>
        </is>
      </c>
      <c r="E9952" t="inlineStr">
        <is>
          <t>AM12</t>
        </is>
      </c>
      <c r="F9952" s="5" t="n">
        <v>980.12</v>
      </c>
      <c r="G9952">
        <f>IF(LEFT(B9952,1)="C","Credit","Factuur")</f>
        <v/>
      </c>
      <c r="H9952">
        <f>IF(AND(B9952=B9951,D9952=D9951,A9952=A9951,F9952=F9951),1,0)</f>
        <v/>
      </c>
      <c r="I9952">
        <f>IF(C9952="C99999",1,0)</f>
        <v/>
      </c>
      <c r="J9952" s="5">
        <f>IF(OR(H9952=1,I9952=1),0,IF(G9952="Credit",-F9952,F9952))</f>
        <v/>
      </c>
    </row>
    <row r="9953">
      <c r="A9953" t="inlineStr">
        <is>
          <t>2026-09-25</t>
        </is>
      </c>
      <c r="B9953" t="inlineStr">
        <is>
          <t>F284109</t>
        </is>
      </c>
      <c r="C9953" t="inlineStr">
        <is>
          <t>C11258</t>
        </is>
      </c>
      <c r="D9953" t="inlineStr">
        <is>
          <t>SKU-10295</t>
        </is>
      </c>
      <c r="E9953" t="inlineStr">
        <is>
          <t>AM12</t>
        </is>
      </c>
      <c r="F9953" s="5" t="n">
        <v>971.54</v>
      </c>
      <c r="G9953">
        <f>IF(LEFT(B9953,1)="C","Credit","Factuur")</f>
        <v/>
      </c>
      <c r="H9953">
        <f>IF(AND(B9953=B9952,D9953=D9952,A9953=A9952,F9953=F9952),1,0)</f>
        <v/>
      </c>
      <c r="I9953">
        <f>IF(C9953="C99999",1,0)</f>
        <v/>
      </c>
      <c r="J9953" s="5">
        <f>IF(OR(H9953=1,I9953=1),0,IF(G9953="Credit",-F9953,F9953))</f>
        <v/>
      </c>
    </row>
    <row r="9954">
      <c r="A9954" t="inlineStr">
        <is>
          <t>2026-09-25</t>
        </is>
      </c>
      <c r="B9954" t="inlineStr">
        <is>
          <t>F284119</t>
        </is>
      </c>
      <c r="C9954" t="inlineStr">
        <is>
          <t>C11259</t>
        </is>
      </c>
      <c r="D9954" t="inlineStr">
        <is>
          <t>SKU-10049</t>
        </is>
      </c>
      <c r="E9954" t="inlineStr">
        <is>
          <t>AM08</t>
        </is>
      </c>
      <c r="F9954" s="5" t="n">
        <v>691.08</v>
      </c>
      <c r="G9954">
        <f>IF(LEFT(B9954,1)="C","Credit","Factuur")</f>
        <v/>
      </c>
      <c r="H9954">
        <f>IF(AND(B9954=B9953,D9954=D9953,A9954=A9953,F9954=F9953),1,0)</f>
        <v/>
      </c>
      <c r="I9954">
        <f>IF(C9954="C99999",1,0)</f>
        <v/>
      </c>
      <c r="J9954" s="5">
        <f>IF(OR(H9954=1,I9954=1),0,IF(G9954="Credit",-F9954,F9954))</f>
        <v/>
      </c>
    </row>
    <row r="9955">
      <c r="A9955" t="inlineStr">
        <is>
          <t>2026-09-25</t>
        </is>
      </c>
      <c r="B9955" t="inlineStr">
        <is>
          <t>F284119</t>
        </is>
      </c>
      <c r="C9955" t="inlineStr">
        <is>
          <t>C11259</t>
        </is>
      </c>
      <c r="D9955" t="inlineStr">
        <is>
          <t>SKU-10346</t>
        </is>
      </c>
      <c r="E9955" t="inlineStr">
        <is>
          <t>AM08</t>
        </is>
      </c>
      <c r="F9955" s="5" t="n">
        <v>1135.35</v>
      </c>
      <c r="G9955">
        <f>IF(LEFT(B9955,1)="C","Credit","Factuur")</f>
        <v/>
      </c>
      <c r="H9955">
        <f>IF(AND(B9955=B9954,D9955=D9954,A9955=A9954,F9955=F9954),1,0)</f>
        <v/>
      </c>
      <c r="I9955">
        <f>IF(C9955="C99999",1,0)</f>
        <v/>
      </c>
      <c r="J9955" s="5">
        <f>IF(OR(H9955=1,I9955=1),0,IF(G9955="Credit",-F9955,F9955))</f>
        <v/>
      </c>
    </row>
    <row r="9956">
      <c r="A9956" t="inlineStr">
        <is>
          <t>2026-09-25</t>
        </is>
      </c>
      <c r="B9956" t="inlineStr">
        <is>
          <t>F284505</t>
        </is>
      </c>
      <c r="C9956" t="inlineStr">
        <is>
          <t>C11285</t>
        </is>
      </c>
      <c r="D9956" t="inlineStr">
        <is>
          <t>SKU-10045</t>
        </is>
      </c>
      <c r="E9956" t="inlineStr">
        <is>
          <t>AM01</t>
        </is>
      </c>
      <c r="F9956" s="5" t="n">
        <v>308.17</v>
      </c>
      <c r="G9956">
        <f>IF(LEFT(B9956,1)="C","Credit","Factuur")</f>
        <v/>
      </c>
      <c r="H9956">
        <f>IF(AND(B9956=B9955,D9956=D9955,A9956=A9955,F9956=F9955),1,0)</f>
        <v/>
      </c>
      <c r="I9956">
        <f>IF(C9956="C99999",1,0)</f>
        <v/>
      </c>
      <c r="J9956" s="5">
        <f>IF(OR(H9956=1,I9956=1),0,IF(G9956="Credit",-F9956,F9956))</f>
        <v/>
      </c>
    </row>
    <row r="9957">
      <c r="A9957" t="inlineStr">
        <is>
          <t>2026-09-25</t>
        </is>
      </c>
      <c r="B9957" t="inlineStr">
        <is>
          <t>F284505</t>
        </is>
      </c>
      <c r="C9957" t="inlineStr">
        <is>
          <t>C11285</t>
        </is>
      </c>
      <c r="D9957" t="inlineStr">
        <is>
          <t>SKU-10054</t>
        </is>
      </c>
      <c r="E9957" t="inlineStr">
        <is>
          <t>AM01</t>
        </is>
      </c>
      <c r="F9957" s="5" t="n">
        <v>362.28</v>
      </c>
      <c r="G9957">
        <f>IF(LEFT(B9957,1)="C","Credit","Factuur")</f>
        <v/>
      </c>
      <c r="H9957">
        <f>IF(AND(B9957=B9956,D9957=D9956,A9957=A9956,F9957=F9956),1,0)</f>
        <v/>
      </c>
      <c r="I9957">
        <f>IF(C9957="C99999",1,0)</f>
        <v/>
      </c>
      <c r="J9957" s="5">
        <f>IF(OR(H9957=1,I9957=1),0,IF(G9957="Credit",-F9957,F9957))</f>
        <v/>
      </c>
    </row>
    <row r="9958">
      <c r="A9958" t="inlineStr">
        <is>
          <t>2026-09-25</t>
        </is>
      </c>
      <c r="B9958" t="inlineStr">
        <is>
          <t>F284505</t>
        </is>
      </c>
      <c r="C9958" t="inlineStr">
        <is>
          <t>C11285</t>
        </is>
      </c>
      <c r="D9958" t="inlineStr">
        <is>
          <t>SKU-10315</t>
        </is>
      </c>
      <c r="E9958" t="inlineStr">
        <is>
          <t>AM01</t>
        </is>
      </c>
      <c r="F9958" s="5" t="n">
        <v>343.04</v>
      </c>
      <c r="G9958">
        <f>IF(LEFT(B9958,1)="C","Credit","Factuur")</f>
        <v/>
      </c>
      <c r="H9958">
        <f>IF(AND(B9958=B9957,D9958=D9957,A9958=A9957,F9958=F9957),1,0)</f>
        <v/>
      </c>
      <c r="I9958">
        <f>IF(C9958="C99999",1,0)</f>
        <v/>
      </c>
      <c r="J9958" s="5">
        <f>IF(OR(H9958=1,I9958=1),0,IF(G9958="Credit",-F9958,F9958))</f>
        <v/>
      </c>
    </row>
    <row r="9959">
      <c r="A9959" t="inlineStr">
        <is>
          <t>2026-09-25</t>
        </is>
      </c>
      <c r="B9959" t="inlineStr">
        <is>
          <t>F284568</t>
        </is>
      </c>
      <c r="C9959" t="inlineStr">
        <is>
          <t>C11289</t>
        </is>
      </c>
      <c r="D9959" t="inlineStr">
        <is>
          <t>SKU-10024</t>
        </is>
      </c>
      <c r="E9959" t="inlineStr">
        <is>
          <t>AM01</t>
        </is>
      </c>
      <c r="F9959" s="5" t="n">
        <v>2295.2</v>
      </c>
      <c r="G9959">
        <f>IF(LEFT(B9959,1)="C","Credit","Factuur")</f>
        <v/>
      </c>
      <c r="H9959">
        <f>IF(AND(B9959=B9958,D9959=D9958,A9959=A9958,F9959=F9958),1,0)</f>
        <v/>
      </c>
      <c r="I9959">
        <f>IF(C9959="C99999",1,0)</f>
        <v/>
      </c>
      <c r="J9959" s="5">
        <f>IF(OR(H9959=1,I9959=1),0,IF(G9959="Credit",-F9959,F9959))</f>
        <v/>
      </c>
    </row>
    <row r="9960">
      <c r="A9960" t="inlineStr">
        <is>
          <t>2026-09-25</t>
        </is>
      </c>
      <c r="B9960" t="inlineStr">
        <is>
          <t>F284717</t>
        </is>
      </c>
      <c r="C9960" t="inlineStr">
        <is>
          <t>C11294</t>
        </is>
      </c>
      <c r="D9960" t="inlineStr">
        <is>
          <t>SKU-10039</t>
        </is>
      </c>
      <c r="E9960" t="inlineStr">
        <is>
          <t>AM01</t>
        </is>
      </c>
      <c r="F9960" s="5" t="n">
        <v>689.14</v>
      </c>
      <c r="G9960">
        <f>IF(LEFT(B9960,1)="C","Credit","Factuur")</f>
        <v/>
      </c>
      <c r="H9960">
        <f>IF(AND(B9960=B9959,D9960=D9959,A9960=A9959,F9960=F9959),1,0)</f>
        <v/>
      </c>
      <c r="I9960">
        <f>IF(C9960="C99999",1,0)</f>
        <v/>
      </c>
      <c r="J9960" s="5">
        <f>IF(OR(H9960=1,I9960=1),0,IF(G9960="Credit",-F9960,F9960))</f>
        <v/>
      </c>
    </row>
    <row r="9961">
      <c r="A9961" t="inlineStr">
        <is>
          <t>2026-09-25</t>
        </is>
      </c>
      <c r="B9961" t="inlineStr">
        <is>
          <t>F284717</t>
        </is>
      </c>
      <c r="C9961" t="inlineStr">
        <is>
          <t>C11294</t>
        </is>
      </c>
      <c r="D9961" t="inlineStr">
        <is>
          <t>SKU-10302</t>
        </is>
      </c>
      <c r="E9961" t="inlineStr">
        <is>
          <t>AM01</t>
        </is>
      </c>
      <c r="F9961" s="5" t="n">
        <v>792.58</v>
      </c>
      <c r="G9961">
        <f>IF(LEFT(B9961,1)="C","Credit","Factuur")</f>
        <v/>
      </c>
      <c r="H9961">
        <f>IF(AND(B9961=B9960,D9961=D9960,A9961=A9960,F9961=F9960),1,0)</f>
        <v/>
      </c>
      <c r="I9961">
        <f>IF(C9961="C99999",1,0)</f>
        <v/>
      </c>
      <c r="J9961" s="5">
        <f>IF(OR(H9961=1,I9961=1),0,IF(G9961="Credit",-F9961,F9961))</f>
        <v/>
      </c>
    </row>
    <row r="9962">
      <c r="A9962" t="inlineStr">
        <is>
          <t>2026-09-25</t>
        </is>
      </c>
      <c r="B9962" t="inlineStr">
        <is>
          <t>F284802</t>
        </is>
      </c>
      <c r="C9962" t="inlineStr">
        <is>
          <t>C11299</t>
        </is>
      </c>
      <c r="D9962" t="inlineStr">
        <is>
          <t>SKU-10273</t>
        </is>
      </c>
      <c r="E9962" t="inlineStr">
        <is>
          <t>AM07</t>
        </is>
      </c>
      <c r="F9962" s="5" t="n">
        <v>995.72</v>
      </c>
      <c r="G9962">
        <f>IF(LEFT(B9962,1)="C","Credit","Factuur")</f>
        <v/>
      </c>
      <c r="H9962">
        <f>IF(AND(B9962=B9961,D9962=D9961,A9962=A9961,F9962=F9961),1,0)</f>
        <v/>
      </c>
      <c r="I9962">
        <f>IF(C9962="C99999",1,0)</f>
        <v/>
      </c>
      <c r="J9962" s="5">
        <f>IF(OR(H9962=1,I9962=1),0,IF(G9962="Credit",-F9962,F9962))</f>
        <v/>
      </c>
    </row>
    <row r="9963">
      <c r="A9963" t="inlineStr">
        <is>
          <t>2026-09-25</t>
        </is>
      </c>
      <c r="B9963" t="inlineStr">
        <is>
          <t>F284802</t>
        </is>
      </c>
      <c r="C9963" t="inlineStr">
        <is>
          <t>C11299</t>
        </is>
      </c>
      <c r="D9963" t="inlineStr">
        <is>
          <t>SKU-10286</t>
        </is>
      </c>
      <c r="E9963" t="inlineStr">
        <is>
          <t>AM07</t>
        </is>
      </c>
      <c r="F9963" s="5" t="n">
        <v>1003.75</v>
      </c>
      <c r="G9963">
        <f>IF(LEFT(B9963,1)="C","Credit","Factuur")</f>
        <v/>
      </c>
      <c r="H9963">
        <f>IF(AND(B9963=B9962,D9963=D9962,A9963=A9962,F9963=F9962),1,0)</f>
        <v/>
      </c>
      <c r="I9963">
        <f>IF(C9963="C99999",1,0)</f>
        <v/>
      </c>
      <c r="J9963" s="5">
        <f>IF(OR(H9963=1,I9963=1),0,IF(G9963="Credit",-F9963,F9963))</f>
        <v/>
      </c>
    </row>
    <row r="9964">
      <c r="A9964" t="inlineStr">
        <is>
          <t>2026-09-25</t>
        </is>
      </c>
      <c r="B9964" t="inlineStr">
        <is>
          <t>F284802</t>
        </is>
      </c>
      <c r="C9964" t="inlineStr">
        <is>
          <t>C11299</t>
        </is>
      </c>
      <c r="D9964" t="inlineStr">
        <is>
          <t>SKU-10310</t>
        </is>
      </c>
      <c r="E9964" t="inlineStr">
        <is>
          <t>AM07</t>
        </is>
      </c>
      <c r="F9964" s="5" t="n">
        <v>1007.55</v>
      </c>
      <c r="G9964">
        <f>IF(LEFT(B9964,1)="C","Credit","Factuur")</f>
        <v/>
      </c>
      <c r="H9964">
        <f>IF(AND(B9964=B9963,D9964=D9963,A9964=A9963,F9964=F9963),1,0)</f>
        <v/>
      </c>
      <c r="I9964">
        <f>IF(C9964="C99999",1,0)</f>
        <v/>
      </c>
      <c r="J9964" s="5">
        <f>IF(OR(H9964=1,I9964=1),0,IF(G9964="Credit",-F9964,F9964))</f>
        <v/>
      </c>
    </row>
    <row r="9965">
      <c r="A9965" t="inlineStr">
        <is>
          <t>2026-09-25</t>
        </is>
      </c>
      <c r="B9965" t="inlineStr">
        <is>
          <t>F284802</t>
        </is>
      </c>
      <c r="C9965" t="inlineStr">
        <is>
          <t>C11299</t>
        </is>
      </c>
      <c r="D9965" t="inlineStr">
        <is>
          <t>SKU-10343</t>
        </is>
      </c>
      <c r="E9965" t="inlineStr">
        <is>
          <t>AM07</t>
        </is>
      </c>
      <c r="F9965" s="5" t="n">
        <v>1010.08</v>
      </c>
      <c r="G9965">
        <f>IF(LEFT(B9965,1)="C","Credit","Factuur")</f>
        <v/>
      </c>
      <c r="H9965">
        <f>IF(AND(B9965=B9964,D9965=D9964,A9965=A9964,F9965=F9964),1,0)</f>
        <v/>
      </c>
      <c r="I9965">
        <f>IF(C9965="C99999",1,0)</f>
        <v/>
      </c>
      <c r="J9965" s="5">
        <f>IF(OR(H9965=1,I9965=1),0,IF(G9965="Credit",-F9965,F9965))</f>
        <v/>
      </c>
    </row>
    <row r="9966">
      <c r="A9966" t="inlineStr">
        <is>
          <t>2026-09-25</t>
        </is>
      </c>
      <c r="B9966" t="inlineStr">
        <is>
          <t>F285452</t>
        </is>
      </c>
      <c r="C9966" t="inlineStr">
        <is>
          <t>C11330</t>
        </is>
      </c>
      <c r="D9966" t="inlineStr">
        <is>
          <t>SKU-10034</t>
        </is>
      </c>
      <c r="E9966" t="inlineStr">
        <is>
          <t>AM12</t>
        </is>
      </c>
      <c r="F9966" s="5" t="n">
        <v>367.73</v>
      </c>
      <c r="G9966">
        <f>IF(LEFT(B9966,1)="C","Credit","Factuur")</f>
        <v/>
      </c>
      <c r="H9966">
        <f>IF(AND(B9966=B9965,D9966=D9965,A9966=A9965,F9966=F9965),1,0)</f>
        <v/>
      </c>
      <c r="I9966">
        <f>IF(C9966="C99999",1,0)</f>
        <v/>
      </c>
      <c r="J9966" s="5">
        <f>IF(OR(H9966=1,I9966=1),0,IF(G9966="Credit",-F9966,F9966))</f>
        <v/>
      </c>
    </row>
    <row r="9967">
      <c r="A9967" t="inlineStr">
        <is>
          <t>2026-09-25</t>
        </is>
      </c>
      <c r="B9967" t="inlineStr">
        <is>
          <t>F285452</t>
        </is>
      </c>
      <c r="C9967" t="inlineStr">
        <is>
          <t>C11330</t>
        </is>
      </c>
      <c r="D9967" t="inlineStr">
        <is>
          <t>SKU-10053</t>
        </is>
      </c>
      <c r="E9967" t="inlineStr">
        <is>
          <t>AM12</t>
        </is>
      </c>
      <c r="F9967" s="5" t="n">
        <v>431.25</v>
      </c>
      <c r="G9967">
        <f>IF(LEFT(B9967,1)="C","Credit","Factuur")</f>
        <v/>
      </c>
      <c r="H9967">
        <f>IF(AND(B9967=B9966,D9967=D9966,A9967=A9966,F9967=F9966),1,0)</f>
        <v/>
      </c>
      <c r="I9967">
        <f>IF(C9967="C99999",1,0)</f>
        <v/>
      </c>
      <c r="J9967" s="5">
        <f>IF(OR(H9967=1,I9967=1),0,IF(G9967="Credit",-F9967,F9967))</f>
        <v/>
      </c>
    </row>
    <row r="9968">
      <c r="A9968" t="inlineStr">
        <is>
          <t>2026-09-25</t>
        </is>
      </c>
      <c r="B9968" t="inlineStr">
        <is>
          <t>F285452</t>
        </is>
      </c>
      <c r="C9968" t="inlineStr">
        <is>
          <t>C11330</t>
        </is>
      </c>
      <c r="D9968" t="inlineStr">
        <is>
          <t>SKU-10112</t>
        </is>
      </c>
      <c r="E9968" t="inlineStr">
        <is>
          <t>AM12</t>
        </is>
      </c>
      <c r="F9968" s="5" t="n">
        <v>397.29</v>
      </c>
      <c r="G9968">
        <f>IF(LEFT(B9968,1)="C","Credit","Factuur")</f>
        <v/>
      </c>
      <c r="H9968">
        <f>IF(AND(B9968=B9967,D9968=D9967,A9968=A9967,F9968=F9967),1,0)</f>
        <v/>
      </c>
      <c r="I9968">
        <f>IF(C9968="C99999",1,0)</f>
        <v/>
      </c>
      <c r="J9968" s="5">
        <f>IF(OR(H9968=1,I9968=1),0,IF(G9968="Credit",-F9968,F9968))</f>
        <v/>
      </c>
    </row>
    <row r="9969">
      <c r="A9969" t="inlineStr">
        <is>
          <t>2026-09-25</t>
        </is>
      </c>
      <c r="B9969" t="inlineStr">
        <is>
          <t>F285452</t>
        </is>
      </c>
      <c r="C9969" t="inlineStr">
        <is>
          <t>C11330</t>
        </is>
      </c>
      <c r="D9969" t="inlineStr">
        <is>
          <t>SKU-10240</t>
        </is>
      </c>
      <c r="E9969" t="inlineStr">
        <is>
          <t>AM12</t>
        </is>
      </c>
      <c r="F9969" s="5" t="n">
        <v>383.21</v>
      </c>
      <c r="G9969">
        <f>IF(LEFT(B9969,1)="C","Credit","Factuur")</f>
        <v/>
      </c>
      <c r="H9969">
        <f>IF(AND(B9969=B9968,D9969=D9968,A9969=A9968,F9969=F9968),1,0)</f>
        <v/>
      </c>
      <c r="I9969">
        <f>IF(C9969="C99999",1,0)</f>
        <v/>
      </c>
      <c r="J9969" s="5">
        <f>IF(OR(H9969=1,I9969=1),0,IF(G9969="Credit",-F9969,F9969))</f>
        <v/>
      </c>
    </row>
    <row r="9970">
      <c r="A9970" t="inlineStr">
        <is>
          <t>2026-09-25</t>
        </is>
      </c>
      <c r="B9970" t="inlineStr">
        <is>
          <t>F285452</t>
        </is>
      </c>
      <c r="C9970" t="inlineStr">
        <is>
          <t>C11330</t>
        </is>
      </c>
      <c r="D9970" t="inlineStr">
        <is>
          <t>SKU-10253</t>
        </is>
      </c>
      <c r="E9970" t="inlineStr">
        <is>
          <t>AM12</t>
        </is>
      </c>
      <c r="F9970" s="5" t="n">
        <v>388.32</v>
      </c>
      <c r="G9970">
        <f>IF(LEFT(B9970,1)="C","Credit","Factuur")</f>
        <v/>
      </c>
      <c r="H9970">
        <f>IF(AND(B9970=B9969,D9970=D9969,A9970=A9969,F9970=F9969),1,0)</f>
        <v/>
      </c>
      <c r="I9970">
        <f>IF(C9970="C99999",1,0)</f>
        <v/>
      </c>
      <c r="J9970" s="5">
        <f>IF(OR(H9970=1,I9970=1),0,IF(G9970="Credit",-F9970,F9970))</f>
        <v/>
      </c>
    </row>
    <row r="9971">
      <c r="A9971" t="inlineStr">
        <is>
          <t>2026-09-25</t>
        </is>
      </c>
      <c r="B9971" t="inlineStr">
        <is>
          <t>F285452</t>
        </is>
      </c>
      <c r="C9971" t="inlineStr">
        <is>
          <t>C11330</t>
        </is>
      </c>
      <c r="D9971" t="inlineStr">
        <is>
          <t>SKU-10315</t>
        </is>
      </c>
      <c r="E9971" t="inlineStr">
        <is>
          <t>AM12</t>
        </is>
      </c>
      <c r="F9971" s="5" t="n">
        <v>435.6</v>
      </c>
      <c r="G9971">
        <f>IF(LEFT(B9971,1)="C","Credit","Factuur")</f>
        <v/>
      </c>
      <c r="H9971">
        <f>IF(AND(B9971=B9970,D9971=D9970,A9971=A9970,F9971=F9970),1,0)</f>
        <v/>
      </c>
      <c r="I9971">
        <f>IF(C9971="C99999",1,0)</f>
        <v/>
      </c>
      <c r="J9971" s="5">
        <f>IF(OR(H9971=1,I9971=1),0,IF(G9971="Credit",-F9971,F9971))</f>
        <v/>
      </c>
    </row>
    <row r="9972">
      <c r="A9972" t="inlineStr">
        <is>
          <t>2026-09-25</t>
        </is>
      </c>
      <c r="B9972" t="inlineStr">
        <is>
          <t>F285532</t>
        </is>
      </c>
      <c r="C9972" t="inlineStr">
        <is>
          <t>C11335</t>
        </is>
      </c>
      <c r="D9972" t="inlineStr">
        <is>
          <t>SKU-10313</t>
        </is>
      </c>
      <c r="E9972" t="inlineStr">
        <is>
          <t>AM08</t>
        </is>
      </c>
      <c r="F9972" s="5" t="n">
        <v>1209.3</v>
      </c>
      <c r="G9972">
        <f>IF(LEFT(B9972,1)="C","Credit","Factuur")</f>
        <v/>
      </c>
      <c r="H9972">
        <f>IF(AND(B9972=B9971,D9972=D9971,A9972=A9971,F9972=F9971),1,0)</f>
        <v/>
      </c>
      <c r="I9972">
        <f>IF(C9972="C99999",1,0)</f>
        <v/>
      </c>
      <c r="J9972" s="5">
        <f>IF(OR(H9972=1,I9972=1),0,IF(G9972="Credit",-F9972,F9972))</f>
        <v/>
      </c>
    </row>
    <row r="9973">
      <c r="A9973" t="inlineStr">
        <is>
          <t>2026-09-25</t>
        </is>
      </c>
      <c r="B9973" t="inlineStr">
        <is>
          <t>F285681</t>
        </is>
      </c>
      <c r="C9973" t="inlineStr">
        <is>
          <t>C11341</t>
        </is>
      </c>
      <c r="D9973" t="inlineStr">
        <is>
          <t>SKU-10020</t>
        </is>
      </c>
      <c r="E9973" t="inlineStr">
        <is>
          <t>AM02</t>
        </is>
      </c>
      <c r="F9973" s="5" t="n">
        <v>26403.31</v>
      </c>
      <c r="G9973">
        <f>IF(LEFT(B9973,1)="C","Credit","Factuur")</f>
        <v/>
      </c>
      <c r="H9973">
        <f>IF(AND(B9973=B9972,D9973=D9972,A9973=A9972,F9973=F9972),1,0)</f>
        <v/>
      </c>
      <c r="I9973">
        <f>IF(C9973="C99999",1,0)</f>
        <v/>
      </c>
      <c r="J9973" s="5">
        <f>IF(OR(H9973=1,I9973=1),0,IF(G9973="Credit",-F9973,F9973))</f>
        <v/>
      </c>
    </row>
    <row r="9974">
      <c r="A9974" t="inlineStr">
        <is>
          <t>2026-09-25</t>
        </is>
      </c>
      <c r="B9974" t="inlineStr">
        <is>
          <t>F285878</t>
        </is>
      </c>
      <c r="C9974" t="inlineStr">
        <is>
          <t>C11354</t>
        </is>
      </c>
      <c r="D9974" t="inlineStr">
        <is>
          <t>SKU-10057</t>
        </is>
      </c>
      <c r="E9974" t="inlineStr">
        <is>
          <t>AM08</t>
        </is>
      </c>
      <c r="F9974" s="5" t="n">
        <v>427.5</v>
      </c>
      <c r="G9974">
        <f>IF(LEFT(B9974,1)="C","Credit","Factuur")</f>
        <v/>
      </c>
      <c r="H9974">
        <f>IF(AND(B9974=B9973,D9974=D9973,A9974=A9973,F9974=F9973),1,0)</f>
        <v/>
      </c>
      <c r="I9974">
        <f>IF(C9974="C99999",1,0)</f>
        <v/>
      </c>
      <c r="J9974" s="5">
        <f>IF(OR(H9974=1,I9974=1),0,IF(G9974="Credit",-F9974,F9974))</f>
        <v/>
      </c>
    </row>
    <row r="9975">
      <c r="A9975" t="inlineStr">
        <is>
          <t>2026-09-25</t>
        </is>
      </c>
      <c r="B9975" t="inlineStr">
        <is>
          <t>F285878</t>
        </is>
      </c>
      <c r="C9975" t="inlineStr">
        <is>
          <t>C11354</t>
        </is>
      </c>
      <c r="D9975" t="inlineStr">
        <is>
          <t>SKU-10145</t>
        </is>
      </c>
      <c r="E9975" t="inlineStr">
        <is>
          <t>AM08</t>
        </is>
      </c>
      <c r="F9975" s="5" t="n">
        <v>476.72</v>
      </c>
      <c r="G9975">
        <f>IF(LEFT(B9975,1)="C","Credit","Factuur")</f>
        <v/>
      </c>
      <c r="H9975">
        <f>IF(AND(B9975=B9974,D9975=D9974,A9975=A9974,F9975=F9974),1,0)</f>
        <v/>
      </c>
      <c r="I9975">
        <f>IF(C9975="C99999",1,0)</f>
        <v/>
      </c>
      <c r="J9975" s="5">
        <f>IF(OR(H9975=1,I9975=1),0,IF(G9975="Credit",-F9975,F9975))</f>
        <v/>
      </c>
    </row>
    <row r="9976">
      <c r="A9976" t="inlineStr">
        <is>
          <t>2026-09-25</t>
        </is>
      </c>
      <c r="B9976" t="inlineStr">
        <is>
          <t>F285878</t>
        </is>
      </c>
      <c r="C9976" t="inlineStr">
        <is>
          <t>C11354</t>
        </is>
      </c>
      <c r="D9976" t="inlineStr">
        <is>
          <t>SKU-10153</t>
        </is>
      </c>
      <c r="E9976" t="inlineStr">
        <is>
          <t>AM08</t>
        </is>
      </c>
      <c r="F9976" s="5" t="n">
        <v>405.76</v>
      </c>
      <c r="G9976">
        <f>IF(LEFT(B9976,1)="C","Credit","Factuur")</f>
        <v/>
      </c>
      <c r="H9976">
        <f>IF(AND(B9976=B9975,D9976=D9975,A9976=A9975,F9976=F9975),1,0)</f>
        <v/>
      </c>
      <c r="I9976">
        <f>IF(C9976="C99999",1,0)</f>
        <v/>
      </c>
      <c r="J9976" s="5">
        <f>IF(OR(H9976=1,I9976=1),0,IF(G9976="Credit",-F9976,F9976))</f>
        <v/>
      </c>
    </row>
    <row r="9977">
      <c r="A9977" t="inlineStr">
        <is>
          <t>2026-09-25</t>
        </is>
      </c>
      <c r="B9977" t="inlineStr">
        <is>
          <t>F285878</t>
        </is>
      </c>
      <c r="C9977" t="inlineStr">
        <is>
          <t>C11354</t>
        </is>
      </c>
      <c r="D9977" t="inlineStr">
        <is>
          <t>SKU-10178</t>
        </is>
      </c>
      <c r="E9977" t="inlineStr">
        <is>
          <t>AM08</t>
        </is>
      </c>
      <c r="F9977" s="5" t="n">
        <v>414.41</v>
      </c>
      <c r="G9977">
        <f>IF(LEFT(B9977,1)="C","Credit","Factuur")</f>
        <v/>
      </c>
      <c r="H9977">
        <f>IF(AND(B9977=B9976,D9977=D9976,A9977=A9976,F9977=F9976),1,0)</f>
        <v/>
      </c>
      <c r="I9977">
        <f>IF(C9977="C99999",1,0)</f>
        <v/>
      </c>
      <c r="J9977" s="5">
        <f>IF(OR(H9977=1,I9977=1),0,IF(G9977="Credit",-F9977,F9977))</f>
        <v/>
      </c>
    </row>
    <row r="9978">
      <c r="A9978" t="inlineStr">
        <is>
          <t>2026-09-25</t>
        </is>
      </c>
      <c r="B9978" t="inlineStr">
        <is>
          <t>F285878</t>
        </is>
      </c>
      <c r="C9978" t="inlineStr">
        <is>
          <t>C11354</t>
        </is>
      </c>
      <c r="D9978" t="inlineStr">
        <is>
          <t>SKU-10300</t>
        </is>
      </c>
      <c r="E9978" t="inlineStr">
        <is>
          <t>AM08</t>
        </is>
      </c>
      <c r="F9978" s="5" t="n">
        <v>421.3</v>
      </c>
      <c r="G9978">
        <f>IF(LEFT(B9978,1)="C","Credit","Factuur")</f>
        <v/>
      </c>
      <c r="H9978">
        <f>IF(AND(B9978=B9977,D9978=D9977,A9978=A9977,F9978=F9977),1,0)</f>
        <v/>
      </c>
      <c r="I9978">
        <f>IF(C9978="C99999",1,0)</f>
        <v/>
      </c>
      <c r="J9978" s="5">
        <f>IF(OR(H9978=1,I9978=1),0,IF(G9978="Credit",-F9978,F9978))</f>
        <v/>
      </c>
    </row>
    <row r="9979">
      <c r="A9979" t="inlineStr">
        <is>
          <t>2026-09-25</t>
        </is>
      </c>
      <c r="B9979" t="inlineStr">
        <is>
          <t>F286014</t>
        </is>
      </c>
      <c r="C9979" t="inlineStr">
        <is>
          <t>C11362</t>
        </is>
      </c>
      <c r="D9979" t="inlineStr">
        <is>
          <t>SKU-10116</t>
        </is>
      </c>
      <c r="E9979" t="inlineStr">
        <is>
          <t>AM09</t>
        </is>
      </c>
      <c r="F9979" s="5" t="n">
        <v>455.7</v>
      </c>
      <c r="G9979">
        <f>IF(LEFT(B9979,1)="C","Credit","Factuur")</f>
        <v/>
      </c>
      <c r="H9979">
        <f>IF(AND(B9979=B9978,D9979=D9978,A9979=A9978,F9979=F9978),1,0)</f>
        <v/>
      </c>
      <c r="I9979">
        <f>IF(C9979="C99999",1,0)</f>
        <v/>
      </c>
      <c r="J9979" s="5">
        <f>IF(OR(H9979=1,I9979=1),0,IF(G9979="Credit",-F9979,F9979))</f>
        <v/>
      </c>
    </row>
    <row r="9980">
      <c r="A9980" t="inlineStr">
        <is>
          <t>2026-09-25</t>
        </is>
      </c>
      <c r="B9980" t="inlineStr">
        <is>
          <t>F286014</t>
        </is>
      </c>
      <c r="C9980" t="inlineStr">
        <is>
          <t>C11362</t>
        </is>
      </c>
      <c r="D9980" t="inlineStr">
        <is>
          <t>SKU-10319</t>
        </is>
      </c>
      <c r="E9980" t="inlineStr">
        <is>
          <t>AM09</t>
        </is>
      </c>
      <c r="F9980" s="5" t="n">
        <v>412.39</v>
      </c>
      <c r="G9980">
        <f>IF(LEFT(B9980,1)="C","Credit","Factuur")</f>
        <v/>
      </c>
      <c r="H9980">
        <f>IF(AND(B9980=B9979,D9980=D9979,A9980=A9979,F9980=F9979),1,0)</f>
        <v/>
      </c>
      <c r="I9980">
        <f>IF(C9980="C99999",1,0)</f>
        <v/>
      </c>
      <c r="J9980" s="5">
        <f>IF(OR(H9980=1,I9980=1),0,IF(G9980="Credit",-F9980,F9980))</f>
        <v/>
      </c>
    </row>
    <row r="9981">
      <c r="A9981" t="inlineStr">
        <is>
          <t>2026-09-25</t>
        </is>
      </c>
      <c r="B9981" t="inlineStr">
        <is>
          <t>F286062</t>
        </is>
      </c>
      <c r="C9981" t="inlineStr">
        <is>
          <t>C11363</t>
        </is>
      </c>
      <c r="D9981" t="inlineStr">
        <is>
          <t>SKU-10014</t>
        </is>
      </c>
      <c r="E9981" t="inlineStr">
        <is>
          <t>AM09</t>
        </is>
      </c>
      <c r="F9981" s="5" t="n">
        <v>165.12</v>
      </c>
      <c r="G9981">
        <f>IF(LEFT(B9981,1)="C","Credit","Factuur")</f>
        <v/>
      </c>
      <c r="H9981">
        <f>IF(AND(B9981=B9980,D9981=D9980,A9981=A9980,F9981=F9980),1,0)</f>
        <v/>
      </c>
      <c r="I9981">
        <f>IF(C9981="C99999",1,0)</f>
        <v/>
      </c>
      <c r="J9981" s="5">
        <f>IF(OR(H9981=1,I9981=1),0,IF(G9981="Credit",-F9981,F9981))</f>
        <v/>
      </c>
    </row>
    <row r="9982">
      <c r="A9982" t="inlineStr">
        <is>
          <t>2026-09-25</t>
        </is>
      </c>
      <c r="B9982" t="inlineStr">
        <is>
          <t>F286062</t>
        </is>
      </c>
      <c r="C9982" t="inlineStr">
        <is>
          <t>C11363</t>
        </is>
      </c>
      <c r="D9982" t="inlineStr">
        <is>
          <t>SKU-10189</t>
        </is>
      </c>
      <c r="E9982" t="inlineStr">
        <is>
          <t>AM09</t>
        </is>
      </c>
      <c r="F9982" s="5" t="n">
        <v>162.13</v>
      </c>
      <c r="G9982">
        <f>IF(LEFT(B9982,1)="C","Credit","Factuur")</f>
        <v/>
      </c>
      <c r="H9982">
        <f>IF(AND(B9982=B9981,D9982=D9981,A9982=A9981,F9982=F9981),1,0)</f>
        <v/>
      </c>
      <c r="I9982">
        <f>IF(C9982="C99999",1,0)</f>
        <v/>
      </c>
      <c r="J9982" s="5">
        <f>IF(OR(H9982=1,I9982=1),0,IF(G9982="Credit",-F9982,F9982))</f>
        <v/>
      </c>
    </row>
    <row r="9983">
      <c r="A9983" t="inlineStr">
        <is>
          <t>2026-09-25</t>
        </is>
      </c>
      <c r="B9983" t="inlineStr">
        <is>
          <t>F286062</t>
        </is>
      </c>
      <c r="C9983" t="inlineStr">
        <is>
          <t>C11363</t>
        </is>
      </c>
      <c r="D9983" t="inlineStr">
        <is>
          <t>SKU-10212</t>
        </is>
      </c>
      <c r="E9983" t="inlineStr">
        <is>
          <t>AM09</t>
        </is>
      </c>
      <c r="F9983" s="5" t="n">
        <v>187.38</v>
      </c>
      <c r="G9983">
        <f>IF(LEFT(B9983,1)="C","Credit","Factuur")</f>
        <v/>
      </c>
      <c r="H9983">
        <f>IF(AND(B9983=B9982,D9983=D9982,A9983=A9982,F9983=F9982),1,0)</f>
        <v/>
      </c>
      <c r="I9983">
        <f>IF(C9983="C99999",1,0)</f>
        <v/>
      </c>
      <c r="J9983" s="5">
        <f>IF(OR(H9983=1,I9983=1),0,IF(G9983="Credit",-F9983,F9983))</f>
        <v/>
      </c>
    </row>
    <row r="9984">
      <c r="A9984" t="inlineStr">
        <is>
          <t>2026-09-26</t>
        </is>
      </c>
      <c r="B9984" t="inlineStr">
        <is>
          <t>C900831</t>
        </is>
      </c>
      <c r="C9984" t="inlineStr">
        <is>
          <t>C10262</t>
        </is>
      </c>
      <c r="D9984" t="inlineStr">
        <is>
          <t>SKU-10306</t>
        </is>
      </c>
      <c r="E9984" t="inlineStr">
        <is>
          <t>AM06</t>
        </is>
      </c>
      <c r="F9984" s="5" t="n">
        <v>525.55</v>
      </c>
      <c r="G9984">
        <f>IF(LEFT(B9984,1)="C","Credit","Factuur")</f>
        <v/>
      </c>
      <c r="H9984">
        <f>IF(AND(B9984=B9983,D9984=D9983,A9984=A9983,F9984=F9983),1,0)</f>
        <v/>
      </c>
      <c r="I9984">
        <f>IF(C9984="C99999",1,0)</f>
        <v/>
      </c>
      <c r="J9984" s="5">
        <f>IF(OR(H9984=1,I9984=1),0,IF(G9984="Credit",-F9984,F9984))</f>
        <v/>
      </c>
    </row>
    <row r="9985">
      <c r="A9985" t="inlineStr">
        <is>
          <t>2026-09-26</t>
        </is>
      </c>
      <c r="B9985" t="inlineStr">
        <is>
          <t>C901046</t>
        </is>
      </c>
      <c r="C9985" t="inlineStr">
        <is>
          <t>C11135</t>
        </is>
      </c>
      <c r="D9985" t="inlineStr">
        <is>
          <t>SKU-10244</t>
        </is>
      </c>
      <c r="E9985" t="inlineStr">
        <is>
          <t>AM05</t>
        </is>
      </c>
      <c r="F9985" s="5" t="n">
        <v>107.73</v>
      </c>
      <c r="G9985">
        <f>IF(LEFT(B9985,1)="C","Credit","Factuur")</f>
        <v/>
      </c>
      <c r="H9985">
        <f>IF(AND(B9985=B9984,D9985=D9984,A9985=A9984,F9985=F9984),1,0)</f>
        <v/>
      </c>
      <c r="I9985">
        <f>IF(C9985="C99999",1,0)</f>
        <v/>
      </c>
      <c r="J9985" s="5">
        <f>IF(OR(H9985=1,I9985=1),0,IF(G9985="Credit",-F9985,F9985))</f>
        <v/>
      </c>
    </row>
    <row r="9986">
      <c r="A9986" t="inlineStr">
        <is>
          <t>2026-09-26</t>
        </is>
      </c>
      <c r="B9986" t="inlineStr">
        <is>
          <t>C901053</t>
        </is>
      </c>
      <c r="C9986" t="inlineStr">
        <is>
          <t>C10429</t>
        </is>
      </c>
      <c r="D9986" t="inlineStr">
        <is>
          <t>SKU-10266</t>
        </is>
      </c>
      <c r="E9986" t="inlineStr">
        <is>
          <t>AM05</t>
        </is>
      </c>
      <c r="F9986" s="5" t="n">
        <v>96.66</v>
      </c>
      <c r="G9986">
        <f>IF(LEFT(B9986,1)="C","Credit","Factuur")</f>
        <v/>
      </c>
      <c r="H9986">
        <f>IF(AND(B9986=B9985,D9986=D9985,A9986=A9985,F9986=F9985),1,0)</f>
        <v/>
      </c>
      <c r="I9986">
        <f>IF(C9986="C99999",1,0)</f>
        <v/>
      </c>
      <c r="J9986" s="5">
        <f>IF(OR(H9986=1,I9986=1),0,IF(G9986="Credit",-F9986,F9986))</f>
        <v/>
      </c>
    </row>
    <row r="9987">
      <c r="A9987" t="inlineStr">
        <is>
          <t>2026-09-26</t>
        </is>
      </c>
      <c r="B9987" t="inlineStr">
        <is>
          <t>C901396</t>
        </is>
      </c>
      <c r="C9987" t="inlineStr">
        <is>
          <t>C10525</t>
        </is>
      </c>
      <c r="D9987" t="inlineStr">
        <is>
          <t>SKU-10318</t>
        </is>
      </c>
      <c r="E9987" t="inlineStr">
        <is>
          <t>AM02</t>
        </is>
      </c>
      <c r="F9987" s="5" t="n">
        <v>203.5</v>
      </c>
      <c r="G9987">
        <f>IF(LEFT(B9987,1)="C","Credit","Factuur")</f>
        <v/>
      </c>
      <c r="H9987">
        <f>IF(AND(B9987=B9986,D9987=D9986,A9987=A9986,F9987=F9986),1,0)</f>
        <v/>
      </c>
      <c r="I9987">
        <f>IF(C9987="C99999",1,0)</f>
        <v/>
      </c>
      <c r="J9987" s="5">
        <f>IF(OR(H9987=1,I9987=1),0,IF(G9987="Credit",-F9987,F9987))</f>
        <v/>
      </c>
    </row>
    <row r="9988">
      <c r="A9988" t="inlineStr">
        <is>
          <t>2026-09-26</t>
        </is>
      </c>
      <c r="B9988" t="inlineStr">
        <is>
          <t>C901532</t>
        </is>
      </c>
      <c r="C9988" t="inlineStr">
        <is>
          <t>C10225</t>
        </is>
      </c>
      <c r="D9988" t="inlineStr">
        <is>
          <t>SKU-10304</t>
        </is>
      </c>
      <c r="E9988" t="inlineStr">
        <is>
          <t>AM02</t>
        </is>
      </c>
      <c r="F9988" s="5" t="n">
        <v>764</v>
      </c>
      <c r="G9988">
        <f>IF(LEFT(B9988,1)="C","Credit","Factuur")</f>
        <v/>
      </c>
      <c r="H9988">
        <f>IF(AND(B9988=B9987,D9988=D9987,A9988=A9987,F9988=F9987),1,0)</f>
        <v/>
      </c>
      <c r="I9988">
        <f>IF(C9988="C99999",1,0)</f>
        <v/>
      </c>
      <c r="J9988" s="5">
        <f>IF(OR(H9988=1,I9988=1),0,IF(G9988="Credit",-F9988,F9988))</f>
        <v/>
      </c>
    </row>
    <row r="9989">
      <c r="A9989" t="inlineStr">
        <is>
          <t>2026-09-26</t>
        </is>
      </c>
      <c r="B9989" t="inlineStr">
        <is>
          <t>C901838</t>
        </is>
      </c>
      <c r="C9989" t="inlineStr">
        <is>
          <t>C10653</t>
        </is>
      </c>
      <c r="D9989" t="inlineStr">
        <is>
          <t>SKU-10121</t>
        </is>
      </c>
      <c r="E9989" t="inlineStr">
        <is>
          <t>AM08</t>
        </is>
      </c>
      <c r="F9989" s="5" t="n">
        <v>64.93000000000001</v>
      </c>
      <c r="G9989">
        <f>IF(LEFT(B9989,1)="C","Credit","Factuur")</f>
        <v/>
      </c>
      <c r="H9989">
        <f>IF(AND(B9989=B9988,D9989=D9988,A9989=A9988,F9989=F9988),1,0)</f>
        <v/>
      </c>
      <c r="I9989">
        <f>IF(C9989="C99999",1,0)</f>
        <v/>
      </c>
      <c r="J9989" s="5">
        <f>IF(OR(H9989=1,I9989=1),0,IF(G9989="Credit",-F9989,F9989))</f>
        <v/>
      </c>
    </row>
    <row r="9990">
      <c r="A9990" t="inlineStr">
        <is>
          <t>2026-09-27</t>
        </is>
      </c>
      <c r="B9990" t="inlineStr">
        <is>
          <t>C900435</t>
        </is>
      </c>
      <c r="C9990" t="inlineStr">
        <is>
          <t>C10390</t>
        </is>
      </c>
      <c r="D9990" t="inlineStr">
        <is>
          <t>SKU-10314</t>
        </is>
      </c>
      <c r="E9990" t="inlineStr">
        <is>
          <t>AM05</t>
        </is>
      </c>
      <c r="F9990" s="5" t="n">
        <v>117.6</v>
      </c>
      <c r="G9990">
        <f>IF(LEFT(B9990,1)="C","Credit","Factuur")</f>
        <v/>
      </c>
      <c r="H9990">
        <f>IF(AND(B9990=B9989,D9990=D9989,A9990=A9989,F9990=F9989),1,0)</f>
        <v/>
      </c>
      <c r="I9990">
        <f>IF(C9990="C99999",1,0)</f>
        <v/>
      </c>
      <c r="J9990" s="5">
        <f>IF(OR(H9990=1,I9990=1),0,IF(G9990="Credit",-F9990,F9990))</f>
        <v/>
      </c>
    </row>
    <row r="9991">
      <c r="A9991" t="inlineStr">
        <is>
          <t>2026-09-27</t>
        </is>
      </c>
      <c r="B9991" t="inlineStr">
        <is>
          <t>C900527</t>
        </is>
      </c>
      <c r="C9991" t="inlineStr">
        <is>
          <t>C10885</t>
        </is>
      </c>
      <c r="D9991" t="inlineStr">
        <is>
          <t>SKU-10322</t>
        </is>
      </c>
      <c r="E9991" t="inlineStr">
        <is>
          <t>AM02</t>
        </is>
      </c>
      <c r="F9991" s="5" t="n">
        <v>1518.16</v>
      </c>
      <c r="G9991">
        <f>IF(LEFT(B9991,1)="C","Credit","Factuur")</f>
        <v/>
      </c>
      <c r="H9991">
        <f>IF(AND(B9991=B9990,D9991=D9990,A9991=A9990,F9991=F9990),1,0)</f>
        <v/>
      </c>
      <c r="I9991">
        <f>IF(C9991="C99999",1,0)</f>
        <v/>
      </c>
      <c r="J9991" s="5">
        <f>IF(OR(H9991=1,I9991=1),0,IF(G9991="Credit",-F9991,F9991))</f>
        <v/>
      </c>
    </row>
    <row r="9992">
      <c r="A9992" t="inlineStr">
        <is>
          <t>2026-09-27</t>
        </is>
      </c>
      <c r="B9992" t="inlineStr">
        <is>
          <t>C901273</t>
        </is>
      </c>
      <c r="C9992" t="inlineStr">
        <is>
          <t>C11103</t>
        </is>
      </c>
      <c r="D9992" t="inlineStr">
        <is>
          <t>SKU-10340</t>
        </is>
      </c>
      <c r="E9992" t="inlineStr">
        <is>
          <t>AM02</t>
        </is>
      </c>
      <c r="F9992" s="5" t="n">
        <v>614.64</v>
      </c>
      <c r="G9992">
        <f>IF(LEFT(B9992,1)="C","Credit","Factuur")</f>
        <v/>
      </c>
      <c r="H9992">
        <f>IF(AND(B9992=B9991,D9992=D9991,A9992=A9991,F9992=F9991),1,0)</f>
        <v/>
      </c>
      <c r="I9992">
        <f>IF(C9992="C99999",1,0)</f>
        <v/>
      </c>
      <c r="J9992" s="5">
        <f>IF(OR(H9992=1,I9992=1),0,IF(G9992="Credit",-F9992,F9992))</f>
        <v/>
      </c>
    </row>
    <row r="9993">
      <c r="A9993" t="inlineStr">
        <is>
          <t>2026-09-28</t>
        </is>
      </c>
      <c r="B9993" t="inlineStr">
        <is>
          <t>C900973</t>
        </is>
      </c>
      <c r="C9993" t="inlineStr">
        <is>
          <t>C10548</t>
        </is>
      </c>
      <c r="D9993" t="inlineStr">
        <is>
          <t>SKU-10017</t>
        </is>
      </c>
      <c r="E9993" t="inlineStr">
        <is>
          <t>AM03</t>
        </is>
      </c>
      <c r="F9993" s="5" t="n">
        <v>194.25</v>
      </c>
      <c r="G9993">
        <f>IF(LEFT(B9993,1)="C","Credit","Factuur")</f>
        <v/>
      </c>
      <c r="H9993">
        <f>IF(AND(B9993=B9992,D9993=D9992,A9993=A9992,F9993=F9992),1,0)</f>
        <v/>
      </c>
      <c r="I9993">
        <f>IF(C9993="C99999",1,0)</f>
        <v/>
      </c>
      <c r="J9993" s="5">
        <f>IF(OR(H9993=1,I9993=1),0,IF(G9993="Credit",-F9993,F9993))</f>
        <v/>
      </c>
    </row>
    <row r="9994">
      <c r="A9994" t="inlineStr">
        <is>
          <t>2026-09-28</t>
        </is>
      </c>
      <c r="B9994" t="inlineStr">
        <is>
          <t>C901690</t>
        </is>
      </c>
      <c r="C9994" t="inlineStr">
        <is>
          <t>C10246</t>
        </is>
      </c>
      <c r="D9994" t="inlineStr">
        <is>
          <t>SKU-10110</t>
        </is>
      </c>
      <c r="E9994" t="inlineStr">
        <is>
          <t>AM06</t>
        </is>
      </c>
      <c r="F9994" s="5" t="n">
        <v>375.44</v>
      </c>
      <c r="G9994">
        <f>IF(LEFT(B9994,1)="C","Credit","Factuur")</f>
        <v/>
      </c>
      <c r="H9994">
        <f>IF(AND(B9994=B9993,D9994=D9993,A9994=A9993,F9994=F9993),1,0)</f>
        <v/>
      </c>
      <c r="I9994">
        <f>IF(C9994="C99999",1,0)</f>
        <v/>
      </c>
      <c r="J9994" s="5">
        <f>IF(OR(H9994=1,I9994=1),0,IF(G9994="Credit",-F9994,F9994))</f>
        <v/>
      </c>
    </row>
    <row r="9995">
      <c r="A9995" t="inlineStr">
        <is>
          <t>2026-09-28</t>
        </is>
      </c>
      <c r="B9995" t="inlineStr">
        <is>
          <t>F260226</t>
        </is>
      </c>
      <c r="C9995" t="inlineStr">
        <is>
          <t>C10014</t>
        </is>
      </c>
      <c r="D9995" t="inlineStr">
        <is>
          <t>SKU-10314</t>
        </is>
      </c>
      <c r="E9995" t="inlineStr">
        <is>
          <t>AM01</t>
        </is>
      </c>
      <c r="F9995" s="5" t="n">
        <v>611.52</v>
      </c>
      <c r="G9995">
        <f>IF(LEFT(B9995,1)="C","Credit","Factuur")</f>
        <v/>
      </c>
      <c r="H9995">
        <f>IF(AND(B9995=B9994,D9995=D9994,A9995=A9994,F9995=F9994),1,0)</f>
        <v/>
      </c>
      <c r="I9995">
        <f>IF(C9995="C99999",1,0)</f>
        <v/>
      </c>
      <c r="J9995" s="5">
        <f>IF(OR(H9995=1,I9995=1),0,IF(G9995="Credit",-F9995,F9995))</f>
        <v/>
      </c>
    </row>
    <row r="9996">
      <c r="A9996" t="inlineStr">
        <is>
          <t>2026-09-28</t>
        </is>
      </c>
      <c r="B9996" t="inlineStr">
        <is>
          <t>F260226</t>
        </is>
      </c>
      <c r="C9996" t="inlineStr">
        <is>
          <t>C10014</t>
        </is>
      </c>
      <c r="D9996" t="inlineStr">
        <is>
          <t>SKU-10334</t>
        </is>
      </c>
      <c r="E9996" t="inlineStr">
        <is>
          <t>AM01</t>
        </is>
      </c>
      <c r="F9996" s="5" t="n">
        <v>597.41</v>
      </c>
      <c r="G9996">
        <f>IF(LEFT(B9996,1)="C","Credit","Factuur")</f>
        <v/>
      </c>
      <c r="H9996">
        <f>IF(AND(B9996=B9995,D9996=D9995,A9996=A9995,F9996=F9995),1,0)</f>
        <v/>
      </c>
      <c r="I9996">
        <f>IF(C9996="C99999",1,0)</f>
        <v/>
      </c>
      <c r="J9996" s="5">
        <f>IF(OR(H9996=1,I9996=1),0,IF(G9996="Credit",-F9996,F9996))</f>
        <v/>
      </c>
    </row>
    <row r="9997">
      <c r="A9997" t="inlineStr">
        <is>
          <t>2026-09-28</t>
        </is>
      </c>
      <c r="B9997" t="inlineStr">
        <is>
          <t>F262675</t>
        </is>
      </c>
      <c r="C9997" t="inlineStr">
        <is>
          <t>C10144</t>
        </is>
      </c>
      <c r="D9997" t="inlineStr">
        <is>
          <t>SKU-10148</t>
        </is>
      </c>
      <c r="E9997" t="inlineStr">
        <is>
          <t>IS02</t>
        </is>
      </c>
      <c r="F9997" s="5" t="n">
        <v>89.37</v>
      </c>
      <c r="G9997">
        <f>IF(LEFT(B9997,1)="C","Credit","Factuur")</f>
        <v/>
      </c>
      <c r="H9997">
        <f>IF(AND(B9997=B9996,D9997=D9996,A9997=A9996,F9997=F9996),1,0)</f>
        <v/>
      </c>
      <c r="I9997">
        <f>IF(C9997="C99999",1,0)</f>
        <v/>
      </c>
      <c r="J9997" s="5">
        <f>IF(OR(H9997=1,I9997=1),0,IF(G9997="Credit",-F9997,F9997))</f>
        <v/>
      </c>
    </row>
    <row r="9998">
      <c r="A9998" t="inlineStr">
        <is>
          <t>2026-09-28</t>
        </is>
      </c>
      <c r="B9998" t="inlineStr">
        <is>
          <t>F262675</t>
        </is>
      </c>
      <c r="C9998" t="inlineStr">
        <is>
          <t>C10144</t>
        </is>
      </c>
      <c r="D9998" t="inlineStr">
        <is>
          <t>SKU-10282</t>
        </is>
      </c>
      <c r="E9998" t="inlineStr">
        <is>
          <t>IS02</t>
        </is>
      </c>
      <c r="F9998" s="5" t="n">
        <v>108.5</v>
      </c>
      <c r="G9998">
        <f>IF(LEFT(B9998,1)="C","Credit","Factuur")</f>
        <v/>
      </c>
      <c r="H9998">
        <f>IF(AND(B9998=B9997,D9998=D9997,A9998=A9997,F9998=F9997),1,0)</f>
        <v/>
      </c>
      <c r="I9998">
        <f>IF(C9998="C99999",1,0)</f>
        <v/>
      </c>
      <c r="J9998" s="5">
        <f>IF(OR(H9998=1,I9998=1),0,IF(G9998="Credit",-F9998,F9998))</f>
        <v/>
      </c>
    </row>
    <row r="9999">
      <c r="A9999" t="inlineStr">
        <is>
          <t>2026-09-28</t>
        </is>
      </c>
      <c r="B9999" t="inlineStr">
        <is>
          <t>F263016</t>
        </is>
      </c>
      <c r="C9999" t="inlineStr">
        <is>
          <t>C10162</t>
        </is>
      </c>
      <c r="D9999" t="inlineStr">
        <is>
          <t>SKU-10031</t>
        </is>
      </c>
      <c r="E9999" t="inlineStr">
        <is>
          <t>AM03</t>
        </is>
      </c>
      <c r="F9999" s="5" t="n">
        <v>58.34</v>
      </c>
      <c r="G9999">
        <f>IF(LEFT(B9999,1)="C","Credit","Factuur")</f>
        <v/>
      </c>
      <c r="H9999">
        <f>IF(AND(B9999=B9998,D9999=D9998,A9999=A9998,F9999=F9998),1,0)</f>
        <v/>
      </c>
      <c r="I9999">
        <f>IF(C9999="C99999",1,0)</f>
        <v/>
      </c>
      <c r="J9999" s="5">
        <f>IF(OR(H9999=1,I9999=1),0,IF(G9999="Credit",-F9999,F9999))</f>
        <v/>
      </c>
    </row>
    <row r="10000">
      <c r="A10000" t="inlineStr">
        <is>
          <t>2026-09-28</t>
        </is>
      </c>
      <c r="B10000" t="inlineStr">
        <is>
          <t>F263016</t>
        </is>
      </c>
      <c r="C10000" t="inlineStr">
        <is>
          <t>C10162</t>
        </is>
      </c>
      <c r="D10000" t="inlineStr">
        <is>
          <t>SKU-10063</t>
        </is>
      </c>
      <c r="E10000" t="inlineStr">
        <is>
          <t>AM03</t>
        </is>
      </c>
      <c r="F10000" s="5" t="n">
        <v>84.66</v>
      </c>
      <c r="G10000">
        <f>IF(LEFT(B10000,1)="C","Credit","Factuur")</f>
        <v/>
      </c>
      <c r="H10000">
        <f>IF(AND(B10000=B9999,D10000=D9999,A10000=A9999,F10000=F9999),1,0)</f>
        <v/>
      </c>
      <c r="I10000">
        <f>IF(C10000="C99999",1,0)</f>
        <v/>
      </c>
      <c r="J10000" s="5">
        <f>IF(OR(H10000=1,I10000=1),0,IF(G10000="Credit",-F10000,F10000))</f>
        <v/>
      </c>
    </row>
    <row r="10001">
      <c r="A10001" t="inlineStr">
        <is>
          <t>2026-09-28</t>
        </is>
      </c>
      <c r="B10001" t="inlineStr">
        <is>
          <t>F263016</t>
        </is>
      </c>
      <c r="C10001" t="inlineStr">
        <is>
          <t>C10162</t>
        </is>
      </c>
      <c r="D10001" t="inlineStr">
        <is>
          <t>SKU-10162</t>
        </is>
      </c>
      <c r="E10001" t="inlineStr">
        <is>
          <t>AM03</t>
        </is>
      </c>
      <c r="F10001" s="5" t="n">
        <v>68.25</v>
      </c>
      <c r="G10001">
        <f>IF(LEFT(B10001,1)="C","Credit","Factuur")</f>
        <v/>
      </c>
      <c r="H10001">
        <f>IF(AND(B10001=B10000,D10001=D10000,A10001=A10000,F10001=F10000),1,0)</f>
        <v/>
      </c>
      <c r="I10001">
        <f>IF(C10001="C99999",1,0)</f>
        <v/>
      </c>
      <c r="J10001" s="5">
        <f>IF(OR(H10001=1,I10001=1),0,IF(G10001="Credit",-F10001,F10001))</f>
        <v/>
      </c>
    </row>
    <row r="10002">
      <c r="A10002" t="inlineStr">
        <is>
          <t>2026-09-28</t>
        </is>
      </c>
      <c r="B10002" t="inlineStr">
        <is>
          <t>F263175</t>
        </is>
      </c>
      <c r="C10002" t="inlineStr">
        <is>
          <t>C10170</t>
        </is>
      </c>
      <c r="D10002" t="inlineStr">
        <is>
          <t>SKU-10049</t>
        </is>
      </c>
      <c r="E10002" t="inlineStr">
        <is>
          <t>AM11</t>
        </is>
      </c>
      <c r="F10002" s="5" t="n">
        <v>46.78</v>
      </c>
      <c r="G10002">
        <f>IF(LEFT(B10002,1)="C","Credit","Factuur")</f>
        <v/>
      </c>
      <c r="H10002">
        <f>IF(AND(B10002=B10001,D10002=D10001,A10002=A10001,F10002=F10001),1,0)</f>
        <v/>
      </c>
      <c r="I10002">
        <f>IF(C10002="C99999",1,0)</f>
        <v/>
      </c>
      <c r="J10002" s="5">
        <f>IF(OR(H10002=1,I10002=1),0,IF(G10002="Credit",-F10002,F10002))</f>
        <v/>
      </c>
    </row>
    <row r="10003">
      <c r="A10003" t="inlineStr">
        <is>
          <t>2026-09-28</t>
        </is>
      </c>
      <c r="B10003" t="inlineStr">
        <is>
          <t>F263175</t>
        </is>
      </c>
      <c r="C10003" t="inlineStr">
        <is>
          <t>C10170</t>
        </is>
      </c>
      <c r="D10003" t="inlineStr">
        <is>
          <t>SKU-10059</t>
        </is>
      </c>
      <c r="E10003" t="inlineStr">
        <is>
          <t>AM11</t>
        </is>
      </c>
      <c r="F10003" s="5" t="n">
        <v>40.36</v>
      </c>
      <c r="G10003">
        <f>IF(LEFT(B10003,1)="C","Credit","Factuur")</f>
        <v/>
      </c>
      <c r="H10003">
        <f>IF(AND(B10003=B10002,D10003=D10002,A10003=A10002,F10003=F10002),1,0)</f>
        <v/>
      </c>
      <c r="I10003">
        <f>IF(C10003="C99999",1,0)</f>
        <v/>
      </c>
      <c r="J10003" s="5">
        <f>IF(OR(H10003=1,I10003=1),0,IF(G10003="Credit",-F10003,F10003))</f>
        <v/>
      </c>
    </row>
    <row r="10004">
      <c r="A10004" t="inlineStr">
        <is>
          <t>2026-09-28</t>
        </is>
      </c>
      <c r="B10004" t="inlineStr">
        <is>
          <t>F263175</t>
        </is>
      </c>
      <c r="C10004" t="inlineStr">
        <is>
          <t>C10170</t>
        </is>
      </c>
      <c r="D10004" t="inlineStr">
        <is>
          <t>SKU-10150</t>
        </is>
      </c>
      <c r="E10004" t="inlineStr">
        <is>
          <t>AM11</t>
        </is>
      </c>
      <c r="F10004" s="5" t="n">
        <v>138.53</v>
      </c>
      <c r="G10004">
        <f>IF(LEFT(B10004,1)="C","Credit","Factuur")</f>
        <v/>
      </c>
      <c r="H10004">
        <f>IF(AND(B10004=B10003,D10004=D10003,A10004=A10003,F10004=F10003),1,0)</f>
        <v/>
      </c>
      <c r="I10004">
        <f>IF(C10004="C99999",1,0)</f>
        <v/>
      </c>
      <c r="J10004" s="5">
        <f>IF(OR(H10004=1,I10004=1),0,IF(G10004="Credit",-F10004,F10004))</f>
        <v/>
      </c>
    </row>
    <row r="10005">
      <c r="A10005" t="inlineStr">
        <is>
          <t>2026-09-28</t>
        </is>
      </c>
      <c r="B10005" t="inlineStr">
        <is>
          <t>F263175</t>
        </is>
      </c>
      <c r="C10005" t="inlineStr">
        <is>
          <t>C10170</t>
        </is>
      </c>
      <c r="D10005" t="inlineStr">
        <is>
          <t>SKU-10227</t>
        </is>
      </c>
      <c r="E10005" t="inlineStr">
        <is>
          <t>AM11</t>
        </is>
      </c>
      <c r="F10005" s="5" t="n">
        <v>23.44</v>
      </c>
      <c r="G10005">
        <f>IF(LEFT(B10005,1)="C","Credit","Factuur")</f>
        <v/>
      </c>
      <c r="H10005">
        <f>IF(AND(B10005=B10004,D10005=D10004,A10005=A10004,F10005=F10004),1,0)</f>
        <v/>
      </c>
      <c r="I10005">
        <f>IF(C10005="C99999",1,0)</f>
        <v/>
      </c>
      <c r="J10005" s="5">
        <f>IF(OR(H10005=1,I10005=1),0,IF(G10005="Credit",-F10005,F10005))</f>
        <v/>
      </c>
    </row>
    <row r="10006">
      <c r="A10006" t="inlineStr">
        <is>
          <t>2026-09-28</t>
        </is>
      </c>
      <c r="B10006" t="inlineStr">
        <is>
          <t>F263175</t>
        </is>
      </c>
      <c r="C10006" t="inlineStr">
        <is>
          <t>C10170</t>
        </is>
      </c>
      <c r="D10006" t="inlineStr">
        <is>
          <t>SKU-10340</t>
        </is>
      </c>
      <c r="E10006" t="inlineStr">
        <is>
          <t>AM11</t>
        </is>
      </c>
      <c r="F10006" s="5" t="n">
        <v>29.94</v>
      </c>
      <c r="G10006">
        <f>IF(LEFT(B10006,1)="C","Credit","Factuur")</f>
        <v/>
      </c>
      <c r="H10006">
        <f>IF(AND(B10006=B10005,D10006=D10005,A10006=A10005,F10006=F10005),1,0)</f>
        <v/>
      </c>
      <c r="I10006">
        <f>IF(C10006="C99999",1,0)</f>
        <v/>
      </c>
      <c r="J10006" s="5">
        <f>IF(OR(H10006=1,I10006=1),0,IF(G10006="Credit",-F10006,F10006))</f>
        <v/>
      </c>
    </row>
    <row r="10007">
      <c r="A10007" t="inlineStr">
        <is>
          <t>2026-09-28</t>
        </is>
      </c>
      <c r="B10007" t="inlineStr">
        <is>
          <t>F263475</t>
        </is>
      </c>
      <c r="C10007" t="inlineStr">
        <is>
          <t>C10186</t>
        </is>
      </c>
      <c r="D10007" t="inlineStr">
        <is>
          <t>SKU-10040</t>
        </is>
      </c>
      <c r="E10007" t="inlineStr">
        <is>
          <t>AM11</t>
        </is>
      </c>
      <c r="F10007" s="5" t="n">
        <v>727.72</v>
      </c>
      <c r="G10007">
        <f>IF(LEFT(B10007,1)="C","Credit","Factuur")</f>
        <v/>
      </c>
      <c r="H10007">
        <f>IF(AND(B10007=B10006,D10007=D10006,A10007=A10006,F10007=F10006),1,0)</f>
        <v/>
      </c>
      <c r="I10007">
        <f>IF(C10007="C99999",1,0)</f>
        <v/>
      </c>
      <c r="J10007" s="5">
        <f>IF(OR(H10007=1,I10007=1),0,IF(G10007="Credit",-F10007,F10007))</f>
        <v/>
      </c>
    </row>
    <row r="10008">
      <c r="A10008" t="inlineStr">
        <is>
          <t>2026-09-28</t>
        </is>
      </c>
      <c r="B10008" t="inlineStr">
        <is>
          <t>F263475</t>
        </is>
      </c>
      <c r="C10008" t="inlineStr">
        <is>
          <t>C10186</t>
        </is>
      </c>
      <c r="D10008" t="inlineStr">
        <is>
          <t>SKU-10073</t>
        </is>
      </c>
      <c r="E10008" t="inlineStr">
        <is>
          <t>AM11</t>
        </is>
      </c>
      <c r="F10008" s="5" t="n">
        <v>758.63</v>
      </c>
      <c r="G10008">
        <f>IF(LEFT(B10008,1)="C","Credit","Factuur")</f>
        <v/>
      </c>
      <c r="H10008">
        <f>IF(AND(B10008=B10007,D10008=D10007,A10008=A10007,F10008=F10007),1,0)</f>
        <v/>
      </c>
      <c r="I10008">
        <f>IF(C10008="C99999",1,0)</f>
        <v/>
      </c>
      <c r="J10008" s="5">
        <f>IF(OR(H10008=1,I10008=1),0,IF(G10008="Credit",-F10008,F10008))</f>
        <v/>
      </c>
    </row>
    <row r="10009">
      <c r="A10009" t="inlineStr">
        <is>
          <t>2026-09-28</t>
        </is>
      </c>
      <c r="B10009" t="inlineStr">
        <is>
          <t>F263531</t>
        </is>
      </c>
      <c r="C10009" t="inlineStr">
        <is>
          <t>C10190</t>
        </is>
      </c>
      <c r="D10009" t="inlineStr">
        <is>
          <t>SKU-10026</t>
        </is>
      </c>
      <c r="E10009" t="inlineStr">
        <is>
          <t>AM03</t>
        </is>
      </c>
      <c r="F10009" s="5" t="n">
        <v>164.72</v>
      </c>
      <c r="G10009">
        <f>IF(LEFT(B10009,1)="C","Credit","Factuur")</f>
        <v/>
      </c>
      <c r="H10009">
        <f>IF(AND(B10009=B10008,D10009=D10008,A10009=A10008,F10009=F10008),1,0)</f>
        <v/>
      </c>
      <c r="I10009">
        <f>IF(C10009="C99999",1,0)</f>
        <v/>
      </c>
      <c r="J10009" s="5">
        <f>IF(OR(H10009=1,I10009=1),0,IF(G10009="Credit",-F10009,F10009))</f>
        <v/>
      </c>
    </row>
    <row r="10010">
      <c r="A10010" t="inlineStr">
        <is>
          <t>2026-09-28</t>
        </is>
      </c>
      <c r="B10010" t="inlineStr">
        <is>
          <t>F263531</t>
        </is>
      </c>
      <c r="C10010" t="inlineStr">
        <is>
          <t>C10190</t>
        </is>
      </c>
      <c r="D10010" t="inlineStr">
        <is>
          <t>SKU-10066</t>
        </is>
      </c>
      <c r="E10010" t="inlineStr">
        <is>
          <t>AM03</t>
        </is>
      </c>
      <c r="F10010" s="5" t="n">
        <v>135.74</v>
      </c>
      <c r="G10010">
        <f>IF(LEFT(B10010,1)="C","Credit","Factuur")</f>
        <v/>
      </c>
      <c r="H10010">
        <f>IF(AND(B10010=B10009,D10010=D10009,A10010=A10009,F10010=F10009),1,0)</f>
        <v/>
      </c>
      <c r="I10010">
        <f>IF(C10010="C99999",1,0)</f>
        <v/>
      </c>
      <c r="J10010" s="5">
        <f>IF(OR(H10010=1,I10010=1),0,IF(G10010="Credit",-F10010,F10010))</f>
        <v/>
      </c>
    </row>
    <row r="10011">
      <c r="A10011" t="inlineStr">
        <is>
          <t>2026-09-28</t>
        </is>
      </c>
      <c r="B10011" t="inlineStr">
        <is>
          <t>F263531</t>
        </is>
      </c>
      <c r="C10011" t="inlineStr">
        <is>
          <t>C10190</t>
        </is>
      </c>
      <c r="D10011" t="inlineStr">
        <is>
          <t>SKU-10124</t>
        </is>
      </c>
      <c r="E10011" t="inlineStr">
        <is>
          <t>AM03</t>
        </is>
      </c>
      <c r="F10011" s="5" t="n">
        <v>145.62</v>
      </c>
      <c r="G10011">
        <f>IF(LEFT(B10011,1)="C","Credit","Factuur")</f>
        <v/>
      </c>
      <c r="H10011">
        <f>IF(AND(B10011=B10010,D10011=D10010,A10011=A10010,F10011=F10010),1,0)</f>
        <v/>
      </c>
      <c r="I10011">
        <f>IF(C10011="C99999",1,0)</f>
        <v/>
      </c>
      <c r="J10011" s="5">
        <f>IF(OR(H10011=1,I10011=1),0,IF(G10011="Credit",-F10011,F10011))</f>
        <v/>
      </c>
    </row>
    <row r="10012">
      <c r="A10012" t="inlineStr">
        <is>
          <t>2026-09-28</t>
        </is>
      </c>
      <c r="B10012" t="inlineStr">
        <is>
          <t>F263531</t>
        </is>
      </c>
      <c r="C10012" t="inlineStr">
        <is>
          <t>C10190</t>
        </is>
      </c>
      <c r="D10012" t="inlineStr">
        <is>
          <t>SKU-10157</t>
        </is>
      </c>
      <c r="E10012" t="inlineStr">
        <is>
          <t>AM03</t>
        </is>
      </c>
      <c r="F10012" s="5" t="n">
        <v>142.22</v>
      </c>
      <c r="G10012">
        <f>IF(LEFT(B10012,1)="C","Credit","Factuur")</f>
        <v/>
      </c>
      <c r="H10012">
        <f>IF(AND(B10012=B10011,D10012=D10011,A10012=A10011,F10012=F10011),1,0)</f>
        <v/>
      </c>
      <c r="I10012">
        <f>IF(C10012="C99999",1,0)</f>
        <v/>
      </c>
      <c r="J10012" s="5">
        <f>IF(OR(H10012=1,I10012=1),0,IF(G10012="Credit",-F10012,F10012))</f>
        <v/>
      </c>
    </row>
    <row r="10013">
      <c r="A10013" t="inlineStr">
        <is>
          <t>2026-09-28</t>
        </is>
      </c>
      <c r="B10013" t="inlineStr">
        <is>
          <t>F263531</t>
        </is>
      </c>
      <c r="C10013" t="inlineStr">
        <is>
          <t>C10190</t>
        </is>
      </c>
      <c r="D10013" t="inlineStr">
        <is>
          <t>SKU-10316</t>
        </is>
      </c>
      <c r="E10013" t="inlineStr">
        <is>
          <t>AM03</t>
        </is>
      </c>
      <c r="F10013" s="5" t="n">
        <v>143.45</v>
      </c>
      <c r="G10013">
        <f>IF(LEFT(B10013,1)="C","Credit","Factuur")</f>
        <v/>
      </c>
      <c r="H10013">
        <f>IF(AND(B10013=B10012,D10013=D10012,A10013=A10012,F10013=F10012),1,0)</f>
        <v/>
      </c>
      <c r="I10013">
        <f>IF(C10013="C99999",1,0)</f>
        <v/>
      </c>
      <c r="J10013" s="5">
        <f>IF(OR(H10013=1,I10013=1),0,IF(G10013="Credit",-F10013,F10013))</f>
        <v/>
      </c>
    </row>
    <row r="10014">
      <c r="A10014" t="inlineStr">
        <is>
          <t>2026-09-28</t>
        </is>
      </c>
      <c r="B10014" t="inlineStr">
        <is>
          <t>F263542</t>
        </is>
      </c>
      <c r="C10014" t="inlineStr">
        <is>
          <t>C10190</t>
        </is>
      </c>
      <c r="D10014" t="inlineStr">
        <is>
          <t>SKU-10315</t>
        </is>
      </c>
      <c r="E10014" t="inlineStr">
        <is>
          <t>AM03</t>
        </is>
      </c>
      <c r="F10014" s="5" t="n">
        <v>931.1</v>
      </c>
      <c r="G10014">
        <f>IF(LEFT(B10014,1)="C","Credit","Factuur")</f>
        <v/>
      </c>
      <c r="H10014">
        <f>IF(AND(B10014=B10013,D10014=D10013,A10014=A10013,F10014=F10013),1,0)</f>
        <v/>
      </c>
      <c r="I10014">
        <f>IF(C10014="C99999",1,0)</f>
        <v/>
      </c>
      <c r="J10014" s="5">
        <f>IF(OR(H10014=1,I10014=1),0,IF(G10014="Credit",-F10014,F10014))</f>
        <v/>
      </c>
    </row>
    <row r="10015">
      <c r="A10015" t="inlineStr">
        <is>
          <t>2026-09-28</t>
        </is>
      </c>
      <c r="B10015" t="inlineStr">
        <is>
          <t>F264497</t>
        </is>
      </c>
      <c r="C10015" t="inlineStr">
        <is>
          <t>C10233</t>
        </is>
      </c>
      <c r="D10015" t="inlineStr">
        <is>
          <t>SKU-10294</t>
        </is>
      </c>
      <c r="E10015" t="inlineStr">
        <is>
          <t>AM03</t>
        </is>
      </c>
      <c r="F10015" s="5" t="n">
        <v>884.88</v>
      </c>
      <c r="G10015">
        <f>IF(LEFT(B10015,1)="C","Credit","Factuur")</f>
        <v/>
      </c>
      <c r="H10015">
        <f>IF(AND(B10015=B10014,D10015=D10014,A10015=A10014,F10015=F10014),1,0)</f>
        <v/>
      </c>
      <c r="I10015">
        <f>IF(C10015="C99999",1,0)</f>
        <v/>
      </c>
      <c r="J10015" s="5">
        <f>IF(OR(H10015=1,I10015=1),0,IF(G10015="Credit",-F10015,F10015))</f>
        <v/>
      </c>
    </row>
    <row r="10016">
      <c r="A10016" t="inlineStr">
        <is>
          <t>2026-09-28</t>
        </is>
      </c>
      <c r="B10016" t="inlineStr">
        <is>
          <t>F264497</t>
        </is>
      </c>
      <c r="C10016" t="inlineStr">
        <is>
          <t>C10233</t>
        </is>
      </c>
      <c r="D10016" t="inlineStr">
        <is>
          <t>SKU-10327</t>
        </is>
      </c>
      <c r="E10016" t="inlineStr">
        <is>
          <t>AM03</t>
        </is>
      </c>
      <c r="F10016" s="5" t="n">
        <v>902.85</v>
      </c>
      <c r="G10016">
        <f>IF(LEFT(B10016,1)="C","Credit","Factuur")</f>
        <v/>
      </c>
      <c r="H10016">
        <f>IF(AND(B10016=B10015,D10016=D10015,A10016=A10015,F10016=F10015),1,0)</f>
        <v/>
      </c>
      <c r="I10016">
        <f>IF(C10016="C99999",1,0)</f>
        <v/>
      </c>
      <c r="J10016" s="5">
        <f>IF(OR(H10016=1,I10016=1),0,IF(G10016="Credit",-F10016,F10016))</f>
        <v/>
      </c>
    </row>
    <row r="10017">
      <c r="A10017" t="inlineStr">
        <is>
          <t>2026-09-28</t>
        </is>
      </c>
      <c r="B10017" t="inlineStr">
        <is>
          <t>F264675</t>
        </is>
      </c>
      <c r="C10017" t="inlineStr">
        <is>
          <t>C10243</t>
        </is>
      </c>
      <c r="D10017" t="inlineStr">
        <is>
          <t>SKU-10053</t>
        </is>
      </c>
      <c r="E10017" t="inlineStr"/>
      <c r="F10017" s="5" t="n">
        <v>168.75</v>
      </c>
      <c r="G10017">
        <f>IF(LEFT(B10017,1)="C","Credit","Factuur")</f>
        <v/>
      </c>
      <c r="H10017">
        <f>IF(AND(B10017=B10016,D10017=D10016,A10017=A10016,F10017=F10016),1,0)</f>
        <v/>
      </c>
      <c r="I10017">
        <f>IF(C10017="C99999",1,0)</f>
        <v/>
      </c>
      <c r="J10017" s="5">
        <f>IF(OR(H10017=1,I10017=1),0,IF(G10017="Credit",-F10017,F10017))</f>
        <v/>
      </c>
    </row>
    <row r="10018">
      <c r="A10018" t="inlineStr">
        <is>
          <t>2026-09-28</t>
        </is>
      </c>
      <c r="B10018" t="inlineStr">
        <is>
          <t>F264675</t>
        </is>
      </c>
      <c r="C10018" t="inlineStr">
        <is>
          <t>C10243</t>
        </is>
      </c>
      <c r="D10018" t="inlineStr">
        <is>
          <t>SKU-10088</t>
        </is>
      </c>
      <c r="E10018" t="inlineStr">
        <is>
          <t>AM02</t>
        </is>
      </c>
      <c r="F10018" s="5" t="n">
        <v>146.59</v>
      </c>
      <c r="G10018">
        <f>IF(LEFT(B10018,1)="C","Credit","Factuur")</f>
        <v/>
      </c>
      <c r="H10018">
        <f>IF(AND(B10018=B10017,D10018=D10017,A10018=A10017,F10018=F10017),1,0)</f>
        <v/>
      </c>
      <c r="I10018">
        <f>IF(C10018="C99999",1,0)</f>
        <v/>
      </c>
      <c r="J10018" s="5">
        <f>IF(OR(H10018=1,I10018=1),0,IF(G10018="Credit",-F10018,F10018))</f>
        <v/>
      </c>
    </row>
    <row r="10019">
      <c r="A10019" t="inlineStr">
        <is>
          <t>2026-09-28</t>
        </is>
      </c>
      <c r="B10019" t="inlineStr">
        <is>
          <t>F264675</t>
        </is>
      </c>
      <c r="C10019" t="inlineStr">
        <is>
          <t>C10243</t>
        </is>
      </c>
      <c r="D10019" t="inlineStr">
        <is>
          <t>SKU-10318</t>
        </is>
      </c>
      <c r="E10019" t="inlineStr">
        <is>
          <t>AM02</t>
        </is>
      </c>
      <c r="F10019" s="5" t="n">
        <v>162.8</v>
      </c>
      <c r="G10019">
        <f>IF(LEFT(B10019,1)="C","Credit","Factuur")</f>
        <v/>
      </c>
      <c r="H10019">
        <f>IF(AND(B10019=B10018,D10019=D10018,A10019=A10018,F10019=F10018),1,0)</f>
        <v/>
      </c>
      <c r="I10019">
        <f>IF(C10019="C99999",1,0)</f>
        <v/>
      </c>
      <c r="J10019" s="5">
        <f>IF(OR(H10019=1,I10019=1),0,IF(G10019="Credit",-F10019,F10019))</f>
        <v/>
      </c>
    </row>
    <row r="10020">
      <c r="A10020" t="inlineStr">
        <is>
          <t>2026-09-28</t>
        </is>
      </c>
      <c r="B10020" t="inlineStr">
        <is>
          <t>F265829</t>
        </is>
      </c>
      <c r="C10020" t="inlineStr">
        <is>
          <t>C10305</t>
        </is>
      </c>
      <c r="D10020" t="inlineStr">
        <is>
          <t>SKU-10285</t>
        </is>
      </c>
      <c r="E10020" t="inlineStr">
        <is>
          <t>AM05</t>
        </is>
      </c>
      <c r="F10020" s="5" t="n">
        <v>2963.83</v>
      </c>
      <c r="G10020">
        <f>IF(LEFT(B10020,1)="C","Credit","Factuur")</f>
        <v/>
      </c>
      <c r="H10020">
        <f>IF(AND(B10020=B10019,D10020=D10019,A10020=A10019,F10020=F10019),1,0)</f>
        <v/>
      </c>
      <c r="I10020">
        <f>IF(C10020="C99999",1,0)</f>
        <v/>
      </c>
      <c r="J10020" s="5">
        <f>IF(OR(H10020=1,I10020=1),0,IF(G10020="Credit",-F10020,F10020))</f>
        <v/>
      </c>
    </row>
    <row r="10021">
      <c r="A10021" t="inlineStr">
        <is>
          <t>2026-09-28</t>
        </is>
      </c>
      <c r="B10021" t="inlineStr">
        <is>
          <t>F266799</t>
        </is>
      </c>
      <c r="C10021" t="inlineStr">
        <is>
          <t>C10358</t>
        </is>
      </c>
      <c r="D10021" t="inlineStr">
        <is>
          <t>SKU-10078</t>
        </is>
      </c>
      <c r="E10021" t="inlineStr">
        <is>
          <t>AM03</t>
        </is>
      </c>
      <c r="F10021" s="5" t="n">
        <v>2010.95</v>
      </c>
      <c r="G10021">
        <f>IF(LEFT(B10021,1)="C","Credit","Factuur")</f>
        <v/>
      </c>
      <c r="H10021">
        <f>IF(AND(B10021=B10020,D10021=D10020,A10021=A10020,F10021=F10020),1,0)</f>
        <v/>
      </c>
      <c r="I10021">
        <f>IF(C10021="C99999",1,0)</f>
        <v/>
      </c>
      <c r="J10021" s="5">
        <f>IF(OR(H10021=1,I10021=1),0,IF(G10021="Credit",-F10021,F10021))</f>
        <v/>
      </c>
    </row>
    <row r="10022">
      <c r="A10022" t="inlineStr">
        <is>
          <t>2026-09-28</t>
        </is>
      </c>
      <c r="B10022" t="inlineStr">
        <is>
          <t>F266799</t>
        </is>
      </c>
      <c r="C10022" t="inlineStr">
        <is>
          <t>C10358</t>
        </is>
      </c>
      <c r="D10022" t="inlineStr">
        <is>
          <t>SKU-10126</t>
        </is>
      </c>
      <c r="E10022" t="inlineStr">
        <is>
          <t>AM03</t>
        </is>
      </c>
      <c r="F10022" s="5" t="n">
        <v>1993.48</v>
      </c>
      <c r="G10022">
        <f>IF(LEFT(B10022,1)="C","Credit","Factuur")</f>
        <v/>
      </c>
      <c r="H10022">
        <f>IF(AND(B10022=B10021,D10022=D10021,A10022=A10021,F10022=F10021),1,0)</f>
        <v/>
      </c>
      <c r="I10022">
        <f>IF(C10022="C99999",1,0)</f>
        <v/>
      </c>
      <c r="J10022" s="5">
        <f>IF(OR(H10022=1,I10022=1),0,IF(G10022="Credit",-F10022,F10022))</f>
        <v/>
      </c>
    </row>
    <row r="10023">
      <c r="A10023" t="inlineStr">
        <is>
          <t>2026-09-28</t>
        </is>
      </c>
      <c r="B10023" t="inlineStr">
        <is>
          <t>F266799</t>
        </is>
      </c>
      <c r="C10023" t="inlineStr">
        <is>
          <t>C10358</t>
        </is>
      </c>
      <c r="D10023" t="inlineStr">
        <is>
          <t>SKU-10183</t>
        </is>
      </c>
      <c r="E10023" t="inlineStr">
        <is>
          <t>AM03</t>
        </is>
      </c>
      <c r="F10023" s="5" t="n">
        <v>2000.2</v>
      </c>
      <c r="G10023">
        <f>IF(LEFT(B10023,1)="C","Credit","Factuur")</f>
        <v/>
      </c>
      <c r="H10023">
        <f>IF(AND(B10023=B10022,D10023=D10022,A10023=A10022,F10023=F10022),1,0)</f>
        <v/>
      </c>
      <c r="I10023">
        <f>IF(C10023="C99999",1,0)</f>
        <v/>
      </c>
      <c r="J10023" s="5">
        <f>IF(OR(H10023=1,I10023=1),0,IF(G10023="Credit",-F10023,F10023))</f>
        <v/>
      </c>
    </row>
    <row r="10024">
      <c r="A10024" t="inlineStr">
        <is>
          <t>2026-09-28</t>
        </is>
      </c>
      <c r="B10024" t="inlineStr">
        <is>
          <t>F266799</t>
        </is>
      </c>
      <c r="C10024" t="inlineStr">
        <is>
          <t>C10358</t>
        </is>
      </c>
      <c r="D10024" t="inlineStr">
        <is>
          <t>SKU-10266</t>
        </is>
      </c>
      <c r="E10024" t="inlineStr">
        <is>
          <t>AM03</t>
        </is>
      </c>
      <c r="F10024" s="5" t="n">
        <v>2004.8</v>
      </c>
      <c r="G10024">
        <f>IF(LEFT(B10024,1)="C","Credit","Factuur")</f>
        <v/>
      </c>
      <c r="H10024">
        <f>IF(AND(B10024=B10023,D10024=D10023,A10024=A10023,F10024=F10023),1,0)</f>
        <v/>
      </c>
      <c r="I10024">
        <f>IF(C10024="C99999",1,0)</f>
        <v/>
      </c>
      <c r="J10024" s="5">
        <f>IF(OR(H10024=1,I10024=1),0,IF(G10024="Credit",-F10024,F10024))</f>
        <v/>
      </c>
    </row>
    <row r="10025">
      <c r="A10025" t="inlineStr">
        <is>
          <t>2026-09-28</t>
        </is>
      </c>
      <c r="B10025" t="inlineStr">
        <is>
          <t>F266897</t>
        </is>
      </c>
      <c r="C10025" t="inlineStr">
        <is>
          <t>C10363</t>
        </is>
      </c>
      <c r="D10025" t="inlineStr">
        <is>
          <t>SKU-10049</t>
        </is>
      </c>
      <c r="E10025" t="inlineStr">
        <is>
          <t>AM08</t>
        </is>
      </c>
      <c r="F10025" s="5" t="n">
        <v>744.24</v>
      </c>
      <c r="G10025">
        <f>IF(LEFT(B10025,1)="C","Credit","Factuur")</f>
        <v/>
      </c>
      <c r="H10025">
        <f>IF(AND(B10025=B10024,D10025=D10024,A10025=A10024,F10025=F10024),1,0)</f>
        <v/>
      </c>
      <c r="I10025">
        <f>IF(C10025="C99999",1,0)</f>
        <v/>
      </c>
      <c r="J10025" s="5">
        <f>IF(OR(H10025=1,I10025=1),0,IF(G10025="Credit",-F10025,F10025))</f>
        <v/>
      </c>
    </row>
    <row r="10026">
      <c r="A10026" t="inlineStr">
        <is>
          <t>2026-09-28</t>
        </is>
      </c>
      <c r="B10026" t="inlineStr">
        <is>
          <t>F266897</t>
        </is>
      </c>
      <c r="C10026" t="inlineStr">
        <is>
          <t>C10363</t>
        </is>
      </c>
      <c r="D10026" t="inlineStr">
        <is>
          <t>SKU-10056</t>
        </is>
      </c>
      <c r="E10026" t="inlineStr">
        <is>
          <t>AM08</t>
        </is>
      </c>
      <c r="F10026" s="5" t="n">
        <v>633.6</v>
      </c>
      <c r="G10026">
        <f>IF(LEFT(B10026,1)="C","Credit","Factuur")</f>
        <v/>
      </c>
      <c r="H10026">
        <f>IF(AND(B10026=B10025,D10026=D10025,A10026=A10025,F10026=F10025),1,0)</f>
        <v/>
      </c>
      <c r="I10026">
        <f>IF(C10026="C99999",1,0)</f>
        <v/>
      </c>
      <c r="J10026" s="5">
        <f>IF(OR(H10026=1,I10026=1),0,IF(G10026="Credit",-F10026,F10026))</f>
        <v/>
      </c>
    </row>
    <row r="10027">
      <c r="A10027" t="inlineStr">
        <is>
          <t>2026-09-28</t>
        </is>
      </c>
      <c r="B10027" t="inlineStr">
        <is>
          <t>F266897</t>
        </is>
      </c>
      <c r="C10027" t="inlineStr">
        <is>
          <t>C10363</t>
        </is>
      </c>
      <c r="D10027" t="inlineStr">
        <is>
          <t>SKU-10064</t>
        </is>
      </c>
      <c r="E10027" t="inlineStr">
        <is>
          <t>AM08</t>
        </is>
      </c>
      <c r="F10027" s="5" t="n">
        <v>636.34</v>
      </c>
      <c r="G10027">
        <f>IF(LEFT(B10027,1)="C","Credit","Factuur")</f>
        <v/>
      </c>
      <c r="H10027">
        <f>IF(AND(B10027=B10026,D10027=D10026,A10027=A10026,F10027=F10026),1,0)</f>
        <v/>
      </c>
      <c r="I10027">
        <f>IF(C10027="C99999",1,0)</f>
        <v/>
      </c>
      <c r="J10027" s="5">
        <f>IF(OR(H10027=1,I10027=1),0,IF(G10027="Credit",-F10027,F10027))</f>
        <v/>
      </c>
    </row>
    <row r="10028">
      <c r="A10028" t="inlineStr">
        <is>
          <t>2026-09-28</t>
        </is>
      </c>
      <c r="B10028" t="inlineStr">
        <is>
          <t>F266897</t>
        </is>
      </c>
      <c r="C10028" t="inlineStr">
        <is>
          <t>C10363</t>
        </is>
      </c>
      <c r="D10028" t="inlineStr">
        <is>
          <t>SKU-10088</t>
        </is>
      </c>
      <c r="E10028" t="inlineStr">
        <is>
          <t>AM08</t>
        </is>
      </c>
      <c r="F10028" s="5" t="n">
        <v>638.1799999999999</v>
      </c>
      <c r="G10028">
        <f>IF(LEFT(B10028,1)="C","Credit","Factuur")</f>
        <v/>
      </c>
      <c r="H10028">
        <f>IF(AND(B10028=B10027,D10028=D10027,A10028=A10027,F10028=F10027),1,0)</f>
        <v/>
      </c>
      <c r="I10028">
        <f>IF(C10028="C99999",1,0)</f>
        <v/>
      </c>
      <c r="J10028" s="5">
        <f>IF(OR(H10028=1,I10028=1),0,IF(G10028="Credit",-F10028,F10028))</f>
        <v/>
      </c>
    </row>
    <row r="10029">
      <c r="A10029" t="inlineStr">
        <is>
          <t>2026-09-28</t>
        </is>
      </c>
      <c r="B10029" t="inlineStr">
        <is>
          <t>F268349</t>
        </is>
      </c>
      <c r="C10029" t="inlineStr">
        <is>
          <t>C10436</t>
        </is>
      </c>
      <c r="D10029" t="inlineStr">
        <is>
          <t>SKU-10080</t>
        </is>
      </c>
      <c r="E10029" t="inlineStr">
        <is>
          <t>AM06</t>
        </is>
      </c>
      <c r="F10029" s="5" t="n">
        <v>287.82</v>
      </c>
      <c r="G10029">
        <f>IF(LEFT(B10029,1)="C","Credit","Factuur")</f>
        <v/>
      </c>
      <c r="H10029">
        <f>IF(AND(B10029=B10028,D10029=D10028,A10029=A10028,F10029=F10028),1,0)</f>
        <v/>
      </c>
      <c r="I10029">
        <f>IF(C10029="C99999",1,0)</f>
        <v/>
      </c>
      <c r="J10029" s="5">
        <f>IF(OR(H10029=1,I10029=1),0,IF(G10029="Credit",-F10029,F10029))</f>
        <v/>
      </c>
    </row>
    <row r="10030">
      <c r="A10030" t="inlineStr">
        <is>
          <t>2026-09-28</t>
        </is>
      </c>
      <c r="B10030" t="inlineStr">
        <is>
          <t>F268349</t>
        </is>
      </c>
      <c r="C10030" t="inlineStr">
        <is>
          <t>C10436</t>
        </is>
      </c>
      <c r="D10030" t="inlineStr">
        <is>
          <t>SKU-10205</t>
        </is>
      </c>
      <c r="E10030" t="inlineStr">
        <is>
          <t>AM06</t>
        </is>
      </c>
      <c r="F10030" s="5" t="n">
        <v>289.17</v>
      </c>
      <c r="G10030">
        <f>IF(LEFT(B10030,1)="C","Credit","Factuur")</f>
        <v/>
      </c>
      <c r="H10030">
        <f>IF(AND(B10030=B10029,D10030=D10029,A10030=A10029,F10030=F10029),1,0)</f>
        <v/>
      </c>
      <c r="I10030">
        <f>IF(C10030="C99999",1,0)</f>
        <v/>
      </c>
      <c r="J10030" s="5">
        <f>IF(OR(H10030=1,I10030=1),0,IF(G10030="Credit",-F10030,F10030))</f>
        <v/>
      </c>
    </row>
    <row r="10031">
      <c r="A10031" t="inlineStr">
        <is>
          <t>2026-09-28</t>
        </is>
      </c>
      <c r="B10031" t="inlineStr">
        <is>
          <t>F268349</t>
        </is>
      </c>
      <c r="C10031" t="inlineStr">
        <is>
          <t>C10436</t>
        </is>
      </c>
      <c r="D10031" t="inlineStr">
        <is>
          <t>SKU-10309</t>
        </is>
      </c>
      <c r="E10031" t="inlineStr">
        <is>
          <t>AM06</t>
        </is>
      </c>
      <c r="F10031" s="5" t="n">
        <v>277.26</v>
      </c>
      <c r="G10031">
        <f>IF(LEFT(B10031,1)="C","Credit","Factuur")</f>
        <v/>
      </c>
      <c r="H10031">
        <f>IF(AND(B10031=B10030,D10031=D10030,A10031=A10030,F10031=F10030),1,0)</f>
        <v/>
      </c>
      <c r="I10031">
        <f>IF(C10031="C99999",1,0)</f>
        <v/>
      </c>
      <c r="J10031" s="5">
        <f>IF(OR(H10031=1,I10031=1),0,IF(G10031="Credit",-F10031,F10031))</f>
        <v/>
      </c>
    </row>
    <row r="10032">
      <c r="A10032" t="inlineStr">
        <is>
          <t>2026-09-28</t>
        </is>
      </c>
      <c r="B10032" t="inlineStr">
        <is>
          <t>F268349</t>
        </is>
      </c>
      <c r="C10032" t="inlineStr">
        <is>
          <t>C10436</t>
        </is>
      </c>
      <c r="D10032" t="inlineStr">
        <is>
          <t>SKU-10330</t>
        </is>
      </c>
      <c r="E10032" t="inlineStr">
        <is>
          <t>AM06</t>
        </is>
      </c>
      <c r="F10032" s="5" t="n">
        <v>282.9</v>
      </c>
      <c r="G10032">
        <f>IF(LEFT(B10032,1)="C","Credit","Factuur")</f>
        <v/>
      </c>
      <c r="H10032">
        <f>IF(AND(B10032=B10031,D10032=D10031,A10032=A10031,F10032=F10031),1,0)</f>
        <v/>
      </c>
      <c r="I10032">
        <f>IF(C10032="C99999",1,0)</f>
        <v/>
      </c>
      <c r="J10032" s="5">
        <f>IF(OR(H10032=1,I10032=1),0,IF(G10032="Credit",-F10032,F10032))</f>
        <v/>
      </c>
    </row>
    <row r="10033">
      <c r="A10033" t="inlineStr">
        <is>
          <t>2026-09-28</t>
        </is>
      </c>
      <c r="B10033" t="inlineStr">
        <is>
          <t>F269059</t>
        </is>
      </c>
      <c r="C10033" t="inlineStr">
        <is>
          <t>C10473</t>
        </is>
      </c>
      <c r="D10033" t="inlineStr">
        <is>
          <t>SKU-10262</t>
        </is>
      </c>
      <c r="E10033" t="inlineStr">
        <is>
          <t>AM08</t>
        </is>
      </c>
      <c r="F10033" s="5" t="n">
        <v>169.98</v>
      </c>
      <c r="G10033">
        <f>IF(LEFT(B10033,1)="C","Credit","Factuur")</f>
        <v/>
      </c>
      <c r="H10033">
        <f>IF(AND(B10033=B10032,D10033=D10032,A10033=A10032,F10033=F10032),1,0)</f>
        <v/>
      </c>
      <c r="I10033">
        <f>IF(C10033="C99999",1,0)</f>
        <v/>
      </c>
      <c r="J10033" s="5">
        <f>IF(OR(H10033=1,I10033=1),0,IF(G10033="Credit",-F10033,F10033))</f>
        <v/>
      </c>
    </row>
    <row r="10034">
      <c r="A10034" t="inlineStr">
        <is>
          <t>2026-09-28</t>
        </is>
      </c>
      <c r="B10034" t="inlineStr">
        <is>
          <t>F269059</t>
        </is>
      </c>
      <c r="C10034" t="inlineStr">
        <is>
          <t>C10473</t>
        </is>
      </c>
      <c r="D10034" t="inlineStr">
        <is>
          <t>SKU-10334</t>
        </is>
      </c>
      <c r="E10034" t="inlineStr">
        <is>
          <t>AM08</t>
        </is>
      </c>
      <c r="F10034" s="5" t="n">
        <v>162.93</v>
      </c>
      <c r="G10034">
        <f>IF(LEFT(B10034,1)="C","Credit","Factuur")</f>
        <v/>
      </c>
      <c r="H10034">
        <f>IF(AND(B10034=B10033,D10034=D10033,A10034=A10033,F10034=F10033),1,0)</f>
        <v/>
      </c>
      <c r="I10034">
        <f>IF(C10034="C99999",1,0)</f>
        <v/>
      </c>
      <c r="J10034" s="5">
        <f>IF(OR(H10034=1,I10034=1),0,IF(G10034="Credit",-F10034,F10034))</f>
        <v/>
      </c>
    </row>
    <row r="10035">
      <c r="A10035" t="inlineStr">
        <is>
          <t>2026-09-28</t>
        </is>
      </c>
      <c r="B10035" t="inlineStr">
        <is>
          <t>F269241</t>
        </is>
      </c>
      <c r="C10035" t="inlineStr">
        <is>
          <t>C10485</t>
        </is>
      </c>
      <c r="D10035" t="inlineStr">
        <is>
          <t>SKU-10024</t>
        </is>
      </c>
      <c r="E10035" t="inlineStr">
        <is>
          <t>AM01</t>
        </is>
      </c>
      <c r="F10035" s="5" t="n">
        <v>72.48</v>
      </c>
      <c r="G10035">
        <f>IF(LEFT(B10035,1)="C","Credit","Factuur")</f>
        <v/>
      </c>
      <c r="H10035">
        <f>IF(AND(B10035=B10034,D10035=D10034,A10035=A10034,F10035=F10034),1,0)</f>
        <v/>
      </c>
      <c r="I10035">
        <f>IF(C10035="C99999",1,0)</f>
        <v/>
      </c>
      <c r="J10035" s="5">
        <f>IF(OR(H10035=1,I10035=1),0,IF(G10035="Credit",-F10035,F10035))</f>
        <v/>
      </c>
    </row>
    <row r="10036">
      <c r="A10036" t="inlineStr">
        <is>
          <t>2026-09-28</t>
        </is>
      </c>
      <c r="B10036" t="inlineStr">
        <is>
          <t>F269241</t>
        </is>
      </c>
      <c r="C10036" t="inlineStr">
        <is>
          <t>C10485</t>
        </is>
      </c>
      <c r="D10036" t="inlineStr">
        <is>
          <t>SKU-10113</t>
        </is>
      </c>
      <c r="E10036" t="inlineStr">
        <is>
          <t>AM01</t>
        </is>
      </c>
      <c r="F10036" s="5" t="n">
        <v>76.5</v>
      </c>
      <c r="G10036">
        <f>IF(LEFT(B10036,1)="C","Credit","Factuur")</f>
        <v/>
      </c>
      <c r="H10036">
        <f>IF(AND(B10036=B10035,D10036=D10035,A10036=A10035,F10036=F10035),1,0)</f>
        <v/>
      </c>
      <c r="I10036">
        <f>IF(C10036="C99999",1,0)</f>
        <v/>
      </c>
      <c r="J10036" s="5">
        <f>IF(OR(H10036=1,I10036=1),0,IF(G10036="Credit",-F10036,F10036))</f>
        <v/>
      </c>
    </row>
    <row r="10037">
      <c r="A10037" t="inlineStr">
        <is>
          <t>2026-09-28</t>
        </is>
      </c>
      <c r="B10037" t="inlineStr">
        <is>
          <t>F269241</t>
        </is>
      </c>
      <c r="C10037" t="inlineStr">
        <is>
          <t>C10485</t>
        </is>
      </c>
      <c r="D10037" t="inlineStr">
        <is>
          <t>SKU-10168</t>
        </is>
      </c>
      <c r="E10037" t="inlineStr">
        <is>
          <t>AM01</t>
        </is>
      </c>
      <c r="F10037" s="5" t="n">
        <v>69.56</v>
      </c>
      <c r="G10037">
        <f>IF(LEFT(B10037,1)="C","Credit","Factuur")</f>
        <v/>
      </c>
      <c r="H10037">
        <f>IF(AND(B10037=B10036,D10037=D10036,A10037=A10036,F10037=F10036),1,0)</f>
        <v/>
      </c>
      <c r="I10037">
        <f>IF(C10037="C99999",1,0)</f>
        <v/>
      </c>
      <c r="J10037" s="5">
        <f>IF(OR(H10037=1,I10037=1),0,IF(G10037="Credit",-F10037,F10037))</f>
        <v/>
      </c>
    </row>
    <row r="10038">
      <c r="A10038" t="inlineStr">
        <is>
          <t>2026-09-28</t>
        </is>
      </c>
      <c r="B10038" t="inlineStr">
        <is>
          <t>F269241</t>
        </is>
      </c>
      <c r="C10038" t="inlineStr">
        <is>
          <t>C10485</t>
        </is>
      </c>
      <c r="D10038" t="inlineStr">
        <is>
          <t>SKU-10173</t>
        </is>
      </c>
      <c r="E10038" t="inlineStr">
        <is>
          <t>AM01</t>
        </is>
      </c>
      <c r="F10038" s="5" t="n">
        <v>61.27</v>
      </c>
      <c r="G10038">
        <f>IF(LEFT(B10038,1)="C","Credit","Factuur")</f>
        <v/>
      </c>
      <c r="H10038">
        <f>IF(AND(B10038=B10037,D10038=D10037,A10038=A10037,F10038=F10037),1,0)</f>
        <v/>
      </c>
      <c r="I10038">
        <f>IF(C10038="C99999",1,0)</f>
        <v/>
      </c>
      <c r="J10038" s="5">
        <f>IF(OR(H10038=1,I10038=1),0,IF(G10038="Credit",-F10038,F10038))</f>
        <v/>
      </c>
    </row>
    <row r="10039">
      <c r="A10039" t="inlineStr">
        <is>
          <t>2026-09-28</t>
        </is>
      </c>
      <c r="B10039" t="inlineStr">
        <is>
          <t>F269241</t>
        </is>
      </c>
      <c r="C10039" t="inlineStr">
        <is>
          <t>C10485</t>
        </is>
      </c>
      <c r="D10039" t="inlineStr">
        <is>
          <t>SKU-10273</t>
        </is>
      </c>
      <c r="E10039" t="inlineStr">
        <is>
          <t>AM01</t>
        </is>
      </c>
      <c r="F10039" s="5" t="n">
        <v>61.03</v>
      </c>
      <c r="G10039">
        <f>IF(LEFT(B10039,1)="C","Credit","Factuur")</f>
        <v/>
      </c>
      <c r="H10039">
        <f>IF(AND(B10039=B10038,D10039=D10038,A10039=A10038,F10039=F10038),1,0)</f>
        <v/>
      </c>
      <c r="I10039">
        <f>IF(C10039="C99999",1,0)</f>
        <v/>
      </c>
      <c r="J10039" s="5">
        <f>IF(OR(H10039=1,I10039=1),0,IF(G10039="Credit",-F10039,F10039))</f>
        <v/>
      </c>
    </row>
    <row r="10040">
      <c r="A10040" t="inlineStr">
        <is>
          <t>2026-09-28</t>
        </is>
      </c>
      <c r="B10040" t="inlineStr">
        <is>
          <t>F269241</t>
        </is>
      </c>
      <c r="C10040" t="inlineStr">
        <is>
          <t>C10485</t>
        </is>
      </c>
      <c r="D10040" t="inlineStr">
        <is>
          <t>SKU-10293</t>
        </is>
      </c>
      <c r="E10040" t="inlineStr">
        <is>
          <t>AM01</t>
        </is>
      </c>
      <c r="F10040" s="5" t="n">
        <v>67.76000000000001</v>
      </c>
      <c r="G10040">
        <f>IF(LEFT(B10040,1)="C","Credit","Factuur")</f>
        <v/>
      </c>
      <c r="H10040">
        <f>IF(AND(B10040=B10039,D10040=D10039,A10040=A10039,F10040=F10039),1,0)</f>
        <v/>
      </c>
      <c r="I10040">
        <f>IF(C10040="C99999",1,0)</f>
        <v/>
      </c>
      <c r="J10040" s="5">
        <f>IF(OR(H10040=1,I10040=1),0,IF(G10040="Credit",-F10040,F10040))</f>
        <v/>
      </c>
    </row>
    <row r="10041">
      <c r="A10041" t="inlineStr">
        <is>
          <t>2026-09-28</t>
        </is>
      </c>
      <c r="B10041" t="inlineStr">
        <is>
          <t>F269451</t>
        </is>
      </c>
      <c r="C10041" t="inlineStr">
        <is>
          <t>C10497</t>
        </is>
      </c>
      <c r="D10041" t="inlineStr">
        <is>
          <t>SKU-10038</t>
        </is>
      </c>
      <c r="E10041" t="inlineStr">
        <is>
          <t>AM06</t>
        </is>
      </c>
      <c r="F10041" s="5" t="n">
        <v>497.61</v>
      </c>
      <c r="G10041">
        <f>IF(LEFT(B10041,1)="C","Credit","Factuur")</f>
        <v/>
      </c>
      <c r="H10041">
        <f>IF(AND(B10041=B10040,D10041=D10040,A10041=A10040,F10041=F10040),1,0)</f>
        <v/>
      </c>
      <c r="I10041">
        <f>IF(C10041="C99999",1,0)</f>
        <v/>
      </c>
      <c r="J10041" s="5">
        <f>IF(OR(H10041=1,I10041=1),0,IF(G10041="Credit",-F10041,F10041))</f>
        <v/>
      </c>
    </row>
    <row r="10042">
      <c r="A10042" t="inlineStr">
        <is>
          <t>2026-09-28</t>
        </is>
      </c>
      <c r="B10042" t="inlineStr">
        <is>
          <t>F269451</t>
        </is>
      </c>
      <c r="C10042" t="inlineStr">
        <is>
          <t>C10497</t>
        </is>
      </c>
      <c r="D10042" t="inlineStr">
        <is>
          <t>SKU-10229</t>
        </is>
      </c>
      <c r="E10042" t="inlineStr">
        <is>
          <t>AM06</t>
        </is>
      </c>
      <c r="F10042" s="5" t="n">
        <v>467.1</v>
      </c>
      <c r="G10042">
        <f>IF(LEFT(B10042,1)="C","Credit","Factuur")</f>
        <v/>
      </c>
      <c r="H10042">
        <f>IF(AND(B10042=B10041,D10042=D10041,A10042=A10041,F10042=F10041),1,0)</f>
        <v/>
      </c>
      <c r="I10042">
        <f>IF(C10042="C99999",1,0)</f>
        <v/>
      </c>
      <c r="J10042" s="5">
        <f>IF(OR(H10042=1,I10042=1),0,IF(G10042="Credit",-F10042,F10042))</f>
        <v/>
      </c>
    </row>
    <row r="10043">
      <c r="A10043" t="inlineStr">
        <is>
          <t>2026-09-28</t>
        </is>
      </c>
      <c r="B10043" t="inlineStr">
        <is>
          <t>F270102</t>
        </is>
      </c>
      <c r="C10043" t="inlineStr">
        <is>
          <t>C10532</t>
        </is>
      </c>
      <c r="D10043" t="inlineStr">
        <is>
          <t>SKU-10068</t>
        </is>
      </c>
      <c r="E10043" t="inlineStr">
        <is>
          <t>AM02</t>
        </is>
      </c>
      <c r="F10043" s="5" t="n">
        <v>1339.47</v>
      </c>
      <c r="G10043">
        <f>IF(LEFT(B10043,1)="C","Credit","Factuur")</f>
        <v/>
      </c>
      <c r="H10043">
        <f>IF(AND(B10043=B10042,D10043=D10042,A10043=A10042,F10043=F10042),1,0)</f>
        <v/>
      </c>
      <c r="I10043">
        <f>IF(C10043="C99999",1,0)</f>
        <v/>
      </c>
      <c r="J10043" s="5">
        <f>IF(OR(H10043=1,I10043=1),0,IF(G10043="Credit",-F10043,F10043))</f>
        <v/>
      </c>
    </row>
    <row r="10044">
      <c r="A10044" t="inlineStr">
        <is>
          <t>2026-09-28</t>
        </is>
      </c>
      <c r="B10044" t="inlineStr">
        <is>
          <t>F270558</t>
        </is>
      </c>
      <c r="C10044" t="inlineStr">
        <is>
          <t>C10554</t>
        </is>
      </c>
      <c r="D10044" t="inlineStr">
        <is>
          <t>SKU-10068</t>
        </is>
      </c>
      <c r="E10044" t="inlineStr">
        <is>
          <t>AM09</t>
        </is>
      </c>
      <c r="F10044" s="5" t="n">
        <v>8379.860000000001</v>
      </c>
      <c r="G10044">
        <f>IF(LEFT(B10044,1)="C","Credit","Factuur")</f>
        <v/>
      </c>
      <c r="H10044">
        <f>IF(AND(B10044=B10043,D10044=D10043,A10044=A10043,F10044=F10043),1,0)</f>
        <v/>
      </c>
      <c r="I10044">
        <f>IF(C10044="C99999",1,0)</f>
        <v/>
      </c>
      <c r="J10044" s="5">
        <f>IF(OR(H10044=1,I10044=1),0,IF(G10044="Credit",-F10044,F10044))</f>
        <v/>
      </c>
    </row>
    <row r="10045">
      <c r="A10045" t="inlineStr">
        <is>
          <t>2026-09-28</t>
        </is>
      </c>
      <c r="B10045" t="inlineStr">
        <is>
          <t>F270644</t>
        </is>
      </c>
      <c r="C10045" t="inlineStr">
        <is>
          <t>C10560</t>
        </is>
      </c>
      <c r="D10045" t="inlineStr">
        <is>
          <t>SKU-10016</t>
        </is>
      </c>
      <c r="E10045" t="inlineStr">
        <is>
          <t>AM02</t>
        </is>
      </c>
      <c r="F10045" s="5" t="n">
        <v>222.42</v>
      </c>
      <c r="G10045">
        <f>IF(LEFT(B10045,1)="C","Credit","Factuur")</f>
        <v/>
      </c>
      <c r="H10045">
        <f>IF(AND(B10045=B10044,D10045=D10044,A10045=A10044,F10045=F10044),1,0)</f>
        <v/>
      </c>
      <c r="I10045">
        <f>IF(C10045="C99999",1,0)</f>
        <v/>
      </c>
      <c r="J10045" s="5">
        <f>IF(OR(H10045=1,I10045=1),0,IF(G10045="Credit",-F10045,F10045))</f>
        <v/>
      </c>
    </row>
    <row r="10046">
      <c r="A10046" t="inlineStr">
        <is>
          <t>2026-09-28</t>
        </is>
      </c>
      <c r="B10046" t="inlineStr">
        <is>
          <t>F270644</t>
        </is>
      </c>
      <c r="C10046" t="inlineStr">
        <is>
          <t>C10560</t>
        </is>
      </c>
      <c r="D10046" t="inlineStr">
        <is>
          <t>SKU-10147</t>
        </is>
      </c>
      <c r="E10046" t="inlineStr">
        <is>
          <t>AM02</t>
        </is>
      </c>
      <c r="F10046" s="5" t="n">
        <v>181.01</v>
      </c>
      <c r="G10046">
        <f>IF(LEFT(B10046,1)="C","Credit","Factuur")</f>
        <v/>
      </c>
      <c r="H10046">
        <f>IF(AND(B10046=B10045,D10046=D10045,A10046=A10045,F10046=F10045),1,0)</f>
        <v/>
      </c>
      <c r="I10046">
        <f>IF(C10046="C99999",1,0)</f>
        <v/>
      </c>
      <c r="J10046" s="5">
        <f>IF(OR(H10046=1,I10046=1),0,IF(G10046="Credit",-F10046,F10046))</f>
        <v/>
      </c>
    </row>
    <row r="10047">
      <c r="A10047" t="inlineStr">
        <is>
          <t>2026-09-28</t>
        </is>
      </c>
      <c r="B10047" t="inlineStr">
        <is>
          <t>F270644</t>
        </is>
      </c>
      <c r="C10047" t="inlineStr">
        <is>
          <t>C10560</t>
        </is>
      </c>
      <c r="D10047" t="inlineStr">
        <is>
          <t>SKU-10182</t>
        </is>
      </c>
      <c r="E10047" t="inlineStr">
        <is>
          <t>AM02</t>
        </is>
      </c>
      <c r="F10047" s="5" t="n">
        <v>221.32</v>
      </c>
      <c r="G10047">
        <f>IF(LEFT(B10047,1)="C","Credit","Factuur")</f>
        <v/>
      </c>
      <c r="H10047">
        <f>IF(AND(B10047=B10046,D10047=D10046,A10047=A10046,F10047=F10046),1,0)</f>
        <v/>
      </c>
      <c r="I10047">
        <f>IF(C10047="C99999",1,0)</f>
        <v/>
      </c>
      <c r="J10047" s="5">
        <f>IF(OR(H10047=1,I10047=1),0,IF(G10047="Credit",-F10047,F10047))</f>
        <v/>
      </c>
    </row>
    <row r="10048">
      <c r="A10048" t="inlineStr">
        <is>
          <t>2026-09-28</t>
        </is>
      </c>
      <c r="B10048" t="inlineStr">
        <is>
          <t>F270644</t>
        </is>
      </c>
      <c r="C10048" t="inlineStr">
        <is>
          <t>C10560</t>
        </is>
      </c>
      <c r="D10048" t="inlineStr">
        <is>
          <t>SKU-10274</t>
        </is>
      </c>
      <c r="E10048" t="inlineStr">
        <is>
          <t>AM02</t>
        </is>
      </c>
      <c r="F10048" s="5" t="n">
        <v>219.48</v>
      </c>
      <c r="G10048">
        <f>IF(LEFT(B10048,1)="C","Credit","Factuur")</f>
        <v/>
      </c>
      <c r="H10048">
        <f>IF(AND(B10048=B10047,D10048=D10047,A10048=A10047,F10048=F10047),1,0)</f>
        <v/>
      </c>
      <c r="I10048">
        <f>IF(C10048="C99999",1,0)</f>
        <v/>
      </c>
      <c r="J10048" s="5">
        <f>IF(OR(H10048=1,I10048=1),0,IF(G10048="Credit",-F10048,F10048))</f>
        <v/>
      </c>
    </row>
    <row r="10049">
      <c r="A10049" t="inlineStr">
        <is>
          <t>2026-09-28</t>
        </is>
      </c>
      <c r="B10049" t="inlineStr">
        <is>
          <t>F270644</t>
        </is>
      </c>
      <c r="C10049" t="inlineStr">
        <is>
          <t>C10560</t>
        </is>
      </c>
      <c r="D10049" t="inlineStr">
        <is>
          <t>SKU-10283</t>
        </is>
      </c>
      <c r="E10049" t="inlineStr">
        <is>
          <t>AM02</t>
        </is>
      </c>
      <c r="F10049" s="5" t="n">
        <v>204.06</v>
      </c>
      <c r="G10049">
        <f>IF(LEFT(B10049,1)="C","Credit","Factuur")</f>
        <v/>
      </c>
      <c r="H10049">
        <f>IF(AND(B10049=B10048,D10049=D10048,A10049=A10048,F10049=F10048),1,0)</f>
        <v/>
      </c>
      <c r="I10049">
        <f>IF(C10049="C99999",1,0)</f>
        <v/>
      </c>
      <c r="J10049" s="5">
        <f>IF(OR(H10049=1,I10049=1),0,IF(G10049="Credit",-F10049,F10049))</f>
        <v/>
      </c>
    </row>
    <row r="10050">
      <c r="A10050" t="inlineStr">
        <is>
          <t>2026-09-28</t>
        </is>
      </c>
      <c r="B10050" t="inlineStr">
        <is>
          <t>F270644</t>
        </is>
      </c>
      <c r="C10050" t="inlineStr">
        <is>
          <t>C10560</t>
        </is>
      </c>
      <c r="D10050" t="inlineStr">
        <is>
          <t>SKU-10296</t>
        </is>
      </c>
      <c r="E10050" t="inlineStr">
        <is>
          <t>AM02</t>
        </is>
      </c>
      <c r="F10050" s="5" t="n">
        <v>225.9</v>
      </c>
      <c r="G10050">
        <f>IF(LEFT(B10050,1)="C","Credit","Factuur")</f>
        <v/>
      </c>
      <c r="H10050">
        <f>IF(AND(B10050=B10049,D10050=D10049,A10050=A10049,F10050=F10049),1,0)</f>
        <v/>
      </c>
      <c r="I10050">
        <f>IF(C10050="C99999",1,0)</f>
        <v/>
      </c>
      <c r="J10050" s="5">
        <f>IF(OR(H10050=1,I10050=1),0,IF(G10050="Credit",-F10050,F10050))</f>
        <v/>
      </c>
    </row>
    <row r="10051">
      <c r="A10051" t="inlineStr">
        <is>
          <t>2026-09-28</t>
        </is>
      </c>
      <c r="B10051" t="inlineStr">
        <is>
          <t>F270644</t>
        </is>
      </c>
      <c r="C10051" t="inlineStr">
        <is>
          <t>C10560</t>
        </is>
      </c>
      <c r="D10051" t="inlineStr">
        <is>
          <t>SKU-10316</t>
        </is>
      </c>
      <c r="E10051" t="inlineStr">
        <is>
          <t>AM02</t>
        </is>
      </c>
      <c r="F10051" s="5" t="n">
        <v>229.52</v>
      </c>
      <c r="G10051">
        <f>IF(LEFT(B10051,1)="C","Credit","Factuur")</f>
        <v/>
      </c>
      <c r="H10051">
        <f>IF(AND(B10051=B10050,D10051=D10050,A10051=A10050,F10051=F10050),1,0)</f>
        <v/>
      </c>
      <c r="I10051">
        <f>IF(C10051="C99999",1,0)</f>
        <v/>
      </c>
      <c r="J10051" s="5">
        <f>IF(OR(H10051=1,I10051=1),0,IF(G10051="Credit",-F10051,F10051))</f>
        <v/>
      </c>
    </row>
    <row r="10052">
      <c r="A10052" t="inlineStr">
        <is>
          <t>2026-09-28</t>
        </is>
      </c>
      <c r="B10052" t="inlineStr">
        <is>
          <t>F270826</t>
        </is>
      </c>
      <c r="C10052" t="inlineStr">
        <is>
          <t>C10567</t>
        </is>
      </c>
      <c r="D10052" t="inlineStr">
        <is>
          <t>SKU-10019</t>
        </is>
      </c>
      <c r="E10052" t="inlineStr">
        <is>
          <t>AM08</t>
        </is>
      </c>
      <c r="F10052" s="5" t="n">
        <v>44.01</v>
      </c>
      <c r="G10052">
        <f>IF(LEFT(B10052,1)="C","Credit","Factuur")</f>
        <v/>
      </c>
      <c r="H10052">
        <f>IF(AND(B10052=B10051,D10052=D10051,A10052=A10051,F10052=F10051),1,0)</f>
        <v/>
      </c>
      <c r="I10052">
        <f>IF(C10052="C99999",1,0)</f>
        <v/>
      </c>
      <c r="J10052" s="5">
        <f>IF(OR(H10052=1,I10052=1),0,IF(G10052="Credit",-F10052,F10052))</f>
        <v/>
      </c>
    </row>
    <row r="10053">
      <c r="A10053" t="inlineStr">
        <is>
          <t>2026-09-28</t>
        </is>
      </c>
      <c r="B10053" t="inlineStr">
        <is>
          <t>F270826</t>
        </is>
      </c>
      <c r="C10053" t="inlineStr">
        <is>
          <t>C10567</t>
        </is>
      </c>
      <c r="D10053" t="inlineStr">
        <is>
          <t>SKU-10030</t>
        </is>
      </c>
      <c r="E10053" t="inlineStr">
        <is>
          <t>AM08</t>
        </is>
      </c>
      <c r="F10053" s="5" t="n">
        <v>43.52</v>
      </c>
      <c r="G10053">
        <f>IF(LEFT(B10053,1)="C","Credit","Factuur")</f>
        <v/>
      </c>
      <c r="H10053">
        <f>IF(AND(B10053=B10052,D10053=D10052,A10053=A10052,F10053=F10052),1,0)</f>
        <v/>
      </c>
      <c r="I10053">
        <f>IF(C10053="C99999",1,0)</f>
        <v/>
      </c>
      <c r="J10053" s="5">
        <f>IF(OR(H10053=1,I10053=1),0,IF(G10053="Credit",-F10053,F10053))</f>
        <v/>
      </c>
    </row>
    <row r="10054">
      <c r="A10054" t="inlineStr">
        <is>
          <t>2026-09-28</t>
        </is>
      </c>
      <c r="B10054" t="inlineStr">
        <is>
          <t>F270826</t>
        </is>
      </c>
      <c r="C10054" t="inlineStr">
        <is>
          <t>C10567</t>
        </is>
      </c>
      <c r="D10054" t="inlineStr">
        <is>
          <t>SKU-10136</t>
        </is>
      </c>
      <c r="E10054" t="inlineStr">
        <is>
          <t>AM08</t>
        </is>
      </c>
      <c r="F10054" s="5" t="n">
        <v>54.28</v>
      </c>
      <c r="G10054">
        <f>IF(LEFT(B10054,1)="C","Credit","Factuur")</f>
        <v/>
      </c>
      <c r="H10054">
        <f>IF(AND(B10054=B10053,D10054=D10053,A10054=A10053,F10054=F10053),1,0)</f>
        <v/>
      </c>
      <c r="I10054">
        <f>IF(C10054="C99999",1,0)</f>
        <v/>
      </c>
      <c r="J10054" s="5">
        <f>IF(OR(H10054=1,I10054=1),0,IF(G10054="Credit",-F10054,F10054))</f>
        <v/>
      </c>
    </row>
    <row r="10055">
      <c r="A10055" t="inlineStr">
        <is>
          <t>2026-09-28</t>
        </is>
      </c>
      <c r="B10055" t="inlineStr">
        <is>
          <t>F270826</t>
        </is>
      </c>
      <c r="C10055" t="inlineStr">
        <is>
          <t>C10567</t>
        </is>
      </c>
      <c r="D10055" t="inlineStr">
        <is>
          <t>SKU-10258</t>
        </is>
      </c>
      <c r="E10055" t="inlineStr">
        <is>
          <t>AM08</t>
        </is>
      </c>
      <c r="F10055" s="5" t="n">
        <v>51.27</v>
      </c>
      <c r="G10055">
        <f>IF(LEFT(B10055,1)="C","Credit","Factuur")</f>
        <v/>
      </c>
      <c r="H10055">
        <f>IF(AND(B10055=B10054,D10055=D10054,A10055=A10054,F10055=F10054),1,0)</f>
        <v/>
      </c>
      <c r="I10055">
        <f>IF(C10055="C99999",1,0)</f>
        <v/>
      </c>
      <c r="J10055" s="5">
        <f>IF(OR(H10055=1,I10055=1),0,IF(G10055="Credit",-F10055,F10055))</f>
        <v/>
      </c>
    </row>
    <row r="10056">
      <c r="A10056" t="inlineStr">
        <is>
          <t>2026-09-28</t>
        </is>
      </c>
      <c r="B10056" t="inlineStr">
        <is>
          <t>F270826</t>
        </is>
      </c>
      <c r="C10056" t="inlineStr">
        <is>
          <t>C10567</t>
        </is>
      </c>
      <c r="D10056" t="inlineStr">
        <is>
          <t>SKU-10303</t>
        </is>
      </c>
      <c r="E10056" t="inlineStr">
        <is>
          <t>AM08</t>
        </is>
      </c>
      <c r="F10056" s="5" t="n">
        <v>55.47</v>
      </c>
      <c r="G10056">
        <f>IF(LEFT(B10056,1)="C","Credit","Factuur")</f>
        <v/>
      </c>
      <c r="H10056">
        <f>IF(AND(B10056=B10055,D10056=D10055,A10056=A10055,F10056=F10055),1,0)</f>
        <v/>
      </c>
      <c r="I10056">
        <f>IF(C10056="C99999",1,0)</f>
        <v/>
      </c>
      <c r="J10056" s="5">
        <f>IF(OR(H10056=1,I10056=1),0,IF(G10056="Credit",-F10056,F10056))</f>
        <v/>
      </c>
    </row>
    <row r="10057">
      <c r="A10057" t="inlineStr">
        <is>
          <t>2026-09-28</t>
        </is>
      </c>
      <c r="B10057" t="inlineStr">
        <is>
          <t>F271408</t>
        </is>
      </c>
      <c r="C10057" t="inlineStr">
        <is>
          <t>C10591</t>
        </is>
      </c>
      <c r="D10057" t="inlineStr">
        <is>
          <t>SKU-10023</t>
        </is>
      </c>
      <c r="E10057" t="inlineStr">
        <is>
          <t>AM08</t>
        </is>
      </c>
      <c r="F10057" s="5" t="n">
        <v>640.6799999999999</v>
      </c>
      <c r="G10057">
        <f>IF(LEFT(B10057,1)="C","Credit","Factuur")</f>
        <v/>
      </c>
      <c r="H10057">
        <f>IF(AND(B10057=B10056,D10057=D10056,A10057=A10056,F10057=F10056),1,0)</f>
        <v/>
      </c>
      <c r="I10057">
        <f>IF(C10057="C99999",1,0)</f>
        <v/>
      </c>
      <c r="J10057" s="5">
        <f>IF(OR(H10057=1,I10057=1),0,IF(G10057="Credit",-F10057,F10057))</f>
        <v/>
      </c>
    </row>
    <row r="10058">
      <c r="A10058" t="inlineStr">
        <is>
          <t>2026-09-28</t>
        </is>
      </c>
      <c r="B10058" t="inlineStr">
        <is>
          <t>F271408</t>
        </is>
      </c>
      <c r="C10058" t="inlineStr">
        <is>
          <t>C10591</t>
        </is>
      </c>
      <c r="D10058" t="inlineStr">
        <is>
          <t>SKU-10233</t>
        </is>
      </c>
      <c r="E10058" t="inlineStr">
        <is>
          <t>AM08</t>
        </is>
      </c>
      <c r="F10058" s="5" t="n">
        <v>580.04</v>
      </c>
      <c r="G10058">
        <f>IF(LEFT(B10058,1)="C","Credit","Factuur")</f>
        <v/>
      </c>
      <c r="H10058">
        <f>IF(AND(B10058=B10057,D10058=D10057,A10058=A10057,F10058=F10057),1,0)</f>
        <v/>
      </c>
      <c r="I10058">
        <f>IF(C10058="C99999",1,0)</f>
        <v/>
      </c>
      <c r="J10058" s="5">
        <f>IF(OR(H10058=1,I10058=1),0,IF(G10058="Credit",-F10058,F10058))</f>
        <v/>
      </c>
    </row>
    <row r="10059">
      <c r="A10059" t="inlineStr">
        <is>
          <t>2026-09-28</t>
        </is>
      </c>
      <c r="B10059" t="inlineStr">
        <is>
          <t>F272314</t>
        </is>
      </c>
      <c r="C10059" t="inlineStr">
        <is>
          <t>C10638</t>
        </is>
      </c>
      <c r="D10059" t="inlineStr">
        <is>
          <t>SKU-10037</t>
        </is>
      </c>
      <c r="E10059" t="inlineStr">
        <is>
          <t>AM02</t>
        </is>
      </c>
      <c r="F10059" s="5" t="n">
        <v>1038.75</v>
      </c>
      <c r="G10059">
        <f>IF(LEFT(B10059,1)="C","Credit","Factuur")</f>
        <v/>
      </c>
      <c r="H10059">
        <f>IF(AND(B10059=B10058,D10059=D10058,A10059=A10058,F10059=F10058),1,0)</f>
        <v/>
      </c>
      <c r="I10059">
        <f>IF(C10059="C99999",1,0)</f>
        <v/>
      </c>
      <c r="J10059" s="5">
        <f>IF(OR(H10059=1,I10059=1),0,IF(G10059="Credit",-F10059,F10059))</f>
        <v/>
      </c>
    </row>
    <row r="10060">
      <c r="A10060" t="inlineStr">
        <is>
          <t>2026-09-28</t>
        </is>
      </c>
      <c r="B10060" t="inlineStr">
        <is>
          <t>F272314</t>
        </is>
      </c>
      <c r="C10060" t="inlineStr">
        <is>
          <t>C10638</t>
        </is>
      </c>
      <c r="D10060" t="inlineStr">
        <is>
          <t>SKU-10288</t>
        </is>
      </c>
      <c r="E10060" t="inlineStr">
        <is>
          <t>AM02</t>
        </is>
      </c>
      <c r="F10060" s="5" t="n">
        <v>1011.75</v>
      </c>
      <c r="G10060">
        <f>IF(LEFT(B10060,1)="C","Credit","Factuur")</f>
        <v/>
      </c>
      <c r="H10060">
        <f>IF(AND(B10060=B10059,D10060=D10059,A10060=A10059,F10060=F10059),1,0)</f>
        <v/>
      </c>
      <c r="I10060">
        <f>IF(C10060="C99999",1,0)</f>
        <v/>
      </c>
      <c r="J10060" s="5">
        <f>IF(OR(H10060=1,I10060=1),0,IF(G10060="Credit",-F10060,F10060))</f>
        <v/>
      </c>
    </row>
    <row r="10061">
      <c r="A10061" t="inlineStr">
        <is>
          <t>2026-09-28</t>
        </is>
      </c>
      <c r="B10061" t="inlineStr">
        <is>
          <t>F272550</t>
        </is>
      </c>
      <c r="C10061" t="inlineStr">
        <is>
          <t>C10650</t>
        </is>
      </c>
      <c r="D10061" t="inlineStr">
        <is>
          <t>SKU-10077</t>
        </is>
      </c>
      <c r="E10061" t="inlineStr">
        <is>
          <t>AM02</t>
        </is>
      </c>
      <c r="F10061" s="5" t="n">
        <v>496.98</v>
      </c>
      <c r="G10061">
        <f>IF(LEFT(B10061,1)="C","Credit","Factuur")</f>
        <v/>
      </c>
      <c r="H10061">
        <f>IF(AND(B10061=B10060,D10061=D10060,A10061=A10060,F10061=F10060),1,0)</f>
        <v/>
      </c>
      <c r="I10061">
        <f>IF(C10061="C99999",1,0)</f>
        <v/>
      </c>
      <c r="J10061" s="5">
        <f>IF(OR(H10061=1,I10061=1),0,IF(G10061="Credit",-F10061,F10061))</f>
        <v/>
      </c>
    </row>
    <row r="10062">
      <c r="A10062" t="inlineStr">
        <is>
          <t>2026-09-28</t>
        </is>
      </c>
      <c r="B10062" t="inlineStr">
        <is>
          <t>F272550</t>
        </is>
      </c>
      <c r="C10062" t="inlineStr">
        <is>
          <t>C10650</t>
        </is>
      </c>
      <c r="D10062" t="inlineStr">
        <is>
          <t>SKU-10105</t>
        </is>
      </c>
      <c r="E10062" t="inlineStr">
        <is>
          <t>AM02</t>
        </is>
      </c>
      <c r="F10062" s="5" t="n">
        <v>445.1</v>
      </c>
      <c r="G10062">
        <f>IF(LEFT(B10062,1)="C","Credit","Factuur")</f>
        <v/>
      </c>
      <c r="H10062">
        <f>IF(AND(B10062=B10061,D10062=D10061,A10062=A10061,F10062=F10061),1,0)</f>
        <v/>
      </c>
      <c r="I10062">
        <f>IF(C10062="C99999",1,0)</f>
        <v/>
      </c>
      <c r="J10062" s="5">
        <f>IF(OR(H10062=1,I10062=1),0,IF(G10062="Credit",-F10062,F10062))</f>
        <v/>
      </c>
    </row>
    <row r="10063">
      <c r="A10063" t="inlineStr">
        <is>
          <t>2026-09-28</t>
        </is>
      </c>
      <c r="B10063" t="inlineStr">
        <is>
          <t>F272550</t>
        </is>
      </c>
      <c r="C10063" t="inlineStr">
        <is>
          <t>C10650</t>
        </is>
      </c>
      <c r="D10063" t="inlineStr">
        <is>
          <t>SKU-10365</t>
        </is>
      </c>
      <c r="E10063" t="inlineStr">
        <is>
          <t>AM02</t>
        </is>
      </c>
      <c r="F10063" s="5" t="n">
        <v>559.72</v>
      </c>
      <c r="G10063">
        <f>IF(LEFT(B10063,1)="C","Credit","Factuur")</f>
        <v/>
      </c>
      <c r="H10063">
        <f>IF(AND(B10063=B10062,D10063=D10062,A10063=A10062,F10063=F10062),1,0)</f>
        <v/>
      </c>
      <c r="I10063">
        <f>IF(C10063="C99999",1,0)</f>
        <v/>
      </c>
      <c r="J10063" s="5">
        <f>IF(OR(H10063=1,I10063=1),0,IF(G10063="Credit",-F10063,F10063))</f>
        <v/>
      </c>
    </row>
    <row r="10064">
      <c r="A10064" t="inlineStr">
        <is>
          <t>2026-09-28</t>
        </is>
      </c>
      <c r="B10064" t="inlineStr">
        <is>
          <t>F272550</t>
        </is>
      </c>
      <c r="C10064" t="inlineStr">
        <is>
          <t>C10650</t>
        </is>
      </c>
      <c r="D10064" t="inlineStr">
        <is>
          <t>SKU-10381</t>
        </is>
      </c>
      <c r="E10064" t="inlineStr">
        <is>
          <t>AM02</t>
        </is>
      </c>
      <c r="F10064" s="5" t="n">
        <v>488.64</v>
      </c>
      <c r="G10064">
        <f>IF(LEFT(B10064,1)="C","Credit","Factuur")</f>
        <v/>
      </c>
      <c r="H10064">
        <f>IF(AND(B10064=B10063,D10064=D10063,A10064=A10063,F10064=F10063),1,0)</f>
        <v/>
      </c>
      <c r="I10064">
        <f>IF(C10064="C99999",1,0)</f>
        <v/>
      </c>
      <c r="J10064" s="5">
        <f>IF(OR(H10064=1,I10064=1),0,IF(G10064="Credit",-F10064,F10064))</f>
        <v/>
      </c>
    </row>
    <row r="10065">
      <c r="A10065" t="inlineStr">
        <is>
          <t>2026-09-28</t>
        </is>
      </c>
      <c r="B10065" t="inlineStr">
        <is>
          <t>F272593</t>
        </is>
      </c>
      <c r="C10065" t="inlineStr">
        <is>
          <t>C10653</t>
        </is>
      </c>
      <c r="D10065" t="inlineStr">
        <is>
          <t>SKU-10157</t>
        </is>
      </c>
      <c r="E10065" t="inlineStr">
        <is>
          <t>AM08</t>
        </is>
      </c>
      <c r="F10065" s="5" t="n">
        <v>131.28</v>
      </c>
      <c r="G10065">
        <f>IF(LEFT(B10065,1)="C","Credit","Factuur")</f>
        <v/>
      </c>
      <c r="H10065">
        <f>IF(AND(B10065=B10064,D10065=D10064,A10065=A10064,F10065=F10064),1,0)</f>
        <v/>
      </c>
      <c r="I10065">
        <f>IF(C10065="C99999",1,0)</f>
        <v/>
      </c>
      <c r="J10065" s="5">
        <f>IF(OR(H10065=1,I10065=1),0,IF(G10065="Credit",-F10065,F10065))</f>
        <v/>
      </c>
    </row>
    <row r="10066">
      <c r="A10066" t="inlineStr">
        <is>
          <t>2026-09-28</t>
        </is>
      </c>
      <c r="B10066" t="inlineStr">
        <is>
          <t>F272593</t>
        </is>
      </c>
      <c r="C10066" t="inlineStr">
        <is>
          <t>C10653</t>
        </is>
      </c>
      <c r="D10066" t="inlineStr">
        <is>
          <t>SKU-10183</t>
        </is>
      </c>
      <c r="E10066" t="inlineStr">
        <is>
          <t>AM08</t>
        </is>
      </c>
      <c r="F10066" s="5" t="n">
        <v>137</v>
      </c>
      <c r="G10066">
        <f>IF(LEFT(B10066,1)="C","Credit","Factuur")</f>
        <v/>
      </c>
      <c r="H10066">
        <f>IF(AND(B10066=B10065,D10066=D10065,A10066=A10065,F10066=F10065),1,0)</f>
        <v/>
      </c>
      <c r="I10066">
        <f>IF(C10066="C99999",1,0)</f>
        <v/>
      </c>
      <c r="J10066" s="5">
        <f>IF(OR(H10066=1,I10066=1),0,IF(G10066="Credit",-F10066,F10066))</f>
        <v/>
      </c>
    </row>
    <row r="10067">
      <c r="A10067" t="inlineStr">
        <is>
          <t>2026-09-28</t>
        </is>
      </c>
      <c r="B10067" t="inlineStr">
        <is>
          <t>F272682</t>
        </is>
      </c>
      <c r="C10067" t="inlineStr">
        <is>
          <t>C10661</t>
        </is>
      </c>
      <c r="D10067" t="inlineStr">
        <is>
          <t>SKU-10282</t>
        </is>
      </c>
      <c r="E10067" t="inlineStr">
        <is>
          <t>AM03</t>
        </is>
      </c>
      <c r="F10067" s="5" t="n">
        <v>2895.86</v>
      </c>
      <c r="G10067">
        <f>IF(LEFT(B10067,1)="C","Credit","Factuur")</f>
        <v/>
      </c>
      <c r="H10067">
        <f>IF(AND(B10067=B10066,D10067=D10066,A10067=A10066,F10067=F10066),1,0)</f>
        <v/>
      </c>
      <c r="I10067">
        <f>IF(C10067="C99999",1,0)</f>
        <v/>
      </c>
      <c r="J10067" s="5">
        <f>IF(OR(H10067=1,I10067=1),0,IF(G10067="Credit",-F10067,F10067))</f>
        <v/>
      </c>
    </row>
    <row r="10068">
      <c r="A10068" t="inlineStr">
        <is>
          <t>2026-09-28</t>
        </is>
      </c>
      <c r="B10068" t="inlineStr">
        <is>
          <t>F273308</t>
        </is>
      </c>
      <c r="C10068" t="inlineStr">
        <is>
          <t>C10696</t>
        </is>
      </c>
      <c r="D10068" t="inlineStr">
        <is>
          <t>SKU-10062</t>
        </is>
      </c>
      <c r="E10068" t="inlineStr">
        <is>
          <t>AM05</t>
        </is>
      </c>
      <c r="F10068" s="5" t="n">
        <v>1239.04</v>
      </c>
      <c r="G10068">
        <f>IF(LEFT(B10068,1)="C","Credit","Factuur")</f>
        <v/>
      </c>
      <c r="H10068">
        <f>IF(AND(B10068=B10067,D10068=D10067,A10068=A10067,F10068=F10067),1,0)</f>
        <v/>
      </c>
      <c r="I10068">
        <f>IF(C10068="C99999",1,0)</f>
        <v/>
      </c>
      <c r="J10068" s="5">
        <f>IF(OR(H10068=1,I10068=1),0,IF(G10068="Credit",-F10068,F10068))</f>
        <v/>
      </c>
    </row>
    <row r="10069">
      <c r="A10069" t="inlineStr">
        <is>
          <t>2026-09-28</t>
        </is>
      </c>
      <c r="B10069" t="inlineStr">
        <is>
          <t>F273308</t>
        </is>
      </c>
      <c r="C10069" t="inlineStr">
        <is>
          <t>C10696</t>
        </is>
      </c>
      <c r="D10069" t="inlineStr">
        <is>
          <t>SKU-10150</t>
        </is>
      </c>
      <c r="E10069" t="inlineStr">
        <is>
          <t>AM05</t>
        </is>
      </c>
      <c r="F10069" s="5" t="n">
        <v>1184.43</v>
      </c>
      <c r="G10069">
        <f>IF(LEFT(B10069,1)="C","Credit","Factuur")</f>
        <v/>
      </c>
      <c r="H10069">
        <f>IF(AND(B10069=B10068,D10069=D10068,A10069=A10068,F10069=F10068),1,0)</f>
        <v/>
      </c>
      <c r="I10069">
        <f>IF(C10069="C99999",1,0)</f>
        <v/>
      </c>
      <c r="J10069" s="5">
        <f>IF(OR(H10069=1,I10069=1),0,IF(G10069="Credit",-F10069,F10069))</f>
        <v/>
      </c>
    </row>
    <row r="10070">
      <c r="A10070" t="inlineStr">
        <is>
          <t>2026-09-28</t>
        </is>
      </c>
      <c r="B10070" t="inlineStr">
        <is>
          <t>F276517</t>
        </is>
      </c>
      <c r="C10070" t="inlineStr">
        <is>
          <t>C10875</t>
        </is>
      </c>
      <c r="D10070" t="inlineStr">
        <is>
          <t>SKU-10041</t>
        </is>
      </c>
      <c r="E10070" t="inlineStr">
        <is>
          <t>AM05</t>
        </is>
      </c>
      <c r="F10070" s="5" t="n">
        <v>653.6</v>
      </c>
      <c r="G10070">
        <f>IF(LEFT(B10070,1)="C","Credit","Factuur")</f>
        <v/>
      </c>
      <c r="H10070">
        <f>IF(AND(B10070=B10069,D10070=D10069,A10070=A10069,F10070=F10069),1,0)</f>
        <v/>
      </c>
      <c r="I10070">
        <f>IF(C10070="C99999",1,0)</f>
        <v/>
      </c>
      <c r="J10070" s="5">
        <f>IF(OR(H10070=1,I10070=1),0,IF(G10070="Credit",-F10070,F10070))</f>
        <v/>
      </c>
    </row>
    <row r="10071">
      <c r="A10071" t="inlineStr">
        <is>
          <t>2026-09-28</t>
        </is>
      </c>
      <c r="B10071" t="inlineStr">
        <is>
          <t>F276517</t>
        </is>
      </c>
      <c r="C10071" t="inlineStr">
        <is>
          <t>C10875</t>
        </is>
      </c>
      <c r="D10071" t="inlineStr">
        <is>
          <t>SKU-10142</t>
        </is>
      </c>
      <c r="E10071" t="inlineStr">
        <is>
          <t>AM05</t>
        </is>
      </c>
      <c r="F10071" s="5" t="n">
        <v>652.14</v>
      </c>
      <c r="G10071">
        <f>IF(LEFT(B10071,1)="C","Credit","Factuur")</f>
        <v/>
      </c>
      <c r="H10071">
        <f>IF(AND(B10071=B10070,D10071=D10070,A10071=A10070,F10071=F10070),1,0)</f>
        <v/>
      </c>
      <c r="I10071">
        <f>IF(C10071="C99999",1,0)</f>
        <v/>
      </c>
      <c r="J10071" s="5">
        <f>IF(OR(H10071=1,I10071=1),0,IF(G10071="Credit",-F10071,F10071))</f>
        <v/>
      </c>
    </row>
    <row r="10072">
      <c r="A10072" t="inlineStr">
        <is>
          <t>2026-09-28</t>
        </is>
      </c>
      <c r="B10072" t="inlineStr">
        <is>
          <t>F276752</t>
        </is>
      </c>
      <c r="C10072" t="inlineStr">
        <is>
          <t>C10889</t>
        </is>
      </c>
      <c r="D10072" t="inlineStr">
        <is>
          <t>SKU-10157</t>
        </is>
      </c>
      <c r="E10072" t="inlineStr">
        <is>
          <t>AM11</t>
        </is>
      </c>
      <c r="F10072" s="5" t="n">
        <v>962.72</v>
      </c>
      <c r="G10072">
        <f>IF(LEFT(B10072,1)="C","Credit","Factuur")</f>
        <v/>
      </c>
      <c r="H10072">
        <f>IF(AND(B10072=B10071,D10072=D10071,A10072=A10071,F10072=F10071),1,0)</f>
        <v/>
      </c>
      <c r="I10072">
        <f>IF(C10072="C99999",1,0)</f>
        <v/>
      </c>
      <c r="J10072" s="5">
        <f>IF(OR(H10072=1,I10072=1),0,IF(G10072="Credit",-F10072,F10072))</f>
        <v/>
      </c>
    </row>
    <row r="10073">
      <c r="A10073" t="inlineStr">
        <is>
          <t>2026-09-28</t>
        </is>
      </c>
      <c r="B10073" t="inlineStr">
        <is>
          <t>F276752</t>
        </is>
      </c>
      <c r="C10073" t="inlineStr">
        <is>
          <t>C10889</t>
        </is>
      </c>
      <c r="D10073" t="inlineStr">
        <is>
          <t>SKU-10262</t>
        </is>
      </c>
      <c r="E10073" t="inlineStr">
        <is>
          <t>AM11</t>
        </is>
      </c>
      <c r="F10073" s="5" t="n">
        <v>963.22</v>
      </c>
      <c r="G10073">
        <f>IF(LEFT(B10073,1)="C","Credit","Factuur")</f>
        <v/>
      </c>
      <c r="H10073">
        <f>IF(AND(B10073=B10072,D10073=D10072,A10073=A10072,F10073=F10072),1,0)</f>
        <v/>
      </c>
      <c r="I10073">
        <f>IF(C10073="C99999",1,0)</f>
        <v/>
      </c>
      <c r="J10073" s="5">
        <f>IF(OR(H10073=1,I10073=1),0,IF(G10073="Credit",-F10073,F10073))</f>
        <v/>
      </c>
    </row>
    <row r="10074">
      <c r="A10074" t="inlineStr">
        <is>
          <t>2026-09-28</t>
        </is>
      </c>
      <c r="B10074" t="inlineStr">
        <is>
          <t>F277615</t>
        </is>
      </c>
      <c r="C10074" t="inlineStr">
        <is>
          <t>C10935</t>
        </is>
      </c>
      <c r="D10074" t="inlineStr">
        <is>
          <t>SKU-10115</t>
        </is>
      </c>
      <c r="E10074" t="inlineStr">
        <is>
          <t>IS01</t>
        </is>
      </c>
      <c r="F10074" s="5" t="n">
        <v>49.19</v>
      </c>
      <c r="G10074">
        <f>IF(LEFT(B10074,1)="C","Credit","Factuur")</f>
        <v/>
      </c>
      <c r="H10074">
        <f>IF(AND(B10074=B10073,D10074=D10073,A10074=A10073,F10074=F10073),1,0)</f>
        <v/>
      </c>
      <c r="I10074">
        <f>IF(C10074="C99999",1,0)</f>
        <v/>
      </c>
      <c r="J10074" s="5">
        <f>IF(OR(H10074=1,I10074=1),0,IF(G10074="Credit",-F10074,F10074))</f>
        <v/>
      </c>
    </row>
    <row r="10075">
      <c r="A10075" t="inlineStr">
        <is>
          <t>2026-09-28</t>
        </is>
      </c>
      <c r="B10075" t="inlineStr">
        <is>
          <t>F277615</t>
        </is>
      </c>
      <c r="C10075" t="inlineStr">
        <is>
          <t>C10935</t>
        </is>
      </c>
      <c r="D10075" t="inlineStr">
        <is>
          <t>SKU-10192</t>
        </is>
      </c>
      <c r="E10075" t="inlineStr">
        <is>
          <t>IS01</t>
        </is>
      </c>
      <c r="F10075" s="5" t="n">
        <v>18.88</v>
      </c>
      <c r="G10075">
        <f>IF(LEFT(B10075,1)="C","Credit","Factuur")</f>
        <v/>
      </c>
      <c r="H10075">
        <f>IF(AND(B10075=B10074,D10075=D10074,A10075=A10074,F10075=F10074),1,0)</f>
        <v/>
      </c>
      <c r="I10075">
        <f>IF(C10075="C99999",1,0)</f>
        <v/>
      </c>
      <c r="J10075" s="5">
        <f>IF(OR(H10075=1,I10075=1),0,IF(G10075="Credit",-F10075,F10075))</f>
        <v/>
      </c>
    </row>
    <row r="10076">
      <c r="A10076" t="inlineStr">
        <is>
          <t>2026-09-28</t>
        </is>
      </c>
      <c r="B10076" t="inlineStr">
        <is>
          <t>F277615</t>
        </is>
      </c>
      <c r="C10076" t="inlineStr">
        <is>
          <t>C10935</t>
        </is>
      </c>
      <c r="D10076" t="inlineStr">
        <is>
          <t>SKU-10268</t>
        </is>
      </c>
      <c r="E10076" t="inlineStr">
        <is>
          <t>IS01</t>
        </is>
      </c>
      <c r="F10076" s="5" t="n">
        <v>20.56</v>
      </c>
      <c r="G10076">
        <f>IF(LEFT(B10076,1)="C","Credit","Factuur")</f>
        <v/>
      </c>
      <c r="H10076">
        <f>IF(AND(B10076=B10075,D10076=D10075,A10076=A10075,F10076=F10075),1,0)</f>
        <v/>
      </c>
      <c r="I10076">
        <f>IF(C10076="C99999",1,0)</f>
        <v/>
      </c>
      <c r="J10076" s="5">
        <f>IF(OR(H10076=1,I10076=1),0,IF(G10076="Credit",-F10076,F10076))</f>
        <v/>
      </c>
    </row>
    <row r="10077">
      <c r="A10077" t="inlineStr">
        <is>
          <t>2026-09-28</t>
        </is>
      </c>
      <c r="B10077" t="inlineStr">
        <is>
          <t>F277615</t>
        </is>
      </c>
      <c r="C10077" t="inlineStr">
        <is>
          <t>C10935</t>
        </is>
      </c>
      <c r="D10077" t="inlineStr">
        <is>
          <t>SKU-10272</t>
        </is>
      </c>
      <c r="E10077" t="inlineStr">
        <is>
          <t>IS01</t>
        </is>
      </c>
      <c r="F10077" s="5" t="n">
        <v>37.71</v>
      </c>
      <c r="G10077">
        <f>IF(LEFT(B10077,1)="C","Credit","Factuur")</f>
        <v/>
      </c>
      <c r="H10077">
        <f>IF(AND(B10077=B10076,D10077=D10076,A10077=A10076,F10077=F10076),1,0)</f>
        <v/>
      </c>
      <c r="I10077">
        <f>IF(C10077="C99999",1,0)</f>
        <v/>
      </c>
      <c r="J10077" s="5">
        <f>IF(OR(H10077=1,I10077=1),0,IF(G10077="Credit",-F10077,F10077))</f>
        <v/>
      </c>
    </row>
    <row r="10078">
      <c r="A10078" t="inlineStr">
        <is>
          <t>2026-09-28</t>
        </is>
      </c>
      <c r="B10078" t="inlineStr">
        <is>
          <t>F277615</t>
        </is>
      </c>
      <c r="C10078" t="inlineStr">
        <is>
          <t>C10935</t>
        </is>
      </c>
      <c r="D10078" t="inlineStr">
        <is>
          <t>SKU-10303</t>
        </is>
      </c>
      <c r="E10078" t="inlineStr">
        <is>
          <t>IS01</t>
        </is>
      </c>
      <c r="F10078" s="5" t="n">
        <v>18.49</v>
      </c>
      <c r="G10078">
        <f>IF(LEFT(B10078,1)="C","Credit","Factuur")</f>
        <v/>
      </c>
      <c r="H10078">
        <f>IF(AND(B10078=B10077,D10078=D10077,A10078=A10077,F10078=F10077),1,0)</f>
        <v/>
      </c>
      <c r="I10078">
        <f>IF(C10078="C99999",1,0)</f>
        <v/>
      </c>
      <c r="J10078" s="5">
        <f>IF(OR(H10078=1,I10078=1),0,IF(G10078="Credit",-F10078,F10078))</f>
        <v/>
      </c>
    </row>
    <row r="10079">
      <c r="A10079" t="inlineStr">
        <is>
          <t>2026-09-28</t>
        </is>
      </c>
      <c r="B10079" t="inlineStr">
        <is>
          <t>F278638</t>
        </is>
      </c>
      <c r="C10079" t="inlineStr">
        <is>
          <t>C10987</t>
        </is>
      </c>
      <c r="D10079" t="inlineStr">
        <is>
          <t>SKU-10011</t>
        </is>
      </c>
      <c r="E10079" t="inlineStr">
        <is>
          <t>AM06</t>
        </is>
      </c>
      <c r="F10079" s="5" t="n">
        <v>146.16</v>
      </c>
      <c r="G10079">
        <f>IF(LEFT(B10079,1)="C","Credit","Factuur")</f>
        <v/>
      </c>
      <c r="H10079">
        <f>IF(AND(B10079=B10078,D10079=D10078,A10079=A10078,F10079=F10078),1,0)</f>
        <v/>
      </c>
      <c r="I10079">
        <f>IF(C10079="C99999",1,0)</f>
        <v/>
      </c>
      <c r="J10079" s="5">
        <f>IF(OR(H10079=1,I10079=1),0,IF(G10079="Credit",-F10079,F10079))</f>
        <v/>
      </c>
    </row>
    <row r="10080">
      <c r="A10080" t="inlineStr">
        <is>
          <t>2026-09-28</t>
        </is>
      </c>
      <c r="B10080" t="inlineStr">
        <is>
          <t>F278638</t>
        </is>
      </c>
      <c r="C10080" t="inlineStr">
        <is>
          <t>C10987</t>
        </is>
      </c>
      <c r="D10080" t="inlineStr">
        <is>
          <t>SKU-10074</t>
        </is>
      </c>
      <c r="E10080" t="inlineStr">
        <is>
          <t>AM06</t>
        </is>
      </c>
      <c r="F10080" s="5" t="n">
        <v>159.57</v>
      </c>
      <c r="G10080">
        <f>IF(LEFT(B10080,1)="C","Credit","Factuur")</f>
        <v/>
      </c>
      <c r="H10080">
        <f>IF(AND(B10080=B10079,D10080=D10079,A10080=A10079,F10080=F10079),1,0)</f>
        <v/>
      </c>
      <c r="I10080">
        <f>IF(C10080="C99999",1,0)</f>
        <v/>
      </c>
      <c r="J10080" s="5">
        <f>IF(OR(H10080=1,I10080=1),0,IF(G10080="Credit",-F10080,F10080))</f>
        <v/>
      </c>
    </row>
    <row r="10081">
      <c r="A10081" t="inlineStr">
        <is>
          <t>2026-09-28</t>
        </is>
      </c>
      <c r="B10081" t="inlineStr">
        <is>
          <t>F278638</t>
        </is>
      </c>
      <c r="C10081" t="inlineStr">
        <is>
          <t>C10987</t>
        </is>
      </c>
      <c r="D10081" t="inlineStr">
        <is>
          <t>SKU-10291</t>
        </is>
      </c>
      <c r="E10081" t="inlineStr">
        <is>
          <t>AM06</t>
        </is>
      </c>
      <c r="F10081" s="5" t="n">
        <v>146.95</v>
      </c>
      <c r="G10081">
        <f>IF(LEFT(B10081,1)="C","Credit","Factuur")</f>
        <v/>
      </c>
      <c r="H10081">
        <f>IF(AND(B10081=B10080,D10081=D10080,A10081=A10080,F10081=F10080),1,0)</f>
        <v/>
      </c>
      <c r="I10081">
        <f>IF(C10081="C99999",1,0)</f>
        <v/>
      </c>
      <c r="J10081" s="5">
        <f>IF(OR(H10081=1,I10081=1),0,IF(G10081="Credit",-F10081,F10081))</f>
        <v/>
      </c>
    </row>
    <row r="10082">
      <c r="A10082" t="inlineStr">
        <is>
          <t>2026-09-28</t>
        </is>
      </c>
      <c r="B10082" t="inlineStr">
        <is>
          <t>F280990</t>
        </is>
      </c>
      <c r="C10082" t="inlineStr">
        <is>
          <t>C11105</t>
        </is>
      </c>
      <c r="D10082" t="inlineStr">
        <is>
          <t>SKU-10066</t>
        </is>
      </c>
      <c r="E10082" t="inlineStr">
        <is>
          <t>AM12</t>
        </is>
      </c>
      <c r="F10082" s="5" t="n">
        <v>121.82</v>
      </c>
      <c r="G10082">
        <f>IF(LEFT(B10082,1)="C","Credit","Factuur")</f>
        <v/>
      </c>
      <c r="H10082">
        <f>IF(AND(B10082=B10081,D10082=D10081,A10082=A10081,F10082=F10081),1,0)</f>
        <v/>
      </c>
      <c r="I10082">
        <f>IF(C10082="C99999",1,0)</f>
        <v/>
      </c>
      <c r="J10082" s="5">
        <f>IF(OR(H10082=1,I10082=1),0,IF(G10082="Credit",-F10082,F10082))</f>
        <v/>
      </c>
    </row>
    <row r="10083">
      <c r="A10083" t="inlineStr">
        <is>
          <t>2026-09-28</t>
        </is>
      </c>
      <c r="B10083" t="inlineStr">
        <is>
          <t>F280990</t>
        </is>
      </c>
      <c r="C10083" t="inlineStr">
        <is>
          <t>C11105</t>
        </is>
      </c>
      <c r="D10083" t="inlineStr">
        <is>
          <t>SKU-10336</t>
        </is>
      </c>
      <c r="E10083" t="inlineStr">
        <is>
          <t>AM12</t>
        </is>
      </c>
      <c r="F10083" s="5" t="n">
        <v>148.14</v>
      </c>
      <c r="G10083">
        <f>IF(LEFT(B10083,1)="C","Credit","Factuur")</f>
        <v/>
      </c>
      <c r="H10083">
        <f>IF(AND(B10083=B10082,D10083=D10082,A10083=A10082,F10083=F10082),1,0)</f>
        <v/>
      </c>
      <c r="I10083">
        <f>IF(C10083="C99999",1,0)</f>
        <v/>
      </c>
      <c r="J10083" s="5">
        <f>IF(OR(H10083=1,I10083=1),0,IF(G10083="Credit",-F10083,F10083))</f>
        <v/>
      </c>
    </row>
    <row r="10084">
      <c r="A10084" t="inlineStr">
        <is>
          <t>2026-09-28</t>
        </is>
      </c>
      <c r="B10084" t="inlineStr">
        <is>
          <t>F280990</t>
        </is>
      </c>
      <c r="C10084" t="inlineStr">
        <is>
          <t>C11105</t>
        </is>
      </c>
      <c r="D10084" t="inlineStr">
        <is>
          <t>SKU-10338</t>
        </is>
      </c>
      <c r="E10084" t="inlineStr">
        <is>
          <t>AM12</t>
        </is>
      </c>
      <c r="F10084" s="5" t="n">
        <v>126.06</v>
      </c>
      <c r="G10084">
        <f>IF(LEFT(B10084,1)="C","Credit","Factuur")</f>
        <v/>
      </c>
      <c r="H10084">
        <f>IF(AND(B10084=B10083,D10084=D10083,A10084=A10083,F10084=F10083),1,0)</f>
        <v/>
      </c>
      <c r="I10084">
        <f>IF(C10084="C99999",1,0)</f>
        <v/>
      </c>
      <c r="J10084" s="5">
        <f>IF(OR(H10084=1,I10084=1),0,IF(G10084="Credit",-F10084,F10084))</f>
        <v/>
      </c>
    </row>
    <row r="10085">
      <c r="A10085" t="inlineStr">
        <is>
          <t>2026-09-28</t>
        </is>
      </c>
      <c r="B10085" t="inlineStr">
        <is>
          <t>F280990</t>
        </is>
      </c>
      <c r="C10085" t="inlineStr">
        <is>
          <t>C11105</t>
        </is>
      </c>
      <c r="D10085" t="inlineStr">
        <is>
          <t>SKU-10362</t>
        </is>
      </c>
      <c r="E10085" t="inlineStr">
        <is>
          <t>AM12</t>
        </is>
      </c>
      <c r="F10085" s="5" t="n">
        <v>135</v>
      </c>
      <c r="G10085">
        <f>IF(LEFT(B10085,1)="C","Credit","Factuur")</f>
        <v/>
      </c>
      <c r="H10085">
        <f>IF(AND(B10085=B10084,D10085=D10084,A10085=A10084,F10085=F10084),1,0)</f>
        <v/>
      </c>
      <c r="I10085">
        <f>IF(C10085="C99999",1,0)</f>
        <v/>
      </c>
      <c r="J10085" s="5">
        <f>IF(OR(H10085=1,I10085=1),0,IF(G10085="Credit",-F10085,F10085))</f>
        <v/>
      </c>
    </row>
    <row r="10086">
      <c r="A10086" t="inlineStr">
        <is>
          <t>2026-09-28</t>
        </is>
      </c>
      <c r="B10086" t="inlineStr">
        <is>
          <t>F281228</t>
        </is>
      </c>
      <c r="C10086" t="inlineStr">
        <is>
          <t>C11120</t>
        </is>
      </c>
      <c r="D10086" t="inlineStr">
        <is>
          <t>SKU-10024</t>
        </is>
      </c>
      <c r="E10086" t="inlineStr">
        <is>
          <t>AM11</t>
        </is>
      </c>
      <c r="F10086" s="5" t="n">
        <v>72.48</v>
      </c>
      <c r="G10086">
        <f>IF(LEFT(B10086,1)="C","Credit","Factuur")</f>
        <v/>
      </c>
      <c r="H10086">
        <f>IF(AND(B10086=B10085,D10086=D10085,A10086=A10085,F10086=F10085),1,0)</f>
        <v/>
      </c>
      <c r="I10086">
        <f>IF(C10086="C99999",1,0)</f>
        <v/>
      </c>
      <c r="J10086" s="5">
        <f>IF(OR(H10086=1,I10086=1),0,IF(G10086="Credit",-F10086,F10086))</f>
        <v/>
      </c>
    </row>
    <row r="10087">
      <c r="A10087" t="inlineStr">
        <is>
          <t>2026-09-28</t>
        </is>
      </c>
      <c r="B10087" t="inlineStr">
        <is>
          <t>F281228</t>
        </is>
      </c>
      <c r="C10087" t="inlineStr">
        <is>
          <t>C11120</t>
        </is>
      </c>
      <c r="D10087" t="inlineStr">
        <is>
          <t>SKU-10047</t>
        </is>
      </c>
      <c r="E10087" t="inlineStr">
        <is>
          <t>AM11</t>
        </is>
      </c>
      <c r="F10087" s="5" t="n">
        <v>62.03</v>
      </c>
      <c r="G10087">
        <f>IF(LEFT(B10087,1)="C","Credit","Factuur")</f>
        <v/>
      </c>
      <c r="H10087">
        <f>IF(AND(B10087=B10086,D10087=D10086,A10087=A10086,F10087=F10086),1,0)</f>
        <v/>
      </c>
      <c r="I10087">
        <f>IF(C10087="C99999",1,0)</f>
        <v/>
      </c>
      <c r="J10087" s="5">
        <f>IF(OR(H10087=1,I10087=1),0,IF(G10087="Credit",-F10087,F10087))</f>
        <v/>
      </c>
    </row>
    <row r="10088">
      <c r="A10088" t="inlineStr">
        <is>
          <t>2026-09-28</t>
        </is>
      </c>
      <c r="B10088" t="inlineStr">
        <is>
          <t>F281228</t>
        </is>
      </c>
      <c r="C10088" t="inlineStr">
        <is>
          <t>C11120</t>
        </is>
      </c>
      <c r="D10088" t="inlineStr">
        <is>
          <t>SKU-10207</t>
        </is>
      </c>
      <c r="E10088" t="inlineStr">
        <is>
          <t>AM11</t>
        </is>
      </c>
      <c r="F10088" s="5" t="n">
        <v>63.36</v>
      </c>
      <c r="G10088">
        <f>IF(LEFT(B10088,1)="C","Credit","Factuur")</f>
        <v/>
      </c>
      <c r="H10088">
        <f>IF(AND(B10088=B10087,D10088=D10087,A10088=A10087,F10088=F10087),1,0)</f>
        <v/>
      </c>
      <c r="I10088">
        <f>IF(C10088="C99999",1,0)</f>
        <v/>
      </c>
      <c r="J10088" s="5">
        <f>IF(OR(H10088=1,I10088=1),0,IF(G10088="Credit",-F10088,F10088))</f>
        <v/>
      </c>
    </row>
    <row r="10089">
      <c r="A10089" t="inlineStr">
        <is>
          <t>2026-09-28</t>
        </is>
      </c>
      <c r="B10089" t="inlineStr">
        <is>
          <t>F281228</t>
        </is>
      </c>
      <c r="C10089" t="inlineStr">
        <is>
          <t>C11120</t>
        </is>
      </c>
      <c r="D10089" t="inlineStr">
        <is>
          <t>SKU-10228</t>
        </is>
      </c>
      <c r="E10089" t="inlineStr">
        <is>
          <t>AM11</t>
        </is>
      </c>
      <c r="F10089" s="5" t="n">
        <v>66.59999999999999</v>
      </c>
      <c r="G10089">
        <f>IF(LEFT(B10089,1)="C","Credit","Factuur")</f>
        <v/>
      </c>
      <c r="H10089">
        <f>IF(AND(B10089=B10088,D10089=D10088,A10089=A10088,F10089=F10088),1,0)</f>
        <v/>
      </c>
      <c r="I10089">
        <f>IF(C10089="C99999",1,0)</f>
        <v/>
      </c>
      <c r="J10089" s="5">
        <f>IF(OR(H10089=1,I10089=1),0,IF(G10089="Credit",-F10089,F10089))</f>
        <v/>
      </c>
    </row>
    <row r="10090">
      <c r="A10090" t="inlineStr">
        <is>
          <t>2026-09-28</t>
        </is>
      </c>
      <c r="B10090" t="inlineStr">
        <is>
          <t>F281264</t>
        </is>
      </c>
      <c r="C10090" t="inlineStr">
        <is>
          <t>C11121</t>
        </is>
      </c>
      <c r="D10090" t="inlineStr">
        <is>
          <t>SKU-10017</t>
        </is>
      </c>
      <c r="E10090" t="inlineStr">
        <is>
          <t>AM07</t>
        </is>
      </c>
      <c r="F10090" s="5" t="n">
        <v>1033.41</v>
      </c>
      <c r="G10090">
        <f>IF(LEFT(B10090,1)="C","Credit","Factuur")</f>
        <v/>
      </c>
      <c r="H10090">
        <f>IF(AND(B10090=B10089,D10090=D10089,A10090=A10089,F10090=F10089),1,0)</f>
        <v/>
      </c>
      <c r="I10090">
        <f>IF(C10090="C99999",1,0)</f>
        <v/>
      </c>
      <c r="J10090" s="5">
        <f>IF(OR(H10090=1,I10090=1),0,IF(G10090="Credit",-F10090,F10090))</f>
        <v/>
      </c>
    </row>
    <row r="10091">
      <c r="A10091" t="inlineStr">
        <is>
          <t>2026-09-28</t>
        </is>
      </c>
      <c r="B10091" t="inlineStr">
        <is>
          <t>F281471</t>
        </is>
      </c>
      <c r="C10091" t="inlineStr">
        <is>
          <t>C11133</t>
        </is>
      </c>
      <c r="D10091" t="inlineStr">
        <is>
          <t>SKU-10058</t>
        </is>
      </c>
      <c r="E10091" t="inlineStr">
        <is>
          <t>AM07</t>
        </is>
      </c>
      <c r="F10091" s="5" t="n">
        <v>152.67</v>
      </c>
      <c r="G10091">
        <f>IF(LEFT(B10091,1)="C","Credit","Factuur")</f>
        <v/>
      </c>
      <c r="H10091">
        <f>IF(AND(B10091=B10090,D10091=D10090,A10091=A10090,F10091=F10090),1,0)</f>
        <v/>
      </c>
      <c r="I10091">
        <f>IF(C10091="C99999",1,0)</f>
        <v/>
      </c>
      <c r="J10091" s="5">
        <f>IF(OR(H10091=1,I10091=1),0,IF(G10091="Credit",-F10091,F10091))</f>
        <v/>
      </c>
    </row>
    <row r="10092">
      <c r="A10092" t="inlineStr">
        <is>
          <t>2026-09-28</t>
        </is>
      </c>
      <c r="B10092" t="inlineStr">
        <is>
          <t>F281471</t>
        </is>
      </c>
      <c r="C10092" t="inlineStr">
        <is>
          <t>C11133</t>
        </is>
      </c>
      <c r="D10092" t="inlineStr">
        <is>
          <t>SKU-10248</t>
        </is>
      </c>
      <c r="E10092" t="inlineStr">
        <is>
          <t>AM07</t>
        </is>
      </c>
      <c r="F10092" s="5" t="n">
        <v>180.75</v>
      </c>
      <c r="G10092">
        <f>IF(LEFT(B10092,1)="C","Credit","Factuur")</f>
        <v/>
      </c>
      <c r="H10092">
        <f>IF(AND(B10092=B10091,D10092=D10091,A10092=A10091,F10092=F10091),1,0)</f>
        <v/>
      </c>
      <c r="I10092">
        <f>IF(C10092="C99999",1,0)</f>
        <v/>
      </c>
      <c r="J10092" s="5">
        <f>IF(OR(H10092=1,I10092=1),0,IF(G10092="Credit",-F10092,F10092))</f>
        <v/>
      </c>
    </row>
    <row r="10093">
      <c r="A10093" t="inlineStr">
        <is>
          <t>2026-09-28</t>
        </is>
      </c>
      <c r="B10093" t="inlineStr">
        <is>
          <t>F281471</t>
        </is>
      </c>
      <c r="C10093" t="inlineStr">
        <is>
          <t>C11133</t>
        </is>
      </c>
      <c r="D10093" t="inlineStr">
        <is>
          <t>SKU-10324</t>
        </is>
      </c>
      <c r="E10093" t="inlineStr">
        <is>
          <t>AM07</t>
        </is>
      </c>
      <c r="F10093" s="5" t="n">
        <v>195.48</v>
      </c>
      <c r="G10093">
        <f>IF(LEFT(B10093,1)="C","Credit","Factuur")</f>
        <v/>
      </c>
      <c r="H10093">
        <f>IF(AND(B10093=B10092,D10093=D10092,A10093=A10092,F10093=F10092),1,0)</f>
        <v/>
      </c>
      <c r="I10093">
        <f>IF(C10093="C99999",1,0)</f>
        <v/>
      </c>
      <c r="J10093" s="5">
        <f>IF(OR(H10093=1,I10093=1),0,IF(G10093="Credit",-F10093,F10093))</f>
        <v/>
      </c>
    </row>
    <row r="10094">
      <c r="A10094" t="inlineStr">
        <is>
          <t>2026-09-28</t>
        </is>
      </c>
      <c r="B10094" t="inlineStr">
        <is>
          <t>F281726</t>
        </is>
      </c>
      <c r="C10094" t="inlineStr">
        <is>
          <t>C11145</t>
        </is>
      </c>
      <c r="D10094" t="inlineStr">
        <is>
          <t>SKU-10132</t>
        </is>
      </c>
      <c r="E10094" t="inlineStr">
        <is>
          <t>AM11</t>
        </is>
      </c>
      <c r="F10094" s="5" t="n">
        <v>375.55</v>
      </c>
      <c r="G10094">
        <f>IF(LEFT(B10094,1)="C","Credit","Factuur")</f>
        <v/>
      </c>
      <c r="H10094">
        <f>IF(AND(B10094=B10093,D10094=D10093,A10094=A10093,F10094=F10093),1,0)</f>
        <v/>
      </c>
      <c r="I10094">
        <f>IF(C10094="C99999",1,0)</f>
        <v/>
      </c>
      <c r="J10094" s="5">
        <f>IF(OR(H10094=1,I10094=1),0,IF(G10094="Credit",-F10094,F10094))</f>
        <v/>
      </c>
    </row>
    <row r="10095">
      <c r="A10095" t="inlineStr">
        <is>
          <t>2026-09-28</t>
        </is>
      </c>
      <c r="B10095" t="inlineStr">
        <is>
          <t>F281726</t>
        </is>
      </c>
      <c r="C10095" t="inlineStr">
        <is>
          <t>C11145</t>
        </is>
      </c>
      <c r="D10095" t="inlineStr">
        <is>
          <t>SKU-10153</t>
        </is>
      </c>
      <c r="E10095" t="inlineStr">
        <is>
          <t>AM11</t>
        </is>
      </c>
      <c r="F10095" s="5" t="n">
        <v>382.16</v>
      </c>
      <c r="G10095">
        <f>IF(LEFT(B10095,1)="C","Credit","Factuur")</f>
        <v/>
      </c>
      <c r="H10095">
        <f>IF(AND(B10095=B10094,D10095=D10094,A10095=A10094,F10095=F10094),1,0)</f>
        <v/>
      </c>
      <c r="I10095">
        <f>IF(C10095="C99999",1,0)</f>
        <v/>
      </c>
      <c r="J10095" s="5">
        <f>IF(OR(H10095=1,I10095=1),0,IF(G10095="Credit",-F10095,F10095))</f>
        <v/>
      </c>
    </row>
    <row r="10096">
      <c r="A10096" t="inlineStr">
        <is>
          <t>2026-09-28</t>
        </is>
      </c>
      <c r="B10096" t="inlineStr">
        <is>
          <t>F281938</t>
        </is>
      </c>
      <c r="C10096" t="inlineStr">
        <is>
          <t>C11153</t>
        </is>
      </c>
      <c r="D10096" t="inlineStr">
        <is>
          <t>SKU-10006</t>
        </is>
      </c>
      <c r="E10096" t="inlineStr">
        <is>
          <t>AM03</t>
        </is>
      </c>
      <c r="F10096" s="5" t="n">
        <v>171.68</v>
      </c>
      <c r="G10096">
        <f>IF(LEFT(B10096,1)="C","Credit","Factuur")</f>
        <v/>
      </c>
      <c r="H10096">
        <f>IF(AND(B10096=B10095,D10096=D10095,A10096=A10095,F10096=F10095),1,0)</f>
        <v/>
      </c>
      <c r="I10096">
        <f>IF(C10096="C99999",1,0)</f>
        <v/>
      </c>
      <c r="J10096" s="5">
        <f>IF(OR(H10096=1,I10096=1),0,IF(G10096="Credit",-F10096,F10096))</f>
        <v/>
      </c>
    </row>
    <row r="10097">
      <c r="A10097" t="inlineStr">
        <is>
          <t>2026-09-28</t>
        </is>
      </c>
      <c r="B10097" t="inlineStr">
        <is>
          <t>F281938</t>
        </is>
      </c>
      <c r="C10097" t="inlineStr">
        <is>
          <t>C11153</t>
        </is>
      </c>
      <c r="D10097" t="inlineStr">
        <is>
          <t>SKU-10012</t>
        </is>
      </c>
      <c r="E10097" t="inlineStr">
        <is>
          <t>AM03</t>
        </is>
      </c>
      <c r="F10097" s="5" t="n">
        <v>159.55</v>
      </c>
      <c r="G10097">
        <f>IF(LEFT(B10097,1)="C","Credit","Factuur")</f>
        <v/>
      </c>
      <c r="H10097">
        <f>IF(AND(B10097=B10096,D10097=D10096,A10097=A10096,F10097=F10096),1,0)</f>
        <v/>
      </c>
      <c r="I10097">
        <f>IF(C10097="C99999",1,0)</f>
        <v/>
      </c>
      <c r="J10097" s="5">
        <f>IF(OR(H10097=1,I10097=1),0,IF(G10097="Credit",-F10097,F10097))</f>
        <v/>
      </c>
    </row>
    <row r="10098">
      <c r="A10098" t="inlineStr">
        <is>
          <t>2026-09-28</t>
        </is>
      </c>
      <c r="B10098" t="inlineStr">
        <is>
          <t>F281938</t>
        </is>
      </c>
      <c r="C10098" t="inlineStr">
        <is>
          <t>C11153</t>
        </is>
      </c>
      <c r="D10098" t="inlineStr">
        <is>
          <t>SKU-10020</t>
        </is>
      </c>
      <c r="E10098" t="inlineStr">
        <is>
          <t>AM03</t>
        </is>
      </c>
      <c r="F10098" s="5" t="n">
        <v>185.64</v>
      </c>
      <c r="G10098">
        <f>IF(LEFT(B10098,1)="C","Credit","Factuur")</f>
        <v/>
      </c>
      <c r="H10098">
        <f>IF(AND(B10098=B10097,D10098=D10097,A10098=A10097,F10098=F10097),1,0)</f>
        <v/>
      </c>
      <c r="I10098">
        <f>IF(C10098="C99999",1,0)</f>
        <v/>
      </c>
      <c r="J10098" s="5">
        <f>IF(OR(H10098=1,I10098=1),0,IF(G10098="Credit",-F10098,F10098))</f>
        <v/>
      </c>
    </row>
    <row r="10099">
      <c r="A10099" t="inlineStr">
        <is>
          <t>2026-09-28</t>
        </is>
      </c>
      <c r="B10099" t="inlineStr">
        <is>
          <t>F281938</t>
        </is>
      </c>
      <c r="C10099" t="inlineStr">
        <is>
          <t>C11153</t>
        </is>
      </c>
      <c r="D10099" t="inlineStr">
        <is>
          <t>SKU-10156</t>
        </is>
      </c>
      <c r="E10099" t="inlineStr">
        <is>
          <t>AM03</t>
        </is>
      </c>
      <c r="F10099" s="5" t="n">
        <v>170.54</v>
      </c>
      <c r="G10099">
        <f>IF(LEFT(B10099,1)="C","Credit","Factuur")</f>
        <v/>
      </c>
      <c r="H10099">
        <f>IF(AND(B10099=B10098,D10099=D10098,A10099=A10098,F10099=F10098),1,0)</f>
        <v/>
      </c>
      <c r="I10099">
        <f>IF(C10099="C99999",1,0)</f>
        <v/>
      </c>
      <c r="J10099" s="5">
        <f>IF(OR(H10099=1,I10099=1),0,IF(G10099="Credit",-F10099,F10099))</f>
        <v/>
      </c>
    </row>
    <row r="10100">
      <c r="A10100" t="inlineStr">
        <is>
          <t>2026-09-28</t>
        </is>
      </c>
      <c r="B10100" t="inlineStr">
        <is>
          <t>F282078</t>
        </is>
      </c>
      <c r="C10100" t="inlineStr">
        <is>
          <t>C11160</t>
        </is>
      </c>
      <c r="D10100" t="inlineStr">
        <is>
          <t>SKU-10004</t>
        </is>
      </c>
      <c r="E10100" t="inlineStr">
        <is>
          <t>AM08</t>
        </is>
      </c>
      <c r="F10100" s="5" t="n">
        <v>235.05</v>
      </c>
      <c r="G10100">
        <f>IF(LEFT(B10100,1)="C","Credit","Factuur")</f>
        <v/>
      </c>
      <c r="H10100">
        <f>IF(AND(B10100=B10099,D10100=D10099,A10100=A10099,F10100=F10099),1,0)</f>
        <v/>
      </c>
      <c r="I10100">
        <f>IF(C10100="C99999",1,0)</f>
        <v/>
      </c>
      <c r="J10100" s="5">
        <f>IF(OR(H10100=1,I10100=1),0,IF(G10100="Credit",-F10100,F10100))</f>
        <v/>
      </c>
    </row>
    <row r="10101">
      <c r="A10101" t="inlineStr">
        <is>
          <t>2026-09-28</t>
        </is>
      </c>
      <c r="B10101" t="inlineStr">
        <is>
          <t>F282078</t>
        </is>
      </c>
      <c r="C10101" t="inlineStr">
        <is>
          <t>C11160</t>
        </is>
      </c>
      <c r="D10101" t="inlineStr">
        <is>
          <t>SKU-10071</t>
        </is>
      </c>
      <c r="E10101" t="inlineStr">
        <is>
          <t>AM08</t>
        </is>
      </c>
      <c r="F10101" s="5" t="n">
        <v>198.9</v>
      </c>
      <c r="G10101">
        <f>IF(LEFT(B10101,1)="C","Credit","Factuur")</f>
        <v/>
      </c>
      <c r="H10101">
        <f>IF(AND(B10101=B10100,D10101=D10100,A10101=A10100,F10101=F10100),1,0)</f>
        <v/>
      </c>
      <c r="I10101">
        <f>IF(C10101="C99999",1,0)</f>
        <v/>
      </c>
      <c r="J10101" s="5">
        <f>IF(OR(H10101=1,I10101=1),0,IF(G10101="Credit",-F10101,F10101))</f>
        <v/>
      </c>
    </row>
    <row r="10102">
      <c r="A10102" t="inlineStr">
        <is>
          <t>2026-09-28</t>
        </is>
      </c>
      <c r="B10102" t="inlineStr">
        <is>
          <t>F282078</t>
        </is>
      </c>
      <c r="C10102" t="inlineStr">
        <is>
          <t>C11160</t>
        </is>
      </c>
      <c r="D10102" t="inlineStr">
        <is>
          <t>SKU-10133</t>
        </is>
      </c>
      <c r="E10102" t="inlineStr">
        <is>
          <t>AM08</t>
        </is>
      </c>
      <c r="F10102" s="5" t="n">
        <v>264.68</v>
      </c>
      <c r="G10102">
        <f>IF(LEFT(B10102,1)="C","Credit","Factuur")</f>
        <v/>
      </c>
      <c r="H10102">
        <f>IF(AND(B10102=B10101,D10102=D10101,A10102=A10101,F10102=F10101),1,0)</f>
        <v/>
      </c>
      <c r="I10102">
        <f>IF(C10102="C99999",1,0)</f>
        <v/>
      </c>
      <c r="J10102" s="5">
        <f>IF(OR(H10102=1,I10102=1),0,IF(G10102="Credit",-F10102,F10102))</f>
        <v/>
      </c>
    </row>
    <row r="10103">
      <c r="A10103" t="inlineStr">
        <is>
          <t>2026-09-28</t>
        </is>
      </c>
      <c r="B10103" t="inlineStr">
        <is>
          <t>F282078</t>
        </is>
      </c>
      <c r="C10103" t="inlineStr">
        <is>
          <t>C11160</t>
        </is>
      </c>
      <c r="D10103" t="inlineStr">
        <is>
          <t>SKU-10287</t>
        </is>
      </c>
      <c r="E10103" t="inlineStr">
        <is>
          <t>AM08</t>
        </is>
      </c>
      <c r="F10103" s="5" t="n">
        <v>210.77</v>
      </c>
      <c r="G10103">
        <f>IF(LEFT(B10103,1)="C","Credit","Factuur")</f>
        <v/>
      </c>
      <c r="H10103">
        <f>IF(AND(B10103=B10102,D10103=D10102,A10103=A10102,F10103=F10102),1,0)</f>
        <v/>
      </c>
      <c r="I10103">
        <f>IF(C10103="C99999",1,0)</f>
        <v/>
      </c>
      <c r="J10103" s="5">
        <f>IF(OR(H10103=1,I10103=1),0,IF(G10103="Credit",-F10103,F10103))</f>
        <v/>
      </c>
    </row>
    <row r="10104">
      <c r="A10104" t="inlineStr">
        <is>
          <t>2026-09-28</t>
        </is>
      </c>
      <c r="B10104" t="inlineStr">
        <is>
          <t>F282696</t>
        </is>
      </c>
      <c r="C10104" t="inlineStr">
        <is>
          <t>C11191</t>
        </is>
      </c>
      <c r="D10104" t="inlineStr">
        <is>
          <t>SKU-10044</t>
        </is>
      </c>
      <c r="E10104" t="inlineStr">
        <is>
          <t>AM06</t>
        </is>
      </c>
      <c r="F10104" s="5" t="n">
        <v>485.89</v>
      </c>
      <c r="G10104">
        <f>IF(LEFT(B10104,1)="C","Credit","Factuur")</f>
        <v/>
      </c>
      <c r="H10104">
        <f>IF(AND(B10104=B10103,D10104=D10103,A10104=A10103,F10104=F10103),1,0)</f>
        <v/>
      </c>
      <c r="I10104">
        <f>IF(C10104="C99999",1,0)</f>
        <v/>
      </c>
      <c r="J10104" s="5">
        <f>IF(OR(H10104=1,I10104=1),0,IF(G10104="Credit",-F10104,F10104))</f>
        <v/>
      </c>
    </row>
    <row r="10105">
      <c r="A10105" t="inlineStr">
        <is>
          <t>2026-09-28</t>
        </is>
      </c>
      <c r="B10105" t="inlineStr">
        <is>
          <t>F282696</t>
        </is>
      </c>
      <c r="C10105" t="inlineStr">
        <is>
          <t>C11191</t>
        </is>
      </c>
      <c r="D10105" t="inlineStr">
        <is>
          <t>SKU-10208</t>
        </is>
      </c>
      <c r="E10105" t="inlineStr">
        <is>
          <t>AM06</t>
        </is>
      </c>
      <c r="F10105" s="5" t="n">
        <v>522.3</v>
      </c>
      <c r="G10105">
        <f>IF(LEFT(B10105,1)="C","Credit","Factuur")</f>
        <v/>
      </c>
      <c r="H10105">
        <f>IF(AND(B10105=B10104,D10105=D10104,A10105=A10104,F10105=F10104),1,0)</f>
        <v/>
      </c>
      <c r="I10105">
        <f>IF(C10105="C99999",1,0)</f>
        <v/>
      </c>
      <c r="J10105" s="5">
        <f>IF(OR(H10105=1,I10105=1),0,IF(G10105="Credit",-F10105,F10105))</f>
        <v/>
      </c>
    </row>
    <row r="10106">
      <c r="A10106" t="inlineStr">
        <is>
          <t>2026-09-28</t>
        </is>
      </c>
      <c r="B10106" t="inlineStr">
        <is>
          <t>F283328</t>
        </is>
      </c>
      <c r="C10106" t="inlineStr">
        <is>
          <t>C11226</t>
        </is>
      </c>
      <c r="D10106" t="inlineStr">
        <is>
          <t>SKU-10140</t>
        </is>
      </c>
      <c r="E10106" t="inlineStr">
        <is>
          <t>AM07</t>
        </is>
      </c>
      <c r="F10106" s="5" t="n">
        <v>267.55</v>
      </c>
      <c r="G10106">
        <f>IF(LEFT(B10106,1)="C","Credit","Factuur")</f>
        <v/>
      </c>
      <c r="H10106">
        <f>IF(AND(B10106=B10105,D10106=D10105,A10106=A10105,F10106=F10105),1,0)</f>
        <v/>
      </c>
      <c r="I10106">
        <f>IF(C10106="C99999",1,0)</f>
        <v/>
      </c>
      <c r="J10106" s="5">
        <f>IF(OR(H10106=1,I10106=1),0,IF(G10106="Credit",-F10106,F10106))</f>
        <v/>
      </c>
    </row>
    <row r="10107">
      <c r="A10107" t="inlineStr">
        <is>
          <t>2026-09-28</t>
        </is>
      </c>
      <c r="B10107" t="inlineStr">
        <is>
          <t>F283328</t>
        </is>
      </c>
      <c r="C10107" t="inlineStr">
        <is>
          <t>C11226</t>
        </is>
      </c>
      <c r="D10107" t="inlineStr">
        <is>
          <t>SKU-10285</t>
        </is>
      </c>
      <c r="E10107" t="inlineStr">
        <is>
          <t>AM07</t>
        </is>
      </c>
      <c r="F10107" s="5" t="n">
        <v>306.24</v>
      </c>
      <c r="G10107">
        <f>IF(LEFT(B10107,1)="C","Credit","Factuur")</f>
        <v/>
      </c>
      <c r="H10107">
        <f>IF(AND(B10107=B10106,D10107=D10106,A10107=A10106,F10107=F10106),1,0)</f>
        <v/>
      </c>
      <c r="I10107">
        <f>IF(C10107="C99999",1,0)</f>
        <v/>
      </c>
      <c r="J10107" s="5">
        <f>IF(OR(H10107=1,I10107=1),0,IF(G10107="Credit",-F10107,F10107))</f>
        <v/>
      </c>
    </row>
    <row r="10108">
      <c r="A10108" t="inlineStr">
        <is>
          <t>2026-09-28</t>
        </is>
      </c>
      <c r="B10108" t="inlineStr">
        <is>
          <t>F283328</t>
        </is>
      </c>
      <c r="C10108" t="inlineStr">
        <is>
          <t>C11226</t>
        </is>
      </c>
      <c r="D10108" t="inlineStr">
        <is>
          <t>SKU-10311</t>
        </is>
      </c>
      <c r="E10108" t="inlineStr">
        <is>
          <t>AM07</t>
        </is>
      </c>
      <c r="F10108" s="5" t="n">
        <v>264.78</v>
      </c>
      <c r="G10108">
        <f>IF(LEFT(B10108,1)="C","Credit","Factuur")</f>
        <v/>
      </c>
      <c r="H10108">
        <f>IF(AND(B10108=B10107,D10108=D10107,A10108=A10107,F10108=F10107),1,0)</f>
        <v/>
      </c>
      <c r="I10108">
        <f>IF(C10108="C99999",1,0)</f>
        <v/>
      </c>
      <c r="J10108" s="5">
        <f>IF(OR(H10108=1,I10108=1),0,IF(G10108="Credit",-F10108,F10108))</f>
        <v/>
      </c>
    </row>
    <row r="10109">
      <c r="A10109" t="inlineStr">
        <is>
          <t>2026-09-28</t>
        </is>
      </c>
      <c r="B10109" t="inlineStr">
        <is>
          <t>F283328</t>
        </is>
      </c>
      <c r="C10109" t="inlineStr">
        <is>
          <t>C11226</t>
        </is>
      </c>
      <c r="D10109" t="inlineStr">
        <is>
          <t>SKU-10318</t>
        </is>
      </c>
      <c r="E10109" t="inlineStr">
        <is>
          <t>AM07</t>
        </is>
      </c>
      <c r="F10109" s="5" t="n">
        <v>305.25</v>
      </c>
      <c r="G10109">
        <f>IF(LEFT(B10109,1)="C","Credit","Factuur")</f>
        <v/>
      </c>
      <c r="H10109">
        <f>IF(AND(B10109=B10108,D10109=D10108,A10109=A10108,F10109=F10108),1,0)</f>
        <v/>
      </c>
      <c r="I10109">
        <f>IF(C10109="C99999",1,0)</f>
        <v/>
      </c>
      <c r="J10109" s="5">
        <f>IF(OR(H10109=1,I10109=1),0,IF(G10109="Credit",-F10109,F10109))</f>
        <v/>
      </c>
    </row>
    <row r="10110">
      <c r="A10110" t="inlineStr">
        <is>
          <t>2026-09-28</t>
        </is>
      </c>
      <c r="B10110" t="inlineStr">
        <is>
          <t>F283796</t>
        </is>
      </c>
      <c r="C10110" t="inlineStr">
        <is>
          <t>C11247</t>
        </is>
      </c>
      <c r="D10110" t="inlineStr">
        <is>
          <t>SKU-10037</t>
        </is>
      </c>
      <c r="E10110" t="inlineStr">
        <is>
          <t>AM01</t>
        </is>
      </c>
      <c r="F10110" s="5" t="n">
        <v>408.6</v>
      </c>
      <c r="G10110">
        <f>IF(LEFT(B10110,1)="C","Credit","Factuur")</f>
        <v/>
      </c>
      <c r="H10110">
        <f>IF(AND(B10110=B10109,D10110=D10109,A10110=A10109,F10110=F10109),1,0)</f>
        <v/>
      </c>
      <c r="I10110">
        <f>IF(C10110="C99999",1,0)</f>
        <v/>
      </c>
      <c r="J10110" s="5">
        <f>IF(OR(H10110=1,I10110=1),0,IF(G10110="Credit",-F10110,F10110))</f>
        <v/>
      </c>
    </row>
    <row r="10111">
      <c r="A10111" t="inlineStr">
        <is>
          <t>2026-09-28</t>
        </is>
      </c>
      <c r="B10111" t="inlineStr">
        <is>
          <t>F283796</t>
        </is>
      </c>
      <c r="C10111" t="inlineStr">
        <is>
          <t>C11247</t>
        </is>
      </c>
      <c r="D10111" t="inlineStr">
        <is>
          <t>SKU-10156</t>
        </is>
      </c>
      <c r="E10111" t="inlineStr">
        <is>
          <t>AM01</t>
        </is>
      </c>
      <c r="F10111" s="5" t="n">
        <v>403.92</v>
      </c>
      <c r="G10111">
        <f>IF(LEFT(B10111,1)="C","Credit","Factuur")</f>
        <v/>
      </c>
      <c r="H10111">
        <f>IF(AND(B10111=B10110,D10111=D10110,A10111=A10110,F10111=F10110),1,0)</f>
        <v/>
      </c>
      <c r="I10111">
        <f>IF(C10111="C99999",1,0)</f>
        <v/>
      </c>
      <c r="J10111" s="5">
        <f>IF(OR(H10111=1,I10111=1),0,IF(G10111="Credit",-F10111,F10111))</f>
        <v/>
      </c>
    </row>
    <row r="10112">
      <c r="A10112" t="inlineStr">
        <is>
          <t>2026-09-28</t>
        </is>
      </c>
      <c r="B10112" t="inlineStr">
        <is>
          <t>F283796</t>
        </is>
      </c>
      <c r="C10112" t="inlineStr">
        <is>
          <t>C11247</t>
        </is>
      </c>
      <c r="D10112" t="inlineStr">
        <is>
          <t>SKU-10322</t>
        </is>
      </c>
      <c r="E10112" t="inlineStr">
        <is>
          <t>AM01</t>
        </is>
      </c>
      <c r="F10112" s="5" t="n">
        <v>379.54</v>
      </c>
      <c r="G10112">
        <f>IF(LEFT(B10112,1)="C","Credit","Factuur")</f>
        <v/>
      </c>
      <c r="H10112">
        <f>IF(AND(B10112=B10111,D10112=D10111,A10112=A10111,F10112=F10111),1,0)</f>
        <v/>
      </c>
      <c r="I10112">
        <f>IF(C10112="C99999",1,0)</f>
        <v/>
      </c>
      <c r="J10112" s="5">
        <f>IF(OR(H10112=1,I10112=1),0,IF(G10112="Credit",-F10112,F10112))</f>
        <v/>
      </c>
    </row>
    <row r="10113">
      <c r="A10113" t="inlineStr">
        <is>
          <t>2026-09-28</t>
        </is>
      </c>
      <c r="B10113" t="inlineStr">
        <is>
          <t>F284278</t>
        </is>
      </c>
      <c r="C10113" t="inlineStr">
        <is>
          <t>C11270</t>
        </is>
      </c>
      <c r="D10113" t="inlineStr">
        <is>
          <t>SKU-10194</t>
        </is>
      </c>
      <c r="E10113" t="inlineStr">
        <is>
          <t>AM03</t>
        </is>
      </c>
      <c r="F10113" s="5" t="n">
        <v>235.02</v>
      </c>
      <c r="G10113">
        <f>IF(LEFT(B10113,1)="C","Credit","Factuur")</f>
        <v/>
      </c>
      <c r="H10113">
        <f>IF(AND(B10113=B10112,D10113=D10112,A10113=A10112,F10113=F10112),1,0)</f>
        <v/>
      </c>
      <c r="I10113">
        <f>IF(C10113="C99999",1,0)</f>
        <v/>
      </c>
      <c r="J10113" s="5">
        <f>IF(OR(H10113=1,I10113=1),0,IF(G10113="Credit",-F10113,F10113))</f>
        <v/>
      </c>
    </row>
    <row r="10114">
      <c r="A10114" t="inlineStr">
        <is>
          <t>2026-09-28</t>
        </is>
      </c>
      <c r="B10114" t="inlineStr">
        <is>
          <t>F284278</t>
        </is>
      </c>
      <c r="C10114" t="inlineStr">
        <is>
          <t>C11270</t>
        </is>
      </c>
      <c r="D10114" t="inlineStr">
        <is>
          <t>SKU-10314</t>
        </is>
      </c>
      <c r="E10114" t="inlineStr">
        <is>
          <t>AM03</t>
        </is>
      </c>
      <c r="F10114" s="5" t="n">
        <v>246.96</v>
      </c>
      <c r="G10114">
        <f>IF(LEFT(B10114,1)="C","Credit","Factuur")</f>
        <v/>
      </c>
      <c r="H10114">
        <f>IF(AND(B10114=B10113,D10114=D10113,A10114=A10113,F10114=F10113),1,0)</f>
        <v/>
      </c>
      <c r="I10114">
        <f>IF(C10114="C99999",1,0)</f>
        <v/>
      </c>
      <c r="J10114" s="5">
        <f>IF(OR(H10114=1,I10114=1),0,IF(G10114="Credit",-F10114,F10114))</f>
        <v/>
      </c>
    </row>
    <row r="10115">
      <c r="A10115" t="inlineStr">
        <is>
          <t>2026-09-28</t>
        </is>
      </c>
      <c r="B10115" t="inlineStr">
        <is>
          <t>F284278</t>
        </is>
      </c>
      <c r="C10115" t="inlineStr">
        <is>
          <t>C11270</t>
        </is>
      </c>
      <c r="D10115" t="inlineStr">
        <is>
          <t>SKU-10329</t>
        </is>
      </c>
      <c r="E10115" t="inlineStr">
        <is>
          <t>AM03</t>
        </is>
      </c>
      <c r="F10115" s="5" t="n">
        <v>257.74</v>
      </c>
      <c r="G10115">
        <f>IF(LEFT(B10115,1)="C","Credit","Factuur")</f>
        <v/>
      </c>
      <c r="H10115">
        <f>IF(AND(B10115=B10114,D10115=D10114,A10115=A10114,F10115=F10114),1,0)</f>
        <v/>
      </c>
      <c r="I10115">
        <f>IF(C10115="C99999",1,0)</f>
        <v/>
      </c>
      <c r="J10115" s="5">
        <f>IF(OR(H10115=1,I10115=1),0,IF(G10115="Credit",-F10115,F10115))</f>
        <v/>
      </c>
    </row>
    <row r="10116">
      <c r="A10116" t="inlineStr">
        <is>
          <t>2026-09-28</t>
        </is>
      </c>
      <c r="B10116" t="inlineStr">
        <is>
          <t>F285925</t>
        </is>
      </c>
      <c r="C10116" t="inlineStr">
        <is>
          <t>C11357</t>
        </is>
      </c>
      <c r="D10116" t="inlineStr">
        <is>
          <t>SKU-10343</t>
        </is>
      </c>
      <c r="E10116" t="inlineStr">
        <is>
          <t>AM02</t>
        </is>
      </c>
      <c r="F10116" s="5" t="n">
        <v>2218.02</v>
      </c>
      <c r="G10116">
        <f>IF(LEFT(B10116,1)="C","Credit","Factuur")</f>
        <v/>
      </c>
      <c r="H10116">
        <f>IF(AND(B10116=B10115,D10116=D10115,A10116=A10115,F10116=F10115),1,0)</f>
        <v/>
      </c>
      <c r="I10116">
        <f>IF(C10116="C99999",1,0)</f>
        <v/>
      </c>
      <c r="J10116" s="5">
        <f>IF(OR(H10116=1,I10116=1),0,IF(G10116="Credit",-F10116,F10116))</f>
        <v/>
      </c>
    </row>
    <row r="10117">
      <c r="A10117" t="inlineStr">
        <is>
          <t>2026-09-28</t>
        </is>
      </c>
      <c r="B10117" t="inlineStr">
        <is>
          <t>F286147</t>
        </is>
      </c>
      <c r="C10117" t="inlineStr">
        <is>
          <t>C11367</t>
        </is>
      </c>
      <c r="D10117" t="inlineStr">
        <is>
          <t>SKU-10030</t>
        </is>
      </c>
      <c r="E10117" t="inlineStr">
        <is>
          <t>AM09</t>
        </is>
      </c>
      <c r="F10117" s="5" t="n">
        <v>93.97</v>
      </c>
      <c r="G10117">
        <f>IF(LEFT(B10117,1)="C","Credit","Factuur")</f>
        <v/>
      </c>
      <c r="H10117">
        <f>IF(AND(B10117=B10116,D10117=D10116,A10117=A10116,F10117=F10116),1,0)</f>
        <v/>
      </c>
      <c r="I10117">
        <f>IF(C10117="C99999",1,0)</f>
        <v/>
      </c>
      <c r="J10117" s="5">
        <f>IF(OR(H10117=1,I10117=1),0,IF(G10117="Credit",-F10117,F10117))</f>
        <v/>
      </c>
    </row>
    <row r="10118">
      <c r="A10118" t="inlineStr">
        <is>
          <t>2026-09-28</t>
        </is>
      </c>
      <c r="B10118" t="inlineStr">
        <is>
          <t>F286147</t>
        </is>
      </c>
      <c r="C10118" t="inlineStr">
        <is>
          <t>C11367</t>
        </is>
      </c>
      <c r="D10118" t="inlineStr">
        <is>
          <t>SKU-10067</t>
        </is>
      </c>
      <c r="E10118" t="inlineStr">
        <is>
          <t>AM09</t>
        </is>
      </c>
      <c r="F10118" s="5" t="n">
        <v>116.12</v>
      </c>
      <c r="G10118">
        <f>IF(LEFT(B10118,1)="C","Credit","Factuur")</f>
        <v/>
      </c>
      <c r="H10118">
        <f>IF(AND(B10118=B10117,D10118=D10117,A10118=A10117,F10118=F10117),1,0)</f>
        <v/>
      </c>
      <c r="I10118">
        <f>IF(C10118="C99999",1,0)</f>
        <v/>
      </c>
      <c r="J10118" s="5">
        <f>IF(OR(H10118=1,I10118=1),0,IF(G10118="Credit",-F10118,F10118))</f>
        <v/>
      </c>
    </row>
    <row r="10119">
      <c r="A10119" t="inlineStr">
        <is>
          <t>2026-09-28</t>
        </is>
      </c>
      <c r="B10119" t="inlineStr">
        <is>
          <t>F286147</t>
        </is>
      </c>
      <c r="C10119" t="inlineStr">
        <is>
          <t>C11367</t>
        </is>
      </c>
      <c r="D10119" t="inlineStr">
        <is>
          <t>SKU-10266</t>
        </is>
      </c>
      <c r="E10119" t="inlineStr">
        <is>
          <t>AM09</t>
        </is>
      </c>
      <c r="F10119" s="5" t="n">
        <v>94.51000000000001</v>
      </c>
      <c r="G10119">
        <f>IF(LEFT(B10119,1)="C","Credit","Factuur")</f>
        <v/>
      </c>
      <c r="H10119">
        <f>IF(AND(B10119=B10118,D10119=D10118,A10119=A10118,F10119=F10118),1,0)</f>
        <v/>
      </c>
      <c r="I10119">
        <f>IF(C10119="C99999",1,0)</f>
        <v/>
      </c>
      <c r="J10119" s="5">
        <f>IF(OR(H10119=1,I10119=1),0,IF(G10119="Credit",-F10119,F10119))</f>
        <v/>
      </c>
    </row>
    <row r="10120">
      <c r="A10120" t="inlineStr">
        <is>
          <t>2026-09-28</t>
        </is>
      </c>
      <c r="B10120" t="inlineStr">
        <is>
          <t>F286147</t>
        </is>
      </c>
      <c r="C10120" t="inlineStr">
        <is>
          <t>C11367</t>
        </is>
      </c>
      <c r="D10120" t="inlineStr">
        <is>
          <t>SKU-10271</t>
        </is>
      </c>
      <c r="E10120" t="inlineStr">
        <is>
          <t>AM09</t>
        </is>
      </c>
      <c r="F10120" s="5" t="n">
        <v>87.78</v>
      </c>
      <c r="G10120">
        <f>IF(LEFT(B10120,1)="C","Credit","Factuur")</f>
        <v/>
      </c>
      <c r="H10120">
        <f>IF(AND(B10120=B10119,D10120=D10119,A10120=A10119,F10120=F10119),1,0)</f>
        <v/>
      </c>
      <c r="I10120">
        <f>IF(C10120="C99999",1,0)</f>
        <v/>
      </c>
      <c r="J10120" s="5">
        <f>IF(OR(H10120=1,I10120=1),0,IF(G10120="Credit",-F10120,F10120))</f>
        <v/>
      </c>
    </row>
    <row r="10121">
      <c r="A10121" t="inlineStr">
        <is>
          <t>2026-09-29</t>
        </is>
      </c>
      <c r="B10121" t="inlineStr">
        <is>
          <t>C900760</t>
        </is>
      </c>
      <c r="C10121" t="inlineStr">
        <is>
          <t>C10669</t>
        </is>
      </c>
      <c r="D10121" t="inlineStr">
        <is>
          <t>SKU-10264</t>
        </is>
      </c>
      <c r="E10121" t="inlineStr">
        <is>
          <t>AM08</t>
        </is>
      </c>
      <c r="F10121" s="5" t="n">
        <v>66.73999999999999</v>
      </c>
      <c r="G10121">
        <f>IF(LEFT(B10121,1)="C","Credit","Factuur")</f>
        <v/>
      </c>
      <c r="H10121">
        <f>IF(AND(B10121=B10120,D10121=D10120,A10121=A10120,F10121=F10120),1,0)</f>
        <v/>
      </c>
      <c r="I10121">
        <f>IF(C10121="C99999",1,0)</f>
        <v/>
      </c>
      <c r="J10121" s="5">
        <f>IF(OR(H10121=1,I10121=1),0,IF(G10121="Credit",-F10121,F10121))</f>
        <v/>
      </c>
    </row>
    <row r="10122">
      <c r="A10122" t="inlineStr">
        <is>
          <t>2026-09-29</t>
        </is>
      </c>
      <c r="B10122" t="inlineStr">
        <is>
          <t>C901385</t>
        </is>
      </c>
      <c r="C10122" t="inlineStr">
        <is>
          <t>C10931</t>
        </is>
      </c>
      <c r="D10122" t="inlineStr">
        <is>
          <t>SKU-10281</t>
        </is>
      </c>
      <c r="E10122" t="inlineStr">
        <is>
          <t>AM11</t>
        </is>
      </c>
      <c r="F10122" s="5" t="n">
        <v>1017</v>
      </c>
      <c r="G10122">
        <f>IF(LEFT(B10122,1)="C","Credit","Factuur")</f>
        <v/>
      </c>
      <c r="H10122">
        <f>IF(AND(B10122=B10121,D10122=D10121,A10122=A10121,F10122=F10121),1,0)</f>
        <v/>
      </c>
      <c r="I10122">
        <f>IF(C10122="C99999",1,0)</f>
        <v/>
      </c>
      <c r="J10122" s="5">
        <f>IF(OR(H10122=1,I10122=1),0,IF(G10122="Credit",-F10122,F10122))</f>
        <v/>
      </c>
    </row>
    <row r="10123">
      <c r="A10123" t="inlineStr">
        <is>
          <t>2026-09-29</t>
        </is>
      </c>
      <c r="B10123" t="inlineStr">
        <is>
          <t>C901498</t>
        </is>
      </c>
      <c r="C10123" t="inlineStr">
        <is>
          <t>C11246</t>
        </is>
      </c>
      <c r="D10123" t="inlineStr">
        <is>
          <t>SKU-10331</t>
        </is>
      </c>
      <c r="E10123" t="inlineStr">
        <is>
          <t>AM02</t>
        </is>
      </c>
      <c r="F10123" s="5" t="n">
        <v>217.51</v>
      </c>
      <c r="G10123">
        <f>IF(LEFT(B10123,1)="C","Credit","Factuur")</f>
        <v/>
      </c>
      <c r="H10123">
        <f>IF(AND(B10123=B10122,D10123=D10122,A10123=A10122,F10123=F10122),1,0)</f>
        <v/>
      </c>
      <c r="I10123">
        <f>IF(C10123="C99999",1,0)</f>
        <v/>
      </c>
      <c r="J10123" s="5">
        <f>IF(OR(H10123=1,I10123=1),0,IF(G10123="Credit",-F10123,F10123))</f>
        <v/>
      </c>
    </row>
    <row r="10124">
      <c r="A10124" t="inlineStr">
        <is>
          <t>2026-09-29</t>
        </is>
      </c>
      <c r="B10124" t="inlineStr">
        <is>
          <t>C901721</t>
        </is>
      </c>
      <c r="C10124" t="inlineStr">
        <is>
          <t>C10022</t>
        </is>
      </c>
      <c r="D10124" t="inlineStr">
        <is>
          <t>SKU-10305</t>
        </is>
      </c>
      <c r="E10124" t="inlineStr">
        <is>
          <t>AM08</t>
        </is>
      </c>
      <c r="F10124" s="5" t="n">
        <v>714.74</v>
      </c>
      <c r="G10124">
        <f>IF(LEFT(B10124,1)="C","Credit","Factuur")</f>
        <v/>
      </c>
      <c r="H10124">
        <f>IF(AND(B10124=B10123,D10124=D10123,A10124=A10123,F10124=F10123),1,0)</f>
        <v/>
      </c>
      <c r="I10124">
        <f>IF(C10124="C99999",1,0)</f>
        <v/>
      </c>
      <c r="J10124" s="5">
        <f>IF(OR(H10124=1,I10124=1),0,IF(G10124="Credit",-F10124,F10124))</f>
        <v/>
      </c>
    </row>
    <row r="10125">
      <c r="A10125" t="inlineStr">
        <is>
          <t>2026-09-29</t>
        </is>
      </c>
      <c r="B10125" t="inlineStr">
        <is>
          <t>F260842</t>
        </is>
      </c>
      <c r="C10125" t="inlineStr">
        <is>
          <t>C10049</t>
        </is>
      </c>
      <c r="D10125" t="inlineStr">
        <is>
          <t>SKU-10190</t>
        </is>
      </c>
      <c r="E10125" t="inlineStr"/>
      <c r="F10125" s="5" t="n">
        <v>2309.31</v>
      </c>
      <c r="G10125">
        <f>IF(LEFT(B10125,1)="C","Credit","Factuur")</f>
        <v/>
      </c>
      <c r="H10125">
        <f>IF(AND(B10125=B10124,D10125=D10124,A10125=A10124,F10125=F10124),1,0)</f>
        <v/>
      </c>
      <c r="I10125">
        <f>IF(C10125="C99999",1,0)</f>
        <v/>
      </c>
      <c r="J10125" s="5">
        <f>IF(OR(H10125=1,I10125=1),0,IF(G10125="Credit",-F10125,F10125))</f>
        <v/>
      </c>
    </row>
    <row r="10126">
      <c r="A10126" t="inlineStr">
        <is>
          <t>2026-09-29</t>
        </is>
      </c>
      <c r="B10126" t="inlineStr">
        <is>
          <t>F260842</t>
        </is>
      </c>
      <c r="C10126" t="inlineStr">
        <is>
          <t>C10049</t>
        </is>
      </c>
      <c r="D10126" t="inlineStr">
        <is>
          <t>SKU-10209</t>
        </is>
      </c>
      <c r="E10126" t="inlineStr">
        <is>
          <t>AM09</t>
        </is>
      </c>
      <c r="F10126" s="5" t="n">
        <v>2442.24</v>
      </c>
      <c r="G10126">
        <f>IF(LEFT(B10126,1)="C","Credit","Factuur")</f>
        <v/>
      </c>
      <c r="H10126">
        <f>IF(AND(B10126=B10125,D10126=D10125,A10126=A10125,F10126=F10125),1,0)</f>
        <v/>
      </c>
      <c r="I10126">
        <f>IF(C10126="C99999",1,0)</f>
        <v/>
      </c>
      <c r="J10126" s="5">
        <f>IF(OR(H10126=1,I10126=1),0,IF(G10126="Credit",-F10126,F10126))</f>
        <v/>
      </c>
    </row>
    <row r="10127">
      <c r="A10127" t="inlineStr">
        <is>
          <t>2026-09-29</t>
        </is>
      </c>
      <c r="B10127" t="inlineStr">
        <is>
          <t>F260842</t>
        </is>
      </c>
      <c r="C10127" t="inlineStr">
        <is>
          <t>C10049</t>
        </is>
      </c>
      <c r="D10127" t="inlineStr">
        <is>
          <t>SKU-10231</t>
        </is>
      </c>
      <c r="E10127" t="inlineStr">
        <is>
          <t>AM09</t>
        </is>
      </c>
      <c r="F10127" s="5" t="n">
        <v>2587.74</v>
      </c>
      <c r="G10127">
        <f>IF(LEFT(B10127,1)="C","Credit","Factuur")</f>
        <v/>
      </c>
      <c r="H10127">
        <f>IF(AND(B10127=B10126,D10127=D10126,A10127=A10126,F10127=F10126),1,0)</f>
        <v/>
      </c>
      <c r="I10127">
        <f>IF(C10127="C99999",1,0)</f>
        <v/>
      </c>
      <c r="J10127" s="5">
        <f>IF(OR(H10127=1,I10127=1),0,IF(G10127="Credit",-F10127,F10127))</f>
        <v/>
      </c>
    </row>
    <row r="10128">
      <c r="A10128" t="inlineStr">
        <is>
          <t>2026-09-29</t>
        </is>
      </c>
      <c r="B10128" t="inlineStr">
        <is>
          <t>F260842</t>
        </is>
      </c>
      <c r="C10128" t="inlineStr">
        <is>
          <t>C10049</t>
        </is>
      </c>
      <c r="D10128" t="inlineStr">
        <is>
          <t>SKU-10255</t>
        </is>
      </c>
      <c r="E10128" t="inlineStr">
        <is>
          <t>AM09</t>
        </is>
      </c>
      <c r="F10128" s="5" t="n">
        <v>2723.89</v>
      </c>
      <c r="G10128">
        <f>IF(LEFT(B10128,1)="C","Credit","Factuur")</f>
        <v/>
      </c>
      <c r="H10128">
        <f>IF(AND(B10128=B10127,D10128=D10127,A10128=A10127,F10128=F10127),1,0)</f>
        <v/>
      </c>
      <c r="I10128">
        <f>IF(C10128="C99999",1,0)</f>
        <v/>
      </c>
      <c r="J10128" s="5">
        <f>IF(OR(H10128=1,I10128=1),0,IF(G10128="Credit",-F10128,F10128))</f>
        <v/>
      </c>
    </row>
    <row r="10129">
      <c r="A10129" t="inlineStr">
        <is>
          <t>2026-09-29</t>
        </is>
      </c>
      <c r="B10129" t="inlineStr">
        <is>
          <t>F260907</t>
        </is>
      </c>
      <c r="C10129" t="inlineStr">
        <is>
          <t>C10052</t>
        </is>
      </c>
      <c r="D10129" t="inlineStr">
        <is>
          <t>SKU-10175</t>
        </is>
      </c>
      <c r="E10129" t="inlineStr">
        <is>
          <t>AM12</t>
        </is>
      </c>
      <c r="F10129" s="5" t="n">
        <v>1022.22</v>
      </c>
      <c r="G10129">
        <f>IF(LEFT(B10129,1)="C","Credit","Factuur")</f>
        <v/>
      </c>
      <c r="H10129">
        <f>IF(AND(B10129=B10128,D10129=D10128,A10129=A10128,F10129=F10128),1,0)</f>
        <v/>
      </c>
      <c r="I10129">
        <f>IF(C10129="C99999",1,0)</f>
        <v/>
      </c>
      <c r="J10129" s="5">
        <f>IF(OR(H10129=1,I10129=1),0,IF(G10129="Credit",-F10129,F10129))</f>
        <v/>
      </c>
    </row>
    <row r="10130">
      <c r="A10130" t="inlineStr">
        <is>
          <t>2026-09-29</t>
        </is>
      </c>
      <c r="B10130" t="inlineStr">
        <is>
          <t>F260981</t>
        </is>
      </c>
      <c r="C10130" t="inlineStr">
        <is>
          <t>C10056</t>
        </is>
      </c>
      <c r="D10130" t="inlineStr">
        <is>
          <t>SKU-10089</t>
        </is>
      </c>
      <c r="E10130" t="inlineStr">
        <is>
          <t>AM03</t>
        </is>
      </c>
      <c r="F10130" s="5" t="n">
        <v>268.47</v>
      </c>
      <c r="G10130">
        <f>IF(LEFT(B10130,1)="C","Credit","Factuur")</f>
        <v/>
      </c>
      <c r="H10130">
        <f>IF(AND(B10130=B10129,D10130=D10129,A10130=A10129,F10130=F10129),1,0)</f>
        <v/>
      </c>
      <c r="I10130">
        <f>IF(C10130="C99999",1,0)</f>
        <v/>
      </c>
      <c r="J10130" s="5">
        <f>IF(OR(H10130=1,I10130=1),0,IF(G10130="Credit",-F10130,F10130))</f>
        <v/>
      </c>
    </row>
    <row r="10131">
      <c r="A10131" t="inlineStr">
        <is>
          <t>2026-09-29</t>
        </is>
      </c>
      <c r="B10131" t="inlineStr">
        <is>
          <t>F260981</t>
        </is>
      </c>
      <c r="C10131" t="inlineStr">
        <is>
          <t>C10056</t>
        </is>
      </c>
      <c r="D10131" t="inlineStr">
        <is>
          <t>SKU-10283</t>
        </is>
      </c>
      <c r="E10131" t="inlineStr">
        <is>
          <t>AM03</t>
        </is>
      </c>
      <c r="F10131" s="5" t="n">
        <v>272.08</v>
      </c>
      <c r="G10131">
        <f>IF(LEFT(B10131,1)="C","Credit","Factuur")</f>
        <v/>
      </c>
      <c r="H10131">
        <f>IF(AND(B10131=B10130,D10131=D10130,A10131=A10130,F10131=F10130),1,0)</f>
        <v/>
      </c>
      <c r="I10131">
        <f>IF(C10131="C99999",1,0)</f>
        <v/>
      </c>
      <c r="J10131" s="5">
        <f>IF(OR(H10131=1,I10131=1),0,IF(G10131="Credit",-F10131,F10131))</f>
        <v/>
      </c>
    </row>
    <row r="10132">
      <c r="A10132" t="inlineStr">
        <is>
          <t>2026-09-29</t>
        </is>
      </c>
      <c r="B10132" t="inlineStr">
        <is>
          <t>F260981</t>
        </is>
      </c>
      <c r="C10132" t="inlineStr">
        <is>
          <t>C10056</t>
        </is>
      </c>
      <c r="D10132" t="inlineStr">
        <is>
          <t>SKU-10285</t>
        </is>
      </c>
      <c r="E10132" t="inlineStr">
        <is>
          <t>AM03</t>
        </is>
      </c>
      <c r="F10132" s="5" t="n">
        <v>267.96</v>
      </c>
      <c r="G10132">
        <f>IF(LEFT(B10132,1)="C","Credit","Factuur")</f>
        <v/>
      </c>
      <c r="H10132">
        <f>IF(AND(B10132=B10131,D10132=D10131,A10132=A10131,F10132=F10131),1,0)</f>
        <v/>
      </c>
      <c r="I10132">
        <f>IF(C10132="C99999",1,0)</f>
        <v/>
      </c>
      <c r="J10132" s="5">
        <f>IF(OR(H10132=1,I10132=1),0,IF(G10132="Credit",-F10132,F10132))</f>
        <v/>
      </c>
    </row>
    <row r="10133">
      <c r="A10133" t="inlineStr">
        <is>
          <t>2026-09-29</t>
        </is>
      </c>
      <c r="B10133" t="inlineStr">
        <is>
          <t>F261764</t>
        </is>
      </c>
      <c r="C10133" t="inlineStr">
        <is>
          <t>C10092</t>
        </is>
      </c>
      <c r="D10133" t="inlineStr">
        <is>
          <t>SKU-10178</t>
        </is>
      </c>
      <c r="E10133" t="inlineStr">
        <is>
          <t>AM08</t>
        </is>
      </c>
      <c r="F10133" s="5" t="n">
        <v>200.06</v>
      </c>
      <c r="G10133">
        <f>IF(LEFT(B10133,1)="C","Credit","Factuur")</f>
        <v/>
      </c>
      <c r="H10133">
        <f>IF(AND(B10133=B10132,D10133=D10132,A10133=A10132,F10133=F10132),1,0)</f>
        <v/>
      </c>
      <c r="I10133">
        <f>IF(C10133="C99999",1,0)</f>
        <v/>
      </c>
      <c r="J10133" s="5">
        <f>IF(OR(H10133=1,I10133=1),0,IF(G10133="Credit",-F10133,F10133))</f>
        <v/>
      </c>
    </row>
    <row r="10134">
      <c r="A10134" t="inlineStr">
        <is>
          <t>2026-09-29</t>
        </is>
      </c>
      <c r="B10134" t="inlineStr">
        <is>
          <t>F261764</t>
        </is>
      </c>
      <c r="C10134" t="inlineStr">
        <is>
          <t>C10092</t>
        </is>
      </c>
      <c r="D10134" t="inlineStr">
        <is>
          <t>SKU-10185</t>
        </is>
      </c>
      <c r="E10134" t="inlineStr">
        <is>
          <t>AM08</t>
        </is>
      </c>
      <c r="F10134" s="5" t="n">
        <v>211.87</v>
      </c>
      <c r="G10134">
        <f>IF(LEFT(B10134,1)="C","Credit","Factuur")</f>
        <v/>
      </c>
      <c r="H10134">
        <f>IF(AND(B10134=B10133,D10134=D10133,A10134=A10133,F10134=F10133),1,0)</f>
        <v/>
      </c>
      <c r="I10134">
        <f>IF(C10134="C99999",1,0)</f>
        <v/>
      </c>
      <c r="J10134" s="5">
        <f>IF(OR(H10134=1,I10134=1),0,IF(G10134="Credit",-F10134,F10134))</f>
        <v/>
      </c>
    </row>
    <row r="10135">
      <c r="A10135" t="inlineStr">
        <is>
          <t>2026-09-29</t>
        </is>
      </c>
      <c r="B10135" t="inlineStr">
        <is>
          <t>F261764</t>
        </is>
      </c>
      <c r="C10135" t="inlineStr">
        <is>
          <t>C10092</t>
        </is>
      </c>
      <c r="D10135" t="inlineStr">
        <is>
          <t>SKU-10228</t>
        </is>
      </c>
      <c r="E10135" t="inlineStr">
        <is>
          <t>AM08</t>
        </is>
      </c>
      <c r="F10135" s="5" t="n">
        <v>202.54</v>
      </c>
      <c r="G10135">
        <f>IF(LEFT(B10135,1)="C","Credit","Factuur")</f>
        <v/>
      </c>
      <c r="H10135">
        <f>IF(AND(B10135=B10134,D10135=D10134,A10135=A10134,F10135=F10134),1,0)</f>
        <v/>
      </c>
      <c r="I10135">
        <f>IF(C10135="C99999",1,0)</f>
        <v/>
      </c>
      <c r="J10135" s="5">
        <f>IF(OR(H10135=1,I10135=1),0,IF(G10135="Credit",-F10135,F10135))</f>
        <v/>
      </c>
    </row>
    <row r="10136">
      <c r="A10136" t="inlineStr">
        <is>
          <t>2026-09-29</t>
        </is>
      </c>
      <c r="B10136" t="inlineStr">
        <is>
          <t>F261764</t>
        </is>
      </c>
      <c r="C10136" t="inlineStr">
        <is>
          <t>C10092</t>
        </is>
      </c>
      <c r="D10136" t="inlineStr">
        <is>
          <t>SKU-10242</t>
        </is>
      </c>
      <c r="E10136" t="inlineStr">
        <is>
          <t>AM08</t>
        </is>
      </c>
      <c r="F10136" s="5" t="n">
        <v>204</v>
      </c>
      <c r="G10136">
        <f>IF(LEFT(B10136,1)="C","Credit","Factuur")</f>
        <v/>
      </c>
      <c r="H10136">
        <f>IF(AND(B10136=B10135,D10136=D10135,A10136=A10135,F10136=F10135),1,0)</f>
        <v/>
      </c>
      <c r="I10136">
        <f>IF(C10136="C99999",1,0)</f>
        <v/>
      </c>
      <c r="J10136" s="5">
        <f>IF(OR(H10136=1,I10136=1),0,IF(G10136="Credit",-F10136,F10136))</f>
        <v/>
      </c>
    </row>
    <row r="10137">
      <c r="A10137" t="inlineStr">
        <is>
          <t>2026-09-29</t>
        </is>
      </c>
      <c r="B10137" t="inlineStr">
        <is>
          <t>F261764</t>
        </is>
      </c>
      <c r="C10137" t="inlineStr">
        <is>
          <t>C10092</t>
        </is>
      </c>
      <c r="D10137" t="inlineStr">
        <is>
          <t>SKU-10303</t>
        </is>
      </c>
      <c r="E10137" t="inlineStr">
        <is>
          <t>AM08</t>
        </is>
      </c>
      <c r="F10137" s="5" t="n">
        <v>203.39</v>
      </c>
      <c r="G10137">
        <f>IF(LEFT(B10137,1)="C","Credit","Factuur")</f>
        <v/>
      </c>
      <c r="H10137">
        <f>IF(AND(B10137=B10136,D10137=D10136,A10137=A10136,F10137=F10136),1,0)</f>
        <v/>
      </c>
      <c r="I10137">
        <f>IF(C10137="C99999",1,0)</f>
        <v/>
      </c>
      <c r="J10137" s="5">
        <f>IF(OR(H10137=1,I10137=1),0,IF(G10137="Credit",-F10137,F10137))</f>
        <v/>
      </c>
    </row>
    <row r="10138">
      <c r="A10138" t="inlineStr">
        <is>
          <t>2026-09-29</t>
        </is>
      </c>
      <c r="B10138" t="inlineStr">
        <is>
          <t>F262131</t>
        </is>
      </c>
      <c r="C10138" t="inlineStr">
        <is>
          <t>C10112</t>
        </is>
      </c>
      <c r="D10138" t="inlineStr">
        <is>
          <t>SKU-10018</t>
        </is>
      </c>
      <c r="E10138" t="inlineStr">
        <is>
          <t>AM06</t>
        </is>
      </c>
      <c r="F10138" s="5" t="n">
        <v>101.86</v>
      </c>
      <c r="G10138">
        <f>IF(LEFT(B10138,1)="C","Credit","Factuur")</f>
        <v/>
      </c>
      <c r="H10138">
        <f>IF(AND(B10138=B10137,D10138=D10137,A10138=A10137,F10138=F10137),1,0)</f>
        <v/>
      </c>
      <c r="I10138">
        <f>IF(C10138="C99999",1,0)</f>
        <v/>
      </c>
      <c r="J10138" s="5">
        <f>IF(OR(H10138=1,I10138=1),0,IF(G10138="Credit",-F10138,F10138))</f>
        <v/>
      </c>
    </row>
    <row r="10139">
      <c r="A10139" t="inlineStr">
        <is>
          <t>2026-09-29</t>
        </is>
      </c>
      <c r="B10139" t="inlineStr">
        <is>
          <t>F262131</t>
        </is>
      </c>
      <c r="C10139" t="inlineStr">
        <is>
          <t>C10112</t>
        </is>
      </c>
      <c r="D10139" t="inlineStr">
        <is>
          <t>SKU-10040</t>
        </is>
      </c>
      <c r="E10139" t="inlineStr">
        <is>
          <t>AM06</t>
        </is>
      </c>
      <c r="F10139" s="5" t="n">
        <v>71.34</v>
      </c>
      <c r="G10139">
        <f>IF(LEFT(B10139,1)="C","Credit","Factuur")</f>
        <v/>
      </c>
      <c r="H10139">
        <f>IF(AND(B10139=B10138,D10139=D10138,A10139=A10138,F10139=F10138),1,0)</f>
        <v/>
      </c>
      <c r="I10139">
        <f>IF(C10139="C99999",1,0)</f>
        <v/>
      </c>
      <c r="J10139" s="5">
        <f>IF(OR(H10139=1,I10139=1),0,IF(G10139="Credit",-F10139,F10139))</f>
        <v/>
      </c>
    </row>
    <row r="10140">
      <c r="A10140" t="inlineStr">
        <is>
          <t>2026-09-29</t>
        </is>
      </c>
      <c r="B10140" t="inlineStr">
        <is>
          <t>F262131</t>
        </is>
      </c>
      <c r="C10140" t="inlineStr">
        <is>
          <t>C10112</t>
        </is>
      </c>
      <c r="D10140" t="inlineStr">
        <is>
          <t>SKU-10326</t>
        </is>
      </c>
      <c r="E10140" t="inlineStr">
        <is>
          <t>AM06</t>
        </is>
      </c>
      <c r="F10140" s="5" t="n">
        <v>69.52</v>
      </c>
      <c r="G10140">
        <f>IF(LEFT(B10140,1)="C","Credit","Factuur")</f>
        <v/>
      </c>
      <c r="H10140">
        <f>IF(AND(B10140=B10139,D10140=D10139,A10140=A10139,F10140=F10139),1,0)</f>
        <v/>
      </c>
      <c r="I10140">
        <f>IF(C10140="C99999",1,0)</f>
        <v/>
      </c>
      <c r="J10140" s="5">
        <f>IF(OR(H10140=1,I10140=1),0,IF(G10140="Credit",-F10140,F10140))</f>
        <v/>
      </c>
    </row>
    <row r="10141">
      <c r="A10141" t="inlineStr">
        <is>
          <t>2026-09-29</t>
        </is>
      </c>
      <c r="B10141" t="inlineStr">
        <is>
          <t>F262340</t>
        </is>
      </c>
      <c r="C10141" t="inlineStr">
        <is>
          <t>C10124</t>
        </is>
      </c>
      <c r="D10141" t="inlineStr">
        <is>
          <t>SKU-10177</t>
        </is>
      </c>
      <c r="E10141" t="inlineStr">
        <is>
          <t>AM05</t>
        </is>
      </c>
      <c r="F10141" s="5" t="n">
        <v>517.88</v>
      </c>
      <c r="G10141">
        <f>IF(LEFT(B10141,1)="C","Credit","Factuur")</f>
        <v/>
      </c>
      <c r="H10141">
        <f>IF(AND(B10141=B10140,D10141=D10140,A10141=A10140,F10141=F10140),1,0)</f>
        <v/>
      </c>
      <c r="I10141">
        <f>IF(C10141="C99999",1,0)</f>
        <v/>
      </c>
      <c r="J10141" s="5">
        <f>IF(OR(H10141=1,I10141=1),0,IF(G10141="Credit",-F10141,F10141))</f>
        <v/>
      </c>
    </row>
    <row r="10142">
      <c r="A10142" t="inlineStr">
        <is>
          <t>2026-09-29</t>
        </is>
      </c>
      <c r="B10142" t="inlineStr">
        <is>
          <t>F262340</t>
        </is>
      </c>
      <c r="C10142" t="inlineStr">
        <is>
          <t>C10124</t>
        </is>
      </c>
      <c r="D10142" t="inlineStr">
        <is>
          <t>SKU-10286</t>
        </is>
      </c>
      <c r="E10142" t="inlineStr">
        <is>
          <t>AM05</t>
        </is>
      </c>
      <c r="F10142" s="5" t="n">
        <v>485.45</v>
      </c>
      <c r="G10142">
        <f>IF(LEFT(B10142,1)="C","Credit","Factuur")</f>
        <v/>
      </c>
      <c r="H10142">
        <f>IF(AND(B10142=B10141,D10142=D10141,A10142=A10141,F10142=F10141),1,0)</f>
        <v/>
      </c>
      <c r="I10142">
        <f>IF(C10142="C99999",1,0)</f>
        <v/>
      </c>
      <c r="J10142" s="5">
        <f>IF(OR(H10142=1,I10142=1),0,IF(G10142="Credit",-F10142,F10142))</f>
        <v/>
      </c>
    </row>
    <row r="10143">
      <c r="A10143" t="inlineStr">
        <is>
          <t>2026-09-29</t>
        </is>
      </c>
      <c r="B10143" t="inlineStr">
        <is>
          <t>F262340</t>
        </is>
      </c>
      <c r="C10143" t="inlineStr">
        <is>
          <t>C10124</t>
        </is>
      </c>
      <c r="D10143" t="inlineStr">
        <is>
          <t>SKU-10313</t>
        </is>
      </c>
      <c r="E10143" t="inlineStr">
        <is>
          <t>AM05</t>
        </is>
      </c>
      <c r="F10143" s="5" t="n">
        <v>514.3</v>
      </c>
      <c r="G10143">
        <f>IF(LEFT(B10143,1)="C","Credit","Factuur")</f>
        <v/>
      </c>
      <c r="H10143">
        <f>IF(AND(B10143=B10142,D10143=D10142,A10143=A10142,F10143=F10142),1,0)</f>
        <v/>
      </c>
      <c r="I10143">
        <f>IF(C10143="C99999",1,0)</f>
        <v/>
      </c>
      <c r="J10143" s="5">
        <f>IF(OR(H10143=1,I10143=1),0,IF(G10143="Credit",-F10143,F10143))</f>
        <v/>
      </c>
    </row>
    <row r="10144">
      <c r="A10144" t="inlineStr">
        <is>
          <t>2026-09-29</t>
        </is>
      </c>
      <c r="B10144" t="inlineStr">
        <is>
          <t>F263271</t>
        </is>
      </c>
      <c r="C10144" t="inlineStr">
        <is>
          <t>C10174</t>
        </is>
      </c>
      <c r="D10144" t="inlineStr">
        <is>
          <t>SKU-10161</t>
        </is>
      </c>
      <c r="E10144" t="inlineStr">
        <is>
          <t>AM11</t>
        </is>
      </c>
      <c r="F10144" s="5" t="n">
        <v>706.2</v>
      </c>
      <c r="G10144">
        <f>IF(LEFT(B10144,1)="C","Credit","Factuur")</f>
        <v/>
      </c>
      <c r="H10144">
        <f>IF(AND(B10144=B10143,D10144=D10143,A10144=A10143,F10144=F10143),1,0)</f>
        <v/>
      </c>
      <c r="I10144">
        <f>IF(C10144="C99999",1,0)</f>
        <v/>
      </c>
      <c r="J10144" s="5">
        <f>IF(OR(H10144=1,I10144=1),0,IF(G10144="Credit",-F10144,F10144))</f>
        <v/>
      </c>
    </row>
    <row r="10145">
      <c r="A10145" t="inlineStr">
        <is>
          <t>2026-09-29</t>
        </is>
      </c>
      <c r="B10145" t="inlineStr">
        <is>
          <t>F263271</t>
        </is>
      </c>
      <c r="C10145" t="inlineStr">
        <is>
          <t>C10174</t>
        </is>
      </c>
      <c r="D10145" t="inlineStr">
        <is>
          <t>SKU-10336</t>
        </is>
      </c>
      <c r="E10145" t="inlineStr">
        <is>
          <t>AM11</t>
        </is>
      </c>
      <c r="F10145" s="5" t="n">
        <v>680.21</v>
      </c>
      <c r="G10145">
        <f>IF(LEFT(B10145,1)="C","Credit","Factuur")</f>
        <v/>
      </c>
      <c r="H10145">
        <f>IF(AND(B10145=B10144,D10145=D10144,A10145=A10144,F10145=F10144),1,0)</f>
        <v/>
      </c>
      <c r="I10145">
        <f>IF(C10145="C99999",1,0)</f>
        <v/>
      </c>
      <c r="J10145" s="5">
        <f>IF(OR(H10145=1,I10145=1),0,IF(G10145="Credit",-F10145,F10145))</f>
        <v/>
      </c>
    </row>
    <row r="10146">
      <c r="A10146" t="inlineStr">
        <is>
          <t>2026-09-29</t>
        </is>
      </c>
      <c r="B10146" t="inlineStr">
        <is>
          <t>F263570</t>
        </is>
      </c>
      <c r="C10146" t="inlineStr">
        <is>
          <t>C10192</t>
        </is>
      </c>
      <c r="D10146" t="inlineStr">
        <is>
          <t>SKU-10076</t>
        </is>
      </c>
      <c r="E10146" t="inlineStr">
        <is>
          <t>AM12</t>
        </is>
      </c>
      <c r="F10146" s="5" t="n">
        <v>207.71</v>
      </c>
      <c r="G10146">
        <f>IF(LEFT(B10146,1)="C","Credit","Factuur")</f>
        <v/>
      </c>
      <c r="H10146">
        <f>IF(AND(B10146=B10145,D10146=D10145,A10146=A10145,F10146=F10145),1,0)</f>
        <v/>
      </c>
      <c r="I10146">
        <f>IF(C10146="C99999",1,0)</f>
        <v/>
      </c>
      <c r="J10146" s="5">
        <f>IF(OR(H10146=1,I10146=1),0,IF(G10146="Credit",-F10146,F10146))</f>
        <v/>
      </c>
    </row>
    <row r="10147">
      <c r="A10147" t="inlineStr">
        <is>
          <t>2026-09-29</t>
        </is>
      </c>
      <c r="B10147" t="inlineStr">
        <is>
          <t>F263570</t>
        </is>
      </c>
      <c r="C10147" t="inlineStr">
        <is>
          <t>C10192</t>
        </is>
      </c>
      <c r="D10147" t="inlineStr">
        <is>
          <t>SKU-10083</t>
        </is>
      </c>
      <c r="E10147" t="inlineStr">
        <is>
          <t>AM12</t>
        </is>
      </c>
      <c r="F10147" s="5" t="n">
        <v>181.17</v>
      </c>
      <c r="G10147">
        <f>IF(LEFT(B10147,1)="C","Credit","Factuur")</f>
        <v/>
      </c>
      <c r="H10147">
        <f>IF(AND(B10147=B10146,D10147=D10146,A10147=A10146,F10147=F10146),1,0)</f>
        <v/>
      </c>
      <c r="I10147">
        <f>IF(C10147="C99999",1,0)</f>
        <v/>
      </c>
      <c r="J10147" s="5">
        <f>IF(OR(H10147=1,I10147=1),0,IF(G10147="Credit",-F10147,F10147))</f>
        <v/>
      </c>
    </row>
    <row r="10148">
      <c r="A10148" t="inlineStr">
        <is>
          <t>2026-09-29</t>
        </is>
      </c>
      <c r="B10148" t="inlineStr">
        <is>
          <t>F263570</t>
        </is>
      </c>
      <c r="C10148" t="inlineStr">
        <is>
          <t>C10192</t>
        </is>
      </c>
      <c r="D10148" t="inlineStr">
        <is>
          <t>SKU-10206</t>
        </is>
      </c>
      <c r="E10148" t="inlineStr">
        <is>
          <t>AM12</t>
        </is>
      </c>
      <c r="F10148" s="5" t="n">
        <v>202.56</v>
      </c>
      <c r="G10148">
        <f>IF(LEFT(B10148,1)="C","Credit","Factuur")</f>
        <v/>
      </c>
      <c r="H10148">
        <f>IF(AND(B10148=B10147,D10148=D10147,A10148=A10147,F10148=F10147),1,0)</f>
        <v/>
      </c>
      <c r="I10148">
        <f>IF(C10148="C99999",1,0)</f>
        <v/>
      </c>
      <c r="J10148" s="5">
        <f>IF(OR(H10148=1,I10148=1),0,IF(G10148="Credit",-F10148,F10148))</f>
        <v/>
      </c>
    </row>
    <row r="10149">
      <c r="A10149" t="inlineStr">
        <is>
          <t>2026-09-29</t>
        </is>
      </c>
      <c r="B10149" t="inlineStr">
        <is>
          <t>F263570</t>
        </is>
      </c>
      <c r="C10149" t="inlineStr">
        <is>
          <t>C10192</t>
        </is>
      </c>
      <c r="D10149" t="inlineStr">
        <is>
          <t>SKU-10298</t>
        </is>
      </c>
      <c r="E10149" t="inlineStr">
        <is>
          <t>AM12</t>
        </is>
      </c>
      <c r="F10149" s="5" t="n">
        <v>225.9</v>
      </c>
      <c r="G10149">
        <f>IF(LEFT(B10149,1)="C","Credit","Factuur")</f>
        <v/>
      </c>
      <c r="H10149">
        <f>IF(AND(B10149=B10148,D10149=D10148,A10149=A10148,F10149=F10148),1,0)</f>
        <v/>
      </c>
      <c r="I10149">
        <f>IF(C10149="C99999",1,0)</f>
        <v/>
      </c>
      <c r="J10149" s="5">
        <f>IF(OR(H10149=1,I10149=1),0,IF(G10149="Credit",-F10149,F10149))</f>
        <v/>
      </c>
    </row>
    <row r="10150">
      <c r="A10150" t="inlineStr">
        <is>
          <t>2026-09-29</t>
        </is>
      </c>
      <c r="B10150" t="inlineStr">
        <is>
          <t>F263570</t>
        </is>
      </c>
      <c r="C10150" t="inlineStr">
        <is>
          <t>C10192</t>
        </is>
      </c>
      <c r="D10150" t="inlineStr">
        <is>
          <t>SKU-10307</t>
        </is>
      </c>
      <c r="E10150" t="inlineStr">
        <is>
          <t>AM12</t>
        </is>
      </c>
      <c r="F10150" s="5" t="n">
        <v>203.1</v>
      </c>
      <c r="G10150">
        <f>IF(LEFT(B10150,1)="C","Credit","Factuur")</f>
        <v/>
      </c>
      <c r="H10150">
        <f>IF(AND(B10150=B10149,D10150=D10149,A10150=A10149,F10150=F10149),1,0)</f>
        <v/>
      </c>
      <c r="I10150">
        <f>IF(C10150="C99999",1,0)</f>
        <v/>
      </c>
      <c r="J10150" s="5">
        <f>IF(OR(H10150=1,I10150=1),0,IF(G10150="Credit",-F10150,F10150))</f>
        <v/>
      </c>
    </row>
    <row r="10151">
      <c r="A10151" t="inlineStr">
        <is>
          <t>2026-09-29</t>
        </is>
      </c>
      <c r="B10151" t="inlineStr">
        <is>
          <t>F263570</t>
        </is>
      </c>
      <c r="C10151" t="inlineStr">
        <is>
          <t>C10192</t>
        </is>
      </c>
      <c r="D10151" t="inlineStr">
        <is>
          <t>SKU-10327</t>
        </is>
      </c>
      <c r="E10151" t="inlineStr">
        <is>
          <t>AM12</t>
        </is>
      </c>
      <c r="F10151" s="5" t="n">
        <v>208.35</v>
      </c>
      <c r="G10151">
        <f>IF(LEFT(B10151,1)="C","Credit","Factuur")</f>
        <v/>
      </c>
      <c r="H10151">
        <f>IF(AND(B10151=B10150,D10151=D10150,A10151=A10150,F10151=F10150),1,0)</f>
        <v/>
      </c>
      <c r="I10151">
        <f>IF(C10151="C99999",1,0)</f>
        <v/>
      </c>
      <c r="J10151" s="5">
        <f>IF(OR(H10151=1,I10151=1),0,IF(G10151="Credit",-F10151,F10151))</f>
        <v/>
      </c>
    </row>
    <row r="10152">
      <c r="A10152" t="inlineStr">
        <is>
          <t>2026-09-29</t>
        </is>
      </c>
      <c r="B10152" t="inlineStr">
        <is>
          <t>F263570</t>
        </is>
      </c>
      <c r="C10152" t="inlineStr">
        <is>
          <t>C10192</t>
        </is>
      </c>
      <c r="D10152" t="inlineStr">
        <is>
          <t>SKU-10336</t>
        </is>
      </c>
      <c r="E10152" t="inlineStr">
        <is>
          <t>AM12</t>
        </is>
      </c>
      <c r="F10152" s="5" t="n">
        <v>222.21</v>
      </c>
      <c r="G10152">
        <f>IF(LEFT(B10152,1)="C","Credit","Factuur")</f>
        <v/>
      </c>
      <c r="H10152">
        <f>IF(AND(B10152=B10151,D10152=D10151,A10152=A10151,F10152=F10151),1,0)</f>
        <v/>
      </c>
      <c r="I10152">
        <f>IF(C10152="C99999",1,0)</f>
        <v/>
      </c>
      <c r="J10152" s="5">
        <f>IF(OR(H10152=1,I10152=1),0,IF(G10152="Credit",-F10152,F10152))</f>
        <v/>
      </c>
    </row>
    <row r="10153">
      <c r="A10153" t="inlineStr">
        <is>
          <t>2026-09-29</t>
        </is>
      </c>
      <c r="B10153" t="inlineStr">
        <is>
          <t>F263707</t>
        </is>
      </c>
      <c r="C10153" t="inlineStr">
        <is>
          <t>C10198</t>
        </is>
      </c>
      <c r="D10153" t="inlineStr">
        <is>
          <t>SKU-10276</t>
        </is>
      </c>
      <c r="E10153" t="inlineStr">
        <is>
          <t>AM11</t>
        </is>
      </c>
      <c r="F10153" s="5" t="n">
        <v>1559.38</v>
      </c>
      <c r="G10153">
        <f>IF(LEFT(B10153,1)="C","Credit","Factuur")</f>
        <v/>
      </c>
      <c r="H10153">
        <f>IF(AND(B10153=B10152,D10153=D10152,A10153=A10152,F10153=F10152),1,0)</f>
        <v/>
      </c>
      <c r="I10153">
        <f>IF(C10153="C99999",1,0)</f>
        <v/>
      </c>
      <c r="J10153" s="5">
        <f>IF(OR(H10153=1,I10153=1),0,IF(G10153="Credit",-F10153,F10153))</f>
        <v/>
      </c>
    </row>
    <row r="10154">
      <c r="A10154" t="inlineStr">
        <is>
          <t>2026-09-29</t>
        </is>
      </c>
      <c r="B10154" t="inlineStr">
        <is>
          <t>F263707</t>
        </is>
      </c>
      <c r="C10154" t="inlineStr">
        <is>
          <t>C10198</t>
        </is>
      </c>
      <c r="D10154" t="inlineStr">
        <is>
          <t>SKU-10304</t>
        </is>
      </c>
      <c r="E10154" t="inlineStr">
        <is>
          <t>AM11</t>
        </is>
      </c>
      <c r="F10154" s="5" t="n">
        <v>1532.89</v>
      </c>
      <c r="G10154">
        <f>IF(LEFT(B10154,1)="C","Credit","Factuur")</f>
        <v/>
      </c>
      <c r="H10154">
        <f>IF(AND(B10154=B10153,D10154=D10153,A10154=A10153,F10154=F10153),1,0)</f>
        <v/>
      </c>
      <c r="I10154">
        <f>IF(C10154="C99999",1,0)</f>
        <v/>
      </c>
      <c r="J10154" s="5">
        <f>IF(OR(H10154=1,I10154=1),0,IF(G10154="Credit",-F10154,F10154))</f>
        <v/>
      </c>
    </row>
    <row r="10155">
      <c r="A10155" t="inlineStr">
        <is>
          <t>2026-09-29</t>
        </is>
      </c>
      <c r="B10155" t="inlineStr">
        <is>
          <t>F263707</t>
        </is>
      </c>
      <c r="C10155" t="inlineStr">
        <is>
          <t>C10198</t>
        </is>
      </c>
      <c r="D10155" t="inlineStr">
        <is>
          <t>SKU-10330</t>
        </is>
      </c>
      <c r="E10155" t="inlineStr">
        <is>
          <t>AM11</t>
        </is>
      </c>
      <c r="F10155" s="5" t="n">
        <v>1553.12</v>
      </c>
      <c r="G10155">
        <f>IF(LEFT(B10155,1)="C","Credit","Factuur")</f>
        <v/>
      </c>
      <c r="H10155">
        <f>IF(AND(B10155=B10154,D10155=D10154,A10155=A10154,F10155=F10154),1,0)</f>
        <v/>
      </c>
      <c r="I10155">
        <f>IF(C10155="C99999",1,0)</f>
        <v/>
      </c>
      <c r="J10155" s="5">
        <f>IF(OR(H10155=1,I10155=1),0,IF(G10155="Credit",-F10155,F10155))</f>
        <v/>
      </c>
    </row>
    <row r="10156">
      <c r="A10156" t="inlineStr">
        <is>
          <t>2026-09-29</t>
        </is>
      </c>
      <c r="B10156" t="inlineStr">
        <is>
          <t>F263995</t>
        </is>
      </c>
      <c r="C10156" t="inlineStr">
        <is>
          <t>C10209</t>
        </is>
      </c>
      <c r="D10156" t="inlineStr">
        <is>
          <t>SKU-10040</t>
        </is>
      </c>
      <c r="E10156" t="inlineStr">
        <is>
          <t>AM05</t>
        </is>
      </c>
      <c r="F10156" s="5" t="n">
        <v>1156.54</v>
      </c>
      <c r="G10156">
        <f>IF(LEFT(B10156,1)="C","Credit","Factuur")</f>
        <v/>
      </c>
      <c r="H10156">
        <f>IF(AND(B10156=B10155,D10156=D10155,A10156=A10155,F10156=F10155),1,0)</f>
        <v/>
      </c>
      <c r="I10156">
        <f>IF(C10156="C99999",1,0)</f>
        <v/>
      </c>
      <c r="J10156" s="5">
        <f>IF(OR(H10156=1,I10156=1),0,IF(G10156="Credit",-F10156,F10156))</f>
        <v/>
      </c>
    </row>
    <row r="10157">
      <c r="A10157" t="inlineStr">
        <is>
          <t>2026-09-29</t>
        </is>
      </c>
      <c r="B10157" t="inlineStr">
        <is>
          <t>F263995</t>
        </is>
      </c>
      <c r="C10157" t="inlineStr">
        <is>
          <t>C10209</t>
        </is>
      </c>
      <c r="D10157" t="inlineStr">
        <is>
          <t>SKU-10329</t>
        </is>
      </c>
      <c r="E10157" t="inlineStr">
        <is>
          <t>AM05</t>
        </is>
      </c>
      <c r="F10157" s="5" t="n">
        <v>1141.42</v>
      </c>
      <c r="G10157">
        <f>IF(LEFT(B10157,1)="C","Credit","Factuur")</f>
        <v/>
      </c>
      <c r="H10157">
        <f>IF(AND(B10157=B10156,D10157=D10156,A10157=A10156,F10157=F10156),1,0)</f>
        <v/>
      </c>
      <c r="I10157">
        <f>IF(C10157="C99999",1,0)</f>
        <v/>
      </c>
      <c r="J10157" s="5">
        <f>IF(OR(H10157=1,I10157=1),0,IF(G10157="Credit",-F10157,F10157))</f>
        <v/>
      </c>
    </row>
    <row r="10158">
      <c r="A10158" t="inlineStr">
        <is>
          <t>2026-09-29</t>
        </is>
      </c>
      <c r="B10158" t="inlineStr">
        <is>
          <t>F264348</t>
        </is>
      </c>
      <c r="C10158" t="inlineStr">
        <is>
          <t>C10227</t>
        </is>
      </c>
      <c r="D10158" t="inlineStr">
        <is>
          <t>SKU-10204</t>
        </is>
      </c>
      <c r="E10158" t="inlineStr">
        <is>
          <t>AM07</t>
        </is>
      </c>
      <c r="F10158" s="5" t="n">
        <v>719.2</v>
      </c>
      <c r="G10158">
        <f>IF(LEFT(B10158,1)="C","Credit","Factuur")</f>
        <v/>
      </c>
      <c r="H10158">
        <f>IF(AND(B10158=B10157,D10158=D10157,A10158=A10157,F10158=F10157),1,0)</f>
        <v/>
      </c>
      <c r="I10158">
        <f>IF(C10158="C99999",1,0)</f>
        <v/>
      </c>
      <c r="J10158" s="5">
        <f>IF(OR(H10158=1,I10158=1),0,IF(G10158="Credit",-F10158,F10158))</f>
        <v/>
      </c>
    </row>
    <row r="10159">
      <c r="A10159" t="inlineStr">
        <is>
          <t>2026-09-29</t>
        </is>
      </c>
      <c r="B10159" t="inlineStr">
        <is>
          <t>F264397</t>
        </is>
      </c>
      <c r="C10159" t="inlineStr">
        <is>
          <t>C10229</t>
        </is>
      </c>
      <c r="D10159" t="inlineStr">
        <is>
          <t>SKU-10040</t>
        </is>
      </c>
      <c r="E10159" t="inlineStr">
        <is>
          <t>AM11</t>
        </is>
      </c>
      <c r="F10159" s="5" t="n">
        <v>270.36</v>
      </c>
      <c r="G10159">
        <f>IF(LEFT(B10159,1)="C","Credit","Factuur")</f>
        <v/>
      </c>
      <c r="H10159">
        <f>IF(AND(B10159=B10158,D10159=D10158,A10159=A10158,F10159=F10158),1,0)</f>
        <v/>
      </c>
      <c r="I10159">
        <f>IF(C10159="C99999",1,0)</f>
        <v/>
      </c>
      <c r="J10159" s="5">
        <f>IF(OR(H10159=1,I10159=1),0,IF(G10159="Credit",-F10159,F10159))</f>
        <v/>
      </c>
    </row>
    <row r="10160">
      <c r="A10160" t="inlineStr">
        <is>
          <t>2026-09-29</t>
        </is>
      </c>
      <c r="B10160" t="inlineStr">
        <is>
          <t>F264397</t>
        </is>
      </c>
      <c r="C10160" t="inlineStr">
        <is>
          <t>C10229</t>
        </is>
      </c>
      <c r="D10160" t="inlineStr">
        <is>
          <t>SKU-10057</t>
        </is>
      </c>
      <c r="E10160" t="inlineStr">
        <is>
          <t>AM11</t>
        </is>
      </c>
      <c r="F10160" s="5" t="n">
        <v>270</v>
      </c>
      <c r="G10160">
        <f>IF(LEFT(B10160,1)="C","Credit","Factuur")</f>
        <v/>
      </c>
      <c r="H10160">
        <f>IF(AND(B10160=B10159,D10160=D10159,A10160=A10159,F10160=F10159),1,0)</f>
        <v/>
      </c>
      <c r="I10160">
        <f>IF(C10160="C99999",1,0)</f>
        <v/>
      </c>
      <c r="J10160" s="5">
        <f>IF(OR(H10160=1,I10160=1),0,IF(G10160="Credit",-F10160,F10160))</f>
        <v/>
      </c>
    </row>
    <row r="10161">
      <c r="A10161" t="inlineStr">
        <is>
          <t>2026-09-29</t>
        </is>
      </c>
      <c r="B10161" t="inlineStr">
        <is>
          <t>F264397</t>
        </is>
      </c>
      <c r="C10161" t="inlineStr">
        <is>
          <t>C10229</t>
        </is>
      </c>
      <c r="D10161" t="inlineStr">
        <is>
          <t>SKU-10273</t>
        </is>
      </c>
      <c r="E10161" t="inlineStr">
        <is>
          <t>AM11</t>
        </is>
      </c>
      <c r="F10161" s="5" t="n">
        <v>256.96</v>
      </c>
      <c r="G10161">
        <f>IF(LEFT(B10161,1)="C","Credit","Factuur")</f>
        <v/>
      </c>
      <c r="H10161">
        <f>IF(AND(B10161=B10160,D10161=D10160,A10161=A10160,F10161=F10160),1,0)</f>
        <v/>
      </c>
      <c r="I10161">
        <f>IF(C10161="C99999",1,0)</f>
        <v/>
      </c>
      <c r="J10161" s="5">
        <f>IF(OR(H10161=1,I10161=1),0,IF(G10161="Credit",-F10161,F10161))</f>
        <v/>
      </c>
    </row>
    <row r="10162">
      <c r="A10162" t="inlineStr">
        <is>
          <t>2026-09-29</t>
        </is>
      </c>
      <c r="B10162" t="inlineStr">
        <is>
          <t>F264697</t>
        </is>
      </c>
      <c r="C10162" t="inlineStr">
        <is>
          <t>C10245</t>
        </is>
      </c>
      <c r="D10162" t="inlineStr">
        <is>
          <t>SKU-10023</t>
        </is>
      </c>
      <c r="E10162" t="inlineStr">
        <is>
          <t>IS01</t>
        </is>
      </c>
      <c r="F10162" s="5" t="n">
        <v>53.39</v>
      </c>
      <c r="G10162">
        <f>IF(LEFT(B10162,1)="C","Credit","Factuur")</f>
        <v/>
      </c>
      <c r="H10162">
        <f>IF(AND(B10162=B10161,D10162=D10161,A10162=A10161,F10162=F10161),1,0)</f>
        <v/>
      </c>
      <c r="I10162">
        <f>IF(C10162="C99999",1,0)</f>
        <v/>
      </c>
      <c r="J10162" s="5">
        <f>IF(OR(H10162=1,I10162=1),0,IF(G10162="Credit",-F10162,F10162))</f>
        <v/>
      </c>
    </row>
    <row r="10163">
      <c r="A10163" t="inlineStr">
        <is>
          <t>2026-09-29</t>
        </is>
      </c>
      <c r="B10163" t="inlineStr">
        <is>
          <t>F264697</t>
        </is>
      </c>
      <c r="C10163" t="inlineStr">
        <is>
          <t>C10245</t>
        </is>
      </c>
      <c r="D10163" t="inlineStr">
        <is>
          <t>SKU-10059</t>
        </is>
      </c>
      <c r="E10163" t="inlineStr">
        <is>
          <t>IS01</t>
        </is>
      </c>
      <c r="F10163" s="5" t="n">
        <v>42.48</v>
      </c>
      <c r="G10163">
        <f>IF(LEFT(B10163,1)="C","Credit","Factuur")</f>
        <v/>
      </c>
      <c r="H10163">
        <f>IF(AND(B10163=B10162,D10163=D10162,A10163=A10162,F10163=F10162),1,0)</f>
        <v/>
      </c>
      <c r="I10163">
        <f>IF(C10163="C99999",1,0)</f>
        <v/>
      </c>
      <c r="J10163" s="5">
        <f>IF(OR(H10163=1,I10163=1),0,IF(G10163="Credit",-F10163,F10163))</f>
        <v/>
      </c>
    </row>
    <row r="10164">
      <c r="A10164" t="inlineStr">
        <is>
          <t>2026-09-29</t>
        </is>
      </c>
      <c r="B10164" t="inlineStr">
        <is>
          <t>F264697</t>
        </is>
      </c>
      <c r="C10164" t="inlineStr">
        <is>
          <t>C10245</t>
        </is>
      </c>
      <c r="D10164" t="inlineStr">
        <is>
          <t>SKU-10076</t>
        </is>
      </c>
      <c r="E10164" t="inlineStr">
        <is>
          <t>IS01</t>
        </is>
      </c>
      <c r="F10164" s="5" t="n">
        <v>54.66</v>
      </c>
      <c r="G10164">
        <f>IF(LEFT(B10164,1)="C","Credit","Factuur")</f>
        <v/>
      </c>
      <c r="H10164">
        <f>IF(AND(B10164=B10163,D10164=D10163,A10164=A10163,F10164=F10163),1,0)</f>
        <v/>
      </c>
      <c r="I10164">
        <f>IF(C10164="C99999",1,0)</f>
        <v/>
      </c>
      <c r="J10164" s="5">
        <f>IF(OR(H10164=1,I10164=1),0,IF(G10164="Credit",-F10164,F10164))</f>
        <v/>
      </c>
    </row>
    <row r="10165">
      <c r="A10165" t="inlineStr">
        <is>
          <t>2026-09-29</t>
        </is>
      </c>
      <c r="B10165" t="inlineStr">
        <is>
          <t>F264697</t>
        </is>
      </c>
      <c r="C10165" t="inlineStr">
        <is>
          <t>C10245</t>
        </is>
      </c>
      <c r="D10165" t="inlineStr">
        <is>
          <t>SKU-10174</t>
        </is>
      </c>
      <c r="E10165" t="inlineStr">
        <is>
          <t>IS01</t>
        </is>
      </c>
      <c r="F10165" s="5" t="n">
        <v>39.91</v>
      </c>
      <c r="G10165">
        <f>IF(LEFT(B10165,1)="C","Credit","Factuur")</f>
        <v/>
      </c>
      <c r="H10165">
        <f>IF(AND(B10165=B10164,D10165=D10164,A10165=A10164,F10165=F10164),1,0)</f>
        <v/>
      </c>
      <c r="I10165">
        <f>IF(C10165="C99999",1,0)</f>
        <v/>
      </c>
      <c r="J10165" s="5">
        <f>IF(OR(H10165=1,I10165=1),0,IF(G10165="Credit",-F10165,F10165))</f>
        <v/>
      </c>
    </row>
    <row r="10166">
      <c r="A10166" t="inlineStr">
        <is>
          <t>2026-09-29</t>
        </is>
      </c>
      <c r="B10166" t="inlineStr">
        <is>
          <t>F264697</t>
        </is>
      </c>
      <c r="C10166" t="inlineStr">
        <is>
          <t>C10245</t>
        </is>
      </c>
      <c r="D10166" t="inlineStr">
        <is>
          <t>SKU-10269</t>
        </is>
      </c>
      <c r="E10166" t="inlineStr">
        <is>
          <t>IS01</t>
        </is>
      </c>
      <c r="F10166" s="5" t="n">
        <v>57.72</v>
      </c>
      <c r="G10166">
        <f>IF(LEFT(B10166,1)="C","Credit","Factuur")</f>
        <v/>
      </c>
      <c r="H10166">
        <f>IF(AND(B10166=B10165,D10166=D10165,A10166=A10165,F10166=F10165),1,0)</f>
        <v/>
      </c>
      <c r="I10166">
        <f>IF(C10166="C99999",1,0)</f>
        <v/>
      </c>
      <c r="J10166" s="5">
        <f>IF(OR(H10166=1,I10166=1),0,IF(G10166="Credit",-F10166,F10166))</f>
        <v/>
      </c>
    </row>
    <row r="10167">
      <c r="A10167" t="inlineStr">
        <is>
          <t>2026-09-29</t>
        </is>
      </c>
      <c r="B10167" t="inlineStr">
        <is>
          <t>F264818</t>
        </is>
      </c>
      <c r="C10167" t="inlineStr">
        <is>
          <t>C10251</t>
        </is>
      </c>
      <c r="D10167" t="inlineStr">
        <is>
          <t>SKU-10020</t>
        </is>
      </c>
      <c r="E10167" t="inlineStr"/>
      <c r="F10167" s="5" t="n">
        <v>875.16</v>
      </c>
      <c r="G10167">
        <f>IF(LEFT(B10167,1)="C","Credit","Factuur")</f>
        <v/>
      </c>
      <c r="H10167">
        <f>IF(AND(B10167=B10166,D10167=D10166,A10167=A10166,F10167=F10166),1,0)</f>
        <v/>
      </c>
      <c r="I10167">
        <f>IF(C10167="C99999",1,0)</f>
        <v/>
      </c>
      <c r="J10167" s="5">
        <f>IF(OR(H10167=1,I10167=1),0,IF(G10167="Credit",-F10167,F10167))</f>
        <v/>
      </c>
    </row>
    <row r="10168">
      <c r="A10168" t="inlineStr">
        <is>
          <t>2026-09-29</t>
        </is>
      </c>
      <c r="B10168" t="inlineStr">
        <is>
          <t>F264818</t>
        </is>
      </c>
      <c r="C10168" t="inlineStr">
        <is>
          <t>C10251</t>
        </is>
      </c>
      <c r="D10168" t="inlineStr">
        <is>
          <t>SKU-10176</t>
        </is>
      </c>
      <c r="E10168" t="inlineStr">
        <is>
          <t>AM07</t>
        </is>
      </c>
      <c r="F10168" s="5" t="n">
        <v>878.08</v>
      </c>
      <c r="G10168">
        <f>IF(LEFT(B10168,1)="C","Credit","Factuur")</f>
        <v/>
      </c>
      <c r="H10168">
        <f>IF(AND(B10168=B10167,D10168=D10167,A10168=A10167,F10168=F10167),1,0)</f>
        <v/>
      </c>
      <c r="I10168">
        <f>IF(C10168="C99999",1,0)</f>
        <v/>
      </c>
      <c r="J10168" s="5">
        <f>IF(OR(H10168=1,I10168=1),0,IF(G10168="Credit",-F10168,F10168))</f>
        <v/>
      </c>
    </row>
    <row r="10169">
      <c r="A10169" t="inlineStr">
        <is>
          <t>2026-09-29</t>
        </is>
      </c>
      <c r="B10169" t="inlineStr">
        <is>
          <t>F264818</t>
        </is>
      </c>
      <c r="C10169" t="inlineStr">
        <is>
          <t>C10251</t>
        </is>
      </c>
      <c r="D10169" t="inlineStr">
        <is>
          <t>SKU-10192</t>
        </is>
      </c>
      <c r="E10169" t="inlineStr">
        <is>
          <t>AM07</t>
        </is>
      </c>
      <c r="F10169" s="5" t="n">
        <v>834.02</v>
      </c>
      <c r="G10169">
        <f>IF(LEFT(B10169,1)="C","Credit","Factuur")</f>
        <v/>
      </c>
      <c r="H10169">
        <f>IF(AND(B10169=B10168,D10169=D10168,A10169=A10168,F10169=F10168),1,0)</f>
        <v/>
      </c>
      <c r="I10169">
        <f>IF(C10169="C99999",1,0)</f>
        <v/>
      </c>
      <c r="J10169" s="5">
        <f>IF(OR(H10169=1,I10169=1),0,IF(G10169="Credit",-F10169,F10169))</f>
        <v/>
      </c>
    </row>
    <row r="10170">
      <c r="A10170" t="inlineStr">
        <is>
          <t>2026-09-29</t>
        </is>
      </c>
      <c r="B10170" t="inlineStr">
        <is>
          <t>F265517</t>
        </is>
      </c>
      <c r="C10170" t="inlineStr">
        <is>
          <t>C10290</t>
        </is>
      </c>
      <c r="D10170" t="inlineStr">
        <is>
          <t>SKU-10302</t>
        </is>
      </c>
      <c r="E10170" t="inlineStr">
        <is>
          <t>AM11</t>
        </is>
      </c>
      <c r="F10170" s="5" t="n">
        <v>1668.58</v>
      </c>
      <c r="G10170">
        <f>IF(LEFT(B10170,1)="C","Credit","Factuur")</f>
        <v/>
      </c>
      <c r="H10170">
        <f>IF(AND(B10170=B10169,D10170=D10169,A10170=A10169,F10170=F10169),1,0)</f>
        <v/>
      </c>
      <c r="I10170">
        <f>IF(C10170="C99999",1,0)</f>
        <v/>
      </c>
      <c r="J10170" s="5">
        <f>IF(OR(H10170=1,I10170=1),0,IF(G10170="Credit",-F10170,F10170))</f>
        <v/>
      </c>
    </row>
    <row r="10171">
      <c r="A10171" t="inlineStr">
        <is>
          <t>2026-09-29</t>
        </is>
      </c>
      <c r="B10171" t="inlineStr">
        <is>
          <t>F266085</t>
        </is>
      </c>
      <c r="C10171" t="inlineStr">
        <is>
          <t>C10318</t>
        </is>
      </c>
      <c r="D10171" t="inlineStr">
        <is>
          <t>SKU-10188</t>
        </is>
      </c>
      <c r="E10171" t="inlineStr">
        <is>
          <t>AM08</t>
        </is>
      </c>
      <c r="F10171" s="5" t="n">
        <v>694.17</v>
      </c>
      <c r="G10171">
        <f>IF(LEFT(B10171,1)="C","Credit","Factuur")</f>
        <v/>
      </c>
      <c r="H10171">
        <f>IF(AND(B10171=B10170,D10171=D10170,A10171=A10170,F10171=F10170),1,0)</f>
        <v/>
      </c>
      <c r="I10171">
        <f>IF(C10171="C99999",1,0)</f>
        <v/>
      </c>
      <c r="J10171" s="5">
        <f>IF(OR(H10171=1,I10171=1),0,IF(G10171="Credit",-F10171,F10171))</f>
        <v/>
      </c>
    </row>
    <row r="10172">
      <c r="A10172" t="inlineStr">
        <is>
          <t>2026-09-29</t>
        </is>
      </c>
      <c r="B10172" t="inlineStr">
        <is>
          <t>F266085</t>
        </is>
      </c>
      <c r="C10172" t="inlineStr">
        <is>
          <t>C10318</t>
        </is>
      </c>
      <c r="D10172" t="inlineStr">
        <is>
          <t>SKU-10327</t>
        </is>
      </c>
      <c r="E10172" t="inlineStr">
        <is>
          <t>AM08</t>
        </is>
      </c>
      <c r="F10172" s="5" t="n">
        <v>694.5</v>
      </c>
      <c r="G10172">
        <f>IF(LEFT(B10172,1)="C","Credit","Factuur")</f>
        <v/>
      </c>
      <c r="H10172">
        <f>IF(AND(B10172=B10171,D10172=D10171,A10172=A10171,F10172=F10171),1,0)</f>
        <v/>
      </c>
      <c r="I10172">
        <f>IF(C10172="C99999",1,0)</f>
        <v/>
      </c>
      <c r="J10172" s="5">
        <f>IF(OR(H10172=1,I10172=1),0,IF(G10172="Credit",-F10172,F10172))</f>
        <v/>
      </c>
    </row>
    <row r="10173">
      <c r="A10173" t="inlineStr">
        <is>
          <t>2026-09-29</t>
        </is>
      </c>
      <c r="B10173" t="inlineStr">
        <is>
          <t>F266085</t>
        </is>
      </c>
      <c r="C10173" t="inlineStr">
        <is>
          <t>C10318</t>
        </is>
      </c>
      <c r="D10173" t="inlineStr">
        <is>
          <t>SKU-10353</t>
        </is>
      </c>
      <c r="E10173" t="inlineStr">
        <is>
          <t>AM08</t>
        </is>
      </c>
      <c r="F10173" s="5" t="n">
        <v>665.76</v>
      </c>
      <c r="G10173">
        <f>IF(LEFT(B10173,1)="C","Credit","Factuur")</f>
        <v/>
      </c>
      <c r="H10173">
        <f>IF(AND(B10173=B10172,D10173=D10172,A10173=A10172,F10173=F10172),1,0)</f>
        <v/>
      </c>
      <c r="I10173">
        <f>IF(C10173="C99999",1,0)</f>
        <v/>
      </c>
      <c r="J10173" s="5">
        <f>IF(OR(H10173=1,I10173=1),0,IF(G10173="Credit",-F10173,F10173))</f>
        <v/>
      </c>
    </row>
    <row r="10174">
      <c r="A10174" t="inlineStr">
        <is>
          <t>2026-09-29</t>
        </is>
      </c>
      <c r="B10174" t="inlineStr">
        <is>
          <t>F266473</t>
        </is>
      </c>
      <c r="C10174" t="inlineStr">
        <is>
          <t>C10341</t>
        </is>
      </c>
      <c r="D10174" t="inlineStr">
        <is>
          <t>SKU-10305</t>
        </is>
      </c>
      <c r="E10174" t="inlineStr">
        <is>
          <t>AM12</t>
        </is>
      </c>
      <c r="F10174" s="5" t="n">
        <v>432.3</v>
      </c>
      <c r="G10174">
        <f>IF(LEFT(B10174,1)="C","Credit","Factuur")</f>
        <v/>
      </c>
      <c r="H10174">
        <f>IF(AND(B10174=B10173,D10174=D10173,A10174=A10173,F10174=F10173),1,0)</f>
        <v/>
      </c>
      <c r="I10174">
        <f>IF(C10174="C99999",1,0)</f>
        <v/>
      </c>
      <c r="J10174" s="5">
        <f>IF(OR(H10174=1,I10174=1),0,IF(G10174="Credit",-F10174,F10174))</f>
        <v/>
      </c>
    </row>
    <row r="10175">
      <c r="A10175" t="inlineStr">
        <is>
          <t>2026-09-29</t>
        </is>
      </c>
      <c r="B10175" t="inlineStr">
        <is>
          <t>F266473</t>
        </is>
      </c>
      <c r="C10175" t="inlineStr">
        <is>
          <t>C10341</t>
        </is>
      </c>
      <c r="D10175" t="inlineStr">
        <is>
          <t>SKU-10316</t>
        </is>
      </c>
      <c r="E10175" t="inlineStr">
        <is>
          <t>AM12</t>
        </is>
      </c>
      <c r="F10175" s="5" t="n">
        <v>430.35</v>
      </c>
      <c r="G10175">
        <f>IF(LEFT(B10175,1)="C","Credit","Factuur")</f>
        <v/>
      </c>
      <c r="H10175">
        <f>IF(AND(B10175=B10174,D10175=D10174,A10175=A10174,F10175=F10174),1,0)</f>
        <v/>
      </c>
      <c r="I10175">
        <f>IF(C10175="C99999",1,0)</f>
        <v/>
      </c>
      <c r="J10175" s="5">
        <f>IF(OR(H10175=1,I10175=1),0,IF(G10175="Credit",-F10175,F10175))</f>
        <v/>
      </c>
    </row>
    <row r="10176">
      <c r="A10176" t="inlineStr">
        <is>
          <t>2026-09-29</t>
        </is>
      </c>
      <c r="B10176" t="inlineStr">
        <is>
          <t>F267050</t>
        </is>
      </c>
      <c r="C10176" t="inlineStr">
        <is>
          <t>C10371</t>
        </is>
      </c>
      <c r="D10176" t="inlineStr">
        <is>
          <t>SKU-10029</t>
        </is>
      </c>
      <c r="E10176" t="inlineStr">
        <is>
          <t>AM02</t>
        </is>
      </c>
      <c r="F10176" s="5" t="n">
        <v>362.64</v>
      </c>
      <c r="G10176">
        <f>IF(LEFT(B10176,1)="C","Credit","Factuur")</f>
        <v/>
      </c>
      <c r="H10176">
        <f>IF(AND(B10176=B10175,D10176=D10175,A10176=A10175,F10176=F10175),1,0)</f>
        <v/>
      </c>
      <c r="I10176">
        <f>IF(C10176="C99999",1,0)</f>
        <v/>
      </c>
      <c r="J10176" s="5">
        <f>IF(OR(H10176=1,I10176=1),0,IF(G10176="Credit",-F10176,F10176))</f>
        <v/>
      </c>
    </row>
    <row r="10177">
      <c r="A10177" t="inlineStr">
        <is>
          <t>2026-09-29</t>
        </is>
      </c>
      <c r="B10177" t="inlineStr">
        <is>
          <t>F267050</t>
        </is>
      </c>
      <c r="C10177" t="inlineStr">
        <is>
          <t>C10371</t>
        </is>
      </c>
      <c r="D10177" t="inlineStr">
        <is>
          <t>SKU-10053</t>
        </is>
      </c>
      <c r="E10177" t="inlineStr">
        <is>
          <t>AM02</t>
        </is>
      </c>
      <c r="F10177" s="5" t="n">
        <v>412.5</v>
      </c>
      <c r="G10177">
        <f>IF(LEFT(B10177,1)="C","Credit","Factuur")</f>
        <v/>
      </c>
      <c r="H10177">
        <f>IF(AND(B10177=B10176,D10177=D10176,A10177=A10176,F10177=F10176),1,0)</f>
        <v/>
      </c>
      <c r="I10177">
        <f>IF(C10177="C99999",1,0)</f>
        <v/>
      </c>
      <c r="J10177" s="5">
        <f>IF(OR(H10177=1,I10177=1),0,IF(G10177="Credit",-F10177,F10177))</f>
        <v/>
      </c>
    </row>
    <row r="10178">
      <c r="A10178" t="inlineStr">
        <is>
          <t>2026-09-29</t>
        </is>
      </c>
      <c r="B10178" t="inlineStr">
        <is>
          <t>F267050</t>
        </is>
      </c>
      <c r="C10178" t="inlineStr">
        <is>
          <t>C10371</t>
        </is>
      </c>
      <c r="D10178" t="inlineStr">
        <is>
          <t>SKU-10081</t>
        </is>
      </c>
      <c r="E10178" t="inlineStr">
        <is>
          <t>AM02</t>
        </is>
      </c>
      <c r="F10178" s="5" t="n">
        <v>381.42</v>
      </c>
      <c r="G10178">
        <f>IF(LEFT(B10178,1)="C","Credit","Factuur")</f>
        <v/>
      </c>
      <c r="H10178">
        <f>IF(AND(B10178=B10177,D10178=D10177,A10178=A10177,F10178=F10177),1,0)</f>
        <v/>
      </c>
      <c r="I10178">
        <f>IF(C10178="C99999",1,0)</f>
        <v/>
      </c>
      <c r="J10178" s="5">
        <f>IF(OR(H10178=1,I10178=1),0,IF(G10178="Credit",-F10178,F10178))</f>
        <v/>
      </c>
    </row>
    <row r="10179">
      <c r="A10179" t="inlineStr">
        <is>
          <t>2026-09-29</t>
        </is>
      </c>
      <c r="B10179" t="inlineStr">
        <is>
          <t>F268767</t>
        </is>
      </c>
      <c r="C10179" t="inlineStr">
        <is>
          <t>C10457</t>
        </is>
      </c>
      <c r="D10179" t="inlineStr">
        <is>
          <t>SKU-10052</t>
        </is>
      </c>
      <c r="E10179" t="inlineStr">
        <is>
          <t>AM11</t>
        </is>
      </c>
      <c r="F10179" s="5" t="n">
        <v>94.7</v>
      </c>
      <c r="G10179">
        <f>IF(LEFT(B10179,1)="C","Credit","Factuur")</f>
        <v/>
      </c>
      <c r="H10179">
        <f>IF(AND(B10179=B10178,D10179=D10178,A10179=A10178,F10179=F10178),1,0)</f>
        <v/>
      </c>
      <c r="I10179">
        <f>IF(C10179="C99999",1,0)</f>
        <v/>
      </c>
      <c r="J10179" s="5">
        <f>IF(OR(H10179=1,I10179=1),0,IF(G10179="Credit",-F10179,F10179))</f>
        <v/>
      </c>
    </row>
    <row r="10180">
      <c r="A10180" t="inlineStr">
        <is>
          <t>2026-09-29</t>
        </is>
      </c>
      <c r="B10180" t="inlineStr">
        <is>
          <t>F268767</t>
        </is>
      </c>
      <c r="C10180" t="inlineStr">
        <is>
          <t>C10457</t>
        </is>
      </c>
      <c r="D10180" t="inlineStr">
        <is>
          <t>SKU-10104</t>
        </is>
      </c>
      <c r="E10180" t="inlineStr">
        <is>
          <t>AM11</t>
        </is>
      </c>
      <c r="F10180" s="5" t="n">
        <v>91.14</v>
      </c>
      <c r="G10180">
        <f>IF(LEFT(B10180,1)="C","Credit","Factuur")</f>
        <v/>
      </c>
      <c r="H10180">
        <f>IF(AND(B10180=B10179,D10180=D10179,A10180=A10179,F10180=F10179),1,0)</f>
        <v/>
      </c>
      <c r="I10180">
        <f>IF(C10180="C99999",1,0)</f>
        <v/>
      </c>
      <c r="J10180" s="5">
        <f>IF(OR(H10180=1,I10180=1),0,IF(G10180="Credit",-F10180,F10180))</f>
        <v/>
      </c>
    </row>
    <row r="10181">
      <c r="A10181" t="inlineStr">
        <is>
          <t>2026-09-29</t>
        </is>
      </c>
      <c r="B10181" t="inlineStr">
        <is>
          <t>F268767</t>
        </is>
      </c>
      <c r="C10181" t="inlineStr">
        <is>
          <t>C10457</t>
        </is>
      </c>
      <c r="D10181" t="inlineStr">
        <is>
          <t>SKU-10261</t>
        </is>
      </c>
      <c r="E10181" t="inlineStr">
        <is>
          <t>AM11</t>
        </is>
      </c>
      <c r="F10181" s="5" t="n">
        <v>104.54</v>
      </c>
      <c r="G10181">
        <f>IF(LEFT(B10181,1)="C","Credit","Factuur")</f>
        <v/>
      </c>
      <c r="H10181">
        <f>IF(AND(B10181=B10180,D10181=D10180,A10181=A10180,F10181=F10180),1,0)</f>
        <v/>
      </c>
      <c r="I10181">
        <f>IF(C10181="C99999",1,0)</f>
        <v/>
      </c>
      <c r="J10181" s="5">
        <f>IF(OR(H10181=1,I10181=1),0,IF(G10181="Credit",-F10181,F10181))</f>
        <v/>
      </c>
    </row>
    <row r="10182">
      <c r="A10182" t="inlineStr">
        <is>
          <t>2026-09-29</t>
        </is>
      </c>
      <c r="B10182" t="inlineStr">
        <is>
          <t>F268767</t>
        </is>
      </c>
      <c r="C10182" t="inlineStr">
        <is>
          <t>C10457</t>
        </is>
      </c>
      <c r="D10182" t="inlineStr">
        <is>
          <t>SKU-10271</t>
        </is>
      </c>
      <c r="E10182" t="inlineStr">
        <is>
          <t>AM11</t>
        </is>
      </c>
      <c r="F10182" s="5" t="n">
        <v>99.75</v>
      </c>
      <c r="G10182">
        <f>IF(LEFT(B10182,1)="C","Credit","Factuur")</f>
        <v/>
      </c>
      <c r="H10182">
        <f>IF(AND(B10182=B10181,D10182=D10181,A10182=A10181,F10182=F10181),1,0)</f>
        <v/>
      </c>
      <c r="I10182">
        <f>IF(C10182="C99999",1,0)</f>
        <v/>
      </c>
      <c r="J10182" s="5">
        <f>IF(OR(H10182=1,I10182=1),0,IF(G10182="Credit",-F10182,F10182))</f>
        <v/>
      </c>
    </row>
    <row r="10183">
      <c r="A10183" t="inlineStr">
        <is>
          <t>2026-09-29</t>
        </is>
      </c>
      <c r="B10183" t="inlineStr">
        <is>
          <t>F268767</t>
        </is>
      </c>
      <c r="C10183" t="inlineStr">
        <is>
          <t>C10457</t>
        </is>
      </c>
      <c r="D10183" t="inlineStr">
        <is>
          <t>SKU-10316</t>
        </is>
      </c>
      <c r="E10183" t="inlineStr">
        <is>
          <t>AM11</t>
        </is>
      </c>
      <c r="F10183" s="5" t="n">
        <v>109.02</v>
      </c>
      <c r="G10183">
        <f>IF(LEFT(B10183,1)="C","Credit","Factuur")</f>
        <v/>
      </c>
      <c r="H10183">
        <f>IF(AND(B10183=B10182,D10183=D10182,A10183=A10182,F10183=F10182),1,0)</f>
        <v/>
      </c>
      <c r="I10183">
        <f>IF(C10183="C99999",1,0)</f>
        <v/>
      </c>
      <c r="J10183" s="5">
        <f>IF(OR(H10183=1,I10183=1),0,IF(G10183="Credit",-F10183,F10183))</f>
        <v/>
      </c>
    </row>
    <row r="10184">
      <c r="A10184" t="inlineStr">
        <is>
          <t>2026-09-29</t>
        </is>
      </c>
      <c r="B10184" t="inlineStr">
        <is>
          <t>F268767</t>
        </is>
      </c>
      <c r="C10184" t="inlineStr">
        <is>
          <t>C10457</t>
        </is>
      </c>
      <c r="D10184" t="inlineStr">
        <is>
          <t>SKU-10366</t>
        </is>
      </c>
      <c r="E10184" t="inlineStr">
        <is>
          <t>AM11</t>
        </is>
      </c>
      <c r="F10184" s="5" t="n">
        <v>127.98</v>
      </c>
      <c r="G10184">
        <f>IF(LEFT(B10184,1)="C","Credit","Factuur")</f>
        <v/>
      </c>
      <c r="H10184">
        <f>IF(AND(B10184=B10183,D10184=D10183,A10184=A10183,F10184=F10183),1,0)</f>
        <v/>
      </c>
      <c r="I10184">
        <f>IF(C10184="C99999",1,0)</f>
        <v/>
      </c>
      <c r="J10184" s="5">
        <f>IF(OR(H10184=1,I10184=1),0,IF(G10184="Credit",-F10184,F10184))</f>
        <v/>
      </c>
    </row>
    <row r="10185">
      <c r="A10185" t="inlineStr">
        <is>
          <t>2026-09-29</t>
        </is>
      </c>
      <c r="B10185" t="inlineStr">
        <is>
          <t>F269625</t>
        </is>
      </c>
      <c r="C10185" t="inlineStr">
        <is>
          <t>C10506</t>
        </is>
      </c>
      <c r="D10185" t="inlineStr">
        <is>
          <t>SKU-10095</t>
        </is>
      </c>
      <c r="E10185" t="inlineStr">
        <is>
          <t>AM06</t>
        </is>
      </c>
      <c r="F10185" s="5" t="n">
        <v>1361.8</v>
      </c>
      <c r="G10185">
        <f>IF(LEFT(B10185,1)="C","Credit","Factuur")</f>
        <v/>
      </c>
      <c r="H10185">
        <f>IF(AND(B10185=B10184,D10185=D10184,A10185=A10184,F10185=F10184),1,0)</f>
        <v/>
      </c>
      <c r="I10185">
        <f>IF(C10185="C99999",1,0)</f>
        <v/>
      </c>
      <c r="J10185" s="5">
        <f>IF(OR(H10185=1,I10185=1),0,IF(G10185="Credit",-F10185,F10185))</f>
        <v/>
      </c>
    </row>
    <row r="10186">
      <c r="A10186" t="inlineStr">
        <is>
          <t>2026-09-29</t>
        </is>
      </c>
      <c r="B10186" t="inlineStr">
        <is>
          <t>F269887</t>
        </is>
      </c>
      <c r="C10186" t="inlineStr">
        <is>
          <t>C10521</t>
        </is>
      </c>
      <c r="D10186" t="inlineStr">
        <is>
          <t>SKU-10063</t>
        </is>
      </c>
      <c r="E10186" t="inlineStr">
        <is>
          <t>AM12</t>
        </is>
      </c>
      <c r="F10186" s="5" t="n">
        <v>296.31</v>
      </c>
      <c r="G10186">
        <f>IF(LEFT(B10186,1)="C","Credit","Factuur")</f>
        <v/>
      </c>
      <c r="H10186">
        <f>IF(AND(B10186=B10185,D10186=D10185,A10186=A10185,F10186=F10185),1,0)</f>
        <v/>
      </c>
      <c r="I10186">
        <f>IF(C10186="C99999",1,0)</f>
        <v/>
      </c>
      <c r="J10186" s="5">
        <f>IF(OR(H10186=1,I10186=1),0,IF(G10186="Credit",-F10186,F10186))</f>
        <v/>
      </c>
    </row>
    <row r="10187">
      <c r="A10187" t="inlineStr">
        <is>
          <t>2026-09-29</t>
        </is>
      </c>
      <c r="B10187" t="inlineStr">
        <is>
          <t>F270090</t>
        </is>
      </c>
      <c r="C10187" t="inlineStr">
        <is>
          <t>C10531</t>
        </is>
      </c>
      <c r="D10187" t="inlineStr">
        <is>
          <t>SKU-10233</t>
        </is>
      </c>
      <c r="E10187" t="inlineStr">
        <is>
          <t>AM03</t>
        </is>
      </c>
      <c r="F10187" s="5" t="n">
        <v>896.21</v>
      </c>
      <c r="G10187">
        <f>IF(LEFT(B10187,1)="C","Credit","Factuur")</f>
        <v/>
      </c>
      <c r="H10187">
        <f>IF(AND(B10187=B10186,D10187=D10186,A10187=A10186,F10187=F10186),1,0)</f>
        <v/>
      </c>
      <c r="I10187">
        <f>IF(C10187="C99999",1,0)</f>
        <v/>
      </c>
      <c r="J10187" s="5">
        <f>IF(OR(H10187=1,I10187=1),0,IF(G10187="Credit",-F10187,F10187))</f>
        <v/>
      </c>
    </row>
    <row r="10188">
      <c r="A10188" t="inlineStr">
        <is>
          <t>2026-09-29</t>
        </is>
      </c>
      <c r="B10188" t="inlineStr">
        <is>
          <t>F270090</t>
        </is>
      </c>
      <c r="C10188" t="inlineStr">
        <is>
          <t>C10531</t>
        </is>
      </c>
      <c r="D10188" t="inlineStr">
        <is>
          <t>SKU-10337</t>
        </is>
      </c>
      <c r="E10188" t="inlineStr">
        <is>
          <t>AM03</t>
        </is>
      </c>
      <c r="F10188" s="5" t="n">
        <v>897</v>
      </c>
      <c r="G10188">
        <f>IF(LEFT(B10188,1)="C","Credit","Factuur")</f>
        <v/>
      </c>
      <c r="H10188">
        <f>IF(AND(B10188=B10187,D10188=D10187,A10188=A10187,F10188=F10187),1,0)</f>
        <v/>
      </c>
      <c r="I10188">
        <f>IF(C10188="C99999",1,0)</f>
        <v/>
      </c>
      <c r="J10188" s="5">
        <f>IF(OR(H10188=1,I10188=1),0,IF(G10188="Credit",-F10188,F10188))</f>
        <v/>
      </c>
    </row>
    <row r="10189">
      <c r="A10189" t="inlineStr">
        <is>
          <t>2026-09-29</t>
        </is>
      </c>
      <c r="B10189" t="inlineStr">
        <is>
          <t>F270090</t>
        </is>
      </c>
      <c r="C10189" t="inlineStr">
        <is>
          <t>C10531</t>
        </is>
      </c>
      <c r="D10189" t="inlineStr">
        <is>
          <t>SKU-10343</t>
        </is>
      </c>
      <c r="E10189" t="inlineStr">
        <is>
          <t>AM03</t>
        </is>
      </c>
      <c r="F10189" s="5" t="n">
        <v>896.8</v>
      </c>
      <c r="G10189">
        <f>IF(LEFT(B10189,1)="C","Credit","Factuur")</f>
        <v/>
      </c>
      <c r="H10189">
        <f>IF(AND(B10189=B10188,D10189=D10188,A10189=A10188,F10189=F10188),1,0)</f>
        <v/>
      </c>
      <c r="I10189">
        <f>IF(C10189="C99999",1,0)</f>
        <v/>
      </c>
      <c r="J10189" s="5">
        <f>IF(OR(H10189=1,I10189=1),0,IF(G10189="Credit",-F10189,F10189))</f>
        <v/>
      </c>
    </row>
    <row r="10190">
      <c r="A10190" t="inlineStr">
        <is>
          <t>2026-09-29</t>
        </is>
      </c>
      <c r="B10190" t="inlineStr">
        <is>
          <t>F270680</t>
        </is>
      </c>
      <c r="C10190" t="inlineStr">
        <is>
          <t>C10562</t>
        </is>
      </c>
      <c r="D10190" t="inlineStr">
        <is>
          <t>SKU-10233</t>
        </is>
      </c>
      <c r="E10190" t="inlineStr">
        <is>
          <t>AM03</t>
        </is>
      </c>
      <c r="F10190" s="5" t="n">
        <v>1729.49</v>
      </c>
      <c r="G10190">
        <f>IF(LEFT(B10190,1)="C","Credit","Factuur")</f>
        <v/>
      </c>
      <c r="H10190">
        <f>IF(AND(B10190=B10189,D10190=D10189,A10190=A10189,F10190=F10189),1,0)</f>
        <v/>
      </c>
      <c r="I10190">
        <f>IF(C10190="C99999",1,0)</f>
        <v/>
      </c>
      <c r="J10190" s="5">
        <f>IF(OR(H10190=1,I10190=1),0,IF(G10190="Credit",-F10190,F10190))</f>
        <v/>
      </c>
    </row>
    <row r="10191">
      <c r="A10191" t="inlineStr">
        <is>
          <t>2026-09-29</t>
        </is>
      </c>
      <c r="B10191" t="inlineStr">
        <is>
          <t>F270981</t>
        </is>
      </c>
      <c r="C10191" t="inlineStr">
        <is>
          <t>C10573</t>
        </is>
      </c>
      <c r="D10191" t="inlineStr">
        <is>
          <t>SKU-10048</t>
        </is>
      </c>
      <c r="E10191" t="inlineStr">
        <is>
          <t>AM08</t>
        </is>
      </c>
      <c r="F10191" s="5" t="n">
        <v>315.66</v>
      </c>
      <c r="G10191">
        <f>IF(LEFT(B10191,1)="C","Credit","Factuur")</f>
        <v/>
      </c>
      <c r="H10191">
        <f>IF(AND(B10191=B10190,D10191=D10190,A10191=A10190,F10191=F10190),1,0)</f>
        <v/>
      </c>
      <c r="I10191">
        <f>IF(C10191="C99999",1,0)</f>
        <v/>
      </c>
      <c r="J10191" s="5">
        <f>IF(OR(H10191=1,I10191=1),0,IF(G10191="Credit",-F10191,F10191))</f>
        <v/>
      </c>
    </row>
    <row r="10192">
      <c r="A10192" t="inlineStr">
        <is>
          <t>2026-09-29</t>
        </is>
      </c>
      <c r="B10192" t="inlineStr">
        <is>
          <t>F270981</t>
        </is>
      </c>
      <c r="C10192" t="inlineStr">
        <is>
          <t>C10573</t>
        </is>
      </c>
      <c r="D10192" t="inlineStr">
        <is>
          <t>SKU-10067</t>
        </is>
      </c>
      <c r="E10192" t="inlineStr">
        <is>
          <t>AM08</t>
        </is>
      </c>
      <c r="F10192" s="5" t="n">
        <v>348.36</v>
      </c>
      <c r="G10192">
        <f>IF(LEFT(B10192,1)="C","Credit","Factuur")</f>
        <v/>
      </c>
      <c r="H10192">
        <f>IF(AND(B10192=B10191,D10192=D10191,A10192=A10191,F10192=F10191),1,0)</f>
        <v/>
      </c>
      <c r="I10192">
        <f>IF(C10192="C99999",1,0)</f>
        <v/>
      </c>
      <c r="J10192" s="5">
        <f>IF(OR(H10192=1,I10192=1),0,IF(G10192="Credit",-F10192,F10192))</f>
        <v/>
      </c>
    </row>
    <row r="10193">
      <c r="A10193" t="inlineStr">
        <is>
          <t>2026-09-29</t>
        </is>
      </c>
      <c r="B10193" t="inlineStr">
        <is>
          <t>F270981</t>
        </is>
      </c>
      <c r="C10193" t="inlineStr">
        <is>
          <t>C10573</t>
        </is>
      </c>
      <c r="D10193" t="inlineStr">
        <is>
          <t>SKU-10222</t>
        </is>
      </c>
      <c r="E10193" t="inlineStr">
        <is>
          <t>AM08</t>
        </is>
      </c>
      <c r="F10193" s="5" t="n">
        <v>312.55</v>
      </c>
      <c r="G10193">
        <f>IF(LEFT(B10193,1)="C","Credit","Factuur")</f>
        <v/>
      </c>
      <c r="H10193">
        <f>IF(AND(B10193=B10192,D10193=D10192,A10193=A10192,F10193=F10192),1,0)</f>
        <v/>
      </c>
      <c r="I10193">
        <f>IF(C10193="C99999",1,0)</f>
        <v/>
      </c>
      <c r="J10193" s="5">
        <f>IF(OR(H10193=1,I10193=1),0,IF(G10193="Credit",-F10193,F10193))</f>
        <v/>
      </c>
    </row>
    <row r="10194">
      <c r="A10194" t="inlineStr">
        <is>
          <t>2026-09-29</t>
        </is>
      </c>
      <c r="B10194" t="inlineStr">
        <is>
          <t>F270994</t>
        </is>
      </c>
      <c r="C10194" t="inlineStr">
        <is>
          <t>C10574</t>
        </is>
      </c>
      <c r="D10194" t="inlineStr">
        <is>
          <t>SKU-10010</t>
        </is>
      </c>
      <c r="E10194" t="inlineStr">
        <is>
          <t>AM02</t>
        </is>
      </c>
      <c r="F10194" s="5" t="n">
        <v>44.12</v>
      </c>
      <c r="G10194">
        <f>IF(LEFT(B10194,1)="C","Credit","Factuur")</f>
        <v/>
      </c>
      <c r="H10194">
        <f>IF(AND(B10194=B10193,D10194=D10193,A10194=A10193,F10194=F10193),1,0)</f>
        <v/>
      </c>
      <c r="I10194">
        <f>IF(C10194="C99999",1,0)</f>
        <v/>
      </c>
      <c r="J10194" s="5">
        <f>IF(OR(H10194=1,I10194=1),0,IF(G10194="Credit",-F10194,F10194))</f>
        <v/>
      </c>
    </row>
    <row r="10195">
      <c r="A10195" t="inlineStr">
        <is>
          <t>2026-09-29</t>
        </is>
      </c>
      <c r="B10195" t="inlineStr">
        <is>
          <t>F270994</t>
        </is>
      </c>
      <c r="C10195" t="inlineStr">
        <is>
          <t>C10574</t>
        </is>
      </c>
      <c r="D10195" t="inlineStr">
        <is>
          <t>SKU-10032</t>
        </is>
      </c>
      <c r="E10195" t="inlineStr">
        <is>
          <t>AM02</t>
        </is>
      </c>
      <c r="F10195" s="5" t="n">
        <v>34.61</v>
      </c>
      <c r="G10195">
        <f>IF(LEFT(B10195,1)="C","Credit","Factuur")</f>
        <v/>
      </c>
      <c r="H10195">
        <f>IF(AND(B10195=B10194,D10195=D10194,A10195=A10194,F10195=F10194),1,0)</f>
        <v/>
      </c>
      <c r="I10195">
        <f>IF(C10195="C99999",1,0)</f>
        <v/>
      </c>
      <c r="J10195" s="5">
        <f>IF(OR(H10195=1,I10195=1),0,IF(G10195="Credit",-F10195,F10195))</f>
        <v/>
      </c>
    </row>
    <row r="10196">
      <c r="A10196" t="inlineStr">
        <is>
          <t>2026-09-29</t>
        </is>
      </c>
      <c r="B10196" t="inlineStr">
        <is>
          <t>F270994</t>
        </is>
      </c>
      <c r="C10196" t="inlineStr">
        <is>
          <t>C10574</t>
        </is>
      </c>
      <c r="D10196" t="inlineStr">
        <is>
          <t>SKU-10284</t>
        </is>
      </c>
      <c r="E10196" t="inlineStr">
        <is>
          <t>AM02</t>
        </is>
      </c>
      <c r="F10196" s="5" t="n">
        <v>34.06</v>
      </c>
      <c r="G10196">
        <f>IF(LEFT(B10196,1)="C","Credit","Factuur")</f>
        <v/>
      </c>
      <c r="H10196">
        <f>IF(AND(B10196=B10195,D10196=D10195,A10196=A10195,F10196=F10195),1,0)</f>
        <v/>
      </c>
      <c r="I10196">
        <f>IF(C10196="C99999",1,0)</f>
        <v/>
      </c>
      <c r="J10196" s="5">
        <f>IF(OR(H10196=1,I10196=1),0,IF(G10196="Credit",-F10196,F10196))</f>
        <v/>
      </c>
    </row>
    <row r="10197">
      <c r="A10197" t="inlineStr">
        <is>
          <t>2026-09-29</t>
        </is>
      </c>
      <c r="B10197" t="inlineStr">
        <is>
          <t>F271579</t>
        </is>
      </c>
      <c r="C10197" t="inlineStr">
        <is>
          <t>C10596</t>
        </is>
      </c>
      <c r="D10197" t="inlineStr">
        <is>
          <t>SKU-10208</t>
        </is>
      </c>
      <c r="E10197" t="inlineStr">
        <is>
          <t>AM01</t>
        </is>
      </c>
      <c r="F10197" s="5" t="n">
        <v>47.01</v>
      </c>
      <c r="G10197">
        <f>IF(LEFT(B10197,1)="C","Credit","Factuur")</f>
        <v/>
      </c>
      <c r="H10197">
        <f>IF(AND(B10197=B10196,D10197=D10196,A10197=A10196,F10197=F10196),1,0)</f>
        <v/>
      </c>
      <c r="I10197">
        <f>IF(C10197="C99999",1,0)</f>
        <v/>
      </c>
      <c r="J10197" s="5">
        <f>IF(OR(H10197=1,I10197=1),0,IF(G10197="Credit",-F10197,F10197))</f>
        <v/>
      </c>
    </row>
    <row r="10198">
      <c r="A10198" t="inlineStr">
        <is>
          <t>2026-09-29</t>
        </is>
      </c>
      <c r="B10198" t="inlineStr">
        <is>
          <t>F271579</t>
        </is>
      </c>
      <c r="C10198" t="inlineStr">
        <is>
          <t>C10596</t>
        </is>
      </c>
      <c r="D10198" t="inlineStr">
        <is>
          <t>SKU-10220</t>
        </is>
      </c>
      <c r="E10198" t="inlineStr">
        <is>
          <t>AM01</t>
        </is>
      </c>
      <c r="F10198" s="5" t="n">
        <v>50.15</v>
      </c>
      <c r="G10198">
        <f>IF(LEFT(B10198,1)="C","Credit","Factuur")</f>
        <v/>
      </c>
      <c r="H10198">
        <f>IF(AND(B10198=B10197,D10198=D10197,A10198=A10197,F10198=F10197),1,0)</f>
        <v/>
      </c>
      <c r="I10198">
        <f>IF(C10198="C99999",1,0)</f>
        <v/>
      </c>
      <c r="J10198" s="5">
        <f>IF(OR(H10198=1,I10198=1),0,IF(G10198="Credit",-F10198,F10198))</f>
        <v/>
      </c>
    </row>
    <row r="10199">
      <c r="A10199" t="inlineStr">
        <is>
          <t>2026-09-29</t>
        </is>
      </c>
      <c r="B10199" t="inlineStr">
        <is>
          <t>F271579</t>
        </is>
      </c>
      <c r="C10199" t="inlineStr">
        <is>
          <t>C10596</t>
        </is>
      </c>
      <c r="D10199" t="inlineStr">
        <is>
          <t>SKU-10231</t>
        </is>
      </c>
      <c r="E10199" t="inlineStr">
        <is>
          <t>AM01</t>
        </is>
      </c>
      <c r="F10199" s="5" t="n">
        <v>44.17</v>
      </c>
      <c r="G10199">
        <f>IF(LEFT(B10199,1)="C","Credit","Factuur")</f>
        <v/>
      </c>
      <c r="H10199">
        <f>IF(AND(B10199=B10198,D10199=D10198,A10199=A10198,F10199=F10198),1,0)</f>
        <v/>
      </c>
      <c r="I10199">
        <f>IF(C10199="C99999",1,0)</f>
        <v/>
      </c>
      <c r="J10199" s="5">
        <f>IF(OR(H10199=1,I10199=1),0,IF(G10199="Credit",-F10199,F10199))</f>
        <v/>
      </c>
    </row>
    <row r="10200">
      <c r="A10200" t="inlineStr">
        <is>
          <t>2026-09-29</t>
        </is>
      </c>
      <c r="B10200" t="inlineStr">
        <is>
          <t>F271579</t>
        </is>
      </c>
      <c r="C10200" t="inlineStr">
        <is>
          <t>C10596</t>
        </is>
      </c>
      <c r="D10200" t="inlineStr">
        <is>
          <t>SKU-10247</t>
        </is>
      </c>
      <c r="E10200" t="inlineStr">
        <is>
          <t>AM01</t>
        </is>
      </c>
      <c r="F10200" s="5" t="n">
        <v>60.7</v>
      </c>
      <c r="G10200">
        <f>IF(LEFT(B10200,1)="C","Credit","Factuur")</f>
        <v/>
      </c>
      <c r="H10200">
        <f>IF(AND(B10200=B10199,D10200=D10199,A10200=A10199,F10200=F10199),1,0)</f>
        <v/>
      </c>
      <c r="I10200">
        <f>IF(C10200="C99999",1,0)</f>
        <v/>
      </c>
      <c r="J10200" s="5">
        <f>IF(OR(H10200=1,I10200=1),0,IF(G10200="Credit",-F10200,F10200))</f>
        <v/>
      </c>
    </row>
    <row r="10201">
      <c r="A10201" t="inlineStr">
        <is>
          <t>2026-09-29</t>
        </is>
      </c>
      <c r="B10201" t="inlineStr">
        <is>
          <t>F271579</t>
        </is>
      </c>
      <c r="C10201" t="inlineStr">
        <is>
          <t>C10596</t>
        </is>
      </c>
      <c r="D10201" t="inlineStr">
        <is>
          <t>SKU-10273</t>
        </is>
      </c>
      <c r="E10201" t="inlineStr">
        <is>
          <t>AM01</t>
        </is>
      </c>
      <c r="F10201" s="5" t="n">
        <v>64.23999999999999</v>
      </c>
      <c r="G10201">
        <f>IF(LEFT(B10201,1)="C","Credit","Factuur")</f>
        <v/>
      </c>
      <c r="H10201">
        <f>IF(AND(B10201=B10200,D10201=D10200,A10201=A10200,F10201=F10200),1,0)</f>
        <v/>
      </c>
      <c r="I10201">
        <f>IF(C10201="C99999",1,0)</f>
        <v/>
      </c>
      <c r="J10201" s="5">
        <f>IF(OR(H10201=1,I10201=1),0,IF(G10201="Credit",-F10201,F10201))</f>
        <v/>
      </c>
    </row>
    <row r="10202">
      <c r="A10202" t="inlineStr">
        <is>
          <t>2026-09-29</t>
        </is>
      </c>
      <c r="B10202" t="inlineStr">
        <is>
          <t>F272066</t>
        </is>
      </c>
      <c r="C10202" t="inlineStr">
        <is>
          <t>C10625</t>
        </is>
      </c>
      <c r="D10202" t="inlineStr">
        <is>
          <t>SKU-10002</t>
        </is>
      </c>
      <c r="E10202" t="inlineStr">
        <is>
          <t>AM01</t>
        </is>
      </c>
      <c r="F10202" s="5" t="n">
        <v>436.01</v>
      </c>
      <c r="G10202">
        <f>IF(LEFT(B10202,1)="C","Credit","Factuur")</f>
        <v/>
      </c>
      <c r="H10202">
        <f>IF(AND(B10202=B10201,D10202=D10201,A10202=A10201,F10202=F10201),1,0)</f>
        <v/>
      </c>
      <c r="I10202">
        <f>IF(C10202="C99999",1,0)</f>
        <v/>
      </c>
      <c r="J10202" s="5">
        <f>IF(OR(H10202=1,I10202=1),0,IF(G10202="Credit",-F10202,F10202))</f>
        <v/>
      </c>
    </row>
    <row r="10203">
      <c r="A10203" t="inlineStr">
        <is>
          <t>2026-09-29</t>
        </is>
      </c>
      <c r="B10203" t="inlineStr">
        <is>
          <t>F272066</t>
        </is>
      </c>
      <c r="C10203" t="inlineStr">
        <is>
          <t>C10625</t>
        </is>
      </c>
      <c r="D10203" t="inlineStr">
        <is>
          <t>SKU-10070</t>
        </is>
      </c>
      <c r="E10203" t="inlineStr">
        <is>
          <t>AM01</t>
        </is>
      </c>
      <c r="F10203" s="5" t="n">
        <v>436.76</v>
      </c>
      <c r="G10203">
        <f>IF(LEFT(B10203,1)="C","Credit","Factuur")</f>
        <v/>
      </c>
      <c r="H10203">
        <f>IF(AND(B10203=B10202,D10203=D10202,A10203=A10202,F10203=F10202),1,0)</f>
        <v/>
      </c>
      <c r="I10203">
        <f>IF(C10203="C99999",1,0)</f>
        <v/>
      </c>
      <c r="J10203" s="5">
        <f>IF(OR(H10203=1,I10203=1),0,IF(G10203="Credit",-F10203,F10203))</f>
        <v/>
      </c>
    </row>
    <row r="10204">
      <c r="A10204" t="inlineStr">
        <is>
          <t>2026-09-29</t>
        </is>
      </c>
      <c r="B10204" t="inlineStr">
        <is>
          <t>F272116</t>
        </is>
      </c>
      <c r="C10204" t="inlineStr">
        <is>
          <t>C10627</t>
        </is>
      </c>
      <c r="D10204" t="inlineStr">
        <is>
          <t>SKU-10047</t>
        </is>
      </c>
      <c r="E10204" t="inlineStr">
        <is>
          <t>AM07</t>
        </is>
      </c>
      <c r="F10204" s="5" t="n">
        <v>1782.69</v>
      </c>
      <c r="G10204">
        <f>IF(LEFT(B10204,1)="C","Credit","Factuur")</f>
        <v/>
      </c>
      <c r="H10204">
        <f>IF(AND(B10204=B10203,D10204=D10203,A10204=A10203,F10204=F10203),1,0)</f>
        <v/>
      </c>
      <c r="I10204">
        <f>IF(C10204="C99999",1,0)</f>
        <v/>
      </c>
      <c r="J10204" s="5">
        <f>IF(OR(H10204=1,I10204=1),0,IF(G10204="Credit",-F10204,F10204))</f>
        <v/>
      </c>
    </row>
    <row r="10205">
      <c r="A10205" t="inlineStr">
        <is>
          <t>2026-09-29</t>
        </is>
      </c>
      <c r="B10205" t="inlineStr">
        <is>
          <t>F272116</t>
        </is>
      </c>
      <c r="C10205" t="inlineStr">
        <is>
          <t>C10627</t>
        </is>
      </c>
      <c r="D10205" t="inlineStr">
        <is>
          <t>SKU-10230</t>
        </is>
      </c>
      <c r="E10205" t="inlineStr">
        <is>
          <t>AM07</t>
        </is>
      </c>
      <c r="F10205" s="5" t="n">
        <v>1778</v>
      </c>
      <c r="G10205">
        <f>IF(LEFT(B10205,1)="C","Credit","Factuur")</f>
        <v/>
      </c>
      <c r="H10205">
        <f>IF(AND(B10205=B10204,D10205=D10204,A10205=A10204,F10205=F10204),1,0)</f>
        <v/>
      </c>
      <c r="I10205">
        <f>IF(C10205="C99999",1,0)</f>
        <v/>
      </c>
      <c r="J10205" s="5">
        <f>IF(OR(H10205=1,I10205=1),0,IF(G10205="Credit",-F10205,F10205))</f>
        <v/>
      </c>
    </row>
    <row r="10206">
      <c r="A10206" t="inlineStr">
        <is>
          <t>2026-09-29</t>
        </is>
      </c>
      <c r="B10206" t="inlineStr">
        <is>
          <t>F272116</t>
        </is>
      </c>
      <c r="C10206" t="inlineStr">
        <is>
          <t>C10627</t>
        </is>
      </c>
      <c r="D10206" t="inlineStr">
        <is>
          <t>SKU-10272</t>
        </is>
      </c>
      <c r="E10206" t="inlineStr">
        <is>
          <t>AM07</t>
        </is>
      </c>
      <c r="F10206" s="5" t="n">
        <v>1772.37</v>
      </c>
      <c r="G10206">
        <f>IF(LEFT(B10206,1)="C","Credit","Factuur")</f>
        <v/>
      </c>
      <c r="H10206">
        <f>IF(AND(B10206=B10205,D10206=D10205,A10206=A10205,F10206=F10205),1,0)</f>
        <v/>
      </c>
      <c r="I10206">
        <f>IF(C10206="C99999",1,0)</f>
        <v/>
      </c>
      <c r="J10206" s="5">
        <f>IF(OR(H10206=1,I10206=1),0,IF(G10206="Credit",-F10206,F10206))</f>
        <v/>
      </c>
    </row>
    <row r="10207">
      <c r="A10207" t="inlineStr">
        <is>
          <t>2026-09-29</t>
        </is>
      </c>
      <c r="B10207" t="inlineStr">
        <is>
          <t>F272991</t>
        </is>
      </c>
      <c r="C10207" t="inlineStr">
        <is>
          <t>C10676</t>
        </is>
      </c>
      <c r="D10207" t="inlineStr">
        <is>
          <t>SKU-10137</t>
        </is>
      </c>
      <c r="E10207" t="inlineStr">
        <is>
          <t>AM05</t>
        </is>
      </c>
      <c r="F10207" s="5" t="n">
        <v>368.03</v>
      </c>
      <c r="G10207">
        <f>IF(LEFT(B10207,1)="C","Credit","Factuur")</f>
        <v/>
      </c>
      <c r="H10207">
        <f>IF(AND(B10207=B10206,D10207=D10206,A10207=A10206,F10207=F10206),1,0)</f>
        <v/>
      </c>
      <c r="I10207">
        <f>IF(C10207="C99999",1,0)</f>
        <v/>
      </c>
      <c r="J10207" s="5">
        <f>IF(OR(H10207=1,I10207=1),0,IF(G10207="Credit",-F10207,F10207))</f>
        <v/>
      </c>
    </row>
    <row r="10208">
      <c r="A10208" t="inlineStr">
        <is>
          <t>2026-09-29</t>
        </is>
      </c>
      <c r="B10208" t="inlineStr">
        <is>
          <t>F274008</t>
        </is>
      </c>
      <c r="C10208" t="inlineStr">
        <is>
          <t>C10740</t>
        </is>
      </c>
      <c r="D10208" t="inlineStr">
        <is>
          <t>SKU-10077</t>
        </is>
      </c>
      <c r="E10208" t="inlineStr">
        <is>
          <t>AM11</t>
        </is>
      </c>
      <c r="F10208" s="5" t="n">
        <v>954.2</v>
      </c>
      <c r="G10208">
        <f>IF(LEFT(B10208,1)="C","Credit","Factuur")</f>
        <v/>
      </c>
      <c r="H10208">
        <f>IF(AND(B10208=B10207,D10208=D10207,A10208=A10207,F10208=F10207),1,0)</f>
        <v/>
      </c>
      <c r="I10208">
        <f>IF(C10208="C99999",1,0)</f>
        <v/>
      </c>
      <c r="J10208" s="5">
        <f>IF(OR(H10208=1,I10208=1),0,IF(G10208="Credit",-F10208,F10208))</f>
        <v/>
      </c>
    </row>
    <row r="10209">
      <c r="A10209" t="inlineStr">
        <is>
          <t>2026-09-29</t>
        </is>
      </c>
      <c r="B10209" t="inlineStr">
        <is>
          <t>F274008</t>
        </is>
      </c>
      <c r="C10209" t="inlineStr">
        <is>
          <t>C10740</t>
        </is>
      </c>
      <c r="D10209" t="inlineStr">
        <is>
          <t>SKU-10122</t>
        </is>
      </c>
      <c r="E10209" t="inlineStr">
        <is>
          <t>AM11</t>
        </is>
      </c>
      <c r="F10209" s="5" t="n">
        <v>964.22</v>
      </c>
      <c r="G10209">
        <f>IF(LEFT(B10209,1)="C","Credit","Factuur")</f>
        <v/>
      </c>
      <c r="H10209">
        <f>IF(AND(B10209=B10208,D10209=D10208,A10209=A10208,F10209=F10208),1,0)</f>
        <v/>
      </c>
      <c r="I10209">
        <f>IF(C10209="C99999",1,0)</f>
        <v/>
      </c>
      <c r="J10209" s="5">
        <f>IF(OR(H10209=1,I10209=1),0,IF(G10209="Credit",-F10209,F10209))</f>
        <v/>
      </c>
    </row>
    <row r="10210">
      <c r="A10210" t="inlineStr">
        <is>
          <t>2026-09-29</t>
        </is>
      </c>
      <c r="B10210" t="inlineStr">
        <is>
          <t>F274008</t>
        </is>
      </c>
      <c r="C10210" t="inlineStr">
        <is>
          <t>C10740</t>
        </is>
      </c>
      <c r="D10210" t="inlineStr">
        <is>
          <t>SKU-10306</t>
        </is>
      </c>
      <c r="E10210" t="inlineStr">
        <is>
          <t>AM11</t>
        </is>
      </c>
      <c r="F10210" s="5" t="n">
        <v>1025.61</v>
      </c>
      <c r="G10210">
        <f>IF(LEFT(B10210,1)="C","Credit","Factuur")</f>
        <v/>
      </c>
      <c r="H10210">
        <f>IF(AND(B10210=B10209,D10210=D10209,A10210=A10209,F10210=F10209),1,0)</f>
        <v/>
      </c>
      <c r="I10210">
        <f>IF(C10210="C99999",1,0)</f>
        <v/>
      </c>
      <c r="J10210" s="5">
        <f>IF(OR(H10210=1,I10210=1),0,IF(G10210="Credit",-F10210,F10210))</f>
        <v/>
      </c>
    </row>
    <row r="10211">
      <c r="A10211" t="inlineStr">
        <is>
          <t>2026-09-29</t>
        </is>
      </c>
      <c r="B10211" t="inlineStr">
        <is>
          <t>F274978</t>
        </is>
      </c>
      <c r="C10211" t="inlineStr">
        <is>
          <t>C10790</t>
        </is>
      </c>
      <c r="D10211" t="inlineStr">
        <is>
          <t>SKU-10010</t>
        </is>
      </c>
      <c r="E10211" t="inlineStr">
        <is>
          <t>AM03</t>
        </is>
      </c>
      <c r="F10211" s="5" t="n">
        <v>88.23999999999999</v>
      </c>
      <c r="G10211">
        <f>IF(LEFT(B10211,1)="C","Credit","Factuur")</f>
        <v/>
      </c>
      <c r="H10211">
        <f>IF(AND(B10211=B10210,D10211=D10210,A10211=A10210,F10211=F10210),1,0)</f>
        <v/>
      </c>
      <c r="I10211">
        <f>IF(C10211="C99999",1,0)</f>
        <v/>
      </c>
      <c r="J10211" s="5">
        <f>IF(OR(H10211=1,I10211=1),0,IF(G10211="Credit",-F10211,F10211))</f>
        <v/>
      </c>
    </row>
    <row r="10212">
      <c r="A10212" t="inlineStr">
        <is>
          <t>2026-09-29</t>
        </is>
      </c>
      <c r="B10212" t="inlineStr">
        <is>
          <t>F274978</t>
        </is>
      </c>
      <c r="C10212" t="inlineStr">
        <is>
          <t>C10790</t>
        </is>
      </c>
      <c r="D10212" t="inlineStr">
        <is>
          <t>SKU-10013</t>
        </is>
      </c>
      <c r="E10212" t="inlineStr">
        <is>
          <t>AM03</t>
        </is>
      </c>
      <c r="F10212" s="5" t="n">
        <v>112.83</v>
      </c>
      <c r="G10212">
        <f>IF(LEFT(B10212,1)="C","Credit","Factuur")</f>
        <v/>
      </c>
      <c r="H10212">
        <f>IF(AND(B10212=B10211,D10212=D10211,A10212=A10211,F10212=F10211),1,0)</f>
        <v/>
      </c>
      <c r="I10212">
        <f>IF(C10212="C99999",1,0)</f>
        <v/>
      </c>
      <c r="J10212" s="5">
        <f>IF(OR(H10212=1,I10212=1),0,IF(G10212="Credit",-F10212,F10212))</f>
        <v/>
      </c>
    </row>
    <row r="10213">
      <c r="A10213" t="inlineStr">
        <is>
          <t>2026-09-29</t>
        </is>
      </c>
      <c r="B10213" t="inlineStr">
        <is>
          <t>F274978</t>
        </is>
      </c>
      <c r="C10213" t="inlineStr">
        <is>
          <t>C10790</t>
        </is>
      </c>
      <c r="D10213" t="inlineStr">
        <is>
          <t>SKU-10138</t>
        </is>
      </c>
      <c r="E10213" t="inlineStr">
        <is>
          <t>AM03</t>
        </is>
      </c>
      <c r="F10213" s="5" t="n">
        <v>101.96</v>
      </c>
      <c r="G10213">
        <f>IF(LEFT(B10213,1)="C","Credit","Factuur")</f>
        <v/>
      </c>
      <c r="H10213">
        <f>IF(AND(B10213=B10212,D10213=D10212,A10213=A10212,F10213=F10212),1,0)</f>
        <v/>
      </c>
      <c r="I10213">
        <f>IF(C10213="C99999",1,0)</f>
        <v/>
      </c>
      <c r="J10213" s="5">
        <f>IF(OR(H10213=1,I10213=1),0,IF(G10213="Credit",-F10213,F10213))</f>
        <v/>
      </c>
    </row>
    <row r="10214">
      <c r="A10214" t="inlineStr">
        <is>
          <t>2026-09-29</t>
        </is>
      </c>
      <c r="B10214" t="inlineStr">
        <is>
          <t>F275036</t>
        </is>
      </c>
      <c r="C10214" t="inlineStr">
        <is>
          <t>C10792</t>
        </is>
      </c>
      <c r="D10214" t="inlineStr">
        <is>
          <t>SKU-10249</t>
        </is>
      </c>
      <c r="E10214" t="inlineStr">
        <is>
          <t>AM12</t>
        </is>
      </c>
      <c r="F10214" s="5" t="n">
        <v>1211.35</v>
      </c>
      <c r="G10214">
        <f>IF(LEFT(B10214,1)="C","Credit","Factuur")</f>
        <v/>
      </c>
      <c r="H10214">
        <f>IF(AND(B10214=B10213,D10214=D10213,A10214=A10213,F10214=F10213),1,0)</f>
        <v/>
      </c>
      <c r="I10214">
        <f>IF(C10214="C99999",1,0)</f>
        <v/>
      </c>
      <c r="J10214" s="5">
        <f>IF(OR(H10214=1,I10214=1),0,IF(G10214="Credit",-F10214,F10214))</f>
        <v/>
      </c>
    </row>
    <row r="10215">
      <c r="A10215" t="inlineStr">
        <is>
          <t>2026-09-29</t>
        </is>
      </c>
      <c r="B10215" t="inlineStr">
        <is>
          <t>F275201</t>
        </is>
      </c>
      <c r="C10215" t="inlineStr">
        <is>
          <t>C10801</t>
        </is>
      </c>
      <c r="D10215" t="inlineStr">
        <is>
          <t>SKU-10045</t>
        </is>
      </c>
      <c r="E10215" t="inlineStr">
        <is>
          <t>AM01</t>
        </is>
      </c>
      <c r="F10215" s="5" t="n">
        <v>38.91</v>
      </c>
      <c r="G10215">
        <f>IF(LEFT(B10215,1)="C","Credit","Factuur")</f>
        <v/>
      </c>
      <c r="H10215">
        <f>IF(AND(B10215=B10214,D10215=D10214,A10215=A10214,F10215=F10214),1,0)</f>
        <v/>
      </c>
      <c r="I10215">
        <f>IF(C10215="C99999",1,0)</f>
        <v/>
      </c>
      <c r="J10215" s="5">
        <f>IF(OR(H10215=1,I10215=1),0,IF(G10215="Credit",-F10215,F10215))</f>
        <v/>
      </c>
    </row>
    <row r="10216">
      <c r="A10216" t="inlineStr">
        <is>
          <t>2026-09-29</t>
        </is>
      </c>
      <c r="B10216" t="inlineStr">
        <is>
          <t>F275201</t>
        </is>
      </c>
      <c r="C10216" t="inlineStr">
        <is>
          <t>C10801</t>
        </is>
      </c>
      <c r="D10216" t="inlineStr">
        <is>
          <t>SKU-10096</t>
        </is>
      </c>
      <c r="E10216" t="inlineStr">
        <is>
          <t>AM01</t>
        </is>
      </c>
      <c r="F10216" s="5" t="n">
        <v>57.21</v>
      </c>
      <c r="G10216">
        <f>IF(LEFT(B10216,1)="C","Credit","Factuur")</f>
        <v/>
      </c>
      <c r="H10216">
        <f>IF(AND(B10216=B10215,D10216=D10215,A10216=A10215,F10216=F10215),1,0)</f>
        <v/>
      </c>
      <c r="I10216">
        <f>IF(C10216="C99999",1,0)</f>
        <v/>
      </c>
      <c r="J10216" s="5">
        <f>IF(OR(H10216=1,I10216=1),0,IF(G10216="Credit",-F10216,F10216))</f>
        <v/>
      </c>
    </row>
    <row r="10217">
      <c r="A10217" t="inlineStr">
        <is>
          <t>2026-09-29</t>
        </is>
      </c>
      <c r="B10217" t="inlineStr">
        <is>
          <t>F275201</t>
        </is>
      </c>
      <c r="C10217" t="inlineStr">
        <is>
          <t>C10801</t>
        </is>
      </c>
      <c r="D10217" t="inlineStr">
        <is>
          <t>SKU-10187</t>
        </is>
      </c>
      <c r="E10217" t="inlineStr"/>
      <c r="F10217" s="5" t="n">
        <v>36.56</v>
      </c>
      <c r="G10217">
        <f>IF(LEFT(B10217,1)="C","Credit","Factuur")</f>
        <v/>
      </c>
      <c r="H10217">
        <f>IF(AND(B10217=B10216,D10217=D10216,A10217=A10216,F10217=F10216),1,0)</f>
        <v/>
      </c>
      <c r="I10217">
        <f>IF(C10217="C99999",1,0)</f>
        <v/>
      </c>
      <c r="J10217" s="5">
        <f>IF(OR(H10217=1,I10217=1),0,IF(G10217="Credit",-F10217,F10217))</f>
        <v/>
      </c>
    </row>
    <row r="10218">
      <c r="A10218" t="inlineStr">
        <is>
          <t>2026-09-29</t>
        </is>
      </c>
      <c r="B10218" t="inlineStr">
        <is>
          <t>F275201</t>
        </is>
      </c>
      <c r="C10218" t="inlineStr">
        <is>
          <t>C10801</t>
        </is>
      </c>
      <c r="D10218" t="inlineStr">
        <is>
          <t>SKU-10316</t>
        </is>
      </c>
      <c r="E10218" t="inlineStr">
        <is>
          <t>AM01</t>
        </is>
      </c>
      <c r="F10218" s="5" t="n">
        <v>28.69</v>
      </c>
      <c r="G10218">
        <f>IF(LEFT(B10218,1)="C","Credit","Factuur")</f>
        <v/>
      </c>
      <c r="H10218">
        <f>IF(AND(B10218=B10217,D10218=D10217,A10218=A10217,F10218=F10217),1,0)</f>
        <v/>
      </c>
      <c r="I10218">
        <f>IF(C10218="C99999",1,0)</f>
        <v/>
      </c>
      <c r="J10218" s="5">
        <f>IF(OR(H10218=1,I10218=1),0,IF(G10218="Credit",-F10218,F10218))</f>
        <v/>
      </c>
    </row>
    <row r="10219">
      <c r="A10219" t="inlineStr">
        <is>
          <t>2026-09-29</t>
        </is>
      </c>
      <c r="B10219" t="inlineStr">
        <is>
          <t>F275682</t>
        </is>
      </c>
      <c r="C10219" t="inlineStr">
        <is>
          <t>C10830</t>
        </is>
      </c>
      <c r="D10219" t="inlineStr">
        <is>
          <t>SKU-10049</t>
        </is>
      </c>
      <c r="E10219" t="inlineStr">
        <is>
          <t>AM07</t>
        </is>
      </c>
      <c r="F10219" s="5" t="n">
        <v>1243.94</v>
      </c>
      <c r="G10219">
        <f>IF(LEFT(B10219,1)="C","Credit","Factuur")</f>
        <v/>
      </c>
      <c r="H10219">
        <f>IF(AND(B10219=B10218,D10219=D10218,A10219=A10218,F10219=F10218),1,0)</f>
        <v/>
      </c>
      <c r="I10219">
        <f>IF(C10219="C99999",1,0)</f>
        <v/>
      </c>
      <c r="J10219" s="5">
        <f>IF(OR(H10219=1,I10219=1),0,IF(G10219="Credit",-F10219,F10219))</f>
        <v/>
      </c>
    </row>
    <row r="10220">
      <c r="A10220" t="inlineStr">
        <is>
          <t>2026-09-29</t>
        </is>
      </c>
      <c r="B10220" t="inlineStr">
        <is>
          <t>F277932</t>
        </is>
      </c>
      <c r="C10220" t="inlineStr">
        <is>
          <t>C10951</t>
        </is>
      </c>
      <c r="D10220" t="inlineStr">
        <is>
          <t>SKU-10159</t>
        </is>
      </c>
      <c r="E10220" t="inlineStr">
        <is>
          <t>AM06</t>
        </is>
      </c>
      <c r="F10220" s="5" t="n">
        <v>1587.45</v>
      </c>
      <c r="G10220">
        <f>IF(LEFT(B10220,1)="C","Credit","Factuur")</f>
        <v/>
      </c>
      <c r="H10220">
        <f>IF(AND(B10220=B10219,D10220=D10219,A10220=A10219,F10220=F10219),1,0)</f>
        <v/>
      </c>
      <c r="I10220">
        <f>IF(C10220="C99999",1,0)</f>
        <v/>
      </c>
      <c r="J10220" s="5">
        <f>IF(OR(H10220=1,I10220=1),0,IF(G10220="Credit",-F10220,F10220))</f>
        <v/>
      </c>
    </row>
    <row r="10221">
      <c r="A10221" t="inlineStr">
        <is>
          <t>2026-09-29</t>
        </is>
      </c>
      <c r="B10221" t="inlineStr">
        <is>
          <t>F277932</t>
        </is>
      </c>
      <c r="C10221" t="inlineStr">
        <is>
          <t>C10951</t>
        </is>
      </c>
      <c r="D10221" t="inlineStr">
        <is>
          <t>SKU-10296</t>
        </is>
      </c>
      <c r="E10221" t="inlineStr">
        <is>
          <t>AM06</t>
        </is>
      </c>
      <c r="F10221" s="5" t="n">
        <v>1581.3</v>
      </c>
      <c r="G10221">
        <f>IF(LEFT(B10221,1)="C","Credit","Factuur")</f>
        <v/>
      </c>
      <c r="H10221">
        <f>IF(AND(B10221=B10220,D10221=D10220,A10221=A10220,F10221=F10220),1,0)</f>
        <v/>
      </c>
      <c r="I10221">
        <f>IF(C10221="C99999",1,0)</f>
        <v/>
      </c>
      <c r="J10221" s="5">
        <f>IF(OR(H10221=1,I10221=1),0,IF(G10221="Credit",-F10221,F10221))</f>
        <v/>
      </c>
    </row>
    <row r="10222">
      <c r="A10222" t="inlineStr">
        <is>
          <t>2026-09-29</t>
        </is>
      </c>
      <c r="B10222" t="inlineStr">
        <is>
          <t>F277932</t>
        </is>
      </c>
      <c r="C10222" t="inlineStr">
        <is>
          <t>C10951</t>
        </is>
      </c>
      <c r="D10222" t="inlineStr">
        <is>
          <t>SKU-10315</t>
        </is>
      </c>
      <c r="E10222" t="inlineStr">
        <is>
          <t>AM06</t>
        </is>
      </c>
      <c r="F10222" s="5" t="n">
        <v>1579.05</v>
      </c>
      <c r="G10222">
        <f>IF(LEFT(B10222,1)="C","Credit","Factuur")</f>
        <v/>
      </c>
      <c r="H10222">
        <f>IF(AND(B10222=B10221,D10222=D10221,A10222=A10221,F10222=F10221),1,0)</f>
        <v/>
      </c>
      <c r="I10222">
        <f>IF(C10222="C99999",1,0)</f>
        <v/>
      </c>
      <c r="J10222" s="5">
        <f>IF(OR(H10222=1,I10222=1),0,IF(G10222="Credit",-F10222,F10222))</f>
        <v/>
      </c>
    </row>
    <row r="10223">
      <c r="A10223" t="inlineStr">
        <is>
          <t>2026-09-29</t>
        </is>
      </c>
      <c r="B10223" t="inlineStr">
        <is>
          <t>F278998</t>
        </is>
      </c>
      <c r="C10223" t="inlineStr">
        <is>
          <t>C11007</t>
        </is>
      </c>
      <c r="D10223" t="inlineStr">
        <is>
          <t>SKU-10077</t>
        </is>
      </c>
      <c r="E10223" t="inlineStr">
        <is>
          <t>AM11</t>
        </is>
      </c>
      <c r="F10223" s="5" t="n">
        <v>225.9</v>
      </c>
      <c r="G10223">
        <f>IF(LEFT(B10223,1)="C","Credit","Factuur")</f>
        <v/>
      </c>
      <c r="H10223">
        <f>IF(AND(B10223=B10222,D10223=D10222,A10223=A10222,F10223=F10222),1,0)</f>
        <v/>
      </c>
      <c r="I10223">
        <f>IF(C10223="C99999",1,0)</f>
        <v/>
      </c>
      <c r="J10223" s="5">
        <f>IF(OR(H10223=1,I10223=1),0,IF(G10223="Credit",-F10223,F10223))</f>
        <v/>
      </c>
    </row>
    <row r="10224">
      <c r="A10224" t="inlineStr">
        <is>
          <t>2026-09-29</t>
        </is>
      </c>
      <c r="B10224" t="inlineStr">
        <is>
          <t>F278998</t>
        </is>
      </c>
      <c r="C10224" t="inlineStr">
        <is>
          <t>C11007</t>
        </is>
      </c>
      <c r="D10224" t="inlineStr">
        <is>
          <t>SKU-10293</t>
        </is>
      </c>
      <c r="E10224" t="inlineStr">
        <is>
          <t>AM11</t>
        </is>
      </c>
      <c r="F10224" s="5" t="n">
        <v>222.64</v>
      </c>
      <c r="G10224">
        <f>IF(LEFT(B10224,1)="C","Credit","Factuur")</f>
        <v/>
      </c>
      <c r="H10224">
        <f>IF(AND(B10224=B10223,D10224=D10223,A10224=A10223,F10224=F10223),1,0)</f>
        <v/>
      </c>
      <c r="I10224">
        <f>IF(C10224="C99999",1,0)</f>
        <v/>
      </c>
      <c r="J10224" s="5">
        <f>IF(OR(H10224=1,I10224=1),0,IF(G10224="Credit",-F10224,F10224))</f>
        <v/>
      </c>
    </row>
    <row r="10225">
      <c r="A10225" t="inlineStr">
        <is>
          <t>2026-09-29</t>
        </is>
      </c>
      <c r="B10225" t="inlineStr">
        <is>
          <t>F278998</t>
        </is>
      </c>
      <c r="C10225" t="inlineStr">
        <is>
          <t>C11007</t>
        </is>
      </c>
      <c r="D10225" t="inlineStr">
        <is>
          <t>SKU-10304</t>
        </is>
      </c>
      <c r="E10225" t="inlineStr">
        <is>
          <t>AM11</t>
        </is>
      </c>
      <c r="F10225" s="5" t="n">
        <v>217.74</v>
      </c>
      <c r="G10225">
        <f>IF(LEFT(B10225,1)="C","Credit","Factuur")</f>
        <v/>
      </c>
      <c r="H10225">
        <f>IF(AND(B10225=B10224,D10225=D10224,A10225=A10224,F10225=F10224),1,0)</f>
        <v/>
      </c>
      <c r="I10225">
        <f>IF(C10225="C99999",1,0)</f>
        <v/>
      </c>
      <c r="J10225" s="5">
        <f>IF(OR(H10225=1,I10225=1),0,IF(G10225="Credit",-F10225,F10225))</f>
        <v/>
      </c>
    </row>
    <row r="10226">
      <c r="A10226" t="inlineStr">
        <is>
          <t>2026-09-29</t>
        </is>
      </c>
      <c r="B10226" t="inlineStr">
        <is>
          <t>F278998</t>
        </is>
      </c>
      <c r="C10226" t="inlineStr">
        <is>
          <t>C11007</t>
        </is>
      </c>
      <c r="D10226" t="inlineStr">
        <is>
          <t>SKU-10330</t>
        </is>
      </c>
      <c r="E10226" t="inlineStr">
        <is>
          <t>AM11</t>
        </is>
      </c>
      <c r="F10226" s="5" t="n">
        <v>226.32</v>
      </c>
      <c r="G10226">
        <f>IF(LEFT(B10226,1)="C","Credit","Factuur")</f>
        <v/>
      </c>
      <c r="H10226">
        <f>IF(AND(B10226=B10225,D10226=D10225,A10226=A10225,F10226=F10225),1,0)</f>
        <v/>
      </c>
      <c r="I10226">
        <f>IF(C10226="C99999",1,0)</f>
        <v/>
      </c>
      <c r="J10226" s="5">
        <f>IF(OR(H10226=1,I10226=1),0,IF(G10226="Credit",-F10226,F10226))</f>
        <v/>
      </c>
    </row>
    <row r="10227">
      <c r="A10227" t="inlineStr">
        <is>
          <t>2026-09-29</t>
        </is>
      </c>
      <c r="B10227" t="inlineStr">
        <is>
          <t>F279965</t>
        </is>
      </c>
      <c r="C10227" t="inlineStr">
        <is>
          <t>C11055</t>
        </is>
      </c>
      <c r="D10227" t="inlineStr">
        <is>
          <t>SKU-10223</t>
        </is>
      </c>
      <c r="E10227" t="inlineStr">
        <is>
          <t>AM03</t>
        </is>
      </c>
      <c r="F10227" s="5" t="n">
        <v>881.65</v>
      </c>
      <c r="G10227">
        <f>IF(LEFT(B10227,1)="C","Credit","Factuur")</f>
        <v/>
      </c>
      <c r="H10227">
        <f>IF(AND(B10227=B10226,D10227=D10226,A10227=A10226,F10227=F10226),1,0)</f>
        <v/>
      </c>
      <c r="I10227">
        <f>IF(C10227="C99999",1,0)</f>
        <v/>
      </c>
      <c r="J10227" s="5">
        <f>IF(OR(H10227=1,I10227=1),0,IF(G10227="Credit",-F10227,F10227))</f>
        <v/>
      </c>
    </row>
    <row r="10228">
      <c r="A10228" t="inlineStr">
        <is>
          <t>2026-09-29</t>
        </is>
      </c>
      <c r="B10228" t="inlineStr">
        <is>
          <t>F280558</t>
        </is>
      </c>
      <c r="C10228" t="inlineStr">
        <is>
          <t>C11083</t>
        </is>
      </c>
      <c r="D10228" t="inlineStr">
        <is>
          <t>SKU-10027</t>
        </is>
      </c>
      <c r="E10228" t="inlineStr">
        <is>
          <t>AM11</t>
        </is>
      </c>
      <c r="F10228" s="5" t="n">
        <v>157.72</v>
      </c>
      <c r="G10228">
        <f>IF(LEFT(B10228,1)="C","Credit","Factuur")</f>
        <v/>
      </c>
      <c r="H10228">
        <f>IF(AND(B10228=B10227,D10228=D10227,A10228=A10227,F10228=F10227),1,0)</f>
        <v/>
      </c>
      <c r="I10228">
        <f>IF(C10228="C99999",1,0)</f>
        <v/>
      </c>
      <c r="J10228" s="5">
        <f>IF(OR(H10228=1,I10228=1),0,IF(G10228="Credit",-F10228,F10228))</f>
        <v/>
      </c>
    </row>
    <row r="10229">
      <c r="A10229" t="inlineStr">
        <is>
          <t>2026-09-29</t>
        </is>
      </c>
      <c r="B10229" t="inlineStr">
        <is>
          <t>F280558</t>
        </is>
      </c>
      <c r="C10229" t="inlineStr">
        <is>
          <t>C11083</t>
        </is>
      </c>
      <c r="D10229" t="inlineStr">
        <is>
          <t>SKU-10309</t>
        </is>
      </c>
      <c r="E10229" t="inlineStr">
        <is>
          <t>AM11</t>
        </is>
      </c>
      <c r="F10229" s="5" t="n">
        <v>138.63</v>
      </c>
      <c r="G10229">
        <f>IF(LEFT(B10229,1)="C","Credit","Factuur")</f>
        <v/>
      </c>
      <c r="H10229">
        <f>IF(AND(B10229=B10228,D10229=D10228,A10229=A10228,F10229=F10228),1,0)</f>
        <v/>
      </c>
      <c r="I10229">
        <f>IF(C10229="C99999",1,0)</f>
        <v/>
      </c>
      <c r="J10229" s="5">
        <f>IF(OR(H10229=1,I10229=1),0,IF(G10229="Credit",-F10229,F10229))</f>
        <v/>
      </c>
    </row>
    <row r="10230">
      <c r="A10230" t="inlineStr">
        <is>
          <t>2026-09-29</t>
        </is>
      </c>
      <c r="B10230" t="inlineStr">
        <is>
          <t>F280886</t>
        </is>
      </c>
      <c r="C10230" t="inlineStr">
        <is>
          <t>C11100</t>
        </is>
      </c>
      <c r="D10230" t="inlineStr">
        <is>
          <t>SKU-10104</t>
        </is>
      </c>
      <c r="E10230" t="inlineStr">
        <is>
          <t>AM12</t>
        </is>
      </c>
      <c r="F10230" s="5" t="n">
        <v>2096.22</v>
      </c>
      <c r="G10230">
        <f>IF(LEFT(B10230,1)="C","Credit","Factuur")</f>
        <v/>
      </c>
      <c r="H10230">
        <f>IF(AND(B10230=B10229,D10230=D10229,A10230=A10229,F10230=F10229),1,0)</f>
        <v/>
      </c>
      <c r="I10230">
        <f>IF(C10230="C99999",1,0)</f>
        <v/>
      </c>
      <c r="J10230" s="5">
        <f>IF(OR(H10230=1,I10230=1),0,IF(G10230="Credit",-F10230,F10230))</f>
        <v/>
      </c>
    </row>
    <row r="10231">
      <c r="A10231" t="inlineStr">
        <is>
          <t>2026-09-29</t>
        </is>
      </c>
      <c r="B10231" t="inlineStr">
        <is>
          <t>F280886</t>
        </is>
      </c>
      <c r="C10231" t="inlineStr">
        <is>
          <t>C11100</t>
        </is>
      </c>
      <c r="D10231" t="inlineStr">
        <is>
          <t>SKU-10128</t>
        </is>
      </c>
      <c r="E10231" t="inlineStr">
        <is>
          <t>AM12</t>
        </is>
      </c>
      <c r="F10231" s="5" t="n">
        <v>2071.18</v>
      </c>
      <c r="G10231">
        <f>IF(LEFT(B10231,1)="C","Credit","Factuur")</f>
        <v/>
      </c>
      <c r="H10231">
        <f>IF(AND(B10231=B10230,D10231=D10230,A10231=A10230,F10231=F10230),1,0)</f>
        <v/>
      </c>
      <c r="I10231">
        <f>IF(C10231="C99999",1,0)</f>
        <v/>
      </c>
      <c r="J10231" s="5">
        <f>IF(OR(H10231=1,I10231=1),0,IF(G10231="Credit",-F10231,F10231))</f>
        <v/>
      </c>
    </row>
    <row r="10232">
      <c r="A10232" t="inlineStr">
        <is>
          <t>2026-09-29</t>
        </is>
      </c>
      <c r="B10232" t="inlineStr">
        <is>
          <t>F280947</t>
        </is>
      </c>
      <c r="C10232" t="inlineStr">
        <is>
          <t>C11105</t>
        </is>
      </c>
      <c r="D10232" t="inlineStr">
        <is>
          <t>SKU-10067</t>
        </is>
      </c>
      <c r="E10232" t="inlineStr">
        <is>
          <t>AM12</t>
        </is>
      </c>
      <c r="F10232" s="5" t="n">
        <v>58.06</v>
      </c>
      <c r="G10232">
        <f>IF(LEFT(B10232,1)="C","Credit","Factuur")</f>
        <v/>
      </c>
      <c r="H10232">
        <f>IF(AND(B10232=B10231,D10232=D10231,A10232=A10231,F10232=F10231),1,0)</f>
        <v/>
      </c>
      <c r="I10232">
        <f>IF(C10232="C99999",1,0)</f>
        <v/>
      </c>
      <c r="J10232" s="5">
        <f>IF(OR(H10232=1,I10232=1),0,IF(G10232="Credit",-F10232,F10232))</f>
        <v/>
      </c>
    </row>
    <row r="10233">
      <c r="A10233" t="inlineStr">
        <is>
          <t>2026-09-29</t>
        </is>
      </c>
      <c r="B10233" t="inlineStr">
        <is>
          <t>F280947</t>
        </is>
      </c>
      <c r="C10233" t="inlineStr">
        <is>
          <t>C11105</t>
        </is>
      </c>
      <c r="D10233" t="inlineStr">
        <is>
          <t>SKU-10142</t>
        </is>
      </c>
      <c r="E10233" t="inlineStr">
        <is>
          <t>AM12</t>
        </is>
      </c>
      <c r="F10233" s="5" t="n">
        <v>68.84</v>
      </c>
      <c r="G10233">
        <f>IF(LEFT(B10233,1)="C","Credit","Factuur")</f>
        <v/>
      </c>
      <c r="H10233">
        <f>IF(AND(B10233=B10232,D10233=D10232,A10233=A10232,F10233=F10232),1,0)</f>
        <v/>
      </c>
      <c r="I10233">
        <f>IF(C10233="C99999",1,0)</f>
        <v/>
      </c>
      <c r="J10233" s="5">
        <f>IF(OR(H10233=1,I10233=1),0,IF(G10233="Credit",-F10233,F10233))</f>
        <v/>
      </c>
    </row>
    <row r="10234">
      <c r="A10234" t="inlineStr">
        <is>
          <t>2026-09-29</t>
        </is>
      </c>
      <c r="B10234" t="inlineStr">
        <is>
          <t>F280947</t>
        </is>
      </c>
      <c r="C10234" t="inlineStr">
        <is>
          <t>C11105</t>
        </is>
      </c>
      <c r="D10234" t="inlineStr">
        <is>
          <t>SKU-10240</t>
        </is>
      </c>
      <c r="E10234" t="inlineStr">
        <is>
          <t>AM12</t>
        </is>
      </c>
      <c r="F10234" s="5" t="n">
        <v>60.51</v>
      </c>
      <c r="G10234">
        <f>IF(LEFT(B10234,1)="C","Credit","Factuur")</f>
        <v/>
      </c>
      <c r="H10234">
        <f>IF(AND(B10234=B10233,D10234=D10233,A10234=A10233,F10234=F10233),1,0)</f>
        <v/>
      </c>
      <c r="I10234">
        <f>IF(C10234="C99999",1,0)</f>
        <v/>
      </c>
      <c r="J10234" s="5">
        <f>IF(OR(H10234=1,I10234=1),0,IF(G10234="Credit",-F10234,F10234))</f>
        <v/>
      </c>
    </row>
    <row r="10235">
      <c r="A10235" t="inlineStr">
        <is>
          <t>2026-09-29</t>
        </is>
      </c>
      <c r="B10235" t="inlineStr">
        <is>
          <t>F280947</t>
        </is>
      </c>
      <c r="C10235" t="inlineStr">
        <is>
          <t>C11105</t>
        </is>
      </c>
      <c r="D10235" t="inlineStr">
        <is>
          <t>SKU-10314</t>
        </is>
      </c>
      <c r="E10235" t="inlineStr">
        <is>
          <t>AM12</t>
        </is>
      </c>
      <c r="F10235" s="5" t="n">
        <v>67.03</v>
      </c>
      <c r="G10235">
        <f>IF(LEFT(B10235,1)="C","Credit","Factuur")</f>
        <v/>
      </c>
      <c r="H10235">
        <f>IF(AND(B10235=B10234,D10235=D10234,A10235=A10234,F10235=F10234),1,0)</f>
        <v/>
      </c>
      <c r="I10235">
        <f>IF(C10235="C99999",1,0)</f>
        <v/>
      </c>
      <c r="J10235" s="5">
        <f>IF(OR(H10235=1,I10235=1),0,IF(G10235="Credit",-F10235,F10235))</f>
        <v/>
      </c>
    </row>
    <row r="10236">
      <c r="A10236" t="inlineStr">
        <is>
          <t>2026-09-29</t>
        </is>
      </c>
      <c r="B10236" t="inlineStr">
        <is>
          <t>F280947</t>
        </is>
      </c>
      <c r="C10236" t="inlineStr">
        <is>
          <t>C11105</t>
        </is>
      </c>
      <c r="D10236" t="inlineStr">
        <is>
          <t>SKU-10338</t>
        </is>
      </c>
      <c r="E10236" t="inlineStr">
        <is>
          <t>AM12</t>
        </is>
      </c>
      <c r="F10236" s="5" t="n">
        <v>75.64</v>
      </c>
      <c r="G10236">
        <f>IF(LEFT(B10236,1)="C","Credit","Factuur")</f>
        <v/>
      </c>
      <c r="H10236">
        <f>IF(AND(B10236=B10235,D10236=D10235,A10236=A10235,F10236=F10235),1,0)</f>
        <v/>
      </c>
      <c r="I10236">
        <f>IF(C10236="C99999",1,0)</f>
        <v/>
      </c>
      <c r="J10236" s="5">
        <f>IF(OR(H10236=1,I10236=1),0,IF(G10236="Credit",-F10236,F10236))</f>
        <v/>
      </c>
    </row>
    <row r="10237">
      <c r="A10237" t="inlineStr">
        <is>
          <t>2026-09-29</t>
        </is>
      </c>
      <c r="B10237" t="inlineStr">
        <is>
          <t>F281026</t>
        </is>
      </c>
      <c r="C10237" t="inlineStr">
        <is>
          <t>C11108</t>
        </is>
      </c>
      <c r="D10237" t="inlineStr">
        <is>
          <t>SKU-10046</t>
        </is>
      </c>
      <c r="E10237" t="inlineStr">
        <is>
          <t>AM01</t>
        </is>
      </c>
      <c r="F10237" s="5" t="n">
        <v>2280.21</v>
      </c>
      <c r="G10237">
        <f>IF(LEFT(B10237,1)="C","Credit","Factuur")</f>
        <v/>
      </c>
      <c r="H10237">
        <f>IF(AND(B10237=B10236,D10237=D10236,A10237=A10236,F10237=F10236),1,0)</f>
        <v/>
      </c>
      <c r="I10237">
        <f>IF(C10237="C99999",1,0)</f>
        <v/>
      </c>
      <c r="J10237" s="5">
        <f>IF(OR(H10237=1,I10237=1),0,IF(G10237="Credit",-F10237,F10237))</f>
        <v/>
      </c>
    </row>
    <row r="10238">
      <c r="A10238" t="inlineStr">
        <is>
          <t>2026-09-29</t>
        </is>
      </c>
      <c r="B10238" t="inlineStr">
        <is>
          <t>F281080</t>
        </is>
      </c>
      <c r="C10238" t="inlineStr">
        <is>
          <t>C11111</t>
        </is>
      </c>
      <c r="D10238" t="inlineStr">
        <is>
          <t>SKU-10047</t>
        </is>
      </c>
      <c r="E10238" t="inlineStr">
        <is>
          <t>AM03</t>
        </is>
      </c>
      <c r="F10238" s="5" t="n">
        <v>122.11</v>
      </c>
      <c r="G10238">
        <f>IF(LEFT(B10238,1)="C","Credit","Factuur")</f>
        <v/>
      </c>
      <c r="H10238">
        <f>IF(AND(B10238=B10237,D10238=D10237,A10238=A10237,F10238=F10237),1,0)</f>
        <v/>
      </c>
      <c r="I10238">
        <f>IF(C10238="C99999",1,0)</f>
        <v/>
      </c>
      <c r="J10238" s="5">
        <f>IF(OR(H10238=1,I10238=1),0,IF(G10238="Credit",-F10238,F10238))</f>
        <v/>
      </c>
    </row>
    <row r="10239">
      <c r="A10239" t="inlineStr">
        <is>
          <t>2026-09-29</t>
        </is>
      </c>
      <c r="B10239" t="inlineStr">
        <is>
          <t>F281080</t>
        </is>
      </c>
      <c r="C10239" t="inlineStr">
        <is>
          <t>C11111</t>
        </is>
      </c>
      <c r="D10239" t="inlineStr">
        <is>
          <t>SKU-10184</t>
        </is>
      </c>
      <c r="E10239" t="inlineStr">
        <is>
          <t>AM03</t>
        </is>
      </c>
      <c r="F10239" s="5" t="n">
        <v>132.29</v>
      </c>
      <c r="G10239">
        <f>IF(LEFT(B10239,1)="C","Credit","Factuur")</f>
        <v/>
      </c>
      <c r="H10239">
        <f>IF(AND(B10239=B10238,D10239=D10238,A10239=A10238,F10239=F10238),1,0)</f>
        <v/>
      </c>
      <c r="I10239">
        <f>IF(C10239="C99999",1,0)</f>
        <v/>
      </c>
      <c r="J10239" s="5">
        <f>IF(OR(H10239=1,I10239=1),0,IF(G10239="Credit",-F10239,F10239))</f>
        <v/>
      </c>
    </row>
    <row r="10240">
      <c r="A10240" t="inlineStr">
        <is>
          <t>2026-09-29</t>
        </is>
      </c>
      <c r="B10240" t="inlineStr">
        <is>
          <t>F281080</t>
        </is>
      </c>
      <c r="C10240" t="inlineStr">
        <is>
          <t>C11111</t>
        </is>
      </c>
      <c r="D10240" t="inlineStr">
        <is>
          <t>SKU-10228</t>
        </is>
      </c>
      <c r="E10240" t="inlineStr">
        <is>
          <t>AM03</t>
        </is>
      </c>
      <c r="F10240" s="5" t="n">
        <v>133.21</v>
      </c>
      <c r="G10240">
        <f>IF(LEFT(B10240,1)="C","Credit","Factuur")</f>
        <v/>
      </c>
      <c r="H10240">
        <f>IF(AND(B10240=B10239,D10240=D10239,A10240=A10239,F10240=F10239),1,0)</f>
        <v/>
      </c>
      <c r="I10240">
        <f>IF(C10240="C99999",1,0)</f>
        <v/>
      </c>
      <c r="J10240" s="5">
        <f>IF(OR(H10240=1,I10240=1),0,IF(G10240="Credit",-F10240,F10240))</f>
        <v/>
      </c>
    </row>
    <row r="10241">
      <c r="A10241" t="inlineStr">
        <is>
          <t>2026-09-29</t>
        </is>
      </c>
      <c r="B10241" t="inlineStr">
        <is>
          <t>F281755</t>
        </is>
      </c>
      <c r="C10241" t="inlineStr">
        <is>
          <t>C11146</t>
        </is>
      </c>
      <c r="D10241" t="inlineStr">
        <is>
          <t>SKU-10315</t>
        </is>
      </c>
      <c r="E10241" t="inlineStr">
        <is>
          <t>AM01</t>
        </is>
      </c>
      <c r="F10241" s="5" t="n">
        <v>1293.19</v>
      </c>
      <c r="G10241">
        <f>IF(LEFT(B10241,1)="C","Credit","Factuur")</f>
        <v/>
      </c>
      <c r="H10241">
        <f>IF(AND(B10241=B10240,D10241=D10240,A10241=A10240,F10241=F10240),1,0)</f>
        <v/>
      </c>
      <c r="I10241">
        <f>IF(C10241="C99999",1,0)</f>
        <v/>
      </c>
      <c r="J10241" s="5">
        <f>IF(OR(H10241=1,I10241=1),0,IF(G10241="Credit",-F10241,F10241))</f>
        <v/>
      </c>
    </row>
    <row r="10242">
      <c r="A10242" t="inlineStr">
        <is>
          <t>2026-09-29</t>
        </is>
      </c>
      <c r="B10242" t="inlineStr">
        <is>
          <t>F282805</t>
        </is>
      </c>
      <c r="C10242" t="inlineStr">
        <is>
          <t>C11198</t>
        </is>
      </c>
      <c r="D10242" t="inlineStr">
        <is>
          <t>SKU-10056</t>
        </is>
      </c>
      <c r="E10242" t="inlineStr">
        <is>
          <t>AM06</t>
        </is>
      </c>
      <c r="F10242" s="5" t="n">
        <v>60.8</v>
      </c>
      <c r="G10242">
        <f>IF(LEFT(B10242,1)="C","Credit","Factuur")</f>
        <v/>
      </c>
      <c r="H10242">
        <f>IF(AND(B10242=B10241,D10242=D10241,A10242=A10241,F10242=F10241),1,0)</f>
        <v/>
      </c>
      <c r="I10242">
        <f>IF(C10242="C99999",1,0)</f>
        <v/>
      </c>
      <c r="J10242" s="5">
        <f>IF(OR(H10242=1,I10242=1),0,IF(G10242="Credit",-F10242,F10242))</f>
        <v/>
      </c>
    </row>
    <row r="10243">
      <c r="A10243" t="inlineStr">
        <is>
          <t>2026-09-29</t>
        </is>
      </c>
      <c r="B10243" t="inlineStr">
        <is>
          <t>F282805</t>
        </is>
      </c>
      <c r="C10243" t="inlineStr">
        <is>
          <t>C11198</t>
        </is>
      </c>
      <c r="D10243" t="inlineStr">
        <is>
          <t>SKU-10065</t>
        </is>
      </c>
      <c r="E10243" t="inlineStr">
        <is>
          <t>AM06</t>
        </is>
      </c>
      <c r="F10243" s="5" t="n">
        <v>68.22</v>
      </c>
      <c r="G10243">
        <f>IF(LEFT(B10243,1)="C","Credit","Factuur")</f>
        <v/>
      </c>
      <c r="H10243">
        <f>IF(AND(B10243=B10242,D10243=D10242,A10243=A10242,F10243=F10242),1,0)</f>
        <v/>
      </c>
      <c r="I10243">
        <f>IF(C10243="C99999",1,0)</f>
        <v/>
      </c>
      <c r="J10243" s="5">
        <f>IF(OR(H10243=1,I10243=1),0,IF(G10243="Credit",-F10243,F10243))</f>
        <v/>
      </c>
    </row>
    <row r="10244">
      <c r="A10244" t="inlineStr">
        <is>
          <t>2026-09-29</t>
        </is>
      </c>
      <c r="B10244" t="inlineStr">
        <is>
          <t>F282805</t>
        </is>
      </c>
      <c r="C10244" t="inlineStr">
        <is>
          <t>C11198</t>
        </is>
      </c>
      <c r="D10244" t="inlineStr">
        <is>
          <t>SKU-10182</t>
        </is>
      </c>
      <c r="E10244" t="inlineStr">
        <is>
          <t>AM06</t>
        </is>
      </c>
      <c r="F10244" s="5" t="n">
        <v>65.39</v>
      </c>
      <c r="G10244">
        <f>IF(LEFT(B10244,1)="C","Credit","Factuur")</f>
        <v/>
      </c>
      <c r="H10244">
        <f>IF(AND(B10244=B10243,D10244=D10243,A10244=A10243,F10244=F10243),1,0)</f>
        <v/>
      </c>
      <c r="I10244">
        <f>IF(C10244="C99999",1,0)</f>
        <v/>
      </c>
      <c r="J10244" s="5">
        <f>IF(OR(H10244=1,I10244=1),0,IF(G10244="Credit",-F10244,F10244))</f>
        <v/>
      </c>
    </row>
    <row r="10245">
      <c r="A10245" t="inlineStr">
        <is>
          <t>2026-09-29</t>
        </is>
      </c>
      <c r="B10245" t="inlineStr">
        <is>
          <t>F282805</t>
        </is>
      </c>
      <c r="C10245" t="inlineStr">
        <is>
          <t>C11198</t>
        </is>
      </c>
      <c r="D10245" t="inlineStr">
        <is>
          <t>SKU-10298</t>
        </is>
      </c>
      <c r="E10245" t="inlineStr">
        <is>
          <t>AM06</t>
        </is>
      </c>
      <c r="F10245" s="5" t="n">
        <v>75.3</v>
      </c>
      <c r="G10245">
        <f>IF(LEFT(B10245,1)="C","Credit","Factuur")</f>
        <v/>
      </c>
      <c r="H10245">
        <f>IF(AND(B10245=B10244,D10245=D10244,A10245=A10244,F10245=F10244),1,0)</f>
        <v/>
      </c>
      <c r="I10245">
        <f>IF(C10245="C99999",1,0)</f>
        <v/>
      </c>
      <c r="J10245" s="5">
        <f>IF(OR(H10245=1,I10245=1),0,IF(G10245="Credit",-F10245,F10245))</f>
        <v/>
      </c>
    </row>
    <row r="10246">
      <c r="A10246" t="inlineStr">
        <is>
          <t>2026-09-29</t>
        </is>
      </c>
      <c r="B10246" t="inlineStr">
        <is>
          <t>F282805</t>
        </is>
      </c>
      <c r="C10246" t="inlineStr">
        <is>
          <t>C11198</t>
        </is>
      </c>
      <c r="D10246" t="inlineStr">
        <is>
          <t>SKU-10301</t>
        </is>
      </c>
      <c r="E10246" t="inlineStr">
        <is>
          <t>AM06</t>
        </is>
      </c>
      <c r="F10246" s="5" t="n">
        <v>57.8</v>
      </c>
      <c r="G10246">
        <f>IF(LEFT(B10246,1)="C","Credit","Factuur")</f>
        <v/>
      </c>
      <c r="H10246">
        <f>IF(AND(B10246=B10245,D10246=D10245,A10246=A10245,F10246=F10245),1,0)</f>
        <v/>
      </c>
      <c r="I10246">
        <f>IF(C10246="C99999",1,0)</f>
        <v/>
      </c>
      <c r="J10246" s="5">
        <f>IF(OR(H10246=1,I10246=1),0,IF(G10246="Credit",-F10246,F10246))</f>
        <v/>
      </c>
    </row>
    <row r="10247">
      <c r="A10247" t="inlineStr">
        <is>
          <t>2026-09-29</t>
        </is>
      </c>
      <c r="B10247" t="inlineStr">
        <is>
          <t>F282805</t>
        </is>
      </c>
      <c r="C10247" t="inlineStr">
        <is>
          <t>C11198</t>
        </is>
      </c>
      <c r="D10247" t="inlineStr">
        <is>
          <t>SKU-10337</t>
        </is>
      </c>
      <c r="E10247" t="inlineStr">
        <is>
          <t>AM06</t>
        </is>
      </c>
      <c r="F10247" s="5" t="n">
        <v>59.8</v>
      </c>
      <c r="G10247">
        <f>IF(LEFT(B10247,1)="C","Credit","Factuur")</f>
        <v/>
      </c>
      <c r="H10247">
        <f>IF(AND(B10247=B10246,D10247=D10246,A10247=A10246,F10247=F10246),1,0)</f>
        <v/>
      </c>
      <c r="I10247">
        <f>IF(C10247="C99999",1,0)</f>
        <v/>
      </c>
      <c r="J10247" s="5">
        <f>IF(OR(H10247=1,I10247=1),0,IF(G10247="Credit",-F10247,F10247))</f>
        <v/>
      </c>
    </row>
    <row r="10248">
      <c r="A10248" t="inlineStr">
        <is>
          <t>2026-09-29</t>
        </is>
      </c>
      <c r="B10248" t="inlineStr">
        <is>
          <t>F283055</t>
        </is>
      </c>
      <c r="C10248" t="inlineStr">
        <is>
          <t>C11211</t>
        </is>
      </c>
      <c r="D10248" t="inlineStr">
        <is>
          <t>SKU-10032</t>
        </is>
      </c>
      <c r="E10248" t="inlineStr">
        <is>
          <t>AM11</t>
        </is>
      </c>
      <c r="F10248" s="5" t="n">
        <v>311.49</v>
      </c>
      <c r="G10248">
        <f>IF(LEFT(B10248,1)="C","Credit","Factuur")</f>
        <v/>
      </c>
      <c r="H10248">
        <f>IF(AND(B10248=B10247,D10248=D10247,A10248=A10247,F10248=F10247),1,0)</f>
        <v/>
      </c>
      <c r="I10248">
        <f>IF(C10248="C99999",1,0)</f>
        <v/>
      </c>
      <c r="J10248" s="5">
        <f>IF(OR(H10248=1,I10248=1),0,IF(G10248="Credit",-F10248,F10248))</f>
        <v/>
      </c>
    </row>
    <row r="10249">
      <c r="A10249" t="inlineStr">
        <is>
          <t>2026-09-29</t>
        </is>
      </c>
      <c r="B10249" t="inlineStr">
        <is>
          <t>F283055</t>
        </is>
      </c>
      <c r="C10249" t="inlineStr">
        <is>
          <t>C11211</t>
        </is>
      </c>
      <c r="D10249" t="inlineStr">
        <is>
          <t>SKU-10099</t>
        </is>
      </c>
      <c r="E10249" t="inlineStr">
        <is>
          <t>AM11</t>
        </is>
      </c>
      <c r="F10249" s="5" t="n">
        <v>291.2</v>
      </c>
      <c r="G10249">
        <f>IF(LEFT(B10249,1)="C","Credit","Factuur")</f>
        <v/>
      </c>
      <c r="H10249">
        <f>IF(AND(B10249=B10248,D10249=D10248,A10249=A10248,F10249=F10248),1,0)</f>
        <v/>
      </c>
      <c r="I10249">
        <f>IF(C10249="C99999",1,0)</f>
        <v/>
      </c>
      <c r="J10249" s="5">
        <f>IF(OR(H10249=1,I10249=1),0,IF(G10249="Credit",-F10249,F10249))</f>
        <v/>
      </c>
    </row>
    <row r="10250">
      <c r="A10250" t="inlineStr">
        <is>
          <t>2026-09-29</t>
        </is>
      </c>
      <c r="B10250" t="inlineStr">
        <is>
          <t>F283055</t>
        </is>
      </c>
      <c r="C10250" t="inlineStr">
        <is>
          <t>C11211</t>
        </is>
      </c>
      <c r="D10250" t="inlineStr">
        <is>
          <t>SKU-10299</t>
        </is>
      </c>
      <c r="E10250" t="inlineStr">
        <is>
          <t>AM11</t>
        </is>
      </c>
      <c r="F10250" s="5" t="n">
        <v>301.12</v>
      </c>
      <c r="G10250">
        <f>IF(LEFT(B10250,1)="C","Credit","Factuur")</f>
        <v/>
      </c>
      <c r="H10250">
        <f>IF(AND(B10250=B10249,D10250=D10249,A10250=A10249,F10250=F10249),1,0)</f>
        <v/>
      </c>
      <c r="I10250">
        <f>IF(C10250="C99999",1,0)</f>
        <v/>
      </c>
      <c r="J10250" s="5">
        <f>IF(OR(H10250=1,I10250=1),0,IF(G10250="Credit",-F10250,F10250))</f>
        <v/>
      </c>
    </row>
    <row r="10251">
      <c r="A10251" t="inlineStr">
        <is>
          <t>2026-09-29</t>
        </is>
      </c>
      <c r="B10251" t="inlineStr">
        <is>
          <t>F283055</t>
        </is>
      </c>
      <c r="C10251" t="inlineStr">
        <is>
          <t>C11211</t>
        </is>
      </c>
      <c r="D10251" t="inlineStr">
        <is>
          <t>SKU-10332</t>
        </is>
      </c>
      <c r="E10251" t="inlineStr">
        <is>
          <t>AM11</t>
        </is>
      </c>
      <c r="F10251" s="5" t="n">
        <v>284.83</v>
      </c>
      <c r="G10251">
        <f>IF(LEFT(B10251,1)="C","Credit","Factuur")</f>
        <v/>
      </c>
      <c r="H10251">
        <f>IF(AND(B10251=B10250,D10251=D10250,A10251=A10250,F10251=F10250),1,0)</f>
        <v/>
      </c>
      <c r="I10251">
        <f>IF(C10251="C99999",1,0)</f>
        <v/>
      </c>
      <c r="J10251" s="5">
        <f>IF(OR(H10251=1,I10251=1),0,IF(G10251="Credit",-F10251,F10251))</f>
        <v/>
      </c>
    </row>
    <row r="10252">
      <c r="A10252" t="inlineStr">
        <is>
          <t>2026-09-29</t>
        </is>
      </c>
      <c r="B10252" t="inlineStr">
        <is>
          <t>F283257</t>
        </is>
      </c>
      <c r="C10252" t="inlineStr">
        <is>
          <t>C11223</t>
        </is>
      </c>
      <c r="D10252" t="inlineStr">
        <is>
          <t>SKU-10002</t>
        </is>
      </c>
      <c r="E10252" t="inlineStr">
        <is>
          <t>AM03</t>
        </is>
      </c>
      <c r="F10252" s="5" t="n">
        <v>100.97</v>
      </c>
      <c r="G10252">
        <f>IF(LEFT(B10252,1)="C","Credit","Factuur")</f>
        <v/>
      </c>
      <c r="H10252">
        <f>IF(AND(B10252=B10251,D10252=D10251,A10252=A10251,F10252=F10251),1,0)</f>
        <v/>
      </c>
      <c r="I10252">
        <f>IF(C10252="C99999",1,0)</f>
        <v/>
      </c>
      <c r="J10252" s="5">
        <f>IF(OR(H10252=1,I10252=1),0,IF(G10252="Credit",-F10252,F10252))</f>
        <v/>
      </c>
    </row>
    <row r="10253">
      <c r="A10253" t="inlineStr">
        <is>
          <t>2026-09-29</t>
        </is>
      </c>
      <c r="B10253" t="inlineStr">
        <is>
          <t>F283257</t>
        </is>
      </c>
      <c r="C10253" t="inlineStr">
        <is>
          <t>C11223</t>
        </is>
      </c>
      <c r="D10253" t="inlineStr">
        <is>
          <t>SKU-10006</t>
        </is>
      </c>
      <c r="E10253" t="inlineStr">
        <is>
          <t>AM03</t>
        </is>
      </c>
      <c r="F10253" s="5" t="n">
        <v>96.98</v>
      </c>
      <c r="G10253">
        <f>IF(LEFT(B10253,1)="C","Credit","Factuur")</f>
        <v/>
      </c>
      <c r="H10253">
        <f>IF(AND(B10253=B10252,D10253=D10252,A10253=A10252,F10253=F10252),1,0)</f>
        <v/>
      </c>
      <c r="I10253">
        <f>IF(C10253="C99999",1,0)</f>
        <v/>
      </c>
      <c r="J10253" s="5">
        <f>IF(OR(H10253=1,I10253=1),0,IF(G10253="Credit",-F10253,F10253))</f>
        <v/>
      </c>
    </row>
    <row r="10254">
      <c r="A10254" t="inlineStr">
        <is>
          <t>2026-09-29</t>
        </is>
      </c>
      <c r="B10254" t="inlineStr">
        <is>
          <t>F283257</t>
        </is>
      </c>
      <c r="C10254" t="inlineStr">
        <is>
          <t>C11223</t>
        </is>
      </c>
      <c r="D10254" t="inlineStr">
        <is>
          <t>SKU-10017</t>
        </is>
      </c>
      <c r="E10254" t="inlineStr">
        <is>
          <t>AM03</t>
        </is>
      </c>
      <c r="F10254" s="5" t="n">
        <v>116.55</v>
      </c>
      <c r="G10254">
        <f>IF(LEFT(B10254,1)="C","Credit","Factuur")</f>
        <v/>
      </c>
      <c r="H10254">
        <f>IF(AND(B10254=B10253,D10254=D10253,A10254=A10253,F10254=F10253),1,0)</f>
        <v/>
      </c>
      <c r="I10254">
        <f>IF(C10254="C99999",1,0)</f>
        <v/>
      </c>
      <c r="J10254" s="5">
        <f>IF(OR(H10254=1,I10254=1),0,IF(G10254="Credit",-F10254,F10254))</f>
        <v/>
      </c>
    </row>
    <row r="10255">
      <c r="A10255" t="inlineStr">
        <is>
          <t>2026-09-29</t>
        </is>
      </c>
      <c r="B10255" t="inlineStr">
        <is>
          <t>F283257</t>
        </is>
      </c>
      <c r="C10255" t="inlineStr">
        <is>
          <t>C11223</t>
        </is>
      </c>
      <c r="D10255" t="inlineStr">
        <is>
          <t>SKU-10327</t>
        </is>
      </c>
      <c r="E10255" t="inlineStr">
        <is>
          <t>AM03</t>
        </is>
      </c>
      <c r="F10255" s="5" t="n">
        <v>92.59999999999999</v>
      </c>
      <c r="G10255">
        <f>IF(LEFT(B10255,1)="C","Credit","Factuur")</f>
        <v/>
      </c>
      <c r="H10255">
        <f>IF(AND(B10255=B10254,D10255=D10254,A10255=A10254,F10255=F10254),1,0)</f>
        <v/>
      </c>
      <c r="I10255">
        <f>IF(C10255="C99999",1,0)</f>
        <v/>
      </c>
      <c r="J10255" s="5">
        <f>IF(OR(H10255=1,I10255=1),0,IF(G10255="Credit",-F10255,F10255))</f>
        <v/>
      </c>
    </row>
    <row r="10256">
      <c r="A10256" t="inlineStr">
        <is>
          <t>2026-09-29</t>
        </is>
      </c>
      <c r="B10256" t="inlineStr">
        <is>
          <t>F284687</t>
        </is>
      </c>
      <c r="C10256" t="inlineStr">
        <is>
          <t>C11294</t>
        </is>
      </c>
      <c r="D10256" t="inlineStr">
        <is>
          <t>SKU-10004</t>
        </is>
      </c>
      <c r="E10256" t="inlineStr">
        <is>
          <t>AM01</t>
        </is>
      </c>
      <c r="F10256" s="5" t="n">
        <v>267.96</v>
      </c>
      <c r="G10256">
        <f>IF(LEFT(B10256,1)="C","Credit","Factuur")</f>
        <v/>
      </c>
      <c r="H10256">
        <f>IF(AND(B10256=B10255,D10256=D10255,A10256=A10255,F10256=F10255),1,0)</f>
        <v/>
      </c>
      <c r="I10256">
        <f>IF(C10256="C99999",1,0)</f>
        <v/>
      </c>
      <c r="J10256" s="5">
        <f>IF(OR(H10256=1,I10256=1),0,IF(G10256="Credit",-F10256,F10256))</f>
        <v/>
      </c>
    </row>
    <row r="10257">
      <c r="A10257" t="inlineStr">
        <is>
          <t>2026-09-29</t>
        </is>
      </c>
      <c r="B10257" t="inlineStr">
        <is>
          <t>F284687</t>
        </is>
      </c>
      <c r="C10257" t="inlineStr">
        <is>
          <t>C11294</t>
        </is>
      </c>
      <c r="D10257" t="inlineStr">
        <is>
          <t>SKU-10042</t>
        </is>
      </c>
      <c r="E10257" t="inlineStr">
        <is>
          <t>AM01</t>
        </is>
      </c>
      <c r="F10257" s="5" t="n">
        <v>253.26</v>
      </c>
      <c r="G10257">
        <f>IF(LEFT(B10257,1)="C","Credit","Factuur")</f>
        <v/>
      </c>
      <c r="H10257">
        <f>IF(AND(B10257=B10256,D10257=D10256,A10257=A10256,F10257=F10256),1,0)</f>
        <v/>
      </c>
      <c r="I10257">
        <f>IF(C10257="C99999",1,0)</f>
        <v/>
      </c>
      <c r="J10257" s="5">
        <f>IF(OR(H10257=1,I10257=1),0,IF(G10257="Credit",-F10257,F10257))</f>
        <v/>
      </c>
    </row>
    <row r="10258">
      <c r="A10258" t="inlineStr">
        <is>
          <t>2026-09-29</t>
        </is>
      </c>
      <c r="B10258" t="inlineStr">
        <is>
          <t>F284687</t>
        </is>
      </c>
      <c r="C10258" t="inlineStr">
        <is>
          <t>C11294</t>
        </is>
      </c>
      <c r="D10258" t="inlineStr">
        <is>
          <t>SKU-10097</t>
        </is>
      </c>
      <c r="E10258" t="inlineStr">
        <is>
          <t>AM01</t>
        </is>
      </c>
      <c r="F10258" s="5" t="n">
        <v>276.9</v>
      </c>
      <c r="G10258">
        <f>IF(LEFT(B10258,1)="C","Credit","Factuur")</f>
        <v/>
      </c>
      <c r="H10258">
        <f>IF(AND(B10258=B10257,D10258=D10257,A10258=A10257,F10258=F10257),1,0)</f>
        <v/>
      </c>
      <c r="I10258">
        <f>IF(C10258="C99999",1,0)</f>
        <v/>
      </c>
      <c r="J10258" s="5">
        <f>IF(OR(H10258=1,I10258=1),0,IF(G10258="Credit",-F10258,F10258))</f>
        <v/>
      </c>
    </row>
    <row r="10259">
      <c r="A10259" t="inlineStr">
        <is>
          <t>2026-09-29</t>
        </is>
      </c>
      <c r="B10259" t="inlineStr">
        <is>
          <t>F284687</t>
        </is>
      </c>
      <c r="C10259" t="inlineStr">
        <is>
          <t>C11294</t>
        </is>
      </c>
      <c r="D10259" t="inlineStr">
        <is>
          <t>SKU-10255</t>
        </is>
      </c>
      <c r="E10259" t="inlineStr">
        <is>
          <t>AM01</t>
        </is>
      </c>
      <c r="F10259" s="5" t="n">
        <v>268.29</v>
      </c>
      <c r="G10259">
        <f>IF(LEFT(B10259,1)="C","Credit","Factuur")</f>
        <v/>
      </c>
      <c r="H10259">
        <f>IF(AND(B10259=B10258,D10259=D10258,A10259=A10258,F10259=F10258),1,0)</f>
        <v/>
      </c>
      <c r="I10259">
        <f>IF(C10259="C99999",1,0)</f>
        <v/>
      </c>
      <c r="J10259" s="5">
        <f>IF(OR(H10259=1,I10259=1),0,IF(G10259="Credit",-F10259,F10259))</f>
        <v/>
      </c>
    </row>
    <row r="10260">
      <c r="A10260" t="inlineStr">
        <is>
          <t>2026-09-29</t>
        </is>
      </c>
      <c r="B10260" t="inlineStr">
        <is>
          <t>F284687</t>
        </is>
      </c>
      <c r="C10260" t="inlineStr">
        <is>
          <t>C11294</t>
        </is>
      </c>
      <c r="D10260" t="inlineStr">
        <is>
          <t>SKU-10267</t>
        </is>
      </c>
      <c r="E10260" t="inlineStr">
        <is>
          <t>AM01</t>
        </is>
      </c>
      <c r="F10260" s="5" t="n">
        <v>273.8</v>
      </c>
      <c r="G10260">
        <f>IF(LEFT(B10260,1)="C","Credit","Factuur")</f>
        <v/>
      </c>
      <c r="H10260">
        <f>IF(AND(B10260=B10259,D10260=D10259,A10260=A10259,F10260=F10259),1,0)</f>
        <v/>
      </c>
      <c r="I10260">
        <f>IF(C10260="C99999",1,0)</f>
        <v/>
      </c>
      <c r="J10260" s="5">
        <f>IF(OR(H10260=1,I10260=1),0,IF(G10260="Credit",-F10260,F10260))</f>
        <v/>
      </c>
    </row>
    <row r="10261">
      <c r="A10261" t="inlineStr">
        <is>
          <t>2026-09-29</t>
        </is>
      </c>
      <c r="B10261" t="inlineStr">
        <is>
          <t>F284687</t>
        </is>
      </c>
      <c r="C10261" t="inlineStr">
        <is>
          <t>C11294</t>
        </is>
      </c>
      <c r="D10261" t="inlineStr">
        <is>
          <t>SKU-10325</t>
        </is>
      </c>
      <c r="E10261" t="inlineStr">
        <is>
          <t>AM01</t>
        </is>
      </c>
      <c r="F10261" s="5" t="n">
        <v>268.47</v>
      </c>
      <c r="G10261">
        <f>IF(LEFT(B10261,1)="C","Credit","Factuur")</f>
        <v/>
      </c>
      <c r="H10261">
        <f>IF(AND(B10261=B10260,D10261=D10260,A10261=A10260,F10261=F10260),1,0)</f>
        <v/>
      </c>
      <c r="I10261">
        <f>IF(C10261="C99999",1,0)</f>
        <v/>
      </c>
      <c r="J10261" s="5">
        <f>IF(OR(H10261=1,I10261=1),0,IF(G10261="Credit",-F10261,F10261))</f>
        <v/>
      </c>
    </row>
    <row r="10262">
      <c r="A10262" t="inlineStr">
        <is>
          <t>2026-09-29</t>
        </is>
      </c>
      <c r="B10262" t="inlineStr">
        <is>
          <t>F285372</t>
        </is>
      </c>
      <c r="C10262" t="inlineStr">
        <is>
          <t>C11327</t>
        </is>
      </c>
      <c r="D10262" t="inlineStr">
        <is>
          <t>SKU-10032</t>
        </is>
      </c>
      <c r="E10262" t="inlineStr">
        <is>
          <t>AM11</t>
        </is>
      </c>
      <c r="F10262" s="5" t="n">
        <v>404.94</v>
      </c>
      <c r="G10262">
        <f>IF(LEFT(B10262,1)="C","Credit","Factuur")</f>
        <v/>
      </c>
      <c r="H10262">
        <f>IF(AND(B10262=B10261,D10262=D10261,A10262=A10261,F10262=F10261),1,0)</f>
        <v/>
      </c>
      <c r="I10262">
        <f>IF(C10262="C99999",1,0)</f>
        <v/>
      </c>
      <c r="J10262" s="5">
        <f>IF(OR(H10262=1,I10262=1),0,IF(G10262="Credit",-F10262,F10262))</f>
        <v/>
      </c>
    </row>
    <row r="10263">
      <c r="A10263" t="inlineStr">
        <is>
          <t>2026-09-29</t>
        </is>
      </c>
      <c r="B10263" t="inlineStr">
        <is>
          <t>F285372</t>
        </is>
      </c>
      <c r="C10263" t="inlineStr">
        <is>
          <t>C11327</t>
        </is>
      </c>
      <c r="D10263" t="inlineStr">
        <is>
          <t>SKU-10301</t>
        </is>
      </c>
      <c r="E10263" t="inlineStr">
        <is>
          <t>AM11</t>
        </is>
      </c>
      <c r="F10263" s="5" t="n">
        <v>439.28</v>
      </c>
      <c r="G10263">
        <f>IF(LEFT(B10263,1)="C","Credit","Factuur")</f>
        <v/>
      </c>
      <c r="H10263">
        <f>IF(AND(B10263=B10262,D10263=D10262,A10263=A10262,F10263=F10262),1,0)</f>
        <v/>
      </c>
      <c r="I10263">
        <f>IF(C10263="C99999",1,0)</f>
        <v/>
      </c>
      <c r="J10263" s="5">
        <f>IF(OR(H10263=1,I10263=1),0,IF(G10263="Credit",-F10263,F10263))</f>
        <v/>
      </c>
    </row>
    <row r="10264">
      <c r="A10264" t="inlineStr">
        <is>
          <t>2026-09-29</t>
        </is>
      </c>
      <c r="B10264" t="inlineStr">
        <is>
          <t>F285372</t>
        </is>
      </c>
      <c r="C10264" t="inlineStr">
        <is>
          <t>C11327</t>
        </is>
      </c>
      <c r="D10264" t="inlineStr">
        <is>
          <t>SKU-10303</t>
        </is>
      </c>
      <c r="E10264" t="inlineStr">
        <is>
          <t>AM11</t>
        </is>
      </c>
      <c r="F10264" s="5" t="n">
        <v>406.78</v>
      </c>
      <c r="G10264">
        <f>IF(LEFT(B10264,1)="C","Credit","Factuur")</f>
        <v/>
      </c>
      <c r="H10264">
        <f>IF(AND(B10264=B10263,D10264=D10263,A10264=A10263,F10264=F10263),1,0)</f>
        <v/>
      </c>
      <c r="I10264">
        <f>IF(C10264="C99999",1,0)</f>
        <v/>
      </c>
      <c r="J10264" s="5">
        <f>IF(OR(H10264=1,I10264=1),0,IF(G10264="Credit",-F10264,F10264))</f>
        <v/>
      </c>
    </row>
    <row r="10265">
      <c r="A10265" t="inlineStr">
        <is>
          <t>2026-09-29</t>
        </is>
      </c>
      <c r="B10265" t="inlineStr">
        <is>
          <t>F285372</t>
        </is>
      </c>
      <c r="C10265" t="inlineStr">
        <is>
          <t>C11327</t>
        </is>
      </c>
      <c r="D10265" t="inlineStr">
        <is>
          <t>SKU-10337</t>
        </is>
      </c>
      <c r="E10265" t="inlineStr">
        <is>
          <t>AM11</t>
        </is>
      </c>
      <c r="F10265" s="5" t="n">
        <v>440.28</v>
      </c>
      <c r="G10265">
        <f>IF(LEFT(B10265,1)="C","Credit","Factuur")</f>
        <v/>
      </c>
      <c r="H10265">
        <f>IF(AND(B10265=B10264,D10265=D10264,A10265=A10264,F10265=F10264),1,0)</f>
        <v/>
      </c>
      <c r="I10265">
        <f>IF(C10265="C99999",1,0)</f>
        <v/>
      </c>
      <c r="J10265" s="5">
        <f>IF(OR(H10265=1,I10265=1),0,IF(G10265="Credit",-F10265,F10265))</f>
        <v/>
      </c>
    </row>
    <row r="10266">
      <c r="A10266" t="inlineStr">
        <is>
          <t>2026-09-29</t>
        </is>
      </c>
      <c r="B10266" t="inlineStr">
        <is>
          <t>F285823</t>
        </is>
      </c>
      <c r="C10266" t="inlineStr">
        <is>
          <t>C11351</t>
        </is>
      </c>
      <c r="D10266" t="inlineStr">
        <is>
          <t>SKU-10344</t>
        </is>
      </c>
      <c r="E10266" t="inlineStr">
        <is>
          <t>AM05</t>
        </is>
      </c>
      <c r="F10266" s="5" t="n">
        <v>1400</v>
      </c>
      <c r="G10266">
        <f>IF(LEFT(B10266,1)="C","Credit","Factuur")</f>
        <v/>
      </c>
      <c r="H10266">
        <f>IF(AND(B10266=B10265,D10266=D10265,A10266=A10265,F10266=F10265),1,0)</f>
        <v/>
      </c>
      <c r="I10266">
        <f>IF(C10266="C99999",1,0)</f>
        <v/>
      </c>
      <c r="J10266" s="5">
        <f>IF(OR(H10266=1,I10266=1),0,IF(G10266="Credit",-F10266,F10266))</f>
        <v/>
      </c>
    </row>
    <row r="10267">
      <c r="A10267" t="inlineStr">
        <is>
          <t>2026-09-29</t>
        </is>
      </c>
      <c r="B10267" t="inlineStr">
        <is>
          <t>F286099</t>
        </is>
      </c>
      <c r="C10267" t="inlineStr">
        <is>
          <t>C11364</t>
        </is>
      </c>
      <c r="D10267" t="inlineStr">
        <is>
          <t>SKU-10318</t>
        </is>
      </c>
      <c r="E10267" t="inlineStr">
        <is>
          <t>AM09</t>
        </is>
      </c>
      <c r="F10267" s="5" t="n">
        <v>537.24</v>
      </c>
      <c r="G10267">
        <f>IF(LEFT(B10267,1)="C","Credit","Factuur")</f>
        <v/>
      </c>
      <c r="H10267">
        <f>IF(AND(B10267=B10266,D10267=D10266,A10267=A10266,F10267=F10266),1,0)</f>
        <v/>
      </c>
      <c r="I10267">
        <f>IF(C10267="C99999",1,0)</f>
        <v/>
      </c>
      <c r="J10267" s="5">
        <f>IF(OR(H10267=1,I10267=1),0,IF(G10267="Credit",-F10267,F10267))</f>
        <v/>
      </c>
    </row>
    <row r="10268">
      <c r="A10268" t="inlineStr">
        <is>
          <t>2026-09-29</t>
        </is>
      </c>
      <c r="B10268" t="inlineStr">
        <is>
          <t>F286099</t>
        </is>
      </c>
      <c r="C10268" t="inlineStr">
        <is>
          <t>C11364</t>
        </is>
      </c>
      <c r="D10268" t="inlineStr">
        <is>
          <t>SKU-10338</t>
        </is>
      </c>
      <c r="E10268" t="inlineStr">
        <is>
          <t>AM09</t>
        </is>
      </c>
      <c r="F10268" s="5" t="n">
        <v>579.9</v>
      </c>
      <c r="G10268">
        <f>IF(LEFT(B10268,1)="C","Credit","Factuur")</f>
        <v/>
      </c>
      <c r="H10268">
        <f>IF(AND(B10268=B10267,D10268=D10267,A10268=A10267,F10268=F10267),1,0)</f>
        <v/>
      </c>
      <c r="I10268">
        <f>IF(C10268="C99999",1,0)</f>
        <v/>
      </c>
      <c r="J10268" s="5">
        <f>IF(OR(H10268=1,I10268=1),0,IF(G10268="Credit",-F10268,F10268))</f>
        <v/>
      </c>
    </row>
    <row r="10269">
      <c r="A10269" t="inlineStr">
        <is>
          <t>2026-09-30</t>
        </is>
      </c>
      <c r="B10269" t="inlineStr">
        <is>
          <t>C900028</t>
        </is>
      </c>
      <c r="C10269" t="inlineStr">
        <is>
          <t>C10229</t>
        </is>
      </c>
      <c r="D10269" t="inlineStr">
        <is>
          <t>SKU-10040</t>
        </is>
      </c>
      <c r="E10269" t="inlineStr">
        <is>
          <t>AM11</t>
        </is>
      </c>
      <c r="F10269" s="5" t="n">
        <v>135.18</v>
      </c>
      <c r="G10269">
        <f>IF(LEFT(B10269,1)="C","Credit","Factuur")</f>
        <v/>
      </c>
      <c r="H10269">
        <f>IF(AND(B10269=B10268,D10269=D10268,A10269=A10268,F10269=F10268),1,0)</f>
        <v/>
      </c>
      <c r="I10269">
        <f>IF(C10269="C99999",1,0)</f>
        <v/>
      </c>
      <c r="J10269" s="5">
        <f>IF(OR(H10269=1,I10269=1),0,IF(G10269="Credit",-F10269,F10269))</f>
        <v/>
      </c>
    </row>
    <row r="10270">
      <c r="A10270" t="inlineStr">
        <is>
          <t>2026-09-30</t>
        </is>
      </c>
      <c r="B10270" t="inlineStr">
        <is>
          <t>C900049</t>
        </is>
      </c>
      <c r="C10270" t="inlineStr">
        <is>
          <t>C10493</t>
        </is>
      </c>
      <c r="D10270" t="inlineStr">
        <is>
          <t>SKU-10374</t>
        </is>
      </c>
      <c r="E10270" t="inlineStr">
        <is>
          <t>AM08</t>
        </is>
      </c>
      <c r="F10270" s="5" t="n">
        <v>109.01</v>
      </c>
      <c r="G10270">
        <f>IF(LEFT(B10270,1)="C","Credit","Factuur")</f>
        <v/>
      </c>
      <c r="H10270">
        <f>IF(AND(B10270=B10269,D10270=D10269,A10270=A10269,F10270=F10269),1,0)</f>
        <v/>
      </c>
      <c r="I10270">
        <f>IF(C10270="C99999",1,0)</f>
        <v/>
      </c>
      <c r="J10270" s="5">
        <f>IF(OR(H10270=1,I10270=1),0,IF(G10270="Credit",-F10270,F10270))</f>
        <v/>
      </c>
    </row>
    <row r="10271">
      <c r="A10271" t="inlineStr">
        <is>
          <t>2026-09-30</t>
        </is>
      </c>
      <c r="B10271" t="inlineStr">
        <is>
          <t>C900343</t>
        </is>
      </c>
      <c r="C10271" t="inlineStr">
        <is>
          <t>C11294</t>
        </is>
      </c>
      <c r="D10271" t="inlineStr">
        <is>
          <t>SKU-10039</t>
        </is>
      </c>
      <c r="E10271" t="inlineStr">
        <is>
          <t>AM01</t>
        </is>
      </c>
      <c r="F10271" s="5" t="n">
        <v>689.14</v>
      </c>
      <c r="G10271">
        <f>IF(LEFT(B10271,1)="C","Credit","Factuur")</f>
        <v/>
      </c>
      <c r="H10271">
        <f>IF(AND(B10271=B10270,D10271=D10270,A10271=A10270,F10271=F10270),1,0)</f>
        <v/>
      </c>
      <c r="I10271">
        <f>IF(C10271="C99999",1,0)</f>
        <v/>
      </c>
      <c r="J10271" s="5">
        <f>IF(OR(H10271=1,I10271=1),0,IF(G10271="Credit",-F10271,F10271))</f>
        <v/>
      </c>
    </row>
    <row r="10272">
      <c r="A10272" t="inlineStr">
        <is>
          <t>2026-09-30</t>
        </is>
      </c>
      <c r="B10272" t="inlineStr">
        <is>
          <t>C900439</t>
        </is>
      </c>
      <c r="C10272" t="inlineStr">
        <is>
          <t>C10984</t>
        </is>
      </c>
      <c r="D10272" t="inlineStr">
        <is>
          <t>SKU-10108</t>
        </is>
      </c>
      <c r="E10272" t="inlineStr">
        <is>
          <t>IS01</t>
        </is>
      </c>
      <c r="F10272" s="5" t="n">
        <v>92.93000000000001</v>
      </c>
      <c r="G10272">
        <f>IF(LEFT(B10272,1)="C","Credit","Factuur")</f>
        <v/>
      </c>
      <c r="H10272">
        <f>IF(AND(B10272=B10271,D10272=D10271,A10272=A10271,F10272=F10271),1,0)</f>
        <v/>
      </c>
      <c r="I10272">
        <f>IF(C10272="C99999",1,0)</f>
        <v/>
      </c>
      <c r="J10272" s="5">
        <f>IF(OR(H10272=1,I10272=1),0,IF(G10272="Credit",-F10272,F10272))</f>
        <v/>
      </c>
    </row>
    <row r="10273">
      <c r="A10273" t="inlineStr">
        <is>
          <t>2026-09-30</t>
        </is>
      </c>
      <c r="B10273" t="inlineStr">
        <is>
          <t>C900455</t>
        </is>
      </c>
      <c r="C10273" t="inlineStr">
        <is>
          <t>C11337</t>
        </is>
      </c>
      <c r="D10273" t="inlineStr">
        <is>
          <t>SKU-10379</t>
        </is>
      </c>
      <c r="E10273" t="inlineStr">
        <is>
          <t>AM08</t>
        </is>
      </c>
      <c r="F10273" s="5" t="n">
        <v>162.58</v>
      </c>
      <c r="G10273">
        <f>IF(LEFT(B10273,1)="C","Credit","Factuur")</f>
        <v/>
      </c>
      <c r="H10273">
        <f>IF(AND(B10273=B10272,D10273=D10272,A10273=A10272,F10273=F10272),1,0)</f>
        <v/>
      </c>
      <c r="I10273">
        <f>IF(C10273="C99999",1,0)</f>
        <v/>
      </c>
      <c r="J10273" s="5">
        <f>IF(OR(H10273=1,I10273=1),0,IF(G10273="Credit",-F10273,F10273))</f>
        <v/>
      </c>
    </row>
    <row r="10274">
      <c r="A10274" t="inlineStr">
        <is>
          <t>2026-09-30</t>
        </is>
      </c>
      <c r="B10274" t="inlineStr">
        <is>
          <t>C900467</t>
        </is>
      </c>
      <c r="C10274" t="inlineStr">
        <is>
          <t>C10228</t>
        </is>
      </c>
      <c r="D10274" t="inlineStr">
        <is>
          <t>SKU-10384</t>
        </is>
      </c>
      <c r="E10274" t="inlineStr">
        <is>
          <t>AM02</t>
        </is>
      </c>
      <c r="F10274" s="5" t="n">
        <v>178.53</v>
      </c>
      <c r="G10274">
        <f>IF(LEFT(B10274,1)="C","Credit","Factuur")</f>
        <v/>
      </c>
      <c r="H10274">
        <f>IF(AND(B10274=B10273,D10274=D10273,A10274=A10273,F10274=F10273),1,0)</f>
        <v/>
      </c>
      <c r="I10274">
        <f>IF(C10274="C99999",1,0)</f>
        <v/>
      </c>
      <c r="J10274" s="5">
        <f>IF(OR(H10274=1,I10274=1),0,IF(G10274="Credit",-F10274,F10274))</f>
        <v/>
      </c>
    </row>
    <row r="10275">
      <c r="A10275" t="inlineStr">
        <is>
          <t>2026-09-30</t>
        </is>
      </c>
      <c r="B10275" t="inlineStr">
        <is>
          <t>C900501</t>
        </is>
      </c>
      <c r="C10275" t="inlineStr">
        <is>
          <t>C10315</t>
        </is>
      </c>
      <c r="D10275" t="inlineStr">
        <is>
          <t>SKU-10110</t>
        </is>
      </c>
      <c r="E10275" t="inlineStr">
        <is>
          <t>AM08</t>
        </is>
      </c>
      <c r="F10275" s="5" t="n">
        <v>592.8</v>
      </c>
      <c r="G10275">
        <f>IF(LEFT(B10275,1)="C","Credit","Factuur")</f>
        <v/>
      </c>
      <c r="H10275">
        <f>IF(AND(B10275=B10274,D10275=D10274,A10275=A10274,F10275=F10274),1,0)</f>
        <v/>
      </c>
      <c r="I10275">
        <f>IF(C10275="C99999",1,0)</f>
        <v/>
      </c>
      <c r="J10275" s="5">
        <f>IF(OR(H10275=1,I10275=1),0,IF(G10275="Credit",-F10275,F10275))</f>
        <v/>
      </c>
    </row>
    <row r="10276">
      <c r="A10276" t="inlineStr">
        <is>
          <t>2026-09-30</t>
        </is>
      </c>
      <c r="B10276" t="inlineStr">
        <is>
          <t>C900525</t>
        </is>
      </c>
      <c r="C10276" t="inlineStr">
        <is>
          <t>C11063</t>
        </is>
      </c>
      <c r="D10276" t="inlineStr">
        <is>
          <t>SKU-10141</t>
        </is>
      </c>
      <c r="E10276" t="inlineStr">
        <is>
          <t>AM11</t>
        </is>
      </c>
      <c r="F10276" s="5" t="n">
        <v>106.1</v>
      </c>
      <c r="G10276">
        <f>IF(LEFT(B10276,1)="C","Credit","Factuur")</f>
        <v/>
      </c>
      <c r="H10276">
        <f>IF(AND(B10276=B10275,D10276=D10275,A10276=A10275,F10276=F10275),1,0)</f>
        <v/>
      </c>
      <c r="I10276">
        <f>IF(C10276="C99999",1,0)</f>
        <v/>
      </c>
      <c r="J10276" s="5">
        <f>IF(OR(H10276=1,I10276=1),0,IF(G10276="Credit",-F10276,F10276))</f>
        <v/>
      </c>
    </row>
    <row r="10277">
      <c r="A10277" t="inlineStr">
        <is>
          <t>2026-09-30</t>
        </is>
      </c>
      <c r="B10277" t="inlineStr">
        <is>
          <t>C900538</t>
        </is>
      </c>
      <c r="C10277" t="inlineStr">
        <is>
          <t>C10782</t>
        </is>
      </c>
      <c r="D10277" t="inlineStr">
        <is>
          <t>SKU-10290</t>
        </is>
      </c>
      <c r="E10277" t="inlineStr">
        <is>
          <t>AM03</t>
        </is>
      </c>
      <c r="F10277" s="5" t="n">
        <v>607.23</v>
      </c>
      <c r="G10277">
        <f>IF(LEFT(B10277,1)="C","Credit","Factuur")</f>
        <v/>
      </c>
      <c r="H10277">
        <f>IF(AND(B10277=B10276,D10277=D10276,A10277=A10276,F10277=F10276),1,0)</f>
        <v/>
      </c>
      <c r="I10277">
        <f>IF(C10277="C99999",1,0)</f>
        <v/>
      </c>
      <c r="J10277" s="5">
        <f>IF(OR(H10277=1,I10277=1),0,IF(G10277="Credit",-F10277,F10277))</f>
        <v/>
      </c>
    </row>
    <row r="10278">
      <c r="A10278" t="inlineStr">
        <is>
          <t>2026-09-30</t>
        </is>
      </c>
      <c r="B10278" t="inlineStr">
        <is>
          <t>C900568</t>
        </is>
      </c>
      <c r="C10278" t="inlineStr">
        <is>
          <t>C10650</t>
        </is>
      </c>
      <c r="D10278" t="inlineStr">
        <is>
          <t>SKU-10365</t>
        </is>
      </c>
      <c r="E10278" t="inlineStr">
        <is>
          <t>AM02</t>
        </is>
      </c>
      <c r="F10278" s="5" t="n">
        <v>559.72</v>
      </c>
      <c r="G10278">
        <f>IF(LEFT(B10278,1)="C","Credit","Factuur")</f>
        <v/>
      </c>
      <c r="H10278">
        <f>IF(AND(B10278=B10277,D10278=D10277,A10278=A10277,F10278=F10277),1,0)</f>
        <v/>
      </c>
      <c r="I10278">
        <f>IF(C10278="C99999",1,0)</f>
        <v/>
      </c>
      <c r="J10278" s="5">
        <f>IF(OR(H10278=1,I10278=1),0,IF(G10278="Credit",-F10278,F10278))</f>
        <v/>
      </c>
    </row>
    <row r="10279">
      <c r="A10279" t="inlineStr">
        <is>
          <t>2026-09-30</t>
        </is>
      </c>
      <c r="B10279" t="inlineStr">
        <is>
          <t>C900603</t>
        </is>
      </c>
      <c r="C10279" t="inlineStr">
        <is>
          <t>C11363</t>
        </is>
      </c>
      <c r="D10279" t="inlineStr">
        <is>
          <t>SKU-10189</t>
        </is>
      </c>
      <c r="E10279" t="inlineStr"/>
      <c r="F10279" s="5" t="n">
        <v>162.13</v>
      </c>
      <c r="G10279">
        <f>IF(LEFT(B10279,1)="C","Credit","Factuur")</f>
        <v/>
      </c>
      <c r="H10279">
        <f>IF(AND(B10279=B10278,D10279=D10278,A10279=A10278,F10279=F10278),1,0)</f>
        <v/>
      </c>
      <c r="I10279">
        <f>IF(C10279="C99999",1,0)</f>
        <v/>
      </c>
      <c r="J10279" s="5">
        <f>IF(OR(H10279=1,I10279=1),0,IF(G10279="Credit",-F10279,F10279))</f>
        <v/>
      </c>
    </row>
    <row r="10280">
      <c r="A10280" t="inlineStr">
        <is>
          <t>2026-09-30</t>
        </is>
      </c>
      <c r="B10280" t="inlineStr">
        <is>
          <t>C900670</t>
        </is>
      </c>
      <c r="C10280" t="inlineStr">
        <is>
          <t>C10580</t>
        </is>
      </c>
      <c r="D10280" t="inlineStr">
        <is>
          <t>SKU-10091</t>
        </is>
      </c>
      <c r="E10280" t="inlineStr">
        <is>
          <t>AM01</t>
        </is>
      </c>
      <c r="F10280" s="5" t="n">
        <v>117.43</v>
      </c>
      <c r="G10280">
        <f>IF(LEFT(B10280,1)="C","Credit","Factuur")</f>
        <v/>
      </c>
      <c r="H10280">
        <f>IF(AND(B10280=B10279,D10280=D10279,A10280=A10279,F10280=F10279),1,0)</f>
        <v/>
      </c>
      <c r="I10280">
        <f>IF(C10280="C99999",1,0)</f>
        <v/>
      </c>
      <c r="J10280" s="5">
        <f>IF(OR(H10280=1,I10280=1),0,IF(G10280="Credit",-F10280,F10280))</f>
        <v/>
      </c>
    </row>
    <row r="10281">
      <c r="A10281" t="inlineStr">
        <is>
          <t>2026-09-30</t>
        </is>
      </c>
      <c r="B10281" t="inlineStr">
        <is>
          <t>C900696</t>
        </is>
      </c>
      <c r="C10281" t="inlineStr">
        <is>
          <t>C10243</t>
        </is>
      </c>
      <c r="D10281" t="inlineStr">
        <is>
          <t>SKU-10250</t>
        </is>
      </c>
      <c r="E10281" t="inlineStr">
        <is>
          <t>AM02</t>
        </is>
      </c>
      <c r="F10281" s="5" t="n">
        <v>81.40000000000001</v>
      </c>
      <c r="G10281">
        <f>IF(LEFT(B10281,1)="C","Credit","Factuur")</f>
        <v/>
      </c>
      <c r="H10281">
        <f>IF(AND(B10281=B10280,D10281=D10280,A10281=A10280,F10281=F10280),1,0)</f>
        <v/>
      </c>
      <c r="I10281">
        <f>IF(C10281="C99999",1,0)</f>
        <v/>
      </c>
      <c r="J10281" s="5">
        <f>IF(OR(H10281=1,I10281=1),0,IF(G10281="Credit",-F10281,F10281))</f>
        <v/>
      </c>
    </row>
    <row r="10282">
      <c r="A10282" t="inlineStr">
        <is>
          <t>2026-09-30</t>
        </is>
      </c>
      <c r="B10282" t="inlineStr">
        <is>
          <t>C900785</t>
        </is>
      </c>
      <c r="C10282" t="inlineStr">
        <is>
          <t>C10436</t>
        </is>
      </c>
      <c r="D10282" t="inlineStr">
        <is>
          <t>SKU-10080</t>
        </is>
      </c>
      <c r="E10282" t="inlineStr">
        <is>
          <t>AM06</t>
        </is>
      </c>
      <c r="F10282" s="5" t="n">
        <v>66.42</v>
      </c>
      <c r="G10282">
        <f>IF(LEFT(B10282,1)="C","Credit","Factuur")</f>
        <v/>
      </c>
      <c r="H10282">
        <f>IF(AND(B10282=B10281,D10282=D10281,A10282=A10281,F10282=F10281),1,0)</f>
        <v/>
      </c>
      <c r="I10282">
        <f>IF(C10282="C99999",1,0)</f>
        <v/>
      </c>
      <c r="J10282" s="5">
        <f>IF(OR(H10282=1,I10282=1),0,IF(G10282="Credit",-F10282,F10282))</f>
        <v/>
      </c>
    </row>
    <row r="10283">
      <c r="A10283" t="inlineStr">
        <is>
          <t>2026-09-30</t>
        </is>
      </c>
      <c r="B10283" t="inlineStr">
        <is>
          <t>C900818</t>
        </is>
      </c>
      <c r="C10283" t="inlineStr">
        <is>
          <t>C11090</t>
        </is>
      </c>
      <c r="D10283" t="inlineStr">
        <is>
          <t>SKU-10314</t>
        </is>
      </c>
      <c r="E10283" t="inlineStr">
        <is>
          <t>AM02</t>
        </is>
      </c>
      <c r="F10283" s="5" t="n">
        <v>635.04</v>
      </c>
      <c r="G10283">
        <f>IF(LEFT(B10283,1)="C","Credit","Factuur")</f>
        <v/>
      </c>
      <c r="H10283">
        <f>IF(AND(B10283=B10282,D10283=D10282,A10283=A10282,F10283=F10282),1,0)</f>
        <v/>
      </c>
      <c r="I10283">
        <f>IF(C10283="C99999",1,0)</f>
        <v/>
      </c>
      <c r="J10283" s="5">
        <f>IF(OR(H10283=1,I10283=1),0,IF(G10283="Credit",-F10283,F10283))</f>
        <v/>
      </c>
    </row>
    <row r="10284">
      <c r="A10284" t="inlineStr">
        <is>
          <t>2026-09-30</t>
        </is>
      </c>
      <c r="B10284" t="inlineStr">
        <is>
          <t>C900871</t>
        </is>
      </c>
      <c r="C10284" t="inlineStr">
        <is>
          <t>C11083</t>
        </is>
      </c>
      <c r="D10284" t="inlineStr">
        <is>
          <t>SKU-10315</t>
        </is>
      </c>
      <c r="E10284" t="inlineStr">
        <is>
          <t>AM11</t>
        </is>
      </c>
      <c r="F10284" s="5" t="n">
        <v>381.15</v>
      </c>
      <c r="G10284">
        <f>IF(LEFT(B10284,1)="C","Credit","Factuur")</f>
        <v/>
      </c>
      <c r="H10284">
        <f>IF(AND(B10284=B10283,D10284=D10283,A10284=A10283,F10284=F10283),1,0)</f>
        <v/>
      </c>
      <c r="I10284">
        <f>IF(C10284="C99999",1,0)</f>
        <v/>
      </c>
      <c r="J10284" s="5">
        <f>IF(OR(H10284=1,I10284=1),0,IF(G10284="Credit",-F10284,F10284))</f>
        <v/>
      </c>
    </row>
    <row r="10285">
      <c r="A10285" t="inlineStr">
        <is>
          <t>2026-09-30</t>
        </is>
      </c>
      <c r="B10285" t="inlineStr">
        <is>
          <t>C900878</t>
        </is>
      </c>
      <c r="C10285" t="inlineStr">
        <is>
          <t>C10781</t>
        </is>
      </c>
      <c r="D10285" t="inlineStr">
        <is>
          <t>SKU-10340</t>
        </is>
      </c>
      <c r="E10285" t="inlineStr">
        <is>
          <t>AM08</t>
        </is>
      </c>
      <c r="F10285" s="5" t="n">
        <v>378.24</v>
      </c>
      <c r="G10285">
        <f>IF(LEFT(B10285,1)="C","Credit","Factuur")</f>
        <v/>
      </c>
      <c r="H10285">
        <f>IF(AND(B10285=B10284,D10285=D10284,A10285=A10284,F10285=F10284),1,0)</f>
        <v/>
      </c>
      <c r="I10285">
        <f>IF(C10285="C99999",1,0)</f>
        <v/>
      </c>
      <c r="J10285" s="5">
        <f>IF(OR(H10285=1,I10285=1),0,IF(G10285="Credit",-F10285,F10285))</f>
        <v/>
      </c>
    </row>
    <row r="10286">
      <c r="A10286" t="inlineStr">
        <is>
          <t>2026-09-30</t>
        </is>
      </c>
      <c r="B10286" t="inlineStr">
        <is>
          <t>C900909</t>
        </is>
      </c>
      <c r="C10286" t="inlineStr">
        <is>
          <t>C10522</t>
        </is>
      </c>
      <c r="D10286" t="inlineStr">
        <is>
          <t>SKU-10191</t>
        </is>
      </c>
      <c r="E10286" t="inlineStr">
        <is>
          <t>AM11</t>
        </is>
      </c>
      <c r="F10286" s="5" t="n">
        <v>124.35</v>
      </c>
      <c r="G10286">
        <f>IF(LEFT(B10286,1)="C","Credit","Factuur")</f>
        <v/>
      </c>
      <c r="H10286">
        <f>IF(AND(B10286=B10285,D10286=D10285,A10286=A10285,F10286=F10285),1,0)</f>
        <v/>
      </c>
      <c r="I10286">
        <f>IF(C10286="C99999",1,0)</f>
        <v/>
      </c>
      <c r="J10286" s="5">
        <f>IF(OR(H10286=1,I10286=1),0,IF(G10286="Credit",-F10286,F10286))</f>
        <v/>
      </c>
    </row>
    <row r="10287">
      <c r="A10287" t="inlineStr">
        <is>
          <t>2026-09-30</t>
        </is>
      </c>
      <c r="B10287" t="inlineStr">
        <is>
          <t>C900925</t>
        </is>
      </c>
      <c r="C10287" t="inlineStr">
        <is>
          <t>C10821</t>
        </is>
      </c>
      <c r="D10287" t="inlineStr">
        <is>
          <t>SKU-10155</t>
        </is>
      </c>
      <c r="E10287" t="inlineStr">
        <is>
          <t>AM02</t>
        </is>
      </c>
      <c r="F10287" s="5" t="n">
        <v>330.72</v>
      </c>
      <c r="G10287">
        <f>IF(LEFT(B10287,1)="C","Credit","Factuur")</f>
        <v/>
      </c>
      <c r="H10287">
        <f>IF(AND(B10287=B10286,D10287=D10286,A10287=A10286,F10287=F10286),1,0)</f>
        <v/>
      </c>
      <c r="I10287">
        <f>IF(C10287="C99999",1,0)</f>
        <v/>
      </c>
      <c r="J10287" s="5">
        <f>IF(OR(H10287=1,I10287=1),0,IF(G10287="Credit",-F10287,F10287))</f>
        <v/>
      </c>
    </row>
    <row r="10288">
      <c r="A10288" t="inlineStr">
        <is>
          <t>2026-09-30</t>
        </is>
      </c>
      <c r="B10288" t="inlineStr">
        <is>
          <t>C900937</t>
        </is>
      </c>
      <c r="C10288" t="inlineStr">
        <is>
          <t>C10092</t>
        </is>
      </c>
      <c r="D10288" t="inlineStr">
        <is>
          <t>SKU-10228</t>
        </is>
      </c>
      <c r="E10288" t="inlineStr">
        <is>
          <t>AM08</t>
        </is>
      </c>
      <c r="F10288" s="5" t="n">
        <v>46.74</v>
      </c>
      <c r="G10288">
        <f>IF(LEFT(B10288,1)="C","Credit","Factuur")</f>
        <v/>
      </c>
      <c r="H10288">
        <f>IF(AND(B10288=B10287,D10288=D10287,A10288=A10287,F10288=F10287),1,0)</f>
        <v/>
      </c>
      <c r="I10288">
        <f>IF(C10288="C99999",1,0)</f>
        <v/>
      </c>
      <c r="J10288" s="5">
        <f>IF(OR(H10288=1,I10288=1),0,IF(G10288="Credit",-F10288,F10288))</f>
        <v/>
      </c>
    </row>
    <row r="10289">
      <c r="A10289" t="inlineStr">
        <is>
          <t>2026-09-30</t>
        </is>
      </c>
      <c r="B10289" t="inlineStr">
        <is>
          <t>C900942</t>
        </is>
      </c>
      <c r="C10289" t="inlineStr">
        <is>
          <t>C10269</t>
        </is>
      </c>
      <c r="D10289" t="inlineStr">
        <is>
          <t>SKU-10129</t>
        </is>
      </c>
      <c r="E10289" t="inlineStr">
        <is>
          <t>AM05</t>
        </is>
      </c>
      <c r="F10289" s="5" t="n">
        <v>310.89</v>
      </c>
      <c r="G10289">
        <f>IF(LEFT(B10289,1)="C","Credit","Factuur")</f>
        <v/>
      </c>
      <c r="H10289">
        <f>IF(AND(B10289=B10288,D10289=D10288,A10289=A10288,F10289=F10288),1,0)</f>
        <v/>
      </c>
      <c r="I10289">
        <f>IF(C10289="C99999",1,0)</f>
        <v/>
      </c>
      <c r="J10289" s="5">
        <f>IF(OR(H10289=1,I10289=1),0,IF(G10289="Credit",-F10289,F10289))</f>
        <v/>
      </c>
    </row>
    <row r="10290">
      <c r="A10290" t="inlineStr">
        <is>
          <t>2026-09-30</t>
        </is>
      </c>
      <c r="B10290" t="inlineStr">
        <is>
          <t>C900953</t>
        </is>
      </c>
      <c r="C10290" t="inlineStr">
        <is>
          <t>C10425</t>
        </is>
      </c>
      <c r="D10290" t="inlineStr">
        <is>
          <t>SKU-10306</t>
        </is>
      </c>
      <c r="E10290" t="inlineStr">
        <is>
          <t>AM12</t>
        </is>
      </c>
      <c r="F10290" s="5" t="n">
        <v>252.67</v>
      </c>
      <c r="G10290">
        <f>IF(LEFT(B10290,1)="C","Credit","Factuur")</f>
        <v/>
      </c>
      <c r="H10290">
        <f>IF(AND(B10290=B10289,D10290=D10289,A10290=A10289,F10290=F10289),1,0)</f>
        <v/>
      </c>
      <c r="I10290">
        <f>IF(C10290="C99999",1,0)</f>
        <v/>
      </c>
      <c r="J10290" s="5">
        <f>IF(OR(H10290=1,I10290=1),0,IF(G10290="Credit",-F10290,F10290))</f>
        <v/>
      </c>
    </row>
    <row r="10291">
      <c r="A10291" t="inlineStr">
        <is>
          <t>2026-09-30</t>
        </is>
      </c>
      <c r="B10291" t="inlineStr">
        <is>
          <t>C900966</t>
        </is>
      </c>
      <c r="C10291" t="inlineStr">
        <is>
          <t>C10620</t>
        </is>
      </c>
      <c r="D10291" t="inlineStr">
        <is>
          <t>SKU-10219</t>
        </is>
      </c>
      <c r="E10291" t="inlineStr">
        <is>
          <t>AM03</t>
        </is>
      </c>
      <c r="F10291" s="5" t="n">
        <v>133.4</v>
      </c>
      <c r="G10291">
        <f>IF(LEFT(B10291,1)="C","Credit","Factuur")</f>
        <v/>
      </c>
      <c r="H10291">
        <f>IF(AND(B10291=B10290,D10291=D10290,A10291=A10290,F10291=F10290),1,0)</f>
        <v/>
      </c>
      <c r="I10291">
        <f>IF(C10291="C99999",1,0)</f>
        <v/>
      </c>
      <c r="J10291" s="5">
        <f>IF(OR(H10291=1,I10291=1),0,IF(G10291="Credit",-F10291,F10291))</f>
        <v/>
      </c>
    </row>
    <row r="10292">
      <c r="A10292" t="inlineStr">
        <is>
          <t>2026-09-30</t>
        </is>
      </c>
      <c r="B10292" t="inlineStr">
        <is>
          <t>C901017</t>
        </is>
      </c>
      <c r="C10292" t="inlineStr">
        <is>
          <t>C10645</t>
        </is>
      </c>
      <c r="D10292" t="inlineStr">
        <is>
          <t>SKU-10023</t>
        </is>
      </c>
      <c r="E10292" t="inlineStr">
        <is>
          <t>AM11</t>
        </is>
      </c>
      <c r="F10292" s="5" t="n">
        <v>213.56</v>
      </c>
      <c r="G10292">
        <f>IF(LEFT(B10292,1)="C","Credit","Factuur")</f>
        <v/>
      </c>
      <c r="H10292">
        <f>IF(AND(B10292=B10291,D10292=D10291,A10292=A10291,F10292=F10291),1,0)</f>
        <v/>
      </c>
      <c r="I10292">
        <f>IF(C10292="C99999",1,0)</f>
        <v/>
      </c>
      <c r="J10292" s="5">
        <f>IF(OR(H10292=1,I10292=1),0,IF(G10292="Credit",-F10292,F10292))</f>
        <v/>
      </c>
    </row>
    <row r="10293">
      <c r="A10293" t="inlineStr">
        <is>
          <t>2026-09-30</t>
        </is>
      </c>
      <c r="B10293" t="inlineStr">
        <is>
          <t>C901118</t>
        </is>
      </c>
      <c r="C10293" t="inlineStr">
        <is>
          <t>C10984</t>
        </is>
      </c>
      <c r="D10293" t="inlineStr">
        <is>
          <t>SKU-10082</t>
        </is>
      </c>
      <c r="E10293" t="inlineStr">
        <is>
          <t>IS01</t>
        </is>
      </c>
      <c r="F10293" s="5" t="n">
        <v>22.32</v>
      </c>
      <c r="G10293">
        <f>IF(LEFT(B10293,1)="C","Credit","Factuur")</f>
        <v/>
      </c>
      <c r="H10293">
        <f>IF(AND(B10293=B10292,D10293=D10292,A10293=A10292,F10293=F10292),1,0)</f>
        <v/>
      </c>
      <c r="I10293">
        <f>IF(C10293="C99999",1,0)</f>
        <v/>
      </c>
      <c r="J10293" s="5">
        <f>IF(OR(H10293=1,I10293=1),0,IF(G10293="Credit",-F10293,F10293))</f>
        <v/>
      </c>
    </row>
    <row r="10294">
      <c r="A10294" t="inlineStr">
        <is>
          <t>2026-09-30</t>
        </is>
      </c>
      <c r="B10294" t="inlineStr">
        <is>
          <t>C901243</t>
        </is>
      </c>
      <c r="C10294" t="inlineStr">
        <is>
          <t>C10885</t>
        </is>
      </c>
      <c r="D10294" t="inlineStr">
        <is>
          <t>SKU-10311</t>
        </is>
      </c>
      <c r="E10294" t="inlineStr">
        <is>
          <t>AM02</t>
        </is>
      </c>
      <c r="F10294" s="5" t="n">
        <v>720.79</v>
      </c>
      <c r="G10294">
        <f>IF(LEFT(B10294,1)="C","Credit","Factuur")</f>
        <v/>
      </c>
      <c r="H10294">
        <f>IF(AND(B10294=B10293,D10294=D10293,A10294=A10293,F10294=F10293),1,0)</f>
        <v/>
      </c>
      <c r="I10294">
        <f>IF(C10294="C99999",1,0)</f>
        <v/>
      </c>
      <c r="J10294" s="5">
        <f>IF(OR(H10294=1,I10294=1),0,IF(G10294="Credit",-F10294,F10294))</f>
        <v/>
      </c>
    </row>
    <row r="10295">
      <c r="A10295" t="inlineStr">
        <is>
          <t>2026-09-30</t>
        </is>
      </c>
      <c r="B10295" t="inlineStr">
        <is>
          <t>C901257</t>
        </is>
      </c>
      <c r="C10295" t="inlineStr">
        <is>
          <t>C10388</t>
        </is>
      </c>
      <c r="D10295" t="inlineStr">
        <is>
          <t>SKU-10010</t>
        </is>
      </c>
      <c r="E10295" t="inlineStr">
        <is>
          <t>AM02</t>
        </is>
      </c>
      <c r="F10295" s="5" t="n">
        <v>529.4400000000001</v>
      </c>
      <c r="G10295">
        <f>IF(LEFT(B10295,1)="C","Credit","Factuur")</f>
        <v/>
      </c>
      <c r="H10295">
        <f>IF(AND(B10295=B10294,D10295=D10294,A10295=A10294,F10295=F10294),1,0)</f>
        <v/>
      </c>
      <c r="I10295">
        <f>IF(C10295="C99999",1,0)</f>
        <v/>
      </c>
      <c r="J10295" s="5">
        <f>IF(OR(H10295=1,I10295=1),0,IF(G10295="Credit",-F10295,F10295))</f>
        <v/>
      </c>
    </row>
    <row r="10296">
      <c r="A10296" t="inlineStr">
        <is>
          <t>2026-09-30</t>
        </is>
      </c>
      <c r="B10296" t="inlineStr">
        <is>
          <t>C901270</t>
        </is>
      </c>
      <c r="C10296" t="inlineStr">
        <is>
          <t>C11190</t>
        </is>
      </c>
      <c r="D10296" t="inlineStr">
        <is>
          <t>SKU-10340</t>
        </is>
      </c>
      <c r="E10296" t="inlineStr">
        <is>
          <t>AM07</t>
        </is>
      </c>
      <c r="F10296" s="5" t="n">
        <v>94.56</v>
      </c>
      <c r="G10296">
        <f>IF(LEFT(B10296,1)="C","Credit","Factuur")</f>
        <v/>
      </c>
      <c r="H10296">
        <f>IF(AND(B10296=B10295,D10296=D10295,A10296=A10295,F10296=F10295),1,0)</f>
        <v/>
      </c>
      <c r="I10296">
        <f>IF(C10296="C99999",1,0)</f>
        <v/>
      </c>
      <c r="J10296" s="5">
        <f>IF(OR(H10296=1,I10296=1),0,IF(G10296="Credit",-F10296,F10296))</f>
        <v/>
      </c>
    </row>
    <row r="10297">
      <c r="A10297" t="inlineStr">
        <is>
          <t>2026-09-30</t>
        </is>
      </c>
      <c r="B10297" t="inlineStr">
        <is>
          <t>C901291</t>
        </is>
      </c>
      <c r="C10297" t="inlineStr">
        <is>
          <t>C10727</t>
        </is>
      </c>
      <c r="D10297" t="inlineStr">
        <is>
          <t>SKU-10133</t>
        </is>
      </c>
      <c r="E10297" t="inlineStr">
        <is>
          <t>AM11</t>
        </is>
      </c>
      <c r="F10297" s="5" t="n">
        <v>397.02</v>
      </c>
      <c r="G10297">
        <f>IF(LEFT(B10297,1)="C","Credit","Factuur")</f>
        <v/>
      </c>
      <c r="H10297">
        <f>IF(AND(B10297=B10296,D10297=D10296,A10297=A10296,F10297=F10296),1,0)</f>
        <v/>
      </c>
      <c r="I10297">
        <f>IF(C10297="C99999",1,0)</f>
        <v/>
      </c>
      <c r="J10297" s="5">
        <f>IF(OR(H10297=1,I10297=1),0,IF(G10297="Credit",-F10297,F10297))</f>
        <v/>
      </c>
    </row>
    <row r="10298">
      <c r="A10298" t="inlineStr">
        <is>
          <t>2026-09-30</t>
        </is>
      </c>
      <c r="B10298" t="inlineStr">
        <is>
          <t>C901304</t>
        </is>
      </c>
      <c r="C10298" t="inlineStr">
        <is>
          <t>C10341</t>
        </is>
      </c>
      <c r="D10298" t="inlineStr">
        <is>
          <t>SKU-10201</t>
        </is>
      </c>
      <c r="E10298" t="inlineStr">
        <is>
          <t>AM12</t>
        </is>
      </c>
      <c r="F10298" s="5" t="n">
        <v>106.56</v>
      </c>
      <c r="G10298">
        <f>IF(LEFT(B10298,1)="C","Credit","Factuur")</f>
        <v/>
      </c>
      <c r="H10298">
        <f>IF(AND(B10298=B10297,D10298=D10297,A10298=A10297,F10298=F10297),1,0)</f>
        <v/>
      </c>
      <c r="I10298">
        <f>IF(C10298="C99999",1,0)</f>
        <v/>
      </c>
      <c r="J10298" s="5">
        <f>IF(OR(H10298=1,I10298=1),0,IF(G10298="Credit",-F10298,F10298))</f>
        <v/>
      </c>
    </row>
    <row r="10299">
      <c r="A10299" t="inlineStr">
        <is>
          <t>2026-09-30</t>
        </is>
      </c>
      <c r="B10299" t="inlineStr">
        <is>
          <t>C901330</t>
        </is>
      </c>
      <c r="C10299" t="inlineStr">
        <is>
          <t>C10525</t>
        </is>
      </c>
      <c r="D10299" t="inlineStr">
        <is>
          <t>SKU-10309</t>
        </is>
      </c>
      <c r="E10299" t="inlineStr">
        <is>
          <t>AM02</t>
        </is>
      </c>
      <c r="F10299" s="5" t="n">
        <v>510.62</v>
      </c>
      <c r="G10299">
        <f>IF(LEFT(B10299,1)="C","Credit","Factuur")</f>
        <v/>
      </c>
      <c r="H10299">
        <f>IF(AND(B10299=B10298,D10299=D10298,A10299=A10298,F10299=F10298),1,0)</f>
        <v/>
      </c>
      <c r="I10299">
        <f>IF(C10299="C99999",1,0)</f>
        <v/>
      </c>
      <c r="J10299" s="5">
        <f>IF(OR(H10299=1,I10299=1),0,IF(G10299="Credit",-F10299,F10299))</f>
        <v/>
      </c>
    </row>
    <row r="10300">
      <c r="A10300" t="inlineStr">
        <is>
          <t>2026-09-30</t>
        </is>
      </c>
      <c r="B10300" t="inlineStr">
        <is>
          <t>C901395</t>
        </is>
      </c>
      <c r="C10300" t="inlineStr">
        <is>
          <t>C11015</t>
        </is>
      </c>
      <c r="D10300" t="inlineStr">
        <is>
          <t>SKU-10028</t>
        </is>
      </c>
      <c r="E10300" t="inlineStr">
        <is>
          <t>AM07</t>
        </is>
      </c>
      <c r="F10300" s="5" t="n">
        <v>463.04</v>
      </c>
      <c r="G10300">
        <f>IF(LEFT(B10300,1)="C","Credit","Factuur")</f>
        <v/>
      </c>
      <c r="H10300">
        <f>IF(AND(B10300=B10299,D10300=D10299,A10300=A10299,F10300=F10299),1,0)</f>
        <v/>
      </c>
      <c r="I10300">
        <f>IF(C10300="C99999",1,0)</f>
        <v/>
      </c>
      <c r="J10300" s="5">
        <f>IF(OR(H10300=1,I10300=1),0,IF(G10300="Credit",-F10300,F10300))</f>
        <v/>
      </c>
    </row>
    <row r="10301">
      <c r="A10301" t="inlineStr">
        <is>
          <t>2026-09-30</t>
        </is>
      </c>
      <c r="B10301" t="inlineStr">
        <is>
          <t>C901450</t>
        </is>
      </c>
      <c r="C10301" t="inlineStr">
        <is>
          <t>C10493</t>
        </is>
      </c>
      <c r="D10301" t="inlineStr">
        <is>
          <t>SKU-10042</t>
        </is>
      </c>
      <c r="E10301" t="inlineStr">
        <is>
          <t>AM08</t>
        </is>
      </c>
      <c r="F10301" s="5" t="n">
        <v>336.66</v>
      </c>
      <c r="G10301">
        <f>IF(LEFT(B10301,1)="C","Credit","Factuur")</f>
        <v/>
      </c>
      <c r="H10301">
        <f>IF(AND(B10301=B10300,D10301=D10300,A10301=A10300,F10301=F10300),1,0)</f>
        <v/>
      </c>
      <c r="I10301">
        <f>IF(C10301="C99999",1,0)</f>
        <v/>
      </c>
      <c r="J10301" s="5">
        <f>IF(OR(H10301=1,I10301=1),0,IF(G10301="Credit",-F10301,F10301))</f>
        <v/>
      </c>
    </row>
    <row r="10302">
      <c r="A10302" t="inlineStr">
        <is>
          <t>2026-09-30</t>
        </is>
      </c>
      <c r="B10302" t="inlineStr">
        <is>
          <t>C901499</t>
        </is>
      </c>
      <c r="C10302" t="inlineStr">
        <is>
          <t>C10951</t>
        </is>
      </c>
      <c r="D10302" t="inlineStr">
        <is>
          <t>SKU-10315</t>
        </is>
      </c>
      <c r="E10302" t="inlineStr">
        <is>
          <t>AM06</t>
        </is>
      </c>
      <c r="F10302" s="5" t="n">
        <v>1579.05</v>
      </c>
      <c r="G10302">
        <f>IF(LEFT(B10302,1)="C","Credit","Factuur")</f>
        <v/>
      </c>
      <c r="H10302">
        <f>IF(AND(B10302=B10301,D10302=D10301,A10302=A10301,F10302=F10301),1,0)</f>
        <v/>
      </c>
      <c r="I10302">
        <f>IF(C10302="C99999",1,0)</f>
        <v/>
      </c>
      <c r="J10302" s="5">
        <f>IF(OR(H10302=1,I10302=1),0,IF(G10302="Credit",-F10302,F10302))</f>
        <v/>
      </c>
    </row>
    <row r="10303">
      <c r="A10303" t="inlineStr">
        <is>
          <t>2026-09-30</t>
        </is>
      </c>
      <c r="B10303" t="inlineStr">
        <is>
          <t>C901506</t>
        </is>
      </c>
      <c r="C10303" t="inlineStr">
        <is>
          <t>C10567</t>
        </is>
      </c>
      <c r="D10303" t="inlineStr">
        <is>
          <t>SKU-10258</t>
        </is>
      </c>
      <c r="E10303" t="inlineStr">
        <is>
          <t>AM08</t>
        </is>
      </c>
      <c r="F10303" s="5" t="n">
        <v>34.18</v>
      </c>
      <c r="G10303">
        <f>IF(LEFT(B10303,1)="C","Credit","Factuur")</f>
        <v/>
      </c>
      <c r="H10303">
        <f>IF(AND(B10303=B10302,D10303=D10302,A10303=A10302,F10303=F10302),1,0)</f>
        <v/>
      </c>
      <c r="I10303">
        <f>IF(C10303="C99999",1,0)</f>
        <v/>
      </c>
      <c r="J10303" s="5">
        <f>IF(OR(H10303=1,I10303=1),0,IF(G10303="Credit",-F10303,F10303))</f>
        <v/>
      </c>
    </row>
    <row r="10304">
      <c r="A10304" t="inlineStr">
        <is>
          <t>2026-09-30</t>
        </is>
      </c>
      <c r="B10304" t="inlineStr">
        <is>
          <t>C901557</t>
        </is>
      </c>
      <c r="C10304" t="inlineStr">
        <is>
          <t>C10901</t>
        </is>
      </c>
      <c r="D10304" t="inlineStr">
        <is>
          <t>SKU-10233</t>
        </is>
      </c>
      <c r="E10304" t="inlineStr">
        <is>
          <t>AM02</t>
        </is>
      </c>
      <c r="F10304" s="5" t="n">
        <v>45.83</v>
      </c>
      <c r="G10304">
        <f>IF(LEFT(B10304,1)="C","Credit","Factuur")</f>
        <v/>
      </c>
      <c r="H10304">
        <f>IF(AND(B10304=B10303,D10304=D10303,A10304=A10303,F10304=F10303),1,0)</f>
        <v/>
      </c>
      <c r="I10304">
        <f>IF(C10304="C99999",1,0)</f>
        <v/>
      </c>
      <c r="J10304" s="5">
        <f>IF(OR(H10304=1,I10304=1),0,IF(G10304="Credit",-F10304,F10304))</f>
        <v/>
      </c>
    </row>
    <row r="10305">
      <c r="A10305" t="inlineStr">
        <is>
          <t>2026-09-30</t>
        </is>
      </c>
      <c r="B10305" t="inlineStr">
        <is>
          <t>C901607</t>
        </is>
      </c>
      <c r="C10305" t="inlineStr">
        <is>
          <t>C11219</t>
        </is>
      </c>
      <c r="D10305" t="inlineStr">
        <is>
          <t>SKU-10177</t>
        </is>
      </c>
      <c r="E10305" t="inlineStr">
        <is>
          <t>AM03</t>
        </is>
      </c>
      <c r="F10305" s="5" t="n">
        <v>77.04000000000001</v>
      </c>
      <c r="G10305">
        <f>IF(LEFT(B10305,1)="C","Credit","Factuur")</f>
        <v/>
      </c>
      <c r="H10305">
        <f>IF(AND(B10305=B10304,D10305=D10304,A10305=A10304,F10305=F10304),1,0)</f>
        <v/>
      </c>
      <c r="I10305">
        <f>IF(C10305="C99999",1,0)</f>
        <v/>
      </c>
      <c r="J10305" s="5">
        <f>IF(OR(H10305=1,I10305=1),0,IF(G10305="Credit",-F10305,F10305))</f>
        <v/>
      </c>
    </row>
    <row r="10306">
      <c r="A10306" t="inlineStr">
        <is>
          <t>2026-09-30</t>
        </is>
      </c>
      <c r="B10306" t="inlineStr">
        <is>
          <t>C901635</t>
        </is>
      </c>
      <c r="C10306" t="inlineStr">
        <is>
          <t>C10232</t>
        </is>
      </c>
      <c r="D10306" t="inlineStr">
        <is>
          <t>SKU-10175</t>
        </is>
      </c>
      <c r="E10306" t="inlineStr">
        <is>
          <t>AM07</t>
        </is>
      </c>
      <c r="F10306" s="5" t="n">
        <v>359.67</v>
      </c>
      <c r="G10306">
        <f>IF(LEFT(B10306,1)="C","Credit","Factuur")</f>
        <v/>
      </c>
      <c r="H10306">
        <f>IF(AND(B10306=B10305,D10306=D10305,A10306=A10305,F10306=F10305),1,0)</f>
        <v/>
      </c>
      <c r="I10306">
        <f>IF(C10306="C99999",1,0)</f>
        <v/>
      </c>
      <c r="J10306" s="5">
        <f>IF(OR(H10306=1,I10306=1),0,IF(G10306="Credit",-F10306,F10306))</f>
        <v/>
      </c>
    </row>
    <row r="10307">
      <c r="A10307" t="inlineStr">
        <is>
          <t>2026-09-30</t>
        </is>
      </c>
      <c r="B10307" t="inlineStr">
        <is>
          <t>C901638</t>
        </is>
      </c>
      <c r="C10307" t="inlineStr">
        <is>
          <t>C11187</t>
        </is>
      </c>
      <c r="D10307" t="inlineStr">
        <is>
          <t>SKU-10193</t>
        </is>
      </c>
      <c r="E10307" t="inlineStr">
        <is>
          <t>AM02</t>
        </is>
      </c>
      <c r="F10307" s="5" t="n">
        <v>569.24</v>
      </c>
      <c r="G10307">
        <f>IF(LEFT(B10307,1)="C","Credit","Factuur")</f>
        <v/>
      </c>
      <c r="H10307">
        <f>IF(AND(B10307=B10306,D10307=D10306,A10307=A10306,F10307=F10306),1,0)</f>
        <v/>
      </c>
      <c r="I10307">
        <f>IF(C10307="C99999",1,0)</f>
        <v/>
      </c>
      <c r="J10307" s="5">
        <f>IF(OR(H10307=1,I10307=1),0,IF(G10307="Credit",-F10307,F10307))</f>
        <v/>
      </c>
    </row>
    <row r="10308">
      <c r="A10308" t="inlineStr">
        <is>
          <t>2026-09-30</t>
        </is>
      </c>
      <c r="B10308" t="inlineStr">
        <is>
          <t>C901680</t>
        </is>
      </c>
      <c r="C10308" t="inlineStr">
        <is>
          <t>C10309</t>
        </is>
      </c>
      <c r="D10308" t="inlineStr">
        <is>
          <t>SKU-10332</t>
        </is>
      </c>
      <c r="E10308" t="inlineStr">
        <is>
          <t>AM08</t>
        </is>
      </c>
      <c r="F10308" s="5" t="n">
        <v>425.21</v>
      </c>
      <c r="G10308">
        <f>IF(LEFT(B10308,1)="C","Credit","Factuur")</f>
        <v/>
      </c>
      <c r="H10308">
        <f>IF(AND(B10308=B10307,D10308=D10307,A10308=A10307,F10308=F10307),1,0)</f>
        <v/>
      </c>
      <c r="I10308">
        <f>IF(C10308="C99999",1,0)</f>
        <v/>
      </c>
      <c r="J10308" s="5">
        <f>IF(OR(H10308=1,I10308=1),0,IF(G10308="Credit",-F10308,F10308))</f>
        <v/>
      </c>
    </row>
    <row r="10309">
      <c r="A10309" t="inlineStr">
        <is>
          <t>2026-09-30</t>
        </is>
      </c>
      <c r="B10309" t="inlineStr">
        <is>
          <t>C901686</t>
        </is>
      </c>
      <c r="C10309" t="inlineStr">
        <is>
          <t>C10718</t>
        </is>
      </c>
      <c r="D10309" t="inlineStr">
        <is>
          <t>SKU-10073</t>
        </is>
      </c>
      <c r="E10309" t="inlineStr">
        <is>
          <t>AM01</t>
        </is>
      </c>
      <c r="F10309" s="5" t="n">
        <v>171.12</v>
      </c>
      <c r="G10309">
        <f>IF(LEFT(B10309,1)="C","Credit","Factuur")</f>
        <v/>
      </c>
      <c r="H10309">
        <f>IF(AND(B10309=B10308,D10309=D10308,A10309=A10308,F10309=F10308),1,0)</f>
        <v/>
      </c>
      <c r="I10309">
        <f>IF(C10309="C99999",1,0)</f>
        <v/>
      </c>
      <c r="J10309" s="5">
        <f>IF(OR(H10309=1,I10309=1),0,IF(G10309="Credit",-F10309,F10309))</f>
        <v/>
      </c>
    </row>
    <row r="10310">
      <c r="A10310" t="inlineStr">
        <is>
          <t>2026-09-30</t>
        </is>
      </c>
      <c r="B10310" t="inlineStr">
        <is>
          <t>C901793</t>
        </is>
      </c>
      <c r="C10310" t="inlineStr">
        <is>
          <t>C10779</t>
        </is>
      </c>
      <c r="D10310" t="inlineStr">
        <is>
          <t>SKU-10266</t>
        </is>
      </c>
      <c r="E10310" t="inlineStr"/>
      <c r="F10310" s="5" t="n">
        <v>6086</v>
      </c>
      <c r="G10310">
        <f>IF(LEFT(B10310,1)="C","Credit","Factuur")</f>
        <v/>
      </c>
      <c r="H10310">
        <f>IF(AND(B10310=B10309,D10310=D10309,A10310=A10309,F10310=F10309),1,0)</f>
        <v/>
      </c>
      <c r="I10310">
        <f>IF(C10310="C99999",1,0)</f>
        <v/>
      </c>
      <c r="J10310" s="5">
        <f>IF(OR(H10310=1,I10310=1),0,IF(G10310="Credit",-F10310,F10310))</f>
        <v/>
      </c>
    </row>
    <row r="10311">
      <c r="A10311" t="inlineStr">
        <is>
          <t>2026-09-30</t>
        </is>
      </c>
      <c r="B10311" t="inlineStr">
        <is>
          <t>C901856</t>
        </is>
      </c>
      <c r="C10311" t="inlineStr">
        <is>
          <t>C10251</t>
        </is>
      </c>
      <c r="D10311" t="inlineStr">
        <is>
          <t>SKU-10020</t>
        </is>
      </c>
      <c r="E10311" t="inlineStr">
        <is>
          <t>AM07</t>
        </is>
      </c>
      <c r="F10311" s="5" t="n">
        <v>212.16</v>
      </c>
      <c r="G10311">
        <f>IF(LEFT(B10311,1)="C","Credit","Factuur")</f>
        <v/>
      </c>
      <c r="H10311">
        <f>IF(AND(B10311=B10310,D10311=D10310,A10311=A10310,F10311=F10310),1,0)</f>
        <v/>
      </c>
      <c r="I10311">
        <f>IF(C10311="C99999",1,0)</f>
        <v/>
      </c>
      <c r="J10311" s="5">
        <f>IF(OR(H10311=1,I10311=1),0,IF(G10311="Credit",-F10311,F10311))</f>
        <v/>
      </c>
    </row>
    <row r="10312">
      <c r="A10312" t="inlineStr">
        <is>
          <t>2026-09-30</t>
        </is>
      </c>
      <c r="B10312" t="inlineStr">
        <is>
          <t>C901863</t>
        </is>
      </c>
      <c r="C10312" t="inlineStr">
        <is>
          <t>C11059</t>
        </is>
      </c>
      <c r="D10312" t="inlineStr">
        <is>
          <t>SKU-10094</t>
        </is>
      </c>
      <c r="E10312" t="inlineStr">
        <is>
          <t>AM11</t>
        </is>
      </c>
      <c r="F10312" s="5" t="n">
        <v>28.3</v>
      </c>
      <c r="G10312">
        <f>IF(LEFT(B10312,1)="C","Credit","Factuur")</f>
        <v/>
      </c>
      <c r="H10312">
        <f>IF(AND(B10312=B10311,D10312=D10311,A10312=A10311,F10312=F10311),1,0)</f>
        <v/>
      </c>
      <c r="I10312">
        <f>IF(C10312="C99999",1,0)</f>
        <v/>
      </c>
      <c r="J10312" s="5">
        <f>IF(OR(H10312=1,I10312=1),0,IF(G10312="Credit",-F10312,F10312))</f>
        <v/>
      </c>
    </row>
    <row r="10313">
      <c r="A10313" t="inlineStr">
        <is>
          <t>2026-09-30</t>
        </is>
      </c>
      <c r="B10313" t="inlineStr">
        <is>
          <t>C901902</t>
        </is>
      </c>
      <c r="C10313" t="inlineStr">
        <is>
          <t>C11163</t>
        </is>
      </c>
      <c r="D10313" t="inlineStr">
        <is>
          <t>SKU-10077</t>
        </is>
      </c>
      <c r="E10313" t="inlineStr">
        <is>
          <t>AM01</t>
        </is>
      </c>
      <c r="F10313" s="5" t="n">
        <v>30.12</v>
      </c>
      <c r="G10313">
        <f>IF(LEFT(B10313,1)="C","Credit","Factuur")</f>
        <v/>
      </c>
      <c r="H10313">
        <f>IF(AND(B10313=B10312,D10313=D10312,A10313=A10312,F10313=F10312),1,0)</f>
        <v/>
      </c>
      <c r="I10313">
        <f>IF(C10313="C99999",1,0)</f>
        <v/>
      </c>
      <c r="J10313" s="5">
        <f>IF(OR(H10313=1,I10313=1),0,IF(G10313="Credit",-F10313,F10313))</f>
        <v/>
      </c>
    </row>
    <row r="10314">
      <c r="A10314" t="inlineStr">
        <is>
          <t>2026-09-30</t>
        </is>
      </c>
      <c r="B10314" t="inlineStr">
        <is>
          <t>C901919</t>
        </is>
      </c>
      <c r="C10314" t="inlineStr">
        <is>
          <t>C10901</t>
        </is>
      </c>
      <c r="D10314" t="inlineStr">
        <is>
          <t>SKU-10068</t>
        </is>
      </c>
      <c r="E10314" t="inlineStr">
        <is>
          <t>AM02</t>
        </is>
      </c>
      <c r="F10314" s="5" t="n">
        <v>20.69</v>
      </c>
      <c r="G10314">
        <f>IF(LEFT(B10314,1)="C","Credit","Factuur")</f>
        <v/>
      </c>
      <c r="H10314">
        <f>IF(AND(B10314=B10313,D10314=D10313,A10314=A10313,F10314=F10313),1,0)</f>
        <v/>
      </c>
      <c r="I10314">
        <f>IF(C10314="C99999",1,0)</f>
        <v/>
      </c>
      <c r="J10314" s="5">
        <f>IF(OR(H10314=1,I10314=1),0,IF(G10314="Credit",-F10314,F10314))</f>
        <v/>
      </c>
    </row>
    <row r="10315">
      <c r="A10315" t="inlineStr">
        <is>
          <t>2026-09-30</t>
        </is>
      </c>
      <c r="B10315" t="inlineStr">
        <is>
          <t>C901940</t>
        </is>
      </c>
      <c r="C10315" t="inlineStr">
        <is>
          <t>C11339</t>
        </is>
      </c>
      <c r="D10315" t="inlineStr">
        <is>
          <t>SKU-10208</t>
        </is>
      </c>
      <c r="E10315" t="inlineStr">
        <is>
          <t>AM03</t>
        </is>
      </c>
      <c r="F10315" s="5" t="n">
        <v>314.25</v>
      </c>
      <c r="G10315">
        <f>IF(LEFT(B10315,1)="C","Credit","Factuur")</f>
        <v/>
      </c>
      <c r="H10315">
        <f>IF(AND(B10315=B10314,D10315=D10314,A10315=A10314,F10315=F10314),1,0)</f>
        <v/>
      </c>
      <c r="I10315">
        <f>IF(C10315="C99999",1,0)</f>
        <v/>
      </c>
      <c r="J10315" s="5">
        <f>IF(OR(H10315=1,I10315=1),0,IF(G10315="Credit",-F10315,F10315))</f>
        <v/>
      </c>
    </row>
    <row r="10316">
      <c r="A10316" t="inlineStr">
        <is>
          <t>2026-09-30</t>
        </is>
      </c>
      <c r="B10316" t="inlineStr">
        <is>
          <t>C902010</t>
        </is>
      </c>
      <c r="C10316" t="inlineStr">
        <is>
          <t>C11377</t>
        </is>
      </c>
      <c r="D10316" t="inlineStr">
        <is>
          <t>SKU-10268</t>
        </is>
      </c>
      <c r="E10316" t="inlineStr">
        <is>
          <t>AM09</t>
        </is>
      </c>
      <c r="F10316" s="5" t="n">
        <v>1017.72</v>
      </c>
      <c r="G10316">
        <f>IF(LEFT(B10316,1)="C","Credit","Factuur")</f>
        <v/>
      </c>
      <c r="H10316">
        <f>IF(AND(B10316=B10315,D10316=D10315,A10316=A10315,F10316=F10315),1,0)</f>
        <v/>
      </c>
      <c r="I10316">
        <f>IF(C10316="C99999",1,0)</f>
        <v/>
      </c>
      <c r="J10316" s="5">
        <f>IF(OR(H10316=1,I10316=1),0,IF(G10316="Credit",-F10316,F10316))</f>
        <v/>
      </c>
    </row>
    <row r="10317">
      <c r="A10317" t="inlineStr">
        <is>
          <t>2026-09-30</t>
        </is>
      </c>
      <c r="B10317" t="inlineStr">
        <is>
          <t>C902011</t>
        </is>
      </c>
      <c r="C10317" t="inlineStr">
        <is>
          <t>C10443</t>
        </is>
      </c>
      <c r="D10317" t="inlineStr">
        <is>
          <t>SKU-10229</t>
        </is>
      </c>
      <c r="E10317" t="inlineStr">
        <is>
          <t>AM02</t>
        </is>
      </c>
      <c r="F10317" s="5" t="n">
        <v>15.45</v>
      </c>
      <c r="G10317">
        <f>IF(LEFT(B10317,1)="C","Credit","Factuur")</f>
        <v/>
      </c>
      <c r="H10317">
        <f>IF(AND(B10317=B10316,D10317=D10316,A10317=A10316,F10317=F10316),1,0)</f>
        <v/>
      </c>
      <c r="I10317">
        <f>IF(C10317="C99999",1,0)</f>
        <v/>
      </c>
      <c r="J10317" s="5">
        <f>IF(OR(H10317=1,I10317=1),0,IF(G10317="Credit",-F10317,F10317))</f>
        <v/>
      </c>
    </row>
    <row r="10318">
      <c r="A10318" t="inlineStr">
        <is>
          <t>2026-09-30</t>
        </is>
      </c>
      <c r="B10318" t="inlineStr">
        <is>
          <t>F260697</t>
        </is>
      </c>
      <c r="C10318" t="inlineStr">
        <is>
          <t>C10041</t>
        </is>
      </c>
      <c r="D10318" t="inlineStr">
        <is>
          <t>SKU-10095</t>
        </is>
      </c>
      <c r="E10318" t="inlineStr">
        <is>
          <t>AM06</t>
        </is>
      </c>
      <c r="F10318" s="5" t="n">
        <v>742.8</v>
      </c>
      <c r="G10318">
        <f>IF(LEFT(B10318,1)="C","Credit","Factuur")</f>
        <v/>
      </c>
      <c r="H10318">
        <f>IF(AND(B10318=B10317,D10318=D10317,A10318=A10317,F10318=F10317),1,0)</f>
        <v/>
      </c>
      <c r="I10318">
        <f>IF(C10318="C99999",1,0)</f>
        <v/>
      </c>
      <c r="J10318" s="5">
        <f>IF(OR(H10318=1,I10318=1),0,IF(G10318="Credit",-F10318,F10318))</f>
        <v/>
      </c>
    </row>
    <row r="10319">
      <c r="A10319" t="inlineStr">
        <is>
          <t>2026-09-30</t>
        </is>
      </c>
      <c r="B10319" t="inlineStr">
        <is>
          <t>F260697</t>
        </is>
      </c>
      <c r="C10319" t="inlineStr">
        <is>
          <t>C10041</t>
        </is>
      </c>
      <c r="D10319" t="inlineStr">
        <is>
          <t>SKU-10320</t>
        </is>
      </c>
      <c r="E10319" t="inlineStr">
        <is>
          <t>AM06</t>
        </is>
      </c>
      <c r="F10319" s="5" t="n">
        <v>728.16</v>
      </c>
      <c r="G10319">
        <f>IF(LEFT(B10319,1)="C","Credit","Factuur")</f>
        <v/>
      </c>
      <c r="H10319">
        <f>IF(AND(B10319=B10318,D10319=D10318,A10319=A10318,F10319=F10318),1,0)</f>
        <v/>
      </c>
      <c r="I10319">
        <f>IF(C10319="C99999",1,0)</f>
        <v/>
      </c>
      <c r="J10319" s="5">
        <f>IF(OR(H10319=1,I10319=1),0,IF(G10319="Credit",-F10319,F10319))</f>
        <v/>
      </c>
    </row>
    <row r="10320">
      <c r="A10320" t="inlineStr">
        <is>
          <t>2026-09-30</t>
        </is>
      </c>
      <c r="B10320" t="inlineStr">
        <is>
          <t>F260779</t>
        </is>
      </c>
      <c r="C10320" t="inlineStr">
        <is>
          <t>C10046</t>
        </is>
      </c>
      <c r="D10320" t="inlineStr">
        <is>
          <t>SKU-10047</t>
        </is>
      </c>
      <c r="E10320" t="inlineStr">
        <is>
          <t>AM07</t>
        </is>
      </c>
      <c r="F10320" s="5" t="n">
        <v>39.18</v>
      </c>
      <c r="G10320">
        <f>IF(LEFT(B10320,1)="C","Credit","Factuur")</f>
        <v/>
      </c>
      <c r="H10320">
        <f>IF(AND(B10320=B10319,D10320=D10319,A10320=A10319,F10320=F10319),1,0)</f>
        <v/>
      </c>
      <c r="I10320">
        <f>IF(C10320="C99999",1,0)</f>
        <v/>
      </c>
      <c r="J10320" s="5">
        <f>IF(OR(H10320=1,I10320=1),0,IF(G10320="Credit",-F10320,F10320))</f>
        <v/>
      </c>
    </row>
    <row r="10321">
      <c r="A10321" t="inlineStr">
        <is>
          <t>2026-09-30</t>
        </is>
      </c>
      <c r="B10321" t="inlineStr">
        <is>
          <t>F260779</t>
        </is>
      </c>
      <c r="C10321" t="inlineStr">
        <is>
          <t>C10046</t>
        </is>
      </c>
      <c r="D10321" t="inlineStr">
        <is>
          <t>SKU-10150</t>
        </is>
      </c>
      <c r="E10321" t="inlineStr">
        <is>
          <t>AM07</t>
        </is>
      </c>
      <c r="F10321" s="5" t="n">
        <v>131.6</v>
      </c>
      <c r="G10321">
        <f>IF(LEFT(B10321,1)="C","Credit","Factuur")</f>
        <v/>
      </c>
      <c r="H10321">
        <f>IF(AND(B10321=B10320,D10321=D10320,A10321=A10320,F10321=F10320),1,0)</f>
        <v/>
      </c>
      <c r="I10321">
        <f>IF(C10321="C99999",1,0)</f>
        <v/>
      </c>
      <c r="J10321" s="5">
        <f>IF(OR(H10321=1,I10321=1),0,IF(G10321="Credit",-F10321,F10321))</f>
        <v/>
      </c>
    </row>
    <row r="10322">
      <c r="A10322" t="inlineStr">
        <is>
          <t>2026-09-30</t>
        </is>
      </c>
      <c r="B10322" t="inlineStr">
        <is>
          <t>F260779</t>
        </is>
      </c>
      <c r="C10322" t="inlineStr">
        <is>
          <t>C10046</t>
        </is>
      </c>
      <c r="D10322" t="inlineStr">
        <is>
          <t>SKU-10180</t>
        </is>
      </c>
      <c r="E10322" t="inlineStr">
        <is>
          <t>AM07</t>
        </is>
      </c>
      <c r="F10322" s="5" t="n">
        <v>44.36</v>
      </c>
      <c r="G10322">
        <f>IF(LEFT(B10322,1)="C","Credit","Factuur")</f>
        <v/>
      </c>
      <c r="H10322">
        <f>IF(AND(B10322=B10321,D10322=D10321,A10322=A10321,F10322=F10321),1,0)</f>
        <v/>
      </c>
      <c r="I10322">
        <f>IF(C10322="C99999",1,0)</f>
        <v/>
      </c>
      <c r="J10322" s="5">
        <f>IF(OR(H10322=1,I10322=1),0,IF(G10322="Credit",-F10322,F10322))</f>
        <v/>
      </c>
    </row>
    <row r="10323">
      <c r="A10323" t="inlineStr">
        <is>
          <t>2026-09-30</t>
        </is>
      </c>
      <c r="B10323" t="inlineStr">
        <is>
          <t>F260779</t>
        </is>
      </c>
      <c r="C10323" t="inlineStr">
        <is>
          <t>C10046</t>
        </is>
      </c>
      <c r="D10323" t="inlineStr">
        <is>
          <t>SKU-10187</t>
        </is>
      </c>
      <c r="E10323" t="inlineStr">
        <is>
          <t>AM07</t>
        </is>
      </c>
      <c r="F10323" s="5" t="n">
        <v>36.56</v>
      </c>
      <c r="G10323">
        <f>IF(LEFT(B10323,1)="C","Credit","Factuur")</f>
        <v/>
      </c>
      <c r="H10323">
        <f>IF(AND(B10323=B10322,D10323=D10322,A10323=A10322,F10323=F10322),1,0)</f>
        <v/>
      </c>
      <c r="I10323">
        <f>IF(C10323="C99999",1,0)</f>
        <v/>
      </c>
      <c r="J10323" s="5">
        <f>IF(OR(H10323=1,I10323=1),0,IF(G10323="Credit",-F10323,F10323))</f>
        <v/>
      </c>
    </row>
    <row r="10324">
      <c r="A10324" t="inlineStr">
        <is>
          <t>2026-09-30</t>
        </is>
      </c>
      <c r="B10324" t="inlineStr">
        <is>
          <t>F260779</t>
        </is>
      </c>
      <c r="C10324" t="inlineStr">
        <is>
          <t>C10046</t>
        </is>
      </c>
      <c r="D10324" t="inlineStr">
        <is>
          <t>SKU-10190</t>
        </is>
      </c>
      <c r="E10324" t="inlineStr">
        <is>
          <t>AM07</t>
        </is>
      </c>
      <c r="F10324" s="5" t="n">
        <v>43.82</v>
      </c>
      <c r="G10324">
        <f>IF(LEFT(B10324,1)="C","Credit","Factuur")</f>
        <v/>
      </c>
      <c r="H10324">
        <f>IF(AND(B10324=B10323,D10324=D10323,A10324=A10323,F10324=F10323),1,0)</f>
        <v/>
      </c>
      <c r="I10324">
        <f>IF(C10324="C99999",1,0)</f>
        <v/>
      </c>
      <c r="J10324" s="5">
        <f>IF(OR(H10324=1,I10324=1),0,IF(G10324="Credit",-F10324,F10324))</f>
        <v/>
      </c>
    </row>
    <row r="10325">
      <c r="A10325" t="inlineStr">
        <is>
          <t>2026-09-30</t>
        </is>
      </c>
      <c r="B10325" t="inlineStr">
        <is>
          <t>F260779</t>
        </is>
      </c>
      <c r="C10325" t="inlineStr">
        <is>
          <t>C10046</t>
        </is>
      </c>
      <c r="D10325" t="inlineStr">
        <is>
          <t>SKU-10334</t>
        </is>
      </c>
      <c r="E10325" t="inlineStr">
        <is>
          <t>AM07</t>
        </is>
      </c>
      <c r="F10325" s="5" t="n">
        <v>54.31</v>
      </c>
      <c r="G10325">
        <f>IF(LEFT(B10325,1)="C","Credit","Factuur")</f>
        <v/>
      </c>
      <c r="H10325">
        <f>IF(AND(B10325=B10324,D10325=D10324,A10325=A10324,F10325=F10324),1,0)</f>
        <v/>
      </c>
      <c r="I10325">
        <f>IF(C10325="C99999",1,0)</f>
        <v/>
      </c>
      <c r="J10325" s="5">
        <f>IF(OR(H10325=1,I10325=1),0,IF(G10325="Credit",-F10325,F10325))</f>
        <v/>
      </c>
    </row>
    <row r="10326">
      <c r="A10326" t="inlineStr">
        <is>
          <t>2026-09-30</t>
        </is>
      </c>
      <c r="B10326" t="inlineStr">
        <is>
          <t>F261225</t>
        </is>
      </c>
      <c r="C10326" t="inlineStr">
        <is>
          <t>C10067</t>
        </is>
      </c>
      <c r="D10326" t="inlineStr">
        <is>
          <t>SKU-10094</t>
        </is>
      </c>
      <c r="E10326" t="inlineStr">
        <is>
          <t>AM11</t>
        </is>
      </c>
      <c r="F10326" s="5" t="n">
        <v>3594.1</v>
      </c>
      <c r="G10326">
        <f>IF(LEFT(B10326,1)="C","Credit","Factuur")</f>
        <v/>
      </c>
      <c r="H10326">
        <f>IF(AND(B10326=B10325,D10326=D10325,A10326=A10325,F10326=F10325),1,0)</f>
        <v/>
      </c>
      <c r="I10326">
        <f>IF(C10326="C99999",1,0)</f>
        <v/>
      </c>
      <c r="J10326" s="5">
        <f>IF(OR(H10326=1,I10326=1),0,IF(G10326="Credit",-F10326,F10326))</f>
        <v/>
      </c>
    </row>
    <row r="10327">
      <c r="A10327" t="inlineStr">
        <is>
          <t>2026-09-30</t>
        </is>
      </c>
      <c r="B10327" t="inlineStr">
        <is>
          <t>F261609</t>
        </is>
      </c>
      <c r="C10327" t="inlineStr">
        <is>
          <t>C10086</t>
        </is>
      </c>
      <c r="D10327" t="inlineStr">
        <is>
          <t>SKU-10007</t>
        </is>
      </c>
      <c r="E10327" t="inlineStr">
        <is>
          <t>AM02</t>
        </is>
      </c>
      <c r="F10327" s="5" t="n">
        <v>189.24</v>
      </c>
      <c r="G10327">
        <f>IF(LEFT(B10327,1)="C","Credit","Factuur")</f>
        <v/>
      </c>
      <c r="H10327">
        <f>IF(AND(B10327=B10326,D10327=D10326,A10327=A10326,F10327=F10326),1,0)</f>
        <v/>
      </c>
      <c r="I10327">
        <f>IF(C10327="C99999",1,0)</f>
        <v/>
      </c>
      <c r="J10327" s="5">
        <f>IF(OR(H10327=1,I10327=1),0,IF(G10327="Credit",-F10327,F10327))</f>
        <v/>
      </c>
    </row>
    <row r="10328">
      <c r="A10328" t="inlineStr">
        <is>
          <t>2026-09-30</t>
        </is>
      </c>
      <c r="B10328" t="inlineStr">
        <is>
          <t>F261609</t>
        </is>
      </c>
      <c r="C10328" t="inlineStr">
        <is>
          <t>C10086</t>
        </is>
      </c>
      <c r="D10328" t="inlineStr">
        <is>
          <t>SKU-10027</t>
        </is>
      </c>
      <c r="E10328" t="inlineStr">
        <is>
          <t>AM02</t>
        </is>
      </c>
      <c r="F10328" s="5" t="n">
        <v>221.36</v>
      </c>
      <c r="G10328">
        <f>IF(LEFT(B10328,1)="C","Credit","Factuur")</f>
        <v/>
      </c>
      <c r="H10328">
        <f>IF(AND(B10328=B10327,D10328=D10327,A10328=A10327,F10328=F10327),1,0)</f>
        <v/>
      </c>
      <c r="I10328">
        <f>IF(C10328="C99999",1,0)</f>
        <v/>
      </c>
      <c r="J10328" s="5">
        <f>IF(OR(H10328=1,I10328=1),0,IF(G10328="Credit",-F10328,F10328))</f>
        <v/>
      </c>
    </row>
    <row r="10329">
      <c r="A10329" t="inlineStr">
        <is>
          <t>2026-09-30</t>
        </is>
      </c>
      <c r="B10329" t="inlineStr">
        <is>
          <t>F261609</t>
        </is>
      </c>
      <c r="C10329" t="inlineStr">
        <is>
          <t>C10086</t>
        </is>
      </c>
      <c r="D10329" t="inlineStr">
        <is>
          <t>SKU-10158</t>
        </is>
      </c>
      <c r="E10329" t="inlineStr">
        <is>
          <t>AM02</t>
        </is>
      </c>
      <c r="F10329" s="5" t="n">
        <v>199.1</v>
      </c>
      <c r="G10329">
        <f>IF(LEFT(B10329,1)="C","Credit","Factuur")</f>
        <v/>
      </c>
      <c r="H10329">
        <f>IF(AND(B10329=B10328,D10329=D10328,A10329=A10328,F10329=F10328),1,0)</f>
        <v/>
      </c>
      <c r="I10329">
        <f>IF(C10329="C99999",1,0)</f>
        <v/>
      </c>
      <c r="J10329" s="5">
        <f>IF(OR(H10329=1,I10329=1),0,IF(G10329="Credit",-F10329,F10329))</f>
        <v/>
      </c>
    </row>
    <row r="10330">
      <c r="A10330" t="inlineStr">
        <is>
          <t>2026-09-30</t>
        </is>
      </c>
      <c r="B10330" t="inlineStr">
        <is>
          <t>F261609</t>
        </is>
      </c>
      <c r="C10330" t="inlineStr">
        <is>
          <t>C10086</t>
        </is>
      </c>
      <c r="D10330" t="inlineStr">
        <is>
          <t>SKU-10203</t>
        </is>
      </c>
      <c r="E10330" t="inlineStr">
        <is>
          <t>AM02</t>
        </is>
      </c>
      <c r="F10330" s="5" t="n">
        <v>169.4</v>
      </c>
      <c r="G10330">
        <f>IF(LEFT(B10330,1)="C","Credit","Factuur")</f>
        <v/>
      </c>
      <c r="H10330">
        <f>IF(AND(B10330=B10329,D10330=D10329,A10330=A10329,F10330=F10329),1,0)</f>
        <v/>
      </c>
      <c r="I10330">
        <f>IF(C10330="C99999",1,0)</f>
        <v/>
      </c>
      <c r="J10330" s="5">
        <f>IF(OR(H10330=1,I10330=1),0,IF(G10330="Credit",-F10330,F10330))</f>
        <v/>
      </c>
    </row>
    <row r="10331">
      <c r="A10331" t="inlineStr">
        <is>
          <t>2026-09-30</t>
        </is>
      </c>
      <c r="B10331" t="inlineStr">
        <is>
          <t>F261775</t>
        </is>
      </c>
      <c r="C10331" t="inlineStr">
        <is>
          <t>C10093</t>
        </is>
      </c>
      <c r="D10331" t="inlineStr">
        <is>
          <t>SKU-10194</t>
        </is>
      </c>
      <c r="E10331" t="inlineStr">
        <is>
          <t>AM01</t>
        </is>
      </c>
      <c r="F10331" s="5" t="n">
        <v>930.29</v>
      </c>
      <c r="G10331">
        <f>IF(LEFT(B10331,1)="C","Credit","Factuur")</f>
        <v/>
      </c>
      <c r="H10331">
        <f>IF(AND(B10331=B10330,D10331=D10330,A10331=A10330,F10331=F10330),1,0)</f>
        <v/>
      </c>
      <c r="I10331">
        <f>IF(C10331="C99999",1,0)</f>
        <v/>
      </c>
      <c r="J10331" s="5">
        <f>IF(OR(H10331=1,I10331=1),0,IF(G10331="Credit",-F10331,F10331))</f>
        <v/>
      </c>
    </row>
    <row r="10332">
      <c r="A10332" t="inlineStr">
        <is>
          <t>2026-09-30</t>
        </is>
      </c>
      <c r="B10332" t="inlineStr">
        <is>
          <t>F261984</t>
        </is>
      </c>
      <c r="C10332" t="inlineStr">
        <is>
          <t>C10107</t>
        </is>
      </c>
      <c r="D10332" t="inlineStr">
        <is>
          <t>SKU-10170</t>
        </is>
      </c>
      <c r="E10332" t="inlineStr">
        <is>
          <t>AM11</t>
        </is>
      </c>
      <c r="F10332" s="5" t="n">
        <v>398.08</v>
      </c>
      <c r="G10332">
        <f>IF(LEFT(B10332,1)="C","Credit","Factuur")</f>
        <v/>
      </c>
      <c r="H10332">
        <f>IF(AND(B10332=B10331,D10332=D10331,A10332=A10331,F10332=F10331),1,0)</f>
        <v/>
      </c>
      <c r="I10332">
        <f>IF(C10332="C99999",1,0)</f>
        <v/>
      </c>
      <c r="J10332" s="5">
        <f>IF(OR(H10332=1,I10332=1),0,IF(G10332="Credit",-F10332,F10332))</f>
        <v/>
      </c>
    </row>
    <row r="10333">
      <c r="A10333" t="inlineStr">
        <is>
          <t>2026-09-30</t>
        </is>
      </c>
      <c r="B10333" t="inlineStr">
        <is>
          <t>F261984</t>
        </is>
      </c>
      <c r="C10333" t="inlineStr">
        <is>
          <t>C10107</t>
        </is>
      </c>
      <c r="D10333" t="inlineStr">
        <is>
          <t>SKU-10210</t>
        </is>
      </c>
      <c r="E10333" t="inlineStr">
        <is>
          <t>AM11</t>
        </is>
      </c>
      <c r="F10333" s="5" t="n">
        <v>336.42</v>
      </c>
      <c r="G10333">
        <f>IF(LEFT(B10333,1)="C","Credit","Factuur")</f>
        <v/>
      </c>
      <c r="H10333">
        <f>IF(AND(B10333=B10332,D10333=D10332,A10333=A10332,F10333=F10332),1,0)</f>
        <v/>
      </c>
      <c r="I10333">
        <f>IF(C10333="C99999",1,0)</f>
        <v/>
      </c>
      <c r="J10333" s="5">
        <f>IF(OR(H10333=1,I10333=1),0,IF(G10333="Credit",-F10333,F10333))</f>
        <v/>
      </c>
    </row>
    <row r="10334">
      <c r="A10334" t="inlineStr">
        <is>
          <t>2026-09-30</t>
        </is>
      </c>
      <c r="B10334" t="inlineStr">
        <is>
          <t>F264463</t>
        </is>
      </c>
      <c r="C10334" t="inlineStr">
        <is>
          <t>C10231</t>
        </is>
      </c>
      <c r="D10334" t="inlineStr">
        <is>
          <t>SKU-10040</t>
        </is>
      </c>
      <c r="E10334" t="inlineStr">
        <is>
          <t>AM11</t>
        </is>
      </c>
      <c r="F10334" s="5" t="n">
        <v>135.18</v>
      </c>
      <c r="G10334">
        <f>IF(LEFT(B10334,1)="C","Credit","Factuur")</f>
        <v/>
      </c>
      <c r="H10334">
        <f>IF(AND(B10334=B10333,D10334=D10333,A10334=A10333,F10334=F10333),1,0)</f>
        <v/>
      </c>
      <c r="I10334">
        <f>IF(C10334="C99999",1,0)</f>
        <v/>
      </c>
      <c r="J10334" s="5">
        <f>IF(OR(H10334=1,I10334=1),0,IF(G10334="Credit",-F10334,F10334))</f>
        <v/>
      </c>
    </row>
    <row r="10335">
      <c r="A10335" t="inlineStr">
        <is>
          <t>2026-09-30</t>
        </is>
      </c>
      <c r="B10335" t="inlineStr">
        <is>
          <t>F264463</t>
        </is>
      </c>
      <c r="C10335" t="inlineStr">
        <is>
          <t>C10231</t>
        </is>
      </c>
      <c r="D10335" t="inlineStr">
        <is>
          <t>SKU-10047</t>
        </is>
      </c>
      <c r="E10335" t="inlineStr">
        <is>
          <t>AM11</t>
        </is>
      </c>
      <c r="F10335" s="5" t="n">
        <v>130.6</v>
      </c>
      <c r="G10335">
        <f>IF(LEFT(B10335,1)="C","Credit","Factuur")</f>
        <v/>
      </c>
      <c r="H10335">
        <f>IF(AND(B10335=B10334,D10335=D10334,A10335=A10334,F10335=F10334),1,0)</f>
        <v/>
      </c>
      <c r="I10335">
        <f>IF(C10335="C99999",1,0)</f>
        <v/>
      </c>
      <c r="J10335" s="5">
        <f>IF(OR(H10335=1,I10335=1),0,IF(G10335="Credit",-F10335,F10335))</f>
        <v/>
      </c>
    </row>
    <row r="10336">
      <c r="A10336" t="inlineStr">
        <is>
          <t>2026-09-30</t>
        </is>
      </c>
      <c r="B10336" t="inlineStr">
        <is>
          <t>F264463</t>
        </is>
      </c>
      <c r="C10336" t="inlineStr">
        <is>
          <t>C10231</t>
        </is>
      </c>
      <c r="D10336" t="inlineStr">
        <is>
          <t>SKU-10335</t>
        </is>
      </c>
      <c r="E10336" t="inlineStr">
        <is>
          <t>AM11</t>
        </is>
      </c>
      <c r="F10336" s="5" t="n">
        <v>131.48</v>
      </c>
      <c r="G10336">
        <f>IF(LEFT(B10336,1)="C","Credit","Factuur")</f>
        <v/>
      </c>
      <c r="H10336">
        <f>IF(AND(B10336=B10335,D10336=D10335,A10336=A10335,F10336=F10335),1,0)</f>
        <v/>
      </c>
      <c r="I10336">
        <f>IF(C10336="C99999",1,0)</f>
        <v/>
      </c>
      <c r="J10336" s="5">
        <f>IF(OR(H10336=1,I10336=1),0,IF(G10336="Credit",-F10336,F10336))</f>
        <v/>
      </c>
    </row>
    <row r="10337">
      <c r="A10337" t="inlineStr">
        <is>
          <t>2026-09-30</t>
        </is>
      </c>
      <c r="B10337" t="inlineStr">
        <is>
          <t>F265093</t>
        </is>
      </c>
      <c r="C10337" t="inlineStr">
        <is>
          <t>C10268</t>
        </is>
      </c>
      <c r="D10337" t="inlineStr">
        <is>
          <t>SKU-10180</t>
        </is>
      </c>
      <c r="E10337" t="inlineStr">
        <is>
          <t>AM06</t>
        </is>
      </c>
      <c r="F10337" s="5" t="n">
        <v>1242.08</v>
      </c>
      <c r="G10337">
        <f>IF(LEFT(B10337,1)="C","Credit","Factuur")</f>
        <v/>
      </c>
      <c r="H10337">
        <f>IF(AND(B10337=B10336,D10337=D10336,A10337=A10336,F10337=F10336),1,0)</f>
        <v/>
      </c>
      <c r="I10337">
        <f>IF(C10337="C99999",1,0)</f>
        <v/>
      </c>
      <c r="J10337" s="5">
        <f>IF(OR(H10337=1,I10337=1),0,IF(G10337="Credit",-F10337,F10337))</f>
        <v/>
      </c>
    </row>
    <row r="10338">
      <c r="A10338" t="inlineStr">
        <is>
          <t>2026-09-30</t>
        </is>
      </c>
      <c r="B10338" t="inlineStr">
        <is>
          <t>F265093</t>
        </is>
      </c>
      <c r="C10338" t="inlineStr">
        <is>
          <t>C10268</t>
        </is>
      </c>
      <c r="D10338" t="inlineStr">
        <is>
          <t>SKU-10304</t>
        </is>
      </c>
      <c r="E10338" t="inlineStr">
        <is>
          <t>AM06</t>
        </is>
      </c>
      <c r="F10338" s="5" t="n">
        <v>1222.4</v>
      </c>
      <c r="G10338">
        <f>IF(LEFT(B10338,1)="C","Credit","Factuur")</f>
        <v/>
      </c>
      <c r="H10338">
        <f>IF(AND(B10338=B10337,D10338=D10337,A10338=A10337,F10338=F10337),1,0)</f>
        <v/>
      </c>
      <c r="I10338">
        <f>IF(C10338="C99999",1,0)</f>
        <v/>
      </c>
      <c r="J10338" s="5">
        <f>IF(OR(H10338=1,I10338=1),0,IF(G10338="Credit",-F10338,F10338))</f>
        <v/>
      </c>
    </row>
    <row r="10339">
      <c r="A10339" t="inlineStr">
        <is>
          <t>2026-09-30</t>
        </is>
      </c>
      <c r="B10339" t="inlineStr">
        <is>
          <t>F265093</t>
        </is>
      </c>
      <c r="C10339" t="inlineStr">
        <is>
          <t>C10268</t>
        </is>
      </c>
      <c r="D10339" t="inlineStr">
        <is>
          <t>SKU-10322</t>
        </is>
      </c>
      <c r="E10339" t="inlineStr">
        <is>
          <t>AM06</t>
        </is>
      </c>
      <c r="F10339" s="5" t="n">
        <v>1247.06</v>
      </c>
      <c r="G10339">
        <f>IF(LEFT(B10339,1)="C","Credit","Factuur")</f>
        <v/>
      </c>
      <c r="H10339">
        <f>IF(AND(B10339=B10338,D10339=D10338,A10339=A10338,F10339=F10338),1,0)</f>
        <v/>
      </c>
      <c r="I10339">
        <f>IF(C10339="C99999",1,0)</f>
        <v/>
      </c>
      <c r="J10339" s="5">
        <f>IF(OR(H10339=1,I10339=1),0,IF(G10339="Credit",-F10339,F10339))</f>
        <v/>
      </c>
    </row>
    <row r="10340">
      <c r="A10340" t="inlineStr">
        <is>
          <t>2026-09-30</t>
        </is>
      </c>
      <c r="B10340" t="inlineStr">
        <is>
          <t>F265093</t>
        </is>
      </c>
      <c r="C10340" t="inlineStr">
        <is>
          <t>C10268</t>
        </is>
      </c>
      <c r="D10340" t="inlineStr">
        <is>
          <t>SKU-10359</t>
        </is>
      </c>
      <c r="E10340" t="inlineStr">
        <is>
          <t>AM06</t>
        </is>
      </c>
      <c r="F10340" s="5" t="n">
        <v>1193.9</v>
      </c>
      <c r="G10340">
        <f>IF(LEFT(B10340,1)="C","Credit","Factuur")</f>
        <v/>
      </c>
      <c r="H10340">
        <f>IF(AND(B10340=B10339,D10340=D10339,A10340=A10339,F10340=F10339),1,0)</f>
        <v/>
      </c>
      <c r="I10340">
        <f>IF(C10340="C99999",1,0)</f>
        <v/>
      </c>
      <c r="J10340" s="5">
        <f>IF(OR(H10340=1,I10340=1),0,IF(G10340="Credit",-F10340,F10340))</f>
        <v/>
      </c>
    </row>
    <row r="10341">
      <c r="A10341" t="inlineStr">
        <is>
          <t>2026-09-30</t>
        </is>
      </c>
      <c r="B10341" t="inlineStr">
        <is>
          <t>F265657</t>
        </is>
      </c>
      <c r="C10341" t="inlineStr">
        <is>
          <t>C10296</t>
        </is>
      </c>
      <c r="D10341" t="inlineStr">
        <is>
          <t>SKU-10031</t>
        </is>
      </c>
      <c r="E10341" t="inlineStr">
        <is>
          <t>AM06</t>
        </is>
      </c>
      <c r="F10341" s="5" t="n">
        <v>443.38</v>
      </c>
      <c r="G10341">
        <f>IF(LEFT(B10341,1)="C","Credit","Factuur")</f>
        <v/>
      </c>
      <c r="H10341">
        <f>IF(AND(B10341=B10340,D10341=D10340,A10341=A10340,F10341=F10340),1,0)</f>
        <v/>
      </c>
      <c r="I10341">
        <f>IF(C10341="C99999",1,0)</f>
        <v/>
      </c>
      <c r="J10341" s="5">
        <f>IF(OR(H10341=1,I10341=1),0,IF(G10341="Credit",-F10341,F10341))</f>
        <v/>
      </c>
    </row>
    <row r="10342">
      <c r="A10342" t="inlineStr">
        <is>
          <t>2026-09-30</t>
        </is>
      </c>
      <c r="B10342" t="inlineStr">
        <is>
          <t>F265689</t>
        </is>
      </c>
      <c r="C10342" t="inlineStr">
        <is>
          <t>C10298</t>
        </is>
      </c>
      <c r="D10342" t="inlineStr">
        <is>
          <t>SKU-10133</t>
        </is>
      </c>
      <c r="E10342" t="inlineStr">
        <is>
          <t>AM02</t>
        </is>
      </c>
      <c r="F10342" s="5" t="n">
        <v>529.36</v>
      </c>
      <c r="G10342">
        <f>IF(LEFT(B10342,1)="C","Credit","Factuur")</f>
        <v/>
      </c>
      <c r="H10342">
        <f>IF(AND(B10342=B10341,D10342=D10341,A10342=A10341,F10342=F10341),1,0)</f>
        <v/>
      </c>
      <c r="I10342">
        <f>IF(C10342="C99999",1,0)</f>
        <v/>
      </c>
      <c r="J10342" s="5">
        <f>IF(OR(H10342=1,I10342=1),0,IF(G10342="Credit",-F10342,F10342))</f>
        <v/>
      </c>
    </row>
    <row r="10343">
      <c r="A10343" t="inlineStr">
        <is>
          <t>2026-09-30</t>
        </is>
      </c>
      <c r="B10343" t="inlineStr">
        <is>
          <t>F265689</t>
        </is>
      </c>
      <c r="C10343" t="inlineStr">
        <is>
          <t>C10298</t>
        </is>
      </c>
      <c r="D10343" t="inlineStr">
        <is>
          <t>SKU-10166</t>
        </is>
      </c>
      <c r="E10343" t="inlineStr">
        <is>
          <t>AM02</t>
        </is>
      </c>
      <c r="F10343" s="5" t="n">
        <v>560.05</v>
      </c>
      <c r="G10343">
        <f>IF(LEFT(B10343,1)="C","Credit","Factuur")</f>
        <v/>
      </c>
      <c r="H10343">
        <f>IF(AND(B10343=B10342,D10343=D10342,A10343=A10342,F10343=F10342),1,0)</f>
        <v/>
      </c>
      <c r="I10343">
        <f>IF(C10343="C99999",1,0)</f>
        <v/>
      </c>
      <c r="J10343" s="5">
        <f>IF(OR(H10343=1,I10343=1),0,IF(G10343="Credit",-F10343,F10343))</f>
        <v/>
      </c>
    </row>
    <row r="10344">
      <c r="A10344" t="inlineStr">
        <is>
          <t>2026-09-30</t>
        </is>
      </c>
      <c r="B10344" t="inlineStr">
        <is>
          <t>F265689</t>
        </is>
      </c>
      <c r="C10344" t="inlineStr">
        <is>
          <t>C10298</t>
        </is>
      </c>
      <c r="D10344" t="inlineStr">
        <is>
          <t>SKU-10338</t>
        </is>
      </c>
      <c r="E10344" t="inlineStr">
        <is>
          <t>AM02</t>
        </is>
      </c>
      <c r="F10344" s="5" t="n">
        <v>529.47</v>
      </c>
      <c r="G10344">
        <f>IF(LEFT(B10344,1)="C","Credit","Factuur")</f>
        <v/>
      </c>
      <c r="H10344">
        <f>IF(AND(B10344=B10343,D10344=D10343,A10344=A10343,F10344=F10343),1,0)</f>
        <v/>
      </c>
      <c r="I10344">
        <f>IF(C10344="C99999",1,0)</f>
        <v/>
      </c>
      <c r="J10344" s="5">
        <f>IF(OR(H10344=1,I10344=1),0,IF(G10344="Credit",-F10344,F10344))</f>
        <v/>
      </c>
    </row>
    <row r="10345">
      <c r="A10345" t="inlineStr">
        <is>
          <t>2026-09-30</t>
        </is>
      </c>
      <c r="B10345" t="inlineStr">
        <is>
          <t>F265886</t>
        </is>
      </c>
      <c r="C10345" t="inlineStr">
        <is>
          <t>C10309</t>
        </is>
      </c>
      <c r="D10345" t="inlineStr">
        <is>
          <t>SKU-10333</t>
        </is>
      </c>
      <c r="E10345" t="inlineStr">
        <is>
          <t>AM08</t>
        </is>
      </c>
      <c r="F10345" s="5" t="n">
        <v>1738.04</v>
      </c>
      <c r="G10345">
        <f>IF(LEFT(B10345,1)="C","Credit","Factuur")</f>
        <v/>
      </c>
      <c r="H10345">
        <f>IF(AND(B10345=B10344,D10345=D10344,A10345=A10344,F10345=F10344),1,0)</f>
        <v/>
      </c>
      <c r="I10345">
        <f>IF(C10345="C99999",1,0)</f>
        <v/>
      </c>
      <c r="J10345" s="5">
        <f>IF(OR(H10345=1,I10345=1),0,IF(G10345="Credit",-F10345,F10345))</f>
        <v/>
      </c>
    </row>
    <row r="10346">
      <c r="A10346" t="inlineStr">
        <is>
          <t>2026-09-30</t>
        </is>
      </c>
      <c r="B10346" t="inlineStr">
        <is>
          <t>F265886</t>
        </is>
      </c>
      <c r="C10346" t="inlineStr">
        <is>
          <t>C10309</t>
        </is>
      </c>
      <c r="D10346" t="inlineStr">
        <is>
          <t>SKU-10363</t>
        </is>
      </c>
      <c r="E10346" t="inlineStr">
        <is>
          <t>AM08</t>
        </is>
      </c>
      <c r="F10346" s="5" t="n">
        <v>1860.6</v>
      </c>
      <c r="G10346">
        <f>IF(LEFT(B10346,1)="C","Credit","Factuur")</f>
        <v/>
      </c>
      <c r="H10346">
        <f>IF(AND(B10346=B10345,D10346=D10345,A10346=A10345,F10346=F10345),1,0)</f>
        <v/>
      </c>
      <c r="I10346">
        <f>IF(C10346="C99999",1,0)</f>
        <v/>
      </c>
      <c r="J10346" s="5">
        <f>IF(OR(H10346=1,I10346=1),0,IF(G10346="Credit",-F10346,F10346))</f>
        <v/>
      </c>
    </row>
    <row r="10347">
      <c r="A10347" t="inlineStr">
        <is>
          <t>2026-09-30</t>
        </is>
      </c>
      <c r="B10347" t="inlineStr">
        <is>
          <t>F266745</t>
        </is>
      </c>
      <c r="C10347" t="inlineStr">
        <is>
          <t>C10355</t>
        </is>
      </c>
      <c r="D10347" t="inlineStr">
        <is>
          <t>SKU-10026</t>
        </is>
      </c>
      <c r="E10347" t="inlineStr">
        <is>
          <t>AM12</t>
        </is>
      </c>
      <c r="F10347" s="5" t="n">
        <v>247.08</v>
      </c>
      <c r="G10347">
        <f>IF(LEFT(B10347,1)="C","Credit","Factuur")</f>
        <v/>
      </c>
      <c r="H10347">
        <f>IF(AND(B10347=B10346,D10347=D10346,A10347=A10346,F10347=F10346),1,0)</f>
        <v/>
      </c>
      <c r="I10347">
        <f>IF(C10347="C99999",1,0)</f>
        <v/>
      </c>
      <c r="J10347" s="5">
        <f>IF(OR(H10347=1,I10347=1),0,IF(G10347="Credit",-F10347,F10347))</f>
        <v/>
      </c>
    </row>
    <row r="10348">
      <c r="A10348" t="inlineStr">
        <is>
          <t>2026-09-30</t>
        </is>
      </c>
      <c r="B10348" t="inlineStr">
        <is>
          <t>F266745</t>
        </is>
      </c>
      <c r="C10348" t="inlineStr">
        <is>
          <t>C10355</t>
        </is>
      </c>
      <c r="D10348" t="inlineStr">
        <is>
          <t>SKU-10121</t>
        </is>
      </c>
      <c r="E10348" t="inlineStr">
        <is>
          <t>AM12</t>
        </is>
      </c>
      <c r="F10348" s="5" t="n">
        <v>259.72</v>
      </c>
      <c r="G10348">
        <f>IF(LEFT(B10348,1)="C","Credit","Factuur")</f>
        <v/>
      </c>
      <c r="H10348">
        <f>IF(AND(B10348=B10347,D10348=D10347,A10348=A10347,F10348=F10347),1,0)</f>
        <v/>
      </c>
      <c r="I10348">
        <f>IF(C10348="C99999",1,0)</f>
        <v/>
      </c>
      <c r="J10348" s="5">
        <f>IF(OR(H10348=1,I10348=1),0,IF(G10348="Credit",-F10348,F10348))</f>
        <v/>
      </c>
    </row>
    <row r="10349">
      <c r="A10349" t="inlineStr">
        <is>
          <t>2026-09-30</t>
        </is>
      </c>
      <c r="B10349" t="inlineStr">
        <is>
          <t>F266745</t>
        </is>
      </c>
      <c r="C10349" t="inlineStr">
        <is>
          <t>C10355</t>
        </is>
      </c>
      <c r="D10349" t="inlineStr">
        <is>
          <t>SKU-10344</t>
        </is>
      </c>
      <c r="E10349" t="inlineStr">
        <is>
          <t>AM12</t>
        </is>
      </c>
      <c r="F10349" s="5" t="n">
        <v>252</v>
      </c>
      <c r="G10349">
        <f>IF(LEFT(B10349,1)="C","Credit","Factuur")</f>
        <v/>
      </c>
      <c r="H10349">
        <f>IF(AND(B10349=B10348,D10349=D10348,A10349=A10348,F10349=F10348),1,0)</f>
        <v/>
      </c>
      <c r="I10349">
        <f>IF(C10349="C99999",1,0)</f>
        <v/>
      </c>
      <c r="J10349" s="5">
        <f>IF(OR(H10349=1,I10349=1),0,IF(G10349="Credit",-F10349,F10349))</f>
        <v/>
      </c>
    </row>
    <row r="10350">
      <c r="A10350" t="inlineStr">
        <is>
          <t>2026-09-30</t>
        </is>
      </c>
      <c r="B10350" t="inlineStr">
        <is>
          <t>F267054</t>
        </is>
      </c>
      <c r="C10350" t="inlineStr">
        <is>
          <t>C10372</t>
        </is>
      </c>
      <c r="D10350" t="inlineStr">
        <is>
          <t>SKU-10036</t>
        </is>
      </c>
      <c r="E10350" t="inlineStr">
        <is>
          <t>AM08</t>
        </is>
      </c>
      <c r="F10350" s="5" t="n">
        <v>709.6</v>
      </c>
      <c r="G10350">
        <f>IF(LEFT(B10350,1)="C","Credit","Factuur")</f>
        <v/>
      </c>
      <c r="H10350">
        <f>IF(AND(B10350=B10349,D10350=D10349,A10350=A10349,F10350=F10349),1,0)</f>
        <v/>
      </c>
      <c r="I10350">
        <f>IF(C10350="C99999",1,0)</f>
        <v/>
      </c>
      <c r="J10350" s="5">
        <f>IF(OR(H10350=1,I10350=1),0,IF(G10350="Credit",-F10350,F10350))</f>
        <v/>
      </c>
    </row>
    <row r="10351">
      <c r="A10351" t="inlineStr">
        <is>
          <t>2026-09-30</t>
        </is>
      </c>
      <c r="B10351" t="inlineStr">
        <is>
          <t>F267054</t>
        </is>
      </c>
      <c r="C10351" t="inlineStr">
        <is>
          <t>C10372</t>
        </is>
      </c>
      <c r="D10351" t="inlineStr">
        <is>
          <t>SKU-10336</t>
        </is>
      </c>
      <c r="E10351" t="inlineStr">
        <is>
          <t>AM08</t>
        </is>
      </c>
      <c r="F10351" s="5" t="n">
        <v>716.01</v>
      </c>
      <c r="G10351">
        <f>IF(LEFT(B10351,1)="C","Credit","Factuur")</f>
        <v/>
      </c>
      <c r="H10351">
        <f>IF(AND(B10351=B10350,D10351=D10350,A10351=A10350,F10351=F10350),1,0)</f>
        <v/>
      </c>
      <c r="I10351">
        <f>IF(C10351="C99999",1,0)</f>
        <v/>
      </c>
      <c r="J10351" s="5">
        <f>IF(OR(H10351=1,I10351=1),0,IF(G10351="Credit",-F10351,F10351))</f>
        <v/>
      </c>
    </row>
    <row r="10352">
      <c r="A10352" t="inlineStr">
        <is>
          <t>2026-09-30</t>
        </is>
      </c>
      <c r="B10352" t="inlineStr">
        <is>
          <t>F267054</t>
        </is>
      </c>
      <c r="C10352" t="inlineStr">
        <is>
          <t>C10372</t>
        </is>
      </c>
      <c r="D10352" t="inlineStr">
        <is>
          <t>SKU-10367</t>
        </is>
      </c>
      <c r="E10352" t="inlineStr">
        <is>
          <t>AM08</t>
        </is>
      </c>
      <c r="F10352" s="5" t="n">
        <v>765.8</v>
      </c>
      <c r="G10352">
        <f>IF(LEFT(B10352,1)="C","Credit","Factuur")</f>
        <v/>
      </c>
      <c r="H10352">
        <f>IF(AND(B10352=B10351,D10352=D10351,A10352=A10351,F10352=F10351),1,0)</f>
        <v/>
      </c>
      <c r="I10352">
        <f>IF(C10352="C99999",1,0)</f>
        <v/>
      </c>
      <c r="J10352" s="5">
        <f>IF(OR(H10352=1,I10352=1),0,IF(G10352="Credit",-F10352,F10352))</f>
        <v/>
      </c>
    </row>
    <row r="10353">
      <c r="A10353" t="inlineStr">
        <is>
          <t>2026-09-30</t>
        </is>
      </c>
      <c r="B10353" t="inlineStr">
        <is>
          <t>F267054</t>
        </is>
      </c>
      <c r="C10353" t="inlineStr">
        <is>
          <t>C10372</t>
        </is>
      </c>
      <c r="D10353" t="inlineStr">
        <is>
          <t>SKU-10383</t>
        </is>
      </c>
      <c r="E10353" t="inlineStr">
        <is>
          <t>AM08</t>
        </is>
      </c>
      <c r="F10353" s="5" t="n">
        <v>641.42</v>
      </c>
      <c r="G10353">
        <f>IF(LEFT(B10353,1)="C","Credit","Factuur")</f>
        <v/>
      </c>
      <c r="H10353">
        <f>IF(AND(B10353=B10352,D10353=D10352,A10353=A10352,F10353=F10352),1,0)</f>
        <v/>
      </c>
      <c r="I10353">
        <f>IF(C10353="C99999",1,0)</f>
        <v/>
      </c>
      <c r="J10353" s="5">
        <f>IF(OR(H10353=1,I10353=1),0,IF(G10353="Credit",-F10353,F10353))</f>
        <v/>
      </c>
    </row>
    <row r="10354">
      <c r="A10354" t="inlineStr">
        <is>
          <t>2026-09-30</t>
        </is>
      </c>
      <c r="B10354" t="inlineStr">
        <is>
          <t>F267683</t>
        </is>
      </c>
      <c r="C10354" t="inlineStr">
        <is>
          <t>C10403</t>
        </is>
      </c>
      <c r="D10354" t="inlineStr">
        <is>
          <t>SKU-10176</t>
        </is>
      </c>
      <c r="E10354" t="inlineStr">
        <is>
          <t>AM11</t>
        </is>
      </c>
      <c r="F10354" s="5" t="n">
        <v>1176</v>
      </c>
      <c r="G10354">
        <f>IF(LEFT(B10354,1)="C","Credit","Factuur")</f>
        <v/>
      </c>
      <c r="H10354">
        <f>IF(AND(B10354=B10353,D10354=D10353,A10354=A10353,F10354=F10353),1,0)</f>
        <v/>
      </c>
      <c r="I10354">
        <f>IF(C10354="C99999",1,0)</f>
        <v/>
      </c>
      <c r="J10354" s="5">
        <f>IF(OR(H10354=1,I10354=1),0,IF(G10354="Credit",-F10354,F10354))</f>
        <v/>
      </c>
    </row>
    <row r="10355">
      <c r="A10355" t="inlineStr">
        <is>
          <t>2026-09-30</t>
        </is>
      </c>
      <c r="B10355" t="inlineStr">
        <is>
          <t>F267683</t>
        </is>
      </c>
      <c r="C10355" t="inlineStr">
        <is>
          <t>C10403</t>
        </is>
      </c>
      <c r="D10355" t="inlineStr">
        <is>
          <t>SKU-10311</t>
        </is>
      </c>
      <c r="E10355" t="inlineStr">
        <is>
          <t>AM11</t>
        </is>
      </c>
      <c r="F10355" s="5" t="n">
        <v>1117.96</v>
      </c>
      <c r="G10355">
        <f>IF(LEFT(B10355,1)="C","Credit","Factuur")</f>
        <v/>
      </c>
      <c r="H10355">
        <f>IF(AND(B10355=B10354,D10355=D10354,A10355=A10354,F10355=F10354),1,0)</f>
        <v/>
      </c>
      <c r="I10355">
        <f>IF(C10355="C99999",1,0)</f>
        <v/>
      </c>
      <c r="J10355" s="5">
        <f>IF(OR(H10355=1,I10355=1),0,IF(G10355="Credit",-F10355,F10355))</f>
        <v/>
      </c>
    </row>
    <row r="10356">
      <c r="A10356" t="inlineStr">
        <is>
          <t>2026-09-30</t>
        </is>
      </c>
      <c r="B10356" t="inlineStr">
        <is>
          <t>F268058</t>
        </is>
      </c>
      <c r="C10356" t="inlineStr">
        <is>
          <t>C10424</t>
        </is>
      </c>
      <c r="D10356" t="inlineStr">
        <is>
          <t>SKU-10226</t>
        </is>
      </c>
      <c r="E10356" t="inlineStr">
        <is>
          <t>AM01</t>
        </is>
      </c>
      <c r="F10356" s="5" t="n">
        <v>276.91</v>
      </c>
      <c r="G10356">
        <f>IF(LEFT(B10356,1)="C","Credit","Factuur")</f>
        <v/>
      </c>
      <c r="H10356">
        <f>IF(AND(B10356=B10355,D10356=D10355,A10356=A10355,F10356=F10355),1,0)</f>
        <v/>
      </c>
      <c r="I10356">
        <f>IF(C10356="C99999",1,0)</f>
        <v/>
      </c>
      <c r="J10356" s="5">
        <f>IF(OR(H10356=1,I10356=1),0,IF(G10356="Credit",-F10356,F10356))</f>
        <v/>
      </c>
    </row>
    <row r="10357">
      <c r="A10357" t="inlineStr">
        <is>
          <t>2026-09-30</t>
        </is>
      </c>
      <c r="B10357" t="inlineStr">
        <is>
          <t>F268158</t>
        </is>
      </c>
      <c r="C10357" t="inlineStr">
        <is>
          <t>C10428</t>
        </is>
      </c>
      <c r="D10357" t="inlineStr">
        <is>
          <t>SKU-10065</t>
        </is>
      </c>
      <c r="E10357" t="inlineStr">
        <is>
          <t>AM05</t>
        </is>
      </c>
      <c r="F10357" s="5" t="n">
        <v>219.82</v>
      </c>
      <c r="G10357">
        <f>IF(LEFT(B10357,1)="C","Credit","Factuur")</f>
        <v/>
      </c>
      <c r="H10357">
        <f>IF(AND(B10357=B10356,D10357=D10356,A10357=A10356,F10357=F10356),1,0)</f>
        <v/>
      </c>
      <c r="I10357">
        <f>IF(C10357="C99999",1,0)</f>
        <v/>
      </c>
      <c r="J10357" s="5">
        <f>IF(OR(H10357=1,I10357=1),0,IF(G10357="Credit",-F10357,F10357))</f>
        <v/>
      </c>
    </row>
    <row r="10358">
      <c r="A10358" t="inlineStr">
        <is>
          <t>2026-09-30</t>
        </is>
      </c>
      <c r="B10358" t="inlineStr">
        <is>
          <t>F268158</t>
        </is>
      </c>
      <c r="C10358" t="inlineStr">
        <is>
          <t>C10428</t>
        </is>
      </c>
      <c r="D10358" t="inlineStr">
        <is>
          <t>SKU-10141</t>
        </is>
      </c>
      <c r="E10358" t="inlineStr">
        <is>
          <t>AM05</t>
        </is>
      </c>
      <c r="F10358" s="5" t="n">
        <v>212.2</v>
      </c>
      <c r="G10358">
        <f>IF(LEFT(B10358,1)="C","Credit","Factuur")</f>
        <v/>
      </c>
      <c r="H10358">
        <f>IF(AND(B10358=B10357,D10358=D10357,A10358=A10357,F10358=F10357),1,0)</f>
        <v/>
      </c>
      <c r="I10358">
        <f>IF(C10358="C99999",1,0)</f>
        <v/>
      </c>
      <c r="J10358" s="5">
        <f>IF(OR(H10358=1,I10358=1),0,IF(G10358="Credit",-F10358,F10358))</f>
        <v/>
      </c>
    </row>
    <row r="10359">
      <c r="A10359" t="inlineStr">
        <is>
          <t>2026-09-30</t>
        </is>
      </c>
      <c r="B10359" t="inlineStr">
        <is>
          <t>F268188</t>
        </is>
      </c>
      <c r="C10359" t="inlineStr">
        <is>
          <t>C10429</t>
        </is>
      </c>
      <c r="D10359" t="inlineStr">
        <is>
          <t>SKU-10145</t>
        </is>
      </c>
      <c r="E10359" t="inlineStr">
        <is>
          <t>AM05</t>
        </is>
      </c>
      <c r="F10359" s="5" t="n">
        <v>357.54</v>
      </c>
      <c r="G10359">
        <f>IF(LEFT(B10359,1)="C","Credit","Factuur")</f>
        <v/>
      </c>
      <c r="H10359">
        <f>IF(AND(B10359=B10358,D10359=D10358,A10359=A10358,F10359=F10358),1,0)</f>
        <v/>
      </c>
      <c r="I10359">
        <f>IF(C10359="C99999",1,0)</f>
        <v/>
      </c>
      <c r="J10359" s="5">
        <f>IF(OR(H10359=1,I10359=1),0,IF(G10359="Credit",-F10359,F10359))</f>
        <v/>
      </c>
    </row>
    <row r="10360">
      <c r="A10360" t="inlineStr">
        <is>
          <t>2026-09-30</t>
        </is>
      </c>
      <c r="B10360" t="inlineStr">
        <is>
          <t>F268537</t>
        </is>
      </c>
      <c r="C10360" t="inlineStr">
        <is>
          <t>C10447</t>
        </is>
      </c>
      <c r="D10360" t="inlineStr">
        <is>
          <t>SKU-10098</t>
        </is>
      </c>
      <c r="E10360" t="inlineStr">
        <is>
          <t>AM08</t>
        </is>
      </c>
      <c r="F10360" s="5" t="n">
        <v>342.09</v>
      </c>
      <c r="G10360">
        <f>IF(LEFT(B10360,1)="C","Credit","Factuur")</f>
        <v/>
      </c>
      <c r="H10360">
        <f>IF(AND(B10360=B10359,D10360=D10359,A10360=A10359,F10360=F10359),1,0)</f>
        <v/>
      </c>
      <c r="I10360">
        <f>IF(C10360="C99999",1,0)</f>
        <v/>
      </c>
      <c r="J10360" s="5">
        <f>IF(OR(H10360=1,I10360=1),0,IF(G10360="Credit",-F10360,F10360))</f>
        <v/>
      </c>
    </row>
    <row r="10361">
      <c r="A10361" t="inlineStr">
        <is>
          <t>2026-09-30</t>
        </is>
      </c>
      <c r="B10361" t="inlineStr">
        <is>
          <t>F268537</t>
        </is>
      </c>
      <c r="C10361" t="inlineStr">
        <is>
          <t>C10447</t>
        </is>
      </c>
      <c r="D10361" t="inlineStr">
        <is>
          <t>SKU-10149</t>
        </is>
      </c>
      <c r="E10361" t="inlineStr">
        <is>
          <t>AM08</t>
        </is>
      </c>
      <c r="F10361" s="5" t="n">
        <v>435.48</v>
      </c>
      <c r="G10361">
        <f>IF(LEFT(B10361,1)="C","Credit","Factuur")</f>
        <v/>
      </c>
      <c r="H10361">
        <f>IF(AND(B10361=B10360,D10361=D10360,A10361=A10360,F10361=F10360),1,0)</f>
        <v/>
      </c>
      <c r="I10361">
        <f>IF(C10361="C99999",1,0)</f>
        <v/>
      </c>
      <c r="J10361" s="5">
        <f>IF(OR(H10361=1,I10361=1),0,IF(G10361="Credit",-F10361,F10361))</f>
        <v/>
      </c>
    </row>
    <row r="10362">
      <c r="A10362" t="inlineStr">
        <is>
          <t>2026-09-30</t>
        </is>
      </c>
      <c r="B10362" t="inlineStr">
        <is>
          <t>F268537</t>
        </is>
      </c>
      <c r="C10362" t="inlineStr">
        <is>
          <t>C10447</t>
        </is>
      </c>
      <c r="D10362" t="inlineStr">
        <is>
          <t>SKU-10313</t>
        </is>
      </c>
      <c r="E10362" t="inlineStr">
        <is>
          <t>AM08</t>
        </is>
      </c>
      <c r="F10362" s="5" t="n">
        <v>382.94</v>
      </c>
      <c r="G10362">
        <f>IF(LEFT(B10362,1)="C","Credit","Factuur")</f>
        <v/>
      </c>
      <c r="H10362">
        <f>IF(AND(B10362=B10361,D10362=D10361,A10362=A10361,F10362=F10361),1,0)</f>
        <v/>
      </c>
      <c r="I10362">
        <f>IF(C10362="C99999",1,0)</f>
        <v/>
      </c>
      <c r="J10362" s="5">
        <f>IF(OR(H10362=1,I10362=1),0,IF(G10362="Credit",-F10362,F10362))</f>
        <v/>
      </c>
    </row>
    <row r="10363">
      <c r="A10363" t="inlineStr">
        <is>
          <t>2026-09-30</t>
        </is>
      </c>
      <c r="B10363" t="inlineStr">
        <is>
          <t>F269086</t>
        </is>
      </c>
      <c r="C10363" t="inlineStr">
        <is>
          <t>C10475</t>
        </is>
      </c>
      <c r="D10363" t="inlineStr">
        <is>
          <t>SKU-10110</t>
        </is>
      </c>
      <c r="E10363" t="inlineStr">
        <is>
          <t>IS02</t>
        </is>
      </c>
      <c r="F10363" s="5" t="n">
        <v>24.7</v>
      </c>
      <c r="G10363">
        <f>IF(LEFT(B10363,1)="C","Credit","Factuur")</f>
        <v/>
      </c>
      <c r="H10363">
        <f>IF(AND(B10363=B10362,D10363=D10362,A10363=A10362,F10363=F10362),1,0)</f>
        <v/>
      </c>
      <c r="I10363">
        <f>IF(C10363="C99999",1,0)</f>
        <v/>
      </c>
      <c r="J10363" s="5">
        <f>IF(OR(H10363=1,I10363=1),0,IF(G10363="Credit",-F10363,F10363))</f>
        <v/>
      </c>
    </row>
    <row r="10364">
      <c r="A10364" t="inlineStr">
        <is>
          <t>2026-09-30</t>
        </is>
      </c>
      <c r="B10364" t="inlineStr">
        <is>
          <t>F269086</t>
        </is>
      </c>
      <c r="C10364" t="inlineStr">
        <is>
          <t>C10475</t>
        </is>
      </c>
      <c r="D10364" t="inlineStr">
        <is>
          <t>SKU-10115</t>
        </is>
      </c>
      <c r="E10364" t="inlineStr">
        <is>
          <t>IS02</t>
        </is>
      </c>
      <c r="F10364" s="5" t="n">
        <v>49.19</v>
      </c>
      <c r="G10364">
        <f>IF(LEFT(B10364,1)="C","Credit","Factuur")</f>
        <v/>
      </c>
      <c r="H10364">
        <f>IF(AND(B10364=B10363,D10364=D10363,A10364=A10363,F10364=F10363),1,0)</f>
        <v/>
      </c>
      <c r="I10364">
        <f>IF(C10364="C99999",1,0)</f>
        <v/>
      </c>
      <c r="J10364" s="5">
        <f>IF(OR(H10364=1,I10364=1),0,IF(G10364="Credit",-F10364,F10364))</f>
        <v/>
      </c>
    </row>
    <row r="10365">
      <c r="A10365" t="inlineStr">
        <is>
          <t>2026-09-30</t>
        </is>
      </c>
      <c r="B10365" t="inlineStr">
        <is>
          <t>F269086</t>
        </is>
      </c>
      <c r="C10365" t="inlineStr">
        <is>
          <t>C10475</t>
        </is>
      </c>
      <c r="D10365" t="inlineStr">
        <is>
          <t>SKU-10141</t>
        </is>
      </c>
      <c r="E10365" t="inlineStr">
        <is>
          <t>IS02</t>
        </is>
      </c>
      <c r="F10365" s="5" t="n">
        <v>53.05</v>
      </c>
      <c r="G10365">
        <f>IF(LEFT(B10365,1)="C","Credit","Factuur")</f>
        <v/>
      </c>
      <c r="H10365">
        <f>IF(AND(B10365=B10364,D10365=D10364,A10365=A10364,F10365=F10364),1,0)</f>
        <v/>
      </c>
      <c r="I10365">
        <f>IF(C10365="C99999",1,0)</f>
        <v/>
      </c>
      <c r="J10365" s="5">
        <f>IF(OR(H10365=1,I10365=1),0,IF(G10365="Credit",-F10365,F10365))</f>
        <v/>
      </c>
    </row>
    <row r="10366">
      <c r="A10366" t="inlineStr">
        <is>
          <t>2026-09-30</t>
        </is>
      </c>
      <c r="B10366" t="inlineStr">
        <is>
          <t>F269086</t>
        </is>
      </c>
      <c r="C10366" t="inlineStr">
        <is>
          <t>C10475</t>
        </is>
      </c>
      <c r="D10366" t="inlineStr">
        <is>
          <t>SKU-10187</t>
        </is>
      </c>
      <c r="E10366" t="inlineStr">
        <is>
          <t>IS02</t>
        </is>
      </c>
      <c r="F10366" s="5" t="n">
        <v>36.56</v>
      </c>
      <c r="G10366">
        <f>IF(LEFT(B10366,1)="C","Credit","Factuur")</f>
        <v/>
      </c>
      <c r="H10366">
        <f>IF(AND(B10366=B10365,D10366=D10365,A10366=A10365,F10366=F10365),1,0)</f>
        <v/>
      </c>
      <c r="I10366">
        <f>IF(C10366="C99999",1,0)</f>
        <v/>
      </c>
      <c r="J10366" s="5">
        <f>IF(OR(H10366=1,I10366=1),0,IF(G10366="Credit",-F10366,F10366))</f>
        <v/>
      </c>
    </row>
    <row r="10367">
      <c r="A10367" t="inlineStr">
        <is>
          <t>2026-09-30</t>
        </is>
      </c>
      <c r="B10367" t="inlineStr">
        <is>
          <t>F270089</t>
        </is>
      </c>
      <c r="C10367" t="inlineStr">
        <is>
          <t>C10531</t>
        </is>
      </c>
      <c r="D10367" t="inlineStr">
        <is>
          <t>SKU-10149</t>
        </is>
      </c>
      <c r="E10367" t="inlineStr">
        <is>
          <t>AM03</t>
        </is>
      </c>
      <c r="F10367" s="5" t="n">
        <v>1233.86</v>
      </c>
      <c r="G10367">
        <f>IF(LEFT(B10367,1)="C","Credit","Factuur")</f>
        <v/>
      </c>
      <c r="H10367">
        <f>IF(AND(B10367=B10366,D10367=D10366,A10367=A10366,F10367=F10366),1,0)</f>
        <v/>
      </c>
      <c r="I10367">
        <f>IF(C10367="C99999",1,0)</f>
        <v/>
      </c>
      <c r="J10367" s="5">
        <f>IF(OR(H10367=1,I10367=1),0,IF(G10367="Credit",-F10367,F10367))</f>
        <v/>
      </c>
    </row>
    <row r="10368">
      <c r="A10368" t="inlineStr">
        <is>
          <t>2026-09-30</t>
        </is>
      </c>
      <c r="B10368" t="inlineStr">
        <is>
          <t>F270089</t>
        </is>
      </c>
      <c r="C10368" t="inlineStr">
        <is>
          <t>C10531</t>
        </is>
      </c>
      <c r="D10368" t="inlineStr">
        <is>
          <t>SKU-10221</t>
        </is>
      </c>
      <c r="E10368" t="inlineStr">
        <is>
          <t>AM03</t>
        </is>
      </c>
      <c r="F10368" s="5" t="n">
        <v>1257.66</v>
      </c>
      <c r="G10368">
        <f>IF(LEFT(B10368,1)="C","Credit","Factuur")</f>
        <v/>
      </c>
      <c r="H10368">
        <f>IF(AND(B10368=B10367,D10368=D10367,A10368=A10367,F10368=F10367),1,0)</f>
        <v/>
      </c>
      <c r="I10368">
        <f>IF(C10368="C99999",1,0)</f>
        <v/>
      </c>
      <c r="J10368" s="5">
        <f>IF(OR(H10368=1,I10368=1),0,IF(G10368="Credit",-F10368,F10368))</f>
        <v/>
      </c>
    </row>
    <row r="10369">
      <c r="A10369" t="inlineStr">
        <is>
          <t>2026-09-30</t>
        </is>
      </c>
      <c r="B10369" t="inlineStr">
        <is>
          <t>F270183</t>
        </is>
      </c>
      <c r="C10369" t="inlineStr">
        <is>
          <t>C10538</t>
        </is>
      </c>
      <c r="D10369" t="inlineStr">
        <is>
          <t>SKU-10081</t>
        </is>
      </c>
      <c r="E10369" t="inlineStr">
        <is>
          <t>AM11</t>
        </is>
      </c>
      <c r="F10369" s="5" t="n">
        <v>4894.89</v>
      </c>
      <c r="G10369">
        <f>IF(LEFT(B10369,1)="C","Credit","Factuur")</f>
        <v/>
      </c>
      <c r="H10369">
        <f>IF(AND(B10369=B10368,D10369=D10368,A10369=A10368,F10369=F10368),1,0)</f>
        <v/>
      </c>
      <c r="I10369">
        <f>IF(C10369="C99999",1,0)</f>
        <v/>
      </c>
      <c r="J10369" s="5">
        <f>IF(OR(H10369=1,I10369=1),0,IF(G10369="Credit",-F10369,F10369))</f>
        <v/>
      </c>
    </row>
    <row r="10370">
      <c r="A10370" t="inlineStr">
        <is>
          <t>2026-09-30</t>
        </is>
      </c>
      <c r="B10370" t="inlineStr">
        <is>
          <t>F270778</t>
        </is>
      </c>
      <c r="C10370" t="inlineStr">
        <is>
          <t>C10565</t>
        </is>
      </c>
      <c r="D10370" t="inlineStr">
        <is>
          <t>SKU-10168</t>
        </is>
      </c>
      <c r="E10370" t="inlineStr">
        <is>
          <t>AM11</t>
        </is>
      </c>
      <c r="F10370" s="5" t="n">
        <v>594.74</v>
      </c>
      <c r="G10370">
        <f>IF(LEFT(B10370,1)="C","Credit","Factuur")</f>
        <v/>
      </c>
      <c r="H10370">
        <f>IF(AND(B10370=B10369,D10370=D10369,A10370=A10369,F10370=F10369),1,0)</f>
        <v/>
      </c>
      <c r="I10370">
        <f>IF(C10370="C99999",1,0)</f>
        <v/>
      </c>
      <c r="J10370" s="5">
        <f>IF(OR(H10370=1,I10370=1),0,IF(G10370="Credit",-F10370,F10370))</f>
        <v/>
      </c>
    </row>
    <row r="10371">
      <c r="A10371" t="inlineStr">
        <is>
          <t>2026-09-30</t>
        </is>
      </c>
      <c r="B10371" t="inlineStr">
        <is>
          <t>F270778</t>
        </is>
      </c>
      <c r="C10371" t="inlineStr">
        <is>
          <t>C10565</t>
        </is>
      </c>
      <c r="D10371" t="inlineStr">
        <is>
          <t>SKU-10181</t>
        </is>
      </c>
      <c r="E10371" t="inlineStr">
        <is>
          <t>AM11</t>
        </is>
      </c>
      <c r="F10371" s="5" t="n">
        <v>612.22</v>
      </c>
      <c r="G10371">
        <f>IF(LEFT(B10371,1)="C","Credit","Factuur")</f>
        <v/>
      </c>
      <c r="H10371">
        <f>IF(AND(B10371=B10370,D10371=D10370,A10371=A10370,F10371=F10370),1,0)</f>
        <v/>
      </c>
      <c r="I10371">
        <f>IF(C10371="C99999",1,0)</f>
        <v/>
      </c>
      <c r="J10371" s="5">
        <f>IF(OR(H10371=1,I10371=1),0,IF(G10371="Credit",-F10371,F10371))</f>
        <v/>
      </c>
    </row>
    <row r="10372">
      <c r="A10372" t="inlineStr">
        <is>
          <t>2026-09-30</t>
        </is>
      </c>
      <c r="B10372" t="inlineStr">
        <is>
          <t>F270778</t>
        </is>
      </c>
      <c r="C10372" t="inlineStr">
        <is>
          <t>C10565</t>
        </is>
      </c>
      <c r="D10372" t="inlineStr">
        <is>
          <t>SKU-10189</t>
        </is>
      </c>
      <c r="E10372" t="inlineStr">
        <is>
          <t>AM11</t>
        </is>
      </c>
      <c r="F10372" s="5" t="n">
        <v>615.86</v>
      </c>
      <c r="G10372">
        <f>IF(LEFT(B10372,1)="C","Credit","Factuur")</f>
        <v/>
      </c>
      <c r="H10372">
        <f>IF(AND(B10372=B10371,D10372=D10371,A10372=A10371,F10372=F10371),1,0)</f>
        <v/>
      </c>
      <c r="I10372">
        <f>IF(C10372="C99999",1,0)</f>
        <v/>
      </c>
      <c r="J10372" s="5">
        <f>IF(OR(H10372=1,I10372=1),0,IF(G10372="Credit",-F10372,F10372))</f>
        <v/>
      </c>
    </row>
    <row r="10373">
      <c r="A10373" t="inlineStr">
        <is>
          <t>2026-09-30</t>
        </is>
      </c>
      <c r="B10373" t="inlineStr">
        <is>
          <t>F271029</t>
        </is>
      </c>
      <c r="C10373" t="inlineStr">
        <is>
          <t>C10575</t>
        </is>
      </c>
      <c r="D10373" t="inlineStr">
        <is>
          <t>SKU-10074</t>
        </is>
      </c>
      <c r="E10373" t="inlineStr">
        <is>
          <t>AM02</t>
        </is>
      </c>
      <c r="F10373" s="5" t="n">
        <v>106.38</v>
      </c>
      <c r="G10373">
        <f>IF(LEFT(B10373,1)="C","Credit","Factuur")</f>
        <v/>
      </c>
      <c r="H10373">
        <f>IF(AND(B10373=B10372,D10373=D10372,A10373=A10372,F10373=F10372),1,0)</f>
        <v/>
      </c>
      <c r="I10373">
        <f>IF(C10373="C99999",1,0)</f>
        <v/>
      </c>
      <c r="J10373" s="5">
        <f>IF(OR(H10373=1,I10373=1),0,IF(G10373="Credit",-F10373,F10373))</f>
        <v/>
      </c>
    </row>
    <row r="10374">
      <c r="A10374" t="inlineStr">
        <is>
          <t>2026-09-30</t>
        </is>
      </c>
      <c r="B10374" t="inlineStr">
        <is>
          <t>F271029</t>
        </is>
      </c>
      <c r="C10374" t="inlineStr">
        <is>
          <t>C10575</t>
        </is>
      </c>
      <c r="D10374" t="inlineStr">
        <is>
          <t>SKU-10096</t>
        </is>
      </c>
      <c r="E10374" t="inlineStr">
        <is>
          <t>AM02</t>
        </is>
      </c>
      <c r="F10374" s="5" t="n">
        <v>114.42</v>
      </c>
      <c r="G10374">
        <f>IF(LEFT(B10374,1)="C","Credit","Factuur")</f>
        <v/>
      </c>
      <c r="H10374">
        <f>IF(AND(B10374=B10373,D10374=D10373,A10374=A10373,F10374=F10373),1,0)</f>
        <v/>
      </c>
      <c r="I10374">
        <f>IF(C10374="C99999",1,0)</f>
        <v/>
      </c>
      <c r="J10374" s="5">
        <f>IF(OR(H10374=1,I10374=1),0,IF(G10374="Credit",-F10374,F10374))</f>
        <v/>
      </c>
    </row>
    <row r="10375">
      <c r="A10375" t="inlineStr">
        <is>
          <t>2026-09-30</t>
        </is>
      </c>
      <c r="B10375" t="inlineStr">
        <is>
          <t>F271029</t>
        </is>
      </c>
      <c r="C10375" t="inlineStr">
        <is>
          <t>C10575</t>
        </is>
      </c>
      <c r="D10375" t="inlineStr">
        <is>
          <t>SKU-10119</t>
        </is>
      </c>
      <c r="E10375" t="inlineStr">
        <is>
          <t>AM02</t>
        </is>
      </c>
      <c r="F10375" s="5" t="n">
        <v>103</v>
      </c>
      <c r="G10375">
        <f>IF(LEFT(B10375,1)="C","Credit","Factuur")</f>
        <v/>
      </c>
      <c r="H10375">
        <f>IF(AND(B10375=B10374,D10375=D10374,A10375=A10374,F10375=F10374),1,0)</f>
        <v/>
      </c>
      <c r="I10375">
        <f>IF(C10375="C99999",1,0)</f>
        <v/>
      </c>
      <c r="J10375" s="5">
        <f>IF(OR(H10375=1,I10375=1),0,IF(G10375="Credit",-F10375,F10375))</f>
        <v/>
      </c>
    </row>
    <row r="10376">
      <c r="A10376" t="inlineStr">
        <is>
          <t>2026-09-30</t>
        </is>
      </c>
      <c r="B10376" t="inlineStr">
        <is>
          <t>F271029</t>
        </is>
      </c>
      <c r="C10376" t="inlineStr">
        <is>
          <t>C10575</t>
        </is>
      </c>
      <c r="D10376" t="inlineStr">
        <is>
          <t>SKU-10143</t>
        </is>
      </c>
      <c r="E10376" t="inlineStr">
        <is>
          <t>AM02</t>
        </is>
      </c>
      <c r="F10376" s="5" t="n">
        <v>145.36</v>
      </c>
      <c r="G10376">
        <f>IF(LEFT(B10376,1)="C","Credit","Factuur")</f>
        <v/>
      </c>
      <c r="H10376">
        <f>IF(AND(B10376=B10375,D10376=D10375,A10376=A10375,F10376=F10375),1,0)</f>
        <v/>
      </c>
      <c r="I10376">
        <f>IF(C10376="C99999",1,0)</f>
        <v/>
      </c>
      <c r="J10376" s="5">
        <f>IF(OR(H10376=1,I10376=1),0,IF(G10376="Credit",-F10376,F10376))</f>
        <v/>
      </c>
    </row>
    <row r="10377">
      <c r="A10377" t="inlineStr">
        <is>
          <t>2026-09-30</t>
        </is>
      </c>
      <c r="B10377" t="inlineStr">
        <is>
          <t>F271029</t>
        </is>
      </c>
      <c r="C10377" t="inlineStr">
        <is>
          <t>C10575</t>
        </is>
      </c>
      <c r="D10377" t="inlineStr">
        <is>
          <t>SKU-10334</t>
        </is>
      </c>
      <c r="E10377" t="inlineStr">
        <is>
          <t>AM02</t>
        </is>
      </c>
      <c r="F10377" s="5" t="n">
        <v>108.62</v>
      </c>
      <c r="G10377">
        <f>IF(LEFT(B10377,1)="C","Credit","Factuur")</f>
        <v/>
      </c>
      <c r="H10377">
        <f>IF(AND(B10377=B10376,D10377=D10376,A10377=A10376,F10377=F10376),1,0)</f>
        <v/>
      </c>
      <c r="I10377">
        <f>IF(C10377="C99999",1,0)</f>
        <v/>
      </c>
      <c r="J10377" s="5">
        <f>IF(OR(H10377=1,I10377=1),0,IF(G10377="Credit",-F10377,F10377))</f>
        <v/>
      </c>
    </row>
    <row r="10378">
      <c r="A10378" t="inlineStr">
        <is>
          <t>2026-09-30</t>
        </is>
      </c>
      <c r="B10378" t="inlineStr">
        <is>
          <t>F272812</t>
        </is>
      </c>
      <c r="C10378" t="inlineStr">
        <is>
          <t>C10668</t>
        </is>
      </c>
      <c r="D10378" t="inlineStr">
        <is>
          <t>SKU-10119</t>
        </is>
      </c>
      <c r="E10378" t="inlineStr">
        <is>
          <t>AM02</t>
        </is>
      </c>
      <c r="F10378" s="5" t="n">
        <v>108.42</v>
      </c>
      <c r="G10378">
        <f>IF(LEFT(B10378,1)="C","Credit","Factuur")</f>
        <v/>
      </c>
      <c r="H10378">
        <f>IF(AND(B10378=B10377,D10378=D10377,A10378=A10377,F10378=F10377),1,0)</f>
        <v/>
      </c>
      <c r="I10378">
        <f>IF(C10378="C99999",1,0)</f>
        <v/>
      </c>
      <c r="J10378" s="5">
        <f>IF(OR(H10378=1,I10378=1),0,IF(G10378="Credit",-F10378,F10378))</f>
        <v/>
      </c>
    </row>
    <row r="10379">
      <c r="A10379" t="inlineStr">
        <is>
          <t>2026-09-30</t>
        </is>
      </c>
      <c r="B10379" t="inlineStr">
        <is>
          <t>F272812</t>
        </is>
      </c>
      <c r="C10379" t="inlineStr">
        <is>
          <t>C10668</t>
        </is>
      </c>
      <c r="D10379" t="inlineStr">
        <is>
          <t>SKU-10168</t>
        </is>
      </c>
      <c r="E10379" t="inlineStr">
        <is>
          <t>AM02</t>
        </is>
      </c>
      <c r="F10379" s="5" t="n">
        <v>139.12</v>
      </c>
      <c r="G10379">
        <f>IF(LEFT(B10379,1)="C","Credit","Factuur")</f>
        <v/>
      </c>
      <c r="H10379">
        <f>IF(AND(B10379=B10378,D10379=D10378,A10379=A10378,F10379=F10378),1,0)</f>
        <v/>
      </c>
      <c r="I10379">
        <f>IF(C10379="C99999",1,0)</f>
        <v/>
      </c>
      <c r="J10379" s="5">
        <f>IF(OR(H10379=1,I10379=1),0,IF(G10379="Credit",-F10379,F10379))</f>
        <v/>
      </c>
    </row>
    <row r="10380">
      <c r="A10380" t="inlineStr">
        <is>
          <t>2026-09-30</t>
        </is>
      </c>
      <c r="B10380" t="inlineStr">
        <is>
          <t>F272812</t>
        </is>
      </c>
      <c r="C10380" t="inlineStr">
        <is>
          <t>C10668</t>
        </is>
      </c>
      <c r="D10380" t="inlineStr">
        <is>
          <t>SKU-10191</t>
        </is>
      </c>
      <c r="E10380" t="inlineStr">
        <is>
          <t>AM02</t>
        </is>
      </c>
      <c r="F10380" s="5" t="n">
        <v>124.35</v>
      </c>
      <c r="G10380">
        <f>IF(LEFT(B10380,1)="C","Credit","Factuur")</f>
        <v/>
      </c>
      <c r="H10380">
        <f>IF(AND(B10380=B10379,D10380=D10379,A10380=A10379,F10380=F10379),1,0)</f>
        <v/>
      </c>
      <c r="I10380">
        <f>IF(C10380="C99999",1,0)</f>
        <v/>
      </c>
      <c r="J10380" s="5">
        <f>IF(OR(H10380=1,I10380=1),0,IF(G10380="Credit",-F10380,F10380))</f>
        <v/>
      </c>
    </row>
    <row r="10381">
      <c r="A10381" t="inlineStr">
        <is>
          <t>2026-09-30</t>
        </is>
      </c>
      <c r="B10381" t="inlineStr">
        <is>
          <t>F272812</t>
        </is>
      </c>
      <c r="C10381" t="inlineStr">
        <is>
          <t>C10668</t>
        </is>
      </c>
      <c r="D10381" t="inlineStr">
        <is>
          <t>SKU-10314</t>
        </is>
      </c>
      <c r="E10381" t="inlineStr">
        <is>
          <t>AM02</t>
        </is>
      </c>
      <c r="F10381" s="5" t="n">
        <v>129.36</v>
      </c>
      <c r="G10381">
        <f>IF(LEFT(B10381,1)="C","Credit","Factuur")</f>
        <v/>
      </c>
      <c r="H10381">
        <f>IF(AND(B10381=B10380,D10381=D10380,A10381=A10380,F10381=F10380),1,0)</f>
        <v/>
      </c>
      <c r="I10381">
        <f>IF(C10381="C99999",1,0)</f>
        <v/>
      </c>
      <c r="J10381" s="5">
        <f>IF(OR(H10381=1,I10381=1),0,IF(G10381="Credit",-F10381,F10381))</f>
        <v/>
      </c>
    </row>
    <row r="10382">
      <c r="A10382" t="inlineStr">
        <is>
          <t>2026-09-30</t>
        </is>
      </c>
      <c r="B10382" t="inlineStr">
        <is>
          <t>F272812</t>
        </is>
      </c>
      <c r="C10382" t="inlineStr">
        <is>
          <t>C10668</t>
        </is>
      </c>
      <c r="D10382" t="inlineStr">
        <is>
          <t>SKU-10376</t>
        </is>
      </c>
      <c r="E10382" t="inlineStr">
        <is>
          <t>AM02</t>
        </is>
      </c>
      <c r="F10382" s="5" t="n">
        <v>82.64</v>
      </c>
      <c r="G10382">
        <f>IF(LEFT(B10382,1)="C","Credit","Factuur")</f>
        <v/>
      </c>
      <c r="H10382">
        <f>IF(AND(B10382=B10381,D10382=D10381,A10382=A10381,F10382=F10381),1,0)</f>
        <v/>
      </c>
      <c r="I10382">
        <f>IF(C10382="C99999",1,0)</f>
        <v/>
      </c>
      <c r="J10382" s="5">
        <f>IF(OR(H10382=1,I10382=1),0,IF(G10382="Credit",-F10382,F10382))</f>
        <v/>
      </c>
    </row>
    <row r="10383">
      <c r="A10383" t="inlineStr">
        <is>
          <t>2026-09-30</t>
        </is>
      </c>
      <c r="B10383" t="inlineStr">
        <is>
          <t>F272895</t>
        </is>
      </c>
      <c r="C10383" t="inlineStr">
        <is>
          <t>C10672</t>
        </is>
      </c>
      <c r="D10383" t="inlineStr">
        <is>
          <t>SKU-10105</t>
        </is>
      </c>
      <c r="E10383" t="inlineStr">
        <is>
          <t>AM08</t>
        </is>
      </c>
      <c r="F10383" s="5" t="n">
        <v>109.9</v>
      </c>
      <c r="G10383">
        <f>IF(LEFT(B10383,1)="C","Credit","Factuur")</f>
        <v/>
      </c>
      <c r="H10383">
        <f>IF(AND(B10383=B10382,D10383=D10382,A10383=A10382,F10383=F10382),1,0)</f>
        <v/>
      </c>
      <c r="I10383">
        <f>IF(C10383="C99999",1,0)</f>
        <v/>
      </c>
      <c r="J10383" s="5">
        <f>IF(OR(H10383=1,I10383=1),0,IF(G10383="Credit",-F10383,F10383))</f>
        <v/>
      </c>
    </row>
    <row r="10384">
      <c r="A10384" t="inlineStr">
        <is>
          <t>2026-09-30</t>
        </is>
      </c>
      <c r="B10384" t="inlineStr">
        <is>
          <t>F272895</t>
        </is>
      </c>
      <c r="C10384" t="inlineStr">
        <is>
          <t>C10672</t>
        </is>
      </c>
      <c r="D10384" t="inlineStr">
        <is>
          <t>SKU-10239</t>
        </is>
      </c>
      <c r="E10384" t="inlineStr">
        <is>
          <t>AM08</t>
        </is>
      </c>
      <c r="F10384" s="5" t="n">
        <v>104.52</v>
      </c>
      <c r="G10384">
        <f>IF(LEFT(B10384,1)="C","Credit","Factuur")</f>
        <v/>
      </c>
      <c r="H10384">
        <f>IF(AND(B10384=B10383,D10384=D10383,A10384=A10383,F10384=F10383),1,0)</f>
        <v/>
      </c>
      <c r="I10384">
        <f>IF(C10384="C99999",1,0)</f>
        <v/>
      </c>
      <c r="J10384" s="5">
        <f>IF(OR(H10384=1,I10384=1),0,IF(G10384="Credit",-F10384,F10384))</f>
        <v/>
      </c>
    </row>
    <row r="10385">
      <c r="A10385" t="inlineStr">
        <is>
          <t>2026-09-30</t>
        </is>
      </c>
      <c r="B10385" t="inlineStr">
        <is>
          <t>F272895</t>
        </is>
      </c>
      <c r="C10385" t="inlineStr">
        <is>
          <t>C10672</t>
        </is>
      </c>
      <c r="D10385" t="inlineStr">
        <is>
          <t>SKU-10338</t>
        </is>
      </c>
      <c r="E10385" t="inlineStr">
        <is>
          <t>AM08</t>
        </is>
      </c>
      <c r="F10385" s="5" t="n">
        <v>106.16</v>
      </c>
      <c r="G10385">
        <f>IF(LEFT(B10385,1)="C","Credit","Factuur")</f>
        <v/>
      </c>
      <c r="H10385">
        <f>IF(AND(B10385=B10384,D10385=D10384,A10385=A10384,F10385=F10384),1,0)</f>
        <v/>
      </c>
      <c r="I10385">
        <f>IF(C10385="C99999",1,0)</f>
        <v/>
      </c>
      <c r="J10385" s="5">
        <f>IF(OR(H10385=1,I10385=1),0,IF(G10385="Credit",-F10385,F10385))</f>
        <v/>
      </c>
    </row>
    <row r="10386">
      <c r="A10386" t="inlineStr">
        <is>
          <t>2026-09-30</t>
        </is>
      </c>
      <c r="B10386" t="inlineStr">
        <is>
          <t>F273010</t>
        </is>
      </c>
      <c r="C10386" t="inlineStr">
        <is>
          <t>C10678</t>
        </is>
      </c>
      <c r="D10386" t="inlineStr">
        <is>
          <t>SKU-10163</t>
        </is>
      </c>
      <c r="E10386" t="inlineStr">
        <is>
          <t>AM03</t>
        </is>
      </c>
      <c r="F10386" s="5" t="n">
        <v>1135.78</v>
      </c>
      <c r="G10386">
        <f>IF(LEFT(B10386,1)="C","Credit","Factuur")</f>
        <v/>
      </c>
      <c r="H10386">
        <f>IF(AND(B10386=B10385,D10386=D10385,A10386=A10385,F10386=F10385),1,0)</f>
        <v/>
      </c>
      <c r="I10386">
        <f>IF(C10386="C99999",1,0)</f>
        <v/>
      </c>
      <c r="J10386" s="5">
        <f>IF(OR(H10386=1,I10386=1),0,IF(G10386="Credit",-F10386,F10386))</f>
        <v/>
      </c>
    </row>
    <row r="10387">
      <c r="A10387" t="inlineStr">
        <is>
          <t>2026-09-30</t>
        </is>
      </c>
      <c r="B10387" t="inlineStr">
        <is>
          <t>F273808</t>
        </is>
      </c>
      <c r="C10387" t="inlineStr">
        <is>
          <t>C10726</t>
        </is>
      </c>
      <c r="D10387" t="inlineStr">
        <is>
          <t>SKU-10331</t>
        </is>
      </c>
      <c r="E10387" t="inlineStr">
        <is>
          <t>AM12</t>
        </is>
      </c>
      <c r="F10387" s="5" t="n">
        <v>3148.2</v>
      </c>
      <c r="G10387">
        <f>IF(LEFT(B10387,1)="C","Credit","Factuur")</f>
        <v/>
      </c>
      <c r="H10387">
        <f>IF(AND(B10387=B10386,D10387=D10386,A10387=A10386,F10387=F10386),1,0)</f>
        <v/>
      </c>
      <c r="I10387">
        <f>IF(C10387="C99999",1,0)</f>
        <v/>
      </c>
      <c r="J10387" s="5">
        <f>IF(OR(H10387=1,I10387=1),0,IF(G10387="Credit",-F10387,F10387))</f>
        <v/>
      </c>
    </row>
    <row r="10388">
      <c r="A10388" t="inlineStr">
        <is>
          <t>2026-09-30</t>
        </is>
      </c>
      <c r="B10388" t="inlineStr">
        <is>
          <t>F274036</t>
        </is>
      </c>
      <c r="C10388" t="inlineStr">
        <is>
          <t>C10740</t>
        </is>
      </c>
      <c r="D10388" t="inlineStr">
        <is>
          <t>SKU-10041</t>
        </is>
      </c>
      <c r="E10388" t="inlineStr">
        <is>
          <t>AM11</t>
        </is>
      </c>
      <c r="F10388" s="5" t="n">
        <v>997.6</v>
      </c>
      <c r="G10388">
        <f>IF(LEFT(B10388,1)="C","Credit","Factuur")</f>
        <v/>
      </c>
      <c r="H10388">
        <f>IF(AND(B10388=B10387,D10388=D10387,A10388=A10387,F10388=F10387),1,0)</f>
        <v/>
      </c>
      <c r="I10388">
        <f>IF(C10388="C99999",1,0)</f>
        <v/>
      </c>
      <c r="J10388" s="5">
        <f>IF(OR(H10388=1,I10388=1),0,IF(G10388="Credit",-F10388,F10388))</f>
        <v/>
      </c>
    </row>
    <row r="10389">
      <c r="A10389" t="inlineStr">
        <is>
          <t>2026-09-30</t>
        </is>
      </c>
      <c r="B10389" t="inlineStr">
        <is>
          <t>F274036</t>
        </is>
      </c>
      <c r="C10389" t="inlineStr">
        <is>
          <t>C10740</t>
        </is>
      </c>
      <c r="D10389" t="inlineStr">
        <is>
          <t>SKU-10148</t>
        </is>
      </c>
      <c r="E10389" t="inlineStr">
        <is>
          <t>AM11</t>
        </is>
      </c>
      <c r="F10389" s="5" t="n">
        <v>865.1</v>
      </c>
      <c r="G10389">
        <f>IF(LEFT(B10389,1)="C","Credit","Factuur")</f>
        <v/>
      </c>
      <c r="H10389">
        <f>IF(AND(B10389=B10388,D10389=D10388,A10389=A10388,F10389=F10388),1,0)</f>
        <v/>
      </c>
      <c r="I10389">
        <f>IF(C10389="C99999",1,0)</f>
        <v/>
      </c>
      <c r="J10389" s="5">
        <f>IF(OR(H10389=1,I10389=1),0,IF(G10389="Credit",-F10389,F10389))</f>
        <v/>
      </c>
    </row>
    <row r="10390">
      <c r="A10390" t="inlineStr">
        <is>
          <t>2026-09-30</t>
        </is>
      </c>
      <c r="B10390" t="inlineStr">
        <is>
          <t>F274036</t>
        </is>
      </c>
      <c r="C10390" t="inlineStr">
        <is>
          <t>C10740</t>
        </is>
      </c>
      <c r="D10390" t="inlineStr">
        <is>
          <t>SKU-10176</t>
        </is>
      </c>
      <c r="E10390" t="inlineStr">
        <is>
          <t>AM11</t>
        </is>
      </c>
      <c r="F10390" s="5" t="n">
        <v>953.34</v>
      </c>
      <c r="G10390">
        <f>IF(LEFT(B10390,1)="C","Credit","Factuur")</f>
        <v/>
      </c>
      <c r="H10390">
        <f>IF(AND(B10390=B10389,D10390=D10389,A10390=A10389,F10390=F10389),1,0)</f>
        <v/>
      </c>
      <c r="I10390">
        <f>IF(C10390="C99999",1,0)</f>
        <v/>
      </c>
      <c r="J10390" s="5">
        <f>IF(OR(H10390=1,I10390=1),0,IF(G10390="Credit",-F10390,F10390))</f>
        <v/>
      </c>
    </row>
    <row r="10391">
      <c r="A10391" t="inlineStr">
        <is>
          <t>2026-09-30</t>
        </is>
      </c>
      <c r="B10391" t="inlineStr">
        <is>
          <t>F274036</t>
        </is>
      </c>
      <c r="C10391" t="inlineStr">
        <is>
          <t>C10740</t>
        </is>
      </c>
      <c r="D10391" t="inlineStr">
        <is>
          <t>SKU-10230</t>
        </is>
      </c>
      <c r="E10391" t="inlineStr">
        <is>
          <t>AM11</t>
        </is>
      </c>
      <c r="F10391" s="5" t="n">
        <v>896.11</v>
      </c>
      <c r="G10391">
        <f>IF(LEFT(B10391,1)="C","Credit","Factuur")</f>
        <v/>
      </c>
      <c r="H10391">
        <f>IF(AND(B10391=B10390,D10391=D10390,A10391=A10390,F10391=F10390),1,0)</f>
        <v/>
      </c>
      <c r="I10391">
        <f>IF(C10391="C99999",1,0)</f>
        <v/>
      </c>
      <c r="J10391" s="5">
        <f>IF(OR(H10391=1,I10391=1),0,IF(G10391="Credit",-F10391,F10391))</f>
        <v/>
      </c>
    </row>
    <row r="10392">
      <c r="A10392" t="inlineStr">
        <is>
          <t>2026-09-30</t>
        </is>
      </c>
      <c r="B10392" t="inlineStr">
        <is>
          <t>F275277</t>
        </is>
      </c>
      <c r="C10392" t="inlineStr">
        <is>
          <t>C10804</t>
        </is>
      </c>
      <c r="D10392" t="inlineStr">
        <is>
          <t>SKU-10041</t>
        </is>
      </c>
      <c r="E10392" t="inlineStr">
        <is>
          <t>AM03</t>
        </is>
      </c>
      <c r="F10392" s="5" t="n">
        <v>378.4</v>
      </c>
      <c r="G10392">
        <f>IF(LEFT(B10392,1)="C","Credit","Factuur")</f>
        <v/>
      </c>
      <c r="H10392">
        <f>IF(AND(B10392=B10391,D10392=D10391,A10392=A10391,F10392=F10391),1,0)</f>
        <v/>
      </c>
      <c r="I10392">
        <f>IF(C10392="C99999",1,0)</f>
        <v/>
      </c>
      <c r="J10392" s="5">
        <f>IF(OR(H10392=1,I10392=1),0,IF(G10392="Credit",-F10392,F10392))</f>
        <v/>
      </c>
    </row>
    <row r="10393">
      <c r="A10393" t="inlineStr">
        <is>
          <t>2026-09-30</t>
        </is>
      </c>
      <c r="B10393" t="inlineStr">
        <is>
          <t>F275277</t>
        </is>
      </c>
      <c r="C10393" t="inlineStr">
        <is>
          <t>C10804</t>
        </is>
      </c>
      <c r="D10393" t="inlineStr">
        <is>
          <t>SKU-10139</t>
        </is>
      </c>
      <c r="E10393" t="inlineStr">
        <is>
          <t>AM03</t>
        </is>
      </c>
      <c r="F10393" s="5" t="n">
        <v>368.05</v>
      </c>
      <c r="G10393">
        <f>IF(LEFT(B10393,1)="C","Credit","Factuur")</f>
        <v/>
      </c>
      <c r="H10393">
        <f>IF(AND(B10393=B10392,D10393=D10392,A10393=A10392,F10393=F10392),1,0)</f>
        <v/>
      </c>
      <c r="I10393">
        <f>IF(C10393="C99999",1,0)</f>
        <v/>
      </c>
      <c r="J10393" s="5">
        <f>IF(OR(H10393=1,I10393=1),0,IF(G10393="Credit",-F10393,F10393))</f>
        <v/>
      </c>
    </row>
    <row r="10394">
      <c r="A10394" t="inlineStr">
        <is>
          <t>2026-09-30</t>
        </is>
      </c>
      <c r="B10394" t="inlineStr">
        <is>
          <t>F275277</t>
        </is>
      </c>
      <c r="C10394" t="inlineStr">
        <is>
          <t>C10804</t>
        </is>
      </c>
      <c r="D10394" t="inlineStr">
        <is>
          <t>SKU-10148</t>
        </is>
      </c>
      <c r="E10394" t="inlineStr">
        <is>
          <t>AM03</t>
        </is>
      </c>
      <c r="F10394" s="5" t="n">
        <v>357.48</v>
      </c>
      <c r="G10394">
        <f>IF(LEFT(B10394,1)="C","Credit","Factuur")</f>
        <v/>
      </c>
      <c r="H10394">
        <f>IF(AND(B10394=B10393,D10394=D10393,A10394=A10393,F10394=F10393),1,0)</f>
        <v/>
      </c>
      <c r="I10394">
        <f>IF(C10394="C99999",1,0)</f>
        <v/>
      </c>
      <c r="J10394" s="5">
        <f>IF(OR(H10394=1,I10394=1),0,IF(G10394="Credit",-F10394,F10394))</f>
        <v/>
      </c>
    </row>
    <row r="10395">
      <c r="A10395" t="inlineStr">
        <is>
          <t>2026-09-30</t>
        </is>
      </c>
      <c r="B10395" t="inlineStr">
        <is>
          <t>F275277</t>
        </is>
      </c>
      <c r="C10395" t="inlineStr">
        <is>
          <t>C10804</t>
        </is>
      </c>
      <c r="D10395" t="inlineStr">
        <is>
          <t>SKU-10198</t>
        </is>
      </c>
      <c r="E10395" t="inlineStr">
        <is>
          <t>AM03</t>
        </is>
      </c>
      <c r="F10395" s="5" t="n">
        <v>395.45</v>
      </c>
      <c r="G10395">
        <f>IF(LEFT(B10395,1)="C","Credit","Factuur")</f>
        <v/>
      </c>
      <c r="H10395">
        <f>IF(AND(B10395=B10394,D10395=D10394,A10395=A10394,F10395=F10394),1,0)</f>
        <v/>
      </c>
      <c r="I10395">
        <f>IF(C10395="C99999",1,0)</f>
        <v/>
      </c>
      <c r="J10395" s="5">
        <f>IF(OR(H10395=1,I10395=1),0,IF(G10395="Credit",-F10395,F10395))</f>
        <v/>
      </c>
    </row>
    <row r="10396">
      <c r="A10396" t="inlineStr">
        <is>
          <t>2026-09-30</t>
        </is>
      </c>
      <c r="B10396" t="inlineStr">
        <is>
          <t>F275277</t>
        </is>
      </c>
      <c r="C10396" t="inlineStr">
        <is>
          <t>C10804</t>
        </is>
      </c>
      <c r="D10396" t="inlineStr">
        <is>
          <t>SKU-10299</t>
        </is>
      </c>
      <c r="E10396" t="inlineStr">
        <is>
          <t>AM03</t>
        </is>
      </c>
      <c r="F10396" s="5" t="n">
        <v>357.58</v>
      </c>
      <c r="G10396">
        <f>IF(LEFT(B10396,1)="C","Credit","Factuur")</f>
        <v/>
      </c>
      <c r="H10396">
        <f>IF(AND(B10396=B10395,D10396=D10395,A10396=A10395,F10396=F10395),1,0)</f>
        <v/>
      </c>
      <c r="I10396">
        <f>IF(C10396="C99999",1,0)</f>
        <v/>
      </c>
      <c r="J10396" s="5">
        <f>IF(OR(H10396=1,I10396=1),0,IF(G10396="Credit",-F10396,F10396))</f>
        <v/>
      </c>
    </row>
    <row r="10397">
      <c r="A10397" t="inlineStr">
        <is>
          <t>2026-09-30</t>
        </is>
      </c>
      <c r="B10397" t="inlineStr">
        <is>
          <t>F275582</t>
        </is>
      </c>
      <c r="C10397" t="inlineStr">
        <is>
          <t>C10824</t>
        </is>
      </c>
      <c r="D10397" t="inlineStr">
        <is>
          <t>SKU-10116</t>
        </is>
      </c>
      <c r="E10397" t="inlineStr">
        <is>
          <t>IS02</t>
        </is>
      </c>
      <c r="F10397" s="5" t="n">
        <v>651</v>
      </c>
      <c r="G10397">
        <f>IF(LEFT(B10397,1)="C","Credit","Factuur")</f>
        <v/>
      </c>
      <c r="H10397">
        <f>IF(AND(B10397=B10396,D10397=D10396,A10397=A10396,F10397=F10396),1,0)</f>
        <v/>
      </c>
      <c r="I10397">
        <f>IF(C10397="C99999",1,0)</f>
        <v/>
      </c>
      <c r="J10397" s="5">
        <f>IF(OR(H10397=1,I10397=1),0,IF(G10397="Credit",-F10397,F10397))</f>
        <v/>
      </c>
    </row>
    <row r="10398">
      <c r="A10398" t="inlineStr">
        <is>
          <t>2026-09-30</t>
        </is>
      </c>
      <c r="B10398" t="inlineStr">
        <is>
          <t>F275728</t>
        </is>
      </c>
      <c r="C10398" t="inlineStr">
        <is>
          <t>C10832</t>
        </is>
      </c>
      <c r="D10398" t="inlineStr">
        <is>
          <t>SKU-10085</t>
        </is>
      </c>
      <c r="E10398" t="inlineStr">
        <is>
          <t>AM05</t>
        </is>
      </c>
      <c r="F10398" s="5" t="n">
        <v>184.1</v>
      </c>
      <c r="G10398">
        <f>IF(LEFT(B10398,1)="C","Credit","Factuur")</f>
        <v/>
      </c>
      <c r="H10398">
        <f>IF(AND(B10398=B10397,D10398=D10397,A10398=A10397,F10398=F10397),1,0)</f>
        <v/>
      </c>
      <c r="I10398">
        <f>IF(C10398="C99999",1,0)</f>
        <v/>
      </c>
      <c r="J10398" s="5">
        <f>IF(OR(H10398=1,I10398=1),0,IF(G10398="Credit",-F10398,F10398))</f>
        <v/>
      </c>
    </row>
    <row r="10399">
      <c r="A10399" t="inlineStr">
        <is>
          <t>2026-09-30</t>
        </is>
      </c>
      <c r="B10399" t="inlineStr">
        <is>
          <t>F275728</t>
        </is>
      </c>
      <c r="C10399" t="inlineStr">
        <is>
          <t>C10832</t>
        </is>
      </c>
      <c r="D10399" t="inlineStr">
        <is>
          <t>SKU-10159</t>
        </is>
      </c>
      <c r="E10399" t="inlineStr">
        <is>
          <t>AM05</t>
        </is>
      </c>
      <c r="F10399" s="5" t="n">
        <v>194.95</v>
      </c>
      <c r="G10399">
        <f>IF(LEFT(B10399,1)="C","Credit","Factuur")</f>
        <v/>
      </c>
      <c r="H10399">
        <f>IF(AND(B10399=B10398,D10399=D10398,A10399=A10398,F10399=F10398),1,0)</f>
        <v/>
      </c>
      <c r="I10399">
        <f>IF(C10399="C99999",1,0)</f>
        <v/>
      </c>
      <c r="J10399" s="5">
        <f>IF(OR(H10399=1,I10399=1),0,IF(G10399="Credit",-F10399,F10399))</f>
        <v/>
      </c>
    </row>
    <row r="10400">
      <c r="A10400" t="inlineStr">
        <is>
          <t>2026-09-30</t>
        </is>
      </c>
      <c r="B10400" t="inlineStr">
        <is>
          <t>F275728</t>
        </is>
      </c>
      <c r="C10400" t="inlineStr">
        <is>
          <t>C10832</t>
        </is>
      </c>
      <c r="D10400" t="inlineStr">
        <is>
          <t>SKU-10204</t>
        </is>
      </c>
      <c r="E10400" t="inlineStr">
        <is>
          <t>AM05</t>
        </is>
      </c>
      <c r="F10400" s="5" t="n">
        <v>195.7</v>
      </c>
      <c r="G10400">
        <f>IF(LEFT(B10400,1)="C","Credit","Factuur")</f>
        <v/>
      </c>
      <c r="H10400">
        <f>IF(AND(B10400=B10399,D10400=D10399,A10400=A10399,F10400=F10399),1,0)</f>
        <v/>
      </c>
      <c r="I10400">
        <f>IF(C10400="C99999",1,0)</f>
        <v/>
      </c>
      <c r="J10400" s="5">
        <f>IF(OR(H10400=1,I10400=1),0,IF(G10400="Credit",-F10400,F10400))</f>
        <v/>
      </c>
    </row>
    <row r="10401">
      <c r="A10401" t="inlineStr">
        <is>
          <t>2026-09-30</t>
        </is>
      </c>
      <c r="B10401" t="inlineStr">
        <is>
          <t>F277582</t>
        </is>
      </c>
      <c r="C10401" t="inlineStr">
        <is>
          <t>C10934</t>
        </is>
      </c>
      <c r="D10401" t="inlineStr">
        <is>
          <t>SKU-10136</t>
        </is>
      </c>
      <c r="E10401" t="inlineStr">
        <is>
          <t>AM02</t>
        </is>
      </c>
      <c r="F10401" s="5" t="n">
        <v>371.41</v>
      </c>
      <c r="G10401">
        <f>IF(LEFT(B10401,1)="C","Credit","Factuur")</f>
        <v/>
      </c>
      <c r="H10401">
        <f>IF(AND(B10401=B10400,D10401=D10400,A10401=A10400,F10401=F10400),1,0)</f>
        <v/>
      </c>
      <c r="I10401">
        <f>IF(C10401="C99999",1,0)</f>
        <v/>
      </c>
      <c r="J10401" s="5">
        <f>IF(OR(H10401=1,I10401=1),0,IF(G10401="Credit",-F10401,F10401))</f>
        <v/>
      </c>
    </row>
    <row r="10402">
      <c r="A10402" t="inlineStr">
        <is>
          <t>2026-09-30</t>
        </is>
      </c>
      <c r="B10402" t="inlineStr">
        <is>
          <t>F277582</t>
        </is>
      </c>
      <c r="C10402" t="inlineStr">
        <is>
          <t>C10934</t>
        </is>
      </c>
      <c r="D10402" t="inlineStr">
        <is>
          <t>SKU-10230</t>
        </is>
      </c>
      <c r="E10402" t="inlineStr">
        <is>
          <t>AM02</t>
        </is>
      </c>
      <c r="F10402" s="5" t="n">
        <v>312.93</v>
      </c>
      <c r="G10402">
        <f>IF(LEFT(B10402,1)="C","Credit","Factuur")</f>
        <v/>
      </c>
      <c r="H10402">
        <f>IF(AND(B10402=B10401,D10402=D10401,A10402=A10401,F10402=F10401),1,0)</f>
        <v/>
      </c>
      <c r="I10402">
        <f>IF(C10402="C99999",1,0)</f>
        <v/>
      </c>
      <c r="J10402" s="5">
        <f>IF(OR(H10402=1,I10402=1),0,IF(G10402="Credit",-F10402,F10402))</f>
        <v/>
      </c>
    </row>
    <row r="10403">
      <c r="A10403" t="inlineStr">
        <is>
          <t>2026-09-30</t>
        </is>
      </c>
      <c r="B10403" t="inlineStr">
        <is>
          <t>F277582</t>
        </is>
      </c>
      <c r="C10403" t="inlineStr">
        <is>
          <t>C10934</t>
        </is>
      </c>
      <c r="D10403" t="inlineStr">
        <is>
          <t>SKU-10231</t>
        </is>
      </c>
      <c r="E10403" t="inlineStr">
        <is>
          <t>AM02</t>
        </is>
      </c>
      <c r="F10403" s="5" t="n">
        <v>320.25</v>
      </c>
      <c r="G10403">
        <f>IF(LEFT(B10403,1)="C","Credit","Factuur")</f>
        <v/>
      </c>
      <c r="H10403">
        <f>IF(AND(B10403=B10402,D10403=D10402,A10403=A10402,F10403=F10402),1,0)</f>
        <v/>
      </c>
      <c r="I10403">
        <f>IF(C10403="C99999",1,0)</f>
        <v/>
      </c>
      <c r="J10403" s="5">
        <f>IF(OR(H10403=1,I10403=1),0,IF(G10403="Credit",-F10403,F10403))</f>
        <v/>
      </c>
    </row>
    <row r="10404">
      <c r="A10404" t="inlineStr">
        <is>
          <t>2026-09-30</t>
        </is>
      </c>
      <c r="B10404" t="inlineStr">
        <is>
          <t>F277582</t>
        </is>
      </c>
      <c r="C10404" t="inlineStr">
        <is>
          <t>C10934</t>
        </is>
      </c>
      <c r="D10404" t="inlineStr">
        <is>
          <t>SKU-10255</t>
        </is>
      </c>
      <c r="E10404" t="inlineStr">
        <is>
          <t>AM02</t>
        </is>
      </c>
      <c r="F10404" s="5" t="n">
        <v>337.53</v>
      </c>
      <c r="G10404">
        <f>IF(LEFT(B10404,1)="C","Credit","Factuur")</f>
        <v/>
      </c>
      <c r="H10404">
        <f>IF(AND(B10404=B10403,D10404=D10403,A10404=A10403,F10404=F10403),1,0)</f>
        <v/>
      </c>
      <c r="I10404">
        <f>IF(C10404="C99999",1,0)</f>
        <v/>
      </c>
      <c r="J10404" s="5">
        <f>IF(OR(H10404=1,I10404=1),0,IF(G10404="Credit",-F10404,F10404))</f>
        <v/>
      </c>
    </row>
    <row r="10405">
      <c r="A10405" t="inlineStr">
        <is>
          <t>2026-09-30</t>
        </is>
      </c>
      <c r="B10405" t="inlineStr">
        <is>
          <t>F277582</t>
        </is>
      </c>
      <c r="C10405" t="inlineStr">
        <is>
          <t>C10934</t>
        </is>
      </c>
      <c r="D10405" t="inlineStr">
        <is>
          <t>SKU-10280</t>
        </is>
      </c>
      <c r="E10405" t="inlineStr">
        <is>
          <t>AM02</t>
        </is>
      </c>
      <c r="F10405" s="5" t="n">
        <v>351.52</v>
      </c>
      <c r="G10405">
        <f>IF(LEFT(B10405,1)="C","Credit","Factuur")</f>
        <v/>
      </c>
      <c r="H10405">
        <f>IF(AND(B10405=B10404,D10405=D10404,A10405=A10404,F10405=F10404),1,0)</f>
        <v/>
      </c>
      <c r="I10405">
        <f>IF(C10405="C99999",1,0)</f>
        <v/>
      </c>
      <c r="J10405" s="5">
        <f>IF(OR(H10405=1,I10405=1),0,IF(G10405="Credit",-F10405,F10405))</f>
        <v/>
      </c>
    </row>
    <row r="10406">
      <c r="A10406" t="inlineStr">
        <is>
          <t>2026-09-30</t>
        </is>
      </c>
      <c r="B10406" t="inlineStr">
        <is>
          <t>F277602</t>
        </is>
      </c>
      <c r="C10406" t="inlineStr">
        <is>
          <t>C10934</t>
        </is>
      </c>
      <c r="D10406" t="inlineStr">
        <is>
          <t>SKU-10093</t>
        </is>
      </c>
      <c r="E10406" t="inlineStr">
        <is>
          <t>AM02</t>
        </is>
      </c>
      <c r="F10406" s="5" t="n">
        <v>1449.47</v>
      </c>
      <c r="G10406">
        <f>IF(LEFT(B10406,1)="C","Credit","Factuur")</f>
        <v/>
      </c>
      <c r="H10406">
        <f>IF(AND(B10406=B10405,D10406=D10405,A10406=A10405,F10406=F10405),1,0)</f>
        <v/>
      </c>
      <c r="I10406">
        <f>IF(C10406="C99999",1,0)</f>
        <v/>
      </c>
      <c r="J10406" s="5">
        <f>IF(OR(H10406=1,I10406=1),0,IF(G10406="Credit",-F10406,F10406))</f>
        <v/>
      </c>
    </row>
    <row r="10407">
      <c r="A10407" t="inlineStr">
        <is>
          <t>2026-09-30</t>
        </is>
      </c>
      <c r="B10407" t="inlineStr">
        <is>
          <t>F278437</t>
        </is>
      </c>
      <c r="C10407" t="inlineStr">
        <is>
          <t>C10978</t>
        </is>
      </c>
      <c r="D10407" t="inlineStr">
        <is>
          <t>SKU-10081</t>
        </is>
      </c>
      <c r="E10407" t="inlineStr">
        <is>
          <t>AM06</t>
        </is>
      </c>
      <c r="F10407" s="5" t="n">
        <v>254.28</v>
      </c>
      <c r="G10407">
        <f>IF(LEFT(B10407,1)="C","Credit","Factuur")</f>
        <v/>
      </c>
      <c r="H10407">
        <f>IF(AND(B10407=B10406,D10407=D10406,A10407=A10406,F10407=F10406),1,0)</f>
        <v/>
      </c>
      <c r="I10407">
        <f>IF(C10407="C99999",1,0)</f>
        <v/>
      </c>
      <c r="J10407" s="5">
        <f>IF(OR(H10407=1,I10407=1),0,IF(G10407="Credit",-F10407,F10407))</f>
        <v/>
      </c>
    </row>
    <row r="10408">
      <c r="A10408" t="inlineStr">
        <is>
          <t>2026-09-30</t>
        </is>
      </c>
      <c r="B10408" t="inlineStr">
        <is>
          <t>F278437</t>
        </is>
      </c>
      <c r="C10408" t="inlineStr">
        <is>
          <t>C10978</t>
        </is>
      </c>
      <c r="D10408" t="inlineStr">
        <is>
          <t>SKU-10215</t>
        </is>
      </c>
      <c r="E10408" t="inlineStr">
        <is>
          <t>AM06</t>
        </is>
      </c>
      <c r="F10408" s="5" t="n">
        <v>206.72</v>
      </c>
      <c r="G10408">
        <f>IF(LEFT(B10408,1)="C","Credit","Factuur")</f>
        <v/>
      </c>
      <c r="H10408">
        <f>IF(AND(B10408=B10407,D10408=D10407,A10408=A10407,F10408=F10407),1,0)</f>
        <v/>
      </c>
      <c r="I10408">
        <f>IF(C10408="C99999",1,0)</f>
        <v/>
      </c>
      <c r="J10408" s="5">
        <f>IF(OR(H10408=1,I10408=1),0,IF(G10408="Credit",-F10408,F10408))</f>
        <v/>
      </c>
    </row>
    <row r="10409">
      <c r="A10409" t="inlineStr">
        <is>
          <t>2026-09-30</t>
        </is>
      </c>
      <c r="B10409" t="inlineStr">
        <is>
          <t>F278437</t>
        </is>
      </c>
      <c r="C10409" t="inlineStr">
        <is>
          <t>C10978</t>
        </is>
      </c>
      <c r="D10409" t="inlineStr">
        <is>
          <t>SKU-10261</t>
        </is>
      </c>
      <c r="E10409" t="inlineStr">
        <is>
          <t>AM06</t>
        </is>
      </c>
      <c r="F10409" s="5" t="n">
        <v>213.73</v>
      </c>
      <c r="G10409">
        <f>IF(LEFT(B10409,1)="C","Credit","Factuur")</f>
        <v/>
      </c>
      <c r="H10409">
        <f>IF(AND(B10409=B10408,D10409=D10408,A10409=A10408,F10409=F10408),1,0)</f>
        <v/>
      </c>
      <c r="I10409">
        <f>IF(C10409="C99999",1,0)</f>
        <v/>
      </c>
      <c r="J10409" s="5">
        <f>IF(OR(H10409=1,I10409=1),0,IF(G10409="Credit",-F10409,F10409))</f>
        <v/>
      </c>
    </row>
    <row r="10410">
      <c r="A10410" t="inlineStr">
        <is>
          <t>2026-09-30</t>
        </is>
      </c>
      <c r="B10410" t="inlineStr">
        <is>
          <t>F278437</t>
        </is>
      </c>
      <c r="C10410" t="inlineStr">
        <is>
          <t>C10978</t>
        </is>
      </c>
      <c r="D10410" t="inlineStr">
        <is>
          <t>SKU-10280</t>
        </is>
      </c>
      <c r="E10410" t="inlineStr">
        <is>
          <t>AM06</t>
        </is>
      </c>
      <c r="F10410" s="5" t="n">
        <v>225.98</v>
      </c>
      <c r="G10410">
        <f>IF(LEFT(B10410,1)="C","Credit","Factuur")</f>
        <v/>
      </c>
      <c r="H10410">
        <f>IF(AND(B10410=B10409,D10410=D10409,A10410=A10409,F10410=F10409),1,0)</f>
        <v/>
      </c>
      <c r="I10410">
        <f>IF(C10410="C99999",1,0)</f>
        <v/>
      </c>
      <c r="J10410" s="5">
        <f>IF(OR(H10410=1,I10410=1),0,IF(G10410="Credit",-F10410,F10410))</f>
        <v/>
      </c>
    </row>
    <row r="10411">
      <c r="A10411" t="inlineStr">
        <is>
          <t>2026-09-30</t>
        </is>
      </c>
      <c r="B10411" t="inlineStr">
        <is>
          <t>F278995</t>
        </is>
      </c>
      <c r="C10411" t="inlineStr">
        <is>
          <t>C11006</t>
        </is>
      </c>
      <c r="D10411" t="inlineStr">
        <is>
          <t>SKU-10009</t>
        </is>
      </c>
      <c r="E10411" t="inlineStr">
        <is>
          <t>AM11</t>
        </is>
      </c>
      <c r="F10411" s="5" t="n">
        <v>356.66</v>
      </c>
      <c r="G10411">
        <f>IF(LEFT(B10411,1)="C","Credit","Factuur")</f>
        <v/>
      </c>
      <c r="H10411">
        <f>IF(AND(B10411=B10410,D10411=D10410,A10411=A10410,F10411=F10410),1,0)</f>
        <v/>
      </c>
      <c r="I10411">
        <f>IF(C10411="C99999",1,0)</f>
        <v/>
      </c>
      <c r="J10411" s="5">
        <f>IF(OR(H10411=1,I10411=1),0,IF(G10411="Credit",-F10411,F10411))</f>
        <v/>
      </c>
    </row>
    <row r="10412">
      <c r="A10412" t="inlineStr">
        <is>
          <t>2026-09-30</t>
        </is>
      </c>
      <c r="B10412" t="inlineStr">
        <is>
          <t>F278995</t>
        </is>
      </c>
      <c r="C10412" t="inlineStr">
        <is>
          <t>C11006</t>
        </is>
      </c>
      <c r="D10412" t="inlineStr">
        <is>
          <t>SKU-10058</t>
        </is>
      </c>
      <c r="E10412" t="inlineStr">
        <is>
          <t>AM11</t>
        </is>
      </c>
      <c r="F10412" s="5" t="n">
        <v>384.57</v>
      </c>
      <c r="G10412">
        <f>IF(LEFT(B10412,1)="C","Credit","Factuur")</f>
        <v/>
      </c>
      <c r="H10412">
        <f>IF(AND(B10412=B10411,D10412=D10411,A10412=A10411,F10412=F10411),1,0)</f>
        <v/>
      </c>
      <c r="I10412">
        <f>IF(C10412="C99999",1,0)</f>
        <v/>
      </c>
      <c r="J10412" s="5">
        <f>IF(OR(H10412=1,I10412=1),0,IF(G10412="Credit",-F10412,F10412))</f>
        <v/>
      </c>
    </row>
    <row r="10413">
      <c r="A10413" t="inlineStr">
        <is>
          <t>2026-09-30</t>
        </is>
      </c>
      <c r="B10413" t="inlineStr">
        <is>
          <t>F278995</t>
        </is>
      </c>
      <c r="C10413" t="inlineStr">
        <is>
          <t>C11006</t>
        </is>
      </c>
      <c r="D10413" t="inlineStr">
        <is>
          <t>SKU-10283</t>
        </is>
      </c>
      <c r="E10413" t="inlineStr">
        <is>
          <t>AM11</t>
        </is>
      </c>
      <c r="F10413" s="5" t="n">
        <v>408.12</v>
      </c>
      <c r="G10413">
        <f>IF(LEFT(B10413,1)="C","Credit","Factuur")</f>
        <v/>
      </c>
      <c r="H10413">
        <f>IF(AND(B10413=B10412,D10413=D10412,A10413=A10412,F10413=F10412),1,0)</f>
        <v/>
      </c>
      <c r="I10413">
        <f>IF(C10413="C99999",1,0)</f>
        <v/>
      </c>
      <c r="J10413" s="5">
        <f>IF(OR(H10413=1,I10413=1),0,IF(G10413="Credit",-F10413,F10413))</f>
        <v/>
      </c>
    </row>
    <row r="10414">
      <c r="A10414" t="inlineStr">
        <is>
          <t>2026-09-30</t>
        </is>
      </c>
      <c r="B10414" t="inlineStr">
        <is>
          <t>F279065</t>
        </is>
      </c>
      <c r="C10414" t="inlineStr">
        <is>
          <t>C11009</t>
        </is>
      </c>
      <c r="D10414" t="inlineStr">
        <is>
          <t>SKU-10015</t>
        </is>
      </c>
      <c r="E10414" t="inlineStr">
        <is>
          <t>AM02</t>
        </is>
      </c>
      <c r="F10414" s="5" t="n">
        <v>93.27</v>
      </c>
      <c r="G10414">
        <f>IF(LEFT(B10414,1)="C","Credit","Factuur")</f>
        <v/>
      </c>
      <c r="H10414">
        <f>IF(AND(B10414=B10413,D10414=D10413,A10414=A10413,F10414=F10413),1,0)</f>
        <v/>
      </c>
      <c r="I10414">
        <f>IF(C10414="C99999",1,0)</f>
        <v/>
      </c>
      <c r="J10414" s="5">
        <f>IF(OR(H10414=1,I10414=1),0,IF(G10414="Credit",-F10414,F10414))</f>
        <v/>
      </c>
    </row>
    <row r="10415">
      <c r="A10415" t="inlineStr">
        <is>
          <t>2026-09-30</t>
        </is>
      </c>
      <c r="B10415" t="inlineStr">
        <is>
          <t>F279065</t>
        </is>
      </c>
      <c r="C10415" t="inlineStr">
        <is>
          <t>C11009</t>
        </is>
      </c>
      <c r="D10415" t="inlineStr">
        <is>
          <t>SKU-10127</t>
        </is>
      </c>
      <c r="E10415" t="inlineStr">
        <is>
          <t>AM02</t>
        </is>
      </c>
      <c r="F10415" s="5" t="n">
        <v>86.97</v>
      </c>
      <c r="G10415">
        <f>IF(LEFT(B10415,1)="C","Credit","Factuur")</f>
        <v/>
      </c>
      <c r="H10415">
        <f>IF(AND(B10415=B10414,D10415=D10414,A10415=A10414,F10415=F10414),1,0)</f>
        <v/>
      </c>
      <c r="I10415">
        <f>IF(C10415="C99999",1,0)</f>
        <v/>
      </c>
      <c r="J10415" s="5">
        <f>IF(OR(H10415=1,I10415=1),0,IF(G10415="Credit",-F10415,F10415))</f>
        <v/>
      </c>
    </row>
    <row r="10416">
      <c r="A10416" t="inlineStr">
        <is>
          <t>2026-09-30</t>
        </is>
      </c>
      <c r="B10416" t="inlineStr">
        <is>
          <t>F279065</t>
        </is>
      </c>
      <c r="C10416" t="inlineStr">
        <is>
          <t>C11009</t>
        </is>
      </c>
      <c r="D10416" t="inlineStr">
        <is>
          <t>SKU-10239</t>
        </is>
      </c>
      <c r="E10416" t="inlineStr">
        <is>
          <t>AM02</t>
        </is>
      </c>
      <c r="F10416" s="5" t="n">
        <v>61.32</v>
      </c>
      <c r="G10416">
        <f>IF(LEFT(B10416,1)="C","Credit","Factuur")</f>
        <v/>
      </c>
      <c r="H10416">
        <f>IF(AND(B10416=B10415,D10416=D10415,A10416=A10415,F10416=F10415),1,0)</f>
        <v/>
      </c>
      <c r="I10416">
        <f>IF(C10416="C99999",1,0)</f>
        <v/>
      </c>
      <c r="J10416" s="5">
        <f>IF(OR(H10416=1,I10416=1),0,IF(G10416="Credit",-F10416,F10416))</f>
        <v/>
      </c>
    </row>
    <row r="10417">
      <c r="A10417" t="inlineStr">
        <is>
          <t>2026-09-30</t>
        </is>
      </c>
      <c r="B10417" t="inlineStr">
        <is>
          <t>F279065</t>
        </is>
      </c>
      <c r="C10417" t="inlineStr">
        <is>
          <t>C11009</t>
        </is>
      </c>
      <c r="D10417" t="inlineStr">
        <is>
          <t>SKU-10246</t>
        </is>
      </c>
      <c r="E10417" t="inlineStr">
        <is>
          <t>AM02</t>
        </is>
      </c>
      <c r="F10417" s="5" t="n">
        <v>69.12</v>
      </c>
      <c r="G10417">
        <f>IF(LEFT(B10417,1)="C","Credit","Factuur")</f>
        <v/>
      </c>
      <c r="H10417">
        <f>IF(AND(B10417=B10416,D10417=D10416,A10417=A10416,F10417=F10416),1,0)</f>
        <v/>
      </c>
      <c r="I10417">
        <f>IF(C10417="C99999",1,0)</f>
        <v/>
      </c>
      <c r="J10417" s="5">
        <f>IF(OR(H10417=1,I10417=1),0,IF(G10417="Credit",-F10417,F10417))</f>
        <v/>
      </c>
    </row>
    <row r="10418">
      <c r="A10418" t="inlineStr">
        <is>
          <t>2026-09-30</t>
        </is>
      </c>
      <c r="B10418" t="inlineStr">
        <is>
          <t>F279065</t>
        </is>
      </c>
      <c r="C10418" t="inlineStr">
        <is>
          <t>C11009</t>
        </is>
      </c>
      <c r="D10418" t="inlineStr">
        <is>
          <t>SKU-10255</t>
        </is>
      </c>
      <c r="E10418" t="inlineStr">
        <is>
          <t>AM02</t>
        </is>
      </c>
      <c r="F10418" s="5" t="n">
        <v>77.89</v>
      </c>
      <c r="G10418">
        <f>IF(LEFT(B10418,1)="C","Credit","Factuur")</f>
        <v/>
      </c>
      <c r="H10418">
        <f>IF(AND(B10418=B10417,D10418=D10417,A10418=A10417,F10418=F10417),1,0)</f>
        <v/>
      </c>
      <c r="I10418">
        <f>IF(C10418="C99999",1,0)</f>
        <v/>
      </c>
      <c r="J10418" s="5">
        <f>IF(OR(H10418=1,I10418=1),0,IF(G10418="Credit",-F10418,F10418))</f>
        <v/>
      </c>
    </row>
    <row r="10419">
      <c r="A10419" t="inlineStr">
        <is>
          <t>2026-09-30</t>
        </is>
      </c>
      <c r="B10419" t="inlineStr">
        <is>
          <t>F279767</t>
        </is>
      </c>
      <c r="C10419" t="inlineStr">
        <is>
          <t>C11047</t>
        </is>
      </c>
      <c r="D10419" t="inlineStr">
        <is>
          <t>SKU-10036</t>
        </is>
      </c>
      <c r="E10419" t="inlineStr">
        <is>
          <t>AM02</t>
        </is>
      </c>
      <c r="F10419" s="5" t="n">
        <v>718.47</v>
      </c>
      <c r="G10419">
        <f>IF(LEFT(B10419,1)="C","Credit","Factuur")</f>
        <v/>
      </c>
      <c r="H10419">
        <f>IF(AND(B10419=B10418,D10419=D10418,A10419=A10418,F10419=F10418),1,0)</f>
        <v/>
      </c>
      <c r="I10419">
        <f>IF(C10419="C99999",1,0)</f>
        <v/>
      </c>
      <c r="J10419" s="5">
        <f>IF(OR(H10419=1,I10419=1),0,IF(G10419="Credit",-F10419,F10419))</f>
        <v/>
      </c>
    </row>
    <row r="10420">
      <c r="A10420" t="inlineStr">
        <is>
          <t>2026-09-30</t>
        </is>
      </c>
      <c r="B10420" t="inlineStr">
        <is>
          <t>F279767</t>
        </is>
      </c>
      <c r="C10420" t="inlineStr">
        <is>
          <t>C11047</t>
        </is>
      </c>
      <c r="D10420" t="inlineStr">
        <is>
          <t>SKU-10054</t>
        </is>
      </c>
      <c r="E10420" t="inlineStr">
        <is>
          <t>AM02</t>
        </is>
      </c>
      <c r="F10420" s="5" t="n">
        <v>815.13</v>
      </c>
      <c r="G10420">
        <f>IF(LEFT(B10420,1)="C","Credit","Factuur")</f>
        <v/>
      </c>
      <c r="H10420">
        <f>IF(AND(B10420=B10419,D10420=D10419,A10420=A10419,F10420=F10419),1,0)</f>
        <v/>
      </c>
      <c r="I10420">
        <f>IF(C10420="C99999",1,0)</f>
        <v/>
      </c>
      <c r="J10420" s="5">
        <f>IF(OR(H10420=1,I10420=1),0,IF(G10420="Credit",-F10420,F10420))</f>
        <v/>
      </c>
    </row>
    <row r="10421">
      <c r="A10421" t="inlineStr">
        <is>
          <t>2026-09-30</t>
        </is>
      </c>
      <c r="B10421" t="inlineStr">
        <is>
          <t>F280956</t>
        </is>
      </c>
      <c r="C10421" t="inlineStr">
        <is>
          <t>C11105</t>
        </is>
      </c>
      <c r="D10421" t="inlineStr">
        <is>
          <t>SKU-10112</t>
        </is>
      </c>
      <c r="E10421" t="inlineStr">
        <is>
          <t>AM12</t>
        </is>
      </c>
      <c r="F10421" s="5" t="n">
        <v>504.79</v>
      </c>
      <c r="G10421">
        <f>IF(LEFT(B10421,1)="C","Credit","Factuur")</f>
        <v/>
      </c>
      <c r="H10421">
        <f>IF(AND(B10421=B10420,D10421=D10420,A10421=A10420,F10421=F10420),1,0)</f>
        <v/>
      </c>
      <c r="I10421">
        <f>IF(C10421="C99999",1,0)</f>
        <v/>
      </c>
      <c r="J10421" s="5">
        <f>IF(OR(H10421=1,I10421=1),0,IF(G10421="Credit",-F10421,F10421))</f>
        <v/>
      </c>
    </row>
    <row r="10422">
      <c r="A10422" t="inlineStr">
        <is>
          <t>2026-09-30</t>
        </is>
      </c>
      <c r="B10422" t="inlineStr">
        <is>
          <t>F281775</t>
        </is>
      </c>
      <c r="C10422" t="inlineStr">
        <is>
          <t>C11146</t>
        </is>
      </c>
      <c r="D10422" t="inlineStr">
        <is>
          <t>SKU-10217</t>
        </is>
      </c>
      <c r="E10422" t="inlineStr">
        <is>
          <t>AM01</t>
        </is>
      </c>
      <c r="F10422" s="5" t="n">
        <v>265.98</v>
      </c>
      <c r="G10422">
        <f>IF(LEFT(B10422,1)="C","Credit","Factuur")</f>
        <v/>
      </c>
      <c r="H10422">
        <f>IF(AND(B10422=B10421,D10422=D10421,A10422=A10421,F10422=F10421),1,0)</f>
        <v/>
      </c>
      <c r="I10422">
        <f>IF(C10422="C99999",1,0)</f>
        <v/>
      </c>
      <c r="J10422" s="5">
        <f>IF(OR(H10422=1,I10422=1),0,IF(G10422="Credit",-F10422,F10422))</f>
        <v/>
      </c>
    </row>
    <row r="10423">
      <c r="A10423" t="inlineStr">
        <is>
          <t>2026-09-30</t>
        </is>
      </c>
      <c r="B10423" t="inlineStr">
        <is>
          <t>F281775</t>
        </is>
      </c>
      <c r="C10423" t="inlineStr">
        <is>
          <t>C11146</t>
        </is>
      </c>
      <c r="D10423" t="inlineStr">
        <is>
          <t>SKU-10335</t>
        </is>
      </c>
      <c r="E10423" t="inlineStr">
        <is>
          <t>AM01</t>
        </is>
      </c>
      <c r="F10423" s="5" t="n">
        <v>236.66</v>
      </c>
      <c r="G10423">
        <f>IF(LEFT(B10423,1)="C","Credit","Factuur")</f>
        <v/>
      </c>
      <c r="H10423">
        <f>IF(AND(B10423=B10422,D10423=D10422,A10423=A10422,F10423=F10422),1,0)</f>
        <v/>
      </c>
      <c r="I10423">
        <f>IF(C10423="C99999",1,0)</f>
        <v/>
      </c>
      <c r="J10423" s="5">
        <f>IF(OR(H10423=1,I10423=1),0,IF(G10423="Credit",-F10423,F10423))</f>
        <v/>
      </c>
    </row>
    <row r="10424">
      <c r="A10424" t="inlineStr">
        <is>
          <t>2026-09-30</t>
        </is>
      </c>
      <c r="B10424" t="inlineStr">
        <is>
          <t>F282046</t>
        </is>
      </c>
      <c r="C10424" t="inlineStr">
        <is>
          <t>C11158</t>
        </is>
      </c>
      <c r="D10424" t="inlineStr">
        <is>
          <t>SKU-10206</t>
        </is>
      </c>
      <c r="E10424" t="inlineStr">
        <is>
          <t>AM06</t>
        </is>
      </c>
      <c r="F10424" s="5" t="n">
        <v>506.4</v>
      </c>
      <c r="G10424">
        <f>IF(LEFT(B10424,1)="C","Credit","Factuur")</f>
        <v/>
      </c>
      <c r="H10424">
        <f>IF(AND(B10424=B10423,D10424=D10423,A10424=A10423,F10424=F10423),1,0)</f>
        <v/>
      </c>
      <c r="I10424">
        <f>IF(C10424="C99999",1,0)</f>
        <v/>
      </c>
      <c r="J10424" s="5">
        <f>IF(OR(H10424=1,I10424=1),0,IF(G10424="Credit",-F10424,F10424))</f>
        <v/>
      </c>
    </row>
    <row r="10425">
      <c r="A10425" t="inlineStr">
        <is>
          <t>2026-09-30</t>
        </is>
      </c>
      <c r="B10425" t="inlineStr">
        <is>
          <t>F282046</t>
        </is>
      </c>
      <c r="C10425" t="inlineStr">
        <is>
          <t>C11158</t>
        </is>
      </c>
      <c r="D10425" t="inlineStr">
        <is>
          <t>SKU-10289</t>
        </is>
      </c>
      <c r="E10425" t="inlineStr">
        <is>
          <t>AM06</t>
        </is>
      </c>
      <c r="F10425" s="5" t="n">
        <v>499.07</v>
      </c>
      <c r="G10425">
        <f>IF(LEFT(B10425,1)="C","Credit","Factuur")</f>
        <v/>
      </c>
      <c r="H10425">
        <f>IF(AND(B10425=B10424,D10425=D10424,A10425=A10424,F10425=F10424),1,0)</f>
        <v/>
      </c>
      <c r="I10425">
        <f>IF(C10425="C99999",1,0)</f>
        <v/>
      </c>
      <c r="J10425" s="5">
        <f>IF(OR(H10425=1,I10425=1),0,IF(G10425="Credit",-F10425,F10425))</f>
        <v/>
      </c>
    </row>
    <row r="10426">
      <c r="A10426" t="inlineStr">
        <is>
          <t>2026-09-30</t>
        </is>
      </c>
      <c r="B10426" t="inlineStr">
        <is>
          <t>F282560</t>
        </is>
      </c>
      <c r="C10426" t="inlineStr">
        <is>
          <t>C11185</t>
        </is>
      </c>
      <c r="D10426" t="inlineStr">
        <is>
          <t>SKU-10032</t>
        </is>
      </c>
      <c r="E10426" t="inlineStr">
        <is>
          <t>AM08</t>
        </is>
      </c>
      <c r="F10426" s="5" t="n">
        <v>449.93</v>
      </c>
      <c r="G10426">
        <f>IF(LEFT(B10426,1)="C","Credit","Factuur")</f>
        <v/>
      </c>
      <c r="H10426">
        <f>IF(AND(B10426=B10425,D10426=D10425,A10426=A10425,F10426=F10425),1,0)</f>
        <v/>
      </c>
      <c r="I10426">
        <f>IF(C10426="C99999",1,0)</f>
        <v/>
      </c>
      <c r="J10426" s="5">
        <f>IF(OR(H10426=1,I10426=1),0,IF(G10426="Credit",-F10426,F10426))</f>
        <v/>
      </c>
    </row>
    <row r="10427">
      <c r="A10427" t="inlineStr">
        <is>
          <t>2026-09-30</t>
        </is>
      </c>
      <c r="B10427" t="inlineStr">
        <is>
          <t>F282560</t>
        </is>
      </c>
      <c r="C10427" t="inlineStr">
        <is>
          <t>C11185</t>
        </is>
      </c>
      <c r="D10427" t="inlineStr">
        <is>
          <t>SKU-10041</t>
        </is>
      </c>
      <c r="E10427" t="inlineStr">
        <is>
          <t>AM08</t>
        </is>
      </c>
      <c r="F10427" s="5" t="n">
        <v>460.96</v>
      </c>
      <c r="G10427">
        <f>IF(LEFT(B10427,1)="C","Credit","Factuur")</f>
        <v/>
      </c>
      <c r="H10427">
        <f>IF(AND(B10427=B10426,D10427=D10426,A10427=A10426,F10427=F10426),1,0)</f>
        <v/>
      </c>
      <c r="I10427">
        <f>IF(C10427="C99999",1,0)</f>
        <v/>
      </c>
      <c r="J10427" s="5">
        <f>IF(OR(H10427=1,I10427=1),0,IF(G10427="Credit",-F10427,F10427))</f>
        <v/>
      </c>
    </row>
    <row r="10428">
      <c r="A10428" t="inlineStr">
        <is>
          <t>2026-09-30</t>
        </is>
      </c>
      <c r="B10428" t="inlineStr">
        <is>
          <t>F282560</t>
        </is>
      </c>
      <c r="C10428" t="inlineStr">
        <is>
          <t>C11185</t>
        </is>
      </c>
      <c r="D10428" t="inlineStr">
        <is>
          <t>SKU-10096</t>
        </is>
      </c>
      <c r="E10428" t="inlineStr">
        <is>
          <t>AM08</t>
        </is>
      </c>
      <c r="F10428" s="5" t="n">
        <v>389.03</v>
      </c>
      <c r="G10428">
        <f>IF(LEFT(B10428,1)="C","Credit","Factuur")</f>
        <v/>
      </c>
      <c r="H10428">
        <f>IF(AND(B10428=B10427,D10428=D10427,A10428=A10427,F10428=F10427),1,0)</f>
        <v/>
      </c>
      <c r="I10428">
        <f>IF(C10428="C99999",1,0)</f>
        <v/>
      </c>
      <c r="J10428" s="5">
        <f>IF(OR(H10428=1,I10428=1),0,IF(G10428="Credit",-F10428,F10428))</f>
        <v/>
      </c>
    </row>
    <row r="10429">
      <c r="A10429" t="inlineStr">
        <is>
          <t>2026-09-30</t>
        </is>
      </c>
      <c r="B10429" t="inlineStr">
        <is>
          <t>F282560</t>
        </is>
      </c>
      <c r="C10429" t="inlineStr">
        <is>
          <t>C11185</t>
        </is>
      </c>
      <c r="D10429" t="inlineStr">
        <is>
          <t>SKU-10181</t>
        </is>
      </c>
      <c r="E10429" t="inlineStr">
        <is>
          <t>AM08</t>
        </is>
      </c>
      <c r="F10429" s="5" t="n">
        <v>432.93</v>
      </c>
      <c r="G10429">
        <f>IF(LEFT(B10429,1)="C","Credit","Factuur")</f>
        <v/>
      </c>
      <c r="H10429">
        <f>IF(AND(B10429=B10428,D10429=D10428,A10429=A10428,F10429=F10428),1,0)</f>
        <v/>
      </c>
      <c r="I10429">
        <f>IF(C10429="C99999",1,0)</f>
        <v/>
      </c>
      <c r="J10429" s="5">
        <f>IF(OR(H10429=1,I10429=1),0,IF(G10429="Credit",-F10429,F10429))</f>
        <v/>
      </c>
    </row>
    <row r="10430">
      <c r="A10430" t="inlineStr">
        <is>
          <t>2026-09-30</t>
        </is>
      </c>
      <c r="B10430" t="inlineStr">
        <is>
          <t>F282670</t>
        </is>
      </c>
      <c r="C10430" t="inlineStr">
        <is>
          <t>C11190</t>
        </is>
      </c>
      <c r="D10430" t="inlineStr">
        <is>
          <t>SKU-10057</t>
        </is>
      </c>
      <c r="E10430" t="inlineStr">
        <is>
          <t>AM07</t>
        </is>
      </c>
      <c r="F10430" s="5" t="n">
        <v>356.4</v>
      </c>
      <c r="G10430">
        <f>IF(LEFT(B10430,1)="C","Credit","Factuur")</f>
        <v/>
      </c>
      <c r="H10430">
        <f>IF(AND(B10430=B10429,D10430=D10429,A10430=A10429,F10430=F10429),1,0)</f>
        <v/>
      </c>
      <c r="I10430">
        <f>IF(C10430="C99999",1,0)</f>
        <v/>
      </c>
      <c r="J10430" s="5">
        <f>IF(OR(H10430=1,I10430=1),0,IF(G10430="Credit",-F10430,F10430))</f>
        <v/>
      </c>
    </row>
    <row r="10431">
      <c r="A10431" t="inlineStr">
        <is>
          <t>2026-09-30</t>
        </is>
      </c>
      <c r="B10431" t="inlineStr">
        <is>
          <t>F282670</t>
        </is>
      </c>
      <c r="C10431" t="inlineStr">
        <is>
          <t>C11190</t>
        </is>
      </c>
      <c r="D10431" t="inlineStr">
        <is>
          <t>SKU-10078</t>
        </is>
      </c>
      <c r="E10431" t="inlineStr">
        <is>
          <t>AM07</t>
        </is>
      </c>
      <c r="F10431" s="5" t="n">
        <v>402.19</v>
      </c>
      <c r="G10431">
        <f>IF(LEFT(B10431,1)="C","Credit","Factuur")</f>
        <v/>
      </c>
      <c r="H10431">
        <f>IF(AND(B10431=B10430,D10431=D10430,A10431=A10430,F10431=F10430),1,0)</f>
        <v/>
      </c>
      <c r="I10431">
        <f>IF(C10431="C99999",1,0)</f>
        <v/>
      </c>
      <c r="J10431" s="5">
        <f>IF(OR(H10431=1,I10431=1),0,IF(G10431="Credit",-F10431,F10431))</f>
        <v/>
      </c>
    </row>
    <row r="10432">
      <c r="A10432" t="inlineStr">
        <is>
          <t>2026-09-30</t>
        </is>
      </c>
      <c r="B10432" t="inlineStr">
        <is>
          <t>F282670</t>
        </is>
      </c>
      <c r="C10432" t="inlineStr">
        <is>
          <t>C11190</t>
        </is>
      </c>
      <c r="D10432" t="inlineStr">
        <is>
          <t>SKU-10340</t>
        </is>
      </c>
      <c r="E10432" t="inlineStr">
        <is>
          <t>AM07</t>
        </is>
      </c>
      <c r="F10432" s="5" t="n">
        <v>394</v>
      </c>
      <c r="G10432">
        <f>IF(LEFT(B10432,1)="C","Credit","Factuur")</f>
        <v/>
      </c>
      <c r="H10432">
        <f>IF(AND(B10432=B10431,D10432=D10431,A10432=A10431,F10432=F10431),1,0)</f>
        <v/>
      </c>
      <c r="I10432">
        <f>IF(C10432="C99999",1,0)</f>
        <v/>
      </c>
      <c r="J10432" s="5">
        <f>IF(OR(H10432=1,I10432=1),0,IF(G10432="Credit",-F10432,F10432))</f>
        <v/>
      </c>
    </row>
    <row r="10433">
      <c r="A10433" t="inlineStr">
        <is>
          <t>2026-09-30</t>
        </is>
      </c>
      <c r="B10433" t="inlineStr">
        <is>
          <t>F282670</t>
        </is>
      </c>
      <c r="C10433" t="inlineStr">
        <is>
          <t>C11190</t>
        </is>
      </c>
      <c r="D10433" t="inlineStr">
        <is>
          <t>SKU-10346</t>
        </is>
      </c>
      <c r="E10433" t="inlineStr">
        <is>
          <t>AM07</t>
        </is>
      </c>
      <c r="F10433" s="5" t="n">
        <v>1135.35</v>
      </c>
      <c r="G10433">
        <f>IF(LEFT(B10433,1)="C","Credit","Factuur")</f>
        <v/>
      </c>
      <c r="H10433">
        <f>IF(AND(B10433=B10432,D10433=D10432,A10433=A10432,F10433=F10432),1,0)</f>
        <v/>
      </c>
      <c r="I10433">
        <f>IF(C10433="C99999",1,0)</f>
        <v/>
      </c>
      <c r="J10433" s="5">
        <f>IF(OR(H10433=1,I10433=1),0,IF(G10433="Credit",-F10433,F10433))</f>
        <v/>
      </c>
    </row>
    <row r="10434">
      <c r="A10434" t="inlineStr">
        <is>
          <t>2026-09-30</t>
        </is>
      </c>
      <c r="B10434" t="inlineStr">
        <is>
          <t>F283332</t>
        </is>
      </c>
      <c r="C10434" t="inlineStr">
        <is>
          <t>C11226</t>
        </is>
      </c>
      <c r="D10434" t="inlineStr">
        <is>
          <t>SKU-10052</t>
        </is>
      </c>
      <c r="E10434" t="inlineStr">
        <is>
          <t>AM07</t>
        </is>
      </c>
      <c r="F10434" s="5" t="n">
        <v>149.94</v>
      </c>
      <c r="G10434">
        <f>IF(LEFT(B10434,1)="C","Credit","Factuur")</f>
        <v/>
      </c>
      <c r="H10434">
        <f>IF(AND(B10434=B10433,D10434=D10433,A10434=A10433,F10434=F10433),1,0)</f>
        <v/>
      </c>
      <c r="I10434">
        <f>IF(C10434="C99999",1,0)</f>
        <v/>
      </c>
      <c r="J10434" s="5">
        <f>IF(OR(H10434=1,I10434=1),0,IF(G10434="Credit",-F10434,F10434))</f>
        <v/>
      </c>
    </row>
    <row r="10435">
      <c r="A10435" t="inlineStr">
        <is>
          <t>2026-09-30</t>
        </is>
      </c>
      <c r="B10435" t="inlineStr">
        <is>
          <t>F283332</t>
        </is>
      </c>
      <c r="C10435" t="inlineStr">
        <is>
          <t>C11226</t>
        </is>
      </c>
      <c r="D10435" t="inlineStr">
        <is>
          <t>SKU-10069</t>
        </is>
      </c>
      <c r="E10435" t="inlineStr">
        <is>
          <t>AM07</t>
        </is>
      </c>
      <c r="F10435" s="5" t="n">
        <v>143.01</v>
      </c>
      <c r="G10435">
        <f>IF(LEFT(B10435,1)="C","Credit","Factuur")</f>
        <v/>
      </c>
      <c r="H10435">
        <f>IF(AND(B10435=B10434,D10435=D10434,A10435=A10434,F10435=F10434),1,0)</f>
        <v/>
      </c>
      <c r="I10435">
        <f>IF(C10435="C99999",1,0)</f>
        <v/>
      </c>
      <c r="J10435" s="5">
        <f>IF(OR(H10435=1,I10435=1),0,IF(G10435="Credit",-F10435,F10435))</f>
        <v/>
      </c>
    </row>
    <row r="10436">
      <c r="A10436" t="inlineStr">
        <is>
          <t>2026-09-30</t>
        </is>
      </c>
      <c r="B10436" t="inlineStr">
        <is>
          <t>F283332</t>
        </is>
      </c>
      <c r="C10436" t="inlineStr">
        <is>
          <t>C11226</t>
        </is>
      </c>
      <c r="D10436" t="inlineStr">
        <is>
          <t>SKU-10306</t>
        </is>
      </c>
      <c r="E10436" t="inlineStr">
        <is>
          <t>AM07</t>
        </is>
      </c>
      <c r="F10436" s="5" t="n">
        <v>137.82</v>
      </c>
      <c r="G10436">
        <f>IF(LEFT(B10436,1)="C","Credit","Factuur")</f>
        <v/>
      </c>
      <c r="H10436">
        <f>IF(AND(B10436=B10435,D10436=D10435,A10436=A10435,F10436=F10435),1,0)</f>
        <v/>
      </c>
      <c r="I10436">
        <f>IF(C10436="C99999",1,0)</f>
        <v/>
      </c>
      <c r="J10436" s="5">
        <f>IF(OR(H10436=1,I10436=1),0,IF(G10436="Credit",-F10436,F10436))</f>
        <v/>
      </c>
    </row>
    <row r="10437">
      <c r="A10437" t="inlineStr">
        <is>
          <t>2026-09-30</t>
        </is>
      </c>
      <c r="B10437" t="inlineStr">
        <is>
          <t>F283332</t>
        </is>
      </c>
      <c r="C10437" t="inlineStr">
        <is>
          <t>C11226</t>
        </is>
      </c>
      <c r="D10437" t="inlineStr">
        <is>
          <t>SKU-10317</t>
        </is>
      </c>
      <c r="E10437" t="inlineStr">
        <is>
          <t>AM07</t>
        </is>
      </c>
      <c r="F10437" s="5" t="n">
        <v>138.55</v>
      </c>
      <c r="G10437">
        <f>IF(LEFT(B10437,1)="C","Credit","Factuur")</f>
        <v/>
      </c>
      <c r="H10437">
        <f>IF(AND(B10437=B10436,D10437=D10436,A10437=A10436,F10437=F10436),1,0)</f>
        <v/>
      </c>
      <c r="I10437">
        <f>IF(C10437="C99999",1,0)</f>
        <v/>
      </c>
      <c r="J10437" s="5">
        <f>IF(OR(H10437=1,I10437=1),0,IF(G10437="Credit",-F10437,F10437))</f>
        <v/>
      </c>
    </row>
    <row r="10438">
      <c r="A10438" t="inlineStr">
        <is>
          <t>2026-09-30</t>
        </is>
      </c>
      <c r="B10438" t="inlineStr">
        <is>
          <t>F283332</t>
        </is>
      </c>
      <c r="C10438" t="inlineStr">
        <is>
          <t>C11226</t>
        </is>
      </c>
      <c r="D10438" t="inlineStr">
        <is>
          <t>SKU-10334</t>
        </is>
      </c>
      <c r="E10438" t="inlineStr">
        <is>
          <t>AM07</t>
        </is>
      </c>
      <c r="F10438" s="5" t="n">
        <v>143.38</v>
      </c>
      <c r="G10438">
        <f>IF(LEFT(B10438,1)="C","Credit","Factuur")</f>
        <v/>
      </c>
      <c r="H10438">
        <f>IF(AND(B10438=B10437,D10438=D10437,A10438=A10437,F10438=F10437),1,0)</f>
        <v/>
      </c>
      <c r="I10438">
        <f>IF(C10438="C99999",1,0)</f>
        <v/>
      </c>
      <c r="J10438" s="5">
        <f>IF(OR(H10438=1,I10438=1),0,IF(G10438="Credit",-F10438,F10438))</f>
        <v/>
      </c>
    </row>
    <row r="10439">
      <c r="A10439" t="inlineStr">
        <is>
          <t>2026-09-30</t>
        </is>
      </c>
      <c r="B10439" t="inlineStr">
        <is>
          <t>F283559</t>
        </is>
      </c>
      <c r="C10439" t="inlineStr">
        <is>
          <t>C11236</t>
        </is>
      </c>
      <c r="D10439" t="inlineStr">
        <is>
          <t>SKU-10013</t>
        </is>
      </c>
      <c r="E10439" t="inlineStr">
        <is>
          <t>AM01</t>
        </is>
      </c>
      <c r="F10439" s="5" t="n">
        <v>112.83</v>
      </c>
      <c r="G10439">
        <f>IF(LEFT(B10439,1)="C","Credit","Factuur")</f>
        <v/>
      </c>
      <c r="H10439">
        <f>IF(AND(B10439=B10438,D10439=D10438,A10439=A10438,F10439=F10438),1,0)</f>
        <v/>
      </c>
      <c r="I10439">
        <f>IF(C10439="C99999",1,0)</f>
        <v/>
      </c>
      <c r="J10439" s="5">
        <f>IF(OR(H10439=1,I10439=1),0,IF(G10439="Credit",-F10439,F10439))</f>
        <v/>
      </c>
    </row>
    <row r="10440">
      <c r="A10440" t="inlineStr">
        <is>
          <t>2026-09-30</t>
        </is>
      </c>
      <c r="B10440" t="inlineStr">
        <is>
          <t>F283559</t>
        </is>
      </c>
      <c r="C10440" t="inlineStr">
        <is>
          <t>C11236</t>
        </is>
      </c>
      <c r="D10440" t="inlineStr">
        <is>
          <t>SKU-10042</t>
        </is>
      </c>
      <c r="E10440" t="inlineStr">
        <is>
          <t>AM01</t>
        </is>
      </c>
      <c r="F10440" s="5" t="n">
        <v>113.49</v>
      </c>
      <c r="G10440">
        <f>IF(LEFT(B10440,1)="C","Credit","Factuur")</f>
        <v/>
      </c>
      <c r="H10440">
        <f>IF(AND(B10440=B10439,D10440=D10439,A10440=A10439,F10440=F10439),1,0)</f>
        <v/>
      </c>
      <c r="I10440">
        <f>IF(C10440="C99999",1,0)</f>
        <v/>
      </c>
      <c r="J10440" s="5">
        <f>IF(OR(H10440=1,I10440=1),0,IF(G10440="Credit",-F10440,F10440))</f>
        <v/>
      </c>
    </row>
    <row r="10441">
      <c r="A10441" t="inlineStr">
        <is>
          <t>2026-09-30</t>
        </is>
      </c>
      <c r="B10441" t="inlineStr">
        <is>
          <t>F283559</t>
        </is>
      </c>
      <c r="C10441" t="inlineStr">
        <is>
          <t>C11236</t>
        </is>
      </c>
      <c r="D10441" t="inlineStr">
        <is>
          <t>SKU-10292</t>
        </is>
      </c>
      <c r="E10441" t="inlineStr">
        <is>
          <t>AM01</t>
        </is>
      </c>
      <c r="F10441" s="5" t="n">
        <v>121.2</v>
      </c>
      <c r="G10441">
        <f>IF(LEFT(B10441,1)="C","Credit","Factuur")</f>
        <v/>
      </c>
      <c r="H10441">
        <f>IF(AND(B10441=B10440,D10441=D10440,A10441=A10440,F10441=F10440),1,0)</f>
        <v/>
      </c>
      <c r="I10441">
        <f>IF(C10441="C99999",1,0)</f>
        <v/>
      </c>
      <c r="J10441" s="5">
        <f>IF(OR(H10441=1,I10441=1),0,IF(G10441="Credit",-F10441,F10441))</f>
        <v/>
      </c>
    </row>
    <row r="10442">
      <c r="A10442" t="inlineStr">
        <is>
          <t>2026-09-30</t>
        </is>
      </c>
      <c r="B10442" t="inlineStr">
        <is>
          <t>F283559</t>
        </is>
      </c>
      <c r="C10442" t="inlineStr">
        <is>
          <t>C11236</t>
        </is>
      </c>
      <c r="D10442" t="inlineStr">
        <is>
          <t>SKU-10300</t>
        </is>
      </c>
      <c r="E10442" t="inlineStr">
        <is>
          <t>AM01</t>
        </is>
      </c>
      <c r="F10442" s="5" t="n">
        <v>122.56</v>
      </c>
      <c r="G10442">
        <f>IF(LEFT(B10442,1)="C","Credit","Factuur")</f>
        <v/>
      </c>
      <c r="H10442">
        <f>IF(AND(B10442=B10441,D10442=D10441,A10442=A10441,F10442=F10441),1,0)</f>
        <v/>
      </c>
      <c r="I10442">
        <f>IF(C10442="C99999",1,0)</f>
        <v/>
      </c>
      <c r="J10442" s="5">
        <f>IF(OR(H10442=1,I10442=1),0,IF(G10442="Credit",-F10442,F10442))</f>
        <v/>
      </c>
    </row>
    <row r="10443">
      <c r="A10443" t="inlineStr">
        <is>
          <t>2026-09-30</t>
        </is>
      </c>
      <c r="B10443" t="inlineStr">
        <is>
          <t>F284138</t>
        </is>
      </c>
      <c r="C10443" t="inlineStr">
        <is>
          <t>C11261</t>
        </is>
      </c>
      <c r="D10443" t="inlineStr">
        <is>
          <t>SKU-10276</t>
        </is>
      </c>
      <c r="E10443" t="inlineStr">
        <is>
          <t>AM08</t>
        </is>
      </c>
      <c r="F10443" s="5" t="n">
        <v>207.48</v>
      </c>
      <c r="G10443">
        <f>IF(LEFT(B10443,1)="C","Credit","Factuur")</f>
        <v/>
      </c>
      <c r="H10443">
        <f>IF(AND(B10443=B10442,D10443=D10442,A10443=A10442,F10443=F10442),1,0)</f>
        <v/>
      </c>
      <c r="I10443">
        <f>IF(C10443="C99999",1,0)</f>
        <v/>
      </c>
      <c r="J10443" s="5">
        <f>IF(OR(H10443=1,I10443=1),0,IF(G10443="Credit",-F10443,F10443))</f>
        <v/>
      </c>
    </row>
    <row r="10444">
      <c r="A10444" t="inlineStr">
        <is>
          <t>2026-09-30</t>
        </is>
      </c>
      <c r="B10444" t="inlineStr">
        <is>
          <t>F284368</t>
        </is>
      </c>
      <c r="C10444" t="inlineStr">
        <is>
          <t>C11275</t>
        </is>
      </c>
      <c r="D10444" t="inlineStr">
        <is>
          <t>SKU-10069</t>
        </is>
      </c>
      <c r="E10444" t="inlineStr">
        <is>
          <t>AM01</t>
        </is>
      </c>
      <c r="F10444" s="5" t="n">
        <v>190.68</v>
      </c>
      <c r="G10444">
        <f>IF(LEFT(B10444,1)="C","Credit","Factuur")</f>
        <v/>
      </c>
      <c r="H10444">
        <f>IF(AND(B10444=B10443,D10444=D10443,A10444=A10443,F10444=F10443),1,0)</f>
        <v/>
      </c>
      <c r="I10444">
        <f>IF(C10444="C99999",1,0)</f>
        <v/>
      </c>
      <c r="J10444" s="5">
        <f>IF(OR(H10444=1,I10444=1),0,IF(G10444="Credit",-F10444,F10444))</f>
        <v/>
      </c>
    </row>
    <row r="10445">
      <c r="A10445" t="inlineStr">
        <is>
          <t>2026-09-30</t>
        </is>
      </c>
      <c r="B10445" t="inlineStr">
        <is>
          <t>F284368</t>
        </is>
      </c>
      <c r="C10445" t="inlineStr">
        <is>
          <t>C11275</t>
        </is>
      </c>
      <c r="D10445" t="inlineStr">
        <is>
          <t>SKU-10303</t>
        </is>
      </c>
      <c r="E10445" t="inlineStr"/>
      <c r="F10445" s="5" t="n">
        <v>175.65</v>
      </c>
      <c r="G10445">
        <f>IF(LEFT(B10445,1)="C","Credit","Factuur")</f>
        <v/>
      </c>
      <c r="H10445">
        <f>IF(AND(B10445=B10444,D10445=D10444,A10445=A10444,F10445=F10444),1,0)</f>
        <v/>
      </c>
      <c r="I10445">
        <f>IF(C10445="C99999",1,0)</f>
        <v/>
      </c>
      <c r="J10445" s="5">
        <f>IF(OR(H10445=1,I10445=1),0,IF(G10445="Credit",-F10445,F10445))</f>
        <v/>
      </c>
    </row>
    <row r="10446">
      <c r="A10446" t="inlineStr">
        <is>
          <t>2026-09-30</t>
        </is>
      </c>
      <c r="B10446" t="inlineStr">
        <is>
          <t>F284368</t>
        </is>
      </c>
      <c r="C10446" t="inlineStr">
        <is>
          <t>C11275</t>
        </is>
      </c>
      <c r="D10446" t="inlineStr">
        <is>
          <t>SKU-10312</t>
        </is>
      </c>
      <c r="E10446" t="inlineStr">
        <is>
          <t>AM01</t>
        </is>
      </c>
      <c r="F10446" s="5" t="n">
        <v>172</v>
      </c>
      <c r="G10446">
        <f>IF(LEFT(B10446,1)="C","Credit","Factuur")</f>
        <v/>
      </c>
      <c r="H10446">
        <f>IF(AND(B10446=B10445,D10446=D10445,A10446=A10445,F10446=F10445),1,0)</f>
        <v/>
      </c>
      <c r="I10446">
        <f>IF(C10446="C99999",1,0)</f>
        <v/>
      </c>
      <c r="J10446" s="5">
        <f>IF(OR(H10446=1,I10446=1),0,IF(G10446="Credit",-F10446,F10446))</f>
        <v/>
      </c>
    </row>
    <row r="10447">
      <c r="A10447" t="inlineStr">
        <is>
          <t>2026-09-30</t>
        </is>
      </c>
      <c r="B10447" t="inlineStr">
        <is>
          <t>F285056</t>
        </is>
      </c>
      <c r="C10447" t="inlineStr">
        <is>
          <t>C11310</t>
        </is>
      </c>
      <c r="D10447" t="inlineStr">
        <is>
          <t>SKU-10169</t>
        </is>
      </c>
      <c r="E10447" t="inlineStr">
        <is>
          <t>AM02</t>
        </is>
      </c>
      <c r="F10447" s="5" t="n">
        <v>1377.9</v>
      </c>
      <c r="G10447">
        <f>IF(LEFT(B10447,1)="C","Credit","Factuur")</f>
        <v/>
      </c>
      <c r="H10447">
        <f>IF(AND(B10447=B10446,D10447=D10446,A10447=A10446,F10447=F10446),1,0)</f>
        <v/>
      </c>
      <c r="I10447">
        <f>IF(C10447="C99999",1,0)</f>
        <v/>
      </c>
      <c r="J10447" s="5">
        <f>IF(OR(H10447=1,I10447=1),0,IF(G10447="Credit",-F10447,F10447))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6" customWidth="1" min="4" max="4"/>
  </cols>
  <sheetData>
    <row r="1">
      <c r="A1" s="4" t="inlineStr">
        <is>
          <t>Periode</t>
        </is>
      </c>
      <c r="B1" s="4" t="inlineStr">
        <is>
          <t>Grootboek</t>
        </is>
      </c>
      <c r="C1" s="4" t="inlineStr">
        <is>
          <t>Omschrijving</t>
        </is>
      </c>
      <c r="D1" s="4" t="inlineStr">
        <is>
          <t>Bedrag</t>
        </is>
      </c>
    </row>
    <row r="2">
      <c r="A2" t="inlineStr">
        <is>
          <t>2026-07</t>
        </is>
      </c>
      <c r="B2" t="inlineStr">
        <is>
          <t>700000</t>
        </is>
      </c>
      <c r="C2" t="inlineStr">
        <is>
          <t>Omzet handelsgoederen</t>
        </is>
      </c>
      <c r="D2" s="5" t="n">
        <v>2008453.68</v>
      </c>
    </row>
    <row r="3">
      <c r="A3" t="inlineStr">
        <is>
          <t>2026-08</t>
        </is>
      </c>
      <c r="B3" t="inlineStr">
        <is>
          <t>700000</t>
        </is>
      </c>
      <c r="C3" t="inlineStr">
        <is>
          <t>Omzet handelsgoederen</t>
        </is>
      </c>
      <c r="D3" s="5" t="n">
        <v>1518877.81</v>
      </c>
    </row>
    <row r="4">
      <c r="A4" t="inlineStr">
        <is>
          <t>2026-09</t>
        </is>
      </c>
      <c r="B4" t="inlineStr">
        <is>
          <t>700000</t>
        </is>
      </c>
      <c r="C4" t="inlineStr">
        <is>
          <t>Omzet handelsgoederen</t>
        </is>
      </c>
      <c r="D4" s="5" t="n">
        <v>2414112.57</v>
      </c>
    </row>
    <row r="5">
      <c r="C5" s="6" t="inlineStr">
        <is>
          <t>Totaal Q3</t>
        </is>
      </c>
      <c r="D5" s="7">
        <f>SUM(D2:D4)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9" customWidth="1" min="4" max="4"/>
    <col width="18" customWidth="1" min="5" max="5"/>
    <col width="11" customWidth="1" min="6" max="6"/>
  </cols>
  <sheetData>
    <row r="1">
      <c r="A1" s="4" t="inlineStr">
        <is>
          <t>Stap</t>
        </is>
      </c>
      <c r="B1" s="4" t="inlineStr">
        <is>
          <t>Omschrijving</t>
        </is>
      </c>
      <c r="C1" s="4" t="inlineStr">
        <is>
          <t>Bedrag (Excel-formule)</t>
        </is>
      </c>
      <c r="D1" s="4" t="inlineStr">
        <is>
          <t>Rijen</t>
        </is>
      </c>
      <c r="E1" s="4" t="inlineStr">
        <is>
          <t>SQL-pipeline</t>
        </is>
      </c>
      <c r="F1" s="4" t="inlineStr">
        <is>
          <t>Controle</t>
        </is>
      </c>
    </row>
    <row r="2">
      <c r="A2" t="n">
        <v>1</v>
      </c>
      <c r="B2" s="8" t="inlineStr">
        <is>
          <t>Wekelijks Excel-rapport (som van de export)</t>
        </is>
      </c>
      <c r="C2" s="5">
        <f>SUM(Export!$F$2:$F$10447)</f>
        <v/>
      </c>
      <c r="D2">
        <f>COUNTA(Export!$B$2:$B$10447)</f>
        <v/>
      </c>
      <c r="E2" s="5" t="n">
        <v>6339277.96</v>
      </c>
      <c r="F2" s="9">
        <f>IF(ROUND(C2-E2,2)=0,"OK","VERSCHIL")</f>
        <v/>
      </c>
    </row>
    <row r="3">
      <c r="A3" t="n">
        <v>2</v>
      </c>
      <c r="B3" s="8" t="inlineStr">
        <is>
          <t>Dubbel geëxporteerde dag eraf</t>
        </is>
      </c>
      <c r="C3" s="5">
        <f>-SUMIFS(Export!$F$2:$F$10447,Export!$H$2:$H$10447,1)</f>
        <v/>
      </c>
      <c r="D3">
        <f>SUM(Export!$H$2:$H$10447)</f>
        <v/>
      </c>
      <c r="E3" s="5" t="n">
        <v>-110762.2</v>
      </c>
      <c r="F3" s="9">
        <f>IF(ROUND(C3-E3,2)=0,"OK","VERSCHIL")</f>
        <v/>
      </c>
    </row>
    <row r="4">
      <c r="A4" t="n">
        <v>3</v>
      </c>
      <c r="B4" s="8" t="inlineStr">
        <is>
          <t>Creditnota's: opgeteld i.p.v. afgetrokken (2×)</t>
        </is>
      </c>
      <c r="C4" s="5">
        <f>-2*SUMIFS(Export!$F$2:$F$10447,Export!$G$2:$G$10447,"Credit",Export!$H$2:$H$10447,0)</f>
        <v/>
      </c>
      <c r="D4">
        <f>COUNTIFS(Export!$G$2:$G$10447,"Credit",Export!$H$2:$H$10447,0)</f>
        <v/>
      </c>
      <c r="E4" s="5" t="n">
        <v>-284980.24</v>
      </c>
      <c r="F4" s="9">
        <f>IF(ROUND(C4-E4,2)=0,"OK","VERSCHIL")</f>
        <v/>
      </c>
    </row>
    <row r="5">
      <c r="A5" t="n">
        <v>4</v>
      </c>
      <c r="B5" s="8" t="inlineStr">
        <is>
          <t>Personeelsshop (interne klant) eraf</t>
        </is>
      </c>
      <c r="C5" s="5">
        <f>-(SUMIFS(Export!$F$2:$F$10447,Export!$C$2:$C$10447,"C99999",Export!$G$2:$G$10447,"Factuur",Export!$H$2:$H$10447,0)-SUMIFS(Export!$F$2:$F$10447,Export!$C$2:$C$10447,"C99999",Export!$G$2:$G$10447,"Credit",Export!$H$2:$H$10447,0))</f>
        <v/>
      </c>
      <c r="D5">
        <f>COUNTIFS(Export!$C$2:$C$10447,"C99999",Export!$H$2:$H$10447,0)</f>
        <v/>
      </c>
      <c r="E5" s="5" t="n">
        <v>-2091.46</v>
      </c>
      <c r="F5" s="9">
        <f>IF(ROUND(C5-E5,2)=0,"OK","VERSCHIL")</f>
        <v/>
      </c>
    </row>
    <row r="6">
      <c r="A6" t="n">
        <v>5</v>
      </c>
      <c r="B6" s="6" t="inlineStr">
        <is>
          <t>Verklaard totaal</t>
        </is>
      </c>
      <c r="C6" s="5">
        <f>SUM(C2:C5)</f>
        <v/>
      </c>
      <c r="E6" s="5" t="n">
        <v>5941444.06</v>
      </c>
      <c r="F6" s="9">
        <f>IF(ROUND(C6-E6,2)=0,"OK","VERSCHIL")</f>
        <v/>
      </c>
    </row>
    <row r="7">
      <c r="A7" t="n">
        <v>6</v>
      </c>
      <c r="B7" s="8" t="inlineStr">
        <is>
          <t>Finance (grootboek 700000)</t>
        </is>
      </c>
      <c r="C7" s="5">
        <f>Finance!D5</f>
        <v/>
      </c>
      <c r="E7" s="5" t="n">
        <v>5941444.06</v>
      </c>
      <c r="F7" s="9">
        <f>IF(ROUND(C7-E7,2)=0,"OK","VERSCHIL")</f>
        <v/>
      </c>
    </row>
    <row r="8">
      <c r="A8" t="n">
        <v>7</v>
      </c>
      <c r="B8" s="6" t="inlineStr">
        <is>
          <t>Onverklaard verschil</t>
        </is>
      </c>
      <c r="C8" s="5">
        <f>ROUND(C6-C7,2)</f>
        <v/>
      </c>
      <c r="E8" s="5" t="n">
        <v>0</v>
      </c>
      <c r="F8" s="9">
        <f>IF(ROUND(C8-E8,2)=0,"OK","VERSCHIL")</f>
        <v/>
      </c>
    </row>
    <row r="9">
      <c r="A9" t="n">
        <v>8</v>
      </c>
      <c r="B9" s="8" t="inlineStr">
        <is>
          <t>Controle: som van kolom Netto op tab Export</t>
        </is>
      </c>
      <c r="C9" s="5">
        <f>SUM(Export!$J$2:$J$10447)</f>
        <v/>
      </c>
      <c r="E9" s="5" t="n">
        <v>5941444.06</v>
      </c>
      <c r="F9" s="9">
        <f>IF(ROUND(C9-E9,2)=0,"OK","VERSCHIL")</f>
        <v/>
      </c>
    </row>
    <row r="11">
      <c r="B11" s="10" t="inlineStr">
        <is>
          <t>Kolom E is overgenomen uit data/metrics.json (SQL). Kolom C rekent Excel zelf uit.</t>
        </is>
      </c>
    </row>
  </sheetData>
  <conditionalFormatting sqref="F2:F9">
    <cfRule type="cellIs" priority="1" operator="equal" dxfId="0">
      <formula>"OK"</formula>
    </cfRule>
    <cfRule type="cellIs" priority="2" operator="equal" dxfId="1">
      <formula>"VERSCHIL"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Verkoper</t>
        </is>
      </c>
      <c r="B1" s="4" t="inlineStr">
        <is>
          <t>jul</t>
        </is>
      </c>
      <c r="C1" s="4" t="inlineStr">
        <is>
          <t>aug</t>
        </is>
      </c>
      <c r="D1" s="4" t="inlineStr">
        <is>
          <t>sep</t>
        </is>
      </c>
      <c r="E1" s="4" t="inlineStr">
        <is>
          <t>Q3</t>
        </is>
      </c>
    </row>
    <row r="2">
      <c r="A2" t="inlineStr">
        <is>
          <t>AM01</t>
        </is>
      </c>
      <c r="B2" s="5">
        <f>SUMIFS(Export!$J$2:$J$10447,Export!$E$2:$E$10447,"AM01",Export!$A$2:$A$10447,"2026-07*")</f>
        <v/>
      </c>
      <c r="C2" s="5">
        <f>SUMIFS(Export!$J$2:$J$10447,Export!$E$2:$E$10447,"AM01",Export!$A$2:$A$10447,"2026-08*")</f>
        <v/>
      </c>
      <c r="D2" s="5">
        <f>SUMIFS(Export!$J$2:$J$10447,Export!$E$2:$E$10447,"AM01",Export!$A$2:$A$10447,"2026-09*")</f>
        <v/>
      </c>
      <c r="E2" s="5">
        <f>SUM(B2:D2)</f>
        <v/>
      </c>
    </row>
    <row r="3">
      <c r="A3" t="inlineStr">
        <is>
          <t>AM02</t>
        </is>
      </c>
      <c r="B3" s="5">
        <f>SUMIFS(Export!$J$2:$J$10447,Export!$E$2:$E$10447,"AM02",Export!$A$2:$A$10447,"2026-07*")</f>
        <v/>
      </c>
      <c r="C3" s="5">
        <f>SUMIFS(Export!$J$2:$J$10447,Export!$E$2:$E$10447,"AM02",Export!$A$2:$A$10447,"2026-08*")</f>
        <v/>
      </c>
      <c r="D3" s="5">
        <f>SUMIFS(Export!$J$2:$J$10447,Export!$E$2:$E$10447,"AM02",Export!$A$2:$A$10447,"2026-09*")</f>
        <v/>
      </c>
      <c r="E3" s="5">
        <f>SUM(B3:D3)</f>
        <v/>
      </c>
    </row>
    <row r="4">
      <c r="A4" t="inlineStr">
        <is>
          <t>AM03</t>
        </is>
      </c>
      <c r="B4" s="5">
        <f>SUMIFS(Export!$J$2:$J$10447,Export!$E$2:$E$10447,"AM03",Export!$A$2:$A$10447,"2026-07*")</f>
        <v/>
      </c>
      <c r="C4" s="5">
        <f>SUMIFS(Export!$J$2:$J$10447,Export!$E$2:$E$10447,"AM03",Export!$A$2:$A$10447,"2026-08*")</f>
        <v/>
      </c>
      <c r="D4" s="5">
        <f>SUMIFS(Export!$J$2:$J$10447,Export!$E$2:$E$10447,"AM03",Export!$A$2:$A$10447,"2026-09*")</f>
        <v/>
      </c>
      <c r="E4" s="5">
        <f>SUM(B4:D4)</f>
        <v/>
      </c>
    </row>
    <row r="5">
      <c r="A5" t="inlineStr">
        <is>
          <t>AM05</t>
        </is>
      </c>
      <c r="B5" s="5">
        <f>SUMIFS(Export!$J$2:$J$10447,Export!$E$2:$E$10447,"AM05",Export!$A$2:$A$10447,"2026-07*")</f>
        <v/>
      </c>
      <c r="C5" s="5">
        <f>SUMIFS(Export!$J$2:$J$10447,Export!$E$2:$E$10447,"AM05",Export!$A$2:$A$10447,"2026-08*")</f>
        <v/>
      </c>
      <c r="D5" s="5">
        <f>SUMIFS(Export!$J$2:$J$10447,Export!$E$2:$E$10447,"AM05",Export!$A$2:$A$10447,"2026-09*")</f>
        <v/>
      </c>
      <c r="E5" s="5">
        <f>SUM(B5:D5)</f>
        <v/>
      </c>
    </row>
    <row r="6">
      <c r="A6" t="inlineStr">
        <is>
          <t>AM06</t>
        </is>
      </c>
      <c r="B6" s="5">
        <f>SUMIFS(Export!$J$2:$J$10447,Export!$E$2:$E$10447,"AM06",Export!$A$2:$A$10447,"2026-07*")</f>
        <v/>
      </c>
      <c r="C6" s="5">
        <f>SUMIFS(Export!$J$2:$J$10447,Export!$E$2:$E$10447,"AM06",Export!$A$2:$A$10447,"2026-08*")</f>
        <v/>
      </c>
      <c r="D6" s="5">
        <f>SUMIFS(Export!$J$2:$J$10447,Export!$E$2:$E$10447,"AM06",Export!$A$2:$A$10447,"2026-09*")</f>
        <v/>
      </c>
      <c r="E6" s="5">
        <f>SUM(B6:D6)</f>
        <v/>
      </c>
    </row>
    <row r="7">
      <c r="A7" t="inlineStr">
        <is>
          <t>AM07</t>
        </is>
      </c>
      <c r="B7" s="5">
        <f>SUMIFS(Export!$J$2:$J$10447,Export!$E$2:$E$10447,"AM07",Export!$A$2:$A$10447,"2026-07*")</f>
        <v/>
      </c>
      <c r="C7" s="5">
        <f>SUMIFS(Export!$J$2:$J$10447,Export!$E$2:$E$10447,"AM07",Export!$A$2:$A$10447,"2026-08*")</f>
        <v/>
      </c>
      <c r="D7" s="5">
        <f>SUMIFS(Export!$J$2:$J$10447,Export!$E$2:$E$10447,"AM07",Export!$A$2:$A$10447,"2026-09*")</f>
        <v/>
      </c>
      <c r="E7" s="5">
        <f>SUM(B7:D7)</f>
        <v/>
      </c>
    </row>
    <row r="8">
      <c r="A8" t="inlineStr">
        <is>
          <t>AM08</t>
        </is>
      </c>
      <c r="B8" s="5">
        <f>SUMIFS(Export!$J$2:$J$10447,Export!$E$2:$E$10447,"AM08",Export!$A$2:$A$10447,"2026-07*")</f>
        <v/>
      </c>
      <c r="C8" s="5">
        <f>SUMIFS(Export!$J$2:$J$10447,Export!$E$2:$E$10447,"AM08",Export!$A$2:$A$10447,"2026-08*")</f>
        <v/>
      </c>
      <c r="D8" s="5">
        <f>SUMIFS(Export!$J$2:$J$10447,Export!$E$2:$E$10447,"AM08",Export!$A$2:$A$10447,"2026-09*")</f>
        <v/>
      </c>
      <c r="E8" s="5">
        <f>SUM(B8:D8)</f>
        <v/>
      </c>
    </row>
    <row r="9">
      <c r="A9" t="inlineStr">
        <is>
          <t>AM09</t>
        </is>
      </c>
      <c r="B9" s="5">
        <f>SUMIFS(Export!$J$2:$J$10447,Export!$E$2:$E$10447,"AM09",Export!$A$2:$A$10447,"2026-07*")</f>
        <v/>
      </c>
      <c r="C9" s="5">
        <f>SUMIFS(Export!$J$2:$J$10447,Export!$E$2:$E$10447,"AM09",Export!$A$2:$A$10447,"2026-08*")</f>
        <v/>
      </c>
      <c r="D9" s="5">
        <f>SUMIFS(Export!$J$2:$J$10447,Export!$E$2:$E$10447,"AM09",Export!$A$2:$A$10447,"2026-09*")</f>
        <v/>
      </c>
      <c r="E9" s="5">
        <f>SUM(B9:D9)</f>
        <v/>
      </c>
    </row>
    <row r="10">
      <c r="A10" t="inlineStr">
        <is>
          <t>AM11</t>
        </is>
      </c>
      <c r="B10" s="5">
        <f>SUMIFS(Export!$J$2:$J$10447,Export!$E$2:$E$10447,"AM11",Export!$A$2:$A$10447,"2026-07*")</f>
        <v/>
      </c>
      <c r="C10" s="5">
        <f>SUMIFS(Export!$J$2:$J$10447,Export!$E$2:$E$10447,"AM11",Export!$A$2:$A$10447,"2026-08*")</f>
        <v/>
      </c>
      <c r="D10" s="5">
        <f>SUMIFS(Export!$J$2:$J$10447,Export!$E$2:$E$10447,"AM11",Export!$A$2:$A$10447,"2026-09*")</f>
        <v/>
      </c>
      <c r="E10" s="5">
        <f>SUM(B10:D10)</f>
        <v/>
      </c>
    </row>
    <row r="11">
      <c r="A11" t="inlineStr">
        <is>
          <t>AM12</t>
        </is>
      </c>
      <c r="B11" s="5">
        <f>SUMIFS(Export!$J$2:$J$10447,Export!$E$2:$E$10447,"AM12",Export!$A$2:$A$10447,"2026-07*")</f>
        <v/>
      </c>
      <c r="C11" s="5">
        <f>SUMIFS(Export!$J$2:$J$10447,Export!$E$2:$E$10447,"AM12",Export!$A$2:$A$10447,"2026-08*")</f>
        <v/>
      </c>
      <c r="D11" s="5">
        <f>SUMIFS(Export!$J$2:$J$10447,Export!$E$2:$E$10447,"AM12",Export!$A$2:$A$10447,"2026-09*")</f>
        <v/>
      </c>
      <c r="E11" s="5">
        <f>SUM(B11:D11)</f>
        <v/>
      </c>
    </row>
    <row r="12">
      <c r="A12" t="inlineStr">
        <is>
          <t>IS01</t>
        </is>
      </c>
      <c r="B12" s="5">
        <f>SUMIFS(Export!$J$2:$J$10447,Export!$E$2:$E$10447,"IS01",Export!$A$2:$A$10447,"2026-07*")</f>
        <v/>
      </c>
      <c r="C12" s="5">
        <f>SUMIFS(Export!$J$2:$J$10447,Export!$E$2:$E$10447,"IS01",Export!$A$2:$A$10447,"2026-08*")</f>
        <v/>
      </c>
      <c r="D12" s="5">
        <f>SUMIFS(Export!$J$2:$J$10447,Export!$E$2:$E$10447,"IS01",Export!$A$2:$A$10447,"2026-09*")</f>
        <v/>
      </c>
      <c r="E12" s="5">
        <f>SUM(B12:D12)</f>
        <v/>
      </c>
    </row>
    <row r="13">
      <c r="A13" t="inlineStr">
        <is>
          <t>IS02</t>
        </is>
      </c>
      <c r="B13" s="5">
        <f>SUMIFS(Export!$J$2:$J$10447,Export!$E$2:$E$10447,"IS02",Export!$A$2:$A$10447,"2026-07*")</f>
        <v/>
      </c>
      <c r="C13" s="5">
        <f>SUMIFS(Export!$J$2:$J$10447,Export!$E$2:$E$10447,"IS02",Export!$A$2:$A$10447,"2026-08*")</f>
        <v/>
      </c>
      <c r="D13" s="5">
        <f>SUMIFS(Export!$J$2:$J$10447,Export!$E$2:$E$10447,"IS02",Export!$A$2:$A$10447,"2026-09*")</f>
        <v/>
      </c>
      <c r="E13" s="5">
        <f>SUM(B13:D13)</f>
        <v/>
      </c>
    </row>
    <row r="14">
      <c r="A14" t="inlineStr">
        <is>
          <t>(leeg = niet toegewezen)</t>
        </is>
      </c>
      <c r="B14" s="5">
        <f>SUMIFS(Export!$J$2:$J$10447,Export!$E$2:$E$10447,"",Export!$A$2:$A$10447,"2026-07*")</f>
        <v/>
      </c>
      <c r="C14" s="5">
        <f>SUMIFS(Export!$J$2:$J$10447,Export!$E$2:$E$10447,"",Export!$A$2:$A$10447,"2026-08*")</f>
        <v/>
      </c>
      <c r="D14" s="5">
        <f>SUMIFS(Export!$J$2:$J$10447,Export!$E$2:$E$10447,"",Export!$A$2:$A$10447,"2026-09*")</f>
        <v/>
      </c>
      <c r="E14" s="5">
        <f>SUM(B14:D14)</f>
        <v/>
      </c>
    </row>
    <row r="15">
      <c r="A15" s="6" t="inlineStr">
        <is>
          <t>Totaal</t>
        </is>
      </c>
      <c r="B15" s="7">
        <f>SUM(B2:B14)</f>
        <v/>
      </c>
      <c r="C15" s="7">
        <f>SUM(C2:C14)</f>
        <v/>
      </c>
      <c r="D15" s="7">
        <f>SUM(D2:D14)</f>
        <v/>
      </c>
      <c r="E15" s="7">
        <f>SUM(E2:E14)</f>
        <v/>
      </c>
    </row>
    <row r="17">
      <c r="A17" s="10" t="inlineStr">
        <is>
          <t>Datums staan als tekst (JJJJ-MM-DD), daarom filtert "2026-07*" op juli. Lege verkoper: in het datawarehouse krijgt die lijn de verkoper op factuurdatum (regel ERP-01).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2026-10-20T13:38:49Z</dcterms:created>
  <dcterms:modified xmlns:dcterms="http://purl.org/dc/terms/" xmlns:xsi="http://www.w3.org/2001/XMLSchema-instance" xsi:type="dcterms:W3CDTF">2026-10-20T13:38:49Z</dcterms:modified>
</cp:coreProperties>
</file>